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EnterAccountValuesToAllocate" sheetId="7" r:id="rId9"/>
    <sheet state="visible" name="CheckAllocatedGroups" sheetId="8" r:id="rId10"/>
    <sheet state="visible" name="CheckUnallocatedGroups" sheetId="9" r:id="rId11"/>
    <sheet state="visible" name="GetDataAllocation" sheetId="10" r:id="rId12"/>
    <sheet state="visible" name="GetDataClosing" sheetId="11" r:id="rId13"/>
    <sheet state="visible" name="VerifyLongPositionsGrid" sheetId="12" r:id="rId14"/>
    <sheet state="visible" name="VerifyShortPositionsGrid" sheetId="13" r:id="rId15"/>
    <sheet state="visible" name="CheckPortfolioManagement" sheetId="14" r:id="rId16"/>
    <sheet state="visible" name="GetActivityData" sheetId="15" r:id="rId17"/>
    <sheet state="visible" name="VerifyActivity" sheetId="16" r:id="rId18"/>
    <sheet state="visible" name="SetGeneralPreferences" sheetId="17" r:id="rId19"/>
  </sheets>
  <definedNames/>
  <calcPr/>
</workbook>
</file>

<file path=xl/sharedStrings.xml><?xml version="1.0" encoding="utf-8"?>
<sst xmlns="http://schemas.openxmlformats.org/spreadsheetml/2006/main" count="253" uniqueCount="59">
  <si>
    <t>Modules Info</t>
  </si>
  <si>
    <t>Settings</t>
  </si>
  <si>
    <t>Master Data Info</t>
  </si>
  <si>
    <t>Module</t>
  </si>
  <si>
    <t>Step</t>
  </si>
  <si>
    <t>Master Data Sheet</t>
  </si>
  <si>
    <t>Module Step Setting File</t>
  </si>
  <si>
    <t>12JGA8V5NgTrTsDZn5CARyqaETD-zrjjkipRXhBacCt0</t>
  </si>
  <si>
    <t>Master Data Settings File</t>
  </si>
  <si>
    <t>1Nt_rf5DtgjbN9Ag4AMMlUkZYROxKZLH5m54YOl7tRT0</t>
  </si>
  <si>
    <t>Modules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</si>
  <si>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</si>
  <si>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</si>
  <si>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</si>
  <si>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</si>
  <si>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</si>
  <si>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</si>
  <si>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</si>
  <si>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</si>
  <si>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</si>
  <si>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</si>
  <si>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</si>
  <si>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</si>
  <si>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</si>
  <si>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</si>
  <si>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</si>
  <si>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</si>
  <si>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</si>
  <si>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</si>
  <si>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Allocation</t>
  </si>
  <si>
    <t>SelectUnallocatedGroup</t>
  </si>
  <si>
    <t>EnterAllocatePreference</t>
  </si>
  <si>
    <t>Calculated</t>
  </si>
  <si>
    <t>Current Preference</t>
  </si>
  <si>
    <t>EnterAccountValuesToAllocate</t>
  </si>
  <si>
    <t>Allocation1</t>
  </si>
  <si>
    <t>Allocation2</t>
  </si>
  <si>
    <t>CheckAllocatedGroups</t>
  </si>
  <si>
    <t>CheckUnallocatedGroups</t>
  </si>
  <si>
    <t>GetDataAllocation</t>
  </si>
  <si>
    <t>Current</t>
  </si>
  <si>
    <t>Closing</t>
  </si>
  <si>
    <t>VerifyLongPositionsGrid</t>
  </si>
  <si>
    <t>GetDataClosing</t>
  </si>
  <si>
    <t>VerifyShortPositionsGrid</t>
  </si>
  <si>
    <t>GeneralLedger</t>
  </si>
  <si>
    <t>GetActivityData</t>
  </si>
  <si>
    <t>SelectAll</t>
  </si>
  <si>
    <t>Allocation1,Allocation2,Allocation3,OFFSHORE</t>
  </si>
  <si>
    <t>No</t>
  </si>
  <si>
    <t>Yes</t>
  </si>
  <si>
    <t>PortfolioManagement</t>
  </si>
  <si>
    <t>CheckPortfolioManagement</t>
  </si>
  <si>
    <t>VerifyActivity</t>
  </si>
  <si>
    <t>Allocation3</t>
  </si>
  <si>
    <t>EquityL</t>
  </si>
  <si>
    <t>USD</t>
  </si>
  <si>
    <t>EquityS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</si>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</sst>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4.0"/>
      <color rgb="FFFFFFFF"/>
      <name val="Calibri"/>
    </font>
    <font>
      <b/>
      <color rgb="FFFFFFFF"/>
      <name val="Arial"/>
    </font>
    <font>
      <name val="Calibri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right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5" fillId="3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wrapText="0"/>
    </xf>
    <xf borderId="6" fillId="3" fontId="3" numFmtId="0" xfId="0" applyAlignment="1" applyBorder="1" applyFont="1">
      <alignment vertical="bottom"/>
    </xf>
    <xf borderId="7" fillId="3" fontId="4" numFmtId="0" xfId="0" applyAlignment="1" applyBorder="1" applyFont="1">
      <alignment shrinkToFit="0" wrapText="0"/>
    </xf>
    <xf borderId="0" fillId="0" fontId="7" numFmtId="0" xfId="0" applyAlignment="1" applyFont="1">
      <alignment readingOrder="0" shrinkToFit="0" wrapText="0"/>
    </xf>
    <xf borderId="7" fillId="3" fontId="4" numFmtId="0" xfId="0" applyAlignment="1" applyBorder="1" applyFont="1">
      <alignment readingOrder="0" shrinkToFit="0" wrapText="0"/>
    </xf>
    <xf borderId="0" fillId="0" fontId="3" numFmtId="0" xfId="0" applyAlignment="1" applyFont="1">
      <alignment shrinkToFit="0" wrapText="0"/>
    </xf>
    <xf borderId="7" fillId="3" fontId="7" numFmtId="0" xfId="0" applyAlignment="1" applyBorder="1" applyFont="1">
      <alignment shrinkToFit="0" wrapText="0"/>
    </xf>
    <xf borderId="7" fillId="3" fontId="3" numFmtId="0" xfId="0" applyAlignment="1" applyBorder="1" applyFont="1">
      <alignment readingOrder="0" shrinkToFit="0" wrapText="0"/>
    </xf>
    <xf borderId="7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7" fillId="3" fontId="9" numFmtId="0" xfId="0" applyAlignment="1" applyBorder="1" applyFont="1">
      <alignment readingOrder="0" shrinkToFit="0" wrapText="0"/>
    </xf>
    <xf borderId="7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4" numFmtId="0" xfId="0" applyAlignment="1" applyFill="1" applyFont="1">
      <alignment shrinkToFit="0" wrapText="0"/>
    </xf>
    <xf borderId="7" fillId="6" fontId="4" numFmtId="0" xfId="0" applyAlignment="1" applyBorder="1" applyFont="1">
      <alignment shrinkToFit="0" wrapText="0"/>
    </xf>
    <xf borderId="0" fillId="6" fontId="10" numFmtId="0" xfId="0" applyFont="1"/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2" numFmtId="3" xfId="0" applyAlignment="1" applyFont="1" applyNumberFormat="1">
      <alignment readingOrder="0"/>
    </xf>
    <xf borderId="7" fillId="6" fontId="4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7" numFmtId="14" xfId="0" applyAlignment="1" applyBorder="1" applyFont="1" applyNumberFormat="1">
      <alignment horizontal="right" vertical="bottom"/>
    </xf>
    <xf borderId="8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14"/>
      <c r="B2" s="14"/>
      <c r="C2" s="14"/>
      <c r="D2" s="14"/>
      <c r="E2" s="14"/>
      <c r="F2" s="14"/>
    </row>
    <row r="3" ht="15.75" customHeight="1">
      <c r="A3" s="11" t="s">
        <v>10</v>
      </c>
      <c r="B3" s="16"/>
      <c r="C3" s="17"/>
      <c r="D3" s="17"/>
      <c r="E3" s="17"/>
      <c r="F3" s="17"/>
    </row>
    <row r="4" ht="15.75" customHeight="1">
      <c r="A4" s="9" t="str">
        <f>IFERROR(__xludf.DUMMYFUNCTION("IMPORTRANGE('_Settings'!B3,""Modules!A4:L1000"")"),"Allocation")</f>
        <v>Allocation</v>
      </c>
      <c r="B4" s="14" t="str">
        <f>IFERROR(__xludf.DUMMYFUNCTION("""COMPUTED_VALUE"""),"Allocate")</f>
        <v>Allocate</v>
      </c>
      <c r="C4" s="14" t="str">
        <f>IFERROR(__xludf.DUMMYFUNCTION("""COMPUTED_VALUE"""),"1g8wLprruaWRC_5pQcovqkv8ZCiMt5fspCOACibdkz7g")</f>
        <v>1g8wLprruaWRC_5pQcovqkv8ZCiMt5fspCOACibdkz7g</v>
      </c>
      <c r="D4" s="14" t="str">
        <f>IFERROR(__xludf.DUMMYFUNCTION("""COMPUTED_VALUE"""),"")</f>
        <v/>
      </c>
      <c r="E4" s="14" t="str">
        <f>IFERROR(__xludf.DUMMYFUNCTION("""COMPUTED_VALUE"""),"")</f>
        <v/>
      </c>
      <c r="F4" s="1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14" t="str">
        <f>IFERROR(__xludf.DUMMYFUNCTION("""COMPUTED_VALUE"""),"CheckAllocatedGroups")</f>
        <v>CheckAllocatedGroups</v>
      </c>
      <c r="C5" s="14" t="str">
        <f>IFERROR(__xludf.DUMMYFUNCTION("""COMPUTED_VALUE"""),"1aecq-HMDoDkIInONjPC11z5TBFHyJhv4ro66e2ZOphg")</f>
        <v>1aecq-HMDoDkIInONjPC11z5TBFHyJhv4ro66e2ZOphg</v>
      </c>
      <c r="D5" s="14" t="str">
        <f>IFERROR(__xludf.DUMMYFUNCTION("""COMPUTED_VALUE"""),"")</f>
        <v/>
      </c>
      <c r="E5" s="14" t="str">
        <f>IFERROR(__xludf.DUMMYFUNCTION("""COMPUTED_VALUE"""),"")</f>
        <v/>
      </c>
      <c r="F5" s="1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14" t="str">
        <f>IFERROR(__xludf.DUMMYFUNCTION("""COMPUTED_VALUE"""),"Allocation")</f>
        <v>Allocation</v>
      </c>
      <c r="B6" s="14" t="str">
        <f>IFERROR(__xludf.DUMMYFUNCTION("""COMPUTED_VALUE"""),"Unallocate")</f>
        <v>Unallocate</v>
      </c>
      <c r="C6" s="14" t="str">
        <f>IFERROR(__xludf.DUMMYFUNCTION("""COMPUTED_VALUE"""),"1eDZq-_vllq4jwvwpk9qGnwQUhlb-sFvyFKPBriT2dA0")</f>
        <v>1eDZq-_vllq4jwvwpk9qGnwQUhlb-sFvyFKPBriT2dA0</v>
      </c>
      <c r="D6" s="14" t="str">
        <f>IFERROR(__xludf.DUMMYFUNCTION("""COMPUTED_VALUE"""),"")</f>
        <v/>
      </c>
      <c r="E6" s="14" t="str">
        <f>IFERROR(__xludf.DUMMYFUNCTION("""COMPUTED_VALUE"""),"")</f>
        <v/>
      </c>
      <c r="F6" s="1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14" t="str">
        <f>IFERROR(__xludf.DUMMYFUNCTION("""COMPUTED_VALUE"""),"Allocation")</f>
        <v>Allocation</v>
      </c>
      <c r="B7" s="14" t="str">
        <f>IFERROR(__xludf.DUMMYFUNCTION("""COMPUTED_VALUE"""),"GetDataAllocation")</f>
        <v>GetDataAllocation</v>
      </c>
      <c r="C7" s="14" t="str">
        <f>IFERROR(__xludf.DUMMYFUNCTION("""COMPUTED_VALUE"""),"1FBTO3wCB7odq-jpQMbYHgSrAL5-rFO2_kp9Kr2iXqXE")</f>
        <v>1FBTO3wCB7odq-jpQMbYHgSrAL5-rFO2_kp9Kr2iXqXE</v>
      </c>
      <c r="D7" s="14" t="str">
        <f>IFERROR(__xludf.DUMMYFUNCTION("""COMPUTED_VALUE"""),"")</f>
        <v/>
      </c>
      <c r="E7" s="14" t="str">
        <f>IFERROR(__xludf.DUMMYFUNCTION("""COMPUTED_VALUE"""),"")</f>
        <v/>
      </c>
      <c r="F7" s="1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14" t="str">
        <f>IFERROR(__xludf.DUMMYFUNCTION("""COMPUTED_VALUE"""),"Allocation")</f>
        <v>Allocation</v>
      </c>
      <c r="B8" s="14" t="str">
        <f>IFERROR(__xludf.DUMMYFUNCTION("""COMPUTED_VALUE"""),"SelectAllocatedGroup")</f>
        <v>SelectAllocatedGroup</v>
      </c>
      <c r="C8" s="14" t="str">
        <f>IFERROR(__xludf.DUMMYFUNCTION("""COMPUTED_VALUE"""),"1G0ZkXDrIDX_loGmAyLs_Shy8hExtTELtFXERbX-HdPo")</f>
        <v>1G0ZkXDrIDX_loGmAyLs_Shy8hExtTELtFXERbX-HdPo</v>
      </c>
      <c r="D8" s="14" t="str">
        <f>IFERROR(__xludf.DUMMYFUNCTION("""COMPUTED_VALUE"""),"")</f>
        <v/>
      </c>
      <c r="E8" s="14" t="str">
        <f>IFERROR(__xludf.DUMMYFUNCTION("""COMPUTED_VALUE"""),"")</f>
        <v/>
      </c>
      <c r="F8" s="1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14" t="str">
        <f>IFERROR(__xludf.DUMMYFUNCTION("""COMPUTED_VALUE"""),"Allocation")</f>
        <v>Allocation</v>
      </c>
      <c r="B9" s="14" t="str">
        <f>IFERROR(__xludf.DUMMYFUNCTION("""COMPUTED_VALUE"""),"EditTradesAllocated")</f>
        <v>EditTradesAllocated</v>
      </c>
      <c r="C9" s="14" t="str">
        <f>IFERROR(__xludf.DUMMYFUNCTION("""COMPUTED_VALUE"""),"1YgVZ1jEVgjUF1Dp8FAj_W_zLEZCyqvNMlWJIg0Tmkq4")</f>
        <v>1YgVZ1jEVgjUF1Dp8FAj_W_zLEZCyqvNMlWJIg0Tmkq4</v>
      </c>
      <c r="D9" s="14" t="str">
        <f>IFERROR(__xludf.DUMMYFUNCTION("""COMPUTED_VALUE"""),"")</f>
        <v/>
      </c>
      <c r="E9" s="14" t="str">
        <f>IFERROR(__xludf.DUMMYFUNCTION("""COMPUTED_VALUE"""),"")</f>
        <v/>
      </c>
      <c r="F9" s="1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14" t="str">
        <f>IFERROR(__xludf.DUMMYFUNCTION("""COMPUTED_VALUE"""),"Allocation")</f>
        <v>Allocation</v>
      </c>
      <c r="B10" s="14" t="str">
        <f>IFERROR(__xludf.DUMMYFUNCTION("""COMPUTED_VALUE"""),"EditTradesUnallocated")</f>
        <v>EditTradesUnallocated</v>
      </c>
      <c r="C10" s="14" t="str">
        <f>IFERROR(__xludf.DUMMYFUNCTION("""COMPUTED_VALUE"""),"1MyB61T39MDAUyQqCUJLATzUT2f5UlE8nFq4ltWy_DJ4")</f>
        <v>1MyB61T39MDAUyQqCUJLATzUT2f5UlE8nFq4ltWy_DJ4</v>
      </c>
      <c r="D10" s="14" t="str">
        <f>IFERROR(__xludf.DUMMYFUNCTION("""COMPUTED_VALUE"""),"")</f>
        <v/>
      </c>
      <c r="E10" s="14" t="str">
        <f>IFERROR(__xludf.DUMMYFUNCTION("""COMPUTED_VALUE"""),"")</f>
        <v/>
      </c>
      <c r="F10" s="1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14" t="str">
        <f>IFERROR(__xludf.DUMMYFUNCTION("""COMPUTED_VALUE"""),"Allocation")</f>
        <v>Allocation</v>
      </c>
      <c r="B11" s="14" t="str">
        <f>IFERROR(__xludf.DUMMYFUNCTION("""COMPUTED_VALUE"""),"Reallocate")</f>
        <v>Reallocate</v>
      </c>
      <c r="C11" s="14" t="str">
        <f>IFERROR(__xludf.DUMMYFUNCTION("""COMPUTED_VALUE"""),"undefined")</f>
        <v>undefined</v>
      </c>
      <c r="D11" s="14" t="str">
        <f>IFERROR(__xludf.DUMMYFUNCTION("""COMPUTED_VALUE"""),"")</f>
        <v/>
      </c>
      <c r="E11" s="14" t="str">
        <f>IFERROR(__xludf.DUMMYFUNCTION("""COMPUTED_VALUE"""),"")</f>
        <v/>
      </c>
      <c r="F11" s="1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14" t="str">
        <f>IFERROR(__xludf.DUMMYFUNCTION("""COMPUTED_VALUE"""),"Blotter")</f>
        <v>Blotter</v>
      </c>
      <c r="B12" s="14" t="str">
        <f>IFERROR(__xludf.DUMMYFUNCTION("""COMPUTED_VALUE"""),"ReplaceFillsOnBlotter")</f>
        <v>ReplaceFillsOnBlotter</v>
      </c>
      <c r="C12" s="14" t="str">
        <f>IFERROR(__xludf.DUMMYFUNCTION("""COMPUTED_VALUE"""),"undefined")</f>
        <v>undefined</v>
      </c>
      <c r="D12" s="14" t="str">
        <f>IFERROR(__xludf.DUMMYFUNCTION("""COMPUTED_VALUE"""),"")</f>
        <v/>
      </c>
      <c r="E12" s="14" t="str">
        <f>IFERROR(__xludf.DUMMYFUNCTION("""COMPUTED_VALUE"""),"")</f>
        <v/>
      </c>
      <c r="F12" s="1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14" t="str">
        <f>IFERROR(__xludf.DUMMYFUNCTION("""COMPUTED_VALUE"""),"Blotter")</f>
        <v>Blotter</v>
      </c>
      <c r="B13" s="14" t="str">
        <f>IFERROR(__xludf.DUMMYFUNCTION("""COMPUTED_VALUE"""),"CheckBlotter")</f>
        <v>CheckBlotter</v>
      </c>
      <c r="C13" s="14" t="str">
        <f>IFERROR(__xludf.DUMMYFUNCTION("""COMPUTED_VALUE"""),"16qheLbvgC92hKxalWDlpWfHBMyDDVqHERUCc7bQiO2A")</f>
        <v>16qheLbvgC92hKxalWDlpWfHBMyDDVqHERUCc7bQiO2A</v>
      </c>
      <c r="D13" s="14" t="str">
        <f>IFERROR(__xludf.DUMMYFUNCTION("""COMPUTED_VALUE"""),"")</f>
        <v/>
      </c>
      <c r="E13" s="14" t="str">
        <f>IFERROR(__xludf.DUMMYFUNCTION("""COMPUTED_VALUE"""),"")</f>
        <v/>
      </c>
      <c r="F13" s="1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14" t="str">
        <f>IFERROR(__xludf.DUMMYFUNCTION("""COMPUTED_VALUE"""),"GeneralLedger")</f>
        <v>GeneralLedger</v>
      </c>
      <c r="B14" s="14" t="str">
        <f>IFERROR(__xludf.DUMMYFUNCTION("""COMPUTED_VALUE"""),"GetDataCash")</f>
        <v>GetDataCash</v>
      </c>
      <c r="C14" s="14" t="str">
        <f>IFERROR(__xludf.DUMMYFUNCTION("""COMPUTED_VALUE"""),"1zLd3ju-mV8f6PZiQUYLU-cAgAUwLwyoIAKuu0WgG2zI")</f>
        <v>1zLd3ju-mV8f6PZiQUYLU-cAgAUwLwyoIAKuu0WgG2zI</v>
      </c>
      <c r="D14" s="14" t="str">
        <f>IFERROR(__xludf.DUMMYFUNCTION("""COMPUTED_VALUE"""),"")</f>
        <v/>
      </c>
      <c r="E14" s="14" t="str">
        <f>IFERROR(__xludf.DUMMYFUNCTION("""COMPUTED_VALUE"""),"")</f>
        <v/>
      </c>
      <c r="F14" s="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14" t="str">
        <f>IFERROR(__xludf.DUMMYFUNCTION("""COMPUTED_VALUE"""),"GeneralLedger")</f>
        <v>GeneralLedger</v>
      </c>
      <c r="B15" s="14" t="str">
        <f>IFERROR(__xludf.DUMMYFUNCTION("""COMPUTED_VALUE"""),"EnterCashDividends")</f>
        <v>EnterCashDividends</v>
      </c>
      <c r="C15" s="14" t="str">
        <f>IFERROR(__xludf.DUMMYFUNCTION("""COMPUTED_VALUE"""),"1sjDsI5FIL_l_G6osMJQ7e8auBgYd3R3JDaKWKV_8Og0")</f>
        <v>1sjDsI5FIL_l_G6osMJQ7e8auBgYd3R3JDaKWKV_8Og0</v>
      </c>
      <c r="D15" s="14" t="str">
        <f>IFERROR(__xludf.DUMMYFUNCTION("""COMPUTED_VALUE"""),"")</f>
        <v/>
      </c>
      <c r="E15" s="14" t="str">
        <f>IFERROR(__xludf.DUMMYFUNCTION("""COMPUTED_VALUE"""),"")</f>
        <v/>
      </c>
      <c r="F15" s="1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14" t="str">
        <f>IFERROR(__xludf.DUMMYFUNCTION("""COMPUTED_VALUE"""),"GeneralLedger")</f>
        <v>GeneralLedger</v>
      </c>
      <c r="B16" s="14" t="str">
        <f>IFERROR(__xludf.DUMMYFUNCTION("""COMPUTED_VALUE"""),"EnterNonTradingTransaction")</f>
        <v>EnterNonTradingTransaction</v>
      </c>
      <c r="C16" s="14" t="str">
        <f>IFERROR(__xludf.DUMMYFUNCTION("""COMPUTED_VALUE"""),"1xn1P_Z-3N4d2BC1SUPly2HiVZazly5ZQcS18BfaTyho")</f>
        <v>1xn1P_Z-3N4d2BC1SUPly2HiVZazly5ZQcS18BfaTyho</v>
      </c>
      <c r="D16" s="14" t="str">
        <f>IFERROR(__xludf.DUMMYFUNCTION("""COMPUTED_VALUE"""),"")</f>
        <v/>
      </c>
      <c r="E16" s="14" t="str">
        <f>IFERROR(__xludf.DUMMYFUNCTION("""COMPUTED_VALUE"""),"")</f>
        <v/>
      </c>
      <c r="F16" s="1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14" t="str">
        <f>IFERROR(__xludf.DUMMYFUNCTION("""COMPUTED_VALUE"""),"GeneralLedger")</f>
        <v>GeneralLedger</v>
      </c>
      <c r="B17" s="14" t="str">
        <f>IFERROR(__xludf.DUMMYFUNCTION("""COMPUTED_VALUE"""),"VerifyCash")</f>
        <v>VerifyCash</v>
      </c>
      <c r="C17" s="14" t="str">
        <f>IFERROR(__xludf.DUMMYFUNCTION("""COMPUTED_VALUE"""),"1vlvYPsiFAWjsnFrbkGn_fAvkwF00V3e7htalalU6QN4")</f>
        <v>1vlvYPsiFAWjsnFrbkGn_fAvkwF00V3e7htalalU6QN4</v>
      </c>
      <c r="D17" s="14" t="str">
        <f>IFERROR(__xludf.DUMMYFUNCTION("""COMPUTED_VALUE"""),"")</f>
        <v/>
      </c>
      <c r="E17" s="14" t="str">
        <f>IFERROR(__xludf.DUMMYFUNCTION("""COMPUTED_VALUE"""),"")</f>
        <v/>
      </c>
      <c r="F17" s="1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14" t="str">
        <f>IFERROR(__xludf.DUMMYFUNCTION("""COMPUTED_VALUE"""),"GeneralLedger")</f>
        <v>GeneralLedger</v>
      </c>
      <c r="B18" s="14" t="str">
        <f>IFERROR(__xludf.DUMMYFUNCTION("""COMPUTED_VALUE"""),"VerifyActivity")</f>
        <v>VerifyActivity</v>
      </c>
      <c r="C18" s="14" t="str">
        <f>IFERROR(__xludf.DUMMYFUNCTION("""COMPUTED_VALUE"""),"1o2rCg2FuoAOT5Pl8i4iFP_TwpPm0UB1dd49GbpkytfM")</f>
        <v>1o2rCg2FuoAOT5Pl8i4iFP_TwpPm0UB1dd49GbpkytfM</v>
      </c>
      <c r="D18" s="14" t="str">
        <f>IFERROR(__xludf.DUMMYFUNCTION("""COMPUTED_VALUE"""),"")</f>
        <v/>
      </c>
      <c r="E18" s="14" t="str">
        <f>IFERROR(__xludf.DUMMYFUNCTION("""COMPUTED_VALUE"""),"")</f>
        <v/>
      </c>
      <c r="F18" s="1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14" t="str">
        <f>IFERROR(__xludf.DUMMYFUNCTION("""COMPUTED_VALUE"""),"GeneralLedger")</f>
        <v>GeneralLedger</v>
      </c>
      <c r="B19" s="14" t="str">
        <f>IFERROR(__xludf.DUMMYFUNCTION("""COMPUTED_VALUE"""),"VerifyTradingTransaction")</f>
        <v>VerifyTradingTransaction</v>
      </c>
      <c r="C19" s="14" t="str">
        <f>IFERROR(__xludf.DUMMYFUNCTION("""COMPUTED_VALUE"""),"1_v2niCJ9VGNvgEBpvz030BFqEISSUhYRHyWcAJAn_Eg")</f>
        <v>1_v2niCJ9VGNvgEBpvz030BFqEISSUhYRHyWcAJAn_Eg</v>
      </c>
      <c r="D19" s="14" t="str">
        <f>IFERROR(__xludf.DUMMYFUNCTION("""COMPUTED_VALUE"""),"")</f>
        <v/>
      </c>
      <c r="E19" s="14" t="str">
        <f>IFERROR(__xludf.DUMMYFUNCTION("""COMPUTED_VALUE"""),"")</f>
        <v/>
      </c>
      <c r="F19" s="1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14" t="str">
        <f>IFERROR(__xludf.DUMMYFUNCTION("""COMPUTED_VALUE"""),"GeneralLedger")</f>
        <v>GeneralLedger</v>
      </c>
      <c r="B20" s="14" t="str">
        <f>IFERROR(__xludf.DUMMYFUNCTION("""COMPUTED_VALUE"""),"VerifyRevaluationData")</f>
        <v>VerifyRevaluationData</v>
      </c>
      <c r="C20" s="14" t="str">
        <f>IFERROR(__xludf.DUMMYFUNCTION("""COMPUTED_VALUE"""),"1hsRs1-LY0akTrMe91ArnbLtk6GUy_bKxVwMYCaiMs-8")</f>
        <v>1hsRs1-LY0akTrMe91ArnbLtk6GUy_bKxVwMYCaiMs-8</v>
      </c>
      <c r="D20" s="14" t="str">
        <f>IFERROR(__xludf.DUMMYFUNCTION("""COMPUTED_VALUE"""),"")</f>
        <v/>
      </c>
      <c r="E20" s="14" t="str">
        <f>IFERROR(__xludf.DUMMYFUNCTION("""COMPUTED_VALUE"""),"")</f>
        <v/>
      </c>
      <c r="F20" s="1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14" t="str">
        <f>IFERROR(__xludf.DUMMYFUNCTION("""COMPUTED_VALUE"""),"CorporateAction")</f>
        <v>CorporateAction</v>
      </c>
      <c r="B21" s="14" t="str">
        <f>IFERROR(__xludf.DUMMYFUNCTION("""COMPUTED_VALUE"""),"CorporateAction")</f>
        <v>CorporateAction</v>
      </c>
      <c r="C21" s="14" t="str">
        <f>IFERROR(__xludf.DUMMYFUNCTION("""COMPUTED_VALUE"""),"14rwUHTx4auE_hf60WN-tNOx3atNg7QGvErWNwVQIRqE")</f>
        <v>14rwUHTx4auE_hf60WN-tNOx3atNg7QGvErWNwVQIRqE</v>
      </c>
      <c r="D21" s="14" t="str">
        <f>IFERROR(__xludf.DUMMYFUNCTION("""COMPUTED_VALUE"""),"")</f>
        <v/>
      </c>
      <c r="E21" s="14" t="str">
        <f>IFERROR(__xludf.DUMMYFUNCTION("""COMPUTED_VALUE"""),"")</f>
        <v/>
      </c>
      <c r="F21" s="1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14" t="str">
        <f>IFERROR(__xludf.DUMMYFUNCTION("""COMPUTED_VALUE"""),"CreateTransaction")</f>
        <v>CreateTransaction</v>
      </c>
      <c r="B22" s="14" t="str">
        <f>IFERROR(__xludf.DUMMYFUNCTION("""COMPUTED_VALUE"""),"CreateTransaction")</f>
        <v>CreateTransaction</v>
      </c>
      <c r="C22" s="14" t="str">
        <f>IFERROR(__xludf.DUMMYFUNCTION("""COMPUTED_VALUE"""),"1amshi8Ns36lsDpccBK0y_9bL_pQ2rHdGNYypcgzceUg")</f>
        <v>1amshi8Ns36lsDpccBK0y_9bL_pQ2rHdGNYypcgzceUg</v>
      </c>
      <c r="D22" s="14" t="str">
        <f>IFERROR(__xludf.DUMMYFUNCTION("""COMPUTED_VALUE"""),"")</f>
        <v/>
      </c>
      <c r="E22" s="14" t="str">
        <f>IFERROR(__xludf.DUMMYFUNCTION("""COMPUTED_VALUE"""),"")</f>
        <v/>
      </c>
      <c r="F22" s="1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14" t="str">
        <f>IFERROR(__xludf.DUMMYFUNCTION("""COMPUTED_VALUE"""),"DailyValuation")</f>
        <v>DailyValuation</v>
      </c>
      <c r="B23" s="14" t="str">
        <f>IFERROR(__xludf.DUMMYFUNCTION("""COMPUTED_VALUE"""),"UpdateBeta")</f>
        <v>UpdateBeta</v>
      </c>
      <c r="C23" s="14" t="str">
        <f>IFERROR(__xludf.DUMMYFUNCTION("""COMPUTED_VALUE"""),"1YKttwHsdIskNDoo0Sl7HF2DWikROW-KA05qfT3GLIyI")</f>
        <v>1YKttwHsdIskNDoo0Sl7HF2DWikROW-KA05qfT3GLIyI</v>
      </c>
      <c r="D23" s="14" t="str">
        <f>IFERROR(__xludf.DUMMYFUNCTION("""COMPUTED_VALUE"""),"")</f>
        <v/>
      </c>
      <c r="E23" s="14" t="str">
        <f>IFERROR(__xludf.DUMMYFUNCTION("""COMPUTED_VALUE"""),"")</f>
        <v/>
      </c>
      <c r="F23" s="1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14" t="str">
        <f>IFERROR(__xludf.DUMMYFUNCTION("""COMPUTED_VALUE"""),"DailyValuation")</f>
        <v>DailyValuation</v>
      </c>
      <c r="B24" s="14" t="str">
        <f>IFERROR(__xludf.DUMMYFUNCTION("""COMPUTED_VALUE"""),"UpdateDailyCash")</f>
        <v>UpdateDailyCash</v>
      </c>
      <c r="C24" s="14" t="str">
        <f>IFERROR(__xludf.DUMMYFUNCTION("""COMPUTED_VALUE"""),"1YJ2rTp-OqQTGjubvs_cBC6fl0l94pyHI2eaLJzbddS4")</f>
        <v>1YJ2rTp-OqQTGjubvs_cBC6fl0l94pyHI2eaLJzbddS4</v>
      </c>
      <c r="D24" s="14" t="str">
        <f>IFERROR(__xludf.DUMMYFUNCTION("""COMPUTED_VALUE"""),"")</f>
        <v/>
      </c>
      <c r="E24" s="14" t="str">
        <f>IFERROR(__xludf.DUMMYFUNCTION("""COMPUTED_VALUE"""),"")</f>
        <v/>
      </c>
      <c r="F24" s="1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14" t="str">
        <f>IFERROR(__xludf.DUMMYFUNCTION("""COMPUTED_VALUE"""),"DailyValuation")</f>
        <v>DailyValuation</v>
      </c>
      <c r="B25" s="14" t="str">
        <f>IFERROR(__xludf.DUMMYFUNCTION("""COMPUTED_VALUE"""),"UpdateForexConversion")</f>
        <v>UpdateForexConversion</v>
      </c>
      <c r="C25" s="14" t="str">
        <f>IFERROR(__xludf.DUMMYFUNCTION("""COMPUTED_VALUE"""),"1mLyEfNTVFd65cnE6GfgCRD6TdpKg1BgqNIDjHCFzyO4")</f>
        <v>1mLyEfNTVFd65cnE6GfgCRD6TdpKg1BgqNIDjHCFzyO4</v>
      </c>
      <c r="D25" s="14" t="str">
        <f>IFERROR(__xludf.DUMMYFUNCTION("""COMPUTED_VALUE"""),"")</f>
        <v/>
      </c>
      <c r="E25" s="14" t="str">
        <f>IFERROR(__xludf.DUMMYFUNCTION("""COMPUTED_VALUE"""),"")</f>
        <v/>
      </c>
      <c r="F25" s="1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14" t="str">
        <f>IFERROR(__xludf.DUMMYFUNCTION("""COMPUTED_VALUE"""),"DailyValuation")</f>
        <v>DailyValuation</v>
      </c>
      <c r="B26" s="14" t="str">
        <f>IFERROR(__xludf.DUMMYFUNCTION("""COMPUTED_VALUE"""),"UpdateMarkPrice")</f>
        <v>UpdateMarkPrice</v>
      </c>
      <c r="C26" s="14" t="str">
        <f>IFERROR(__xludf.DUMMYFUNCTION("""COMPUTED_VALUE"""),"1M8d9TyOhMnA65NSIYvS6dR68SH5RL6oKahd6uz7yp6c")</f>
        <v>1M8d9TyOhMnA65NSIYvS6dR68SH5RL6oKahd6uz7yp6c</v>
      </c>
      <c r="D26" s="14" t="str">
        <f>IFERROR(__xludf.DUMMYFUNCTION("""COMPUTED_VALUE"""),"")</f>
        <v/>
      </c>
      <c r="E26" s="14" t="str">
        <f>IFERROR(__xludf.DUMMYFUNCTION("""COMPUTED_VALUE"""),"")</f>
        <v/>
      </c>
      <c r="F26" s="1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14" t="str">
        <f>IFERROR(__xludf.DUMMYFUNCTION("""COMPUTED_VALUE"""),"Import")</f>
        <v>Import</v>
      </c>
      <c r="B27" s="14" t="str">
        <f>IFERROR(__xludf.DUMMYFUNCTION("""COMPUTED_VALUE"""),"Import")</f>
        <v>Import</v>
      </c>
      <c r="C27" s="14" t="str">
        <f>IFERROR(__xludf.DUMMYFUNCTION("""COMPUTED_VALUE"""),"1Q5uOVYo1NMRks6hQRJuV8XWMPb6VFEAbSzpgP1dot1I")</f>
        <v>1Q5uOVYo1NMRks6hQRJuV8XWMPb6VFEAbSzpgP1dot1I</v>
      </c>
      <c r="D27" s="14" t="str">
        <f>IFERROR(__xludf.DUMMYFUNCTION("""COMPUTED_VALUE"""),"")</f>
        <v/>
      </c>
      <c r="E27" s="14" t="str">
        <f>IFERROR(__xludf.DUMMYFUNCTION("""COMPUTED_VALUE"""),"")</f>
        <v/>
      </c>
      <c r="F27" s="1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14" t="str">
        <f>IFERROR(__xludf.DUMMYFUNCTION("""COMPUTED_VALUE"""),"PortfolioManagement")</f>
        <v>PortfolioManagement</v>
      </c>
      <c r="B28" s="14" t="str">
        <f>IFERROR(__xludf.DUMMYFUNCTION("""COMPUTED_VALUE"""),"CheckDashboardPM")</f>
        <v>CheckDashboardPM</v>
      </c>
      <c r="C28" s="14" t="str">
        <f>IFERROR(__xludf.DUMMYFUNCTION("""COMPUTED_VALUE"""),"1iqfUyYqyebXIeNBGljH7-T8whBcywTlkBBU3dBZV06s")</f>
        <v>1iqfUyYqyebXIeNBGljH7-T8whBcywTlkBBU3dBZV06s</v>
      </c>
      <c r="D28" s="14" t="str">
        <f>IFERROR(__xludf.DUMMYFUNCTION("""COMPUTED_VALUE"""),"")</f>
        <v/>
      </c>
      <c r="E28" s="14" t="str">
        <f>IFERROR(__xludf.DUMMYFUNCTION("""COMPUTED_VALUE"""),"")</f>
        <v/>
      </c>
      <c r="F28" s="1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14" t="str">
        <f>IFERROR(__xludf.DUMMYFUNCTION("""COMPUTED_VALUE"""),"PortfolioManagement")</f>
        <v>PortfolioManagement</v>
      </c>
      <c r="B29" s="14" t="str">
        <f>IFERROR(__xludf.DUMMYFUNCTION("""COMPUTED_VALUE"""),"CheckPortfolioManagement")</f>
        <v>CheckPortfolioManagement</v>
      </c>
      <c r="C29" s="14" t="str">
        <f>IFERROR(__xludf.DUMMYFUNCTION("""COMPUTED_VALUE"""),"1u0XMlZJy_Slp7uXMwirinW7StOOdTcWD-D8V07sO0VA")</f>
        <v>1u0XMlZJy_Slp7uXMwirinW7StOOdTcWD-D8V07sO0VA</v>
      </c>
      <c r="D29" s="14" t="str">
        <f>IFERROR(__xludf.DUMMYFUNCTION("""COMPUTED_VALUE"""),"")</f>
        <v/>
      </c>
      <c r="E29" s="14" t="str">
        <f>IFERROR(__xludf.DUMMYFUNCTION("""COMPUTED_VALUE"""),"")</f>
        <v/>
      </c>
      <c r="F29" s="1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14" t="str">
        <f>IFERROR(__xludf.DUMMYFUNCTION("""COMPUTED_VALUE"""),"PricingInput")</f>
        <v>PricingInput</v>
      </c>
      <c r="B30" s="14" t="str">
        <f>IFERROR(__xludf.DUMMYFUNCTION("""COMPUTED_VALUE"""),"PricingInput")</f>
        <v>PricingInput</v>
      </c>
      <c r="C30" s="14" t="str">
        <f>IFERROR(__xludf.DUMMYFUNCTION("""COMPUTED_VALUE"""),"1mh3Z5PifhJ3yzX8TPeoc3H3nteNiA0V2tWFse0rVChE")</f>
        <v>1mh3Z5PifhJ3yzX8TPeoc3H3nteNiA0V2tWFse0rVChE</v>
      </c>
      <c r="D30" s="14" t="str">
        <f>IFERROR(__xludf.DUMMYFUNCTION("""COMPUTED_VALUE"""),"")</f>
        <v/>
      </c>
      <c r="E30" s="14" t="str">
        <f>IFERROR(__xludf.DUMMYFUNCTION("""COMPUTED_VALUE"""),"")</f>
        <v/>
      </c>
      <c r="F30" s="1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14" t="str">
        <f>IFERROR(__xludf.DUMMYFUNCTION("""COMPUTED_VALUE"""),"PricingInput")</f>
        <v>PricingInput</v>
      </c>
      <c r="B31" s="14" t="str">
        <f>IFERROR(__xludf.DUMMYFUNCTION("""COMPUTED_VALUE"""),"UpdateSharesOutstanding")</f>
        <v>UpdateSharesOutstanding</v>
      </c>
      <c r="C31" s="14" t="str">
        <f>IFERROR(__xludf.DUMMYFUNCTION("""COMPUTED_VALUE"""),"1vmZ6v1OyZ8SSi8bqqjK3ap3KtM_yPA_SEcIQgYiRInY")</f>
        <v>1vmZ6v1OyZ8SSi8bqqjK3ap3KtM_yPA_SEcIQgYiRInY</v>
      </c>
      <c r="D31" s="14" t="str">
        <f>IFERROR(__xludf.DUMMYFUNCTION("""COMPUTED_VALUE"""),"")</f>
        <v/>
      </c>
      <c r="E31" s="14" t="str">
        <f>IFERROR(__xludf.DUMMYFUNCTION("""COMPUTED_VALUE"""),"")</f>
        <v/>
      </c>
      <c r="F31" s="1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14" t="str">
        <f>IFERROR(__xludf.DUMMYFUNCTION("""COMPUTED_VALUE"""),"SymbolLookup")</f>
        <v>SymbolLookup</v>
      </c>
      <c r="B32" s="14" t="str">
        <f>IFERROR(__xludf.DUMMYFUNCTION("""COMPUTED_VALUE"""),"VerifySymbolLookUp")</f>
        <v>VerifySymbolLookUp</v>
      </c>
      <c r="C32" s="14" t="str">
        <f>IFERROR(__xludf.DUMMYFUNCTION("""COMPUTED_VALUE"""),"1OiI1Pi_JAFOFi8ByMaD3_qqEXSv6yQMo_u6aGTozbl8")</f>
        <v>1OiI1Pi_JAFOFi8ByMaD3_qqEXSv6yQMo_u6aGTozbl8</v>
      </c>
      <c r="D32" s="14" t="str">
        <f>IFERROR(__xludf.DUMMYFUNCTION("""COMPUTED_VALUE"""),"")</f>
        <v/>
      </c>
      <c r="E32" s="14" t="str">
        <f>IFERROR(__xludf.DUMMYFUNCTION("""COMPUTED_VALUE"""),"")</f>
        <v/>
      </c>
      <c r="F32" s="1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14" t="str">
        <f>IFERROR(__xludf.DUMMYFUNCTION("""COMPUTED_VALUE"""),"SymbolLookup")</f>
        <v>SymbolLookup</v>
      </c>
      <c r="B33" s="14" t="str">
        <f>IFERROR(__xludf.DUMMYFUNCTION("""COMPUTED_VALUE"""),"SymbolLookupFromTT")</f>
        <v>SymbolLookupFromTT</v>
      </c>
      <c r="C33" s="14" t="str">
        <f>IFERROR(__xludf.DUMMYFUNCTION("""COMPUTED_VALUE"""),"1ubfvE9sHq5KpJ9NazeH96CrVMJqAuol5Ya9GPjxWrgI")</f>
        <v>1ubfvE9sHq5KpJ9NazeH96CrVMJqAuol5Ya9GPjxWrgI</v>
      </c>
      <c r="D33" s="14" t="str">
        <f>IFERROR(__xludf.DUMMYFUNCTION("""COMPUTED_VALUE"""),"")</f>
        <v/>
      </c>
      <c r="E33" s="14" t="str">
        <f>IFERROR(__xludf.DUMMYFUNCTION("""COMPUTED_VALUE"""),"")</f>
        <v/>
      </c>
      <c r="F33" s="1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7" t="s">
        <v>1</v>
      </c>
      <c r="B1" s="3"/>
      <c r="C1" s="4"/>
    </row>
    <row r="2" ht="15.75" customHeight="1">
      <c r="A2" s="9"/>
      <c r="B2" s="9"/>
      <c r="C2" s="9"/>
    </row>
    <row r="3" ht="15.75" customHeight="1">
      <c r="A3" s="11" t="s">
        <v>6</v>
      </c>
      <c r="B3" s="12" t="s">
        <v>7</v>
      </c>
      <c r="C3" s="9"/>
    </row>
    <row r="4" ht="15.75" customHeight="1">
      <c r="A4" s="13" t="s">
        <v>8</v>
      </c>
      <c r="B4" s="12" t="s">
        <v>9</v>
      </c>
      <c r="C4" s="9"/>
    </row>
    <row r="5" ht="15.75" customHeight="1">
      <c r="A5" s="15"/>
      <c r="B5" s="9"/>
      <c r="C5" s="9"/>
    </row>
    <row r="6" ht="15.75" customHeight="1">
      <c r="A6" s="15"/>
      <c r="B6" s="9"/>
      <c r="C6" s="9"/>
    </row>
    <row r="7" ht="15.75" customHeight="1">
      <c r="A7" s="15"/>
      <c r="B7" s="9"/>
      <c r="C7" s="9"/>
    </row>
    <row r="8" ht="15.75" customHeight="1">
      <c r="A8" s="15"/>
      <c r="B8" s="9"/>
      <c r="C8" s="9"/>
    </row>
    <row r="9" ht="15.75" customHeight="1">
      <c r="A9" s="15"/>
      <c r="B9" s="9"/>
      <c r="C9" s="9"/>
    </row>
    <row r="10" ht="15.75" customHeight="1">
      <c r="A10" s="15"/>
      <c r="B10" s="9"/>
      <c r="C10" s="9"/>
    </row>
    <row r="11" ht="15.75" customHeight="1">
      <c r="A11" s="15"/>
      <c r="B11" s="9"/>
      <c r="C11" s="9"/>
    </row>
    <row r="12" ht="15.75" customHeight="1">
      <c r="A12" s="15"/>
      <c r="B12" s="9"/>
      <c r="C12" s="9"/>
    </row>
    <row r="13" ht="15.75" customHeight="1">
      <c r="A13" s="15"/>
      <c r="B13" s="9"/>
      <c r="C13" s="9"/>
    </row>
    <row r="14" ht="15.75" customHeight="1">
      <c r="A14" s="15"/>
      <c r="B14" s="9"/>
      <c r="C14" s="9"/>
    </row>
    <row r="15" ht="15.75" customHeight="1">
      <c r="A15" s="15"/>
      <c r="B15" s="9"/>
      <c r="C15" s="9"/>
    </row>
    <row r="16" ht="15.75" customHeight="1">
      <c r="A16" s="15"/>
      <c r="B16" s="9"/>
      <c r="C16" s="9"/>
    </row>
    <row r="17" ht="15.75" customHeight="1">
      <c r="A17" s="15"/>
      <c r="B17" s="9"/>
      <c r="C17" s="9"/>
    </row>
    <row r="18" ht="15.75" customHeight="1">
      <c r="A18" s="15"/>
      <c r="B18" s="9"/>
      <c r="C18" s="9"/>
    </row>
    <row r="19" ht="15.75" customHeight="1">
      <c r="A19" s="15"/>
      <c r="B19" s="9"/>
      <c r="C19" s="9"/>
    </row>
    <row r="20" ht="15.75" customHeight="1">
      <c r="A20" s="15"/>
      <c r="B20" s="9"/>
      <c r="C20" s="9"/>
    </row>
    <row r="21" ht="15.75" customHeight="1">
      <c r="A21" s="15"/>
      <c r="B21" s="9"/>
      <c r="C21" s="9"/>
    </row>
    <row r="22" ht="15.75" customHeight="1">
      <c r="A22" s="15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" t="s">
        <v>2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6" t="s">
        <v>3</v>
      </c>
      <c r="B3" s="8" t="s">
        <v>4</v>
      </c>
      <c r="C3" s="8" t="s">
        <v>5</v>
      </c>
      <c r="D3" s="10"/>
      <c r="E3" s="10"/>
      <c r="F3" s="10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1b5S4Xpp4fgZ1ez6cK92QFnVBylqz8jhwxdAyEvwDqUI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12</v>
      </c>
      <c r="D3" s="11" t="s">
        <v>4</v>
      </c>
      <c r="E3" s="23" t="s">
        <v>13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9"/>
      <c r="B6" s="31" t="s">
        <v>16</v>
      </c>
      <c r="C6" s="31" t="s">
        <v>17</v>
      </c>
      <c r="D6" s="31">
        <v>400.0</v>
      </c>
      <c r="E6" s="31">
        <v>400.0</v>
      </c>
      <c r="F6" s="31"/>
      <c r="J6" s="31">
        <v>1.0</v>
      </c>
      <c r="N6" s="32">
        <f t="shared" ref="N6:N12" si="1">TODAY()</f>
        <v>43634</v>
      </c>
      <c r="AK6" s="31" t="s">
        <v>18</v>
      </c>
      <c r="AL6" s="33" t="s">
        <v>19</v>
      </c>
    </row>
    <row r="7" ht="15.75" customHeight="1">
      <c r="A7" s="9"/>
      <c r="B7" s="12" t="s">
        <v>20</v>
      </c>
      <c r="C7" s="31" t="s">
        <v>17</v>
      </c>
      <c r="D7" s="31">
        <v>400.0</v>
      </c>
      <c r="E7" s="31">
        <v>400.0</v>
      </c>
      <c r="F7" s="31"/>
      <c r="J7" s="31">
        <v>1.0</v>
      </c>
      <c r="K7" s="9"/>
      <c r="L7" s="9"/>
      <c r="M7" s="9"/>
      <c r="N7" s="32">
        <f t="shared" si="1"/>
        <v>43634</v>
      </c>
      <c r="O7" s="9"/>
      <c r="AK7" s="31" t="s">
        <v>21</v>
      </c>
      <c r="AL7" s="33" t="s">
        <v>22</v>
      </c>
    </row>
    <row r="8" ht="15.75" customHeight="1">
      <c r="A8" s="9"/>
      <c r="B8" s="12" t="s">
        <v>23</v>
      </c>
      <c r="C8" s="31" t="s">
        <v>17</v>
      </c>
      <c r="D8" s="31">
        <v>400.0</v>
      </c>
      <c r="E8" s="31">
        <v>400.0</v>
      </c>
      <c r="F8" s="31" t="s">
        <v>24</v>
      </c>
      <c r="J8" s="31">
        <v>1.0</v>
      </c>
      <c r="K8" s="9"/>
      <c r="L8" s="9"/>
      <c r="M8" s="9"/>
      <c r="N8" s="32">
        <f t="shared" si="1"/>
        <v>43634</v>
      </c>
      <c r="O8" s="9"/>
      <c r="AL8" s="31"/>
    </row>
    <row r="9" ht="15.75" customHeight="1">
      <c r="A9" s="9"/>
      <c r="B9" s="12" t="s">
        <v>16</v>
      </c>
      <c r="C9" s="12" t="s">
        <v>17</v>
      </c>
      <c r="D9" s="12">
        <v>100.0</v>
      </c>
      <c r="E9" s="12">
        <v>100.0</v>
      </c>
      <c r="F9" s="12" t="s">
        <v>25</v>
      </c>
      <c r="G9" s="9"/>
      <c r="H9" s="9"/>
      <c r="I9" s="9"/>
      <c r="J9" s="12">
        <v>1.0</v>
      </c>
      <c r="K9" s="9"/>
      <c r="L9" s="9"/>
      <c r="M9" s="9"/>
      <c r="N9" s="32">
        <f t="shared" si="1"/>
        <v>43634</v>
      </c>
      <c r="O9" s="9"/>
    </row>
    <row r="10" ht="15.75" customHeight="1">
      <c r="A10" s="9"/>
      <c r="B10" s="12" t="s">
        <v>20</v>
      </c>
      <c r="C10" s="12" t="s">
        <v>26</v>
      </c>
      <c r="D10" s="12">
        <v>600.0</v>
      </c>
      <c r="E10" s="12">
        <v>600.0</v>
      </c>
      <c r="F10" s="12" t="s">
        <v>25</v>
      </c>
      <c r="G10" s="9"/>
      <c r="H10" s="9"/>
      <c r="I10" s="9"/>
      <c r="J10" s="12">
        <v>1.0</v>
      </c>
      <c r="K10" s="9"/>
      <c r="L10" s="9"/>
      <c r="M10" s="9"/>
      <c r="N10" s="32">
        <f t="shared" si="1"/>
        <v>43634</v>
      </c>
      <c r="O10" s="9"/>
    </row>
    <row r="11" ht="15.75" customHeight="1">
      <c r="A11" s="9"/>
      <c r="B11" s="12" t="s">
        <v>23</v>
      </c>
      <c r="C11" s="12" t="s">
        <v>26</v>
      </c>
      <c r="D11" s="12">
        <v>400.0</v>
      </c>
      <c r="E11" s="12">
        <v>400.0</v>
      </c>
      <c r="F11" s="12" t="s">
        <v>25</v>
      </c>
      <c r="G11" s="9"/>
      <c r="H11" s="9"/>
      <c r="I11" s="9"/>
      <c r="J11" s="12">
        <v>1.0</v>
      </c>
      <c r="K11" s="9"/>
      <c r="L11" s="9"/>
      <c r="M11" s="9"/>
      <c r="N11" s="32">
        <f t="shared" si="1"/>
        <v>43634</v>
      </c>
      <c r="O11" s="9"/>
    </row>
    <row r="12" ht="15.75" customHeight="1">
      <c r="A12" s="9"/>
      <c r="B12" s="12" t="s">
        <v>27</v>
      </c>
      <c r="C12" s="12" t="s">
        <v>28</v>
      </c>
      <c r="D12" s="12">
        <v>100.0</v>
      </c>
      <c r="E12" s="12">
        <v>100.0</v>
      </c>
      <c r="F12" s="12" t="s">
        <v>25</v>
      </c>
      <c r="G12" s="9"/>
      <c r="H12" s="9"/>
      <c r="I12" s="9"/>
      <c r="J12" s="12">
        <v>1.0</v>
      </c>
      <c r="K12" s="9"/>
      <c r="L12" s="9"/>
      <c r="M12" s="9"/>
      <c r="N12" s="32">
        <f t="shared" si="1"/>
        <v>43634</v>
      </c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1-RJhOo2E5PhyqaiMEjsPi8RpfYBuiSqE9fj_-bRpkKw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30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IFERROR(__xludf.DUMMYFUNCTION("""COMPUTED_VALUE"""),"Side")</f>
        <v>Side</v>
      </c>
      <c r="D5" s="29" t="str">
        <f>IFERROR(__xludf.DUMMYFUNCTION("""COMPUTED_VALUE"""),"Quantity")</f>
        <v>Quantity</v>
      </c>
      <c r="E5" s="29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9" t="str">
        <f>IFERROR(__xludf.DUMMYFUNCTION("""COMPUTED_VALUE"""),"Net Amount( Local)")</f>
        <v>Net Amount( Local)</v>
      </c>
      <c r="H5" s="29" t="str">
        <f>IFERROR(__xludf.DUMMYFUNCTION("""COMPUTED_VALUE"""),"Net Amount( Base)")</f>
        <v>Net Amount( Base)</v>
      </c>
      <c r="I5" s="29" t="str">
        <f>IFERROR(__xludf.DUMMYFUNCTION("""COMPUTED_VALUE"""),"Principal Amount( Local)")</f>
        <v>Principal Amount( Local)</v>
      </c>
      <c r="J5" s="29" t="str">
        <f>IFERROR(__xludf.DUMMYFUNCTION("""COMPUTED_VALUE"""),"Transaction Type")</f>
        <v>Transaction Type</v>
      </c>
      <c r="K5" s="29" t="str">
        <f>IFERROR(__xludf.DUMMYFUNCTION("""COMPUTED_VALUE"""),"Principal Amount( Base)")</f>
        <v>Principal Amount( Base)</v>
      </c>
      <c r="L5" s="29" t="str">
        <f>IFERROR(__xludf.DUMMYFUNCTION("""COMPUTED_VALUE"""),"Execution Time")</f>
        <v>Execution Time</v>
      </c>
      <c r="M5" s="29" t="str">
        <f>IFERROR(__xludf.DUMMYFUNCTION("""COMPUTED_VALUE"""),"Trading Account")</f>
        <v>Trading Account</v>
      </c>
      <c r="N5" s="29" t="str">
        <f>IFERROR(__xludf.DUMMYFUNCTION("""COMPUTED_VALUE"""),"Avg Price(Local)")</f>
        <v>Avg Price(Local)</v>
      </c>
      <c r="O5" s="29" t="str">
        <f>IFERROR(__xludf.DUMMYFUNCTION("""COMPUTED_VALUE"""),"Avg Price(Base)")</f>
        <v>Avg Price(Base)</v>
      </c>
      <c r="P5" s="29" t="str">
        <f>IFERROR(__xludf.DUMMYFUNCTION("""COMPUTED_VALUE"""),"Broker")</f>
        <v>Broker</v>
      </c>
      <c r="Q5" s="29" t="str">
        <f>IFERROR(__xludf.DUMMYFUNCTION("""COMPUTED_VALUE"""),"FX Rate")</f>
        <v>FX Rate</v>
      </c>
      <c r="R5" s="29" t="str">
        <f>IFERROR(__xludf.DUMMYFUNCTION("""COMPUTED_VALUE"""),"Venue")</f>
        <v>Venue</v>
      </c>
      <c r="S5" s="29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9"/>
      <c r="B6" s="12" t="s">
        <v>16</v>
      </c>
      <c r="C6" s="12" t="s">
        <v>17</v>
      </c>
      <c r="D6" s="12">
        <v>100.0</v>
      </c>
      <c r="E6" s="12">
        <v>100.0</v>
      </c>
      <c r="O6" s="31">
        <v>1.0</v>
      </c>
    </row>
    <row r="7" ht="15.75" customHeight="1">
      <c r="A7" s="9"/>
      <c r="B7" s="12" t="s">
        <v>20</v>
      </c>
      <c r="C7" s="12" t="s">
        <v>26</v>
      </c>
      <c r="D7" s="12">
        <v>600.0</v>
      </c>
      <c r="E7" s="12">
        <v>600.0</v>
      </c>
      <c r="F7" s="9"/>
      <c r="G7" s="9"/>
      <c r="H7" s="9"/>
      <c r="I7" s="9"/>
      <c r="J7" s="9"/>
      <c r="K7" s="9"/>
      <c r="L7" s="9"/>
      <c r="M7" s="9"/>
      <c r="N7" s="9"/>
      <c r="O7" s="12">
        <v>1.0</v>
      </c>
    </row>
    <row r="8" ht="15.75" customHeight="1">
      <c r="A8" s="9"/>
      <c r="B8" s="12" t="s">
        <v>23</v>
      </c>
      <c r="C8" s="12" t="s">
        <v>26</v>
      </c>
      <c r="D8" s="12">
        <v>400.0</v>
      </c>
      <c r="E8" s="12">
        <v>400.0</v>
      </c>
      <c r="F8" s="9"/>
      <c r="G8" s="9"/>
      <c r="H8" s="9"/>
      <c r="I8" s="9"/>
      <c r="J8" s="9"/>
      <c r="K8" s="9"/>
      <c r="L8" s="9"/>
      <c r="M8" s="9"/>
      <c r="N8" s="9"/>
      <c r="O8" s="12">
        <v>1.0</v>
      </c>
    </row>
    <row r="9" ht="15.75" customHeight="1">
      <c r="A9" s="9"/>
      <c r="B9" s="12" t="s">
        <v>27</v>
      </c>
      <c r="C9" s="12" t="s">
        <v>28</v>
      </c>
      <c r="D9" s="12">
        <v>100.0</v>
      </c>
      <c r="E9" s="12">
        <v>100.0</v>
      </c>
      <c r="F9" s="9"/>
      <c r="G9" s="9"/>
      <c r="H9" s="9"/>
      <c r="I9" s="9"/>
      <c r="J9" s="9"/>
      <c r="K9" s="9"/>
      <c r="L9" s="9"/>
      <c r="M9" s="9"/>
      <c r="N9" s="9"/>
      <c r="O9" s="12">
        <v>1.0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31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IFERROR(__xludf.DUMMYFUNCTION("""COMPUTED_VALUE"""),"PreferenceType")</f>
        <v>PreferenceType</v>
      </c>
      <c r="C5" s="29" t="str">
        <f>IFERROR(__xludf.DUMMYFUNCTION("""COMPUTED_VALUE"""),"PreferenceName")</f>
        <v>PreferenceName</v>
      </c>
      <c r="D5" s="29" t="str">
        <f>IFERROR(__xludf.DUMMYFUNCTION("""COMPUTED_VALUE"""),"PTTPrefNeeded")</f>
        <v>PTTPrefNeeded</v>
      </c>
      <c r="E5" s="29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9" t="str">
        <f>IFERROR(__xludf.DUMMYFUNCTION("""COMPUTED_VALUE"""),"RemainderAllocationTo")</f>
        <v>RemainderAllocationTo</v>
      </c>
      <c r="H5" s="29" t="str">
        <f>IFERROR(__xludf.DUMMYFUNCTION("""COMPUTED_VALUE"""),"Target%AsOf")</f>
        <v>Target%AsOf</v>
      </c>
      <c r="I5" s="29" t="str">
        <f>IFERROR(__xludf.DUMMYFUNCTION("""COMPUTED_VALUE"""),"AccountsForProrata")</f>
        <v>AccountsForProrata</v>
      </c>
      <c r="J5" s="29" t="str">
        <f>IFERROR(__xludf.DUMMYFUNCTION("""COMPUTED_VALUE"""),"DateUptoDays")</f>
        <v>DateUptoDays</v>
      </c>
      <c r="K5" s="29" t="str">
        <f>IFERROR(__xludf.DUMMYFUNCTION("""COMPUTED_VALUE"""),"MatchClosingTransactions")</f>
        <v>MatchClosingTransactions</v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9"/>
      <c r="B6" s="31" t="s">
        <v>32</v>
      </c>
      <c r="H6" s="31" t="s">
        <v>33</v>
      </c>
      <c r="I6" s="31"/>
      <c r="K6" s="31" t="b">
        <v>1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1mOtszotVOdqHquQTLi-4CBnAUrtAF2MEABuvYJh_hzw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34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Percentage")</f>
        <v>Account Percentage</v>
      </c>
      <c r="D5" s="29" t="str">
        <f>IFERROR(__xludf.DUMMYFUNCTION("""COMPUTED_VALUE"""),"Account Quantity")</f>
        <v>Account Quantity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9"/>
      <c r="B6" s="31" t="s">
        <v>35</v>
      </c>
      <c r="C6" s="31">
        <v>50.0</v>
      </c>
    </row>
    <row r="7" ht="15.75" customHeight="1">
      <c r="A7" s="9"/>
      <c r="B7" s="12" t="s">
        <v>36</v>
      </c>
      <c r="C7" s="12">
        <v>50.0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37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9"/>
      <c r="K6" s="31">
        <v>1.0</v>
      </c>
      <c r="L6" s="31">
        <v>1.0</v>
      </c>
      <c r="BJ6" s="31">
        <v>100.0</v>
      </c>
      <c r="BO6" s="31" t="s">
        <v>17</v>
      </c>
      <c r="BT6" s="31" t="s">
        <v>16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12">
        <v>1.0</v>
      </c>
      <c r="L7" s="12">
        <v>1.0</v>
      </c>
      <c r="M7" s="9"/>
      <c r="N7" s="9"/>
      <c r="O7" s="9"/>
      <c r="BJ7" s="31">
        <v>100.0</v>
      </c>
      <c r="BO7" s="31" t="s">
        <v>28</v>
      </c>
      <c r="BT7" s="31" t="s">
        <v>27</v>
      </c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12">
        <v>1.0</v>
      </c>
      <c r="L8" s="12">
        <v>1.0</v>
      </c>
      <c r="M8" s="9"/>
      <c r="N8" s="9"/>
      <c r="O8" s="9"/>
      <c r="BJ8" s="31">
        <v>400.0</v>
      </c>
      <c r="BO8" s="31" t="s">
        <v>26</v>
      </c>
      <c r="BT8" s="31" t="s">
        <v>23</v>
      </c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0" t="str">
        <f> VLOOKUP($E$3,'_MasterData'!B4:D1000,3,FALSE)</f>
        <v>1c7aP-E18Fb8lEVGiXac03BLoNVdUNRzodD2Xjn-9pzU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38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IFERROR(__xludf.DUMMYFUNCTION("""COMPUTED_VALUE"""),"Accrual Basis")</f>
        <v>Accrual Basis</v>
      </c>
      <c r="C5" s="29" t="str">
        <f>IFERROR(__xludf.DUMMYFUNCTION("""COMPUTED_VALUE"""),"Accrued Interest")</f>
        <v>Accrued Interest</v>
      </c>
      <c r="D5" s="29" t="str">
        <f>IFERROR(__xludf.DUMMYFUNCTION("""COMPUTED_VALUE"""),"Allocated Qty")</f>
        <v>Allocated Qty</v>
      </c>
      <c r="E5" s="29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9" t="str">
        <f>IFERROR(__xludf.DUMMYFUNCTION("""COMPUTED_VALUE"""),"AUEC Fee1")</f>
        <v>AUEC Fee1</v>
      </c>
      <c r="H5" s="29" t="str">
        <f>IFERROR(__xludf.DUMMYFUNCTION("""COMPUTED_VALUE"""),"AUEC Fee2")</f>
        <v>AUEC Fee2</v>
      </c>
      <c r="I5" s="29" t="str">
        <f>IFERROR(__xludf.DUMMYFUNCTION("""COMPUTED_VALUE"""),"AUECID")</f>
        <v>AUECID</v>
      </c>
      <c r="J5" s="29" t="str">
        <f>IFERROR(__xludf.DUMMYFUNCTION("""COMPUTED_VALUE"""),"Avg Price(Base)")</f>
        <v>Avg Price(Base)</v>
      </c>
      <c r="K5" s="29" t="str">
        <f>IFERROR(__xludf.DUMMYFUNCTION("""COMPUTED_VALUE"""),"Avg Price(Local)")</f>
        <v>Avg Price(Local)</v>
      </c>
      <c r="L5" s="29" t="str">
        <f>IFERROR(__xludf.DUMMYFUNCTION("""COMPUTED_VALUE"""),"Bloomberg")</f>
        <v>Bloomberg</v>
      </c>
      <c r="M5" s="29" t="str">
        <f>IFERROR(__xludf.DUMMYFUNCTION("""COMPUTED_VALUE"""),"Bond Type")</f>
        <v>Bond Type</v>
      </c>
      <c r="N5" s="29" t="str">
        <f>IFERROR(__xludf.DUMMYFUNCTION("""COMPUTED_VALUE"""),"Broker")</f>
        <v>Broker</v>
      </c>
      <c r="O5" s="29" t="str">
        <f>IFERROR(__xludf.DUMMYFUNCTION("""COMPUTED_VALUE"""),"Change Comment")</f>
        <v>Change Comment</v>
      </c>
      <c r="P5" s="29" t="str">
        <f>IFERROR(__xludf.DUMMYFUNCTION("""COMPUTED_VALUE"""),"Change Type")</f>
        <v>Change Type</v>
      </c>
      <c r="Q5" s="29" t="str">
        <f>IFERROR(__xludf.DUMMYFUNCTION("""COMPUTED_VALUE"""),"Clearing Broker Fee")</f>
        <v>Clearing Broker Fee</v>
      </c>
      <c r="R5" s="29" t="str">
        <f>IFERROR(__xludf.DUMMYFUNCTION("""COMPUTED_VALUE"""),"Closing Method")</f>
        <v>Closing Method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9"/>
      <c r="J6" s="31">
        <v>1.0</v>
      </c>
      <c r="K6" s="31">
        <v>1.0</v>
      </c>
      <c r="AE6" s="31">
        <v>600.0</v>
      </c>
      <c r="BJ6" s="31">
        <v>600.0</v>
      </c>
      <c r="BO6" s="31" t="s">
        <v>26</v>
      </c>
      <c r="BS6" s="31" t="s">
        <v>20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39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4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12" t="s">
        <v>40</v>
      </c>
      <c r="C6" s="9"/>
      <c r="D6" s="12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41</v>
      </c>
      <c r="D3" s="11" t="s">
        <v>4</v>
      </c>
      <c r="E3" s="23" t="s">
        <v>43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IFERROR(__xludf.DUMMYFUNCTION("""COMPUTED_VALUE"""),"Account Filter")</f>
        <v>Account Filter</v>
      </c>
      <c r="F5" s="34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12" t="s">
        <v>40</v>
      </c>
      <c r="C6" s="9"/>
      <c r="D6" s="12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41</v>
      </c>
      <c r="D3" s="11" t="s">
        <v>4</v>
      </c>
      <c r="E3" s="23" t="s">
        <v>42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12" t="s">
        <v>35</v>
      </c>
      <c r="C6" s="9"/>
      <c r="D6" s="12"/>
      <c r="E6" s="35"/>
      <c r="F6" s="9"/>
      <c r="G6" s="9"/>
      <c r="H6" s="9"/>
      <c r="I6" s="12">
        <v>1.0</v>
      </c>
      <c r="J6" s="9"/>
      <c r="K6" s="9"/>
      <c r="L6" s="9"/>
      <c r="M6" s="12">
        <v>50.0</v>
      </c>
      <c r="N6" s="9"/>
      <c r="O6" s="9"/>
      <c r="P6" s="31" t="s">
        <v>17</v>
      </c>
      <c r="R6" s="31" t="s">
        <v>16</v>
      </c>
    </row>
    <row r="7" ht="15.75" customHeight="1">
      <c r="A7" s="9"/>
      <c r="B7" s="12" t="s">
        <v>36</v>
      </c>
      <c r="C7" s="9"/>
      <c r="D7" s="9"/>
      <c r="E7" s="9"/>
      <c r="F7" s="9"/>
      <c r="G7" s="9"/>
      <c r="H7" s="9"/>
      <c r="I7" s="12">
        <v>1.0</v>
      </c>
      <c r="J7" s="9"/>
      <c r="K7" s="9"/>
      <c r="L7" s="9"/>
      <c r="M7" s="12">
        <v>50.0</v>
      </c>
      <c r="N7" s="9"/>
      <c r="O7" s="9"/>
      <c r="P7" s="31" t="s">
        <v>17</v>
      </c>
      <c r="R7" s="31" t="s">
        <v>16</v>
      </c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41</v>
      </c>
      <c r="D3" s="11" t="s">
        <v>4</v>
      </c>
      <c r="E3" s="23" t="s">
        <v>44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34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9"/>
      <c r="B6" s="12" t="s">
        <v>24</v>
      </c>
      <c r="C6" s="9"/>
      <c r="D6" s="9"/>
      <c r="E6" s="9"/>
      <c r="F6" s="9"/>
      <c r="G6" s="9"/>
      <c r="H6" s="9"/>
      <c r="I6" s="12">
        <v>1.0</v>
      </c>
      <c r="J6" s="9"/>
      <c r="K6" s="9"/>
      <c r="L6" s="9"/>
      <c r="M6" s="12">
        <v>400.0</v>
      </c>
      <c r="N6" s="9"/>
      <c r="O6" s="9"/>
      <c r="P6" s="31" t="s">
        <v>26</v>
      </c>
      <c r="R6" s="31" t="s">
        <v>23</v>
      </c>
    </row>
    <row r="7" ht="15.75" customHeight="1">
      <c r="A7" s="9"/>
      <c r="B7" s="12" t="s">
        <v>35</v>
      </c>
      <c r="C7" s="9"/>
      <c r="D7" s="9"/>
      <c r="E7" s="9"/>
      <c r="F7" s="9"/>
      <c r="G7" s="9"/>
      <c r="H7" s="9"/>
      <c r="I7" s="12">
        <v>1.0</v>
      </c>
      <c r="J7" s="9"/>
      <c r="K7" s="9"/>
      <c r="L7" s="9"/>
      <c r="M7" s="12">
        <v>50.0</v>
      </c>
      <c r="N7" s="9"/>
      <c r="O7" s="9"/>
      <c r="P7" s="31" t="s">
        <v>28</v>
      </c>
      <c r="R7" s="31" t="s">
        <v>27</v>
      </c>
    </row>
    <row r="8" ht="15.75" customHeight="1">
      <c r="A8" s="9"/>
      <c r="B8" s="12" t="s">
        <v>36</v>
      </c>
      <c r="C8" s="9"/>
      <c r="D8" s="9"/>
      <c r="E8" s="9"/>
      <c r="F8" s="9"/>
      <c r="G8" s="9"/>
      <c r="H8" s="9"/>
      <c r="I8" s="12">
        <v>1.0</v>
      </c>
      <c r="J8" s="9"/>
      <c r="K8" s="9"/>
      <c r="L8" s="9"/>
      <c r="M8" s="12">
        <v>50.0</v>
      </c>
      <c r="N8" s="9"/>
      <c r="O8" s="9"/>
      <c r="P8" s="31" t="s">
        <v>28</v>
      </c>
      <c r="R8" s="31" t="s">
        <v>27</v>
      </c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51</v>
      </c>
      <c r="D3" s="11" t="s">
        <v>4</v>
      </c>
      <c r="E3" s="23" t="s">
        <v>52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4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36"/>
      <c r="B6" s="37"/>
      <c r="C6" s="38" t="s">
        <v>16</v>
      </c>
      <c r="D6" s="42">
        <v>100.0</v>
      </c>
      <c r="E6" s="38" t="s">
        <v>35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 t="s">
        <v>17</v>
      </c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</row>
    <row r="7" ht="15.75" customHeight="1">
      <c r="A7" s="41"/>
      <c r="B7" s="41"/>
      <c r="C7" s="41" t="s">
        <v>16</v>
      </c>
      <c r="D7" s="43">
        <v>100.0</v>
      </c>
      <c r="E7" s="41" t="s">
        <v>36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 t="s">
        <v>17</v>
      </c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</row>
    <row r="8" ht="15.75" customHeight="1">
      <c r="A8" s="41"/>
      <c r="B8" s="41"/>
      <c r="C8" s="41" t="s">
        <v>16</v>
      </c>
      <c r="D8" s="43">
        <v>200.0</v>
      </c>
      <c r="E8" s="41" t="s">
        <v>54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 t="s">
        <v>17</v>
      </c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</row>
    <row r="9" ht="15.75" customHeight="1">
      <c r="A9" s="41"/>
      <c r="B9" s="41"/>
      <c r="C9" s="41" t="s">
        <v>20</v>
      </c>
      <c r="D9" s="43">
        <v>100.0</v>
      </c>
      <c r="E9" s="41" t="s">
        <v>35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 t="s">
        <v>17</v>
      </c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</row>
    <row r="10" ht="15.75" customHeight="1">
      <c r="A10" s="41"/>
      <c r="B10" s="41"/>
      <c r="C10" s="41" t="s">
        <v>20</v>
      </c>
      <c r="D10" s="43">
        <v>300.0</v>
      </c>
      <c r="E10" s="41" t="s">
        <v>36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 t="s">
        <v>17</v>
      </c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</row>
    <row r="11" ht="15.75" customHeight="1">
      <c r="A11" s="41"/>
      <c r="B11" s="41"/>
      <c r="C11" s="41" t="s">
        <v>23</v>
      </c>
      <c r="D11" s="43">
        <v>400.0</v>
      </c>
      <c r="E11" s="41" t="s">
        <v>24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 t="s">
        <v>17</v>
      </c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</row>
    <row r="12" ht="15.75" customHeight="1">
      <c r="A12" s="41"/>
      <c r="B12" s="41"/>
      <c r="C12" s="41" t="s">
        <v>16</v>
      </c>
      <c r="D12" s="44">
        <v>50.0</v>
      </c>
      <c r="E12" s="41" t="s">
        <v>35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 t="s">
        <v>17</v>
      </c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</row>
    <row r="13" ht="15.75" customHeight="1">
      <c r="A13" s="41"/>
      <c r="B13" s="41"/>
      <c r="C13" s="41" t="s">
        <v>16</v>
      </c>
      <c r="D13" s="44">
        <v>50.0</v>
      </c>
      <c r="E13" s="41" t="s">
        <v>36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 t="s">
        <v>17</v>
      </c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</row>
    <row r="14" ht="15.75" customHeight="1">
      <c r="A14" s="41"/>
      <c r="B14" s="41"/>
      <c r="C14" s="41" t="s">
        <v>20</v>
      </c>
      <c r="D14" s="45">
        <v>-600.0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 t="s">
        <v>26</v>
      </c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</row>
    <row r="15" ht="15.75" customHeight="1">
      <c r="A15" s="41"/>
      <c r="B15" s="41"/>
      <c r="C15" s="41" t="s">
        <v>23</v>
      </c>
      <c r="D15" s="44">
        <v>-400.0</v>
      </c>
      <c r="E15" s="46" t="s">
        <v>24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 t="s">
        <v>26</v>
      </c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</row>
    <row r="16" ht="15.75" customHeight="1">
      <c r="A16" s="41"/>
      <c r="B16" s="41"/>
      <c r="C16" s="41" t="s">
        <v>27</v>
      </c>
      <c r="D16" s="44">
        <v>-50.0</v>
      </c>
      <c r="E16" s="46" t="s">
        <v>35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 t="s">
        <v>28</v>
      </c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</row>
    <row r="17" ht="15.75" customHeight="1">
      <c r="A17" s="41"/>
      <c r="B17" s="41"/>
      <c r="C17" s="46" t="s">
        <v>27</v>
      </c>
      <c r="D17" s="44">
        <v>-50.0</v>
      </c>
      <c r="E17" s="46" t="s">
        <v>36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6" t="s">
        <v>28</v>
      </c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N21" s="41"/>
      <c r="CO21" s="41"/>
      <c r="CP21" s="41"/>
      <c r="CQ21" s="41"/>
      <c r="CR21" s="41"/>
      <c r="CS21" s="41"/>
      <c r="CT21" s="41"/>
      <c r="CU21" s="41"/>
      <c r="CV21" s="41"/>
      <c r="CW21" s="41"/>
      <c r="CX21" s="41"/>
      <c r="CY21" s="41"/>
      <c r="CZ21" s="41"/>
      <c r="DA21" s="41"/>
      <c r="DB21" s="41"/>
      <c r="DC21" s="41"/>
      <c r="DD21" s="41"/>
      <c r="DE21" s="41"/>
      <c r="DF21" s="41"/>
      <c r="DG21" s="41"/>
      <c r="DH21" s="41"/>
      <c r="DI21" s="41"/>
      <c r="DJ21" s="41"/>
      <c r="DK21" s="41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45</v>
      </c>
      <c r="D3" s="11" t="s">
        <v>4</v>
      </c>
      <c r="E3" s="23" t="s">
        <v>46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IFERROR(__xludf.DUMMYFUNCTION("""COMPUTED_VALUE"""),"MasterFund")</f>
        <v>MasterFund</v>
      </c>
      <c r="C5" s="29" t="str">
        <f>IFERROR(__xludf.DUMMYFUNCTION("""COMPUTED_VALUE"""),"Accounts")</f>
        <v>Accounts</v>
      </c>
      <c r="D5" s="29" t="str">
        <f>IFERROR(__xludf.DUMMYFUNCTION("""COMPUTED_VALUE"""),"From")</f>
        <v>From</v>
      </c>
      <c r="E5" s="29" t="str">
        <f>IFERROR(__xludf.DUMMYFUNCTION("""COMPUTED_VALUE"""),"To")</f>
        <v>To</v>
      </c>
      <c r="F5" s="34" t="str">
        <f>IFERROR(__xludf.DUMMYFUNCTION("""COMPUTED_VALUE"""),"SettlementDate")</f>
        <v>SettlementDate</v>
      </c>
      <c r="G5" s="29" t="str">
        <f>IFERROR(__xludf.DUMMYFUNCTION("""COMPUTED_VALUE"""),"TradeDate")</f>
        <v>TradeDate</v>
      </c>
      <c r="H5" s="29" t="str">
        <f>IFERROR(__xludf.DUMMYFUNCTION("""COMPUTED_VALUE"""),"All")</f>
        <v>All</v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47</v>
      </c>
      <c r="C6" s="38" t="s">
        <v>48</v>
      </c>
      <c r="D6" s="39">
        <f t="shared" ref="D6:E6" si="1">TODAY()</f>
        <v>43634</v>
      </c>
      <c r="E6" s="39">
        <f t="shared" si="1"/>
        <v>43634</v>
      </c>
      <c r="F6" s="40" t="s">
        <v>49</v>
      </c>
      <c r="G6" s="40" t="s">
        <v>50</v>
      </c>
      <c r="H6" s="40" t="s">
        <v>49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#N/A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45</v>
      </c>
      <c r="D3" s="11" t="s">
        <v>4</v>
      </c>
      <c r="E3" s="23" t="s">
        <v>53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IFERROR(__xludf.DUMMYFUNCTION("IF(C3="""","""",Transpose(IMPORTRANGE('_Settings'!$B$3,C3&amp;""!A4:A1000"")))"),"GetDataCash")</f>
        <v>GetDataCash</v>
      </c>
      <c r="C4" s="26" t="str">
        <f>IFERROR(__xludf.DUMMYFUNCTION("""COMPUTED_VALUE"""),"EnterCashDividends")</f>
        <v>EnterCashDividends</v>
      </c>
      <c r="D4" s="26" t="str">
        <f>IFERROR(__xludf.DUMMYFUNCTION("""COMPUTED_VALUE"""),"EnterNonTradingTransaction")</f>
        <v>EnterNonTradingTransaction</v>
      </c>
      <c r="E4" s="26" t="str">
        <f>IFERROR(__xludf.DUMMYFUNCTION("""COMPUTED_VALUE"""),"VerifyCash")</f>
        <v>VerifyCash</v>
      </c>
      <c r="F4" s="26" t="str">
        <f>IFERROR(__xludf.DUMMYFUNCTION("""COMPUTED_VALUE"""),"VerifyActivity")</f>
        <v>VerifyActivity</v>
      </c>
      <c r="G4" s="26" t="str">
        <f>IFERROR(__xludf.DUMMYFUNCTION("""COMPUTED_VALUE"""),"VerifyTradingTransaction")</f>
        <v>VerifyTradingTransaction</v>
      </c>
      <c r="H4" s="26" t="str">
        <f>IFERROR(__xludf.DUMMYFUNCTION("""COMPUTED_VALUE"""),"VerifyRevaluationData")</f>
        <v>VerifyRevaluationData</v>
      </c>
      <c r="I4" s="26" t="str">
        <f>IFERROR(__xludf.DUMMYFUNCTION("""COMPUTED_VALUE"""),"GetTradingTransaction")</f>
        <v>GetTradingTransaction</v>
      </c>
      <c r="J4" s="26" t="str">
        <f>IFERROR(__xludf.DUMMYFUNCTION("""COMPUTED_VALUE"""),"GetActivityData")</f>
        <v>GetActivityData</v>
      </c>
      <c r="K4" s="26" t="str">
        <f>IFERROR(__xludf.DUMMYFUNCTION("""COMPUTED_VALUE"""),"GetRevaluationData")</f>
        <v>GetRevaluationData</v>
      </c>
      <c r="L4" s="26" t="str">
        <f>IFERROR(__xludf.DUMMYFUNCTION("""COMPUTED_VALUE"""),"GetAccountDetails")</f>
        <v>GetAccountDetails</v>
      </c>
      <c r="M4" s="26" t="str">
        <f>IFERROR(__xludf.DUMMYFUNCTION("""COMPUTED_VALUE"""),"GetNonTradingTransaction")</f>
        <v>GetNonTradingTransaction</v>
      </c>
      <c r="N4" s="26" t="str">
        <f>IFERROR(__xludf.DUMMYFUNCTION("""COMPUTED_VALUE"""),"GetDividendData")</f>
        <v>GetDividendData</v>
      </c>
      <c r="O4" s="26" t="str">
        <f>IFERROR(__xludf.DUMMYFUNCTION("""COMPUTED_VALUE"""),"VerifyNonTradingTransaction")</f>
        <v>VerifyNonTradingTransaction</v>
      </c>
      <c r="P4" s="27" t="str">
        <f>IFERROR(__xludf.DUMMYFUNCTION("""COMPUTED_VALUE"""),"VerifyDividend")</f>
        <v>VerifyDividend</v>
      </c>
      <c r="Q4" s="27" t="str">
        <f>IFERROR(__xludf.DUMMYFUNCTION("""COMPUTED_VALUE"""),"GetOpeningBalanceData")</f>
        <v>GetOpeningBalanceData</v>
      </c>
      <c r="R4" s="27" t="str">
        <f>IFERROR(__xludf.DUMMYFUNCTION("""COMPUTED_VALUE"""),"GetAccountBalance")</f>
        <v>GetAccountBalance</v>
      </c>
      <c r="S4" s="27" t="str">
        <f>IFERROR(__xludf.DUMMYFUNCTION("""COMPUTED_VALUE"""),"SelectNonTradingTransaction")</f>
        <v>SelectNonTradingTransaction</v>
      </c>
      <c r="T4" s="27" t="str">
        <f>IFERROR(__xludf.DUMMYFUNCTION("""COMPUTED_VALUE"""),"SelectNonTradingTranItem")</f>
        <v>SelectNonTradingTranItem</v>
      </c>
      <c r="U4" s="27" t="str">
        <f>IFERROR(__xludf.DUMMYFUNCTION("""COMPUTED_VALUE"""),"DeleteNonTradingTransaction")</f>
        <v>DeleteNonTradingTransaction</v>
      </c>
      <c r="V4" s="27" t="str">
        <f>IFERROR(__xludf.DUMMYFUNCTION("""COMPUTED_VALUE"""),"DeleteNonTradingTranItem")</f>
        <v>DeleteNonTradingTranItem</v>
      </c>
      <c r="W4" s="27" t="str">
        <f>IFERROR(__xludf.DUMMYFUNCTION("""COMPUTED_VALUE"""),"AddNonTradingTransaction")</f>
        <v>AddNonTradingTransaction</v>
      </c>
      <c r="X4" s="27" t="str">
        <f>IFERROR(__xludf.DUMMYFUNCTION("""COMPUTED_VALUE"""),"AddNonTradingTranItem")</f>
        <v>AddNonTradingTranItem</v>
      </c>
      <c r="Y4" s="27" t="str">
        <f>IFERROR(__xludf.DUMMYFUNCTION("""COMPUTED_VALUE"""),"VerifyOpeningBalanceData")</f>
        <v>VerifyOpeningBalanceData</v>
      </c>
      <c r="Z4" s="27" t="str">
        <f>IFERROR(__xludf.DUMMYFUNCTION("""COMPUTED_VALUE"""),"SelectOpeningBalanceTransaction")</f>
        <v>SelectOpeningBalanceTransaction</v>
      </c>
      <c r="AA4" s="27" t="str">
        <f>IFERROR(__xludf.DUMMYFUNCTION("""COMPUTED_VALUE"""),"SelectOpeningBalanceTranItem")</f>
        <v>SelectOpeningBalanceTranItem</v>
      </c>
      <c r="AB4" s="27" t="str">
        <f>IFERROR(__xludf.DUMMYFUNCTION("""COMPUTED_VALUE"""),"EditNonTradingTransaction")</f>
        <v>EditNonTradingTransaction</v>
      </c>
      <c r="AC4" s="27" t="str">
        <f>IFERROR(__xludf.DUMMYFUNCTION("""COMPUTED_VALUE"""),"EditNonTradingTranItem")</f>
        <v>EditNonTradingTranItem</v>
      </c>
      <c r="AD4" s="27" t="str">
        <f>IFERROR(__xludf.DUMMYFUNCTION("""COMPUTED_VALUE"""),"DeleteOpeningBalanceTransaction")</f>
        <v>DeleteOpeningBalanceTransaction</v>
      </c>
      <c r="AE4" s="27" t="str">
        <f>IFERROR(__xludf.DUMMYFUNCTION("""COMPUTED_VALUE"""),"DeleteOpeningBalanceTranItem")</f>
        <v>DeleteOpeningBalanceTranItem</v>
      </c>
      <c r="AF4" s="27" t="str">
        <f>IFERROR(__xludf.DUMMYFUNCTION("""COMPUTED_VALUE"""),"GetDayEndCash")</f>
        <v>GetDayEndCash</v>
      </c>
      <c r="AG4" s="27" t="str">
        <f>IFERROR(__xludf.DUMMYFUNCTION("""COMPUTED_VALUE"""),"VerifyDayEndCash")</f>
        <v>VerifyDayEndCash</v>
      </c>
      <c r="AH4" s="27" t="str">
        <f>IFERROR(__xludf.DUMMYFUNCTION("""COMPUTED_VALUE"""),"RunRevaluation")</f>
        <v>RunRevaluation</v>
      </c>
      <c r="AI4" s="27" t="str">
        <f>IFERROR(__xludf.DUMMYFUNCTION("""COMPUTED_VALUE"""),"CalculateDayEndCash")</f>
        <v>CalculateDayEndCash</v>
      </c>
      <c r="AJ4" s="27" t="str">
        <f>IFERROR(__xludf.DUMMYFUNCTION("""COMPUTED_VALUE"""),"GetCashTransaction")</f>
        <v>GetCashTransaction</v>
      </c>
      <c r="AK4" s="27" t="str">
        <f>IFERROR(__xludf.DUMMYFUNCTION("""COMPUTED_VALUE"""),"SelectCashTransaction")</f>
        <v>SelectCashTransaction</v>
      </c>
      <c r="AL4" s="27" t="str">
        <f>IFERROR(__xludf.DUMMYFUNCTION("""COMPUTED_VALUE"""),"DeleteCashTransaction")</f>
        <v>DeleteCashTransaction</v>
      </c>
      <c r="AM4" s="27" t="str">
        <f>IFERROR(__xludf.DUMMYFUNCTION("""COMPUTED_VALUE"""),"EditCashTransaction")</f>
        <v>EditCashTransaction</v>
      </c>
      <c r="AN4" s="27" t="str">
        <f>IFERROR(__xludf.DUMMYFUNCTION("""COMPUTED_VALUE"""),"AddCashTransaction")</f>
        <v>AddCashTransaction</v>
      </c>
      <c r="AO4" s="27" t="str">
        <f>IFERROR(__xludf.DUMMYFUNCTION("""COMPUTED_VALUE"""),"AddOpeningBalanceTransaction")</f>
        <v>AddOpeningBalanceTransaction</v>
      </c>
      <c r="AP4" s="27" t="str">
        <f>IFERROR(__xludf.DUMMYFUNCTION("""COMPUTED_VALUE"""),"AddOpeningBalanceTranItem")</f>
        <v>AddOpeningBalanceTranItem</v>
      </c>
      <c r="AQ4" s="27" t="str">
        <f>IFERROR(__xludf.DUMMYFUNCTION("""COMPUTED_VALUE"""),"GetDailyCalculationsData")</f>
        <v>GetDailyCalculationsData</v>
      </c>
      <c r="AR4" s="27" t="str">
        <f>IFERROR(__xludf.DUMMYFUNCTION("""COMPUTED_VALUE"""),"CalculateDailyCalculations")</f>
        <v>CalculateDailyCalculations</v>
      </c>
      <c r="AS4" s="27" t="str">
        <f>IFERROR(__xludf.DUMMYFUNCTION("""COMPUTED_VALUE"""),"EditOpeningBalanceTransaction")</f>
        <v>EditOpeningBalanceTransaction</v>
      </c>
      <c r="AT4" s="27" t="str">
        <f>IFERROR(__xludf.DUMMYFUNCTION("""COMPUTED_VALUE"""),"EditOpeningBalanceTranItem")</f>
        <v>EditOpeningBalanceTranItem</v>
      </c>
      <c r="AU4" s="27" t="str">
        <f>IFERROR(__xludf.DUMMYFUNCTION("""COMPUTED_VALUE"""),"VerifyDailyCalTransactions")</f>
        <v>VerifyDailyCalTransactions</v>
      </c>
      <c r="AV4" s="27" t="str">
        <f>IFERROR(__xludf.DUMMYFUNCTION("""COMPUTED_VALUE"""),"CloseGeneralLedger")</f>
        <v>CloseGeneralLedger</v>
      </c>
      <c r="AW4" s="27" t="str">
        <f>IFERROR(__xludf.DUMMYFUNCTION("""COMPUTED_VALUE"""),"VerifyAccountDetails")</f>
        <v>VerifyAccountDetails</v>
      </c>
      <c r="AX4" s="27" t="str">
        <f>IFERROR(__xludf.DUMMYFUNCTION("""COMPUTED_VALUE"""),"SaveTransaction")</f>
        <v>SaveTransaction</v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IFERROR(__xludf.DUMMYFUNCTION("""COMPUTED_VALUE"""),"Activity Source")</f>
        <v>Activity Source</v>
      </c>
      <c r="D5" s="29" t="str">
        <f>IFERROR(__xludf.DUMMYFUNCTION("""COMPUTED_VALUE"""),"ActivityType")</f>
        <v>ActivityType</v>
      </c>
      <c r="E5" s="29" t="str">
        <f>IFERROR(__xludf.DUMMYFUNCTION("""COMPUTED_VALUE"""),"Net Amount(Local)")</f>
        <v>Net Amount(Local)</v>
      </c>
      <c r="F5" s="34" t="str">
        <f>IFERROR(__xludf.DUMMYFUNCTION("""COMPUTED_VALUE"""),"AUEC Fee1")</f>
        <v>AUEC Fee1</v>
      </c>
      <c r="G5" s="29" t="str">
        <f>IFERROR(__xludf.DUMMYFUNCTION("""COMPUTED_VALUE"""),"AUEC Fee2")</f>
        <v>AUEC Fee2</v>
      </c>
      <c r="H5" s="29" t="str">
        <f>IFERROR(__xludf.DUMMYFUNCTION("""COMPUTED_VALUE"""),"Balance Type")</f>
        <v>Balance Type</v>
      </c>
      <c r="I5" s="29" t="str">
        <f>IFERROR(__xludf.DUMMYFUNCTION("""COMPUTED_VALUE"""),"Clearing Broker Fees")</f>
        <v>Clearing Broker Fees</v>
      </c>
      <c r="J5" s="29" t="str">
        <f>IFERROR(__xludf.DUMMYFUNCTION("""COMPUTED_VALUE"""),"Commission")</f>
        <v>Commission</v>
      </c>
      <c r="K5" s="29" t="str">
        <f>IFERROR(__xludf.DUMMYFUNCTION("""COMPUTED_VALUE"""),"Currency")</f>
        <v>Currency</v>
      </c>
      <c r="L5" s="29" t="str">
        <f>IFERROR(__xludf.DUMMYFUNCTION("""COMPUTED_VALUE"""),"Description")</f>
        <v>Description</v>
      </c>
      <c r="M5" s="29" t="str">
        <f>IFERROR(__xludf.DUMMYFUNCTION("""COMPUTED_VALUE"""),"Entry Date")</f>
        <v>Entry Date</v>
      </c>
      <c r="N5" s="29" t="str">
        <f>IFERROR(__xludf.DUMMYFUNCTION("""COMPUTED_VALUE"""),"FX Conversion Method Operator")</f>
        <v>FX Conversion Method Operator</v>
      </c>
      <c r="O5" s="29" t="str">
        <f>IFERROR(__xludf.DUMMYFUNCTION("""COMPUTED_VALUE"""),"Fx Rate")</f>
        <v>Fx Rate</v>
      </c>
      <c r="P5" s="29" t="str">
        <f>IFERROR(__xludf.DUMMYFUNCTION("""COMPUTED_VALUE"""),"Lead Currency")</f>
        <v>Lead Currency</v>
      </c>
      <c r="Q5" s="29" t="str">
        <f>IFERROR(__xludf.DUMMYFUNCTION("""COMPUTED_VALUE"""),"Modify date")</f>
        <v>Modify date</v>
      </c>
      <c r="R5" s="29" t="str">
        <f>IFERROR(__xludf.DUMMYFUNCTION("""COMPUTED_VALUE"""),"OCC Fee")</f>
        <v>OCC Fee</v>
      </c>
      <c r="S5" s="29" t="str">
        <f>IFERROR(__xludf.DUMMYFUNCTION("""COMPUTED_VALUE"""),"OptionPremiumAdjustment")</f>
        <v>OptionPremiumAdjustment</v>
      </c>
      <c r="T5" s="30" t="str">
        <f>IFERROR(__xludf.DUMMYFUNCTION("""COMPUTED_VALUE"""),"ORF Fee")</f>
        <v>ORF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IFERROR(__xludf.DUMMYFUNCTION("""COMPUTED_VALUE"""),"Quantity")</f>
        <v>Quantity</v>
      </c>
      <c r="W5" s="30" t="str">
        <f>IFERROR(__xludf.DUMMYFUNCTION("""COMPUTED_VALUE"""),"SEC Fee")</f>
        <v>SEC Fee</v>
      </c>
      <c r="X5" s="30" t="str">
        <f>IFERROR(__xludf.DUMMYFUNCTION("""COMPUTED_VALUE"""),"Settlement Currency")</f>
        <v>Settlement Currency</v>
      </c>
      <c r="Y5" s="30" t="str">
        <f>IFERROR(__xludf.DUMMYFUNCTION("""COMPUTED_VALUE"""),"Settlement Date")</f>
        <v>Settlement Date</v>
      </c>
      <c r="Z5" s="30" t="str">
        <f>IFERROR(__xludf.DUMMYFUNCTION("""COMPUTED_VALUE"""),"Soft Commission")</f>
        <v>Soft Commission</v>
      </c>
      <c r="AA5" s="30" t="str">
        <f>IFERROR(__xludf.DUMMYFUNCTION("""COMPUTED_VALUE"""),"Stamp Duty")</f>
        <v>Stamp Duty</v>
      </c>
      <c r="AB5" s="30" t="str">
        <f>IFERROR(__xludf.DUMMYFUNCTION("""COMPUTED_VALUE"""),"Symbol")</f>
        <v>Symbol</v>
      </c>
      <c r="AC5" s="30" t="str">
        <f>IFERROR(__xludf.DUMMYFUNCTION("""COMPUTED_VALUE"""),"Tax On Commissions")</f>
        <v>Tax On Commissions</v>
      </c>
      <c r="AD5" s="30" t="str">
        <f>IFERROR(__xludf.DUMMYFUNCTION("""COMPUTED_VALUE"""),"Total Commissions")</f>
        <v>Total Commissions</v>
      </c>
      <c r="AE5" s="30" t="str">
        <f>IFERROR(__xludf.DUMMYFUNCTION("""COMPUTED_VALUE"""),"Trade Date")</f>
        <v>Trade Date</v>
      </c>
      <c r="AF5" s="30" t="str">
        <f>IFERROR(__xludf.DUMMYFUNCTION("""COMPUTED_VALUE"""),"Transaction Levy")</f>
        <v>Transaction Levy</v>
      </c>
      <c r="AG5" s="30" t="str">
        <f>IFERROR(__xludf.DUMMYFUNCTION("""COMPUTED_VALUE"""),"Transaction Source")</f>
        <v>Transaction Source</v>
      </c>
      <c r="AH5" s="30" t="str">
        <f>IFERROR(__xludf.DUMMYFUNCTION("""COMPUTED_VALUE"""),"User")</f>
        <v>User</v>
      </c>
      <c r="AI5" s="30" t="str">
        <f>IFERROR(__xludf.DUMMYFUNCTION("""COMPUTED_VALUE"""),"Vs Currency")</f>
        <v>Vs Currency</v>
      </c>
      <c r="AJ5" s="30" t="str">
        <f>IFERROR(__xludf.DUMMYFUNCTION("""COMPUTED_VALUE"""),"SettlCurrencyID")</f>
        <v>SettlCurrencyID</v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36"/>
      <c r="B6" s="37" t="s">
        <v>35</v>
      </c>
      <c r="C6" s="38"/>
      <c r="D6" s="37" t="s">
        <v>55</v>
      </c>
      <c r="E6" s="38"/>
      <c r="F6" s="38"/>
      <c r="G6" s="38"/>
      <c r="H6" s="38"/>
      <c r="I6" s="38"/>
      <c r="J6" s="38"/>
      <c r="K6" s="38" t="s">
        <v>56</v>
      </c>
      <c r="L6" s="38"/>
      <c r="M6" s="38"/>
      <c r="N6" s="38"/>
      <c r="O6" s="38"/>
      <c r="P6" s="38"/>
      <c r="Q6" s="38"/>
      <c r="R6" s="38"/>
      <c r="S6" s="38"/>
      <c r="T6" s="41"/>
      <c r="U6" s="41"/>
      <c r="V6" s="43">
        <v>100.0</v>
      </c>
      <c r="W6" s="41"/>
      <c r="X6" s="41"/>
      <c r="Y6" s="41"/>
      <c r="Z6" s="41"/>
      <c r="AA6" s="41"/>
      <c r="AB6" s="41" t="s">
        <v>16</v>
      </c>
      <c r="AC6" s="41"/>
      <c r="AD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36</v>
      </c>
      <c r="C7" s="41"/>
      <c r="D7" s="41" t="s">
        <v>55</v>
      </c>
      <c r="E7" s="41"/>
      <c r="F7" s="41"/>
      <c r="G7" s="41"/>
      <c r="H7" s="41"/>
      <c r="I7" s="41"/>
      <c r="J7" s="41"/>
      <c r="K7" s="41" t="s">
        <v>56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3">
        <v>100.0</v>
      </c>
      <c r="W7" s="41"/>
      <c r="X7" s="41"/>
      <c r="Y7" s="41"/>
      <c r="Z7" s="41"/>
      <c r="AA7" s="41"/>
      <c r="AB7" s="41" t="s">
        <v>16</v>
      </c>
      <c r="AC7" s="41"/>
      <c r="AD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54</v>
      </c>
      <c r="C8" s="41"/>
      <c r="D8" s="41" t="s">
        <v>55</v>
      </c>
      <c r="E8" s="41"/>
      <c r="F8" s="41"/>
      <c r="G8" s="41"/>
      <c r="H8" s="41"/>
      <c r="I8" s="41"/>
      <c r="J8" s="41"/>
      <c r="K8" s="41" t="s">
        <v>56</v>
      </c>
      <c r="L8" s="41"/>
      <c r="M8" s="41"/>
      <c r="N8" s="41"/>
      <c r="O8" s="41"/>
      <c r="P8" s="41"/>
      <c r="Q8" s="41"/>
      <c r="R8" s="41"/>
      <c r="S8" s="41"/>
      <c r="T8" s="41"/>
      <c r="U8" s="41"/>
      <c r="V8" s="43">
        <v>200.0</v>
      </c>
      <c r="W8" s="41"/>
      <c r="X8" s="41"/>
      <c r="Y8" s="41"/>
      <c r="Z8" s="41"/>
      <c r="AA8" s="41"/>
      <c r="AB8" s="41" t="s">
        <v>16</v>
      </c>
      <c r="AC8" s="41"/>
      <c r="AD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35</v>
      </c>
      <c r="C9" s="41"/>
      <c r="D9" s="41" t="s">
        <v>55</v>
      </c>
      <c r="E9" s="41"/>
      <c r="F9" s="41"/>
      <c r="G9" s="41"/>
      <c r="H9" s="41"/>
      <c r="I9" s="41"/>
      <c r="J9" s="41"/>
      <c r="K9" s="41" t="s">
        <v>56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3">
        <v>100.0</v>
      </c>
      <c r="W9" s="41"/>
      <c r="X9" s="41"/>
      <c r="Y9" s="41"/>
      <c r="Z9" s="41"/>
      <c r="AA9" s="41"/>
      <c r="AB9" s="41" t="s">
        <v>20</v>
      </c>
      <c r="AC9" s="41"/>
      <c r="AD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 t="s">
        <v>36</v>
      </c>
      <c r="C10" s="41"/>
      <c r="D10" s="41" t="s">
        <v>55</v>
      </c>
      <c r="E10" s="41"/>
      <c r="F10" s="41"/>
      <c r="G10" s="41"/>
      <c r="H10" s="41"/>
      <c r="I10" s="41"/>
      <c r="J10" s="41"/>
      <c r="K10" s="41" t="s">
        <v>56</v>
      </c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3">
        <v>300.0</v>
      </c>
      <c r="W10" s="41"/>
      <c r="X10" s="41"/>
      <c r="Y10" s="41"/>
      <c r="Z10" s="41"/>
      <c r="AA10" s="41"/>
      <c r="AB10" s="41" t="s">
        <v>20</v>
      </c>
      <c r="AC10" s="41"/>
      <c r="AD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 t="s">
        <v>24</v>
      </c>
      <c r="C11" s="41"/>
      <c r="D11" s="41" t="s">
        <v>55</v>
      </c>
      <c r="E11" s="41"/>
      <c r="F11" s="41"/>
      <c r="G11" s="41"/>
      <c r="H11" s="41"/>
      <c r="I11" s="41"/>
      <c r="J11" s="41"/>
      <c r="K11" s="41" t="s">
        <v>56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3">
        <v>400.0</v>
      </c>
      <c r="W11" s="41"/>
      <c r="X11" s="41"/>
      <c r="Y11" s="41"/>
      <c r="Z11" s="41"/>
      <c r="AA11" s="41"/>
      <c r="AB11" s="41" t="s">
        <v>23</v>
      </c>
      <c r="AC11" s="41"/>
      <c r="AD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 t="s">
        <v>35</v>
      </c>
      <c r="C12" s="41"/>
      <c r="D12" s="41" t="s">
        <v>55</v>
      </c>
      <c r="E12" s="41"/>
      <c r="F12" s="41"/>
      <c r="G12" s="41"/>
      <c r="H12" s="41"/>
      <c r="I12" s="41"/>
      <c r="J12" s="41"/>
      <c r="K12" s="41" t="s">
        <v>56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7">
        <v>50.0</v>
      </c>
      <c r="W12" s="41"/>
      <c r="X12" s="41"/>
      <c r="Y12" s="41"/>
      <c r="Z12" s="41"/>
      <c r="AA12" s="41"/>
      <c r="AB12" s="41" t="s">
        <v>16</v>
      </c>
      <c r="AC12" s="41"/>
      <c r="AD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 t="s">
        <v>36</v>
      </c>
      <c r="C13" s="41"/>
      <c r="D13" s="41" t="s">
        <v>55</v>
      </c>
      <c r="E13" s="41"/>
      <c r="F13" s="41"/>
      <c r="G13" s="41"/>
      <c r="H13" s="41"/>
      <c r="I13" s="41"/>
      <c r="J13" s="41"/>
      <c r="K13" s="41" t="s">
        <v>56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7">
        <v>50.0</v>
      </c>
      <c r="W13" s="41"/>
      <c r="X13" s="41"/>
      <c r="Y13" s="41"/>
      <c r="Z13" s="41"/>
      <c r="AA13" s="41"/>
      <c r="AB13" s="41" t="s">
        <v>16</v>
      </c>
      <c r="AC13" s="41"/>
      <c r="AD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41"/>
      <c r="B14" s="46" t="s">
        <v>24</v>
      </c>
      <c r="C14" s="41"/>
      <c r="D14" s="46" t="s">
        <v>55</v>
      </c>
      <c r="E14" s="41"/>
      <c r="F14" s="41"/>
      <c r="G14" s="41"/>
      <c r="H14" s="41"/>
      <c r="I14" s="41"/>
      <c r="J14" s="41"/>
      <c r="K14" s="41" t="s">
        <v>56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6">
        <v>400.0</v>
      </c>
      <c r="W14" s="41"/>
      <c r="X14" s="41"/>
      <c r="Y14" s="41"/>
      <c r="Z14" s="41"/>
      <c r="AA14" s="41"/>
      <c r="AB14" s="46" t="s">
        <v>23</v>
      </c>
      <c r="AC14" s="41"/>
      <c r="AD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</row>
    <row r="15" ht="15.75" customHeight="1">
      <c r="A15" s="41"/>
      <c r="B15" s="46" t="s">
        <v>35</v>
      </c>
      <c r="C15" s="41"/>
      <c r="D15" s="46" t="s">
        <v>57</v>
      </c>
      <c r="E15" s="41"/>
      <c r="F15" s="41"/>
      <c r="G15" s="41"/>
      <c r="H15" s="41"/>
      <c r="I15" s="41"/>
      <c r="J15" s="41"/>
      <c r="K15" s="41" t="s">
        <v>56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6">
        <v>50.0</v>
      </c>
      <c r="W15" s="41"/>
      <c r="X15" s="41"/>
      <c r="Y15" s="41"/>
      <c r="Z15" s="41"/>
      <c r="AA15" s="41"/>
      <c r="AB15" s="46" t="s">
        <v>27</v>
      </c>
      <c r="AC15" s="41"/>
      <c r="AD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</row>
    <row r="16" ht="15.75" customHeight="1">
      <c r="A16" s="41"/>
      <c r="B16" s="46" t="s">
        <v>36</v>
      </c>
      <c r="C16" s="41"/>
      <c r="D16" s="46" t="s">
        <v>57</v>
      </c>
      <c r="E16" s="41"/>
      <c r="F16" s="41"/>
      <c r="G16" s="41"/>
      <c r="H16" s="41"/>
      <c r="I16" s="41"/>
      <c r="J16" s="41"/>
      <c r="K16" s="41" t="s">
        <v>56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6">
        <v>50.0</v>
      </c>
      <c r="W16" s="41"/>
      <c r="X16" s="41"/>
      <c r="Y16" s="41"/>
      <c r="Z16" s="41"/>
      <c r="AA16" s="41"/>
      <c r="AB16" s="46" t="s">
        <v>27</v>
      </c>
      <c r="AC16" s="41"/>
      <c r="AD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3"/>
      <c r="D1" s="3"/>
      <c r="E1" s="3"/>
      <c r="F1" s="3"/>
      <c r="G1" s="3"/>
      <c r="H1" s="4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1" t="str">
        <f> VLOOKUP($E$3,'_MasterData'!B4:D1000,3,FALSE)</f>
        <v>1lI4loUxqzsE3IjuxIjsVY3cB4J_eTKFPPDuXngut4FE</v>
      </c>
      <c r="K2" s="21"/>
      <c r="L2" s="9"/>
      <c r="M2" s="9"/>
      <c r="N2" s="9"/>
      <c r="O2" s="9"/>
    </row>
    <row r="3" ht="15.75" customHeight="1">
      <c r="A3" s="22"/>
      <c r="B3" s="11" t="s">
        <v>3</v>
      </c>
      <c r="C3" s="23" t="s">
        <v>29</v>
      </c>
      <c r="D3" s="11" t="s">
        <v>4</v>
      </c>
      <c r="E3" s="23" t="s">
        <v>58</v>
      </c>
      <c r="F3" s="11" t="s">
        <v>14</v>
      </c>
      <c r="G3" s="24" t="s">
        <v>15</v>
      </c>
      <c r="H3" s="11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4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2"/>
      <c r="B6" s="12" t="b">
        <v>1</v>
      </c>
      <c r="C6" s="9"/>
      <c r="D6" s="12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