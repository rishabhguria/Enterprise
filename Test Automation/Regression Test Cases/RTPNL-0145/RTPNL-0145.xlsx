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GetDailyCash" sheetId="5" r:id="rId7"/>
    <sheet state="visible" name="UpdateMultipleDailyCash" sheetId="6" r:id="rId8"/>
    <sheet state="visible" name="OpenRTPNL" sheetId="7" r:id="rId9"/>
    <sheet state="visible" name="IncreaseOrUnwindPositionRTPNL" sheetId="8" r:id="rId10"/>
    <sheet state="visible" name="TradePTT" sheetId="9" r:id="rId11"/>
    <sheet state="visible" name="CustomOrderTT1" sheetId="10" r:id="rId12"/>
    <sheet state="visible" name="SelectTrade" sheetId="11" r:id="rId13"/>
    <sheet state="visible" name="AcknowledgeTrade" sheetId="12" r:id="rId14"/>
    <sheet state="visible" name="SelectTrade1" sheetId="13" r:id="rId15"/>
    <sheet state="visible" name="AcknowledgeTrade1" sheetId="14" r:id="rId16"/>
    <sheet state="visible" name="ExecuteTrade" sheetId="15" r:id="rId17"/>
    <sheet state="visible" name="ExecuteTrade1" sheetId="16" r:id="rId18"/>
    <sheet state="visible" name="LoginClient" sheetId="17" r:id="rId19"/>
    <sheet state="visible" name="VerifyRowAllFixLogs" sheetId="18" r:id="rId20"/>
    <sheet state="visible" name="VerifyRowAllFixLogs1" sheetId="19" r:id="rId21"/>
    <sheet state="visible" name="VerifyRowAllFixLogs2" sheetId="20" r:id="rId22"/>
    <sheet state="visible" name="SaveTradeData" sheetId="21" r:id="rId23"/>
  </sheets>
  <definedNames/>
  <calcPr/>
</workbook>
</file>

<file path=xl/sharedStrings.xml><?xml version="1.0" encoding="utf-8"?>
<sst xmlns="http://schemas.openxmlformats.org/spreadsheetml/2006/main" count="257" uniqueCount="96">
  <si>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</si>
  <si>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</si>
  <si>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</si>
  <si>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</si>
  <si>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</si>
  <si>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</si>
  <si>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</si>
  <si>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</si>
  <si>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</si>
  <si>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</si>
  <si>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</si>
  <si>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</si>
  <si>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</si>
  <si>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</si>
  <si>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</si>
  <si>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</si>
  <si>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</si>
  <si>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</si>
  <si>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</si>
  <si>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</si>
  <si>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</si>
  <si>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</si>
  <si>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</si>
  <si>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</si>
  <si>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</si>
  <si>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</si>
  <si>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</si>
  <si>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</si>
  <si>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</si>
  <si>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</si>
  <si>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</si>
  <si>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</si>
  <si>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</si>
  <si>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</si>
  <si>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</si>
  <si>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</si>
  <si>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</si>
  <si>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</si>
  <si>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</si>
  <si>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</si>
  <si>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</si>
  <si>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</si>
  <si>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</si>
  <si>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</si>
  <si>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</si>
  <si>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</si>
  <si>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</si>
  <si>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</si>
  <si>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</si>
  <si>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</si>
  <si>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</si>
  <si>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</si>
  <si>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</si>
  <si>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</si>
  <si>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</si>
  <si>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</si>
  <si>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</si>
  <si>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</si>
  <si>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</si>
  <si>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</si>
  <si>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Send</t>
  </si>
  <si>
    <t>Allocation1</t>
  </si>
  <si>
    <t>Buy</t>
  </si>
  <si>
    <t>DailyValuation</t>
  </si>
  <si>
    <t>GetDailyCash</t>
  </si>
  <si>
    <t>Select Date</t>
  </si>
  <si>
    <t>Copy From</t>
  </si>
  <si>
    <t>UpdateMultipleDailyCash</t>
  </si>
  <si>
    <t>Local Currency</t>
  </si>
  <si>
    <t>Cash Value Local</t>
  </si>
  <si>
    <t>USD</t>
  </si>
  <si>
    <t>RTPNL</t>
  </si>
  <si>
    <t>OpenRTPNL</t>
  </si>
  <si>
    <t>Nirvana,PM</t>
  </si>
  <si>
    <t>SummaryDashboard</t>
  </si>
  <si>
    <t>IncreaseOrUnwindPositionRTPNL</t>
  </si>
  <si>
    <t>adjust,decrease</t>
  </si>
  <si>
    <t>PTT</t>
  </si>
  <si>
    <t>TradePTT</t>
  </si>
  <si>
    <t>Percentage</t>
  </si>
  <si>
    <t>Simulator</t>
  </si>
  <si>
    <t>SelectTrade</t>
  </si>
  <si>
    <t>AcknowledgeTrade</t>
  </si>
  <si>
    <t>ExecuteTrade</t>
  </si>
  <si>
    <t>Yes</t>
  </si>
  <si>
    <t>PranaClient</t>
  </si>
  <si>
    <t>LoginClient</t>
  </si>
  <si>
    <t>Support6</t>
  </si>
  <si>
    <t>Nirvana@1</t>
  </si>
  <si>
    <t>VerifyRowAllFixLogs</t>
  </si>
  <si>
    <t>(8=FIX.4.2_x0001_9=203_x0001_35=D_x0001_49=SendToMS_x0001_56=MS_x0001_34=35_x0001_52=20250917-08:11:54_x0001_115=TITNTRFXSTNE_x0001_128=SNEX_x0001_11=2025091703311397_x0001_18=1_x0001_55=AAPL_x0001_54=5_x0001_60=20250917-08:11:54_x0001_40=1_x0001_59=0_x0001_21=3_x0001_167=CS_x0001_114=Y_x0001_38=4900_x0001_48=AAPL_x0001_47=A_x0001_22=2_x0001_15=USD_x0001_100=US_x0001_10=069_x0001_)</t>
  </si>
  <si>
    <t>(8=FIX.4.2_x0001_9=190_x0001_35=8_x0001_49=MS_x0001_56=SendToMS_x0001_34=40_x0001_52=20250917-08:18:20_x0001_54=2_x0001_11=2025091703311395_x0001_40=1_x0001_38=100_x0001_39=0_x0001_55=AAPL_x0001_17=2025091703311395:0:Ack_x0001_20=0_x0001_37=2025091703311395_x0001_150=0_x0001_6=0_x0001_151=100_x0001_14=0_x0001_32=0_x0001_31=0_x0001_555=0_x0001_10=046_x0001_)</t>
  </si>
  <si>
    <t>(8=FIX.4.2_x0001_9=192_x0001_35=8_x0001_49=MS_x0001_56=SendToMS_x0001_34=41_x0001_52=20250917-08:18:39_x0001_54=5_x0001_11=2025091703311397_x0001_40=1_x0001_38=4900_x0001_39=0_x0001_55=AAPL_x0001_17=2025091703311397:0:Ack_x0001_20=0_x0001_37=2025091703311397_x0001_150=0_x0001_6=0_x0001_151=4900_x0001_14=0_x0001_32=0_x0001_31=0_x0001_555=0_x0001_10=188_x0001_)</t>
  </si>
  <si>
    <t>(8=FIX.4.2_x0001_9=193_x0001_35=8_x0001_49=MS_x0001_56=SendToMS_x0001_34=46_x0001_52=20250917-08:24:50_x0001_54=2_x0001_11=2025091703311395_x0001_40=1_x0001_38=100_x0001_39=2_x0001_55=AAPL_x0001_17=2025091703311395:1:Fill_x0001_20=0_x0001_37=2025091703311395_x0001_150=2_x0001_6=2_x0001_151=0_x0001_14=100_x0001_32=100_x0001_31=2_x0001_555=0_x0001_10=025_x0001_</t>
  </si>
  <si>
    <t>(8=FIX.4.2_x0001_9=196_x0001_35=8_x0001_49=MS_x0001_56=SendToMS_x0001_34=47_x0001_52=20250917-08:25:22_x0001_54=5_x0001_11=2025091703311397_x0001_40=1_x0001_38=4900_x0001_39=2_x0001_55=AAPL_x0001_17=2025091703311397:1:Fill_x0001_20=0_x0001_37=2025091703311397_x0001_150=2_x0001_6=2_x0001_151=0_x0001_14=4900_x0001_32=4900_x0001_31=2_x0001_555=0_x0001_10=218_x0001_)</t>
  </si>
  <si>
    <t>SaveTradeData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</si>
</sst>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5" fontId="11" numFmtId="0" xfId="0" applyAlignment="1" applyFont="1">
      <alignment readingOrder="0"/>
    </xf>
    <xf borderId="4" fillId="5" fontId="4" numFmtId="0" xfId="0" applyAlignment="1" applyBorder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9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30" t="s">
        <v>34</v>
      </c>
      <c r="U5" s="30" t="s">
        <v>35</v>
      </c>
      <c r="V5" s="30" t="s">
        <v>36</v>
      </c>
      <c r="W5" s="30" t="s">
        <v>37</v>
      </c>
      <c r="X5" s="30" t="s">
        <v>38</v>
      </c>
      <c r="Y5" s="30" t="s">
        <v>39</v>
      </c>
      <c r="Z5" s="30" t="s">
        <v>40</v>
      </c>
      <c r="AA5" s="30" t="s">
        <v>41</v>
      </c>
      <c r="AB5" s="30" t="s">
        <v>42</v>
      </c>
      <c r="AC5" s="30" t="s">
        <v>43</v>
      </c>
      <c r="AD5" s="30" t="s">
        <v>44</v>
      </c>
      <c r="AE5" s="30" t="s">
        <v>45</v>
      </c>
      <c r="AF5" s="30" t="s">
        <v>46</v>
      </c>
      <c r="AG5" s="30" t="s">
        <v>47</v>
      </c>
      <c r="AH5" s="30" t="s">
        <v>48</v>
      </c>
      <c r="AI5" s="30" t="s">
        <v>49</v>
      </c>
      <c r="AJ5" s="30" t="s">
        <v>50</v>
      </c>
      <c r="AK5" s="30" t="s">
        <v>51</v>
      </c>
      <c r="AL5" s="30" t="s">
        <v>52</v>
      </c>
      <c r="AM5" s="30" t="s">
        <v>53</v>
      </c>
      <c r="AN5" s="30" t="s">
        <v>54</v>
      </c>
      <c r="AO5" s="30" t="s">
        <v>55</v>
      </c>
      <c r="AP5" s="30" t="s">
        <v>56</v>
      </c>
      <c r="AQ5" s="30" t="s">
        <v>57</v>
      </c>
      <c r="AR5" s="30" t="s">
        <v>58</v>
      </c>
      <c r="AS5" s="31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>
        <v>100.0</v>
      </c>
      <c r="D6" s="13">
        <v>2.0</v>
      </c>
      <c r="E6" s="13" t="s">
        <v>60</v>
      </c>
      <c r="F6" s="8"/>
      <c r="G6" s="8"/>
      <c r="H6" s="8"/>
      <c r="I6" s="13" t="s">
        <v>61</v>
      </c>
      <c r="J6" s="13" t="s">
        <v>62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32" t="s">
        <v>65</v>
      </c>
      <c r="C5" s="32" t="s">
        <v>66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1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45916</v>
      </c>
      <c r="C6" s="33">
        <f>today()</f>
        <v>45917</v>
      </c>
      <c r="D6" s="13"/>
      <c r="E6" s="13"/>
      <c r="F6" s="8"/>
      <c r="G6" s="8"/>
      <c r="H6" s="8"/>
      <c r="I6" s="13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32" t="s">
        <v>30</v>
      </c>
      <c r="C5" s="32" t="s">
        <v>68</v>
      </c>
      <c r="D5" s="32" t="s">
        <v>69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1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61</v>
      </c>
      <c r="C6" s="34" t="s">
        <v>70</v>
      </c>
      <c r="D6" s="35">
        <v>100000.0</v>
      </c>
      <c r="E6" s="13"/>
      <c r="F6" s="8"/>
      <c r="G6" s="8"/>
      <c r="H6" s="8"/>
      <c r="I6" s="13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71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4" t="s">
        <v>73</v>
      </c>
      <c r="C6" s="37" t="s">
        <v>74</v>
      </c>
      <c r="D6" s="3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71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IFERROR(__xludf.DUMMYFUNCTION("""COMPUTED_VALUE"""),"Fund")</f>
        <v>Fund</v>
      </c>
      <c r="E5" s="28" t="str">
        <f>IFERROR(__xludf.DUMMYFUNCTION("""COMPUTED_VALUE"""),"Account")</f>
        <v>Account</v>
      </c>
      <c r="F5" s="29" t="str">
        <f>IFERROR(__xludf.DUMMYFUNCTION("""COMPUTED_VALUE"""),"Asset Class")</f>
        <v>Asset Class</v>
      </c>
      <c r="G5" s="28" t="str">
        <f>IFERROR(__xludf.DUMMYFUNCTION("""COMPUTED_VALUE"""),"Position")</f>
        <v>Position</v>
      </c>
      <c r="H5" s="28" t="str">
        <f>IFERROR(__xludf.DUMMYFUNCTION("""COMPUTED_VALUE"""),"Position Side")</f>
        <v>Position Side</v>
      </c>
      <c r="I5" s="28" t="str">
        <f>IFERROR(__xludf.DUMMYFUNCTION("""COMPUTED_VALUE"""),"Px Selected Feed (Local)")</f>
        <v>Px Selected Feed (Local)</v>
      </c>
      <c r="J5" s="28" t="str">
        <f>IFERROR(__xludf.DUMMYFUNCTION("""COMPUTED_VALUE"""),"Px Selected Feed (Base)")</f>
        <v>Px Selected Feed (Base)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Net Market Value (Base)")</f>
        <v>% Net Market Value (Base)</v>
      </c>
      <c r="M5" s="28" t="str">
        <f>IFERROR(__xludf.DUMMYFUNCTION("""COMPUTED_VALUE"""),"Cost Basis P&amp;L (Base)")</f>
        <v>Cost Basis P&amp;L (Base)</v>
      </c>
      <c r="N5" s="28" t="str">
        <f>IFERROR(__xludf.DUMMYFUNCTION("""COMPUTED_VALUE"""),"% Gain/Loss Cost")</f>
        <v>% Gain/Loss Cost</v>
      </c>
      <c r="O5" s="28" t="str">
        <f>IFERROR(__xludf.DUMMYFUNCTION("""COMPUTED_VALUE"""),"Day P&amp;L (Base)")</f>
        <v>Day P&amp;L (Base)</v>
      </c>
      <c r="P5" s="28" t="str">
        <f>IFERROR(__xludf.DUMMYFUNCTION("""COMPUTED_VALUE"""),"% Gain/Loss Day")</f>
        <v>% Gain/Loss Day</v>
      </c>
      <c r="Q5" s="28" t="str">
        <f>IFERROR(__xludf.DUMMYFUNCTION("""COMPUTED_VALUE"""),"Exposure (Base)")</f>
        <v>Exposure (Base)</v>
      </c>
      <c r="R5" s="28" t="str">
        <f>IFERROR(__xludf.DUMMYFUNCTION("""COMPUTED_VALUE"""),"% Exposure (Base)")</f>
        <v>% Exposure (Base)</v>
      </c>
      <c r="S5" s="28" t="str">
        <f>IFERROR(__xludf.DUMMYFUNCTION("""COMPUTED_VALUE"""),"Live Feed Provider Ticker")</f>
        <v>Live Feed Provider Ticker</v>
      </c>
      <c r="T5" s="30" t="str">
        <f>IFERROR(__xludf.DUMMYFUNCTION("""COMPUTED_VALUE"""),"PositionAction")</f>
        <v>PositionAction</v>
      </c>
      <c r="U5" s="30" t="str">
        <f>IFERROR(__xludf.DUMMYFUNCTION("""COMPUTED_VALUE"""),"VerifyOptionsList")</f>
        <v>VerifyOptionsList</v>
      </c>
      <c r="V5" s="30" t="str">
        <f>IFERROR(__xludf.DUMMYFUNCTION("""COMPUTED_VALUE"""),"Disable/Grey buttons")</f>
        <v>Disable/Grey buttons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/>
      <c r="D6" s="13"/>
      <c r="E6" s="13" t="s">
        <v>61</v>
      </c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76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77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79</v>
      </c>
      <c r="E6" s="13">
        <v>10.0</v>
      </c>
      <c r="F6" s="13">
        <v>2.0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9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30" t="s">
        <v>34</v>
      </c>
      <c r="U5" s="30" t="s">
        <v>35</v>
      </c>
      <c r="V5" s="30" t="s">
        <v>36</v>
      </c>
      <c r="W5" s="30" t="s">
        <v>37</v>
      </c>
      <c r="X5" s="30" t="s">
        <v>38</v>
      </c>
      <c r="Y5" s="30" t="s">
        <v>39</v>
      </c>
      <c r="Z5" s="30" t="s">
        <v>40</v>
      </c>
      <c r="AA5" s="30" t="s">
        <v>41</v>
      </c>
      <c r="AB5" s="30" t="s">
        <v>42</v>
      </c>
      <c r="AC5" s="30" t="s">
        <v>43</v>
      </c>
      <c r="AD5" s="30" t="s">
        <v>44</v>
      </c>
      <c r="AE5" s="30" t="s">
        <v>45</v>
      </c>
      <c r="AF5" s="30" t="s">
        <v>46</v>
      </c>
      <c r="AG5" s="30" t="s">
        <v>47</v>
      </c>
      <c r="AH5" s="30" t="s">
        <v>48</v>
      </c>
      <c r="AI5" s="30" t="s">
        <v>49</v>
      </c>
      <c r="AJ5" s="30" t="s">
        <v>50</v>
      </c>
      <c r="AK5" s="30" t="s">
        <v>51</v>
      </c>
      <c r="AL5" s="30" t="s">
        <v>52</v>
      </c>
      <c r="AM5" s="30" t="s">
        <v>53</v>
      </c>
      <c r="AN5" s="30" t="s">
        <v>54</v>
      </c>
      <c r="AO5" s="30" t="s">
        <v>55</v>
      </c>
      <c r="AP5" s="30" t="s">
        <v>56</v>
      </c>
      <c r="AQ5" s="30" t="s">
        <v>57</v>
      </c>
      <c r="AR5" s="30" t="s">
        <v>58</v>
      </c>
      <c r="AS5" s="31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13"/>
      <c r="D6" s="13"/>
      <c r="E6" s="13" t="s">
        <v>60</v>
      </c>
      <c r="F6" s="8"/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80</v>
      </c>
      <c r="D3" s="5" t="s">
        <v>9</v>
      </c>
      <c r="E3" s="23" t="s">
        <v>81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59</v>
      </c>
      <c r="D6" s="13"/>
      <c r="E6" s="39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80</v>
      </c>
      <c r="D3" s="5" t="s">
        <v>9</v>
      </c>
      <c r="E3" s="23" t="s">
        <v>82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59</v>
      </c>
      <c r="D6" s="13"/>
      <c r="E6" s="39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80</v>
      </c>
      <c r="D3" s="5" t="s">
        <v>9</v>
      </c>
      <c r="E3" s="23" t="s">
        <v>81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59</v>
      </c>
      <c r="D6" s="13"/>
      <c r="E6" s="39"/>
      <c r="F6" s="8"/>
      <c r="G6" s="40">
        <v>4900.0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80</v>
      </c>
      <c r="D3" s="5" t="s">
        <v>9</v>
      </c>
      <c r="E3" s="23" t="s">
        <v>82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59</v>
      </c>
      <c r="D6" s="13"/>
      <c r="E6" s="39"/>
      <c r="F6" s="8"/>
      <c r="G6" s="13">
        <v>4900.0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80</v>
      </c>
      <c r="D3" s="5" t="s">
        <v>9</v>
      </c>
      <c r="E3" s="23" t="s">
        <v>83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 t="s">
        <v>84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80</v>
      </c>
      <c r="D3" s="5" t="s">
        <v>9</v>
      </c>
      <c r="E3" s="23" t="s">
        <v>83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4900.0</v>
      </c>
      <c r="D6" s="13" t="s">
        <v>84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85</v>
      </c>
      <c r="D3" s="5" t="s">
        <v>9</v>
      </c>
      <c r="E3" s="23" t="s">
        <v>86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87</v>
      </c>
      <c r="C6" s="13" t="s">
        <v>88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80</v>
      </c>
      <c r="D3" s="5" t="s">
        <v>9</v>
      </c>
      <c r="E3" s="23" t="s">
        <v>89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90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80</v>
      </c>
      <c r="D3" s="5" t="s">
        <v>9</v>
      </c>
      <c r="E3" s="23" t="s">
        <v>89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91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92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80</v>
      </c>
      <c r="D3" s="5" t="s">
        <v>9</v>
      </c>
      <c r="E3" s="23" t="s">
        <v>89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IFERROR(__xludf.DUMMYFUNCTION("""COMPUTED_VALUE"""),"RowLog")</f>
        <v>RowLog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93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94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80</v>
      </c>
      <c r="D3" s="5" t="s">
        <v>9</v>
      </c>
      <c r="E3" s="23" t="s">
        <v>95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 t="str">
        <f>IFERROR(__xludf.DUMMYFUNCTION("""COMPUTED_VALUE"""),"ClearXMLData")</f>
        <v>ClearXMLData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7" t="s">
        <v>59</v>
      </c>
      <c r="D6" s="36"/>
      <c r="E6" s="38"/>
      <c r="F6" s="38"/>
      <c r="G6" s="40">
        <v>100.0</v>
      </c>
      <c r="H6" s="41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7" t="s">
        <v>59</v>
      </c>
      <c r="D7" s="38"/>
      <c r="E7" s="38"/>
      <c r="F7" s="38"/>
      <c r="G7" s="40">
        <v>4900.0</v>
      </c>
      <c r="H7" s="3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SaveTradeData!$4:$4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