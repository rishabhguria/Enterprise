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2" activeTab="15"/>
  </bookViews>
  <sheets>
    <sheet name="_Modules" sheetId="1" r:id="rId1"/>
    <sheet name="_Settings" sheetId="2" r:id="rId2"/>
    <sheet name="_MasterData" sheetId="3" r:id="rId3"/>
    <sheet name="Import" sheetId="4" r:id="rId4"/>
    <sheet name="ApplyFilterOnImport" sheetId="5" r:id="rId5"/>
    <sheet name="SelectAllOnImport" sheetId="6" r:id="rId6"/>
    <sheet name="GetDataAllocation" sheetId="7" r:id="rId7"/>
    <sheet name="CheckAllocatedGroups" sheetId="8" r:id="rId8"/>
    <sheet name="Unallocate" sheetId="9" r:id="rId9"/>
    <sheet name="GroupTrades" sheetId="10" r:id="rId10"/>
    <sheet name="SelectUnallocatedGroup1" sheetId="11" r:id="rId11"/>
    <sheet name="EnterAccountValuesToAllocate" sheetId="12" r:id="rId12"/>
    <sheet name="CheckAllocatedGroups1" sheetId="13" r:id="rId13"/>
    <sheet name="VerifyLongPositionsGrid" sheetId="14" r:id="rId14"/>
    <sheet name="VerifyShortPositionsGrid" sheetId="15" r:id="rId15"/>
    <sheet name="CheckPortfolioManagement" sheetId="16" r:id="rId16"/>
    <sheet name="SelectUnallocatedGroup" sheetId="17" r:id="rId17"/>
  </sheets>
  <calcPr calcId="145621"/>
</workbook>
</file>

<file path=xl/calcChain.xml><?xml version="1.0" encoding="utf-8"?>
<calcChain xmlns="http://schemas.openxmlformats.org/spreadsheetml/2006/main">
  <c r="J2" i="17" l="1"/>
  <c r="J2" i="16"/>
  <c r="J2" i="15"/>
  <c r="J2" i="14"/>
  <c r="J2" i="13"/>
  <c r="J2" i="12"/>
  <c r="J2" i="11"/>
  <c r="J2" i="10"/>
  <c r="J2" i="9"/>
  <c r="J2" i="8"/>
  <c r="J2" i="7"/>
  <c r="J2" i="6"/>
  <c r="J2" i="5"/>
  <c r="J2" i="4"/>
  <c r="BK5" i="16"/>
  <c r="A5" i="17"/>
  <c r="EQ4" i="17"/>
  <c r="EI4" i="17"/>
  <c r="EA4" i="17"/>
  <c r="DS4" i="17"/>
  <c r="DK4" i="17"/>
  <c r="DC4" i="17"/>
  <c r="CU4" i="17"/>
  <c r="CM4" i="17"/>
  <c r="CE4" i="17"/>
  <c r="BW4" i="17"/>
  <c r="BO4" i="17"/>
  <c r="BG4" i="17"/>
  <c r="AY4" i="17"/>
  <c r="AQ4" i="17"/>
  <c r="AI4" i="17"/>
  <c r="AA4" i="17"/>
  <c r="S4" i="17"/>
  <c r="K4" i="17"/>
  <c r="C4" i="17"/>
  <c r="FF5" i="16"/>
  <c r="EX5" i="16"/>
  <c r="EP5" i="16"/>
  <c r="EH5" i="16"/>
  <c r="DZ5" i="16"/>
  <c r="DR5" i="16"/>
  <c r="DJ5" i="16"/>
  <c r="DB5" i="16"/>
  <c r="CT5" i="16"/>
  <c r="CL5" i="16"/>
  <c r="CD5" i="16"/>
  <c r="BV5" i="16"/>
  <c r="BN5" i="16"/>
  <c r="BF5" i="16"/>
  <c r="AX5" i="16"/>
  <c r="AP5" i="16"/>
  <c r="AH5" i="16"/>
  <c r="Z5" i="16"/>
  <c r="R5" i="16"/>
  <c r="J5" i="16"/>
  <c r="B5" i="16"/>
  <c r="FE4" i="16"/>
  <c r="EW4" i="16"/>
  <c r="EO4" i="16"/>
  <c r="EG4" i="16"/>
  <c r="DY4" i="16"/>
  <c r="DQ4" i="16"/>
  <c r="DI4" i="16"/>
  <c r="DA4" i="16"/>
  <c r="CS4" i="16"/>
  <c r="CK4" i="16"/>
  <c r="CC4" i="16"/>
  <c r="BU4" i="16"/>
  <c r="BM4" i="16"/>
  <c r="BE4" i="16"/>
  <c r="EX4" i="17"/>
  <c r="EP4" i="17"/>
  <c r="EH4" i="17"/>
  <c r="DZ4" i="17"/>
  <c r="DR4" i="17"/>
  <c r="DJ4" i="17"/>
  <c r="DB4" i="17"/>
  <c r="CT4" i="17"/>
  <c r="CL4" i="17"/>
  <c r="CD4" i="17"/>
  <c r="BV4" i="17"/>
  <c r="BN4" i="17"/>
  <c r="BF4" i="17"/>
  <c r="AX4" i="17"/>
  <c r="AP4" i="17"/>
  <c r="AH4" i="17"/>
  <c r="Z4" i="17"/>
  <c r="R4" i="17"/>
  <c r="J4" i="17"/>
  <c r="B4" i="17"/>
  <c r="FE5" i="16"/>
  <c r="EW5" i="16"/>
  <c r="EO5" i="16"/>
  <c r="EG5" i="16"/>
  <c r="DY5" i="16"/>
  <c r="DQ5" i="16"/>
  <c r="DI5" i="16"/>
  <c r="DA5" i="16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FD4" i="16"/>
  <c r="EV4" i="16"/>
  <c r="EN4" i="16"/>
  <c r="EF4" i="16"/>
  <c r="DX4" i="16"/>
  <c r="DP4" i="16"/>
  <c r="DH4" i="16"/>
  <c r="CZ4" i="16"/>
  <c r="CR4" i="16"/>
  <c r="CJ4" i="16"/>
  <c r="CB4" i="16"/>
  <c r="BT4" i="16"/>
  <c r="BL4" i="16"/>
  <c r="BD4" i="16"/>
  <c r="AV4" i="16"/>
  <c r="AN4" i="16"/>
  <c r="AF4" i="16"/>
  <c r="X4" i="16"/>
  <c r="P4" i="16"/>
  <c r="H4" i="16"/>
  <c r="EX5" i="15"/>
  <c r="EP5" i="15"/>
  <c r="EH5" i="15"/>
  <c r="DZ5" i="15"/>
  <c r="DR5" i="15"/>
  <c r="DJ5" i="15"/>
  <c r="DB5" i="15"/>
  <c r="CT5" i="15"/>
  <c r="CL5" i="15"/>
  <c r="CD5" i="15"/>
  <c r="BV5" i="15"/>
  <c r="BN5" i="15"/>
  <c r="BF5" i="15"/>
  <c r="AX5" i="15"/>
  <c r="AP5" i="15"/>
  <c r="AH5" i="15"/>
  <c r="Z5" i="15"/>
  <c r="R5" i="15"/>
  <c r="J5" i="15"/>
  <c r="B5" i="15"/>
  <c r="EW4" i="17"/>
  <c r="EO4" i="17"/>
  <c r="EG4" i="17"/>
  <c r="DY4" i="17"/>
  <c r="DQ4" i="17"/>
  <c r="DI4" i="17"/>
  <c r="DA4" i="17"/>
  <c r="CS4" i="17"/>
  <c r="CK4" i="17"/>
  <c r="CC4" i="17"/>
  <c r="BU4" i="17"/>
  <c r="BM4" i="17"/>
  <c r="BE4" i="17"/>
  <c r="AW4" i="17"/>
  <c r="AO4" i="17"/>
  <c r="AG4" i="17"/>
  <c r="Y4" i="17"/>
  <c r="Q4" i="17"/>
  <c r="I4" i="17"/>
  <c r="EV4" i="17"/>
  <c r="EN4" i="17"/>
  <c r="EF4" i="17"/>
  <c r="DX4" i="17"/>
  <c r="DP4" i="17"/>
  <c r="DH4" i="17"/>
  <c r="CZ4" i="17"/>
  <c r="CR4" i="17"/>
  <c r="CJ4" i="17"/>
  <c r="CB4" i="17"/>
  <c r="BT4" i="17"/>
  <c r="BL4" i="17"/>
  <c r="BD4" i="17"/>
  <c r="AV4" i="17"/>
  <c r="AN4" i="17"/>
  <c r="AF4" i="17"/>
  <c r="X4" i="17"/>
  <c r="P4" i="17"/>
  <c r="H4" i="17"/>
  <c r="FK5" i="16"/>
  <c r="FC5" i="16"/>
  <c r="EU5" i="16"/>
  <c r="EM5" i="16"/>
  <c r="EE5" i="16"/>
  <c r="EU4" i="17"/>
  <c r="EM4" i="17"/>
  <c r="EE4" i="17"/>
  <c r="DW4" i="17"/>
  <c r="DO4" i="17"/>
  <c r="DG4" i="17"/>
  <c r="CY4" i="17"/>
  <c r="CQ4" i="17"/>
  <c r="CI4" i="17"/>
  <c r="CA4" i="17"/>
  <c r="BS4" i="17"/>
  <c r="BK4" i="17"/>
  <c r="BC4" i="17"/>
  <c r="AU4" i="17"/>
  <c r="AM4" i="17"/>
  <c r="AE4" i="17"/>
  <c r="W4" i="17"/>
  <c r="O4" i="17"/>
  <c r="G4" i="17"/>
  <c r="FJ5" i="16"/>
  <c r="FB5" i="16"/>
  <c r="ET5" i="16"/>
  <c r="EL5" i="16"/>
  <c r="ED5" i="16"/>
  <c r="DV5" i="16"/>
  <c r="DN5" i="16"/>
  <c r="DF5" i="16"/>
  <c r="CX5" i="16"/>
  <c r="CP5" i="16"/>
  <c r="CH5" i="16"/>
  <c r="BZ5" i="16"/>
  <c r="BR5" i="16"/>
  <c r="BJ5" i="16"/>
  <c r="BB5" i="16"/>
  <c r="AT5" i="16"/>
  <c r="AL5" i="16"/>
  <c r="AD5" i="16"/>
  <c r="V5" i="16"/>
  <c r="N5" i="16"/>
  <c r="F5" i="16"/>
  <c r="FI4" i="16"/>
  <c r="FA4" i="16"/>
  <c r="ES4" i="16"/>
  <c r="EK4" i="16"/>
  <c r="EC4" i="16"/>
  <c r="DU4" i="16"/>
  <c r="DM4" i="16"/>
  <c r="DE4" i="16"/>
  <c r="CW4" i="16"/>
  <c r="CO4" i="16"/>
  <c r="CG4" i="16"/>
  <c r="BY4" i="16"/>
  <c r="BQ4" i="16"/>
  <c r="BI4" i="16"/>
  <c r="BA4" i="16"/>
  <c r="ET4" i="17"/>
  <c r="EL4" i="17"/>
  <c r="ED4" i="17"/>
  <c r="DV4" i="17"/>
  <c r="DN4" i="17"/>
  <c r="DF4" i="17"/>
  <c r="CX4" i="17"/>
  <c r="CP4" i="17"/>
  <c r="CH4" i="17"/>
  <c r="BZ4" i="17"/>
  <c r="BR4" i="17"/>
  <c r="BJ4" i="17"/>
  <c r="BB4" i="17"/>
  <c r="AT4" i="17"/>
  <c r="AL4" i="17"/>
  <c r="AD4" i="17"/>
  <c r="V4" i="17"/>
  <c r="N4" i="17"/>
  <c r="F4" i="17"/>
  <c r="FI5" i="16"/>
  <c r="FA5" i="16"/>
  <c r="ES5" i="16"/>
  <c r="EK5" i="16"/>
  <c r="EC5" i="16"/>
  <c r="DU5" i="16"/>
  <c r="DM5" i="16"/>
  <c r="DE5" i="16"/>
  <c r="CW5" i="16"/>
  <c r="CO5" i="16"/>
  <c r="CG5" i="16"/>
  <c r="BY5" i="16"/>
  <c r="BQ5" i="16"/>
  <c r="BI5" i="16"/>
  <c r="BA5" i="16"/>
  <c r="AS5" i="16"/>
  <c r="AK5" i="16"/>
  <c r="AC5" i="16"/>
  <c r="U5" i="16"/>
  <c r="M5" i="16"/>
  <c r="E5" i="16"/>
  <c r="FH4" i="16"/>
  <c r="EZ4" i="16"/>
  <c r="ER4" i="16"/>
  <c r="EJ4" i="16"/>
  <c r="EB4" i="16"/>
  <c r="DT4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T4" i="16"/>
  <c r="L4" i="16"/>
  <c r="D4" i="16"/>
  <c r="ET5" i="15"/>
  <c r="EL5" i="15"/>
  <c r="ED5" i="15"/>
  <c r="DV5" i="15"/>
  <c r="DN5" i="15"/>
  <c r="DF5" i="15"/>
  <c r="CX5" i="15"/>
  <c r="CP5" i="15"/>
  <c r="CH5" i="15"/>
  <c r="BZ5" i="15"/>
  <c r="BR5" i="15"/>
  <c r="BJ5" i="15"/>
  <c r="BB5" i="15"/>
  <c r="AT5" i="15"/>
  <c r="AL5" i="15"/>
  <c r="AD5" i="15"/>
  <c r="V5" i="15"/>
  <c r="N5" i="15"/>
  <c r="F5" i="15"/>
  <c r="EV4" i="15"/>
  <c r="EN4" i="15"/>
  <c r="EF4" i="15"/>
  <c r="DX4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EX5" i="14"/>
  <c r="EP5" i="14"/>
  <c r="EH5" i="14"/>
  <c r="DZ5" i="14"/>
  <c r="DR5" i="14"/>
  <c r="DJ5" i="14"/>
  <c r="DB5" i="14"/>
  <c r="CT5" i="14"/>
  <c r="CL5" i="14"/>
  <c r="CD5" i="14"/>
  <c r="ES4" i="17"/>
  <c r="EK4" i="17"/>
  <c r="EC4" i="17"/>
  <c r="DU4" i="17"/>
  <c r="DM4" i="17"/>
  <c r="DE4" i="17"/>
  <c r="CW4" i="17"/>
  <c r="CO4" i="17"/>
  <c r="CG4" i="17"/>
  <c r="BY4" i="17"/>
  <c r="BQ4" i="17"/>
  <c r="BI4" i="17"/>
  <c r="BA4" i="17"/>
  <c r="AS4" i="17"/>
  <c r="AK4" i="17"/>
  <c r="AC4" i="17"/>
  <c r="U4" i="17"/>
  <c r="M4" i="17"/>
  <c r="E4" i="17"/>
  <c r="FH5" i="16"/>
  <c r="EZ5" i="16"/>
  <c r="ER5" i="16"/>
  <c r="EJ5" i="16"/>
  <c r="EB5" i="16"/>
  <c r="DT5" i="16"/>
  <c r="DL5" i="16"/>
  <c r="DD5" i="16"/>
  <c r="CV5" i="16"/>
  <c r="CN5" i="16"/>
  <c r="CF5" i="16"/>
  <c r="BX5" i="16"/>
  <c r="BP5" i="16"/>
  <c r="BH5" i="16"/>
  <c r="AZ5" i="16"/>
  <c r="AR5" i="16"/>
  <c r="AJ5" i="16"/>
  <c r="AB5" i="16"/>
  <c r="T5" i="16"/>
  <c r="L5" i="16"/>
  <c r="D5" i="16"/>
  <c r="FG4" i="16"/>
  <c r="EY4" i="16"/>
  <c r="EQ4" i="16"/>
  <c r="EI4" i="16"/>
  <c r="EA4" i="16"/>
  <c r="DS4" i="16"/>
  <c r="DK4" i="16"/>
  <c r="DC4" i="16"/>
  <c r="CU4" i="16"/>
  <c r="CM4" i="16"/>
  <c r="CE4" i="16"/>
  <c r="BW4" i="16"/>
  <c r="BO4" i="16"/>
  <c r="BG4" i="16"/>
  <c r="AY4" i="16"/>
  <c r="AQ4" i="16"/>
  <c r="AI4" i="16"/>
  <c r="AA4" i="16"/>
  <c r="S4" i="16"/>
  <c r="K4" i="16"/>
  <c r="C4" i="16"/>
  <c r="ES5" i="15"/>
  <c r="EK5" i="15"/>
  <c r="EC5" i="15"/>
  <c r="DU5" i="15"/>
  <c r="DM5" i="15"/>
  <c r="DE5" i="15"/>
  <c r="CW5" i="15"/>
  <c r="CO5" i="15"/>
  <c r="CG5" i="15"/>
  <c r="BY5" i="15"/>
  <c r="BQ5" i="15"/>
  <c r="BI5" i="15"/>
  <c r="BA5" i="15"/>
  <c r="AS5" i="15"/>
  <c r="AK5" i="15"/>
  <c r="AC5" i="15"/>
  <c r="U5" i="15"/>
  <c r="M5" i="15"/>
  <c r="E5" i="15"/>
  <c r="EU4" i="15"/>
  <c r="EM4" i="15"/>
  <c r="EE4" i="15"/>
  <c r="DW4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EW5" i="14"/>
  <c r="EO5" i="14"/>
  <c r="EG5" i="14"/>
  <c r="DY5" i="14"/>
  <c r="DQ5" i="14"/>
  <c r="DI5" i="14"/>
  <c r="DA5" i="14"/>
  <c r="CS5" i="14"/>
  <c r="CK5" i="14"/>
  <c r="CC5" i="14"/>
  <c r="BU5" i="14"/>
  <c r="BM5" i="14"/>
  <c r="BE5" i="14"/>
  <c r="AW5" i="14"/>
  <c r="AO5" i="14"/>
  <c r="AG5" i="14"/>
  <c r="Y5" i="14"/>
  <c r="Q5" i="14"/>
  <c r="I5" i="14"/>
  <c r="A5" i="14"/>
  <c r="EQ4" i="14"/>
  <c r="EI4" i="14"/>
  <c r="EA4" i="14"/>
  <c r="DS4" i="14"/>
  <c r="DK4" i="14"/>
  <c r="DC4" i="14"/>
  <c r="CU4" i="14"/>
  <c r="CM4" i="14"/>
  <c r="ER4" i="17"/>
  <c r="EJ4" i="17"/>
  <c r="EB4" i="17"/>
  <c r="DT4" i="17"/>
  <c r="DL4" i="17"/>
  <c r="DD4" i="17"/>
  <c r="CV4" i="17"/>
  <c r="CN4" i="17"/>
  <c r="CF4" i="17"/>
  <c r="BX4" i="17"/>
  <c r="BP4" i="17"/>
  <c r="BH4" i="17"/>
  <c r="AZ4" i="17"/>
  <c r="AR4" i="17"/>
  <c r="AJ4" i="17"/>
  <c r="AB4" i="17"/>
  <c r="T4" i="17"/>
  <c r="L4" i="17"/>
  <c r="D4" i="17"/>
  <c r="FG5" i="16"/>
  <c r="EY5" i="16"/>
  <c r="EQ5" i="16"/>
  <c r="EI5" i="16"/>
  <c r="EA5" i="16"/>
  <c r="DS5" i="16"/>
  <c r="DK5" i="16"/>
  <c r="DC5" i="16"/>
  <c r="CU5" i="16"/>
  <c r="CM5" i="16"/>
  <c r="CE5" i="16"/>
  <c r="BW5" i="16"/>
  <c r="BO5" i="16"/>
  <c r="BG5" i="16"/>
  <c r="AY5" i="16"/>
  <c r="AQ5" i="16"/>
  <c r="AI5" i="16"/>
  <c r="AA5" i="16"/>
  <c r="S5" i="16"/>
  <c r="K5" i="16"/>
  <c r="C5" i="16"/>
  <c r="FF4" i="16"/>
  <c r="EX4" i="16"/>
  <c r="EP4" i="16"/>
  <c r="FD5" i="16"/>
  <c r="DH5" i="16"/>
  <c r="CB5" i="16"/>
  <c r="AV5" i="16"/>
  <c r="P5" i="16"/>
  <c r="EU4" i="16"/>
  <c r="DW4" i="16"/>
  <c r="DB4" i="16"/>
  <c r="CH4" i="16"/>
  <c r="BK4" i="16"/>
  <c r="AT4" i="16"/>
  <c r="AG4" i="16"/>
  <c r="U4" i="16"/>
  <c r="G4" i="16"/>
  <c r="ER5" i="15"/>
  <c r="EF5" i="15"/>
  <c r="DS5" i="15"/>
  <c r="DG5" i="15"/>
  <c r="CS5" i="15"/>
  <c r="CF5" i="15"/>
  <c r="BT5" i="15"/>
  <c r="BG5" i="15"/>
  <c r="AU5" i="15"/>
  <c r="AG5" i="15"/>
  <c r="T5" i="15"/>
  <c r="H5" i="15"/>
  <c r="ES4" i="15"/>
  <c r="EI4" i="15"/>
  <c r="DY4" i="15"/>
  <c r="DM4" i="15"/>
  <c r="DC4" i="15"/>
  <c r="CS4" i="15"/>
  <c r="CG4" i="15"/>
  <c r="BW4" i="15"/>
  <c r="BM4" i="15"/>
  <c r="BA4" i="15"/>
  <c r="AQ4" i="15"/>
  <c r="AG4" i="15"/>
  <c r="U4" i="15"/>
  <c r="K4" i="15"/>
  <c r="EM5" i="14"/>
  <c r="EC5" i="14"/>
  <c r="DS5" i="14"/>
  <c r="DG5" i="14"/>
  <c r="CW5" i="14"/>
  <c r="CM5" i="14"/>
  <c r="CA5" i="14"/>
  <c r="BR5" i="14"/>
  <c r="BI5" i="14"/>
  <c r="AZ5" i="14"/>
  <c r="AQ5" i="14"/>
  <c r="AH5" i="14"/>
  <c r="X5" i="14"/>
  <c r="O5" i="14"/>
  <c r="F5" i="14"/>
  <c r="EU4" i="14"/>
  <c r="EL4" i="14"/>
  <c r="EC4" i="14"/>
  <c r="DT4" i="14"/>
  <c r="DJ4" i="14"/>
  <c r="DA4" i="14"/>
  <c r="CR4" i="14"/>
  <c r="CI4" i="14"/>
  <c r="CA4" i="14"/>
  <c r="BS4" i="14"/>
  <c r="BK4" i="14"/>
  <c r="BC4" i="14"/>
  <c r="AU4" i="14"/>
  <c r="AM4" i="14"/>
  <c r="AE4" i="14"/>
  <c r="W4" i="14"/>
  <c r="O4" i="14"/>
  <c r="G4" i="14"/>
  <c r="EW5" i="13"/>
  <c r="EO5" i="13"/>
  <c r="EG5" i="13"/>
  <c r="DY5" i="13"/>
  <c r="DQ5" i="13"/>
  <c r="DI5" i="13"/>
  <c r="DA5" i="13"/>
  <c r="CS5" i="13"/>
  <c r="CK5" i="13"/>
  <c r="CC5" i="13"/>
  <c r="BU5" i="13"/>
  <c r="BM5" i="13"/>
  <c r="BE5" i="13"/>
  <c r="AW5" i="13"/>
  <c r="AO5" i="13"/>
  <c r="AG5" i="13"/>
  <c r="Y5" i="13"/>
  <c r="Q5" i="13"/>
  <c r="I5" i="13"/>
  <c r="A5" i="13"/>
  <c r="EQ4" i="13"/>
  <c r="EI4" i="13"/>
  <c r="EA4" i="13"/>
  <c r="DS4" i="13"/>
  <c r="DK4" i="13"/>
  <c r="DC4" i="13"/>
  <c r="CU4" i="13"/>
  <c r="CM4" i="13"/>
  <c r="EV5" i="16"/>
  <c r="DG5" i="16"/>
  <c r="CA5" i="16"/>
  <c r="AU5" i="16"/>
  <c r="O5" i="16"/>
  <c r="ET4" i="16"/>
  <c r="DV4" i="16"/>
  <c r="CY4" i="16"/>
  <c r="CD4" i="16"/>
  <c r="BJ4" i="16"/>
  <c r="AS4" i="16"/>
  <c r="AE4" i="16"/>
  <c r="R4" i="16"/>
  <c r="F4" i="16"/>
  <c r="EQ5" i="15"/>
  <c r="EE5" i="15"/>
  <c r="DQ5" i="15"/>
  <c r="DD5" i="15"/>
  <c r="CR5" i="15"/>
  <c r="CE5" i="15"/>
  <c r="BS5" i="15"/>
  <c r="BE5" i="15"/>
  <c r="AR5" i="15"/>
  <c r="AF5" i="15"/>
  <c r="S5" i="15"/>
  <c r="G5" i="15"/>
  <c r="ER4" i="15"/>
  <c r="EH4" i="15"/>
  <c r="DV4" i="15"/>
  <c r="DL4" i="15"/>
  <c r="DB4" i="15"/>
  <c r="CP4" i="15"/>
  <c r="CF4" i="15"/>
  <c r="BV4" i="15"/>
  <c r="BJ4" i="15"/>
  <c r="AZ4" i="15"/>
  <c r="AP4" i="15"/>
  <c r="AD4" i="15"/>
  <c r="T4" i="15"/>
  <c r="J4" i="15"/>
  <c r="EV5" i="14"/>
  <c r="EL5" i="14"/>
  <c r="EB5" i="14"/>
  <c r="DP5" i="14"/>
  <c r="DF5" i="14"/>
  <c r="CV5" i="14"/>
  <c r="CJ5" i="14"/>
  <c r="BZ5" i="14"/>
  <c r="BQ5" i="14"/>
  <c r="BH5" i="14"/>
  <c r="AY5" i="14"/>
  <c r="AP5" i="14"/>
  <c r="AF5" i="14"/>
  <c r="W5" i="14"/>
  <c r="N5" i="14"/>
  <c r="E5" i="14"/>
  <c r="ET4" i="14"/>
  <c r="EK4" i="14"/>
  <c r="EB4" i="14"/>
  <c r="DR4" i="14"/>
  <c r="DI4" i="14"/>
  <c r="CZ4" i="14"/>
  <c r="CQ4" i="14"/>
  <c r="CH4" i="14"/>
  <c r="BZ4" i="14"/>
  <c r="BR4" i="14"/>
  <c r="BJ4" i="14"/>
  <c r="BB4" i="14"/>
  <c r="AT4" i="14"/>
  <c r="AL4" i="14"/>
  <c r="AD4" i="14"/>
  <c r="V4" i="14"/>
  <c r="N4" i="14"/>
  <c r="F4" i="14"/>
  <c r="EV5" i="13"/>
  <c r="EN5" i="13"/>
  <c r="EF5" i="13"/>
  <c r="DX5" i="13"/>
  <c r="DP5" i="13"/>
  <c r="DH5" i="13"/>
  <c r="CZ5" i="13"/>
  <c r="CR5" i="13"/>
  <c r="CJ5" i="13"/>
  <c r="CB5" i="13"/>
  <c r="BT5" i="13"/>
  <c r="BL5" i="13"/>
  <c r="BD5" i="13"/>
  <c r="AV5" i="13"/>
  <c r="AN5" i="13"/>
  <c r="AF5" i="13"/>
  <c r="X5" i="13"/>
  <c r="P5" i="13"/>
  <c r="H5" i="13"/>
  <c r="EX4" i="13"/>
  <c r="EP4" i="13"/>
  <c r="EH4" i="13"/>
  <c r="DZ4" i="13"/>
  <c r="DR4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EN5" i="16"/>
  <c r="CZ5" i="16"/>
  <c r="BT5" i="16"/>
  <c r="AN5" i="16"/>
  <c r="H5" i="16"/>
  <c r="EM4" i="16"/>
  <c r="DR4" i="16"/>
  <c r="CX4" i="16"/>
  <c r="CA4" i="16"/>
  <c r="BF4" i="16"/>
  <c r="AP4" i="16"/>
  <c r="AD4" i="16"/>
  <c r="Q4" i="16"/>
  <c r="E4" i="16"/>
  <c r="EO5" i="15"/>
  <c r="EB5" i="15"/>
  <c r="DP5" i="15"/>
  <c r="DC5" i="15"/>
  <c r="CQ5" i="15"/>
  <c r="CC5" i="15"/>
  <c r="BP5" i="15"/>
  <c r="BD5" i="15"/>
  <c r="AQ5" i="15"/>
  <c r="AE5" i="15"/>
  <c r="Q5" i="15"/>
  <c r="D5" i="15"/>
  <c r="EQ4" i="15"/>
  <c r="EG4" i="15"/>
  <c r="DU4" i="15"/>
  <c r="DK4" i="15"/>
  <c r="DA4" i="15"/>
  <c r="CO4" i="15"/>
  <c r="CE4" i="15"/>
  <c r="BU4" i="15"/>
  <c r="BI4" i="15"/>
  <c r="AY4" i="15"/>
  <c r="AO4" i="15"/>
  <c r="AC4" i="15"/>
  <c r="S4" i="15"/>
  <c r="I4" i="15"/>
  <c r="EU5" i="14"/>
  <c r="EK5" i="14"/>
  <c r="EA5" i="14"/>
  <c r="DO5" i="14"/>
  <c r="DE5" i="14"/>
  <c r="CU5" i="14"/>
  <c r="CI5" i="14"/>
  <c r="BY5" i="14"/>
  <c r="BP5" i="14"/>
  <c r="BG5" i="14"/>
  <c r="AX5" i="14"/>
  <c r="AN5" i="14"/>
  <c r="AE5" i="14"/>
  <c r="V5" i="14"/>
  <c r="M5" i="14"/>
  <c r="D5" i="14"/>
  <c r="ES4" i="14"/>
  <c r="EJ4" i="14"/>
  <c r="DZ4" i="14"/>
  <c r="DQ4" i="14"/>
  <c r="DH4" i="14"/>
  <c r="CY4" i="14"/>
  <c r="CP4" i="14"/>
  <c r="CG4" i="14"/>
  <c r="BY4" i="14"/>
  <c r="BQ4" i="14"/>
  <c r="BI4" i="14"/>
  <c r="BA4" i="14"/>
  <c r="AS4" i="14"/>
  <c r="AK4" i="14"/>
  <c r="AC4" i="14"/>
  <c r="U4" i="14"/>
  <c r="M4" i="14"/>
  <c r="E4" i="14"/>
  <c r="EU5" i="13"/>
  <c r="EM5" i="13"/>
  <c r="EE5" i="13"/>
  <c r="DW5" i="13"/>
  <c r="DO5" i="13"/>
  <c r="DG5" i="13"/>
  <c r="CY5" i="13"/>
  <c r="CQ5" i="13"/>
  <c r="CI5" i="13"/>
  <c r="CA5" i="13"/>
  <c r="BS5" i="13"/>
  <c r="BK5" i="13"/>
  <c r="BC5" i="13"/>
  <c r="AU5" i="13"/>
  <c r="AM5" i="13"/>
  <c r="AE5" i="13"/>
  <c r="W5" i="13"/>
  <c r="O5" i="13"/>
  <c r="G5" i="13"/>
  <c r="EW4" i="13"/>
  <c r="EO4" i="13"/>
  <c r="EG4" i="13"/>
  <c r="DY4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EQ5" i="12"/>
  <c r="EI5" i="12"/>
  <c r="EA5" i="12"/>
  <c r="DS5" i="12"/>
  <c r="DK5" i="12"/>
  <c r="DC5" i="12"/>
  <c r="CU5" i="12"/>
  <c r="EF5" i="16"/>
  <c r="CY5" i="16"/>
  <c r="BS5" i="16"/>
  <c r="AM5" i="16"/>
  <c r="G5" i="16"/>
  <c r="EL4" i="16"/>
  <c r="DO4" i="16"/>
  <c r="CT4" i="16"/>
  <c r="BZ4" i="16"/>
  <c r="BC4" i="16"/>
  <c r="AO4" i="16"/>
  <c r="AC4" i="16"/>
  <c r="O4" i="16"/>
  <c r="B4" i="16"/>
  <c r="EN5" i="15"/>
  <c r="EA5" i="15"/>
  <c r="DO5" i="15"/>
  <c r="DA5" i="15"/>
  <c r="CN5" i="15"/>
  <c r="CB5" i="15"/>
  <c r="BO5" i="15"/>
  <c r="BC5" i="15"/>
  <c r="AO5" i="15"/>
  <c r="AB5" i="15"/>
  <c r="P5" i="15"/>
  <c r="C5" i="15"/>
  <c r="EP4" i="15"/>
  <c r="ED4" i="15"/>
  <c r="DT4" i="15"/>
  <c r="DJ4" i="15"/>
  <c r="CX4" i="15"/>
  <c r="CN4" i="15"/>
  <c r="CD4" i="15"/>
  <c r="BR4" i="15"/>
  <c r="BH4" i="15"/>
  <c r="AX4" i="15"/>
  <c r="AL4" i="15"/>
  <c r="AB4" i="15"/>
  <c r="R4" i="15"/>
  <c r="F4" i="15"/>
  <c r="ET5" i="14"/>
  <c r="EJ5" i="14"/>
  <c r="DX5" i="14"/>
  <c r="DN5" i="14"/>
  <c r="DD5" i="14"/>
  <c r="CR5" i="14"/>
  <c r="CH5" i="14"/>
  <c r="BX5" i="14"/>
  <c r="BO5" i="14"/>
  <c r="BF5" i="14"/>
  <c r="AV5" i="14"/>
  <c r="AM5" i="14"/>
  <c r="AD5" i="14"/>
  <c r="U5" i="14"/>
  <c r="L5" i="14"/>
  <c r="C5" i="14"/>
  <c r="ER4" i="14"/>
  <c r="EH4" i="14"/>
  <c r="DY4" i="14"/>
  <c r="DP4" i="14"/>
  <c r="DG4" i="14"/>
  <c r="CX4" i="14"/>
  <c r="CO4" i="14"/>
  <c r="CF4" i="14"/>
  <c r="BX4" i="14"/>
  <c r="BP4" i="14"/>
  <c r="BH4" i="14"/>
  <c r="AZ4" i="14"/>
  <c r="AR4" i="14"/>
  <c r="AJ4" i="14"/>
  <c r="AB4" i="14"/>
  <c r="T4" i="14"/>
  <c r="L4" i="14"/>
  <c r="D4" i="14"/>
  <c r="ET5" i="13"/>
  <c r="EL5" i="13"/>
  <c r="ED5" i="13"/>
  <c r="DV5" i="13"/>
  <c r="DN5" i="13"/>
  <c r="DF5" i="13"/>
  <c r="CX5" i="13"/>
  <c r="CP5" i="13"/>
  <c r="CH5" i="13"/>
  <c r="BZ5" i="13"/>
  <c r="BR5" i="13"/>
  <c r="BJ5" i="13"/>
  <c r="BB5" i="13"/>
  <c r="AT5" i="13"/>
  <c r="AL5" i="13"/>
  <c r="AD5" i="13"/>
  <c r="V5" i="13"/>
  <c r="N5" i="13"/>
  <c r="F5" i="13"/>
  <c r="EV4" i="13"/>
  <c r="EN4" i="13"/>
  <c r="EF4" i="13"/>
  <c r="DX4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DX5" i="16"/>
  <c r="CR5" i="16"/>
  <c r="BL5" i="16"/>
  <c r="AF5" i="16"/>
  <c r="FK4" i="16"/>
  <c r="EH4" i="16"/>
  <c r="DN4" i="16"/>
  <c r="CQ4" i="16"/>
  <c r="BV4" i="16"/>
  <c r="BB4" i="16"/>
  <c r="AM4" i="16"/>
  <c r="Z4" i="16"/>
  <c r="N4" i="16"/>
  <c r="EM5" i="15"/>
  <c r="DY5" i="15"/>
  <c r="DL5" i="15"/>
  <c r="CZ5" i="15"/>
  <c r="CM5" i="15"/>
  <c r="CA5" i="15"/>
  <c r="BM5" i="15"/>
  <c r="AZ5" i="15"/>
  <c r="AN5" i="15"/>
  <c r="AA5" i="15"/>
  <c r="O5" i="15"/>
  <c r="A5" i="15"/>
  <c r="EO4" i="15"/>
  <c r="EC4" i="15"/>
  <c r="DS4" i="15"/>
  <c r="DI4" i="15"/>
  <c r="CW4" i="15"/>
  <c r="CM4" i="15"/>
  <c r="CC4" i="15"/>
  <c r="BQ4" i="15"/>
  <c r="BG4" i="15"/>
  <c r="AW4" i="15"/>
  <c r="AK4" i="15"/>
  <c r="AA4" i="15"/>
  <c r="Q4" i="15"/>
  <c r="E4" i="15"/>
  <c r="ES5" i="14"/>
  <c r="EI5" i="14"/>
  <c r="DW5" i="14"/>
  <c r="DM5" i="14"/>
  <c r="DC5" i="14"/>
  <c r="CQ5" i="14"/>
  <c r="CG5" i="14"/>
  <c r="BW5" i="14"/>
  <c r="BN5" i="14"/>
  <c r="BD5" i="14"/>
  <c r="AU5" i="14"/>
  <c r="AL5" i="14"/>
  <c r="AC5" i="14"/>
  <c r="T5" i="14"/>
  <c r="K5" i="14"/>
  <c r="B5" i="14"/>
  <c r="EP4" i="14"/>
  <c r="EG4" i="14"/>
  <c r="DX4" i="14"/>
  <c r="DO4" i="14"/>
  <c r="DF4" i="14"/>
  <c r="CW4" i="14"/>
  <c r="CN4" i="14"/>
  <c r="CE4" i="14"/>
  <c r="BW4" i="14"/>
  <c r="BO4" i="14"/>
  <c r="BG4" i="14"/>
  <c r="AY4" i="14"/>
  <c r="AQ4" i="14"/>
  <c r="AI4" i="14"/>
  <c r="AA4" i="14"/>
  <c r="S4" i="14"/>
  <c r="K4" i="14"/>
  <c r="C4" i="14"/>
  <c r="ES5" i="13"/>
  <c r="EK5" i="13"/>
  <c r="EC5" i="13"/>
  <c r="DU5" i="13"/>
  <c r="DM5" i="13"/>
  <c r="DE5" i="13"/>
  <c r="CW5" i="13"/>
  <c r="CO5" i="13"/>
  <c r="CG5" i="13"/>
  <c r="BY5" i="13"/>
  <c r="BQ5" i="13"/>
  <c r="BI5" i="13"/>
  <c r="BA5" i="13"/>
  <c r="AS5" i="13"/>
  <c r="AK5" i="13"/>
  <c r="AC5" i="13"/>
  <c r="U5" i="13"/>
  <c r="M5" i="13"/>
  <c r="E5" i="13"/>
  <c r="EU4" i="13"/>
  <c r="EM4" i="13"/>
  <c r="EE4" i="13"/>
  <c r="DW4" i="13"/>
  <c r="DO4" i="13"/>
  <c r="DG4" i="13"/>
  <c r="CY4" i="13"/>
  <c r="CQ4" i="13"/>
  <c r="CI4" i="13"/>
  <c r="CA4" i="13"/>
  <c r="BS4" i="13"/>
  <c r="BK4" i="13"/>
  <c r="BC4" i="13"/>
  <c r="AU4" i="13"/>
  <c r="AM4" i="13"/>
  <c r="AE4" i="13"/>
  <c r="W4" i="13"/>
  <c r="O4" i="13"/>
  <c r="G4" i="13"/>
  <c r="EW5" i="12"/>
  <c r="EO5" i="12"/>
  <c r="EG5" i="12"/>
  <c r="DY5" i="12"/>
  <c r="DQ5" i="12"/>
  <c r="DI5" i="12"/>
  <c r="DA5" i="12"/>
  <c r="CS5" i="12"/>
  <c r="CK5" i="12"/>
  <c r="CC5" i="12"/>
  <c r="BU5" i="12"/>
  <c r="BM5" i="12"/>
  <c r="BE5" i="12"/>
  <c r="AW5" i="12"/>
  <c r="DW5" i="16"/>
  <c r="CQ5" i="16"/>
  <c r="AE5" i="16"/>
  <c r="FJ4" i="16"/>
  <c r="EE4" i="16"/>
  <c r="DJ4" i="16"/>
  <c r="CP4" i="16"/>
  <c r="BS4" i="16"/>
  <c r="AX4" i="16"/>
  <c r="AL4" i="16"/>
  <c r="Y4" i="16"/>
  <c r="M4" i="16"/>
  <c r="EW5" i="15"/>
  <c r="EJ5" i="15"/>
  <c r="DX5" i="15"/>
  <c r="DK5" i="15"/>
  <c r="CY5" i="15"/>
  <c r="CK5" i="15"/>
  <c r="BX5" i="15"/>
  <c r="BL5" i="15"/>
  <c r="AY5" i="15"/>
  <c r="AM5" i="15"/>
  <c r="Y5" i="15"/>
  <c r="L5" i="15"/>
  <c r="EX4" i="15"/>
  <c r="EL4" i="15"/>
  <c r="EB4" i="15"/>
  <c r="DR4" i="15"/>
  <c r="DF4" i="15"/>
  <c r="CV4" i="15"/>
  <c r="CL4" i="15"/>
  <c r="BZ4" i="15"/>
  <c r="BP4" i="15"/>
  <c r="BF4" i="15"/>
  <c r="AT4" i="15"/>
  <c r="AJ4" i="15"/>
  <c r="Z4" i="15"/>
  <c r="N4" i="15"/>
  <c r="D4" i="15"/>
  <c r="ER5" i="14"/>
  <c r="EF5" i="14"/>
  <c r="DV5" i="14"/>
  <c r="DL5" i="14"/>
  <c r="CZ5" i="14"/>
  <c r="CP5" i="14"/>
  <c r="CF5" i="14"/>
  <c r="BV5" i="14"/>
  <c r="BL5" i="14"/>
  <c r="BC5" i="14"/>
  <c r="AT5" i="14"/>
  <c r="AK5" i="14"/>
  <c r="AB5" i="14"/>
  <c r="S5" i="14"/>
  <c r="J5" i="14"/>
  <c r="EX4" i="14"/>
  <c r="EO4" i="14"/>
  <c r="EF4" i="14"/>
  <c r="DW4" i="14"/>
  <c r="DN4" i="14"/>
  <c r="DE4" i="14"/>
  <c r="CV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ER5" i="13"/>
  <c r="EJ5" i="13"/>
  <c r="EB5" i="13"/>
  <c r="DT5" i="13"/>
  <c r="DL5" i="13"/>
  <c r="DD5" i="13"/>
  <c r="CV5" i="13"/>
  <c r="CN5" i="13"/>
  <c r="CF5" i="13"/>
  <c r="BX5" i="13"/>
  <c r="BP5" i="13"/>
  <c r="BH5" i="13"/>
  <c r="AZ5" i="13"/>
  <c r="AR5" i="13"/>
  <c r="AJ5" i="13"/>
  <c r="AB5" i="13"/>
  <c r="T5" i="13"/>
  <c r="L5" i="13"/>
  <c r="D5" i="13"/>
  <c r="ET4" i="13"/>
  <c r="EL4" i="13"/>
  <c r="ED4" i="13"/>
  <c r="DV4" i="13"/>
  <c r="DN4" i="13"/>
  <c r="DF4" i="13"/>
  <c r="CX4" i="13"/>
  <c r="CP4" i="13"/>
  <c r="CH4" i="13"/>
  <c r="BZ4" i="13"/>
  <c r="BR4" i="13"/>
  <c r="BJ4" i="13"/>
  <c r="BB4" i="13"/>
  <c r="AT4" i="13"/>
  <c r="AL4" i="13"/>
  <c r="AD4" i="13"/>
  <c r="V4" i="13"/>
  <c r="N4" i="13"/>
  <c r="F4" i="13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DP5" i="16"/>
  <c r="CJ5" i="16"/>
  <c r="BD5" i="16"/>
  <c r="X5" i="16"/>
  <c r="FC4" i="16"/>
  <c r="ED4" i="16"/>
  <c r="DG4" i="16"/>
  <c r="CL4" i="16"/>
  <c r="BR4" i="16"/>
  <c r="AW4" i="16"/>
  <c r="AK4" i="16"/>
  <c r="W4" i="16"/>
  <c r="J4" i="16"/>
  <c r="EV5" i="15"/>
  <c r="EI5" i="15"/>
  <c r="DW5" i="15"/>
  <c r="DI5" i="15"/>
  <c r="CV5" i="15"/>
  <c r="CJ5" i="15"/>
  <c r="BW5" i="15"/>
  <c r="BK5" i="15"/>
  <c r="AW5" i="15"/>
  <c r="AJ5" i="15"/>
  <c r="X5" i="15"/>
  <c r="K5" i="15"/>
  <c r="EW4" i="15"/>
  <c r="EK4" i="15"/>
  <c r="EA4" i="15"/>
  <c r="DQ4" i="15"/>
  <c r="DE4" i="15"/>
  <c r="CU4" i="15"/>
  <c r="CK4" i="15"/>
  <c r="BY4" i="15"/>
  <c r="BO4" i="15"/>
  <c r="BE4" i="15"/>
  <c r="AS4" i="15"/>
  <c r="AI4" i="15"/>
  <c r="Y4" i="15"/>
  <c r="M4" i="15"/>
  <c r="C4" i="15"/>
  <c r="EQ5" i="14"/>
  <c r="EE5" i="14"/>
  <c r="DU5" i="14"/>
  <c r="DK5" i="14"/>
  <c r="CY5" i="14"/>
  <c r="CO5" i="14"/>
  <c r="CE5" i="14"/>
  <c r="BT5" i="14"/>
  <c r="BK5" i="14"/>
  <c r="BB5" i="14"/>
  <c r="AS5" i="14"/>
  <c r="AJ5" i="14"/>
  <c r="AA5" i="14"/>
  <c r="R5" i="14"/>
  <c r="H5" i="14"/>
  <c r="EW4" i="14"/>
  <c r="EN4" i="14"/>
  <c r="EE4" i="14"/>
  <c r="DV4" i="14"/>
  <c r="DM4" i="14"/>
  <c r="DD4" i="14"/>
  <c r="CT4" i="14"/>
  <c r="CK4" i="14"/>
  <c r="CC4" i="14"/>
  <c r="BU4" i="14"/>
  <c r="BM4" i="14"/>
  <c r="BE4" i="14"/>
  <c r="AW4" i="14"/>
  <c r="AO4" i="14"/>
  <c r="AG4" i="14"/>
  <c r="Y4" i="14"/>
  <c r="Q4" i="14"/>
  <c r="I4" i="14"/>
  <c r="EQ5" i="13"/>
  <c r="EI5" i="13"/>
  <c r="EA5" i="13"/>
  <c r="DS5" i="13"/>
  <c r="DK5" i="13"/>
  <c r="DC5" i="13"/>
  <c r="CU5" i="13"/>
  <c r="CM5" i="13"/>
  <c r="CE5" i="13"/>
  <c r="BW5" i="13"/>
  <c r="BO5" i="13"/>
  <c r="BG5" i="13"/>
  <c r="AY5" i="13"/>
  <c r="AQ5" i="13"/>
  <c r="AI5" i="13"/>
  <c r="AA5" i="13"/>
  <c r="S5" i="13"/>
  <c r="K5" i="13"/>
  <c r="C5" i="13"/>
  <c r="ES4" i="13"/>
  <c r="EK4" i="13"/>
  <c r="EC4" i="13"/>
  <c r="DU4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DO5" i="16"/>
  <c r="CI5" i="16"/>
  <c r="BC5" i="16"/>
  <c r="W5" i="16"/>
  <c r="FB4" i="16"/>
  <c r="DZ4" i="16"/>
  <c r="DF4" i="16"/>
  <c r="CI4" i="16"/>
  <c r="BN4" i="16"/>
  <c r="AU4" i="16"/>
  <c r="AH4" i="16"/>
  <c r="V4" i="16"/>
  <c r="I4" i="16"/>
  <c r="EU5" i="15"/>
  <c r="EG5" i="15"/>
  <c r="DT5" i="15"/>
  <c r="DH5" i="15"/>
  <c r="CU5" i="15"/>
  <c r="CI5" i="15"/>
  <c r="BU5" i="15"/>
  <c r="BH5" i="15"/>
  <c r="AV5" i="15"/>
  <c r="AI5" i="15"/>
  <c r="W5" i="15"/>
  <c r="I5" i="15"/>
  <c r="ET4" i="15"/>
  <c r="EJ4" i="15"/>
  <c r="DZ4" i="15"/>
  <c r="DN4" i="15"/>
  <c r="DD4" i="15"/>
  <c r="CT4" i="15"/>
  <c r="CH4" i="15"/>
  <c r="BX4" i="15"/>
  <c r="BN4" i="15"/>
  <c r="BB4" i="15"/>
  <c r="AR4" i="15"/>
  <c r="AH4" i="15"/>
  <c r="V4" i="15"/>
  <c r="L4" i="15"/>
  <c r="B4" i="15"/>
  <c r="EN5" i="14"/>
  <c r="ED5" i="14"/>
  <c r="DT5" i="14"/>
  <c r="DH5" i="14"/>
  <c r="CX5" i="14"/>
  <c r="CN5" i="14"/>
  <c r="CB5" i="14"/>
  <c r="BS5" i="14"/>
  <c r="BJ5" i="14"/>
  <c r="BA5" i="14"/>
  <c r="AR5" i="14"/>
  <c r="AI5" i="14"/>
  <c r="Z5" i="14"/>
  <c r="P5" i="14"/>
  <c r="G5" i="14"/>
  <c r="EV4" i="14"/>
  <c r="EM4" i="14"/>
  <c r="ED4" i="14"/>
  <c r="DU4" i="14"/>
  <c r="DL4" i="14"/>
  <c r="DB4" i="14"/>
  <c r="CS4" i="14"/>
  <c r="CJ4" i="14"/>
  <c r="CB4" i="14"/>
  <c r="BT4" i="14"/>
  <c r="BL4" i="14"/>
  <c r="BD4" i="14"/>
  <c r="AV4" i="14"/>
  <c r="AN4" i="14"/>
  <c r="AF4" i="14"/>
  <c r="X4" i="14"/>
  <c r="P4" i="14"/>
  <c r="H4" i="14"/>
  <c r="EX5" i="13"/>
  <c r="EP5" i="13"/>
  <c r="EH5" i="13"/>
  <c r="DZ5" i="13"/>
  <c r="DR5" i="13"/>
  <c r="DJ5" i="13"/>
  <c r="DB5" i="13"/>
  <c r="CT5" i="13"/>
  <c r="CL5" i="13"/>
  <c r="CD5" i="13"/>
  <c r="BV5" i="13"/>
  <c r="BN5" i="13"/>
  <c r="BF5" i="13"/>
  <c r="AX5" i="13"/>
  <c r="AP5" i="13"/>
  <c r="AH5" i="13"/>
  <c r="Z5" i="13"/>
  <c r="R5" i="13"/>
  <c r="J5" i="13"/>
  <c r="B5" i="13"/>
  <c r="ER4" i="13"/>
  <c r="EJ4" i="13"/>
  <c r="EB4" i="13"/>
  <c r="DT4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ET5" i="12"/>
  <c r="EL5" i="12"/>
  <c r="ED5" i="12"/>
  <c r="DV5" i="12"/>
  <c r="DN5" i="12"/>
  <c r="DF5" i="12"/>
  <c r="CX5" i="12"/>
  <c r="CP5" i="12"/>
  <c r="CH5" i="12"/>
  <c r="BZ5" i="12"/>
  <c r="BR5" i="12"/>
  <c r="BJ5" i="12"/>
  <c r="BB5" i="12"/>
  <c r="AT5" i="12"/>
  <c r="AL5" i="12"/>
  <c r="CE4" i="13"/>
  <c r="S4" i="13"/>
  <c r="EE5" i="12"/>
  <c r="CY5" i="12"/>
  <c r="CA5" i="12"/>
  <c r="BG5" i="12"/>
  <c r="AM5" i="12"/>
  <c r="AD5" i="12"/>
  <c r="V5" i="12"/>
  <c r="N5" i="12"/>
  <c r="F5" i="12"/>
  <c r="EV4" i="12"/>
  <c r="EN4" i="12"/>
  <c r="EF4" i="12"/>
  <c r="DX4" i="12"/>
  <c r="DP4" i="12"/>
  <c r="DH4" i="12"/>
  <c r="CZ4" i="12"/>
  <c r="CR4" i="12"/>
  <c r="CJ4" i="12"/>
  <c r="CB4" i="12"/>
  <c r="BT4" i="12"/>
  <c r="BL4" i="12"/>
  <c r="BD4" i="12"/>
  <c r="AV4" i="12"/>
  <c r="AN4" i="12"/>
  <c r="AF4" i="12"/>
  <c r="X4" i="12"/>
  <c r="P4" i="12"/>
  <c r="H4" i="12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BW4" i="13"/>
  <c r="K4" i="13"/>
  <c r="EC5" i="12"/>
  <c r="CW5" i="12"/>
  <c r="BY5" i="12"/>
  <c r="BC5" i="12"/>
  <c r="AK5" i="12"/>
  <c r="AC5" i="12"/>
  <c r="U5" i="12"/>
  <c r="M5" i="12"/>
  <c r="E5" i="12"/>
  <c r="EU4" i="12"/>
  <c r="EM4" i="12"/>
  <c r="EE4" i="12"/>
  <c r="DW4" i="12"/>
  <c r="DO4" i="12"/>
  <c r="DG4" i="12"/>
  <c r="CY4" i="12"/>
  <c r="CQ4" i="12"/>
  <c r="CI4" i="12"/>
  <c r="CA4" i="12"/>
  <c r="BS4" i="12"/>
  <c r="BK4" i="12"/>
  <c r="BC4" i="12"/>
  <c r="AU4" i="12"/>
  <c r="AM4" i="12"/>
  <c r="AE4" i="12"/>
  <c r="W4" i="12"/>
  <c r="O4" i="12"/>
  <c r="G4" i="12"/>
  <c r="EW5" i="11"/>
  <c r="EO5" i="11"/>
  <c r="EG5" i="11"/>
  <c r="DY5" i="11"/>
  <c r="DQ5" i="11"/>
  <c r="DI5" i="11"/>
  <c r="DA5" i="11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EQ4" i="11"/>
  <c r="EI4" i="11"/>
  <c r="EA4" i="11"/>
  <c r="DS4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BO4" i="13"/>
  <c r="C4" i="13"/>
  <c r="DW5" i="12"/>
  <c r="CQ5" i="12"/>
  <c r="BW5" i="12"/>
  <c r="BA5" i="12"/>
  <c r="AJ5" i="12"/>
  <c r="AB5" i="12"/>
  <c r="T5" i="12"/>
  <c r="L5" i="12"/>
  <c r="D5" i="12"/>
  <c r="ET4" i="12"/>
  <c r="EL4" i="12"/>
  <c r="ED4" i="12"/>
  <c r="DV4" i="12"/>
  <c r="DN4" i="12"/>
  <c r="DF4" i="12"/>
  <c r="CX4" i="12"/>
  <c r="CP4" i="12"/>
  <c r="CH4" i="12"/>
  <c r="BZ4" i="12"/>
  <c r="BR4" i="12"/>
  <c r="BJ4" i="12"/>
  <c r="BB4" i="12"/>
  <c r="AT4" i="12"/>
  <c r="AL4" i="12"/>
  <c r="AD4" i="12"/>
  <c r="V4" i="12"/>
  <c r="N4" i="12"/>
  <c r="F4" i="12"/>
  <c r="EV5" i="11"/>
  <c r="EN5" i="11"/>
  <c r="EF5" i="11"/>
  <c r="DX5" i="11"/>
  <c r="DP5" i="11"/>
  <c r="DH5" i="11"/>
  <c r="CZ5" i="11"/>
  <c r="CR5" i="11"/>
  <c r="CJ5" i="11"/>
  <c r="CB5" i="11"/>
  <c r="BT5" i="11"/>
  <c r="BL5" i="11"/>
  <c r="BD5" i="11"/>
  <c r="AV5" i="11"/>
  <c r="AN5" i="11"/>
  <c r="AF5" i="11"/>
  <c r="X5" i="11"/>
  <c r="P5" i="11"/>
  <c r="H5" i="11"/>
  <c r="EX4" i="11"/>
  <c r="EP4" i="11"/>
  <c r="EH4" i="11"/>
  <c r="DZ4" i="11"/>
  <c r="DR4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BG4" i="13"/>
  <c r="DU5" i="12"/>
  <c r="CO5" i="12"/>
  <c r="BS5" i="12"/>
  <c r="AY5" i="12"/>
  <c r="AI5" i="12"/>
  <c r="AA5" i="12"/>
  <c r="S5" i="12"/>
  <c r="K5" i="12"/>
  <c r="C5" i="12"/>
  <c r="ES4" i="12"/>
  <c r="EK4" i="12"/>
  <c r="EC4" i="12"/>
  <c r="DU4" i="12"/>
  <c r="DM4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E4" i="12"/>
  <c r="EU5" i="11"/>
  <c r="EM5" i="11"/>
  <c r="EE5" i="11"/>
  <c r="DW5" i="11"/>
  <c r="DO5" i="11"/>
  <c r="DG5" i="11"/>
  <c r="CY5" i="11"/>
  <c r="CQ5" i="11"/>
  <c r="CI5" i="11"/>
  <c r="CA5" i="11"/>
  <c r="BS5" i="11"/>
  <c r="BK5" i="11"/>
  <c r="BC5" i="11"/>
  <c r="AU5" i="11"/>
  <c r="AM5" i="11"/>
  <c r="AE5" i="11"/>
  <c r="W5" i="11"/>
  <c r="O5" i="11"/>
  <c r="G5" i="11"/>
  <c r="EW4" i="11"/>
  <c r="EO4" i="11"/>
  <c r="EG4" i="11"/>
  <c r="DY4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EQ5" i="10"/>
  <c r="EI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EU5" i="9"/>
  <c r="EM5" i="9"/>
  <c r="EE5" i="9"/>
  <c r="DW5" i="9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O5" i="9"/>
  <c r="G5" i="9"/>
  <c r="AY4" i="13"/>
  <c r="EU5" i="12"/>
  <c r="DO5" i="12"/>
  <c r="CM5" i="12"/>
  <c r="BQ5" i="12"/>
  <c r="AU5" i="12"/>
  <c r="AH5" i="12"/>
  <c r="Z5" i="12"/>
  <c r="R5" i="12"/>
  <c r="J5" i="12"/>
  <c r="B5" i="12"/>
  <c r="ER4" i="12"/>
  <c r="EJ4" i="12"/>
  <c r="EB4" i="12"/>
  <c r="DT4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AQ4" i="13"/>
  <c r="ES5" i="12"/>
  <c r="DM5" i="12"/>
  <c r="CI5" i="12"/>
  <c r="BO5" i="12"/>
  <c r="AS5" i="12"/>
  <c r="AG5" i="12"/>
  <c r="Y5" i="12"/>
  <c r="Q5" i="12"/>
  <c r="I5" i="12"/>
  <c r="A5" i="12"/>
  <c r="EQ4" i="12"/>
  <c r="EI4" i="12"/>
  <c r="EA4" i="12"/>
  <c r="DS4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ES5" i="11"/>
  <c r="EK5" i="11"/>
  <c r="EC5" i="11"/>
  <c r="DU5" i="11"/>
  <c r="DM5" i="11"/>
  <c r="DE5" i="11"/>
  <c r="CW5" i="11"/>
  <c r="CO5" i="11"/>
  <c r="CG5" i="11"/>
  <c r="BY5" i="11"/>
  <c r="BQ5" i="11"/>
  <c r="BI5" i="11"/>
  <c r="BA5" i="11"/>
  <c r="AS5" i="11"/>
  <c r="AK5" i="11"/>
  <c r="AC5" i="11"/>
  <c r="U5" i="11"/>
  <c r="M5" i="11"/>
  <c r="E5" i="11"/>
  <c r="EU4" i="11"/>
  <c r="EM4" i="11"/>
  <c r="EE4" i="11"/>
  <c r="DW4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AI4" i="13"/>
  <c r="EM5" i="12"/>
  <c r="DG5" i="12"/>
  <c r="CG5" i="12"/>
  <c r="BK5" i="12"/>
  <c r="AQ5" i="12"/>
  <c r="AF5" i="12"/>
  <c r="X5" i="12"/>
  <c r="P5" i="12"/>
  <c r="H5" i="12"/>
  <c r="EX4" i="12"/>
  <c r="EP4" i="12"/>
  <c r="EH4" i="12"/>
  <c r="DZ4" i="12"/>
  <c r="DR4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ER5" i="11"/>
  <c r="EJ5" i="11"/>
  <c r="EB5" i="11"/>
  <c r="DT5" i="11"/>
  <c r="DL5" i="11"/>
  <c r="DD5" i="11"/>
  <c r="CV5" i="11"/>
  <c r="CN5" i="11"/>
  <c r="CF5" i="11"/>
  <c r="BX5" i="11"/>
  <c r="BP5" i="11"/>
  <c r="BH5" i="11"/>
  <c r="AZ5" i="11"/>
  <c r="AR5" i="11"/>
  <c r="AJ5" i="11"/>
  <c r="AB5" i="11"/>
  <c r="T5" i="11"/>
  <c r="L5" i="11"/>
  <c r="D5" i="11"/>
  <c r="ET4" i="11"/>
  <c r="EL4" i="11"/>
  <c r="ED4" i="11"/>
  <c r="DV4" i="11"/>
  <c r="DN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AA4" i="13"/>
  <c r="EK5" i="12"/>
  <c r="DE5" i="12"/>
  <c r="CE5" i="12"/>
  <c r="BI5" i="12"/>
  <c r="AO5" i="12"/>
  <c r="AE5" i="12"/>
  <c r="W5" i="12"/>
  <c r="O5" i="12"/>
  <c r="G5" i="12"/>
  <c r="EW4" i="12"/>
  <c r="EO4" i="12"/>
  <c r="EG4" i="12"/>
  <c r="DY4" i="12"/>
  <c r="DQ4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EQ5" i="11"/>
  <c r="EI5" i="11"/>
  <c r="EA5" i="11"/>
  <c r="DS5" i="11"/>
  <c r="DK5" i="11"/>
  <c r="DC5" i="11"/>
  <c r="CU5" i="11"/>
  <c r="CM5" i="11"/>
  <c r="CE5" i="11"/>
  <c r="BW5" i="11"/>
  <c r="BO5" i="11"/>
  <c r="BG5" i="11"/>
  <c r="AY5" i="11"/>
  <c r="AQ5" i="11"/>
  <c r="AI5" i="11"/>
  <c r="AA5" i="11"/>
  <c r="S5" i="11"/>
  <c r="K5" i="11"/>
  <c r="C5" i="11"/>
  <c r="ES4" i="11"/>
  <c r="EK4" i="11"/>
  <c r="EC4" i="11"/>
  <c r="DU4" i="11"/>
  <c r="DM4" i="11"/>
  <c r="DE4" i="11"/>
  <c r="CW4" i="11"/>
  <c r="CO4" i="11"/>
  <c r="CG4" i="11"/>
  <c r="BY4" i="11"/>
  <c r="BQ4" i="11"/>
  <c r="BI4" i="11"/>
  <c r="BA4" i="11"/>
  <c r="AS4" i="11"/>
  <c r="AK4" i="11"/>
  <c r="AC4" i="11"/>
  <c r="U4" i="11"/>
  <c r="M4" i="11"/>
  <c r="E4" i="11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S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A5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CN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Q5" i="8"/>
  <c r="EI5" i="8"/>
  <c r="EA5" i="8"/>
  <c r="DS5" i="8"/>
  <c r="DK5" i="8"/>
  <c r="DC5" i="8"/>
  <c r="CU5" i="8"/>
  <c r="CM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U4" i="6"/>
  <c r="BJ4" i="6"/>
  <c r="BB4" i="6"/>
  <c r="AT4" i="6"/>
  <c r="AL4" i="6"/>
  <c r="AD4" i="6"/>
  <c r="V4" i="6"/>
  <c r="N4" i="6"/>
  <c r="F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BQ4" i="6"/>
  <c r="BI4" i="6"/>
  <c r="BA4" i="6"/>
  <c r="AS4" i="6"/>
  <c r="AK4" i="6"/>
  <c r="AC4" i="6"/>
  <c r="U4" i="6"/>
  <c r="M4" i="6"/>
  <c r="E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BP4" i="6"/>
  <c r="BH4" i="6"/>
  <c r="AZ4" i="6"/>
  <c r="AR4" i="6"/>
  <c r="AJ4" i="6"/>
  <c r="AB4" i="6"/>
  <c r="T4" i="6"/>
  <c r="L4" i="6"/>
  <c r="D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BO4" i="6"/>
  <c r="BG4" i="6"/>
  <c r="AY4" i="6"/>
  <c r="AQ4" i="6"/>
  <c r="AI4" i="6"/>
  <c r="AA4" i="6"/>
  <c r="S4" i="6"/>
  <c r="K4" i="6"/>
  <c r="C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BN4" i="6"/>
  <c r="BF4" i="6"/>
  <c r="AX4" i="6"/>
  <c r="AP4" i="6"/>
  <c r="AH4" i="6"/>
  <c r="Z4" i="6"/>
  <c r="R4" i="6"/>
  <c r="J4" i="6"/>
  <c r="B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BM4" i="6"/>
  <c r="BE4" i="6"/>
  <c r="AW4" i="6"/>
  <c r="AO4" i="6"/>
  <c r="AG4" i="6"/>
  <c r="Y4" i="6"/>
  <c r="Q4" i="6"/>
  <c r="I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L4" i="6"/>
  <c r="BD4" i="6"/>
  <c r="AV4" i="6"/>
  <c r="AN4" i="6"/>
  <c r="AF4" i="6"/>
  <c r="X4" i="6"/>
  <c r="P4" i="6"/>
  <c r="H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A4" i="3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BK4" i="6"/>
  <c r="BC4" i="6"/>
  <c r="AU4" i="6"/>
  <c r="AM4" i="6"/>
  <c r="AE4" i="6"/>
  <c r="W4" i="6"/>
  <c r="O4" i="6"/>
  <c r="G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E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F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D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E673" i="1"/>
  <c r="E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D673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C673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B673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I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H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F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G516" i="1"/>
  <c r="C515" i="1"/>
  <c r="E514" i="1"/>
  <c r="E513" i="1"/>
  <c r="G512" i="1"/>
  <c r="I511" i="1"/>
  <c r="L510" i="1"/>
  <c r="B510" i="1"/>
  <c r="E509" i="1"/>
  <c r="H508" i="1"/>
  <c r="K507" i="1"/>
  <c r="B507" i="1"/>
  <c r="E506" i="1"/>
  <c r="H505" i="1"/>
  <c r="J504" i="1"/>
  <c r="A504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A516" i="1"/>
  <c r="B515" i="1"/>
  <c r="B514" i="1"/>
  <c r="D513" i="1"/>
  <c r="F512" i="1"/>
  <c r="H511" i="1"/>
  <c r="J510" i="1"/>
  <c r="A510" i="1"/>
  <c r="D509" i="1"/>
  <c r="G508" i="1"/>
  <c r="J507" i="1"/>
  <c r="A507" i="1"/>
  <c r="D506" i="1"/>
  <c r="F505" i="1"/>
  <c r="I504" i="1"/>
  <c r="L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L515" i="1"/>
  <c r="A515" i="1"/>
  <c r="A514" i="1"/>
  <c r="C513" i="1"/>
  <c r="E512" i="1"/>
  <c r="F511" i="1"/>
  <c r="I510" i="1"/>
  <c r="L509" i="1"/>
  <c r="C509" i="1"/>
  <c r="F508" i="1"/>
  <c r="I507" i="1"/>
  <c r="L506" i="1"/>
  <c r="B506" i="1"/>
  <c r="E505" i="1"/>
  <c r="H504" i="1"/>
  <c r="K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K515" i="1"/>
  <c r="J514" i="1"/>
  <c r="L513" i="1"/>
  <c r="B513" i="1"/>
  <c r="B512" i="1"/>
  <c r="E511" i="1"/>
  <c r="H510" i="1"/>
  <c r="K509" i="1"/>
  <c r="B509" i="1"/>
  <c r="E508" i="1"/>
  <c r="H507" i="1"/>
  <c r="J506" i="1"/>
  <c r="A506" i="1"/>
  <c r="D505" i="1"/>
  <c r="G504" i="1"/>
  <c r="J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J515" i="1"/>
  <c r="I514" i="1"/>
  <c r="K513" i="1"/>
  <c r="A513" i="1"/>
  <c r="A512" i="1"/>
  <c r="D511" i="1"/>
  <c r="G510" i="1"/>
  <c r="J509" i="1"/>
  <c r="A509" i="1"/>
  <c r="D508" i="1"/>
  <c r="F507" i="1"/>
  <c r="I506" i="1"/>
  <c r="L505" i="1"/>
  <c r="C505" i="1"/>
  <c r="F504" i="1"/>
  <c r="I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I515" i="1"/>
  <c r="H514" i="1"/>
  <c r="J513" i="1"/>
  <c r="J512" i="1"/>
  <c r="L511" i="1"/>
  <c r="C511" i="1"/>
  <c r="F510" i="1"/>
  <c r="I509" i="1"/>
  <c r="L508" i="1"/>
  <c r="B508" i="1"/>
  <c r="E507" i="1"/>
  <c r="H506" i="1"/>
  <c r="K505" i="1"/>
  <c r="B505" i="1"/>
  <c r="E504" i="1"/>
  <c r="H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E515" i="1"/>
  <c r="G514" i="1"/>
  <c r="I513" i="1"/>
  <c r="I512" i="1"/>
  <c r="K511" i="1"/>
  <c r="B511" i="1"/>
  <c r="E510" i="1"/>
  <c r="H509" i="1"/>
  <c r="J508" i="1"/>
  <c r="A508" i="1"/>
  <c r="D507" i="1"/>
  <c r="G506" i="1"/>
  <c r="J505" i="1"/>
  <c r="A505" i="1"/>
  <c r="D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D515" i="1"/>
  <c r="F514" i="1"/>
  <c r="F513" i="1"/>
  <c r="H512" i="1"/>
  <c r="J511" i="1"/>
  <c r="A511" i="1"/>
  <c r="D510" i="1"/>
  <c r="F509" i="1"/>
  <c r="I508" i="1"/>
  <c r="L507" i="1"/>
  <c r="C507" i="1"/>
  <c r="F506" i="1"/>
  <c r="I505" i="1"/>
  <c r="L504" i="1"/>
  <c r="B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J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F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C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B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D7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H8" i="1"/>
  <c r="H6" i="1"/>
  <c r="D5" i="1"/>
  <c r="L7" i="1"/>
  <c r="H4" i="1"/>
  <c r="L5" i="1"/>
</calcChain>
</file>

<file path=xl/sharedStrings.xml><?xml version="1.0" encoding="utf-8"?>
<sst xmlns="http://schemas.openxmlformats.org/spreadsheetml/2006/main" count="182" uniqueCount="48">
  <si>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</si>
  <si>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</si>
  <si>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</si>
  <si>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</si>
  <si>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</si>
  <si>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</si>
  <si>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</si>
  <si>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</si>
  <si>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</si>
  <si>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</si>
  <si>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</si>
  <si>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</si>
  <si>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Import</t>
  </si>
  <si>
    <t>Data Format</t>
  </si>
  <si>
    <t>Input Format</t>
  </si>
  <si>
    <t xml:space="preserve">Allocation1        </t>
  </si>
  <si>
    <t>E:\DistributedAutomation\TestAutomationDev\Release\Import Cases\Transaction_Import1.csv</t>
  </si>
  <si>
    <t>Cameron</t>
  </si>
  <si>
    <t>Transaction</t>
  </si>
  <si>
    <t>ApplyFilterOnImport</t>
  </si>
  <si>
    <t xml:space="preserve">Trade Date       </t>
  </si>
  <si>
    <t>SelectAllOnImport</t>
  </si>
  <si>
    <t>Allocation</t>
  </si>
  <si>
    <t>GetDataAllocation</t>
  </si>
  <si>
    <t>Historical</t>
  </si>
  <si>
    <t>CheckAllocatedGroups</t>
  </si>
  <si>
    <t>Allocation1</t>
  </si>
  <si>
    <t>Equity</t>
  </si>
  <si>
    <t>Open</t>
  </si>
  <si>
    <t>Buy</t>
  </si>
  <si>
    <t>GOOG</t>
  </si>
  <si>
    <t>Sell</t>
  </si>
  <si>
    <t>Unallocate</t>
  </si>
  <si>
    <t>GroupTrades</t>
  </si>
  <si>
    <t>SelectUnallocatedGroup</t>
  </si>
  <si>
    <t>EnterAccountValuesToAllocate</t>
  </si>
  <si>
    <t xml:space="preserve">Allocation1	</t>
  </si>
  <si>
    <t>Closing</t>
  </si>
  <si>
    <t>VerifyLongPositionsGrid</t>
  </si>
  <si>
    <t>USD</t>
  </si>
  <si>
    <t>VerifyShortPositionsGrid</t>
  </si>
  <si>
    <t>PortfolioManagement</t>
  </si>
  <si>
    <t>CheckPortfolioManagement</t>
  </si>
  <si>
    <t>Long</t>
  </si>
  <si>
    <t>TradingTicket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</si>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</sst>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Docs-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14" fontId="4" fillId="5" borderId="4" xfId="0" applyNumberFormat="1" applyFont="1" applyFill="1" applyBorder="1" applyAlignment="1"/>
    <xf numFmtId="14" fontId="5" fillId="0" borderId="0" xfId="0" applyNumberFormat="1" applyFont="1" applyAlignment="1"/>
    <xf numFmtId="0" fontId="5" fillId="0" borderId="0" xfId="0" applyFont="1" applyAlignment="1"/>
    <xf numFmtId="0" fontId="13" fillId="6" borderId="0" xfId="0" applyFont="1" applyFill="1" applyAlignment="1">
      <alignment horizontal="right"/>
    </xf>
    <xf numFmtId="0" fontId="13" fillId="6" borderId="0" xfId="0" applyFont="1" applyFill="1" applyAlignment="1">
      <alignment horizontal="left"/>
    </xf>
    <xf numFmtId="14" fontId="4" fillId="5" borderId="4" xfId="0" applyNumberFormat="1" applyFont="1" applyFill="1" applyBorder="1" applyAlignment="1"/>
    <xf numFmtId="14" fontId="10" fillId="5" borderId="0" xfId="0" applyNumberFormat="1" applyFont="1" applyFill="1"/>
    <xf numFmtId="14" fontId="2" fillId="0" borderId="0" xfId="0" applyNumberFormat="1" applyFont="1" applyAlignment="1"/>
    <xf numFmtId="3" fontId="2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34" t="s">
        <v>0</v>
      </c>
      <c r="B1" s="35"/>
      <c r="C1" s="35"/>
      <c r="D1" s="35"/>
      <c r="E1" s="35"/>
      <c r="F1" s="36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2" t="s">
        <v>1</v>
      </c>
      <c r="B3" s="3"/>
      <c r="C3" s="4"/>
      <c r="D3" s="4"/>
      <c r="E3" s="4"/>
      <c r="F3" s="4"/>
    </row>
    <row r="4" spans="1:12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IFERROR(__xludf.DUMMYFUNCTION("""COMPUTED_VALUE"""),"undefined")</f>
        <v>undefined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37" t="s">
        <v>2</v>
      </c>
      <c r="B1" s="35"/>
      <c r="C1" s="36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34" t="s">
        <v>7</v>
      </c>
      <c r="B1" s="35"/>
      <c r="C1" s="35"/>
      <c r="D1" s="35"/>
      <c r="E1" s="35"/>
      <c r="F1" s="36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12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IFERROR(__xludf.DUMMYFUNCTION("IF(C3="""","""",Transpose(IMPORTRANGE('_Settings'!$B$3,C3&amp;""!A4:A1000"")))"),"Import")</f>
        <v>Import</v>
      </c>
      <c r="C4" s="19" t="str">
        <f ca="1">IFERROR(__xludf.DUMMYFUNCTION("""COMPUTED_VALUE"""),"SelectAllOnImport")</f>
        <v>SelectAllOnImport</v>
      </c>
      <c r="D4" s="19" t="str">
        <f ca="1">IFERROR(__xludf.DUMMYFUNCTION("""COMPUTED_VALUE"""),"SelectTransactionImportType")</f>
        <v>SelectTransactionImportType</v>
      </c>
      <c r="E4" s="19" t="str">
        <f ca="1">IFERROR(__xludf.DUMMYFUNCTION("""COMPUTED_VALUE"""),"SelectMarkPriceImportType")</f>
        <v>SelectMarkPriceImportType</v>
      </c>
      <c r="F4" s="19" t="str">
        <f ca="1">IFERROR(__xludf.DUMMYFUNCTION("""COMPUTED_VALUE"""),"SelectForexImportType")</f>
        <v>SelectForexImportType</v>
      </c>
      <c r="G4" s="19" t="str">
        <f ca="1">IFERROR(__xludf.DUMMYFUNCTION("""COMPUTED_VALUE"""),"SelectDoubleEntryCashImportType")</f>
        <v>SelectDoubleEntryCashImportType</v>
      </c>
      <c r="H4" s="19" t="str">
        <f ca="1">IFERROR(__xludf.DUMMYFUNCTION("""COMPUTED_VALUE"""),"SelectActivitiesImportType")</f>
        <v>SelectActivitiesImportType</v>
      </c>
      <c r="I4" s="19" t="str">
        <f ca="1">IFERROR(__xludf.DUMMYFUNCTION("""COMPUTED_VALUE"""),"ApplyFilterOnImport")</f>
        <v>ApplyFilterOnImport</v>
      </c>
      <c r="J4" s="19" t="str">
        <f ca="1">IFERROR(__xludf.DUMMYFUNCTION("""COMPUTED_VALUE"""),"")</f>
        <v/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IFERROR(__xludf.DUMMYFUNCTION("""COMPUTED_VALUE"""),"Select Date")</f>
        <v>Select Date</v>
      </c>
      <c r="D5" s="22" t="str">
        <f ca="1">IFERROR(__xludf.DUMMYFUNCTION("""COMPUTED_VALUE"""),"Date")</f>
        <v>Date</v>
      </c>
      <c r="E5" s="22" t="str">
        <f ca="1">IFERROR(__xludf.DUMMYFUNCTION("""COMPUTED_VALUE"""),"Select File")</f>
        <v>Select File</v>
      </c>
      <c r="F5" s="23" t="str">
        <f ca="1">IFERROR(__xludf.DUMMYFUNCTION("""COMPUTED_VALUE"""),"Upload ThirdParty")</f>
        <v>Upload ThirdParty</v>
      </c>
      <c r="G5" s="22" t="str">
        <f ca="1">IFERROR(__xludf.DUMMYFUNCTION("""COMPUTED_VALUE"""),"Import Type")</f>
        <v>Import Type</v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15</v>
      </c>
      <c r="C6" s="7" t="b">
        <v>0</v>
      </c>
      <c r="D6" s="7"/>
      <c r="E6" s="7" t="s">
        <v>16</v>
      </c>
      <c r="F6" s="7" t="s">
        <v>17</v>
      </c>
      <c r="G6" s="7" t="s">
        <v>18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19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IFERROR(__xludf.DUMMYFUNCTION("IF(C3="""","""",Transpose(IMPORTRANGE('_Settings'!$B$3,C3&amp;""!A4:A1000"")))"),"Import")</f>
        <v>Import</v>
      </c>
      <c r="C4" s="19" t="str">
        <f ca="1">IFERROR(__xludf.DUMMYFUNCTION("""COMPUTED_VALUE"""),"SelectAllOnImport")</f>
        <v>SelectAllOnImport</v>
      </c>
      <c r="D4" s="19" t="str">
        <f ca="1">IFERROR(__xludf.DUMMYFUNCTION("""COMPUTED_VALUE"""),"SelectTransactionImportType")</f>
        <v>SelectTransactionImportType</v>
      </c>
      <c r="E4" s="19" t="str">
        <f ca="1">IFERROR(__xludf.DUMMYFUNCTION("""COMPUTED_VALUE"""),"SelectMarkPriceImportType")</f>
        <v>SelectMarkPriceImportType</v>
      </c>
      <c r="F4" s="19" t="str">
        <f ca="1">IFERROR(__xludf.DUMMYFUNCTION("""COMPUTED_VALUE"""),"SelectForexImportType")</f>
        <v>SelectForexImportType</v>
      </c>
      <c r="G4" s="19" t="str">
        <f ca="1">IFERROR(__xludf.DUMMYFUNCTION("""COMPUTED_VALUE"""),"SelectDoubleEntryCashImportType")</f>
        <v>SelectDoubleEntryCashImportType</v>
      </c>
      <c r="H4" s="19" t="str">
        <f ca="1">IFERROR(__xludf.DUMMYFUNCTION("""COMPUTED_VALUE"""),"SelectActivitiesImportType")</f>
        <v>SelectActivitiesImportType</v>
      </c>
      <c r="I4" s="19" t="str">
        <f ca="1">IFERROR(__xludf.DUMMYFUNCTION("""COMPUTED_VALUE"""),"ApplyFilterOnImport")</f>
        <v>ApplyFilterOnImport</v>
      </c>
      <c r="J4" s="19" t="str">
        <f ca="1">IFERROR(__xludf.DUMMYFUNCTION("""COMPUTED_VALUE"""),"")</f>
        <v/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IFERROR(__xludf.DUMMYFUNCTION("""COMPUTED_VALUE"""),"ColumnName")</f>
        <v>ColumnName</v>
      </c>
      <c r="C5" s="25" t="str">
        <f ca="1">IFERROR(__xludf.DUMMYFUNCTION("""COMPUTED_VALUE"""),"FilterList")</f>
        <v>FilterList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20</v>
      </c>
      <c r="C6" s="26">
        <v>44091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21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IFERROR(__xludf.DUMMYFUNCTION("IF(C3="""","""",Transpose(IMPORTRANGE('_Settings'!$B$3,C3&amp;""!A4:A1000"")))"),"Import")</f>
        <v>Import</v>
      </c>
      <c r="C4" s="19" t="str">
        <f ca="1">IFERROR(__xludf.DUMMYFUNCTION("""COMPUTED_VALUE"""),"SelectAllOnImport")</f>
        <v>SelectAllOnImport</v>
      </c>
      <c r="D4" s="19" t="str">
        <f ca="1">IFERROR(__xludf.DUMMYFUNCTION("""COMPUTED_VALUE"""),"SelectTransactionImportType")</f>
        <v>SelectTransactionImportType</v>
      </c>
      <c r="E4" s="19" t="str">
        <f ca="1">IFERROR(__xludf.DUMMYFUNCTION("""COMPUTED_VALUE"""),"SelectMarkPriceImportType")</f>
        <v>SelectMarkPriceImportType</v>
      </c>
      <c r="F4" s="19" t="str">
        <f ca="1">IFERROR(__xludf.DUMMYFUNCTION("""COMPUTED_VALUE"""),"SelectForexImportType")</f>
        <v>SelectForexImportType</v>
      </c>
      <c r="G4" s="19" t="str">
        <f ca="1">IFERROR(__xludf.DUMMYFUNCTION("""COMPUTED_VALUE"""),"SelectDoubleEntryCashImportType")</f>
        <v>SelectDoubleEntryCashImportType</v>
      </c>
      <c r="H4" s="19" t="str">
        <f ca="1">IFERROR(__xludf.DUMMYFUNCTION("""COMPUTED_VALUE"""),"SelectActivitiesImportType")</f>
        <v>SelectActivitiesImportType</v>
      </c>
      <c r="I4" s="19" t="str">
        <f ca="1">IFERROR(__xludf.DUMMYFUNCTION("""COMPUTED_VALUE"""),"ApplyFilterOnImport")</f>
        <v>ApplyFilterOnImport</v>
      </c>
      <c r="J4" s="19" t="str">
        <f ca="1">IFERROR(__xludf.DUMMYFUNCTION("""COMPUTED_VALUE"""),"")</f>
        <v/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IFERROR(__xludf.DUMMYFUNCTION("""COMPUTED_VALUE"""),"Import Type")</f>
        <v>Import Type</v>
      </c>
      <c r="C5" s="22" t="str">
        <f ca="1">IFERROR(__xludf.DUMMYFUNCTION("""COMPUTED_VALUE"""),"")</f>
        <v/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18</v>
      </c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23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5" t="str">
        <f ca="1">IFERROR(__xludf.DUMMYFUNCTION("""COMPUTED_VALUE"""),"From")</f>
        <v>From</v>
      </c>
      <c r="D5" s="25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24</v>
      </c>
      <c r="C6" s="26">
        <v>44091</v>
      </c>
      <c r="D6" s="26">
        <v>44091</v>
      </c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45" width="14.42578125" customWidth="1"/>
    <col min="46" max="46" width="17.28515625" customWidth="1"/>
    <col min="47" max="56" width="14.42578125" customWidth="1"/>
    <col min="57" max="57" width="24.42578125" customWidth="1"/>
    <col min="58" max="58" width="17.85546875" customWidth="1"/>
    <col min="59" max="154" width="14.42578125" customWidth="1"/>
  </cols>
  <sheetData>
    <row r="1" spans="1:154" ht="15.75" customHeight="1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25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26</v>
      </c>
      <c r="C6" s="5"/>
      <c r="D6" s="7"/>
      <c r="E6" s="7">
        <v>2000</v>
      </c>
      <c r="F6" s="5"/>
      <c r="G6" s="7" t="s">
        <v>27</v>
      </c>
      <c r="H6" s="7">
        <v>4</v>
      </c>
      <c r="I6" s="7">
        <v>5</v>
      </c>
      <c r="J6" s="5"/>
      <c r="K6" s="7">
        <v>25</v>
      </c>
      <c r="L6" s="7">
        <v>25</v>
      </c>
      <c r="M6" s="5"/>
      <c r="N6" s="5"/>
      <c r="O6" s="5"/>
      <c r="S6" s="6" t="s">
        <v>28</v>
      </c>
      <c r="AE6" s="6">
        <v>2000</v>
      </c>
      <c r="AT6" s="6">
        <v>50024.36</v>
      </c>
      <c r="AU6" s="6">
        <v>50024.36</v>
      </c>
      <c r="BE6" s="6">
        <v>50000</v>
      </c>
      <c r="BF6" s="6">
        <v>50000</v>
      </c>
      <c r="BJ6" s="6">
        <v>2000</v>
      </c>
      <c r="BO6" s="6" t="s">
        <v>29</v>
      </c>
      <c r="BT6" s="6" t="s">
        <v>30</v>
      </c>
    </row>
    <row r="7" spans="1:154" ht="15.75" customHeight="1">
      <c r="A7" s="5"/>
      <c r="B7" s="7" t="s">
        <v>26</v>
      </c>
      <c r="C7" s="5"/>
      <c r="D7" s="5"/>
      <c r="E7" s="7">
        <v>2000</v>
      </c>
      <c r="F7" s="5"/>
      <c r="G7" s="7" t="s">
        <v>27</v>
      </c>
      <c r="H7" s="7">
        <v>4</v>
      </c>
      <c r="I7" s="28">
        <v>5</v>
      </c>
      <c r="J7" s="5"/>
      <c r="K7" s="7">
        <v>22</v>
      </c>
      <c r="L7" s="7">
        <v>22</v>
      </c>
      <c r="M7" s="5"/>
      <c r="N7" s="5"/>
      <c r="O7" s="5"/>
      <c r="S7" s="6" t="s">
        <v>28</v>
      </c>
      <c r="AE7" s="6">
        <v>2000</v>
      </c>
      <c r="AT7" s="6">
        <v>44024.36</v>
      </c>
      <c r="AU7" s="6">
        <v>44024.36</v>
      </c>
      <c r="BE7" s="6">
        <v>44000</v>
      </c>
      <c r="BF7" s="6">
        <v>44000</v>
      </c>
      <c r="BJ7" s="6">
        <v>2000</v>
      </c>
      <c r="BO7" s="6" t="s">
        <v>29</v>
      </c>
      <c r="BT7" s="6" t="s">
        <v>30</v>
      </c>
    </row>
    <row r="8" spans="1:154" ht="15.75" customHeight="1">
      <c r="A8" s="5"/>
      <c r="B8" s="7" t="s">
        <v>26</v>
      </c>
      <c r="C8" s="5"/>
      <c r="D8" s="5"/>
      <c r="E8" s="7">
        <v>2000</v>
      </c>
      <c r="F8" s="5"/>
      <c r="G8" s="7" t="s">
        <v>27</v>
      </c>
      <c r="H8" s="7">
        <v>4</v>
      </c>
      <c r="I8" s="28">
        <v>5</v>
      </c>
      <c r="J8" s="5"/>
      <c r="K8" s="7">
        <v>22</v>
      </c>
      <c r="L8" s="7">
        <v>22</v>
      </c>
      <c r="M8" s="5"/>
      <c r="N8" s="5"/>
      <c r="O8" s="5"/>
      <c r="S8" s="6" t="s">
        <v>28</v>
      </c>
      <c r="AE8" s="6">
        <v>2000</v>
      </c>
      <c r="AT8" s="6">
        <v>43975.64</v>
      </c>
      <c r="AU8" s="6">
        <v>43975.64</v>
      </c>
      <c r="BE8" s="6">
        <v>44000</v>
      </c>
      <c r="BF8" s="6">
        <v>44000</v>
      </c>
      <c r="BJ8" s="6">
        <v>2000</v>
      </c>
      <c r="BO8" s="6" t="s">
        <v>31</v>
      </c>
      <c r="BT8" s="6" t="s">
        <v>30</v>
      </c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32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IFERROR(__xludf.DUMMYFUNCTION("""COMPUTED_VALUE"""),"Quantity")</f>
        <v>Quantity</v>
      </c>
      <c r="D5" s="25" t="str">
        <f ca="1">IFERROR(__xludf.DUMMYFUNCTION("""COMPUTED_VALUE"""),"Trade Date")</f>
        <v>Trade Date</v>
      </c>
      <c r="E5" s="22" t="str">
        <f ca="1">IFERROR(__xludf.DUMMYFUNCTION("""COMPUTED_VALUE"""),"Account Name")</f>
        <v>Account Name</v>
      </c>
      <c r="F5" s="23" t="str">
        <f ca="1">IFERROR(__xludf.DUMMYFUNCTION("""COMPUTED_VALUE"""),"Side")</f>
        <v>Side</v>
      </c>
      <c r="G5" s="22" t="str">
        <f ca="1">IFERROR(__xludf.DUMMYFUNCTION("""COMPUTED_VALUE"""),"Group Status")</f>
        <v>Group Status</v>
      </c>
      <c r="H5" s="22" t="str">
        <f ca="1">IFERROR(__xludf.DUMMYFUNCTION("""COMPUTED_VALUE"""),"Avg Price( Base)")</f>
        <v>Avg Price( Base)</v>
      </c>
      <c r="I5" s="22" t="str">
        <f ca="1">IFERROR(__xludf.DUMMYFUNCTION("""COMPUTED_VALUE"""),"Execution Time")</f>
        <v>Execution Time</v>
      </c>
      <c r="J5" s="22" t="str">
        <f ca="1">IFERROR(__xludf.DUMMYFUNCTION("""COMPUTED_VALUE"""),"Trade Attribute 1")</f>
        <v>Trade Attribute 1</v>
      </c>
      <c r="K5" s="22" t="str">
        <f ca="1">IFERROR(__xludf.DUMMYFUNCTION("""COMPUTED_VALUE"""),"Avg Price(Local)")</f>
        <v>Avg Price(Local)</v>
      </c>
      <c r="L5" s="22" t="str">
        <f ca="1">IFERROR(__xludf.DUMMYFUNCTION("""COMPUTED_VALUE"""),"Trade Attribute 2")</f>
        <v>Trade Attribute 2</v>
      </c>
      <c r="M5" s="22" t="str">
        <f ca="1">IFERROR(__xludf.DUMMYFUNCTION("""COMPUTED_VALUE"""),"Accrued Interest")</f>
        <v>Accrued Interest</v>
      </c>
      <c r="N5" s="22" t="str">
        <f ca="1">IFERROR(__xludf.DUMMYFUNCTION("""COMPUTED_VALUE"""),"Commission")</f>
        <v>Commission</v>
      </c>
      <c r="O5" s="22" t="str">
        <f ca="1">IFERROR(__xludf.DUMMYFUNCTION("""COMPUTED_VALUE"""),"Soft Commission")</f>
        <v>Soft Commission</v>
      </c>
      <c r="P5" s="22" t="str">
        <f ca="1">IFERROR(__xludf.DUMMYFUNCTION("""COMPUTED_VALUE"""),"Broker")</f>
        <v>Broker</v>
      </c>
      <c r="Q5" s="22" t="str">
        <f ca="1">IFERROR(__xludf.DUMMYFUNCTION("""COMPUTED_VALUE"""),"Transaction Type")</f>
        <v>Transaction Type</v>
      </c>
      <c r="R5" s="22" t="str">
        <f ca="1">IFERROR(__xludf.DUMMYFUNCTION("""COMPUTED_VALUE"""),"AUEC Fee1")</f>
        <v>AUEC Fee1</v>
      </c>
      <c r="S5" s="22" t="str">
        <f ca="1">IFERROR(__xludf.DUMMYFUNCTION("""COMPUTED_VALUE"""),"AUEC Fee2")</f>
        <v>AUEC Fee2</v>
      </c>
      <c r="T5" s="24" t="str">
        <f ca="1">IFERROR(__xludf.DUMMYFUNCTION("""COMPUTED_VALUE"""),"Clearing Broker Fee")</f>
        <v>Clearing Broker Fee</v>
      </c>
      <c r="U5" s="24" t="str">
        <f ca="1">IFERROR(__xludf.DUMMYFUNCTION("""COMPUTED_VALUE"""),"Other Broker Fees")</f>
        <v>Other Broker Fees</v>
      </c>
      <c r="V5" s="24" t="str">
        <f ca="1">IFERROR(__xludf.DUMMYFUNCTION("""COMPUTED_VALUE"""),"OCC Fee")</f>
        <v>OCC Fee</v>
      </c>
      <c r="W5" s="24" t="str">
        <f ca="1">IFERROR(__xludf.DUMMYFUNCTION("""COMPUTED_VALUE"""),"SEC Fee")</f>
        <v>SEC Fee</v>
      </c>
      <c r="X5" s="24" t="str">
        <f ca="1">IFERROR(__xludf.DUMMYFUNCTION("""COMPUTED_VALUE"""),"ORF Fee")</f>
        <v>ORF Fee</v>
      </c>
      <c r="Y5" s="24" t="str">
        <f ca="1">IFERROR(__xludf.DUMMYFUNCTION("""COMPUTED_VALUE"""),"IsPreAllocated")</f>
        <v>IsPreAllocated</v>
      </c>
      <c r="Z5" s="24" t="str">
        <f ca="1">IFERROR(__xludf.DUMMYFUNCTION("""COMPUTED_VALUE"""),"Stamp Duty")</f>
        <v>Stamp Duty</v>
      </c>
      <c r="AA5" s="24" t="str">
        <f ca="1">IFERROR(__xludf.DUMMYFUNCTION("""COMPUTED_VALUE"""),"IsManual Group")</f>
        <v>IsManual Group</v>
      </c>
      <c r="AB5" s="24" t="str">
        <f ca="1">IFERROR(__xludf.DUMMYFUNCTION("""COMPUTED_VALUE"""),"Tax On Commissions")</f>
        <v>Tax On Commissions</v>
      </c>
      <c r="AC5" s="24" t="str">
        <f ca="1">IFERROR(__xludf.DUMMYFUNCTION("""COMPUTED_VALUE"""),"IsAnotherTaxlotAttributesUpdated")</f>
        <v>IsAnotherTaxlotAttributesUpdated</v>
      </c>
      <c r="AD5" s="24" t="str">
        <f ca="1">IFERROR(__xludf.DUMMYFUNCTION("""COMPUTED_VALUE"""),"ISNDF")</f>
        <v>ISNDF</v>
      </c>
      <c r="AE5" s="24" t="str">
        <f ca="1">IFERROR(__xludf.DUMMYFUNCTION("""COMPUTED_VALUE"""),"Transaction Levy")</f>
        <v>Transaction Levy</v>
      </c>
      <c r="AF5" s="24" t="str">
        <f ca="1">IFERROR(__xludf.DUMMYFUNCTION("""COMPUTED_VALUE"""),"Description")</f>
        <v>Description</v>
      </c>
      <c r="AG5" s="24" t="str">
        <f ca="1">IFERROR(__xludf.DUMMYFUNCTION("""COMPUTED_VALUE"""),"GroupID")</f>
        <v>GroupID</v>
      </c>
      <c r="AH5" s="24" t="str">
        <f ca="1">IFERROR(__xludf.DUMMYFUNCTION("""COMPUTED_VALUE"""),"Internal Comments")</f>
        <v>Internal Comments</v>
      </c>
      <c r="AI5" s="24" t="str">
        <f ca="1">IFERROR(__xludf.DUMMYFUNCTION("""COMPUTED_VALUE"""),"M2MProfitLoss")</f>
        <v>M2MProfitLoss</v>
      </c>
      <c r="AJ5" s="24" t="str">
        <f ca="1">IFERROR(__xludf.DUMMYFUNCTION("""COMPUTED_VALUE"""),"FX Rate")</f>
        <v>FX Rate</v>
      </c>
      <c r="AK5" s="24" t="str">
        <f ca="1">IFERROR(__xludf.DUMMYFUNCTION("""COMPUTED_VALUE"""),"FX Conversion Operator")</f>
        <v>FX Conversion Operator</v>
      </c>
      <c r="AL5" s="24" t="str">
        <f ca="1">IFERROR(__xludf.DUMMYFUNCTION("""COMPUTED_VALUE"""),"Trade Attribute 3")</f>
        <v>Trade Attribute 3</v>
      </c>
      <c r="AM5" s="24" t="str">
        <f ca="1">IFERROR(__xludf.DUMMYFUNCTION("""COMPUTED_VALUE"""),"Trade Attribute 4")</f>
        <v>Trade Attribute 4</v>
      </c>
      <c r="AN5" s="24" t="str">
        <f ca="1">IFERROR(__xludf.DUMMYFUNCTION("""COMPUTED_VALUE"""),"Trade Attribute 5")</f>
        <v>Trade Attribute 5</v>
      </c>
      <c r="AO5" s="24" t="str">
        <f ca="1">IFERROR(__xludf.DUMMYFUNCTION("""COMPUTED_VALUE"""),"Trade Attribute 6")</f>
        <v>Trade Attribute 6</v>
      </c>
      <c r="AP5" s="24" t="str">
        <f ca="1">IFERROR(__xludf.DUMMYFUNCTION("""COMPUTED_VALUE"""),"Put Or Call")</f>
        <v>Put Or Call</v>
      </c>
      <c r="AQ5" s="24" t="str">
        <f ca="1">IFERROR(__xludf.DUMMYFUNCTION("""COMPUTED_VALUE"""),"Allocated Qty")</f>
        <v>Allocated Qty</v>
      </c>
      <c r="AR5" s="24" t="str">
        <f ca="1">IFERROR(__xludf.DUMMYFUNCTION("""COMPUTED_VALUE"""),"Total Commission And Fee")</f>
        <v>Total Commission And Fee</v>
      </c>
      <c r="AS5" s="24" t="str">
        <f ca="1">IFERROR(__xludf.DUMMYFUNCTION("""COMPUTED_VALUE"""),"Executed Qty")</f>
        <v>Executed Qty</v>
      </c>
      <c r="AT5" s="24" t="str">
        <f ca="1">IFERROR(__xludf.DUMMYFUNCTION("""COMPUTED_VALUE"""),"Net Amount( Local)")</f>
        <v>Net Amount( Local)</v>
      </c>
      <c r="AU5" s="24" t="str">
        <f ca="1">IFERROR(__xludf.DUMMYFUNCTION("""COMPUTED_VALUE"""),"Net Amount( Base)")</f>
        <v>Net Amount( Base)</v>
      </c>
      <c r="AV5" s="24" t="str">
        <f ca="1">IFERROR(__xludf.DUMMYFUNCTION("""COMPUTED_VALUE"""),"UnAllocatedQty")</f>
        <v>UnAllocatedQty</v>
      </c>
      <c r="AW5" s="24" t="str">
        <f ca="1">IFERROR(__xludf.DUMMYFUNCTION("""COMPUTED_VALUE"""),"Option Premium Adjustment")</f>
        <v>Option Premium Adjustment</v>
      </c>
      <c r="AX5" s="24" t="str">
        <f ca="1">IFERROR(__xludf.DUMMYFUNCTION("""COMPUTED_VALUE"""),"Principal Amount( Local)")</f>
        <v>Principal Amount( Local)</v>
      </c>
      <c r="AY5" s="24" t="str">
        <f ca="1">IFERROR(__xludf.DUMMYFUNCTION("""COMPUTED_VALUE"""),"Principal Amount( Base)")</f>
        <v>Principal Amount( Base)</v>
      </c>
      <c r="AZ5" s="24" t="str">
        <f ca="1">IFERROR(__xludf.DUMMYFUNCTION("""COMPUTED_VALUE"""),"Settlement Currency")</f>
        <v>Settlement Currency</v>
      </c>
      <c r="BA5" s="24" t="str">
        <f ca="1">IFERROR(__xludf.DUMMYFUNCTION("""COMPUTED_VALUE"""),"User")</f>
        <v>User</v>
      </c>
      <c r="BB5" s="24" t="str">
        <f ca="1">IFERROR(__xludf.DUMMYFUNCTION("""COMPUTED_VALUE"""),"Asset Category")</f>
        <v>Asset Category</v>
      </c>
      <c r="BC5" s="24" t="str">
        <f ca="1">IFERROR(__xludf.DUMMYFUNCTION("""COMPUTED_VALUE"""),"Change Type")</f>
        <v>Change Type</v>
      </c>
      <c r="BD5" s="24" t="str">
        <f ca="1">IFERROR(__xludf.DUMMYFUNCTION("""COMPUTED_VALUE"""),"Strategy Name")</f>
        <v>Strategy Name</v>
      </c>
      <c r="BE5" s="24" t="str">
        <f ca="1">IFERROR(__xludf.DUMMYFUNCTION("""COMPUTED_VALUE"""),"Prana Msg Type")</f>
        <v>Prana Msg Type</v>
      </c>
      <c r="BF5" s="24" t="str">
        <f ca="1">IFERROR(__xludf.DUMMYFUNCTION("""COMPUTED_VALUE"""),"Total Commission")</f>
        <v>Total Commission</v>
      </c>
      <c r="BG5" s="24" t="str">
        <f ca="1">IFERROR(__xludf.DUMMYFUNCTION("""COMPUTED_VALUE"""),"Commission Per Share")</f>
        <v>Commission Per Share</v>
      </c>
      <c r="BH5" s="24" t="str">
        <f ca="1">IFERROR(__xludf.DUMMYFUNCTION("""COMPUTED_VALUE"""),"Soft Commission Per Share")</f>
        <v>Soft Commission Per Share</v>
      </c>
      <c r="BI5" s="24" t="str">
        <f ca="1">IFERROR(__xludf.DUMMYFUNCTION("""COMPUTED_VALUE"""),"Total Commission Per Share")</f>
        <v>Total Commission Per Share</v>
      </c>
      <c r="BJ5" s="24" t="str">
        <f ca="1">IFERROR(__xludf.DUMMYFUNCTION("""COMPUTED_VALUE"""),"Closing Status")</f>
        <v>Closing Status</v>
      </c>
      <c r="BK5" s="24" t="str">
        <f ca="1">IFERROR(__xludf.DUMMYFUNCTION("""COMPUTED_VALUE"""),"Closing Method")</f>
        <v>Closing Method</v>
      </c>
      <c r="BL5" s="24" t="str">
        <f ca="1">IFERROR(__xludf.DUMMYFUNCTION("""COMPUTED_VALUE"""),"Allocation Scheme Name")</f>
        <v>Allocation Scheme Name</v>
      </c>
      <c r="BM5" s="24" t="str">
        <f ca="1">IFERROR(__xludf.DUMMYFUNCTION("""COMPUTED_VALUE"""),"Change Comment")</f>
        <v>Change Comment</v>
      </c>
      <c r="BN5" s="24" t="str">
        <f ca="1">IFERROR(__xludf.DUMMYFUNCTION("""COMPUTED_VALUE"""),"Order Type")</f>
        <v>Order Type</v>
      </c>
      <c r="BO5" s="24" t="str">
        <f ca="1">IFERROR(__xludf.DUMMYFUNCTION("""COMPUTED_VALUE"""),"Underlying")</f>
        <v>Underlying</v>
      </c>
      <c r="BP5" s="24" t="str">
        <f ca="1">IFERROR(__xludf.DUMMYFUNCTION("""COMPUTED_VALUE"""),"Exchange")</f>
        <v>Exchange</v>
      </c>
      <c r="BQ5" s="24" t="str">
        <f ca="1">IFERROR(__xludf.DUMMYFUNCTION("""COMPUTED_VALUE"""),"Currency")</f>
        <v>Currency</v>
      </c>
      <c r="BR5" s="24" t="str">
        <f ca="1">IFERROR(__xludf.DUMMYFUNCTION("""COMPUTED_VALUE"""),"AUECID")</f>
        <v>AUECID</v>
      </c>
      <c r="BS5" s="24" t="str">
        <f ca="1">IFERROR(__xludf.DUMMYFUNCTION("""COMPUTED_VALUE"""),"Trading Account")</f>
        <v>Trading Account</v>
      </c>
      <c r="BT5" s="24" t="str">
        <f ca="1">IFERROR(__xludf.DUMMYFUNCTION("""COMPUTED_VALUE"""),"Venue")</f>
        <v>Venue</v>
      </c>
      <c r="BU5" s="24" t="str">
        <f ca="1">IFERROR(__xludf.DUMMYFUNCTION("""COMPUTED_VALUE"""),"Cum Qty For Sub Order")</f>
        <v>Cum Qty For Sub Order</v>
      </c>
      <c r="BV5" s="24" t="str">
        <f ca="1">IFERROR(__xludf.DUMMYFUNCTION("""COMPUTED_VALUE"""),"Contract Multiplier")</f>
        <v>Contract Multiplier</v>
      </c>
      <c r="BW5" s="24" t="str">
        <f ca="1">IFERROR(__xludf.DUMMYFUNCTION("""COMPUTED_VALUE"""),"Company")</f>
        <v>Company</v>
      </c>
      <c r="BX5" s="24" t="str">
        <f ca="1">IFERROR(__xludf.DUMMYFUNCTION("""COMPUTED_VALUE"""),"Nirvana Process Date")</f>
        <v>Nirvana Process Date</v>
      </c>
      <c r="BY5" s="24" t="str">
        <f ca="1">IFERROR(__xludf.DUMMYFUNCTION("""COMPUTED_VALUE"""),"Process Date")</f>
        <v>Process Date</v>
      </c>
      <c r="BZ5" s="24" t="str">
        <f ca="1">IFERROR(__xludf.DUMMYFUNCTION("""COMPUTED_VALUE"""),"Original Purchase Date")</f>
        <v>Original Purchase Date</v>
      </c>
      <c r="CA5" s="24" t="str">
        <f ca="1">IFERROR(__xludf.DUMMYFUNCTION("""COMPUTED_VALUE"""),"Closing Date")</f>
        <v>Closing Date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IFERROR(__xludf.DUMMYFUNCTION("""COMPUTED_VALUE"""),"Expiration Date")</f>
        <v>Expiration Date</v>
      </c>
      <c r="CD5" s="24" t="str">
        <f ca="1">IFERROR(__xludf.DUMMYFUNCTION("""COMPUTED_VALUE"""),"Underlying Symbol")</f>
        <v>Underlying Symbol</v>
      </c>
      <c r="CE5" s="24" t="str">
        <f ca="1">IFERROR(__xludf.DUMMYFUNCTION("""COMPUTED_VALUE"""),"Accrual Basis")</f>
        <v>Accrual Basis</v>
      </c>
      <c r="CF5" s="24" t="str">
        <f ca="1">IFERROR(__xludf.DUMMYFUNCTION("""COMPUTED_VALUE"""),"Bond Type")</f>
        <v>Bond Type</v>
      </c>
      <c r="CG5" s="24" t="str">
        <f ca="1">IFERROR(__xludf.DUMMYFUNCTION("""COMPUTED_VALUE"""),"Coupon Rate")</f>
        <v>Coupon Rate</v>
      </c>
      <c r="CH5" s="24" t="str">
        <f ca="1">IFERROR(__xludf.DUMMYFUNCTION("""COMPUTED_VALUE"""),"Delta")</f>
        <v>Delta</v>
      </c>
      <c r="CI5" s="24" t="str">
        <f ca="1">IFERROR(__xludf.DUMMYFUNCTION("""COMPUTED_VALUE"""),"Bloomberg")</f>
        <v>Bloomberg</v>
      </c>
      <c r="CJ5" s="24" t="str">
        <f ca="1">IFERROR(__xludf.DUMMYFUNCTION("""COMPUTED_VALUE"""),"Sedol Symbol")</f>
        <v>Sedol Symbol</v>
      </c>
      <c r="CK5" s="24" t="str">
        <f ca="1">IFERROR(__xludf.DUMMYFUNCTION("""COMPUTED_VALUE"""),"Cusip Symbol")</f>
        <v>Cusip Symbol</v>
      </c>
      <c r="CL5" s="24" t="str">
        <f ca="1">IFERROR(__xludf.DUMMYFUNCTION("""COMPUTED_VALUE"""),"ISIN")</f>
        <v>ISIN</v>
      </c>
      <c r="CM5" s="24" t="str">
        <f ca="1">IFERROR(__xludf.DUMMYFUNCTION("""COMPUTED_VALUE"""),"OSISSymbol")</f>
        <v>OSISSymbol</v>
      </c>
      <c r="CN5" s="24" t="str">
        <f ca="1">IFERROR(__xludf.DUMMYFUNCTION("""COMPUTED_VALUE"""),"IDCOSymbol")</f>
        <v>IDCOSymbol</v>
      </c>
      <c r="CO5" s="24" t="str">
        <f ca="1">IFERROR(__xludf.DUMMYFUNCTION("""COMPUTED_VALUE"""),"Underlying Delta")</f>
        <v>Underlying Delta</v>
      </c>
      <c r="CP5" s="24" t="str">
        <f ca="1">IFERROR(__xludf.DUMMYFUNCTION("""COMPUTED_VALUE"""),"Proxy Symbol")</f>
        <v>Proxy Symbol</v>
      </c>
      <c r="CQ5" s="24" t="str">
        <f ca="1">IFERROR(__xludf.DUMMYFUNCTION("""COMPUTED_VALUE"""),"Transaction Source")</f>
        <v>Transaction Source</v>
      </c>
      <c r="CR5" s="24" t="str">
        <f ca="1">IFERROR(__xludf.DUMMYFUNCTION("""COMPUTED_VALUE"""),"Import File Name")</f>
        <v>Import File Name</v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30</v>
      </c>
      <c r="C6" s="7">
        <v>2000</v>
      </c>
      <c r="D6" s="26">
        <v>44091</v>
      </c>
      <c r="E6" s="7" t="s">
        <v>26</v>
      </c>
      <c r="F6" s="7" t="s">
        <v>29</v>
      </c>
      <c r="G6" s="5"/>
      <c r="H6" s="7"/>
      <c r="I6" s="5"/>
      <c r="J6" s="5"/>
      <c r="K6" s="5"/>
      <c r="L6" s="5"/>
      <c r="M6" s="5"/>
      <c r="N6" s="5"/>
      <c r="O6" s="5"/>
      <c r="AT6" s="6">
        <v>50024.36</v>
      </c>
    </row>
    <row r="7" spans="1:154" ht="15.75" customHeight="1">
      <c r="A7" s="5"/>
      <c r="B7" s="7" t="s">
        <v>30</v>
      </c>
      <c r="C7" s="7">
        <v>2000</v>
      </c>
      <c r="D7" s="26">
        <v>44091</v>
      </c>
      <c r="E7" s="29" t="s">
        <v>26</v>
      </c>
      <c r="F7" s="7" t="s">
        <v>29</v>
      </c>
      <c r="G7" s="5"/>
      <c r="H7" s="7"/>
      <c r="I7" s="5"/>
      <c r="J7" s="5"/>
      <c r="K7" s="5"/>
      <c r="L7" s="5"/>
      <c r="M7" s="5"/>
      <c r="N7" s="5"/>
      <c r="O7" s="5"/>
      <c r="AT7" s="6">
        <v>44024.36</v>
      </c>
    </row>
    <row r="8" spans="1:154" ht="15.75" customHeight="1">
      <c r="A8" s="5"/>
      <c r="B8" s="7" t="s">
        <v>30</v>
      </c>
      <c r="C8" s="7">
        <v>2000</v>
      </c>
      <c r="D8" s="26">
        <v>44091</v>
      </c>
      <c r="E8" s="29" t="s">
        <v>26</v>
      </c>
      <c r="F8" s="7" t="s">
        <v>31</v>
      </c>
      <c r="G8" s="5"/>
      <c r="H8" s="7"/>
      <c r="I8" s="5"/>
      <c r="J8" s="5"/>
      <c r="K8" s="5"/>
      <c r="L8" s="5"/>
      <c r="M8" s="5"/>
      <c r="N8" s="5"/>
      <c r="O8" s="5"/>
      <c r="AT8" s="6">
        <v>43975.64</v>
      </c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33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IFERROR(__xludf.DUMMYFUNCTION("""COMPUTED_VALUE"""),"")</f>
        <v/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30</v>
      </c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34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30" t="str">
        <f ca="1">IFERROR(__xludf.DUMMYFUNCTION("""COMPUTED_VALUE"""),"Trade Date")</f>
        <v>Trade Date</v>
      </c>
      <c r="G5" s="22" t="str">
        <f ca="1">IFERROR(__xludf.DUMMYFUNCTION("""COMPUTED_VALUE"""),"Net Amount( Local)")</f>
        <v>Net Amount( Local)</v>
      </c>
      <c r="H5" s="22" t="str">
        <f ca="1">IFERROR(__xludf.DUMMYFUNCTION("""COMPUTED_VALUE"""),"Net Amount( Base)")</f>
        <v>Net Amount( Base)</v>
      </c>
      <c r="I5" s="22" t="str">
        <f ca="1">IFERROR(__xludf.DUMMYFUNCTION("""COMPUTED_VALUE"""),"Principal Amount( Local)")</f>
        <v>Principal Amount( Local)</v>
      </c>
      <c r="J5" s="22" t="str">
        <f ca="1">IFERROR(__xludf.DUMMYFUNCTION("""COMPUTED_VALUE"""),"Transaction Type")</f>
        <v>Transaction Type</v>
      </c>
      <c r="K5" s="22" t="str">
        <f ca="1">IFERROR(__xludf.DUMMYFUNCTION("""COMPUTED_VALUE"""),"Principal Amount( Base)")</f>
        <v>Principal Amount( Base)</v>
      </c>
      <c r="L5" s="22" t="str">
        <f ca="1">IFERROR(__xludf.DUMMYFUNCTION("""COMPUTED_VALUE"""),"Execution Time")</f>
        <v>Execution Time</v>
      </c>
      <c r="M5" s="22" t="str">
        <f ca="1">IFERROR(__xludf.DUMMYFUNCTION("""COMPUTED_VALUE"""),"Trading Account")</f>
        <v>Trading Account</v>
      </c>
      <c r="N5" s="22" t="str">
        <f ca="1">IFERROR(__xludf.DUMMYFUNCTION("""COMPUTED_VALUE"""),"Avg Price(Local)")</f>
        <v>Avg Price(Local)</v>
      </c>
      <c r="O5" s="22" t="str">
        <f ca="1">IFERROR(__xludf.DUMMYFUNCTION("""COMPUTED_VALUE"""),"Avg Price(Base)")</f>
        <v>Avg Price(Base)</v>
      </c>
      <c r="P5" s="22" t="str">
        <f ca="1">IFERROR(__xludf.DUMMYFUNCTION("""COMPUTED_VALUE"""),"Broker")</f>
        <v>Broker</v>
      </c>
      <c r="Q5" s="22" t="str">
        <f ca="1">IFERROR(__xludf.DUMMYFUNCTION("""COMPUTED_VALUE"""),"FX Rate")</f>
        <v>FX Rate</v>
      </c>
      <c r="R5" s="22" t="str">
        <f ca="1">IFERROR(__xludf.DUMMYFUNCTION("""COMPUTED_VALUE"""),"Venue")</f>
        <v>Venue</v>
      </c>
      <c r="S5" s="22" t="str">
        <f ca="1">IFERROR(__xludf.DUMMYFUNCTION("""COMPUTED_VALUE"""),"FX Conversion Operator")</f>
        <v>FX Conversion Operator</v>
      </c>
      <c r="T5" s="24" t="str">
        <f ca="1">IFERROR(__xludf.DUMMYFUNCTION("""COMPUTED_VALUE"""),"User")</f>
        <v>User</v>
      </c>
      <c r="U5" s="24" t="str">
        <f ca="1">IFERROR(__xludf.DUMMYFUNCTION("""COMPUTED_VALUE"""),"Asset Category")</f>
        <v>Asset Category</v>
      </c>
      <c r="V5" s="24" t="str">
        <f ca="1">IFERROR(__xludf.DUMMYFUNCTION("""COMPUTED_VALUE"""),"Settlement Currency")</f>
        <v>Settlement Currency</v>
      </c>
      <c r="W5" s="24" t="str">
        <f ca="1">IFERROR(__xludf.DUMMYFUNCTION("""COMPUTED_VALUE"""),"Commission Per Share")</f>
        <v>Commission Per Share</v>
      </c>
      <c r="X5" s="24" t="str">
        <f ca="1">IFERROR(__xludf.DUMMYFUNCTION("""COMPUTED_VALUE"""),"Soft Commission Per Share")</f>
        <v>Soft Commission Per Share</v>
      </c>
      <c r="Y5" s="24" t="str">
        <f ca="1">IFERROR(__xludf.DUMMYFUNCTION("""COMPUTED_VALUE"""),"Total Commission Per Share")</f>
        <v>Total Commission Per Share</v>
      </c>
      <c r="Z5" s="24" t="str">
        <f ca="1">IFERROR(__xludf.DUMMYFUNCTION("""COMPUTED_VALUE"""),"Change Type")</f>
        <v>Change Type</v>
      </c>
      <c r="AA5" s="24" t="str">
        <f ca="1">IFERROR(__xludf.DUMMYFUNCTION("""COMPUTED_VALUE"""),"Trade Attribute 1")</f>
        <v>Trade Attribute 1</v>
      </c>
      <c r="AB5" s="24" t="str">
        <f ca="1">IFERROR(__xludf.DUMMYFUNCTION("""COMPUTED_VALUE"""),"Trade Attribute 2")</f>
        <v>Trade Attribute 2</v>
      </c>
      <c r="AC5" s="24" t="str">
        <f ca="1">IFERROR(__xludf.DUMMYFUNCTION("""COMPUTED_VALUE"""),"Trade Attribute 3")</f>
        <v>Trade Attribute 3</v>
      </c>
      <c r="AD5" s="24" t="str">
        <f ca="1">IFERROR(__xludf.DUMMYFUNCTION("""COMPUTED_VALUE"""),"Trade Attribute 4")</f>
        <v>Trade Attribute 4</v>
      </c>
      <c r="AE5" s="24" t="str">
        <f ca="1">IFERROR(__xludf.DUMMYFUNCTION("""COMPUTED_VALUE"""),"Trade Attribute 5")</f>
        <v>Trade Attribute 5</v>
      </c>
      <c r="AF5" s="24" t="str">
        <f ca="1">IFERROR(__xludf.DUMMYFUNCTION("""COMPUTED_VALUE"""),"Trade Attribute 6")</f>
        <v>Trade Attribute 6</v>
      </c>
      <c r="AG5" s="24" t="str">
        <f ca="1">IFERROR(__xludf.DUMMYFUNCTION("""COMPUTED_VALUE"""),"IsPreAllocated")</f>
        <v>IsPreAllocated</v>
      </c>
      <c r="AH5" s="24" t="str">
        <f ca="1">IFERROR(__xludf.DUMMYFUNCTION("""COMPUTED_VALUE"""),"IsManual Group")</f>
        <v>IsManual Group</v>
      </c>
      <c r="AI5" s="24" t="str">
        <f ca="1">IFERROR(__xludf.DUMMYFUNCTION("""COMPUTED_VALUE"""),"IsAnotherTaxlotAttributesUpdated")</f>
        <v>IsAnotherTaxlotAttributesUpdated</v>
      </c>
      <c r="AJ5" s="24" t="str">
        <f ca="1">IFERROR(__xludf.DUMMYFUNCTION("""COMPUTED_VALUE"""),"ISNDF")</f>
        <v>ISNDF</v>
      </c>
      <c r="AK5" s="24" t="str">
        <f ca="1">IFERROR(__xludf.DUMMYFUNCTION("""COMPUTED_VALUE"""),"M2MProfitLoss")</f>
        <v>M2MProfitLoss</v>
      </c>
      <c r="AL5" s="24" t="str">
        <f ca="1">IFERROR(__xludf.DUMMYFUNCTION("""COMPUTED_VALUE"""),"Put Or Call")</f>
        <v>Put Or Call</v>
      </c>
      <c r="AM5" s="24" t="str">
        <f ca="1">IFERROR(__xludf.DUMMYFUNCTION("""COMPUTED_VALUE"""),"GroupID")</f>
        <v>GroupID</v>
      </c>
      <c r="AN5" s="24" t="str">
        <f ca="1">IFERROR(__xludf.DUMMYFUNCTION("""COMPUTED_VALUE"""),"UnAllocatedQty")</f>
        <v>UnAllocatedQty</v>
      </c>
      <c r="AO5" s="24" t="str">
        <f ca="1">IFERROR(__xludf.DUMMYFUNCTION("""COMPUTED_VALUE"""),"Allocated Qty")</f>
        <v>Allocated Qty</v>
      </c>
      <c r="AP5" s="24" t="str">
        <f ca="1">IFERROR(__xludf.DUMMYFUNCTION("""COMPUTED_VALUE"""),"Commission")</f>
        <v>Commission</v>
      </c>
      <c r="AQ5" s="24" t="str">
        <f ca="1">IFERROR(__xludf.DUMMYFUNCTION("""COMPUTED_VALUE"""),"Soft Commission")</f>
        <v>Soft Commission</v>
      </c>
      <c r="AR5" s="24" t="str">
        <f ca="1">IFERROR(__xludf.DUMMYFUNCTION("""COMPUTED_VALUE"""),"Other Broker Fees")</f>
        <v>Other Broker Fees</v>
      </c>
      <c r="AS5" s="24" t="str">
        <f ca="1">IFERROR(__xludf.DUMMYFUNCTION("""COMPUTED_VALUE"""),"Clearing Broker Fee")</f>
        <v>Clearing Broker Fee</v>
      </c>
      <c r="AT5" s="24" t="str">
        <f ca="1">IFERROR(__xludf.DUMMYFUNCTION("""COMPUTED_VALUE"""),"Total Commission And Fee")</f>
        <v>Total Commission And Fee</v>
      </c>
      <c r="AU5" s="24" t="str">
        <f ca="1">IFERROR(__xludf.DUMMYFUNCTION("""COMPUTED_VALUE"""),"Transaction Levy")</f>
        <v>Transaction Levy</v>
      </c>
      <c r="AV5" s="24" t="str">
        <f ca="1">IFERROR(__xludf.DUMMYFUNCTION("""COMPUTED_VALUE"""),"Stamp Duty")</f>
        <v>Stamp Duty</v>
      </c>
      <c r="AW5" s="24" t="str">
        <f ca="1">IFERROR(__xludf.DUMMYFUNCTION("""COMPUTED_VALUE"""),"AUEC Fee1")</f>
        <v>AUEC Fee1</v>
      </c>
      <c r="AX5" s="24" t="str">
        <f ca="1">IFERROR(__xludf.DUMMYFUNCTION("""COMPUTED_VALUE"""),"Tax On Commissions")</f>
        <v>Tax On Commissions</v>
      </c>
      <c r="AY5" s="24" t="str">
        <f ca="1">IFERROR(__xludf.DUMMYFUNCTION("""COMPUTED_VALUE"""),"AUEC Fee2")</f>
        <v>AUEC Fee2</v>
      </c>
      <c r="AZ5" s="24" t="str">
        <f ca="1">IFERROR(__xludf.DUMMYFUNCTION("""COMPUTED_VALUE"""),"SEC Fee")</f>
        <v>SEC Fee</v>
      </c>
      <c r="BA5" s="24" t="str">
        <f ca="1">IFERROR(__xludf.DUMMYFUNCTION("""COMPUTED_VALUE"""),"OCC Fee")</f>
        <v>OCC Fee</v>
      </c>
      <c r="BB5" s="24" t="str">
        <f ca="1">IFERROR(__xludf.DUMMYFUNCTION("""COMPUTED_VALUE"""),"ORF Fee")</f>
        <v>ORF Fee</v>
      </c>
      <c r="BC5" s="24" t="str">
        <f ca="1">IFERROR(__xludf.DUMMYFUNCTION("""COMPUTED_VALUE"""),"Option Premium Adjustment")</f>
        <v>Option Premium Adjustment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IFERROR(__xludf.DUMMYFUNCTION("""COMPUTED_VALUE"""),"Total Commission")</f>
        <v>Total Commission</v>
      </c>
      <c r="BF5" s="24" t="str">
        <f ca="1">IFERROR(__xludf.DUMMYFUNCTION("""COMPUTED_VALUE"""),"Closing Status")</f>
        <v>Closing Status</v>
      </c>
      <c r="BG5" s="24" t="str">
        <f ca="1">IFERROR(__xludf.DUMMYFUNCTION("""COMPUTED_VALUE"""),"Closing Method")</f>
        <v>Closing Method</v>
      </c>
      <c r="BH5" s="24" t="str">
        <f ca="1">IFERROR(__xludf.DUMMYFUNCTION("""COMPUTED_VALUE"""),"Group Status")</f>
        <v>Group Status</v>
      </c>
      <c r="BI5" s="24" t="str">
        <f ca="1">IFERROR(__xludf.DUMMYFUNCTION("""COMPUTED_VALUE"""),"Allocation Scheme Name")</f>
        <v>Allocation Scheme Name</v>
      </c>
      <c r="BJ5" s="24" t="str">
        <f ca="1">IFERROR(__xludf.DUMMYFUNCTION("""COMPUTED_VALUE"""),"Change Comment")</f>
        <v>Change Comment</v>
      </c>
      <c r="BK5" s="24" t="str">
        <f ca="1">IFERROR(__xludf.DUMMYFUNCTION("""COMPUTED_VALUE"""),"Order Type")</f>
        <v>Order Type</v>
      </c>
      <c r="BL5" s="24" t="str">
        <f ca="1">IFERROR(__xludf.DUMMYFUNCTION("""COMPUTED_VALUE"""),"Underlying")</f>
        <v>Underlying</v>
      </c>
      <c r="BM5" s="24" t="str">
        <f ca="1">IFERROR(__xludf.DUMMYFUNCTION("""COMPUTED_VALUE"""),"Exchange")</f>
        <v>Exchange</v>
      </c>
      <c r="BN5" s="24" t="str">
        <f ca="1">IFERROR(__xludf.DUMMYFUNCTION("""COMPUTED_VALUE"""),"Currency")</f>
        <v>Currency</v>
      </c>
      <c r="BO5" s="24" t="str">
        <f ca="1">IFERROR(__xludf.DUMMYFUNCTION("""COMPUTED_VALUE"""),"AUECID")</f>
        <v>AUECID</v>
      </c>
      <c r="BP5" s="24" t="str">
        <f ca="1">IFERROR(__xludf.DUMMYFUNCTION("""COMPUTED_VALUE"""),"Cum Qty For Sub Order")</f>
        <v>Cum Qty For Sub Order</v>
      </c>
      <c r="BQ5" s="24" t="str">
        <f ca="1">IFERROR(__xludf.DUMMYFUNCTION("""COMPUTED_VALUE"""),"Contract Multiplier")</f>
        <v>Contract Multiplier</v>
      </c>
      <c r="BR5" s="24" t="str">
        <f ca="1">IFERROR(__xludf.DUMMYFUNCTION("""COMPUTED_VALUE"""),"Company")</f>
        <v>Company</v>
      </c>
      <c r="BS5" s="24" t="str">
        <f ca="1">IFERROR(__xludf.DUMMYFUNCTION("""COMPUTED_VALUE"""),"Nirvana Process Date")</f>
        <v>Nirvana Process Date</v>
      </c>
      <c r="BT5" s="24" t="str">
        <f ca="1">IFERROR(__xludf.DUMMYFUNCTION("""COMPUTED_VALUE"""),"Process Date")</f>
        <v>Process Date</v>
      </c>
      <c r="BU5" s="24" t="str">
        <f ca="1">IFERROR(__xludf.DUMMYFUNCTION("""COMPUTED_VALUE"""),"Original Purchase Date")</f>
        <v>Original Purchase Date</v>
      </c>
      <c r="BV5" s="24" t="str">
        <f ca="1">IFERROR(__xludf.DUMMYFUNCTION("""COMPUTED_VALUE"""),"Closing Date")</f>
        <v>Closing Date</v>
      </c>
      <c r="BW5" s="24" t="str">
        <f ca="1">IFERROR(__xludf.DUMMYFUNCTION("""COMPUTED_VALUE"""),"Settlement Date")</f>
        <v>Settlement Date</v>
      </c>
      <c r="BX5" s="24" t="str">
        <f ca="1">IFERROR(__xludf.DUMMYFUNCTION("""COMPUTED_VALUE"""),"Expiration Date")</f>
        <v>Expiration Date</v>
      </c>
      <c r="BY5" s="24" t="str">
        <f ca="1">IFERROR(__xludf.DUMMYFUNCTION("""COMPUTED_VALUE"""),"Description")</f>
        <v>Description</v>
      </c>
      <c r="BZ5" s="24" t="str">
        <f ca="1">IFERROR(__xludf.DUMMYFUNCTION("""COMPUTED_VALUE"""),"Underlying Symbol")</f>
        <v>Underlying Symbol</v>
      </c>
      <c r="CA5" s="24" t="str">
        <f ca="1">IFERROR(__xludf.DUMMYFUNCTION("""COMPUTED_VALUE"""),"Accrued Interest")</f>
        <v>Accrued Interest</v>
      </c>
      <c r="CB5" s="24" t="str">
        <f ca="1">IFERROR(__xludf.DUMMYFUNCTION("""COMPUTED_VALUE"""),"Accrual Basis")</f>
        <v>Accrual Basis</v>
      </c>
      <c r="CC5" s="24" t="str">
        <f ca="1">IFERROR(__xludf.DUMMYFUNCTION("""COMPUTED_VALUE"""),"Bond Type")</f>
        <v>Bond Type</v>
      </c>
      <c r="CD5" s="24" t="str">
        <f ca="1">IFERROR(__xludf.DUMMYFUNCTION("""COMPUTED_VALUE"""),"Coupon Rate")</f>
        <v>Coupon Rate</v>
      </c>
      <c r="CE5" s="24" t="str">
        <f ca="1">IFERROR(__xludf.DUMMYFUNCTION("""COMPUTED_VALUE"""),"Delta")</f>
        <v>Delta</v>
      </c>
      <c r="CF5" s="24" t="str">
        <f ca="1">IFERROR(__xludf.DUMMYFUNCTION("""COMPUTED_VALUE"""),"Bloomberg")</f>
        <v>Bloomberg</v>
      </c>
      <c r="CG5" s="24" t="str">
        <f ca="1">IFERROR(__xludf.DUMMYFUNCTION("""COMPUTED_VALUE"""),"Sedol Symbol")</f>
        <v>Sedol Symbol</v>
      </c>
      <c r="CH5" s="24" t="str">
        <f ca="1">IFERROR(__xludf.DUMMYFUNCTION("""COMPUTED_VALUE"""),"Cusip Symbol")</f>
        <v>Cusip Symbol</v>
      </c>
      <c r="CI5" s="24" t="str">
        <f ca="1">IFERROR(__xludf.DUMMYFUNCTION("""COMPUTED_VALUE"""),"ISIN")</f>
        <v>ISIN</v>
      </c>
      <c r="CJ5" s="24" t="str">
        <f ca="1">IFERROR(__xludf.DUMMYFUNCTION("""COMPUTED_VALUE"""),"OSISSymbol")</f>
        <v>OSISSymbol</v>
      </c>
      <c r="CK5" s="24" t="str">
        <f ca="1">IFERROR(__xludf.DUMMYFUNCTION("""COMPUTED_VALUE"""),"IDCOSymbol")</f>
        <v>IDCOSymbol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IFERROR(__xludf.DUMMYFUNCTION("""COMPUTED_VALUE"""),"Internal Comments")</f>
        <v>Internal Comments</v>
      </c>
      <c r="CN5" s="24" t="str">
        <f ca="1">IFERROR(__xludf.DUMMYFUNCTION("""COMPUTED_VALUE"""),"Proxy Symbol")</f>
        <v>Proxy Symbol</v>
      </c>
      <c r="CO5" s="24" t="str">
        <f ca="1">IFERROR(__xludf.DUMMYFUNCTION("""COMPUTED_VALUE"""),"Transaction Source")</f>
        <v>Transaction Source</v>
      </c>
      <c r="CP5" s="24" t="str">
        <f ca="1">IFERROR(__xludf.DUMMYFUNCTION("""COMPUTED_VALUE"""),"Import File Name")</f>
        <v>Import File Name</v>
      </c>
      <c r="CQ5" s="24" t="str">
        <f ca="1">IFERROR(__xludf.DUMMYFUNCTION("""COMPUTED_VALUE"""),"Master Fund")</f>
        <v>Master Fund</v>
      </c>
      <c r="CR5" s="24" t="str">
        <f ca="1">IFERROR(__xludf.DUMMYFUNCTION("""COMPUTED_VALUE"""),"Client")</f>
        <v>Client</v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30</v>
      </c>
      <c r="C6" s="7" t="s">
        <v>31</v>
      </c>
      <c r="D6" s="7">
        <v>2000</v>
      </c>
      <c r="E6" s="7">
        <v>2000</v>
      </c>
      <c r="F6" s="26">
        <v>44091</v>
      </c>
      <c r="G6" s="7">
        <v>43975.64</v>
      </c>
      <c r="H6" s="7">
        <v>43975.64</v>
      </c>
      <c r="I6" s="7">
        <v>44000</v>
      </c>
      <c r="J6" s="5"/>
      <c r="K6" s="7">
        <v>44000</v>
      </c>
      <c r="L6" s="5"/>
      <c r="M6" s="5"/>
      <c r="N6" s="5"/>
      <c r="O6" s="5"/>
    </row>
    <row r="7" spans="1:154" ht="15.75" customHeight="1">
      <c r="A7" s="5"/>
      <c r="B7" s="7" t="s">
        <v>30</v>
      </c>
      <c r="C7" s="7" t="s">
        <v>29</v>
      </c>
      <c r="D7" s="7">
        <v>4000</v>
      </c>
      <c r="E7" s="7">
        <v>4000</v>
      </c>
      <c r="F7" s="26">
        <v>44091</v>
      </c>
      <c r="G7" s="7">
        <v>94048.72</v>
      </c>
      <c r="H7" s="7">
        <v>94048.72</v>
      </c>
      <c r="I7" s="7">
        <v>94000</v>
      </c>
      <c r="J7" s="5"/>
      <c r="K7" s="7">
        <v>94000</v>
      </c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35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IFERROR(__xludf.DUMMYFUNCTION("""COMPUTED_VALUE"""),"Account Percentage")</f>
        <v>Account Percentage</v>
      </c>
      <c r="D5" s="22" t="str">
        <f ca="1">IFERROR(__xludf.DUMMYFUNCTION("""COMPUTED_VALUE"""),"Account Quantity")</f>
        <v>Account Quantity</v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36</v>
      </c>
      <c r="C6" s="7">
        <v>100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45" width="14.42578125" customWidth="1"/>
    <col min="46" max="46" width="19.140625" customWidth="1"/>
    <col min="47" max="154" width="14.42578125" customWidth="1"/>
  </cols>
  <sheetData>
    <row r="1" spans="1:154" ht="15.75" customHeight="1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25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31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26</v>
      </c>
      <c r="C6" s="5"/>
      <c r="D6" s="7"/>
      <c r="E6" s="7">
        <v>2000</v>
      </c>
      <c r="F6" s="5"/>
      <c r="G6" s="7" t="s">
        <v>27</v>
      </c>
      <c r="H6" s="7">
        <v>4</v>
      </c>
      <c r="I6" s="7">
        <v>5</v>
      </c>
      <c r="J6" s="5"/>
      <c r="K6" s="7">
        <v>22</v>
      </c>
      <c r="L6" s="7">
        <v>22</v>
      </c>
      <c r="M6" s="5"/>
      <c r="N6" s="5"/>
      <c r="O6" s="5"/>
      <c r="S6" s="6" t="s">
        <v>28</v>
      </c>
      <c r="AT6" s="6">
        <v>43975.975400000003</v>
      </c>
      <c r="AU6" s="6">
        <v>43975.975400000003</v>
      </c>
      <c r="BE6" s="6">
        <v>44000</v>
      </c>
      <c r="BF6" s="6">
        <v>44000</v>
      </c>
      <c r="BJ6" s="6">
        <v>2000</v>
      </c>
      <c r="BO6" s="6" t="s">
        <v>31</v>
      </c>
      <c r="BT6" s="6" t="s">
        <v>30</v>
      </c>
      <c r="CE6" s="32">
        <v>44091</v>
      </c>
    </row>
    <row r="7" spans="1:154" ht="15.75" customHeight="1">
      <c r="A7" s="5"/>
      <c r="B7" s="7" t="s">
        <v>26</v>
      </c>
      <c r="C7" s="5"/>
      <c r="D7" s="5"/>
      <c r="E7" s="7">
        <v>4000</v>
      </c>
      <c r="F7" s="5"/>
      <c r="G7" s="7" t="s">
        <v>27</v>
      </c>
      <c r="H7" s="7">
        <v>4</v>
      </c>
      <c r="I7" s="7">
        <v>5</v>
      </c>
      <c r="J7" s="5"/>
      <c r="K7" s="7">
        <v>23.5</v>
      </c>
      <c r="L7" s="7">
        <v>23.5</v>
      </c>
      <c r="M7" s="5"/>
      <c r="N7" s="5"/>
      <c r="O7" s="5"/>
      <c r="S7" s="6" t="s">
        <v>28</v>
      </c>
      <c r="AT7" s="6">
        <v>94034.052599999995</v>
      </c>
      <c r="AU7" s="6">
        <v>94034.052599999995</v>
      </c>
      <c r="BE7" s="6">
        <v>94000</v>
      </c>
      <c r="BF7" s="6">
        <v>94000</v>
      </c>
      <c r="BJ7" s="6">
        <v>4000</v>
      </c>
      <c r="BO7" s="6" t="s">
        <v>29</v>
      </c>
      <c r="BT7" s="6" t="s">
        <v>30</v>
      </c>
      <c r="CE7" s="32">
        <v>44091</v>
      </c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37</v>
      </c>
      <c r="D3" s="2" t="s">
        <v>9</v>
      </c>
      <c r="E3" s="17" t="s">
        <v>38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31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26</v>
      </c>
      <c r="C6" s="7" t="s">
        <v>27</v>
      </c>
      <c r="D6" s="7"/>
      <c r="E6" s="27"/>
      <c r="F6" s="5"/>
      <c r="G6" s="5"/>
      <c r="H6" s="7">
        <v>94034.052599999995</v>
      </c>
      <c r="I6" s="7">
        <v>23.5</v>
      </c>
      <c r="J6" s="5"/>
      <c r="K6" s="5"/>
      <c r="L6" s="5"/>
      <c r="M6" s="7">
        <v>4000</v>
      </c>
      <c r="N6" s="5"/>
      <c r="O6" s="7" t="s">
        <v>39</v>
      </c>
      <c r="P6" s="6" t="s">
        <v>29</v>
      </c>
      <c r="R6" s="6" t="s">
        <v>30</v>
      </c>
      <c r="U6" s="32">
        <v>44091</v>
      </c>
      <c r="X6" s="6">
        <v>23.508513149999999</v>
      </c>
      <c r="Y6" s="6">
        <v>23.508500000000002</v>
      </c>
      <c r="Z6" s="6">
        <v>23.5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37</v>
      </c>
      <c r="D3" s="2" t="s">
        <v>9</v>
      </c>
      <c r="E3" s="17" t="s">
        <v>40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31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26</v>
      </c>
      <c r="C6" s="7" t="s">
        <v>27</v>
      </c>
      <c r="D6" s="7"/>
      <c r="E6" s="27"/>
      <c r="F6" s="5"/>
      <c r="G6" s="5"/>
      <c r="H6" s="7">
        <v>43975.975400000003</v>
      </c>
      <c r="I6" s="7">
        <v>22</v>
      </c>
      <c r="J6" s="5"/>
      <c r="K6" s="5"/>
      <c r="L6" s="5"/>
      <c r="M6" s="7">
        <v>2000</v>
      </c>
      <c r="N6" s="5"/>
      <c r="O6" s="7" t="s">
        <v>39</v>
      </c>
      <c r="P6" s="6" t="s">
        <v>31</v>
      </c>
      <c r="R6" s="6" t="s">
        <v>30</v>
      </c>
      <c r="U6" s="32">
        <v>44091</v>
      </c>
      <c r="X6" s="6">
        <v>21.987987700000001</v>
      </c>
      <c r="Y6" s="6">
        <v>21.988</v>
      </c>
      <c r="Z6" s="6">
        <v>22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BE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" width="14.42578125" customWidth="1"/>
    <col min="17" max="17" width="19.42578125" customWidth="1"/>
    <col min="18" max="85" width="14.42578125" customWidth="1"/>
    <col min="86" max="86" width="17.28515625" customWidth="1"/>
    <col min="87" max="167" width="14.42578125" customWidth="1"/>
  </cols>
  <sheetData>
    <row r="1" spans="1:167" ht="15.75" customHeight="1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7" ht="15.75" customHeight="1">
      <c r="A3" s="16"/>
      <c r="B3" s="2" t="s">
        <v>8</v>
      </c>
      <c r="C3" s="17" t="s">
        <v>41</v>
      </c>
      <c r="D3" s="2" t="s">
        <v>9</v>
      </c>
      <c r="E3" s="17" t="s">
        <v>42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  <c r="EY4" s="20" t="str">
        <f ca="1">IFERROR(__xludf.DUMMYFUNCTION("""COMPUTED_VALUE"""),"")</f>
        <v/>
      </c>
      <c r="EZ4" s="20" t="str">
        <f ca="1">IFERROR(__xludf.DUMMYFUNCTION("""COMPUTED_VALUE"""),"")</f>
        <v/>
      </c>
      <c r="FA4" s="20" t="str">
        <f ca="1">IFERROR(__xludf.DUMMYFUNCTION("""COMPUTED_VALUE"""),"")</f>
        <v/>
      </c>
      <c r="FB4" s="20" t="str">
        <f ca="1">IFERROR(__xludf.DUMMYFUNCTION("""COMPUTED_VALUE"""),"")</f>
        <v/>
      </c>
      <c r="FC4" s="20" t="str">
        <f ca="1">IFERROR(__xludf.DUMMYFUNCTION("""COMPUTED_VALUE"""),"")</f>
        <v/>
      </c>
      <c r="FD4" s="20" t="str">
        <f ca="1">IFERROR(__xludf.DUMMYFUNCTION("""COMPUTED_VALUE"""),"")</f>
        <v/>
      </c>
      <c r="FE4" s="20" t="str">
        <f ca="1">IFERROR(__xludf.DUMMYFUNCTION("""COMPUTED_VALUE"""),"")</f>
        <v/>
      </c>
      <c r="FF4" s="20" t="str">
        <f ca="1">IFERROR(__xludf.DUMMYFUNCTION("""COMPUTED_VALUE"""),"")</f>
        <v/>
      </c>
      <c r="FG4" s="20" t="str">
        <f ca="1">IFERROR(__xludf.DUMMYFUNCTION("""COMPUTED_VALUE"""),"")</f>
        <v/>
      </c>
      <c r="FH4" s="20" t="str">
        <f ca="1">IFERROR(__xludf.DUMMYFUNCTION("""COMPUTED_VALUE"""),"")</f>
        <v/>
      </c>
      <c r="FI4" s="20" t="str">
        <f ca="1">IFERROR(__xludf.DUMMYFUNCTION("""COMPUTED_VALUE"""),"")</f>
        <v/>
      </c>
      <c r="FJ4" s="20" t="str">
        <f ca="1">IFERROR(__xludf.DUMMYFUNCTION("""COMPUTED_VALUE"""),"")</f>
        <v/>
      </c>
      <c r="FK4" s="20" t="str">
        <f ca="1">IFERROR(__xludf.DUMMYFUNCTION("""COMPUTED_VALUE"""),"")</f>
        <v/>
      </c>
    </row>
    <row r="5" spans="1:167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31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IFERROR(__xludf.DUMMYFUNCTION("""COMPUTED_VALUE"""),"")</f>
        <v/>
      </c>
      <c r="FC5" s="24" t="str">
        <f ca="1">IFERROR(__xludf.DUMMYFUNCTION("""COMPUTED_VALUE"""),"")</f>
        <v/>
      </c>
      <c r="FD5" s="24" t="str">
        <f ca="1">IFERROR(__xludf.DUMMYFUNCTION("""COMPUTED_VALUE"""),"")</f>
        <v/>
      </c>
      <c r="FE5" s="24" t="str">
        <f ca="1">IFERROR(__xludf.DUMMYFUNCTION("""COMPUTED_VALUE"""),"")</f>
        <v/>
      </c>
      <c r="FF5" s="24" t="str">
        <f ca="1">IFERROR(__xludf.DUMMYFUNCTION("""COMPUTED_VALUE"""),"")</f>
        <v/>
      </c>
      <c r="FG5" s="24" t="str">
        <f ca="1">IFERROR(__xludf.DUMMYFUNCTION("""COMPUTED_VALUE"""),"")</f>
        <v/>
      </c>
      <c r="FH5" s="24" t="str">
        <f ca="1">IFERROR(__xludf.DUMMYFUNCTION("""COMPUTED_VALUE"""),"")</f>
        <v/>
      </c>
      <c r="FI5" s="24" t="str">
        <f ca="1">IFERROR(__xludf.DUMMYFUNCTION("""COMPUTED_VALUE"""),"")</f>
        <v/>
      </c>
      <c r="FJ5" s="24" t="str">
        <f ca="1">IFERROR(__xludf.DUMMYFUNCTION("""COMPUTED_VALUE"""),"")</f>
        <v/>
      </c>
      <c r="FK5" s="24" t="str">
        <f ca="1">IFERROR(__xludf.DUMMYFUNCTION("""COMPUTED_VALUE"""),"")</f>
        <v/>
      </c>
    </row>
    <row r="6" spans="1:167" ht="15.75" customHeight="1">
      <c r="A6" s="7"/>
      <c r="B6" s="7"/>
      <c r="C6" s="7" t="s">
        <v>30</v>
      </c>
      <c r="D6" s="7">
        <v>-2000</v>
      </c>
      <c r="E6" s="7" t="s">
        <v>26</v>
      </c>
      <c r="F6" s="5"/>
      <c r="G6" s="7">
        <v>22</v>
      </c>
      <c r="H6" s="7" t="s">
        <v>43</v>
      </c>
      <c r="I6" s="5"/>
      <c r="J6" s="5"/>
      <c r="K6" s="5"/>
      <c r="L6" s="5"/>
      <c r="M6" s="5"/>
      <c r="N6" s="5"/>
      <c r="O6" s="5"/>
      <c r="Q6" s="33">
        <v>44000</v>
      </c>
      <c r="T6" s="6" t="s">
        <v>27</v>
      </c>
      <c r="AF6" s="33">
        <v>-2000</v>
      </c>
      <c r="AN6" s="6" t="s">
        <v>31</v>
      </c>
      <c r="AP6" s="6" t="s">
        <v>43</v>
      </c>
      <c r="AQ6" s="6" t="s">
        <v>30</v>
      </c>
      <c r="CH6" s="6">
        <v>100</v>
      </c>
      <c r="CR6" s="32">
        <v>44091</v>
      </c>
    </row>
    <row r="7" spans="1:167" ht="15.75" customHeight="1">
      <c r="A7" s="5"/>
      <c r="B7" s="5"/>
      <c r="C7" s="7" t="s">
        <v>30</v>
      </c>
      <c r="D7" s="7">
        <v>4000</v>
      </c>
      <c r="E7" s="7" t="s">
        <v>26</v>
      </c>
      <c r="F7" s="5"/>
      <c r="G7" s="7">
        <v>23.5</v>
      </c>
      <c r="H7" s="7" t="s">
        <v>43</v>
      </c>
      <c r="I7" s="5"/>
      <c r="J7" s="5"/>
      <c r="K7" s="5"/>
      <c r="L7" s="5"/>
      <c r="M7" s="5"/>
      <c r="N7" s="5"/>
      <c r="O7" s="5"/>
      <c r="Q7" s="33">
        <v>-94000</v>
      </c>
      <c r="T7" s="6" t="s">
        <v>27</v>
      </c>
      <c r="AF7" s="33">
        <v>4000</v>
      </c>
      <c r="AN7" s="6" t="s">
        <v>29</v>
      </c>
      <c r="AP7" s="6" t="s">
        <v>43</v>
      </c>
      <c r="AQ7" s="6" t="s">
        <v>30</v>
      </c>
      <c r="CH7" s="6">
        <v>-100</v>
      </c>
      <c r="CR7" s="32">
        <v>44091</v>
      </c>
    </row>
    <row r="8" spans="1:167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7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7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44</v>
      </c>
      <c r="D3" s="2" t="s">
        <v>9</v>
      </c>
      <c r="E3" s="17" t="s">
        <v>45</v>
      </c>
      <c r="F3" s="2" t="s">
        <v>13</v>
      </c>
      <c r="G3" s="9" t="s">
        <v>14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IFERROR(__xludf.DUMMYFUNCTION("TRANSPOSE(IMPORTRANGE(VLOOKUP($E$3,IMPORTRANGE('_Settings'!$B$3,$C$3&amp;""!A4:B1000""),2,FALSE),$G$3&amp;""!A4:A1000""))"),"#REF!")</f>
        <v>#REF!</v>
      </c>
      <c r="B5" s="22"/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46</v>
      </c>
      <c r="C6" s="5"/>
      <c r="D6" s="7" t="s">
        <v>47</v>
      </c>
      <c r="E6" s="27">
        <v>1000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_Modules</vt:lpstr>
      <vt:lpstr>_Settings</vt:lpstr>
      <vt:lpstr>_MasterData</vt:lpstr>
      <vt:lpstr>Import</vt:lpstr>
      <vt:lpstr>ApplyFilterOnImport</vt:lpstr>
      <vt:lpstr>SelectAllOnImport</vt:lpstr>
      <vt:lpstr>GetDataAllocation</vt:lpstr>
      <vt:lpstr>CheckAllocatedGroups</vt:lpstr>
      <vt:lpstr>Unallocate</vt:lpstr>
      <vt:lpstr>GroupTrades</vt:lpstr>
      <vt:lpstr>SelectUnallocatedGroup1</vt:lpstr>
      <vt:lpstr>EnterAccountValuesToAllocate</vt:lpstr>
      <vt:lpstr>CheckAllocatedGroups1</vt:lpstr>
      <vt:lpstr>VerifyLongPositionsGrid</vt:lpstr>
      <vt:lpstr>VerifyShortPositionsGrid</vt:lpstr>
      <vt:lpstr>CheckPortfolioManagement</vt:lpstr>
      <vt:lpstr>SelectUnallocatedGroup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2021-08-04T14:54:32Z</dcterms:modified>
</cp:coreProperties>
</file>