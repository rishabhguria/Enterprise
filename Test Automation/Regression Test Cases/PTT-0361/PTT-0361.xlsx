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alculatePTT" sheetId="4" r:id="rId6"/>
    <sheet state="visible" name="CustomOrderTT" sheetId="5" r:id="rId7"/>
    <sheet state="visible" name="CustomOrderTT1" sheetId="6" r:id="rId8"/>
    <sheet state="visible" name="CustomOrderTT2" sheetId="7" r:id="rId9"/>
    <sheet state="visible" name="VerifyOrder" sheetId="8" r:id="rId10"/>
    <sheet state="visible" name="PricingInput" sheetId="9" r:id="rId11"/>
    <sheet state="visible" name="GetDailyCash" sheetId="10" r:id="rId12"/>
    <sheet state="visible" name="CreateDoneAwayOrder" sheetId="11" r:id="rId13"/>
    <sheet state="visible" name="UpdateMultipleDailyCash" sheetId="12" r:id="rId14"/>
  </sheets>
  <definedNames/>
  <calcPr/>
</workbook>
</file>

<file path=xl/sharedStrings.xml><?xml version="1.0" encoding="utf-8"?>
<sst xmlns="http://schemas.openxmlformats.org/spreadsheetml/2006/main" count="106" uniqueCount="41">
  <si>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</si>
  <si>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</si>
  <si>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</si>
  <si>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</si>
  <si>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</si>
  <si>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</si>
  <si>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</si>
  <si>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</si>
  <si>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</si>
  <si>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</si>
  <si>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</si>
  <si>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</si>
  <si>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PTT</t>
  </si>
  <si>
    <t>CalculatePTT</t>
  </si>
  <si>
    <t>Data Format</t>
  </si>
  <si>
    <t>Input Format</t>
  </si>
  <si>
    <t>IBM</t>
  </si>
  <si>
    <t>AMT</t>
  </si>
  <si>
    <t>Account</t>
  </si>
  <si>
    <t>Allocation1</t>
  </si>
  <si>
    <t>MS</t>
  </si>
  <si>
    <t>TradingTicket</t>
  </si>
  <si>
    <t>CustomOrderTT</t>
  </si>
  <si>
    <t>Send</t>
  </si>
  <si>
    <t>Sell</t>
  </si>
  <si>
    <t>CreateOrder</t>
  </si>
  <si>
    <t>Sell Short</t>
  </si>
  <si>
    <t>DoneAway</t>
  </si>
  <si>
    <t>Buy to Open</t>
  </si>
  <si>
    <t>Blotter</t>
  </si>
  <si>
    <t>VerifyOrder</t>
  </si>
  <si>
    <t>Equity</t>
  </si>
  <si>
    <t>New</t>
  </si>
  <si>
    <t>Filled</t>
  </si>
  <si>
    <t>PricingInput</t>
  </si>
  <si>
    <t>DailyValuation</t>
  </si>
  <si>
    <t>GetDailyCash</t>
  </si>
  <si>
    <t>CreateDoneAwayOrder</t>
  </si>
  <si>
    <t>Buy</t>
  </si>
  <si>
    <t>UpdateMultipleDailyCash</t>
  </si>
  <si>
    <t>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</si>
</sst>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8"/>
      <c r="D6" s="13" t="s">
        <v>17</v>
      </c>
      <c r="E6" s="13">
        <v>10000.0</v>
      </c>
      <c r="F6" s="13">
        <v>10.0</v>
      </c>
      <c r="G6" s="13" t="s">
        <v>18</v>
      </c>
      <c r="H6" s="13" t="s">
        <v>19</v>
      </c>
      <c r="I6" s="8"/>
      <c r="J6" s="8"/>
      <c r="K6" s="8"/>
      <c r="L6" s="8"/>
      <c r="M6" s="13" t="s">
        <v>20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 t="s">
        <v>23</v>
      </c>
      <c r="F6" s="8"/>
      <c r="G6" s="8"/>
      <c r="H6" s="8"/>
      <c r="I6" s="8"/>
      <c r="J6" s="13" t="s">
        <v>24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13" t="s">
        <v>25</v>
      </c>
      <c r="F6" s="8"/>
      <c r="G6" s="8"/>
      <c r="H6" s="8"/>
      <c r="I6" s="8"/>
      <c r="J6" s="13" t="s">
        <v>26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13" t="s">
        <v>27</v>
      </c>
      <c r="F6" s="8"/>
      <c r="G6" s="8"/>
      <c r="H6" s="8"/>
      <c r="I6" s="8"/>
      <c r="J6" s="13" t="s">
        <v>28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H6" s="9" t="s">
        <v>31</v>
      </c>
      <c r="AI6" s="9" t="s">
        <v>16</v>
      </c>
      <c r="AJ6" s="9" t="s">
        <v>24</v>
      </c>
      <c r="AK6" s="9" t="s">
        <v>32</v>
      </c>
      <c r="AL6" s="9">
        <v>1000.0</v>
      </c>
      <c r="AS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H7" s="9" t="s">
        <v>31</v>
      </c>
      <c r="AI7" s="9" t="s">
        <v>16</v>
      </c>
      <c r="AJ7" s="9" t="s">
        <v>26</v>
      </c>
      <c r="AK7" s="9" t="s">
        <v>32</v>
      </c>
      <c r="AL7" s="9">
        <v>1000.0</v>
      </c>
      <c r="AS7" s="9" t="s">
        <v>20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H8" s="9" t="s">
        <v>31</v>
      </c>
      <c r="AI8" s="9" t="s">
        <v>16</v>
      </c>
      <c r="AJ8" s="9" t="s">
        <v>28</v>
      </c>
      <c r="AK8" s="9" t="s">
        <v>33</v>
      </c>
      <c r="AL8" s="9">
        <v>1000.0</v>
      </c>
      <c r="AS8" s="9" t="s">
        <v>20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13">
        <v>10.0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>
        <f>TODAY()-1</f>
        <v>45828</v>
      </c>
      <c r="C6" s="31">
        <f>TODAY()</f>
        <v>45829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IFERROR(__xludf.DUMMYFUNCTION("TRANSPOSE(IMPORTRANGE(VLOOKUP($E$3,IMPORTRANGE('_Settings'!$B$3,$C$3&amp;""!A4:B1000""),2,FALSE),$G$3&amp;""!A4:A1000""))"),"#REF!")</f>
        <v>#REF!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38</v>
      </c>
      <c r="D6" s="13">
        <v>1000.0</v>
      </c>
      <c r="E6" s="32"/>
      <c r="F6" s="13" t="s">
        <v>19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19</v>
      </c>
      <c r="C6" s="13" t="s">
        <v>40</v>
      </c>
      <c r="D6" s="13">
        <v>1000000.0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