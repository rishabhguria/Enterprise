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SelectTrade1" sheetId="7" r:id="rId9"/>
    <sheet state="visible" name="AcknowledgeTrade1" sheetId="8" r:id="rId10"/>
    <sheet state="visible" name="SelectTradeOnOrderGrid" sheetId="9" r:id="rId11"/>
    <sheet state="visible" name="ReplaceSubOrder" sheetId="10" r:id="rId12"/>
    <sheet state="visible" name="CustomOrderTT1" sheetId="11" r:id="rId13"/>
    <sheet state="visible" name="SelectTradeOnOrderGrid1" sheetId="12" r:id="rId14"/>
    <sheet state="visible" name="ReplaceSubOrder1" sheetId="13" r:id="rId15"/>
    <sheet state="visible" name="CustomOrderTT2" sheetId="14" r:id="rId16"/>
    <sheet state="visible" name="TransferToUserOrder" sheetId="15" r:id="rId17"/>
    <sheet state="visible" name="CheckAllocatedGroups" sheetId="16" r:id="rId18"/>
    <sheet state="visible" name="CheckAllocatedTaxlots" sheetId="17" r:id="rId19"/>
    <sheet state="visible" name="VerifyOrder" sheetId="18" r:id="rId20"/>
  </sheets>
  <definedNames/>
  <calcPr/>
</workbook>
</file>

<file path=xl/sharedStrings.xml><?xml version="1.0" encoding="utf-8"?>
<sst xmlns="http://schemas.openxmlformats.org/spreadsheetml/2006/main" count="423" uniqueCount="55">
  <si>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</si>
  <si>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</si>
  <si>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</si>
  <si>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</si>
  <si>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</si>
  <si>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</si>
  <si>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</si>
  <si>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</si>
  <si>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</si>
  <si>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</si>
  <si>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</si>
  <si>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</si>
  <si>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</si>
  <si>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</si>
  <si>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</si>
  <si>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</si>
  <si>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ASX</t>
  </si>
  <si>
    <t>Send</t>
  </si>
  <si>
    <t>Buy</t>
  </si>
  <si>
    <t>Good Till Date</t>
  </si>
  <si>
    <t>GTC</t>
  </si>
  <si>
    <t>Simulator</t>
  </si>
  <si>
    <t>SelectTrade</t>
  </si>
  <si>
    <t>AcknowledgeTrade</t>
  </si>
  <si>
    <t>Blotter</t>
  </si>
  <si>
    <t>SelectTradeOnOrderGrid</t>
  </si>
  <si>
    <t>ReplaceSubOrder</t>
  </si>
  <si>
    <t>Replace</t>
  </si>
  <si>
    <t>TransferToUserOrder</t>
  </si>
  <si>
    <t>jgulbrandsen</t>
  </si>
  <si>
    <t>Yes</t>
  </si>
  <si>
    <t>Allocation</t>
  </si>
  <si>
    <t>CheckAllocatedGroups</t>
  </si>
  <si>
    <t>msft</t>
  </si>
  <si>
    <t>buy</t>
  </si>
  <si>
    <t>CheckAllocatedTaxlots</t>
  </si>
  <si>
    <t>VerifyOrder</t>
  </si>
  <si>
    <t/>
  </si>
  <si>
    <t>ASX US EQUITY</t>
  </si>
  <si>
    <t>NASDAQ</t>
  </si>
  <si>
    <t>jpearce</t>
  </si>
  <si>
    <t>US</t>
  </si>
  <si>
    <t>GCCAP1</t>
  </si>
  <si>
    <t>USD</t>
  </si>
  <si>
    <t>NONE</t>
  </si>
  <si>
    <t>NewMF</t>
  </si>
  <si>
    <t>DefaultNotes</t>
  </si>
  <si>
    <t>M</t>
  </si>
  <si>
    <t>Equity</t>
  </si>
  <si>
    <t>New</t>
  </si>
  <si>
    <t>MS</t>
  </si>
  <si>
    <t>Allocation1</t>
  </si>
  <si>
    <t>Limit</t>
  </si>
  <si>
    <t>Manual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</si>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</sst>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2" numFmtId="14" xfId="0" applyFont="1" applyNumberFormat="1"/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1000.0</v>
      </c>
      <c r="D6" s="30"/>
      <c r="E6" s="33" t="s">
        <v>17</v>
      </c>
      <c r="F6" s="34"/>
      <c r="G6" s="34"/>
      <c r="H6" s="34"/>
      <c r="I6" s="34"/>
      <c r="J6" s="33" t="s">
        <v>18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 t="s">
        <v>19</v>
      </c>
      <c r="V6" s="34"/>
      <c r="W6" s="34"/>
      <c r="X6" s="35">
        <v>100.0</v>
      </c>
      <c r="Y6" s="36">
        <f>TODAY()+2</f>
        <v>45303</v>
      </c>
      <c r="Z6" s="36">
        <f t="shared" ref="Z6:Z7" si="1">TODAY()-1</f>
        <v>45300</v>
      </c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3" t="s">
        <v>16</v>
      </c>
      <c r="C7" s="32">
        <v>1001.0</v>
      </c>
      <c r="D7" s="34"/>
      <c r="E7" s="33" t="s">
        <v>17</v>
      </c>
      <c r="F7" s="34"/>
      <c r="G7" s="34"/>
      <c r="H7" s="34"/>
      <c r="I7" s="34"/>
      <c r="J7" s="33" t="s">
        <v>18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 t="s">
        <v>20</v>
      </c>
      <c r="V7" s="34"/>
      <c r="W7" s="34"/>
      <c r="X7" s="35">
        <v>100.0</v>
      </c>
      <c r="Y7" s="34"/>
      <c r="Z7" s="36">
        <f t="shared" si="1"/>
        <v>45300</v>
      </c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3" t="s">
        <v>16</v>
      </c>
      <c r="D6" s="30"/>
      <c r="E6" s="34"/>
      <c r="F6" s="34"/>
      <c r="G6" s="32">
        <v>1000.0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3" t="s">
        <v>16</v>
      </c>
      <c r="D6" s="30"/>
      <c r="E6" s="34"/>
      <c r="F6" s="34"/>
      <c r="G6" s="32">
        <v>1000.0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3" t="s">
        <v>16</v>
      </c>
      <c r="D6" s="30"/>
      <c r="E6" s="34"/>
      <c r="F6" s="34"/>
      <c r="G6" s="37">
        <v>1001.0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3" t="s">
        <v>16</v>
      </c>
      <c r="D6" s="30"/>
      <c r="E6" s="34"/>
      <c r="F6" s="34"/>
      <c r="G6" s="37">
        <v>1001.0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8"/>
      <c r="F6" s="8"/>
      <c r="G6" s="8"/>
      <c r="H6" s="12">
        <v>1000.0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1200.0</v>
      </c>
      <c r="D6" s="12"/>
      <c r="E6" s="12" t="s">
        <v>27</v>
      </c>
      <c r="F6" s="8"/>
      <c r="G6" s="8"/>
      <c r="H6" s="8"/>
      <c r="I6" s="8"/>
      <c r="J6" s="8"/>
      <c r="K6" s="8"/>
      <c r="L6" s="8"/>
      <c r="M6" s="8"/>
      <c r="N6" s="8"/>
      <c r="O6" s="8"/>
      <c r="U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8"/>
      <c r="F6" s="8"/>
      <c r="G6" s="8"/>
      <c r="H6" s="12">
        <v>1001.0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1201.0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U6" s="34" t="s">
        <v>19</v>
      </c>
      <c r="Y6" s="39">
        <f>TODAY()+2</f>
        <v>45303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IFERROR(__xludf.DUMMYFUNCTION("""COMPUTED_VALUE"""),"userName")</f>
        <v>userName</v>
      </c>
      <c r="AY5" s="29" t="str">
        <f>IFERROR(__xludf.DUMMYFUNCTION("""COMPUTED_VALUE"""),"Allocation Scheme Name")</f>
        <v>Allocation Scheme Name</v>
      </c>
      <c r="AZ5" s="29" t="str">
        <f>IFERROR(__xludf.DUMMYFUNCTION("""COMPUTED_VALUE"""),"Allow Transfer")</f>
        <v>Allow Transfer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/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 t="s">
        <v>16</v>
      </c>
      <c r="AJ6" s="34" t="s">
        <v>18</v>
      </c>
      <c r="AK6" s="34"/>
      <c r="AL6" s="35">
        <v>1200.0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 t="s">
        <v>29</v>
      </c>
      <c r="AY6" s="34"/>
      <c r="AZ6" s="34" t="s">
        <v>30</v>
      </c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 t="s">
        <v>16</v>
      </c>
      <c r="AJ7" s="34" t="s">
        <v>18</v>
      </c>
      <c r="AK7" s="34"/>
      <c r="AL7" s="35">
        <v>1201.0</v>
      </c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 t="s">
        <v>29</v>
      </c>
      <c r="AY7" s="34"/>
      <c r="AZ7" s="34" t="s">
        <v>30</v>
      </c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TransferToUserOrder!$4:$4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8"/>
      <c r="D6" s="12" t="s">
        <v>34</v>
      </c>
      <c r="E6" s="38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8"/>
      <c r="D6" s="12" t="s">
        <v>34</v>
      </c>
      <c r="E6" s="38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0" t="s">
        <v>37</v>
      </c>
      <c r="B6" s="40"/>
      <c r="C6" s="8"/>
      <c r="D6" s="40"/>
      <c r="E6" s="8" t="s">
        <v>38</v>
      </c>
      <c r="F6" s="8">
        <v>100.0</v>
      </c>
      <c r="G6" s="8">
        <v>1001.0</v>
      </c>
      <c r="H6" s="8" t="s">
        <v>39</v>
      </c>
      <c r="I6" s="8" t="s">
        <v>40</v>
      </c>
      <c r="J6" s="8" t="s">
        <v>16</v>
      </c>
      <c r="K6" s="8" t="s">
        <v>41</v>
      </c>
      <c r="L6" s="8" t="s">
        <v>42</v>
      </c>
      <c r="M6" s="8"/>
      <c r="N6" s="8"/>
      <c r="O6" s="8"/>
      <c r="U6" t="s">
        <v>43</v>
      </c>
      <c r="V6" t="s">
        <v>44</v>
      </c>
      <c r="AA6" t="s">
        <v>45</v>
      </c>
      <c r="AC6" t="s">
        <v>46</v>
      </c>
      <c r="AD6">
        <v>1.0</v>
      </c>
      <c r="AF6" t="s">
        <v>47</v>
      </c>
      <c r="AH6" t="s">
        <v>48</v>
      </c>
      <c r="AI6" t="s">
        <v>16</v>
      </c>
      <c r="AJ6" t="s">
        <v>18</v>
      </c>
      <c r="AK6" t="s">
        <v>49</v>
      </c>
      <c r="AL6">
        <v>1001.0</v>
      </c>
      <c r="AS6" t="s">
        <v>50</v>
      </c>
      <c r="AT6" t="s">
        <v>51</v>
      </c>
      <c r="AU6" t="s">
        <v>52</v>
      </c>
      <c r="AX6" t="s">
        <v>53</v>
      </c>
      <c r="AY6" t="s">
        <v>37</v>
      </c>
      <c r="AZ6">
        <v>1001.0</v>
      </c>
      <c r="BA6" t="s">
        <v>40</v>
      </c>
      <c r="BB6" t="s">
        <v>37</v>
      </c>
      <c r="BC6" t="s">
        <v>37</v>
      </c>
      <c r="BD6" t="s">
        <v>37</v>
      </c>
      <c r="BE6" t="s">
        <v>37</v>
      </c>
      <c r="BF6" t="s">
        <v>37</v>
      </c>
      <c r="BG6" t="s">
        <v>12</v>
      </c>
      <c r="BH6" t="s">
        <v>20</v>
      </c>
      <c r="BK6" t="s">
        <v>37</v>
      </c>
      <c r="BP6" t="s">
        <v>37</v>
      </c>
      <c r="BQ6" t="s">
        <v>37</v>
      </c>
      <c r="BR6" t="s">
        <v>37</v>
      </c>
      <c r="BS6" t="s">
        <v>37</v>
      </c>
      <c r="BT6" t="s">
        <v>37</v>
      </c>
      <c r="BU6" t="s">
        <v>37</v>
      </c>
      <c r="BV6" t="s">
        <v>37</v>
      </c>
      <c r="BW6" t="s">
        <v>37</v>
      </c>
      <c r="BX6" t="s">
        <v>37</v>
      </c>
      <c r="BY6" t="s">
        <v>37</v>
      </c>
      <c r="BZ6" t="s">
        <v>37</v>
      </c>
      <c r="CA6" t="s">
        <v>37</v>
      </c>
      <c r="CB6" t="s">
        <v>37</v>
      </c>
      <c r="CC6" t="s">
        <v>37</v>
      </c>
      <c r="CD6" t="s">
        <v>37</v>
      </c>
      <c r="CE6" t="s">
        <v>37</v>
      </c>
      <c r="CF6" t="s">
        <v>37</v>
      </c>
      <c r="CG6" t="s">
        <v>37</v>
      </c>
      <c r="CH6" t="s">
        <v>37</v>
      </c>
      <c r="CI6" t="s">
        <v>37</v>
      </c>
      <c r="CJ6" t="s">
        <v>37</v>
      </c>
      <c r="CK6" t="s">
        <v>37</v>
      </c>
      <c r="CL6" t="s">
        <v>37</v>
      </c>
      <c r="CM6" t="s">
        <v>37</v>
      </c>
      <c r="CN6" t="s">
        <v>37</v>
      </c>
      <c r="CO6" t="s">
        <v>37</v>
      </c>
      <c r="CP6" t="s">
        <v>37</v>
      </c>
      <c r="CQ6" t="s">
        <v>37</v>
      </c>
      <c r="CR6" t="s">
        <v>37</v>
      </c>
      <c r="CS6" t="s">
        <v>37</v>
      </c>
      <c r="CT6" t="s">
        <v>37</v>
      </c>
      <c r="CU6" t="s">
        <v>37</v>
      </c>
      <c r="CV6" t="s">
        <v>37</v>
      </c>
      <c r="CW6" t="s">
        <v>37</v>
      </c>
      <c r="CX6" t="s">
        <v>37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EY6" t="s">
        <v>37</v>
      </c>
      <c r="EZ6" t="s">
        <v>37</v>
      </c>
      <c r="FA6" t="s">
        <v>37</v>
      </c>
      <c r="FB6" t="s">
        <v>37</v>
      </c>
      <c r="FC6" t="s">
        <v>37</v>
      </c>
      <c r="FD6" t="s">
        <v>37</v>
      </c>
      <c r="FE6" t="s">
        <v>37</v>
      </c>
      <c r="FF6" t="s">
        <v>37</v>
      </c>
      <c r="FG6" t="s">
        <v>37</v>
      </c>
      <c r="FH6" t="s">
        <v>37</v>
      </c>
      <c r="FI6" t="s">
        <v>37</v>
      </c>
      <c r="FJ6" t="s">
        <v>37</v>
      </c>
      <c r="FK6" t="s">
        <v>37</v>
      </c>
      <c r="FL6" t="s">
        <v>37</v>
      </c>
      <c r="FM6" t="s">
        <v>37</v>
      </c>
      <c r="FN6" t="s">
        <v>37</v>
      </c>
      <c r="FO6" t="s">
        <v>37</v>
      </c>
      <c r="FP6" t="s">
        <v>37</v>
      </c>
      <c r="FQ6" t="s">
        <v>37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 t="s">
        <v>37</v>
      </c>
      <c r="B7" s="8"/>
      <c r="C7" s="8"/>
      <c r="D7" s="8"/>
      <c r="E7" s="8" t="s">
        <v>38</v>
      </c>
      <c r="F7" s="8">
        <v>100.0</v>
      </c>
      <c r="G7" s="8">
        <v>1200.0</v>
      </c>
      <c r="H7" s="8" t="s">
        <v>39</v>
      </c>
      <c r="I7" s="8" t="s">
        <v>29</v>
      </c>
      <c r="J7" s="8" t="s">
        <v>16</v>
      </c>
      <c r="K7" s="8" t="s">
        <v>41</v>
      </c>
      <c r="L7" s="8" t="s">
        <v>42</v>
      </c>
      <c r="M7" s="8"/>
      <c r="N7" s="8"/>
      <c r="O7" s="8"/>
      <c r="U7" t="s">
        <v>43</v>
      </c>
      <c r="V7" t="s">
        <v>44</v>
      </c>
      <c r="AA7" t="s">
        <v>45</v>
      </c>
      <c r="AC7" t="s">
        <v>46</v>
      </c>
      <c r="AD7">
        <v>1.0</v>
      </c>
      <c r="AF7" t="s">
        <v>47</v>
      </c>
      <c r="AH7" t="s">
        <v>48</v>
      </c>
      <c r="AI7" t="s">
        <v>16</v>
      </c>
      <c r="AJ7" t="s">
        <v>18</v>
      </c>
      <c r="AK7" t="s">
        <v>54</v>
      </c>
      <c r="AL7">
        <v>1200.0</v>
      </c>
      <c r="AS7" t="s">
        <v>50</v>
      </c>
      <c r="AT7" t="s">
        <v>51</v>
      </c>
      <c r="AU7" t="s">
        <v>52</v>
      </c>
      <c r="AX7" t="s">
        <v>53</v>
      </c>
      <c r="AY7" t="s">
        <v>37</v>
      </c>
      <c r="AZ7">
        <v>1200.0</v>
      </c>
      <c r="BA7" t="s">
        <v>40</v>
      </c>
      <c r="BB7" t="s">
        <v>37</v>
      </c>
      <c r="BC7" t="s">
        <v>37</v>
      </c>
      <c r="BD7" t="s">
        <v>37</v>
      </c>
      <c r="BE7" t="s">
        <v>37</v>
      </c>
      <c r="BF7" t="s">
        <v>37</v>
      </c>
      <c r="BG7" t="s">
        <v>12</v>
      </c>
      <c r="BH7" t="s">
        <v>20</v>
      </c>
      <c r="BK7" t="s">
        <v>37</v>
      </c>
      <c r="BP7" t="s">
        <v>37</v>
      </c>
      <c r="BQ7" t="s">
        <v>37</v>
      </c>
      <c r="BR7" t="s">
        <v>37</v>
      </c>
      <c r="BS7" t="s">
        <v>37</v>
      </c>
      <c r="BT7" t="s">
        <v>37</v>
      </c>
      <c r="BU7" t="s">
        <v>37</v>
      </c>
      <c r="BV7" t="s">
        <v>37</v>
      </c>
      <c r="BW7" t="s">
        <v>37</v>
      </c>
      <c r="BX7" t="s">
        <v>37</v>
      </c>
      <c r="BY7" t="s">
        <v>37</v>
      </c>
      <c r="BZ7" t="s">
        <v>37</v>
      </c>
      <c r="CA7" t="s">
        <v>37</v>
      </c>
      <c r="CB7" t="s">
        <v>37</v>
      </c>
      <c r="CC7" t="s">
        <v>37</v>
      </c>
      <c r="CD7" t="s">
        <v>37</v>
      </c>
      <c r="CE7" t="s">
        <v>37</v>
      </c>
      <c r="CF7" t="s">
        <v>37</v>
      </c>
      <c r="CG7" t="s">
        <v>37</v>
      </c>
      <c r="CH7" t="s">
        <v>37</v>
      </c>
      <c r="CI7" t="s">
        <v>37</v>
      </c>
      <c r="CJ7" t="s">
        <v>37</v>
      </c>
      <c r="CK7" t="s">
        <v>37</v>
      </c>
      <c r="CL7" t="s">
        <v>37</v>
      </c>
      <c r="CM7" t="s">
        <v>37</v>
      </c>
      <c r="CN7" t="s">
        <v>37</v>
      </c>
      <c r="CO7" t="s">
        <v>37</v>
      </c>
      <c r="CP7" t="s">
        <v>37</v>
      </c>
      <c r="CQ7" t="s">
        <v>37</v>
      </c>
      <c r="CR7" t="s">
        <v>37</v>
      </c>
      <c r="CS7" t="s">
        <v>37</v>
      </c>
      <c r="CT7" t="s">
        <v>37</v>
      </c>
      <c r="CU7" t="s">
        <v>37</v>
      </c>
      <c r="CV7" t="s">
        <v>37</v>
      </c>
      <c r="CW7" t="s">
        <v>37</v>
      </c>
      <c r="CX7" t="s">
        <v>37</v>
      </c>
      <c r="CY7" t="s">
        <v>37</v>
      </c>
      <c r="CZ7" t="s">
        <v>37</v>
      </c>
      <c r="DA7" t="s">
        <v>37</v>
      </c>
      <c r="DB7" t="s">
        <v>37</v>
      </c>
      <c r="DC7" t="s">
        <v>37</v>
      </c>
      <c r="DD7" t="s">
        <v>37</v>
      </c>
      <c r="DE7" t="s">
        <v>37</v>
      </c>
      <c r="DF7" t="s">
        <v>37</v>
      </c>
      <c r="DG7" t="s">
        <v>37</v>
      </c>
      <c r="DH7" t="s">
        <v>37</v>
      </c>
      <c r="DI7" t="s">
        <v>37</v>
      </c>
      <c r="DJ7" t="s">
        <v>37</v>
      </c>
      <c r="DK7" t="s">
        <v>37</v>
      </c>
      <c r="DL7" t="s">
        <v>37</v>
      </c>
      <c r="DM7" t="s">
        <v>37</v>
      </c>
      <c r="DN7" t="s">
        <v>37</v>
      </c>
      <c r="DO7" t="s">
        <v>37</v>
      </c>
      <c r="DP7" t="s">
        <v>37</v>
      </c>
      <c r="DQ7" t="s">
        <v>37</v>
      </c>
      <c r="DR7" t="s">
        <v>37</v>
      </c>
      <c r="DS7" t="s">
        <v>37</v>
      </c>
      <c r="DT7" t="s">
        <v>37</v>
      </c>
      <c r="DU7" t="s">
        <v>37</v>
      </c>
      <c r="DV7" t="s">
        <v>37</v>
      </c>
      <c r="DW7" t="s">
        <v>37</v>
      </c>
      <c r="DX7" t="s">
        <v>37</v>
      </c>
      <c r="DY7" t="s">
        <v>37</v>
      </c>
      <c r="DZ7" t="s">
        <v>37</v>
      </c>
      <c r="EA7" t="s">
        <v>37</v>
      </c>
      <c r="EB7" t="s">
        <v>37</v>
      </c>
      <c r="EC7" t="s">
        <v>37</v>
      </c>
      <c r="ED7" t="s">
        <v>37</v>
      </c>
      <c r="EE7" t="s">
        <v>37</v>
      </c>
      <c r="EF7" t="s">
        <v>37</v>
      </c>
      <c r="EG7" t="s">
        <v>37</v>
      </c>
      <c r="EH7" t="s">
        <v>37</v>
      </c>
      <c r="EI7" t="s">
        <v>37</v>
      </c>
      <c r="EJ7" t="s">
        <v>37</v>
      </c>
      <c r="EK7" t="s">
        <v>37</v>
      </c>
      <c r="EL7" t="s">
        <v>37</v>
      </c>
      <c r="EM7" t="s">
        <v>37</v>
      </c>
      <c r="EN7" t="s">
        <v>37</v>
      </c>
      <c r="EO7" t="s">
        <v>37</v>
      </c>
      <c r="EP7" t="s">
        <v>37</v>
      </c>
      <c r="EQ7" t="s">
        <v>37</v>
      </c>
      <c r="ER7" t="s">
        <v>37</v>
      </c>
      <c r="ES7" t="s">
        <v>37</v>
      </c>
      <c r="ET7" t="s">
        <v>37</v>
      </c>
      <c r="EU7" t="s">
        <v>37</v>
      </c>
      <c r="EV7" t="s">
        <v>37</v>
      </c>
      <c r="EW7" t="s">
        <v>37</v>
      </c>
      <c r="EX7" t="s">
        <v>37</v>
      </c>
      <c r="EY7" t="s">
        <v>37</v>
      </c>
      <c r="EZ7" t="s">
        <v>37</v>
      </c>
      <c r="FA7" t="s">
        <v>37</v>
      </c>
      <c r="FB7" t="s">
        <v>37</v>
      </c>
      <c r="FC7" t="s">
        <v>37</v>
      </c>
      <c r="FD7" t="s">
        <v>37</v>
      </c>
      <c r="FE7" t="s">
        <v>37</v>
      </c>
      <c r="FF7" t="s">
        <v>37</v>
      </c>
      <c r="FG7" t="s">
        <v>37</v>
      </c>
      <c r="FH7" t="s">
        <v>37</v>
      </c>
      <c r="FI7" t="s">
        <v>37</v>
      </c>
      <c r="FJ7" t="s">
        <v>37</v>
      </c>
      <c r="FK7" t="s">
        <v>37</v>
      </c>
      <c r="FL7" t="s">
        <v>37</v>
      </c>
      <c r="FM7" t="s">
        <v>37</v>
      </c>
      <c r="FN7" t="s">
        <v>37</v>
      </c>
      <c r="FO7" t="s">
        <v>37</v>
      </c>
      <c r="FP7" t="s">
        <v>37</v>
      </c>
      <c r="FQ7" t="s">
        <v>37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  <c r="AML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