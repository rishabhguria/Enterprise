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drawing+xml" PartName="/xl/drawings/drawing5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GetFixedPreference" sheetId="4" r:id="rId6"/>
    <sheet name="CheckFixedPreference" sheetId="5" r:id="rId7"/>
  </sheets>
  <calcPr fullCalcOnLoad="1"/>
</workbook>
</file>

<file path=xl/sharedStrings.xml><?xml version="1.0" encoding="utf-8"?>
<sst xmlns="http://schemas.openxmlformats.org/spreadsheetml/2006/main" count="26" uniqueCount="26">
  <si>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</si>
  <si>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</si>
  <si>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</si>
  <si>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</si>
  <si>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</si>
  <si>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</si>
  <si>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</si>
  <si>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</si>
  <si>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</si>
  <si>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</si>
  <si>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</si>
  <si>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</si>
  <si>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</si>
  <si>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GetFixedPreference</t>
  </si>
  <si>
    <t>Data Format</t>
  </si>
  <si>
    <t>Input Format</t>
  </si>
  <si>
    <t>PositionFile</t>
  </si>
  <si>
    <t>CheckFixedPreference</t>
  </si>
  <si>
    <t>Allocation2</t>
  </si>
  <si>
    <t>AMZN</t>
  </si>
  <si>
    <t>Symbol</t>
  </si>
  <si>
    <t>Allocation3</t>
  </si>
  <si>
    <t>BALT</t>
  </si>
  <si>
    <t>Allocation1</t>
  </si>
  <si>
    <t>MSFT</t>
  </si>
  <si>
    <t>MUSA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</si>
</sst>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14" applyFont="1" fillId="0" applyFill="1" borderId="0" applyBorder="1" xfId="0"/>
    <xf fontId="14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GetFixedPreference!$4:$4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IFERROR(__xludf.DUMMYFUNCTION("""COMPUTED_VALUE"""),"Ticker Symbol")</f>
        <v>Ticker Symbol</v>
      </c>
      <c r="D5" s="28" t="str">
        <f>IFERROR(__xludf.DUMMYFUNCTION("""COMPUTED_VALUE"""),"Description")</f>
        <v>Description</v>
      </c>
      <c r="E5" s="28" t="str">
        <f>IFERROR(__xludf.DUMMYFUNCTION("""COMPUTED_VALUE"""),"Sedol Symbol")</f>
        <v>Sedol Symbol</v>
      </c>
      <c r="F5" s="29" t="str">
        <f>IFERROR(__xludf.DUMMYFUNCTION("""COMPUTED_VALUE"""),"Bloomberg Symbol")</f>
        <v>Bloomberg Symbol</v>
      </c>
      <c r="G5" s="28" t="str">
        <f>IFERROR(__xludf.DUMMYFUNCTION("""COMPUTED_VALUE"""),"Side")</f>
        <v>Side</v>
      </c>
      <c r="H5" s="28" t="str">
        <f>IFERROR(__xludf.DUMMYFUNCTION("""COMPUTED_VALUE"""),"Quantity")</f>
        <v>Quantity</v>
      </c>
      <c r="I5" s="28" t="str">
        <f>IFERROR(__xludf.DUMMYFUNCTION("""COMPUTED_VALUE"""),"Total Quantity")</f>
        <v>Total Quantity</v>
      </c>
      <c r="J5" s="28" t="str">
        <f>IFERROR(__xludf.DUMMYFUNCTION("""COMPUTED_VALUE"""),"Allocation %")</f>
        <v>Allocation %</v>
      </c>
      <c r="K5" s="28" t="str">
        <f>IFERROR(__xludf.DUMMYFUNCTION("""COMPUTED_VALUE"""),"RoundLots")</f>
        <v>RoundLots</v>
      </c>
      <c r="L5" s="28" t="str">
        <f>IFERROR(__xludf.DUMMYFUNCTION("""COMPUTED_VALUE"""),"Trade Type")</f>
        <v>Trade Type</v>
      </c>
      <c r="M5" s="28" t="str">
        <f>IFERROR(__xludf.DUMMYFUNCTION("""COMPUTED_VALUE"""),"Currency")</f>
        <v>Currency</v>
      </c>
      <c r="N5" s="28" t="str">
        <f>IFERROR(__xludf.DUMMYFUNCTION("""COMPUTED_VALUE"""),"PB")</f>
        <v>PB</v>
      </c>
      <c r="O5" s="28" t="str">
        <f>IFERROR(__xludf.DUMMYFUNCTION("""COMPUTED_VALUE"""),"Allocation Scheme Key")</f>
        <v>Allocation Scheme Key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2" t="s">
        <v>19</v>
      </c>
      <c r="D6" s="13"/>
      <c r="E6" s="31"/>
      <c r="F6" s="8"/>
      <c r="G6" s="8"/>
      <c r="H6" s="32">
        <v>500</v>
      </c>
      <c r="I6" s="32">
        <v>1000</v>
      </c>
      <c r="J6" s="32">
        <v>50</v>
      </c>
      <c r="K6" s="32">
        <v>0</v>
      </c>
      <c r="L6" s="8"/>
      <c r="M6" s="8"/>
      <c r="N6" s="8"/>
      <c r="O6" s="32" t="s">
        <v>20</v>
      </c>
    </row>
    <row r="7" ht="15.75" customHeight="1">
      <c r="A7" s="8"/>
      <c r="B7" s="32" t="s">
        <v>21</v>
      </c>
      <c r="C7" s="32" t="s">
        <v>19</v>
      </c>
      <c r="D7" s="8"/>
      <c r="E7" s="8"/>
      <c r="F7" s="8"/>
      <c r="G7" s="8"/>
      <c r="H7" s="32">
        <v>500</v>
      </c>
      <c r="I7" s="32">
        <v>1000</v>
      </c>
      <c r="J7" s="32">
        <v>50</v>
      </c>
      <c r="K7" s="32">
        <v>0</v>
      </c>
      <c r="L7" s="8"/>
      <c r="M7" s="8"/>
      <c r="N7" s="8"/>
      <c r="O7" s="32" t="s">
        <v>20</v>
      </c>
    </row>
    <row r="8" ht="15.75" customHeight="1">
      <c r="A8" s="8"/>
      <c r="B8" s="32" t="s">
        <v>18</v>
      </c>
      <c r="C8" s="32" t="s">
        <v>22</v>
      </c>
      <c r="D8" s="8"/>
      <c r="E8" s="8"/>
      <c r="F8" s="8"/>
      <c r="G8" s="8"/>
      <c r="H8" s="32">
        <v>500</v>
      </c>
      <c r="I8" s="32">
        <v>1000</v>
      </c>
      <c r="J8" s="32">
        <v>50</v>
      </c>
      <c r="K8" s="32">
        <v>0</v>
      </c>
      <c r="L8" s="8"/>
      <c r="M8" s="8"/>
      <c r="N8" s="8"/>
      <c r="O8" s="32" t="s">
        <v>20</v>
      </c>
    </row>
    <row r="9" ht="15.75" customHeight="1">
      <c r="A9" s="8"/>
      <c r="B9" s="32" t="s">
        <v>21</v>
      </c>
      <c r="C9" s="32" t="s">
        <v>22</v>
      </c>
      <c r="D9" s="8"/>
      <c r="E9" s="8"/>
      <c r="F9" s="8"/>
      <c r="G9" s="8"/>
      <c r="H9" s="32">
        <v>500</v>
      </c>
      <c r="I9" s="32">
        <v>1000</v>
      </c>
      <c r="J9" s="32">
        <v>50</v>
      </c>
      <c r="K9" s="32">
        <v>0</v>
      </c>
      <c r="L9" s="8"/>
      <c r="M9" s="8"/>
      <c r="N9" s="8"/>
      <c r="O9" s="32" t="s">
        <v>20</v>
      </c>
    </row>
    <row r="10" ht="15.75" customHeight="1">
      <c r="A10" s="8"/>
      <c r="B10" s="32" t="s">
        <v>23</v>
      </c>
      <c r="C10" s="32" t="s">
        <v>24</v>
      </c>
      <c r="D10" s="8"/>
      <c r="E10" s="8"/>
      <c r="F10" s="8"/>
      <c r="G10" s="8"/>
      <c r="H10" s="32">
        <v>10000</v>
      </c>
      <c r="I10" s="32">
        <v>10000</v>
      </c>
      <c r="J10" s="32">
        <v>100</v>
      </c>
      <c r="K10" s="32">
        <v>0</v>
      </c>
      <c r="L10" s="8"/>
      <c r="M10" s="8"/>
      <c r="N10" s="8"/>
      <c r="O10" s="32" t="s">
        <v>20</v>
      </c>
    </row>
    <row r="11" ht="15.75" customHeight="1">
      <c r="A11" s="8"/>
      <c r="B11" s="32" t="s">
        <v>18</v>
      </c>
      <c r="C11" s="32" t="s">
        <v>25</v>
      </c>
      <c r="D11" s="8"/>
      <c r="E11" s="8"/>
      <c r="F11" s="8"/>
      <c r="G11" s="8"/>
      <c r="H11" s="32">
        <v>700</v>
      </c>
      <c r="I11" s="32">
        <v>1000</v>
      </c>
      <c r="J11" s="32">
        <v>70</v>
      </c>
      <c r="K11" s="32">
        <v>0</v>
      </c>
      <c r="L11" s="8"/>
      <c r="M11" s="8"/>
      <c r="N11" s="8"/>
      <c r="O11" s="32" t="s">
        <v>20</v>
      </c>
    </row>
    <row r="12" ht="15.75" customHeight="1">
      <c r="A12" s="8"/>
      <c r="B12" s="32" t="s">
        <v>21</v>
      </c>
      <c r="C12" s="32" t="s">
        <v>25</v>
      </c>
      <c r="D12" s="8"/>
      <c r="E12" s="8"/>
      <c r="F12" s="8"/>
      <c r="G12" s="8"/>
      <c r="H12" s="32">
        <v>300</v>
      </c>
      <c r="I12" s="32">
        <v>1000</v>
      </c>
      <c r="J12" s="32">
        <v>30</v>
      </c>
      <c r="K12" s="32">
        <v>0</v>
      </c>
      <c r="L12" s="8"/>
      <c r="M12" s="8"/>
      <c r="N12" s="8"/>
      <c r="O12" s="32" t="s">
        <v>20</v>
      </c>
    </row>
    <row r="13" ht="15.75" customHeight="1">
      <c r="A13" s="8"/>
      <c r="B13" s="33"/>
      <c r="C13" s="33"/>
      <c r="D13" s="8"/>
      <c r="E13" s="8"/>
      <c r="F13" s="8"/>
      <c r="G13" s="8"/>
      <c r="H13" s="33"/>
      <c r="I13" s="33"/>
      <c r="J13" s="33"/>
      <c r="K13" s="33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CheckFixedPreference!$4:$4</formula1>
    </dataValidation>
  </dataValidations>
  <headerFooter/>
  <drawing r:id="rId1"/>
</worksheet>
</file>