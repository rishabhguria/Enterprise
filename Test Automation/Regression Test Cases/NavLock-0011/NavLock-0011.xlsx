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DoneAwayOrder" sheetId="5" r:id="rId7"/>
    <sheet state="visible" name="AddNavLock" sheetId="6" r:id="rId8"/>
    <sheet state="visible" name="GetDataFromAuditTrail" sheetId="7" r:id="rId9"/>
    <sheet state="visible" name="VerifyAuditTrail" sheetId="8" r:id="rId10"/>
    <sheet state="visible" name="DeleteExistingNavLock" sheetId="9" r:id="rId11"/>
    <sheet state="visible" name="VerifyAuditTrail1" sheetId="10" r:id="rId12"/>
  </sheets>
  <definedNames/>
  <calcPr/>
</workbook>
</file>

<file path=xl/sharedStrings.xml><?xml version="1.0" encoding="utf-8"?>
<sst xmlns="http://schemas.openxmlformats.org/spreadsheetml/2006/main" count="72" uniqueCount="33">
  <si>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</si>
  <si>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</si>
  <si>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</si>
  <si>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</si>
  <si>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</si>
  <si>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</si>
  <si>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</si>
  <si>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</si>
  <si>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</si>
  <si>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</si>
  <si>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</si>
  <si>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</si>
  <si>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</si>
  <si>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</si>
  <si>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</si>
  <si>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</si>
  <si>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</si>
  <si>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</si>
  <si>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CreateDoneAwayOrder</t>
  </si>
  <si>
    <t>AAPL</t>
  </si>
  <si>
    <t>Buy</t>
  </si>
  <si>
    <t>MS</t>
  </si>
  <si>
    <t>NavLock</t>
  </si>
  <si>
    <t>AddNavLock</t>
  </si>
  <si>
    <t>AuditTrail</t>
  </si>
  <si>
    <t>GetDataFromAuditTrail</t>
  </si>
  <si>
    <t>VerifyAuditTrail</t>
  </si>
  <si>
    <t>Global Lock Added</t>
  </si>
  <si>
    <t>None</t>
  </si>
  <si>
    <t>jpearce</t>
  </si>
  <si>
    <t>NAVLock</t>
  </si>
  <si>
    <t>DeleteExistingNavLock</t>
  </si>
  <si>
    <t>Global Lock 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</si>
</sst>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5" fillId="6" fontId="13" numFmtId="0" xfId="0" applyAlignment="1" applyBorder="1" applyFill="1" applyFont="1">
      <alignment horizontal="right" shrinkToFit="0" vertical="top" wrapText="0"/>
    </xf>
    <xf borderId="5" fillId="6" fontId="13" numFmtId="0" xfId="0" applyAlignment="1" applyBorder="1" applyFont="1">
      <alignment horizontal="right" shrinkToFit="0" vertical="top" wrapText="0"/>
    </xf>
    <xf borderId="5" fillId="6" fontId="13" numFmtId="0" xfId="0" applyAlignment="1" applyBorder="1" applyFont="1">
      <alignment horizontal="right" readingOrder="0" shrinkToFit="0" vertical="top" wrapText="0"/>
    </xf>
    <xf borderId="5" fillId="6" fontId="13" numFmtId="164" xfId="0" applyAlignment="1" applyBorder="1" applyFont="1" applyNumberFormat="1">
      <alignment horizontal="right" readingOrder="0" shrinkToFit="0" vertical="top" wrapText="0"/>
    </xf>
    <xf borderId="5" fillId="6" fontId="13" numFmtId="165" xfId="0" applyAlignment="1" applyBorder="1" applyFont="1" applyNumberFormat="1">
      <alignment horizontal="right" readingOrder="0" shrinkToFit="0" vertical="top" wrapText="0"/>
    </xf>
    <xf borderId="5" fillId="7" fontId="13" numFmtId="0" xfId="0" applyAlignment="1" applyBorder="1" applyFill="1" applyFont="1">
      <alignment horizontal="right" shrinkToFit="0" vertical="top" wrapText="0"/>
    </xf>
    <xf borderId="5" fillId="7" fontId="13" numFmtId="0" xfId="0" applyAlignment="1" applyBorder="1" applyFont="1">
      <alignment horizontal="right" shrinkToFit="0" vertical="top" wrapText="0"/>
    </xf>
    <xf borderId="5" fillId="7" fontId="13" numFmtId="0" xfId="0" applyAlignment="1" applyBorder="1" applyFont="1">
      <alignment horizontal="right" readingOrder="0" shrinkToFit="0" vertical="top" wrapText="0"/>
    </xf>
    <xf borderId="5" fillId="7" fontId="13" numFmtId="164" xfId="0" applyAlignment="1" applyBorder="1" applyFont="1" applyNumberFormat="1">
      <alignment horizontal="right" readingOrder="0" shrinkToFit="0" vertical="top" wrapText="0"/>
    </xf>
    <xf borderId="5" fillId="7" fontId="13" numFmtId="165" xfId="0" applyAlignment="1" applyBorder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8"/>
      <c r="G6" s="12" t="s">
        <v>21</v>
      </c>
      <c r="H6" s="8"/>
      <c r="I6" s="8"/>
      <c r="J6" s="12">
        <v>10.0</v>
      </c>
      <c r="K6" s="8"/>
      <c r="L6" s="8"/>
      <c r="M6" s="8"/>
      <c r="N6" s="33">
        <f>today()</f>
        <v>45477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TODAY()-4</f>
        <v>45473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 t="shared" ref="B6:C6" si="1">today()</f>
        <v>45477</v>
      </c>
      <c r="C6" s="33">
        <f t="shared" si="1"/>
        <v>45477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31.0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</f>
        <v>45477</v>
      </c>
      <c r="C6" s="35"/>
      <c r="D6" s="36"/>
      <c r="E6" s="35"/>
      <c r="F6" s="37" t="s">
        <v>27</v>
      </c>
      <c r="G6" s="37" t="s">
        <v>28</v>
      </c>
      <c r="H6" s="37" t="s">
        <v>29</v>
      </c>
      <c r="I6" s="37" t="str">
        <f>"Global Lock for "&amp; TEXT(MONTH(TODAY()-4),"00") &amp; "/" &amp; TEXT(DAY(TODAY()-4),"00") &amp; "/" &amp; TEXT(YEAR(TODAY()-4)-2000,"00") &amp;" added by jpearce"</f>
        <v>Global Lock for 06/30/24 added by jpearce</v>
      </c>
      <c r="J6" s="35"/>
      <c r="K6" s="35"/>
      <c r="L6" s="35"/>
      <c r="M6" s="38"/>
      <c r="N6" s="39"/>
      <c r="O6" s="35"/>
      <c r="P6" s="37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IFERROR(__xludf.DUMMYFUNCTION("""COMPUTED_VALUE"""),"Cancel")</f>
        <v>Cancel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DeleteExistingNavLock!$4:$4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63"/>
    <col customWidth="1" min="3" max="4" width="12.63"/>
    <col customWidth="1" min="5" max="5" width="16.25"/>
    <col customWidth="1" min="6" max="8" width="12.63"/>
    <col customWidth="1" min="9" max="9" width="31.75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</f>
        <v>45477</v>
      </c>
      <c r="C6" s="40"/>
      <c r="D6" s="41"/>
      <c r="E6" s="40"/>
      <c r="F6" s="42" t="s">
        <v>32</v>
      </c>
      <c r="G6" s="42" t="s">
        <v>29</v>
      </c>
      <c r="H6" s="42" t="s">
        <v>29</v>
      </c>
      <c r="I6" s="42" t="str">
        <f>"Global Lock for "&amp; TEXT(MONTH(TODAY()-4),"00") &amp; "/" &amp; TEXT(DAY(TODAY()-4),"00") &amp; "/" &amp; TEXT(YEAR(TODAY()-4)-2000,"00") &amp;" deleted by jpearce"</f>
        <v>Global Lock for 06/30/24 deleted by jpearce</v>
      </c>
      <c r="J6" s="40"/>
      <c r="K6" s="40"/>
      <c r="L6" s="40"/>
      <c r="M6" s="43"/>
      <c r="N6" s="44"/>
      <c r="O6" s="40"/>
      <c r="P6" s="42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