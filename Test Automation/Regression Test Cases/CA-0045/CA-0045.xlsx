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Long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<sst xmlns="http://schemas.openxmlformats.org/spreadsheetml/2006/main" count="4286" uniqueCount="106">
  <si>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</si>
  <si>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</si>
  <si>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</si>
  <si>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</si>
  <si>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</si>
  <si>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</si>
  <si>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</si>
  <si>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</si>
  <si>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</si>
  <si>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</si>
  <si>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</si>
  <si>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</si>
  <si>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</si>
  <si>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</si>
  <si>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</si>
  <si>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</si>
  <si>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</si>
  <si>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</si>
  <si>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</si>
  <si>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</si>
  <si>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</si>
  <si>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</si>
  <si>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</si>
  <si>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</si>
  <si>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</si>
  <si>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</si>
  <si>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</si>
  <si>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Buy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</si>
  <si>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</si>
  <si>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</si>
  <si>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</si>
  <si>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</si>
  <si>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</si>
  <si>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</si>
  <si>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</si>
  <si>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</si>
  <si>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</si>
  <si>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GetDayEndCash</t>
  </si>
  <si>
    <t>GetAccountBalance</t>
  </si>
  <si>
    <t>GC-TC</t>
  </si>
  <si>
    <t>Sell</t>
  </si>
  <si>
    <t>Closing</t>
  </si>
  <si>
    <t>GetDataClosing</t>
  </si>
  <si>
    <t>Historical</t>
  </si>
  <si>
    <t>AutomaticClosing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</si>
  <si>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</si>
  <si>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</si>
  <si>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</si>
  <si>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</si>
  <si>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</si>
  <si>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</si>
  <si>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</si>
  <si>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</si>
  <si>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</si>
  <si>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</si>
  <si>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</si>
  <si>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</si>
  <si>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</si>
  <si>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</si>
  <si>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</si>
  <si>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D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</si>
  <si>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</si>
  <si>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</si>
  <si>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</si>
  <si>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</si>
  <si>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</si>
  <si>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Cash to Unrealized FXRate PNL Entry</t>
  </si>
  <si>
    <t>VerifyTradingTransaction</t>
  </si>
  <si>
    <t>Trading</t>
  </si>
  <si>
    <t>BrokerNotes</t>
  </si>
  <si>
    <t>GetActivityData</t>
  </si>
  <si>
    <t>VerifyActivity</t>
  </si>
  <si>
    <t>EquityLongUnRealizedPNL</t>
  </si>
  <si>
    <t>Cash</t>
  </si>
  <si>
    <t/>
  </si>
  <si>
    <t>NonTrading</t>
  </si>
  <si>
    <t>unknown5</t>
  </si>
  <si>
    <t xml:space="preserve"> </t>
  </si>
  <si>
    <t>Manual Journal Entry</t>
  </si>
  <si>
    <t>CashUnRealizedPNL</t>
  </si>
  <si>
    <t>EquityL</t>
  </si>
  <si>
    <t>EquityLongRealizedPNL</t>
  </si>
  <si>
    <t>CorporateAction</t>
  </si>
  <si>
    <t>OpenSpinOff</t>
  </si>
  <si>
    <t>SpinOff</t>
  </si>
  <si>
    <t>ABX-TC</t>
  </si>
  <si>
    <t>CloseAtGivenPrice</t>
  </si>
  <si>
    <t>VerifyAndApplyCorpAction</t>
  </si>
  <si>
    <t>MiscellaneousIncome</t>
  </si>
  <si>
    <t xml:space="preserve"> Cash In Lieu</t>
  </si>
  <si>
    <t>VerifyLongPositionsGrid</t>
  </si>
  <si>
    <t>Equity</t>
  </si>
  <si>
    <t>GREAT CDN GAMING</t>
  </si>
  <si>
    <t>Strategy Unallocated</t>
  </si>
  <si>
    <t>US</t>
  </si>
  <si>
    <t>ABERDEEN INTL</t>
  </si>
  <si>
    <t>BARRICK GOLD</t>
  </si>
  <si>
    <t>Allocation</t>
  </si>
  <si>
    <t>GetDataAllocation</t>
  </si>
  <si>
    <t>CheckAllocatedGroups</t>
  </si>
  <si>
    <t>Open</t>
  </si>
  <si>
    <t>TSX</t>
  </si>
  <si>
    <t>Market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</si>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</sst>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0" fillId="6" fontId="13" numFmtId="14" xfId="0" applyFill="1" applyFont="1" applyNumberFormat="1"/>
    <xf borderId="5" fillId="6" fontId="13" numFmtId="0" xfId="0" applyBorder="1" applyFont="1"/>
    <xf borderId="5" fillId="6" fontId="13" numFmtId="0" xfId="0" applyBorder="1" applyFon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22" xfId="0" applyBorder="1" applyFont="1" applyNumberFormat="1"/>
    <xf borderId="0" fillId="0" fontId="15" numFmtId="0" xfId="0" applyAlignment="1" applyFont="1">
      <alignment vertical="bottom"/>
    </xf>
    <xf borderId="5" fillId="6" fontId="13" numFmtId="14" xfId="0" applyBorder="1" applyFont="1" applyNumberFormat="1"/>
    <xf borderId="5" fillId="7" fontId="13" numFmtId="0" xfId="0" applyBorder="1" applyFill="1" applyFont="1"/>
    <xf borderId="5" fillId="7" fontId="16" numFmtId="0" xfId="0" applyAlignment="1" applyBorder="1" applyFont="1">
      <alignment horizontal="right"/>
    </xf>
    <xf borderId="5" fillId="7" fontId="13" numFmtId="0" xfId="0" applyAlignment="1" applyBorder="1" applyFont="1">
      <alignment horizontal="right"/>
    </xf>
    <xf borderId="5" fillId="7" fontId="13" numFmtId="22" xfId="0" applyBorder="1" applyFont="1" applyNumberFormat="1"/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5" numFmtId="165" xfId="0" applyAlignment="1" applyFont="1" applyNumberFormat="1">
      <alignment horizontal="right" vertical="bottom"/>
    </xf>
    <xf borderId="5" fillId="7" fontId="13" numFmtId="14" xfId="0" applyBorder="1" applyFont="1" applyNumberFormat="1"/>
    <xf borderId="5" fillId="9" fontId="13" numFmtId="0" xfId="0" applyAlignment="1" applyBorder="1" applyFill="1" applyFont="1">
      <alignment horizontal="left" readingOrder="0" shrinkToFit="0" vertical="bottom" wrapText="0"/>
    </xf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4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58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4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5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56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3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4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7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8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82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78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81.png"/><Relationship Id="rId2" Type="http://schemas.openxmlformats.org/officeDocument/2006/relationships/image" Target="../media/image79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77.png"/><Relationship Id="rId2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1">
        <v>43871.0</v>
      </c>
      <c r="E6" s="31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>
        <v>43871.0</v>
      </c>
      <c r="C6" s="34" t="s">
        <v>18</v>
      </c>
      <c r="D6" s="35"/>
      <c r="E6" s="34" t="s">
        <v>19</v>
      </c>
      <c r="F6" s="34" t="s">
        <v>20</v>
      </c>
      <c r="G6" s="34"/>
      <c r="H6" s="36">
        <v>500000.0</v>
      </c>
      <c r="I6" s="34"/>
      <c r="J6" s="36">
        <v>1.0</v>
      </c>
      <c r="K6" s="34" t="s">
        <v>21</v>
      </c>
      <c r="L6" s="34"/>
      <c r="M6" s="34"/>
      <c r="N6" s="34"/>
      <c r="O6" s="34"/>
      <c r="P6" s="34"/>
      <c r="Q6" s="34"/>
      <c r="R6" s="36">
        <v>500000.0</v>
      </c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3">
        <v>43871.0</v>
      </c>
      <c r="C7" s="34" t="s">
        <v>18</v>
      </c>
      <c r="D7" s="34"/>
      <c r="E7" s="34" t="s">
        <v>19</v>
      </c>
      <c r="F7" s="38" t="s">
        <v>22</v>
      </c>
      <c r="G7" s="34"/>
      <c r="H7" s="34"/>
      <c r="I7" s="36">
        <v>500000.0</v>
      </c>
      <c r="J7" s="36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6">
        <v>500000.0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>
        <v>43871.0</v>
      </c>
      <c r="C6" s="34" t="s">
        <v>23</v>
      </c>
      <c r="D6" s="35"/>
      <c r="E6" s="34" t="s">
        <v>19</v>
      </c>
      <c r="F6" s="34" t="s">
        <v>20</v>
      </c>
      <c r="G6" s="34"/>
      <c r="H6" s="36">
        <v>500000.0</v>
      </c>
      <c r="I6" s="34"/>
      <c r="J6" s="36">
        <v>1.0</v>
      </c>
      <c r="K6" s="34" t="s">
        <v>21</v>
      </c>
      <c r="L6" s="34"/>
      <c r="M6" s="34"/>
      <c r="N6" s="34"/>
      <c r="O6" s="34"/>
      <c r="P6" s="34"/>
      <c r="Q6" s="34"/>
      <c r="R6" s="36">
        <v>500000.0</v>
      </c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3">
        <v>43871.0</v>
      </c>
      <c r="C7" s="34" t="s">
        <v>23</v>
      </c>
      <c r="D7" s="34"/>
      <c r="E7" s="34" t="s">
        <v>19</v>
      </c>
      <c r="F7" s="38" t="s">
        <v>22</v>
      </c>
      <c r="G7" s="37"/>
      <c r="H7" s="37"/>
      <c r="I7" s="39">
        <v>500000.0</v>
      </c>
      <c r="J7" s="39">
        <v>1.0</v>
      </c>
      <c r="K7" s="37" t="s">
        <v>21</v>
      </c>
      <c r="L7" s="37"/>
      <c r="M7" s="37"/>
      <c r="N7" s="37"/>
      <c r="O7" s="37"/>
      <c r="P7" s="37"/>
      <c r="Q7" s="37"/>
      <c r="R7" s="37"/>
      <c r="S7" s="39">
        <v>500000.0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26</v>
      </c>
      <c r="C6" s="40" t="s">
        <v>27</v>
      </c>
      <c r="D6" s="41">
        <v>105.0</v>
      </c>
      <c r="E6" s="36">
        <v>105.0</v>
      </c>
      <c r="F6" s="34"/>
      <c r="G6" s="34" t="s">
        <v>28</v>
      </c>
      <c r="H6" s="34"/>
      <c r="I6" s="34"/>
      <c r="J6" s="36">
        <v>70.0</v>
      </c>
      <c r="K6" s="34"/>
      <c r="L6" s="34"/>
      <c r="M6" s="34"/>
      <c r="N6" s="33">
        <v>43871.0</v>
      </c>
      <c r="O6" s="42">
        <v>1.1</v>
      </c>
      <c r="P6" s="34"/>
      <c r="Q6" s="34"/>
      <c r="R6" s="34" t="s">
        <v>29</v>
      </c>
      <c r="S6" s="42">
        <v>2.5</v>
      </c>
      <c r="T6" s="37" t="s">
        <v>29</v>
      </c>
      <c r="U6" s="43">
        <v>7.5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30</v>
      </c>
      <c r="AG6" s="37"/>
      <c r="AH6" s="37"/>
      <c r="AI6" s="37"/>
      <c r="AJ6" s="37"/>
      <c r="AK6" s="37" t="s">
        <v>16</v>
      </c>
      <c r="AL6" s="37" t="s">
        <v>31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>
        <v>43871.0</v>
      </c>
      <c r="C6" s="31">
        <v>43871.0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19</v>
      </c>
      <c r="C6" s="47" t="s">
        <v>30</v>
      </c>
      <c r="D6" s="35"/>
      <c r="E6" s="36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>
        <v>43871.0</v>
      </c>
      <c r="C6" s="31">
        <v>43871.0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26</v>
      </c>
      <c r="C6" s="36">
        <v>75.0</v>
      </c>
      <c r="D6" s="35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3">
        <v>43871.0</v>
      </c>
      <c r="E6" s="33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3">
        <v>43871.0</v>
      </c>
      <c r="E6" s="48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5" t="s">
        <v>26</v>
      </c>
      <c r="C6" s="40" t="s">
        <v>27</v>
      </c>
      <c r="D6" s="49">
        <v>105.0</v>
      </c>
      <c r="E6" s="42">
        <v>105.0</v>
      </c>
      <c r="F6" s="34"/>
      <c r="G6" s="34" t="s">
        <v>28</v>
      </c>
      <c r="H6" s="34"/>
      <c r="I6" s="34"/>
      <c r="J6" s="42">
        <v>70.0</v>
      </c>
      <c r="K6" s="34"/>
      <c r="L6" s="34"/>
      <c r="M6" s="34"/>
      <c r="N6" s="50">
        <v>43872.0</v>
      </c>
      <c r="O6" s="42">
        <v>1.1</v>
      </c>
      <c r="P6" s="34"/>
      <c r="Q6" s="34"/>
      <c r="R6" s="34" t="s">
        <v>29</v>
      </c>
      <c r="S6" s="42">
        <v>2.5</v>
      </c>
      <c r="T6" s="37" t="s">
        <v>29</v>
      </c>
      <c r="U6" s="43">
        <v>7.5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30</v>
      </c>
      <c r="AG6" s="37"/>
      <c r="AH6" s="37"/>
      <c r="AI6" s="37"/>
      <c r="AJ6" s="37"/>
      <c r="AK6" s="37" t="s">
        <v>16</v>
      </c>
      <c r="AL6" s="37" t="s">
        <v>31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4" t="s">
        <v>39</v>
      </c>
      <c r="C7" s="40" t="s">
        <v>27</v>
      </c>
      <c r="D7" s="43">
        <v>105.0</v>
      </c>
      <c r="E7" s="43">
        <v>105.0</v>
      </c>
      <c r="F7" s="37"/>
      <c r="G7" s="37" t="s">
        <v>28</v>
      </c>
      <c r="H7" s="37"/>
      <c r="I7" s="37"/>
      <c r="J7" s="43">
        <v>25.0</v>
      </c>
      <c r="K7" s="37"/>
      <c r="L7" s="37"/>
      <c r="M7" s="37"/>
      <c r="N7" s="51">
        <v>43872.0</v>
      </c>
      <c r="O7" s="42">
        <v>1.1</v>
      </c>
      <c r="P7" s="34"/>
      <c r="Q7" s="34"/>
      <c r="R7" s="34" t="s">
        <v>29</v>
      </c>
      <c r="S7" s="42">
        <v>2.5</v>
      </c>
      <c r="T7" s="37" t="s">
        <v>29</v>
      </c>
      <c r="U7" s="43">
        <v>7.5</v>
      </c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 t="s">
        <v>30</v>
      </c>
      <c r="AG7" s="37"/>
      <c r="AH7" s="37"/>
      <c r="AI7" s="37"/>
      <c r="AJ7" s="37"/>
      <c r="AK7" s="37" t="s">
        <v>16</v>
      </c>
      <c r="AL7" s="37" t="s">
        <v>31</v>
      </c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4"/>
      <c r="B8" s="34" t="s">
        <v>26</v>
      </c>
      <c r="C8" s="40" t="s">
        <v>40</v>
      </c>
      <c r="D8" s="43">
        <v>55.0</v>
      </c>
      <c r="E8" s="43">
        <v>55.0</v>
      </c>
      <c r="F8" s="37"/>
      <c r="G8" s="37" t="s">
        <v>28</v>
      </c>
      <c r="H8" s="37"/>
      <c r="I8" s="37"/>
      <c r="J8" s="43">
        <v>70.0</v>
      </c>
      <c r="K8" s="37"/>
      <c r="L8" s="37"/>
      <c r="M8" s="37"/>
      <c r="N8" s="52">
        <v>43872.0</v>
      </c>
      <c r="O8" s="43">
        <v>1.1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 t="s">
        <v>30</v>
      </c>
      <c r="AG8" s="37"/>
      <c r="AH8" s="37"/>
      <c r="AI8" s="37"/>
      <c r="AJ8" s="37"/>
      <c r="AK8" s="37" t="s">
        <v>16</v>
      </c>
      <c r="AL8" s="37" t="s">
        <v>31</v>
      </c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43</v>
      </c>
      <c r="C6" s="33">
        <v>43871.0</v>
      </c>
      <c r="D6" s="33">
        <v>43872.0</v>
      </c>
      <c r="E6" s="38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3" t="b">
        <v>0</v>
      </c>
      <c r="C6" s="48" t="b">
        <v>0</v>
      </c>
      <c r="D6" s="54" t="s">
        <v>45</v>
      </c>
      <c r="E6" s="47" t="s">
        <v>46</v>
      </c>
      <c r="F6" s="47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37"/>
      <c r="E7" s="37"/>
      <c r="F7" s="37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>
        <v>43872.0</v>
      </c>
      <c r="C6" s="31">
        <v>43872.0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4" t="s">
        <v>19</v>
      </c>
      <c r="C6" s="47" t="s">
        <v>30</v>
      </c>
      <c r="D6" s="35"/>
      <c r="E6" s="36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>
        <v>43872.0</v>
      </c>
      <c r="C6" s="31">
        <v>43872.0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26</v>
      </c>
      <c r="C6" s="36">
        <v>80.0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7" t="s">
        <v>16</v>
      </c>
      <c r="D6" s="33">
        <v>43872.0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7" t="s">
        <v>16</v>
      </c>
      <c r="D6" s="33">
        <v>43872.0</v>
      </c>
      <c r="E6" s="48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7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5">
        <v>43871.0</v>
      </c>
      <c r="C6" s="56" t="s">
        <v>23</v>
      </c>
      <c r="D6" s="57" t="s">
        <v>26</v>
      </c>
      <c r="E6" s="56" t="s">
        <v>30</v>
      </c>
      <c r="F6" s="56" t="s">
        <v>50</v>
      </c>
      <c r="G6" s="58">
        <v>259.95</v>
      </c>
      <c r="H6" s="59">
        <v>0.0</v>
      </c>
      <c r="I6" s="60"/>
      <c r="J6" s="60"/>
      <c r="K6" s="56"/>
      <c r="L6" s="58">
        <v>0.6666666666666666</v>
      </c>
      <c r="M6" s="56" t="s">
        <v>21</v>
      </c>
      <c r="N6" s="56" t="s">
        <v>51</v>
      </c>
      <c r="O6" s="56" t="s">
        <v>52</v>
      </c>
      <c r="P6" s="56" t="s">
        <v>19</v>
      </c>
      <c r="Q6" s="56" t="s">
        <v>53</v>
      </c>
      <c r="R6" s="58">
        <v>173.30000000000007</v>
      </c>
      <c r="S6" s="58">
        <v>0.0</v>
      </c>
      <c r="T6" s="61"/>
      <c r="U6" s="61"/>
      <c r="V6" s="61"/>
      <c r="W6" s="61"/>
      <c r="X6" s="61"/>
      <c r="Y6" s="61"/>
      <c r="Z6" s="61"/>
      <c r="AA6" s="61"/>
    </row>
    <row r="7" ht="15.75" customHeight="1">
      <c r="A7" s="8"/>
      <c r="B7" s="62">
        <v>43871.0</v>
      </c>
      <c r="C7" s="56" t="s">
        <v>23</v>
      </c>
      <c r="D7" s="56" t="s">
        <v>26</v>
      </c>
      <c r="E7" s="56" t="s">
        <v>30</v>
      </c>
      <c r="F7" s="63" t="s">
        <v>54</v>
      </c>
      <c r="G7" s="64">
        <v>0.0</v>
      </c>
      <c r="H7" s="65">
        <v>259.95</v>
      </c>
      <c r="I7" s="66"/>
      <c r="J7" s="66"/>
      <c r="K7" s="63"/>
      <c r="L7" s="65">
        <v>0.6666666666666666</v>
      </c>
      <c r="M7" s="63" t="s">
        <v>21</v>
      </c>
      <c r="N7" s="63" t="s">
        <v>55</v>
      </c>
      <c r="O7" s="63" t="s">
        <v>52</v>
      </c>
      <c r="P7" s="63" t="s">
        <v>19</v>
      </c>
      <c r="Q7" s="56" t="s">
        <v>53</v>
      </c>
      <c r="R7" s="65">
        <v>0.0</v>
      </c>
      <c r="S7" s="65">
        <v>173.30000000000007</v>
      </c>
      <c r="T7" s="61"/>
      <c r="U7" s="61"/>
      <c r="V7" s="61"/>
      <c r="W7" s="61"/>
      <c r="X7" s="61"/>
      <c r="Y7" s="61"/>
      <c r="Z7" s="61"/>
      <c r="AA7" s="61"/>
    </row>
    <row r="8" ht="15.75" customHeight="1">
      <c r="A8" s="8"/>
      <c r="B8" s="62">
        <v>43871.0</v>
      </c>
      <c r="C8" s="56" t="s">
        <v>23</v>
      </c>
      <c r="D8" s="56" t="s">
        <v>30</v>
      </c>
      <c r="E8" s="56" t="s">
        <v>19</v>
      </c>
      <c r="F8" s="56" t="s">
        <v>54</v>
      </c>
      <c r="G8" s="58">
        <v>900.62</v>
      </c>
      <c r="H8" s="59">
        <v>0.0</v>
      </c>
      <c r="I8" s="60"/>
      <c r="J8" s="60"/>
      <c r="K8" s="56"/>
      <c r="L8" s="58">
        <v>1.0</v>
      </c>
      <c r="M8" s="56" t="s">
        <v>21</v>
      </c>
      <c r="N8" s="56" t="s">
        <v>51</v>
      </c>
      <c r="O8" s="56" t="s">
        <v>52</v>
      </c>
      <c r="P8" s="56" t="s">
        <v>19</v>
      </c>
      <c r="Q8" s="56" t="s">
        <v>53</v>
      </c>
      <c r="R8" s="58">
        <v>900.62</v>
      </c>
      <c r="S8" s="58">
        <v>0.0</v>
      </c>
      <c r="T8" s="61"/>
      <c r="U8" s="61"/>
      <c r="V8" s="61"/>
      <c r="W8" s="61"/>
      <c r="X8" s="61"/>
      <c r="Y8" s="61"/>
      <c r="Z8" s="61"/>
      <c r="AA8" s="61"/>
    </row>
    <row r="9" ht="15.75" customHeight="1">
      <c r="A9" s="8"/>
      <c r="B9" s="62">
        <v>43871.0</v>
      </c>
      <c r="C9" s="56" t="s">
        <v>23</v>
      </c>
      <c r="D9" s="56" t="s">
        <v>30</v>
      </c>
      <c r="E9" s="56" t="s">
        <v>19</v>
      </c>
      <c r="F9" s="63" t="s">
        <v>50</v>
      </c>
      <c r="G9" s="64">
        <v>0.0</v>
      </c>
      <c r="H9" s="65">
        <v>900.62</v>
      </c>
      <c r="I9" s="66"/>
      <c r="J9" s="66"/>
      <c r="K9" s="63"/>
      <c r="L9" s="65">
        <v>1.0</v>
      </c>
      <c r="M9" s="63" t="s">
        <v>21</v>
      </c>
      <c r="N9" s="63" t="s">
        <v>55</v>
      </c>
      <c r="O9" s="63" t="s">
        <v>52</v>
      </c>
      <c r="P9" s="63" t="s">
        <v>19</v>
      </c>
      <c r="Q9" s="56" t="s">
        <v>53</v>
      </c>
      <c r="R9" s="65">
        <v>0.0</v>
      </c>
      <c r="S9" s="65">
        <v>900.62</v>
      </c>
      <c r="T9" s="61"/>
      <c r="U9" s="61"/>
      <c r="V9" s="61"/>
      <c r="W9" s="61"/>
      <c r="X9" s="61"/>
      <c r="Y9" s="61"/>
      <c r="Z9" s="61"/>
      <c r="AA9" s="61"/>
    </row>
    <row r="10" ht="15.75" customHeight="1">
      <c r="A10" s="8"/>
      <c r="B10" s="62">
        <v>43872.0</v>
      </c>
      <c r="C10" s="56" t="s">
        <v>23</v>
      </c>
      <c r="D10" s="56" t="s">
        <v>26</v>
      </c>
      <c r="E10" s="56" t="s">
        <v>30</v>
      </c>
      <c r="F10" s="56" t="s">
        <v>56</v>
      </c>
      <c r="G10" s="58">
        <v>2.67</v>
      </c>
      <c r="H10" s="59">
        <v>0.0</v>
      </c>
      <c r="I10" s="60"/>
      <c r="J10" s="60"/>
      <c r="K10" s="56"/>
      <c r="L10" s="58">
        <v>0.9090909090909091</v>
      </c>
      <c r="M10" s="56" t="s">
        <v>21</v>
      </c>
      <c r="N10" s="56" t="s">
        <v>51</v>
      </c>
      <c r="O10" s="56" t="s">
        <v>52</v>
      </c>
      <c r="P10" s="56" t="s">
        <v>19</v>
      </c>
      <c r="Q10" s="56" t="s">
        <v>57</v>
      </c>
      <c r="R10" s="58">
        <v>2.4272727272727272</v>
      </c>
      <c r="S10" s="58">
        <v>0.0</v>
      </c>
      <c r="T10" s="61"/>
      <c r="U10" s="61"/>
      <c r="V10" s="61"/>
      <c r="W10" s="61"/>
      <c r="X10" s="61"/>
      <c r="Y10" s="61"/>
      <c r="Z10" s="61"/>
      <c r="AA10" s="61"/>
    </row>
    <row r="11" ht="15.75" customHeight="1">
      <c r="A11" s="8"/>
      <c r="B11" s="62">
        <v>43872.0</v>
      </c>
      <c r="C11" s="56" t="s">
        <v>23</v>
      </c>
      <c r="D11" s="56" t="s">
        <v>26</v>
      </c>
      <c r="E11" s="56" t="s">
        <v>30</v>
      </c>
      <c r="F11" s="63" t="s">
        <v>58</v>
      </c>
      <c r="G11" s="64">
        <v>0.0</v>
      </c>
      <c r="H11" s="65">
        <v>2.67</v>
      </c>
      <c r="I11" s="66"/>
      <c r="J11" s="66"/>
      <c r="K11" s="63"/>
      <c r="L11" s="65">
        <v>0.9090909090909091</v>
      </c>
      <c r="M11" s="63" t="s">
        <v>21</v>
      </c>
      <c r="N11" s="63" t="s">
        <v>55</v>
      </c>
      <c r="O11" s="63" t="s">
        <v>52</v>
      </c>
      <c r="P11" s="63" t="s">
        <v>19</v>
      </c>
      <c r="Q11" s="56" t="s">
        <v>57</v>
      </c>
      <c r="R11" s="65">
        <v>0.0</v>
      </c>
      <c r="S11" s="65">
        <v>2.4272727272727272</v>
      </c>
      <c r="T11" s="61"/>
      <c r="U11" s="61"/>
      <c r="V11" s="61"/>
      <c r="W11" s="61"/>
      <c r="X11" s="61"/>
      <c r="Y11" s="61"/>
      <c r="Z11" s="61"/>
      <c r="AA11" s="61"/>
    </row>
    <row r="12" ht="15.75" customHeight="1">
      <c r="A12" s="8"/>
      <c r="B12" s="62">
        <v>43872.0</v>
      </c>
      <c r="C12" s="56" t="s">
        <v>23</v>
      </c>
      <c r="D12" s="56" t="s">
        <v>26</v>
      </c>
      <c r="E12" s="56" t="s">
        <v>30</v>
      </c>
      <c r="F12" s="56" t="s">
        <v>50</v>
      </c>
      <c r="G12" s="58">
        <v>772.57</v>
      </c>
      <c r="H12" s="59">
        <v>0.0</v>
      </c>
      <c r="I12" s="60"/>
      <c r="J12" s="60"/>
      <c r="K12" s="56"/>
      <c r="L12" s="58">
        <v>0.5</v>
      </c>
      <c r="M12" s="56" t="s">
        <v>21</v>
      </c>
      <c r="N12" s="56" t="s">
        <v>51</v>
      </c>
      <c r="O12" s="56" t="s">
        <v>52</v>
      </c>
      <c r="P12" s="56" t="s">
        <v>19</v>
      </c>
      <c r="Q12" s="56" t="s">
        <v>53</v>
      </c>
      <c r="R12" s="58">
        <v>386.285</v>
      </c>
      <c r="S12" s="58">
        <v>0.0</v>
      </c>
      <c r="T12" s="61"/>
      <c r="U12" s="61"/>
      <c r="V12" s="61"/>
      <c r="W12" s="61"/>
      <c r="X12" s="61"/>
      <c r="Y12" s="61"/>
      <c r="Z12" s="61"/>
      <c r="AA12" s="61"/>
    </row>
    <row r="13" ht="15.75" customHeight="1">
      <c r="A13" s="8"/>
      <c r="B13" s="62">
        <v>43872.0</v>
      </c>
      <c r="C13" s="56" t="s">
        <v>23</v>
      </c>
      <c r="D13" s="56" t="s">
        <v>26</v>
      </c>
      <c r="E13" s="56" t="s">
        <v>30</v>
      </c>
      <c r="F13" s="63" t="s">
        <v>54</v>
      </c>
      <c r="G13" s="64">
        <v>0.0</v>
      </c>
      <c r="H13" s="65">
        <v>772.57</v>
      </c>
      <c r="I13" s="66"/>
      <c r="J13" s="66"/>
      <c r="K13" s="63"/>
      <c r="L13" s="65">
        <v>0.5</v>
      </c>
      <c r="M13" s="63" t="s">
        <v>21</v>
      </c>
      <c r="N13" s="63" t="s">
        <v>55</v>
      </c>
      <c r="O13" s="63" t="s">
        <v>52</v>
      </c>
      <c r="P13" s="63" t="s">
        <v>19</v>
      </c>
      <c r="Q13" s="56" t="s">
        <v>53</v>
      </c>
      <c r="R13" s="65">
        <v>0.0</v>
      </c>
      <c r="S13" s="65">
        <v>386.285</v>
      </c>
      <c r="T13" s="61"/>
      <c r="U13" s="61"/>
      <c r="V13" s="61"/>
      <c r="W13" s="61"/>
      <c r="X13" s="61"/>
      <c r="Y13" s="61"/>
      <c r="Z13" s="61"/>
      <c r="AA13" s="61"/>
    </row>
    <row r="14" ht="15.75" customHeight="1">
      <c r="A14" s="8"/>
      <c r="B14" s="62">
        <v>43872.0</v>
      </c>
      <c r="C14" s="56" t="s">
        <v>23</v>
      </c>
      <c r="D14" s="56" t="s">
        <v>30</v>
      </c>
      <c r="E14" s="56" t="s">
        <v>19</v>
      </c>
      <c r="F14" s="56" t="s">
        <v>54</v>
      </c>
      <c r="G14" s="58">
        <v>2780.79</v>
      </c>
      <c r="H14" s="59">
        <v>0.0</v>
      </c>
      <c r="I14" s="60"/>
      <c r="J14" s="60"/>
      <c r="K14" s="56"/>
      <c r="L14" s="58">
        <v>1.0</v>
      </c>
      <c r="M14" s="56" t="s">
        <v>21</v>
      </c>
      <c r="N14" s="56" t="s">
        <v>51</v>
      </c>
      <c r="O14" s="56" t="s">
        <v>52</v>
      </c>
      <c r="P14" s="56" t="s">
        <v>19</v>
      </c>
      <c r="Q14" s="56" t="s">
        <v>53</v>
      </c>
      <c r="R14" s="58">
        <v>2780.79</v>
      </c>
      <c r="S14" s="58">
        <v>0.0</v>
      </c>
      <c r="T14" s="61"/>
      <c r="U14" s="61"/>
      <c r="V14" s="61"/>
      <c r="W14" s="61"/>
      <c r="X14" s="61"/>
      <c r="Y14" s="61"/>
      <c r="Z14" s="61"/>
      <c r="AA14" s="61"/>
    </row>
    <row r="15" ht="15.75" customHeight="1">
      <c r="A15" s="8"/>
      <c r="B15" s="62">
        <v>43872.0</v>
      </c>
      <c r="C15" s="56" t="s">
        <v>23</v>
      </c>
      <c r="D15" s="56" t="s">
        <v>30</v>
      </c>
      <c r="E15" s="56" t="s">
        <v>19</v>
      </c>
      <c r="F15" s="63" t="s">
        <v>50</v>
      </c>
      <c r="G15" s="64">
        <v>0.0</v>
      </c>
      <c r="H15" s="65">
        <v>2780.79</v>
      </c>
      <c r="I15" s="66"/>
      <c r="J15" s="66"/>
      <c r="K15" s="63"/>
      <c r="L15" s="65">
        <v>1.0</v>
      </c>
      <c r="M15" s="63" t="s">
        <v>21</v>
      </c>
      <c r="N15" s="63" t="s">
        <v>55</v>
      </c>
      <c r="O15" s="63" t="s">
        <v>52</v>
      </c>
      <c r="P15" s="63" t="s">
        <v>19</v>
      </c>
      <c r="Q15" s="56" t="s">
        <v>53</v>
      </c>
      <c r="R15" s="65">
        <v>0.0</v>
      </c>
      <c r="S15" s="65">
        <v>2780.79</v>
      </c>
      <c r="T15" s="61"/>
      <c r="U15" s="61"/>
      <c r="V15" s="61"/>
      <c r="W15" s="61"/>
      <c r="X15" s="61"/>
      <c r="Y15" s="61"/>
      <c r="Z15" s="61"/>
      <c r="AA15" s="61"/>
    </row>
    <row r="16" ht="15.75" customHeight="1">
      <c r="A16" s="8"/>
      <c r="B16" s="62">
        <v>43872.0</v>
      </c>
      <c r="C16" s="56" t="s">
        <v>23</v>
      </c>
      <c r="D16" s="56" t="s">
        <v>39</v>
      </c>
      <c r="E16" s="56" t="s">
        <v>30</v>
      </c>
      <c r="F16" s="56" t="s">
        <v>54</v>
      </c>
      <c r="G16" s="58">
        <v>1330.05</v>
      </c>
      <c r="H16" s="59">
        <v>0.0</v>
      </c>
      <c r="I16" s="60"/>
      <c r="J16" s="60"/>
      <c r="K16" s="56"/>
      <c r="L16" s="58">
        <v>0.5</v>
      </c>
      <c r="M16" s="56" t="s">
        <v>21</v>
      </c>
      <c r="N16" s="56" t="s">
        <v>51</v>
      </c>
      <c r="O16" s="56" t="s">
        <v>52</v>
      </c>
      <c r="P16" s="56" t="s">
        <v>19</v>
      </c>
      <c r="Q16" s="56" t="s">
        <v>53</v>
      </c>
      <c r="R16" s="58">
        <v>665.025</v>
      </c>
      <c r="S16" s="58">
        <v>0.0</v>
      </c>
      <c r="T16" s="61"/>
      <c r="U16" s="61"/>
      <c r="V16" s="61"/>
      <c r="W16" s="61"/>
      <c r="X16" s="61"/>
      <c r="Y16" s="61"/>
      <c r="Z16" s="61"/>
      <c r="AA16" s="61"/>
    </row>
    <row r="17" ht="15.75" customHeight="1">
      <c r="A17" s="8"/>
      <c r="B17" s="62">
        <v>43872.0</v>
      </c>
      <c r="C17" s="56" t="s">
        <v>23</v>
      </c>
      <c r="D17" s="56" t="s">
        <v>39</v>
      </c>
      <c r="E17" s="56" t="s">
        <v>30</v>
      </c>
      <c r="F17" s="63" t="s">
        <v>50</v>
      </c>
      <c r="G17" s="64">
        <v>0.0</v>
      </c>
      <c r="H17" s="65">
        <v>1330.05</v>
      </c>
      <c r="I17" s="66"/>
      <c r="J17" s="66"/>
      <c r="K17" s="63"/>
      <c r="L17" s="65">
        <v>0.5</v>
      </c>
      <c r="M17" s="63" t="s">
        <v>21</v>
      </c>
      <c r="N17" s="63" t="s">
        <v>55</v>
      </c>
      <c r="O17" s="63" t="s">
        <v>52</v>
      </c>
      <c r="P17" s="63" t="s">
        <v>19</v>
      </c>
      <c r="Q17" s="56" t="s">
        <v>53</v>
      </c>
      <c r="R17" s="65">
        <v>0.0</v>
      </c>
      <c r="S17" s="65">
        <v>665.025</v>
      </c>
      <c r="T17" s="61"/>
      <c r="U17" s="61"/>
      <c r="V17" s="61"/>
      <c r="W17" s="61"/>
      <c r="X17" s="61"/>
      <c r="Y17" s="61"/>
      <c r="Z17" s="61"/>
      <c r="AA17" s="61"/>
    </row>
    <row r="18" ht="15.75" customHeight="1">
      <c r="A18" s="8"/>
      <c r="B18" s="62">
        <v>43872.0</v>
      </c>
      <c r="C18" s="56" t="s">
        <v>23</v>
      </c>
      <c r="D18" s="56" t="s">
        <v>26</v>
      </c>
      <c r="E18" s="56" t="s">
        <v>30</v>
      </c>
      <c r="F18" s="56" t="s">
        <v>54</v>
      </c>
      <c r="G18" s="58">
        <v>259.95</v>
      </c>
      <c r="H18" s="59">
        <v>0.0</v>
      </c>
      <c r="I18" s="60"/>
      <c r="J18" s="60"/>
      <c r="K18" s="56"/>
      <c r="L18" s="58">
        <v>0.6666666666666666</v>
      </c>
      <c r="M18" s="56" t="s">
        <v>21</v>
      </c>
      <c r="N18" s="56" t="s">
        <v>51</v>
      </c>
      <c r="O18" s="56" t="s">
        <v>52</v>
      </c>
      <c r="P18" s="56" t="s">
        <v>19</v>
      </c>
      <c r="Q18" s="56" t="s">
        <v>59</v>
      </c>
      <c r="R18" s="58">
        <v>173.30000000000007</v>
      </c>
      <c r="S18" s="58">
        <v>0.0</v>
      </c>
      <c r="T18" s="61"/>
      <c r="U18" s="61"/>
      <c r="V18" s="61"/>
      <c r="W18" s="61"/>
      <c r="X18" s="61"/>
      <c r="Y18" s="61"/>
      <c r="Z18" s="61"/>
      <c r="AA18" s="61"/>
    </row>
    <row r="19" ht="15.75" customHeight="1">
      <c r="A19" s="8"/>
      <c r="B19" s="62">
        <v>43872.0</v>
      </c>
      <c r="C19" s="56" t="s">
        <v>23</v>
      </c>
      <c r="D19" s="56" t="s">
        <v>26</v>
      </c>
      <c r="E19" s="56" t="s">
        <v>30</v>
      </c>
      <c r="F19" s="63" t="s">
        <v>50</v>
      </c>
      <c r="G19" s="64">
        <v>0.0</v>
      </c>
      <c r="H19" s="65">
        <v>259.95</v>
      </c>
      <c r="I19" s="66"/>
      <c r="J19" s="66"/>
      <c r="K19" s="63"/>
      <c r="L19" s="65">
        <v>0.6666666666666666</v>
      </c>
      <c r="M19" s="63" t="s">
        <v>21</v>
      </c>
      <c r="N19" s="63" t="s">
        <v>55</v>
      </c>
      <c r="O19" s="63" t="s">
        <v>52</v>
      </c>
      <c r="P19" s="63" t="s">
        <v>19</v>
      </c>
      <c r="Q19" s="56" t="s">
        <v>59</v>
      </c>
      <c r="R19" s="65">
        <v>0.0</v>
      </c>
      <c r="S19" s="65">
        <v>173.30000000000007</v>
      </c>
      <c r="T19" s="61"/>
      <c r="U19" s="61"/>
      <c r="V19" s="61"/>
      <c r="W19" s="61"/>
      <c r="X19" s="61"/>
      <c r="Y19" s="61"/>
      <c r="Z19" s="61"/>
      <c r="AA19" s="61"/>
    </row>
    <row r="20" ht="15.75" customHeight="1">
      <c r="A20" s="8"/>
      <c r="B20" s="62">
        <v>43872.0</v>
      </c>
      <c r="C20" s="56" t="s">
        <v>23</v>
      </c>
      <c r="D20" s="56" t="s">
        <v>30</v>
      </c>
      <c r="E20" s="56" t="s">
        <v>19</v>
      </c>
      <c r="F20" s="56" t="s">
        <v>50</v>
      </c>
      <c r="G20" s="58">
        <v>900.62</v>
      </c>
      <c r="H20" s="59">
        <v>0.0</v>
      </c>
      <c r="I20" s="60"/>
      <c r="J20" s="60"/>
      <c r="K20" s="56"/>
      <c r="L20" s="58">
        <v>1.0</v>
      </c>
      <c r="M20" s="56" t="s">
        <v>21</v>
      </c>
      <c r="N20" s="56" t="s">
        <v>51</v>
      </c>
      <c r="O20" s="56" t="s">
        <v>52</v>
      </c>
      <c r="P20" s="56" t="s">
        <v>19</v>
      </c>
      <c r="Q20" s="56" t="s">
        <v>59</v>
      </c>
      <c r="R20" s="58">
        <v>900.62</v>
      </c>
      <c r="S20" s="58">
        <v>0.0</v>
      </c>
      <c r="T20" s="61"/>
      <c r="U20" s="61"/>
      <c r="V20" s="61"/>
      <c r="W20" s="61"/>
      <c r="X20" s="61"/>
      <c r="Y20" s="61"/>
      <c r="Z20" s="61"/>
      <c r="AA20" s="61"/>
    </row>
    <row r="21" ht="15.75" customHeight="1">
      <c r="A21" s="8"/>
      <c r="B21" s="62">
        <v>43872.0</v>
      </c>
      <c r="C21" s="56" t="s">
        <v>23</v>
      </c>
      <c r="D21" s="56" t="s">
        <v>30</v>
      </c>
      <c r="E21" s="56" t="s">
        <v>19</v>
      </c>
      <c r="F21" s="63" t="s">
        <v>54</v>
      </c>
      <c r="G21" s="64">
        <v>0.0</v>
      </c>
      <c r="H21" s="65">
        <v>900.62</v>
      </c>
      <c r="I21" s="66"/>
      <c r="J21" s="66"/>
      <c r="K21" s="63"/>
      <c r="L21" s="65">
        <v>1.0</v>
      </c>
      <c r="M21" s="63" t="s">
        <v>21</v>
      </c>
      <c r="N21" s="63" t="s">
        <v>55</v>
      </c>
      <c r="O21" s="63" t="s">
        <v>52</v>
      </c>
      <c r="P21" s="63" t="s">
        <v>19</v>
      </c>
      <c r="Q21" s="56" t="s">
        <v>59</v>
      </c>
      <c r="R21" s="65">
        <v>0.0</v>
      </c>
      <c r="S21" s="65">
        <v>900.62</v>
      </c>
      <c r="T21" s="61"/>
      <c r="U21" s="61"/>
      <c r="V21" s="61"/>
      <c r="W21" s="61"/>
      <c r="X21" s="61"/>
      <c r="Y21" s="61"/>
      <c r="Z21" s="61"/>
      <c r="AA21" s="61"/>
    </row>
    <row r="22" ht="15.75" customHeight="1">
      <c r="A22" s="8"/>
      <c r="B22" s="62">
        <v>43871.0</v>
      </c>
      <c r="C22" s="56" t="s">
        <v>18</v>
      </c>
      <c r="D22" s="56" t="s">
        <v>26</v>
      </c>
      <c r="E22" s="56" t="s">
        <v>30</v>
      </c>
      <c r="F22" s="56" t="s">
        <v>50</v>
      </c>
      <c r="G22" s="58">
        <v>255.05</v>
      </c>
      <c r="H22" s="59">
        <v>0.0</v>
      </c>
      <c r="I22" s="60"/>
      <c r="J22" s="60"/>
      <c r="K22" s="56"/>
      <c r="L22" s="58">
        <v>0.6666666666666666</v>
      </c>
      <c r="M22" s="56" t="s">
        <v>21</v>
      </c>
      <c r="N22" s="56" t="s">
        <v>51</v>
      </c>
      <c r="O22" s="56" t="s">
        <v>52</v>
      </c>
      <c r="P22" s="56" t="s">
        <v>19</v>
      </c>
      <c r="Q22" s="56" t="s">
        <v>53</v>
      </c>
      <c r="R22" s="58">
        <v>170.03333333333342</v>
      </c>
      <c r="S22" s="58">
        <v>0.0</v>
      </c>
      <c r="T22" s="61"/>
      <c r="U22" s="61"/>
      <c r="V22" s="61"/>
      <c r="W22" s="61"/>
      <c r="X22" s="61"/>
      <c r="Y22" s="61"/>
      <c r="Z22" s="61"/>
      <c r="AA22" s="61"/>
    </row>
    <row r="23" ht="15.75" customHeight="1">
      <c r="A23" s="8"/>
      <c r="B23" s="62">
        <v>43871.0</v>
      </c>
      <c r="C23" s="56" t="s">
        <v>18</v>
      </c>
      <c r="D23" s="56" t="s">
        <v>26</v>
      </c>
      <c r="E23" s="56" t="s">
        <v>30</v>
      </c>
      <c r="F23" s="63" t="s">
        <v>54</v>
      </c>
      <c r="G23" s="64">
        <v>0.0</v>
      </c>
      <c r="H23" s="65">
        <v>255.05</v>
      </c>
      <c r="I23" s="66"/>
      <c r="J23" s="66"/>
      <c r="K23" s="63"/>
      <c r="L23" s="65">
        <v>0.6666666666666666</v>
      </c>
      <c r="M23" s="63" t="s">
        <v>21</v>
      </c>
      <c r="N23" s="63" t="s">
        <v>55</v>
      </c>
      <c r="O23" s="63" t="s">
        <v>52</v>
      </c>
      <c r="P23" s="63" t="s">
        <v>19</v>
      </c>
      <c r="Q23" s="56" t="s">
        <v>53</v>
      </c>
      <c r="R23" s="65">
        <v>0.0</v>
      </c>
      <c r="S23" s="65">
        <v>170.03333333333342</v>
      </c>
      <c r="T23" s="61"/>
      <c r="U23" s="61"/>
      <c r="V23" s="61"/>
      <c r="W23" s="61"/>
      <c r="X23" s="61"/>
      <c r="Y23" s="61"/>
      <c r="Z23" s="61"/>
      <c r="AA23" s="61"/>
    </row>
    <row r="24" ht="15.75" customHeight="1">
      <c r="A24" s="8"/>
      <c r="B24" s="62">
        <v>43871.0</v>
      </c>
      <c r="C24" s="56" t="s">
        <v>18</v>
      </c>
      <c r="D24" s="56" t="s">
        <v>30</v>
      </c>
      <c r="E24" s="56" t="s">
        <v>19</v>
      </c>
      <c r="F24" s="56" t="s">
        <v>54</v>
      </c>
      <c r="G24" s="58">
        <v>883.62</v>
      </c>
      <c r="H24" s="59">
        <v>0.0</v>
      </c>
      <c r="I24" s="60"/>
      <c r="J24" s="60"/>
      <c r="K24" s="56"/>
      <c r="L24" s="58">
        <v>1.0</v>
      </c>
      <c r="M24" s="56" t="s">
        <v>21</v>
      </c>
      <c r="N24" s="56" t="s">
        <v>51</v>
      </c>
      <c r="O24" s="56" t="s">
        <v>52</v>
      </c>
      <c r="P24" s="56" t="s">
        <v>19</v>
      </c>
      <c r="Q24" s="56" t="s">
        <v>53</v>
      </c>
      <c r="R24" s="58">
        <v>883.62</v>
      </c>
      <c r="S24" s="58">
        <v>0.0</v>
      </c>
      <c r="T24" s="61"/>
      <c r="U24" s="61"/>
      <c r="V24" s="61"/>
      <c r="W24" s="61"/>
      <c r="X24" s="61"/>
      <c r="Y24" s="61"/>
      <c r="Z24" s="61"/>
      <c r="AA24" s="61"/>
    </row>
    <row r="25" ht="15.75" customHeight="1">
      <c r="A25" s="8"/>
      <c r="B25" s="62">
        <v>43871.0</v>
      </c>
      <c r="C25" s="56" t="s">
        <v>18</v>
      </c>
      <c r="D25" s="56" t="s">
        <v>30</v>
      </c>
      <c r="E25" s="56" t="s">
        <v>19</v>
      </c>
      <c r="F25" s="63" t="s">
        <v>50</v>
      </c>
      <c r="G25" s="64">
        <v>0.0</v>
      </c>
      <c r="H25" s="65">
        <v>883.62</v>
      </c>
      <c r="I25" s="66"/>
      <c r="J25" s="66"/>
      <c r="K25" s="63"/>
      <c r="L25" s="65">
        <v>1.0</v>
      </c>
      <c r="M25" s="63" t="s">
        <v>21</v>
      </c>
      <c r="N25" s="63" t="s">
        <v>55</v>
      </c>
      <c r="O25" s="63" t="s">
        <v>52</v>
      </c>
      <c r="P25" s="63" t="s">
        <v>19</v>
      </c>
      <c r="Q25" s="56" t="s">
        <v>53</v>
      </c>
      <c r="R25" s="65">
        <v>0.0</v>
      </c>
      <c r="S25" s="65">
        <v>883.62</v>
      </c>
      <c r="T25" s="61"/>
      <c r="U25" s="61"/>
      <c r="V25" s="61"/>
      <c r="W25" s="61"/>
      <c r="X25" s="61"/>
      <c r="Y25" s="61"/>
      <c r="Z25" s="61"/>
      <c r="AA25" s="61"/>
    </row>
    <row r="26" ht="15.75" customHeight="1">
      <c r="A26" s="8"/>
      <c r="B26" s="62">
        <v>43872.0</v>
      </c>
      <c r="C26" s="56" t="s">
        <v>18</v>
      </c>
      <c r="D26" s="56" t="s">
        <v>26</v>
      </c>
      <c r="E26" s="56" t="s">
        <v>30</v>
      </c>
      <c r="F26" s="56" t="s">
        <v>56</v>
      </c>
      <c r="G26" s="58">
        <v>2.569999999999</v>
      </c>
      <c r="H26" s="59">
        <v>0.0</v>
      </c>
      <c r="I26" s="60"/>
      <c r="J26" s="60"/>
      <c r="K26" s="56"/>
      <c r="L26" s="58">
        <v>0.9090909090909091</v>
      </c>
      <c r="M26" s="56" t="s">
        <v>21</v>
      </c>
      <c r="N26" s="56" t="s">
        <v>51</v>
      </c>
      <c r="O26" s="56" t="s">
        <v>52</v>
      </c>
      <c r="P26" s="56" t="s">
        <v>19</v>
      </c>
      <c r="Q26" s="56" t="s">
        <v>57</v>
      </c>
      <c r="R26" s="58">
        <v>2.336363636362727</v>
      </c>
      <c r="S26" s="58">
        <v>0.0</v>
      </c>
      <c r="T26" s="61"/>
      <c r="U26" s="61"/>
      <c r="V26" s="61"/>
      <c r="W26" s="61"/>
      <c r="X26" s="61"/>
      <c r="Y26" s="61"/>
      <c r="Z26" s="61"/>
      <c r="AA26" s="61"/>
    </row>
    <row r="27" ht="15.75" customHeight="1">
      <c r="B27" s="62">
        <v>43872.0</v>
      </c>
      <c r="C27" s="56" t="s">
        <v>18</v>
      </c>
      <c r="D27" s="56" t="s">
        <v>26</v>
      </c>
      <c r="E27" s="56" t="s">
        <v>30</v>
      </c>
      <c r="F27" s="63" t="s">
        <v>58</v>
      </c>
      <c r="G27" s="64">
        <v>0.0</v>
      </c>
      <c r="H27" s="65">
        <v>2.569999999999</v>
      </c>
      <c r="I27" s="66"/>
      <c r="J27" s="66"/>
      <c r="K27" s="63"/>
      <c r="L27" s="65">
        <v>0.9090909090909091</v>
      </c>
      <c r="M27" s="63" t="s">
        <v>21</v>
      </c>
      <c r="N27" s="63" t="s">
        <v>55</v>
      </c>
      <c r="O27" s="63" t="s">
        <v>52</v>
      </c>
      <c r="P27" s="63" t="s">
        <v>19</v>
      </c>
      <c r="Q27" s="56" t="s">
        <v>57</v>
      </c>
      <c r="R27" s="65">
        <v>0.0</v>
      </c>
      <c r="S27" s="65">
        <v>2.336363636362727</v>
      </c>
      <c r="T27" s="61"/>
      <c r="U27" s="61"/>
      <c r="V27" s="61"/>
      <c r="W27" s="61"/>
      <c r="X27" s="61"/>
      <c r="Y27" s="61"/>
      <c r="Z27" s="61"/>
      <c r="AA27" s="61"/>
    </row>
    <row r="28" ht="15.75" customHeight="1">
      <c r="B28" s="62">
        <v>43872.0</v>
      </c>
      <c r="C28" s="56" t="s">
        <v>18</v>
      </c>
      <c r="D28" s="56" t="s">
        <v>26</v>
      </c>
      <c r="E28" s="56" t="s">
        <v>30</v>
      </c>
      <c r="F28" s="56" t="s">
        <v>50</v>
      </c>
      <c r="G28" s="58">
        <v>762.67</v>
      </c>
      <c r="H28" s="59">
        <v>0.0</v>
      </c>
      <c r="I28" s="60"/>
      <c r="J28" s="60"/>
      <c r="K28" s="56"/>
      <c r="L28" s="58">
        <v>0.5</v>
      </c>
      <c r="M28" s="56" t="s">
        <v>21</v>
      </c>
      <c r="N28" s="56" t="s">
        <v>51</v>
      </c>
      <c r="O28" s="56" t="s">
        <v>52</v>
      </c>
      <c r="P28" s="56" t="s">
        <v>19</v>
      </c>
      <c r="Q28" s="56" t="s">
        <v>53</v>
      </c>
      <c r="R28" s="58">
        <v>381.335</v>
      </c>
      <c r="S28" s="58">
        <v>0.0</v>
      </c>
      <c r="T28" s="61"/>
      <c r="U28" s="61"/>
      <c r="V28" s="61"/>
      <c r="W28" s="61"/>
      <c r="X28" s="61"/>
      <c r="Y28" s="61"/>
      <c r="Z28" s="61"/>
      <c r="AA28" s="61"/>
    </row>
    <row r="29" ht="15.75" customHeight="1">
      <c r="B29" s="62">
        <v>43872.0</v>
      </c>
      <c r="C29" s="56" t="s">
        <v>18</v>
      </c>
      <c r="D29" s="56" t="s">
        <v>26</v>
      </c>
      <c r="E29" s="56" t="s">
        <v>30</v>
      </c>
      <c r="F29" s="63" t="s">
        <v>54</v>
      </c>
      <c r="G29" s="64">
        <v>0.0</v>
      </c>
      <c r="H29" s="65">
        <v>762.67</v>
      </c>
      <c r="I29" s="66"/>
      <c r="J29" s="66"/>
      <c r="K29" s="63"/>
      <c r="L29" s="65">
        <v>0.5</v>
      </c>
      <c r="M29" s="63" t="s">
        <v>21</v>
      </c>
      <c r="N29" s="63" t="s">
        <v>55</v>
      </c>
      <c r="O29" s="63" t="s">
        <v>52</v>
      </c>
      <c r="P29" s="63" t="s">
        <v>19</v>
      </c>
      <c r="Q29" s="56" t="s">
        <v>53</v>
      </c>
      <c r="R29" s="65">
        <v>0.0</v>
      </c>
      <c r="S29" s="65">
        <v>381.335</v>
      </c>
      <c r="T29" s="61"/>
      <c r="U29" s="61"/>
      <c r="V29" s="61"/>
      <c r="W29" s="61"/>
      <c r="X29" s="61"/>
      <c r="Y29" s="61"/>
      <c r="Z29" s="61"/>
      <c r="AA29" s="61"/>
    </row>
    <row r="30" ht="15.75" customHeight="1">
      <c r="B30" s="62">
        <v>43872.0</v>
      </c>
      <c r="C30" s="56" t="s">
        <v>18</v>
      </c>
      <c r="D30" s="56" t="s">
        <v>30</v>
      </c>
      <c r="E30" s="56" t="s">
        <v>19</v>
      </c>
      <c r="F30" s="56" t="s">
        <v>54</v>
      </c>
      <c r="G30" s="58">
        <v>2741.83</v>
      </c>
      <c r="H30" s="59">
        <v>0.0</v>
      </c>
      <c r="I30" s="60"/>
      <c r="J30" s="60"/>
      <c r="K30" s="56"/>
      <c r="L30" s="58">
        <v>1.0</v>
      </c>
      <c r="M30" s="56" t="s">
        <v>21</v>
      </c>
      <c r="N30" s="56" t="s">
        <v>51</v>
      </c>
      <c r="O30" s="56" t="s">
        <v>52</v>
      </c>
      <c r="P30" s="56" t="s">
        <v>19</v>
      </c>
      <c r="Q30" s="56" t="s">
        <v>53</v>
      </c>
      <c r="R30" s="58">
        <v>2741.83</v>
      </c>
      <c r="S30" s="58">
        <v>0.0</v>
      </c>
      <c r="T30" s="61"/>
      <c r="U30" s="61"/>
      <c r="V30" s="61"/>
      <c r="W30" s="61"/>
      <c r="X30" s="61"/>
      <c r="Y30" s="61"/>
      <c r="Z30" s="61"/>
      <c r="AA30" s="61"/>
    </row>
    <row r="31" ht="15.75" customHeight="1">
      <c r="B31" s="62">
        <v>43872.0</v>
      </c>
      <c r="C31" s="56" t="s">
        <v>18</v>
      </c>
      <c r="D31" s="56" t="s">
        <v>30</v>
      </c>
      <c r="E31" s="56" t="s">
        <v>19</v>
      </c>
      <c r="F31" s="63" t="s">
        <v>50</v>
      </c>
      <c r="G31" s="64">
        <v>0.0</v>
      </c>
      <c r="H31" s="65">
        <v>2741.83</v>
      </c>
      <c r="I31" s="66"/>
      <c r="J31" s="66"/>
      <c r="K31" s="63"/>
      <c r="L31" s="65">
        <v>1.0</v>
      </c>
      <c r="M31" s="63" t="s">
        <v>21</v>
      </c>
      <c r="N31" s="63" t="s">
        <v>55</v>
      </c>
      <c r="O31" s="63" t="s">
        <v>52</v>
      </c>
      <c r="P31" s="63" t="s">
        <v>19</v>
      </c>
      <c r="Q31" s="56" t="s">
        <v>53</v>
      </c>
      <c r="R31" s="65">
        <v>0.0</v>
      </c>
      <c r="S31" s="65">
        <v>2741.83</v>
      </c>
      <c r="T31" s="61"/>
      <c r="U31" s="61"/>
      <c r="V31" s="61"/>
      <c r="W31" s="61"/>
      <c r="X31" s="61"/>
      <c r="Y31" s="61"/>
      <c r="Z31" s="61"/>
      <c r="AA31" s="61"/>
    </row>
    <row r="32" ht="15.75" customHeight="1">
      <c r="B32" s="62">
        <v>43872.0</v>
      </c>
      <c r="C32" s="56" t="s">
        <v>18</v>
      </c>
      <c r="D32" s="56" t="s">
        <v>39</v>
      </c>
      <c r="E32" s="56" t="s">
        <v>30</v>
      </c>
      <c r="F32" s="56" t="s">
        <v>54</v>
      </c>
      <c r="G32" s="58">
        <v>1304.95</v>
      </c>
      <c r="H32" s="59">
        <v>0.0</v>
      </c>
      <c r="I32" s="60"/>
      <c r="J32" s="60"/>
      <c r="K32" s="56"/>
      <c r="L32" s="58">
        <v>0.5</v>
      </c>
      <c r="M32" s="56" t="s">
        <v>21</v>
      </c>
      <c r="N32" s="56" t="s">
        <v>51</v>
      </c>
      <c r="O32" s="56" t="s">
        <v>52</v>
      </c>
      <c r="P32" s="56" t="s">
        <v>19</v>
      </c>
      <c r="Q32" s="56" t="s">
        <v>53</v>
      </c>
      <c r="R32" s="58">
        <v>652.475</v>
      </c>
      <c r="S32" s="58">
        <v>0.0</v>
      </c>
      <c r="T32" s="61"/>
      <c r="U32" s="61"/>
      <c r="V32" s="61"/>
      <c r="W32" s="61"/>
      <c r="X32" s="61"/>
      <c r="Y32" s="61"/>
      <c r="Z32" s="61"/>
      <c r="AA32" s="61"/>
    </row>
    <row r="33" ht="15.75" customHeight="1">
      <c r="B33" s="62">
        <v>43872.0</v>
      </c>
      <c r="C33" s="56" t="s">
        <v>18</v>
      </c>
      <c r="D33" s="56" t="s">
        <v>39</v>
      </c>
      <c r="E33" s="56" t="s">
        <v>30</v>
      </c>
      <c r="F33" s="63" t="s">
        <v>50</v>
      </c>
      <c r="G33" s="64">
        <v>0.0</v>
      </c>
      <c r="H33" s="65">
        <v>1304.95</v>
      </c>
      <c r="I33" s="66"/>
      <c r="J33" s="66"/>
      <c r="K33" s="63"/>
      <c r="L33" s="65">
        <v>0.5</v>
      </c>
      <c r="M33" s="63" t="s">
        <v>21</v>
      </c>
      <c r="N33" s="63" t="s">
        <v>55</v>
      </c>
      <c r="O33" s="63" t="s">
        <v>52</v>
      </c>
      <c r="P33" s="63" t="s">
        <v>19</v>
      </c>
      <c r="Q33" s="56" t="s">
        <v>53</v>
      </c>
      <c r="R33" s="65">
        <v>0.0</v>
      </c>
      <c r="S33" s="65">
        <v>652.475</v>
      </c>
      <c r="T33" s="61"/>
      <c r="U33" s="61"/>
      <c r="V33" s="61"/>
      <c r="W33" s="61"/>
      <c r="X33" s="61"/>
      <c r="Y33" s="61"/>
      <c r="Z33" s="61"/>
      <c r="AA33" s="61"/>
    </row>
    <row r="34" ht="15.75" customHeight="1">
      <c r="B34" s="62">
        <v>43872.0</v>
      </c>
      <c r="C34" s="56" t="s">
        <v>18</v>
      </c>
      <c r="D34" s="56" t="s">
        <v>26</v>
      </c>
      <c r="E34" s="56" t="s">
        <v>30</v>
      </c>
      <c r="F34" s="56" t="s">
        <v>54</v>
      </c>
      <c r="G34" s="58">
        <v>255.05</v>
      </c>
      <c r="H34" s="59">
        <v>0.0</v>
      </c>
      <c r="I34" s="60"/>
      <c r="J34" s="60"/>
      <c r="K34" s="56"/>
      <c r="L34" s="58">
        <v>0.6666666666666666</v>
      </c>
      <c r="M34" s="56" t="s">
        <v>21</v>
      </c>
      <c r="N34" s="56" t="s">
        <v>51</v>
      </c>
      <c r="O34" s="56" t="s">
        <v>52</v>
      </c>
      <c r="P34" s="56" t="s">
        <v>19</v>
      </c>
      <c r="Q34" s="56" t="s">
        <v>59</v>
      </c>
      <c r="R34" s="58">
        <v>170.03333333333342</v>
      </c>
      <c r="S34" s="58">
        <v>0.0</v>
      </c>
      <c r="T34" s="61"/>
      <c r="U34" s="61"/>
      <c r="V34" s="61"/>
      <c r="W34" s="61"/>
      <c r="X34" s="61"/>
      <c r="Y34" s="61"/>
      <c r="Z34" s="61"/>
      <c r="AA34" s="61"/>
    </row>
    <row r="35" ht="15.75" customHeight="1">
      <c r="B35" s="62">
        <v>43872.0</v>
      </c>
      <c r="C35" s="56" t="s">
        <v>18</v>
      </c>
      <c r="D35" s="56" t="s">
        <v>26</v>
      </c>
      <c r="E35" s="56" t="s">
        <v>30</v>
      </c>
      <c r="F35" s="63" t="s">
        <v>50</v>
      </c>
      <c r="G35" s="64">
        <v>0.0</v>
      </c>
      <c r="H35" s="65">
        <v>255.05</v>
      </c>
      <c r="I35" s="66"/>
      <c r="J35" s="66"/>
      <c r="K35" s="63"/>
      <c r="L35" s="65">
        <v>0.6666666666666666</v>
      </c>
      <c r="M35" s="63" t="s">
        <v>21</v>
      </c>
      <c r="N35" s="63" t="s">
        <v>55</v>
      </c>
      <c r="O35" s="63" t="s">
        <v>52</v>
      </c>
      <c r="P35" s="63" t="s">
        <v>19</v>
      </c>
      <c r="Q35" s="56" t="s">
        <v>59</v>
      </c>
      <c r="R35" s="65">
        <v>0.0</v>
      </c>
      <c r="S35" s="65">
        <v>170.03333333333342</v>
      </c>
      <c r="T35" s="61"/>
      <c r="U35" s="61"/>
      <c r="V35" s="61"/>
      <c r="W35" s="61"/>
      <c r="X35" s="61"/>
      <c r="Y35" s="61"/>
      <c r="Z35" s="61"/>
      <c r="AA35" s="61"/>
    </row>
    <row r="36" ht="15.75" customHeight="1">
      <c r="B36" s="62">
        <v>43872.0</v>
      </c>
      <c r="C36" s="56" t="s">
        <v>18</v>
      </c>
      <c r="D36" s="56" t="s">
        <v>30</v>
      </c>
      <c r="E36" s="56" t="s">
        <v>19</v>
      </c>
      <c r="F36" s="56" t="s">
        <v>50</v>
      </c>
      <c r="G36" s="58">
        <v>883.63</v>
      </c>
      <c r="H36" s="59">
        <v>0.0</v>
      </c>
      <c r="I36" s="60"/>
      <c r="J36" s="60"/>
      <c r="K36" s="56"/>
      <c r="L36" s="58">
        <v>1.0</v>
      </c>
      <c r="M36" s="56" t="s">
        <v>21</v>
      </c>
      <c r="N36" s="56" t="s">
        <v>51</v>
      </c>
      <c r="O36" s="56" t="s">
        <v>52</v>
      </c>
      <c r="P36" s="56" t="s">
        <v>19</v>
      </c>
      <c r="Q36" s="56" t="s">
        <v>59</v>
      </c>
      <c r="R36" s="58">
        <v>883.63</v>
      </c>
      <c r="S36" s="58">
        <v>0.0</v>
      </c>
      <c r="T36" s="61"/>
      <c r="U36" s="61"/>
      <c r="V36" s="61"/>
      <c r="W36" s="61"/>
      <c r="X36" s="61"/>
      <c r="Y36" s="61"/>
      <c r="Z36" s="61"/>
      <c r="AA36" s="61"/>
    </row>
    <row r="37" ht="15.75" customHeight="1">
      <c r="B37" s="62">
        <v>43872.0</v>
      </c>
      <c r="C37" s="56" t="s">
        <v>18</v>
      </c>
      <c r="D37" s="56" t="s">
        <v>30</v>
      </c>
      <c r="E37" s="56" t="s">
        <v>19</v>
      </c>
      <c r="F37" s="63" t="s">
        <v>54</v>
      </c>
      <c r="G37" s="64">
        <v>0.0</v>
      </c>
      <c r="H37" s="65">
        <v>883.63</v>
      </c>
      <c r="I37" s="66"/>
      <c r="J37" s="66"/>
      <c r="K37" s="63"/>
      <c r="L37" s="65">
        <v>1.0</v>
      </c>
      <c r="M37" s="63" t="s">
        <v>21</v>
      </c>
      <c r="N37" s="63" t="s">
        <v>55</v>
      </c>
      <c r="O37" s="63" t="s">
        <v>52</v>
      </c>
      <c r="P37" s="63" t="s">
        <v>19</v>
      </c>
      <c r="Q37" s="56" t="s">
        <v>59</v>
      </c>
      <c r="R37" s="65">
        <v>0.0</v>
      </c>
      <c r="S37" s="65">
        <v>883.63</v>
      </c>
      <c r="T37" s="61"/>
      <c r="U37" s="61"/>
      <c r="V37" s="61"/>
      <c r="W37" s="61"/>
      <c r="X37" s="61"/>
      <c r="Y37" s="61"/>
      <c r="Z37" s="61"/>
      <c r="AA37" s="61"/>
    </row>
    <row r="38" ht="15.75" customHeight="1">
      <c r="B38" s="55">
        <v>43871.0</v>
      </c>
      <c r="C38" s="56" t="s">
        <v>18</v>
      </c>
      <c r="D38" s="56" t="s">
        <v>26</v>
      </c>
      <c r="E38" s="56" t="s">
        <v>30</v>
      </c>
      <c r="F38" s="56" t="s">
        <v>20</v>
      </c>
      <c r="G38" s="58">
        <v>3644.95238095238</v>
      </c>
      <c r="H38" s="59">
        <v>0.0</v>
      </c>
      <c r="I38" s="60"/>
      <c r="J38" s="60"/>
      <c r="K38" s="56"/>
      <c r="L38" s="58">
        <v>1.1</v>
      </c>
      <c r="M38" s="56" t="s">
        <v>60</v>
      </c>
      <c r="N38" s="56" t="s">
        <v>51</v>
      </c>
      <c r="O38" s="56" t="s">
        <v>52</v>
      </c>
      <c r="P38" s="56" t="s">
        <v>19</v>
      </c>
      <c r="Q38" s="56" t="s">
        <v>61</v>
      </c>
      <c r="R38" s="58">
        <v>3313.5930735930724</v>
      </c>
      <c r="S38" s="58">
        <v>0.0</v>
      </c>
      <c r="T38" s="61"/>
      <c r="U38" s="61"/>
      <c r="V38" s="61"/>
      <c r="W38" s="61"/>
      <c r="X38" s="61"/>
      <c r="Y38" s="61"/>
      <c r="Z38" s="61"/>
      <c r="AA38" s="61"/>
    </row>
    <row r="39" ht="15.75" customHeight="1">
      <c r="B39" s="62">
        <v>43871.0</v>
      </c>
      <c r="C39" s="56" t="s">
        <v>18</v>
      </c>
      <c r="D39" s="56" t="s">
        <v>26</v>
      </c>
      <c r="E39" s="56" t="s">
        <v>30</v>
      </c>
      <c r="F39" s="63" t="s">
        <v>62</v>
      </c>
      <c r="G39" s="64">
        <v>0.0</v>
      </c>
      <c r="H39" s="65">
        <v>3644.95238095238</v>
      </c>
      <c r="I39" s="66"/>
      <c r="J39" s="66"/>
      <c r="K39" s="63"/>
      <c r="L39" s="65">
        <v>1.1</v>
      </c>
      <c r="M39" s="63" t="s">
        <v>60</v>
      </c>
      <c r="N39" s="63" t="s">
        <v>55</v>
      </c>
      <c r="O39" s="63" t="s">
        <v>52</v>
      </c>
      <c r="P39" s="63" t="s">
        <v>19</v>
      </c>
      <c r="Q39" s="56" t="s">
        <v>61</v>
      </c>
      <c r="R39" s="65">
        <v>0.0</v>
      </c>
      <c r="S39" s="65">
        <v>3313.5930735930724</v>
      </c>
      <c r="T39" s="61"/>
      <c r="U39" s="61"/>
      <c r="V39" s="61"/>
      <c r="W39" s="61"/>
      <c r="X39" s="61"/>
      <c r="Y39" s="61"/>
      <c r="Z39" s="61"/>
      <c r="AA39" s="61"/>
    </row>
    <row r="40" ht="15.75" customHeight="1">
      <c r="B40" s="62">
        <v>43871.0</v>
      </c>
      <c r="C40" s="56" t="s">
        <v>23</v>
      </c>
      <c r="D40" s="56" t="s">
        <v>26</v>
      </c>
      <c r="E40" s="56" t="s">
        <v>30</v>
      </c>
      <c r="F40" s="56" t="s">
        <v>20</v>
      </c>
      <c r="G40" s="58">
        <v>3715.04761904762</v>
      </c>
      <c r="H40" s="59">
        <v>0.0</v>
      </c>
      <c r="I40" s="60"/>
      <c r="J40" s="60"/>
      <c r="K40" s="56"/>
      <c r="L40" s="58">
        <v>1.1</v>
      </c>
      <c r="M40" s="56" t="s">
        <v>60</v>
      </c>
      <c r="N40" s="56" t="s">
        <v>51</v>
      </c>
      <c r="O40" s="56" t="s">
        <v>52</v>
      </c>
      <c r="P40" s="56" t="s">
        <v>19</v>
      </c>
      <c r="Q40" s="56" t="s">
        <v>61</v>
      </c>
      <c r="R40" s="58">
        <v>3377.3160173160177</v>
      </c>
      <c r="S40" s="58">
        <v>0.0</v>
      </c>
      <c r="T40" s="61"/>
      <c r="U40" s="61"/>
      <c r="V40" s="61"/>
      <c r="W40" s="61"/>
      <c r="X40" s="61"/>
      <c r="Y40" s="61"/>
      <c r="Z40" s="61"/>
      <c r="AA40" s="61"/>
    </row>
    <row r="41" ht="15.75" customHeight="1">
      <c r="B41" s="62">
        <v>43871.0</v>
      </c>
      <c r="C41" s="56" t="s">
        <v>23</v>
      </c>
      <c r="D41" s="56" t="s">
        <v>26</v>
      </c>
      <c r="E41" s="56" t="s">
        <v>30</v>
      </c>
      <c r="F41" s="63" t="s">
        <v>62</v>
      </c>
      <c r="G41" s="64">
        <v>0.0</v>
      </c>
      <c r="H41" s="65">
        <v>3715.04761904762</v>
      </c>
      <c r="I41" s="66"/>
      <c r="J41" s="66"/>
      <c r="K41" s="63"/>
      <c r="L41" s="65">
        <v>1.1</v>
      </c>
      <c r="M41" s="63" t="s">
        <v>60</v>
      </c>
      <c r="N41" s="63" t="s">
        <v>55</v>
      </c>
      <c r="O41" s="63" t="s">
        <v>52</v>
      </c>
      <c r="P41" s="63" t="s">
        <v>19</v>
      </c>
      <c r="Q41" s="56" t="s">
        <v>61</v>
      </c>
      <c r="R41" s="65">
        <v>0.0</v>
      </c>
      <c r="S41" s="65">
        <v>3377.3160173160177</v>
      </c>
      <c r="T41" s="61"/>
      <c r="U41" s="61"/>
      <c r="V41" s="61"/>
      <c r="W41" s="61"/>
      <c r="X41" s="61"/>
      <c r="Y41" s="61"/>
      <c r="Z41" s="61"/>
      <c r="AA41" s="61"/>
    </row>
    <row r="42" ht="15.75" customHeight="1">
      <c r="B42" s="55">
        <v>43871.0</v>
      </c>
      <c r="C42" s="56" t="s">
        <v>18</v>
      </c>
      <c r="D42" s="56" t="s">
        <v>26</v>
      </c>
      <c r="E42" s="56" t="s">
        <v>30</v>
      </c>
      <c r="F42" s="56" t="s">
        <v>62</v>
      </c>
      <c r="G42" s="58">
        <v>3644.95238095238</v>
      </c>
      <c r="H42" s="59">
        <v>0.0</v>
      </c>
      <c r="I42" s="60"/>
      <c r="J42" s="60"/>
      <c r="K42" s="56"/>
      <c r="L42" s="58">
        <v>0.6666666666666666</v>
      </c>
      <c r="M42" s="56" t="s">
        <v>21</v>
      </c>
      <c r="N42" s="56" t="s">
        <v>51</v>
      </c>
      <c r="O42" s="56" t="s">
        <v>52</v>
      </c>
      <c r="P42" s="56" t="s">
        <v>19</v>
      </c>
      <c r="Q42" s="56" t="s">
        <v>63</v>
      </c>
      <c r="R42" s="58">
        <v>2429.9682539682544</v>
      </c>
      <c r="S42" s="58">
        <v>0.0</v>
      </c>
      <c r="T42" s="61"/>
      <c r="U42" s="61"/>
      <c r="V42" s="61"/>
      <c r="W42" s="61"/>
      <c r="X42" s="61"/>
      <c r="Y42" s="61"/>
      <c r="Z42" s="61"/>
      <c r="AA42" s="61"/>
    </row>
    <row r="43" ht="15.75" customHeight="1">
      <c r="B43" s="62">
        <v>43871.0</v>
      </c>
      <c r="C43" s="56" t="s">
        <v>18</v>
      </c>
      <c r="D43" s="56" t="s">
        <v>26</v>
      </c>
      <c r="E43" s="56" t="s">
        <v>30</v>
      </c>
      <c r="F43" s="63" t="s">
        <v>20</v>
      </c>
      <c r="G43" s="64">
        <v>0.0</v>
      </c>
      <c r="H43" s="65">
        <v>3644.95238095238</v>
      </c>
      <c r="I43" s="66"/>
      <c r="J43" s="66"/>
      <c r="K43" s="63"/>
      <c r="L43" s="65">
        <v>0.6666666666666666</v>
      </c>
      <c r="M43" s="63" t="s">
        <v>21</v>
      </c>
      <c r="N43" s="63" t="s">
        <v>55</v>
      </c>
      <c r="O43" s="63" t="s">
        <v>52</v>
      </c>
      <c r="P43" s="63" t="s">
        <v>19</v>
      </c>
      <c r="Q43" s="56" t="s">
        <v>63</v>
      </c>
      <c r="R43" s="65">
        <v>0.0</v>
      </c>
      <c r="S43" s="65">
        <v>2429.9682539682544</v>
      </c>
      <c r="T43" s="61"/>
      <c r="U43" s="61"/>
      <c r="V43" s="61"/>
      <c r="W43" s="61"/>
      <c r="X43" s="61"/>
      <c r="Y43" s="61"/>
      <c r="Z43" s="61"/>
      <c r="AA43" s="61"/>
    </row>
    <row r="44" ht="15.75" customHeight="1">
      <c r="B44" s="62">
        <v>43871.0</v>
      </c>
      <c r="C44" s="56" t="s">
        <v>23</v>
      </c>
      <c r="D44" s="56" t="s">
        <v>26</v>
      </c>
      <c r="E44" s="56" t="s">
        <v>30</v>
      </c>
      <c r="F44" s="56" t="s">
        <v>62</v>
      </c>
      <c r="G44" s="58">
        <v>3715.04761904762</v>
      </c>
      <c r="H44" s="59">
        <v>0.0</v>
      </c>
      <c r="I44" s="60"/>
      <c r="J44" s="60"/>
      <c r="K44" s="56"/>
      <c r="L44" s="58">
        <v>0.6666666666666666</v>
      </c>
      <c r="M44" s="56" t="s">
        <v>21</v>
      </c>
      <c r="N44" s="56" t="s">
        <v>51</v>
      </c>
      <c r="O44" s="56" t="s">
        <v>52</v>
      </c>
      <c r="P44" s="56" t="s">
        <v>19</v>
      </c>
      <c r="Q44" s="56" t="s">
        <v>63</v>
      </c>
      <c r="R44" s="58">
        <v>2476.6984126984144</v>
      </c>
      <c r="S44" s="58">
        <v>0.0</v>
      </c>
      <c r="T44" s="61"/>
      <c r="U44" s="61"/>
      <c r="V44" s="61"/>
      <c r="W44" s="61"/>
      <c r="X44" s="61"/>
      <c r="Y44" s="61"/>
      <c r="Z44" s="61"/>
      <c r="AA44" s="61"/>
    </row>
    <row r="45" ht="15.75" customHeight="1">
      <c r="B45" s="62">
        <v>43871.0</v>
      </c>
      <c r="C45" s="56" t="s">
        <v>23</v>
      </c>
      <c r="D45" s="56" t="s">
        <v>26</v>
      </c>
      <c r="E45" s="56" t="s">
        <v>30</v>
      </c>
      <c r="F45" s="63" t="s">
        <v>20</v>
      </c>
      <c r="G45" s="64">
        <v>0.0</v>
      </c>
      <c r="H45" s="65">
        <v>3715.04761904762</v>
      </c>
      <c r="I45" s="66"/>
      <c r="J45" s="66"/>
      <c r="K45" s="63"/>
      <c r="L45" s="65">
        <v>0.6666666666666666</v>
      </c>
      <c r="M45" s="63" t="s">
        <v>21</v>
      </c>
      <c r="N45" s="63" t="s">
        <v>55</v>
      </c>
      <c r="O45" s="63" t="s">
        <v>52</v>
      </c>
      <c r="P45" s="63" t="s">
        <v>19</v>
      </c>
      <c r="Q45" s="56" t="s">
        <v>63</v>
      </c>
      <c r="R45" s="65">
        <v>0.0</v>
      </c>
      <c r="S45" s="65">
        <v>2476.6984126984144</v>
      </c>
      <c r="T45" s="61"/>
      <c r="U45" s="61"/>
      <c r="V45" s="61"/>
      <c r="W45" s="61"/>
      <c r="X45" s="61"/>
      <c r="Y45" s="61"/>
      <c r="Z45" s="61"/>
      <c r="AA45" s="61"/>
    </row>
    <row r="46" ht="15.75" customHeight="1">
      <c r="B46" s="62">
        <v>43872.0</v>
      </c>
      <c r="C46" s="56" t="s">
        <v>23</v>
      </c>
      <c r="D46" s="56" t="s">
        <v>30</v>
      </c>
      <c r="E46" s="56" t="s">
        <v>30</v>
      </c>
      <c r="F46" s="56" t="s">
        <v>62</v>
      </c>
      <c r="G46" s="58">
        <v>3715.05</v>
      </c>
      <c r="H46" s="59">
        <v>0.0</v>
      </c>
      <c r="I46" s="60"/>
      <c r="J46" s="60"/>
      <c r="K46" s="56"/>
      <c r="L46" s="58">
        <v>0.5</v>
      </c>
      <c r="M46" s="56" t="s">
        <v>21</v>
      </c>
      <c r="N46" s="56" t="s">
        <v>51</v>
      </c>
      <c r="O46" s="56" t="s">
        <v>52</v>
      </c>
      <c r="P46" s="56" t="s">
        <v>19</v>
      </c>
      <c r="Q46" s="56" t="s">
        <v>64</v>
      </c>
      <c r="R46" s="58">
        <v>1857.525</v>
      </c>
      <c r="S46" s="58">
        <v>0.0</v>
      </c>
      <c r="T46" s="61"/>
      <c r="U46" s="61"/>
      <c r="V46" s="61"/>
      <c r="W46" s="61"/>
      <c r="X46" s="61"/>
      <c r="Y46" s="61"/>
      <c r="Z46" s="61"/>
      <c r="AA46" s="61"/>
    </row>
    <row r="47" ht="15.75" customHeight="1">
      <c r="B47" s="62">
        <v>43872.0</v>
      </c>
      <c r="C47" s="56" t="s">
        <v>23</v>
      </c>
      <c r="D47" s="56" t="s">
        <v>30</v>
      </c>
      <c r="E47" s="56" t="s">
        <v>30</v>
      </c>
      <c r="F47" s="63" t="s">
        <v>20</v>
      </c>
      <c r="G47" s="64">
        <v>0.0</v>
      </c>
      <c r="H47" s="65">
        <v>3715.05</v>
      </c>
      <c r="I47" s="66"/>
      <c r="J47" s="66"/>
      <c r="K47" s="63"/>
      <c r="L47" s="65">
        <v>0.5</v>
      </c>
      <c r="M47" s="63" t="s">
        <v>21</v>
      </c>
      <c r="N47" s="63" t="s">
        <v>55</v>
      </c>
      <c r="O47" s="63" t="s">
        <v>52</v>
      </c>
      <c r="P47" s="63" t="s">
        <v>19</v>
      </c>
      <c r="Q47" s="56" t="s">
        <v>64</v>
      </c>
      <c r="R47" s="65">
        <v>0.0</v>
      </c>
      <c r="S47" s="65">
        <v>1857.525</v>
      </c>
      <c r="T47" s="61"/>
      <c r="U47" s="61"/>
      <c r="V47" s="61"/>
      <c r="W47" s="61"/>
      <c r="X47" s="61"/>
      <c r="Y47" s="61"/>
      <c r="Z47" s="61"/>
      <c r="AA47" s="61"/>
    </row>
    <row r="48" ht="15.75" customHeight="1">
      <c r="B48" s="62">
        <v>43872.0</v>
      </c>
      <c r="C48" s="56" t="s">
        <v>18</v>
      </c>
      <c r="D48" s="56" t="s">
        <v>30</v>
      </c>
      <c r="E48" s="56" t="s">
        <v>30</v>
      </c>
      <c r="F48" s="56" t="s">
        <v>62</v>
      </c>
      <c r="G48" s="58">
        <v>3644.95</v>
      </c>
      <c r="H48" s="59">
        <v>0.0</v>
      </c>
      <c r="I48" s="60"/>
      <c r="J48" s="60"/>
      <c r="K48" s="56"/>
      <c r="L48" s="58">
        <v>0.5</v>
      </c>
      <c r="M48" s="56" t="s">
        <v>21</v>
      </c>
      <c r="N48" s="56" t="s">
        <v>51</v>
      </c>
      <c r="O48" s="56" t="s">
        <v>52</v>
      </c>
      <c r="P48" s="56" t="s">
        <v>19</v>
      </c>
      <c r="Q48" s="56" t="s">
        <v>64</v>
      </c>
      <c r="R48" s="58">
        <v>1822.475</v>
      </c>
      <c r="S48" s="58">
        <v>0.0</v>
      </c>
      <c r="T48" s="61"/>
      <c r="U48" s="61"/>
      <c r="V48" s="61"/>
      <c r="W48" s="61"/>
      <c r="X48" s="61"/>
      <c r="Y48" s="61"/>
      <c r="Z48" s="61"/>
      <c r="AA48" s="61"/>
    </row>
    <row r="49" ht="15.75" customHeight="1">
      <c r="B49" s="62">
        <v>43872.0</v>
      </c>
      <c r="C49" s="56" t="s">
        <v>18</v>
      </c>
      <c r="D49" s="56" t="s">
        <v>30</v>
      </c>
      <c r="E49" s="56" t="s">
        <v>30</v>
      </c>
      <c r="F49" s="63" t="s">
        <v>20</v>
      </c>
      <c r="G49" s="64">
        <v>0.0</v>
      </c>
      <c r="H49" s="65">
        <v>3644.95</v>
      </c>
      <c r="I49" s="66"/>
      <c r="J49" s="66"/>
      <c r="K49" s="63"/>
      <c r="L49" s="65">
        <v>0.5</v>
      </c>
      <c r="M49" s="63" t="s">
        <v>21</v>
      </c>
      <c r="N49" s="63" t="s">
        <v>55</v>
      </c>
      <c r="O49" s="63" t="s">
        <v>52</v>
      </c>
      <c r="P49" s="63" t="s">
        <v>19</v>
      </c>
      <c r="Q49" s="56" t="s">
        <v>64</v>
      </c>
      <c r="R49" s="65">
        <v>0.0</v>
      </c>
      <c r="S49" s="65">
        <v>1822.475</v>
      </c>
      <c r="T49" s="61"/>
      <c r="U49" s="61"/>
      <c r="V49" s="61"/>
      <c r="W49" s="61"/>
      <c r="X49" s="61"/>
      <c r="Y49" s="61"/>
      <c r="Z49" s="61"/>
      <c r="AA49" s="61"/>
    </row>
    <row r="50" ht="15.75" customHeight="1">
      <c r="B50" s="62">
        <v>43872.0</v>
      </c>
      <c r="C50" s="56" t="s">
        <v>23</v>
      </c>
      <c r="D50" s="56" t="s">
        <v>30</v>
      </c>
      <c r="E50" s="56" t="s">
        <v>30</v>
      </c>
      <c r="F50" s="56" t="s">
        <v>20</v>
      </c>
      <c r="G50" s="58">
        <v>3715.05</v>
      </c>
      <c r="H50" s="59">
        <v>0.0</v>
      </c>
      <c r="I50" s="60"/>
      <c r="J50" s="60"/>
      <c r="K50" s="56"/>
      <c r="L50" s="58">
        <v>0.6666666666666666</v>
      </c>
      <c r="M50" s="56" t="s">
        <v>21</v>
      </c>
      <c r="N50" s="56" t="s">
        <v>51</v>
      </c>
      <c r="O50" s="56" t="s">
        <v>52</v>
      </c>
      <c r="P50" s="56" t="s">
        <v>19</v>
      </c>
      <c r="Q50" s="56" t="s">
        <v>65</v>
      </c>
      <c r="R50" s="58">
        <v>2476.700000000001</v>
      </c>
      <c r="S50" s="58">
        <v>0.0</v>
      </c>
      <c r="T50" s="61"/>
      <c r="U50" s="61"/>
      <c r="V50" s="61"/>
      <c r="W50" s="61"/>
      <c r="X50" s="61"/>
      <c r="Y50" s="61"/>
      <c r="Z50" s="61"/>
      <c r="AA50" s="61"/>
    </row>
    <row r="51" ht="15.75" customHeight="1">
      <c r="B51" s="62">
        <v>43872.0</v>
      </c>
      <c r="C51" s="56" t="s">
        <v>23</v>
      </c>
      <c r="D51" s="56" t="s">
        <v>30</v>
      </c>
      <c r="E51" s="56" t="s">
        <v>30</v>
      </c>
      <c r="F51" s="63" t="s">
        <v>62</v>
      </c>
      <c r="G51" s="64">
        <v>0.0</v>
      </c>
      <c r="H51" s="65">
        <v>3715.05</v>
      </c>
      <c r="I51" s="66"/>
      <c r="J51" s="66"/>
      <c r="K51" s="63"/>
      <c r="L51" s="65">
        <v>0.6666666666666666</v>
      </c>
      <c r="M51" s="63" t="s">
        <v>21</v>
      </c>
      <c r="N51" s="63" t="s">
        <v>55</v>
      </c>
      <c r="O51" s="63" t="s">
        <v>52</v>
      </c>
      <c r="P51" s="63" t="s">
        <v>19</v>
      </c>
      <c r="Q51" s="56" t="s">
        <v>65</v>
      </c>
      <c r="R51" s="65">
        <v>0.0</v>
      </c>
      <c r="S51" s="65">
        <v>2476.700000000001</v>
      </c>
      <c r="T51" s="61"/>
      <c r="U51" s="61"/>
      <c r="V51" s="61"/>
      <c r="W51" s="61"/>
      <c r="X51" s="61"/>
      <c r="Y51" s="61"/>
      <c r="Z51" s="61"/>
      <c r="AA51" s="61"/>
    </row>
    <row r="52" ht="15.75" customHeight="1">
      <c r="B52" s="62">
        <v>43872.0</v>
      </c>
      <c r="C52" s="56" t="s">
        <v>18</v>
      </c>
      <c r="D52" s="56" t="s">
        <v>30</v>
      </c>
      <c r="E52" s="56" t="s">
        <v>30</v>
      </c>
      <c r="F52" s="56" t="s">
        <v>20</v>
      </c>
      <c r="G52" s="58">
        <v>3644.95</v>
      </c>
      <c r="H52" s="59">
        <v>0.0</v>
      </c>
      <c r="I52" s="60"/>
      <c r="J52" s="60"/>
      <c r="K52" s="56"/>
      <c r="L52" s="58">
        <v>0.6666666666666666</v>
      </c>
      <c r="M52" s="56" t="s">
        <v>21</v>
      </c>
      <c r="N52" s="56" t="s">
        <v>51</v>
      </c>
      <c r="O52" s="56" t="s">
        <v>52</v>
      </c>
      <c r="P52" s="56" t="s">
        <v>19</v>
      </c>
      <c r="Q52" s="56" t="s">
        <v>65</v>
      </c>
      <c r="R52" s="58">
        <v>2429.966666666668</v>
      </c>
      <c r="S52" s="58">
        <v>0.0</v>
      </c>
      <c r="T52" s="61"/>
      <c r="U52" s="61"/>
      <c r="V52" s="61"/>
      <c r="W52" s="61"/>
      <c r="X52" s="61"/>
      <c r="Y52" s="61"/>
      <c r="Z52" s="61"/>
      <c r="AA52" s="61"/>
    </row>
    <row r="53" ht="15.75" customHeight="1">
      <c r="B53" s="62">
        <v>43872.0</v>
      </c>
      <c r="C53" s="56" t="s">
        <v>18</v>
      </c>
      <c r="D53" s="56" t="s">
        <v>30</v>
      </c>
      <c r="E53" s="56" t="s">
        <v>30</v>
      </c>
      <c r="F53" s="63" t="s">
        <v>62</v>
      </c>
      <c r="G53" s="64">
        <v>0.0</v>
      </c>
      <c r="H53" s="65">
        <v>3644.95</v>
      </c>
      <c r="I53" s="66"/>
      <c r="J53" s="66"/>
      <c r="K53" s="63"/>
      <c r="L53" s="65">
        <v>0.6666666666666666</v>
      </c>
      <c r="M53" s="63" t="s">
        <v>21</v>
      </c>
      <c r="N53" s="63" t="s">
        <v>55</v>
      </c>
      <c r="O53" s="63" t="s">
        <v>52</v>
      </c>
      <c r="P53" s="63" t="s">
        <v>19</v>
      </c>
      <c r="Q53" s="56" t="s">
        <v>65</v>
      </c>
      <c r="R53" s="65">
        <v>0.0</v>
      </c>
      <c r="S53" s="65">
        <v>2429.966666666668</v>
      </c>
      <c r="T53" s="61"/>
      <c r="U53" s="61"/>
      <c r="V53" s="61"/>
      <c r="W53" s="61"/>
      <c r="X53" s="61"/>
      <c r="Y53" s="61"/>
      <c r="Z53" s="61"/>
      <c r="AA53" s="61"/>
    </row>
    <row r="54" ht="15.75" customHeight="1">
      <c r="B54" s="62">
        <v>43872.0</v>
      </c>
      <c r="C54" s="56" t="s">
        <v>18</v>
      </c>
      <c r="D54" s="56" t="s">
        <v>26</v>
      </c>
      <c r="E54" s="56" t="s">
        <v>30</v>
      </c>
      <c r="F54" s="56" t="s">
        <v>20</v>
      </c>
      <c r="G54" s="58">
        <v>3644.95238095238</v>
      </c>
      <c r="H54" s="59">
        <v>0.0</v>
      </c>
      <c r="I54" s="60"/>
      <c r="J54" s="60"/>
      <c r="K54" s="56"/>
      <c r="L54" s="58">
        <v>1.1</v>
      </c>
      <c r="M54" s="56" t="s">
        <v>60</v>
      </c>
      <c r="N54" s="56" t="s">
        <v>51</v>
      </c>
      <c r="O54" s="56" t="s">
        <v>52</v>
      </c>
      <c r="P54" s="56" t="s">
        <v>19</v>
      </c>
      <c r="Q54" s="56" t="s">
        <v>61</v>
      </c>
      <c r="R54" s="58">
        <v>3313.5930735930724</v>
      </c>
      <c r="S54" s="58">
        <v>0.0</v>
      </c>
      <c r="T54" s="61"/>
      <c r="U54" s="61"/>
      <c r="V54" s="61"/>
      <c r="W54" s="61"/>
      <c r="X54" s="61"/>
      <c r="Y54" s="61"/>
      <c r="Z54" s="61"/>
      <c r="AA54" s="61"/>
    </row>
    <row r="55" ht="15.75" customHeight="1">
      <c r="B55" s="62">
        <v>43872.0</v>
      </c>
      <c r="C55" s="56" t="s">
        <v>18</v>
      </c>
      <c r="D55" s="56" t="s">
        <v>26</v>
      </c>
      <c r="E55" s="56" t="s">
        <v>30</v>
      </c>
      <c r="F55" s="63" t="s">
        <v>62</v>
      </c>
      <c r="G55" s="64">
        <v>0.0</v>
      </c>
      <c r="H55" s="65">
        <v>3644.95238095238</v>
      </c>
      <c r="I55" s="66"/>
      <c r="J55" s="66"/>
      <c r="K55" s="63"/>
      <c r="L55" s="65">
        <v>1.1</v>
      </c>
      <c r="M55" s="63" t="s">
        <v>60</v>
      </c>
      <c r="N55" s="63" t="s">
        <v>55</v>
      </c>
      <c r="O55" s="63" t="s">
        <v>52</v>
      </c>
      <c r="P55" s="63" t="s">
        <v>19</v>
      </c>
      <c r="Q55" s="56" t="s">
        <v>61</v>
      </c>
      <c r="R55" s="65">
        <v>0.0</v>
      </c>
      <c r="S55" s="65">
        <v>3313.5930735930724</v>
      </c>
      <c r="T55" s="61"/>
      <c r="U55" s="61"/>
      <c r="V55" s="61"/>
      <c r="W55" s="61"/>
      <c r="X55" s="61"/>
      <c r="Y55" s="61"/>
      <c r="Z55" s="61"/>
      <c r="AA55" s="61"/>
    </row>
    <row r="56" ht="15.75" customHeight="1">
      <c r="B56" s="62">
        <v>43872.0</v>
      </c>
      <c r="C56" s="56" t="s">
        <v>23</v>
      </c>
      <c r="D56" s="56" t="s">
        <v>26</v>
      </c>
      <c r="E56" s="56" t="s">
        <v>30</v>
      </c>
      <c r="F56" s="56" t="s">
        <v>20</v>
      </c>
      <c r="G56" s="58">
        <v>3715.04761904762</v>
      </c>
      <c r="H56" s="59">
        <v>0.0</v>
      </c>
      <c r="I56" s="60"/>
      <c r="J56" s="60"/>
      <c r="K56" s="56"/>
      <c r="L56" s="58">
        <v>1.1</v>
      </c>
      <c r="M56" s="56" t="s">
        <v>60</v>
      </c>
      <c r="N56" s="56" t="s">
        <v>51</v>
      </c>
      <c r="O56" s="56" t="s">
        <v>52</v>
      </c>
      <c r="P56" s="56" t="s">
        <v>19</v>
      </c>
      <c r="Q56" s="56" t="s">
        <v>61</v>
      </c>
      <c r="R56" s="58">
        <v>3377.3160173160177</v>
      </c>
      <c r="S56" s="58">
        <v>0.0</v>
      </c>
      <c r="T56" s="61"/>
      <c r="U56" s="61"/>
      <c r="V56" s="61"/>
      <c r="W56" s="61"/>
      <c r="X56" s="61"/>
      <c r="Y56" s="61"/>
      <c r="Z56" s="61"/>
      <c r="AA56" s="61"/>
    </row>
    <row r="57" ht="15.75" customHeight="1">
      <c r="B57" s="62">
        <v>43872.0</v>
      </c>
      <c r="C57" s="56" t="s">
        <v>23</v>
      </c>
      <c r="D57" s="56" t="s">
        <v>26</v>
      </c>
      <c r="E57" s="56" t="s">
        <v>30</v>
      </c>
      <c r="F57" s="63" t="s">
        <v>62</v>
      </c>
      <c r="G57" s="64">
        <v>0.0</v>
      </c>
      <c r="H57" s="65">
        <v>3715.04761904762</v>
      </c>
      <c r="I57" s="66"/>
      <c r="J57" s="66"/>
      <c r="K57" s="63"/>
      <c r="L57" s="65">
        <v>1.1</v>
      </c>
      <c r="M57" s="63" t="s">
        <v>60</v>
      </c>
      <c r="N57" s="63" t="s">
        <v>55</v>
      </c>
      <c r="O57" s="63" t="s">
        <v>52</v>
      </c>
      <c r="P57" s="63" t="s">
        <v>19</v>
      </c>
      <c r="Q57" s="56" t="s">
        <v>61</v>
      </c>
      <c r="R57" s="65">
        <v>0.0</v>
      </c>
      <c r="S57" s="65">
        <v>3377.3160173160177</v>
      </c>
      <c r="T57" s="61"/>
      <c r="U57" s="61"/>
      <c r="V57" s="61"/>
      <c r="W57" s="61"/>
      <c r="X57" s="61"/>
      <c r="Y57" s="61"/>
      <c r="Z57" s="61"/>
      <c r="AA57" s="61"/>
    </row>
    <row r="58" ht="15.75" customHeight="1">
      <c r="B58" s="62">
        <v>43872.0</v>
      </c>
      <c r="C58" s="56" t="s">
        <v>18</v>
      </c>
      <c r="D58" s="56" t="s">
        <v>39</v>
      </c>
      <c r="E58" s="56" t="s">
        <v>30</v>
      </c>
      <c r="F58" s="56" t="s">
        <v>20</v>
      </c>
      <c r="G58" s="58">
        <v>1304.95238095238</v>
      </c>
      <c r="H58" s="59">
        <v>0.0</v>
      </c>
      <c r="I58" s="60"/>
      <c r="J58" s="60"/>
      <c r="K58" s="56"/>
      <c r="L58" s="58">
        <v>1.1</v>
      </c>
      <c r="M58" s="56" t="s">
        <v>60</v>
      </c>
      <c r="N58" s="56" t="s">
        <v>51</v>
      </c>
      <c r="O58" s="56" t="s">
        <v>52</v>
      </c>
      <c r="P58" s="56" t="s">
        <v>19</v>
      </c>
      <c r="Q58" s="56" t="s">
        <v>61</v>
      </c>
      <c r="R58" s="58">
        <v>1186.3203463203454</v>
      </c>
      <c r="S58" s="58">
        <v>0.0</v>
      </c>
      <c r="T58" s="61"/>
      <c r="U58" s="61"/>
      <c r="V58" s="61"/>
      <c r="W58" s="61"/>
      <c r="X58" s="61"/>
      <c r="Y58" s="61"/>
      <c r="Z58" s="61"/>
      <c r="AA58" s="61"/>
    </row>
    <row r="59" ht="15.75" customHeight="1">
      <c r="B59" s="62">
        <v>43872.0</v>
      </c>
      <c r="C59" s="56" t="s">
        <v>18</v>
      </c>
      <c r="D59" s="56" t="s">
        <v>39</v>
      </c>
      <c r="E59" s="56" t="s">
        <v>30</v>
      </c>
      <c r="F59" s="63" t="s">
        <v>62</v>
      </c>
      <c r="G59" s="64">
        <v>0.0</v>
      </c>
      <c r="H59" s="65">
        <v>1304.95238095238</v>
      </c>
      <c r="I59" s="66"/>
      <c r="J59" s="66"/>
      <c r="K59" s="63"/>
      <c r="L59" s="65">
        <v>1.1</v>
      </c>
      <c r="M59" s="63" t="s">
        <v>60</v>
      </c>
      <c r="N59" s="63" t="s">
        <v>55</v>
      </c>
      <c r="O59" s="63" t="s">
        <v>52</v>
      </c>
      <c r="P59" s="63" t="s">
        <v>19</v>
      </c>
      <c r="Q59" s="56" t="s">
        <v>61</v>
      </c>
      <c r="R59" s="65">
        <v>0.0</v>
      </c>
      <c r="S59" s="65">
        <v>1186.3203463203454</v>
      </c>
      <c r="T59" s="61"/>
      <c r="U59" s="61"/>
      <c r="V59" s="61"/>
      <c r="W59" s="61"/>
      <c r="X59" s="61"/>
      <c r="Y59" s="61"/>
      <c r="Z59" s="61"/>
      <c r="AA59" s="61"/>
    </row>
    <row r="60" ht="15.75" customHeight="1">
      <c r="B60" s="62">
        <v>43872.0</v>
      </c>
      <c r="C60" s="56" t="s">
        <v>23</v>
      </c>
      <c r="D60" s="56" t="s">
        <v>39</v>
      </c>
      <c r="E60" s="56" t="s">
        <v>30</v>
      </c>
      <c r="F60" s="56" t="s">
        <v>20</v>
      </c>
      <c r="G60" s="58">
        <v>1330.04761904762</v>
      </c>
      <c r="H60" s="59">
        <v>0.0</v>
      </c>
      <c r="I60" s="60"/>
      <c r="J60" s="60"/>
      <c r="K60" s="56"/>
      <c r="L60" s="58">
        <v>1.1</v>
      </c>
      <c r="M60" s="56" t="s">
        <v>60</v>
      </c>
      <c r="N60" s="56" t="s">
        <v>51</v>
      </c>
      <c r="O60" s="56" t="s">
        <v>52</v>
      </c>
      <c r="P60" s="56" t="s">
        <v>19</v>
      </c>
      <c r="Q60" s="56" t="s">
        <v>61</v>
      </c>
      <c r="R60" s="58">
        <v>1209.1341991342</v>
      </c>
      <c r="S60" s="58">
        <v>0.0</v>
      </c>
      <c r="T60" s="61"/>
      <c r="U60" s="61"/>
      <c r="V60" s="61"/>
      <c r="W60" s="61"/>
      <c r="X60" s="61"/>
      <c r="Y60" s="61"/>
      <c r="Z60" s="61"/>
      <c r="AA60" s="61"/>
    </row>
    <row r="61" ht="15.75" customHeight="1">
      <c r="B61" s="62">
        <v>43872.0</v>
      </c>
      <c r="C61" s="56" t="s">
        <v>23</v>
      </c>
      <c r="D61" s="56" t="s">
        <v>39</v>
      </c>
      <c r="E61" s="56" t="s">
        <v>30</v>
      </c>
      <c r="F61" s="63" t="s">
        <v>62</v>
      </c>
      <c r="G61" s="64">
        <v>0.0</v>
      </c>
      <c r="H61" s="65">
        <v>1330.04761904762</v>
      </c>
      <c r="I61" s="66"/>
      <c r="J61" s="66"/>
      <c r="K61" s="63"/>
      <c r="L61" s="65">
        <v>1.1</v>
      </c>
      <c r="M61" s="63" t="s">
        <v>60</v>
      </c>
      <c r="N61" s="63" t="s">
        <v>55</v>
      </c>
      <c r="O61" s="63" t="s">
        <v>52</v>
      </c>
      <c r="P61" s="63" t="s">
        <v>19</v>
      </c>
      <c r="Q61" s="56" t="s">
        <v>61</v>
      </c>
      <c r="R61" s="65">
        <v>0.0</v>
      </c>
      <c r="S61" s="65">
        <v>1209.1341991342</v>
      </c>
      <c r="T61" s="61"/>
      <c r="U61" s="61"/>
      <c r="V61" s="61"/>
      <c r="W61" s="61"/>
      <c r="X61" s="61"/>
      <c r="Y61" s="61"/>
      <c r="Z61" s="61"/>
      <c r="AA61" s="61"/>
    </row>
    <row r="62" ht="15.75" customHeight="1">
      <c r="B62" s="62">
        <v>43872.0</v>
      </c>
      <c r="C62" s="56" t="s">
        <v>18</v>
      </c>
      <c r="D62" s="56" t="s">
        <v>26</v>
      </c>
      <c r="E62" s="56" t="s">
        <v>30</v>
      </c>
      <c r="F62" s="56" t="s">
        <v>62</v>
      </c>
      <c r="G62" s="58">
        <v>1890.0</v>
      </c>
      <c r="H62" s="59">
        <v>0.0</v>
      </c>
      <c r="I62" s="60"/>
      <c r="J62" s="60"/>
      <c r="K62" s="56"/>
      <c r="L62" s="58">
        <v>1.1</v>
      </c>
      <c r="M62" s="56" t="s">
        <v>60</v>
      </c>
      <c r="N62" s="56" t="s">
        <v>51</v>
      </c>
      <c r="O62" s="56" t="s">
        <v>52</v>
      </c>
      <c r="P62" s="56" t="s">
        <v>19</v>
      </c>
      <c r="Q62" s="56" t="s">
        <v>61</v>
      </c>
      <c r="R62" s="58">
        <v>1718.181818181818</v>
      </c>
      <c r="S62" s="58">
        <v>0.0</v>
      </c>
      <c r="T62" s="61"/>
      <c r="U62" s="61"/>
      <c r="V62" s="61"/>
      <c r="W62" s="61"/>
      <c r="X62" s="61"/>
      <c r="Y62" s="61"/>
      <c r="Z62" s="61"/>
      <c r="AA62" s="61"/>
    </row>
    <row r="63" ht="15.75" customHeight="1">
      <c r="B63" s="62">
        <v>43872.0</v>
      </c>
      <c r="C63" s="56" t="s">
        <v>18</v>
      </c>
      <c r="D63" s="56" t="s">
        <v>26</v>
      </c>
      <c r="E63" s="56" t="s">
        <v>30</v>
      </c>
      <c r="F63" s="63" t="s">
        <v>20</v>
      </c>
      <c r="G63" s="64">
        <v>0.0</v>
      </c>
      <c r="H63" s="65">
        <v>1890.0</v>
      </c>
      <c r="I63" s="66"/>
      <c r="J63" s="66"/>
      <c r="K63" s="63"/>
      <c r="L63" s="65">
        <v>1.1</v>
      </c>
      <c r="M63" s="63" t="s">
        <v>60</v>
      </c>
      <c r="N63" s="63" t="s">
        <v>55</v>
      </c>
      <c r="O63" s="63" t="s">
        <v>52</v>
      </c>
      <c r="P63" s="63" t="s">
        <v>19</v>
      </c>
      <c r="Q63" s="56" t="s">
        <v>61</v>
      </c>
      <c r="R63" s="65">
        <v>0.0</v>
      </c>
      <c r="S63" s="65">
        <v>1718.181818181818</v>
      </c>
      <c r="T63" s="61"/>
      <c r="U63" s="61"/>
      <c r="V63" s="61"/>
      <c r="W63" s="61"/>
      <c r="X63" s="61"/>
      <c r="Y63" s="61"/>
      <c r="Z63" s="61"/>
      <c r="AA63" s="61"/>
    </row>
    <row r="64" ht="15.75" customHeight="1">
      <c r="B64" s="62">
        <v>43872.0</v>
      </c>
      <c r="C64" s="56" t="s">
        <v>23</v>
      </c>
      <c r="D64" s="56" t="s">
        <v>26</v>
      </c>
      <c r="E64" s="56" t="s">
        <v>30</v>
      </c>
      <c r="F64" s="56" t="s">
        <v>62</v>
      </c>
      <c r="G64" s="58">
        <v>1960.0</v>
      </c>
      <c r="H64" s="59">
        <v>0.0</v>
      </c>
      <c r="I64" s="60"/>
      <c r="J64" s="60"/>
      <c r="K64" s="56"/>
      <c r="L64" s="58">
        <v>1.1</v>
      </c>
      <c r="M64" s="56" t="s">
        <v>60</v>
      </c>
      <c r="N64" s="56" t="s">
        <v>51</v>
      </c>
      <c r="O64" s="56" t="s">
        <v>52</v>
      </c>
      <c r="P64" s="56" t="s">
        <v>19</v>
      </c>
      <c r="Q64" s="56" t="s">
        <v>61</v>
      </c>
      <c r="R64" s="58">
        <v>1781.8181818181815</v>
      </c>
      <c r="S64" s="58">
        <v>0.0</v>
      </c>
      <c r="T64" s="61"/>
      <c r="U64" s="61"/>
      <c r="V64" s="61"/>
      <c r="W64" s="61"/>
      <c r="X64" s="61"/>
      <c r="Y64" s="61"/>
      <c r="Z64" s="61"/>
      <c r="AA64" s="61"/>
    </row>
    <row r="65" ht="15.75" customHeight="1">
      <c r="B65" s="62">
        <v>43872.0</v>
      </c>
      <c r="C65" s="56" t="s">
        <v>23</v>
      </c>
      <c r="D65" s="56" t="s">
        <v>26</v>
      </c>
      <c r="E65" s="56" t="s">
        <v>30</v>
      </c>
      <c r="F65" s="63" t="s">
        <v>20</v>
      </c>
      <c r="G65" s="64">
        <v>0.0</v>
      </c>
      <c r="H65" s="65">
        <v>1960.0</v>
      </c>
      <c r="I65" s="66"/>
      <c r="J65" s="66"/>
      <c r="K65" s="63"/>
      <c r="L65" s="65">
        <v>1.1</v>
      </c>
      <c r="M65" s="63" t="s">
        <v>60</v>
      </c>
      <c r="N65" s="63" t="s">
        <v>55</v>
      </c>
      <c r="O65" s="63" t="s">
        <v>52</v>
      </c>
      <c r="P65" s="63" t="s">
        <v>19</v>
      </c>
      <c r="Q65" s="56" t="s">
        <v>61</v>
      </c>
      <c r="R65" s="65">
        <v>0.0</v>
      </c>
      <c r="S65" s="65">
        <v>1781.8181818181815</v>
      </c>
      <c r="T65" s="61"/>
      <c r="U65" s="61"/>
      <c r="V65" s="61"/>
      <c r="W65" s="61"/>
      <c r="X65" s="61"/>
      <c r="Y65" s="61"/>
      <c r="Z65" s="61"/>
      <c r="AA65" s="61"/>
    </row>
    <row r="66" ht="15.75" customHeight="1">
      <c r="B66" s="62">
        <v>43872.0</v>
      </c>
      <c r="C66" s="56" t="s">
        <v>18</v>
      </c>
      <c r="D66" s="56" t="s">
        <v>26</v>
      </c>
      <c r="E66" s="56" t="s">
        <v>30</v>
      </c>
      <c r="F66" s="56" t="s">
        <v>62</v>
      </c>
      <c r="G66" s="58">
        <v>3644.95238095238</v>
      </c>
      <c r="H66" s="59">
        <v>0.0</v>
      </c>
      <c r="I66" s="60"/>
      <c r="J66" s="60"/>
      <c r="K66" s="56"/>
      <c r="L66" s="58">
        <v>0.5</v>
      </c>
      <c r="M66" s="56" t="s">
        <v>21</v>
      </c>
      <c r="N66" s="56" t="s">
        <v>51</v>
      </c>
      <c r="O66" s="56" t="s">
        <v>52</v>
      </c>
      <c r="P66" s="56" t="s">
        <v>19</v>
      </c>
      <c r="Q66" s="56" t="s">
        <v>63</v>
      </c>
      <c r="R66" s="58">
        <v>1822.47619047619</v>
      </c>
      <c r="S66" s="58">
        <v>0.0</v>
      </c>
      <c r="T66" s="61"/>
      <c r="U66" s="61"/>
      <c r="V66" s="61"/>
      <c r="W66" s="61"/>
      <c r="X66" s="61"/>
      <c r="Y66" s="61"/>
      <c r="Z66" s="61"/>
      <c r="AA66" s="61"/>
    </row>
    <row r="67" ht="15.75" customHeight="1">
      <c r="B67" s="62">
        <v>43872.0</v>
      </c>
      <c r="C67" s="56" t="s">
        <v>18</v>
      </c>
      <c r="D67" s="56" t="s">
        <v>26</v>
      </c>
      <c r="E67" s="56" t="s">
        <v>30</v>
      </c>
      <c r="F67" s="63" t="s">
        <v>20</v>
      </c>
      <c r="G67" s="64">
        <v>0.0</v>
      </c>
      <c r="H67" s="65">
        <v>3644.95238095238</v>
      </c>
      <c r="I67" s="66"/>
      <c r="J67" s="66"/>
      <c r="K67" s="63"/>
      <c r="L67" s="65">
        <v>0.5</v>
      </c>
      <c r="M67" s="63" t="s">
        <v>21</v>
      </c>
      <c r="N67" s="63" t="s">
        <v>55</v>
      </c>
      <c r="O67" s="63" t="s">
        <v>52</v>
      </c>
      <c r="P67" s="63" t="s">
        <v>19</v>
      </c>
      <c r="Q67" s="56" t="s">
        <v>63</v>
      </c>
      <c r="R67" s="65">
        <v>0.0</v>
      </c>
      <c r="S67" s="65">
        <v>1822.47619047619</v>
      </c>
      <c r="T67" s="61"/>
      <c r="U67" s="61"/>
      <c r="V67" s="61"/>
      <c r="W67" s="61"/>
      <c r="X67" s="61"/>
      <c r="Y67" s="61"/>
      <c r="Z67" s="61"/>
      <c r="AA67" s="61"/>
    </row>
    <row r="68" ht="15.75" customHeight="1">
      <c r="B68" s="62">
        <v>43872.0</v>
      </c>
      <c r="C68" s="56" t="s">
        <v>23</v>
      </c>
      <c r="D68" s="56" t="s">
        <v>26</v>
      </c>
      <c r="E68" s="56" t="s">
        <v>30</v>
      </c>
      <c r="F68" s="56" t="s">
        <v>62</v>
      </c>
      <c r="G68" s="58">
        <v>3715.04761904762</v>
      </c>
      <c r="H68" s="59">
        <v>0.0</v>
      </c>
      <c r="I68" s="60"/>
      <c r="J68" s="60"/>
      <c r="K68" s="56"/>
      <c r="L68" s="58">
        <v>0.5</v>
      </c>
      <c r="M68" s="56" t="s">
        <v>21</v>
      </c>
      <c r="N68" s="56" t="s">
        <v>51</v>
      </c>
      <c r="O68" s="56" t="s">
        <v>52</v>
      </c>
      <c r="P68" s="56" t="s">
        <v>19</v>
      </c>
      <c r="Q68" s="56" t="s">
        <v>63</v>
      </c>
      <c r="R68" s="58">
        <v>1857.52380952381</v>
      </c>
      <c r="S68" s="58">
        <v>0.0</v>
      </c>
      <c r="T68" s="61"/>
      <c r="U68" s="61"/>
      <c r="V68" s="61"/>
      <c r="W68" s="61"/>
      <c r="X68" s="61"/>
      <c r="Y68" s="61"/>
      <c r="Z68" s="61"/>
      <c r="AA68" s="61"/>
    </row>
    <row r="69" ht="15.75" customHeight="1">
      <c r="B69" s="62">
        <v>43872.0</v>
      </c>
      <c r="C69" s="56" t="s">
        <v>23</v>
      </c>
      <c r="D69" s="56" t="s">
        <v>26</v>
      </c>
      <c r="E69" s="56" t="s">
        <v>30</v>
      </c>
      <c r="F69" s="63" t="s">
        <v>20</v>
      </c>
      <c r="G69" s="64">
        <v>0.0</v>
      </c>
      <c r="H69" s="65">
        <v>3715.04761904762</v>
      </c>
      <c r="I69" s="66"/>
      <c r="J69" s="66"/>
      <c r="K69" s="63"/>
      <c r="L69" s="65">
        <v>0.5</v>
      </c>
      <c r="M69" s="63" t="s">
        <v>21</v>
      </c>
      <c r="N69" s="63" t="s">
        <v>55</v>
      </c>
      <c r="O69" s="63" t="s">
        <v>52</v>
      </c>
      <c r="P69" s="63" t="s">
        <v>19</v>
      </c>
      <c r="Q69" s="56" t="s">
        <v>63</v>
      </c>
      <c r="R69" s="65">
        <v>0.0</v>
      </c>
      <c r="S69" s="65">
        <v>1857.52380952381</v>
      </c>
      <c r="T69" s="61"/>
      <c r="U69" s="61"/>
      <c r="V69" s="61"/>
      <c r="W69" s="61"/>
      <c r="X69" s="61"/>
      <c r="Y69" s="61"/>
      <c r="Z69" s="61"/>
      <c r="AA69" s="61"/>
    </row>
    <row r="70" ht="15.75" customHeight="1">
      <c r="B70" s="62">
        <v>43872.0</v>
      </c>
      <c r="C70" s="56" t="s">
        <v>18</v>
      </c>
      <c r="D70" s="56" t="s">
        <v>39</v>
      </c>
      <c r="E70" s="56" t="s">
        <v>30</v>
      </c>
      <c r="F70" s="56" t="s">
        <v>62</v>
      </c>
      <c r="G70" s="58">
        <v>1304.95238095238</v>
      </c>
      <c r="H70" s="59">
        <v>0.0</v>
      </c>
      <c r="I70" s="60"/>
      <c r="J70" s="60"/>
      <c r="K70" s="56"/>
      <c r="L70" s="58">
        <v>0.5</v>
      </c>
      <c r="M70" s="56" t="s">
        <v>21</v>
      </c>
      <c r="N70" s="56" t="s">
        <v>51</v>
      </c>
      <c r="O70" s="56" t="s">
        <v>52</v>
      </c>
      <c r="P70" s="56" t="s">
        <v>19</v>
      </c>
      <c r="Q70" s="56" t="s">
        <v>63</v>
      </c>
      <c r="R70" s="58">
        <v>652.47619047619</v>
      </c>
      <c r="S70" s="58">
        <v>0.0</v>
      </c>
      <c r="T70" s="61"/>
      <c r="U70" s="61"/>
      <c r="V70" s="61"/>
      <c r="W70" s="61"/>
      <c r="X70" s="61"/>
      <c r="Y70" s="61"/>
      <c r="Z70" s="61"/>
      <c r="AA70" s="61"/>
    </row>
    <row r="71" ht="15.75" customHeight="1">
      <c r="B71" s="62">
        <v>43872.0</v>
      </c>
      <c r="C71" s="56" t="s">
        <v>18</v>
      </c>
      <c r="D71" s="56" t="s">
        <v>39</v>
      </c>
      <c r="E71" s="56" t="s">
        <v>30</v>
      </c>
      <c r="F71" s="63" t="s">
        <v>20</v>
      </c>
      <c r="G71" s="64">
        <v>0.0</v>
      </c>
      <c r="H71" s="65">
        <v>1304.95238095238</v>
      </c>
      <c r="I71" s="66"/>
      <c r="J71" s="66"/>
      <c r="K71" s="63"/>
      <c r="L71" s="65">
        <v>0.5</v>
      </c>
      <c r="M71" s="63" t="s">
        <v>21</v>
      </c>
      <c r="N71" s="63" t="s">
        <v>55</v>
      </c>
      <c r="O71" s="63" t="s">
        <v>52</v>
      </c>
      <c r="P71" s="63" t="s">
        <v>19</v>
      </c>
      <c r="Q71" s="56" t="s">
        <v>63</v>
      </c>
      <c r="R71" s="65">
        <v>0.0</v>
      </c>
      <c r="S71" s="65">
        <v>652.47619047619</v>
      </c>
      <c r="T71" s="61"/>
      <c r="U71" s="61"/>
      <c r="V71" s="61"/>
      <c r="W71" s="61"/>
      <c r="X71" s="61"/>
      <c r="Y71" s="61"/>
      <c r="Z71" s="61"/>
      <c r="AA71" s="61"/>
    </row>
    <row r="72" ht="15.75" customHeight="1">
      <c r="B72" s="62">
        <v>43872.0</v>
      </c>
      <c r="C72" s="56" t="s">
        <v>23</v>
      </c>
      <c r="D72" s="56" t="s">
        <v>39</v>
      </c>
      <c r="E72" s="56" t="s">
        <v>30</v>
      </c>
      <c r="F72" s="56" t="s">
        <v>62</v>
      </c>
      <c r="G72" s="58">
        <v>1330.04761904762</v>
      </c>
      <c r="H72" s="59">
        <v>0.0</v>
      </c>
      <c r="I72" s="60"/>
      <c r="J72" s="60"/>
      <c r="K72" s="56"/>
      <c r="L72" s="58">
        <v>0.5</v>
      </c>
      <c r="M72" s="56" t="s">
        <v>21</v>
      </c>
      <c r="N72" s="56" t="s">
        <v>51</v>
      </c>
      <c r="O72" s="56" t="s">
        <v>52</v>
      </c>
      <c r="P72" s="56" t="s">
        <v>19</v>
      </c>
      <c r="Q72" s="56" t="s">
        <v>63</v>
      </c>
      <c r="R72" s="58">
        <v>665.02380952381</v>
      </c>
      <c r="S72" s="58">
        <v>0.0</v>
      </c>
      <c r="T72" s="61"/>
      <c r="U72" s="61"/>
      <c r="V72" s="61"/>
      <c r="W72" s="61"/>
      <c r="X72" s="61"/>
      <c r="Y72" s="61"/>
      <c r="Z72" s="61"/>
      <c r="AA72" s="61"/>
    </row>
    <row r="73" ht="15.75" customHeight="1">
      <c r="B73" s="62">
        <v>43872.0</v>
      </c>
      <c r="C73" s="56" t="s">
        <v>23</v>
      </c>
      <c r="D73" s="56" t="s">
        <v>39</v>
      </c>
      <c r="E73" s="56" t="s">
        <v>30</v>
      </c>
      <c r="F73" s="63" t="s">
        <v>20</v>
      </c>
      <c r="G73" s="64">
        <v>0.0</v>
      </c>
      <c r="H73" s="65">
        <v>1330.04761904762</v>
      </c>
      <c r="I73" s="66"/>
      <c r="J73" s="66"/>
      <c r="K73" s="63"/>
      <c r="L73" s="65">
        <v>0.5</v>
      </c>
      <c r="M73" s="63" t="s">
        <v>21</v>
      </c>
      <c r="N73" s="63" t="s">
        <v>55</v>
      </c>
      <c r="O73" s="63" t="s">
        <v>52</v>
      </c>
      <c r="P73" s="63" t="s">
        <v>19</v>
      </c>
      <c r="Q73" s="56" t="s">
        <v>63</v>
      </c>
      <c r="R73" s="65">
        <v>0.0</v>
      </c>
      <c r="S73" s="65">
        <v>665.02380952381</v>
      </c>
      <c r="T73" s="61"/>
      <c r="U73" s="61"/>
      <c r="V73" s="61"/>
      <c r="W73" s="61"/>
      <c r="X73" s="61"/>
      <c r="Y73" s="61"/>
      <c r="Z73" s="61"/>
      <c r="AA73" s="61"/>
    </row>
    <row r="74" ht="15.75" customHeight="1">
      <c r="B74" s="62">
        <v>43872.0</v>
      </c>
      <c r="C74" s="56" t="s">
        <v>18</v>
      </c>
      <c r="D74" s="56" t="s">
        <v>26</v>
      </c>
      <c r="E74" s="56" t="s">
        <v>30</v>
      </c>
      <c r="F74" s="56" t="s">
        <v>20</v>
      </c>
      <c r="G74" s="58">
        <v>1890.0</v>
      </c>
      <c r="H74" s="59">
        <v>0.0</v>
      </c>
      <c r="I74" s="60"/>
      <c r="J74" s="60"/>
      <c r="K74" s="56"/>
      <c r="L74" s="58">
        <v>0.5</v>
      </c>
      <c r="M74" s="56" t="s">
        <v>21</v>
      </c>
      <c r="N74" s="56" t="s">
        <v>51</v>
      </c>
      <c r="O74" s="56" t="s">
        <v>52</v>
      </c>
      <c r="P74" s="56" t="s">
        <v>19</v>
      </c>
      <c r="Q74" s="56" t="s">
        <v>66</v>
      </c>
      <c r="R74" s="58">
        <v>945.0</v>
      </c>
      <c r="S74" s="58">
        <v>0.0</v>
      </c>
      <c r="T74" s="61"/>
      <c r="U74" s="61"/>
      <c r="V74" s="61"/>
      <c r="W74" s="61"/>
      <c r="X74" s="61"/>
      <c r="Y74" s="61"/>
      <c r="Z74" s="61"/>
      <c r="AA74" s="61"/>
    </row>
    <row r="75" ht="15.75" customHeight="1">
      <c r="B75" s="62">
        <v>43872.0</v>
      </c>
      <c r="C75" s="56" t="s">
        <v>18</v>
      </c>
      <c r="D75" s="56" t="s">
        <v>26</v>
      </c>
      <c r="E75" s="56" t="s">
        <v>30</v>
      </c>
      <c r="F75" s="63" t="s">
        <v>62</v>
      </c>
      <c r="G75" s="64">
        <v>0.0</v>
      </c>
      <c r="H75" s="65">
        <v>1890.0</v>
      </c>
      <c r="I75" s="66"/>
      <c r="J75" s="66"/>
      <c r="K75" s="63"/>
      <c r="L75" s="65">
        <v>0.5</v>
      </c>
      <c r="M75" s="63" t="s">
        <v>21</v>
      </c>
      <c r="N75" s="63" t="s">
        <v>55</v>
      </c>
      <c r="O75" s="63" t="s">
        <v>52</v>
      </c>
      <c r="P75" s="63" t="s">
        <v>19</v>
      </c>
      <c r="Q75" s="56" t="s">
        <v>66</v>
      </c>
      <c r="R75" s="65">
        <v>0.0</v>
      </c>
      <c r="S75" s="65">
        <v>945.0</v>
      </c>
      <c r="T75" s="61"/>
      <c r="U75" s="61"/>
      <c r="V75" s="61"/>
      <c r="W75" s="61"/>
      <c r="X75" s="61"/>
      <c r="Y75" s="61"/>
      <c r="Z75" s="61"/>
      <c r="AA75" s="61"/>
    </row>
    <row r="76" ht="15.75" customHeight="1">
      <c r="B76" s="62">
        <v>43872.0</v>
      </c>
      <c r="C76" s="56" t="s">
        <v>23</v>
      </c>
      <c r="D76" s="56" t="s">
        <v>26</v>
      </c>
      <c r="E76" s="56" t="s">
        <v>30</v>
      </c>
      <c r="F76" s="56" t="s">
        <v>20</v>
      </c>
      <c r="G76" s="58">
        <v>1960.0</v>
      </c>
      <c r="H76" s="59">
        <v>0.0</v>
      </c>
      <c r="I76" s="60"/>
      <c r="J76" s="60"/>
      <c r="K76" s="56"/>
      <c r="L76" s="58">
        <v>0.5</v>
      </c>
      <c r="M76" s="56" t="s">
        <v>21</v>
      </c>
      <c r="N76" s="56" t="s">
        <v>51</v>
      </c>
      <c r="O76" s="56" t="s">
        <v>52</v>
      </c>
      <c r="P76" s="56" t="s">
        <v>19</v>
      </c>
      <c r="Q76" s="56" t="s">
        <v>66</v>
      </c>
      <c r="R76" s="58">
        <v>980.0</v>
      </c>
      <c r="S76" s="58">
        <v>0.0</v>
      </c>
      <c r="T76" s="61"/>
      <c r="U76" s="61"/>
      <c r="V76" s="61"/>
      <c r="W76" s="61"/>
      <c r="X76" s="61"/>
      <c r="Y76" s="61"/>
      <c r="Z76" s="61"/>
      <c r="AA76" s="61"/>
    </row>
    <row r="77" ht="15.75" customHeight="1">
      <c r="B77" s="62">
        <v>43872.0</v>
      </c>
      <c r="C77" s="56" t="s">
        <v>23</v>
      </c>
      <c r="D77" s="56" t="s">
        <v>26</v>
      </c>
      <c r="E77" s="56" t="s">
        <v>30</v>
      </c>
      <c r="F77" s="63" t="s">
        <v>62</v>
      </c>
      <c r="G77" s="64">
        <v>0.0</v>
      </c>
      <c r="H77" s="65">
        <v>1960.0</v>
      </c>
      <c r="I77" s="66"/>
      <c r="J77" s="66"/>
      <c r="K77" s="63"/>
      <c r="L77" s="65">
        <v>0.5</v>
      </c>
      <c r="M77" s="63" t="s">
        <v>21</v>
      </c>
      <c r="N77" s="63" t="s">
        <v>55</v>
      </c>
      <c r="O77" s="63" t="s">
        <v>52</v>
      </c>
      <c r="P77" s="63" t="s">
        <v>19</v>
      </c>
      <c r="Q77" s="56" t="s">
        <v>66</v>
      </c>
      <c r="R77" s="65">
        <v>0.0</v>
      </c>
      <c r="S77" s="65">
        <v>980.0</v>
      </c>
      <c r="T77" s="61"/>
      <c r="U77" s="61"/>
      <c r="V77" s="61"/>
      <c r="W77" s="61"/>
      <c r="X77" s="61"/>
      <c r="Y77" s="61"/>
      <c r="Z77" s="61"/>
      <c r="AA77" s="61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5">
        <v>43871.0</v>
      </c>
      <c r="C6" s="60"/>
      <c r="D6" s="60"/>
      <c r="E6" s="58">
        <v>3644.95238095238</v>
      </c>
      <c r="F6" s="59">
        <v>0.0</v>
      </c>
      <c r="G6" s="58">
        <v>1.1</v>
      </c>
      <c r="H6" s="56" t="s">
        <v>60</v>
      </c>
      <c r="I6" s="56" t="s">
        <v>51</v>
      </c>
      <c r="J6" s="56" t="s">
        <v>68</v>
      </c>
      <c r="K6" s="56" t="s">
        <v>30</v>
      </c>
      <c r="L6" s="56" t="s">
        <v>19</v>
      </c>
      <c r="M6" s="56" t="s">
        <v>26</v>
      </c>
      <c r="N6" s="56" t="s">
        <v>69</v>
      </c>
      <c r="O6" s="58">
        <v>3313.5930735930724</v>
      </c>
      <c r="P6" s="58">
        <v>0.0</v>
      </c>
      <c r="Q6" s="56" t="s">
        <v>58</v>
      </c>
      <c r="R6" s="56" t="s">
        <v>18</v>
      </c>
      <c r="S6" s="61"/>
      <c r="T6" s="61"/>
      <c r="U6" s="61"/>
      <c r="V6" s="61"/>
      <c r="W6" s="61"/>
      <c r="X6" s="61"/>
      <c r="Y6" s="61"/>
      <c r="Z6" s="61"/>
      <c r="AA6" s="61"/>
    </row>
    <row r="7" ht="15.75" customHeight="1">
      <c r="A7" s="8"/>
      <c r="B7" s="62">
        <v>43871.0</v>
      </c>
      <c r="C7" s="66"/>
      <c r="D7" s="66"/>
      <c r="E7" s="64">
        <v>0.0</v>
      </c>
      <c r="F7" s="65">
        <v>3644.95238095238</v>
      </c>
      <c r="G7" s="65">
        <v>1.1</v>
      </c>
      <c r="H7" s="63" t="s">
        <v>60</v>
      </c>
      <c r="I7" s="63" t="s">
        <v>55</v>
      </c>
      <c r="J7" s="63" t="s">
        <v>68</v>
      </c>
      <c r="K7" s="56" t="s">
        <v>30</v>
      </c>
      <c r="L7" s="63" t="s">
        <v>19</v>
      </c>
      <c r="M7" s="56" t="s">
        <v>26</v>
      </c>
      <c r="N7" s="56" t="s">
        <v>69</v>
      </c>
      <c r="O7" s="65">
        <v>0.0</v>
      </c>
      <c r="P7" s="65">
        <v>3313.5930735930724</v>
      </c>
      <c r="Q7" s="63" t="s">
        <v>20</v>
      </c>
      <c r="R7" s="56" t="s">
        <v>18</v>
      </c>
      <c r="S7" s="61"/>
      <c r="T7" s="61"/>
      <c r="U7" s="61"/>
      <c r="V7" s="61"/>
      <c r="W7" s="61"/>
      <c r="X7" s="61"/>
      <c r="Y7" s="61"/>
      <c r="Z7" s="61"/>
      <c r="AA7" s="61"/>
    </row>
    <row r="8" ht="15.75" customHeight="1">
      <c r="A8" s="8"/>
      <c r="B8" s="62">
        <v>43871.0</v>
      </c>
      <c r="C8" s="60"/>
      <c r="D8" s="60"/>
      <c r="E8" s="58">
        <v>3715.04761904762</v>
      </c>
      <c r="F8" s="59">
        <v>0.0</v>
      </c>
      <c r="G8" s="58">
        <v>1.1</v>
      </c>
      <c r="H8" s="56" t="s">
        <v>60</v>
      </c>
      <c r="I8" s="56" t="s">
        <v>51</v>
      </c>
      <c r="J8" s="56" t="s">
        <v>68</v>
      </c>
      <c r="K8" s="56" t="s">
        <v>30</v>
      </c>
      <c r="L8" s="56" t="s">
        <v>19</v>
      </c>
      <c r="M8" s="56" t="s">
        <v>26</v>
      </c>
      <c r="N8" s="56" t="s">
        <v>69</v>
      </c>
      <c r="O8" s="58">
        <v>3377.3160173160177</v>
      </c>
      <c r="P8" s="58">
        <v>0.0</v>
      </c>
      <c r="Q8" s="56" t="s">
        <v>58</v>
      </c>
      <c r="R8" s="56" t="s">
        <v>23</v>
      </c>
      <c r="S8" s="61"/>
      <c r="T8" s="61"/>
      <c r="U8" s="61"/>
      <c r="V8" s="61"/>
      <c r="W8" s="61"/>
      <c r="X8" s="61"/>
      <c r="Y8" s="61"/>
      <c r="Z8" s="61"/>
      <c r="AA8" s="61"/>
    </row>
    <row r="9" ht="15.75" customHeight="1">
      <c r="A9" s="8"/>
      <c r="B9" s="62">
        <v>43871.0</v>
      </c>
      <c r="C9" s="66"/>
      <c r="D9" s="66"/>
      <c r="E9" s="64">
        <v>0.0</v>
      </c>
      <c r="F9" s="65">
        <v>3715.04761904762</v>
      </c>
      <c r="G9" s="65">
        <v>1.1</v>
      </c>
      <c r="H9" s="63" t="s">
        <v>60</v>
      </c>
      <c r="I9" s="63" t="s">
        <v>55</v>
      </c>
      <c r="J9" s="63" t="s">
        <v>68</v>
      </c>
      <c r="K9" s="56" t="s">
        <v>30</v>
      </c>
      <c r="L9" s="63" t="s">
        <v>19</v>
      </c>
      <c r="M9" s="56" t="s">
        <v>26</v>
      </c>
      <c r="N9" s="56" t="s">
        <v>69</v>
      </c>
      <c r="O9" s="65">
        <v>0.0</v>
      </c>
      <c r="P9" s="65">
        <v>3377.3160173160177</v>
      </c>
      <c r="Q9" s="63" t="s">
        <v>20</v>
      </c>
      <c r="R9" s="56" t="s">
        <v>23</v>
      </c>
      <c r="S9" s="61"/>
      <c r="T9" s="61"/>
      <c r="U9" s="61"/>
      <c r="V9" s="61"/>
      <c r="W9" s="61"/>
      <c r="X9" s="61"/>
      <c r="Y9" s="61"/>
      <c r="Z9" s="61"/>
      <c r="AA9" s="61"/>
    </row>
    <row r="10" ht="15.75" customHeight="1">
      <c r="A10" s="8"/>
      <c r="B10" s="62">
        <v>43872.0</v>
      </c>
      <c r="C10" s="60"/>
      <c r="D10" s="60"/>
      <c r="E10" s="58">
        <v>3644.95238095238</v>
      </c>
      <c r="F10" s="59">
        <v>0.0</v>
      </c>
      <c r="G10" s="58">
        <v>1.1</v>
      </c>
      <c r="H10" s="56" t="s">
        <v>60</v>
      </c>
      <c r="I10" s="56" t="s">
        <v>51</v>
      </c>
      <c r="J10" s="56" t="s">
        <v>68</v>
      </c>
      <c r="K10" s="56" t="s">
        <v>30</v>
      </c>
      <c r="L10" s="56" t="s">
        <v>19</v>
      </c>
      <c r="M10" s="56" t="s">
        <v>26</v>
      </c>
      <c r="N10" s="56" t="s">
        <v>69</v>
      </c>
      <c r="O10" s="58">
        <v>3313.5930735930724</v>
      </c>
      <c r="P10" s="58">
        <v>0.0</v>
      </c>
      <c r="Q10" s="56" t="s">
        <v>58</v>
      </c>
      <c r="R10" s="56" t="s">
        <v>18</v>
      </c>
      <c r="S10" s="61"/>
      <c r="T10" s="61"/>
      <c r="U10" s="61"/>
      <c r="V10" s="61"/>
      <c r="W10" s="61"/>
      <c r="X10" s="61"/>
      <c r="Y10" s="61"/>
      <c r="Z10" s="61"/>
      <c r="AA10" s="61"/>
    </row>
    <row r="11" ht="15.75" customHeight="1">
      <c r="A11" s="8"/>
      <c r="B11" s="62">
        <v>43872.0</v>
      </c>
      <c r="C11" s="66"/>
      <c r="D11" s="66"/>
      <c r="E11" s="64">
        <v>0.0</v>
      </c>
      <c r="F11" s="65">
        <v>3644.95238095238</v>
      </c>
      <c r="G11" s="65">
        <v>1.1</v>
      </c>
      <c r="H11" s="63" t="s">
        <v>60</v>
      </c>
      <c r="I11" s="63" t="s">
        <v>55</v>
      </c>
      <c r="J11" s="63" t="s">
        <v>68</v>
      </c>
      <c r="K11" s="56" t="s">
        <v>30</v>
      </c>
      <c r="L11" s="63" t="s">
        <v>19</v>
      </c>
      <c r="M11" s="56" t="s">
        <v>26</v>
      </c>
      <c r="N11" s="56" t="s">
        <v>69</v>
      </c>
      <c r="O11" s="65">
        <v>0.0</v>
      </c>
      <c r="P11" s="65">
        <v>3313.5930735930724</v>
      </c>
      <c r="Q11" s="63" t="s">
        <v>20</v>
      </c>
      <c r="R11" s="56" t="s">
        <v>18</v>
      </c>
      <c r="S11" s="61"/>
      <c r="T11" s="61"/>
      <c r="U11" s="61"/>
      <c r="V11" s="61"/>
      <c r="W11" s="61"/>
      <c r="X11" s="61"/>
      <c r="Y11" s="61"/>
      <c r="Z11" s="61"/>
      <c r="AA11" s="61"/>
    </row>
    <row r="12" ht="15.75" customHeight="1">
      <c r="A12" s="8"/>
      <c r="B12" s="62">
        <v>43872.0</v>
      </c>
      <c r="C12" s="60"/>
      <c r="D12" s="60"/>
      <c r="E12" s="58">
        <v>3715.04761904762</v>
      </c>
      <c r="F12" s="59">
        <v>0.0</v>
      </c>
      <c r="G12" s="58">
        <v>1.1</v>
      </c>
      <c r="H12" s="56" t="s">
        <v>60</v>
      </c>
      <c r="I12" s="56" t="s">
        <v>51</v>
      </c>
      <c r="J12" s="56" t="s">
        <v>68</v>
      </c>
      <c r="K12" s="56" t="s">
        <v>30</v>
      </c>
      <c r="L12" s="56" t="s">
        <v>19</v>
      </c>
      <c r="M12" s="56" t="s">
        <v>26</v>
      </c>
      <c r="N12" s="56" t="s">
        <v>69</v>
      </c>
      <c r="O12" s="58">
        <v>3377.3160173160177</v>
      </c>
      <c r="P12" s="58">
        <v>0.0</v>
      </c>
      <c r="Q12" s="56" t="s">
        <v>58</v>
      </c>
      <c r="R12" s="56" t="s">
        <v>23</v>
      </c>
      <c r="S12" s="61"/>
      <c r="T12" s="61"/>
      <c r="U12" s="61"/>
      <c r="V12" s="61"/>
      <c r="W12" s="61"/>
      <c r="X12" s="61"/>
      <c r="Y12" s="61"/>
      <c r="Z12" s="61"/>
      <c r="AA12" s="61"/>
    </row>
    <row r="13" ht="15.75" customHeight="1">
      <c r="A13" s="8"/>
      <c r="B13" s="62">
        <v>43872.0</v>
      </c>
      <c r="C13" s="66"/>
      <c r="D13" s="66"/>
      <c r="E13" s="64">
        <v>0.0</v>
      </c>
      <c r="F13" s="65">
        <v>3715.04761904762</v>
      </c>
      <c r="G13" s="65">
        <v>1.1</v>
      </c>
      <c r="H13" s="63" t="s">
        <v>60</v>
      </c>
      <c r="I13" s="63" t="s">
        <v>55</v>
      </c>
      <c r="J13" s="63" t="s">
        <v>68</v>
      </c>
      <c r="K13" s="56" t="s">
        <v>30</v>
      </c>
      <c r="L13" s="63" t="s">
        <v>19</v>
      </c>
      <c r="M13" s="56" t="s">
        <v>26</v>
      </c>
      <c r="N13" s="56" t="s">
        <v>69</v>
      </c>
      <c r="O13" s="65">
        <v>0.0</v>
      </c>
      <c r="P13" s="65">
        <v>3377.3160173160177</v>
      </c>
      <c r="Q13" s="63" t="s">
        <v>20</v>
      </c>
      <c r="R13" s="56" t="s">
        <v>23</v>
      </c>
      <c r="S13" s="61"/>
      <c r="T13" s="61"/>
      <c r="U13" s="61"/>
      <c r="V13" s="61"/>
      <c r="W13" s="61"/>
      <c r="X13" s="61"/>
      <c r="Y13" s="61"/>
      <c r="Z13" s="61"/>
      <c r="AA13" s="61"/>
    </row>
    <row r="14" ht="15.75" customHeight="1">
      <c r="A14" s="8"/>
      <c r="B14" s="62">
        <v>43872.0</v>
      </c>
      <c r="C14" s="60"/>
      <c r="D14" s="60"/>
      <c r="E14" s="58">
        <v>1304.95238095238</v>
      </c>
      <c r="F14" s="59">
        <v>0.0</v>
      </c>
      <c r="G14" s="58">
        <v>1.1</v>
      </c>
      <c r="H14" s="56" t="s">
        <v>60</v>
      </c>
      <c r="I14" s="56" t="s">
        <v>51</v>
      </c>
      <c r="J14" s="56" t="s">
        <v>68</v>
      </c>
      <c r="K14" s="56" t="s">
        <v>30</v>
      </c>
      <c r="L14" s="56" t="s">
        <v>19</v>
      </c>
      <c r="M14" s="56" t="s">
        <v>39</v>
      </c>
      <c r="N14" s="56" t="s">
        <v>69</v>
      </c>
      <c r="O14" s="58">
        <v>1186.3203463203454</v>
      </c>
      <c r="P14" s="58">
        <v>0.0</v>
      </c>
      <c r="Q14" s="56" t="s">
        <v>58</v>
      </c>
      <c r="R14" s="56" t="s">
        <v>18</v>
      </c>
      <c r="S14" s="61"/>
      <c r="T14" s="61"/>
      <c r="U14" s="61"/>
      <c r="V14" s="61"/>
      <c r="W14" s="61"/>
      <c r="X14" s="61"/>
      <c r="Y14" s="61"/>
      <c r="Z14" s="61"/>
      <c r="AA14" s="61"/>
    </row>
    <row r="15" ht="15.75" customHeight="1">
      <c r="A15" s="8"/>
      <c r="B15" s="62">
        <v>43872.0</v>
      </c>
      <c r="C15" s="66"/>
      <c r="D15" s="66"/>
      <c r="E15" s="64">
        <v>0.0</v>
      </c>
      <c r="F15" s="65">
        <v>1304.95238095238</v>
      </c>
      <c r="G15" s="65">
        <v>1.1</v>
      </c>
      <c r="H15" s="63" t="s">
        <v>60</v>
      </c>
      <c r="I15" s="63" t="s">
        <v>55</v>
      </c>
      <c r="J15" s="63" t="s">
        <v>68</v>
      </c>
      <c r="K15" s="56" t="s">
        <v>30</v>
      </c>
      <c r="L15" s="63" t="s">
        <v>19</v>
      </c>
      <c r="M15" s="56" t="s">
        <v>39</v>
      </c>
      <c r="N15" s="56" t="s">
        <v>69</v>
      </c>
      <c r="O15" s="65">
        <v>0.0</v>
      </c>
      <c r="P15" s="65">
        <v>1186.3203463203454</v>
      </c>
      <c r="Q15" s="63" t="s">
        <v>20</v>
      </c>
      <c r="R15" s="56" t="s">
        <v>18</v>
      </c>
      <c r="S15" s="61"/>
      <c r="T15" s="61"/>
      <c r="U15" s="61"/>
      <c r="V15" s="61"/>
      <c r="W15" s="61"/>
      <c r="X15" s="61"/>
      <c r="Y15" s="61"/>
      <c r="Z15" s="61"/>
      <c r="AA15" s="61"/>
    </row>
    <row r="16" ht="15.75" customHeight="1">
      <c r="A16" s="8"/>
      <c r="B16" s="62">
        <v>43872.0</v>
      </c>
      <c r="C16" s="60"/>
      <c r="D16" s="60"/>
      <c r="E16" s="58">
        <v>1330.04761904762</v>
      </c>
      <c r="F16" s="59">
        <v>0.0</v>
      </c>
      <c r="G16" s="58">
        <v>1.1</v>
      </c>
      <c r="H16" s="56" t="s">
        <v>60</v>
      </c>
      <c r="I16" s="56" t="s">
        <v>51</v>
      </c>
      <c r="J16" s="56" t="s">
        <v>68</v>
      </c>
      <c r="K16" s="56" t="s">
        <v>30</v>
      </c>
      <c r="L16" s="56" t="s">
        <v>19</v>
      </c>
      <c r="M16" s="56" t="s">
        <v>39</v>
      </c>
      <c r="N16" s="56" t="s">
        <v>69</v>
      </c>
      <c r="O16" s="58">
        <v>1209.1341991342</v>
      </c>
      <c r="P16" s="58">
        <v>0.0</v>
      </c>
      <c r="Q16" s="56" t="s">
        <v>58</v>
      </c>
      <c r="R16" s="56" t="s">
        <v>23</v>
      </c>
      <c r="S16" s="61"/>
      <c r="T16" s="61"/>
      <c r="U16" s="61"/>
      <c r="V16" s="61"/>
      <c r="W16" s="61"/>
      <c r="X16" s="61"/>
      <c r="Y16" s="61"/>
      <c r="Z16" s="61"/>
      <c r="AA16" s="61"/>
    </row>
    <row r="17" ht="15.75" customHeight="1">
      <c r="A17" s="8"/>
      <c r="B17" s="62">
        <v>43872.0</v>
      </c>
      <c r="C17" s="66"/>
      <c r="D17" s="66"/>
      <c r="E17" s="64">
        <v>0.0</v>
      </c>
      <c r="F17" s="65">
        <v>1330.04761904762</v>
      </c>
      <c r="G17" s="65">
        <v>1.1</v>
      </c>
      <c r="H17" s="63" t="s">
        <v>60</v>
      </c>
      <c r="I17" s="63" t="s">
        <v>55</v>
      </c>
      <c r="J17" s="63" t="s">
        <v>68</v>
      </c>
      <c r="K17" s="56" t="s">
        <v>30</v>
      </c>
      <c r="L17" s="63" t="s">
        <v>19</v>
      </c>
      <c r="M17" s="56" t="s">
        <v>39</v>
      </c>
      <c r="N17" s="56" t="s">
        <v>69</v>
      </c>
      <c r="O17" s="65">
        <v>0.0</v>
      </c>
      <c r="P17" s="65">
        <v>1209.1341991342</v>
      </c>
      <c r="Q17" s="63" t="s">
        <v>20</v>
      </c>
      <c r="R17" s="56" t="s">
        <v>23</v>
      </c>
      <c r="S17" s="61"/>
      <c r="T17" s="61"/>
      <c r="U17" s="61"/>
      <c r="V17" s="61"/>
      <c r="W17" s="61"/>
      <c r="X17" s="61"/>
      <c r="Y17" s="61"/>
      <c r="Z17" s="61"/>
      <c r="AA17" s="61"/>
    </row>
    <row r="18" ht="15.75" customHeight="1">
      <c r="A18" s="8"/>
      <c r="B18" s="62">
        <v>43872.0</v>
      </c>
      <c r="C18" s="60"/>
      <c r="D18" s="60"/>
      <c r="E18" s="58">
        <v>1890.0</v>
      </c>
      <c r="F18" s="59">
        <v>0.0</v>
      </c>
      <c r="G18" s="58">
        <v>1.1</v>
      </c>
      <c r="H18" s="56" t="s">
        <v>60</v>
      </c>
      <c r="I18" s="56" t="s">
        <v>51</v>
      </c>
      <c r="J18" s="56" t="s">
        <v>68</v>
      </c>
      <c r="K18" s="56" t="s">
        <v>30</v>
      </c>
      <c r="L18" s="56" t="s">
        <v>19</v>
      </c>
      <c r="M18" s="56" t="s">
        <v>26</v>
      </c>
      <c r="N18" s="56" t="s">
        <v>69</v>
      </c>
      <c r="O18" s="58">
        <v>1718.181818181818</v>
      </c>
      <c r="P18" s="58">
        <v>0.0</v>
      </c>
      <c r="Q18" s="56" t="s">
        <v>20</v>
      </c>
      <c r="R18" s="56" t="s">
        <v>18</v>
      </c>
      <c r="S18" s="61"/>
      <c r="T18" s="61"/>
      <c r="U18" s="61"/>
      <c r="V18" s="61"/>
      <c r="W18" s="61"/>
      <c r="X18" s="61"/>
      <c r="Y18" s="61"/>
      <c r="Z18" s="61"/>
      <c r="AA18" s="61"/>
    </row>
    <row r="19" ht="15.75" customHeight="1">
      <c r="A19" s="8"/>
      <c r="B19" s="62">
        <v>43872.0</v>
      </c>
      <c r="C19" s="66"/>
      <c r="D19" s="66"/>
      <c r="E19" s="64">
        <v>0.0</v>
      </c>
      <c r="F19" s="65">
        <v>1890.0</v>
      </c>
      <c r="G19" s="65">
        <v>1.1</v>
      </c>
      <c r="H19" s="63" t="s">
        <v>60</v>
      </c>
      <c r="I19" s="63" t="s">
        <v>55</v>
      </c>
      <c r="J19" s="63" t="s">
        <v>68</v>
      </c>
      <c r="K19" s="56" t="s">
        <v>30</v>
      </c>
      <c r="L19" s="63" t="s">
        <v>19</v>
      </c>
      <c r="M19" s="56" t="s">
        <v>26</v>
      </c>
      <c r="N19" s="56" t="s">
        <v>69</v>
      </c>
      <c r="O19" s="65">
        <v>0.0</v>
      </c>
      <c r="P19" s="65">
        <v>1718.181818181818</v>
      </c>
      <c r="Q19" s="63" t="s">
        <v>58</v>
      </c>
      <c r="R19" s="56" t="s">
        <v>18</v>
      </c>
      <c r="S19" s="61"/>
      <c r="T19" s="61"/>
      <c r="U19" s="61"/>
      <c r="V19" s="61"/>
      <c r="W19" s="61"/>
      <c r="X19" s="61"/>
      <c r="Y19" s="61"/>
      <c r="Z19" s="61"/>
      <c r="AA19" s="61"/>
    </row>
    <row r="20" ht="15.75" customHeight="1">
      <c r="A20" s="8"/>
      <c r="B20" s="62">
        <v>43872.0</v>
      </c>
      <c r="C20" s="60"/>
      <c r="D20" s="60"/>
      <c r="E20" s="58">
        <v>1960.0</v>
      </c>
      <c r="F20" s="59">
        <v>0.0</v>
      </c>
      <c r="G20" s="58">
        <v>1.1</v>
      </c>
      <c r="H20" s="56" t="s">
        <v>60</v>
      </c>
      <c r="I20" s="56" t="s">
        <v>51</v>
      </c>
      <c r="J20" s="56" t="s">
        <v>68</v>
      </c>
      <c r="K20" s="56" t="s">
        <v>30</v>
      </c>
      <c r="L20" s="56" t="s">
        <v>19</v>
      </c>
      <c r="M20" s="56" t="s">
        <v>26</v>
      </c>
      <c r="N20" s="56" t="s">
        <v>69</v>
      </c>
      <c r="O20" s="58">
        <v>1781.8181818181815</v>
      </c>
      <c r="P20" s="58">
        <v>0.0</v>
      </c>
      <c r="Q20" s="56" t="s">
        <v>20</v>
      </c>
      <c r="R20" s="56" t="s">
        <v>23</v>
      </c>
      <c r="S20" s="61"/>
      <c r="T20" s="61"/>
      <c r="U20" s="61"/>
      <c r="V20" s="61"/>
      <c r="W20" s="61"/>
      <c r="X20" s="61"/>
      <c r="Y20" s="61"/>
      <c r="Z20" s="61"/>
      <c r="AA20" s="61"/>
    </row>
    <row r="21" ht="15.75" customHeight="1">
      <c r="A21" s="8"/>
      <c r="B21" s="62">
        <v>43872.0</v>
      </c>
      <c r="C21" s="66"/>
      <c r="D21" s="66"/>
      <c r="E21" s="64">
        <v>0.0</v>
      </c>
      <c r="F21" s="65">
        <v>1960.0</v>
      </c>
      <c r="G21" s="65">
        <v>1.1</v>
      </c>
      <c r="H21" s="63" t="s">
        <v>60</v>
      </c>
      <c r="I21" s="63" t="s">
        <v>55</v>
      </c>
      <c r="J21" s="63" t="s">
        <v>68</v>
      </c>
      <c r="K21" s="56" t="s">
        <v>30</v>
      </c>
      <c r="L21" s="63" t="s">
        <v>19</v>
      </c>
      <c r="M21" s="56" t="s">
        <v>26</v>
      </c>
      <c r="N21" s="56" t="s">
        <v>69</v>
      </c>
      <c r="O21" s="65">
        <v>0.0</v>
      </c>
      <c r="P21" s="65">
        <v>1781.8181818181815</v>
      </c>
      <c r="Q21" s="63" t="s">
        <v>58</v>
      </c>
      <c r="R21" s="56" t="s">
        <v>23</v>
      </c>
      <c r="S21" s="61"/>
      <c r="T21" s="61"/>
      <c r="U21" s="61"/>
      <c r="V21" s="61"/>
      <c r="W21" s="61"/>
      <c r="X21" s="61"/>
      <c r="Y21" s="61"/>
      <c r="Z21" s="61"/>
      <c r="AA21" s="61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7"/>
      <c r="D7" s="37"/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7" t="s">
        <v>23</v>
      </c>
      <c r="C6" s="56" t="s">
        <v>52</v>
      </c>
      <c r="D6" s="57" t="s">
        <v>72</v>
      </c>
      <c r="E6" s="58">
        <v>259.95</v>
      </c>
      <c r="F6" s="58">
        <v>0.0</v>
      </c>
      <c r="G6" s="58">
        <v>0.0</v>
      </c>
      <c r="H6" s="56" t="s">
        <v>73</v>
      </c>
      <c r="I6" s="58">
        <v>0.0</v>
      </c>
      <c r="J6" s="58">
        <v>0.0</v>
      </c>
      <c r="K6" s="56" t="s">
        <v>30</v>
      </c>
      <c r="L6" s="56" t="s">
        <v>53</v>
      </c>
      <c r="M6" s="60"/>
      <c r="N6" s="56" t="s">
        <v>21</v>
      </c>
      <c r="O6" s="58">
        <v>0.6666666666666666</v>
      </c>
      <c r="P6" s="56" t="s">
        <v>74</v>
      </c>
      <c r="Q6" s="60"/>
      <c r="R6" s="58">
        <v>0.0</v>
      </c>
      <c r="S6" s="58">
        <v>0.0</v>
      </c>
      <c r="T6" s="58">
        <v>0.0</v>
      </c>
      <c r="U6" s="58">
        <v>0.0</v>
      </c>
      <c r="V6" s="58">
        <v>0.0</v>
      </c>
      <c r="W6" s="58">
        <v>0.0</v>
      </c>
      <c r="X6" s="56" t="s">
        <v>74</v>
      </c>
      <c r="Y6" s="62"/>
      <c r="Z6" s="58">
        <v>0.0</v>
      </c>
      <c r="AA6" s="58">
        <v>0.0</v>
      </c>
      <c r="AB6" s="56" t="s">
        <v>26</v>
      </c>
      <c r="AC6" s="58">
        <v>0.0</v>
      </c>
      <c r="AD6" s="58">
        <v>0.0</v>
      </c>
      <c r="AE6" s="62">
        <v>43871.0</v>
      </c>
      <c r="AF6" s="58">
        <v>0.0</v>
      </c>
      <c r="AG6" s="68" t="s">
        <v>52</v>
      </c>
    </row>
    <row r="7" ht="15.75" customHeight="1">
      <c r="A7" s="8"/>
      <c r="B7" s="69" t="s">
        <v>23</v>
      </c>
      <c r="C7" s="69" t="s">
        <v>52</v>
      </c>
      <c r="D7" s="69" t="s">
        <v>72</v>
      </c>
      <c r="E7" s="70">
        <v>-900.62</v>
      </c>
      <c r="F7" s="70">
        <v>0.0</v>
      </c>
      <c r="G7" s="70">
        <v>0.0</v>
      </c>
      <c r="H7" s="69" t="s">
        <v>73</v>
      </c>
      <c r="I7" s="70">
        <v>0.0</v>
      </c>
      <c r="J7" s="70">
        <v>0.0</v>
      </c>
      <c r="K7" s="69" t="s">
        <v>19</v>
      </c>
      <c r="L7" s="69" t="s">
        <v>53</v>
      </c>
      <c r="M7" s="71"/>
      <c r="N7" s="69" t="s">
        <v>21</v>
      </c>
      <c r="O7" s="70">
        <v>1.0</v>
      </c>
      <c r="P7" s="69" t="s">
        <v>74</v>
      </c>
      <c r="Q7" s="71"/>
      <c r="R7" s="70">
        <v>0.0</v>
      </c>
      <c r="S7" s="70">
        <v>0.0</v>
      </c>
      <c r="T7" s="70">
        <v>0.0</v>
      </c>
      <c r="U7" s="70">
        <v>0.0</v>
      </c>
      <c r="V7" s="70">
        <v>0.0</v>
      </c>
      <c r="W7" s="70">
        <v>0.0</v>
      </c>
      <c r="X7" s="69" t="s">
        <v>74</v>
      </c>
      <c r="Y7" s="72"/>
      <c r="Z7" s="70">
        <v>0.0</v>
      </c>
      <c r="AA7" s="70">
        <v>0.0</v>
      </c>
      <c r="AB7" s="69" t="s">
        <v>30</v>
      </c>
      <c r="AC7" s="70">
        <v>0.0</v>
      </c>
      <c r="AD7" s="70">
        <v>0.0</v>
      </c>
      <c r="AE7" s="72">
        <v>43871.0</v>
      </c>
      <c r="AF7" s="70">
        <v>0.0</v>
      </c>
      <c r="AG7" s="73" t="s">
        <v>52</v>
      </c>
    </row>
    <row r="8" ht="15.75" customHeight="1">
      <c r="A8" s="8"/>
      <c r="B8" s="56" t="s">
        <v>18</v>
      </c>
      <c r="C8" s="56" t="s">
        <v>52</v>
      </c>
      <c r="D8" s="56" t="s">
        <v>72</v>
      </c>
      <c r="E8" s="58">
        <v>255.05</v>
      </c>
      <c r="F8" s="58">
        <v>0.0</v>
      </c>
      <c r="G8" s="58">
        <v>0.0</v>
      </c>
      <c r="H8" s="56" t="s">
        <v>73</v>
      </c>
      <c r="I8" s="58">
        <v>0.0</v>
      </c>
      <c r="J8" s="58">
        <v>0.0</v>
      </c>
      <c r="K8" s="56" t="s">
        <v>30</v>
      </c>
      <c r="L8" s="56" t="s">
        <v>53</v>
      </c>
      <c r="M8" s="60"/>
      <c r="N8" s="56" t="s">
        <v>21</v>
      </c>
      <c r="O8" s="58">
        <v>0.6666666666666666</v>
      </c>
      <c r="P8" s="56" t="s">
        <v>74</v>
      </c>
      <c r="Q8" s="60"/>
      <c r="R8" s="58">
        <v>0.0</v>
      </c>
      <c r="S8" s="58">
        <v>0.0</v>
      </c>
      <c r="T8" s="58">
        <v>0.0</v>
      </c>
      <c r="U8" s="58">
        <v>0.0</v>
      </c>
      <c r="V8" s="58">
        <v>0.0</v>
      </c>
      <c r="W8" s="58">
        <v>0.0</v>
      </c>
      <c r="X8" s="56" t="s">
        <v>74</v>
      </c>
      <c r="Y8" s="62"/>
      <c r="Z8" s="58">
        <v>0.0</v>
      </c>
      <c r="AA8" s="58">
        <v>0.0</v>
      </c>
      <c r="AB8" s="56" t="s">
        <v>26</v>
      </c>
      <c r="AC8" s="58">
        <v>0.0</v>
      </c>
      <c r="AD8" s="58">
        <v>0.0</v>
      </c>
      <c r="AE8" s="62">
        <v>43871.0</v>
      </c>
      <c r="AF8" s="58">
        <v>0.0</v>
      </c>
      <c r="AG8" s="68" t="s">
        <v>52</v>
      </c>
    </row>
    <row r="9" ht="15.75" customHeight="1">
      <c r="A9" s="8"/>
      <c r="B9" s="69" t="s">
        <v>18</v>
      </c>
      <c r="C9" s="69" t="s">
        <v>52</v>
      </c>
      <c r="D9" s="69" t="s">
        <v>72</v>
      </c>
      <c r="E9" s="70">
        <v>-883.62</v>
      </c>
      <c r="F9" s="70">
        <v>0.0</v>
      </c>
      <c r="G9" s="70">
        <v>0.0</v>
      </c>
      <c r="H9" s="69" t="s">
        <v>73</v>
      </c>
      <c r="I9" s="70">
        <v>0.0</v>
      </c>
      <c r="J9" s="70">
        <v>0.0</v>
      </c>
      <c r="K9" s="69" t="s">
        <v>19</v>
      </c>
      <c r="L9" s="69" t="s">
        <v>53</v>
      </c>
      <c r="M9" s="71"/>
      <c r="N9" s="69" t="s">
        <v>21</v>
      </c>
      <c r="O9" s="70">
        <v>1.0</v>
      </c>
      <c r="P9" s="69" t="s">
        <v>74</v>
      </c>
      <c r="Q9" s="71"/>
      <c r="R9" s="70">
        <v>0.0</v>
      </c>
      <c r="S9" s="70">
        <v>0.0</v>
      </c>
      <c r="T9" s="70">
        <v>0.0</v>
      </c>
      <c r="U9" s="70">
        <v>0.0</v>
      </c>
      <c r="V9" s="70">
        <v>0.0</v>
      </c>
      <c r="W9" s="70">
        <v>0.0</v>
      </c>
      <c r="X9" s="69" t="s">
        <v>74</v>
      </c>
      <c r="Y9" s="72"/>
      <c r="Z9" s="70">
        <v>0.0</v>
      </c>
      <c r="AA9" s="70">
        <v>0.0</v>
      </c>
      <c r="AB9" s="69" t="s">
        <v>30</v>
      </c>
      <c r="AC9" s="70">
        <v>0.0</v>
      </c>
      <c r="AD9" s="70">
        <v>0.0</v>
      </c>
      <c r="AE9" s="72">
        <v>43871.0</v>
      </c>
      <c r="AF9" s="70">
        <v>0.0</v>
      </c>
      <c r="AG9" s="73" t="s">
        <v>52</v>
      </c>
    </row>
    <row r="10" ht="15.75" customHeight="1">
      <c r="A10" s="8"/>
      <c r="B10" s="56" t="s">
        <v>18</v>
      </c>
      <c r="C10" s="56" t="s">
        <v>75</v>
      </c>
      <c r="D10" s="56" t="s">
        <v>76</v>
      </c>
      <c r="E10" s="58">
        <v>500000.0</v>
      </c>
      <c r="F10" s="58">
        <v>0.0</v>
      </c>
      <c r="G10" s="58">
        <v>0.0</v>
      </c>
      <c r="H10" s="56" t="s">
        <v>73</v>
      </c>
      <c r="I10" s="58">
        <v>0.0</v>
      </c>
      <c r="J10" s="58">
        <v>0.0</v>
      </c>
      <c r="K10" s="56" t="s">
        <v>19</v>
      </c>
      <c r="L10" s="56" t="s">
        <v>77</v>
      </c>
      <c r="M10" s="60"/>
      <c r="N10" s="56" t="s">
        <v>21</v>
      </c>
      <c r="O10" s="58">
        <v>1.0</v>
      </c>
      <c r="P10" s="56" t="s">
        <v>74</v>
      </c>
      <c r="Q10" s="60"/>
      <c r="R10" s="58">
        <v>0.0</v>
      </c>
      <c r="S10" s="58">
        <v>0.0</v>
      </c>
      <c r="T10" s="58">
        <v>0.0</v>
      </c>
      <c r="U10" s="58">
        <v>0.0</v>
      </c>
      <c r="V10" s="58">
        <v>0.0</v>
      </c>
      <c r="W10" s="58">
        <v>0.0</v>
      </c>
      <c r="X10" s="56" t="s">
        <v>74</v>
      </c>
      <c r="Y10" s="62"/>
      <c r="Z10" s="58">
        <v>0.0</v>
      </c>
      <c r="AA10" s="58">
        <v>0.0</v>
      </c>
      <c r="AB10" s="56" t="s">
        <v>74</v>
      </c>
      <c r="AC10" s="58">
        <v>0.0</v>
      </c>
      <c r="AD10" s="58">
        <v>0.0</v>
      </c>
      <c r="AE10" s="62">
        <v>43871.0</v>
      </c>
      <c r="AF10" s="58">
        <v>0.0</v>
      </c>
      <c r="AG10" s="68" t="s">
        <v>78</v>
      </c>
    </row>
    <row r="11" ht="15.75" customHeight="1">
      <c r="A11" s="8"/>
      <c r="B11" s="69" t="s">
        <v>23</v>
      </c>
      <c r="C11" s="69" t="s">
        <v>75</v>
      </c>
      <c r="D11" s="69" t="s">
        <v>76</v>
      </c>
      <c r="E11" s="70">
        <v>500000.0</v>
      </c>
      <c r="F11" s="70">
        <v>0.0</v>
      </c>
      <c r="G11" s="70">
        <v>0.0</v>
      </c>
      <c r="H11" s="69" t="s">
        <v>73</v>
      </c>
      <c r="I11" s="70">
        <v>0.0</v>
      </c>
      <c r="J11" s="70">
        <v>0.0</v>
      </c>
      <c r="K11" s="69" t="s">
        <v>19</v>
      </c>
      <c r="L11" s="69" t="s">
        <v>77</v>
      </c>
      <c r="M11" s="71"/>
      <c r="N11" s="69" t="s">
        <v>21</v>
      </c>
      <c r="O11" s="70">
        <v>1.0</v>
      </c>
      <c r="P11" s="69" t="s">
        <v>74</v>
      </c>
      <c r="Q11" s="71"/>
      <c r="R11" s="70">
        <v>0.0</v>
      </c>
      <c r="S11" s="70">
        <v>0.0</v>
      </c>
      <c r="T11" s="70">
        <v>0.0</v>
      </c>
      <c r="U11" s="70">
        <v>0.0</v>
      </c>
      <c r="V11" s="70">
        <v>0.0</v>
      </c>
      <c r="W11" s="70">
        <v>0.0</v>
      </c>
      <c r="X11" s="69" t="s">
        <v>74</v>
      </c>
      <c r="Y11" s="72"/>
      <c r="Z11" s="70">
        <v>0.0</v>
      </c>
      <c r="AA11" s="70">
        <v>0.0</v>
      </c>
      <c r="AB11" s="69" t="s">
        <v>74</v>
      </c>
      <c r="AC11" s="70">
        <v>0.0</v>
      </c>
      <c r="AD11" s="70">
        <v>0.0</v>
      </c>
      <c r="AE11" s="72">
        <v>43871.0</v>
      </c>
      <c r="AF11" s="70">
        <v>0.0</v>
      </c>
      <c r="AG11" s="73" t="s">
        <v>78</v>
      </c>
    </row>
    <row r="12" ht="15.75" customHeight="1">
      <c r="A12" s="8"/>
      <c r="B12" s="56" t="s">
        <v>18</v>
      </c>
      <c r="C12" s="56" t="s">
        <v>52</v>
      </c>
      <c r="D12" s="56" t="s">
        <v>79</v>
      </c>
      <c r="E12" s="58">
        <v>3644.95238095238</v>
      </c>
      <c r="F12" s="58">
        <v>0.0</v>
      </c>
      <c r="G12" s="58">
        <v>0.0</v>
      </c>
      <c r="H12" s="56" t="s">
        <v>73</v>
      </c>
      <c r="I12" s="58">
        <v>0.0</v>
      </c>
      <c r="J12" s="58">
        <v>0.0</v>
      </c>
      <c r="K12" s="56" t="s">
        <v>30</v>
      </c>
      <c r="L12" s="56" t="s">
        <v>61</v>
      </c>
      <c r="M12" s="60"/>
      <c r="N12" s="56" t="s">
        <v>60</v>
      </c>
      <c r="O12" s="58">
        <v>1.1</v>
      </c>
      <c r="P12" s="56" t="s">
        <v>74</v>
      </c>
      <c r="Q12" s="60"/>
      <c r="R12" s="58">
        <v>0.0</v>
      </c>
      <c r="S12" s="58">
        <v>0.0</v>
      </c>
      <c r="T12" s="58">
        <v>0.0</v>
      </c>
      <c r="U12" s="58">
        <v>0.0</v>
      </c>
      <c r="V12" s="58">
        <v>0.0</v>
      </c>
      <c r="W12" s="58">
        <v>0.0</v>
      </c>
      <c r="X12" s="56" t="s">
        <v>74</v>
      </c>
      <c r="Y12" s="62"/>
      <c r="Z12" s="58">
        <v>0.0</v>
      </c>
      <c r="AA12" s="58">
        <v>0.0</v>
      </c>
      <c r="AB12" s="56" t="s">
        <v>26</v>
      </c>
      <c r="AC12" s="58">
        <v>0.0</v>
      </c>
      <c r="AD12" s="58">
        <v>0.0</v>
      </c>
      <c r="AE12" s="62">
        <v>43871.0</v>
      </c>
      <c r="AF12" s="58">
        <v>0.0</v>
      </c>
      <c r="AG12" s="68" t="s">
        <v>52</v>
      </c>
    </row>
    <row r="13" ht="15.75" customHeight="1">
      <c r="A13" s="8"/>
      <c r="B13" s="69" t="s">
        <v>23</v>
      </c>
      <c r="C13" s="69" t="s">
        <v>52</v>
      </c>
      <c r="D13" s="69" t="s">
        <v>79</v>
      </c>
      <c r="E13" s="70">
        <v>3715.04761904762</v>
      </c>
      <c r="F13" s="70">
        <v>0.0</v>
      </c>
      <c r="G13" s="70">
        <v>0.0</v>
      </c>
      <c r="H13" s="69" t="s">
        <v>73</v>
      </c>
      <c r="I13" s="70">
        <v>0.0</v>
      </c>
      <c r="J13" s="70">
        <v>0.0</v>
      </c>
      <c r="K13" s="69" t="s">
        <v>30</v>
      </c>
      <c r="L13" s="69" t="s">
        <v>61</v>
      </c>
      <c r="M13" s="71"/>
      <c r="N13" s="69" t="s">
        <v>60</v>
      </c>
      <c r="O13" s="70">
        <v>1.1</v>
      </c>
      <c r="P13" s="69" t="s">
        <v>74</v>
      </c>
      <c r="Q13" s="71"/>
      <c r="R13" s="70">
        <v>0.0</v>
      </c>
      <c r="S13" s="70">
        <v>0.0</v>
      </c>
      <c r="T13" s="70">
        <v>0.0</v>
      </c>
      <c r="U13" s="70">
        <v>0.0</v>
      </c>
      <c r="V13" s="70">
        <v>0.0</v>
      </c>
      <c r="W13" s="70">
        <v>0.0</v>
      </c>
      <c r="X13" s="69" t="s">
        <v>74</v>
      </c>
      <c r="Y13" s="72"/>
      <c r="Z13" s="70">
        <v>0.0</v>
      </c>
      <c r="AA13" s="70">
        <v>0.0</v>
      </c>
      <c r="AB13" s="69" t="s">
        <v>26</v>
      </c>
      <c r="AC13" s="70">
        <v>0.0</v>
      </c>
      <c r="AD13" s="70">
        <v>0.0</v>
      </c>
      <c r="AE13" s="72">
        <v>43871.0</v>
      </c>
      <c r="AF13" s="70">
        <v>0.0</v>
      </c>
      <c r="AG13" s="73" t="s">
        <v>52</v>
      </c>
    </row>
    <row r="14" ht="15.75" customHeight="1">
      <c r="A14" s="8"/>
      <c r="B14" s="56" t="s">
        <v>18</v>
      </c>
      <c r="C14" s="56" t="s">
        <v>52</v>
      </c>
      <c r="D14" s="56" t="s">
        <v>79</v>
      </c>
      <c r="E14" s="58">
        <v>-3644.95238095238</v>
      </c>
      <c r="F14" s="58">
        <v>0.0</v>
      </c>
      <c r="G14" s="58">
        <v>0.0</v>
      </c>
      <c r="H14" s="56" t="s">
        <v>73</v>
      </c>
      <c r="I14" s="58">
        <v>0.0</v>
      </c>
      <c r="J14" s="58">
        <v>0.0</v>
      </c>
      <c r="K14" s="56" t="s">
        <v>30</v>
      </c>
      <c r="L14" s="56" t="s">
        <v>63</v>
      </c>
      <c r="M14" s="60"/>
      <c r="N14" s="56" t="s">
        <v>21</v>
      </c>
      <c r="O14" s="58">
        <v>0.6666666666666666</v>
      </c>
      <c r="P14" s="56" t="s">
        <v>74</v>
      </c>
      <c r="Q14" s="60"/>
      <c r="R14" s="58">
        <v>0.0</v>
      </c>
      <c r="S14" s="58">
        <v>0.0</v>
      </c>
      <c r="T14" s="58">
        <v>0.0</v>
      </c>
      <c r="U14" s="58">
        <v>0.0</v>
      </c>
      <c r="V14" s="58">
        <v>0.0</v>
      </c>
      <c r="W14" s="58">
        <v>0.0</v>
      </c>
      <c r="X14" s="56" t="s">
        <v>74</v>
      </c>
      <c r="Y14" s="62"/>
      <c r="Z14" s="58">
        <v>0.0</v>
      </c>
      <c r="AA14" s="58">
        <v>0.0</v>
      </c>
      <c r="AB14" s="56" t="s">
        <v>26</v>
      </c>
      <c r="AC14" s="58">
        <v>0.0</v>
      </c>
      <c r="AD14" s="58">
        <v>0.0</v>
      </c>
      <c r="AE14" s="62">
        <v>43871.0</v>
      </c>
      <c r="AF14" s="58">
        <v>0.0</v>
      </c>
      <c r="AG14" s="68" t="s">
        <v>52</v>
      </c>
    </row>
    <row r="15" ht="15.75" customHeight="1">
      <c r="A15" s="8"/>
      <c r="B15" s="69" t="s">
        <v>23</v>
      </c>
      <c r="C15" s="69" t="s">
        <v>52</v>
      </c>
      <c r="D15" s="69" t="s">
        <v>79</v>
      </c>
      <c r="E15" s="70">
        <v>-3715.04761904762</v>
      </c>
      <c r="F15" s="70">
        <v>0.0</v>
      </c>
      <c r="G15" s="70">
        <v>0.0</v>
      </c>
      <c r="H15" s="69" t="s">
        <v>73</v>
      </c>
      <c r="I15" s="70">
        <v>0.0</v>
      </c>
      <c r="J15" s="70">
        <v>0.0</v>
      </c>
      <c r="K15" s="69" t="s">
        <v>30</v>
      </c>
      <c r="L15" s="69" t="s">
        <v>63</v>
      </c>
      <c r="M15" s="71"/>
      <c r="N15" s="69" t="s">
        <v>21</v>
      </c>
      <c r="O15" s="70">
        <v>0.6666666666666666</v>
      </c>
      <c r="P15" s="69" t="s">
        <v>74</v>
      </c>
      <c r="Q15" s="71"/>
      <c r="R15" s="70">
        <v>0.0</v>
      </c>
      <c r="S15" s="70">
        <v>0.0</v>
      </c>
      <c r="T15" s="70">
        <v>0.0</v>
      </c>
      <c r="U15" s="70">
        <v>0.0</v>
      </c>
      <c r="V15" s="70">
        <v>0.0</v>
      </c>
      <c r="W15" s="70">
        <v>0.0</v>
      </c>
      <c r="X15" s="69" t="s">
        <v>74</v>
      </c>
      <c r="Y15" s="72"/>
      <c r="Z15" s="70">
        <v>0.0</v>
      </c>
      <c r="AA15" s="70">
        <v>0.0</v>
      </c>
      <c r="AB15" s="69" t="s">
        <v>26</v>
      </c>
      <c r="AC15" s="70">
        <v>0.0</v>
      </c>
      <c r="AD15" s="70">
        <v>0.0</v>
      </c>
      <c r="AE15" s="72">
        <v>43871.0</v>
      </c>
      <c r="AF15" s="70">
        <v>0.0</v>
      </c>
      <c r="AG15" s="73" t="s">
        <v>52</v>
      </c>
    </row>
    <row r="16" ht="15.75" customHeight="1">
      <c r="A16" s="8"/>
      <c r="B16" s="56" t="s">
        <v>18</v>
      </c>
      <c r="C16" s="56" t="s">
        <v>68</v>
      </c>
      <c r="D16" s="56" t="s">
        <v>80</v>
      </c>
      <c r="E16" s="58">
        <v>-3644.95238095238</v>
      </c>
      <c r="F16" s="58">
        <v>0.0</v>
      </c>
      <c r="G16" s="58">
        <v>0.0</v>
      </c>
      <c r="H16" s="56" t="s">
        <v>73</v>
      </c>
      <c r="I16" s="58">
        <v>0.0</v>
      </c>
      <c r="J16" s="58">
        <v>1.238095238095</v>
      </c>
      <c r="K16" s="56" t="s">
        <v>30</v>
      </c>
      <c r="L16" s="56" t="s">
        <v>69</v>
      </c>
      <c r="M16" s="60"/>
      <c r="N16" s="56" t="s">
        <v>60</v>
      </c>
      <c r="O16" s="58">
        <v>1.1</v>
      </c>
      <c r="P16" s="56" t="s">
        <v>74</v>
      </c>
      <c r="Q16" s="60"/>
      <c r="R16" s="58">
        <v>0.0</v>
      </c>
      <c r="S16" s="58">
        <v>0.0</v>
      </c>
      <c r="T16" s="58">
        <v>0.0</v>
      </c>
      <c r="U16" s="58">
        <v>0.0</v>
      </c>
      <c r="V16" s="58">
        <v>52.0</v>
      </c>
      <c r="W16" s="58">
        <v>0.0</v>
      </c>
      <c r="X16" s="68" t="s">
        <v>30</v>
      </c>
      <c r="Y16" s="60"/>
      <c r="Z16" s="58">
        <v>3.714285714285</v>
      </c>
      <c r="AA16" s="58">
        <v>0.0</v>
      </c>
      <c r="AB16" s="56" t="s">
        <v>26</v>
      </c>
      <c r="AC16" s="58">
        <v>0.0</v>
      </c>
      <c r="AD16" s="58">
        <v>4.95238095238</v>
      </c>
      <c r="AE16" s="62">
        <v>43871.0</v>
      </c>
      <c r="AF16" s="58">
        <v>0.0</v>
      </c>
      <c r="AG16" s="68" t="s">
        <v>68</v>
      </c>
    </row>
    <row r="17" ht="15.75" customHeight="1">
      <c r="A17" s="8"/>
      <c r="B17" s="69" t="s">
        <v>23</v>
      </c>
      <c r="C17" s="69" t="s">
        <v>68</v>
      </c>
      <c r="D17" s="69" t="s">
        <v>80</v>
      </c>
      <c r="E17" s="70">
        <v>-3715.04761904762</v>
      </c>
      <c r="F17" s="70">
        <v>0.0</v>
      </c>
      <c r="G17" s="70">
        <v>0.0</v>
      </c>
      <c r="H17" s="69" t="s">
        <v>73</v>
      </c>
      <c r="I17" s="70">
        <v>0.0</v>
      </c>
      <c r="J17" s="70">
        <v>1.261904761905</v>
      </c>
      <c r="K17" s="69" t="s">
        <v>30</v>
      </c>
      <c r="L17" s="69" t="s">
        <v>69</v>
      </c>
      <c r="M17" s="71"/>
      <c r="N17" s="69" t="s">
        <v>60</v>
      </c>
      <c r="O17" s="70">
        <v>1.1</v>
      </c>
      <c r="P17" s="69" t="s">
        <v>74</v>
      </c>
      <c r="Q17" s="71"/>
      <c r="R17" s="70">
        <v>0.0</v>
      </c>
      <c r="S17" s="70">
        <v>0.0</v>
      </c>
      <c r="T17" s="70">
        <v>0.0</v>
      </c>
      <c r="U17" s="70">
        <v>0.0</v>
      </c>
      <c r="V17" s="70">
        <v>53.0</v>
      </c>
      <c r="W17" s="70">
        <v>0.0</v>
      </c>
      <c r="X17" s="73" t="s">
        <v>30</v>
      </c>
      <c r="Y17" s="71"/>
      <c r="Z17" s="70">
        <v>3.785714285715</v>
      </c>
      <c r="AA17" s="70">
        <v>0.0</v>
      </c>
      <c r="AB17" s="69" t="s">
        <v>26</v>
      </c>
      <c r="AC17" s="70">
        <v>0.0</v>
      </c>
      <c r="AD17" s="70">
        <v>5.04761904762</v>
      </c>
      <c r="AE17" s="72">
        <v>43871.0</v>
      </c>
      <c r="AF17" s="70">
        <v>0.0</v>
      </c>
      <c r="AG17" s="73" t="s">
        <v>68</v>
      </c>
    </row>
    <row r="18" ht="15.75" customHeight="1">
      <c r="A18" s="8"/>
      <c r="B18" s="56" t="s">
        <v>23</v>
      </c>
      <c r="C18" s="56" t="s">
        <v>52</v>
      </c>
      <c r="D18" s="56" t="s">
        <v>81</v>
      </c>
      <c r="E18" s="58">
        <v>-2.67</v>
      </c>
      <c r="F18" s="58">
        <v>0.0</v>
      </c>
      <c r="G18" s="58">
        <v>0.0</v>
      </c>
      <c r="H18" s="56" t="s">
        <v>73</v>
      </c>
      <c r="I18" s="58">
        <v>0.0</v>
      </c>
      <c r="J18" s="58">
        <v>0.0</v>
      </c>
      <c r="K18" s="56" t="s">
        <v>30</v>
      </c>
      <c r="L18" s="56" t="s">
        <v>57</v>
      </c>
      <c r="M18" s="60"/>
      <c r="N18" s="56" t="s">
        <v>21</v>
      </c>
      <c r="O18" s="58">
        <v>0.9090909090909091</v>
      </c>
      <c r="P18" s="56" t="s">
        <v>74</v>
      </c>
      <c r="Q18" s="60"/>
      <c r="R18" s="58">
        <v>0.0</v>
      </c>
      <c r="S18" s="58">
        <v>0.0</v>
      </c>
      <c r="T18" s="58">
        <v>0.0</v>
      </c>
      <c r="U18" s="58">
        <v>0.0</v>
      </c>
      <c r="V18" s="58">
        <v>0.0</v>
      </c>
      <c r="W18" s="58">
        <v>0.0</v>
      </c>
      <c r="X18" s="56" t="s">
        <v>74</v>
      </c>
      <c r="Y18" s="62"/>
      <c r="Z18" s="58">
        <v>0.0</v>
      </c>
      <c r="AA18" s="58">
        <v>0.0</v>
      </c>
      <c r="AB18" s="56" t="s">
        <v>26</v>
      </c>
      <c r="AC18" s="58">
        <v>0.0</v>
      </c>
      <c r="AD18" s="58">
        <v>0.0</v>
      </c>
      <c r="AE18" s="62">
        <v>43872.0</v>
      </c>
      <c r="AF18" s="58">
        <v>0.0</v>
      </c>
      <c r="AG18" s="68" t="s">
        <v>52</v>
      </c>
    </row>
    <row r="19" ht="15.75" customHeight="1">
      <c r="A19" s="8"/>
      <c r="B19" s="69" t="s">
        <v>23</v>
      </c>
      <c r="C19" s="69" t="s">
        <v>52</v>
      </c>
      <c r="D19" s="69" t="s">
        <v>72</v>
      </c>
      <c r="E19" s="70">
        <v>772.57</v>
      </c>
      <c r="F19" s="70">
        <v>0.0</v>
      </c>
      <c r="G19" s="70">
        <v>0.0</v>
      </c>
      <c r="H19" s="69" t="s">
        <v>73</v>
      </c>
      <c r="I19" s="70">
        <v>0.0</v>
      </c>
      <c r="J19" s="70">
        <v>0.0</v>
      </c>
      <c r="K19" s="69" t="s">
        <v>30</v>
      </c>
      <c r="L19" s="69" t="s">
        <v>53</v>
      </c>
      <c r="M19" s="71"/>
      <c r="N19" s="69" t="s">
        <v>21</v>
      </c>
      <c r="O19" s="70">
        <v>0.5</v>
      </c>
      <c r="P19" s="69" t="s">
        <v>74</v>
      </c>
      <c r="Q19" s="71"/>
      <c r="R19" s="70">
        <v>0.0</v>
      </c>
      <c r="S19" s="70">
        <v>0.0</v>
      </c>
      <c r="T19" s="70">
        <v>0.0</v>
      </c>
      <c r="U19" s="70">
        <v>0.0</v>
      </c>
      <c r="V19" s="70">
        <v>0.0</v>
      </c>
      <c r="W19" s="70">
        <v>0.0</v>
      </c>
      <c r="X19" s="69" t="s">
        <v>74</v>
      </c>
      <c r="Y19" s="72"/>
      <c r="Z19" s="70">
        <v>0.0</v>
      </c>
      <c r="AA19" s="70">
        <v>0.0</v>
      </c>
      <c r="AB19" s="69" t="s">
        <v>26</v>
      </c>
      <c r="AC19" s="70">
        <v>0.0</v>
      </c>
      <c r="AD19" s="70">
        <v>0.0</v>
      </c>
      <c r="AE19" s="72">
        <v>43872.0</v>
      </c>
      <c r="AF19" s="70">
        <v>0.0</v>
      </c>
      <c r="AG19" s="73" t="s">
        <v>52</v>
      </c>
    </row>
    <row r="20" ht="15.75" customHeight="1">
      <c r="A20" s="8"/>
      <c r="B20" s="56" t="s">
        <v>23</v>
      </c>
      <c r="C20" s="56" t="s">
        <v>52</v>
      </c>
      <c r="D20" s="56" t="s">
        <v>72</v>
      </c>
      <c r="E20" s="58">
        <v>-2780.79</v>
      </c>
      <c r="F20" s="58">
        <v>0.0</v>
      </c>
      <c r="G20" s="58">
        <v>0.0</v>
      </c>
      <c r="H20" s="56" t="s">
        <v>73</v>
      </c>
      <c r="I20" s="58">
        <v>0.0</v>
      </c>
      <c r="J20" s="58">
        <v>0.0</v>
      </c>
      <c r="K20" s="56" t="s">
        <v>19</v>
      </c>
      <c r="L20" s="56" t="s">
        <v>53</v>
      </c>
      <c r="M20" s="60"/>
      <c r="N20" s="56" t="s">
        <v>21</v>
      </c>
      <c r="O20" s="58">
        <v>1.0</v>
      </c>
      <c r="P20" s="56" t="s">
        <v>74</v>
      </c>
      <c r="Q20" s="60"/>
      <c r="R20" s="58">
        <v>0.0</v>
      </c>
      <c r="S20" s="58">
        <v>0.0</v>
      </c>
      <c r="T20" s="58">
        <v>0.0</v>
      </c>
      <c r="U20" s="58">
        <v>0.0</v>
      </c>
      <c r="V20" s="58">
        <v>0.0</v>
      </c>
      <c r="W20" s="58">
        <v>0.0</v>
      </c>
      <c r="X20" s="56" t="s">
        <v>74</v>
      </c>
      <c r="Y20" s="62"/>
      <c r="Z20" s="58">
        <v>0.0</v>
      </c>
      <c r="AA20" s="58">
        <v>0.0</v>
      </c>
      <c r="AB20" s="56" t="s">
        <v>30</v>
      </c>
      <c r="AC20" s="58">
        <v>0.0</v>
      </c>
      <c r="AD20" s="58">
        <v>0.0</v>
      </c>
      <c r="AE20" s="62">
        <v>43872.0</v>
      </c>
      <c r="AF20" s="58">
        <v>0.0</v>
      </c>
      <c r="AG20" s="68" t="s">
        <v>52</v>
      </c>
    </row>
    <row r="21" ht="15.75" customHeight="1">
      <c r="A21" s="8"/>
      <c r="B21" s="69" t="s">
        <v>23</v>
      </c>
      <c r="C21" s="69" t="s">
        <v>52</v>
      </c>
      <c r="D21" s="69" t="s">
        <v>72</v>
      </c>
      <c r="E21" s="70">
        <v>-1330.05</v>
      </c>
      <c r="F21" s="70">
        <v>0.0</v>
      </c>
      <c r="G21" s="70">
        <v>0.0</v>
      </c>
      <c r="H21" s="69" t="s">
        <v>73</v>
      </c>
      <c r="I21" s="70">
        <v>0.0</v>
      </c>
      <c r="J21" s="70">
        <v>0.0</v>
      </c>
      <c r="K21" s="69" t="s">
        <v>30</v>
      </c>
      <c r="L21" s="69" t="s">
        <v>53</v>
      </c>
      <c r="M21" s="71"/>
      <c r="N21" s="69" t="s">
        <v>21</v>
      </c>
      <c r="O21" s="70">
        <v>0.5</v>
      </c>
      <c r="P21" s="69" t="s">
        <v>74</v>
      </c>
      <c r="Q21" s="71"/>
      <c r="R21" s="70">
        <v>0.0</v>
      </c>
      <c r="S21" s="70">
        <v>0.0</v>
      </c>
      <c r="T21" s="70">
        <v>0.0</v>
      </c>
      <c r="U21" s="70">
        <v>0.0</v>
      </c>
      <c r="V21" s="70">
        <v>0.0</v>
      </c>
      <c r="W21" s="70">
        <v>0.0</v>
      </c>
      <c r="X21" s="69" t="s">
        <v>74</v>
      </c>
      <c r="Y21" s="72"/>
      <c r="Z21" s="70">
        <v>0.0</v>
      </c>
      <c r="AA21" s="70">
        <v>0.0</v>
      </c>
      <c r="AB21" s="69" t="s">
        <v>39</v>
      </c>
      <c r="AC21" s="70">
        <v>0.0</v>
      </c>
      <c r="AD21" s="70">
        <v>0.0</v>
      </c>
      <c r="AE21" s="72">
        <v>43872.0</v>
      </c>
      <c r="AF21" s="70">
        <v>0.0</v>
      </c>
      <c r="AG21" s="73" t="s">
        <v>52</v>
      </c>
    </row>
    <row r="22" ht="15.75" customHeight="1">
      <c r="A22" s="8"/>
      <c r="B22" s="56" t="s">
        <v>23</v>
      </c>
      <c r="C22" s="56" t="s">
        <v>52</v>
      </c>
      <c r="D22" s="56" t="s">
        <v>72</v>
      </c>
      <c r="E22" s="58">
        <v>-259.95</v>
      </c>
      <c r="F22" s="58">
        <v>0.0</v>
      </c>
      <c r="G22" s="58">
        <v>0.0</v>
      </c>
      <c r="H22" s="56" t="s">
        <v>73</v>
      </c>
      <c r="I22" s="58">
        <v>0.0</v>
      </c>
      <c r="J22" s="58">
        <v>0.0</v>
      </c>
      <c r="K22" s="56" t="s">
        <v>30</v>
      </c>
      <c r="L22" s="56" t="s">
        <v>59</v>
      </c>
      <c r="M22" s="60"/>
      <c r="N22" s="56" t="s">
        <v>21</v>
      </c>
      <c r="O22" s="58">
        <v>0.6666666666666666</v>
      </c>
      <c r="P22" s="56" t="s">
        <v>74</v>
      </c>
      <c r="Q22" s="60"/>
      <c r="R22" s="58">
        <v>0.0</v>
      </c>
      <c r="S22" s="58">
        <v>0.0</v>
      </c>
      <c r="T22" s="58">
        <v>0.0</v>
      </c>
      <c r="U22" s="58">
        <v>0.0</v>
      </c>
      <c r="V22" s="58">
        <v>0.0</v>
      </c>
      <c r="W22" s="58">
        <v>0.0</v>
      </c>
      <c r="X22" s="56" t="s">
        <v>74</v>
      </c>
      <c r="Y22" s="62"/>
      <c r="Z22" s="58">
        <v>0.0</v>
      </c>
      <c r="AA22" s="58">
        <v>0.0</v>
      </c>
      <c r="AB22" s="56" t="s">
        <v>26</v>
      </c>
      <c r="AC22" s="58">
        <v>0.0</v>
      </c>
      <c r="AD22" s="58">
        <v>0.0</v>
      </c>
      <c r="AE22" s="62">
        <v>43872.0</v>
      </c>
      <c r="AF22" s="58">
        <v>0.0</v>
      </c>
      <c r="AG22" s="68" t="s">
        <v>52</v>
      </c>
    </row>
    <row r="23" ht="15.75" customHeight="1">
      <c r="A23" s="8"/>
      <c r="B23" s="69" t="s">
        <v>23</v>
      </c>
      <c r="C23" s="69" t="s">
        <v>52</v>
      </c>
      <c r="D23" s="69" t="s">
        <v>72</v>
      </c>
      <c r="E23" s="70">
        <v>900.62</v>
      </c>
      <c r="F23" s="70">
        <v>0.0</v>
      </c>
      <c r="G23" s="70">
        <v>0.0</v>
      </c>
      <c r="H23" s="69" t="s">
        <v>73</v>
      </c>
      <c r="I23" s="70">
        <v>0.0</v>
      </c>
      <c r="J23" s="70">
        <v>0.0</v>
      </c>
      <c r="K23" s="69" t="s">
        <v>19</v>
      </c>
      <c r="L23" s="69" t="s">
        <v>59</v>
      </c>
      <c r="M23" s="71"/>
      <c r="N23" s="69" t="s">
        <v>21</v>
      </c>
      <c r="O23" s="70">
        <v>1.0</v>
      </c>
      <c r="P23" s="69" t="s">
        <v>74</v>
      </c>
      <c r="Q23" s="71"/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W23" s="70">
        <v>0.0</v>
      </c>
      <c r="X23" s="69" t="s">
        <v>74</v>
      </c>
      <c r="Y23" s="72"/>
      <c r="Z23" s="70">
        <v>0.0</v>
      </c>
      <c r="AA23" s="70">
        <v>0.0</v>
      </c>
      <c r="AB23" s="69" t="s">
        <v>30</v>
      </c>
      <c r="AC23" s="70">
        <v>0.0</v>
      </c>
      <c r="AD23" s="70">
        <v>0.0</v>
      </c>
      <c r="AE23" s="72">
        <v>43872.0</v>
      </c>
      <c r="AF23" s="70">
        <v>0.0</v>
      </c>
      <c r="AG23" s="73" t="s">
        <v>52</v>
      </c>
    </row>
    <row r="24" ht="15.75" customHeight="1">
      <c r="A24" s="8"/>
      <c r="B24" s="56" t="s">
        <v>23</v>
      </c>
      <c r="C24" s="56" t="s">
        <v>52</v>
      </c>
      <c r="D24" s="56" t="s">
        <v>79</v>
      </c>
      <c r="E24" s="58">
        <v>-3715.05</v>
      </c>
      <c r="F24" s="58">
        <v>0.0</v>
      </c>
      <c r="G24" s="58">
        <v>0.0</v>
      </c>
      <c r="H24" s="56" t="s">
        <v>73</v>
      </c>
      <c r="I24" s="58">
        <v>0.0</v>
      </c>
      <c r="J24" s="58">
        <v>0.0</v>
      </c>
      <c r="K24" s="56" t="s">
        <v>30</v>
      </c>
      <c r="L24" s="56" t="s">
        <v>64</v>
      </c>
      <c r="M24" s="60"/>
      <c r="N24" s="56" t="s">
        <v>21</v>
      </c>
      <c r="O24" s="58">
        <v>0.5</v>
      </c>
      <c r="P24" s="56" t="s">
        <v>74</v>
      </c>
      <c r="Q24" s="60"/>
      <c r="R24" s="58">
        <v>0.0</v>
      </c>
      <c r="S24" s="58">
        <v>0.0</v>
      </c>
      <c r="T24" s="58">
        <v>0.0</v>
      </c>
      <c r="U24" s="58">
        <v>0.0</v>
      </c>
      <c r="V24" s="58">
        <v>0.0</v>
      </c>
      <c r="W24" s="58">
        <v>0.0</v>
      </c>
      <c r="X24" s="56" t="s">
        <v>74</v>
      </c>
      <c r="Y24" s="62"/>
      <c r="Z24" s="58">
        <v>0.0</v>
      </c>
      <c r="AA24" s="58">
        <v>0.0</v>
      </c>
      <c r="AB24" s="56" t="s">
        <v>30</v>
      </c>
      <c r="AC24" s="58">
        <v>0.0</v>
      </c>
      <c r="AD24" s="58">
        <v>0.0</v>
      </c>
      <c r="AE24" s="62">
        <v>43872.0</v>
      </c>
      <c r="AF24" s="58">
        <v>0.0</v>
      </c>
      <c r="AG24" s="68" t="s">
        <v>52</v>
      </c>
    </row>
    <row r="25" ht="15.75" customHeight="1">
      <c r="A25" s="8"/>
      <c r="B25" s="69" t="s">
        <v>18</v>
      </c>
      <c r="C25" s="69" t="s">
        <v>52</v>
      </c>
      <c r="D25" s="69" t="s">
        <v>79</v>
      </c>
      <c r="E25" s="70">
        <v>-3644.95</v>
      </c>
      <c r="F25" s="70">
        <v>0.0</v>
      </c>
      <c r="G25" s="70">
        <v>0.0</v>
      </c>
      <c r="H25" s="69" t="s">
        <v>73</v>
      </c>
      <c r="I25" s="70">
        <v>0.0</v>
      </c>
      <c r="J25" s="70">
        <v>0.0</v>
      </c>
      <c r="K25" s="69" t="s">
        <v>30</v>
      </c>
      <c r="L25" s="69" t="s">
        <v>64</v>
      </c>
      <c r="M25" s="71"/>
      <c r="N25" s="69" t="s">
        <v>21</v>
      </c>
      <c r="O25" s="70">
        <v>0.5</v>
      </c>
      <c r="P25" s="69" t="s">
        <v>74</v>
      </c>
      <c r="Q25" s="71"/>
      <c r="R25" s="70">
        <v>0.0</v>
      </c>
      <c r="S25" s="70">
        <v>0.0</v>
      </c>
      <c r="T25" s="70">
        <v>0.0</v>
      </c>
      <c r="U25" s="70">
        <v>0.0</v>
      </c>
      <c r="V25" s="70">
        <v>0.0</v>
      </c>
      <c r="W25" s="70">
        <v>0.0</v>
      </c>
      <c r="X25" s="69" t="s">
        <v>74</v>
      </c>
      <c r="Y25" s="72"/>
      <c r="Z25" s="70">
        <v>0.0</v>
      </c>
      <c r="AA25" s="70">
        <v>0.0</v>
      </c>
      <c r="AB25" s="69" t="s">
        <v>30</v>
      </c>
      <c r="AC25" s="70">
        <v>0.0</v>
      </c>
      <c r="AD25" s="70">
        <v>0.0</v>
      </c>
      <c r="AE25" s="72">
        <v>43872.0</v>
      </c>
      <c r="AF25" s="70">
        <v>0.0</v>
      </c>
      <c r="AG25" s="73" t="s">
        <v>52</v>
      </c>
    </row>
    <row r="26" ht="15.75" customHeight="1">
      <c r="A26" s="8"/>
      <c r="B26" s="56" t="s">
        <v>23</v>
      </c>
      <c r="C26" s="56" t="s">
        <v>52</v>
      </c>
      <c r="D26" s="56" t="s">
        <v>79</v>
      </c>
      <c r="E26" s="58">
        <v>3715.05</v>
      </c>
      <c r="F26" s="58">
        <v>0.0</v>
      </c>
      <c r="G26" s="58">
        <v>0.0</v>
      </c>
      <c r="H26" s="56" t="s">
        <v>73</v>
      </c>
      <c r="I26" s="58">
        <v>0.0</v>
      </c>
      <c r="J26" s="58">
        <v>0.0</v>
      </c>
      <c r="K26" s="56" t="s">
        <v>30</v>
      </c>
      <c r="L26" s="56" t="s">
        <v>65</v>
      </c>
      <c r="M26" s="60"/>
      <c r="N26" s="56" t="s">
        <v>21</v>
      </c>
      <c r="O26" s="58">
        <v>0.6666666666666666</v>
      </c>
      <c r="P26" s="56" t="s">
        <v>74</v>
      </c>
      <c r="Q26" s="60"/>
      <c r="R26" s="58">
        <v>0.0</v>
      </c>
      <c r="S26" s="58">
        <v>0.0</v>
      </c>
      <c r="T26" s="58">
        <v>0.0</v>
      </c>
      <c r="U26" s="58">
        <v>0.0</v>
      </c>
      <c r="V26" s="58">
        <v>0.0</v>
      </c>
      <c r="W26" s="58">
        <v>0.0</v>
      </c>
      <c r="X26" s="56" t="s">
        <v>74</v>
      </c>
      <c r="Y26" s="62"/>
      <c r="Z26" s="58">
        <v>0.0</v>
      </c>
      <c r="AA26" s="58">
        <v>0.0</v>
      </c>
      <c r="AB26" s="56" t="s">
        <v>30</v>
      </c>
      <c r="AC26" s="58">
        <v>0.0</v>
      </c>
      <c r="AD26" s="58">
        <v>0.0</v>
      </c>
      <c r="AE26" s="62">
        <v>43872.0</v>
      </c>
      <c r="AF26" s="58">
        <v>0.0</v>
      </c>
      <c r="AG26" s="68" t="s">
        <v>52</v>
      </c>
    </row>
    <row r="27" ht="15.75" customHeight="1">
      <c r="B27" s="69" t="s">
        <v>18</v>
      </c>
      <c r="C27" s="69" t="s">
        <v>52</v>
      </c>
      <c r="D27" s="69" t="s">
        <v>79</v>
      </c>
      <c r="E27" s="70">
        <v>3644.95</v>
      </c>
      <c r="F27" s="70">
        <v>0.0</v>
      </c>
      <c r="G27" s="70">
        <v>0.0</v>
      </c>
      <c r="H27" s="69" t="s">
        <v>73</v>
      </c>
      <c r="I27" s="70">
        <v>0.0</v>
      </c>
      <c r="J27" s="70">
        <v>0.0</v>
      </c>
      <c r="K27" s="69" t="s">
        <v>30</v>
      </c>
      <c r="L27" s="69" t="s">
        <v>65</v>
      </c>
      <c r="M27" s="71"/>
      <c r="N27" s="69" t="s">
        <v>21</v>
      </c>
      <c r="O27" s="70">
        <v>0.6666666666666666</v>
      </c>
      <c r="P27" s="69" t="s">
        <v>74</v>
      </c>
      <c r="Q27" s="71"/>
      <c r="R27" s="70">
        <v>0.0</v>
      </c>
      <c r="S27" s="70">
        <v>0.0</v>
      </c>
      <c r="T27" s="70">
        <v>0.0</v>
      </c>
      <c r="U27" s="70">
        <v>0.0</v>
      </c>
      <c r="V27" s="70">
        <v>0.0</v>
      </c>
      <c r="W27" s="70">
        <v>0.0</v>
      </c>
      <c r="X27" s="69" t="s">
        <v>74</v>
      </c>
      <c r="Y27" s="72"/>
      <c r="Z27" s="70">
        <v>0.0</v>
      </c>
      <c r="AA27" s="70">
        <v>0.0</v>
      </c>
      <c r="AB27" s="69" t="s">
        <v>30</v>
      </c>
      <c r="AC27" s="70">
        <v>0.0</v>
      </c>
      <c r="AD27" s="70">
        <v>0.0</v>
      </c>
      <c r="AE27" s="72">
        <v>43872.0</v>
      </c>
      <c r="AF27" s="70">
        <v>0.0</v>
      </c>
      <c r="AG27" s="73" t="s">
        <v>52</v>
      </c>
    </row>
    <row r="28" ht="15.75" customHeight="1">
      <c r="B28" s="56" t="s">
        <v>18</v>
      </c>
      <c r="C28" s="56" t="s">
        <v>52</v>
      </c>
      <c r="D28" s="56" t="s">
        <v>81</v>
      </c>
      <c r="E28" s="58">
        <v>-2.57</v>
      </c>
      <c r="F28" s="58">
        <v>0.0</v>
      </c>
      <c r="G28" s="58">
        <v>0.0</v>
      </c>
      <c r="H28" s="56" t="s">
        <v>73</v>
      </c>
      <c r="I28" s="58">
        <v>0.0</v>
      </c>
      <c r="J28" s="58">
        <v>0.0</v>
      </c>
      <c r="K28" s="56" t="s">
        <v>30</v>
      </c>
      <c r="L28" s="56" t="s">
        <v>57</v>
      </c>
      <c r="M28" s="60"/>
      <c r="N28" s="56" t="s">
        <v>21</v>
      </c>
      <c r="O28" s="58">
        <v>0.9090909090909091</v>
      </c>
      <c r="P28" s="56" t="s">
        <v>74</v>
      </c>
      <c r="Q28" s="60"/>
      <c r="R28" s="58">
        <v>0.0</v>
      </c>
      <c r="S28" s="58">
        <v>0.0</v>
      </c>
      <c r="T28" s="58">
        <v>0.0</v>
      </c>
      <c r="U28" s="58">
        <v>0.0</v>
      </c>
      <c r="V28" s="58">
        <v>0.0</v>
      </c>
      <c r="W28" s="58">
        <v>0.0</v>
      </c>
      <c r="X28" s="56" t="s">
        <v>74</v>
      </c>
      <c r="Y28" s="62"/>
      <c r="Z28" s="58">
        <v>0.0</v>
      </c>
      <c r="AA28" s="58">
        <v>0.0</v>
      </c>
      <c r="AB28" s="56" t="s">
        <v>26</v>
      </c>
      <c r="AC28" s="58">
        <v>0.0</v>
      </c>
      <c r="AD28" s="58">
        <v>0.0</v>
      </c>
      <c r="AE28" s="62">
        <v>43872.0</v>
      </c>
      <c r="AF28" s="58">
        <v>0.0</v>
      </c>
      <c r="AG28" s="68" t="s">
        <v>52</v>
      </c>
    </row>
    <row r="29" ht="15.75" customHeight="1">
      <c r="B29" s="69" t="s">
        <v>18</v>
      </c>
      <c r="C29" s="69" t="s">
        <v>52</v>
      </c>
      <c r="D29" s="69" t="s">
        <v>72</v>
      </c>
      <c r="E29" s="70">
        <v>762.67</v>
      </c>
      <c r="F29" s="70">
        <v>0.0</v>
      </c>
      <c r="G29" s="70">
        <v>0.0</v>
      </c>
      <c r="H29" s="69" t="s">
        <v>73</v>
      </c>
      <c r="I29" s="70">
        <v>0.0</v>
      </c>
      <c r="J29" s="70">
        <v>0.0</v>
      </c>
      <c r="K29" s="69" t="s">
        <v>30</v>
      </c>
      <c r="L29" s="69" t="s">
        <v>53</v>
      </c>
      <c r="M29" s="71"/>
      <c r="N29" s="69" t="s">
        <v>21</v>
      </c>
      <c r="O29" s="70">
        <v>0.5</v>
      </c>
      <c r="P29" s="69" t="s">
        <v>74</v>
      </c>
      <c r="Q29" s="71"/>
      <c r="R29" s="70">
        <v>0.0</v>
      </c>
      <c r="S29" s="70">
        <v>0.0</v>
      </c>
      <c r="T29" s="70">
        <v>0.0</v>
      </c>
      <c r="U29" s="70">
        <v>0.0</v>
      </c>
      <c r="V29" s="70">
        <v>0.0</v>
      </c>
      <c r="W29" s="70">
        <v>0.0</v>
      </c>
      <c r="X29" s="69" t="s">
        <v>74</v>
      </c>
      <c r="Y29" s="72"/>
      <c r="Z29" s="70">
        <v>0.0</v>
      </c>
      <c r="AA29" s="70">
        <v>0.0</v>
      </c>
      <c r="AB29" s="69" t="s">
        <v>26</v>
      </c>
      <c r="AC29" s="70">
        <v>0.0</v>
      </c>
      <c r="AD29" s="70">
        <v>0.0</v>
      </c>
      <c r="AE29" s="72">
        <v>43872.0</v>
      </c>
      <c r="AF29" s="70">
        <v>0.0</v>
      </c>
      <c r="AG29" s="73" t="s">
        <v>52</v>
      </c>
    </row>
    <row r="30" ht="15.75" customHeight="1">
      <c r="B30" s="56" t="s">
        <v>18</v>
      </c>
      <c r="C30" s="56" t="s">
        <v>52</v>
      </c>
      <c r="D30" s="56" t="s">
        <v>72</v>
      </c>
      <c r="E30" s="58">
        <v>-2741.83</v>
      </c>
      <c r="F30" s="58">
        <v>0.0</v>
      </c>
      <c r="G30" s="58">
        <v>0.0</v>
      </c>
      <c r="H30" s="56" t="s">
        <v>73</v>
      </c>
      <c r="I30" s="58">
        <v>0.0</v>
      </c>
      <c r="J30" s="58">
        <v>0.0</v>
      </c>
      <c r="K30" s="56" t="s">
        <v>19</v>
      </c>
      <c r="L30" s="56" t="s">
        <v>53</v>
      </c>
      <c r="M30" s="60"/>
      <c r="N30" s="56" t="s">
        <v>21</v>
      </c>
      <c r="O30" s="58">
        <v>1.0</v>
      </c>
      <c r="P30" s="56" t="s">
        <v>74</v>
      </c>
      <c r="Q30" s="60"/>
      <c r="R30" s="58">
        <v>0.0</v>
      </c>
      <c r="S30" s="58">
        <v>0.0</v>
      </c>
      <c r="T30" s="58">
        <v>0.0</v>
      </c>
      <c r="U30" s="58">
        <v>0.0</v>
      </c>
      <c r="V30" s="58">
        <v>0.0</v>
      </c>
      <c r="W30" s="58">
        <v>0.0</v>
      </c>
      <c r="X30" s="56" t="s">
        <v>74</v>
      </c>
      <c r="Y30" s="62"/>
      <c r="Z30" s="58">
        <v>0.0</v>
      </c>
      <c r="AA30" s="58">
        <v>0.0</v>
      </c>
      <c r="AB30" s="56" t="s">
        <v>30</v>
      </c>
      <c r="AC30" s="58">
        <v>0.0</v>
      </c>
      <c r="AD30" s="58">
        <v>0.0</v>
      </c>
      <c r="AE30" s="62">
        <v>43872.0</v>
      </c>
      <c r="AF30" s="58">
        <v>0.0</v>
      </c>
      <c r="AG30" s="68" t="s">
        <v>52</v>
      </c>
    </row>
    <row r="31" ht="15.75" customHeight="1">
      <c r="B31" s="69" t="s">
        <v>18</v>
      </c>
      <c r="C31" s="69" t="s">
        <v>52</v>
      </c>
      <c r="D31" s="69" t="s">
        <v>72</v>
      </c>
      <c r="E31" s="70">
        <v>-1304.95</v>
      </c>
      <c r="F31" s="70">
        <v>0.0</v>
      </c>
      <c r="G31" s="70">
        <v>0.0</v>
      </c>
      <c r="H31" s="69" t="s">
        <v>73</v>
      </c>
      <c r="I31" s="70">
        <v>0.0</v>
      </c>
      <c r="J31" s="70">
        <v>0.0</v>
      </c>
      <c r="K31" s="69" t="s">
        <v>30</v>
      </c>
      <c r="L31" s="69" t="s">
        <v>53</v>
      </c>
      <c r="M31" s="71"/>
      <c r="N31" s="69" t="s">
        <v>21</v>
      </c>
      <c r="O31" s="70">
        <v>0.5</v>
      </c>
      <c r="P31" s="69" t="s">
        <v>74</v>
      </c>
      <c r="Q31" s="71"/>
      <c r="R31" s="70">
        <v>0.0</v>
      </c>
      <c r="S31" s="70">
        <v>0.0</v>
      </c>
      <c r="T31" s="70">
        <v>0.0</v>
      </c>
      <c r="U31" s="70">
        <v>0.0</v>
      </c>
      <c r="V31" s="70">
        <v>0.0</v>
      </c>
      <c r="W31" s="70">
        <v>0.0</v>
      </c>
      <c r="X31" s="69" t="s">
        <v>74</v>
      </c>
      <c r="Y31" s="72"/>
      <c r="Z31" s="70">
        <v>0.0</v>
      </c>
      <c r="AA31" s="70">
        <v>0.0</v>
      </c>
      <c r="AB31" s="69" t="s">
        <v>39</v>
      </c>
      <c r="AC31" s="70">
        <v>0.0</v>
      </c>
      <c r="AD31" s="70">
        <v>0.0</v>
      </c>
      <c r="AE31" s="72">
        <v>43872.0</v>
      </c>
      <c r="AF31" s="70">
        <v>0.0</v>
      </c>
      <c r="AG31" s="73" t="s">
        <v>52</v>
      </c>
    </row>
    <row r="32" ht="15.75" customHeight="1">
      <c r="B32" s="56" t="s">
        <v>18</v>
      </c>
      <c r="C32" s="56" t="s">
        <v>52</v>
      </c>
      <c r="D32" s="56" t="s">
        <v>72</v>
      </c>
      <c r="E32" s="58">
        <v>-255.05</v>
      </c>
      <c r="F32" s="58">
        <v>0.0</v>
      </c>
      <c r="G32" s="58">
        <v>0.0</v>
      </c>
      <c r="H32" s="56" t="s">
        <v>73</v>
      </c>
      <c r="I32" s="58">
        <v>0.0</v>
      </c>
      <c r="J32" s="58">
        <v>0.0</v>
      </c>
      <c r="K32" s="56" t="s">
        <v>30</v>
      </c>
      <c r="L32" s="56" t="s">
        <v>59</v>
      </c>
      <c r="M32" s="60"/>
      <c r="N32" s="56" t="s">
        <v>21</v>
      </c>
      <c r="O32" s="58">
        <v>0.6666666666666666</v>
      </c>
      <c r="P32" s="56" t="s">
        <v>74</v>
      </c>
      <c r="Q32" s="60"/>
      <c r="R32" s="58">
        <v>0.0</v>
      </c>
      <c r="S32" s="58">
        <v>0.0</v>
      </c>
      <c r="T32" s="58">
        <v>0.0</v>
      </c>
      <c r="U32" s="58">
        <v>0.0</v>
      </c>
      <c r="V32" s="58">
        <v>0.0</v>
      </c>
      <c r="W32" s="58">
        <v>0.0</v>
      </c>
      <c r="X32" s="56" t="s">
        <v>74</v>
      </c>
      <c r="Y32" s="62"/>
      <c r="Z32" s="58">
        <v>0.0</v>
      </c>
      <c r="AA32" s="58">
        <v>0.0</v>
      </c>
      <c r="AB32" s="56" t="s">
        <v>26</v>
      </c>
      <c r="AC32" s="58">
        <v>0.0</v>
      </c>
      <c r="AD32" s="58">
        <v>0.0</v>
      </c>
      <c r="AE32" s="62">
        <v>43872.0</v>
      </c>
      <c r="AF32" s="58">
        <v>0.0</v>
      </c>
      <c r="AG32" s="68" t="s">
        <v>52</v>
      </c>
    </row>
    <row r="33" ht="15.75" customHeight="1">
      <c r="B33" s="69" t="s">
        <v>18</v>
      </c>
      <c r="C33" s="69" t="s">
        <v>52</v>
      </c>
      <c r="D33" s="69" t="s">
        <v>72</v>
      </c>
      <c r="E33" s="70">
        <v>883.63</v>
      </c>
      <c r="F33" s="70">
        <v>0.0</v>
      </c>
      <c r="G33" s="70">
        <v>0.0</v>
      </c>
      <c r="H33" s="69" t="s">
        <v>73</v>
      </c>
      <c r="I33" s="70">
        <v>0.0</v>
      </c>
      <c r="J33" s="70">
        <v>0.0</v>
      </c>
      <c r="K33" s="69" t="s">
        <v>19</v>
      </c>
      <c r="L33" s="69" t="s">
        <v>59</v>
      </c>
      <c r="M33" s="71"/>
      <c r="N33" s="69" t="s">
        <v>21</v>
      </c>
      <c r="O33" s="70">
        <v>1.0</v>
      </c>
      <c r="P33" s="69" t="s">
        <v>74</v>
      </c>
      <c r="Q33" s="71"/>
      <c r="R33" s="70">
        <v>0.0</v>
      </c>
      <c r="S33" s="70">
        <v>0.0</v>
      </c>
      <c r="T33" s="70">
        <v>0.0</v>
      </c>
      <c r="U33" s="70">
        <v>0.0</v>
      </c>
      <c r="V33" s="70">
        <v>0.0</v>
      </c>
      <c r="W33" s="70">
        <v>0.0</v>
      </c>
      <c r="X33" s="69" t="s">
        <v>74</v>
      </c>
      <c r="Y33" s="72"/>
      <c r="Z33" s="70">
        <v>0.0</v>
      </c>
      <c r="AA33" s="70">
        <v>0.0</v>
      </c>
      <c r="AB33" s="69" t="s">
        <v>30</v>
      </c>
      <c r="AC33" s="70">
        <v>0.0</v>
      </c>
      <c r="AD33" s="70">
        <v>0.0</v>
      </c>
      <c r="AE33" s="72">
        <v>43872.0</v>
      </c>
      <c r="AF33" s="70">
        <v>0.0</v>
      </c>
      <c r="AG33" s="73" t="s">
        <v>52</v>
      </c>
    </row>
    <row r="34" ht="15.75" customHeight="1">
      <c r="B34" s="56" t="s">
        <v>18</v>
      </c>
      <c r="C34" s="56" t="s">
        <v>52</v>
      </c>
      <c r="D34" s="56" t="s">
        <v>79</v>
      </c>
      <c r="E34" s="58">
        <v>3644.95238095238</v>
      </c>
      <c r="F34" s="58">
        <v>0.0</v>
      </c>
      <c r="G34" s="58">
        <v>0.0</v>
      </c>
      <c r="H34" s="56" t="s">
        <v>73</v>
      </c>
      <c r="I34" s="58">
        <v>0.0</v>
      </c>
      <c r="J34" s="58">
        <v>0.0</v>
      </c>
      <c r="K34" s="56" t="s">
        <v>30</v>
      </c>
      <c r="L34" s="56" t="s">
        <v>61</v>
      </c>
      <c r="M34" s="60"/>
      <c r="N34" s="56" t="s">
        <v>60</v>
      </c>
      <c r="O34" s="58">
        <v>1.1</v>
      </c>
      <c r="P34" s="56" t="s">
        <v>74</v>
      </c>
      <c r="Q34" s="60"/>
      <c r="R34" s="58">
        <v>0.0</v>
      </c>
      <c r="S34" s="58">
        <v>0.0</v>
      </c>
      <c r="T34" s="58">
        <v>0.0</v>
      </c>
      <c r="U34" s="58">
        <v>0.0</v>
      </c>
      <c r="V34" s="58">
        <v>0.0</v>
      </c>
      <c r="W34" s="58">
        <v>0.0</v>
      </c>
      <c r="X34" s="56" t="s">
        <v>74</v>
      </c>
      <c r="Y34" s="62"/>
      <c r="Z34" s="58">
        <v>0.0</v>
      </c>
      <c r="AA34" s="58">
        <v>0.0</v>
      </c>
      <c r="AB34" s="56" t="s">
        <v>26</v>
      </c>
      <c r="AC34" s="58">
        <v>0.0</v>
      </c>
      <c r="AD34" s="58">
        <v>0.0</v>
      </c>
      <c r="AE34" s="62">
        <v>43872.0</v>
      </c>
      <c r="AF34" s="58">
        <v>0.0</v>
      </c>
      <c r="AG34" s="68" t="s">
        <v>52</v>
      </c>
    </row>
    <row r="35" ht="15.75" customHeight="1">
      <c r="B35" s="69" t="s">
        <v>23</v>
      </c>
      <c r="C35" s="69" t="s">
        <v>52</v>
      </c>
      <c r="D35" s="69" t="s">
        <v>79</v>
      </c>
      <c r="E35" s="70">
        <v>3715.04761904762</v>
      </c>
      <c r="F35" s="70">
        <v>0.0</v>
      </c>
      <c r="G35" s="70">
        <v>0.0</v>
      </c>
      <c r="H35" s="69" t="s">
        <v>73</v>
      </c>
      <c r="I35" s="70">
        <v>0.0</v>
      </c>
      <c r="J35" s="70">
        <v>0.0</v>
      </c>
      <c r="K35" s="69" t="s">
        <v>30</v>
      </c>
      <c r="L35" s="69" t="s">
        <v>61</v>
      </c>
      <c r="M35" s="71"/>
      <c r="N35" s="69" t="s">
        <v>60</v>
      </c>
      <c r="O35" s="70">
        <v>1.1</v>
      </c>
      <c r="P35" s="69" t="s">
        <v>74</v>
      </c>
      <c r="Q35" s="71"/>
      <c r="R35" s="70">
        <v>0.0</v>
      </c>
      <c r="S35" s="70">
        <v>0.0</v>
      </c>
      <c r="T35" s="70">
        <v>0.0</v>
      </c>
      <c r="U35" s="70">
        <v>0.0</v>
      </c>
      <c r="V35" s="70">
        <v>0.0</v>
      </c>
      <c r="W35" s="70">
        <v>0.0</v>
      </c>
      <c r="X35" s="69" t="s">
        <v>74</v>
      </c>
      <c r="Y35" s="72"/>
      <c r="Z35" s="70">
        <v>0.0</v>
      </c>
      <c r="AA35" s="70">
        <v>0.0</v>
      </c>
      <c r="AB35" s="69" t="s">
        <v>26</v>
      </c>
      <c r="AC35" s="70">
        <v>0.0</v>
      </c>
      <c r="AD35" s="70">
        <v>0.0</v>
      </c>
      <c r="AE35" s="72">
        <v>43872.0</v>
      </c>
      <c r="AF35" s="70">
        <v>0.0</v>
      </c>
      <c r="AG35" s="73" t="s">
        <v>52</v>
      </c>
    </row>
    <row r="36" ht="15.75" customHeight="1">
      <c r="B36" s="56" t="s">
        <v>18</v>
      </c>
      <c r="C36" s="56" t="s">
        <v>52</v>
      </c>
      <c r="D36" s="56" t="s">
        <v>79</v>
      </c>
      <c r="E36" s="58">
        <v>1304.95238095238</v>
      </c>
      <c r="F36" s="58">
        <v>0.0</v>
      </c>
      <c r="G36" s="58">
        <v>0.0</v>
      </c>
      <c r="H36" s="56" t="s">
        <v>73</v>
      </c>
      <c r="I36" s="58">
        <v>0.0</v>
      </c>
      <c r="J36" s="58">
        <v>0.0</v>
      </c>
      <c r="K36" s="56" t="s">
        <v>30</v>
      </c>
      <c r="L36" s="56" t="s">
        <v>61</v>
      </c>
      <c r="M36" s="60"/>
      <c r="N36" s="56" t="s">
        <v>60</v>
      </c>
      <c r="O36" s="58">
        <v>1.1</v>
      </c>
      <c r="P36" s="56" t="s">
        <v>74</v>
      </c>
      <c r="Q36" s="60"/>
      <c r="R36" s="58">
        <v>0.0</v>
      </c>
      <c r="S36" s="58">
        <v>0.0</v>
      </c>
      <c r="T36" s="58">
        <v>0.0</v>
      </c>
      <c r="U36" s="58">
        <v>0.0</v>
      </c>
      <c r="V36" s="58">
        <v>0.0</v>
      </c>
      <c r="W36" s="58">
        <v>0.0</v>
      </c>
      <c r="X36" s="56" t="s">
        <v>74</v>
      </c>
      <c r="Y36" s="62"/>
      <c r="Z36" s="58">
        <v>0.0</v>
      </c>
      <c r="AA36" s="58">
        <v>0.0</v>
      </c>
      <c r="AB36" s="56" t="s">
        <v>39</v>
      </c>
      <c r="AC36" s="58">
        <v>0.0</v>
      </c>
      <c r="AD36" s="58">
        <v>0.0</v>
      </c>
      <c r="AE36" s="62">
        <v>43872.0</v>
      </c>
      <c r="AF36" s="58">
        <v>0.0</v>
      </c>
      <c r="AG36" s="68" t="s">
        <v>52</v>
      </c>
    </row>
    <row r="37" ht="15.75" customHeight="1">
      <c r="B37" s="69" t="s">
        <v>23</v>
      </c>
      <c r="C37" s="69" t="s">
        <v>52</v>
      </c>
      <c r="D37" s="69" t="s">
        <v>79</v>
      </c>
      <c r="E37" s="70">
        <v>1330.04761904762</v>
      </c>
      <c r="F37" s="70">
        <v>0.0</v>
      </c>
      <c r="G37" s="70">
        <v>0.0</v>
      </c>
      <c r="H37" s="69" t="s">
        <v>73</v>
      </c>
      <c r="I37" s="70">
        <v>0.0</v>
      </c>
      <c r="J37" s="70">
        <v>0.0</v>
      </c>
      <c r="K37" s="69" t="s">
        <v>30</v>
      </c>
      <c r="L37" s="69" t="s">
        <v>61</v>
      </c>
      <c r="M37" s="71"/>
      <c r="N37" s="69" t="s">
        <v>60</v>
      </c>
      <c r="O37" s="70">
        <v>1.1</v>
      </c>
      <c r="P37" s="69" t="s">
        <v>74</v>
      </c>
      <c r="Q37" s="71"/>
      <c r="R37" s="70">
        <v>0.0</v>
      </c>
      <c r="S37" s="70">
        <v>0.0</v>
      </c>
      <c r="T37" s="70">
        <v>0.0</v>
      </c>
      <c r="U37" s="70">
        <v>0.0</v>
      </c>
      <c r="V37" s="70">
        <v>0.0</v>
      </c>
      <c r="W37" s="70">
        <v>0.0</v>
      </c>
      <c r="X37" s="69" t="s">
        <v>74</v>
      </c>
      <c r="Y37" s="72"/>
      <c r="Z37" s="70">
        <v>0.0</v>
      </c>
      <c r="AA37" s="70">
        <v>0.0</v>
      </c>
      <c r="AB37" s="69" t="s">
        <v>39</v>
      </c>
      <c r="AC37" s="70">
        <v>0.0</v>
      </c>
      <c r="AD37" s="70">
        <v>0.0</v>
      </c>
      <c r="AE37" s="72">
        <v>43872.0</v>
      </c>
      <c r="AF37" s="70">
        <v>0.0</v>
      </c>
      <c r="AG37" s="73" t="s">
        <v>52</v>
      </c>
    </row>
    <row r="38" ht="15.75" customHeight="1">
      <c r="B38" s="56" t="s">
        <v>18</v>
      </c>
      <c r="C38" s="56" t="s">
        <v>52</v>
      </c>
      <c r="D38" s="56" t="s">
        <v>79</v>
      </c>
      <c r="E38" s="58">
        <v>-1890.0</v>
      </c>
      <c r="F38" s="58">
        <v>0.0</v>
      </c>
      <c r="G38" s="58">
        <v>0.0</v>
      </c>
      <c r="H38" s="56" t="s">
        <v>73</v>
      </c>
      <c r="I38" s="58">
        <v>0.0</v>
      </c>
      <c r="J38" s="58">
        <v>0.0</v>
      </c>
      <c r="K38" s="56" t="s">
        <v>30</v>
      </c>
      <c r="L38" s="56" t="s">
        <v>61</v>
      </c>
      <c r="M38" s="60"/>
      <c r="N38" s="56" t="s">
        <v>60</v>
      </c>
      <c r="O38" s="58">
        <v>1.1</v>
      </c>
      <c r="P38" s="56" t="s">
        <v>74</v>
      </c>
      <c r="Q38" s="60"/>
      <c r="R38" s="58">
        <v>0.0</v>
      </c>
      <c r="S38" s="58">
        <v>0.0</v>
      </c>
      <c r="T38" s="58">
        <v>0.0</v>
      </c>
      <c r="U38" s="58">
        <v>0.0</v>
      </c>
      <c r="V38" s="58">
        <v>0.0</v>
      </c>
      <c r="W38" s="58">
        <v>0.0</v>
      </c>
      <c r="X38" s="56" t="s">
        <v>74</v>
      </c>
      <c r="Y38" s="62"/>
      <c r="Z38" s="58">
        <v>0.0</v>
      </c>
      <c r="AA38" s="58">
        <v>0.0</v>
      </c>
      <c r="AB38" s="56" t="s">
        <v>26</v>
      </c>
      <c r="AC38" s="58">
        <v>0.0</v>
      </c>
      <c r="AD38" s="58">
        <v>0.0</v>
      </c>
      <c r="AE38" s="62">
        <v>43872.0</v>
      </c>
      <c r="AF38" s="58">
        <v>0.0</v>
      </c>
      <c r="AG38" s="68" t="s">
        <v>52</v>
      </c>
    </row>
    <row r="39" ht="15.75" customHeight="1">
      <c r="B39" s="69" t="s">
        <v>23</v>
      </c>
      <c r="C39" s="69" t="s">
        <v>52</v>
      </c>
      <c r="D39" s="69" t="s">
        <v>79</v>
      </c>
      <c r="E39" s="70">
        <v>-1960.0</v>
      </c>
      <c r="F39" s="70">
        <v>0.0</v>
      </c>
      <c r="G39" s="70">
        <v>0.0</v>
      </c>
      <c r="H39" s="69" t="s">
        <v>73</v>
      </c>
      <c r="I39" s="70">
        <v>0.0</v>
      </c>
      <c r="J39" s="70">
        <v>0.0</v>
      </c>
      <c r="K39" s="69" t="s">
        <v>30</v>
      </c>
      <c r="L39" s="69" t="s">
        <v>61</v>
      </c>
      <c r="M39" s="71"/>
      <c r="N39" s="69" t="s">
        <v>60</v>
      </c>
      <c r="O39" s="70">
        <v>1.1</v>
      </c>
      <c r="P39" s="69" t="s">
        <v>74</v>
      </c>
      <c r="Q39" s="71"/>
      <c r="R39" s="70">
        <v>0.0</v>
      </c>
      <c r="S39" s="70">
        <v>0.0</v>
      </c>
      <c r="T39" s="70">
        <v>0.0</v>
      </c>
      <c r="U39" s="70">
        <v>0.0</v>
      </c>
      <c r="V39" s="70">
        <v>0.0</v>
      </c>
      <c r="W39" s="70">
        <v>0.0</v>
      </c>
      <c r="X39" s="69" t="s">
        <v>74</v>
      </c>
      <c r="Y39" s="72"/>
      <c r="Z39" s="70">
        <v>0.0</v>
      </c>
      <c r="AA39" s="70">
        <v>0.0</v>
      </c>
      <c r="AB39" s="69" t="s">
        <v>26</v>
      </c>
      <c r="AC39" s="70">
        <v>0.0</v>
      </c>
      <c r="AD39" s="70">
        <v>0.0</v>
      </c>
      <c r="AE39" s="72">
        <v>43872.0</v>
      </c>
      <c r="AF39" s="70">
        <v>0.0</v>
      </c>
      <c r="AG39" s="73" t="s">
        <v>52</v>
      </c>
    </row>
    <row r="40" ht="15.75" customHeight="1">
      <c r="B40" s="56" t="s">
        <v>18</v>
      </c>
      <c r="C40" s="56" t="s">
        <v>52</v>
      </c>
      <c r="D40" s="56" t="s">
        <v>79</v>
      </c>
      <c r="E40" s="58">
        <v>-3644.95238095238</v>
      </c>
      <c r="F40" s="58">
        <v>0.0</v>
      </c>
      <c r="G40" s="58">
        <v>0.0</v>
      </c>
      <c r="H40" s="56" t="s">
        <v>73</v>
      </c>
      <c r="I40" s="58">
        <v>0.0</v>
      </c>
      <c r="J40" s="58">
        <v>0.0</v>
      </c>
      <c r="K40" s="56" t="s">
        <v>30</v>
      </c>
      <c r="L40" s="56" t="s">
        <v>63</v>
      </c>
      <c r="M40" s="60"/>
      <c r="N40" s="56" t="s">
        <v>21</v>
      </c>
      <c r="O40" s="58">
        <v>0.5</v>
      </c>
      <c r="P40" s="56" t="s">
        <v>74</v>
      </c>
      <c r="Q40" s="60"/>
      <c r="R40" s="58">
        <v>0.0</v>
      </c>
      <c r="S40" s="58">
        <v>0.0</v>
      </c>
      <c r="T40" s="58">
        <v>0.0</v>
      </c>
      <c r="U40" s="58">
        <v>0.0</v>
      </c>
      <c r="V40" s="58">
        <v>0.0</v>
      </c>
      <c r="W40" s="58">
        <v>0.0</v>
      </c>
      <c r="X40" s="56" t="s">
        <v>74</v>
      </c>
      <c r="Y40" s="62"/>
      <c r="Z40" s="58">
        <v>0.0</v>
      </c>
      <c r="AA40" s="58">
        <v>0.0</v>
      </c>
      <c r="AB40" s="56" t="s">
        <v>26</v>
      </c>
      <c r="AC40" s="58">
        <v>0.0</v>
      </c>
      <c r="AD40" s="58">
        <v>0.0</v>
      </c>
      <c r="AE40" s="62">
        <v>43872.0</v>
      </c>
      <c r="AF40" s="58">
        <v>0.0</v>
      </c>
      <c r="AG40" s="68" t="s">
        <v>52</v>
      </c>
    </row>
    <row r="41" ht="15.75" customHeight="1">
      <c r="B41" s="69" t="s">
        <v>23</v>
      </c>
      <c r="C41" s="69" t="s">
        <v>52</v>
      </c>
      <c r="D41" s="69" t="s">
        <v>79</v>
      </c>
      <c r="E41" s="70">
        <v>-3715.04761904762</v>
      </c>
      <c r="F41" s="70">
        <v>0.0</v>
      </c>
      <c r="G41" s="70">
        <v>0.0</v>
      </c>
      <c r="H41" s="69" t="s">
        <v>73</v>
      </c>
      <c r="I41" s="70">
        <v>0.0</v>
      </c>
      <c r="J41" s="70">
        <v>0.0</v>
      </c>
      <c r="K41" s="69" t="s">
        <v>30</v>
      </c>
      <c r="L41" s="69" t="s">
        <v>63</v>
      </c>
      <c r="M41" s="71"/>
      <c r="N41" s="69" t="s">
        <v>21</v>
      </c>
      <c r="O41" s="70">
        <v>0.5</v>
      </c>
      <c r="P41" s="69" t="s">
        <v>74</v>
      </c>
      <c r="Q41" s="71"/>
      <c r="R41" s="70">
        <v>0.0</v>
      </c>
      <c r="S41" s="70">
        <v>0.0</v>
      </c>
      <c r="T41" s="70">
        <v>0.0</v>
      </c>
      <c r="U41" s="70">
        <v>0.0</v>
      </c>
      <c r="V41" s="70">
        <v>0.0</v>
      </c>
      <c r="W41" s="70">
        <v>0.0</v>
      </c>
      <c r="X41" s="69" t="s">
        <v>74</v>
      </c>
      <c r="Y41" s="72"/>
      <c r="Z41" s="70">
        <v>0.0</v>
      </c>
      <c r="AA41" s="70">
        <v>0.0</v>
      </c>
      <c r="AB41" s="69" t="s">
        <v>26</v>
      </c>
      <c r="AC41" s="70">
        <v>0.0</v>
      </c>
      <c r="AD41" s="70">
        <v>0.0</v>
      </c>
      <c r="AE41" s="72">
        <v>43872.0</v>
      </c>
      <c r="AF41" s="70">
        <v>0.0</v>
      </c>
      <c r="AG41" s="73" t="s">
        <v>52</v>
      </c>
    </row>
    <row r="42" ht="15.75" customHeight="1">
      <c r="B42" s="56" t="s">
        <v>18</v>
      </c>
      <c r="C42" s="56" t="s">
        <v>52</v>
      </c>
      <c r="D42" s="56" t="s">
        <v>79</v>
      </c>
      <c r="E42" s="58">
        <v>-1304.95238095238</v>
      </c>
      <c r="F42" s="58">
        <v>0.0</v>
      </c>
      <c r="G42" s="58">
        <v>0.0</v>
      </c>
      <c r="H42" s="56" t="s">
        <v>73</v>
      </c>
      <c r="I42" s="58">
        <v>0.0</v>
      </c>
      <c r="J42" s="58">
        <v>0.0</v>
      </c>
      <c r="K42" s="56" t="s">
        <v>30</v>
      </c>
      <c r="L42" s="56" t="s">
        <v>63</v>
      </c>
      <c r="M42" s="60"/>
      <c r="N42" s="56" t="s">
        <v>21</v>
      </c>
      <c r="O42" s="58">
        <v>0.5</v>
      </c>
      <c r="P42" s="56" t="s">
        <v>74</v>
      </c>
      <c r="Q42" s="60"/>
      <c r="R42" s="58">
        <v>0.0</v>
      </c>
      <c r="S42" s="58">
        <v>0.0</v>
      </c>
      <c r="T42" s="58">
        <v>0.0</v>
      </c>
      <c r="U42" s="58">
        <v>0.0</v>
      </c>
      <c r="V42" s="58">
        <v>0.0</v>
      </c>
      <c r="W42" s="58">
        <v>0.0</v>
      </c>
      <c r="X42" s="56" t="s">
        <v>74</v>
      </c>
      <c r="Y42" s="62"/>
      <c r="Z42" s="58">
        <v>0.0</v>
      </c>
      <c r="AA42" s="58">
        <v>0.0</v>
      </c>
      <c r="AB42" s="56" t="s">
        <v>39</v>
      </c>
      <c r="AC42" s="58">
        <v>0.0</v>
      </c>
      <c r="AD42" s="58">
        <v>0.0</v>
      </c>
      <c r="AE42" s="62">
        <v>43872.0</v>
      </c>
      <c r="AF42" s="58">
        <v>0.0</v>
      </c>
      <c r="AG42" s="68" t="s">
        <v>52</v>
      </c>
    </row>
    <row r="43" ht="15.75" customHeight="1">
      <c r="B43" s="69" t="s">
        <v>23</v>
      </c>
      <c r="C43" s="69" t="s">
        <v>52</v>
      </c>
      <c r="D43" s="69" t="s">
        <v>79</v>
      </c>
      <c r="E43" s="70">
        <v>-1330.04761904762</v>
      </c>
      <c r="F43" s="70">
        <v>0.0</v>
      </c>
      <c r="G43" s="70">
        <v>0.0</v>
      </c>
      <c r="H43" s="69" t="s">
        <v>73</v>
      </c>
      <c r="I43" s="70">
        <v>0.0</v>
      </c>
      <c r="J43" s="70">
        <v>0.0</v>
      </c>
      <c r="K43" s="69" t="s">
        <v>30</v>
      </c>
      <c r="L43" s="69" t="s">
        <v>63</v>
      </c>
      <c r="M43" s="71"/>
      <c r="N43" s="69" t="s">
        <v>21</v>
      </c>
      <c r="O43" s="70">
        <v>0.5</v>
      </c>
      <c r="P43" s="69" t="s">
        <v>74</v>
      </c>
      <c r="Q43" s="71"/>
      <c r="R43" s="70">
        <v>0.0</v>
      </c>
      <c r="S43" s="70">
        <v>0.0</v>
      </c>
      <c r="T43" s="70">
        <v>0.0</v>
      </c>
      <c r="U43" s="70">
        <v>0.0</v>
      </c>
      <c r="V43" s="70">
        <v>0.0</v>
      </c>
      <c r="W43" s="70">
        <v>0.0</v>
      </c>
      <c r="X43" s="69" t="s">
        <v>74</v>
      </c>
      <c r="Y43" s="72"/>
      <c r="Z43" s="70">
        <v>0.0</v>
      </c>
      <c r="AA43" s="70">
        <v>0.0</v>
      </c>
      <c r="AB43" s="69" t="s">
        <v>39</v>
      </c>
      <c r="AC43" s="70">
        <v>0.0</v>
      </c>
      <c r="AD43" s="70">
        <v>0.0</v>
      </c>
      <c r="AE43" s="72">
        <v>43872.0</v>
      </c>
      <c r="AF43" s="70">
        <v>0.0</v>
      </c>
      <c r="AG43" s="73" t="s">
        <v>52</v>
      </c>
    </row>
    <row r="44" ht="15.75" customHeight="1">
      <c r="B44" s="56" t="s">
        <v>18</v>
      </c>
      <c r="C44" s="56" t="s">
        <v>52</v>
      </c>
      <c r="D44" s="56" t="s">
        <v>79</v>
      </c>
      <c r="E44" s="58">
        <v>1890.0</v>
      </c>
      <c r="F44" s="58">
        <v>0.0</v>
      </c>
      <c r="G44" s="58">
        <v>0.0</v>
      </c>
      <c r="H44" s="56" t="s">
        <v>73</v>
      </c>
      <c r="I44" s="58">
        <v>0.0</v>
      </c>
      <c r="J44" s="58">
        <v>0.0</v>
      </c>
      <c r="K44" s="56" t="s">
        <v>30</v>
      </c>
      <c r="L44" s="56" t="s">
        <v>66</v>
      </c>
      <c r="M44" s="60"/>
      <c r="N44" s="56" t="s">
        <v>21</v>
      </c>
      <c r="O44" s="58">
        <v>0.5</v>
      </c>
      <c r="P44" s="56" t="s">
        <v>74</v>
      </c>
      <c r="Q44" s="60"/>
      <c r="R44" s="58">
        <v>0.0</v>
      </c>
      <c r="S44" s="58">
        <v>0.0</v>
      </c>
      <c r="T44" s="58">
        <v>0.0</v>
      </c>
      <c r="U44" s="58">
        <v>0.0</v>
      </c>
      <c r="V44" s="58">
        <v>0.0</v>
      </c>
      <c r="W44" s="58">
        <v>0.0</v>
      </c>
      <c r="X44" s="56" t="s">
        <v>74</v>
      </c>
      <c r="Y44" s="62"/>
      <c r="Z44" s="58">
        <v>0.0</v>
      </c>
      <c r="AA44" s="58">
        <v>0.0</v>
      </c>
      <c r="AB44" s="56" t="s">
        <v>26</v>
      </c>
      <c r="AC44" s="58">
        <v>0.0</v>
      </c>
      <c r="AD44" s="58">
        <v>0.0</v>
      </c>
      <c r="AE44" s="62">
        <v>43872.0</v>
      </c>
      <c r="AF44" s="58">
        <v>0.0</v>
      </c>
      <c r="AG44" s="68" t="s">
        <v>52</v>
      </c>
    </row>
    <row r="45" ht="15.75" customHeight="1">
      <c r="B45" s="69" t="s">
        <v>23</v>
      </c>
      <c r="C45" s="69" t="s">
        <v>52</v>
      </c>
      <c r="D45" s="69" t="s">
        <v>79</v>
      </c>
      <c r="E45" s="70">
        <v>1960.0</v>
      </c>
      <c r="F45" s="70">
        <v>0.0</v>
      </c>
      <c r="G45" s="70">
        <v>0.0</v>
      </c>
      <c r="H45" s="69" t="s">
        <v>73</v>
      </c>
      <c r="I45" s="70">
        <v>0.0</v>
      </c>
      <c r="J45" s="70">
        <v>0.0</v>
      </c>
      <c r="K45" s="69" t="s">
        <v>30</v>
      </c>
      <c r="L45" s="69" t="s">
        <v>66</v>
      </c>
      <c r="M45" s="71"/>
      <c r="N45" s="69" t="s">
        <v>21</v>
      </c>
      <c r="O45" s="70">
        <v>0.5</v>
      </c>
      <c r="P45" s="69" t="s">
        <v>74</v>
      </c>
      <c r="Q45" s="71"/>
      <c r="R45" s="70">
        <v>0.0</v>
      </c>
      <c r="S45" s="70">
        <v>0.0</v>
      </c>
      <c r="T45" s="70">
        <v>0.0</v>
      </c>
      <c r="U45" s="70">
        <v>0.0</v>
      </c>
      <c r="V45" s="70">
        <v>0.0</v>
      </c>
      <c r="W45" s="70">
        <v>0.0</v>
      </c>
      <c r="X45" s="69" t="s">
        <v>74</v>
      </c>
      <c r="Y45" s="72"/>
      <c r="Z45" s="70">
        <v>0.0</v>
      </c>
      <c r="AA45" s="70">
        <v>0.0</v>
      </c>
      <c r="AB45" s="69" t="s">
        <v>26</v>
      </c>
      <c r="AC45" s="70">
        <v>0.0</v>
      </c>
      <c r="AD45" s="70">
        <v>0.0</v>
      </c>
      <c r="AE45" s="72">
        <v>43872.0</v>
      </c>
      <c r="AF45" s="70">
        <v>0.0</v>
      </c>
      <c r="AG45" s="73" t="s">
        <v>52</v>
      </c>
    </row>
    <row r="46" ht="15.75" customHeight="1">
      <c r="B46" s="56" t="s">
        <v>18</v>
      </c>
      <c r="C46" s="56" t="s">
        <v>68</v>
      </c>
      <c r="D46" s="56" t="s">
        <v>80</v>
      </c>
      <c r="E46" s="58">
        <v>-3644.95238095238</v>
      </c>
      <c r="F46" s="58">
        <v>0.0</v>
      </c>
      <c r="G46" s="58">
        <v>0.0</v>
      </c>
      <c r="H46" s="56" t="s">
        <v>73</v>
      </c>
      <c r="I46" s="58">
        <v>0.0</v>
      </c>
      <c r="J46" s="58">
        <v>1.238095238095</v>
      </c>
      <c r="K46" s="56" t="s">
        <v>30</v>
      </c>
      <c r="L46" s="56" t="s">
        <v>69</v>
      </c>
      <c r="M46" s="60"/>
      <c r="N46" s="56" t="s">
        <v>60</v>
      </c>
      <c r="O46" s="58">
        <v>1.1</v>
      </c>
      <c r="P46" s="56" t="s">
        <v>74</v>
      </c>
      <c r="Q46" s="60"/>
      <c r="R46" s="58">
        <v>0.0</v>
      </c>
      <c r="S46" s="58">
        <v>0.0</v>
      </c>
      <c r="T46" s="58">
        <v>0.0</v>
      </c>
      <c r="U46" s="58">
        <v>0.0</v>
      </c>
      <c r="V46" s="58">
        <v>52.0</v>
      </c>
      <c r="W46" s="58">
        <v>0.0</v>
      </c>
      <c r="X46" s="68" t="s">
        <v>30</v>
      </c>
      <c r="Y46" s="60"/>
      <c r="Z46" s="58">
        <v>3.714285714285</v>
      </c>
      <c r="AA46" s="58">
        <v>0.0</v>
      </c>
      <c r="AB46" s="56" t="s">
        <v>26</v>
      </c>
      <c r="AC46" s="58">
        <v>0.0</v>
      </c>
      <c r="AD46" s="58">
        <v>4.95238095238</v>
      </c>
      <c r="AE46" s="62">
        <v>43872.0</v>
      </c>
      <c r="AF46" s="58">
        <v>0.0</v>
      </c>
      <c r="AG46" s="68" t="s">
        <v>68</v>
      </c>
    </row>
    <row r="47" ht="15.75" customHeight="1">
      <c r="B47" s="69" t="s">
        <v>23</v>
      </c>
      <c r="C47" s="69" t="s">
        <v>68</v>
      </c>
      <c r="D47" s="69" t="s">
        <v>80</v>
      </c>
      <c r="E47" s="70">
        <v>-3715.04761904762</v>
      </c>
      <c r="F47" s="70">
        <v>0.0</v>
      </c>
      <c r="G47" s="70">
        <v>0.0</v>
      </c>
      <c r="H47" s="69" t="s">
        <v>73</v>
      </c>
      <c r="I47" s="70">
        <v>0.0</v>
      </c>
      <c r="J47" s="70">
        <v>1.261904761905</v>
      </c>
      <c r="K47" s="69" t="s">
        <v>30</v>
      </c>
      <c r="L47" s="69" t="s">
        <v>69</v>
      </c>
      <c r="M47" s="71"/>
      <c r="N47" s="69" t="s">
        <v>60</v>
      </c>
      <c r="O47" s="70">
        <v>1.1</v>
      </c>
      <c r="P47" s="69" t="s">
        <v>74</v>
      </c>
      <c r="Q47" s="71"/>
      <c r="R47" s="70">
        <v>0.0</v>
      </c>
      <c r="S47" s="70">
        <v>0.0</v>
      </c>
      <c r="T47" s="70">
        <v>0.0</v>
      </c>
      <c r="U47" s="70">
        <v>0.0</v>
      </c>
      <c r="V47" s="70">
        <v>53.0</v>
      </c>
      <c r="W47" s="70">
        <v>0.0</v>
      </c>
      <c r="X47" s="73" t="s">
        <v>30</v>
      </c>
      <c r="Y47" s="71"/>
      <c r="Z47" s="70">
        <v>3.785714285715</v>
      </c>
      <c r="AA47" s="70">
        <v>0.0</v>
      </c>
      <c r="AB47" s="69" t="s">
        <v>26</v>
      </c>
      <c r="AC47" s="70">
        <v>0.0</v>
      </c>
      <c r="AD47" s="70">
        <v>5.04761904762</v>
      </c>
      <c r="AE47" s="72">
        <v>43872.0</v>
      </c>
      <c r="AF47" s="70">
        <v>0.0</v>
      </c>
      <c r="AG47" s="73" t="s">
        <v>68</v>
      </c>
    </row>
    <row r="48" ht="15.75" customHeight="1">
      <c r="B48" s="56" t="s">
        <v>18</v>
      </c>
      <c r="C48" s="56" t="s">
        <v>68</v>
      </c>
      <c r="D48" s="56" t="s">
        <v>80</v>
      </c>
      <c r="E48" s="58">
        <v>-1304.95238095238</v>
      </c>
      <c r="F48" s="58">
        <v>0.0</v>
      </c>
      <c r="G48" s="58">
        <v>0.0</v>
      </c>
      <c r="H48" s="56" t="s">
        <v>73</v>
      </c>
      <c r="I48" s="58">
        <v>0.0</v>
      </c>
      <c r="J48" s="58">
        <v>1.238095238095</v>
      </c>
      <c r="K48" s="56" t="s">
        <v>30</v>
      </c>
      <c r="L48" s="56" t="s">
        <v>69</v>
      </c>
      <c r="M48" s="60"/>
      <c r="N48" s="56" t="s">
        <v>60</v>
      </c>
      <c r="O48" s="58">
        <v>1.1</v>
      </c>
      <c r="P48" s="56" t="s">
        <v>74</v>
      </c>
      <c r="Q48" s="60"/>
      <c r="R48" s="58">
        <v>0.0</v>
      </c>
      <c r="S48" s="58">
        <v>0.0</v>
      </c>
      <c r="T48" s="58">
        <v>0.0</v>
      </c>
      <c r="U48" s="58">
        <v>0.0</v>
      </c>
      <c r="V48" s="58">
        <v>52.0</v>
      </c>
      <c r="W48" s="58">
        <v>0.0</v>
      </c>
      <c r="X48" s="68" t="s">
        <v>30</v>
      </c>
      <c r="Y48" s="60"/>
      <c r="Z48" s="58">
        <v>3.714285714285</v>
      </c>
      <c r="AA48" s="58">
        <v>0.0</v>
      </c>
      <c r="AB48" s="56" t="s">
        <v>39</v>
      </c>
      <c r="AC48" s="58">
        <v>0.0</v>
      </c>
      <c r="AD48" s="58">
        <v>4.95238095238</v>
      </c>
      <c r="AE48" s="62">
        <v>43872.0</v>
      </c>
      <c r="AF48" s="58">
        <v>0.0</v>
      </c>
      <c r="AG48" s="68" t="s">
        <v>68</v>
      </c>
    </row>
    <row r="49" ht="15.75" customHeight="1">
      <c r="B49" s="69" t="s">
        <v>23</v>
      </c>
      <c r="C49" s="69" t="s">
        <v>68</v>
      </c>
      <c r="D49" s="69" t="s">
        <v>80</v>
      </c>
      <c r="E49" s="70">
        <v>-1330.04761904762</v>
      </c>
      <c r="F49" s="70">
        <v>0.0</v>
      </c>
      <c r="G49" s="70">
        <v>0.0</v>
      </c>
      <c r="H49" s="69" t="s">
        <v>73</v>
      </c>
      <c r="I49" s="70">
        <v>0.0</v>
      </c>
      <c r="J49" s="70">
        <v>1.261904761905</v>
      </c>
      <c r="K49" s="69" t="s">
        <v>30</v>
      </c>
      <c r="L49" s="69" t="s">
        <v>69</v>
      </c>
      <c r="M49" s="71"/>
      <c r="N49" s="69" t="s">
        <v>60</v>
      </c>
      <c r="O49" s="70">
        <v>1.1</v>
      </c>
      <c r="P49" s="69" t="s">
        <v>74</v>
      </c>
      <c r="Q49" s="71"/>
      <c r="R49" s="70">
        <v>0.0</v>
      </c>
      <c r="S49" s="70">
        <v>0.0</v>
      </c>
      <c r="T49" s="70">
        <v>0.0</v>
      </c>
      <c r="U49" s="70">
        <v>0.0</v>
      </c>
      <c r="V49" s="70">
        <v>53.0</v>
      </c>
      <c r="W49" s="70">
        <v>0.0</v>
      </c>
      <c r="X49" s="73" t="s">
        <v>30</v>
      </c>
      <c r="Y49" s="71"/>
      <c r="Z49" s="70">
        <v>3.785714285715</v>
      </c>
      <c r="AA49" s="70">
        <v>0.0</v>
      </c>
      <c r="AB49" s="69" t="s">
        <v>39</v>
      </c>
      <c r="AC49" s="70">
        <v>0.0</v>
      </c>
      <c r="AD49" s="70">
        <v>5.04761904762</v>
      </c>
      <c r="AE49" s="72">
        <v>43872.0</v>
      </c>
      <c r="AF49" s="70">
        <v>0.0</v>
      </c>
      <c r="AG49" s="73" t="s">
        <v>68</v>
      </c>
    </row>
    <row r="50" ht="15.75" customHeight="1">
      <c r="B50" s="56" t="s">
        <v>18</v>
      </c>
      <c r="C50" s="56" t="s">
        <v>68</v>
      </c>
      <c r="D50" s="56" t="s">
        <v>80</v>
      </c>
      <c r="E50" s="58">
        <v>1890.0</v>
      </c>
      <c r="F50" s="58">
        <v>0.0</v>
      </c>
      <c r="G50" s="58">
        <v>0.0</v>
      </c>
      <c r="H50" s="56" t="s">
        <v>73</v>
      </c>
      <c r="I50" s="58">
        <v>0.0</v>
      </c>
      <c r="J50" s="58">
        <v>0.0</v>
      </c>
      <c r="K50" s="56" t="s">
        <v>30</v>
      </c>
      <c r="L50" s="56" t="s">
        <v>69</v>
      </c>
      <c r="M50" s="60"/>
      <c r="N50" s="56" t="s">
        <v>60</v>
      </c>
      <c r="O50" s="58">
        <v>1.1</v>
      </c>
      <c r="P50" s="56" t="s">
        <v>74</v>
      </c>
      <c r="Q50" s="60"/>
      <c r="R50" s="58">
        <v>0.0</v>
      </c>
      <c r="S50" s="58">
        <v>0.0</v>
      </c>
      <c r="T50" s="58">
        <v>0.0</v>
      </c>
      <c r="U50" s="58">
        <v>0.0</v>
      </c>
      <c r="V50" s="58">
        <v>27.0</v>
      </c>
      <c r="W50" s="58">
        <v>0.0</v>
      </c>
      <c r="X50" s="68" t="s">
        <v>30</v>
      </c>
      <c r="Y50" s="60"/>
      <c r="Z50" s="58">
        <v>0.0</v>
      </c>
      <c r="AA50" s="58">
        <v>0.0</v>
      </c>
      <c r="AB50" s="56" t="s">
        <v>26</v>
      </c>
      <c r="AC50" s="58">
        <v>0.0</v>
      </c>
      <c r="AD50" s="58">
        <v>0.0</v>
      </c>
      <c r="AE50" s="62">
        <v>43872.0</v>
      </c>
      <c r="AF50" s="58">
        <v>0.0</v>
      </c>
      <c r="AG50" s="68" t="s">
        <v>68</v>
      </c>
    </row>
    <row r="51" ht="15.75" customHeight="1">
      <c r="B51" s="69" t="s">
        <v>23</v>
      </c>
      <c r="C51" s="69" t="s">
        <v>68</v>
      </c>
      <c r="D51" s="69" t="s">
        <v>80</v>
      </c>
      <c r="E51" s="70">
        <v>1960.0</v>
      </c>
      <c r="F51" s="70">
        <v>0.0</v>
      </c>
      <c r="G51" s="70">
        <v>0.0</v>
      </c>
      <c r="H51" s="69" t="s">
        <v>73</v>
      </c>
      <c r="I51" s="70">
        <v>0.0</v>
      </c>
      <c r="J51" s="70">
        <v>0.0</v>
      </c>
      <c r="K51" s="69" t="s">
        <v>30</v>
      </c>
      <c r="L51" s="69" t="s">
        <v>69</v>
      </c>
      <c r="M51" s="71"/>
      <c r="N51" s="69" t="s">
        <v>60</v>
      </c>
      <c r="O51" s="70">
        <v>1.1</v>
      </c>
      <c r="P51" s="69" t="s">
        <v>74</v>
      </c>
      <c r="Q51" s="71"/>
      <c r="R51" s="70">
        <v>0.0</v>
      </c>
      <c r="S51" s="70">
        <v>0.0</v>
      </c>
      <c r="T51" s="70">
        <v>0.0</v>
      </c>
      <c r="U51" s="70">
        <v>0.0</v>
      </c>
      <c r="V51" s="70">
        <v>28.0</v>
      </c>
      <c r="W51" s="70">
        <v>0.0</v>
      </c>
      <c r="X51" s="73" t="s">
        <v>30</v>
      </c>
      <c r="Y51" s="71"/>
      <c r="Z51" s="70">
        <v>0.0</v>
      </c>
      <c r="AA51" s="70">
        <v>0.0</v>
      </c>
      <c r="AB51" s="69" t="s">
        <v>26</v>
      </c>
      <c r="AC51" s="70">
        <v>0.0</v>
      </c>
      <c r="AD51" s="70">
        <v>0.0</v>
      </c>
      <c r="AE51" s="72">
        <v>43872.0</v>
      </c>
      <c r="AF51" s="70">
        <v>0.0</v>
      </c>
      <c r="AG51" s="73" t="s">
        <v>68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84</v>
      </c>
      <c r="C6" s="38" t="s">
        <v>16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3">
        <v>43873.0</v>
      </c>
      <c r="C6" s="34"/>
      <c r="D6" s="35"/>
      <c r="E6" s="34" t="s">
        <v>26</v>
      </c>
      <c r="F6" s="34"/>
      <c r="G6" s="34" t="s">
        <v>85</v>
      </c>
      <c r="H6" s="36">
        <v>1.0</v>
      </c>
      <c r="I6" s="36">
        <v>0.33</v>
      </c>
      <c r="J6" s="36">
        <v>0.625</v>
      </c>
      <c r="K6" s="34"/>
      <c r="L6" s="34"/>
      <c r="M6" s="38" t="s">
        <v>86</v>
      </c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82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IFERROR(__xludf.DUMMYFUNCTION("IF(C3="""","""",Transpose(IMPORTRANGE('_Settings'!$B$3,C3&amp;""!A4:A1000"")))"),"CorporateAction")</f>
        <v>CorporateAction</v>
      </c>
      <c r="C4" s="24" t="str">
        <f>IFERROR(__xludf.DUMMYFUNCTION("""COMPUTED_VALUE"""),"CleanUp")</f>
        <v>CleanUp</v>
      </c>
      <c r="D4" s="24" t="str">
        <f>IFERROR(__xludf.DUMMYFUNCTION("""COMPUTED_VALUE"""),"CashDividend")</f>
        <v>CashDividend</v>
      </c>
      <c r="E4" s="24" t="str">
        <f>IFERROR(__xludf.DUMMYFUNCTION("""COMPUTED_VALUE"""),"Exchange")</f>
        <v>Exchange</v>
      </c>
      <c r="F4" s="24" t="str">
        <f>IFERROR(__xludf.DUMMYFUNCTION("""COMPUTED_VALUE"""),"Merger")</f>
        <v>Merger</v>
      </c>
      <c r="G4" s="24" t="str">
        <f>IFERROR(__xludf.DUMMYFUNCTION("""COMPUTED_VALUE"""),"NameChange")</f>
        <v>NameChange</v>
      </c>
      <c r="H4" s="24" t="str">
        <f>IFERROR(__xludf.DUMMYFUNCTION("""COMPUTED_VALUE"""),"SpinOff")</f>
        <v>SpinOff</v>
      </c>
      <c r="I4" s="24" t="str">
        <f>IFERROR(__xludf.DUMMYFUNCTION("""COMPUTED_VALUE"""),"Split")</f>
        <v>Split</v>
      </c>
      <c r="J4" s="24" t="str">
        <f>IFERROR(__xludf.DUMMYFUNCTION("""COMPUTED_VALUE"""),"StockDividend")</f>
        <v>StockDividend</v>
      </c>
      <c r="K4" s="24" t="str">
        <f>IFERROR(__xludf.DUMMYFUNCTION("""COMPUTED_VALUE"""),"OpenSpinOff")</f>
        <v>OpenSpinOff</v>
      </c>
      <c r="L4" s="24" t="str">
        <f>IFERROR(__xludf.DUMMYFUNCTION("""COMPUTED_VALUE"""),"SpinOff")</f>
        <v>SpinOff</v>
      </c>
      <c r="M4" s="24" t="str">
        <f>IFERROR(__xludf.DUMMYFUNCTION("""COMPUTED_VALUE"""),"VerifySpinOffGrid")</f>
        <v>VerifySpinOffGrid</v>
      </c>
      <c r="N4" s="24" t="str">
        <f>IFERROR(__xludf.DUMMYFUNCTION("""COMPUTED_VALUE"""),"SaveCorporateAction")</f>
        <v>SaveCorporateAction</v>
      </c>
      <c r="O4" s="24" t="str">
        <f>IFERROR(__xludf.DUMMYFUNCTION("""COMPUTED_VALUE"""),"VerifyAndSaveCorpAction")</f>
        <v>VerifyAndSaveCorpAction</v>
      </c>
      <c r="P4" s="25" t="str">
        <f>IFERROR(__xludf.DUMMYFUNCTION("""COMPUTED_VALUE"""),"VerifyAndApplyCorpAction")</f>
        <v>VerifyAndApplyCorpAction</v>
      </c>
      <c r="Q4" s="25" t="str">
        <f>IFERROR(__xludf.DUMMYFUNCTION("""COMPUTED_VALUE"""),"CorporateAction")</f>
        <v>CorporateAction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27" t="str">
        <f>IFERROR(__xludf.DUMMYFUNCTION("""COMPUTED_VALUE"""),"Trade Date")</f>
        <v>Trade Date</v>
      </c>
      <c r="J5" s="27" t="str">
        <f>IFERROR(__xludf.DUMMYFUNCTION("""COMPUTED_VALUE"""),"Process Date")</f>
        <v>Process Date</v>
      </c>
      <c r="K5" s="27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4" t="s">
        <v>26</v>
      </c>
      <c r="C6" s="75" t="s">
        <v>30</v>
      </c>
      <c r="D6" s="74" t="s">
        <v>27</v>
      </c>
      <c r="E6" s="75" t="s">
        <v>23</v>
      </c>
      <c r="F6" s="76">
        <v>70.0</v>
      </c>
      <c r="G6" s="76">
        <v>25.0</v>
      </c>
      <c r="H6" s="76">
        <v>2.38095238095283</v>
      </c>
      <c r="I6" s="77">
        <v>43871.0</v>
      </c>
      <c r="J6" s="77">
        <v>43871.0</v>
      </c>
      <c r="K6" s="77">
        <v>43871.0</v>
      </c>
      <c r="L6" s="8"/>
      <c r="M6" s="75" t="s">
        <v>28</v>
      </c>
      <c r="N6" s="76">
        <v>0.909090909090909</v>
      </c>
      <c r="O6" s="75" t="s">
        <v>21</v>
      </c>
      <c r="P6" s="76">
        <v>0.0</v>
      </c>
      <c r="Q6" s="76">
        <v>1752.38095238095</v>
      </c>
      <c r="R6" s="76">
        <v>1593.07359307359</v>
      </c>
      <c r="S6" s="75" t="s">
        <v>27</v>
      </c>
      <c r="T6" s="75"/>
      <c r="U6" s="75"/>
      <c r="V6" s="75"/>
      <c r="W6" s="75"/>
      <c r="X6" s="75"/>
      <c r="Y6" s="75"/>
      <c r="Z6" s="75"/>
      <c r="AA6" s="75"/>
    </row>
    <row r="7" ht="15.75" customHeight="1">
      <c r="A7" s="8"/>
      <c r="B7" s="75" t="s">
        <v>26</v>
      </c>
      <c r="C7" s="75" t="s">
        <v>30</v>
      </c>
      <c r="D7" s="75" t="s">
        <v>40</v>
      </c>
      <c r="E7" s="75" t="s">
        <v>23</v>
      </c>
      <c r="F7" s="76">
        <v>70.095238095238</v>
      </c>
      <c r="G7" s="76">
        <v>25.0</v>
      </c>
      <c r="H7" s="76">
        <v>0.0</v>
      </c>
      <c r="I7" s="77">
        <v>43873.0</v>
      </c>
      <c r="J7" s="77">
        <v>43873.0</v>
      </c>
      <c r="K7" s="77">
        <v>43873.0</v>
      </c>
      <c r="L7" s="8"/>
      <c r="M7" s="75"/>
      <c r="N7" s="76">
        <v>0.909090909090909</v>
      </c>
      <c r="O7" s="75" t="s">
        <v>21</v>
      </c>
      <c r="P7" s="76">
        <v>0.0</v>
      </c>
      <c r="Q7" s="76">
        <v>1752.38095238095</v>
      </c>
      <c r="R7" s="76">
        <v>1593.07359307359</v>
      </c>
      <c r="S7" s="75" t="s">
        <v>40</v>
      </c>
      <c r="T7" s="75"/>
      <c r="U7" s="75"/>
      <c r="V7" s="75"/>
      <c r="W7" s="75"/>
      <c r="X7" s="75"/>
      <c r="Y7" s="75"/>
      <c r="Z7" s="75"/>
      <c r="AA7" s="75"/>
    </row>
    <row r="8" ht="15.75" customHeight="1">
      <c r="A8" s="8"/>
      <c r="B8" s="75" t="s">
        <v>26</v>
      </c>
      <c r="C8" s="75" t="s">
        <v>30</v>
      </c>
      <c r="D8" s="75" t="s">
        <v>27</v>
      </c>
      <c r="E8" s="75" t="s">
        <v>23</v>
      </c>
      <c r="F8" s="76">
        <v>43.8095238095238</v>
      </c>
      <c r="G8" s="76">
        <v>25.0</v>
      </c>
      <c r="H8" s="76">
        <v>0.0</v>
      </c>
      <c r="I8" s="77">
        <v>43873.0</v>
      </c>
      <c r="J8" s="77">
        <v>43873.0</v>
      </c>
      <c r="K8" s="77">
        <v>43871.0</v>
      </c>
      <c r="L8" s="8"/>
      <c r="M8" s="75"/>
      <c r="N8" s="76">
        <v>0.909090909090909</v>
      </c>
      <c r="O8" s="75" t="s">
        <v>21</v>
      </c>
      <c r="P8" s="76">
        <v>70.0</v>
      </c>
      <c r="Q8" s="76">
        <v>1095.23809523809</v>
      </c>
      <c r="R8" s="76">
        <v>995.670995670994</v>
      </c>
      <c r="S8" s="75" t="s">
        <v>27</v>
      </c>
      <c r="T8" s="75"/>
      <c r="U8" s="75"/>
      <c r="V8" s="75"/>
      <c r="W8" s="75"/>
      <c r="X8" s="75"/>
      <c r="Y8" s="75"/>
      <c r="Z8" s="75"/>
      <c r="AA8" s="75"/>
    </row>
    <row r="9" ht="15.75" customHeight="1">
      <c r="A9" s="8"/>
      <c r="B9" s="75" t="s">
        <v>85</v>
      </c>
      <c r="C9" s="75" t="s">
        <v>30</v>
      </c>
      <c r="D9" s="75" t="s">
        <v>27</v>
      </c>
      <c r="E9" s="75" t="s">
        <v>23</v>
      </c>
      <c r="F9" s="76">
        <v>82.142857142857</v>
      </c>
      <c r="G9" s="76">
        <v>8.0</v>
      </c>
      <c r="H9" s="76">
        <v>0.0</v>
      </c>
      <c r="I9" s="77">
        <v>43873.0</v>
      </c>
      <c r="J9" s="77">
        <v>43873.0</v>
      </c>
      <c r="K9" s="77">
        <v>43871.0</v>
      </c>
      <c r="L9" s="8"/>
      <c r="M9" s="75"/>
      <c r="N9" s="76">
        <v>0.909090909090909</v>
      </c>
      <c r="O9" s="75" t="s">
        <v>21</v>
      </c>
      <c r="P9" s="76">
        <v>79.6536796536795</v>
      </c>
      <c r="Q9" s="76">
        <v>657.142857142856</v>
      </c>
      <c r="R9" s="76">
        <v>597.402597402596</v>
      </c>
      <c r="S9" s="75" t="s">
        <v>27</v>
      </c>
      <c r="T9" s="75"/>
      <c r="U9" s="75"/>
      <c r="V9" s="75"/>
      <c r="W9" s="75"/>
      <c r="X9" s="75"/>
      <c r="Y9" s="75"/>
      <c r="Z9" s="75"/>
      <c r="AA9" s="75"/>
    </row>
    <row r="10" ht="15.75" customHeight="1">
      <c r="A10" s="8"/>
      <c r="B10" s="75" t="s">
        <v>26</v>
      </c>
      <c r="C10" s="75" t="s">
        <v>30</v>
      </c>
      <c r="D10" s="75" t="s">
        <v>27</v>
      </c>
      <c r="E10" s="75" t="s">
        <v>23</v>
      </c>
      <c r="F10" s="76">
        <v>70.0</v>
      </c>
      <c r="G10" s="76">
        <v>53.0</v>
      </c>
      <c r="H10" s="76">
        <v>5.04761904762</v>
      </c>
      <c r="I10" s="77">
        <v>43872.0</v>
      </c>
      <c r="J10" s="77">
        <v>43872.0</v>
      </c>
      <c r="K10" s="77">
        <v>43872.0</v>
      </c>
      <c r="L10" s="8"/>
      <c r="M10" s="75" t="s">
        <v>28</v>
      </c>
      <c r="N10" s="76">
        <v>0.909090909090909</v>
      </c>
      <c r="O10" s="75" t="s">
        <v>21</v>
      </c>
      <c r="P10" s="76">
        <v>0.0</v>
      </c>
      <c r="Q10" s="76">
        <v>3715.04761904762</v>
      </c>
      <c r="R10" s="76">
        <v>3377.31601731602</v>
      </c>
      <c r="S10" s="75" t="s">
        <v>27</v>
      </c>
      <c r="T10" s="75"/>
      <c r="U10" s="75"/>
      <c r="V10" s="75"/>
      <c r="W10" s="75"/>
      <c r="X10" s="75"/>
      <c r="Y10" s="75"/>
      <c r="Z10" s="75"/>
      <c r="AA10" s="75"/>
    </row>
    <row r="11" ht="15.75" customHeight="1">
      <c r="A11" s="8"/>
      <c r="B11" s="75" t="s">
        <v>26</v>
      </c>
      <c r="C11" s="75" t="s">
        <v>30</v>
      </c>
      <c r="D11" s="75" t="s">
        <v>40</v>
      </c>
      <c r="E11" s="75" t="s">
        <v>23</v>
      </c>
      <c r="F11" s="76">
        <v>70.0952380952381</v>
      </c>
      <c r="G11" s="76">
        <v>53.0</v>
      </c>
      <c r="H11" s="76">
        <v>0.0</v>
      </c>
      <c r="I11" s="77">
        <v>43873.0</v>
      </c>
      <c r="J11" s="77">
        <v>43873.0</v>
      </c>
      <c r="K11" s="77">
        <v>43873.0</v>
      </c>
      <c r="L11" s="8"/>
      <c r="M11" s="75"/>
      <c r="N11" s="76">
        <v>0.909090909090909</v>
      </c>
      <c r="O11" s="75" t="s">
        <v>21</v>
      </c>
      <c r="P11" s="76">
        <v>0.0</v>
      </c>
      <c r="Q11" s="76">
        <v>3715.04761904762</v>
      </c>
      <c r="R11" s="76">
        <v>3377.31601731602</v>
      </c>
      <c r="S11" s="75" t="s">
        <v>40</v>
      </c>
      <c r="T11" s="75"/>
      <c r="U11" s="75"/>
      <c r="V11" s="75"/>
      <c r="W11" s="75"/>
      <c r="X11" s="75"/>
      <c r="Y11" s="75"/>
      <c r="Z11" s="75"/>
      <c r="AA11" s="75"/>
    </row>
    <row r="12" ht="15.75" customHeight="1">
      <c r="A12" s="8"/>
      <c r="B12" s="75" t="s">
        <v>26</v>
      </c>
      <c r="C12" s="75" t="s">
        <v>30</v>
      </c>
      <c r="D12" s="75" t="s">
        <v>27</v>
      </c>
      <c r="E12" s="75" t="s">
        <v>23</v>
      </c>
      <c r="F12" s="76">
        <v>43.8095238095238</v>
      </c>
      <c r="G12" s="76">
        <v>53.0</v>
      </c>
      <c r="H12" s="76">
        <v>0.0</v>
      </c>
      <c r="I12" s="77">
        <v>43873.0</v>
      </c>
      <c r="J12" s="77">
        <v>43873.0</v>
      </c>
      <c r="K12" s="77">
        <v>43872.0</v>
      </c>
      <c r="L12" s="8"/>
      <c r="M12" s="75"/>
      <c r="N12" s="76">
        <v>0.909090909090909</v>
      </c>
      <c r="O12" s="75" t="s">
        <v>21</v>
      </c>
      <c r="P12" s="76">
        <v>70.0</v>
      </c>
      <c r="Q12" s="76">
        <v>2321.90476190476</v>
      </c>
      <c r="R12" s="76">
        <v>2110.82251082251</v>
      </c>
      <c r="S12" s="75" t="s">
        <v>27</v>
      </c>
      <c r="T12" s="75"/>
      <c r="U12" s="75"/>
      <c r="V12" s="75"/>
      <c r="W12" s="75"/>
      <c r="X12" s="75"/>
      <c r="Y12" s="75"/>
      <c r="Z12" s="75"/>
      <c r="AA12" s="75"/>
    </row>
    <row r="13" ht="15.75" customHeight="1">
      <c r="A13" s="8"/>
      <c r="B13" s="75" t="s">
        <v>85</v>
      </c>
      <c r="C13" s="75" t="s">
        <v>30</v>
      </c>
      <c r="D13" s="75" t="s">
        <v>27</v>
      </c>
      <c r="E13" s="75" t="s">
        <v>23</v>
      </c>
      <c r="F13" s="76">
        <v>81.9495798319328</v>
      </c>
      <c r="G13" s="76">
        <v>17.0</v>
      </c>
      <c r="H13" s="76">
        <v>0.0</v>
      </c>
      <c r="I13" s="77">
        <v>43873.0</v>
      </c>
      <c r="J13" s="77">
        <v>43873.0</v>
      </c>
      <c r="K13" s="77">
        <v>43872.0</v>
      </c>
      <c r="L13" s="8"/>
      <c r="M13" s="75"/>
      <c r="N13" s="76">
        <v>0.909090909090909</v>
      </c>
      <c r="O13" s="75" t="s">
        <v>21</v>
      </c>
      <c r="P13" s="76">
        <v>79.6536796536797</v>
      </c>
      <c r="Q13" s="76">
        <v>1393.14285714286</v>
      </c>
      <c r="R13" s="76">
        <v>1266.49350649351</v>
      </c>
      <c r="S13" s="75" t="s">
        <v>27</v>
      </c>
      <c r="T13" s="75"/>
      <c r="U13" s="75"/>
      <c r="V13" s="75"/>
      <c r="W13" s="75"/>
      <c r="X13" s="75"/>
      <c r="Y13" s="75"/>
      <c r="Z13" s="75"/>
      <c r="AA13" s="75"/>
    </row>
    <row r="14" ht="15.75" customHeight="1">
      <c r="A14" s="8"/>
      <c r="B14" s="75" t="s">
        <v>26</v>
      </c>
      <c r="C14" s="75" t="s">
        <v>30</v>
      </c>
      <c r="D14" s="75" t="s">
        <v>27</v>
      </c>
      <c r="E14" s="75" t="s">
        <v>18</v>
      </c>
      <c r="F14" s="76">
        <v>70.0</v>
      </c>
      <c r="G14" s="76">
        <v>25.0</v>
      </c>
      <c r="H14" s="76">
        <v>2.38095238095192</v>
      </c>
      <c r="I14" s="77">
        <v>43871.0</v>
      </c>
      <c r="J14" s="77">
        <v>43871.0</v>
      </c>
      <c r="K14" s="77">
        <v>43871.0</v>
      </c>
      <c r="L14" s="8"/>
      <c r="M14" s="75" t="s">
        <v>28</v>
      </c>
      <c r="N14" s="76">
        <v>0.909090909090909</v>
      </c>
      <c r="O14" s="75" t="s">
        <v>21</v>
      </c>
      <c r="P14" s="76">
        <v>0.0</v>
      </c>
      <c r="Q14" s="76">
        <v>1752.38095238095</v>
      </c>
      <c r="R14" s="76">
        <v>1593.07359307359</v>
      </c>
      <c r="S14" s="75" t="s">
        <v>27</v>
      </c>
      <c r="T14" s="75"/>
      <c r="U14" s="75"/>
      <c r="V14" s="75"/>
      <c r="W14" s="75"/>
      <c r="X14" s="75"/>
      <c r="Y14" s="75"/>
      <c r="Z14" s="75"/>
      <c r="AA14" s="75"/>
    </row>
    <row r="15" ht="15.75" customHeight="1">
      <c r="A15" s="8"/>
      <c r="B15" s="75" t="s">
        <v>26</v>
      </c>
      <c r="C15" s="75" t="s">
        <v>30</v>
      </c>
      <c r="D15" s="75" t="s">
        <v>40</v>
      </c>
      <c r="E15" s="75" t="s">
        <v>18</v>
      </c>
      <c r="F15" s="76">
        <v>70.095238095238</v>
      </c>
      <c r="G15" s="76">
        <v>25.0</v>
      </c>
      <c r="H15" s="76">
        <v>0.0</v>
      </c>
      <c r="I15" s="77">
        <v>43873.0</v>
      </c>
      <c r="J15" s="77">
        <v>43873.0</v>
      </c>
      <c r="K15" s="77">
        <v>43873.0</v>
      </c>
      <c r="L15" s="8"/>
      <c r="M15" s="75"/>
      <c r="N15" s="76">
        <v>0.909090909090909</v>
      </c>
      <c r="O15" s="75" t="s">
        <v>21</v>
      </c>
      <c r="P15" s="76">
        <v>0.0</v>
      </c>
      <c r="Q15" s="76">
        <v>1752.38095238095</v>
      </c>
      <c r="R15" s="76">
        <v>1593.07359307359</v>
      </c>
      <c r="S15" s="75" t="s">
        <v>40</v>
      </c>
      <c r="T15" s="75"/>
      <c r="U15" s="75"/>
      <c r="V15" s="75"/>
      <c r="W15" s="75"/>
      <c r="X15" s="75"/>
      <c r="Y15" s="75"/>
      <c r="Z15" s="75"/>
      <c r="AA15" s="75"/>
    </row>
    <row r="16" ht="15.75" customHeight="1">
      <c r="A16" s="8"/>
      <c r="B16" s="75" t="s">
        <v>26</v>
      </c>
      <c r="C16" s="75" t="s">
        <v>30</v>
      </c>
      <c r="D16" s="75" t="s">
        <v>27</v>
      </c>
      <c r="E16" s="75" t="s">
        <v>18</v>
      </c>
      <c r="F16" s="76">
        <v>43.8095238095238</v>
      </c>
      <c r="G16" s="76">
        <v>25.0</v>
      </c>
      <c r="H16" s="76">
        <v>0.0</v>
      </c>
      <c r="I16" s="77">
        <v>43873.0</v>
      </c>
      <c r="J16" s="77">
        <v>43873.0</v>
      </c>
      <c r="K16" s="77">
        <v>43871.0</v>
      </c>
      <c r="L16" s="8"/>
      <c r="M16" s="75"/>
      <c r="N16" s="76">
        <v>0.909090909090909</v>
      </c>
      <c r="O16" s="75" t="s">
        <v>21</v>
      </c>
      <c r="P16" s="76">
        <v>70.0</v>
      </c>
      <c r="Q16" s="76">
        <v>1095.23809523809</v>
      </c>
      <c r="R16" s="76">
        <v>995.670995670994</v>
      </c>
      <c r="S16" s="75" t="s">
        <v>27</v>
      </c>
      <c r="T16" s="75"/>
      <c r="U16" s="75"/>
      <c r="V16" s="75"/>
      <c r="W16" s="75"/>
      <c r="X16" s="75"/>
      <c r="Y16" s="75"/>
      <c r="Z16" s="75"/>
      <c r="AA16" s="75"/>
    </row>
    <row r="17" ht="15.75" customHeight="1">
      <c r="A17" s="8"/>
      <c r="B17" s="75" t="s">
        <v>85</v>
      </c>
      <c r="C17" s="75" t="s">
        <v>30</v>
      </c>
      <c r="D17" s="75" t="s">
        <v>27</v>
      </c>
      <c r="E17" s="75" t="s">
        <v>18</v>
      </c>
      <c r="F17" s="76">
        <v>82.142857142857</v>
      </c>
      <c r="G17" s="76">
        <v>8.0</v>
      </c>
      <c r="H17" s="76">
        <v>0.0</v>
      </c>
      <c r="I17" s="77">
        <v>43873.0</v>
      </c>
      <c r="J17" s="77">
        <v>43873.0</v>
      </c>
      <c r="K17" s="77">
        <v>43871.0</v>
      </c>
      <c r="L17" s="8"/>
      <c r="M17" s="75"/>
      <c r="N17" s="76">
        <v>0.909090909090909</v>
      </c>
      <c r="O17" s="75" t="s">
        <v>21</v>
      </c>
      <c r="P17" s="76">
        <v>79.6536796536795</v>
      </c>
      <c r="Q17" s="76">
        <v>657.142857142856</v>
      </c>
      <c r="R17" s="76">
        <v>597.402597402596</v>
      </c>
      <c r="S17" s="75" t="s">
        <v>27</v>
      </c>
      <c r="T17" s="75"/>
      <c r="U17" s="75"/>
      <c r="V17" s="75"/>
      <c r="W17" s="75"/>
      <c r="X17" s="75"/>
      <c r="Y17" s="75"/>
      <c r="Z17" s="75"/>
      <c r="AA17" s="75"/>
    </row>
    <row r="18" ht="15.75" customHeight="1">
      <c r="A18" s="8"/>
      <c r="B18" s="75" t="s">
        <v>26</v>
      </c>
      <c r="C18" s="75" t="s">
        <v>30</v>
      </c>
      <c r="D18" s="75" t="s">
        <v>27</v>
      </c>
      <c r="E18" s="75" t="s">
        <v>18</v>
      </c>
      <c r="F18" s="76">
        <v>70.0</v>
      </c>
      <c r="G18" s="76">
        <v>52.0</v>
      </c>
      <c r="H18" s="76">
        <v>4.95238095238</v>
      </c>
      <c r="I18" s="77">
        <v>43872.0</v>
      </c>
      <c r="J18" s="77">
        <v>43872.0</v>
      </c>
      <c r="K18" s="77">
        <v>43872.0</v>
      </c>
      <c r="L18" s="8"/>
      <c r="M18" s="75" t="s">
        <v>28</v>
      </c>
      <c r="N18" s="76">
        <v>0.909090909090909</v>
      </c>
      <c r="O18" s="75" t="s">
        <v>21</v>
      </c>
      <c r="P18" s="76">
        <v>0.0</v>
      </c>
      <c r="Q18" s="76">
        <v>3644.95238095238</v>
      </c>
      <c r="R18" s="76">
        <v>3313.59307359307</v>
      </c>
      <c r="S18" s="75" t="s">
        <v>27</v>
      </c>
      <c r="T18" s="75"/>
      <c r="U18" s="75"/>
      <c r="V18" s="75"/>
      <c r="W18" s="75"/>
      <c r="X18" s="75"/>
      <c r="Y18" s="75"/>
      <c r="Z18" s="75"/>
      <c r="AA18" s="75"/>
    </row>
    <row r="19" ht="15.75" customHeight="1">
      <c r="A19" s="8"/>
      <c r="B19" s="75" t="s">
        <v>26</v>
      </c>
      <c r="C19" s="75" t="s">
        <v>30</v>
      </c>
      <c r="D19" s="75" t="s">
        <v>40</v>
      </c>
      <c r="E19" s="75" t="s">
        <v>18</v>
      </c>
      <c r="F19" s="76">
        <v>70.0952380952381</v>
      </c>
      <c r="G19" s="76">
        <v>52.0</v>
      </c>
      <c r="H19" s="76">
        <v>0.0</v>
      </c>
      <c r="I19" s="77">
        <v>43873.0</v>
      </c>
      <c r="J19" s="77">
        <v>43873.0</v>
      </c>
      <c r="K19" s="77">
        <v>43873.0</v>
      </c>
      <c r="L19" s="8"/>
      <c r="M19" s="75"/>
      <c r="N19" s="76">
        <v>0.909090909090909</v>
      </c>
      <c r="O19" s="75" t="s">
        <v>21</v>
      </c>
      <c r="P19" s="76">
        <v>0.0</v>
      </c>
      <c r="Q19" s="76">
        <v>3644.95238095238</v>
      </c>
      <c r="R19" s="76">
        <v>3313.59307359307</v>
      </c>
      <c r="S19" s="75" t="s">
        <v>40</v>
      </c>
      <c r="T19" s="75"/>
      <c r="U19" s="75"/>
      <c r="V19" s="75"/>
      <c r="W19" s="75"/>
      <c r="X19" s="75"/>
      <c r="Y19" s="75"/>
      <c r="Z19" s="75"/>
      <c r="AA19" s="75"/>
    </row>
    <row r="20" ht="15.75" customHeight="1">
      <c r="A20" s="8"/>
      <c r="B20" s="75" t="s">
        <v>26</v>
      </c>
      <c r="C20" s="75" t="s">
        <v>30</v>
      </c>
      <c r="D20" s="75" t="s">
        <v>27</v>
      </c>
      <c r="E20" s="75" t="s">
        <v>18</v>
      </c>
      <c r="F20" s="76">
        <v>43.8095238095238</v>
      </c>
      <c r="G20" s="76">
        <v>52.0</v>
      </c>
      <c r="H20" s="76">
        <v>0.0</v>
      </c>
      <c r="I20" s="77">
        <v>43873.0</v>
      </c>
      <c r="J20" s="77">
        <v>43873.0</v>
      </c>
      <c r="K20" s="77">
        <v>43872.0</v>
      </c>
      <c r="L20" s="8"/>
      <c r="M20" s="75"/>
      <c r="N20" s="76">
        <v>0.909090909090909</v>
      </c>
      <c r="O20" s="75" t="s">
        <v>21</v>
      </c>
      <c r="P20" s="76">
        <v>70.0</v>
      </c>
      <c r="Q20" s="76">
        <v>2278.09523809524</v>
      </c>
      <c r="R20" s="76">
        <v>2070.99567099567</v>
      </c>
      <c r="S20" s="75" t="s">
        <v>27</v>
      </c>
      <c r="T20" s="75"/>
      <c r="U20" s="75"/>
      <c r="V20" s="75"/>
      <c r="W20" s="75"/>
      <c r="X20" s="75"/>
      <c r="Y20" s="75"/>
      <c r="Z20" s="75"/>
      <c r="AA20" s="75"/>
    </row>
    <row r="21" ht="15.75" customHeight="1">
      <c r="A21" s="8"/>
      <c r="B21" s="75" t="s">
        <v>85</v>
      </c>
      <c r="C21" s="75" t="s">
        <v>30</v>
      </c>
      <c r="D21" s="75" t="s">
        <v>27</v>
      </c>
      <c r="E21" s="75" t="s">
        <v>18</v>
      </c>
      <c r="F21" s="76">
        <v>80.4033613445378</v>
      </c>
      <c r="G21" s="76">
        <v>17.0</v>
      </c>
      <c r="H21" s="76">
        <v>0.0</v>
      </c>
      <c r="I21" s="77">
        <v>43873.0</v>
      </c>
      <c r="J21" s="77">
        <v>43873.0</v>
      </c>
      <c r="K21" s="77">
        <v>43872.0</v>
      </c>
      <c r="L21" s="8"/>
      <c r="M21" s="75"/>
      <c r="N21" s="76">
        <v>0.909090909090909</v>
      </c>
      <c r="O21" s="75" t="s">
        <v>21</v>
      </c>
      <c r="P21" s="76">
        <v>79.6536796536796</v>
      </c>
      <c r="Q21" s="76">
        <v>1366.85714285714</v>
      </c>
      <c r="R21" s="76">
        <v>1242.5974025974</v>
      </c>
      <c r="S21" s="75" t="s">
        <v>27</v>
      </c>
      <c r="T21" s="75"/>
      <c r="U21" s="75"/>
      <c r="V21" s="75"/>
      <c r="W21" s="75"/>
      <c r="X21" s="75"/>
      <c r="Y21" s="75"/>
      <c r="Z21" s="75"/>
      <c r="AA21" s="7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8">
        <v>43873.0</v>
      </c>
      <c r="C6" s="33">
        <v>43873.0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19</v>
      </c>
      <c r="C6" s="34" t="s">
        <v>30</v>
      </c>
      <c r="D6" s="35"/>
      <c r="E6" s="36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8">
        <v>43873.0</v>
      </c>
      <c r="C6" s="33">
        <v>43873.0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 t="s">
        <v>26</v>
      </c>
      <c r="C6" s="36">
        <v>85.0</v>
      </c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85</v>
      </c>
      <c r="C7" s="39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39</v>
      </c>
      <c r="C8" s="39">
        <v>35.0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/>
      <c r="C9" s="3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3">
        <v>43873.0</v>
      </c>
      <c r="E6" s="48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0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2">
        <v>43871.0</v>
      </c>
      <c r="C6" s="56" t="s">
        <v>18</v>
      </c>
      <c r="D6" s="57" t="s">
        <v>26</v>
      </c>
      <c r="E6" s="56" t="s">
        <v>30</v>
      </c>
      <c r="F6" s="56" t="s">
        <v>20</v>
      </c>
      <c r="G6" s="58">
        <v>3644.95238095238</v>
      </c>
      <c r="H6" s="59">
        <v>0.0</v>
      </c>
      <c r="I6" s="60"/>
      <c r="J6" s="60"/>
      <c r="K6" s="56"/>
      <c r="L6" s="58">
        <v>1.1</v>
      </c>
      <c r="M6" s="56" t="s">
        <v>60</v>
      </c>
      <c r="N6" s="56" t="s">
        <v>51</v>
      </c>
      <c r="O6" s="56" t="s">
        <v>52</v>
      </c>
      <c r="P6" s="56" t="s">
        <v>19</v>
      </c>
      <c r="Q6" s="56" t="s">
        <v>61</v>
      </c>
      <c r="R6" s="58">
        <v>3313.5930735930724</v>
      </c>
      <c r="S6" s="58">
        <v>0.0</v>
      </c>
      <c r="T6" s="61"/>
      <c r="U6" s="61"/>
      <c r="V6" s="61"/>
      <c r="W6" s="61"/>
      <c r="X6" s="61"/>
      <c r="Y6" s="61"/>
      <c r="Z6" s="61"/>
      <c r="AA6" s="61"/>
    </row>
    <row r="7" ht="15.75" customHeight="1">
      <c r="A7" s="8"/>
      <c r="B7" s="62">
        <v>43871.0</v>
      </c>
      <c r="C7" s="56" t="s">
        <v>18</v>
      </c>
      <c r="D7" s="56" t="s">
        <v>26</v>
      </c>
      <c r="E7" s="56" t="s">
        <v>30</v>
      </c>
      <c r="F7" s="63" t="s">
        <v>62</v>
      </c>
      <c r="G7" s="64">
        <v>0.0</v>
      </c>
      <c r="H7" s="65">
        <v>3644.95238095238</v>
      </c>
      <c r="I7" s="66"/>
      <c r="J7" s="66"/>
      <c r="K7" s="63"/>
      <c r="L7" s="65">
        <v>1.1</v>
      </c>
      <c r="M7" s="63" t="s">
        <v>60</v>
      </c>
      <c r="N7" s="63" t="s">
        <v>55</v>
      </c>
      <c r="O7" s="63" t="s">
        <v>52</v>
      </c>
      <c r="P7" s="63" t="s">
        <v>19</v>
      </c>
      <c r="Q7" s="56" t="s">
        <v>61</v>
      </c>
      <c r="R7" s="65">
        <v>0.0</v>
      </c>
      <c r="S7" s="65">
        <v>3313.5930735930724</v>
      </c>
      <c r="T7" s="61"/>
      <c r="U7" s="61"/>
      <c r="V7" s="61"/>
      <c r="W7" s="61"/>
      <c r="X7" s="61"/>
      <c r="Y7" s="61"/>
      <c r="Z7" s="61"/>
      <c r="AA7" s="61"/>
    </row>
    <row r="8" ht="15.75" customHeight="1">
      <c r="A8" s="8"/>
      <c r="B8" s="62">
        <v>43871.0</v>
      </c>
      <c r="C8" s="56" t="s">
        <v>23</v>
      </c>
      <c r="D8" s="56" t="s">
        <v>26</v>
      </c>
      <c r="E8" s="56" t="s">
        <v>30</v>
      </c>
      <c r="F8" s="56" t="s">
        <v>20</v>
      </c>
      <c r="G8" s="58">
        <v>3715.04761904762</v>
      </c>
      <c r="H8" s="59">
        <v>0.0</v>
      </c>
      <c r="I8" s="60"/>
      <c r="J8" s="60"/>
      <c r="K8" s="56"/>
      <c r="L8" s="58">
        <v>1.1</v>
      </c>
      <c r="M8" s="56" t="s">
        <v>60</v>
      </c>
      <c r="N8" s="56" t="s">
        <v>51</v>
      </c>
      <c r="O8" s="56" t="s">
        <v>52</v>
      </c>
      <c r="P8" s="56" t="s">
        <v>19</v>
      </c>
      <c r="Q8" s="56" t="s">
        <v>61</v>
      </c>
      <c r="R8" s="58">
        <v>3377.3160173160177</v>
      </c>
      <c r="S8" s="58">
        <v>0.0</v>
      </c>
      <c r="T8" s="61"/>
      <c r="U8" s="61"/>
      <c r="V8" s="61"/>
      <c r="W8" s="61"/>
      <c r="X8" s="61"/>
      <c r="Y8" s="61"/>
      <c r="Z8" s="61"/>
      <c r="AA8" s="61"/>
    </row>
    <row r="9" ht="15.75" customHeight="1">
      <c r="A9" s="8"/>
      <c r="B9" s="62">
        <v>43871.0</v>
      </c>
      <c r="C9" s="56" t="s">
        <v>23</v>
      </c>
      <c r="D9" s="56" t="s">
        <v>26</v>
      </c>
      <c r="E9" s="56" t="s">
        <v>30</v>
      </c>
      <c r="F9" s="63" t="s">
        <v>62</v>
      </c>
      <c r="G9" s="64">
        <v>0.0</v>
      </c>
      <c r="H9" s="65">
        <v>3715.04761904762</v>
      </c>
      <c r="I9" s="66"/>
      <c r="J9" s="66"/>
      <c r="K9" s="63"/>
      <c r="L9" s="65">
        <v>1.1</v>
      </c>
      <c r="M9" s="63" t="s">
        <v>60</v>
      </c>
      <c r="N9" s="63" t="s">
        <v>55</v>
      </c>
      <c r="O9" s="63" t="s">
        <v>52</v>
      </c>
      <c r="P9" s="63" t="s">
        <v>19</v>
      </c>
      <c r="Q9" s="56" t="s">
        <v>61</v>
      </c>
      <c r="R9" s="65">
        <v>0.0</v>
      </c>
      <c r="S9" s="65">
        <v>3377.3160173160177</v>
      </c>
      <c r="T9" s="61"/>
      <c r="U9" s="61"/>
      <c r="V9" s="61"/>
      <c r="W9" s="61"/>
      <c r="X9" s="61"/>
      <c r="Y9" s="61"/>
      <c r="Z9" s="61"/>
      <c r="AA9" s="61"/>
    </row>
    <row r="10" ht="15.75" customHeight="1">
      <c r="A10" s="8"/>
      <c r="B10" s="62">
        <v>43871.0</v>
      </c>
      <c r="C10" s="56" t="s">
        <v>18</v>
      </c>
      <c r="D10" s="56" t="s">
        <v>26</v>
      </c>
      <c r="E10" s="56" t="s">
        <v>30</v>
      </c>
      <c r="F10" s="56" t="s">
        <v>62</v>
      </c>
      <c r="G10" s="58">
        <v>3644.95238095238</v>
      </c>
      <c r="H10" s="59">
        <v>0.0</v>
      </c>
      <c r="I10" s="60"/>
      <c r="J10" s="60"/>
      <c r="K10" s="56"/>
      <c r="L10" s="58">
        <v>0.6666666666666666</v>
      </c>
      <c r="M10" s="56" t="s">
        <v>21</v>
      </c>
      <c r="N10" s="56" t="s">
        <v>51</v>
      </c>
      <c r="O10" s="56" t="s">
        <v>52</v>
      </c>
      <c r="P10" s="56" t="s">
        <v>19</v>
      </c>
      <c r="Q10" s="56" t="s">
        <v>63</v>
      </c>
      <c r="R10" s="58">
        <v>2429.9682539682544</v>
      </c>
      <c r="S10" s="58">
        <v>0.0</v>
      </c>
      <c r="T10" s="61"/>
      <c r="U10" s="61"/>
      <c r="V10" s="61"/>
      <c r="W10" s="61"/>
      <c r="X10" s="61"/>
      <c r="Y10" s="61"/>
      <c r="Z10" s="61"/>
      <c r="AA10" s="61"/>
    </row>
    <row r="11" ht="15.75" customHeight="1">
      <c r="A11" s="8"/>
      <c r="B11" s="62">
        <v>43871.0</v>
      </c>
      <c r="C11" s="56" t="s">
        <v>18</v>
      </c>
      <c r="D11" s="56" t="s">
        <v>26</v>
      </c>
      <c r="E11" s="56" t="s">
        <v>30</v>
      </c>
      <c r="F11" s="63" t="s">
        <v>20</v>
      </c>
      <c r="G11" s="64">
        <v>0.0</v>
      </c>
      <c r="H11" s="65">
        <v>3644.95238095238</v>
      </c>
      <c r="I11" s="66"/>
      <c r="J11" s="66"/>
      <c r="K11" s="63"/>
      <c r="L11" s="65">
        <v>0.6666666666666666</v>
      </c>
      <c r="M11" s="63" t="s">
        <v>21</v>
      </c>
      <c r="N11" s="63" t="s">
        <v>55</v>
      </c>
      <c r="O11" s="63" t="s">
        <v>52</v>
      </c>
      <c r="P11" s="63" t="s">
        <v>19</v>
      </c>
      <c r="Q11" s="56" t="s">
        <v>63</v>
      </c>
      <c r="R11" s="65">
        <v>0.0</v>
      </c>
      <c r="S11" s="65">
        <v>2429.9682539682544</v>
      </c>
      <c r="T11" s="61"/>
      <c r="U11" s="61"/>
      <c r="V11" s="61"/>
      <c r="W11" s="61"/>
      <c r="X11" s="61"/>
      <c r="Y11" s="61"/>
      <c r="Z11" s="61"/>
      <c r="AA11" s="61"/>
    </row>
    <row r="12" ht="15.75" customHeight="1">
      <c r="A12" s="8"/>
      <c r="B12" s="62">
        <v>43871.0</v>
      </c>
      <c r="C12" s="56" t="s">
        <v>23</v>
      </c>
      <c r="D12" s="56" t="s">
        <v>26</v>
      </c>
      <c r="E12" s="56" t="s">
        <v>30</v>
      </c>
      <c r="F12" s="56" t="s">
        <v>62</v>
      </c>
      <c r="G12" s="58">
        <v>3715.04761904762</v>
      </c>
      <c r="H12" s="59">
        <v>0.0</v>
      </c>
      <c r="I12" s="60"/>
      <c r="J12" s="60"/>
      <c r="K12" s="56"/>
      <c r="L12" s="58">
        <v>0.6666666666666666</v>
      </c>
      <c r="M12" s="56" t="s">
        <v>21</v>
      </c>
      <c r="N12" s="56" t="s">
        <v>51</v>
      </c>
      <c r="O12" s="56" t="s">
        <v>52</v>
      </c>
      <c r="P12" s="56" t="s">
        <v>19</v>
      </c>
      <c r="Q12" s="56" t="s">
        <v>63</v>
      </c>
      <c r="R12" s="58">
        <v>2476.6984126984144</v>
      </c>
      <c r="S12" s="58">
        <v>0.0</v>
      </c>
      <c r="T12" s="61"/>
      <c r="U12" s="61"/>
      <c r="V12" s="61"/>
      <c r="W12" s="61"/>
      <c r="X12" s="61"/>
      <c r="Y12" s="61"/>
      <c r="Z12" s="61"/>
      <c r="AA12" s="61"/>
    </row>
    <row r="13" ht="15.75" customHeight="1">
      <c r="A13" s="8"/>
      <c r="B13" s="62">
        <v>43871.0</v>
      </c>
      <c r="C13" s="56" t="s">
        <v>23</v>
      </c>
      <c r="D13" s="56" t="s">
        <v>26</v>
      </c>
      <c r="E13" s="56" t="s">
        <v>30</v>
      </c>
      <c r="F13" s="63" t="s">
        <v>20</v>
      </c>
      <c r="G13" s="64">
        <v>0.0</v>
      </c>
      <c r="H13" s="65">
        <v>3715.04761904762</v>
      </c>
      <c r="I13" s="66"/>
      <c r="J13" s="66"/>
      <c r="K13" s="63"/>
      <c r="L13" s="65">
        <v>0.6666666666666666</v>
      </c>
      <c r="M13" s="63" t="s">
        <v>21</v>
      </c>
      <c r="N13" s="63" t="s">
        <v>55</v>
      </c>
      <c r="O13" s="63" t="s">
        <v>52</v>
      </c>
      <c r="P13" s="63" t="s">
        <v>19</v>
      </c>
      <c r="Q13" s="56" t="s">
        <v>63</v>
      </c>
      <c r="R13" s="65">
        <v>0.0</v>
      </c>
      <c r="S13" s="65">
        <v>2476.6984126984144</v>
      </c>
      <c r="T13" s="61"/>
      <c r="U13" s="61"/>
      <c r="V13" s="61"/>
      <c r="W13" s="61"/>
      <c r="X13" s="61"/>
      <c r="Y13" s="61"/>
      <c r="Z13" s="61"/>
      <c r="AA13" s="61"/>
    </row>
    <row r="14" ht="15.75" customHeight="1">
      <c r="A14" s="8"/>
      <c r="B14" s="62">
        <v>43872.0</v>
      </c>
      <c r="C14" s="56" t="s">
        <v>23</v>
      </c>
      <c r="D14" s="56" t="s">
        <v>26</v>
      </c>
      <c r="E14" s="56" t="s">
        <v>30</v>
      </c>
      <c r="F14" s="56" t="s">
        <v>56</v>
      </c>
      <c r="G14" s="58">
        <v>2.67</v>
      </c>
      <c r="H14" s="59">
        <v>0.0</v>
      </c>
      <c r="I14" s="60"/>
      <c r="J14" s="60"/>
      <c r="K14" s="56"/>
      <c r="L14" s="58">
        <v>0.9090909090909091</v>
      </c>
      <c r="M14" s="56" t="s">
        <v>21</v>
      </c>
      <c r="N14" s="56" t="s">
        <v>51</v>
      </c>
      <c r="O14" s="56" t="s">
        <v>52</v>
      </c>
      <c r="P14" s="56" t="s">
        <v>19</v>
      </c>
      <c r="Q14" s="56" t="s">
        <v>57</v>
      </c>
      <c r="R14" s="58">
        <v>2.4272727272727272</v>
      </c>
      <c r="S14" s="58">
        <v>0.0</v>
      </c>
      <c r="T14" s="61"/>
      <c r="U14" s="61"/>
      <c r="V14" s="61"/>
      <c r="W14" s="61"/>
      <c r="X14" s="61"/>
      <c r="Y14" s="61"/>
      <c r="Z14" s="61"/>
      <c r="AA14" s="61"/>
    </row>
    <row r="15" ht="15.75" customHeight="1">
      <c r="A15" s="8"/>
      <c r="B15" s="62">
        <v>43872.0</v>
      </c>
      <c r="C15" s="56" t="s">
        <v>23</v>
      </c>
      <c r="D15" s="56" t="s">
        <v>26</v>
      </c>
      <c r="E15" s="56" t="s">
        <v>30</v>
      </c>
      <c r="F15" s="63" t="s">
        <v>58</v>
      </c>
      <c r="G15" s="64">
        <v>0.0</v>
      </c>
      <c r="H15" s="65">
        <v>2.67</v>
      </c>
      <c r="I15" s="66"/>
      <c r="J15" s="66"/>
      <c r="K15" s="63"/>
      <c r="L15" s="65">
        <v>0.9090909090909091</v>
      </c>
      <c r="M15" s="63" t="s">
        <v>21</v>
      </c>
      <c r="N15" s="63" t="s">
        <v>55</v>
      </c>
      <c r="O15" s="63" t="s">
        <v>52</v>
      </c>
      <c r="P15" s="63" t="s">
        <v>19</v>
      </c>
      <c r="Q15" s="56" t="s">
        <v>57</v>
      </c>
      <c r="R15" s="65">
        <v>0.0</v>
      </c>
      <c r="S15" s="65">
        <v>2.4272727272727272</v>
      </c>
      <c r="T15" s="61"/>
      <c r="U15" s="61"/>
      <c r="V15" s="61"/>
      <c r="W15" s="61"/>
      <c r="X15" s="61"/>
      <c r="Y15" s="61"/>
      <c r="Z15" s="61"/>
      <c r="AA15" s="61"/>
    </row>
    <row r="16" ht="15.75" customHeight="1">
      <c r="A16" s="8"/>
      <c r="B16" s="62">
        <v>43872.0</v>
      </c>
      <c r="C16" s="56" t="s">
        <v>23</v>
      </c>
      <c r="D16" s="56" t="s">
        <v>26</v>
      </c>
      <c r="E16" s="56" t="s">
        <v>30</v>
      </c>
      <c r="F16" s="56" t="s">
        <v>50</v>
      </c>
      <c r="G16" s="58">
        <v>772.57</v>
      </c>
      <c r="H16" s="59">
        <v>0.0</v>
      </c>
      <c r="I16" s="60"/>
      <c r="J16" s="60"/>
      <c r="K16" s="56"/>
      <c r="L16" s="58">
        <v>0.5</v>
      </c>
      <c r="M16" s="56" t="s">
        <v>21</v>
      </c>
      <c r="N16" s="56" t="s">
        <v>51</v>
      </c>
      <c r="O16" s="56" t="s">
        <v>52</v>
      </c>
      <c r="P16" s="56" t="s">
        <v>19</v>
      </c>
      <c r="Q16" s="56" t="s">
        <v>53</v>
      </c>
      <c r="R16" s="58">
        <v>386.285</v>
      </c>
      <c r="S16" s="58">
        <v>0.0</v>
      </c>
      <c r="T16" s="61"/>
      <c r="U16" s="61"/>
      <c r="V16" s="61"/>
      <c r="W16" s="61"/>
      <c r="X16" s="61"/>
      <c r="Y16" s="61"/>
      <c r="Z16" s="61"/>
      <c r="AA16" s="61"/>
    </row>
    <row r="17" ht="15.75" customHeight="1">
      <c r="A17" s="8"/>
      <c r="B17" s="62">
        <v>43872.0</v>
      </c>
      <c r="C17" s="56" t="s">
        <v>23</v>
      </c>
      <c r="D17" s="56" t="s">
        <v>26</v>
      </c>
      <c r="E17" s="56" t="s">
        <v>30</v>
      </c>
      <c r="F17" s="63" t="s">
        <v>54</v>
      </c>
      <c r="G17" s="64">
        <v>0.0</v>
      </c>
      <c r="H17" s="65">
        <v>772.57</v>
      </c>
      <c r="I17" s="66"/>
      <c r="J17" s="66"/>
      <c r="K17" s="63"/>
      <c r="L17" s="65">
        <v>0.5</v>
      </c>
      <c r="M17" s="63" t="s">
        <v>21</v>
      </c>
      <c r="N17" s="63" t="s">
        <v>55</v>
      </c>
      <c r="O17" s="63" t="s">
        <v>52</v>
      </c>
      <c r="P17" s="63" t="s">
        <v>19</v>
      </c>
      <c r="Q17" s="56" t="s">
        <v>53</v>
      </c>
      <c r="R17" s="65">
        <v>0.0</v>
      </c>
      <c r="S17" s="65">
        <v>386.285</v>
      </c>
      <c r="T17" s="61"/>
      <c r="U17" s="61"/>
      <c r="V17" s="61"/>
      <c r="W17" s="61"/>
      <c r="X17" s="61"/>
      <c r="Y17" s="61"/>
      <c r="Z17" s="61"/>
      <c r="AA17" s="61"/>
    </row>
    <row r="18" ht="15.75" customHeight="1">
      <c r="A18" s="8"/>
      <c r="B18" s="62">
        <v>43872.0</v>
      </c>
      <c r="C18" s="56" t="s">
        <v>23</v>
      </c>
      <c r="D18" s="56" t="s">
        <v>30</v>
      </c>
      <c r="E18" s="56" t="s">
        <v>19</v>
      </c>
      <c r="F18" s="56" t="s">
        <v>54</v>
      </c>
      <c r="G18" s="58">
        <v>2780.79</v>
      </c>
      <c r="H18" s="59">
        <v>0.0</v>
      </c>
      <c r="I18" s="60"/>
      <c r="J18" s="60"/>
      <c r="K18" s="56"/>
      <c r="L18" s="58">
        <v>1.0</v>
      </c>
      <c r="M18" s="56" t="s">
        <v>21</v>
      </c>
      <c r="N18" s="56" t="s">
        <v>51</v>
      </c>
      <c r="O18" s="56" t="s">
        <v>52</v>
      </c>
      <c r="P18" s="56" t="s">
        <v>19</v>
      </c>
      <c r="Q18" s="56" t="s">
        <v>53</v>
      </c>
      <c r="R18" s="58">
        <v>2780.79</v>
      </c>
      <c r="S18" s="58">
        <v>0.0</v>
      </c>
      <c r="T18" s="61"/>
      <c r="U18" s="61"/>
      <c r="V18" s="61"/>
      <c r="W18" s="61"/>
      <c r="X18" s="61"/>
      <c r="Y18" s="61"/>
      <c r="Z18" s="61"/>
      <c r="AA18" s="61"/>
    </row>
    <row r="19" ht="15.75" customHeight="1">
      <c r="A19" s="8"/>
      <c r="B19" s="62">
        <v>43872.0</v>
      </c>
      <c r="C19" s="56" t="s">
        <v>23</v>
      </c>
      <c r="D19" s="56" t="s">
        <v>30</v>
      </c>
      <c r="E19" s="56" t="s">
        <v>19</v>
      </c>
      <c r="F19" s="63" t="s">
        <v>50</v>
      </c>
      <c r="G19" s="64">
        <v>0.0</v>
      </c>
      <c r="H19" s="65">
        <v>2780.79</v>
      </c>
      <c r="I19" s="66"/>
      <c r="J19" s="66"/>
      <c r="K19" s="63"/>
      <c r="L19" s="65">
        <v>1.0</v>
      </c>
      <c r="M19" s="63" t="s">
        <v>21</v>
      </c>
      <c r="N19" s="63" t="s">
        <v>55</v>
      </c>
      <c r="O19" s="63" t="s">
        <v>52</v>
      </c>
      <c r="P19" s="63" t="s">
        <v>19</v>
      </c>
      <c r="Q19" s="56" t="s">
        <v>53</v>
      </c>
      <c r="R19" s="65">
        <v>0.0</v>
      </c>
      <c r="S19" s="65">
        <v>2780.79</v>
      </c>
      <c r="T19" s="61"/>
      <c r="U19" s="61"/>
      <c r="V19" s="61"/>
      <c r="W19" s="61"/>
      <c r="X19" s="61"/>
      <c r="Y19" s="61"/>
      <c r="Z19" s="61"/>
      <c r="AA19" s="61"/>
    </row>
    <row r="20" ht="15.75" customHeight="1">
      <c r="A20" s="8"/>
      <c r="B20" s="62">
        <v>43872.0</v>
      </c>
      <c r="C20" s="56" t="s">
        <v>23</v>
      </c>
      <c r="D20" s="56" t="s">
        <v>39</v>
      </c>
      <c r="E20" s="56" t="s">
        <v>30</v>
      </c>
      <c r="F20" s="56" t="s">
        <v>54</v>
      </c>
      <c r="G20" s="58">
        <v>1330.05</v>
      </c>
      <c r="H20" s="59">
        <v>0.0</v>
      </c>
      <c r="I20" s="60"/>
      <c r="J20" s="60"/>
      <c r="K20" s="56"/>
      <c r="L20" s="58">
        <v>0.5</v>
      </c>
      <c r="M20" s="56" t="s">
        <v>21</v>
      </c>
      <c r="N20" s="56" t="s">
        <v>51</v>
      </c>
      <c r="O20" s="56" t="s">
        <v>52</v>
      </c>
      <c r="P20" s="56" t="s">
        <v>19</v>
      </c>
      <c r="Q20" s="56" t="s">
        <v>53</v>
      </c>
      <c r="R20" s="58">
        <v>665.025</v>
      </c>
      <c r="S20" s="58">
        <v>0.0</v>
      </c>
      <c r="T20" s="61"/>
      <c r="U20" s="61"/>
      <c r="V20" s="61"/>
      <c r="W20" s="61"/>
      <c r="X20" s="61"/>
      <c r="Y20" s="61"/>
      <c r="Z20" s="61"/>
      <c r="AA20" s="61"/>
    </row>
    <row r="21" ht="15.75" customHeight="1">
      <c r="A21" s="8"/>
      <c r="B21" s="62">
        <v>43872.0</v>
      </c>
      <c r="C21" s="56" t="s">
        <v>23</v>
      </c>
      <c r="D21" s="56" t="s">
        <v>39</v>
      </c>
      <c r="E21" s="56" t="s">
        <v>30</v>
      </c>
      <c r="F21" s="63" t="s">
        <v>50</v>
      </c>
      <c r="G21" s="64">
        <v>0.0</v>
      </c>
      <c r="H21" s="65">
        <v>1330.05</v>
      </c>
      <c r="I21" s="66"/>
      <c r="J21" s="66"/>
      <c r="K21" s="63"/>
      <c r="L21" s="65">
        <v>0.5</v>
      </c>
      <c r="M21" s="63" t="s">
        <v>21</v>
      </c>
      <c r="N21" s="63" t="s">
        <v>55</v>
      </c>
      <c r="O21" s="63" t="s">
        <v>52</v>
      </c>
      <c r="P21" s="63" t="s">
        <v>19</v>
      </c>
      <c r="Q21" s="56" t="s">
        <v>53</v>
      </c>
      <c r="R21" s="65">
        <v>0.0</v>
      </c>
      <c r="S21" s="65">
        <v>665.025</v>
      </c>
      <c r="T21" s="61"/>
      <c r="U21" s="61"/>
      <c r="V21" s="61"/>
      <c r="W21" s="61"/>
      <c r="X21" s="61"/>
      <c r="Y21" s="61"/>
      <c r="Z21" s="61"/>
      <c r="AA21" s="61"/>
    </row>
    <row r="22" ht="15.75" customHeight="1">
      <c r="A22" s="8"/>
      <c r="B22" s="62">
        <v>43872.0</v>
      </c>
      <c r="C22" s="56" t="s">
        <v>23</v>
      </c>
      <c r="D22" s="56" t="s">
        <v>26</v>
      </c>
      <c r="E22" s="56" t="s">
        <v>30</v>
      </c>
      <c r="F22" s="56" t="s">
        <v>54</v>
      </c>
      <c r="G22" s="58">
        <v>259.95</v>
      </c>
      <c r="H22" s="59">
        <v>0.0</v>
      </c>
      <c r="I22" s="60"/>
      <c r="J22" s="60"/>
      <c r="K22" s="56"/>
      <c r="L22" s="58">
        <v>0.6666666666666666</v>
      </c>
      <c r="M22" s="56" t="s">
        <v>21</v>
      </c>
      <c r="N22" s="56" t="s">
        <v>51</v>
      </c>
      <c r="O22" s="56" t="s">
        <v>52</v>
      </c>
      <c r="P22" s="56" t="s">
        <v>19</v>
      </c>
      <c r="Q22" s="56" t="s">
        <v>59</v>
      </c>
      <c r="R22" s="58">
        <v>173.30000000000007</v>
      </c>
      <c r="S22" s="58">
        <v>0.0</v>
      </c>
      <c r="T22" s="61"/>
      <c r="U22" s="61"/>
      <c r="V22" s="61"/>
      <c r="W22" s="61"/>
      <c r="X22" s="61"/>
      <c r="Y22" s="61"/>
      <c r="Z22" s="61"/>
      <c r="AA22" s="61"/>
    </row>
    <row r="23" ht="15.75" customHeight="1">
      <c r="A23" s="8"/>
      <c r="B23" s="62">
        <v>43872.0</v>
      </c>
      <c r="C23" s="56" t="s">
        <v>23</v>
      </c>
      <c r="D23" s="56" t="s">
        <v>26</v>
      </c>
      <c r="E23" s="56" t="s">
        <v>30</v>
      </c>
      <c r="F23" s="63" t="s">
        <v>50</v>
      </c>
      <c r="G23" s="64">
        <v>0.0</v>
      </c>
      <c r="H23" s="65">
        <v>259.95</v>
      </c>
      <c r="I23" s="66"/>
      <c r="J23" s="66"/>
      <c r="K23" s="63"/>
      <c r="L23" s="65">
        <v>0.6666666666666666</v>
      </c>
      <c r="M23" s="63" t="s">
        <v>21</v>
      </c>
      <c r="N23" s="63" t="s">
        <v>55</v>
      </c>
      <c r="O23" s="63" t="s">
        <v>52</v>
      </c>
      <c r="P23" s="63" t="s">
        <v>19</v>
      </c>
      <c r="Q23" s="56" t="s">
        <v>59</v>
      </c>
      <c r="R23" s="65">
        <v>0.0</v>
      </c>
      <c r="S23" s="65">
        <v>173.30000000000007</v>
      </c>
      <c r="T23" s="61"/>
      <c r="U23" s="61"/>
      <c r="V23" s="61"/>
      <c r="W23" s="61"/>
      <c r="X23" s="61"/>
      <c r="Y23" s="61"/>
      <c r="Z23" s="61"/>
      <c r="AA23" s="61"/>
    </row>
    <row r="24" ht="15.75" customHeight="1">
      <c r="A24" s="8"/>
      <c r="B24" s="62">
        <v>43872.0</v>
      </c>
      <c r="C24" s="56" t="s">
        <v>23</v>
      </c>
      <c r="D24" s="56" t="s">
        <v>30</v>
      </c>
      <c r="E24" s="56" t="s">
        <v>19</v>
      </c>
      <c r="F24" s="56" t="s">
        <v>50</v>
      </c>
      <c r="G24" s="58">
        <v>900.62</v>
      </c>
      <c r="H24" s="59">
        <v>0.0</v>
      </c>
      <c r="I24" s="60"/>
      <c r="J24" s="60"/>
      <c r="K24" s="56"/>
      <c r="L24" s="58">
        <v>1.0</v>
      </c>
      <c r="M24" s="56" t="s">
        <v>21</v>
      </c>
      <c r="N24" s="56" t="s">
        <v>51</v>
      </c>
      <c r="O24" s="56" t="s">
        <v>52</v>
      </c>
      <c r="P24" s="56" t="s">
        <v>19</v>
      </c>
      <c r="Q24" s="56" t="s">
        <v>59</v>
      </c>
      <c r="R24" s="58">
        <v>900.62</v>
      </c>
      <c r="S24" s="58">
        <v>0.0</v>
      </c>
      <c r="T24" s="61"/>
      <c r="U24" s="61"/>
      <c r="V24" s="61"/>
      <c r="W24" s="61"/>
      <c r="X24" s="61"/>
      <c r="Y24" s="61"/>
      <c r="Z24" s="61"/>
      <c r="AA24" s="61"/>
    </row>
    <row r="25" ht="15.75" customHeight="1">
      <c r="A25" s="8"/>
      <c r="B25" s="62">
        <v>43872.0</v>
      </c>
      <c r="C25" s="56" t="s">
        <v>23</v>
      </c>
      <c r="D25" s="56" t="s">
        <v>30</v>
      </c>
      <c r="E25" s="56" t="s">
        <v>19</v>
      </c>
      <c r="F25" s="63" t="s">
        <v>54</v>
      </c>
      <c r="G25" s="64">
        <v>0.0</v>
      </c>
      <c r="H25" s="65">
        <v>900.62</v>
      </c>
      <c r="I25" s="66"/>
      <c r="J25" s="66"/>
      <c r="K25" s="63"/>
      <c r="L25" s="65">
        <v>1.0</v>
      </c>
      <c r="M25" s="63" t="s">
        <v>21</v>
      </c>
      <c r="N25" s="63" t="s">
        <v>55</v>
      </c>
      <c r="O25" s="63" t="s">
        <v>52</v>
      </c>
      <c r="P25" s="63" t="s">
        <v>19</v>
      </c>
      <c r="Q25" s="56" t="s">
        <v>59</v>
      </c>
      <c r="R25" s="65">
        <v>0.0</v>
      </c>
      <c r="S25" s="65">
        <v>900.62</v>
      </c>
      <c r="T25" s="61"/>
      <c r="U25" s="61"/>
      <c r="V25" s="61"/>
      <c r="W25" s="61"/>
      <c r="X25" s="61"/>
      <c r="Y25" s="61"/>
      <c r="Z25" s="61"/>
      <c r="AA25" s="61"/>
    </row>
    <row r="26" ht="15.75" customHeight="1">
      <c r="A26" s="8"/>
      <c r="B26" s="62">
        <v>43873.0</v>
      </c>
      <c r="C26" s="56" t="s">
        <v>23</v>
      </c>
      <c r="D26" s="56" t="s">
        <v>26</v>
      </c>
      <c r="E26" s="56" t="s">
        <v>30</v>
      </c>
      <c r="F26" s="56" t="s">
        <v>50</v>
      </c>
      <c r="G26" s="58">
        <v>3212.86</v>
      </c>
      <c r="H26" s="59">
        <v>0.0</v>
      </c>
      <c r="I26" s="60"/>
      <c r="J26" s="60"/>
      <c r="K26" s="56"/>
      <c r="L26" s="58">
        <v>0.4</v>
      </c>
      <c r="M26" s="56" t="s">
        <v>21</v>
      </c>
      <c r="N26" s="56" t="s">
        <v>51</v>
      </c>
      <c r="O26" s="56" t="s">
        <v>52</v>
      </c>
      <c r="P26" s="56" t="s">
        <v>19</v>
      </c>
      <c r="Q26" s="56" t="s">
        <v>53</v>
      </c>
      <c r="R26" s="58">
        <v>1285.144</v>
      </c>
      <c r="S26" s="58">
        <v>0.0</v>
      </c>
      <c r="T26" s="61"/>
      <c r="U26" s="61"/>
      <c r="V26" s="61"/>
      <c r="W26" s="61"/>
      <c r="X26" s="61"/>
      <c r="Y26" s="61"/>
      <c r="Z26" s="61"/>
      <c r="AA26" s="61"/>
    </row>
    <row r="27" ht="15.75" customHeight="1">
      <c r="B27" s="62">
        <v>43873.0</v>
      </c>
      <c r="C27" s="56" t="s">
        <v>23</v>
      </c>
      <c r="D27" s="56" t="s">
        <v>26</v>
      </c>
      <c r="E27" s="56" t="s">
        <v>30</v>
      </c>
      <c r="F27" s="63" t="s">
        <v>54</v>
      </c>
      <c r="G27" s="64">
        <v>0.0</v>
      </c>
      <c r="H27" s="65">
        <v>3212.86</v>
      </c>
      <c r="I27" s="66"/>
      <c r="J27" s="66"/>
      <c r="K27" s="63"/>
      <c r="L27" s="65">
        <v>0.4</v>
      </c>
      <c r="M27" s="63" t="s">
        <v>21</v>
      </c>
      <c r="N27" s="63" t="s">
        <v>55</v>
      </c>
      <c r="O27" s="63" t="s">
        <v>52</v>
      </c>
      <c r="P27" s="63" t="s">
        <v>19</v>
      </c>
      <c r="Q27" s="56" t="s">
        <v>53</v>
      </c>
      <c r="R27" s="65">
        <v>0.0</v>
      </c>
      <c r="S27" s="65">
        <v>1285.144</v>
      </c>
      <c r="T27" s="61"/>
      <c r="U27" s="61"/>
      <c r="V27" s="61"/>
      <c r="W27" s="61"/>
      <c r="X27" s="61"/>
      <c r="Y27" s="61"/>
      <c r="Z27" s="61"/>
      <c r="AA27" s="61"/>
    </row>
    <row r="28" ht="15.75" customHeight="1">
      <c r="B28" s="62">
        <v>43873.0</v>
      </c>
      <c r="C28" s="56" t="s">
        <v>23</v>
      </c>
      <c r="D28" s="56" t="s">
        <v>85</v>
      </c>
      <c r="E28" s="56" t="s">
        <v>30</v>
      </c>
      <c r="F28" s="56" t="s">
        <v>50</v>
      </c>
      <c r="G28" s="58">
        <v>449.72</v>
      </c>
      <c r="H28" s="59">
        <v>0.0</v>
      </c>
      <c r="I28" s="60"/>
      <c r="J28" s="60"/>
      <c r="K28" s="56"/>
      <c r="L28" s="58">
        <v>0.4</v>
      </c>
      <c r="M28" s="56" t="s">
        <v>21</v>
      </c>
      <c r="N28" s="56" t="s">
        <v>51</v>
      </c>
      <c r="O28" s="56" t="s">
        <v>52</v>
      </c>
      <c r="P28" s="56" t="s">
        <v>19</v>
      </c>
      <c r="Q28" s="56" t="s">
        <v>53</v>
      </c>
      <c r="R28" s="58">
        <v>179.888</v>
      </c>
      <c r="S28" s="58">
        <v>0.0</v>
      </c>
      <c r="T28" s="61"/>
      <c r="U28" s="61"/>
      <c r="V28" s="61"/>
      <c r="W28" s="61"/>
      <c r="X28" s="61"/>
      <c r="Y28" s="61"/>
      <c r="Z28" s="61"/>
      <c r="AA28" s="61"/>
    </row>
    <row r="29" ht="15.75" customHeight="1">
      <c r="B29" s="62">
        <v>43873.0</v>
      </c>
      <c r="C29" s="56" t="s">
        <v>23</v>
      </c>
      <c r="D29" s="56" t="s">
        <v>85</v>
      </c>
      <c r="E29" s="56" t="s">
        <v>30</v>
      </c>
      <c r="F29" s="63" t="s">
        <v>54</v>
      </c>
      <c r="G29" s="64">
        <v>0.0</v>
      </c>
      <c r="H29" s="65">
        <v>449.72</v>
      </c>
      <c r="I29" s="66"/>
      <c r="J29" s="66"/>
      <c r="K29" s="63"/>
      <c r="L29" s="65">
        <v>0.4</v>
      </c>
      <c r="M29" s="63" t="s">
        <v>21</v>
      </c>
      <c r="N29" s="63" t="s">
        <v>55</v>
      </c>
      <c r="O29" s="63" t="s">
        <v>52</v>
      </c>
      <c r="P29" s="63" t="s">
        <v>19</v>
      </c>
      <c r="Q29" s="56" t="s">
        <v>53</v>
      </c>
      <c r="R29" s="65">
        <v>0.0</v>
      </c>
      <c r="S29" s="65">
        <v>179.888</v>
      </c>
      <c r="T29" s="61"/>
      <c r="U29" s="61"/>
      <c r="V29" s="61"/>
      <c r="W29" s="61"/>
      <c r="X29" s="61"/>
      <c r="Y29" s="61"/>
      <c r="Z29" s="61"/>
      <c r="AA29" s="61"/>
    </row>
    <row r="30" ht="15.75" customHeight="1">
      <c r="B30" s="62">
        <v>43873.0</v>
      </c>
      <c r="C30" s="56" t="s">
        <v>23</v>
      </c>
      <c r="D30" s="56" t="s">
        <v>30</v>
      </c>
      <c r="E30" s="56" t="s">
        <v>19</v>
      </c>
      <c r="F30" s="56" t="s">
        <v>54</v>
      </c>
      <c r="G30" s="58">
        <v>3460.51</v>
      </c>
      <c r="H30" s="59">
        <v>0.0</v>
      </c>
      <c r="I30" s="60"/>
      <c r="J30" s="60"/>
      <c r="K30" s="56"/>
      <c r="L30" s="58">
        <v>1.0</v>
      </c>
      <c r="M30" s="56" t="s">
        <v>21</v>
      </c>
      <c r="N30" s="56" t="s">
        <v>51</v>
      </c>
      <c r="O30" s="56" t="s">
        <v>52</v>
      </c>
      <c r="P30" s="56" t="s">
        <v>19</v>
      </c>
      <c r="Q30" s="56" t="s">
        <v>53</v>
      </c>
      <c r="R30" s="58">
        <v>3460.51</v>
      </c>
      <c r="S30" s="58">
        <v>0.0</v>
      </c>
      <c r="T30" s="61"/>
      <c r="U30" s="61"/>
      <c r="V30" s="61"/>
      <c r="W30" s="61"/>
      <c r="X30" s="61"/>
      <c r="Y30" s="61"/>
      <c r="Z30" s="61"/>
      <c r="AA30" s="61"/>
    </row>
    <row r="31" ht="15.75" customHeight="1">
      <c r="B31" s="62">
        <v>43873.0</v>
      </c>
      <c r="C31" s="56" t="s">
        <v>23</v>
      </c>
      <c r="D31" s="56" t="s">
        <v>30</v>
      </c>
      <c r="E31" s="56" t="s">
        <v>19</v>
      </c>
      <c r="F31" s="63" t="s">
        <v>50</v>
      </c>
      <c r="G31" s="64">
        <v>0.0</v>
      </c>
      <c r="H31" s="65">
        <v>3460.51</v>
      </c>
      <c r="I31" s="66"/>
      <c r="J31" s="66"/>
      <c r="K31" s="63"/>
      <c r="L31" s="65">
        <v>1.0</v>
      </c>
      <c r="M31" s="63" t="s">
        <v>21</v>
      </c>
      <c r="N31" s="63" t="s">
        <v>55</v>
      </c>
      <c r="O31" s="63" t="s">
        <v>52</v>
      </c>
      <c r="P31" s="63" t="s">
        <v>19</v>
      </c>
      <c r="Q31" s="56" t="s">
        <v>53</v>
      </c>
      <c r="R31" s="65">
        <v>0.0</v>
      </c>
      <c r="S31" s="65">
        <v>3460.51</v>
      </c>
      <c r="T31" s="61"/>
      <c r="U31" s="61"/>
      <c r="V31" s="61"/>
      <c r="W31" s="61"/>
      <c r="X31" s="61"/>
      <c r="Y31" s="61"/>
      <c r="Z31" s="61"/>
      <c r="AA31" s="61"/>
    </row>
    <row r="32" ht="15.75" customHeight="1">
      <c r="B32" s="62">
        <v>43873.0</v>
      </c>
      <c r="C32" s="56" t="s">
        <v>23</v>
      </c>
      <c r="D32" s="56" t="s">
        <v>39</v>
      </c>
      <c r="E32" s="56" t="s">
        <v>30</v>
      </c>
      <c r="F32" s="56" t="s">
        <v>50</v>
      </c>
      <c r="G32" s="58">
        <v>524.95</v>
      </c>
      <c r="H32" s="59">
        <v>0.0</v>
      </c>
      <c r="I32" s="60"/>
      <c r="J32" s="60"/>
      <c r="K32" s="56"/>
      <c r="L32" s="58">
        <v>0.4</v>
      </c>
      <c r="M32" s="56" t="s">
        <v>21</v>
      </c>
      <c r="N32" s="56" t="s">
        <v>51</v>
      </c>
      <c r="O32" s="56" t="s">
        <v>52</v>
      </c>
      <c r="P32" s="56" t="s">
        <v>19</v>
      </c>
      <c r="Q32" s="56" t="s">
        <v>53</v>
      </c>
      <c r="R32" s="58">
        <v>209.98</v>
      </c>
      <c r="S32" s="58">
        <v>0.0</v>
      </c>
      <c r="T32" s="61"/>
      <c r="U32" s="61"/>
      <c r="V32" s="61"/>
      <c r="W32" s="61"/>
      <c r="X32" s="61"/>
      <c r="Y32" s="61"/>
      <c r="Z32" s="61"/>
      <c r="AA32" s="61"/>
    </row>
    <row r="33" ht="15.75" customHeight="1">
      <c r="B33" s="62">
        <v>43873.0</v>
      </c>
      <c r="C33" s="56" t="s">
        <v>23</v>
      </c>
      <c r="D33" s="56" t="s">
        <v>39</v>
      </c>
      <c r="E33" s="56" t="s">
        <v>30</v>
      </c>
      <c r="F33" s="63" t="s">
        <v>54</v>
      </c>
      <c r="G33" s="64">
        <v>0.0</v>
      </c>
      <c r="H33" s="65">
        <v>524.95</v>
      </c>
      <c r="I33" s="66"/>
      <c r="J33" s="66"/>
      <c r="K33" s="63"/>
      <c r="L33" s="65">
        <v>0.4</v>
      </c>
      <c r="M33" s="63" t="s">
        <v>21</v>
      </c>
      <c r="N33" s="63" t="s">
        <v>55</v>
      </c>
      <c r="O33" s="63" t="s">
        <v>52</v>
      </c>
      <c r="P33" s="63" t="s">
        <v>19</v>
      </c>
      <c r="Q33" s="56" t="s">
        <v>53</v>
      </c>
      <c r="R33" s="65">
        <v>0.0</v>
      </c>
      <c r="S33" s="65">
        <v>209.98</v>
      </c>
      <c r="T33" s="61"/>
      <c r="U33" s="61"/>
      <c r="V33" s="61"/>
      <c r="W33" s="61"/>
      <c r="X33" s="61"/>
      <c r="Y33" s="61"/>
      <c r="Z33" s="61"/>
      <c r="AA33" s="61"/>
    </row>
    <row r="34" ht="15.75" customHeight="1">
      <c r="B34" s="62">
        <v>43873.0</v>
      </c>
      <c r="C34" s="56" t="s">
        <v>23</v>
      </c>
      <c r="D34" s="56" t="s">
        <v>26</v>
      </c>
      <c r="E34" s="56" t="s">
        <v>30</v>
      </c>
      <c r="F34" s="56" t="s">
        <v>54</v>
      </c>
      <c r="G34" s="58">
        <v>772.57</v>
      </c>
      <c r="H34" s="59">
        <v>0.0</v>
      </c>
      <c r="I34" s="60"/>
      <c r="J34" s="60"/>
      <c r="K34" s="56"/>
      <c r="L34" s="58">
        <v>0.5</v>
      </c>
      <c r="M34" s="56" t="s">
        <v>21</v>
      </c>
      <c r="N34" s="56" t="s">
        <v>51</v>
      </c>
      <c r="O34" s="56" t="s">
        <v>52</v>
      </c>
      <c r="P34" s="56" t="s">
        <v>19</v>
      </c>
      <c r="Q34" s="56" t="s">
        <v>59</v>
      </c>
      <c r="R34" s="58">
        <v>386.285</v>
      </c>
      <c r="S34" s="58">
        <v>0.0</v>
      </c>
      <c r="T34" s="61"/>
      <c r="U34" s="61"/>
      <c r="V34" s="61"/>
      <c r="W34" s="61"/>
      <c r="X34" s="61"/>
      <c r="Y34" s="61"/>
      <c r="Z34" s="61"/>
      <c r="AA34" s="61"/>
    </row>
    <row r="35" ht="15.75" customHeight="1">
      <c r="B35" s="62">
        <v>43873.0</v>
      </c>
      <c r="C35" s="56" t="s">
        <v>23</v>
      </c>
      <c r="D35" s="56" t="s">
        <v>26</v>
      </c>
      <c r="E35" s="56" t="s">
        <v>30</v>
      </c>
      <c r="F35" s="63" t="s">
        <v>50</v>
      </c>
      <c r="G35" s="64">
        <v>0.0</v>
      </c>
      <c r="H35" s="65">
        <v>772.57</v>
      </c>
      <c r="I35" s="66"/>
      <c r="J35" s="66"/>
      <c r="K35" s="63"/>
      <c r="L35" s="65">
        <v>0.5</v>
      </c>
      <c r="M35" s="63" t="s">
        <v>21</v>
      </c>
      <c r="N35" s="63" t="s">
        <v>55</v>
      </c>
      <c r="O35" s="63" t="s">
        <v>52</v>
      </c>
      <c r="P35" s="63" t="s">
        <v>19</v>
      </c>
      <c r="Q35" s="56" t="s">
        <v>59</v>
      </c>
      <c r="R35" s="65">
        <v>0.0</v>
      </c>
      <c r="S35" s="65">
        <v>386.285</v>
      </c>
      <c r="T35" s="61"/>
      <c r="U35" s="61"/>
      <c r="V35" s="61"/>
      <c r="W35" s="61"/>
      <c r="X35" s="61"/>
      <c r="Y35" s="61"/>
      <c r="Z35" s="61"/>
      <c r="AA35" s="61"/>
    </row>
    <row r="36" ht="15.75" customHeight="1">
      <c r="B36" s="62">
        <v>43873.0</v>
      </c>
      <c r="C36" s="56" t="s">
        <v>23</v>
      </c>
      <c r="D36" s="56" t="s">
        <v>30</v>
      </c>
      <c r="E36" s="56" t="s">
        <v>19</v>
      </c>
      <c r="F36" s="56" t="s">
        <v>50</v>
      </c>
      <c r="G36" s="58">
        <v>2780.79</v>
      </c>
      <c r="H36" s="59">
        <v>0.0</v>
      </c>
      <c r="I36" s="60"/>
      <c r="J36" s="60"/>
      <c r="K36" s="56"/>
      <c r="L36" s="58">
        <v>1.0</v>
      </c>
      <c r="M36" s="56" t="s">
        <v>21</v>
      </c>
      <c r="N36" s="56" t="s">
        <v>51</v>
      </c>
      <c r="O36" s="56" t="s">
        <v>52</v>
      </c>
      <c r="P36" s="56" t="s">
        <v>19</v>
      </c>
      <c r="Q36" s="56" t="s">
        <v>59</v>
      </c>
      <c r="R36" s="58">
        <v>2780.79</v>
      </c>
      <c r="S36" s="58">
        <v>0.0</v>
      </c>
      <c r="T36" s="61"/>
      <c r="U36" s="61"/>
      <c r="V36" s="61"/>
      <c r="W36" s="61"/>
      <c r="X36" s="61"/>
      <c r="Y36" s="61"/>
      <c r="Z36" s="61"/>
      <c r="AA36" s="61"/>
    </row>
    <row r="37" ht="15.75" customHeight="1">
      <c r="B37" s="62">
        <v>43873.0</v>
      </c>
      <c r="C37" s="56" t="s">
        <v>23</v>
      </c>
      <c r="D37" s="56" t="s">
        <v>30</v>
      </c>
      <c r="E37" s="56" t="s">
        <v>19</v>
      </c>
      <c r="F37" s="63" t="s">
        <v>54</v>
      </c>
      <c r="G37" s="64">
        <v>0.0</v>
      </c>
      <c r="H37" s="65">
        <v>2780.79</v>
      </c>
      <c r="I37" s="66"/>
      <c r="J37" s="66"/>
      <c r="K37" s="63"/>
      <c r="L37" s="65">
        <v>1.0</v>
      </c>
      <c r="M37" s="63" t="s">
        <v>21</v>
      </c>
      <c r="N37" s="63" t="s">
        <v>55</v>
      </c>
      <c r="O37" s="63" t="s">
        <v>52</v>
      </c>
      <c r="P37" s="63" t="s">
        <v>19</v>
      </c>
      <c r="Q37" s="56" t="s">
        <v>59</v>
      </c>
      <c r="R37" s="65">
        <v>0.0</v>
      </c>
      <c r="S37" s="65">
        <v>2780.79</v>
      </c>
      <c r="T37" s="61"/>
      <c r="U37" s="61"/>
      <c r="V37" s="61"/>
      <c r="W37" s="61"/>
      <c r="X37" s="61"/>
      <c r="Y37" s="61"/>
      <c r="Z37" s="61"/>
      <c r="AA37" s="61"/>
    </row>
    <row r="38" ht="15.75" customHeight="1">
      <c r="B38" s="62">
        <v>43873.0</v>
      </c>
      <c r="C38" s="56" t="s">
        <v>23</v>
      </c>
      <c r="D38" s="56" t="s">
        <v>39</v>
      </c>
      <c r="E38" s="56" t="s">
        <v>30</v>
      </c>
      <c r="F38" s="56" t="s">
        <v>50</v>
      </c>
      <c r="G38" s="58">
        <v>1330.05</v>
      </c>
      <c r="H38" s="59">
        <v>0.0</v>
      </c>
      <c r="I38" s="60"/>
      <c r="J38" s="60"/>
      <c r="K38" s="56"/>
      <c r="L38" s="58">
        <v>0.5</v>
      </c>
      <c r="M38" s="56" t="s">
        <v>21</v>
      </c>
      <c r="N38" s="56" t="s">
        <v>51</v>
      </c>
      <c r="O38" s="56" t="s">
        <v>52</v>
      </c>
      <c r="P38" s="56" t="s">
        <v>19</v>
      </c>
      <c r="Q38" s="56" t="s">
        <v>59</v>
      </c>
      <c r="R38" s="58">
        <v>665.025</v>
      </c>
      <c r="S38" s="58">
        <v>0.0</v>
      </c>
      <c r="T38" s="61"/>
      <c r="U38" s="61"/>
      <c r="V38" s="61"/>
      <c r="W38" s="61"/>
      <c r="X38" s="61"/>
      <c r="Y38" s="61"/>
      <c r="Z38" s="61"/>
      <c r="AA38" s="61"/>
    </row>
    <row r="39" ht="15.75" customHeight="1">
      <c r="B39" s="62">
        <v>43873.0</v>
      </c>
      <c r="C39" s="56" t="s">
        <v>23</v>
      </c>
      <c r="D39" s="56" t="s">
        <v>39</v>
      </c>
      <c r="E39" s="56" t="s">
        <v>30</v>
      </c>
      <c r="F39" s="63" t="s">
        <v>54</v>
      </c>
      <c r="G39" s="64">
        <v>0.0</v>
      </c>
      <c r="H39" s="65">
        <v>1330.05</v>
      </c>
      <c r="I39" s="66"/>
      <c r="J39" s="66"/>
      <c r="K39" s="63"/>
      <c r="L39" s="65">
        <v>0.5</v>
      </c>
      <c r="M39" s="63" t="s">
        <v>21</v>
      </c>
      <c r="N39" s="63" t="s">
        <v>55</v>
      </c>
      <c r="O39" s="63" t="s">
        <v>52</v>
      </c>
      <c r="P39" s="63" t="s">
        <v>19</v>
      </c>
      <c r="Q39" s="56" t="s">
        <v>59</v>
      </c>
      <c r="R39" s="65">
        <v>0.0</v>
      </c>
      <c r="S39" s="65">
        <v>665.025</v>
      </c>
      <c r="T39" s="61"/>
      <c r="U39" s="61"/>
      <c r="V39" s="61"/>
      <c r="W39" s="61"/>
      <c r="X39" s="61"/>
      <c r="Y39" s="61"/>
      <c r="Z39" s="61"/>
      <c r="AA39" s="61"/>
    </row>
    <row r="40" ht="15.75" customHeight="1">
      <c r="B40" s="62">
        <v>43872.0</v>
      </c>
      <c r="C40" s="56" t="s">
        <v>18</v>
      </c>
      <c r="D40" s="56" t="s">
        <v>26</v>
      </c>
      <c r="E40" s="56" t="s">
        <v>30</v>
      </c>
      <c r="F40" s="56" t="s">
        <v>56</v>
      </c>
      <c r="G40" s="58">
        <v>2.569999999999</v>
      </c>
      <c r="H40" s="59">
        <v>0.0</v>
      </c>
      <c r="I40" s="60"/>
      <c r="J40" s="60"/>
      <c r="K40" s="56"/>
      <c r="L40" s="58">
        <v>0.9090909090909091</v>
      </c>
      <c r="M40" s="56" t="s">
        <v>21</v>
      </c>
      <c r="N40" s="56" t="s">
        <v>51</v>
      </c>
      <c r="O40" s="56" t="s">
        <v>52</v>
      </c>
      <c r="P40" s="56" t="s">
        <v>19</v>
      </c>
      <c r="Q40" s="56" t="s">
        <v>57</v>
      </c>
      <c r="R40" s="58">
        <v>2.336363636362727</v>
      </c>
      <c r="S40" s="58">
        <v>0.0</v>
      </c>
      <c r="T40" s="61"/>
      <c r="U40" s="61"/>
      <c r="V40" s="61"/>
      <c r="W40" s="61"/>
      <c r="X40" s="61"/>
      <c r="Y40" s="61"/>
      <c r="Z40" s="61"/>
      <c r="AA40" s="61"/>
    </row>
    <row r="41" ht="15.75" customHeight="1">
      <c r="B41" s="62">
        <v>43872.0</v>
      </c>
      <c r="C41" s="56" t="s">
        <v>18</v>
      </c>
      <c r="D41" s="56" t="s">
        <v>26</v>
      </c>
      <c r="E41" s="56" t="s">
        <v>30</v>
      </c>
      <c r="F41" s="63" t="s">
        <v>58</v>
      </c>
      <c r="G41" s="64">
        <v>0.0</v>
      </c>
      <c r="H41" s="65">
        <v>2.569999999999</v>
      </c>
      <c r="I41" s="66"/>
      <c r="J41" s="66"/>
      <c r="K41" s="63"/>
      <c r="L41" s="65">
        <v>0.9090909090909091</v>
      </c>
      <c r="M41" s="63" t="s">
        <v>21</v>
      </c>
      <c r="N41" s="63" t="s">
        <v>55</v>
      </c>
      <c r="O41" s="63" t="s">
        <v>52</v>
      </c>
      <c r="P41" s="63" t="s">
        <v>19</v>
      </c>
      <c r="Q41" s="56" t="s">
        <v>57</v>
      </c>
      <c r="R41" s="65">
        <v>0.0</v>
      </c>
      <c r="S41" s="65">
        <v>2.336363636362727</v>
      </c>
      <c r="T41" s="61"/>
      <c r="U41" s="61"/>
      <c r="V41" s="61"/>
      <c r="W41" s="61"/>
      <c r="X41" s="61"/>
      <c r="Y41" s="61"/>
      <c r="Z41" s="61"/>
      <c r="AA41" s="61"/>
    </row>
    <row r="42" ht="15.75" customHeight="1">
      <c r="B42" s="62">
        <v>43872.0</v>
      </c>
      <c r="C42" s="56" t="s">
        <v>18</v>
      </c>
      <c r="D42" s="56" t="s">
        <v>26</v>
      </c>
      <c r="E42" s="56" t="s">
        <v>30</v>
      </c>
      <c r="F42" s="56" t="s">
        <v>50</v>
      </c>
      <c r="G42" s="58">
        <v>762.67</v>
      </c>
      <c r="H42" s="59">
        <v>0.0</v>
      </c>
      <c r="I42" s="60"/>
      <c r="J42" s="60"/>
      <c r="K42" s="56"/>
      <c r="L42" s="58">
        <v>0.5</v>
      </c>
      <c r="M42" s="56" t="s">
        <v>21</v>
      </c>
      <c r="N42" s="56" t="s">
        <v>51</v>
      </c>
      <c r="O42" s="56" t="s">
        <v>52</v>
      </c>
      <c r="P42" s="56" t="s">
        <v>19</v>
      </c>
      <c r="Q42" s="56" t="s">
        <v>53</v>
      </c>
      <c r="R42" s="58">
        <v>381.335</v>
      </c>
      <c r="S42" s="58">
        <v>0.0</v>
      </c>
      <c r="T42" s="61"/>
      <c r="U42" s="61"/>
      <c r="V42" s="61"/>
      <c r="W42" s="61"/>
      <c r="X42" s="61"/>
      <c r="Y42" s="61"/>
      <c r="Z42" s="61"/>
      <c r="AA42" s="61"/>
    </row>
    <row r="43" ht="15.75" customHeight="1">
      <c r="B43" s="62">
        <v>43872.0</v>
      </c>
      <c r="C43" s="56" t="s">
        <v>18</v>
      </c>
      <c r="D43" s="56" t="s">
        <v>26</v>
      </c>
      <c r="E43" s="56" t="s">
        <v>30</v>
      </c>
      <c r="F43" s="63" t="s">
        <v>54</v>
      </c>
      <c r="G43" s="64">
        <v>0.0</v>
      </c>
      <c r="H43" s="65">
        <v>762.67</v>
      </c>
      <c r="I43" s="66"/>
      <c r="J43" s="66"/>
      <c r="K43" s="63"/>
      <c r="L43" s="65">
        <v>0.5</v>
      </c>
      <c r="M43" s="63" t="s">
        <v>21</v>
      </c>
      <c r="N43" s="63" t="s">
        <v>55</v>
      </c>
      <c r="O43" s="63" t="s">
        <v>52</v>
      </c>
      <c r="P43" s="63" t="s">
        <v>19</v>
      </c>
      <c r="Q43" s="56" t="s">
        <v>53</v>
      </c>
      <c r="R43" s="65">
        <v>0.0</v>
      </c>
      <c r="S43" s="65">
        <v>381.335</v>
      </c>
      <c r="T43" s="61"/>
      <c r="U43" s="61"/>
      <c r="V43" s="61"/>
      <c r="W43" s="61"/>
      <c r="X43" s="61"/>
      <c r="Y43" s="61"/>
      <c r="Z43" s="61"/>
      <c r="AA43" s="61"/>
    </row>
    <row r="44" ht="15.75" customHeight="1">
      <c r="B44" s="62">
        <v>43872.0</v>
      </c>
      <c r="C44" s="56" t="s">
        <v>18</v>
      </c>
      <c r="D44" s="56" t="s">
        <v>30</v>
      </c>
      <c r="E44" s="56" t="s">
        <v>19</v>
      </c>
      <c r="F44" s="56" t="s">
        <v>54</v>
      </c>
      <c r="G44" s="58">
        <v>2741.83</v>
      </c>
      <c r="H44" s="59">
        <v>0.0</v>
      </c>
      <c r="I44" s="60"/>
      <c r="J44" s="60"/>
      <c r="K44" s="56"/>
      <c r="L44" s="58">
        <v>1.0</v>
      </c>
      <c r="M44" s="56" t="s">
        <v>21</v>
      </c>
      <c r="N44" s="56" t="s">
        <v>51</v>
      </c>
      <c r="O44" s="56" t="s">
        <v>52</v>
      </c>
      <c r="P44" s="56" t="s">
        <v>19</v>
      </c>
      <c r="Q44" s="56" t="s">
        <v>53</v>
      </c>
      <c r="R44" s="58">
        <v>2741.83</v>
      </c>
      <c r="S44" s="58">
        <v>0.0</v>
      </c>
      <c r="T44" s="61"/>
      <c r="U44" s="61"/>
      <c r="V44" s="61"/>
      <c r="W44" s="61"/>
      <c r="X44" s="61"/>
      <c r="Y44" s="61"/>
      <c r="Z44" s="61"/>
      <c r="AA44" s="61"/>
    </row>
    <row r="45" ht="15.75" customHeight="1">
      <c r="B45" s="62">
        <v>43872.0</v>
      </c>
      <c r="C45" s="56" t="s">
        <v>18</v>
      </c>
      <c r="D45" s="56" t="s">
        <v>30</v>
      </c>
      <c r="E45" s="56" t="s">
        <v>19</v>
      </c>
      <c r="F45" s="63" t="s">
        <v>50</v>
      </c>
      <c r="G45" s="64">
        <v>0.0</v>
      </c>
      <c r="H45" s="65">
        <v>2741.83</v>
      </c>
      <c r="I45" s="66"/>
      <c r="J45" s="66"/>
      <c r="K45" s="63"/>
      <c r="L45" s="65">
        <v>1.0</v>
      </c>
      <c r="M45" s="63" t="s">
        <v>21</v>
      </c>
      <c r="N45" s="63" t="s">
        <v>55</v>
      </c>
      <c r="O45" s="63" t="s">
        <v>52</v>
      </c>
      <c r="P45" s="63" t="s">
        <v>19</v>
      </c>
      <c r="Q45" s="56" t="s">
        <v>53</v>
      </c>
      <c r="R45" s="65">
        <v>0.0</v>
      </c>
      <c r="S45" s="65">
        <v>2741.83</v>
      </c>
      <c r="T45" s="61"/>
      <c r="U45" s="61"/>
      <c r="V45" s="61"/>
      <c r="W45" s="61"/>
      <c r="X45" s="61"/>
      <c r="Y45" s="61"/>
      <c r="Z45" s="61"/>
      <c r="AA45" s="61"/>
    </row>
    <row r="46" ht="15.75" customHeight="1">
      <c r="B46" s="62">
        <v>43872.0</v>
      </c>
      <c r="C46" s="56" t="s">
        <v>18</v>
      </c>
      <c r="D46" s="56" t="s">
        <v>39</v>
      </c>
      <c r="E46" s="56" t="s">
        <v>30</v>
      </c>
      <c r="F46" s="56" t="s">
        <v>54</v>
      </c>
      <c r="G46" s="58">
        <v>1304.95</v>
      </c>
      <c r="H46" s="59">
        <v>0.0</v>
      </c>
      <c r="I46" s="60"/>
      <c r="J46" s="60"/>
      <c r="K46" s="56"/>
      <c r="L46" s="58">
        <v>0.5</v>
      </c>
      <c r="M46" s="56" t="s">
        <v>21</v>
      </c>
      <c r="N46" s="56" t="s">
        <v>51</v>
      </c>
      <c r="O46" s="56" t="s">
        <v>52</v>
      </c>
      <c r="P46" s="56" t="s">
        <v>19</v>
      </c>
      <c r="Q46" s="56" t="s">
        <v>53</v>
      </c>
      <c r="R46" s="58">
        <v>652.475</v>
      </c>
      <c r="S46" s="58">
        <v>0.0</v>
      </c>
      <c r="T46" s="61"/>
      <c r="U46" s="61"/>
      <c r="V46" s="61"/>
      <c r="W46" s="61"/>
      <c r="X46" s="61"/>
      <c r="Y46" s="61"/>
      <c r="Z46" s="61"/>
      <c r="AA46" s="61"/>
    </row>
    <row r="47" ht="15.75" customHeight="1">
      <c r="B47" s="62">
        <v>43872.0</v>
      </c>
      <c r="C47" s="56" t="s">
        <v>18</v>
      </c>
      <c r="D47" s="56" t="s">
        <v>39</v>
      </c>
      <c r="E47" s="56" t="s">
        <v>30</v>
      </c>
      <c r="F47" s="63" t="s">
        <v>50</v>
      </c>
      <c r="G47" s="64">
        <v>0.0</v>
      </c>
      <c r="H47" s="65">
        <v>1304.95</v>
      </c>
      <c r="I47" s="66"/>
      <c r="J47" s="66"/>
      <c r="K47" s="63"/>
      <c r="L47" s="65">
        <v>0.5</v>
      </c>
      <c r="M47" s="63" t="s">
        <v>21</v>
      </c>
      <c r="N47" s="63" t="s">
        <v>55</v>
      </c>
      <c r="O47" s="63" t="s">
        <v>52</v>
      </c>
      <c r="P47" s="63" t="s">
        <v>19</v>
      </c>
      <c r="Q47" s="56" t="s">
        <v>53</v>
      </c>
      <c r="R47" s="65">
        <v>0.0</v>
      </c>
      <c r="S47" s="65">
        <v>652.475</v>
      </c>
      <c r="T47" s="61"/>
      <c r="U47" s="61"/>
      <c r="V47" s="61"/>
      <c r="W47" s="61"/>
      <c r="X47" s="61"/>
      <c r="Y47" s="61"/>
      <c r="Z47" s="61"/>
      <c r="AA47" s="61"/>
    </row>
    <row r="48" ht="15.75" customHeight="1">
      <c r="B48" s="62">
        <v>43872.0</v>
      </c>
      <c r="C48" s="56" t="s">
        <v>18</v>
      </c>
      <c r="D48" s="56" t="s">
        <v>26</v>
      </c>
      <c r="E48" s="56" t="s">
        <v>30</v>
      </c>
      <c r="F48" s="56" t="s">
        <v>54</v>
      </c>
      <c r="G48" s="58">
        <v>255.05</v>
      </c>
      <c r="H48" s="59">
        <v>0.0</v>
      </c>
      <c r="I48" s="60"/>
      <c r="J48" s="60"/>
      <c r="K48" s="56"/>
      <c r="L48" s="58">
        <v>0.6666666666666666</v>
      </c>
      <c r="M48" s="56" t="s">
        <v>21</v>
      </c>
      <c r="N48" s="56" t="s">
        <v>51</v>
      </c>
      <c r="O48" s="56" t="s">
        <v>52</v>
      </c>
      <c r="P48" s="56" t="s">
        <v>19</v>
      </c>
      <c r="Q48" s="56" t="s">
        <v>59</v>
      </c>
      <c r="R48" s="58">
        <v>170.03333333333342</v>
      </c>
      <c r="S48" s="58">
        <v>0.0</v>
      </c>
      <c r="T48" s="61"/>
      <c r="U48" s="61"/>
      <c r="V48" s="61"/>
      <c r="W48" s="61"/>
      <c r="X48" s="61"/>
      <c r="Y48" s="61"/>
      <c r="Z48" s="61"/>
      <c r="AA48" s="61"/>
    </row>
    <row r="49" ht="15.75" customHeight="1">
      <c r="B49" s="62">
        <v>43872.0</v>
      </c>
      <c r="C49" s="56" t="s">
        <v>18</v>
      </c>
      <c r="D49" s="56" t="s">
        <v>26</v>
      </c>
      <c r="E49" s="56" t="s">
        <v>30</v>
      </c>
      <c r="F49" s="63" t="s">
        <v>50</v>
      </c>
      <c r="G49" s="64">
        <v>0.0</v>
      </c>
      <c r="H49" s="65">
        <v>255.05</v>
      </c>
      <c r="I49" s="66"/>
      <c r="J49" s="66"/>
      <c r="K49" s="63"/>
      <c r="L49" s="65">
        <v>0.6666666666666666</v>
      </c>
      <c r="M49" s="63" t="s">
        <v>21</v>
      </c>
      <c r="N49" s="63" t="s">
        <v>55</v>
      </c>
      <c r="O49" s="63" t="s">
        <v>52</v>
      </c>
      <c r="P49" s="63" t="s">
        <v>19</v>
      </c>
      <c r="Q49" s="56" t="s">
        <v>59</v>
      </c>
      <c r="R49" s="65">
        <v>0.0</v>
      </c>
      <c r="S49" s="65">
        <v>170.03333333333342</v>
      </c>
      <c r="T49" s="61"/>
      <c r="U49" s="61"/>
      <c r="V49" s="61"/>
      <c r="W49" s="61"/>
      <c r="X49" s="61"/>
      <c r="Y49" s="61"/>
      <c r="Z49" s="61"/>
      <c r="AA49" s="61"/>
    </row>
    <row r="50" ht="15.75" customHeight="1">
      <c r="B50" s="62">
        <v>43872.0</v>
      </c>
      <c r="C50" s="56" t="s">
        <v>18</v>
      </c>
      <c r="D50" s="56" t="s">
        <v>30</v>
      </c>
      <c r="E50" s="56" t="s">
        <v>19</v>
      </c>
      <c r="F50" s="56" t="s">
        <v>50</v>
      </c>
      <c r="G50" s="58">
        <v>883.63</v>
      </c>
      <c r="H50" s="59">
        <v>0.0</v>
      </c>
      <c r="I50" s="60"/>
      <c r="J50" s="60"/>
      <c r="K50" s="56"/>
      <c r="L50" s="58">
        <v>1.0</v>
      </c>
      <c r="M50" s="56" t="s">
        <v>21</v>
      </c>
      <c r="N50" s="56" t="s">
        <v>51</v>
      </c>
      <c r="O50" s="56" t="s">
        <v>52</v>
      </c>
      <c r="P50" s="56" t="s">
        <v>19</v>
      </c>
      <c r="Q50" s="56" t="s">
        <v>59</v>
      </c>
      <c r="R50" s="58">
        <v>883.63</v>
      </c>
      <c r="S50" s="58">
        <v>0.0</v>
      </c>
      <c r="T50" s="61"/>
      <c r="U50" s="61"/>
      <c r="V50" s="61"/>
      <c r="W50" s="61"/>
      <c r="X50" s="61"/>
      <c r="Y50" s="61"/>
      <c r="Z50" s="61"/>
      <c r="AA50" s="61"/>
    </row>
    <row r="51" ht="15.75" customHeight="1">
      <c r="B51" s="62">
        <v>43872.0</v>
      </c>
      <c r="C51" s="56" t="s">
        <v>18</v>
      </c>
      <c r="D51" s="56" t="s">
        <v>30</v>
      </c>
      <c r="E51" s="56" t="s">
        <v>19</v>
      </c>
      <c r="F51" s="63" t="s">
        <v>54</v>
      </c>
      <c r="G51" s="64">
        <v>0.0</v>
      </c>
      <c r="H51" s="65">
        <v>883.63</v>
      </c>
      <c r="I51" s="66"/>
      <c r="J51" s="66"/>
      <c r="K51" s="63"/>
      <c r="L51" s="65">
        <v>1.0</v>
      </c>
      <c r="M51" s="63" t="s">
        <v>21</v>
      </c>
      <c r="N51" s="63" t="s">
        <v>55</v>
      </c>
      <c r="O51" s="63" t="s">
        <v>52</v>
      </c>
      <c r="P51" s="63" t="s">
        <v>19</v>
      </c>
      <c r="Q51" s="56" t="s">
        <v>59</v>
      </c>
      <c r="R51" s="65">
        <v>0.0</v>
      </c>
      <c r="S51" s="65">
        <v>883.63</v>
      </c>
      <c r="T51" s="61"/>
      <c r="U51" s="61"/>
      <c r="V51" s="61"/>
      <c r="W51" s="61"/>
      <c r="X51" s="61"/>
      <c r="Y51" s="61"/>
      <c r="Z51" s="61"/>
      <c r="AA51" s="61"/>
    </row>
    <row r="52" ht="15.75" customHeight="1">
      <c r="B52" s="62">
        <v>43873.0</v>
      </c>
      <c r="C52" s="56" t="s">
        <v>18</v>
      </c>
      <c r="D52" s="56" t="s">
        <v>26</v>
      </c>
      <c r="E52" s="56" t="s">
        <v>30</v>
      </c>
      <c r="F52" s="56" t="s">
        <v>50</v>
      </c>
      <c r="G52" s="58">
        <v>3171.66</v>
      </c>
      <c r="H52" s="59">
        <v>0.0</v>
      </c>
      <c r="I52" s="60"/>
      <c r="J52" s="60"/>
      <c r="K52" s="56"/>
      <c r="L52" s="58">
        <v>0.4</v>
      </c>
      <c r="M52" s="56" t="s">
        <v>21</v>
      </c>
      <c r="N52" s="56" t="s">
        <v>51</v>
      </c>
      <c r="O52" s="56" t="s">
        <v>52</v>
      </c>
      <c r="P52" s="56" t="s">
        <v>19</v>
      </c>
      <c r="Q52" s="56" t="s">
        <v>53</v>
      </c>
      <c r="R52" s="58">
        <v>1268.664</v>
      </c>
      <c r="S52" s="58">
        <v>0.0</v>
      </c>
      <c r="T52" s="61"/>
      <c r="U52" s="61"/>
      <c r="V52" s="61"/>
      <c r="W52" s="61"/>
      <c r="X52" s="61"/>
      <c r="Y52" s="61"/>
      <c r="Z52" s="61"/>
      <c r="AA52" s="61"/>
    </row>
    <row r="53" ht="15.75" customHeight="1">
      <c r="B53" s="62">
        <v>43873.0</v>
      </c>
      <c r="C53" s="56" t="s">
        <v>18</v>
      </c>
      <c r="D53" s="56" t="s">
        <v>26</v>
      </c>
      <c r="E53" s="56" t="s">
        <v>30</v>
      </c>
      <c r="F53" s="63" t="s">
        <v>54</v>
      </c>
      <c r="G53" s="64">
        <v>0.0</v>
      </c>
      <c r="H53" s="65">
        <v>3171.66</v>
      </c>
      <c r="I53" s="66"/>
      <c r="J53" s="66"/>
      <c r="K53" s="63"/>
      <c r="L53" s="65">
        <v>0.4</v>
      </c>
      <c r="M53" s="63" t="s">
        <v>21</v>
      </c>
      <c r="N53" s="63" t="s">
        <v>55</v>
      </c>
      <c r="O53" s="63" t="s">
        <v>52</v>
      </c>
      <c r="P53" s="63" t="s">
        <v>19</v>
      </c>
      <c r="Q53" s="56" t="s">
        <v>53</v>
      </c>
      <c r="R53" s="65">
        <v>0.0</v>
      </c>
      <c r="S53" s="65">
        <v>1268.664</v>
      </c>
      <c r="T53" s="61"/>
      <c r="U53" s="61"/>
      <c r="V53" s="61"/>
      <c r="W53" s="61"/>
      <c r="X53" s="61"/>
      <c r="Y53" s="61"/>
      <c r="Z53" s="61"/>
      <c r="AA53" s="61"/>
    </row>
    <row r="54" ht="15.75" customHeight="1">
      <c r="B54" s="62">
        <v>43873.0</v>
      </c>
      <c r="C54" s="56" t="s">
        <v>18</v>
      </c>
      <c r="D54" s="56" t="s">
        <v>85</v>
      </c>
      <c r="E54" s="56" t="s">
        <v>30</v>
      </c>
      <c r="F54" s="56" t="s">
        <v>50</v>
      </c>
      <c r="G54" s="58">
        <v>476.0</v>
      </c>
      <c r="H54" s="59">
        <v>0.0</v>
      </c>
      <c r="I54" s="60"/>
      <c r="J54" s="60"/>
      <c r="K54" s="56"/>
      <c r="L54" s="58">
        <v>0.4</v>
      </c>
      <c r="M54" s="56" t="s">
        <v>21</v>
      </c>
      <c r="N54" s="56" t="s">
        <v>51</v>
      </c>
      <c r="O54" s="56" t="s">
        <v>52</v>
      </c>
      <c r="P54" s="56" t="s">
        <v>19</v>
      </c>
      <c r="Q54" s="56" t="s">
        <v>53</v>
      </c>
      <c r="R54" s="58">
        <v>190.4</v>
      </c>
      <c r="S54" s="58">
        <v>0.0</v>
      </c>
      <c r="T54" s="61"/>
      <c r="U54" s="61"/>
      <c r="V54" s="61"/>
      <c r="W54" s="61"/>
      <c r="X54" s="61"/>
      <c r="Y54" s="61"/>
      <c r="Z54" s="61"/>
      <c r="AA54" s="61"/>
    </row>
    <row r="55" ht="15.75" customHeight="1">
      <c r="B55" s="62">
        <v>43873.0</v>
      </c>
      <c r="C55" s="56" t="s">
        <v>18</v>
      </c>
      <c r="D55" s="56" t="s">
        <v>85</v>
      </c>
      <c r="E55" s="56" t="s">
        <v>30</v>
      </c>
      <c r="F55" s="63" t="s">
        <v>54</v>
      </c>
      <c r="G55" s="64">
        <v>0.0</v>
      </c>
      <c r="H55" s="65">
        <v>476.0</v>
      </c>
      <c r="I55" s="66"/>
      <c r="J55" s="66"/>
      <c r="K55" s="63"/>
      <c r="L55" s="65">
        <v>0.4</v>
      </c>
      <c r="M55" s="63" t="s">
        <v>21</v>
      </c>
      <c r="N55" s="63" t="s">
        <v>55</v>
      </c>
      <c r="O55" s="63" t="s">
        <v>52</v>
      </c>
      <c r="P55" s="63" t="s">
        <v>19</v>
      </c>
      <c r="Q55" s="56" t="s">
        <v>53</v>
      </c>
      <c r="R55" s="65">
        <v>0.0</v>
      </c>
      <c r="S55" s="65">
        <v>190.4</v>
      </c>
      <c r="T55" s="61"/>
      <c r="U55" s="61"/>
      <c r="V55" s="61"/>
      <c r="W55" s="61"/>
      <c r="X55" s="61"/>
      <c r="Y55" s="61"/>
      <c r="Z55" s="61"/>
      <c r="AA55" s="61"/>
    </row>
    <row r="56" ht="15.75" customHeight="1">
      <c r="B56" s="62">
        <v>43873.0</v>
      </c>
      <c r="C56" s="56" t="s">
        <v>18</v>
      </c>
      <c r="D56" s="56" t="s">
        <v>30</v>
      </c>
      <c r="E56" s="56" t="s">
        <v>19</v>
      </c>
      <c r="F56" s="56" t="s">
        <v>54</v>
      </c>
      <c r="G56" s="58">
        <v>3412.07</v>
      </c>
      <c r="H56" s="59">
        <v>0.0</v>
      </c>
      <c r="I56" s="60"/>
      <c r="J56" s="60"/>
      <c r="K56" s="56"/>
      <c r="L56" s="58">
        <v>1.0</v>
      </c>
      <c r="M56" s="56" t="s">
        <v>21</v>
      </c>
      <c r="N56" s="56" t="s">
        <v>51</v>
      </c>
      <c r="O56" s="56" t="s">
        <v>52</v>
      </c>
      <c r="P56" s="56" t="s">
        <v>19</v>
      </c>
      <c r="Q56" s="56" t="s">
        <v>53</v>
      </c>
      <c r="R56" s="58">
        <v>3412.07</v>
      </c>
      <c r="S56" s="58">
        <v>0.0</v>
      </c>
      <c r="T56" s="61"/>
      <c r="U56" s="61"/>
      <c r="V56" s="61"/>
      <c r="W56" s="61"/>
      <c r="X56" s="61"/>
      <c r="Y56" s="61"/>
      <c r="Z56" s="61"/>
      <c r="AA56" s="61"/>
    </row>
    <row r="57" ht="15.75" customHeight="1">
      <c r="B57" s="62">
        <v>43873.0</v>
      </c>
      <c r="C57" s="56" t="s">
        <v>18</v>
      </c>
      <c r="D57" s="56" t="s">
        <v>30</v>
      </c>
      <c r="E57" s="56" t="s">
        <v>19</v>
      </c>
      <c r="F57" s="63" t="s">
        <v>50</v>
      </c>
      <c r="G57" s="64">
        <v>0.0</v>
      </c>
      <c r="H57" s="65">
        <v>3412.07</v>
      </c>
      <c r="I57" s="66"/>
      <c r="J57" s="66"/>
      <c r="K57" s="63"/>
      <c r="L57" s="65">
        <v>1.0</v>
      </c>
      <c r="M57" s="63" t="s">
        <v>21</v>
      </c>
      <c r="N57" s="63" t="s">
        <v>55</v>
      </c>
      <c r="O57" s="63" t="s">
        <v>52</v>
      </c>
      <c r="P57" s="63" t="s">
        <v>19</v>
      </c>
      <c r="Q57" s="56" t="s">
        <v>53</v>
      </c>
      <c r="R57" s="65">
        <v>0.0</v>
      </c>
      <c r="S57" s="65">
        <v>3412.07</v>
      </c>
      <c r="T57" s="61"/>
      <c r="U57" s="61"/>
      <c r="V57" s="61"/>
      <c r="W57" s="61"/>
      <c r="X57" s="61"/>
      <c r="Y57" s="61"/>
      <c r="Z57" s="61"/>
      <c r="AA57" s="61"/>
    </row>
    <row r="58" ht="15.75" customHeight="1">
      <c r="B58" s="62">
        <v>43873.0</v>
      </c>
      <c r="C58" s="56" t="s">
        <v>18</v>
      </c>
      <c r="D58" s="56" t="s">
        <v>39</v>
      </c>
      <c r="E58" s="56" t="s">
        <v>30</v>
      </c>
      <c r="F58" s="56" t="s">
        <v>50</v>
      </c>
      <c r="G58" s="58">
        <v>515.05</v>
      </c>
      <c r="H58" s="59">
        <v>0.0</v>
      </c>
      <c r="I58" s="60"/>
      <c r="J58" s="60"/>
      <c r="K58" s="56"/>
      <c r="L58" s="58">
        <v>0.4</v>
      </c>
      <c r="M58" s="56" t="s">
        <v>21</v>
      </c>
      <c r="N58" s="56" t="s">
        <v>51</v>
      </c>
      <c r="O58" s="56" t="s">
        <v>52</v>
      </c>
      <c r="P58" s="56" t="s">
        <v>19</v>
      </c>
      <c r="Q58" s="56" t="s">
        <v>53</v>
      </c>
      <c r="R58" s="58">
        <v>206.02</v>
      </c>
      <c r="S58" s="58">
        <v>0.0</v>
      </c>
      <c r="T58" s="61"/>
      <c r="U58" s="61"/>
      <c r="V58" s="61"/>
      <c r="W58" s="61"/>
      <c r="X58" s="61"/>
      <c r="Y58" s="61"/>
      <c r="Z58" s="61"/>
      <c r="AA58" s="61"/>
    </row>
    <row r="59" ht="15.75" customHeight="1">
      <c r="B59" s="62">
        <v>43873.0</v>
      </c>
      <c r="C59" s="56" t="s">
        <v>18</v>
      </c>
      <c r="D59" s="56" t="s">
        <v>39</v>
      </c>
      <c r="E59" s="56" t="s">
        <v>30</v>
      </c>
      <c r="F59" s="63" t="s">
        <v>54</v>
      </c>
      <c r="G59" s="64">
        <v>0.0</v>
      </c>
      <c r="H59" s="65">
        <v>515.05</v>
      </c>
      <c r="I59" s="66"/>
      <c r="J59" s="66"/>
      <c r="K59" s="63"/>
      <c r="L59" s="65">
        <v>0.4</v>
      </c>
      <c r="M59" s="63" t="s">
        <v>21</v>
      </c>
      <c r="N59" s="63" t="s">
        <v>55</v>
      </c>
      <c r="O59" s="63" t="s">
        <v>52</v>
      </c>
      <c r="P59" s="63" t="s">
        <v>19</v>
      </c>
      <c r="Q59" s="56" t="s">
        <v>53</v>
      </c>
      <c r="R59" s="65">
        <v>0.0</v>
      </c>
      <c r="S59" s="65">
        <v>206.02</v>
      </c>
      <c r="T59" s="61"/>
      <c r="U59" s="61"/>
      <c r="V59" s="61"/>
      <c r="W59" s="61"/>
      <c r="X59" s="61"/>
      <c r="Y59" s="61"/>
      <c r="Z59" s="61"/>
      <c r="AA59" s="61"/>
    </row>
    <row r="60" ht="15.75" customHeight="1">
      <c r="B60" s="62">
        <v>43873.0</v>
      </c>
      <c r="C60" s="56" t="s">
        <v>18</v>
      </c>
      <c r="D60" s="56" t="s">
        <v>26</v>
      </c>
      <c r="E60" s="56" t="s">
        <v>30</v>
      </c>
      <c r="F60" s="56" t="s">
        <v>54</v>
      </c>
      <c r="G60" s="58">
        <v>762.67</v>
      </c>
      <c r="H60" s="59">
        <v>0.0</v>
      </c>
      <c r="I60" s="60"/>
      <c r="J60" s="60"/>
      <c r="K60" s="56"/>
      <c r="L60" s="58">
        <v>0.5</v>
      </c>
      <c r="M60" s="56" t="s">
        <v>21</v>
      </c>
      <c r="N60" s="56" t="s">
        <v>51</v>
      </c>
      <c r="O60" s="56" t="s">
        <v>52</v>
      </c>
      <c r="P60" s="56" t="s">
        <v>19</v>
      </c>
      <c r="Q60" s="56" t="s">
        <v>59</v>
      </c>
      <c r="R60" s="58">
        <v>381.335</v>
      </c>
      <c r="S60" s="58">
        <v>0.0</v>
      </c>
      <c r="T60" s="61"/>
      <c r="U60" s="61"/>
      <c r="V60" s="61"/>
      <c r="W60" s="61"/>
      <c r="X60" s="61"/>
      <c r="Y60" s="61"/>
      <c r="Z60" s="61"/>
      <c r="AA60" s="61"/>
    </row>
    <row r="61" ht="15.75" customHeight="1">
      <c r="B61" s="62">
        <v>43873.0</v>
      </c>
      <c r="C61" s="56" t="s">
        <v>18</v>
      </c>
      <c r="D61" s="56" t="s">
        <v>26</v>
      </c>
      <c r="E61" s="56" t="s">
        <v>30</v>
      </c>
      <c r="F61" s="63" t="s">
        <v>50</v>
      </c>
      <c r="G61" s="64">
        <v>0.0</v>
      </c>
      <c r="H61" s="65">
        <v>762.67</v>
      </c>
      <c r="I61" s="66"/>
      <c r="J61" s="66"/>
      <c r="K61" s="63"/>
      <c r="L61" s="65">
        <v>0.5</v>
      </c>
      <c r="M61" s="63" t="s">
        <v>21</v>
      </c>
      <c r="N61" s="63" t="s">
        <v>55</v>
      </c>
      <c r="O61" s="63" t="s">
        <v>52</v>
      </c>
      <c r="P61" s="63" t="s">
        <v>19</v>
      </c>
      <c r="Q61" s="56" t="s">
        <v>59</v>
      </c>
      <c r="R61" s="65">
        <v>0.0</v>
      </c>
      <c r="S61" s="65">
        <v>381.335</v>
      </c>
      <c r="T61" s="61"/>
      <c r="U61" s="61"/>
      <c r="V61" s="61"/>
      <c r="W61" s="61"/>
      <c r="X61" s="61"/>
      <c r="Y61" s="61"/>
      <c r="Z61" s="61"/>
      <c r="AA61" s="61"/>
    </row>
    <row r="62" ht="15.75" customHeight="1">
      <c r="B62" s="62">
        <v>43873.0</v>
      </c>
      <c r="C62" s="56" t="s">
        <v>18</v>
      </c>
      <c r="D62" s="56" t="s">
        <v>30</v>
      </c>
      <c r="E62" s="56" t="s">
        <v>19</v>
      </c>
      <c r="F62" s="56" t="s">
        <v>50</v>
      </c>
      <c r="G62" s="58">
        <v>2741.83</v>
      </c>
      <c r="H62" s="59">
        <v>0.0</v>
      </c>
      <c r="I62" s="60"/>
      <c r="J62" s="60"/>
      <c r="K62" s="56"/>
      <c r="L62" s="58">
        <v>1.0</v>
      </c>
      <c r="M62" s="56" t="s">
        <v>21</v>
      </c>
      <c r="N62" s="56" t="s">
        <v>51</v>
      </c>
      <c r="O62" s="56" t="s">
        <v>52</v>
      </c>
      <c r="P62" s="56" t="s">
        <v>19</v>
      </c>
      <c r="Q62" s="56" t="s">
        <v>59</v>
      </c>
      <c r="R62" s="58">
        <v>2741.83</v>
      </c>
      <c r="S62" s="58">
        <v>0.0</v>
      </c>
      <c r="T62" s="61"/>
      <c r="U62" s="61"/>
      <c r="V62" s="61"/>
      <c r="W62" s="61"/>
      <c r="X62" s="61"/>
      <c r="Y62" s="61"/>
      <c r="Z62" s="61"/>
      <c r="AA62" s="61"/>
    </row>
    <row r="63" ht="15.75" customHeight="1">
      <c r="B63" s="62">
        <v>43873.0</v>
      </c>
      <c r="C63" s="56" t="s">
        <v>18</v>
      </c>
      <c r="D63" s="56" t="s">
        <v>30</v>
      </c>
      <c r="E63" s="56" t="s">
        <v>19</v>
      </c>
      <c r="F63" s="63" t="s">
        <v>54</v>
      </c>
      <c r="G63" s="64">
        <v>0.0</v>
      </c>
      <c r="H63" s="65">
        <v>2741.83</v>
      </c>
      <c r="I63" s="66"/>
      <c r="J63" s="66"/>
      <c r="K63" s="63"/>
      <c r="L63" s="65">
        <v>1.0</v>
      </c>
      <c r="M63" s="63" t="s">
        <v>21</v>
      </c>
      <c r="N63" s="63" t="s">
        <v>55</v>
      </c>
      <c r="O63" s="63" t="s">
        <v>52</v>
      </c>
      <c r="P63" s="63" t="s">
        <v>19</v>
      </c>
      <c r="Q63" s="56" t="s">
        <v>59</v>
      </c>
      <c r="R63" s="65">
        <v>0.0</v>
      </c>
      <c r="S63" s="65">
        <v>2741.83</v>
      </c>
      <c r="T63" s="61"/>
      <c r="U63" s="61"/>
      <c r="V63" s="61"/>
      <c r="W63" s="61"/>
      <c r="X63" s="61"/>
      <c r="Y63" s="61"/>
      <c r="Z63" s="61"/>
      <c r="AA63" s="61"/>
    </row>
    <row r="64" ht="15.75" customHeight="1">
      <c r="B64" s="62">
        <v>43873.0</v>
      </c>
      <c r="C64" s="56" t="s">
        <v>18</v>
      </c>
      <c r="D64" s="56" t="s">
        <v>39</v>
      </c>
      <c r="E64" s="56" t="s">
        <v>30</v>
      </c>
      <c r="F64" s="56" t="s">
        <v>50</v>
      </c>
      <c r="G64" s="58">
        <v>1304.95</v>
      </c>
      <c r="H64" s="59">
        <v>0.0</v>
      </c>
      <c r="I64" s="60"/>
      <c r="J64" s="60"/>
      <c r="K64" s="56"/>
      <c r="L64" s="58">
        <v>0.5</v>
      </c>
      <c r="M64" s="56" t="s">
        <v>21</v>
      </c>
      <c r="N64" s="56" t="s">
        <v>51</v>
      </c>
      <c r="O64" s="56" t="s">
        <v>52</v>
      </c>
      <c r="P64" s="56" t="s">
        <v>19</v>
      </c>
      <c r="Q64" s="56" t="s">
        <v>59</v>
      </c>
      <c r="R64" s="58">
        <v>652.475</v>
      </c>
      <c r="S64" s="58">
        <v>0.0</v>
      </c>
      <c r="T64" s="61"/>
      <c r="U64" s="61"/>
      <c r="V64" s="61"/>
      <c r="W64" s="61"/>
      <c r="X64" s="61"/>
      <c r="Y64" s="61"/>
      <c r="Z64" s="61"/>
      <c r="AA64" s="61"/>
    </row>
    <row r="65" ht="15.75" customHeight="1">
      <c r="B65" s="62">
        <v>43873.0</v>
      </c>
      <c r="C65" s="56" t="s">
        <v>18</v>
      </c>
      <c r="D65" s="56" t="s">
        <v>39</v>
      </c>
      <c r="E65" s="56" t="s">
        <v>30</v>
      </c>
      <c r="F65" s="63" t="s">
        <v>54</v>
      </c>
      <c r="G65" s="64">
        <v>0.0</v>
      </c>
      <c r="H65" s="65">
        <v>1304.95</v>
      </c>
      <c r="I65" s="66"/>
      <c r="J65" s="66"/>
      <c r="K65" s="63"/>
      <c r="L65" s="65">
        <v>0.5</v>
      </c>
      <c r="M65" s="63" t="s">
        <v>21</v>
      </c>
      <c r="N65" s="63" t="s">
        <v>55</v>
      </c>
      <c r="O65" s="63" t="s">
        <v>52</v>
      </c>
      <c r="P65" s="63" t="s">
        <v>19</v>
      </c>
      <c r="Q65" s="56" t="s">
        <v>59</v>
      </c>
      <c r="R65" s="65">
        <v>0.0</v>
      </c>
      <c r="S65" s="65">
        <v>652.475</v>
      </c>
      <c r="T65" s="61"/>
      <c r="U65" s="61"/>
      <c r="V65" s="61"/>
      <c r="W65" s="61"/>
      <c r="X65" s="61"/>
      <c r="Y65" s="61"/>
      <c r="Z65" s="61"/>
      <c r="AA65" s="61"/>
    </row>
    <row r="66" ht="15.75" customHeight="1">
      <c r="B66" s="62">
        <v>43871.0</v>
      </c>
      <c r="C66" s="56" t="s">
        <v>23</v>
      </c>
      <c r="D66" s="56" t="s">
        <v>26</v>
      </c>
      <c r="E66" s="56" t="s">
        <v>30</v>
      </c>
      <c r="F66" s="56" t="s">
        <v>50</v>
      </c>
      <c r="G66" s="58">
        <v>259.95</v>
      </c>
      <c r="H66" s="59">
        <v>0.0</v>
      </c>
      <c r="I66" s="60"/>
      <c r="J66" s="60"/>
      <c r="K66" s="56"/>
      <c r="L66" s="58">
        <v>0.6666666666666666</v>
      </c>
      <c r="M66" s="56" t="s">
        <v>21</v>
      </c>
      <c r="N66" s="56" t="s">
        <v>51</v>
      </c>
      <c r="O66" s="56" t="s">
        <v>52</v>
      </c>
      <c r="P66" s="56" t="s">
        <v>19</v>
      </c>
      <c r="Q66" s="56" t="s">
        <v>53</v>
      </c>
      <c r="R66" s="58">
        <v>173.30000000000007</v>
      </c>
      <c r="S66" s="58">
        <v>0.0</v>
      </c>
      <c r="T66" s="61"/>
      <c r="U66" s="61"/>
      <c r="V66" s="61"/>
      <c r="W66" s="61"/>
      <c r="X66" s="61"/>
      <c r="Y66" s="61"/>
      <c r="Z66" s="61"/>
      <c r="AA66" s="61"/>
    </row>
    <row r="67" ht="15.75" customHeight="1">
      <c r="B67" s="62">
        <v>43871.0</v>
      </c>
      <c r="C67" s="56" t="s">
        <v>23</v>
      </c>
      <c r="D67" s="56" t="s">
        <v>26</v>
      </c>
      <c r="E67" s="56" t="s">
        <v>30</v>
      </c>
      <c r="F67" s="63" t="s">
        <v>54</v>
      </c>
      <c r="G67" s="64">
        <v>0.0</v>
      </c>
      <c r="H67" s="65">
        <v>259.95</v>
      </c>
      <c r="I67" s="66"/>
      <c r="J67" s="66"/>
      <c r="K67" s="63"/>
      <c r="L67" s="65">
        <v>0.6666666666666666</v>
      </c>
      <c r="M67" s="63" t="s">
        <v>21</v>
      </c>
      <c r="N67" s="63" t="s">
        <v>55</v>
      </c>
      <c r="O67" s="63" t="s">
        <v>52</v>
      </c>
      <c r="P67" s="63" t="s">
        <v>19</v>
      </c>
      <c r="Q67" s="56" t="s">
        <v>53</v>
      </c>
      <c r="R67" s="65">
        <v>0.0</v>
      </c>
      <c r="S67" s="65">
        <v>173.30000000000007</v>
      </c>
      <c r="T67" s="61"/>
      <c r="U67" s="61"/>
      <c r="V67" s="61"/>
      <c r="W67" s="61"/>
      <c r="X67" s="61"/>
      <c r="Y67" s="61"/>
      <c r="Z67" s="61"/>
      <c r="AA67" s="61"/>
    </row>
    <row r="68" ht="15.75" customHeight="1">
      <c r="B68" s="62">
        <v>43871.0</v>
      </c>
      <c r="C68" s="56" t="s">
        <v>23</v>
      </c>
      <c r="D68" s="56" t="s">
        <v>30</v>
      </c>
      <c r="E68" s="56" t="s">
        <v>19</v>
      </c>
      <c r="F68" s="56" t="s">
        <v>54</v>
      </c>
      <c r="G68" s="58">
        <v>900.62</v>
      </c>
      <c r="H68" s="59">
        <v>0.0</v>
      </c>
      <c r="I68" s="60"/>
      <c r="J68" s="60"/>
      <c r="K68" s="56"/>
      <c r="L68" s="58">
        <v>1.0</v>
      </c>
      <c r="M68" s="56" t="s">
        <v>21</v>
      </c>
      <c r="N68" s="56" t="s">
        <v>51</v>
      </c>
      <c r="O68" s="56" t="s">
        <v>52</v>
      </c>
      <c r="P68" s="56" t="s">
        <v>19</v>
      </c>
      <c r="Q68" s="56" t="s">
        <v>53</v>
      </c>
      <c r="R68" s="58">
        <v>900.62</v>
      </c>
      <c r="S68" s="58">
        <v>0.0</v>
      </c>
      <c r="T68" s="61"/>
      <c r="U68" s="61"/>
      <c r="V68" s="61"/>
      <c r="W68" s="61"/>
      <c r="X68" s="61"/>
      <c r="Y68" s="61"/>
      <c r="Z68" s="61"/>
      <c r="AA68" s="61"/>
    </row>
    <row r="69" ht="15.75" customHeight="1">
      <c r="B69" s="62">
        <v>43871.0</v>
      </c>
      <c r="C69" s="56" t="s">
        <v>23</v>
      </c>
      <c r="D69" s="56" t="s">
        <v>30</v>
      </c>
      <c r="E69" s="56" t="s">
        <v>19</v>
      </c>
      <c r="F69" s="63" t="s">
        <v>50</v>
      </c>
      <c r="G69" s="64">
        <v>0.0</v>
      </c>
      <c r="H69" s="65">
        <v>900.62</v>
      </c>
      <c r="I69" s="66"/>
      <c r="J69" s="66"/>
      <c r="K69" s="63"/>
      <c r="L69" s="65">
        <v>1.0</v>
      </c>
      <c r="M69" s="63" t="s">
        <v>21</v>
      </c>
      <c r="N69" s="63" t="s">
        <v>55</v>
      </c>
      <c r="O69" s="63" t="s">
        <v>52</v>
      </c>
      <c r="P69" s="63" t="s">
        <v>19</v>
      </c>
      <c r="Q69" s="56" t="s">
        <v>53</v>
      </c>
      <c r="R69" s="65">
        <v>0.0</v>
      </c>
      <c r="S69" s="65">
        <v>900.62</v>
      </c>
      <c r="T69" s="61"/>
      <c r="U69" s="61"/>
      <c r="V69" s="61"/>
      <c r="W69" s="61"/>
      <c r="X69" s="61"/>
      <c r="Y69" s="61"/>
      <c r="Z69" s="61"/>
      <c r="AA69" s="61"/>
    </row>
    <row r="70" ht="15.75" customHeight="1">
      <c r="B70" s="62">
        <v>43871.0</v>
      </c>
      <c r="C70" s="56" t="s">
        <v>18</v>
      </c>
      <c r="D70" s="56" t="s">
        <v>26</v>
      </c>
      <c r="E70" s="56" t="s">
        <v>30</v>
      </c>
      <c r="F70" s="56" t="s">
        <v>50</v>
      </c>
      <c r="G70" s="58">
        <v>255.05</v>
      </c>
      <c r="H70" s="59">
        <v>0.0</v>
      </c>
      <c r="I70" s="60"/>
      <c r="J70" s="60"/>
      <c r="K70" s="56"/>
      <c r="L70" s="58">
        <v>0.6666666666666666</v>
      </c>
      <c r="M70" s="56" t="s">
        <v>21</v>
      </c>
      <c r="N70" s="56" t="s">
        <v>51</v>
      </c>
      <c r="O70" s="56" t="s">
        <v>52</v>
      </c>
      <c r="P70" s="56" t="s">
        <v>19</v>
      </c>
      <c r="Q70" s="56" t="s">
        <v>53</v>
      </c>
      <c r="R70" s="58">
        <v>170.03333333333342</v>
      </c>
      <c r="S70" s="58">
        <v>0.0</v>
      </c>
      <c r="T70" s="61"/>
      <c r="U70" s="61"/>
      <c r="V70" s="61"/>
      <c r="W70" s="61"/>
      <c r="X70" s="61"/>
      <c r="Y70" s="61"/>
      <c r="Z70" s="61"/>
      <c r="AA70" s="61"/>
    </row>
    <row r="71" ht="15.75" customHeight="1">
      <c r="B71" s="62">
        <v>43871.0</v>
      </c>
      <c r="C71" s="56" t="s">
        <v>18</v>
      </c>
      <c r="D71" s="56" t="s">
        <v>26</v>
      </c>
      <c r="E71" s="56" t="s">
        <v>30</v>
      </c>
      <c r="F71" s="63" t="s">
        <v>54</v>
      </c>
      <c r="G71" s="64">
        <v>0.0</v>
      </c>
      <c r="H71" s="65">
        <v>255.05</v>
      </c>
      <c r="I71" s="66"/>
      <c r="J71" s="66"/>
      <c r="K71" s="63"/>
      <c r="L71" s="65">
        <v>0.6666666666666666</v>
      </c>
      <c r="M71" s="63" t="s">
        <v>21</v>
      </c>
      <c r="N71" s="63" t="s">
        <v>55</v>
      </c>
      <c r="O71" s="63" t="s">
        <v>52</v>
      </c>
      <c r="P71" s="63" t="s">
        <v>19</v>
      </c>
      <c r="Q71" s="56" t="s">
        <v>53</v>
      </c>
      <c r="R71" s="65">
        <v>0.0</v>
      </c>
      <c r="S71" s="65">
        <v>170.03333333333342</v>
      </c>
      <c r="T71" s="61"/>
      <c r="U71" s="61"/>
      <c r="V71" s="61"/>
      <c r="W71" s="61"/>
      <c r="X71" s="61"/>
      <c r="Y71" s="61"/>
      <c r="Z71" s="61"/>
      <c r="AA71" s="61"/>
    </row>
    <row r="72" ht="15.75" customHeight="1">
      <c r="B72" s="62">
        <v>43871.0</v>
      </c>
      <c r="C72" s="56" t="s">
        <v>18</v>
      </c>
      <c r="D72" s="56" t="s">
        <v>30</v>
      </c>
      <c r="E72" s="56" t="s">
        <v>19</v>
      </c>
      <c r="F72" s="56" t="s">
        <v>54</v>
      </c>
      <c r="G72" s="58">
        <v>883.62</v>
      </c>
      <c r="H72" s="59">
        <v>0.0</v>
      </c>
      <c r="I72" s="60"/>
      <c r="J72" s="60"/>
      <c r="K72" s="56"/>
      <c r="L72" s="58">
        <v>1.0</v>
      </c>
      <c r="M72" s="56" t="s">
        <v>21</v>
      </c>
      <c r="N72" s="56" t="s">
        <v>51</v>
      </c>
      <c r="O72" s="56" t="s">
        <v>52</v>
      </c>
      <c r="P72" s="56" t="s">
        <v>19</v>
      </c>
      <c r="Q72" s="56" t="s">
        <v>53</v>
      </c>
      <c r="R72" s="58">
        <v>883.62</v>
      </c>
      <c r="S72" s="58">
        <v>0.0</v>
      </c>
      <c r="T72" s="61"/>
      <c r="U72" s="61"/>
      <c r="V72" s="61"/>
      <c r="W72" s="61"/>
      <c r="X72" s="61"/>
      <c r="Y72" s="61"/>
      <c r="Z72" s="61"/>
      <c r="AA72" s="61"/>
    </row>
    <row r="73" ht="15.75" customHeight="1">
      <c r="B73" s="62">
        <v>43871.0</v>
      </c>
      <c r="C73" s="56" t="s">
        <v>18</v>
      </c>
      <c r="D73" s="56" t="s">
        <v>30</v>
      </c>
      <c r="E73" s="56" t="s">
        <v>19</v>
      </c>
      <c r="F73" s="63" t="s">
        <v>50</v>
      </c>
      <c r="G73" s="64">
        <v>0.0</v>
      </c>
      <c r="H73" s="65">
        <v>883.62</v>
      </c>
      <c r="I73" s="66"/>
      <c r="J73" s="66"/>
      <c r="K73" s="63"/>
      <c r="L73" s="65">
        <v>1.0</v>
      </c>
      <c r="M73" s="63" t="s">
        <v>21</v>
      </c>
      <c r="N73" s="63" t="s">
        <v>55</v>
      </c>
      <c r="O73" s="63" t="s">
        <v>52</v>
      </c>
      <c r="P73" s="63" t="s">
        <v>19</v>
      </c>
      <c r="Q73" s="56" t="s">
        <v>53</v>
      </c>
      <c r="R73" s="65">
        <v>0.0</v>
      </c>
      <c r="S73" s="65">
        <v>883.62</v>
      </c>
      <c r="T73" s="61"/>
      <c r="U73" s="61"/>
      <c r="V73" s="61"/>
      <c r="W73" s="61"/>
      <c r="X73" s="61"/>
      <c r="Y73" s="61"/>
      <c r="Z73" s="61"/>
      <c r="AA73" s="61"/>
    </row>
    <row r="74" ht="15.75" customHeight="1">
      <c r="B74" s="62">
        <v>43872.0</v>
      </c>
      <c r="C74" s="56" t="s">
        <v>23</v>
      </c>
      <c r="D74" s="56" t="s">
        <v>30</v>
      </c>
      <c r="E74" s="56" t="s">
        <v>30</v>
      </c>
      <c r="F74" s="56" t="s">
        <v>62</v>
      </c>
      <c r="G74" s="58">
        <v>3715.05</v>
      </c>
      <c r="H74" s="59">
        <v>0.0</v>
      </c>
      <c r="I74" s="60"/>
      <c r="J74" s="60"/>
      <c r="K74" s="56"/>
      <c r="L74" s="58">
        <v>0.5</v>
      </c>
      <c r="M74" s="56" t="s">
        <v>21</v>
      </c>
      <c r="N74" s="56" t="s">
        <v>51</v>
      </c>
      <c r="O74" s="56" t="s">
        <v>52</v>
      </c>
      <c r="P74" s="56" t="s">
        <v>19</v>
      </c>
      <c r="Q74" s="56" t="s">
        <v>64</v>
      </c>
      <c r="R74" s="58">
        <v>1857.525</v>
      </c>
      <c r="S74" s="58">
        <v>0.0</v>
      </c>
      <c r="T74" s="61"/>
      <c r="U74" s="61"/>
      <c r="V74" s="61"/>
      <c r="W74" s="61"/>
      <c r="X74" s="61"/>
      <c r="Y74" s="61"/>
      <c r="Z74" s="61"/>
      <c r="AA74" s="61"/>
    </row>
    <row r="75" ht="15.75" customHeight="1">
      <c r="B75" s="62">
        <v>43872.0</v>
      </c>
      <c r="C75" s="56" t="s">
        <v>23</v>
      </c>
      <c r="D75" s="56" t="s">
        <v>30</v>
      </c>
      <c r="E75" s="56" t="s">
        <v>30</v>
      </c>
      <c r="F75" s="63" t="s">
        <v>20</v>
      </c>
      <c r="G75" s="64">
        <v>0.0</v>
      </c>
      <c r="H75" s="65">
        <v>3715.05</v>
      </c>
      <c r="I75" s="66"/>
      <c r="J75" s="66"/>
      <c r="K75" s="63"/>
      <c r="L75" s="65">
        <v>0.5</v>
      </c>
      <c r="M75" s="63" t="s">
        <v>21</v>
      </c>
      <c r="N75" s="63" t="s">
        <v>55</v>
      </c>
      <c r="O75" s="63" t="s">
        <v>52</v>
      </c>
      <c r="P75" s="63" t="s">
        <v>19</v>
      </c>
      <c r="Q75" s="56" t="s">
        <v>64</v>
      </c>
      <c r="R75" s="65">
        <v>0.0</v>
      </c>
      <c r="S75" s="65">
        <v>1857.525</v>
      </c>
      <c r="T75" s="61"/>
      <c r="U75" s="61"/>
      <c r="V75" s="61"/>
      <c r="W75" s="61"/>
      <c r="X75" s="61"/>
      <c r="Y75" s="61"/>
      <c r="Z75" s="61"/>
      <c r="AA75" s="61"/>
    </row>
    <row r="76" ht="15.75" customHeight="1">
      <c r="B76" s="62">
        <v>43872.0</v>
      </c>
      <c r="C76" s="56" t="s">
        <v>18</v>
      </c>
      <c r="D76" s="56" t="s">
        <v>30</v>
      </c>
      <c r="E76" s="56" t="s">
        <v>30</v>
      </c>
      <c r="F76" s="56" t="s">
        <v>62</v>
      </c>
      <c r="G76" s="58">
        <v>3644.95</v>
      </c>
      <c r="H76" s="59">
        <v>0.0</v>
      </c>
      <c r="I76" s="60"/>
      <c r="J76" s="60"/>
      <c r="K76" s="56"/>
      <c r="L76" s="58">
        <v>0.5</v>
      </c>
      <c r="M76" s="56" t="s">
        <v>21</v>
      </c>
      <c r="N76" s="56" t="s">
        <v>51</v>
      </c>
      <c r="O76" s="56" t="s">
        <v>52</v>
      </c>
      <c r="P76" s="56" t="s">
        <v>19</v>
      </c>
      <c r="Q76" s="56" t="s">
        <v>64</v>
      </c>
      <c r="R76" s="58">
        <v>1822.475</v>
      </c>
      <c r="S76" s="58">
        <v>0.0</v>
      </c>
      <c r="T76" s="61"/>
      <c r="U76" s="61"/>
      <c r="V76" s="61"/>
      <c r="W76" s="61"/>
      <c r="X76" s="61"/>
      <c r="Y76" s="61"/>
      <c r="Z76" s="61"/>
      <c r="AA76" s="61"/>
    </row>
    <row r="77" ht="15.75" customHeight="1">
      <c r="B77" s="62">
        <v>43872.0</v>
      </c>
      <c r="C77" s="56" t="s">
        <v>18</v>
      </c>
      <c r="D77" s="56" t="s">
        <v>30</v>
      </c>
      <c r="E77" s="56" t="s">
        <v>30</v>
      </c>
      <c r="F77" s="63" t="s">
        <v>20</v>
      </c>
      <c r="G77" s="64">
        <v>0.0</v>
      </c>
      <c r="H77" s="65">
        <v>3644.95</v>
      </c>
      <c r="I77" s="66"/>
      <c r="J77" s="66"/>
      <c r="K77" s="63"/>
      <c r="L77" s="65">
        <v>0.5</v>
      </c>
      <c r="M77" s="63" t="s">
        <v>21</v>
      </c>
      <c r="N77" s="63" t="s">
        <v>55</v>
      </c>
      <c r="O77" s="63" t="s">
        <v>52</v>
      </c>
      <c r="P77" s="63" t="s">
        <v>19</v>
      </c>
      <c r="Q77" s="56" t="s">
        <v>64</v>
      </c>
      <c r="R77" s="65">
        <v>0.0</v>
      </c>
      <c r="S77" s="65">
        <v>1822.475</v>
      </c>
      <c r="T77" s="61"/>
      <c r="U77" s="61"/>
      <c r="V77" s="61"/>
      <c r="W77" s="61"/>
      <c r="X77" s="61"/>
      <c r="Y77" s="61"/>
      <c r="Z77" s="61"/>
      <c r="AA77" s="61"/>
    </row>
    <row r="78" ht="15.75" customHeight="1">
      <c r="B78" s="62">
        <v>43872.0</v>
      </c>
      <c r="C78" s="56" t="s">
        <v>23</v>
      </c>
      <c r="D78" s="56" t="s">
        <v>30</v>
      </c>
      <c r="E78" s="56" t="s">
        <v>30</v>
      </c>
      <c r="F78" s="56" t="s">
        <v>20</v>
      </c>
      <c r="G78" s="58">
        <v>3715.05</v>
      </c>
      <c r="H78" s="59">
        <v>0.0</v>
      </c>
      <c r="I78" s="60"/>
      <c r="J78" s="60"/>
      <c r="K78" s="56"/>
      <c r="L78" s="58">
        <v>0.6666666666666666</v>
      </c>
      <c r="M78" s="56" t="s">
        <v>21</v>
      </c>
      <c r="N78" s="56" t="s">
        <v>51</v>
      </c>
      <c r="O78" s="56" t="s">
        <v>52</v>
      </c>
      <c r="P78" s="56" t="s">
        <v>19</v>
      </c>
      <c r="Q78" s="56" t="s">
        <v>65</v>
      </c>
      <c r="R78" s="58">
        <v>2476.700000000001</v>
      </c>
      <c r="S78" s="58">
        <v>0.0</v>
      </c>
      <c r="T78" s="61"/>
      <c r="U78" s="61"/>
      <c r="V78" s="61"/>
      <c r="W78" s="61"/>
      <c r="X78" s="61"/>
      <c r="Y78" s="61"/>
      <c r="Z78" s="61"/>
      <c r="AA78" s="61"/>
    </row>
    <row r="79" ht="15.75" customHeight="1">
      <c r="B79" s="62">
        <v>43872.0</v>
      </c>
      <c r="C79" s="56" t="s">
        <v>23</v>
      </c>
      <c r="D79" s="56" t="s">
        <v>30</v>
      </c>
      <c r="E79" s="56" t="s">
        <v>30</v>
      </c>
      <c r="F79" s="63" t="s">
        <v>62</v>
      </c>
      <c r="G79" s="64">
        <v>0.0</v>
      </c>
      <c r="H79" s="65">
        <v>3715.05</v>
      </c>
      <c r="I79" s="66"/>
      <c r="J79" s="66"/>
      <c r="K79" s="63"/>
      <c r="L79" s="65">
        <v>0.6666666666666666</v>
      </c>
      <c r="M79" s="63" t="s">
        <v>21</v>
      </c>
      <c r="N79" s="63" t="s">
        <v>55</v>
      </c>
      <c r="O79" s="63" t="s">
        <v>52</v>
      </c>
      <c r="P79" s="63" t="s">
        <v>19</v>
      </c>
      <c r="Q79" s="56" t="s">
        <v>65</v>
      </c>
      <c r="R79" s="65">
        <v>0.0</v>
      </c>
      <c r="S79" s="65">
        <v>2476.700000000001</v>
      </c>
      <c r="T79" s="61"/>
      <c r="U79" s="61"/>
      <c r="V79" s="61"/>
      <c r="W79" s="61"/>
      <c r="X79" s="61"/>
      <c r="Y79" s="61"/>
      <c r="Z79" s="61"/>
      <c r="AA79" s="61"/>
    </row>
    <row r="80" ht="15.75" customHeight="1">
      <c r="B80" s="62">
        <v>43872.0</v>
      </c>
      <c r="C80" s="56" t="s">
        <v>18</v>
      </c>
      <c r="D80" s="56" t="s">
        <v>30</v>
      </c>
      <c r="E80" s="56" t="s">
        <v>30</v>
      </c>
      <c r="F80" s="56" t="s">
        <v>20</v>
      </c>
      <c r="G80" s="58">
        <v>3644.95</v>
      </c>
      <c r="H80" s="59">
        <v>0.0</v>
      </c>
      <c r="I80" s="60"/>
      <c r="J80" s="60"/>
      <c r="K80" s="56"/>
      <c r="L80" s="58">
        <v>0.6666666666666666</v>
      </c>
      <c r="M80" s="56" t="s">
        <v>21</v>
      </c>
      <c r="N80" s="56" t="s">
        <v>51</v>
      </c>
      <c r="O80" s="56" t="s">
        <v>52</v>
      </c>
      <c r="P80" s="56" t="s">
        <v>19</v>
      </c>
      <c r="Q80" s="56" t="s">
        <v>65</v>
      </c>
      <c r="R80" s="58">
        <v>2429.966666666668</v>
      </c>
      <c r="S80" s="58">
        <v>0.0</v>
      </c>
      <c r="T80" s="61"/>
      <c r="U80" s="61"/>
      <c r="V80" s="61"/>
      <c r="W80" s="61"/>
      <c r="X80" s="61"/>
      <c r="Y80" s="61"/>
      <c r="Z80" s="61"/>
      <c r="AA80" s="61"/>
    </row>
    <row r="81" ht="15.75" customHeight="1">
      <c r="B81" s="62">
        <v>43872.0</v>
      </c>
      <c r="C81" s="56" t="s">
        <v>18</v>
      </c>
      <c r="D81" s="56" t="s">
        <v>30</v>
      </c>
      <c r="E81" s="56" t="s">
        <v>30</v>
      </c>
      <c r="F81" s="63" t="s">
        <v>62</v>
      </c>
      <c r="G81" s="64">
        <v>0.0</v>
      </c>
      <c r="H81" s="65">
        <v>3644.95</v>
      </c>
      <c r="I81" s="66"/>
      <c r="J81" s="66"/>
      <c r="K81" s="63"/>
      <c r="L81" s="65">
        <v>0.6666666666666666</v>
      </c>
      <c r="M81" s="63" t="s">
        <v>21</v>
      </c>
      <c r="N81" s="63" t="s">
        <v>55</v>
      </c>
      <c r="O81" s="63" t="s">
        <v>52</v>
      </c>
      <c r="P81" s="63" t="s">
        <v>19</v>
      </c>
      <c r="Q81" s="56" t="s">
        <v>65</v>
      </c>
      <c r="R81" s="65">
        <v>0.0</v>
      </c>
      <c r="S81" s="65">
        <v>2429.966666666668</v>
      </c>
      <c r="T81" s="61"/>
      <c r="U81" s="61"/>
      <c r="V81" s="61"/>
      <c r="W81" s="61"/>
      <c r="X81" s="61"/>
      <c r="Y81" s="61"/>
      <c r="Z81" s="61"/>
      <c r="AA81" s="61"/>
    </row>
    <row r="82" ht="15.75" customHeight="1">
      <c r="B82" s="62">
        <v>43872.0</v>
      </c>
      <c r="C82" s="56" t="s">
        <v>18</v>
      </c>
      <c r="D82" s="56" t="s">
        <v>26</v>
      </c>
      <c r="E82" s="56" t="s">
        <v>30</v>
      </c>
      <c r="F82" s="56" t="s">
        <v>20</v>
      </c>
      <c r="G82" s="58">
        <v>3644.95238095238</v>
      </c>
      <c r="H82" s="59">
        <v>0.0</v>
      </c>
      <c r="I82" s="60"/>
      <c r="J82" s="60"/>
      <c r="K82" s="56"/>
      <c r="L82" s="58">
        <v>1.1</v>
      </c>
      <c r="M82" s="56" t="s">
        <v>60</v>
      </c>
      <c r="N82" s="56" t="s">
        <v>51</v>
      </c>
      <c r="O82" s="56" t="s">
        <v>52</v>
      </c>
      <c r="P82" s="56" t="s">
        <v>19</v>
      </c>
      <c r="Q82" s="56" t="s">
        <v>61</v>
      </c>
      <c r="R82" s="58">
        <v>3313.5930735930724</v>
      </c>
      <c r="S82" s="58">
        <v>0.0</v>
      </c>
      <c r="T82" s="61"/>
      <c r="U82" s="61"/>
      <c r="V82" s="61"/>
      <c r="W82" s="61"/>
      <c r="X82" s="61"/>
      <c r="Y82" s="61"/>
      <c r="Z82" s="61"/>
      <c r="AA82" s="61"/>
    </row>
    <row r="83" ht="15.75" customHeight="1">
      <c r="B83" s="62">
        <v>43872.0</v>
      </c>
      <c r="C83" s="56" t="s">
        <v>18</v>
      </c>
      <c r="D83" s="56" t="s">
        <v>26</v>
      </c>
      <c r="E83" s="56" t="s">
        <v>30</v>
      </c>
      <c r="F83" s="63" t="s">
        <v>62</v>
      </c>
      <c r="G83" s="64">
        <v>0.0</v>
      </c>
      <c r="H83" s="65">
        <v>3644.95238095238</v>
      </c>
      <c r="I83" s="66"/>
      <c r="J83" s="66"/>
      <c r="K83" s="63"/>
      <c r="L83" s="65">
        <v>1.1</v>
      </c>
      <c r="M83" s="63" t="s">
        <v>60</v>
      </c>
      <c r="N83" s="63" t="s">
        <v>55</v>
      </c>
      <c r="O83" s="63" t="s">
        <v>52</v>
      </c>
      <c r="P83" s="63" t="s">
        <v>19</v>
      </c>
      <c r="Q83" s="56" t="s">
        <v>61</v>
      </c>
      <c r="R83" s="65">
        <v>0.0</v>
      </c>
      <c r="S83" s="65">
        <v>3313.5930735930724</v>
      </c>
      <c r="T83" s="61"/>
      <c r="U83" s="61"/>
      <c r="V83" s="61"/>
      <c r="W83" s="61"/>
      <c r="X83" s="61"/>
      <c r="Y83" s="61"/>
      <c r="Z83" s="61"/>
      <c r="AA83" s="61"/>
    </row>
    <row r="84" ht="15.75" customHeight="1">
      <c r="B84" s="62">
        <v>43872.0</v>
      </c>
      <c r="C84" s="56" t="s">
        <v>23</v>
      </c>
      <c r="D84" s="56" t="s">
        <v>26</v>
      </c>
      <c r="E84" s="56" t="s">
        <v>30</v>
      </c>
      <c r="F84" s="56" t="s">
        <v>20</v>
      </c>
      <c r="G84" s="58">
        <v>3715.04761904762</v>
      </c>
      <c r="H84" s="59">
        <v>0.0</v>
      </c>
      <c r="I84" s="60"/>
      <c r="J84" s="60"/>
      <c r="K84" s="56"/>
      <c r="L84" s="58">
        <v>1.1</v>
      </c>
      <c r="M84" s="56" t="s">
        <v>60</v>
      </c>
      <c r="N84" s="56" t="s">
        <v>51</v>
      </c>
      <c r="O84" s="56" t="s">
        <v>52</v>
      </c>
      <c r="P84" s="56" t="s">
        <v>19</v>
      </c>
      <c r="Q84" s="56" t="s">
        <v>61</v>
      </c>
      <c r="R84" s="58">
        <v>3377.3160173160177</v>
      </c>
      <c r="S84" s="58">
        <v>0.0</v>
      </c>
      <c r="T84" s="61"/>
      <c r="U84" s="61"/>
      <c r="V84" s="61"/>
      <c r="W84" s="61"/>
      <c r="X84" s="61"/>
      <c r="Y84" s="61"/>
      <c r="Z84" s="61"/>
      <c r="AA84" s="61"/>
    </row>
    <row r="85" ht="15.75" customHeight="1">
      <c r="B85" s="62">
        <v>43872.0</v>
      </c>
      <c r="C85" s="56" t="s">
        <v>23</v>
      </c>
      <c r="D85" s="56" t="s">
        <v>26</v>
      </c>
      <c r="E85" s="56" t="s">
        <v>30</v>
      </c>
      <c r="F85" s="63" t="s">
        <v>62</v>
      </c>
      <c r="G85" s="64">
        <v>0.0</v>
      </c>
      <c r="H85" s="65">
        <v>3715.04761904762</v>
      </c>
      <c r="I85" s="66"/>
      <c r="J85" s="66"/>
      <c r="K85" s="63"/>
      <c r="L85" s="65">
        <v>1.1</v>
      </c>
      <c r="M85" s="63" t="s">
        <v>60</v>
      </c>
      <c r="N85" s="63" t="s">
        <v>55</v>
      </c>
      <c r="O85" s="63" t="s">
        <v>52</v>
      </c>
      <c r="P85" s="63" t="s">
        <v>19</v>
      </c>
      <c r="Q85" s="56" t="s">
        <v>61</v>
      </c>
      <c r="R85" s="65">
        <v>0.0</v>
      </c>
      <c r="S85" s="65">
        <v>3377.3160173160177</v>
      </c>
      <c r="T85" s="61"/>
      <c r="U85" s="61"/>
      <c r="V85" s="61"/>
      <c r="W85" s="61"/>
      <c r="X85" s="61"/>
      <c r="Y85" s="61"/>
      <c r="Z85" s="61"/>
      <c r="AA85" s="61"/>
    </row>
    <row r="86" ht="15.75" customHeight="1">
      <c r="B86" s="62">
        <v>43872.0</v>
      </c>
      <c r="C86" s="56" t="s">
        <v>18</v>
      </c>
      <c r="D86" s="56" t="s">
        <v>39</v>
      </c>
      <c r="E86" s="56" t="s">
        <v>30</v>
      </c>
      <c r="F86" s="56" t="s">
        <v>20</v>
      </c>
      <c r="G86" s="58">
        <v>1304.95238095238</v>
      </c>
      <c r="H86" s="59">
        <v>0.0</v>
      </c>
      <c r="I86" s="60"/>
      <c r="J86" s="60"/>
      <c r="K86" s="56"/>
      <c r="L86" s="58">
        <v>1.1</v>
      </c>
      <c r="M86" s="56" t="s">
        <v>60</v>
      </c>
      <c r="N86" s="56" t="s">
        <v>51</v>
      </c>
      <c r="O86" s="56" t="s">
        <v>52</v>
      </c>
      <c r="P86" s="56" t="s">
        <v>19</v>
      </c>
      <c r="Q86" s="56" t="s">
        <v>61</v>
      </c>
      <c r="R86" s="58">
        <v>1186.3203463203454</v>
      </c>
      <c r="S86" s="58">
        <v>0.0</v>
      </c>
      <c r="T86" s="61"/>
      <c r="U86" s="61"/>
      <c r="V86" s="61"/>
      <c r="W86" s="61"/>
      <c r="X86" s="61"/>
      <c r="Y86" s="61"/>
      <c r="Z86" s="61"/>
      <c r="AA86" s="61"/>
    </row>
    <row r="87" ht="15.75" customHeight="1">
      <c r="B87" s="62">
        <v>43872.0</v>
      </c>
      <c r="C87" s="56" t="s">
        <v>18</v>
      </c>
      <c r="D87" s="56" t="s">
        <v>39</v>
      </c>
      <c r="E87" s="56" t="s">
        <v>30</v>
      </c>
      <c r="F87" s="63" t="s">
        <v>62</v>
      </c>
      <c r="G87" s="64">
        <v>0.0</v>
      </c>
      <c r="H87" s="65">
        <v>1304.95238095238</v>
      </c>
      <c r="I87" s="66"/>
      <c r="J87" s="66"/>
      <c r="K87" s="63"/>
      <c r="L87" s="65">
        <v>1.1</v>
      </c>
      <c r="M87" s="63" t="s">
        <v>60</v>
      </c>
      <c r="N87" s="63" t="s">
        <v>55</v>
      </c>
      <c r="O87" s="63" t="s">
        <v>52</v>
      </c>
      <c r="P87" s="63" t="s">
        <v>19</v>
      </c>
      <c r="Q87" s="56" t="s">
        <v>61</v>
      </c>
      <c r="R87" s="65">
        <v>0.0</v>
      </c>
      <c r="S87" s="65">
        <v>1186.3203463203454</v>
      </c>
      <c r="T87" s="61"/>
      <c r="U87" s="61"/>
      <c r="V87" s="61"/>
      <c r="W87" s="61"/>
      <c r="X87" s="61"/>
      <c r="Y87" s="61"/>
      <c r="Z87" s="61"/>
      <c r="AA87" s="61"/>
    </row>
    <row r="88" ht="15.75" customHeight="1">
      <c r="B88" s="62">
        <v>43872.0</v>
      </c>
      <c r="C88" s="56" t="s">
        <v>23</v>
      </c>
      <c r="D88" s="56" t="s">
        <v>39</v>
      </c>
      <c r="E88" s="56" t="s">
        <v>30</v>
      </c>
      <c r="F88" s="56" t="s">
        <v>20</v>
      </c>
      <c r="G88" s="58">
        <v>1330.04761904762</v>
      </c>
      <c r="H88" s="59">
        <v>0.0</v>
      </c>
      <c r="I88" s="60"/>
      <c r="J88" s="60"/>
      <c r="K88" s="56"/>
      <c r="L88" s="58">
        <v>1.1</v>
      </c>
      <c r="M88" s="56" t="s">
        <v>60</v>
      </c>
      <c r="N88" s="56" t="s">
        <v>51</v>
      </c>
      <c r="O88" s="56" t="s">
        <v>52</v>
      </c>
      <c r="P88" s="56" t="s">
        <v>19</v>
      </c>
      <c r="Q88" s="56" t="s">
        <v>61</v>
      </c>
      <c r="R88" s="58">
        <v>1209.1341991342</v>
      </c>
      <c r="S88" s="58">
        <v>0.0</v>
      </c>
      <c r="T88" s="61"/>
      <c r="U88" s="61"/>
      <c r="V88" s="61"/>
      <c r="W88" s="61"/>
      <c r="X88" s="61"/>
      <c r="Y88" s="61"/>
      <c r="Z88" s="61"/>
      <c r="AA88" s="61"/>
    </row>
    <row r="89" ht="15.75" customHeight="1">
      <c r="B89" s="62">
        <v>43872.0</v>
      </c>
      <c r="C89" s="56" t="s">
        <v>23</v>
      </c>
      <c r="D89" s="56" t="s">
        <v>39</v>
      </c>
      <c r="E89" s="56" t="s">
        <v>30</v>
      </c>
      <c r="F89" s="63" t="s">
        <v>62</v>
      </c>
      <c r="G89" s="64">
        <v>0.0</v>
      </c>
      <c r="H89" s="65">
        <v>1330.04761904762</v>
      </c>
      <c r="I89" s="66"/>
      <c r="J89" s="66"/>
      <c r="K89" s="63"/>
      <c r="L89" s="65">
        <v>1.1</v>
      </c>
      <c r="M89" s="63" t="s">
        <v>60</v>
      </c>
      <c r="N89" s="63" t="s">
        <v>55</v>
      </c>
      <c r="O89" s="63" t="s">
        <v>52</v>
      </c>
      <c r="P89" s="63" t="s">
        <v>19</v>
      </c>
      <c r="Q89" s="56" t="s">
        <v>61</v>
      </c>
      <c r="R89" s="65">
        <v>0.0</v>
      </c>
      <c r="S89" s="65">
        <v>1209.1341991342</v>
      </c>
      <c r="T89" s="61"/>
      <c r="U89" s="61"/>
      <c r="V89" s="61"/>
      <c r="W89" s="61"/>
      <c r="X89" s="61"/>
      <c r="Y89" s="61"/>
      <c r="Z89" s="61"/>
      <c r="AA89" s="61"/>
    </row>
    <row r="90" ht="15.75" customHeight="1">
      <c r="B90" s="62">
        <v>43872.0</v>
      </c>
      <c r="C90" s="56" t="s">
        <v>18</v>
      </c>
      <c r="D90" s="56" t="s">
        <v>26</v>
      </c>
      <c r="E90" s="56" t="s">
        <v>30</v>
      </c>
      <c r="F90" s="56" t="s">
        <v>62</v>
      </c>
      <c r="G90" s="58">
        <v>1890.0</v>
      </c>
      <c r="H90" s="59">
        <v>0.0</v>
      </c>
      <c r="I90" s="60"/>
      <c r="J90" s="60"/>
      <c r="K90" s="56"/>
      <c r="L90" s="58">
        <v>1.1</v>
      </c>
      <c r="M90" s="56" t="s">
        <v>60</v>
      </c>
      <c r="N90" s="56" t="s">
        <v>51</v>
      </c>
      <c r="O90" s="56" t="s">
        <v>52</v>
      </c>
      <c r="P90" s="56" t="s">
        <v>19</v>
      </c>
      <c r="Q90" s="56" t="s">
        <v>61</v>
      </c>
      <c r="R90" s="58">
        <v>1718.181818181818</v>
      </c>
      <c r="S90" s="58">
        <v>0.0</v>
      </c>
      <c r="T90" s="61"/>
      <c r="U90" s="61"/>
      <c r="V90" s="61"/>
      <c r="W90" s="61"/>
      <c r="X90" s="61"/>
      <c r="Y90" s="61"/>
      <c r="Z90" s="61"/>
      <c r="AA90" s="61"/>
    </row>
    <row r="91" ht="15.75" customHeight="1">
      <c r="B91" s="62">
        <v>43872.0</v>
      </c>
      <c r="C91" s="56" t="s">
        <v>18</v>
      </c>
      <c r="D91" s="56" t="s">
        <v>26</v>
      </c>
      <c r="E91" s="56" t="s">
        <v>30</v>
      </c>
      <c r="F91" s="63" t="s">
        <v>20</v>
      </c>
      <c r="G91" s="64">
        <v>0.0</v>
      </c>
      <c r="H91" s="65">
        <v>1890.0</v>
      </c>
      <c r="I91" s="66"/>
      <c r="J91" s="66"/>
      <c r="K91" s="63"/>
      <c r="L91" s="65">
        <v>1.1</v>
      </c>
      <c r="M91" s="63" t="s">
        <v>60</v>
      </c>
      <c r="N91" s="63" t="s">
        <v>55</v>
      </c>
      <c r="O91" s="63" t="s">
        <v>52</v>
      </c>
      <c r="P91" s="63" t="s">
        <v>19</v>
      </c>
      <c r="Q91" s="56" t="s">
        <v>61</v>
      </c>
      <c r="R91" s="65">
        <v>0.0</v>
      </c>
      <c r="S91" s="65">
        <v>1718.181818181818</v>
      </c>
      <c r="T91" s="61"/>
      <c r="U91" s="61"/>
      <c r="V91" s="61"/>
      <c r="W91" s="61"/>
      <c r="X91" s="61"/>
      <c r="Y91" s="61"/>
      <c r="Z91" s="61"/>
      <c r="AA91" s="61"/>
    </row>
    <row r="92" ht="15.75" customHeight="1">
      <c r="B92" s="62">
        <v>43872.0</v>
      </c>
      <c r="C92" s="56" t="s">
        <v>23</v>
      </c>
      <c r="D92" s="56" t="s">
        <v>26</v>
      </c>
      <c r="E92" s="56" t="s">
        <v>30</v>
      </c>
      <c r="F92" s="56" t="s">
        <v>62</v>
      </c>
      <c r="G92" s="58">
        <v>1960.0</v>
      </c>
      <c r="H92" s="59">
        <v>0.0</v>
      </c>
      <c r="I92" s="60"/>
      <c r="J92" s="60"/>
      <c r="K92" s="56"/>
      <c r="L92" s="58">
        <v>1.1</v>
      </c>
      <c r="M92" s="56" t="s">
        <v>60</v>
      </c>
      <c r="N92" s="56" t="s">
        <v>51</v>
      </c>
      <c r="O92" s="56" t="s">
        <v>52</v>
      </c>
      <c r="P92" s="56" t="s">
        <v>19</v>
      </c>
      <c r="Q92" s="56" t="s">
        <v>61</v>
      </c>
      <c r="R92" s="58">
        <v>1781.8181818181815</v>
      </c>
      <c r="S92" s="58">
        <v>0.0</v>
      </c>
      <c r="T92" s="61"/>
      <c r="U92" s="61"/>
      <c r="V92" s="61"/>
      <c r="W92" s="61"/>
      <c r="X92" s="61"/>
      <c r="Y92" s="61"/>
      <c r="Z92" s="61"/>
      <c r="AA92" s="61"/>
    </row>
    <row r="93" ht="15.75" customHeight="1">
      <c r="B93" s="62">
        <v>43872.0</v>
      </c>
      <c r="C93" s="56" t="s">
        <v>23</v>
      </c>
      <c r="D93" s="56" t="s">
        <v>26</v>
      </c>
      <c r="E93" s="56" t="s">
        <v>30</v>
      </c>
      <c r="F93" s="63" t="s">
        <v>20</v>
      </c>
      <c r="G93" s="64">
        <v>0.0</v>
      </c>
      <c r="H93" s="65">
        <v>1960.0</v>
      </c>
      <c r="I93" s="66"/>
      <c r="J93" s="66"/>
      <c r="K93" s="63"/>
      <c r="L93" s="65">
        <v>1.1</v>
      </c>
      <c r="M93" s="63" t="s">
        <v>60</v>
      </c>
      <c r="N93" s="63" t="s">
        <v>55</v>
      </c>
      <c r="O93" s="63" t="s">
        <v>52</v>
      </c>
      <c r="P93" s="63" t="s">
        <v>19</v>
      </c>
      <c r="Q93" s="56" t="s">
        <v>61</v>
      </c>
      <c r="R93" s="65">
        <v>0.0</v>
      </c>
      <c r="S93" s="65">
        <v>1781.8181818181815</v>
      </c>
      <c r="T93" s="61"/>
      <c r="U93" s="61"/>
      <c r="V93" s="61"/>
      <c r="W93" s="61"/>
      <c r="X93" s="61"/>
      <c r="Y93" s="61"/>
      <c r="Z93" s="61"/>
      <c r="AA93" s="61"/>
    </row>
    <row r="94" ht="15.75" customHeight="1">
      <c r="B94" s="62">
        <v>43872.0</v>
      </c>
      <c r="C94" s="56" t="s">
        <v>18</v>
      </c>
      <c r="D94" s="56" t="s">
        <v>26</v>
      </c>
      <c r="E94" s="56" t="s">
        <v>30</v>
      </c>
      <c r="F94" s="56" t="s">
        <v>62</v>
      </c>
      <c r="G94" s="58">
        <v>3644.95238095238</v>
      </c>
      <c r="H94" s="59">
        <v>0.0</v>
      </c>
      <c r="I94" s="60"/>
      <c r="J94" s="60"/>
      <c r="K94" s="56"/>
      <c r="L94" s="58">
        <v>0.5</v>
      </c>
      <c r="M94" s="56" t="s">
        <v>21</v>
      </c>
      <c r="N94" s="56" t="s">
        <v>51</v>
      </c>
      <c r="O94" s="56" t="s">
        <v>52</v>
      </c>
      <c r="P94" s="56" t="s">
        <v>19</v>
      </c>
      <c r="Q94" s="56" t="s">
        <v>63</v>
      </c>
      <c r="R94" s="58">
        <v>1822.47619047619</v>
      </c>
      <c r="S94" s="58">
        <v>0.0</v>
      </c>
      <c r="T94" s="61"/>
      <c r="U94" s="61"/>
      <c r="V94" s="61"/>
      <c r="W94" s="61"/>
      <c r="X94" s="61"/>
      <c r="Y94" s="61"/>
      <c r="Z94" s="61"/>
      <c r="AA94" s="61"/>
    </row>
    <row r="95" ht="15.75" customHeight="1">
      <c r="B95" s="62">
        <v>43872.0</v>
      </c>
      <c r="C95" s="56" t="s">
        <v>18</v>
      </c>
      <c r="D95" s="56" t="s">
        <v>26</v>
      </c>
      <c r="E95" s="56" t="s">
        <v>30</v>
      </c>
      <c r="F95" s="63" t="s">
        <v>20</v>
      </c>
      <c r="G95" s="64">
        <v>0.0</v>
      </c>
      <c r="H95" s="65">
        <v>3644.95238095238</v>
      </c>
      <c r="I95" s="66"/>
      <c r="J95" s="66"/>
      <c r="K95" s="63"/>
      <c r="L95" s="65">
        <v>0.5</v>
      </c>
      <c r="M95" s="63" t="s">
        <v>21</v>
      </c>
      <c r="N95" s="63" t="s">
        <v>55</v>
      </c>
      <c r="O95" s="63" t="s">
        <v>52</v>
      </c>
      <c r="P95" s="63" t="s">
        <v>19</v>
      </c>
      <c r="Q95" s="56" t="s">
        <v>63</v>
      </c>
      <c r="R95" s="65">
        <v>0.0</v>
      </c>
      <c r="S95" s="65">
        <v>1822.47619047619</v>
      </c>
      <c r="T95" s="61"/>
      <c r="U95" s="61"/>
      <c r="V95" s="61"/>
      <c r="W95" s="61"/>
      <c r="X95" s="61"/>
      <c r="Y95" s="61"/>
      <c r="Z95" s="61"/>
      <c r="AA95" s="61"/>
    </row>
    <row r="96" ht="15.75" customHeight="1">
      <c r="B96" s="62">
        <v>43872.0</v>
      </c>
      <c r="C96" s="56" t="s">
        <v>23</v>
      </c>
      <c r="D96" s="56" t="s">
        <v>26</v>
      </c>
      <c r="E96" s="56" t="s">
        <v>30</v>
      </c>
      <c r="F96" s="56" t="s">
        <v>62</v>
      </c>
      <c r="G96" s="58">
        <v>3715.04761904762</v>
      </c>
      <c r="H96" s="59">
        <v>0.0</v>
      </c>
      <c r="I96" s="60"/>
      <c r="J96" s="60"/>
      <c r="K96" s="56"/>
      <c r="L96" s="58">
        <v>0.5</v>
      </c>
      <c r="M96" s="56" t="s">
        <v>21</v>
      </c>
      <c r="N96" s="56" t="s">
        <v>51</v>
      </c>
      <c r="O96" s="56" t="s">
        <v>52</v>
      </c>
      <c r="P96" s="56" t="s">
        <v>19</v>
      </c>
      <c r="Q96" s="56" t="s">
        <v>63</v>
      </c>
      <c r="R96" s="58">
        <v>1857.52380952381</v>
      </c>
      <c r="S96" s="58">
        <v>0.0</v>
      </c>
      <c r="T96" s="61"/>
      <c r="U96" s="61"/>
      <c r="V96" s="61"/>
      <c r="W96" s="61"/>
      <c r="X96" s="61"/>
      <c r="Y96" s="61"/>
      <c r="Z96" s="61"/>
      <c r="AA96" s="61"/>
    </row>
    <row r="97" ht="15.75" customHeight="1">
      <c r="B97" s="62">
        <v>43872.0</v>
      </c>
      <c r="C97" s="56" t="s">
        <v>23</v>
      </c>
      <c r="D97" s="56" t="s">
        <v>26</v>
      </c>
      <c r="E97" s="56" t="s">
        <v>30</v>
      </c>
      <c r="F97" s="63" t="s">
        <v>20</v>
      </c>
      <c r="G97" s="64">
        <v>0.0</v>
      </c>
      <c r="H97" s="65">
        <v>3715.04761904762</v>
      </c>
      <c r="I97" s="66"/>
      <c r="J97" s="66"/>
      <c r="K97" s="63"/>
      <c r="L97" s="65">
        <v>0.5</v>
      </c>
      <c r="M97" s="63" t="s">
        <v>21</v>
      </c>
      <c r="N97" s="63" t="s">
        <v>55</v>
      </c>
      <c r="O97" s="63" t="s">
        <v>52</v>
      </c>
      <c r="P97" s="63" t="s">
        <v>19</v>
      </c>
      <c r="Q97" s="56" t="s">
        <v>63</v>
      </c>
      <c r="R97" s="65">
        <v>0.0</v>
      </c>
      <c r="S97" s="65">
        <v>1857.52380952381</v>
      </c>
      <c r="T97" s="61"/>
      <c r="U97" s="61"/>
      <c r="V97" s="61"/>
      <c r="W97" s="61"/>
      <c r="X97" s="61"/>
      <c r="Y97" s="61"/>
      <c r="Z97" s="61"/>
      <c r="AA97" s="61"/>
    </row>
    <row r="98" ht="15.75" customHeight="1">
      <c r="B98" s="62">
        <v>43872.0</v>
      </c>
      <c r="C98" s="56" t="s">
        <v>18</v>
      </c>
      <c r="D98" s="56" t="s">
        <v>39</v>
      </c>
      <c r="E98" s="56" t="s">
        <v>30</v>
      </c>
      <c r="F98" s="56" t="s">
        <v>62</v>
      </c>
      <c r="G98" s="58">
        <v>1304.95238095238</v>
      </c>
      <c r="H98" s="59">
        <v>0.0</v>
      </c>
      <c r="I98" s="60"/>
      <c r="J98" s="60"/>
      <c r="K98" s="56"/>
      <c r="L98" s="58">
        <v>0.5</v>
      </c>
      <c r="M98" s="56" t="s">
        <v>21</v>
      </c>
      <c r="N98" s="56" t="s">
        <v>51</v>
      </c>
      <c r="O98" s="56" t="s">
        <v>52</v>
      </c>
      <c r="P98" s="56" t="s">
        <v>19</v>
      </c>
      <c r="Q98" s="56" t="s">
        <v>63</v>
      </c>
      <c r="R98" s="58">
        <v>652.47619047619</v>
      </c>
      <c r="S98" s="58">
        <v>0.0</v>
      </c>
      <c r="T98" s="61"/>
      <c r="U98" s="61"/>
      <c r="V98" s="61"/>
      <c r="W98" s="61"/>
      <c r="X98" s="61"/>
      <c r="Y98" s="61"/>
      <c r="Z98" s="61"/>
      <c r="AA98" s="61"/>
    </row>
    <row r="99" ht="15.75" customHeight="1">
      <c r="B99" s="62">
        <v>43872.0</v>
      </c>
      <c r="C99" s="56" t="s">
        <v>18</v>
      </c>
      <c r="D99" s="56" t="s">
        <v>39</v>
      </c>
      <c r="E99" s="56" t="s">
        <v>30</v>
      </c>
      <c r="F99" s="63" t="s">
        <v>20</v>
      </c>
      <c r="G99" s="64">
        <v>0.0</v>
      </c>
      <c r="H99" s="65">
        <v>1304.95238095238</v>
      </c>
      <c r="I99" s="66"/>
      <c r="J99" s="66"/>
      <c r="K99" s="63"/>
      <c r="L99" s="65">
        <v>0.5</v>
      </c>
      <c r="M99" s="63" t="s">
        <v>21</v>
      </c>
      <c r="N99" s="63" t="s">
        <v>55</v>
      </c>
      <c r="O99" s="63" t="s">
        <v>52</v>
      </c>
      <c r="P99" s="63" t="s">
        <v>19</v>
      </c>
      <c r="Q99" s="56" t="s">
        <v>63</v>
      </c>
      <c r="R99" s="65">
        <v>0.0</v>
      </c>
      <c r="S99" s="65">
        <v>652.47619047619</v>
      </c>
      <c r="T99" s="61"/>
      <c r="U99" s="61"/>
      <c r="V99" s="61"/>
      <c r="W99" s="61"/>
      <c r="X99" s="61"/>
      <c r="Y99" s="61"/>
      <c r="Z99" s="61"/>
      <c r="AA99" s="61"/>
    </row>
    <row r="100" ht="15.75" customHeight="1">
      <c r="B100" s="62">
        <v>43872.0</v>
      </c>
      <c r="C100" s="56" t="s">
        <v>23</v>
      </c>
      <c r="D100" s="56" t="s">
        <v>39</v>
      </c>
      <c r="E100" s="56" t="s">
        <v>30</v>
      </c>
      <c r="F100" s="56" t="s">
        <v>62</v>
      </c>
      <c r="G100" s="58">
        <v>1330.04761904762</v>
      </c>
      <c r="H100" s="59">
        <v>0.0</v>
      </c>
      <c r="I100" s="60"/>
      <c r="J100" s="60"/>
      <c r="K100" s="56"/>
      <c r="L100" s="58">
        <v>0.5</v>
      </c>
      <c r="M100" s="56" t="s">
        <v>21</v>
      </c>
      <c r="N100" s="56" t="s">
        <v>51</v>
      </c>
      <c r="O100" s="56" t="s">
        <v>52</v>
      </c>
      <c r="P100" s="56" t="s">
        <v>19</v>
      </c>
      <c r="Q100" s="56" t="s">
        <v>63</v>
      </c>
      <c r="R100" s="58">
        <v>665.02380952381</v>
      </c>
      <c r="S100" s="58">
        <v>0.0</v>
      </c>
      <c r="T100" s="61"/>
      <c r="U100" s="61"/>
      <c r="V100" s="61"/>
      <c r="W100" s="61"/>
      <c r="X100" s="61"/>
      <c r="Y100" s="61"/>
      <c r="Z100" s="61"/>
      <c r="AA100" s="61"/>
    </row>
    <row r="101" ht="15.75" customHeight="1">
      <c r="B101" s="62">
        <v>43872.0</v>
      </c>
      <c r="C101" s="56" t="s">
        <v>23</v>
      </c>
      <c r="D101" s="56" t="s">
        <v>39</v>
      </c>
      <c r="E101" s="56" t="s">
        <v>30</v>
      </c>
      <c r="F101" s="63" t="s">
        <v>20</v>
      </c>
      <c r="G101" s="64">
        <v>0.0</v>
      </c>
      <c r="H101" s="65">
        <v>1330.04761904762</v>
      </c>
      <c r="I101" s="66"/>
      <c r="J101" s="66"/>
      <c r="K101" s="63"/>
      <c r="L101" s="65">
        <v>0.5</v>
      </c>
      <c r="M101" s="63" t="s">
        <v>21</v>
      </c>
      <c r="N101" s="63" t="s">
        <v>55</v>
      </c>
      <c r="O101" s="63" t="s">
        <v>52</v>
      </c>
      <c r="P101" s="63" t="s">
        <v>19</v>
      </c>
      <c r="Q101" s="56" t="s">
        <v>63</v>
      </c>
      <c r="R101" s="65">
        <v>0.0</v>
      </c>
      <c r="S101" s="65">
        <v>665.02380952381</v>
      </c>
      <c r="T101" s="61"/>
      <c r="U101" s="61"/>
      <c r="V101" s="61"/>
      <c r="W101" s="61"/>
      <c r="X101" s="61"/>
      <c r="Y101" s="61"/>
      <c r="Z101" s="61"/>
      <c r="AA101" s="61"/>
    </row>
    <row r="102" ht="15.75" customHeight="1">
      <c r="B102" s="62">
        <v>43872.0</v>
      </c>
      <c r="C102" s="56" t="s">
        <v>18</v>
      </c>
      <c r="D102" s="56" t="s">
        <v>26</v>
      </c>
      <c r="E102" s="56" t="s">
        <v>30</v>
      </c>
      <c r="F102" s="56" t="s">
        <v>20</v>
      </c>
      <c r="G102" s="58">
        <v>1890.0</v>
      </c>
      <c r="H102" s="59">
        <v>0.0</v>
      </c>
      <c r="I102" s="60"/>
      <c r="J102" s="60"/>
      <c r="K102" s="56"/>
      <c r="L102" s="58">
        <v>0.5</v>
      </c>
      <c r="M102" s="56" t="s">
        <v>21</v>
      </c>
      <c r="N102" s="56" t="s">
        <v>51</v>
      </c>
      <c r="O102" s="56" t="s">
        <v>52</v>
      </c>
      <c r="P102" s="56" t="s">
        <v>19</v>
      </c>
      <c r="Q102" s="56" t="s">
        <v>66</v>
      </c>
      <c r="R102" s="58">
        <v>945.0</v>
      </c>
      <c r="S102" s="58">
        <v>0.0</v>
      </c>
      <c r="T102" s="61"/>
      <c r="U102" s="61"/>
      <c r="V102" s="61"/>
      <c r="W102" s="61"/>
      <c r="X102" s="61"/>
      <c r="Y102" s="61"/>
      <c r="Z102" s="61"/>
      <c r="AA102" s="61"/>
    </row>
    <row r="103" ht="15.75" customHeight="1">
      <c r="B103" s="62">
        <v>43872.0</v>
      </c>
      <c r="C103" s="56" t="s">
        <v>18</v>
      </c>
      <c r="D103" s="56" t="s">
        <v>26</v>
      </c>
      <c r="E103" s="56" t="s">
        <v>30</v>
      </c>
      <c r="F103" s="63" t="s">
        <v>62</v>
      </c>
      <c r="G103" s="64">
        <v>0.0</v>
      </c>
      <c r="H103" s="65">
        <v>1890.0</v>
      </c>
      <c r="I103" s="66"/>
      <c r="J103" s="66"/>
      <c r="K103" s="63"/>
      <c r="L103" s="65">
        <v>0.5</v>
      </c>
      <c r="M103" s="63" t="s">
        <v>21</v>
      </c>
      <c r="N103" s="63" t="s">
        <v>55</v>
      </c>
      <c r="O103" s="63" t="s">
        <v>52</v>
      </c>
      <c r="P103" s="63" t="s">
        <v>19</v>
      </c>
      <c r="Q103" s="56" t="s">
        <v>66</v>
      </c>
      <c r="R103" s="65">
        <v>0.0</v>
      </c>
      <c r="S103" s="65">
        <v>945.0</v>
      </c>
      <c r="T103" s="61"/>
      <c r="U103" s="61"/>
      <c r="V103" s="61"/>
      <c r="W103" s="61"/>
      <c r="X103" s="61"/>
      <c r="Y103" s="61"/>
      <c r="Z103" s="61"/>
      <c r="AA103" s="61"/>
    </row>
    <row r="104" ht="15.75" customHeight="1">
      <c r="B104" s="62">
        <v>43872.0</v>
      </c>
      <c r="C104" s="56" t="s">
        <v>23</v>
      </c>
      <c r="D104" s="56" t="s">
        <v>26</v>
      </c>
      <c r="E104" s="56" t="s">
        <v>30</v>
      </c>
      <c r="F104" s="56" t="s">
        <v>20</v>
      </c>
      <c r="G104" s="58">
        <v>1960.0</v>
      </c>
      <c r="H104" s="59">
        <v>0.0</v>
      </c>
      <c r="I104" s="60"/>
      <c r="J104" s="60"/>
      <c r="K104" s="56"/>
      <c r="L104" s="58">
        <v>0.5</v>
      </c>
      <c r="M104" s="56" t="s">
        <v>21</v>
      </c>
      <c r="N104" s="56" t="s">
        <v>51</v>
      </c>
      <c r="O104" s="56" t="s">
        <v>52</v>
      </c>
      <c r="P104" s="56" t="s">
        <v>19</v>
      </c>
      <c r="Q104" s="56" t="s">
        <v>66</v>
      </c>
      <c r="R104" s="58">
        <v>980.0</v>
      </c>
      <c r="S104" s="58">
        <v>0.0</v>
      </c>
      <c r="T104" s="61"/>
      <c r="U104" s="61"/>
      <c r="V104" s="61"/>
      <c r="W104" s="61"/>
      <c r="X104" s="61"/>
      <c r="Y104" s="61"/>
      <c r="Z104" s="61"/>
      <c r="AA104" s="61"/>
    </row>
    <row r="105" ht="15.75" customHeight="1">
      <c r="B105" s="62">
        <v>43872.0</v>
      </c>
      <c r="C105" s="56" t="s">
        <v>23</v>
      </c>
      <c r="D105" s="56" t="s">
        <v>26</v>
      </c>
      <c r="E105" s="56" t="s">
        <v>30</v>
      </c>
      <c r="F105" s="63" t="s">
        <v>62</v>
      </c>
      <c r="G105" s="64">
        <v>0.0</v>
      </c>
      <c r="H105" s="65">
        <v>1960.0</v>
      </c>
      <c r="I105" s="66"/>
      <c r="J105" s="66"/>
      <c r="K105" s="63"/>
      <c r="L105" s="65">
        <v>0.5</v>
      </c>
      <c r="M105" s="63" t="s">
        <v>21</v>
      </c>
      <c r="N105" s="63" t="s">
        <v>55</v>
      </c>
      <c r="O105" s="63" t="s">
        <v>52</v>
      </c>
      <c r="P105" s="63" t="s">
        <v>19</v>
      </c>
      <c r="Q105" s="56" t="s">
        <v>66</v>
      </c>
      <c r="R105" s="65">
        <v>0.0</v>
      </c>
      <c r="S105" s="65">
        <v>980.0</v>
      </c>
      <c r="T105" s="61"/>
      <c r="U105" s="61"/>
      <c r="V105" s="61"/>
      <c r="W105" s="61"/>
      <c r="X105" s="61"/>
      <c r="Y105" s="61"/>
      <c r="Z105" s="61"/>
      <c r="AA105" s="61"/>
    </row>
    <row r="106" ht="15.75" customHeight="1">
      <c r="B106" s="62">
        <v>43873.0</v>
      </c>
      <c r="C106" s="56" t="s">
        <v>23</v>
      </c>
      <c r="D106" s="56" t="s">
        <v>30</v>
      </c>
      <c r="E106" s="56" t="s">
        <v>30</v>
      </c>
      <c r="F106" s="56" t="s">
        <v>62</v>
      </c>
      <c r="G106" s="58">
        <v>6800.14</v>
      </c>
      <c r="H106" s="59">
        <v>0.0</v>
      </c>
      <c r="I106" s="60"/>
      <c r="J106" s="60"/>
      <c r="K106" s="56"/>
      <c r="L106" s="58">
        <v>0.4</v>
      </c>
      <c r="M106" s="56" t="s">
        <v>21</v>
      </c>
      <c r="N106" s="56" t="s">
        <v>51</v>
      </c>
      <c r="O106" s="56" t="s">
        <v>52</v>
      </c>
      <c r="P106" s="56" t="s">
        <v>19</v>
      </c>
      <c r="Q106" s="56" t="s">
        <v>64</v>
      </c>
      <c r="R106" s="58">
        <v>2720.056</v>
      </c>
      <c r="S106" s="58">
        <v>0.0</v>
      </c>
      <c r="T106" s="61"/>
      <c r="U106" s="61"/>
      <c r="V106" s="61"/>
      <c r="W106" s="61"/>
      <c r="X106" s="61"/>
      <c r="Y106" s="61"/>
      <c r="Z106" s="61"/>
      <c r="AA106" s="61"/>
    </row>
    <row r="107" ht="15.75" customHeight="1">
      <c r="B107" s="62">
        <v>43873.0</v>
      </c>
      <c r="C107" s="56" t="s">
        <v>23</v>
      </c>
      <c r="D107" s="56" t="s">
        <v>30</v>
      </c>
      <c r="E107" s="56" t="s">
        <v>30</v>
      </c>
      <c r="F107" s="63" t="s">
        <v>20</v>
      </c>
      <c r="G107" s="64">
        <v>0.0</v>
      </c>
      <c r="H107" s="65">
        <v>6800.14</v>
      </c>
      <c r="I107" s="66"/>
      <c r="J107" s="66"/>
      <c r="K107" s="63"/>
      <c r="L107" s="65">
        <v>0.4</v>
      </c>
      <c r="M107" s="63" t="s">
        <v>21</v>
      </c>
      <c r="N107" s="63" t="s">
        <v>55</v>
      </c>
      <c r="O107" s="63" t="s">
        <v>52</v>
      </c>
      <c r="P107" s="63" t="s">
        <v>19</v>
      </c>
      <c r="Q107" s="56" t="s">
        <v>64</v>
      </c>
      <c r="R107" s="65">
        <v>0.0</v>
      </c>
      <c r="S107" s="65">
        <v>2720.056</v>
      </c>
      <c r="T107" s="61"/>
      <c r="U107" s="61"/>
      <c r="V107" s="61"/>
      <c r="W107" s="61"/>
      <c r="X107" s="61"/>
      <c r="Y107" s="61"/>
      <c r="Z107" s="61"/>
      <c r="AA107" s="61"/>
    </row>
    <row r="108" ht="15.75" customHeight="1">
      <c r="B108" s="62">
        <v>43873.0</v>
      </c>
      <c r="C108" s="56" t="s">
        <v>18</v>
      </c>
      <c r="D108" s="56" t="s">
        <v>30</v>
      </c>
      <c r="E108" s="56" t="s">
        <v>30</v>
      </c>
      <c r="F108" s="56" t="s">
        <v>62</v>
      </c>
      <c r="G108" s="58">
        <v>6704.86</v>
      </c>
      <c r="H108" s="59">
        <v>0.0</v>
      </c>
      <c r="I108" s="60"/>
      <c r="J108" s="60"/>
      <c r="K108" s="56"/>
      <c r="L108" s="58">
        <v>0.4</v>
      </c>
      <c r="M108" s="56" t="s">
        <v>21</v>
      </c>
      <c r="N108" s="56" t="s">
        <v>51</v>
      </c>
      <c r="O108" s="56" t="s">
        <v>52</v>
      </c>
      <c r="P108" s="56" t="s">
        <v>19</v>
      </c>
      <c r="Q108" s="56" t="s">
        <v>64</v>
      </c>
      <c r="R108" s="58">
        <v>2681.944</v>
      </c>
      <c r="S108" s="58">
        <v>0.0</v>
      </c>
      <c r="T108" s="61"/>
      <c r="U108" s="61"/>
      <c r="V108" s="61"/>
      <c r="W108" s="61"/>
      <c r="X108" s="61"/>
      <c r="Y108" s="61"/>
      <c r="Z108" s="61"/>
      <c r="AA108" s="61"/>
    </row>
    <row r="109" ht="15.75" customHeight="1">
      <c r="B109" s="62">
        <v>43873.0</v>
      </c>
      <c r="C109" s="56" t="s">
        <v>18</v>
      </c>
      <c r="D109" s="56" t="s">
        <v>30</v>
      </c>
      <c r="E109" s="56" t="s">
        <v>30</v>
      </c>
      <c r="F109" s="63" t="s">
        <v>20</v>
      </c>
      <c r="G109" s="64">
        <v>0.0</v>
      </c>
      <c r="H109" s="65">
        <v>6704.86</v>
      </c>
      <c r="I109" s="66"/>
      <c r="J109" s="66"/>
      <c r="K109" s="63"/>
      <c r="L109" s="65">
        <v>0.4</v>
      </c>
      <c r="M109" s="63" t="s">
        <v>21</v>
      </c>
      <c r="N109" s="63" t="s">
        <v>55</v>
      </c>
      <c r="O109" s="63" t="s">
        <v>52</v>
      </c>
      <c r="P109" s="63" t="s">
        <v>19</v>
      </c>
      <c r="Q109" s="56" t="s">
        <v>64</v>
      </c>
      <c r="R109" s="65">
        <v>0.0</v>
      </c>
      <c r="S109" s="65">
        <v>2681.944</v>
      </c>
      <c r="T109" s="61"/>
      <c r="U109" s="61"/>
      <c r="V109" s="61"/>
      <c r="W109" s="61"/>
      <c r="X109" s="61"/>
      <c r="Y109" s="61"/>
      <c r="Z109" s="61"/>
      <c r="AA109" s="61"/>
    </row>
    <row r="110" ht="15.75" customHeight="1">
      <c r="B110" s="62">
        <v>43873.0</v>
      </c>
      <c r="C110" s="56" t="s">
        <v>23</v>
      </c>
      <c r="D110" s="56" t="s">
        <v>30</v>
      </c>
      <c r="E110" s="56" t="s">
        <v>30</v>
      </c>
      <c r="F110" s="56" t="s">
        <v>20</v>
      </c>
      <c r="G110" s="58">
        <v>6800.14</v>
      </c>
      <c r="H110" s="59">
        <v>0.0</v>
      </c>
      <c r="I110" s="60"/>
      <c r="J110" s="60"/>
      <c r="K110" s="56"/>
      <c r="L110" s="58">
        <v>0.5</v>
      </c>
      <c r="M110" s="56" t="s">
        <v>21</v>
      </c>
      <c r="N110" s="56" t="s">
        <v>51</v>
      </c>
      <c r="O110" s="56" t="s">
        <v>52</v>
      </c>
      <c r="P110" s="56" t="s">
        <v>19</v>
      </c>
      <c r="Q110" s="56" t="s">
        <v>65</v>
      </c>
      <c r="R110" s="58">
        <v>3400.07</v>
      </c>
      <c r="S110" s="58">
        <v>0.0</v>
      </c>
      <c r="T110" s="61"/>
      <c r="U110" s="61"/>
      <c r="V110" s="61"/>
      <c r="W110" s="61"/>
      <c r="X110" s="61"/>
      <c r="Y110" s="61"/>
      <c r="Z110" s="61"/>
      <c r="AA110" s="61"/>
    </row>
    <row r="111" ht="15.75" customHeight="1">
      <c r="B111" s="62">
        <v>43873.0</v>
      </c>
      <c r="C111" s="56" t="s">
        <v>23</v>
      </c>
      <c r="D111" s="56" t="s">
        <v>30</v>
      </c>
      <c r="E111" s="56" t="s">
        <v>30</v>
      </c>
      <c r="F111" s="63" t="s">
        <v>62</v>
      </c>
      <c r="G111" s="64">
        <v>0.0</v>
      </c>
      <c r="H111" s="65">
        <v>6800.14</v>
      </c>
      <c r="I111" s="66"/>
      <c r="J111" s="66"/>
      <c r="K111" s="63"/>
      <c r="L111" s="65">
        <v>0.5</v>
      </c>
      <c r="M111" s="63" t="s">
        <v>21</v>
      </c>
      <c r="N111" s="63" t="s">
        <v>55</v>
      </c>
      <c r="O111" s="63" t="s">
        <v>52</v>
      </c>
      <c r="P111" s="63" t="s">
        <v>19</v>
      </c>
      <c r="Q111" s="56" t="s">
        <v>65</v>
      </c>
      <c r="R111" s="65">
        <v>0.0</v>
      </c>
      <c r="S111" s="65">
        <v>3400.07</v>
      </c>
      <c r="T111" s="61"/>
      <c r="U111" s="61"/>
      <c r="V111" s="61"/>
      <c r="W111" s="61"/>
      <c r="X111" s="61"/>
      <c r="Y111" s="61"/>
      <c r="Z111" s="61"/>
      <c r="AA111" s="61"/>
    </row>
    <row r="112" ht="15.75" customHeight="1">
      <c r="B112" s="62">
        <v>43873.0</v>
      </c>
      <c r="C112" s="56" t="s">
        <v>18</v>
      </c>
      <c r="D112" s="56" t="s">
        <v>30</v>
      </c>
      <c r="E112" s="56" t="s">
        <v>30</v>
      </c>
      <c r="F112" s="56" t="s">
        <v>20</v>
      </c>
      <c r="G112" s="58">
        <v>6704.86</v>
      </c>
      <c r="H112" s="59">
        <v>0.0</v>
      </c>
      <c r="I112" s="60"/>
      <c r="J112" s="60"/>
      <c r="K112" s="56"/>
      <c r="L112" s="58">
        <v>0.5</v>
      </c>
      <c r="M112" s="56" t="s">
        <v>21</v>
      </c>
      <c r="N112" s="56" t="s">
        <v>51</v>
      </c>
      <c r="O112" s="56" t="s">
        <v>52</v>
      </c>
      <c r="P112" s="56" t="s">
        <v>19</v>
      </c>
      <c r="Q112" s="56" t="s">
        <v>65</v>
      </c>
      <c r="R112" s="58">
        <v>3352.43</v>
      </c>
      <c r="S112" s="58">
        <v>0.0</v>
      </c>
      <c r="T112" s="61"/>
      <c r="U112" s="61"/>
      <c r="V112" s="61"/>
      <c r="W112" s="61"/>
      <c r="X112" s="61"/>
      <c r="Y112" s="61"/>
      <c r="Z112" s="61"/>
      <c r="AA112" s="61"/>
    </row>
    <row r="113" ht="15.75" customHeight="1">
      <c r="B113" s="62">
        <v>43873.0</v>
      </c>
      <c r="C113" s="56" t="s">
        <v>18</v>
      </c>
      <c r="D113" s="56" t="s">
        <v>30</v>
      </c>
      <c r="E113" s="56" t="s">
        <v>30</v>
      </c>
      <c r="F113" s="63" t="s">
        <v>62</v>
      </c>
      <c r="G113" s="64">
        <v>0.0</v>
      </c>
      <c r="H113" s="65">
        <v>6704.86</v>
      </c>
      <c r="I113" s="66"/>
      <c r="J113" s="66"/>
      <c r="K113" s="63"/>
      <c r="L113" s="65">
        <v>0.5</v>
      </c>
      <c r="M113" s="63" t="s">
        <v>21</v>
      </c>
      <c r="N113" s="63" t="s">
        <v>55</v>
      </c>
      <c r="O113" s="63" t="s">
        <v>52</v>
      </c>
      <c r="P113" s="63" t="s">
        <v>19</v>
      </c>
      <c r="Q113" s="56" t="s">
        <v>65</v>
      </c>
      <c r="R113" s="65">
        <v>0.0</v>
      </c>
      <c r="S113" s="65">
        <v>3352.43</v>
      </c>
      <c r="T113" s="61"/>
      <c r="U113" s="61"/>
      <c r="V113" s="61"/>
      <c r="W113" s="61"/>
      <c r="X113" s="61"/>
      <c r="Y113" s="61"/>
      <c r="Z113" s="61"/>
      <c r="AA113" s="61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2">
        <v>43871.0</v>
      </c>
      <c r="C6" s="60"/>
      <c r="D6" s="60"/>
      <c r="E6" s="58">
        <v>3644.95238095238</v>
      </c>
      <c r="F6" s="59">
        <v>0.0</v>
      </c>
      <c r="G6" s="58">
        <v>1.1</v>
      </c>
      <c r="H6" s="56" t="s">
        <v>60</v>
      </c>
      <c r="I6" s="56" t="s">
        <v>51</v>
      </c>
      <c r="J6" s="56" t="s">
        <v>68</v>
      </c>
      <c r="K6" s="56" t="s">
        <v>30</v>
      </c>
      <c r="L6" s="56" t="s">
        <v>19</v>
      </c>
      <c r="M6" s="56" t="s">
        <v>26</v>
      </c>
      <c r="N6" s="56" t="s">
        <v>69</v>
      </c>
      <c r="O6" s="58">
        <v>3313.5930735930724</v>
      </c>
      <c r="P6" s="58">
        <v>0.0</v>
      </c>
      <c r="Q6" s="56" t="s">
        <v>58</v>
      </c>
      <c r="R6" s="56" t="s">
        <v>18</v>
      </c>
      <c r="S6" s="61"/>
      <c r="T6" s="61"/>
      <c r="U6" s="61"/>
      <c r="V6" s="61"/>
      <c r="W6" s="61"/>
      <c r="X6" s="61"/>
      <c r="Y6" s="61"/>
      <c r="Z6" s="61"/>
      <c r="AA6" s="61"/>
    </row>
    <row r="7" ht="15.75" customHeight="1">
      <c r="A7" s="8"/>
      <c r="B7" s="62">
        <v>43871.0</v>
      </c>
      <c r="C7" s="66"/>
      <c r="D7" s="66"/>
      <c r="E7" s="64">
        <v>0.0</v>
      </c>
      <c r="F7" s="65">
        <v>3644.95238095238</v>
      </c>
      <c r="G7" s="65">
        <v>1.1</v>
      </c>
      <c r="H7" s="63" t="s">
        <v>60</v>
      </c>
      <c r="I7" s="63" t="s">
        <v>55</v>
      </c>
      <c r="J7" s="63" t="s">
        <v>68</v>
      </c>
      <c r="K7" s="56" t="s">
        <v>30</v>
      </c>
      <c r="L7" s="63" t="s">
        <v>19</v>
      </c>
      <c r="M7" s="56" t="s">
        <v>26</v>
      </c>
      <c r="N7" s="56" t="s">
        <v>69</v>
      </c>
      <c r="O7" s="65">
        <v>0.0</v>
      </c>
      <c r="P7" s="65">
        <v>3313.5930735930724</v>
      </c>
      <c r="Q7" s="63" t="s">
        <v>20</v>
      </c>
      <c r="R7" s="56" t="s">
        <v>18</v>
      </c>
      <c r="S7" s="61"/>
      <c r="T7" s="61"/>
      <c r="U7" s="61"/>
      <c r="V7" s="61"/>
      <c r="W7" s="61"/>
      <c r="X7" s="61"/>
      <c r="Y7" s="61"/>
      <c r="Z7" s="61"/>
      <c r="AA7" s="61"/>
    </row>
    <row r="8" ht="15.75" customHeight="1">
      <c r="A8" s="8"/>
      <c r="B8" s="62">
        <v>43871.0</v>
      </c>
      <c r="C8" s="60"/>
      <c r="D8" s="60"/>
      <c r="E8" s="58">
        <v>3715.04761904762</v>
      </c>
      <c r="F8" s="59">
        <v>0.0</v>
      </c>
      <c r="G8" s="58">
        <v>1.1</v>
      </c>
      <c r="H8" s="56" t="s">
        <v>60</v>
      </c>
      <c r="I8" s="56" t="s">
        <v>51</v>
      </c>
      <c r="J8" s="56" t="s">
        <v>68</v>
      </c>
      <c r="K8" s="56" t="s">
        <v>30</v>
      </c>
      <c r="L8" s="56" t="s">
        <v>19</v>
      </c>
      <c r="M8" s="56" t="s">
        <v>26</v>
      </c>
      <c r="N8" s="56" t="s">
        <v>69</v>
      </c>
      <c r="O8" s="58">
        <v>3377.3160173160177</v>
      </c>
      <c r="P8" s="58">
        <v>0.0</v>
      </c>
      <c r="Q8" s="56" t="s">
        <v>58</v>
      </c>
      <c r="R8" s="56" t="s">
        <v>23</v>
      </c>
      <c r="S8" s="61"/>
      <c r="T8" s="61"/>
      <c r="U8" s="61"/>
      <c r="V8" s="61"/>
      <c r="W8" s="61"/>
      <c r="X8" s="61"/>
      <c r="Y8" s="61"/>
      <c r="Z8" s="61"/>
      <c r="AA8" s="61"/>
    </row>
    <row r="9" ht="15.75" customHeight="1">
      <c r="A9" s="8"/>
      <c r="B9" s="62">
        <v>43871.0</v>
      </c>
      <c r="C9" s="66"/>
      <c r="D9" s="66"/>
      <c r="E9" s="64">
        <v>0.0</v>
      </c>
      <c r="F9" s="65">
        <v>3715.04761904762</v>
      </c>
      <c r="G9" s="65">
        <v>1.1</v>
      </c>
      <c r="H9" s="63" t="s">
        <v>60</v>
      </c>
      <c r="I9" s="63" t="s">
        <v>55</v>
      </c>
      <c r="J9" s="63" t="s">
        <v>68</v>
      </c>
      <c r="K9" s="56" t="s">
        <v>30</v>
      </c>
      <c r="L9" s="63" t="s">
        <v>19</v>
      </c>
      <c r="M9" s="56" t="s">
        <v>26</v>
      </c>
      <c r="N9" s="56" t="s">
        <v>69</v>
      </c>
      <c r="O9" s="65">
        <v>0.0</v>
      </c>
      <c r="P9" s="65">
        <v>3377.3160173160177</v>
      </c>
      <c r="Q9" s="63" t="s">
        <v>20</v>
      </c>
      <c r="R9" s="56" t="s">
        <v>23</v>
      </c>
      <c r="S9" s="61"/>
      <c r="T9" s="61"/>
      <c r="U9" s="61"/>
      <c r="V9" s="61"/>
      <c r="W9" s="61"/>
      <c r="X9" s="61"/>
      <c r="Y9" s="61"/>
      <c r="Z9" s="61"/>
      <c r="AA9" s="61"/>
    </row>
    <row r="10" ht="15.75" customHeight="1">
      <c r="A10" s="8"/>
      <c r="B10" s="62">
        <v>43872.0</v>
      </c>
      <c r="C10" s="60"/>
      <c r="D10" s="60"/>
      <c r="E10" s="58">
        <v>3644.95238095238</v>
      </c>
      <c r="F10" s="59">
        <v>0.0</v>
      </c>
      <c r="G10" s="58">
        <v>1.1</v>
      </c>
      <c r="H10" s="56" t="s">
        <v>60</v>
      </c>
      <c r="I10" s="56" t="s">
        <v>51</v>
      </c>
      <c r="J10" s="56" t="s">
        <v>68</v>
      </c>
      <c r="K10" s="56" t="s">
        <v>30</v>
      </c>
      <c r="L10" s="56" t="s">
        <v>19</v>
      </c>
      <c r="M10" s="56" t="s">
        <v>26</v>
      </c>
      <c r="N10" s="56" t="s">
        <v>69</v>
      </c>
      <c r="O10" s="58">
        <v>3313.5930735930724</v>
      </c>
      <c r="P10" s="58">
        <v>0.0</v>
      </c>
      <c r="Q10" s="56" t="s">
        <v>58</v>
      </c>
      <c r="R10" s="56" t="s">
        <v>18</v>
      </c>
      <c r="S10" s="61"/>
      <c r="T10" s="61"/>
      <c r="U10" s="61"/>
      <c r="V10" s="61"/>
      <c r="W10" s="61"/>
      <c r="X10" s="61"/>
      <c r="Y10" s="61"/>
      <c r="Z10" s="61"/>
      <c r="AA10" s="61"/>
    </row>
    <row r="11" ht="15.75" customHeight="1">
      <c r="A11" s="8"/>
      <c r="B11" s="62">
        <v>43872.0</v>
      </c>
      <c r="C11" s="66"/>
      <c r="D11" s="66"/>
      <c r="E11" s="64">
        <v>0.0</v>
      </c>
      <c r="F11" s="65">
        <v>3644.95238095238</v>
      </c>
      <c r="G11" s="65">
        <v>1.1</v>
      </c>
      <c r="H11" s="63" t="s">
        <v>60</v>
      </c>
      <c r="I11" s="63" t="s">
        <v>55</v>
      </c>
      <c r="J11" s="63" t="s">
        <v>68</v>
      </c>
      <c r="K11" s="56" t="s">
        <v>30</v>
      </c>
      <c r="L11" s="63" t="s">
        <v>19</v>
      </c>
      <c r="M11" s="56" t="s">
        <v>26</v>
      </c>
      <c r="N11" s="56" t="s">
        <v>69</v>
      </c>
      <c r="O11" s="65">
        <v>0.0</v>
      </c>
      <c r="P11" s="65">
        <v>3313.5930735930724</v>
      </c>
      <c r="Q11" s="63" t="s">
        <v>20</v>
      </c>
      <c r="R11" s="56" t="s">
        <v>18</v>
      </c>
      <c r="S11" s="61"/>
      <c r="T11" s="61"/>
      <c r="U11" s="61"/>
      <c r="V11" s="61"/>
      <c r="W11" s="61"/>
      <c r="X11" s="61"/>
      <c r="Y11" s="61"/>
      <c r="Z11" s="61"/>
      <c r="AA11" s="61"/>
    </row>
    <row r="12" ht="15.75" customHeight="1">
      <c r="A12" s="8"/>
      <c r="B12" s="62">
        <v>43872.0</v>
      </c>
      <c r="C12" s="60"/>
      <c r="D12" s="60"/>
      <c r="E12" s="58">
        <v>3715.04761904762</v>
      </c>
      <c r="F12" s="59">
        <v>0.0</v>
      </c>
      <c r="G12" s="58">
        <v>1.1</v>
      </c>
      <c r="H12" s="56" t="s">
        <v>60</v>
      </c>
      <c r="I12" s="56" t="s">
        <v>51</v>
      </c>
      <c r="J12" s="56" t="s">
        <v>68</v>
      </c>
      <c r="K12" s="56" t="s">
        <v>30</v>
      </c>
      <c r="L12" s="56" t="s">
        <v>19</v>
      </c>
      <c r="M12" s="56" t="s">
        <v>26</v>
      </c>
      <c r="N12" s="56" t="s">
        <v>69</v>
      </c>
      <c r="O12" s="58">
        <v>3377.3160173160177</v>
      </c>
      <c r="P12" s="58">
        <v>0.0</v>
      </c>
      <c r="Q12" s="56" t="s">
        <v>58</v>
      </c>
      <c r="R12" s="56" t="s">
        <v>23</v>
      </c>
      <c r="S12" s="61"/>
      <c r="T12" s="61"/>
      <c r="U12" s="61"/>
      <c r="V12" s="61"/>
      <c r="W12" s="61"/>
      <c r="X12" s="61"/>
      <c r="Y12" s="61"/>
      <c r="Z12" s="61"/>
      <c r="AA12" s="61"/>
    </row>
    <row r="13" ht="15.75" customHeight="1">
      <c r="A13" s="8"/>
      <c r="B13" s="62">
        <v>43872.0</v>
      </c>
      <c r="C13" s="66"/>
      <c r="D13" s="66"/>
      <c r="E13" s="64">
        <v>0.0</v>
      </c>
      <c r="F13" s="65">
        <v>3715.04761904762</v>
      </c>
      <c r="G13" s="65">
        <v>1.1</v>
      </c>
      <c r="H13" s="63" t="s">
        <v>60</v>
      </c>
      <c r="I13" s="63" t="s">
        <v>55</v>
      </c>
      <c r="J13" s="63" t="s">
        <v>68</v>
      </c>
      <c r="K13" s="56" t="s">
        <v>30</v>
      </c>
      <c r="L13" s="63" t="s">
        <v>19</v>
      </c>
      <c r="M13" s="56" t="s">
        <v>26</v>
      </c>
      <c r="N13" s="56" t="s">
        <v>69</v>
      </c>
      <c r="O13" s="65">
        <v>0.0</v>
      </c>
      <c r="P13" s="65">
        <v>3377.3160173160177</v>
      </c>
      <c r="Q13" s="63" t="s">
        <v>20</v>
      </c>
      <c r="R13" s="56" t="s">
        <v>23</v>
      </c>
      <c r="S13" s="61"/>
      <c r="T13" s="61"/>
      <c r="U13" s="61"/>
      <c r="V13" s="61"/>
      <c r="W13" s="61"/>
      <c r="X13" s="61"/>
      <c r="Y13" s="61"/>
      <c r="Z13" s="61"/>
      <c r="AA13" s="61"/>
    </row>
    <row r="14" ht="15.75" customHeight="1">
      <c r="A14" s="8"/>
      <c r="B14" s="62">
        <v>43872.0</v>
      </c>
      <c r="C14" s="60"/>
      <c r="D14" s="60"/>
      <c r="E14" s="58">
        <v>1304.95238095238</v>
      </c>
      <c r="F14" s="59">
        <v>0.0</v>
      </c>
      <c r="G14" s="58">
        <v>1.1</v>
      </c>
      <c r="H14" s="56" t="s">
        <v>60</v>
      </c>
      <c r="I14" s="56" t="s">
        <v>51</v>
      </c>
      <c r="J14" s="56" t="s">
        <v>68</v>
      </c>
      <c r="K14" s="56" t="s">
        <v>30</v>
      </c>
      <c r="L14" s="56" t="s">
        <v>19</v>
      </c>
      <c r="M14" s="56" t="s">
        <v>39</v>
      </c>
      <c r="N14" s="56" t="s">
        <v>69</v>
      </c>
      <c r="O14" s="58">
        <v>1186.3203463203454</v>
      </c>
      <c r="P14" s="58">
        <v>0.0</v>
      </c>
      <c r="Q14" s="56" t="s">
        <v>58</v>
      </c>
      <c r="R14" s="56" t="s">
        <v>18</v>
      </c>
      <c r="S14" s="61"/>
      <c r="T14" s="61"/>
      <c r="U14" s="61"/>
      <c r="V14" s="61"/>
      <c r="W14" s="61"/>
      <c r="X14" s="61"/>
      <c r="Y14" s="61"/>
      <c r="Z14" s="61"/>
      <c r="AA14" s="61"/>
    </row>
    <row r="15" ht="15.75" customHeight="1">
      <c r="A15" s="8"/>
      <c r="B15" s="62">
        <v>43872.0</v>
      </c>
      <c r="C15" s="66"/>
      <c r="D15" s="66"/>
      <c r="E15" s="64">
        <v>0.0</v>
      </c>
      <c r="F15" s="65">
        <v>1304.95238095238</v>
      </c>
      <c r="G15" s="65">
        <v>1.1</v>
      </c>
      <c r="H15" s="63" t="s">
        <v>60</v>
      </c>
      <c r="I15" s="63" t="s">
        <v>55</v>
      </c>
      <c r="J15" s="63" t="s">
        <v>68</v>
      </c>
      <c r="K15" s="56" t="s">
        <v>30</v>
      </c>
      <c r="L15" s="63" t="s">
        <v>19</v>
      </c>
      <c r="M15" s="56" t="s">
        <v>39</v>
      </c>
      <c r="N15" s="56" t="s">
        <v>69</v>
      </c>
      <c r="O15" s="65">
        <v>0.0</v>
      </c>
      <c r="P15" s="65">
        <v>1186.3203463203454</v>
      </c>
      <c r="Q15" s="63" t="s">
        <v>20</v>
      </c>
      <c r="R15" s="56" t="s">
        <v>18</v>
      </c>
      <c r="S15" s="61"/>
      <c r="T15" s="61"/>
      <c r="U15" s="61"/>
      <c r="V15" s="61"/>
      <c r="W15" s="61"/>
      <c r="X15" s="61"/>
      <c r="Y15" s="61"/>
      <c r="Z15" s="61"/>
      <c r="AA15" s="61"/>
    </row>
    <row r="16" ht="15.75" customHeight="1">
      <c r="A16" s="8"/>
      <c r="B16" s="62">
        <v>43872.0</v>
      </c>
      <c r="C16" s="60"/>
      <c r="D16" s="60"/>
      <c r="E16" s="58">
        <v>1330.04761904762</v>
      </c>
      <c r="F16" s="59">
        <v>0.0</v>
      </c>
      <c r="G16" s="58">
        <v>1.1</v>
      </c>
      <c r="H16" s="56" t="s">
        <v>60</v>
      </c>
      <c r="I16" s="56" t="s">
        <v>51</v>
      </c>
      <c r="J16" s="56" t="s">
        <v>68</v>
      </c>
      <c r="K16" s="56" t="s">
        <v>30</v>
      </c>
      <c r="L16" s="56" t="s">
        <v>19</v>
      </c>
      <c r="M16" s="56" t="s">
        <v>39</v>
      </c>
      <c r="N16" s="56" t="s">
        <v>69</v>
      </c>
      <c r="O16" s="58">
        <v>1209.1341991342</v>
      </c>
      <c r="P16" s="58">
        <v>0.0</v>
      </c>
      <c r="Q16" s="56" t="s">
        <v>58</v>
      </c>
      <c r="R16" s="56" t="s">
        <v>23</v>
      </c>
      <c r="S16" s="61"/>
      <c r="T16" s="61"/>
      <c r="U16" s="61"/>
      <c r="V16" s="61"/>
      <c r="W16" s="61"/>
      <c r="X16" s="61"/>
      <c r="Y16" s="61"/>
      <c r="Z16" s="61"/>
      <c r="AA16" s="61"/>
    </row>
    <row r="17" ht="15.75" customHeight="1">
      <c r="A17" s="8"/>
      <c r="B17" s="62">
        <v>43872.0</v>
      </c>
      <c r="C17" s="66"/>
      <c r="D17" s="66"/>
      <c r="E17" s="64">
        <v>0.0</v>
      </c>
      <c r="F17" s="65">
        <v>1330.04761904762</v>
      </c>
      <c r="G17" s="65">
        <v>1.1</v>
      </c>
      <c r="H17" s="63" t="s">
        <v>60</v>
      </c>
      <c r="I17" s="63" t="s">
        <v>55</v>
      </c>
      <c r="J17" s="63" t="s">
        <v>68</v>
      </c>
      <c r="K17" s="56" t="s">
        <v>30</v>
      </c>
      <c r="L17" s="63" t="s">
        <v>19</v>
      </c>
      <c r="M17" s="56" t="s">
        <v>39</v>
      </c>
      <c r="N17" s="56" t="s">
        <v>69</v>
      </c>
      <c r="O17" s="65">
        <v>0.0</v>
      </c>
      <c r="P17" s="65">
        <v>1209.1341991342</v>
      </c>
      <c r="Q17" s="63" t="s">
        <v>20</v>
      </c>
      <c r="R17" s="56" t="s">
        <v>23</v>
      </c>
      <c r="S17" s="61"/>
      <c r="T17" s="61"/>
      <c r="U17" s="61"/>
      <c r="V17" s="61"/>
      <c r="W17" s="61"/>
      <c r="X17" s="61"/>
      <c r="Y17" s="61"/>
      <c r="Z17" s="61"/>
      <c r="AA17" s="61"/>
    </row>
    <row r="18" ht="15.75" customHeight="1">
      <c r="A18" s="8"/>
      <c r="B18" s="62">
        <v>43872.0</v>
      </c>
      <c r="C18" s="60"/>
      <c r="D18" s="60"/>
      <c r="E18" s="58">
        <v>1890.0</v>
      </c>
      <c r="F18" s="59">
        <v>0.0</v>
      </c>
      <c r="G18" s="58">
        <v>1.1</v>
      </c>
      <c r="H18" s="56" t="s">
        <v>60</v>
      </c>
      <c r="I18" s="56" t="s">
        <v>51</v>
      </c>
      <c r="J18" s="56" t="s">
        <v>68</v>
      </c>
      <c r="K18" s="56" t="s">
        <v>30</v>
      </c>
      <c r="L18" s="56" t="s">
        <v>19</v>
      </c>
      <c r="M18" s="56" t="s">
        <v>26</v>
      </c>
      <c r="N18" s="56" t="s">
        <v>69</v>
      </c>
      <c r="O18" s="58">
        <v>1718.181818181818</v>
      </c>
      <c r="P18" s="58">
        <v>0.0</v>
      </c>
      <c r="Q18" s="56" t="s">
        <v>20</v>
      </c>
      <c r="R18" s="56" t="s">
        <v>18</v>
      </c>
      <c r="S18" s="61"/>
      <c r="T18" s="61"/>
      <c r="U18" s="61"/>
      <c r="V18" s="61"/>
      <c r="W18" s="61"/>
      <c r="X18" s="61"/>
      <c r="Y18" s="61"/>
      <c r="Z18" s="61"/>
      <c r="AA18" s="61"/>
    </row>
    <row r="19" ht="15.75" customHeight="1">
      <c r="A19" s="8"/>
      <c r="B19" s="62">
        <v>43872.0</v>
      </c>
      <c r="C19" s="66"/>
      <c r="D19" s="66"/>
      <c r="E19" s="64">
        <v>0.0</v>
      </c>
      <c r="F19" s="65">
        <v>1890.0</v>
      </c>
      <c r="G19" s="65">
        <v>1.1</v>
      </c>
      <c r="H19" s="63" t="s">
        <v>60</v>
      </c>
      <c r="I19" s="63" t="s">
        <v>55</v>
      </c>
      <c r="J19" s="56" t="s">
        <v>68</v>
      </c>
      <c r="K19" s="56" t="s">
        <v>30</v>
      </c>
      <c r="L19" s="63" t="s">
        <v>19</v>
      </c>
      <c r="M19" s="56" t="s">
        <v>26</v>
      </c>
      <c r="N19" s="56" t="s">
        <v>69</v>
      </c>
      <c r="O19" s="65">
        <v>0.0</v>
      </c>
      <c r="P19" s="65">
        <v>1718.181818181818</v>
      </c>
      <c r="Q19" s="63" t="s">
        <v>58</v>
      </c>
      <c r="R19" s="56" t="s">
        <v>18</v>
      </c>
      <c r="S19" s="61"/>
      <c r="T19" s="61"/>
      <c r="U19" s="61"/>
      <c r="V19" s="61"/>
      <c r="W19" s="61"/>
      <c r="X19" s="61"/>
      <c r="Y19" s="61"/>
      <c r="Z19" s="61"/>
      <c r="AA19" s="61"/>
    </row>
    <row r="20" ht="15.75" customHeight="1">
      <c r="A20" s="8"/>
      <c r="B20" s="62">
        <v>43872.0</v>
      </c>
      <c r="C20" s="60"/>
      <c r="D20" s="60"/>
      <c r="E20" s="58">
        <v>1960.0</v>
      </c>
      <c r="F20" s="59">
        <v>0.0</v>
      </c>
      <c r="G20" s="58">
        <v>1.1</v>
      </c>
      <c r="H20" s="56" t="s">
        <v>60</v>
      </c>
      <c r="I20" s="56" t="s">
        <v>51</v>
      </c>
      <c r="J20" s="56" t="s">
        <v>68</v>
      </c>
      <c r="K20" s="56" t="s">
        <v>30</v>
      </c>
      <c r="L20" s="56" t="s">
        <v>19</v>
      </c>
      <c r="M20" s="56" t="s">
        <v>26</v>
      </c>
      <c r="N20" s="56" t="s">
        <v>69</v>
      </c>
      <c r="O20" s="58">
        <v>1781.8181818181815</v>
      </c>
      <c r="P20" s="58">
        <v>0.0</v>
      </c>
      <c r="Q20" s="56" t="s">
        <v>20</v>
      </c>
      <c r="R20" s="56" t="s">
        <v>23</v>
      </c>
      <c r="S20" s="61"/>
      <c r="T20" s="61"/>
      <c r="U20" s="61"/>
      <c r="V20" s="61"/>
      <c r="W20" s="61"/>
      <c r="X20" s="61"/>
      <c r="Y20" s="61"/>
      <c r="Z20" s="61"/>
      <c r="AA20" s="61"/>
    </row>
    <row r="21" ht="15.75" customHeight="1">
      <c r="A21" s="8"/>
      <c r="B21" s="62">
        <v>43872.0</v>
      </c>
      <c r="C21" s="66"/>
      <c r="D21" s="66"/>
      <c r="E21" s="64">
        <v>0.0</v>
      </c>
      <c r="F21" s="65">
        <v>1960.0</v>
      </c>
      <c r="G21" s="65">
        <v>1.1</v>
      </c>
      <c r="H21" s="63" t="s">
        <v>60</v>
      </c>
      <c r="I21" s="63" t="s">
        <v>55</v>
      </c>
      <c r="J21" s="56" t="s">
        <v>68</v>
      </c>
      <c r="K21" s="56" t="s">
        <v>30</v>
      </c>
      <c r="L21" s="63" t="s">
        <v>19</v>
      </c>
      <c r="M21" s="56" t="s">
        <v>26</v>
      </c>
      <c r="N21" s="56" t="s">
        <v>69</v>
      </c>
      <c r="O21" s="65">
        <v>0.0</v>
      </c>
      <c r="P21" s="65">
        <v>1781.8181818181815</v>
      </c>
      <c r="Q21" s="63" t="s">
        <v>58</v>
      </c>
      <c r="R21" s="56" t="s">
        <v>23</v>
      </c>
      <c r="S21" s="61"/>
      <c r="T21" s="61"/>
      <c r="U21" s="61"/>
      <c r="V21" s="61"/>
      <c r="W21" s="61"/>
      <c r="X21" s="61"/>
      <c r="Y21" s="61"/>
      <c r="Z21" s="61"/>
      <c r="AA21" s="61"/>
    </row>
    <row r="22" ht="15.75" customHeight="1">
      <c r="A22" s="8"/>
      <c r="B22" s="62">
        <v>43873.0</v>
      </c>
      <c r="C22" s="60"/>
      <c r="D22" s="62"/>
      <c r="E22" s="58">
        <v>1752.38095238095</v>
      </c>
      <c r="F22" s="59">
        <v>0.0</v>
      </c>
      <c r="G22" s="58">
        <v>0.909090909090909</v>
      </c>
      <c r="H22" s="56" t="s">
        <v>21</v>
      </c>
      <c r="I22" s="56" t="s">
        <v>51</v>
      </c>
      <c r="J22" s="56" t="s">
        <v>68</v>
      </c>
      <c r="K22" s="56" t="s">
        <v>30</v>
      </c>
      <c r="L22" s="56" t="s">
        <v>19</v>
      </c>
      <c r="M22" s="56" t="s">
        <v>26</v>
      </c>
      <c r="N22" s="56" t="s">
        <v>69</v>
      </c>
      <c r="O22" s="58">
        <v>1593.0735930735905</v>
      </c>
      <c r="P22" s="58">
        <v>0.0</v>
      </c>
      <c r="Q22" s="56" t="s">
        <v>20</v>
      </c>
      <c r="R22" s="56" t="s">
        <v>23</v>
      </c>
      <c r="S22" s="61"/>
      <c r="T22" s="61"/>
      <c r="U22" s="61"/>
      <c r="V22" s="61"/>
      <c r="W22" s="61"/>
      <c r="X22" s="61"/>
      <c r="Y22" s="61"/>
      <c r="Z22" s="61"/>
      <c r="AA22" s="61"/>
    </row>
    <row r="23" ht="15.75" customHeight="1">
      <c r="A23" s="8"/>
      <c r="B23" s="62">
        <v>43873.0</v>
      </c>
      <c r="C23" s="66"/>
      <c r="D23" s="79"/>
      <c r="E23" s="64">
        <v>0.0</v>
      </c>
      <c r="F23" s="65">
        <v>1752.38095238095</v>
      </c>
      <c r="G23" s="65">
        <v>0.909090909090909</v>
      </c>
      <c r="H23" s="63" t="s">
        <v>21</v>
      </c>
      <c r="I23" s="63" t="s">
        <v>55</v>
      </c>
      <c r="J23" s="56" t="s">
        <v>68</v>
      </c>
      <c r="K23" s="56" t="s">
        <v>30</v>
      </c>
      <c r="L23" s="63" t="s">
        <v>19</v>
      </c>
      <c r="M23" s="56" t="s">
        <v>26</v>
      </c>
      <c r="N23" s="56" t="s">
        <v>69</v>
      </c>
      <c r="O23" s="65">
        <v>0.0</v>
      </c>
      <c r="P23" s="65">
        <v>1593.0735930735905</v>
      </c>
      <c r="Q23" s="63" t="s">
        <v>58</v>
      </c>
      <c r="R23" s="56" t="s">
        <v>23</v>
      </c>
      <c r="S23" s="61"/>
      <c r="T23" s="61"/>
      <c r="U23" s="61"/>
      <c r="V23" s="61"/>
      <c r="W23" s="61"/>
      <c r="X23" s="61"/>
      <c r="Y23" s="61"/>
      <c r="Z23" s="61"/>
      <c r="AA23" s="61"/>
    </row>
    <row r="24" ht="15.75" customHeight="1">
      <c r="A24" s="8"/>
      <c r="B24" s="62">
        <v>43873.0</v>
      </c>
      <c r="C24" s="60"/>
      <c r="D24" s="62"/>
      <c r="E24" s="58">
        <v>1095.2380952381</v>
      </c>
      <c r="F24" s="59">
        <v>0.0</v>
      </c>
      <c r="G24" s="58">
        <v>0.909090909090909</v>
      </c>
      <c r="H24" s="56" t="s">
        <v>21</v>
      </c>
      <c r="I24" s="56" t="s">
        <v>51</v>
      </c>
      <c r="J24" s="56" t="s">
        <v>68</v>
      </c>
      <c r="K24" s="56" t="s">
        <v>30</v>
      </c>
      <c r="L24" s="56" t="s">
        <v>19</v>
      </c>
      <c r="M24" s="56" t="s">
        <v>26</v>
      </c>
      <c r="N24" s="56" t="s">
        <v>69</v>
      </c>
      <c r="O24" s="58">
        <v>995.6709956709998</v>
      </c>
      <c r="P24" s="58">
        <v>0.0</v>
      </c>
      <c r="Q24" s="56" t="s">
        <v>58</v>
      </c>
      <c r="R24" s="56" t="s">
        <v>23</v>
      </c>
      <c r="S24" s="61"/>
      <c r="T24" s="61"/>
      <c r="U24" s="61"/>
      <c r="V24" s="61"/>
      <c r="W24" s="61"/>
      <c r="X24" s="61"/>
      <c r="Y24" s="61"/>
      <c r="Z24" s="61"/>
      <c r="AA24" s="61"/>
    </row>
    <row r="25" ht="15.75" customHeight="1">
      <c r="B25" s="62">
        <v>43873.0</v>
      </c>
      <c r="C25" s="66"/>
      <c r="D25" s="79"/>
      <c r="E25" s="64">
        <v>0.0</v>
      </c>
      <c r="F25" s="65">
        <v>1095.2380952381</v>
      </c>
      <c r="G25" s="65">
        <v>0.909090909090909</v>
      </c>
      <c r="H25" s="63" t="s">
        <v>21</v>
      </c>
      <c r="I25" s="63" t="s">
        <v>55</v>
      </c>
      <c r="J25" s="56" t="s">
        <v>68</v>
      </c>
      <c r="K25" s="56" t="s">
        <v>30</v>
      </c>
      <c r="L25" s="63" t="s">
        <v>19</v>
      </c>
      <c r="M25" s="56" t="s">
        <v>26</v>
      </c>
      <c r="N25" s="56" t="s">
        <v>69</v>
      </c>
      <c r="O25" s="65">
        <v>0.0</v>
      </c>
      <c r="P25" s="65">
        <v>995.6709956709998</v>
      </c>
      <c r="Q25" s="63" t="s">
        <v>20</v>
      </c>
      <c r="R25" s="56" t="s">
        <v>23</v>
      </c>
      <c r="S25" s="61"/>
      <c r="T25" s="61"/>
      <c r="U25" s="61"/>
      <c r="V25" s="61"/>
      <c r="W25" s="61"/>
      <c r="X25" s="61"/>
      <c r="Y25" s="61"/>
      <c r="Z25" s="61"/>
      <c r="AA25" s="61"/>
    </row>
    <row r="26" ht="15.75" customHeight="1">
      <c r="B26" s="62">
        <v>43873.0</v>
      </c>
      <c r="C26" s="60"/>
      <c r="D26" s="62"/>
      <c r="E26" s="58">
        <v>657.142857142856</v>
      </c>
      <c r="F26" s="59">
        <v>0.0</v>
      </c>
      <c r="G26" s="58">
        <v>0.909090909090909</v>
      </c>
      <c r="H26" s="56" t="s">
        <v>21</v>
      </c>
      <c r="I26" s="56" t="s">
        <v>51</v>
      </c>
      <c r="J26" s="56" t="s">
        <v>68</v>
      </c>
      <c r="K26" s="56" t="s">
        <v>30</v>
      </c>
      <c r="L26" s="56" t="s">
        <v>19</v>
      </c>
      <c r="M26" s="56" t="s">
        <v>85</v>
      </c>
      <c r="N26" s="56" t="s">
        <v>69</v>
      </c>
      <c r="O26" s="58">
        <v>597.4025974025963</v>
      </c>
      <c r="P26" s="58">
        <v>0.0</v>
      </c>
      <c r="Q26" s="56" t="s">
        <v>58</v>
      </c>
      <c r="R26" s="56" t="s">
        <v>23</v>
      </c>
      <c r="S26" s="61"/>
      <c r="T26" s="61"/>
      <c r="U26" s="61"/>
      <c r="V26" s="61"/>
      <c r="W26" s="61"/>
      <c r="X26" s="61"/>
      <c r="Y26" s="61"/>
      <c r="Z26" s="61"/>
      <c r="AA26" s="61"/>
    </row>
    <row r="27" ht="15.75" customHeight="1">
      <c r="B27" s="62">
        <v>43873.0</v>
      </c>
      <c r="C27" s="66"/>
      <c r="D27" s="79"/>
      <c r="E27" s="64">
        <v>0.0</v>
      </c>
      <c r="F27" s="65">
        <v>657.142857142856</v>
      </c>
      <c r="G27" s="65">
        <v>0.909090909090909</v>
      </c>
      <c r="H27" s="63" t="s">
        <v>21</v>
      </c>
      <c r="I27" s="63" t="s">
        <v>55</v>
      </c>
      <c r="J27" s="56" t="s">
        <v>68</v>
      </c>
      <c r="K27" s="56" t="s">
        <v>30</v>
      </c>
      <c r="L27" s="63" t="s">
        <v>19</v>
      </c>
      <c r="M27" s="56" t="s">
        <v>85</v>
      </c>
      <c r="N27" s="56" t="s">
        <v>69</v>
      </c>
      <c r="O27" s="65">
        <v>0.0</v>
      </c>
      <c r="P27" s="65">
        <v>597.4025974025963</v>
      </c>
      <c r="Q27" s="63" t="s">
        <v>20</v>
      </c>
      <c r="R27" s="56" t="s">
        <v>23</v>
      </c>
      <c r="S27" s="61"/>
      <c r="T27" s="61"/>
      <c r="U27" s="61"/>
      <c r="V27" s="61"/>
      <c r="W27" s="61"/>
      <c r="X27" s="61"/>
      <c r="Y27" s="61"/>
      <c r="Z27" s="61"/>
      <c r="AA27" s="61"/>
    </row>
    <row r="28" ht="15.75" customHeight="1">
      <c r="B28" s="62">
        <v>43873.0</v>
      </c>
      <c r="C28" s="60"/>
      <c r="D28" s="62"/>
      <c r="E28" s="58">
        <v>3715.04761904762</v>
      </c>
      <c r="F28" s="59">
        <v>0.0</v>
      </c>
      <c r="G28" s="58">
        <v>0.909090909090909</v>
      </c>
      <c r="H28" s="56" t="s">
        <v>21</v>
      </c>
      <c r="I28" s="56" t="s">
        <v>51</v>
      </c>
      <c r="J28" s="56" t="s">
        <v>68</v>
      </c>
      <c r="K28" s="56" t="s">
        <v>30</v>
      </c>
      <c r="L28" s="56" t="s">
        <v>19</v>
      </c>
      <c r="M28" s="56" t="s">
        <v>26</v>
      </c>
      <c r="N28" s="56" t="s">
        <v>69</v>
      </c>
      <c r="O28" s="58">
        <v>3377.316017316017</v>
      </c>
      <c r="P28" s="58">
        <v>0.0</v>
      </c>
      <c r="Q28" s="56" t="s">
        <v>20</v>
      </c>
      <c r="R28" s="56" t="s">
        <v>23</v>
      </c>
      <c r="S28" s="61"/>
      <c r="T28" s="61"/>
      <c r="U28" s="61"/>
      <c r="V28" s="61"/>
      <c r="W28" s="61"/>
      <c r="X28" s="61"/>
      <c r="Y28" s="61"/>
      <c r="Z28" s="61"/>
      <c r="AA28" s="61"/>
    </row>
    <row r="29" ht="15.75" customHeight="1">
      <c r="B29" s="62">
        <v>43873.0</v>
      </c>
      <c r="C29" s="66"/>
      <c r="D29" s="79"/>
      <c r="E29" s="64">
        <v>0.0</v>
      </c>
      <c r="F29" s="65">
        <v>3715.04761904762</v>
      </c>
      <c r="G29" s="65">
        <v>0.909090909090909</v>
      </c>
      <c r="H29" s="63" t="s">
        <v>21</v>
      </c>
      <c r="I29" s="63" t="s">
        <v>55</v>
      </c>
      <c r="J29" s="56" t="s">
        <v>68</v>
      </c>
      <c r="K29" s="56" t="s">
        <v>30</v>
      </c>
      <c r="L29" s="63" t="s">
        <v>19</v>
      </c>
      <c r="M29" s="56" t="s">
        <v>26</v>
      </c>
      <c r="N29" s="56" t="s">
        <v>69</v>
      </c>
      <c r="O29" s="65">
        <v>0.0</v>
      </c>
      <c r="P29" s="65">
        <v>3377.316017316017</v>
      </c>
      <c r="Q29" s="63" t="s">
        <v>58</v>
      </c>
      <c r="R29" s="56" t="s">
        <v>23</v>
      </c>
      <c r="S29" s="61"/>
      <c r="T29" s="61"/>
      <c r="U29" s="61"/>
      <c r="V29" s="61"/>
      <c r="W29" s="61"/>
      <c r="X29" s="61"/>
      <c r="Y29" s="61"/>
      <c r="Z29" s="61"/>
      <c r="AA29" s="61"/>
    </row>
    <row r="30" ht="15.75" customHeight="1">
      <c r="B30" s="62">
        <v>43873.0</v>
      </c>
      <c r="C30" s="60"/>
      <c r="D30" s="62"/>
      <c r="E30" s="58">
        <v>2321.90476190476</v>
      </c>
      <c r="F30" s="59">
        <v>0.0</v>
      </c>
      <c r="G30" s="58">
        <v>0.909090909090909</v>
      </c>
      <c r="H30" s="56" t="s">
        <v>21</v>
      </c>
      <c r="I30" s="56" t="s">
        <v>51</v>
      </c>
      <c r="J30" s="56" t="s">
        <v>68</v>
      </c>
      <c r="K30" s="56" t="s">
        <v>30</v>
      </c>
      <c r="L30" s="56" t="s">
        <v>19</v>
      </c>
      <c r="M30" s="56" t="s">
        <v>26</v>
      </c>
      <c r="N30" s="56" t="s">
        <v>69</v>
      </c>
      <c r="O30" s="58">
        <v>2110.822510822509</v>
      </c>
      <c r="P30" s="58">
        <v>0.0</v>
      </c>
      <c r="Q30" s="56" t="s">
        <v>58</v>
      </c>
      <c r="R30" s="56" t="s">
        <v>23</v>
      </c>
      <c r="S30" s="61"/>
      <c r="T30" s="61"/>
      <c r="U30" s="61"/>
      <c r="V30" s="61"/>
      <c r="W30" s="61"/>
      <c r="X30" s="61"/>
      <c r="Y30" s="61"/>
      <c r="Z30" s="61"/>
      <c r="AA30" s="61"/>
    </row>
    <row r="31" ht="15.75" customHeight="1">
      <c r="B31" s="62">
        <v>43873.0</v>
      </c>
      <c r="C31" s="66"/>
      <c r="D31" s="79"/>
      <c r="E31" s="64">
        <v>0.0</v>
      </c>
      <c r="F31" s="65">
        <v>2321.90476190476</v>
      </c>
      <c r="G31" s="65">
        <v>0.909090909090909</v>
      </c>
      <c r="H31" s="63" t="s">
        <v>21</v>
      </c>
      <c r="I31" s="63" t="s">
        <v>55</v>
      </c>
      <c r="J31" s="56" t="s">
        <v>68</v>
      </c>
      <c r="K31" s="56" t="s">
        <v>30</v>
      </c>
      <c r="L31" s="63" t="s">
        <v>19</v>
      </c>
      <c r="M31" s="56" t="s">
        <v>26</v>
      </c>
      <c r="N31" s="56" t="s">
        <v>69</v>
      </c>
      <c r="O31" s="65">
        <v>0.0</v>
      </c>
      <c r="P31" s="65">
        <v>2110.822510822509</v>
      </c>
      <c r="Q31" s="63" t="s">
        <v>20</v>
      </c>
      <c r="R31" s="56" t="s">
        <v>23</v>
      </c>
      <c r="S31" s="61"/>
      <c r="T31" s="61"/>
      <c r="U31" s="61"/>
      <c r="V31" s="61"/>
      <c r="W31" s="61"/>
      <c r="X31" s="61"/>
      <c r="Y31" s="61"/>
      <c r="Z31" s="61"/>
      <c r="AA31" s="61"/>
    </row>
    <row r="32" ht="15.75" customHeight="1">
      <c r="B32" s="62">
        <v>43873.0</v>
      </c>
      <c r="C32" s="60"/>
      <c r="D32" s="62"/>
      <c r="E32" s="58">
        <v>1393.14285714286</v>
      </c>
      <c r="F32" s="59">
        <v>0.0</v>
      </c>
      <c r="G32" s="58">
        <v>0.909090909090909</v>
      </c>
      <c r="H32" s="56" t="s">
        <v>21</v>
      </c>
      <c r="I32" s="56" t="s">
        <v>51</v>
      </c>
      <c r="J32" s="56" t="s">
        <v>68</v>
      </c>
      <c r="K32" s="56" t="s">
        <v>30</v>
      </c>
      <c r="L32" s="56" t="s">
        <v>19</v>
      </c>
      <c r="M32" s="56" t="s">
        <v>85</v>
      </c>
      <c r="N32" s="56" t="s">
        <v>69</v>
      </c>
      <c r="O32" s="58">
        <v>1266.4935064935087</v>
      </c>
      <c r="P32" s="58">
        <v>0.0</v>
      </c>
      <c r="Q32" s="56" t="s">
        <v>58</v>
      </c>
      <c r="R32" s="56" t="s">
        <v>23</v>
      </c>
      <c r="S32" s="61"/>
      <c r="T32" s="61"/>
      <c r="U32" s="61"/>
      <c r="V32" s="61"/>
      <c r="W32" s="61"/>
      <c r="X32" s="61"/>
      <c r="Y32" s="61"/>
      <c r="Z32" s="61"/>
      <c r="AA32" s="61"/>
    </row>
    <row r="33" ht="15.75" customHeight="1">
      <c r="B33" s="62">
        <v>43873.0</v>
      </c>
      <c r="C33" s="66"/>
      <c r="D33" s="79"/>
      <c r="E33" s="64">
        <v>0.0</v>
      </c>
      <c r="F33" s="65">
        <v>1393.14285714286</v>
      </c>
      <c r="G33" s="65">
        <v>0.909090909090909</v>
      </c>
      <c r="H33" s="63" t="s">
        <v>21</v>
      </c>
      <c r="I33" s="63" t="s">
        <v>55</v>
      </c>
      <c r="J33" s="56" t="s">
        <v>68</v>
      </c>
      <c r="K33" s="56" t="s">
        <v>30</v>
      </c>
      <c r="L33" s="63" t="s">
        <v>19</v>
      </c>
      <c r="M33" s="56" t="s">
        <v>85</v>
      </c>
      <c r="N33" s="56" t="s">
        <v>69</v>
      </c>
      <c r="O33" s="65">
        <v>0.0</v>
      </c>
      <c r="P33" s="65">
        <v>1266.4935064935087</v>
      </c>
      <c r="Q33" s="63" t="s">
        <v>20</v>
      </c>
      <c r="R33" s="56" t="s">
        <v>23</v>
      </c>
      <c r="S33" s="61"/>
      <c r="T33" s="61"/>
      <c r="U33" s="61"/>
      <c r="V33" s="61"/>
      <c r="W33" s="61"/>
      <c r="X33" s="61"/>
      <c r="Y33" s="61"/>
      <c r="Z33" s="61"/>
      <c r="AA33" s="61"/>
    </row>
    <row r="34" ht="15.75" customHeight="1">
      <c r="B34" s="62">
        <v>43873.0</v>
      </c>
      <c r="C34" s="60"/>
      <c r="D34" s="62"/>
      <c r="E34" s="58">
        <v>1752.38095238095</v>
      </c>
      <c r="F34" s="59">
        <v>0.0</v>
      </c>
      <c r="G34" s="58">
        <v>0.909090909090909</v>
      </c>
      <c r="H34" s="56" t="s">
        <v>21</v>
      </c>
      <c r="I34" s="56" t="s">
        <v>51</v>
      </c>
      <c r="J34" s="56" t="s">
        <v>68</v>
      </c>
      <c r="K34" s="56" t="s">
        <v>30</v>
      </c>
      <c r="L34" s="56" t="s">
        <v>19</v>
      </c>
      <c r="M34" s="56" t="s">
        <v>26</v>
      </c>
      <c r="N34" s="56" t="s">
        <v>69</v>
      </c>
      <c r="O34" s="58">
        <v>1593.0735930735905</v>
      </c>
      <c r="P34" s="58">
        <v>0.0</v>
      </c>
      <c r="Q34" s="56" t="s">
        <v>20</v>
      </c>
      <c r="R34" s="56" t="s">
        <v>18</v>
      </c>
      <c r="S34" s="61"/>
      <c r="T34" s="61"/>
      <c r="U34" s="61"/>
      <c r="V34" s="61"/>
      <c r="W34" s="61"/>
      <c r="X34" s="61"/>
      <c r="Y34" s="61"/>
      <c r="Z34" s="61"/>
      <c r="AA34" s="61"/>
    </row>
    <row r="35" ht="15.75" customHeight="1">
      <c r="B35" s="62">
        <v>43873.0</v>
      </c>
      <c r="C35" s="66"/>
      <c r="D35" s="79"/>
      <c r="E35" s="64">
        <v>0.0</v>
      </c>
      <c r="F35" s="65">
        <v>1752.38095238095</v>
      </c>
      <c r="G35" s="65">
        <v>0.909090909090909</v>
      </c>
      <c r="H35" s="63" t="s">
        <v>21</v>
      </c>
      <c r="I35" s="63" t="s">
        <v>55</v>
      </c>
      <c r="J35" s="56" t="s">
        <v>68</v>
      </c>
      <c r="K35" s="56" t="s">
        <v>30</v>
      </c>
      <c r="L35" s="63" t="s">
        <v>19</v>
      </c>
      <c r="M35" s="56" t="s">
        <v>26</v>
      </c>
      <c r="N35" s="56" t="s">
        <v>69</v>
      </c>
      <c r="O35" s="65">
        <v>0.0</v>
      </c>
      <c r="P35" s="65">
        <v>1593.0735930735905</v>
      </c>
      <c r="Q35" s="63" t="s">
        <v>58</v>
      </c>
      <c r="R35" s="56" t="s">
        <v>18</v>
      </c>
      <c r="S35" s="61"/>
      <c r="T35" s="61"/>
      <c r="U35" s="61"/>
      <c r="V35" s="61"/>
      <c r="W35" s="61"/>
      <c r="X35" s="61"/>
      <c r="Y35" s="61"/>
      <c r="Z35" s="61"/>
      <c r="AA35" s="61"/>
    </row>
    <row r="36" ht="15.75" customHeight="1">
      <c r="B36" s="62">
        <v>43873.0</v>
      </c>
      <c r="C36" s="60"/>
      <c r="D36" s="62"/>
      <c r="E36" s="58">
        <v>1095.2380952381</v>
      </c>
      <c r="F36" s="59">
        <v>0.0</v>
      </c>
      <c r="G36" s="58">
        <v>0.909090909090909</v>
      </c>
      <c r="H36" s="56" t="s">
        <v>21</v>
      </c>
      <c r="I36" s="56" t="s">
        <v>51</v>
      </c>
      <c r="J36" s="56" t="s">
        <v>68</v>
      </c>
      <c r="K36" s="56" t="s">
        <v>30</v>
      </c>
      <c r="L36" s="56" t="s">
        <v>19</v>
      </c>
      <c r="M36" s="56" t="s">
        <v>26</v>
      </c>
      <c r="N36" s="56" t="s">
        <v>69</v>
      </c>
      <c r="O36" s="58">
        <v>995.6709956709998</v>
      </c>
      <c r="P36" s="58">
        <v>0.0</v>
      </c>
      <c r="Q36" s="56" t="s">
        <v>58</v>
      </c>
      <c r="R36" s="56" t="s">
        <v>18</v>
      </c>
      <c r="S36" s="61"/>
      <c r="T36" s="61"/>
      <c r="U36" s="61"/>
      <c r="V36" s="61"/>
      <c r="W36" s="61"/>
      <c r="X36" s="61"/>
      <c r="Y36" s="61"/>
      <c r="Z36" s="61"/>
      <c r="AA36" s="61"/>
    </row>
    <row r="37" ht="15.75" customHeight="1">
      <c r="B37" s="62">
        <v>43873.0</v>
      </c>
      <c r="C37" s="66"/>
      <c r="D37" s="79"/>
      <c r="E37" s="64">
        <v>0.0</v>
      </c>
      <c r="F37" s="65">
        <v>1095.2380952381</v>
      </c>
      <c r="G37" s="65">
        <v>0.909090909090909</v>
      </c>
      <c r="H37" s="63" t="s">
        <v>21</v>
      </c>
      <c r="I37" s="63" t="s">
        <v>55</v>
      </c>
      <c r="J37" s="56" t="s">
        <v>68</v>
      </c>
      <c r="K37" s="56" t="s">
        <v>30</v>
      </c>
      <c r="L37" s="63" t="s">
        <v>19</v>
      </c>
      <c r="M37" s="56" t="s">
        <v>26</v>
      </c>
      <c r="N37" s="56" t="s">
        <v>69</v>
      </c>
      <c r="O37" s="65">
        <v>0.0</v>
      </c>
      <c r="P37" s="65">
        <v>995.6709956709998</v>
      </c>
      <c r="Q37" s="63" t="s">
        <v>20</v>
      </c>
      <c r="R37" s="56" t="s">
        <v>18</v>
      </c>
      <c r="S37" s="61"/>
      <c r="T37" s="61"/>
      <c r="U37" s="61"/>
      <c r="V37" s="61"/>
      <c r="W37" s="61"/>
      <c r="X37" s="61"/>
      <c r="Y37" s="61"/>
      <c r="Z37" s="61"/>
      <c r="AA37" s="61"/>
    </row>
    <row r="38" ht="15.75" customHeight="1">
      <c r="B38" s="62">
        <v>43873.0</v>
      </c>
      <c r="C38" s="60"/>
      <c r="D38" s="62"/>
      <c r="E38" s="58">
        <v>657.142857142856</v>
      </c>
      <c r="F38" s="59">
        <v>0.0</v>
      </c>
      <c r="G38" s="58">
        <v>0.909090909090909</v>
      </c>
      <c r="H38" s="56" t="s">
        <v>21</v>
      </c>
      <c r="I38" s="56" t="s">
        <v>51</v>
      </c>
      <c r="J38" s="56" t="s">
        <v>68</v>
      </c>
      <c r="K38" s="56" t="s">
        <v>30</v>
      </c>
      <c r="L38" s="56" t="s">
        <v>19</v>
      </c>
      <c r="M38" s="56" t="s">
        <v>85</v>
      </c>
      <c r="N38" s="56" t="s">
        <v>69</v>
      </c>
      <c r="O38" s="58">
        <v>597.4025974025963</v>
      </c>
      <c r="P38" s="58">
        <v>0.0</v>
      </c>
      <c r="Q38" s="56" t="s">
        <v>58</v>
      </c>
      <c r="R38" s="56" t="s">
        <v>18</v>
      </c>
      <c r="S38" s="61"/>
      <c r="T38" s="61"/>
      <c r="U38" s="61"/>
      <c r="V38" s="61"/>
      <c r="W38" s="61"/>
      <c r="X38" s="61"/>
      <c r="Y38" s="61"/>
      <c r="Z38" s="61"/>
      <c r="AA38" s="61"/>
    </row>
    <row r="39" ht="15.75" customHeight="1">
      <c r="B39" s="62">
        <v>43873.0</v>
      </c>
      <c r="C39" s="66"/>
      <c r="D39" s="79"/>
      <c r="E39" s="64">
        <v>0.0</v>
      </c>
      <c r="F39" s="65">
        <v>657.142857142856</v>
      </c>
      <c r="G39" s="65">
        <v>0.909090909090909</v>
      </c>
      <c r="H39" s="63" t="s">
        <v>21</v>
      </c>
      <c r="I39" s="63" t="s">
        <v>55</v>
      </c>
      <c r="J39" s="56" t="s">
        <v>68</v>
      </c>
      <c r="K39" s="56" t="s">
        <v>30</v>
      </c>
      <c r="L39" s="63" t="s">
        <v>19</v>
      </c>
      <c r="M39" s="56" t="s">
        <v>85</v>
      </c>
      <c r="N39" s="56" t="s">
        <v>69</v>
      </c>
      <c r="O39" s="65">
        <v>0.0</v>
      </c>
      <c r="P39" s="65">
        <v>597.4025974025963</v>
      </c>
      <c r="Q39" s="63" t="s">
        <v>20</v>
      </c>
      <c r="R39" s="56" t="s">
        <v>18</v>
      </c>
      <c r="S39" s="61"/>
      <c r="T39" s="61"/>
      <c r="U39" s="61"/>
      <c r="V39" s="61"/>
      <c r="W39" s="61"/>
      <c r="X39" s="61"/>
      <c r="Y39" s="61"/>
      <c r="Z39" s="61"/>
      <c r="AA39" s="61"/>
    </row>
    <row r="40" ht="15.75" customHeight="1">
      <c r="B40" s="62">
        <v>43873.0</v>
      </c>
      <c r="C40" s="60"/>
      <c r="D40" s="62"/>
      <c r="E40" s="58">
        <v>3644.95238095238</v>
      </c>
      <c r="F40" s="59">
        <v>0.0</v>
      </c>
      <c r="G40" s="58">
        <v>0.909090909090909</v>
      </c>
      <c r="H40" s="56" t="s">
        <v>21</v>
      </c>
      <c r="I40" s="56" t="s">
        <v>51</v>
      </c>
      <c r="J40" s="56" t="s">
        <v>68</v>
      </c>
      <c r="K40" s="56" t="s">
        <v>30</v>
      </c>
      <c r="L40" s="56" t="s">
        <v>19</v>
      </c>
      <c r="M40" s="56" t="s">
        <v>26</v>
      </c>
      <c r="N40" s="56" t="s">
        <v>69</v>
      </c>
      <c r="O40" s="58">
        <v>3313.593073593072</v>
      </c>
      <c r="P40" s="58">
        <v>0.0</v>
      </c>
      <c r="Q40" s="56" t="s">
        <v>20</v>
      </c>
      <c r="R40" s="56" t="s">
        <v>18</v>
      </c>
      <c r="S40" s="61"/>
      <c r="T40" s="61"/>
      <c r="U40" s="61"/>
      <c r="V40" s="61"/>
      <c r="W40" s="61"/>
      <c r="X40" s="61"/>
      <c r="Y40" s="61"/>
      <c r="Z40" s="61"/>
      <c r="AA40" s="61"/>
    </row>
    <row r="41" ht="15.75" customHeight="1">
      <c r="B41" s="62">
        <v>43873.0</v>
      </c>
      <c r="C41" s="66"/>
      <c r="D41" s="79"/>
      <c r="E41" s="64">
        <v>0.0</v>
      </c>
      <c r="F41" s="65">
        <v>3644.95238095238</v>
      </c>
      <c r="G41" s="65">
        <v>0.909090909090909</v>
      </c>
      <c r="H41" s="63" t="s">
        <v>21</v>
      </c>
      <c r="I41" s="63" t="s">
        <v>55</v>
      </c>
      <c r="J41" s="56" t="s">
        <v>68</v>
      </c>
      <c r="K41" s="56" t="s">
        <v>30</v>
      </c>
      <c r="L41" s="63" t="s">
        <v>19</v>
      </c>
      <c r="M41" s="56" t="s">
        <v>26</v>
      </c>
      <c r="N41" s="56" t="s">
        <v>69</v>
      </c>
      <c r="O41" s="65">
        <v>0.0</v>
      </c>
      <c r="P41" s="65">
        <v>3313.593073593072</v>
      </c>
      <c r="Q41" s="63" t="s">
        <v>58</v>
      </c>
      <c r="R41" s="56" t="s">
        <v>18</v>
      </c>
      <c r="S41" s="61"/>
      <c r="T41" s="61"/>
      <c r="U41" s="61"/>
      <c r="V41" s="61"/>
      <c r="W41" s="61"/>
      <c r="X41" s="61"/>
      <c r="Y41" s="61"/>
      <c r="Z41" s="61"/>
      <c r="AA41" s="61"/>
    </row>
    <row r="42" ht="15.75" customHeight="1">
      <c r="B42" s="62">
        <v>43873.0</v>
      </c>
      <c r="C42" s="60"/>
      <c r="D42" s="62"/>
      <c r="E42" s="58">
        <v>2278.09523809524</v>
      </c>
      <c r="F42" s="59">
        <v>0.0</v>
      </c>
      <c r="G42" s="58">
        <v>0.909090909090909</v>
      </c>
      <c r="H42" s="56" t="s">
        <v>21</v>
      </c>
      <c r="I42" s="56" t="s">
        <v>51</v>
      </c>
      <c r="J42" s="56" t="s">
        <v>68</v>
      </c>
      <c r="K42" s="56" t="s">
        <v>30</v>
      </c>
      <c r="L42" s="56" t="s">
        <v>19</v>
      </c>
      <c r="M42" s="56" t="s">
        <v>26</v>
      </c>
      <c r="N42" s="56" t="s">
        <v>69</v>
      </c>
      <c r="O42" s="58">
        <v>2070.9956709956723</v>
      </c>
      <c r="P42" s="58">
        <v>0.0</v>
      </c>
      <c r="Q42" s="56" t="s">
        <v>58</v>
      </c>
      <c r="R42" s="56" t="s">
        <v>18</v>
      </c>
      <c r="S42" s="61"/>
      <c r="T42" s="61"/>
      <c r="U42" s="61"/>
      <c r="V42" s="61"/>
      <c r="W42" s="61"/>
      <c r="X42" s="61"/>
      <c r="Y42" s="61"/>
      <c r="Z42" s="61"/>
      <c r="AA42" s="61"/>
    </row>
    <row r="43" ht="15.75" customHeight="1">
      <c r="B43" s="62">
        <v>43873.0</v>
      </c>
      <c r="C43" s="66"/>
      <c r="D43" s="79"/>
      <c r="E43" s="64">
        <v>0.0</v>
      </c>
      <c r="F43" s="65">
        <v>2278.09523809524</v>
      </c>
      <c r="G43" s="65">
        <v>0.909090909090909</v>
      </c>
      <c r="H43" s="63" t="s">
        <v>21</v>
      </c>
      <c r="I43" s="63" t="s">
        <v>55</v>
      </c>
      <c r="J43" s="56" t="s">
        <v>68</v>
      </c>
      <c r="K43" s="56" t="s">
        <v>30</v>
      </c>
      <c r="L43" s="63" t="s">
        <v>19</v>
      </c>
      <c r="M43" s="56" t="s">
        <v>26</v>
      </c>
      <c r="N43" s="56" t="s">
        <v>69</v>
      </c>
      <c r="O43" s="65">
        <v>0.0</v>
      </c>
      <c r="P43" s="65">
        <v>2070.9956709956723</v>
      </c>
      <c r="Q43" s="63" t="s">
        <v>20</v>
      </c>
      <c r="R43" s="56" t="s">
        <v>18</v>
      </c>
      <c r="S43" s="61"/>
      <c r="T43" s="61"/>
      <c r="U43" s="61"/>
      <c r="V43" s="61"/>
      <c r="W43" s="61"/>
      <c r="X43" s="61"/>
      <c r="Y43" s="61"/>
      <c r="Z43" s="61"/>
      <c r="AA43" s="61"/>
    </row>
    <row r="44" ht="15.75" customHeight="1">
      <c r="B44" s="62">
        <v>43873.0</v>
      </c>
      <c r="C44" s="60"/>
      <c r="D44" s="62"/>
      <c r="E44" s="58">
        <v>1366.85714285714</v>
      </c>
      <c r="F44" s="59">
        <v>0.0</v>
      </c>
      <c r="G44" s="58">
        <v>0.909090909090909</v>
      </c>
      <c r="H44" s="56" t="s">
        <v>21</v>
      </c>
      <c r="I44" s="56" t="s">
        <v>51</v>
      </c>
      <c r="J44" s="56" t="s">
        <v>68</v>
      </c>
      <c r="K44" s="56" t="s">
        <v>30</v>
      </c>
      <c r="L44" s="56" t="s">
        <v>19</v>
      </c>
      <c r="M44" s="56" t="s">
        <v>85</v>
      </c>
      <c r="N44" s="56" t="s">
        <v>69</v>
      </c>
      <c r="O44" s="58">
        <v>1242.5974025973997</v>
      </c>
      <c r="P44" s="58">
        <v>0.0</v>
      </c>
      <c r="Q44" s="56" t="s">
        <v>58</v>
      </c>
      <c r="R44" s="56" t="s">
        <v>18</v>
      </c>
      <c r="S44" s="61"/>
      <c r="T44" s="61"/>
      <c r="U44" s="61"/>
      <c r="V44" s="61"/>
      <c r="W44" s="61"/>
      <c r="X44" s="61"/>
      <c r="Y44" s="61"/>
      <c r="Z44" s="61"/>
      <c r="AA44" s="61"/>
    </row>
    <row r="45" ht="15.75" customHeight="1">
      <c r="B45" s="62">
        <v>43873.0</v>
      </c>
      <c r="C45" s="66"/>
      <c r="D45" s="79"/>
      <c r="E45" s="64">
        <v>0.0</v>
      </c>
      <c r="F45" s="65">
        <v>1366.85714285714</v>
      </c>
      <c r="G45" s="65">
        <v>0.909090909090909</v>
      </c>
      <c r="H45" s="63" t="s">
        <v>21</v>
      </c>
      <c r="I45" s="63" t="s">
        <v>55</v>
      </c>
      <c r="J45" s="56" t="s">
        <v>68</v>
      </c>
      <c r="K45" s="56" t="s">
        <v>30</v>
      </c>
      <c r="L45" s="63" t="s">
        <v>19</v>
      </c>
      <c r="M45" s="56" t="s">
        <v>85</v>
      </c>
      <c r="N45" s="56" t="s">
        <v>69</v>
      </c>
      <c r="O45" s="65">
        <v>0.0</v>
      </c>
      <c r="P45" s="65">
        <v>1242.5974025973997</v>
      </c>
      <c r="Q45" s="63" t="s">
        <v>20</v>
      </c>
      <c r="R45" s="56" t="s">
        <v>18</v>
      </c>
      <c r="S45" s="61"/>
      <c r="T45" s="61"/>
      <c r="U45" s="61"/>
      <c r="V45" s="61"/>
      <c r="W45" s="61"/>
      <c r="X45" s="61"/>
      <c r="Y45" s="61"/>
      <c r="Z45" s="61"/>
      <c r="AA45" s="61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4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IFERROR(__xludf.DUMMYFUNCTION("""COMPUTED_VALUE"""),"CalculateDayEndCash")</f>
        <v>CalculateDayEndCash</v>
      </c>
      <c r="BA4" s="25" t="str">
        <f>IFERROR(__xludf.DUMMYFUNCTION("""COMPUTED_VALUE"""),"CalculateDayEndCash")</f>
        <v>CalculateDayEndCash</v>
      </c>
      <c r="BB4" s="25" t="str">
        <f>IFERROR(__xludf.DUMMYFUNCTION("""COMPUTED_VALUE"""),"VerifyOpeningBalanceData")</f>
        <v>VerifyOpeningBalanceData</v>
      </c>
      <c r="BC4" s="25" t="str">
        <f>IFERROR(__xludf.DUMMYFUNCTION("""COMPUTED_VALUE"""),"VerifyAccountBalances")</f>
        <v>VerifyAccountBalances</v>
      </c>
      <c r="BD4" s="25" t="str">
        <f>IFERROR(__xludf.DUMMYFUNCTION("""COMPUTED_VALUE"""),"AddMultipleOpeningBalTranItem")</f>
        <v>AddMultipleOpeningBalTranItem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67" t="s">
        <v>23</v>
      </c>
      <c r="C6" s="56" t="s">
        <v>52</v>
      </c>
      <c r="D6" s="57" t="s">
        <v>72</v>
      </c>
      <c r="E6" s="58">
        <v>259.95</v>
      </c>
      <c r="F6" s="58">
        <v>0.0</v>
      </c>
      <c r="G6" s="58">
        <v>0.0</v>
      </c>
      <c r="H6" s="56" t="s">
        <v>73</v>
      </c>
      <c r="I6" s="58">
        <v>0.0</v>
      </c>
      <c r="J6" s="58">
        <v>0.0</v>
      </c>
      <c r="K6" s="56" t="s">
        <v>30</v>
      </c>
      <c r="L6" s="56" t="s">
        <v>53</v>
      </c>
      <c r="M6" s="60"/>
      <c r="N6" s="56" t="s">
        <v>21</v>
      </c>
      <c r="O6" s="58">
        <v>0.6666666666666666</v>
      </c>
      <c r="P6" s="56" t="s">
        <v>74</v>
      </c>
      <c r="Q6" s="60"/>
      <c r="R6" s="58">
        <v>0.0</v>
      </c>
      <c r="S6" s="58">
        <v>0.0</v>
      </c>
      <c r="T6" s="58">
        <v>0.0</v>
      </c>
      <c r="U6" s="58">
        <v>0.0</v>
      </c>
      <c r="V6" s="58">
        <v>0.0</v>
      </c>
      <c r="W6" s="58">
        <v>0.0</v>
      </c>
      <c r="X6" s="56" t="s">
        <v>74</v>
      </c>
      <c r="Y6" s="62"/>
      <c r="Z6" s="58">
        <v>0.0</v>
      </c>
      <c r="AA6" s="58">
        <v>0.0</v>
      </c>
      <c r="AB6" s="56" t="s">
        <v>26</v>
      </c>
      <c r="AC6" s="58">
        <v>0.0</v>
      </c>
      <c r="AD6" s="58">
        <v>0.0</v>
      </c>
      <c r="AE6" s="62">
        <v>43871.0</v>
      </c>
      <c r="AF6" s="58">
        <v>0.0</v>
      </c>
      <c r="AG6" s="68" t="s">
        <v>52</v>
      </c>
    </row>
    <row r="7" ht="15.75" customHeight="1">
      <c r="A7" s="8"/>
      <c r="B7" s="69" t="s">
        <v>23</v>
      </c>
      <c r="C7" s="69" t="s">
        <v>52</v>
      </c>
      <c r="D7" s="69" t="s">
        <v>72</v>
      </c>
      <c r="E7" s="70">
        <v>-900.62</v>
      </c>
      <c r="F7" s="70">
        <v>0.0</v>
      </c>
      <c r="G7" s="70">
        <v>0.0</v>
      </c>
      <c r="H7" s="69" t="s">
        <v>73</v>
      </c>
      <c r="I7" s="70">
        <v>0.0</v>
      </c>
      <c r="J7" s="70">
        <v>0.0</v>
      </c>
      <c r="K7" s="69" t="s">
        <v>19</v>
      </c>
      <c r="L7" s="69" t="s">
        <v>53</v>
      </c>
      <c r="M7" s="71"/>
      <c r="N7" s="69" t="s">
        <v>21</v>
      </c>
      <c r="O7" s="70">
        <v>1.0</v>
      </c>
      <c r="P7" s="69" t="s">
        <v>74</v>
      </c>
      <c r="Q7" s="71"/>
      <c r="R7" s="70">
        <v>0.0</v>
      </c>
      <c r="S7" s="70">
        <v>0.0</v>
      </c>
      <c r="T7" s="70">
        <v>0.0</v>
      </c>
      <c r="U7" s="70">
        <v>0.0</v>
      </c>
      <c r="V7" s="70">
        <v>0.0</v>
      </c>
      <c r="W7" s="70">
        <v>0.0</v>
      </c>
      <c r="X7" s="69" t="s">
        <v>74</v>
      </c>
      <c r="Y7" s="72"/>
      <c r="Z7" s="70">
        <v>0.0</v>
      </c>
      <c r="AA7" s="70">
        <v>0.0</v>
      </c>
      <c r="AB7" s="69" t="s">
        <v>30</v>
      </c>
      <c r="AC7" s="70">
        <v>0.0</v>
      </c>
      <c r="AD7" s="70">
        <v>0.0</v>
      </c>
      <c r="AE7" s="72">
        <v>43871.0</v>
      </c>
      <c r="AF7" s="70">
        <v>0.0</v>
      </c>
      <c r="AG7" s="73" t="s">
        <v>52</v>
      </c>
    </row>
    <row r="8" ht="15.75" customHeight="1">
      <c r="A8" s="8"/>
      <c r="B8" s="56" t="s">
        <v>18</v>
      </c>
      <c r="C8" s="56" t="s">
        <v>52</v>
      </c>
      <c r="D8" s="56" t="s">
        <v>72</v>
      </c>
      <c r="E8" s="58">
        <v>255.05</v>
      </c>
      <c r="F8" s="58">
        <v>0.0</v>
      </c>
      <c r="G8" s="58">
        <v>0.0</v>
      </c>
      <c r="H8" s="56" t="s">
        <v>73</v>
      </c>
      <c r="I8" s="58">
        <v>0.0</v>
      </c>
      <c r="J8" s="58">
        <v>0.0</v>
      </c>
      <c r="K8" s="56" t="s">
        <v>30</v>
      </c>
      <c r="L8" s="56" t="s">
        <v>53</v>
      </c>
      <c r="M8" s="60"/>
      <c r="N8" s="56" t="s">
        <v>21</v>
      </c>
      <c r="O8" s="58">
        <v>0.6666666666666666</v>
      </c>
      <c r="P8" s="56" t="s">
        <v>74</v>
      </c>
      <c r="Q8" s="60"/>
      <c r="R8" s="58">
        <v>0.0</v>
      </c>
      <c r="S8" s="58">
        <v>0.0</v>
      </c>
      <c r="T8" s="58">
        <v>0.0</v>
      </c>
      <c r="U8" s="58">
        <v>0.0</v>
      </c>
      <c r="V8" s="58">
        <v>0.0</v>
      </c>
      <c r="W8" s="58">
        <v>0.0</v>
      </c>
      <c r="X8" s="56" t="s">
        <v>74</v>
      </c>
      <c r="Y8" s="62"/>
      <c r="Z8" s="58">
        <v>0.0</v>
      </c>
      <c r="AA8" s="58">
        <v>0.0</v>
      </c>
      <c r="AB8" s="56" t="s">
        <v>26</v>
      </c>
      <c r="AC8" s="58">
        <v>0.0</v>
      </c>
      <c r="AD8" s="58">
        <v>0.0</v>
      </c>
      <c r="AE8" s="62">
        <v>43871.0</v>
      </c>
      <c r="AF8" s="58">
        <v>0.0</v>
      </c>
      <c r="AG8" s="68" t="s">
        <v>52</v>
      </c>
    </row>
    <row r="9" ht="15.75" customHeight="1">
      <c r="A9" s="8"/>
      <c r="B9" s="69" t="s">
        <v>18</v>
      </c>
      <c r="C9" s="69" t="s">
        <v>52</v>
      </c>
      <c r="D9" s="69" t="s">
        <v>72</v>
      </c>
      <c r="E9" s="70">
        <v>-883.62</v>
      </c>
      <c r="F9" s="70">
        <v>0.0</v>
      </c>
      <c r="G9" s="70">
        <v>0.0</v>
      </c>
      <c r="H9" s="69" t="s">
        <v>73</v>
      </c>
      <c r="I9" s="70">
        <v>0.0</v>
      </c>
      <c r="J9" s="70">
        <v>0.0</v>
      </c>
      <c r="K9" s="69" t="s">
        <v>19</v>
      </c>
      <c r="L9" s="69" t="s">
        <v>53</v>
      </c>
      <c r="M9" s="71"/>
      <c r="N9" s="69" t="s">
        <v>21</v>
      </c>
      <c r="O9" s="70">
        <v>1.0</v>
      </c>
      <c r="P9" s="69" t="s">
        <v>74</v>
      </c>
      <c r="Q9" s="71"/>
      <c r="R9" s="70">
        <v>0.0</v>
      </c>
      <c r="S9" s="70">
        <v>0.0</v>
      </c>
      <c r="T9" s="70">
        <v>0.0</v>
      </c>
      <c r="U9" s="70">
        <v>0.0</v>
      </c>
      <c r="V9" s="70">
        <v>0.0</v>
      </c>
      <c r="W9" s="70">
        <v>0.0</v>
      </c>
      <c r="X9" s="69" t="s">
        <v>74</v>
      </c>
      <c r="Y9" s="72"/>
      <c r="Z9" s="70">
        <v>0.0</v>
      </c>
      <c r="AA9" s="70">
        <v>0.0</v>
      </c>
      <c r="AB9" s="69" t="s">
        <v>30</v>
      </c>
      <c r="AC9" s="70">
        <v>0.0</v>
      </c>
      <c r="AD9" s="70">
        <v>0.0</v>
      </c>
      <c r="AE9" s="72">
        <v>43871.0</v>
      </c>
      <c r="AF9" s="70">
        <v>0.0</v>
      </c>
      <c r="AG9" s="73" t="s">
        <v>52</v>
      </c>
    </row>
    <row r="10" ht="15.75" customHeight="1">
      <c r="A10" s="8"/>
      <c r="B10" s="56" t="s">
        <v>18</v>
      </c>
      <c r="C10" s="56" t="s">
        <v>75</v>
      </c>
      <c r="D10" s="56" t="s">
        <v>76</v>
      </c>
      <c r="E10" s="58">
        <v>500000.0</v>
      </c>
      <c r="F10" s="58">
        <v>0.0</v>
      </c>
      <c r="G10" s="58">
        <v>0.0</v>
      </c>
      <c r="H10" s="56" t="s">
        <v>73</v>
      </c>
      <c r="I10" s="58">
        <v>0.0</v>
      </c>
      <c r="J10" s="58">
        <v>0.0</v>
      </c>
      <c r="K10" s="56" t="s">
        <v>19</v>
      </c>
      <c r="L10" s="56" t="s">
        <v>77</v>
      </c>
      <c r="M10" s="60"/>
      <c r="N10" s="56" t="s">
        <v>21</v>
      </c>
      <c r="O10" s="58">
        <v>1.0</v>
      </c>
      <c r="P10" s="56" t="s">
        <v>74</v>
      </c>
      <c r="Q10" s="60"/>
      <c r="R10" s="58">
        <v>0.0</v>
      </c>
      <c r="S10" s="58">
        <v>0.0</v>
      </c>
      <c r="T10" s="58">
        <v>0.0</v>
      </c>
      <c r="U10" s="58">
        <v>0.0</v>
      </c>
      <c r="V10" s="58">
        <v>0.0</v>
      </c>
      <c r="W10" s="58">
        <v>0.0</v>
      </c>
      <c r="X10" s="56" t="s">
        <v>74</v>
      </c>
      <c r="Y10" s="62"/>
      <c r="Z10" s="58">
        <v>0.0</v>
      </c>
      <c r="AA10" s="58">
        <v>0.0</v>
      </c>
      <c r="AB10" s="56" t="s">
        <v>74</v>
      </c>
      <c r="AC10" s="58">
        <v>0.0</v>
      </c>
      <c r="AD10" s="58">
        <v>0.0</v>
      </c>
      <c r="AE10" s="62">
        <v>43871.0</v>
      </c>
      <c r="AF10" s="58">
        <v>0.0</v>
      </c>
      <c r="AG10" s="68" t="s">
        <v>78</v>
      </c>
    </row>
    <row r="11" ht="15.75" customHeight="1">
      <c r="A11" s="8"/>
      <c r="B11" s="69" t="s">
        <v>23</v>
      </c>
      <c r="C11" s="69" t="s">
        <v>75</v>
      </c>
      <c r="D11" s="69" t="s">
        <v>76</v>
      </c>
      <c r="E11" s="70">
        <v>500000.0</v>
      </c>
      <c r="F11" s="70">
        <v>0.0</v>
      </c>
      <c r="G11" s="70">
        <v>0.0</v>
      </c>
      <c r="H11" s="69" t="s">
        <v>73</v>
      </c>
      <c r="I11" s="70">
        <v>0.0</v>
      </c>
      <c r="J11" s="70">
        <v>0.0</v>
      </c>
      <c r="K11" s="69" t="s">
        <v>19</v>
      </c>
      <c r="L11" s="69" t="s">
        <v>77</v>
      </c>
      <c r="M11" s="71"/>
      <c r="N11" s="69" t="s">
        <v>21</v>
      </c>
      <c r="O11" s="70">
        <v>1.0</v>
      </c>
      <c r="P11" s="69" t="s">
        <v>74</v>
      </c>
      <c r="Q11" s="71"/>
      <c r="R11" s="70">
        <v>0.0</v>
      </c>
      <c r="S11" s="70">
        <v>0.0</v>
      </c>
      <c r="T11" s="70">
        <v>0.0</v>
      </c>
      <c r="U11" s="70">
        <v>0.0</v>
      </c>
      <c r="V11" s="70">
        <v>0.0</v>
      </c>
      <c r="W11" s="70">
        <v>0.0</v>
      </c>
      <c r="X11" s="69" t="s">
        <v>74</v>
      </c>
      <c r="Y11" s="72"/>
      <c r="Z11" s="70">
        <v>0.0</v>
      </c>
      <c r="AA11" s="70">
        <v>0.0</v>
      </c>
      <c r="AB11" s="69" t="s">
        <v>74</v>
      </c>
      <c r="AC11" s="70">
        <v>0.0</v>
      </c>
      <c r="AD11" s="70">
        <v>0.0</v>
      </c>
      <c r="AE11" s="72">
        <v>43871.0</v>
      </c>
      <c r="AF11" s="70">
        <v>0.0</v>
      </c>
      <c r="AG11" s="73" t="s">
        <v>78</v>
      </c>
    </row>
    <row r="12" ht="15.75" customHeight="1">
      <c r="A12" s="8"/>
      <c r="B12" s="56" t="s">
        <v>18</v>
      </c>
      <c r="C12" s="56" t="s">
        <v>52</v>
      </c>
      <c r="D12" s="56" t="s">
        <v>79</v>
      </c>
      <c r="E12" s="58">
        <v>3644.95238095238</v>
      </c>
      <c r="F12" s="58">
        <v>0.0</v>
      </c>
      <c r="G12" s="58">
        <v>0.0</v>
      </c>
      <c r="H12" s="56" t="s">
        <v>73</v>
      </c>
      <c r="I12" s="58">
        <v>0.0</v>
      </c>
      <c r="J12" s="58">
        <v>0.0</v>
      </c>
      <c r="K12" s="56" t="s">
        <v>30</v>
      </c>
      <c r="L12" s="56" t="s">
        <v>61</v>
      </c>
      <c r="M12" s="60"/>
      <c r="N12" s="56" t="s">
        <v>60</v>
      </c>
      <c r="O12" s="58">
        <v>1.1</v>
      </c>
      <c r="P12" s="56" t="s">
        <v>74</v>
      </c>
      <c r="Q12" s="60"/>
      <c r="R12" s="58">
        <v>0.0</v>
      </c>
      <c r="S12" s="58">
        <v>0.0</v>
      </c>
      <c r="T12" s="58">
        <v>0.0</v>
      </c>
      <c r="U12" s="58">
        <v>0.0</v>
      </c>
      <c r="V12" s="58">
        <v>0.0</v>
      </c>
      <c r="W12" s="58">
        <v>0.0</v>
      </c>
      <c r="X12" s="56" t="s">
        <v>74</v>
      </c>
      <c r="Y12" s="62"/>
      <c r="Z12" s="58">
        <v>0.0</v>
      </c>
      <c r="AA12" s="58">
        <v>0.0</v>
      </c>
      <c r="AB12" s="56" t="s">
        <v>26</v>
      </c>
      <c r="AC12" s="58">
        <v>0.0</v>
      </c>
      <c r="AD12" s="58">
        <v>0.0</v>
      </c>
      <c r="AE12" s="62">
        <v>43871.0</v>
      </c>
      <c r="AF12" s="58">
        <v>0.0</v>
      </c>
      <c r="AG12" s="68" t="s">
        <v>52</v>
      </c>
    </row>
    <row r="13" ht="15.75" customHeight="1">
      <c r="A13" s="8"/>
      <c r="B13" s="69" t="s">
        <v>23</v>
      </c>
      <c r="C13" s="69" t="s">
        <v>52</v>
      </c>
      <c r="D13" s="69" t="s">
        <v>79</v>
      </c>
      <c r="E13" s="70">
        <v>3715.04761904762</v>
      </c>
      <c r="F13" s="70">
        <v>0.0</v>
      </c>
      <c r="G13" s="70">
        <v>0.0</v>
      </c>
      <c r="H13" s="69" t="s">
        <v>73</v>
      </c>
      <c r="I13" s="70">
        <v>0.0</v>
      </c>
      <c r="J13" s="70">
        <v>0.0</v>
      </c>
      <c r="K13" s="69" t="s">
        <v>30</v>
      </c>
      <c r="L13" s="69" t="s">
        <v>61</v>
      </c>
      <c r="M13" s="71"/>
      <c r="N13" s="69" t="s">
        <v>60</v>
      </c>
      <c r="O13" s="70">
        <v>1.1</v>
      </c>
      <c r="P13" s="69" t="s">
        <v>74</v>
      </c>
      <c r="Q13" s="71"/>
      <c r="R13" s="70">
        <v>0.0</v>
      </c>
      <c r="S13" s="70">
        <v>0.0</v>
      </c>
      <c r="T13" s="70">
        <v>0.0</v>
      </c>
      <c r="U13" s="70">
        <v>0.0</v>
      </c>
      <c r="V13" s="70">
        <v>0.0</v>
      </c>
      <c r="W13" s="70">
        <v>0.0</v>
      </c>
      <c r="X13" s="69" t="s">
        <v>74</v>
      </c>
      <c r="Y13" s="72"/>
      <c r="Z13" s="70">
        <v>0.0</v>
      </c>
      <c r="AA13" s="70">
        <v>0.0</v>
      </c>
      <c r="AB13" s="69" t="s">
        <v>26</v>
      </c>
      <c r="AC13" s="70">
        <v>0.0</v>
      </c>
      <c r="AD13" s="70">
        <v>0.0</v>
      </c>
      <c r="AE13" s="72">
        <v>43871.0</v>
      </c>
      <c r="AF13" s="70">
        <v>0.0</v>
      </c>
      <c r="AG13" s="73" t="s">
        <v>52</v>
      </c>
    </row>
    <row r="14" ht="15.75" customHeight="1">
      <c r="A14" s="8"/>
      <c r="B14" s="56" t="s">
        <v>18</v>
      </c>
      <c r="C14" s="56" t="s">
        <v>52</v>
      </c>
      <c r="D14" s="56" t="s">
        <v>79</v>
      </c>
      <c r="E14" s="58">
        <v>-3644.95238095238</v>
      </c>
      <c r="F14" s="58">
        <v>0.0</v>
      </c>
      <c r="G14" s="58">
        <v>0.0</v>
      </c>
      <c r="H14" s="56" t="s">
        <v>73</v>
      </c>
      <c r="I14" s="58">
        <v>0.0</v>
      </c>
      <c r="J14" s="58">
        <v>0.0</v>
      </c>
      <c r="K14" s="56" t="s">
        <v>30</v>
      </c>
      <c r="L14" s="56" t="s">
        <v>63</v>
      </c>
      <c r="M14" s="60"/>
      <c r="N14" s="56" t="s">
        <v>21</v>
      </c>
      <c r="O14" s="58">
        <v>0.6666666666666666</v>
      </c>
      <c r="P14" s="56" t="s">
        <v>74</v>
      </c>
      <c r="Q14" s="60"/>
      <c r="R14" s="58">
        <v>0.0</v>
      </c>
      <c r="S14" s="58">
        <v>0.0</v>
      </c>
      <c r="T14" s="58">
        <v>0.0</v>
      </c>
      <c r="U14" s="58">
        <v>0.0</v>
      </c>
      <c r="V14" s="58">
        <v>0.0</v>
      </c>
      <c r="W14" s="58">
        <v>0.0</v>
      </c>
      <c r="X14" s="56" t="s">
        <v>74</v>
      </c>
      <c r="Y14" s="62"/>
      <c r="Z14" s="58">
        <v>0.0</v>
      </c>
      <c r="AA14" s="58">
        <v>0.0</v>
      </c>
      <c r="AB14" s="56" t="s">
        <v>26</v>
      </c>
      <c r="AC14" s="58">
        <v>0.0</v>
      </c>
      <c r="AD14" s="58">
        <v>0.0</v>
      </c>
      <c r="AE14" s="62">
        <v>43871.0</v>
      </c>
      <c r="AF14" s="58">
        <v>0.0</v>
      </c>
      <c r="AG14" s="68" t="s">
        <v>52</v>
      </c>
    </row>
    <row r="15" ht="15.75" customHeight="1">
      <c r="A15" s="8"/>
      <c r="B15" s="69" t="s">
        <v>23</v>
      </c>
      <c r="C15" s="69" t="s">
        <v>52</v>
      </c>
      <c r="D15" s="69" t="s">
        <v>79</v>
      </c>
      <c r="E15" s="70">
        <v>-3715.04761904762</v>
      </c>
      <c r="F15" s="70">
        <v>0.0</v>
      </c>
      <c r="G15" s="70">
        <v>0.0</v>
      </c>
      <c r="H15" s="69" t="s">
        <v>73</v>
      </c>
      <c r="I15" s="70">
        <v>0.0</v>
      </c>
      <c r="J15" s="70">
        <v>0.0</v>
      </c>
      <c r="K15" s="69" t="s">
        <v>30</v>
      </c>
      <c r="L15" s="69" t="s">
        <v>63</v>
      </c>
      <c r="M15" s="71"/>
      <c r="N15" s="69" t="s">
        <v>21</v>
      </c>
      <c r="O15" s="70">
        <v>0.6666666666666666</v>
      </c>
      <c r="P15" s="69" t="s">
        <v>74</v>
      </c>
      <c r="Q15" s="71"/>
      <c r="R15" s="70">
        <v>0.0</v>
      </c>
      <c r="S15" s="70">
        <v>0.0</v>
      </c>
      <c r="T15" s="70">
        <v>0.0</v>
      </c>
      <c r="U15" s="70">
        <v>0.0</v>
      </c>
      <c r="V15" s="70">
        <v>0.0</v>
      </c>
      <c r="W15" s="70">
        <v>0.0</v>
      </c>
      <c r="X15" s="69" t="s">
        <v>74</v>
      </c>
      <c r="Y15" s="72"/>
      <c r="Z15" s="70">
        <v>0.0</v>
      </c>
      <c r="AA15" s="70">
        <v>0.0</v>
      </c>
      <c r="AB15" s="69" t="s">
        <v>26</v>
      </c>
      <c r="AC15" s="70">
        <v>0.0</v>
      </c>
      <c r="AD15" s="70">
        <v>0.0</v>
      </c>
      <c r="AE15" s="72">
        <v>43871.0</v>
      </c>
      <c r="AF15" s="70">
        <v>0.0</v>
      </c>
      <c r="AG15" s="73" t="s">
        <v>52</v>
      </c>
    </row>
    <row r="16" ht="15.75" customHeight="1">
      <c r="A16" s="8"/>
      <c r="B16" s="56" t="s">
        <v>18</v>
      </c>
      <c r="C16" s="56" t="s">
        <v>68</v>
      </c>
      <c r="D16" s="56" t="s">
        <v>80</v>
      </c>
      <c r="E16" s="58">
        <v>-3644.95238095238</v>
      </c>
      <c r="F16" s="58">
        <v>0.0</v>
      </c>
      <c r="G16" s="58">
        <v>0.0</v>
      </c>
      <c r="H16" s="56" t="s">
        <v>73</v>
      </c>
      <c r="I16" s="58">
        <v>0.0</v>
      </c>
      <c r="J16" s="58">
        <v>1.238095238095</v>
      </c>
      <c r="K16" s="56" t="s">
        <v>30</v>
      </c>
      <c r="L16" s="56" t="s">
        <v>69</v>
      </c>
      <c r="M16" s="60"/>
      <c r="N16" s="56" t="s">
        <v>60</v>
      </c>
      <c r="O16" s="58">
        <v>1.1</v>
      </c>
      <c r="P16" s="56" t="s">
        <v>74</v>
      </c>
      <c r="Q16" s="60"/>
      <c r="R16" s="58">
        <v>0.0</v>
      </c>
      <c r="S16" s="58">
        <v>0.0</v>
      </c>
      <c r="T16" s="58">
        <v>0.0</v>
      </c>
      <c r="U16" s="58">
        <v>0.0</v>
      </c>
      <c r="V16" s="58">
        <v>52.0</v>
      </c>
      <c r="W16" s="58">
        <v>0.0</v>
      </c>
      <c r="X16" s="68" t="s">
        <v>30</v>
      </c>
      <c r="Y16" s="60"/>
      <c r="Z16" s="58">
        <v>3.714285714285</v>
      </c>
      <c r="AA16" s="58">
        <v>0.0</v>
      </c>
      <c r="AB16" s="56" t="s">
        <v>26</v>
      </c>
      <c r="AC16" s="58">
        <v>0.0</v>
      </c>
      <c r="AD16" s="58">
        <v>4.95238095238</v>
      </c>
      <c r="AE16" s="62">
        <v>43871.0</v>
      </c>
      <c r="AF16" s="58">
        <v>0.0</v>
      </c>
      <c r="AG16" s="68" t="s">
        <v>68</v>
      </c>
    </row>
    <row r="17" ht="15.75" customHeight="1">
      <c r="A17" s="8"/>
      <c r="B17" s="69" t="s">
        <v>23</v>
      </c>
      <c r="C17" s="69" t="s">
        <v>68</v>
      </c>
      <c r="D17" s="69" t="s">
        <v>80</v>
      </c>
      <c r="E17" s="70">
        <v>-3715.04761904762</v>
      </c>
      <c r="F17" s="70">
        <v>0.0</v>
      </c>
      <c r="G17" s="70">
        <v>0.0</v>
      </c>
      <c r="H17" s="69" t="s">
        <v>73</v>
      </c>
      <c r="I17" s="70">
        <v>0.0</v>
      </c>
      <c r="J17" s="70">
        <v>1.261904761905</v>
      </c>
      <c r="K17" s="69" t="s">
        <v>30</v>
      </c>
      <c r="L17" s="69" t="s">
        <v>69</v>
      </c>
      <c r="M17" s="71"/>
      <c r="N17" s="69" t="s">
        <v>60</v>
      </c>
      <c r="O17" s="70">
        <v>1.1</v>
      </c>
      <c r="P17" s="69" t="s">
        <v>74</v>
      </c>
      <c r="Q17" s="71"/>
      <c r="R17" s="70">
        <v>0.0</v>
      </c>
      <c r="S17" s="70">
        <v>0.0</v>
      </c>
      <c r="T17" s="70">
        <v>0.0</v>
      </c>
      <c r="U17" s="70">
        <v>0.0</v>
      </c>
      <c r="V17" s="70">
        <v>53.0</v>
      </c>
      <c r="W17" s="70">
        <v>0.0</v>
      </c>
      <c r="X17" s="73" t="s">
        <v>30</v>
      </c>
      <c r="Y17" s="71"/>
      <c r="Z17" s="70">
        <v>3.785714285715</v>
      </c>
      <c r="AA17" s="70">
        <v>0.0</v>
      </c>
      <c r="AB17" s="69" t="s">
        <v>26</v>
      </c>
      <c r="AC17" s="70">
        <v>0.0</v>
      </c>
      <c r="AD17" s="70">
        <v>5.04761904762</v>
      </c>
      <c r="AE17" s="72">
        <v>43871.0</v>
      </c>
      <c r="AF17" s="70">
        <v>0.0</v>
      </c>
      <c r="AG17" s="73" t="s">
        <v>68</v>
      </c>
    </row>
    <row r="18" ht="15.75" customHeight="1">
      <c r="A18" s="8"/>
      <c r="B18" s="56" t="s">
        <v>23</v>
      </c>
      <c r="C18" s="56" t="s">
        <v>52</v>
      </c>
      <c r="D18" s="56" t="s">
        <v>81</v>
      </c>
      <c r="E18" s="58">
        <v>-2.67</v>
      </c>
      <c r="F18" s="58">
        <v>0.0</v>
      </c>
      <c r="G18" s="58">
        <v>0.0</v>
      </c>
      <c r="H18" s="56" t="s">
        <v>73</v>
      </c>
      <c r="I18" s="58">
        <v>0.0</v>
      </c>
      <c r="J18" s="58">
        <v>0.0</v>
      </c>
      <c r="K18" s="56" t="s">
        <v>30</v>
      </c>
      <c r="L18" s="56" t="s">
        <v>57</v>
      </c>
      <c r="M18" s="60"/>
      <c r="N18" s="56" t="s">
        <v>21</v>
      </c>
      <c r="O18" s="58">
        <v>0.9090909090909091</v>
      </c>
      <c r="P18" s="56" t="s">
        <v>74</v>
      </c>
      <c r="Q18" s="60"/>
      <c r="R18" s="58">
        <v>0.0</v>
      </c>
      <c r="S18" s="58">
        <v>0.0</v>
      </c>
      <c r="T18" s="58">
        <v>0.0</v>
      </c>
      <c r="U18" s="58">
        <v>0.0</v>
      </c>
      <c r="V18" s="58">
        <v>0.0</v>
      </c>
      <c r="W18" s="58">
        <v>0.0</v>
      </c>
      <c r="X18" s="56" t="s">
        <v>74</v>
      </c>
      <c r="Y18" s="62"/>
      <c r="Z18" s="58">
        <v>0.0</v>
      </c>
      <c r="AA18" s="58">
        <v>0.0</v>
      </c>
      <c r="AB18" s="56" t="s">
        <v>26</v>
      </c>
      <c r="AC18" s="58">
        <v>0.0</v>
      </c>
      <c r="AD18" s="58">
        <v>0.0</v>
      </c>
      <c r="AE18" s="62">
        <v>43872.0</v>
      </c>
      <c r="AF18" s="58">
        <v>0.0</v>
      </c>
      <c r="AG18" s="68" t="s">
        <v>52</v>
      </c>
    </row>
    <row r="19" ht="15.75" customHeight="1">
      <c r="A19" s="8"/>
      <c r="B19" s="69" t="s">
        <v>23</v>
      </c>
      <c r="C19" s="69" t="s">
        <v>52</v>
      </c>
      <c r="D19" s="69" t="s">
        <v>72</v>
      </c>
      <c r="E19" s="70">
        <v>772.57</v>
      </c>
      <c r="F19" s="70">
        <v>0.0</v>
      </c>
      <c r="G19" s="70">
        <v>0.0</v>
      </c>
      <c r="H19" s="69" t="s">
        <v>73</v>
      </c>
      <c r="I19" s="70">
        <v>0.0</v>
      </c>
      <c r="J19" s="70">
        <v>0.0</v>
      </c>
      <c r="K19" s="69" t="s">
        <v>30</v>
      </c>
      <c r="L19" s="69" t="s">
        <v>53</v>
      </c>
      <c r="M19" s="71"/>
      <c r="N19" s="69" t="s">
        <v>21</v>
      </c>
      <c r="O19" s="70">
        <v>0.5</v>
      </c>
      <c r="P19" s="69" t="s">
        <v>74</v>
      </c>
      <c r="Q19" s="71"/>
      <c r="R19" s="70">
        <v>0.0</v>
      </c>
      <c r="S19" s="70">
        <v>0.0</v>
      </c>
      <c r="T19" s="70">
        <v>0.0</v>
      </c>
      <c r="U19" s="70">
        <v>0.0</v>
      </c>
      <c r="V19" s="70">
        <v>0.0</v>
      </c>
      <c r="W19" s="70">
        <v>0.0</v>
      </c>
      <c r="X19" s="69" t="s">
        <v>74</v>
      </c>
      <c r="Y19" s="72"/>
      <c r="Z19" s="70">
        <v>0.0</v>
      </c>
      <c r="AA19" s="70">
        <v>0.0</v>
      </c>
      <c r="AB19" s="69" t="s">
        <v>26</v>
      </c>
      <c r="AC19" s="70">
        <v>0.0</v>
      </c>
      <c r="AD19" s="70">
        <v>0.0</v>
      </c>
      <c r="AE19" s="72">
        <v>43872.0</v>
      </c>
      <c r="AF19" s="70">
        <v>0.0</v>
      </c>
      <c r="AG19" s="73" t="s">
        <v>52</v>
      </c>
    </row>
    <row r="20" ht="15.75" customHeight="1">
      <c r="A20" s="8"/>
      <c r="B20" s="56" t="s">
        <v>23</v>
      </c>
      <c r="C20" s="56" t="s">
        <v>52</v>
      </c>
      <c r="D20" s="56" t="s">
        <v>72</v>
      </c>
      <c r="E20" s="58">
        <v>-2780.79</v>
      </c>
      <c r="F20" s="58">
        <v>0.0</v>
      </c>
      <c r="G20" s="58">
        <v>0.0</v>
      </c>
      <c r="H20" s="56" t="s">
        <v>73</v>
      </c>
      <c r="I20" s="58">
        <v>0.0</v>
      </c>
      <c r="J20" s="58">
        <v>0.0</v>
      </c>
      <c r="K20" s="56" t="s">
        <v>19</v>
      </c>
      <c r="L20" s="56" t="s">
        <v>53</v>
      </c>
      <c r="M20" s="60"/>
      <c r="N20" s="56" t="s">
        <v>21</v>
      </c>
      <c r="O20" s="58">
        <v>1.0</v>
      </c>
      <c r="P20" s="56" t="s">
        <v>74</v>
      </c>
      <c r="Q20" s="60"/>
      <c r="R20" s="58">
        <v>0.0</v>
      </c>
      <c r="S20" s="58">
        <v>0.0</v>
      </c>
      <c r="T20" s="58">
        <v>0.0</v>
      </c>
      <c r="U20" s="58">
        <v>0.0</v>
      </c>
      <c r="V20" s="58">
        <v>0.0</v>
      </c>
      <c r="W20" s="58">
        <v>0.0</v>
      </c>
      <c r="X20" s="56" t="s">
        <v>74</v>
      </c>
      <c r="Y20" s="62"/>
      <c r="Z20" s="58">
        <v>0.0</v>
      </c>
      <c r="AA20" s="58">
        <v>0.0</v>
      </c>
      <c r="AB20" s="56" t="s">
        <v>30</v>
      </c>
      <c r="AC20" s="58">
        <v>0.0</v>
      </c>
      <c r="AD20" s="58">
        <v>0.0</v>
      </c>
      <c r="AE20" s="62">
        <v>43872.0</v>
      </c>
      <c r="AF20" s="58">
        <v>0.0</v>
      </c>
      <c r="AG20" s="68" t="s">
        <v>52</v>
      </c>
    </row>
    <row r="21" ht="15.75" customHeight="1">
      <c r="A21" s="8"/>
      <c r="B21" s="69" t="s">
        <v>23</v>
      </c>
      <c r="C21" s="69" t="s">
        <v>52</v>
      </c>
      <c r="D21" s="69" t="s">
        <v>72</v>
      </c>
      <c r="E21" s="70">
        <v>-1330.05</v>
      </c>
      <c r="F21" s="70">
        <v>0.0</v>
      </c>
      <c r="G21" s="70">
        <v>0.0</v>
      </c>
      <c r="H21" s="69" t="s">
        <v>73</v>
      </c>
      <c r="I21" s="70">
        <v>0.0</v>
      </c>
      <c r="J21" s="70">
        <v>0.0</v>
      </c>
      <c r="K21" s="69" t="s">
        <v>30</v>
      </c>
      <c r="L21" s="69" t="s">
        <v>53</v>
      </c>
      <c r="M21" s="71"/>
      <c r="N21" s="69" t="s">
        <v>21</v>
      </c>
      <c r="O21" s="70">
        <v>0.5</v>
      </c>
      <c r="P21" s="69" t="s">
        <v>74</v>
      </c>
      <c r="Q21" s="71"/>
      <c r="R21" s="70">
        <v>0.0</v>
      </c>
      <c r="S21" s="70">
        <v>0.0</v>
      </c>
      <c r="T21" s="70">
        <v>0.0</v>
      </c>
      <c r="U21" s="70">
        <v>0.0</v>
      </c>
      <c r="V21" s="70">
        <v>0.0</v>
      </c>
      <c r="W21" s="70">
        <v>0.0</v>
      </c>
      <c r="X21" s="69" t="s">
        <v>74</v>
      </c>
      <c r="Y21" s="72"/>
      <c r="Z21" s="70">
        <v>0.0</v>
      </c>
      <c r="AA21" s="70">
        <v>0.0</v>
      </c>
      <c r="AB21" s="69" t="s">
        <v>39</v>
      </c>
      <c r="AC21" s="70">
        <v>0.0</v>
      </c>
      <c r="AD21" s="70">
        <v>0.0</v>
      </c>
      <c r="AE21" s="72">
        <v>43872.0</v>
      </c>
      <c r="AF21" s="70">
        <v>0.0</v>
      </c>
      <c r="AG21" s="73" t="s">
        <v>52</v>
      </c>
    </row>
    <row r="22" ht="15.75" customHeight="1">
      <c r="A22" s="8"/>
      <c r="B22" s="56" t="s">
        <v>23</v>
      </c>
      <c r="C22" s="56" t="s">
        <v>52</v>
      </c>
      <c r="D22" s="56" t="s">
        <v>72</v>
      </c>
      <c r="E22" s="58">
        <v>-259.95</v>
      </c>
      <c r="F22" s="58">
        <v>0.0</v>
      </c>
      <c r="G22" s="58">
        <v>0.0</v>
      </c>
      <c r="H22" s="56" t="s">
        <v>73</v>
      </c>
      <c r="I22" s="58">
        <v>0.0</v>
      </c>
      <c r="J22" s="58">
        <v>0.0</v>
      </c>
      <c r="K22" s="56" t="s">
        <v>30</v>
      </c>
      <c r="L22" s="56" t="s">
        <v>59</v>
      </c>
      <c r="M22" s="60"/>
      <c r="N22" s="56" t="s">
        <v>21</v>
      </c>
      <c r="O22" s="58">
        <v>0.6666666666666666</v>
      </c>
      <c r="P22" s="56" t="s">
        <v>74</v>
      </c>
      <c r="Q22" s="60"/>
      <c r="R22" s="58">
        <v>0.0</v>
      </c>
      <c r="S22" s="58">
        <v>0.0</v>
      </c>
      <c r="T22" s="58">
        <v>0.0</v>
      </c>
      <c r="U22" s="58">
        <v>0.0</v>
      </c>
      <c r="V22" s="58">
        <v>0.0</v>
      </c>
      <c r="W22" s="58">
        <v>0.0</v>
      </c>
      <c r="X22" s="56" t="s">
        <v>74</v>
      </c>
      <c r="Y22" s="62"/>
      <c r="Z22" s="58">
        <v>0.0</v>
      </c>
      <c r="AA22" s="58">
        <v>0.0</v>
      </c>
      <c r="AB22" s="56" t="s">
        <v>26</v>
      </c>
      <c r="AC22" s="58">
        <v>0.0</v>
      </c>
      <c r="AD22" s="58">
        <v>0.0</v>
      </c>
      <c r="AE22" s="62">
        <v>43872.0</v>
      </c>
      <c r="AF22" s="58">
        <v>0.0</v>
      </c>
      <c r="AG22" s="68" t="s">
        <v>52</v>
      </c>
    </row>
    <row r="23" ht="15.75" customHeight="1">
      <c r="A23" s="8"/>
      <c r="B23" s="69" t="s">
        <v>23</v>
      </c>
      <c r="C23" s="69" t="s">
        <v>52</v>
      </c>
      <c r="D23" s="69" t="s">
        <v>72</v>
      </c>
      <c r="E23" s="70">
        <v>900.62</v>
      </c>
      <c r="F23" s="70">
        <v>0.0</v>
      </c>
      <c r="G23" s="70">
        <v>0.0</v>
      </c>
      <c r="H23" s="69" t="s">
        <v>73</v>
      </c>
      <c r="I23" s="70">
        <v>0.0</v>
      </c>
      <c r="J23" s="70">
        <v>0.0</v>
      </c>
      <c r="K23" s="69" t="s">
        <v>19</v>
      </c>
      <c r="L23" s="69" t="s">
        <v>59</v>
      </c>
      <c r="M23" s="71"/>
      <c r="N23" s="69" t="s">
        <v>21</v>
      </c>
      <c r="O23" s="70">
        <v>1.0</v>
      </c>
      <c r="P23" s="69" t="s">
        <v>74</v>
      </c>
      <c r="Q23" s="71"/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W23" s="70">
        <v>0.0</v>
      </c>
      <c r="X23" s="69" t="s">
        <v>74</v>
      </c>
      <c r="Y23" s="72"/>
      <c r="Z23" s="70">
        <v>0.0</v>
      </c>
      <c r="AA23" s="70">
        <v>0.0</v>
      </c>
      <c r="AB23" s="69" t="s">
        <v>30</v>
      </c>
      <c r="AC23" s="70">
        <v>0.0</v>
      </c>
      <c r="AD23" s="70">
        <v>0.0</v>
      </c>
      <c r="AE23" s="72">
        <v>43872.0</v>
      </c>
      <c r="AF23" s="70">
        <v>0.0</v>
      </c>
      <c r="AG23" s="73" t="s">
        <v>52</v>
      </c>
    </row>
    <row r="24" ht="15.75" customHeight="1">
      <c r="A24" s="8"/>
      <c r="B24" s="56" t="s">
        <v>23</v>
      </c>
      <c r="C24" s="56" t="s">
        <v>52</v>
      </c>
      <c r="D24" s="56" t="s">
        <v>79</v>
      </c>
      <c r="E24" s="58">
        <v>-3715.05</v>
      </c>
      <c r="F24" s="58">
        <v>0.0</v>
      </c>
      <c r="G24" s="58">
        <v>0.0</v>
      </c>
      <c r="H24" s="56" t="s">
        <v>73</v>
      </c>
      <c r="I24" s="58">
        <v>0.0</v>
      </c>
      <c r="J24" s="58">
        <v>0.0</v>
      </c>
      <c r="K24" s="56" t="s">
        <v>30</v>
      </c>
      <c r="L24" s="56" t="s">
        <v>64</v>
      </c>
      <c r="M24" s="60"/>
      <c r="N24" s="56" t="s">
        <v>21</v>
      </c>
      <c r="O24" s="58">
        <v>0.5</v>
      </c>
      <c r="P24" s="56" t="s">
        <v>74</v>
      </c>
      <c r="Q24" s="60"/>
      <c r="R24" s="58">
        <v>0.0</v>
      </c>
      <c r="S24" s="58">
        <v>0.0</v>
      </c>
      <c r="T24" s="58">
        <v>0.0</v>
      </c>
      <c r="U24" s="58">
        <v>0.0</v>
      </c>
      <c r="V24" s="58">
        <v>0.0</v>
      </c>
      <c r="W24" s="58">
        <v>0.0</v>
      </c>
      <c r="X24" s="56" t="s">
        <v>74</v>
      </c>
      <c r="Y24" s="62"/>
      <c r="Z24" s="58">
        <v>0.0</v>
      </c>
      <c r="AA24" s="58">
        <v>0.0</v>
      </c>
      <c r="AB24" s="56" t="s">
        <v>30</v>
      </c>
      <c r="AC24" s="58">
        <v>0.0</v>
      </c>
      <c r="AD24" s="58">
        <v>0.0</v>
      </c>
      <c r="AE24" s="62">
        <v>43872.0</v>
      </c>
      <c r="AF24" s="58">
        <v>0.0</v>
      </c>
      <c r="AG24" s="68" t="s">
        <v>52</v>
      </c>
    </row>
    <row r="25" ht="15.75" customHeight="1">
      <c r="A25" s="8"/>
      <c r="B25" s="69" t="s">
        <v>18</v>
      </c>
      <c r="C25" s="69" t="s">
        <v>52</v>
      </c>
      <c r="D25" s="69" t="s">
        <v>79</v>
      </c>
      <c r="E25" s="70">
        <v>-3644.95</v>
      </c>
      <c r="F25" s="70">
        <v>0.0</v>
      </c>
      <c r="G25" s="70">
        <v>0.0</v>
      </c>
      <c r="H25" s="69" t="s">
        <v>73</v>
      </c>
      <c r="I25" s="70">
        <v>0.0</v>
      </c>
      <c r="J25" s="70">
        <v>0.0</v>
      </c>
      <c r="K25" s="69" t="s">
        <v>30</v>
      </c>
      <c r="L25" s="69" t="s">
        <v>64</v>
      </c>
      <c r="M25" s="71"/>
      <c r="N25" s="69" t="s">
        <v>21</v>
      </c>
      <c r="O25" s="70">
        <v>0.5</v>
      </c>
      <c r="P25" s="69" t="s">
        <v>74</v>
      </c>
      <c r="Q25" s="71"/>
      <c r="R25" s="70">
        <v>0.0</v>
      </c>
      <c r="S25" s="70">
        <v>0.0</v>
      </c>
      <c r="T25" s="70">
        <v>0.0</v>
      </c>
      <c r="U25" s="70">
        <v>0.0</v>
      </c>
      <c r="V25" s="70">
        <v>0.0</v>
      </c>
      <c r="W25" s="70">
        <v>0.0</v>
      </c>
      <c r="X25" s="69" t="s">
        <v>74</v>
      </c>
      <c r="Y25" s="72"/>
      <c r="Z25" s="70">
        <v>0.0</v>
      </c>
      <c r="AA25" s="70">
        <v>0.0</v>
      </c>
      <c r="AB25" s="69" t="s">
        <v>30</v>
      </c>
      <c r="AC25" s="70">
        <v>0.0</v>
      </c>
      <c r="AD25" s="70">
        <v>0.0</v>
      </c>
      <c r="AE25" s="72">
        <v>43872.0</v>
      </c>
      <c r="AF25" s="70">
        <v>0.0</v>
      </c>
      <c r="AG25" s="73" t="s">
        <v>52</v>
      </c>
    </row>
    <row r="26" ht="15.75" customHeight="1">
      <c r="A26" s="8"/>
      <c r="B26" s="56" t="s">
        <v>23</v>
      </c>
      <c r="C26" s="56" t="s">
        <v>52</v>
      </c>
      <c r="D26" s="56" t="s">
        <v>79</v>
      </c>
      <c r="E26" s="58">
        <v>3715.05</v>
      </c>
      <c r="F26" s="58">
        <v>0.0</v>
      </c>
      <c r="G26" s="58">
        <v>0.0</v>
      </c>
      <c r="H26" s="56" t="s">
        <v>73</v>
      </c>
      <c r="I26" s="58">
        <v>0.0</v>
      </c>
      <c r="J26" s="58">
        <v>0.0</v>
      </c>
      <c r="K26" s="56" t="s">
        <v>30</v>
      </c>
      <c r="L26" s="56" t="s">
        <v>65</v>
      </c>
      <c r="M26" s="60"/>
      <c r="N26" s="56" t="s">
        <v>21</v>
      </c>
      <c r="O26" s="58">
        <v>0.6666666666666666</v>
      </c>
      <c r="P26" s="56" t="s">
        <v>74</v>
      </c>
      <c r="Q26" s="60"/>
      <c r="R26" s="58">
        <v>0.0</v>
      </c>
      <c r="S26" s="58">
        <v>0.0</v>
      </c>
      <c r="T26" s="58">
        <v>0.0</v>
      </c>
      <c r="U26" s="58">
        <v>0.0</v>
      </c>
      <c r="V26" s="58">
        <v>0.0</v>
      </c>
      <c r="W26" s="58">
        <v>0.0</v>
      </c>
      <c r="X26" s="56" t="s">
        <v>74</v>
      </c>
      <c r="Y26" s="62"/>
      <c r="Z26" s="58">
        <v>0.0</v>
      </c>
      <c r="AA26" s="58">
        <v>0.0</v>
      </c>
      <c r="AB26" s="56" t="s">
        <v>30</v>
      </c>
      <c r="AC26" s="58">
        <v>0.0</v>
      </c>
      <c r="AD26" s="58">
        <v>0.0</v>
      </c>
      <c r="AE26" s="62">
        <v>43872.0</v>
      </c>
      <c r="AF26" s="58">
        <v>0.0</v>
      </c>
      <c r="AG26" s="68" t="s">
        <v>52</v>
      </c>
    </row>
    <row r="27" ht="15.75" customHeight="1">
      <c r="B27" s="69" t="s">
        <v>18</v>
      </c>
      <c r="C27" s="69" t="s">
        <v>52</v>
      </c>
      <c r="D27" s="69" t="s">
        <v>79</v>
      </c>
      <c r="E27" s="70">
        <v>3644.95</v>
      </c>
      <c r="F27" s="70">
        <v>0.0</v>
      </c>
      <c r="G27" s="70">
        <v>0.0</v>
      </c>
      <c r="H27" s="69" t="s">
        <v>73</v>
      </c>
      <c r="I27" s="70">
        <v>0.0</v>
      </c>
      <c r="J27" s="70">
        <v>0.0</v>
      </c>
      <c r="K27" s="69" t="s">
        <v>30</v>
      </c>
      <c r="L27" s="69" t="s">
        <v>65</v>
      </c>
      <c r="M27" s="71"/>
      <c r="N27" s="69" t="s">
        <v>21</v>
      </c>
      <c r="O27" s="70">
        <v>0.6666666666666666</v>
      </c>
      <c r="P27" s="69" t="s">
        <v>74</v>
      </c>
      <c r="Q27" s="71"/>
      <c r="R27" s="70">
        <v>0.0</v>
      </c>
      <c r="S27" s="70">
        <v>0.0</v>
      </c>
      <c r="T27" s="70">
        <v>0.0</v>
      </c>
      <c r="U27" s="70">
        <v>0.0</v>
      </c>
      <c r="V27" s="70">
        <v>0.0</v>
      </c>
      <c r="W27" s="70">
        <v>0.0</v>
      </c>
      <c r="X27" s="69" t="s">
        <v>74</v>
      </c>
      <c r="Y27" s="72"/>
      <c r="Z27" s="70">
        <v>0.0</v>
      </c>
      <c r="AA27" s="70">
        <v>0.0</v>
      </c>
      <c r="AB27" s="69" t="s">
        <v>30</v>
      </c>
      <c r="AC27" s="70">
        <v>0.0</v>
      </c>
      <c r="AD27" s="70">
        <v>0.0</v>
      </c>
      <c r="AE27" s="72">
        <v>43872.0</v>
      </c>
      <c r="AF27" s="70">
        <v>0.0</v>
      </c>
      <c r="AG27" s="73" t="s">
        <v>52</v>
      </c>
    </row>
    <row r="28" ht="15.75" customHeight="1">
      <c r="B28" s="56" t="s">
        <v>18</v>
      </c>
      <c r="C28" s="56" t="s">
        <v>52</v>
      </c>
      <c r="D28" s="56" t="s">
        <v>81</v>
      </c>
      <c r="E28" s="58">
        <v>-2.57</v>
      </c>
      <c r="F28" s="58">
        <v>0.0</v>
      </c>
      <c r="G28" s="58">
        <v>0.0</v>
      </c>
      <c r="H28" s="56" t="s">
        <v>73</v>
      </c>
      <c r="I28" s="58">
        <v>0.0</v>
      </c>
      <c r="J28" s="58">
        <v>0.0</v>
      </c>
      <c r="K28" s="56" t="s">
        <v>30</v>
      </c>
      <c r="L28" s="56" t="s">
        <v>57</v>
      </c>
      <c r="M28" s="60"/>
      <c r="N28" s="56" t="s">
        <v>21</v>
      </c>
      <c r="O28" s="58">
        <v>0.9090909090909091</v>
      </c>
      <c r="P28" s="56" t="s">
        <v>74</v>
      </c>
      <c r="Q28" s="60"/>
      <c r="R28" s="58">
        <v>0.0</v>
      </c>
      <c r="S28" s="58">
        <v>0.0</v>
      </c>
      <c r="T28" s="58">
        <v>0.0</v>
      </c>
      <c r="U28" s="58">
        <v>0.0</v>
      </c>
      <c r="V28" s="58">
        <v>0.0</v>
      </c>
      <c r="W28" s="58">
        <v>0.0</v>
      </c>
      <c r="X28" s="56" t="s">
        <v>74</v>
      </c>
      <c r="Y28" s="62"/>
      <c r="Z28" s="58">
        <v>0.0</v>
      </c>
      <c r="AA28" s="58">
        <v>0.0</v>
      </c>
      <c r="AB28" s="56" t="s">
        <v>26</v>
      </c>
      <c r="AC28" s="58">
        <v>0.0</v>
      </c>
      <c r="AD28" s="58">
        <v>0.0</v>
      </c>
      <c r="AE28" s="62">
        <v>43872.0</v>
      </c>
      <c r="AF28" s="58">
        <v>0.0</v>
      </c>
      <c r="AG28" s="68" t="s">
        <v>52</v>
      </c>
    </row>
    <row r="29" ht="15.75" customHeight="1">
      <c r="B29" s="69" t="s">
        <v>18</v>
      </c>
      <c r="C29" s="69" t="s">
        <v>52</v>
      </c>
      <c r="D29" s="69" t="s">
        <v>72</v>
      </c>
      <c r="E29" s="70">
        <v>762.67</v>
      </c>
      <c r="F29" s="70">
        <v>0.0</v>
      </c>
      <c r="G29" s="70">
        <v>0.0</v>
      </c>
      <c r="H29" s="69" t="s">
        <v>73</v>
      </c>
      <c r="I29" s="70">
        <v>0.0</v>
      </c>
      <c r="J29" s="70">
        <v>0.0</v>
      </c>
      <c r="K29" s="69" t="s">
        <v>30</v>
      </c>
      <c r="L29" s="69" t="s">
        <v>53</v>
      </c>
      <c r="M29" s="71"/>
      <c r="N29" s="69" t="s">
        <v>21</v>
      </c>
      <c r="O29" s="70">
        <v>0.5</v>
      </c>
      <c r="P29" s="69" t="s">
        <v>74</v>
      </c>
      <c r="Q29" s="71"/>
      <c r="R29" s="70">
        <v>0.0</v>
      </c>
      <c r="S29" s="70">
        <v>0.0</v>
      </c>
      <c r="T29" s="70">
        <v>0.0</v>
      </c>
      <c r="U29" s="70">
        <v>0.0</v>
      </c>
      <c r="V29" s="70">
        <v>0.0</v>
      </c>
      <c r="W29" s="70">
        <v>0.0</v>
      </c>
      <c r="X29" s="69" t="s">
        <v>74</v>
      </c>
      <c r="Y29" s="72"/>
      <c r="Z29" s="70">
        <v>0.0</v>
      </c>
      <c r="AA29" s="70">
        <v>0.0</v>
      </c>
      <c r="AB29" s="69" t="s">
        <v>26</v>
      </c>
      <c r="AC29" s="70">
        <v>0.0</v>
      </c>
      <c r="AD29" s="70">
        <v>0.0</v>
      </c>
      <c r="AE29" s="72">
        <v>43872.0</v>
      </c>
      <c r="AF29" s="70">
        <v>0.0</v>
      </c>
      <c r="AG29" s="73" t="s">
        <v>52</v>
      </c>
    </row>
    <row r="30" ht="15.75" customHeight="1">
      <c r="B30" s="56" t="s">
        <v>18</v>
      </c>
      <c r="C30" s="56" t="s">
        <v>52</v>
      </c>
      <c r="D30" s="56" t="s">
        <v>72</v>
      </c>
      <c r="E30" s="58">
        <v>-2741.83</v>
      </c>
      <c r="F30" s="58">
        <v>0.0</v>
      </c>
      <c r="G30" s="58">
        <v>0.0</v>
      </c>
      <c r="H30" s="56" t="s">
        <v>73</v>
      </c>
      <c r="I30" s="58">
        <v>0.0</v>
      </c>
      <c r="J30" s="58">
        <v>0.0</v>
      </c>
      <c r="K30" s="56" t="s">
        <v>19</v>
      </c>
      <c r="L30" s="56" t="s">
        <v>53</v>
      </c>
      <c r="M30" s="60"/>
      <c r="N30" s="56" t="s">
        <v>21</v>
      </c>
      <c r="O30" s="58">
        <v>1.0</v>
      </c>
      <c r="P30" s="56" t="s">
        <v>74</v>
      </c>
      <c r="Q30" s="60"/>
      <c r="R30" s="58">
        <v>0.0</v>
      </c>
      <c r="S30" s="58">
        <v>0.0</v>
      </c>
      <c r="T30" s="58">
        <v>0.0</v>
      </c>
      <c r="U30" s="58">
        <v>0.0</v>
      </c>
      <c r="V30" s="58">
        <v>0.0</v>
      </c>
      <c r="W30" s="58">
        <v>0.0</v>
      </c>
      <c r="X30" s="56" t="s">
        <v>74</v>
      </c>
      <c r="Y30" s="62"/>
      <c r="Z30" s="58">
        <v>0.0</v>
      </c>
      <c r="AA30" s="58">
        <v>0.0</v>
      </c>
      <c r="AB30" s="56" t="s">
        <v>30</v>
      </c>
      <c r="AC30" s="58">
        <v>0.0</v>
      </c>
      <c r="AD30" s="58">
        <v>0.0</v>
      </c>
      <c r="AE30" s="62">
        <v>43872.0</v>
      </c>
      <c r="AF30" s="58">
        <v>0.0</v>
      </c>
      <c r="AG30" s="68" t="s">
        <v>52</v>
      </c>
    </row>
    <row r="31" ht="15.75" customHeight="1">
      <c r="B31" s="69" t="s">
        <v>18</v>
      </c>
      <c r="C31" s="69" t="s">
        <v>52</v>
      </c>
      <c r="D31" s="69" t="s">
        <v>72</v>
      </c>
      <c r="E31" s="70">
        <v>-1304.95</v>
      </c>
      <c r="F31" s="70">
        <v>0.0</v>
      </c>
      <c r="G31" s="70">
        <v>0.0</v>
      </c>
      <c r="H31" s="69" t="s">
        <v>73</v>
      </c>
      <c r="I31" s="70">
        <v>0.0</v>
      </c>
      <c r="J31" s="70">
        <v>0.0</v>
      </c>
      <c r="K31" s="69" t="s">
        <v>30</v>
      </c>
      <c r="L31" s="69" t="s">
        <v>53</v>
      </c>
      <c r="M31" s="71"/>
      <c r="N31" s="69" t="s">
        <v>21</v>
      </c>
      <c r="O31" s="70">
        <v>0.5</v>
      </c>
      <c r="P31" s="69" t="s">
        <v>74</v>
      </c>
      <c r="Q31" s="71"/>
      <c r="R31" s="70">
        <v>0.0</v>
      </c>
      <c r="S31" s="70">
        <v>0.0</v>
      </c>
      <c r="T31" s="70">
        <v>0.0</v>
      </c>
      <c r="U31" s="70">
        <v>0.0</v>
      </c>
      <c r="V31" s="70">
        <v>0.0</v>
      </c>
      <c r="W31" s="70">
        <v>0.0</v>
      </c>
      <c r="X31" s="69" t="s">
        <v>74</v>
      </c>
      <c r="Y31" s="72"/>
      <c r="Z31" s="70">
        <v>0.0</v>
      </c>
      <c r="AA31" s="70">
        <v>0.0</v>
      </c>
      <c r="AB31" s="69" t="s">
        <v>39</v>
      </c>
      <c r="AC31" s="70">
        <v>0.0</v>
      </c>
      <c r="AD31" s="70">
        <v>0.0</v>
      </c>
      <c r="AE31" s="72">
        <v>43872.0</v>
      </c>
      <c r="AF31" s="70">
        <v>0.0</v>
      </c>
      <c r="AG31" s="73" t="s">
        <v>52</v>
      </c>
    </row>
    <row r="32" ht="15.75" customHeight="1">
      <c r="B32" s="56" t="s">
        <v>18</v>
      </c>
      <c r="C32" s="56" t="s">
        <v>52</v>
      </c>
      <c r="D32" s="56" t="s">
        <v>72</v>
      </c>
      <c r="E32" s="58">
        <v>-255.05</v>
      </c>
      <c r="F32" s="58">
        <v>0.0</v>
      </c>
      <c r="G32" s="58">
        <v>0.0</v>
      </c>
      <c r="H32" s="56" t="s">
        <v>73</v>
      </c>
      <c r="I32" s="58">
        <v>0.0</v>
      </c>
      <c r="J32" s="58">
        <v>0.0</v>
      </c>
      <c r="K32" s="56" t="s">
        <v>30</v>
      </c>
      <c r="L32" s="56" t="s">
        <v>59</v>
      </c>
      <c r="M32" s="60"/>
      <c r="N32" s="56" t="s">
        <v>21</v>
      </c>
      <c r="O32" s="58">
        <v>0.6666666666666666</v>
      </c>
      <c r="P32" s="56" t="s">
        <v>74</v>
      </c>
      <c r="Q32" s="60"/>
      <c r="R32" s="58">
        <v>0.0</v>
      </c>
      <c r="S32" s="58">
        <v>0.0</v>
      </c>
      <c r="T32" s="58">
        <v>0.0</v>
      </c>
      <c r="U32" s="58">
        <v>0.0</v>
      </c>
      <c r="V32" s="58">
        <v>0.0</v>
      </c>
      <c r="W32" s="58">
        <v>0.0</v>
      </c>
      <c r="X32" s="56" t="s">
        <v>74</v>
      </c>
      <c r="Y32" s="62"/>
      <c r="Z32" s="58">
        <v>0.0</v>
      </c>
      <c r="AA32" s="58">
        <v>0.0</v>
      </c>
      <c r="AB32" s="56" t="s">
        <v>26</v>
      </c>
      <c r="AC32" s="58">
        <v>0.0</v>
      </c>
      <c r="AD32" s="58">
        <v>0.0</v>
      </c>
      <c r="AE32" s="62">
        <v>43872.0</v>
      </c>
      <c r="AF32" s="58">
        <v>0.0</v>
      </c>
      <c r="AG32" s="68" t="s">
        <v>52</v>
      </c>
    </row>
    <row r="33" ht="15.75" customHeight="1">
      <c r="B33" s="69" t="s">
        <v>18</v>
      </c>
      <c r="C33" s="69" t="s">
        <v>52</v>
      </c>
      <c r="D33" s="69" t="s">
        <v>72</v>
      </c>
      <c r="E33" s="70">
        <v>883.63</v>
      </c>
      <c r="F33" s="70">
        <v>0.0</v>
      </c>
      <c r="G33" s="70">
        <v>0.0</v>
      </c>
      <c r="H33" s="69" t="s">
        <v>73</v>
      </c>
      <c r="I33" s="70">
        <v>0.0</v>
      </c>
      <c r="J33" s="70">
        <v>0.0</v>
      </c>
      <c r="K33" s="69" t="s">
        <v>19</v>
      </c>
      <c r="L33" s="69" t="s">
        <v>59</v>
      </c>
      <c r="M33" s="71"/>
      <c r="N33" s="69" t="s">
        <v>21</v>
      </c>
      <c r="O33" s="70">
        <v>1.0</v>
      </c>
      <c r="P33" s="69" t="s">
        <v>74</v>
      </c>
      <c r="Q33" s="71"/>
      <c r="R33" s="70">
        <v>0.0</v>
      </c>
      <c r="S33" s="70">
        <v>0.0</v>
      </c>
      <c r="T33" s="70">
        <v>0.0</v>
      </c>
      <c r="U33" s="70">
        <v>0.0</v>
      </c>
      <c r="V33" s="70">
        <v>0.0</v>
      </c>
      <c r="W33" s="70">
        <v>0.0</v>
      </c>
      <c r="X33" s="69" t="s">
        <v>74</v>
      </c>
      <c r="Y33" s="72"/>
      <c r="Z33" s="70">
        <v>0.0</v>
      </c>
      <c r="AA33" s="70">
        <v>0.0</v>
      </c>
      <c r="AB33" s="69" t="s">
        <v>30</v>
      </c>
      <c r="AC33" s="70">
        <v>0.0</v>
      </c>
      <c r="AD33" s="70">
        <v>0.0</v>
      </c>
      <c r="AE33" s="72">
        <v>43872.0</v>
      </c>
      <c r="AF33" s="70">
        <v>0.0</v>
      </c>
      <c r="AG33" s="73" t="s">
        <v>52</v>
      </c>
    </row>
    <row r="34" ht="15.75" customHeight="1">
      <c r="B34" s="56" t="s">
        <v>18</v>
      </c>
      <c r="C34" s="56" t="s">
        <v>52</v>
      </c>
      <c r="D34" s="56" t="s">
        <v>79</v>
      </c>
      <c r="E34" s="58">
        <v>3644.95238095238</v>
      </c>
      <c r="F34" s="58">
        <v>0.0</v>
      </c>
      <c r="G34" s="58">
        <v>0.0</v>
      </c>
      <c r="H34" s="56" t="s">
        <v>73</v>
      </c>
      <c r="I34" s="58">
        <v>0.0</v>
      </c>
      <c r="J34" s="58">
        <v>0.0</v>
      </c>
      <c r="K34" s="56" t="s">
        <v>30</v>
      </c>
      <c r="L34" s="56" t="s">
        <v>61</v>
      </c>
      <c r="M34" s="60"/>
      <c r="N34" s="56" t="s">
        <v>60</v>
      </c>
      <c r="O34" s="58">
        <v>1.1</v>
      </c>
      <c r="P34" s="56" t="s">
        <v>74</v>
      </c>
      <c r="Q34" s="60"/>
      <c r="R34" s="58">
        <v>0.0</v>
      </c>
      <c r="S34" s="58">
        <v>0.0</v>
      </c>
      <c r="T34" s="58">
        <v>0.0</v>
      </c>
      <c r="U34" s="58">
        <v>0.0</v>
      </c>
      <c r="V34" s="58">
        <v>0.0</v>
      </c>
      <c r="W34" s="58">
        <v>0.0</v>
      </c>
      <c r="X34" s="56" t="s">
        <v>74</v>
      </c>
      <c r="Y34" s="62"/>
      <c r="Z34" s="58">
        <v>0.0</v>
      </c>
      <c r="AA34" s="58">
        <v>0.0</v>
      </c>
      <c r="AB34" s="56" t="s">
        <v>26</v>
      </c>
      <c r="AC34" s="58">
        <v>0.0</v>
      </c>
      <c r="AD34" s="58">
        <v>0.0</v>
      </c>
      <c r="AE34" s="62">
        <v>43872.0</v>
      </c>
      <c r="AF34" s="58">
        <v>0.0</v>
      </c>
      <c r="AG34" s="68" t="s">
        <v>52</v>
      </c>
    </row>
    <row r="35" ht="15.75" customHeight="1">
      <c r="B35" s="69" t="s">
        <v>23</v>
      </c>
      <c r="C35" s="69" t="s">
        <v>52</v>
      </c>
      <c r="D35" s="69" t="s">
        <v>79</v>
      </c>
      <c r="E35" s="70">
        <v>3715.04761904762</v>
      </c>
      <c r="F35" s="70">
        <v>0.0</v>
      </c>
      <c r="G35" s="70">
        <v>0.0</v>
      </c>
      <c r="H35" s="69" t="s">
        <v>73</v>
      </c>
      <c r="I35" s="70">
        <v>0.0</v>
      </c>
      <c r="J35" s="70">
        <v>0.0</v>
      </c>
      <c r="K35" s="69" t="s">
        <v>30</v>
      </c>
      <c r="L35" s="69" t="s">
        <v>61</v>
      </c>
      <c r="M35" s="71"/>
      <c r="N35" s="69" t="s">
        <v>60</v>
      </c>
      <c r="O35" s="70">
        <v>1.1</v>
      </c>
      <c r="P35" s="69" t="s">
        <v>74</v>
      </c>
      <c r="Q35" s="71"/>
      <c r="R35" s="70">
        <v>0.0</v>
      </c>
      <c r="S35" s="70">
        <v>0.0</v>
      </c>
      <c r="T35" s="70">
        <v>0.0</v>
      </c>
      <c r="U35" s="70">
        <v>0.0</v>
      </c>
      <c r="V35" s="70">
        <v>0.0</v>
      </c>
      <c r="W35" s="70">
        <v>0.0</v>
      </c>
      <c r="X35" s="69" t="s">
        <v>74</v>
      </c>
      <c r="Y35" s="72"/>
      <c r="Z35" s="70">
        <v>0.0</v>
      </c>
      <c r="AA35" s="70">
        <v>0.0</v>
      </c>
      <c r="AB35" s="69" t="s">
        <v>26</v>
      </c>
      <c r="AC35" s="70">
        <v>0.0</v>
      </c>
      <c r="AD35" s="70">
        <v>0.0</v>
      </c>
      <c r="AE35" s="72">
        <v>43872.0</v>
      </c>
      <c r="AF35" s="70">
        <v>0.0</v>
      </c>
      <c r="AG35" s="73" t="s">
        <v>52</v>
      </c>
    </row>
    <row r="36" ht="15.75" customHeight="1">
      <c r="B36" s="56" t="s">
        <v>18</v>
      </c>
      <c r="C36" s="56" t="s">
        <v>52</v>
      </c>
      <c r="D36" s="56" t="s">
        <v>79</v>
      </c>
      <c r="E36" s="58">
        <v>1304.95238095238</v>
      </c>
      <c r="F36" s="58">
        <v>0.0</v>
      </c>
      <c r="G36" s="58">
        <v>0.0</v>
      </c>
      <c r="H36" s="56" t="s">
        <v>73</v>
      </c>
      <c r="I36" s="58">
        <v>0.0</v>
      </c>
      <c r="J36" s="58">
        <v>0.0</v>
      </c>
      <c r="K36" s="56" t="s">
        <v>30</v>
      </c>
      <c r="L36" s="56" t="s">
        <v>61</v>
      </c>
      <c r="M36" s="60"/>
      <c r="N36" s="56" t="s">
        <v>60</v>
      </c>
      <c r="O36" s="58">
        <v>1.1</v>
      </c>
      <c r="P36" s="56" t="s">
        <v>74</v>
      </c>
      <c r="Q36" s="60"/>
      <c r="R36" s="58">
        <v>0.0</v>
      </c>
      <c r="S36" s="58">
        <v>0.0</v>
      </c>
      <c r="T36" s="58">
        <v>0.0</v>
      </c>
      <c r="U36" s="58">
        <v>0.0</v>
      </c>
      <c r="V36" s="58">
        <v>0.0</v>
      </c>
      <c r="W36" s="58">
        <v>0.0</v>
      </c>
      <c r="X36" s="56" t="s">
        <v>74</v>
      </c>
      <c r="Y36" s="62"/>
      <c r="Z36" s="58">
        <v>0.0</v>
      </c>
      <c r="AA36" s="58">
        <v>0.0</v>
      </c>
      <c r="AB36" s="56" t="s">
        <v>39</v>
      </c>
      <c r="AC36" s="58">
        <v>0.0</v>
      </c>
      <c r="AD36" s="58">
        <v>0.0</v>
      </c>
      <c r="AE36" s="62">
        <v>43872.0</v>
      </c>
      <c r="AF36" s="58">
        <v>0.0</v>
      </c>
      <c r="AG36" s="68" t="s">
        <v>52</v>
      </c>
    </row>
    <row r="37" ht="15.75" customHeight="1">
      <c r="B37" s="69" t="s">
        <v>23</v>
      </c>
      <c r="C37" s="69" t="s">
        <v>52</v>
      </c>
      <c r="D37" s="69" t="s">
        <v>79</v>
      </c>
      <c r="E37" s="70">
        <v>1330.04761904762</v>
      </c>
      <c r="F37" s="70">
        <v>0.0</v>
      </c>
      <c r="G37" s="70">
        <v>0.0</v>
      </c>
      <c r="H37" s="69" t="s">
        <v>73</v>
      </c>
      <c r="I37" s="70">
        <v>0.0</v>
      </c>
      <c r="J37" s="70">
        <v>0.0</v>
      </c>
      <c r="K37" s="69" t="s">
        <v>30</v>
      </c>
      <c r="L37" s="69" t="s">
        <v>61</v>
      </c>
      <c r="M37" s="71"/>
      <c r="N37" s="69" t="s">
        <v>60</v>
      </c>
      <c r="O37" s="70">
        <v>1.1</v>
      </c>
      <c r="P37" s="69" t="s">
        <v>74</v>
      </c>
      <c r="Q37" s="71"/>
      <c r="R37" s="70">
        <v>0.0</v>
      </c>
      <c r="S37" s="70">
        <v>0.0</v>
      </c>
      <c r="T37" s="70">
        <v>0.0</v>
      </c>
      <c r="U37" s="70">
        <v>0.0</v>
      </c>
      <c r="V37" s="70">
        <v>0.0</v>
      </c>
      <c r="W37" s="70">
        <v>0.0</v>
      </c>
      <c r="X37" s="69" t="s">
        <v>74</v>
      </c>
      <c r="Y37" s="72"/>
      <c r="Z37" s="70">
        <v>0.0</v>
      </c>
      <c r="AA37" s="70">
        <v>0.0</v>
      </c>
      <c r="AB37" s="69" t="s">
        <v>39</v>
      </c>
      <c r="AC37" s="70">
        <v>0.0</v>
      </c>
      <c r="AD37" s="70">
        <v>0.0</v>
      </c>
      <c r="AE37" s="72">
        <v>43872.0</v>
      </c>
      <c r="AF37" s="70">
        <v>0.0</v>
      </c>
      <c r="AG37" s="73" t="s">
        <v>52</v>
      </c>
    </row>
    <row r="38" ht="15.75" customHeight="1">
      <c r="B38" s="56" t="s">
        <v>18</v>
      </c>
      <c r="C38" s="56" t="s">
        <v>52</v>
      </c>
      <c r="D38" s="56" t="s">
        <v>79</v>
      </c>
      <c r="E38" s="58">
        <v>-1890.0</v>
      </c>
      <c r="F38" s="58">
        <v>0.0</v>
      </c>
      <c r="G38" s="58">
        <v>0.0</v>
      </c>
      <c r="H38" s="56" t="s">
        <v>73</v>
      </c>
      <c r="I38" s="58">
        <v>0.0</v>
      </c>
      <c r="J38" s="58">
        <v>0.0</v>
      </c>
      <c r="K38" s="56" t="s">
        <v>30</v>
      </c>
      <c r="L38" s="56" t="s">
        <v>61</v>
      </c>
      <c r="M38" s="60"/>
      <c r="N38" s="56" t="s">
        <v>60</v>
      </c>
      <c r="O38" s="58">
        <v>1.1</v>
      </c>
      <c r="P38" s="56" t="s">
        <v>74</v>
      </c>
      <c r="Q38" s="60"/>
      <c r="R38" s="58">
        <v>0.0</v>
      </c>
      <c r="S38" s="58">
        <v>0.0</v>
      </c>
      <c r="T38" s="58">
        <v>0.0</v>
      </c>
      <c r="U38" s="58">
        <v>0.0</v>
      </c>
      <c r="V38" s="58">
        <v>0.0</v>
      </c>
      <c r="W38" s="58">
        <v>0.0</v>
      </c>
      <c r="X38" s="56" t="s">
        <v>74</v>
      </c>
      <c r="Y38" s="62"/>
      <c r="Z38" s="58">
        <v>0.0</v>
      </c>
      <c r="AA38" s="58">
        <v>0.0</v>
      </c>
      <c r="AB38" s="56" t="s">
        <v>26</v>
      </c>
      <c r="AC38" s="58">
        <v>0.0</v>
      </c>
      <c r="AD38" s="58">
        <v>0.0</v>
      </c>
      <c r="AE38" s="62">
        <v>43872.0</v>
      </c>
      <c r="AF38" s="58">
        <v>0.0</v>
      </c>
      <c r="AG38" s="68" t="s">
        <v>52</v>
      </c>
    </row>
    <row r="39" ht="15.75" customHeight="1">
      <c r="B39" s="69" t="s">
        <v>23</v>
      </c>
      <c r="C39" s="69" t="s">
        <v>52</v>
      </c>
      <c r="D39" s="69" t="s">
        <v>79</v>
      </c>
      <c r="E39" s="70">
        <v>-1960.0</v>
      </c>
      <c r="F39" s="70">
        <v>0.0</v>
      </c>
      <c r="G39" s="70">
        <v>0.0</v>
      </c>
      <c r="H39" s="69" t="s">
        <v>73</v>
      </c>
      <c r="I39" s="70">
        <v>0.0</v>
      </c>
      <c r="J39" s="70">
        <v>0.0</v>
      </c>
      <c r="K39" s="69" t="s">
        <v>30</v>
      </c>
      <c r="L39" s="69" t="s">
        <v>61</v>
      </c>
      <c r="M39" s="71"/>
      <c r="N39" s="69" t="s">
        <v>60</v>
      </c>
      <c r="O39" s="70">
        <v>1.1</v>
      </c>
      <c r="P39" s="69" t="s">
        <v>74</v>
      </c>
      <c r="Q39" s="71"/>
      <c r="R39" s="70">
        <v>0.0</v>
      </c>
      <c r="S39" s="70">
        <v>0.0</v>
      </c>
      <c r="T39" s="70">
        <v>0.0</v>
      </c>
      <c r="U39" s="70">
        <v>0.0</v>
      </c>
      <c r="V39" s="70">
        <v>0.0</v>
      </c>
      <c r="W39" s="70">
        <v>0.0</v>
      </c>
      <c r="X39" s="69" t="s">
        <v>74</v>
      </c>
      <c r="Y39" s="72"/>
      <c r="Z39" s="70">
        <v>0.0</v>
      </c>
      <c r="AA39" s="70">
        <v>0.0</v>
      </c>
      <c r="AB39" s="69" t="s">
        <v>26</v>
      </c>
      <c r="AC39" s="70">
        <v>0.0</v>
      </c>
      <c r="AD39" s="70">
        <v>0.0</v>
      </c>
      <c r="AE39" s="72">
        <v>43872.0</v>
      </c>
      <c r="AF39" s="70">
        <v>0.0</v>
      </c>
      <c r="AG39" s="73" t="s">
        <v>52</v>
      </c>
    </row>
    <row r="40" ht="15.75" customHeight="1">
      <c r="B40" s="56" t="s">
        <v>18</v>
      </c>
      <c r="C40" s="56" t="s">
        <v>52</v>
      </c>
      <c r="D40" s="56" t="s">
        <v>79</v>
      </c>
      <c r="E40" s="58">
        <v>-3644.95238095238</v>
      </c>
      <c r="F40" s="58">
        <v>0.0</v>
      </c>
      <c r="G40" s="58">
        <v>0.0</v>
      </c>
      <c r="H40" s="56" t="s">
        <v>73</v>
      </c>
      <c r="I40" s="58">
        <v>0.0</v>
      </c>
      <c r="J40" s="58">
        <v>0.0</v>
      </c>
      <c r="K40" s="56" t="s">
        <v>30</v>
      </c>
      <c r="L40" s="56" t="s">
        <v>63</v>
      </c>
      <c r="M40" s="60"/>
      <c r="N40" s="56" t="s">
        <v>21</v>
      </c>
      <c r="O40" s="58">
        <v>0.5</v>
      </c>
      <c r="P40" s="56" t="s">
        <v>74</v>
      </c>
      <c r="Q40" s="60"/>
      <c r="R40" s="58">
        <v>0.0</v>
      </c>
      <c r="S40" s="58">
        <v>0.0</v>
      </c>
      <c r="T40" s="58">
        <v>0.0</v>
      </c>
      <c r="U40" s="58">
        <v>0.0</v>
      </c>
      <c r="V40" s="58">
        <v>0.0</v>
      </c>
      <c r="W40" s="58">
        <v>0.0</v>
      </c>
      <c r="X40" s="56" t="s">
        <v>74</v>
      </c>
      <c r="Y40" s="62"/>
      <c r="Z40" s="58">
        <v>0.0</v>
      </c>
      <c r="AA40" s="58">
        <v>0.0</v>
      </c>
      <c r="AB40" s="56" t="s">
        <v>26</v>
      </c>
      <c r="AC40" s="58">
        <v>0.0</v>
      </c>
      <c r="AD40" s="58">
        <v>0.0</v>
      </c>
      <c r="AE40" s="62">
        <v>43872.0</v>
      </c>
      <c r="AF40" s="58">
        <v>0.0</v>
      </c>
      <c r="AG40" s="68" t="s">
        <v>52</v>
      </c>
    </row>
    <row r="41" ht="15.75" customHeight="1">
      <c r="B41" s="69" t="s">
        <v>23</v>
      </c>
      <c r="C41" s="69" t="s">
        <v>52</v>
      </c>
      <c r="D41" s="69" t="s">
        <v>79</v>
      </c>
      <c r="E41" s="70">
        <v>-3715.04761904762</v>
      </c>
      <c r="F41" s="70">
        <v>0.0</v>
      </c>
      <c r="G41" s="70">
        <v>0.0</v>
      </c>
      <c r="H41" s="69" t="s">
        <v>73</v>
      </c>
      <c r="I41" s="70">
        <v>0.0</v>
      </c>
      <c r="J41" s="70">
        <v>0.0</v>
      </c>
      <c r="K41" s="69" t="s">
        <v>30</v>
      </c>
      <c r="L41" s="69" t="s">
        <v>63</v>
      </c>
      <c r="M41" s="71"/>
      <c r="N41" s="69" t="s">
        <v>21</v>
      </c>
      <c r="O41" s="70">
        <v>0.5</v>
      </c>
      <c r="P41" s="69" t="s">
        <v>74</v>
      </c>
      <c r="Q41" s="71"/>
      <c r="R41" s="70">
        <v>0.0</v>
      </c>
      <c r="S41" s="70">
        <v>0.0</v>
      </c>
      <c r="T41" s="70">
        <v>0.0</v>
      </c>
      <c r="U41" s="70">
        <v>0.0</v>
      </c>
      <c r="V41" s="70">
        <v>0.0</v>
      </c>
      <c r="W41" s="70">
        <v>0.0</v>
      </c>
      <c r="X41" s="69" t="s">
        <v>74</v>
      </c>
      <c r="Y41" s="72"/>
      <c r="Z41" s="70">
        <v>0.0</v>
      </c>
      <c r="AA41" s="70">
        <v>0.0</v>
      </c>
      <c r="AB41" s="69" t="s">
        <v>26</v>
      </c>
      <c r="AC41" s="70">
        <v>0.0</v>
      </c>
      <c r="AD41" s="70">
        <v>0.0</v>
      </c>
      <c r="AE41" s="72">
        <v>43872.0</v>
      </c>
      <c r="AF41" s="70">
        <v>0.0</v>
      </c>
      <c r="AG41" s="73" t="s">
        <v>52</v>
      </c>
    </row>
    <row r="42" ht="15.75" customHeight="1">
      <c r="B42" s="56" t="s">
        <v>18</v>
      </c>
      <c r="C42" s="56" t="s">
        <v>52</v>
      </c>
      <c r="D42" s="56" t="s">
        <v>79</v>
      </c>
      <c r="E42" s="58">
        <v>-1304.95238095238</v>
      </c>
      <c r="F42" s="58">
        <v>0.0</v>
      </c>
      <c r="G42" s="58">
        <v>0.0</v>
      </c>
      <c r="H42" s="56" t="s">
        <v>73</v>
      </c>
      <c r="I42" s="58">
        <v>0.0</v>
      </c>
      <c r="J42" s="58">
        <v>0.0</v>
      </c>
      <c r="K42" s="56" t="s">
        <v>30</v>
      </c>
      <c r="L42" s="56" t="s">
        <v>63</v>
      </c>
      <c r="M42" s="60"/>
      <c r="N42" s="56" t="s">
        <v>21</v>
      </c>
      <c r="O42" s="58">
        <v>0.5</v>
      </c>
      <c r="P42" s="56" t="s">
        <v>74</v>
      </c>
      <c r="Q42" s="60"/>
      <c r="R42" s="58">
        <v>0.0</v>
      </c>
      <c r="S42" s="58">
        <v>0.0</v>
      </c>
      <c r="T42" s="58">
        <v>0.0</v>
      </c>
      <c r="U42" s="58">
        <v>0.0</v>
      </c>
      <c r="V42" s="58">
        <v>0.0</v>
      </c>
      <c r="W42" s="58">
        <v>0.0</v>
      </c>
      <c r="X42" s="56" t="s">
        <v>74</v>
      </c>
      <c r="Y42" s="62"/>
      <c r="Z42" s="58">
        <v>0.0</v>
      </c>
      <c r="AA42" s="58">
        <v>0.0</v>
      </c>
      <c r="AB42" s="56" t="s">
        <v>39</v>
      </c>
      <c r="AC42" s="58">
        <v>0.0</v>
      </c>
      <c r="AD42" s="58">
        <v>0.0</v>
      </c>
      <c r="AE42" s="62">
        <v>43872.0</v>
      </c>
      <c r="AF42" s="58">
        <v>0.0</v>
      </c>
      <c r="AG42" s="68" t="s">
        <v>52</v>
      </c>
    </row>
    <row r="43" ht="15.75" customHeight="1">
      <c r="B43" s="69" t="s">
        <v>23</v>
      </c>
      <c r="C43" s="69" t="s">
        <v>52</v>
      </c>
      <c r="D43" s="69" t="s">
        <v>79</v>
      </c>
      <c r="E43" s="70">
        <v>-1330.04761904762</v>
      </c>
      <c r="F43" s="70">
        <v>0.0</v>
      </c>
      <c r="G43" s="70">
        <v>0.0</v>
      </c>
      <c r="H43" s="69" t="s">
        <v>73</v>
      </c>
      <c r="I43" s="70">
        <v>0.0</v>
      </c>
      <c r="J43" s="70">
        <v>0.0</v>
      </c>
      <c r="K43" s="69" t="s">
        <v>30</v>
      </c>
      <c r="L43" s="69" t="s">
        <v>63</v>
      </c>
      <c r="M43" s="71"/>
      <c r="N43" s="69" t="s">
        <v>21</v>
      </c>
      <c r="O43" s="70">
        <v>0.5</v>
      </c>
      <c r="P43" s="69" t="s">
        <v>74</v>
      </c>
      <c r="Q43" s="71"/>
      <c r="R43" s="70">
        <v>0.0</v>
      </c>
      <c r="S43" s="70">
        <v>0.0</v>
      </c>
      <c r="T43" s="70">
        <v>0.0</v>
      </c>
      <c r="U43" s="70">
        <v>0.0</v>
      </c>
      <c r="V43" s="70">
        <v>0.0</v>
      </c>
      <c r="W43" s="70">
        <v>0.0</v>
      </c>
      <c r="X43" s="69" t="s">
        <v>74</v>
      </c>
      <c r="Y43" s="72"/>
      <c r="Z43" s="70">
        <v>0.0</v>
      </c>
      <c r="AA43" s="70">
        <v>0.0</v>
      </c>
      <c r="AB43" s="69" t="s">
        <v>39</v>
      </c>
      <c r="AC43" s="70">
        <v>0.0</v>
      </c>
      <c r="AD43" s="70">
        <v>0.0</v>
      </c>
      <c r="AE43" s="72">
        <v>43872.0</v>
      </c>
      <c r="AF43" s="70">
        <v>0.0</v>
      </c>
      <c r="AG43" s="73" t="s">
        <v>52</v>
      </c>
    </row>
    <row r="44" ht="15.75" customHeight="1">
      <c r="B44" s="56" t="s">
        <v>18</v>
      </c>
      <c r="C44" s="56" t="s">
        <v>52</v>
      </c>
      <c r="D44" s="56" t="s">
        <v>79</v>
      </c>
      <c r="E44" s="58">
        <v>1890.0</v>
      </c>
      <c r="F44" s="58">
        <v>0.0</v>
      </c>
      <c r="G44" s="58">
        <v>0.0</v>
      </c>
      <c r="H44" s="56" t="s">
        <v>73</v>
      </c>
      <c r="I44" s="58">
        <v>0.0</v>
      </c>
      <c r="J44" s="58">
        <v>0.0</v>
      </c>
      <c r="K44" s="56" t="s">
        <v>30</v>
      </c>
      <c r="L44" s="56" t="s">
        <v>66</v>
      </c>
      <c r="M44" s="60"/>
      <c r="N44" s="56" t="s">
        <v>21</v>
      </c>
      <c r="O44" s="58">
        <v>0.5</v>
      </c>
      <c r="P44" s="56" t="s">
        <v>74</v>
      </c>
      <c r="Q44" s="60"/>
      <c r="R44" s="58">
        <v>0.0</v>
      </c>
      <c r="S44" s="58">
        <v>0.0</v>
      </c>
      <c r="T44" s="58">
        <v>0.0</v>
      </c>
      <c r="U44" s="58">
        <v>0.0</v>
      </c>
      <c r="V44" s="58">
        <v>0.0</v>
      </c>
      <c r="W44" s="58">
        <v>0.0</v>
      </c>
      <c r="X44" s="56" t="s">
        <v>74</v>
      </c>
      <c r="Y44" s="62"/>
      <c r="Z44" s="58">
        <v>0.0</v>
      </c>
      <c r="AA44" s="58">
        <v>0.0</v>
      </c>
      <c r="AB44" s="56" t="s">
        <v>26</v>
      </c>
      <c r="AC44" s="58">
        <v>0.0</v>
      </c>
      <c r="AD44" s="58">
        <v>0.0</v>
      </c>
      <c r="AE44" s="62">
        <v>43872.0</v>
      </c>
      <c r="AF44" s="58">
        <v>0.0</v>
      </c>
      <c r="AG44" s="68" t="s">
        <v>52</v>
      </c>
    </row>
    <row r="45" ht="15.75" customHeight="1">
      <c r="B45" s="69" t="s">
        <v>23</v>
      </c>
      <c r="C45" s="69" t="s">
        <v>52</v>
      </c>
      <c r="D45" s="69" t="s">
        <v>79</v>
      </c>
      <c r="E45" s="70">
        <v>1960.0</v>
      </c>
      <c r="F45" s="70">
        <v>0.0</v>
      </c>
      <c r="G45" s="70">
        <v>0.0</v>
      </c>
      <c r="H45" s="69" t="s">
        <v>73</v>
      </c>
      <c r="I45" s="70">
        <v>0.0</v>
      </c>
      <c r="J45" s="70">
        <v>0.0</v>
      </c>
      <c r="K45" s="69" t="s">
        <v>30</v>
      </c>
      <c r="L45" s="69" t="s">
        <v>66</v>
      </c>
      <c r="M45" s="71"/>
      <c r="N45" s="69" t="s">
        <v>21</v>
      </c>
      <c r="O45" s="70">
        <v>0.5</v>
      </c>
      <c r="P45" s="69" t="s">
        <v>74</v>
      </c>
      <c r="Q45" s="71"/>
      <c r="R45" s="70">
        <v>0.0</v>
      </c>
      <c r="S45" s="70">
        <v>0.0</v>
      </c>
      <c r="T45" s="70">
        <v>0.0</v>
      </c>
      <c r="U45" s="70">
        <v>0.0</v>
      </c>
      <c r="V45" s="70">
        <v>0.0</v>
      </c>
      <c r="W45" s="70">
        <v>0.0</v>
      </c>
      <c r="X45" s="69" t="s">
        <v>74</v>
      </c>
      <c r="Y45" s="72"/>
      <c r="Z45" s="70">
        <v>0.0</v>
      </c>
      <c r="AA45" s="70">
        <v>0.0</v>
      </c>
      <c r="AB45" s="69" t="s">
        <v>26</v>
      </c>
      <c r="AC45" s="70">
        <v>0.0</v>
      </c>
      <c r="AD45" s="70">
        <v>0.0</v>
      </c>
      <c r="AE45" s="72">
        <v>43872.0</v>
      </c>
      <c r="AF45" s="70">
        <v>0.0</v>
      </c>
      <c r="AG45" s="73" t="s">
        <v>52</v>
      </c>
    </row>
    <row r="46" ht="15.75" customHeight="1">
      <c r="B46" s="56" t="s">
        <v>18</v>
      </c>
      <c r="C46" s="56" t="s">
        <v>68</v>
      </c>
      <c r="D46" s="56" t="s">
        <v>80</v>
      </c>
      <c r="E46" s="58">
        <v>-3644.95238095238</v>
      </c>
      <c r="F46" s="58">
        <v>0.0</v>
      </c>
      <c r="G46" s="58">
        <v>0.0</v>
      </c>
      <c r="H46" s="56" t="s">
        <v>73</v>
      </c>
      <c r="I46" s="58">
        <v>0.0</v>
      </c>
      <c r="J46" s="58">
        <v>1.238095238095</v>
      </c>
      <c r="K46" s="56" t="s">
        <v>30</v>
      </c>
      <c r="L46" s="56" t="s">
        <v>69</v>
      </c>
      <c r="M46" s="60"/>
      <c r="N46" s="56" t="s">
        <v>60</v>
      </c>
      <c r="O46" s="58">
        <v>1.1</v>
      </c>
      <c r="P46" s="56" t="s">
        <v>74</v>
      </c>
      <c r="Q46" s="60"/>
      <c r="R46" s="58">
        <v>0.0</v>
      </c>
      <c r="S46" s="58">
        <v>0.0</v>
      </c>
      <c r="T46" s="58">
        <v>0.0</v>
      </c>
      <c r="U46" s="58">
        <v>0.0</v>
      </c>
      <c r="V46" s="58">
        <v>52.0</v>
      </c>
      <c r="W46" s="58">
        <v>0.0</v>
      </c>
      <c r="X46" s="68" t="s">
        <v>30</v>
      </c>
      <c r="Y46" s="60"/>
      <c r="Z46" s="58">
        <v>3.714285714285</v>
      </c>
      <c r="AA46" s="58">
        <v>0.0</v>
      </c>
      <c r="AB46" s="56" t="s">
        <v>26</v>
      </c>
      <c r="AC46" s="58">
        <v>0.0</v>
      </c>
      <c r="AD46" s="58">
        <v>4.95238095238</v>
      </c>
      <c r="AE46" s="62">
        <v>43872.0</v>
      </c>
      <c r="AF46" s="58">
        <v>0.0</v>
      </c>
      <c r="AG46" s="68" t="s">
        <v>68</v>
      </c>
    </row>
    <row r="47" ht="15.75" customHeight="1">
      <c r="B47" s="69" t="s">
        <v>23</v>
      </c>
      <c r="C47" s="69" t="s">
        <v>68</v>
      </c>
      <c r="D47" s="69" t="s">
        <v>80</v>
      </c>
      <c r="E47" s="70">
        <v>-3715.04761904762</v>
      </c>
      <c r="F47" s="70">
        <v>0.0</v>
      </c>
      <c r="G47" s="70">
        <v>0.0</v>
      </c>
      <c r="H47" s="69" t="s">
        <v>73</v>
      </c>
      <c r="I47" s="70">
        <v>0.0</v>
      </c>
      <c r="J47" s="70">
        <v>1.261904761905</v>
      </c>
      <c r="K47" s="69" t="s">
        <v>30</v>
      </c>
      <c r="L47" s="69" t="s">
        <v>69</v>
      </c>
      <c r="M47" s="71"/>
      <c r="N47" s="69" t="s">
        <v>60</v>
      </c>
      <c r="O47" s="70">
        <v>1.1</v>
      </c>
      <c r="P47" s="69" t="s">
        <v>74</v>
      </c>
      <c r="Q47" s="71"/>
      <c r="R47" s="70">
        <v>0.0</v>
      </c>
      <c r="S47" s="70">
        <v>0.0</v>
      </c>
      <c r="T47" s="70">
        <v>0.0</v>
      </c>
      <c r="U47" s="70">
        <v>0.0</v>
      </c>
      <c r="V47" s="70">
        <v>53.0</v>
      </c>
      <c r="W47" s="70">
        <v>0.0</v>
      </c>
      <c r="X47" s="73" t="s">
        <v>30</v>
      </c>
      <c r="Y47" s="71"/>
      <c r="Z47" s="70">
        <v>3.785714285715</v>
      </c>
      <c r="AA47" s="70">
        <v>0.0</v>
      </c>
      <c r="AB47" s="69" t="s">
        <v>26</v>
      </c>
      <c r="AC47" s="70">
        <v>0.0</v>
      </c>
      <c r="AD47" s="70">
        <v>5.04761904762</v>
      </c>
      <c r="AE47" s="72">
        <v>43872.0</v>
      </c>
      <c r="AF47" s="70">
        <v>0.0</v>
      </c>
      <c r="AG47" s="73" t="s">
        <v>68</v>
      </c>
    </row>
    <row r="48" ht="15.75" customHeight="1">
      <c r="B48" s="56" t="s">
        <v>18</v>
      </c>
      <c r="C48" s="56" t="s">
        <v>68</v>
      </c>
      <c r="D48" s="56" t="s">
        <v>80</v>
      </c>
      <c r="E48" s="58">
        <v>-1304.95238095238</v>
      </c>
      <c r="F48" s="58">
        <v>0.0</v>
      </c>
      <c r="G48" s="58">
        <v>0.0</v>
      </c>
      <c r="H48" s="56" t="s">
        <v>73</v>
      </c>
      <c r="I48" s="58">
        <v>0.0</v>
      </c>
      <c r="J48" s="58">
        <v>1.238095238095</v>
      </c>
      <c r="K48" s="56" t="s">
        <v>30</v>
      </c>
      <c r="L48" s="56" t="s">
        <v>69</v>
      </c>
      <c r="M48" s="60"/>
      <c r="N48" s="56" t="s">
        <v>60</v>
      </c>
      <c r="O48" s="58">
        <v>1.1</v>
      </c>
      <c r="P48" s="56" t="s">
        <v>74</v>
      </c>
      <c r="Q48" s="60"/>
      <c r="R48" s="58">
        <v>0.0</v>
      </c>
      <c r="S48" s="58">
        <v>0.0</v>
      </c>
      <c r="T48" s="58">
        <v>0.0</v>
      </c>
      <c r="U48" s="58">
        <v>0.0</v>
      </c>
      <c r="V48" s="58">
        <v>52.0</v>
      </c>
      <c r="W48" s="58">
        <v>0.0</v>
      </c>
      <c r="X48" s="68" t="s">
        <v>30</v>
      </c>
      <c r="Y48" s="60"/>
      <c r="Z48" s="58">
        <v>3.714285714285</v>
      </c>
      <c r="AA48" s="58">
        <v>0.0</v>
      </c>
      <c r="AB48" s="56" t="s">
        <v>39</v>
      </c>
      <c r="AC48" s="58">
        <v>0.0</v>
      </c>
      <c r="AD48" s="58">
        <v>4.95238095238</v>
      </c>
      <c r="AE48" s="62">
        <v>43872.0</v>
      </c>
      <c r="AF48" s="58">
        <v>0.0</v>
      </c>
      <c r="AG48" s="68" t="s">
        <v>68</v>
      </c>
    </row>
    <row r="49" ht="15.75" customHeight="1">
      <c r="B49" s="69" t="s">
        <v>23</v>
      </c>
      <c r="C49" s="69" t="s">
        <v>68</v>
      </c>
      <c r="D49" s="69" t="s">
        <v>80</v>
      </c>
      <c r="E49" s="70">
        <v>-1330.04761904762</v>
      </c>
      <c r="F49" s="70">
        <v>0.0</v>
      </c>
      <c r="G49" s="70">
        <v>0.0</v>
      </c>
      <c r="H49" s="69" t="s">
        <v>73</v>
      </c>
      <c r="I49" s="70">
        <v>0.0</v>
      </c>
      <c r="J49" s="70">
        <v>1.261904761905</v>
      </c>
      <c r="K49" s="69" t="s">
        <v>30</v>
      </c>
      <c r="L49" s="69" t="s">
        <v>69</v>
      </c>
      <c r="M49" s="71"/>
      <c r="N49" s="69" t="s">
        <v>60</v>
      </c>
      <c r="O49" s="70">
        <v>1.1</v>
      </c>
      <c r="P49" s="69" t="s">
        <v>74</v>
      </c>
      <c r="Q49" s="71"/>
      <c r="R49" s="70">
        <v>0.0</v>
      </c>
      <c r="S49" s="70">
        <v>0.0</v>
      </c>
      <c r="T49" s="70">
        <v>0.0</v>
      </c>
      <c r="U49" s="70">
        <v>0.0</v>
      </c>
      <c r="V49" s="70">
        <v>53.0</v>
      </c>
      <c r="W49" s="70">
        <v>0.0</v>
      </c>
      <c r="X49" s="73" t="s">
        <v>30</v>
      </c>
      <c r="Y49" s="71"/>
      <c r="Z49" s="70">
        <v>3.785714285715</v>
      </c>
      <c r="AA49" s="70">
        <v>0.0</v>
      </c>
      <c r="AB49" s="69" t="s">
        <v>39</v>
      </c>
      <c r="AC49" s="70">
        <v>0.0</v>
      </c>
      <c r="AD49" s="70">
        <v>5.04761904762</v>
      </c>
      <c r="AE49" s="72">
        <v>43872.0</v>
      </c>
      <c r="AF49" s="70">
        <v>0.0</v>
      </c>
      <c r="AG49" s="73" t="s">
        <v>68</v>
      </c>
    </row>
    <row r="50" ht="15.75" customHeight="1">
      <c r="B50" s="56" t="s">
        <v>18</v>
      </c>
      <c r="C50" s="56" t="s">
        <v>68</v>
      </c>
      <c r="D50" s="56" t="s">
        <v>80</v>
      </c>
      <c r="E50" s="58">
        <v>1890.0</v>
      </c>
      <c r="F50" s="58">
        <v>0.0</v>
      </c>
      <c r="G50" s="58">
        <v>0.0</v>
      </c>
      <c r="H50" s="56" t="s">
        <v>73</v>
      </c>
      <c r="I50" s="58">
        <v>0.0</v>
      </c>
      <c r="J50" s="58">
        <v>0.0</v>
      </c>
      <c r="K50" s="56" t="s">
        <v>30</v>
      </c>
      <c r="L50" s="56" t="s">
        <v>69</v>
      </c>
      <c r="M50" s="60"/>
      <c r="N50" s="56" t="s">
        <v>60</v>
      </c>
      <c r="O50" s="58">
        <v>1.1</v>
      </c>
      <c r="P50" s="56" t="s">
        <v>74</v>
      </c>
      <c r="Q50" s="60"/>
      <c r="R50" s="58">
        <v>0.0</v>
      </c>
      <c r="S50" s="58">
        <v>0.0</v>
      </c>
      <c r="T50" s="58">
        <v>0.0</v>
      </c>
      <c r="U50" s="58">
        <v>0.0</v>
      </c>
      <c r="V50" s="58">
        <v>27.0</v>
      </c>
      <c r="W50" s="58">
        <v>0.0</v>
      </c>
      <c r="X50" s="68" t="s">
        <v>30</v>
      </c>
      <c r="Y50" s="60"/>
      <c r="Z50" s="58">
        <v>0.0</v>
      </c>
      <c r="AA50" s="58">
        <v>0.0</v>
      </c>
      <c r="AB50" s="56" t="s">
        <v>26</v>
      </c>
      <c r="AC50" s="58">
        <v>0.0</v>
      </c>
      <c r="AD50" s="58">
        <v>0.0</v>
      </c>
      <c r="AE50" s="62">
        <v>43872.0</v>
      </c>
      <c r="AF50" s="58">
        <v>0.0</v>
      </c>
      <c r="AG50" s="68" t="s">
        <v>68</v>
      </c>
    </row>
    <row r="51" ht="15.75" customHeight="1">
      <c r="B51" s="69" t="s">
        <v>23</v>
      </c>
      <c r="C51" s="69" t="s">
        <v>68</v>
      </c>
      <c r="D51" s="69" t="s">
        <v>80</v>
      </c>
      <c r="E51" s="70">
        <v>1960.0</v>
      </c>
      <c r="F51" s="70">
        <v>0.0</v>
      </c>
      <c r="G51" s="70">
        <v>0.0</v>
      </c>
      <c r="H51" s="69" t="s">
        <v>73</v>
      </c>
      <c r="I51" s="70">
        <v>0.0</v>
      </c>
      <c r="J51" s="70">
        <v>0.0</v>
      </c>
      <c r="K51" s="69" t="s">
        <v>30</v>
      </c>
      <c r="L51" s="69" t="s">
        <v>69</v>
      </c>
      <c r="M51" s="71"/>
      <c r="N51" s="69" t="s">
        <v>60</v>
      </c>
      <c r="O51" s="70">
        <v>1.1</v>
      </c>
      <c r="P51" s="69" t="s">
        <v>74</v>
      </c>
      <c r="Q51" s="71"/>
      <c r="R51" s="70">
        <v>0.0</v>
      </c>
      <c r="S51" s="70">
        <v>0.0</v>
      </c>
      <c r="T51" s="70">
        <v>0.0</v>
      </c>
      <c r="U51" s="70">
        <v>0.0</v>
      </c>
      <c r="V51" s="70">
        <v>28.0</v>
      </c>
      <c r="W51" s="70">
        <v>0.0</v>
      </c>
      <c r="X51" s="73" t="s">
        <v>30</v>
      </c>
      <c r="Y51" s="71"/>
      <c r="Z51" s="70">
        <v>0.0</v>
      </c>
      <c r="AA51" s="70">
        <v>0.0</v>
      </c>
      <c r="AB51" s="69" t="s">
        <v>26</v>
      </c>
      <c r="AC51" s="70">
        <v>0.0</v>
      </c>
      <c r="AD51" s="70">
        <v>0.0</v>
      </c>
      <c r="AE51" s="72">
        <v>43872.0</v>
      </c>
      <c r="AF51" s="70">
        <v>0.0</v>
      </c>
      <c r="AG51" s="73" t="s">
        <v>68</v>
      </c>
    </row>
    <row r="52" ht="15.75" customHeight="1">
      <c r="B52" s="56" t="s">
        <v>23</v>
      </c>
      <c r="C52" s="56" t="s">
        <v>52</v>
      </c>
      <c r="D52" s="56" t="s">
        <v>72</v>
      </c>
      <c r="E52" s="58">
        <v>3212.86</v>
      </c>
      <c r="F52" s="58">
        <v>0.0</v>
      </c>
      <c r="G52" s="58">
        <v>0.0</v>
      </c>
      <c r="H52" s="56" t="s">
        <v>73</v>
      </c>
      <c r="I52" s="58">
        <v>0.0</v>
      </c>
      <c r="J52" s="58">
        <v>0.0</v>
      </c>
      <c r="K52" s="56" t="s">
        <v>30</v>
      </c>
      <c r="L52" s="56" t="s">
        <v>53</v>
      </c>
      <c r="M52" s="60"/>
      <c r="N52" s="56" t="s">
        <v>21</v>
      </c>
      <c r="O52" s="58">
        <v>0.4</v>
      </c>
      <c r="P52" s="56" t="s">
        <v>74</v>
      </c>
      <c r="Q52" s="60"/>
      <c r="R52" s="58">
        <v>0.0</v>
      </c>
      <c r="S52" s="58">
        <v>0.0</v>
      </c>
      <c r="T52" s="58">
        <v>0.0</v>
      </c>
      <c r="U52" s="58">
        <v>0.0</v>
      </c>
      <c r="V52" s="58">
        <v>0.0</v>
      </c>
      <c r="W52" s="58">
        <v>0.0</v>
      </c>
      <c r="X52" s="56" t="s">
        <v>74</v>
      </c>
      <c r="Y52" s="62"/>
      <c r="Z52" s="58">
        <v>0.0</v>
      </c>
      <c r="AA52" s="58">
        <v>0.0</v>
      </c>
      <c r="AB52" s="56" t="s">
        <v>26</v>
      </c>
      <c r="AC52" s="58">
        <v>0.0</v>
      </c>
      <c r="AD52" s="58">
        <v>0.0</v>
      </c>
      <c r="AE52" s="62">
        <v>43873.0</v>
      </c>
      <c r="AF52" s="58">
        <v>0.0</v>
      </c>
      <c r="AG52" s="68" t="s">
        <v>52</v>
      </c>
    </row>
    <row r="53" ht="15.75" customHeight="1">
      <c r="B53" s="69" t="s">
        <v>23</v>
      </c>
      <c r="C53" s="69" t="s">
        <v>52</v>
      </c>
      <c r="D53" s="69" t="s">
        <v>72</v>
      </c>
      <c r="E53" s="70">
        <v>449.72</v>
      </c>
      <c r="F53" s="70">
        <v>0.0</v>
      </c>
      <c r="G53" s="70">
        <v>0.0</v>
      </c>
      <c r="H53" s="69" t="s">
        <v>73</v>
      </c>
      <c r="I53" s="70">
        <v>0.0</v>
      </c>
      <c r="J53" s="70">
        <v>0.0</v>
      </c>
      <c r="K53" s="69" t="s">
        <v>30</v>
      </c>
      <c r="L53" s="69" t="s">
        <v>53</v>
      </c>
      <c r="M53" s="71"/>
      <c r="N53" s="69" t="s">
        <v>21</v>
      </c>
      <c r="O53" s="70">
        <v>0.4</v>
      </c>
      <c r="P53" s="69" t="s">
        <v>74</v>
      </c>
      <c r="Q53" s="71"/>
      <c r="R53" s="70">
        <v>0.0</v>
      </c>
      <c r="S53" s="70">
        <v>0.0</v>
      </c>
      <c r="T53" s="70">
        <v>0.0</v>
      </c>
      <c r="U53" s="70">
        <v>0.0</v>
      </c>
      <c r="V53" s="70">
        <v>0.0</v>
      </c>
      <c r="W53" s="70">
        <v>0.0</v>
      </c>
      <c r="X53" s="69" t="s">
        <v>74</v>
      </c>
      <c r="Y53" s="72"/>
      <c r="Z53" s="70">
        <v>0.0</v>
      </c>
      <c r="AA53" s="70">
        <v>0.0</v>
      </c>
      <c r="AB53" s="69" t="s">
        <v>85</v>
      </c>
      <c r="AC53" s="70">
        <v>0.0</v>
      </c>
      <c r="AD53" s="70">
        <v>0.0</v>
      </c>
      <c r="AE53" s="72">
        <v>43873.0</v>
      </c>
      <c r="AF53" s="70">
        <v>0.0</v>
      </c>
      <c r="AG53" s="73" t="s">
        <v>52</v>
      </c>
    </row>
    <row r="54" ht="15.75" customHeight="1">
      <c r="B54" s="56" t="s">
        <v>23</v>
      </c>
      <c r="C54" s="56" t="s">
        <v>52</v>
      </c>
      <c r="D54" s="56" t="s">
        <v>72</v>
      </c>
      <c r="E54" s="58">
        <v>-3460.51</v>
      </c>
      <c r="F54" s="58">
        <v>0.0</v>
      </c>
      <c r="G54" s="58">
        <v>0.0</v>
      </c>
      <c r="H54" s="56" t="s">
        <v>73</v>
      </c>
      <c r="I54" s="58">
        <v>0.0</v>
      </c>
      <c r="J54" s="58">
        <v>0.0</v>
      </c>
      <c r="K54" s="56" t="s">
        <v>19</v>
      </c>
      <c r="L54" s="56" t="s">
        <v>53</v>
      </c>
      <c r="M54" s="60"/>
      <c r="N54" s="56" t="s">
        <v>21</v>
      </c>
      <c r="O54" s="58">
        <v>1.0</v>
      </c>
      <c r="P54" s="56" t="s">
        <v>74</v>
      </c>
      <c r="Q54" s="60"/>
      <c r="R54" s="58">
        <v>0.0</v>
      </c>
      <c r="S54" s="58">
        <v>0.0</v>
      </c>
      <c r="T54" s="58">
        <v>0.0</v>
      </c>
      <c r="U54" s="58">
        <v>0.0</v>
      </c>
      <c r="V54" s="58">
        <v>0.0</v>
      </c>
      <c r="W54" s="58">
        <v>0.0</v>
      </c>
      <c r="X54" s="56" t="s">
        <v>74</v>
      </c>
      <c r="Y54" s="62"/>
      <c r="Z54" s="58">
        <v>0.0</v>
      </c>
      <c r="AA54" s="58">
        <v>0.0</v>
      </c>
      <c r="AB54" s="56" t="s">
        <v>30</v>
      </c>
      <c r="AC54" s="58">
        <v>0.0</v>
      </c>
      <c r="AD54" s="58">
        <v>0.0</v>
      </c>
      <c r="AE54" s="62">
        <v>43873.0</v>
      </c>
      <c r="AF54" s="58">
        <v>0.0</v>
      </c>
      <c r="AG54" s="68" t="s">
        <v>52</v>
      </c>
    </row>
    <row r="55" ht="15.75" customHeight="1">
      <c r="B55" s="69" t="s">
        <v>23</v>
      </c>
      <c r="C55" s="69" t="s">
        <v>52</v>
      </c>
      <c r="D55" s="69" t="s">
        <v>72</v>
      </c>
      <c r="E55" s="70">
        <v>524.95</v>
      </c>
      <c r="F55" s="70">
        <v>0.0</v>
      </c>
      <c r="G55" s="70">
        <v>0.0</v>
      </c>
      <c r="H55" s="69" t="s">
        <v>73</v>
      </c>
      <c r="I55" s="70">
        <v>0.0</v>
      </c>
      <c r="J55" s="70">
        <v>0.0</v>
      </c>
      <c r="K55" s="69" t="s">
        <v>30</v>
      </c>
      <c r="L55" s="69" t="s">
        <v>53</v>
      </c>
      <c r="M55" s="71"/>
      <c r="N55" s="69" t="s">
        <v>21</v>
      </c>
      <c r="O55" s="70">
        <v>0.4</v>
      </c>
      <c r="P55" s="69" t="s">
        <v>74</v>
      </c>
      <c r="Q55" s="71"/>
      <c r="R55" s="70">
        <v>0.0</v>
      </c>
      <c r="S55" s="70">
        <v>0.0</v>
      </c>
      <c r="T55" s="70">
        <v>0.0</v>
      </c>
      <c r="U55" s="70">
        <v>0.0</v>
      </c>
      <c r="V55" s="70">
        <v>0.0</v>
      </c>
      <c r="W55" s="70">
        <v>0.0</v>
      </c>
      <c r="X55" s="69" t="s">
        <v>74</v>
      </c>
      <c r="Y55" s="72"/>
      <c r="Z55" s="70">
        <v>0.0</v>
      </c>
      <c r="AA55" s="70">
        <v>0.0</v>
      </c>
      <c r="AB55" s="69" t="s">
        <v>39</v>
      </c>
      <c r="AC55" s="70">
        <v>0.0</v>
      </c>
      <c r="AD55" s="70">
        <v>0.0</v>
      </c>
      <c r="AE55" s="72">
        <v>43873.0</v>
      </c>
      <c r="AF55" s="70">
        <v>0.0</v>
      </c>
      <c r="AG55" s="73" t="s">
        <v>52</v>
      </c>
    </row>
    <row r="56" ht="15.75" customHeight="1">
      <c r="B56" s="56" t="s">
        <v>23</v>
      </c>
      <c r="C56" s="56" t="s">
        <v>52</v>
      </c>
      <c r="D56" s="56" t="s">
        <v>72</v>
      </c>
      <c r="E56" s="58">
        <v>-772.57</v>
      </c>
      <c r="F56" s="58">
        <v>0.0</v>
      </c>
      <c r="G56" s="58">
        <v>0.0</v>
      </c>
      <c r="H56" s="56" t="s">
        <v>73</v>
      </c>
      <c r="I56" s="58">
        <v>0.0</v>
      </c>
      <c r="J56" s="58">
        <v>0.0</v>
      </c>
      <c r="K56" s="56" t="s">
        <v>30</v>
      </c>
      <c r="L56" s="56" t="s">
        <v>59</v>
      </c>
      <c r="M56" s="60"/>
      <c r="N56" s="56" t="s">
        <v>21</v>
      </c>
      <c r="O56" s="58">
        <v>0.5</v>
      </c>
      <c r="P56" s="56" t="s">
        <v>74</v>
      </c>
      <c r="Q56" s="60"/>
      <c r="R56" s="58">
        <v>0.0</v>
      </c>
      <c r="S56" s="58">
        <v>0.0</v>
      </c>
      <c r="T56" s="58">
        <v>0.0</v>
      </c>
      <c r="U56" s="58">
        <v>0.0</v>
      </c>
      <c r="V56" s="58">
        <v>0.0</v>
      </c>
      <c r="W56" s="58">
        <v>0.0</v>
      </c>
      <c r="X56" s="56" t="s">
        <v>74</v>
      </c>
      <c r="Y56" s="62"/>
      <c r="Z56" s="58">
        <v>0.0</v>
      </c>
      <c r="AA56" s="58">
        <v>0.0</v>
      </c>
      <c r="AB56" s="56" t="s">
        <v>26</v>
      </c>
      <c r="AC56" s="58">
        <v>0.0</v>
      </c>
      <c r="AD56" s="58">
        <v>0.0</v>
      </c>
      <c r="AE56" s="62">
        <v>43873.0</v>
      </c>
      <c r="AF56" s="58">
        <v>0.0</v>
      </c>
      <c r="AG56" s="68" t="s">
        <v>52</v>
      </c>
    </row>
    <row r="57" ht="15.75" customHeight="1">
      <c r="B57" s="69" t="s">
        <v>23</v>
      </c>
      <c r="C57" s="69" t="s">
        <v>52</v>
      </c>
      <c r="D57" s="69" t="s">
        <v>72</v>
      </c>
      <c r="E57" s="70">
        <v>2780.79</v>
      </c>
      <c r="F57" s="70">
        <v>0.0</v>
      </c>
      <c r="G57" s="70">
        <v>0.0</v>
      </c>
      <c r="H57" s="69" t="s">
        <v>73</v>
      </c>
      <c r="I57" s="70">
        <v>0.0</v>
      </c>
      <c r="J57" s="70">
        <v>0.0</v>
      </c>
      <c r="K57" s="69" t="s">
        <v>19</v>
      </c>
      <c r="L57" s="69" t="s">
        <v>59</v>
      </c>
      <c r="M57" s="71"/>
      <c r="N57" s="69" t="s">
        <v>21</v>
      </c>
      <c r="O57" s="70">
        <v>1.0</v>
      </c>
      <c r="P57" s="69" t="s">
        <v>74</v>
      </c>
      <c r="Q57" s="71"/>
      <c r="R57" s="70">
        <v>0.0</v>
      </c>
      <c r="S57" s="70">
        <v>0.0</v>
      </c>
      <c r="T57" s="70">
        <v>0.0</v>
      </c>
      <c r="U57" s="70">
        <v>0.0</v>
      </c>
      <c r="V57" s="70">
        <v>0.0</v>
      </c>
      <c r="W57" s="70">
        <v>0.0</v>
      </c>
      <c r="X57" s="69" t="s">
        <v>74</v>
      </c>
      <c r="Y57" s="72"/>
      <c r="Z57" s="70">
        <v>0.0</v>
      </c>
      <c r="AA57" s="70">
        <v>0.0</v>
      </c>
      <c r="AB57" s="69" t="s">
        <v>30</v>
      </c>
      <c r="AC57" s="70">
        <v>0.0</v>
      </c>
      <c r="AD57" s="70">
        <v>0.0</v>
      </c>
      <c r="AE57" s="72">
        <v>43873.0</v>
      </c>
      <c r="AF57" s="70">
        <v>0.0</v>
      </c>
      <c r="AG57" s="73" t="s">
        <v>52</v>
      </c>
    </row>
    <row r="58" ht="15.75" customHeight="1">
      <c r="B58" s="56" t="s">
        <v>23</v>
      </c>
      <c r="C58" s="56" t="s">
        <v>52</v>
      </c>
      <c r="D58" s="56" t="s">
        <v>72</v>
      </c>
      <c r="E58" s="58">
        <v>1330.05</v>
      </c>
      <c r="F58" s="58">
        <v>0.0</v>
      </c>
      <c r="G58" s="58">
        <v>0.0</v>
      </c>
      <c r="H58" s="56" t="s">
        <v>73</v>
      </c>
      <c r="I58" s="58">
        <v>0.0</v>
      </c>
      <c r="J58" s="58">
        <v>0.0</v>
      </c>
      <c r="K58" s="56" t="s">
        <v>30</v>
      </c>
      <c r="L58" s="56" t="s">
        <v>59</v>
      </c>
      <c r="M58" s="60"/>
      <c r="N58" s="56" t="s">
        <v>21</v>
      </c>
      <c r="O58" s="58">
        <v>0.5</v>
      </c>
      <c r="P58" s="56" t="s">
        <v>74</v>
      </c>
      <c r="Q58" s="60"/>
      <c r="R58" s="58">
        <v>0.0</v>
      </c>
      <c r="S58" s="58">
        <v>0.0</v>
      </c>
      <c r="T58" s="58">
        <v>0.0</v>
      </c>
      <c r="U58" s="58">
        <v>0.0</v>
      </c>
      <c r="V58" s="58">
        <v>0.0</v>
      </c>
      <c r="W58" s="58">
        <v>0.0</v>
      </c>
      <c r="X58" s="56" t="s">
        <v>74</v>
      </c>
      <c r="Y58" s="62"/>
      <c r="Z58" s="58">
        <v>0.0</v>
      </c>
      <c r="AA58" s="58">
        <v>0.0</v>
      </c>
      <c r="AB58" s="56" t="s">
        <v>39</v>
      </c>
      <c r="AC58" s="58">
        <v>0.0</v>
      </c>
      <c r="AD58" s="58">
        <v>0.0</v>
      </c>
      <c r="AE58" s="62">
        <v>43873.0</v>
      </c>
      <c r="AF58" s="58">
        <v>0.0</v>
      </c>
      <c r="AG58" s="68" t="s">
        <v>52</v>
      </c>
    </row>
    <row r="59" ht="15.75" customHeight="1">
      <c r="B59" s="69" t="s">
        <v>23</v>
      </c>
      <c r="C59" s="69" t="s">
        <v>52</v>
      </c>
      <c r="D59" s="69" t="s">
        <v>79</v>
      </c>
      <c r="E59" s="70">
        <v>-6800.14</v>
      </c>
      <c r="F59" s="70">
        <v>0.0</v>
      </c>
      <c r="G59" s="70">
        <v>0.0</v>
      </c>
      <c r="H59" s="69" t="s">
        <v>73</v>
      </c>
      <c r="I59" s="70">
        <v>0.0</v>
      </c>
      <c r="J59" s="70">
        <v>0.0</v>
      </c>
      <c r="K59" s="69" t="s">
        <v>30</v>
      </c>
      <c r="L59" s="69" t="s">
        <v>64</v>
      </c>
      <c r="M59" s="71"/>
      <c r="N59" s="69" t="s">
        <v>21</v>
      </c>
      <c r="O59" s="70">
        <v>0.4</v>
      </c>
      <c r="P59" s="69" t="s">
        <v>74</v>
      </c>
      <c r="Q59" s="71"/>
      <c r="R59" s="70">
        <v>0.0</v>
      </c>
      <c r="S59" s="70">
        <v>0.0</v>
      </c>
      <c r="T59" s="70">
        <v>0.0</v>
      </c>
      <c r="U59" s="70">
        <v>0.0</v>
      </c>
      <c r="V59" s="70">
        <v>0.0</v>
      </c>
      <c r="W59" s="70">
        <v>0.0</v>
      </c>
      <c r="X59" s="69" t="s">
        <v>74</v>
      </c>
      <c r="Y59" s="72"/>
      <c r="Z59" s="70">
        <v>0.0</v>
      </c>
      <c r="AA59" s="70">
        <v>0.0</v>
      </c>
      <c r="AB59" s="69" t="s">
        <v>30</v>
      </c>
      <c r="AC59" s="70">
        <v>0.0</v>
      </c>
      <c r="AD59" s="70">
        <v>0.0</v>
      </c>
      <c r="AE59" s="72">
        <v>43873.0</v>
      </c>
      <c r="AF59" s="70">
        <v>0.0</v>
      </c>
      <c r="AG59" s="73" t="s">
        <v>52</v>
      </c>
    </row>
    <row r="60" ht="15.75" customHeight="1">
      <c r="B60" s="56" t="s">
        <v>18</v>
      </c>
      <c r="C60" s="56" t="s">
        <v>52</v>
      </c>
      <c r="D60" s="56" t="s">
        <v>79</v>
      </c>
      <c r="E60" s="58">
        <v>-6704.86</v>
      </c>
      <c r="F60" s="58">
        <v>0.0</v>
      </c>
      <c r="G60" s="58">
        <v>0.0</v>
      </c>
      <c r="H60" s="56" t="s">
        <v>73</v>
      </c>
      <c r="I60" s="58">
        <v>0.0</v>
      </c>
      <c r="J60" s="58">
        <v>0.0</v>
      </c>
      <c r="K60" s="56" t="s">
        <v>30</v>
      </c>
      <c r="L60" s="56" t="s">
        <v>64</v>
      </c>
      <c r="M60" s="60"/>
      <c r="N60" s="56" t="s">
        <v>21</v>
      </c>
      <c r="O60" s="58">
        <v>0.4</v>
      </c>
      <c r="P60" s="56" t="s">
        <v>74</v>
      </c>
      <c r="Q60" s="60"/>
      <c r="R60" s="58">
        <v>0.0</v>
      </c>
      <c r="S60" s="58">
        <v>0.0</v>
      </c>
      <c r="T60" s="58">
        <v>0.0</v>
      </c>
      <c r="U60" s="58">
        <v>0.0</v>
      </c>
      <c r="V60" s="58">
        <v>0.0</v>
      </c>
      <c r="W60" s="58">
        <v>0.0</v>
      </c>
      <c r="X60" s="56" t="s">
        <v>74</v>
      </c>
      <c r="Y60" s="62"/>
      <c r="Z60" s="58">
        <v>0.0</v>
      </c>
      <c r="AA60" s="58">
        <v>0.0</v>
      </c>
      <c r="AB60" s="56" t="s">
        <v>30</v>
      </c>
      <c r="AC60" s="58">
        <v>0.0</v>
      </c>
      <c r="AD60" s="58">
        <v>0.0</v>
      </c>
      <c r="AE60" s="62">
        <v>43873.0</v>
      </c>
      <c r="AF60" s="58">
        <v>0.0</v>
      </c>
      <c r="AG60" s="68" t="s">
        <v>52</v>
      </c>
    </row>
    <row r="61" ht="15.75" customHeight="1">
      <c r="B61" s="69" t="s">
        <v>23</v>
      </c>
      <c r="C61" s="69" t="s">
        <v>52</v>
      </c>
      <c r="D61" s="69" t="s">
        <v>79</v>
      </c>
      <c r="E61" s="70">
        <v>6800.14</v>
      </c>
      <c r="F61" s="70">
        <v>0.0</v>
      </c>
      <c r="G61" s="70">
        <v>0.0</v>
      </c>
      <c r="H61" s="69" t="s">
        <v>73</v>
      </c>
      <c r="I61" s="70">
        <v>0.0</v>
      </c>
      <c r="J61" s="70">
        <v>0.0</v>
      </c>
      <c r="K61" s="69" t="s">
        <v>30</v>
      </c>
      <c r="L61" s="69" t="s">
        <v>65</v>
      </c>
      <c r="M61" s="71"/>
      <c r="N61" s="69" t="s">
        <v>21</v>
      </c>
      <c r="O61" s="70">
        <v>0.5</v>
      </c>
      <c r="P61" s="69" t="s">
        <v>74</v>
      </c>
      <c r="Q61" s="71"/>
      <c r="R61" s="70">
        <v>0.0</v>
      </c>
      <c r="S61" s="70">
        <v>0.0</v>
      </c>
      <c r="T61" s="70">
        <v>0.0</v>
      </c>
      <c r="U61" s="70">
        <v>0.0</v>
      </c>
      <c r="V61" s="70">
        <v>0.0</v>
      </c>
      <c r="W61" s="70">
        <v>0.0</v>
      </c>
      <c r="X61" s="69" t="s">
        <v>74</v>
      </c>
      <c r="Y61" s="72"/>
      <c r="Z61" s="70">
        <v>0.0</v>
      </c>
      <c r="AA61" s="70">
        <v>0.0</v>
      </c>
      <c r="AB61" s="69" t="s">
        <v>30</v>
      </c>
      <c r="AC61" s="70">
        <v>0.0</v>
      </c>
      <c r="AD61" s="70">
        <v>0.0</v>
      </c>
      <c r="AE61" s="72">
        <v>43873.0</v>
      </c>
      <c r="AF61" s="70">
        <v>0.0</v>
      </c>
      <c r="AG61" s="73" t="s">
        <v>52</v>
      </c>
    </row>
    <row r="62" ht="15.75" customHeight="1">
      <c r="B62" s="56" t="s">
        <v>18</v>
      </c>
      <c r="C62" s="56" t="s">
        <v>52</v>
      </c>
      <c r="D62" s="56" t="s">
        <v>79</v>
      </c>
      <c r="E62" s="58">
        <v>6704.86</v>
      </c>
      <c r="F62" s="58">
        <v>0.0</v>
      </c>
      <c r="G62" s="58">
        <v>0.0</v>
      </c>
      <c r="H62" s="56" t="s">
        <v>73</v>
      </c>
      <c r="I62" s="58">
        <v>0.0</v>
      </c>
      <c r="J62" s="58">
        <v>0.0</v>
      </c>
      <c r="K62" s="56" t="s">
        <v>30</v>
      </c>
      <c r="L62" s="56" t="s">
        <v>65</v>
      </c>
      <c r="M62" s="60"/>
      <c r="N62" s="56" t="s">
        <v>21</v>
      </c>
      <c r="O62" s="58">
        <v>0.5</v>
      </c>
      <c r="P62" s="56" t="s">
        <v>74</v>
      </c>
      <c r="Q62" s="60"/>
      <c r="R62" s="58">
        <v>0.0</v>
      </c>
      <c r="S62" s="58">
        <v>0.0</v>
      </c>
      <c r="T62" s="58">
        <v>0.0</v>
      </c>
      <c r="U62" s="58">
        <v>0.0</v>
      </c>
      <c r="V62" s="58">
        <v>0.0</v>
      </c>
      <c r="W62" s="58">
        <v>0.0</v>
      </c>
      <c r="X62" s="56" t="s">
        <v>74</v>
      </c>
      <c r="Y62" s="62"/>
      <c r="Z62" s="58">
        <v>0.0</v>
      </c>
      <c r="AA62" s="58">
        <v>0.0</v>
      </c>
      <c r="AB62" s="56" t="s">
        <v>30</v>
      </c>
      <c r="AC62" s="58">
        <v>0.0</v>
      </c>
      <c r="AD62" s="58">
        <v>0.0</v>
      </c>
      <c r="AE62" s="62">
        <v>43873.0</v>
      </c>
      <c r="AF62" s="58">
        <v>0.0</v>
      </c>
      <c r="AG62" s="68" t="s">
        <v>52</v>
      </c>
    </row>
    <row r="63" ht="15.75" customHeight="1">
      <c r="B63" s="69" t="s">
        <v>18</v>
      </c>
      <c r="C63" s="69" t="s">
        <v>52</v>
      </c>
      <c r="D63" s="69" t="s">
        <v>72</v>
      </c>
      <c r="E63" s="70">
        <v>3171.66</v>
      </c>
      <c r="F63" s="70">
        <v>0.0</v>
      </c>
      <c r="G63" s="70">
        <v>0.0</v>
      </c>
      <c r="H63" s="69" t="s">
        <v>73</v>
      </c>
      <c r="I63" s="70">
        <v>0.0</v>
      </c>
      <c r="J63" s="70">
        <v>0.0</v>
      </c>
      <c r="K63" s="69" t="s">
        <v>30</v>
      </c>
      <c r="L63" s="69" t="s">
        <v>53</v>
      </c>
      <c r="M63" s="71"/>
      <c r="N63" s="69" t="s">
        <v>21</v>
      </c>
      <c r="O63" s="70">
        <v>0.4</v>
      </c>
      <c r="P63" s="69" t="s">
        <v>74</v>
      </c>
      <c r="Q63" s="71"/>
      <c r="R63" s="70">
        <v>0.0</v>
      </c>
      <c r="S63" s="70">
        <v>0.0</v>
      </c>
      <c r="T63" s="70">
        <v>0.0</v>
      </c>
      <c r="U63" s="70">
        <v>0.0</v>
      </c>
      <c r="V63" s="70">
        <v>0.0</v>
      </c>
      <c r="W63" s="70">
        <v>0.0</v>
      </c>
      <c r="X63" s="69" t="s">
        <v>74</v>
      </c>
      <c r="Y63" s="72"/>
      <c r="Z63" s="70">
        <v>0.0</v>
      </c>
      <c r="AA63" s="70">
        <v>0.0</v>
      </c>
      <c r="AB63" s="69" t="s">
        <v>26</v>
      </c>
      <c r="AC63" s="70">
        <v>0.0</v>
      </c>
      <c r="AD63" s="70">
        <v>0.0</v>
      </c>
      <c r="AE63" s="72">
        <v>43873.0</v>
      </c>
      <c r="AF63" s="70">
        <v>0.0</v>
      </c>
      <c r="AG63" s="73" t="s">
        <v>52</v>
      </c>
    </row>
    <row r="64" ht="15.75" customHeight="1">
      <c r="B64" s="56" t="s">
        <v>18</v>
      </c>
      <c r="C64" s="56" t="s">
        <v>52</v>
      </c>
      <c r="D64" s="56" t="s">
        <v>72</v>
      </c>
      <c r="E64" s="58">
        <v>476.0</v>
      </c>
      <c r="F64" s="58">
        <v>0.0</v>
      </c>
      <c r="G64" s="58">
        <v>0.0</v>
      </c>
      <c r="H64" s="56" t="s">
        <v>73</v>
      </c>
      <c r="I64" s="58">
        <v>0.0</v>
      </c>
      <c r="J64" s="58">
        <v>0.0</v>
      </c>
      <c r="K64" s="56" t="s">
        <v>30</v>
      </c>
      <c r="L64" s="56" t="s">
        <v>53</v>
      </c>
      <c r="M64" s="60"/>
      <c r="N64" s="56" t="s">
        <v>21</v>
      </c>
      <c r="O64" s="58">
        <v>0.4</v>
      </c>
      <c r="P64" s="56" t="s">
        <v>74</v>
      </c>
      <c r="Q64" s="60"/>
      <c r="R64" s="58">
        <v>0.0</v>
      </c>
      <c r="S64" s="58">
        <v>0.0</v>
      </c>
      <c r="T64" s="58">
        <v>0.0</v>
      </c>
      <c r="U64" s="58">
        <v>0.0</v>
      </c>
      <c r="V64" s="58">
        <v>0.0</v>
      </c>
      <c r="W64" s="58">
        <v>0.0</v>
      </c>
      <c r="X64" s="56" t="s">
        <v>74</v>
      </c>
      <c r="Y64" s="62"/>
      <c r="Z64" s="58">
        <v>0.0</v>
      </c>
      <c r="AA64" s="58">
        <v>0.0</v>
      </c>
      <c r="AB64" s="56" t="s">
        <v>85</v>
      </c>
      <c r="AC64" s="58">
        <v>0.0</v>
      </c>
      <c r="AD64" s="58">
        <v>0.0</v>
      </c>
      <c r="AE64" s="62">
        <v>43873.0</v>
      </c>
      <c r="AF64" s="58">
        <v>0.0</v>
      </c>
      <c r="AG64" s="68" t="s">
        <v>52</v>
      </c>
    </row>
    <row r="65" ht="15.75" customHeight="1">
      <c r="B65" s="69" t="s">
        <v>18</v>
      </c>
      <c r="C65" s="69" t="s">
        <v>52</v>
      </c>
      <c r="D65" s="69" t="s">
        <v>72</v>
      </c>
      <c r="E65" s="70">
        <v>-3412.07</v>
      </c>
      <c r="F65" s="70">
        <v>0.0</v>
      </c>
      <c r="G65" s="70">
        <v>0.0</v>
      </c>
      <c r="H65" s="69" t="s">
        <v>73</v>
      </c>
      <c r="I65" s="70">
        <v>0.0</v>
      </c>
      <c r="J65" s="70">
        <v>0.0</v>
      </c>
      <c r="K65" s="69" t="s">
        <v>19</v>
      </c>
      <c r="L65" s="69" t="s">
        <v>53</v>
      </c>
      <c r="M65" s="71"/>
      <c r="N65" s="69" t="s">
        <v>21</v>
      </c>
      <c r="O65" s="70">
        <v>1.0</v>
      </c>
      <c r="P65" s="69" t="s">
        <v>74</v>
      </c>
      <c r="Q65" s="71"/>
      <c r="R65" s="70">
        <v>0.0</v>
      </c>
      <c r="S65" s="70">
        <v>0.0</v>
      </c>
      <c r="T65" s="70">
        <v>0.0</v>
      </c>
      <c r="U65" s="70">
        <v>0.0</v>
      </c>
      <c r="V65" s="70">
        <v>0.0</v>
      </c>
      <c r="W65" s="70">
        <v>0.0</v>
      </c>
      <c r="X65" s="69" t="s">
        <v>74</v>
      </c>
      <c r="Y65" s="72"/>
      <c r="Z65" s="70">
        <v>0.0</v>
      </c>
      <c r="AA65" s="70">
        <v>0.0</v>
      </c>
      <c r="AB65" s="69" t="s">
        <v>30</v>
      </c>
      <c r="AC65" s="70">
        <v>0.0</v>
      </c>
      <c r="AD65" s="70">
        <v>0.0</v>
      </c>
      <c r="AE65" s="72">
        <v>43873.0</v>
      </c>
      <c r="AF65" s="70">
        <v>0.0</v>
      </c>
      <c r="AG65" s="73" t="s">
        <v>52</v>
      </c>
    </row>
    <row r="66" ht="15.75" customHeight="1">
      <c r="B66" s="56" t="s">
        <v>18</v>
      </c>
      <c r="C66" s="56" t="s">
        <v>52</v>
      </c>
      <c r="D66" s="56" t="s">
        <v>72</v>
      </c>
      <c r="E66" s="58">
        <v>515.05</v>
      </c>
      <c r="F66" s="58">
        <v>0.0</v>
      </c>
      <c r="G66" s="58">
        <v>0.0</v>
      </c>
      <c r="H66" s="56" t="s">
        <v>73</v>
      </c>
      <c r="I66" s="58">
        <v>0.0</v>
      </c>
      <c r="J66" s="58">
        <v>0.0</v>
      </c>
      <c r="K66" s="56" t="s">
        <v>30</v>
      </c>
      <c r="L66" s="56" t="s">
        <v>53</v>
      </c>
      <c r="M66" s="60"/>
      <c r="N66" s="56" t="s">
        <v>21</v>
      </c>
      <c r="O66" s="58">
        <v>0.4</v>
      </c>
      <c r="P66" s="56" t="s">
        <v>74</v>
      </c>
      <c r="Q66" s="60"/>
      <c r="R66" s="58">
        <v>0.0</v>
      </c>
      <c r="S66" s="58">
        <v>0.0</v>
      </c>
      <c r="T66" s="58">
        <v>0.0</v>
      </c>
      <c r="U66" s="58">
        <v>0.0</v>
      </c>
      <c r="V66" s="58">
        <v>0.0</v>
      </c>
      <c r="W66" s="58">
        <v>0.0</v>
      </c>
      <c r="X66" s="56" t="s">
        <v>74</v>
      </c>
      <c r="Y66" s="62"/>
      <c r="Z66" s="58">
        <v>0.0</v>
      </c>
      <c r="AA66" s="58">
        <v>0.0</v>
      </c>
      <c r="AB66" s="56" t="s">
        <v>39</v>
      </c>
      <c r="AC66" s="58">
        <v>0.0</v>
      </c>
      <c r="AD66" s="58">
        <v>0.0</v>
      </c>
      <c r="AE66" s="62">
        <v>43873.0</v>
      </c>
      <c r="AF66" s="58">
        <v>0.0</v>
      </c>
      <c r="AG66" s="68" t="s">
        <v>52</v>
      </c>
    </row>
    <row r="67" ht="15.75" customHeight="1">
      <c r="B67" s="69" t="s">
        <v>18</v>
      </c>
      <c r="C67" s="69" t="s">
        <v>52</v>
      </c>
      <c r="D67" s="69" t="s">
        <v>72</v>
      </c>
      <c r="E67" s="70">
        <v>-762.67</v>
      </c>
      <c r="F67" s="70">
        <v>0.0</v>
      </c>
      <c r="G67" s="70">
        <v>0.0</v>
      </c>
      <c r="H67" s="69" t="s">
        <v>73</v>
      </c>
      <c r="I67" s="70">
        <v>0.0</v>
      </c>
      <c r="J67" s="70">
        <v>0.0</v>
      </c>
      <c r="K67" s="69" t="s">
        <v>30</v>
      </c>
      <c r="L67" s="69" t="s">
        <v>59</v>
      </c>
      <c r="M67" s="71"/>
      <c r="N67" s="69" t="s">
        <v>21</v>
      </c>
      <c r="O67" s="70">
        <v>0.5</v>
      </c>
      <c r="P67" s="69" t="s">
        <v>74</v>
      </c>
      <c r="Q67" s="71"/>
      <c r="R67" s="70">
        <v>0.0</v>
      </c>
      <c r="S67" s="70">
        <v>0.0</v>
      </c>
      <c r="T67" s="70">
        <v>0.0</v>
      </c>
      <c r="U67" s="70">
        <v>0.0</v>
      </c>
      <c r="V67" s="70">
        <v>0.0</v>
      </c>
      <c r="W67" s="70">
        <v>0.0</v>
      </c>
      <c r="X67" s="69" t="s">
        <v>74</v>
      </c>
      <c r="Y67" s="72"/>
      <c r="Z67" s="70">
        <v>0.0</v>
      </c>
      <c r="AA67" s="70">
        <v>0.0</v>
      </c>
      <c r="AB67" s="69" t="s">
        <v>26</v>
      </c>
      <c r="AC67" s="70">
        <v>0.0</v>
      </c>
      <c r="AD67" s="70">
        <v>0.0</v>
      </c>
      <c r="AE67" s="72">
        <v>43873.0</v>
      </c>
      <c r="AF67" s="70">
        <v>0.0</v>
      </c>
      <c r="AG67" s="73" t="s">
        <v>52</v>
      </c>
    </row>
    <row r="68" ht="15.75" customHeight="1">
      <c r="B68" s="56" t="s">
        <v>18</v>
      </c>
      <c r="C68" s="56" t="s">
        <v>52</v>
      </c>
      <c r="D68" s="56" t="s">
        <v>72</v>
      </c>
      <c r="E68" s="58">
        <v>2741.83</v>
      </c>
      <c r="F68" s="58">
        <v>0.0</v>
      </c>
      <c r="G68" s="58">
        <v>0.0</v>
      </c>
      <c r="H68" s="56" t="s">
        <v>73</v>
      </c>
      <c r="I68" s="58">
        <v>0.0</v>
      </c>
      <c r="J68" s="58">
        <v>0.0</v>
      </c>
      <c r="K68" s="56" t="s">
        <v>19</v>
      </c>
      <c r="L68" s="56" t="s">
        <v>59</v>
      </c>
      <c r="M68" s="60"/>
      <c r="N68" s="56" t="s">
        <v>21</v>
      </c>
      <c r="O68" s="58">
        <v>1.0</v>
      </c>
      <c r="P68" s="56" t="s">
        <v>74</v>
      </c>
      <c r="Q68" s="60"/>
      <c r="R68" s="58">
        <v>0.0</v>
      </c>
      <c r="S68" s="58">
        <v>0.0</v>
      </c>
      <c r="T68" s="58">
        <v>0.0</v>
      </c>
      <c r="U68" s="58">
        <v>0.0</v>
      </c>
      <c r="V68" s="58">
        <v>0.0</v>
      </c>
      <c r="W68" s="58">
        <v>0.0</v>
      </c>
      <c r="X68" s="56" t="s">
        <v>74</v>
      </c>
      <c r="Y68" s="62"/>
      <c r="Z68" s="58">
        <v>0.0</v>
      </c>
      <c r="AA68" s="58">
        <v>0.0</v>
      </c>
      <c r="AB68" s="56" t="s">
        <v>30</v>
      </c>
      <c r="AC68" s="58">
        <v>0.0</v>
      </c>
      <c r="AD68" s="58">
        <v>0.0</v>
      </c>
      <c r="AE68" s="62">
        <v>43873.0</v>
      </c>
      <c r="AF68" s="58">
        <v>0.0</v>
      </c>
      <c r="AG68" s="68" t="s">
        <v>52</v>
      </c>
    </row>
    <row r="69" ht="15.75" customHeight="1">
      <c r="B69" s="69" t="s">
        <v>18</v>
      </c>
      <c r="C69" s="69" t="s">
        <v>52</v>
      </c>
      <c r="D69" s="69" t="s">
        <v>72</v>
      </c>
      <c r="E69" s="70">
        <v>1304.95</v>
      </c>
      <c r="F69" s="70">
        <v>0.0</v>
      </c>
      <c r="G69" s="70">
        <v>0.0</v>
      </c>
      <c r="H69" s="69" t="s">
        <v>73</v>
      </c>
      <c r="I69" s="70">
        <v>0.0</v>
      </c>
      <c r="J69" s="70">
        <v>0.0</v>
      </c>
      <c r="K69" s="69" t="s">
        <v>30</v>
      </c>
      <c r="L69" s="69" t="s">
        <v>59</v>
      </c>
      <c r="M69" s="71"/>
      <c r="N69" s="69" t="s">
        <v>21</v>
      </c>
      <c r="O69" s="70">
        <v>0.5</v>
      </c>
      <c r="P69" s="69" t="s">
        <v>74</v>
      </c>
      <c r="Q69" s="71"/>
      <c r="R69" s="70">
        <v>0.0</v>
      </c>
      <c r="S69" s="70">
        <v>0.0</v>
      </c>
      <c r="T69" s="70">
        <v>0.0</v>
      </c>
      <c r="U69" s="70">
        <v>0.0</v>
      </c>
      <c r="V69" s="70">
        <v>0.0</v>
      </c>
      <c r="W69" s="70">
        <v>0.0</v>
      </c>
      <c r="X69" s="69" t="s">
        <v>74</v>
      </c>
      <c r="Y69" s="72"/>
      <c r="Z69" s="70">
        <v>0.0</v>
      </c>
      <c r="AA69" s="70">
        <v>0.0</v>
      </c>
      <c r="AB69" s="69" t="s">
        <v>39</v>
      </c>
      <c r="AC69" s="70">
        <v>0.0</v>
      </c>
      <c r="AD69" s="70">
        <v>0.0</v>
      </c>
      <c r="AE69" s="72">
        <v>43873.0</v>
      </c>
      <c r="AF69" s="70">
        <v>0.0</v>
      </c>
      <c r="AG69" s="73" t="s">
        <v>52</v>
      </c>
    </row>
    <row r="70" ht="15.75" customHeight="1">
      <c r="B70" s="56" t="s">
        <v>23</v>
      </c>
      <c r="C70" s="56" t="s">
        <v>75</v>
      </c>
      <c r="D70" s="80" t="s">
        <v>88</v>
      </c>
      <c r="E70" s="58">
        <v>0.0</v>
      </c>
      <c r="F70" s="58">
        <v>0.0</v>
      </c>
      <c r="G70" s="58">
        <v>0.0</v>
      </c>
      <c r="H70" s="56" t="s">
        <v>73</v>
      </c>
      <c r="I70" s="58">
        <v>0.0</v>
      </c>
      <c r="J70" s="58">
        <v>0.0</v>
      </c>
      <c r="K70" s="56" t="s">
        <v>30</v>
      </c>
      <c r="L70" s="56" t="s">
        <v>89</v>
      </c>
      <c r="M70" s="60"/>
      <c r="N70" s="56" t="s">
        <v>21</v>
      </c>
      <c r="O70" s="58">
        <v>0.909090909090909</v>
      </c>
      <c r="P70" s="56" t="s">
        <v>74</v>
      </c>
      <c r="Q70" s="60"/>
      <c r="R70" s="58">
        <v>0.0</v>
      </c>
      <c r="S70" s="58">
        <v>0.0</v>
      </c>
      <c r="T70" s="58">
        <v>0.0</v>
      </c>
      <c r="U70" s="58">
        <v>0.0</v>
      </c>
      <c r="V70" s="58">
        <v>0.0</v>
      </c>
      <c r="W70" s="58">
        <v>0.0</v>
      </c>
      <c r="X70" s="56" t="s">
        <v>74</v>
      </c>
      <c r="Y70" s="62"/>
      <c r="Z70" s="58">
        <v>0.0</v>
      </c>
      <c r="AA70" s="58">
        <v>0.0</v>
      </c>
      <c r="AB70" s="56" t="s">
        <v>85</v>
      </c>
      <c r="AC70" s="58">
        <v>0.0</v>
      </c>
      <c r="AD70" s="58">
        <v>0.0</v>
      </c>
      <c r="AE70" s="62">
        <v>43873.0</v>
      </c>
      <c r="AF70" s="58">
        <v>0.0</v>
      </c>
      <c r="AG70" s="68" t="s">
        <v>78</v>
      </c>
    </row>
    <row r="71" ht="15.75" customHeight="1">
      <c r="B71" s="69" t="s">
        <v>18</v>
      </c>
      <c r="C71" s="69" t="s">
        <v>75</v>
      </c>
      <c r="D71" s="80" t="s">
        <v>88</v>
      </c>
      <c r="E71" s="70">
        <v>0.0</v>
      </c>
      <c r="F71" s="70">
        <v>0.0</v>
      </c>
      <c r="G71" s="70">
        <v>0.0</v>
      </c>
      <c r="H71" s="69" t="s">
        <v>73</v>
      </c>
      <c r="I71" s="70">
        <v>0.0</v>
      </c>
      <c r="J71" s="70">
        <v>0.0</v>
      </c>
      <c r="K71" s="69" t="s">
        <v>30</v>
      </c>
      <c r="L71" s="69" t="s">
        <v>89</v>
      </c>
      <c r="M71" s="71"/>
      <c r="N71" s="69" t="s">
        <v>21</v>
      </c>
      <c r="O71" s="70">
        <v>0.909090909090909</v>
      </c>
      <c r="P71" s="69" t="s">
        <v>74</v>
      </c>
      <c r="Q71" s="71"/>
      <c r="R71" s="70">
        <v>0.0</v>
      </c>
      <c r="S71" s="70">
        <v>0.0</v>
      </c>
      <c r="T71" s="70">
        <v>0.0</v>
      </c>
      <c r="U71" s="70">
        <v>0.0</v>
      </c>
      <c r="V71" s="70">
        <v>0.0</v>
      </c>
      <c r="W71" s="70">
        <v>0.0</v>
      </c>
      <c r="X71" s="69" t="s">
        <v>74</v>
      </c>
      <c r="Y71" s="72"/>
      <c r="Z71" s="70">
        <v>0.0</v>
      </c>
      <c r="AA71" s="70">
        <v>0.0</v>
      </c>
      <c r="AB71" s="69" t="s">
        <v>85</v>
      </c>
      <c r="AC71" s="70">
        <v>0.0</v>
      </c>
      <c r="AD71" s="70">
        <v>0.0</v>
      </c>
      <c r="AE71" s="72">
        <v>43873.0</v>
      </c>
      <c r="AF71" s="70">
        <v>0.0</v>
      </c>
      <c r="AG71" s="73" t="s">
        <v>78</v>
      </c>
    </row>
    <row r="72" ht="15.75" customHeight="1">
      <c r="B72" s="56" t="s">
        <v>23</v>
      </c>
      <c r="C72" s="56" t="s">
        <v>68</v>
      </c>
      <c r="D72" s="56" t="s">
        <v>80</v>
      </c>
      <c r="E72" s="58">
        <v>1752.38095238095</v>
      </c>
      <c r="F72" s="58">
        <v>0.0</v>
      </c>
      <c r="G72" s="58">
        <v>0.0</v>
      </c>
      <c r="H72" s="56" t="s">
        <v>73</v>
      </c>
      <c r="I72" s="58">
        <v>0.0</v>
      </c>
      <c r="J72" s="58">
        <v>0.0</v>
      </c>
      <c r="K72" s="56" t="s">
        <v>30</v>
      </c>
      <c r="L72" s="56" t="s">
        <v>69</v>
      </c>
      <c r="M72" s="62"/>
      <c r="N72" s="56" t="s">
        <v>21</v>
      </c>
      <c r="O72" s="58">
        <v>0.909090909090909</v>
      </c>
      <c r="P72" s="56" t="s">
        <v>74</v>
      </c>
      <c r="Q72" s="60"/>
      <c r="R72" s="58">
        <v>0.0</v>
      </c>
      <c r="S72" s="58">
        <v>0.0</v>
      </c>
      <c r="T72" s="58">
        <v>0.0</v>
      </c>
      <c r="U72" s="58">
        <v>0.0</v>
      </c>
      <c r="V72" s="58">
        <v>25.0</v>
      </c>
      <c r="W72" s="58">
        <v>0.0</v>
      </c>
      <c r="X72" s="73" t="s">
        <v>30</v>
      </c>
      <c r="Y72" s="62"/>
      <c r="Z72" s="58">
        <v>0.0</v>
      </c>
      <c r="AA72" s="58">
        <v>0.0</v>
      </c>
      <c r="AB72" s="56" t="s">
        <v>26</v>
      </c>
      <c r="AC72" s="58">
        <v>0.0</v>
      </c>
      <c r="AD72" s="58">
        <v>0.0</v>
      </c>
      <c r="AE72" s="62">
        <v>43873.0</v>
      </c>
      <c r="AF72" s="58">
        <v>0.0</v>
      </c>
      <c r="AG72" s="68" t="s">
        <v>68</v>
      </c>
    </row>
    <row r="73" ht="15.75" customHeight="1">
      <c r="B73" s="69" t="s">
        <v>23</v>
      </c>
      <c r="C73" s="69" t="s">
        <v>68</v>
      </c>
      <c r="D73" s="69" t="s">
        <v>80</v>
      </c>
      <c r="E73" s="70">
        <v>3715.04761904762</v>
      </c>
      <c r="F73" s="70">
        <v>0.0</v>
      </c>
      <c r="G73" s="70">
        <v>0.0</v>
      </c>
      <c r="H73" s="69" t="s">
        <v>73</v>
      </c>
      <c r="I73" s="70">
        <v>0.0</v>
      </c>
      <c r="J73" s="70">
        <v>0.0</v>
      </c>
      <c r="K73" s="69" t="s">
        <v>30</v>
      </c>
      <c r="L73" s="69" t="s">
        <v>69</v>
      </c>
      <c r="M73" s="72"/>
      <c r="N73" s="69" t="s">
        <v>21</v>
      </c>
      <c r="O73" s="70">
        <v>0.909090909090909</v>
      </c>
      <c r="P73" s="69" t="s">
        <v>74</v>
      </c>
      <c r="Q73" s="71"/>
      <c r="R73" s="70">
        <v>0.0</v>
      </c>
      <c r="S73" s="70">
        <v>0.0</v>
      </c>
      <c r="T73" s="70">
        <v>0.0</v>
      </c>
      <c r="U73" s="70">
        <v>0.0</v>
      </c>
      <c r="V73" s="70">
        <v>53.0</v>
      </c>
      <c r="W73" s="70">
        <v>0.0</v>
      </c>
      <c r="X73" s="73" t="s">
        <v>30</v>
      </c>
      <c r="Y73" s="72"/>
      <c r="Z73" s="70">
        <v>0.0</v>
      </c>
      <c r="AA73" s="70">
        <v>0.0</v>
      </c>
      <c r="AB73" s="69" t="s">
        <v>26</v>
      </c>
      <c r="AC73" s="70">
        <v>0.0</v>
      </c>
      <c r="AD73" s="70">
        <v>0.0</v>
      </c>
      <c r="AE73" s="72">
        <v>43873.0</v>
      </c>
      <c r="AF73" s="70">
        <v>0.0</v>
      </c>
      <c r="AG73" s="73" t="s">
        <v>68</v>
      </c>
    </row>
    <row r="74" ht="15.75" customHeight="1">
      <c r="B74" s="56" t="s">
        <v>18</v>
      </c>
      <c r="C74" s="56" t="s">
        <v>68</v>
      </c>
      <c r="D74" s="56" t="s">
        <v>80</v>
      </c>
      <c r="E74" s="58">
        <v>1752.38095238095</v>
      </c>
      <c r="F74" s="58">
        <v>0.0</v>
      </c>
      <c r="G74" s="58">
        <v>0.0</v>
      </c>
      <c r="H74" s="56" t="s">
        <v>73</v>
      </c>
      <c r="I74" s="58">
        <v>0.0</v>
      </c>
      <c r="J74" s="58">
        <v>0.0</v>
      </c>
      <c r="K74" s="56" t="s">
        <v>30</v>
      </c>
      <c r="L74" s="56" t="s">
        <v>69</v>
      </c>
      <c r="M74" s="62"/>
      <c r="N74" s="56" t="s">
        <v>21</v>
      </c>
      <c r="O74" s="58">
        <v>0.909090909090909</v>
      </c>
      <c r="P74" s="56" t="s">
        <v>74</v>
      </c>
      <c r="Q74" s="60"/>
      <c r="R74" s="58">
        <v>0.0</v>
      </c>
      <c r="S74" s="58">
        <v>0.0</v>
      </c>
      <c r="T74" s="58">
        <v>0.0</v>
      </c>
      <c r="U74" s="58">
        <v>0.0</v>
      </c>
      <c r="V74" s="58">
        <v>25.0</v>
      </c>
      <c r="W74" s="58">
        <v>0.0</v>
      </c>
      <c r="X74" s="73" t="s">
        <v>30</v>
      </c>
      <c r="Y74" s="62"/>
      <c r="Z74" s="58">
        <v>0.0</v>
      </c>
      <c r="AA74" s="58">
        <v>0.0</v>
      </c>
      <c r="AB74" s="56" t="s">
        <v>26</v>
      </c>
      <c r="AC74" s="58">
        <v>0.0</v>
      </c>
      <c r="AD74" s="58">
        <v>0.0</v>
      </c>
      <c r="AE74" s="62">
        <v>43873.0</v>
      </c>
      <c r="AF74" s="58">
        <v>0.0</v>
      </c>
      <c r="AG74" s="68" t="s">
        <v>68</v>
      </c>
    </row>
    <row r="75" ht="15.75" customHeight="1">
      <c r="B75" s="69" t="s">
        <v>18</v>
      </c>
      <c r="C75" s="69" t="s">
        <v>68</v>
      </c>
      <c r="D75" s="69" t="s">
        <v>80</v>
      </c>
      <c r="E75" s="70">
        <v>3644.95238095238</v>
      </c>
      <c r="F75" s="70">
        <v>0.0</v>
      </c>
      <c r="G75" s="70">
        <v>0.0</v>
      </c>
      <c r="H75" s="69" t="s">
        <v>73</v>
      </c>
      <c r="I75" s="70">
        <v>0.0</v>
      </c>
      <c r="J75" s="70">
        <v>0.0</v>
      </c>
      <c r="K75" s="69" t="s">
        <v>30</v>
      </c>
      <c r="L75" s="69" t="s">
        <v>69</v>
      </c>
      <c r="M75" s="72"/>
      <c r="N75" s="69" t="s">
        <v>21</v>
      </c>
      <c r="O75" s="70">
        <v>0.909090909090909</v>
      </c>
      <c r="P75" s="69" t="s">
        <v>74</v>
      </c>
      <c r="Q75" s="71"/>
      <c r="R75" s="70">
        <v>0.0</v>
      </c>
      <c r="S75" s="70">
        <v>0.0</v>
      </c>
      <c r="T75" s="70">
        <v>0.0</v>
      </c>
      <c r="U75" s="70">
        <v>0.0</v>
      </c>
      <c r="V75" s="70">
        <v>52.0</v>
      </c>
      <c r="W75" s="70">
        <v>0.0</v>
      </c>
      <c r="X75" s="73" t="s">
        <v>30</v>
      </c>
      <c r="Y75" s="72"/>
      <c r="Z75" s="70">
        <v>0.0</v>
      </c>
      <c r="AA75" s="70">
        <v>0.0</v>
      </c>
      <c r="AB75" s="69" t="s">
        <v>26</v>
      </c>
      <c r="AC75" s="70">
        <v>0.0</v>
      </c>
      <c r="AD75" s="70">
        <v>0.0</v>
      </c>
      <c r="AE75" s="72">
        <v>43873.0</v>
      </c>
      <c r="AF75" s="70">
        <v>0.0</v>
      </c>
      <c r="AG75" s="73" t="s">
        <v>68</v>
      </c>
    </row>
    <row r="76" ht="15.75" customHeight="1">
      <c r="B76" s="56" t="s">
        <v>23</v>
      </c>
      <c r="C76" s="56" t="s">
        <v>68</v>
      </c>
      <c r="D76" s="56" t="s">
        <v>80</v>
      </c>
      <c r="E76" s="58">
        <v>-1095.2380952381</v>
      </c>
      <c r="F76" s="58">
        <v>0.0</v>
      </c>
      <c r="G76" s="58">
        <v>0.0</v>
      </c>
      <c r="H76" s="56" t="s">
        <v>73</v>
      </c>
      <c r="I76" s="58">
        <v>0.0</v>
      </c>
      <c r="J76" s="58">
        <v>0.0</v>
      </c>
      <c r="K76" s="56" t="s">
        <v>30</v>
      </c>
      <c r="L76" s="56" t="s">
        <v>69</v>
      </c>
      <c r="M76" s="62"/>
      <c r="N76" s="56" t="s">
        <v>21</v>
      </c>
      <c r="O76" s="58">
        <v>0.909090909090909</v>
      </c>
      <c r="P76" s="56" t="s">
        <v>74</v>
      </c>
      <c r="Q76" s="60"/>
      <c r="R76" s="58">
        <v>0.0</v>
      </c>
      <c r="S76" s="58">
        <v>0.0</v>
      </c>
      <c r="T76" s="58">
        <v>0.0</v>
      </c>
      <c r="U76" s="58">
        <v>0.0</v>
      </c>
      <c r="V76" s="58">
        <v>25.0</v>
      </c>
      <c r="W76" s="58">
        <v>0.0</v>
      </c>
      <c r="X76" s="73" t="s">
        <v>30</v>
      </c>
      <c r="Y76" s="62"/>
      <c r="Z76" s="58">
        <v>0.0</v>
      </c>
      <c r="AA76" s="58">
        <v>0.0</v>
      </c>
      <c r="AB76" s="56" t="s">
        <v>26</v>
      </c>
      <c r="AC76" s="58">
        <v>0.0</v>
      </c>
      <c r="AD76" s="58">
        <v>0.0</v>
      </c>
      <c r="AE76" s="62">
        <v>43873.0</v>
      </c>
      <c r="AF76" s="58">
        <v>0.0</v>
      </c>
      <c r="AG76" s="68" t="s">
        <v>68</v>
      </c>
    </row>
    <row r="77" ht="15.75" customHeight="1">
      <c r="B77" s="69" t="s">
        <v>23</v>
      </c>
      <c r="C77" s="69" t="s">
        <v>68</v>
      </c>
      <c r="D77" s="69" t="s">
        <v>80</v>
      </c>
      <c r="E77" s="70">
        <v>-657.142857142856</v>
      </c>
      <c r="F77" s="70">
        <v>0.0</v>
      </c>
      <c r="G77" s="70">
        <v>0.0</v>
      </c>
      <c r="H77" s="69" t="s">
        <v>73</v>
      </c>
      <c r="I77" s="70">
        <v>0.0</v>
      </c>
      <c r="J77" s="70">
        <v>0.0</v>
      </c>
      <c r="K77" s="69" t="s">
        <v>30</v>
      </c>
      <c r="L77" s="69" t="s">
        <v>69</v>
      </c>
      <c r="M77" s="72"/>
      <c r="N77" s="69" t="s">
        <v>21</v>
      </c>
      <c r="O77" s="70">
        <v>0.909090909090909</v>
      </c>
      <c r="P77" s="69" t="s">
        <v>74</v>
      </c>
      <c r="Q77" s="71"/>
      <c r="R77" s="70">
        <v>0.0</v>
      </c>
      <c r="S77" s="70">
        <v>0.0</v>
      </c>
      <c r="T77" s="70">
        <v>0.0</v>
      </c>
      <c r="U77" s="70">
        <v>0.0</v>
      </c>
      <c r="V77" s="70">
        <v>8.0</v>
      </c>
      <c r="W77" s="70">
        <v>0.0</v>
      </c>
      <c r="X77" s="73" t="s">
        <v>30</v>
      </c>
      <c r="Y77" s="72"/>
      <c r="Z77" s="70">
        <v>0.0</v>
      </c>
      <c r="AA77" s="70">
        <v>0.0</v>
      </c>
      <c r="AB77" s="69" t="s">
        <v>85</v>
      </c>
      <c r="AC77" s="70">
        <v>0.0</v>
      </c>
      <c r="AD77" s="70">
        <v>0.0</v>
      </c>
      <c r="AE77" s="72">
        <v>43873.0</v>
      </c>
      <c r="AF77" s="70">
        <v>0.0</v>
      </c>
      <c r="AG77" s="73" t="s">
        <v>68</v>
      </c>
    </row>
    <row r="78" ht="15.75" customHeight="1">
      <c r="B78" s="56" t="s">
        <v>23</v>
      </c>
      <c r="C78" s="56" t="s">
        <v>68</v>
      </c>
      <c r="D78" s="56" t="s">
        <v>80</v>
      </c>
      <c r="E78" s="58">
        <v>-2321.90476190476</v>
      </c>
      <c r="F78" s="58">
        <v>0.0</v>
      </c>
      <c r="G78" s="58">
        <v>0.0</v>
      </c>
      <c r="H78" s="56" t="s">
        <v>73</v>
      </c>
      <c r="I78" s="58">
        <v>0.0</v>
      </c>
      <c r="J78" s="58">
        <v>0.0</v>
      </c>
      <c r="K78" s="56" t="s">
        <v>30</v>
      </c>
      <c r="L78" s="56" t="s">
        <v>69</v>
      </c>
      <c r="M78" s="62"/>
      <c r="N78" s="56" t="s">
        <v>21</v>
      </c>
      <c r="O78" s="58">
        <v>0.909090909090909</v>
      </c>
      <c r="P78" s="56" t="s">
        <v>74</v>
      </c>
      <c r="Q78" s="60"/>
      <c r="R78" s="58">
        <v>0.0</v>
      </c>
      <c r="S78" s="58">
        <v>0.0</v>
      </c>
      <c r="T78" s="58">
        <v>0.0</v>
      </c>
      <c r="U78" s="58">
        <v>0.0</v>
      </c>
      <c r="V78" s="58">
        <v>53.0</v>
      </c>
      <c r="W78" s="58">
        <v>0.0</v>
      </c>
      <c r="X78" s="73" t="s">
        <v>30</v>
      </c>
      <c r="Y78" s="62"/>
      <c r="Z78" s="58">
        <v>0.0</v>
      </c>
      <c r="AA78" s="58">
        <v>0.0</v>
      </c>
      <c r="AB78" s="56" t="s">
        <v>26</v>
      </c>
      <c r="AC78" s="58">
        <v>0.0</v>
      </c>
      <c r="AD78" s="58">
        <v>0.0</v>
      </c>
      <c r="AE78" s="62">
        <v>43873.0</v>
      </c>
      <c r="AF78" s="58">
        <v>0.0</v>
      </c>
      <c r="AG78" s="68" t="s">
        <v>68</v>
      </c>
    </row>
    <row r="79" ht="15.75" customHeight="1">
      <c r="B79" s="69" t="s">
        <v>23</v>
      </c>
      <c r="C79" s="69" t="s">
        <v>68</v>
      </c>
      <c r="D79" s="69" t="s">
        <v>80</v>
      </c>
      <c r="E79" s="70">
        <v>-1393.14285714286</v>
      </c>
      <c r="F79" s="70">
        <v>0.0</v>
      </c>
      <c r="G79" s="70">
        <v>0.0</v>
      </c>
      <c r="H79" s="69" t="s">
        <v>73</v>
      </c>
      <c r="I79" s="70">
        <v>0.0</v>
      </c>
      <c r="J79" s="70">
        <v>0.0</v>
      </c>
      <c r="K79" s="69" t="s">
        <v>30</v>
      </c>
      <c r="L79" s="69" t="s">
        <v>69</v>
      </c>
      <c r="M79" s="72"/>
      <c r="N79" s="69" t="s">
        <v>21</v>
      </c>
      <c r="O79" s="70">
        <v>0.909090909090909</v>
      </c>
      <c r="P79" s="69" t="s">
        <v>74</v>
      </c>
      <c r="Q79" s="71"/>
      <c r="R79" s="70">
        <v>0.0</v>
      </c>
      <c r="S79" s="70">
        <v>0.0</v>
      </c>
      <c r="T79" s="70">
        <v>0.0</v>
      </c>
      <c r="U79" s="70">
        <v>0.0</v>
      </c>
      <c r="V79" s="70">
        <v>17.0</v>
      </c>
      <c r="W79" s="70">
        <v>0.0</v>
      </c>
      <c r="X79" s="73" t="s">
        <v>30</v>
      </c>
      <c r="Y79" s="72"/>
      <c r="Z79" s="70">
        <v>0.0</v>
      </c>
      <c r="AA79" s="70">
        <v>0.0</v>
      </c>
      <c r="AB79" s="69" t="s">
        <v>85</v>
      </c>
      <c r="AC79" s="70">
        <v>0.0</v>
      </c>
      <c r="AD79" s="70">
        <v>0.0</v>
      </c>
      <c r="AE79" s="72">
        <v>43873.0</v>
      </c>
      <c r="AF79" s="70">
        <v>0.0</v>
      </c>
      <c r="AG79" s="73" t="s">
        <v>68</v>
      </c>
    </row>
    <row r="80" ht="15.75" customHeight="1">
      <c r="B80" s="56" t="s">
        <v>18</v>
      </c>
      <c r="C80" s="56" t="s">
        <v>68</v>
      </c>
      <c r="D80" s="56" t="s">
        <v>80</v>
      </c>
      <c r="E80" s="58">
        <v>-1095.2380952381</v>
      </c>
      <c r="F80" s="58">
        <v>0.0</v>
      </c>
      <c r="G80" s="58">
        <v>0.0</v>
      </c>
      <c r="H80" s="56" t="s">
        <v>73</v>
      </c>
      <c r="I80" s="58">
        <v>0.0</v>
      </c>
      <c r="J80" s="58">
        <v>0.0</v>
      </c>
      <c r="K80" s="56" t="s">
        <v>30</v>
      </c>
      <c r="L80" s="56" t="s">
        <v>69</v>
      </c>
      <c r="M80" s="62"/>
      <c r="N80" s="56" t="s">
        <v>21</v>
      </c>
      <c r="O80" s="58">
        <v>0.909090909090909</v>
      </c>
      <c r="P80" s="56" t="s">
        <v>74</v>
      </c>
      <c r="Q80" s="60"/>
      <c r="R80" s="58">
        <v>0.0</v>
      </c>
      <c r="S80" s="58">
        <v>0.0</v>
      </c>
      <c r="T80" s="58">
        <v>0.0</v>
      </c>
      <c r="U80" s="58">
        <v>0.0</v>
      </c>
      <c r="V80" s="58">
        <v>25.0</v>
      </c>
      <c r="W80" s="58">
        <v>0.0</v>
      </c>
      <c r="X80" s="73" t="s">
        <v>30</v>
      </c>
      <c r="Y80" s="62"/>
      <c r="Z80" s="58">
        <v>0.0</v>
      </c>
      <c r="AA80" s="58">
        <v>0.0</v>
      </c>
      <c r="AB80" s="56" t="s">
        <v>26</v>
      </c>
      <c r="AC80" s="58">
        <v>0.0</v>
      </c>
      <c r="AD80" s="58">
        <v>0.0</v>
      </c>
      <c r="AE80" s="62">
        <v>43873.0</v>
      </c>
      <c r="AF80" s="58">
        <v>0.0</v>
      </c>
      <c r="AG80" s="68" t="s">
        <v>68</v>
      </c>
    </row>
    <row r="81" ht="15.75" customHeight="1">
      <c r="B81" s="69" t="s">
        <v>18</v>
      </c>
      <c r="C81" s="69" t="s">
        <v>68</v>
      </c>
      <c r="D81" s="69" t="s">
        <v>80</v>
      </c>
      <c r="E81" s="70">
        <v>-657.142857142856</v>
      </c>
      <c r="F81" s="70">
        <v>0.0</v>
      </c>
      <c r="G81" s="70">
        <v>0.0</v>
      </c>
      <c r="H81" s="69" t="s">
        <v>73</v>
      </c>
      <c r="I81" s="70">
        <v>0.0</v>
      </c>
      <c r="J81" s="70">
        <v>0.0</v>
      </c>
      <c r="K81" s="69" t="s">
        <v>30</v>
      </c>
      <c r="L81" s="69" t="s">
        <v>69</v>
      </c>
      <c r="M81" s="72"/>
      <c r="N81" s="69" t="s">
        <v>21</v>
      </c>
      <c r="O81" s="70">
        <v>0.909090909090909</v>
      </c>
      <c r="P81" s="69" t="s">
        <v>74</v>
      </c>
      <c r="Q81" s="71"/>
      <c r="R81" s="70">
        <v>0.0</v>
      </c>
      <c r="S81" s="70">
        <v>0.0</v>
      </c>
      <c r="T81" s="70">
        <v>0.0</v>
      </c>
      <c r="U81" s="70">
        <v>0.0</v>
      </c>
      <c r="V81" s="70">
        <v>8.0</v>
      </c>
      <c r="W81" s="70">
        <v>0.0</v>
      </c>
      <c r="X81" s="73" t="s">
        <v>30</v>
      </c>
      <c r="Y81" s="72"/>
      <c r="Z81" s="70">
        <v>0.0</v>
      </c>
      <c r="AA81" s="70">
        <v>0.0</v>
      </c>
      <c r="AB81" s="69" t="s">
        <v>85</v>
      </c>
      <c r="AC81" s="70">
        <v>0.0</v>
      </c>
      <c r="AD81" s="70">
        <v>0.0</v>
      </c>
      <c r="AE81" s="72">
        <v>43873.0</v>
      </c>
      <c r="AF81" s="70">
        <v>0.0</v>
      </c>
      <c r="AG81" s="73" t="s">
        <v>68</v>
      </c>
    </row>
    <row r="82" ht="15.75" customHeight="1">
      <c r="B82" s="56" t="s">
        <v>18</v>
      </c>
      <c r="C82" s="56" t="s">
        <v>68</v>
      </c>
      <c r="D82" s="56" t="s">
        <v>80</v>
      </c>
      <c r="E82" s="58">
        <v>-2278.09523809524</v>
      </c>
      <c r="F82" s="58">
        <v>0.0</v>
      </c>
      <c r="G82" s="58">
        <v>0.0</v>
      </c>
      <c r="H82" s="56" t="s">
        <v>73</v>
      </c>
      <c r="I82" s="58">
        <v>0.0</v>
      </c>
      <c r="J82" s="58">
        <v>0.0</v>
      </c>
      <c r="K82" s="56" t="s">
        <v>30</v>
      </c>
      <c r="L82" s="56" t="s">
        <v>69</v>
      </c>
      <c r="M82" s="62"/>
      <c r="N82" s="56" t="s">
        <v>21</v>
      </c>
      <c r="O82" s="58">
        <v>0.909090909090909</v>
      </c>
      <c r="P82" s="56" t="s">
        <v>74</v>
      </c>
      <c r="Q82" s="60"/>
      <c r="R82" s="58">
        <v>0.0</v>
      </c>
      <c r="S82" s="58">
        <v>0.0</v>
      </c>
      <c r="T82" s="58">
        <v>0.0</v>
      </c>
      <c r="U82" s="58">
        <v>0.0</v>
      </c>
      <c r="V82" s="58">
        <v>52.0</v>
      </c>
      <c r="W82" s="58">
        <v>0.0</v>
      </c>
      <c r="X82" s="73" t="s">
        <v>30</v>
      </c>
      <c r="Y82" s="62"/>
      <c r="Z82" s="58">
        <v>0.0</v>
      </c>
      <c r="AA82" s="58">
        <v>0.0</v>
      </c>
      <c r="AB82" s="56" t="s">
        <v>26</v>
      </c>
      <c r="AC82" s="58">
        <v>0.0</v>
      </c>
      <c r="AD82" s="58">
        <v>0.0</v>
      </c>
      <c r="AE82" s="62">
        <v>43873.0</v>
      </c>
      <c r="AF82" s="58">
        <v>0.0</v>
      </c>
      <c r="AG82" s="68" t="s">
        <v>68</v>
      </c>
    </row>
    <row r="83" ht="15.75" customHeight="1">
      <c r="B83" s="69" t="s">
        <v>18</v>
      </c>
      <c r="C83" s="69" t="s">
        <v>68</v>
      </c>
      <c r="D83" s="69" t="s">
        <v>80</v>
      </c>
      <c r="E83" s="70">
        <v>-1366.85714285714</v>
      </c>
      <c r="F83" s="70">
        <v>0.0</v>
      </c>
      <c r="G83" s="70">
        <v>0.0</v>
      </c>
      <c r="H83" s="69" t="s">
        <v>73</v>
      </c>
      <c r="I83" s="70">
        <v>0.0</v>
      </c>
      <c r="J83" s="70">
        <v>0.0</v>
      </c>
      <c r="K83" s="69" t="s">
        <v>30</v>
      </c>
      <c r="L83" s="69" t="s">
        <v>69</v>
      </c>
      <c r="M83" s="72"/>
      <c r="N83" s="69" t="s">
        <v>21</v>
      </c>
      <c r="O83" s="70">
        <v>0.909090909090909</v>
      </c>
      <c r="P83" s="69" t="s">
        <v>74</v>
      </c>
      <c r="Q83" s="71"/>
      <c r="R83" s="70">
        <v>0.0</v>
      </c>
      <c r="S83" s="70">
        <v>0.0</v>
      </c>
      <c r="T83" s="70">
        <v>0.0</v>
      </c>
      <c r="U83" s="70">
        <v>0.0</v>
      </c>
      <c r="V83" s="70">
        <v>17.0</v>
      </c>
      <c r="W83" s="70">
        <v>0.0</v>
      </c>
      <c r="X83" s="73" t="s">
        <v>30</v>
      </c>
      <c r="Y83" s="72"/>
      <c r="Z83" s="70">
        <v>0.0</v>
      </c>
      <c r="AA83" s="70">
        <v>0.0</v>
      </c>
      <c r="AB83" s="69" t="s">
        <v>85</v>
      </c>
      <c r="AC83" s="70">
        <v>0.0</v>
      </c>
      <c r="AD83" s="70">
        <v>0.0</v>
      </c>
      <c r="AE83" s="72">
        <v>43873.0</v>
      </c>
      <c r="AF83" s="70">
        <v>0.0</v>
      </c>
      <c r="AG83" s="73" t="s">
        <v>68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43</v>
      </c>
      <c r="C6" s="33">
        <v>43871.0</v>
      </c>
      <c r="D6" s="33">
        <v>43873.0</v>
      </c>
      <c r="E6" s="38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90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74" t="s">
        <v>23</v>
      </c>
      <c r="C6" s="75" t="s">
        <v>91</v>
      </c>
      <c r="D6" s="8"/>
      <c r="E6" s="8"/>
      <c r="F6" s="8"/>
      <c r="G6" s="75"/>
      <c r="H6" s="76">
        <v>1330.04761904762</v>
      </c>
      <c r="I6" s="76">
        <v>25.0</v>
      </c>
      <c r="J6" s="77">
        <v>43872.0</v>
      </c>
      <c r="K6" s="8"/>
      <c r="L6" s="8"/>
      <c r="M6" s="76">
        <v>53.0</v>
      </c>
      <c r="N6" s="75" t="s">
        <v>92</v>
      </c>
      <c r="O6" s="8"/>
      <c r="P6" s="75" t="s">
        <v>27</v>
      </c>
      <c r="Q6" s="75" t="s">
        <v>93</v>
      </c>
      <c r="R6" s="75" t="s">
        <v>39</v>
      </c>
      <c r="T6" s="76">
        <v>5.04761904762</v>
      </c>
      <c r="U6" s="77">
        <v>43872.0</v>
      </c>
      <c r="V6" s="75" t="s">
        <v>27</v>
      </c>
      <c r="W6" s="75" t="s">
        <v>94</v>
      </c>
      <c r="X6" s="76">
        <v>25.0952380952381</v>
      </c>
      <c r="Y6" s="76">
        <v>22.8138528138528</v>
      </c>
      <c r="Z6" s="76">
        <v>22.7272727272727</v>
      </c>
    </row>
    <row r="7" ht="15.75" customHeight="1">
      <c r="A7" s="8"/>
      <c r="B7" s="75" t="s">
        <v>18</v>
      </c>
      <c r="C7" s="75" t="s">
        <v>91</v>
      </c>
      <c r="D7" s="8"/>
      <c r="E7" s="8"/>
      <c r="F7" s="8"/>
      <c r="G7" s="75"/>
      <c r="H7" s="76">
        <v>1304.95238095238</v>
      </c>
      <c r="I7" s="76">
        <v>25.0</v>
      </c>
      <c r="J7" s="77">
        <v>43872.0</v>
      </c>
      <c r="K7" s="8"/>
      <c r="L7" s="8"/>
      <c r="M7" s="76">
        <v>52.0</v>
      </c>
      <c r="N7" s="75" t="s">
        <v>92</v>
      </c>
      <c r="O7" s="8"/>
      <c r="P7" s="75" t="s">
        <v>27</v>
      </c>
      <c r="Q7" s="75" t="s">
        <v>93</v>
      </c>
      <c r="R7" s="75" t="s">
        <v>39</v>
      </c>
      <c r="T7" s="76">
        <v>4.95238095238</v>
      </c>
      <c r="U7" s="77">
        <v>43872.0</v>
      </c>
      <c r="V7" s="75" t="s">
        <v>27</v>
      </c>
      <c r="W7" s="75" t="s">
        <v>94</v>
      </c>
      <c r="X7" s="76">
        <v>25.0952380952381</v>
      </c>
      <c r="Y7" s="76">
        <v>22.8138528138528</v>
      </c>
      <c r="Z7" s="76">
        <v>22.7272727272727</v>
      </c>
    </row>
    <row r="8" ht="15.75" customHeight="1">
      <c r="A8" s="8"/>
      <c r="B8" s="75" t="s">
        <v>23</v>
      </c>
      <c r="C8" s="75" t="s">
        <v>91</v>
      </c>
      <c r="D8" s="8"/>
      <c r="E8" s="8"/>
      <c r="F8" s="8"/>
      <c r="G8" s="75"/>
      <c r="H8" s="76">
        <v>1095.2380952381</v>
      </c>
      <c r="I8" s="76">
        <v>43.8095238095238</v>
      </c>
      <c r="J8" s="77">
        <v>43871.0</v>
      </c>
      <c r="K8" s="8"/>
      <c r="L8" s="8"/>
      <c r="M8" s="76">
        <v>25.0</v>
      </c>
      <c r="N8" s="75" t="s">
        <v>95</v>
      </c>
      <c r="O8" s="8"/>
      <c r="P8" s="75" t="s">
        <v>27</v>
      </c>
      <c r="Q8" s="75" t="s">
        <v>93</v>
      </c>
      <c r="R8" s="75" t="s">
        <v>26</v>
      </c>
      <c r="T8" s="76">
        <v>0.0</v>
      </c>
      <c r="U8" s="77">
        <v>43873.0</v>
      </c>
      <c r="V8" s="75" t="s">
        <v>27</v>
      </c>
      <c r="W8" s="75" t="s">
        <v>94</v>
      </c>
      <c r="X8" s="76">
        <v>43.8095238095238</v>
      </c>
      <c r="Y8" s="76">
        <v>39.8268398268398</v>
      </c>
      <c r="Z8" s="76">
        <v>39.8268398268398</v>
      </c>
    </row>
    <row r="9" ht="15.75" customHeight="1">
      <c r="A9" s="8"/>
      <c r="B9" s="75" t="s">
        <v>23</v>
      </c>
      <c r="C9" s="75" t="s">
        <v>91</v>
      </c>
      <c r="D9" s="8"/>
      <c r="E9" s="8"/>
      <c r="F9" s="8"/>
      <c r="G9" s="75"/>
      <c r="H9" s="76">
        <v>657.142857142856</v>
      </c>
      <c r="I9" s="76">
        <v>82.142857142857</v>
      </c>
      <c r="J9" s="77">
        <v>43871.0</v>
      </c>
      <c r="K9" s="8"/>
      <c r="L9" s="8"/>
      <c r="M9" s="76">
        <v>8.0</v>
      </c>
      <c r="N9" s="75" t="s">
        <v>96</v>
      </c>
      <c r="O9" s="8"/>
      <c r="P9" s="75" t="s">
        <v>27</v>
      </c>
      <c r="Q9" s="75" t="s">
        <v>93</v>
      </c>
      <c r="R9" s="75" t="s">
        <v>85</v>
      </c>
      <c r="T9" s="76">
        <v>0.0</v>
      </c>
      <c r="U9" s="77">
        <v>43873.0</v>
      </c>
      <c r="V9" s="75" t="s">
        <v>27</v>
      </c>
      <c r="W9" s="75" t="s">
        <v>94</v>
      </c>
      <c r="X9" s="76">
        <v>82.142857142857</v>
      </c>
      <c r="Y9" s="76">
        <v>74.6753246753245</v>
      </c>
      <c r="Z9" s="76">
        <v>74.6753246753245</v>
      </c>
    </row>
    <row r="10" ht="15.75" customHeight="1">
      <c r="A10" s="8"/>
      <c r="B10" s="75" t="s">
        <v>23</v>
      </c>
      <c r="C10" s="75" t="s">
        <v>91</v>
      </c>
      <c r="D10" s="8"/>
      <c r="E10" s="8"/>
      <c r="F10" s="8"/>
      <c r="G10" s="75"/>
      <c r="H10" s="76">
        <v>2321.90476190476</v>
      </c>
      <c r="I10" s="76">
        <v>43.8095238095238</v>
      </c>
      <c r="J10" s="77">
        <v>43872.0</v>
      </c>
      <c r="K10" s="8"/>
      <c r="L10" s="8"/>
      <c r="M10" s="76">
        <v>53.0</v>
      </c>
      <c r="N10" s="75" t="s">
        <v>95</v>
      </c>
      <c r="O10" s="8"/>
      <c r="P10" s="75" t="s">
        <v>27</v>
      </c>
      <c r="Q10" s="75" t="s">
        <v>93</v>
      </c>
      <c r="R10" s="75" t="s">
        <v>26</v>
      </c>
      <c r="T10" s="76">
        <v>0.0</v>
      </c>
      <c r="U10" s="77">
        <v>43873.0</v>
      </c>
      <c r="V10" s="75" t="s">
        <v>27</v>
      </c>
      <c r="W10" s="75" t="s">
        <v>94</v>
      </c>
      <c r="X10" s="76">
        <v>43.8095238095238</v>
      </c>
      <c r="Y10" s="76">
        <v>39.8268398268398</v>
      </c>
      <c r="Z10" s="76">
        <v>39.8268398268398</v>
      </c>
    </row>
    <row r="11" ht="15.75" customHeight="1">
      <c r="A11" s="8"/>
      <c r="B11" s="75" t="s">
        <v>23</v>
      </c>
      <c r="C11" s="75" t="s">
        <v>91</v>
      </c>
      <c r="D11" s="8"/>
      <c r="E11" s="8"/>
      <c r="F11" s="8"/>
      <c r="G11" s="75"/>
      <c r="H11" s="76">
        <v>1393.14285714286</v>
      </c>
      <c r="I11" s="76">
        <v>81.9495798319328</v>
      </c>
      <c r="J11" s="77">
        <v>43872.0</v>
      </c>
      <c r="K11" s="8"/>
      <c r="L11" s="8"/>
      <c r="M11" s="76">
        <v>17.0</v>
      </c>
      <c r="N11" s="75" t="s">
        <v>96</v>
      </c>
      <c r="O11" s="8"/>
      <c r="P11" s="75" t="s">
        <v>27</v>
      </c>
      <c r="Q11" s="75" t="s">
        <v>93</v>
      </c>
      <c r="R11" s="75" t="s">
        <v>85</v>
      </c>
      <c r="T11" s="76">
        <v>0.0</v>
      </c>
      <c r="U11" s="77">
        <v>43873.0</v>
      </c>
      <c r="V11" s="75" t="s">
        <v>27</v>
      </c>
      <c r="W11" s="75" t="s">
        <v>94</v>
      </c>
      <c r="X11" s="76">
        <v>81.9495798319328</v>
      </c>
      <c r="Y11" s="76">
        <v>74.4996180290298</v>
      </c>
      <c r="Z11" s="76">
        <v>74.4996180290298</v>
      </c>
    </row>
    <row r="12" ht="15.75" customHeight="1">
      <c r="A12" s="8"/>
      <c r="B12" s="75" t="s">
        <v>18</v>
      </c>
      <c r="C12" s="75" t="s">
        <v>91</v>
      </c>
      <c r="D12" s="8"/>
      <c r="E12" s="8"/>
      <c r="F12" s="8"/>
      <c r="G12" s="75"/>
      <c r="H12" s="76">
        <v>1095.2380952381</v>
      </c>
      <c r="I12" s="76">
        <v>43.8095238095238</v>
      </c>
      <c r="J12" s="77">
        <v>43871.0</v>
      </c>
      <c r="K12" s="8"/>
      <c r="L12" s="8"/>
      <c r="M12" s="76">
        <v>25.0</v>
      </c>
      <c r="N12" s="75" t="s">
        <v>95</v>
      </c>
      <c r="O12" s="8"/>
      <c r="P12" s="75" t="s">
        <v>27</v>
      </c>
      <c r="Q12" s="75" t="s">
        <v>93</v>
      </c>
      <c r="R12" s="75" t="s">
        <v>26</v>
      </c>
      <c r="T12" s="76">
        <v>0.0</v>
      </c>
      <c r="U12" s="77">
        <v>43873.0</v>
      </c>
      <c r="V12" s="75" t="s">
        <v>27</v>
      </c>
      <c r="W12" s="75" t="s">
        <v>94</v>
      </c>
      <c r="X12" s="76">
        <v>43.8095238095238</v>
      </c>
      <c r="Y12" s="76">
        <v>39.8268398268398</v>
      </c>
      <c r="Z12" s="76">
        <v>39.8268398268398</v>
      </c>
    </row>
    <row r="13" ht="15.75" customHeight="1">
      <c r="A13" s="8"/>
      <c r="B13" s="75" t="s">
        <v>18</v>
      </c>
      <c r="C13" s="75" t="s">
        <v>91</v>
      </c>
      <c r="D13" s="8"/>
      <c r="E13" s="8"/>
      <c r="F13" s="8"/>
      <c r="G13" s="75"/>
      <c r="H13" s="76">
        <v>657.142857142856</v>
      </c>
      <c r="I13" s="76">
        <v>82.142857142857</v>
      </c>
      <c r="J13" s="77">
        <v>43871.0</v>
      </c>
      <c r="K13" s="8"/>
      <c r="L13" s="8"/>
      <c r="M13" s="76">
        <v>8.0</v>
      </c>
      <c r="N13" s="75" t="s">
        <v>96</v>
      </c>
      <c r="O13" s="8"/>
      <c r="P13" s="75" t="s">
        <v>27</v>
      </c>
      <c r="Q13" s="75" t="s">
        <v>93</v>
      </c>
      <c r="R13" s="75" t="s">
        <v>85</v>
      </c>
      <c r="T13" s="76">
        <v>0.0</v>
      </c>
      <c r="U13" s="77">
        <v>43873.0</v>
      </c>
      <c r="V13" s="75" t="s">
        <v>27</v>
      </c>
      <c r="W13" s="75" t="s">
        <v>94</v>
      </c>
      <c r="X13" s="76">
        <v>82.142857142857</v>
      </c>
      <c r="Y13" s="76">
        <v>74.6753246753245</v>
      </c>
      <c r="Z13" s="76">
        <v>74.6753246753245</v>
      </c>
    </row>
    <row r="14" ht="15.75" customHeight="1">
      <c r="A14" s="8"/>
      <c r="B14" s="75" t="s">
        <v>18</v>
      </c>
      <c r="C14" s="75" t="s">
        <v>91</v>
      </c>
      <c r="D14" s="8"/>
      <c r="E14" s="8"/>
      <c r="F14" s="8"/>
      <c r="G14" s="75"/>
      <c r="H14" s="76">
        <v>2278.09523809524</v>
      </c>
      <c r="I14" s="76">
        <v>43.8095238095238</v>
      </c>
      <c r="J14" s="77">
        <v>43872.0</v>
      </c>
      <c r="K14" s="8"/>
      <c r="L14" s="8"/>
      <c r="M14" s="76">
        <v>52.0</v>
      </c>
      <c r="N14" s="75" t="s">
        <v>95</v>
      </c>
      <c r="O14" s="8"/>
      <c r="P14" s="75" t="s">
        <v>27</v>
      </c>
      <c r="Q14" s="75" t="s">
        <v>93</v>
      </c>
      <c r="R14" s="75" t="s">
        <v>26</v>
      </c>
      <c r="T14" s="76">
        <v>0.0</v>
      </c>
      <c r="U14" s="77">
        <v>43873.0</v>
      </c>
      <c r="V14" s="75" t="s">
        <v>27</v>
      </c>
      <c r="W14" s="75" t="s">
        <v>94</v>
      </c>
      <c r="X14" s="76">
        <v>43.8095238095238</v>
      </c>
      <c r="Y14" s="76">
        <v>39.8268398268398</v>
      </c>
      <c r="Z14" s="76">
        <v>39.8268398268398</v>
      </c>
    </row>
    <row r="15" ht="15.75" customHeight="1">
      <c r="A15" s="8"/>
      <c r="B15" s="75" t="s">
        <v>18</v>
      </c>
      <c r="C15" s="75" t="s">
        <v>91</v>
      </c>
      <c r="D15" s="8"/>
      <c r="E15" s="8"/>
      <c r="F15" s="8"/>
      <c r="G15" s="75"/>
      <c r="H15" s="76">
        <v>1366.85714285714</v>
      </c>
      <c r="I15" s="76">
        <v>80.4033613445378</v>
      </c>
      <c r="J15" s="77">
        <v>43872.0</v>
      </c>
      <c r="K15" s="8"/>
      <c r="L15" s="8"/>
      <c r="M15" s="76">
        <v>17.0</v>
      </c>
      <c r="N15" s="75" t="s">
        <v>96</v>
      </c>
      <c r="O15" s="8"/>
      <c r="P15" s="75" t="s">
        <v>27</v>
      </c>
      <c r="Q15" s="75" t="s">
        <v>93</v>
      </c>
      <c r="R15" s="75" t="s">
        <v>85</v>
      </c>
      <c r="T15" s="76">
        <v>0.0</v>
      </c>
      <c r="U15" s="77">
        <v>43873.0</v>
      </c>
      <c r="V15" s="75" t="s">
        <v>27</v>
      </c>
      <c r="W15" s="75" t="s">
        <v>94</v>
      </c>
      <c r="X15" s="76">
        <v>80.4033613445378</v>
      </c>
      <c r="Y15" s="76">
        <v>73.0939648586707</v>
      </c>
      <c r="Z15" s="76">
        <v>73.0939648586707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43</v>
      </c>
      <c r="C6" s="33">
        <v>43871.0</v>
      </c>
      <c r="D6" s="33">
        <v>43873.0</v>
      </c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37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97</v>
      </c>
      <c r="D3" s="5" t="s">
        <v>9</v>
      </c>
      <c r="E3" s="22" t="s">
        <v>99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11"/>
      <c r="B6" s="81" t="s">
        <v>23</v>
      </c>
      <c r="C6" s="8"/>
      <c r="D6" s="11"/>
      <c r="E6" s="82">
        <v>25.0</v>
      </c>
      <c r="F6" s="8"/>
      <c r="G6" s="61" t="s">
        <v>91</v>
      </c>
      <c r="H6" s="82">
        <v>0.0</v>
      </c>
      <c r="I6" s="82">
        <v>0.0</v>
      </c>
      <c r="J6" s="8"/>
      <c r="K6" s="82">
        <v>63.7229437229436</v>
      </c>
      <c r="L6" s="82">
        <v>70.095238095238</v>
      </c>
      <c r="M6" s="8"/>
      <c r="N6" s="8"/>
      <c r="O6" s="8"/>
      <c r="R6" s="82">
        <v>0.0</v>
      </c>
      <c r="S6" s="61" t="s">
        <v>100</v>
      </c>
      <c r="T6" s="82">
        <v>0.0</v>
      </c>
      <c r="U6" s="82">
        <v>0.0</v>
      </c>
      <c r="V6" s="61" t="s">
        <v>95</v>
      </c>
      <c r="AD6" s="61" t="s">
        <v>101</v>
      </c>
      <c r="AE6" s="82">
        <v>25.0</v>
      </c>
      <c r="AH6" s="61" t="s">
        <v>21</v>
      </c>
      <c r="AI6" s="82">
        <v>0.909090909090909</v>
      </c>
      <c r="AJ6" s="61" t="s">
        <v>82</v>
      </c>
      <c r="AT6" s="82">
        <v>1593.07359307359</v>
      </c>
      <c r="AU6" s="82">
        <v>1752.38095238095</v>
      </c>
      <c r="AW6" s="82">
        <v>0.0</v>
      </c>
      <c r="AX6" s="82">
        <v>0.0</v>
      </c>
      <c r="AY6" s="61" t="s">
        <v>102</v>
      </c>
      <c r="AZ6" s="82">
        <v>0.0</v>
      </c>
      <c r="BC6" s="82">
        <v>0.0</v>
      </c>
      <c r="BE6" s="82">
        <v>1593.07359307359</v>
      </c>
      <c r="BF6" s="82">
        <v>1752.38095238095</v>
      </c>
      <c r="BJ6" s="82">
        <v>25.0</v>
      </c>
      <c r="BK6" s="82">
        <v>0.0</v>
      </c>
      <c r="BM6" s="61" t="s">
        <v>30</v>
      </c>
      <c r="BO6" s="61" t="s">
        <v>40</v>
      </c>
      <c r="BP6" s="82">
        <v>0.0</v>
      </c>
      <c r="BQ6" s="82">
        <v>0.0</v>
      </c>
      <c r="BR6" s="82">
        <v>0.0</v>
      </c>
      <c r="BT6" s="61" t="s">
        <v>26</v>
      </c>
      <c r="BU6" s="82">
        <v>0.0</v>
      </c>
      <c r="BV6" s="82">
        <v>0.0</v>
      </c>
      <c r="BW6" s="82">
        <v>0.0</v>
      </c>
      <c r="BX6" s="82">
        <v>0.0</v>
      </c>
      <c r="CE6" s="83">
        <v>43873.0</v>
      </c>
      <c r="CH6" s="61" t="s">
        <v>103</v>
      </c>
      <c r="CI6" s="61" t="s">
        <v>40</v>
      </c>
      <c r="CJ6" s="82">
        <v>0.0</v>
      </c>
      <c r="CK6" s="61" t="s">
        <v>94</v>
      </c>
      <c r="CM6" s="61" t="s">
        <v>26</v>
      </c>
    </row>
    <row r="7" ht="15.75" customHeight="1">
      <c r="A7" s="8"/>
      <c r="B7" s="61" t="s">
        <v>23</v>
      </c>
      <c r="C7" s="8"/>
      <c r="D7" s="8"/>
      <c r="E7" s="82">
        <v>25.0</v>
      </c>
      <c r="F7" s="8"/>
      <c r="G7" s="61" t="s">
        <v>91</v>
      </c>
      <c r="H7" s="82">
        <v>0.0</v>
      </c>
      <c r="I7" s="82">
        <v>0.0</v>
      </c>
      <c r="J7" s="8"/>
      <c r="K7" s="82">
        <v>39.8268398268398</v>
      </c>
      <c r="L7" s="82">
        <v>43.8095238095238</v>
      </c>
      <c r="M7" s="8"/>
      <c r="N7" s="8"/>
      <c r="O7" s="8"/>
      <c r="R7" s="82">
        <v>0.0</v>
      </c>
      <c r="S7" s="61" t="s">
        <v>100</v>
      </c>
      <c r="T7" s="82">
        <v>0.0</v>
      </c>
      <c r="U7" s="82">
        <v>0.0</v>
      </c>
      <c r="V7" s="61" t="s">
        <v>95</v>
      </c>
      <c r="AD7" s="61" t="s">
        <v>101</v>
      </c>
      <c r="AE7" s="82">
        <v>25.0</v>
      </c>
      <c r="AH7" s="61" t="s">
        <v>21</v>
      </c>
      <c r="AI7" s="82">
        <v>0.909090909090909</v>
      </c>
      <c r="AJ7" s="61" t="s">
        <v>82</v>
      </c>
      <c r="AT7" s="82">
        <v>995.670995670995</v>
      </c>
      <c r="AU7" s="82">
        <v>1095.2380952381</v>
      </c>
      <c r="AW7" s="82">
        <v>0.0</v>
      </c>
      <c r="AX7" s="82">
        <v>0.0</v>
      </c>
      <c r="AY7" s="61" t="s">
        <v>102</v>
      </c>
      <c r="AZ7" s="82">
        <v>0.0</v>
      </c>
      <c r="BC7" s="82">
        <v>0.0</v>
      </c>
      <c r="BE7" s="82">
        <v>995.670995670995</v>
      </c>
      <c r="BF7" s="82">
        <v>1095.2380952381</v>
      </c>
      <c r="BJ7" s="82">
        <v>25.0</v>
      </c>
      <c r="BK7" s="82">
        <v>0.0</v>
      </c>
      <c r="BM7" s="61" t="s">
        <v>30</v>
      </c>
      <c r="BO7" s="61" t="s">
        <v>27</v>
      </c>
      <c r="BP7" s="82">
        <v>0.0</v>
      </c>
      <c r="BQ7" s="82">
        <v>0.0</v>
      </c>
      <c r="BR7" s="82">
        <v>0.0</v>
      </c>
      <c r="BT7" s="61" t="s">
        <v>26</v>
      </c>
      <c r="BU7" s="82">
        <v>0.0</v>
      </c>
      <c r="BV7" s="82">
        <v>0.0</v>
      </c>
      <c r="BW7" s="82">
        <v>0.0</v>
      </c>
      <c r="BX7" s="82">
        <v>0.0</v>
      </c>
      <c r="CE7" s="83">
        <v>43873.0</v>
      </c>
      <c r="CH7" s="61" t="s">
        <v>103</v>
      </c>
      <c r="CI7" s="61" t="s">
        <v>27</v>
      </c>
      <c r="CJ7" s="82">
        <v>0.0</v>
      </c>
      <c r="CK7" s="61" t="s">
        <v>94</v>
      </c>
      <c r="CM7" s="61" t="s">
        <v>26</v>
      </c>
    </row>
    <row r="8" ht="15.75" customHeight="1">
      <c r="A8" s="8"/>
      <c r="B8" s="61" t="s">
        <v>23</v>
      </c>
      <c r="C8" s="8"/>
      <c r="D8" s="8"/>
      <c r="E8" s="82">
        <v>8.0</v>
      </c>
      <c r="F8" s="8"/>
      <c r="G8" s="61" t="s">
        <v>91</v>
      </c>
      <c r="H8" s="82">
        <v>0.0</v>
      </c>
      <c r="I8" s="82">
        <v>0.0</v>
      </c>
      <c r="J8" s="8"/>
      <c r="K8" s="82">
        <v>74.6753246753245</v>
      </c>
      <c r="L8" s="82">
        <v>82.142857142857</v>
      </c>
      <c r="M8" s="8"/>
      <c r="N8" s="8"/>
      <c r="O8" s="8"/>
      <c r="R8" s="82">
        <v>0.0</v>
      </c>
      <c r="S8" s="61" t="s">
        <v>100</v>
      </c>
      <c r="T8" s="82">
        <v>0.0</v>
      </c>
      <c r="U8" s="82">
        <v>0.0</v>
      </c>
      <c r="V8" s="61" t="s">
        <v>96</v>
      </c>
      <c r="AD8" s="61" t="s">
        <v>101</v>
      </c>
      <c r="AE8" s="82">
        <v>8.0</v>
      </c>
      <c r="AH8" s="61" t="s">
        <v>21</v>
      </c>
      <c r="AI8" s="82">
        <v>0.909090909090909</v>
      </c>
      <c r="AJ8" s="61" t="s">
        <v>82</v>
      </c>
      <c r="AT8" s="82">
        <v>597.402597402596</v>
      </c>
      <c r="AU8" s="82">
        <v>657.142857142856</v>
      </c>
      <c r="AW8" s="82">
        <v>0.0</v>
      </c>
      <c r="AX8" s="82">
        <v>0.0</v>
      </c>
      <c r="AY8" s="61" t="s">
        <v>102</v>
      </c>
      <c r="AZ8" s="82">
        <v>0.0</v>
      </c>
      <c r="BC8" s="82">
        <v>0.0</v>
      </c>
      <c r="BE8" s="82">
        <v>597.402597402596</v>
      </c>
      <c r="BF8" s="82">
        <v>657.142857142856</v>
      </c>
      <c r="BJ8" s="82">
        <v>8.0</v>
      </c>
      <c r="BK8" s="82">
        <v>0.0</v>
      </c>
      <c r="BM8" s="61" t="s">
        <v>30</v>
      </c>
      <c r="BO8" s="61" t="s">
        <v>27</v>
      </c>
      <c r="BP8" s="82">
        <v>0.0</v>
      </c>
      <c r="BQ8" s="82">
        <v>0.0</v>
      </c>
      <c r="BR8" s="82">
        <v>0.0</v>
      </c>
      <c r="BT8" s="61" t="s">
        <v>85</v>
      </c>
      <c r="BU8" s="82">
        <v>0.0</v>
      </c>
      <c r="BV8" s="82">
        <v>0.0</v>
      </c>
      <c r="BW8" s="82">
        <v>0.0</v>
      </c>
      <c r="BX8" s="82">
        <v>0.0</v>
      </c>
      <c r="CE8" s="83">
        <v>43873.0</v>
      </c>
      <c r="CH8" s="61" t="s">
        <v>103</v>
      </c>
      <c r="CI8" s="61" t="s">
        <v>27</v>
      </c>
      <c r="CJ8" s="82">
        <v>0.0</v>
      </c>
      <c r="CK8" s="61" t="s">
        <v>94</v>
      </c>
      <c r="CM8" s="61" t="s">
        <v>85</v>
      </c>
    </row>
    <row r="9" ht="15.75" customHeight="1">
      <c r="A9" s="8"/>
      <c r="B9" s="61" t="s">
        <v>23</v>
      </c>
      <c r="C9" s="8"/>
      <c r="D9" s="8"/>
      <c r="E9" s="82">
        <v>53.0</v>
      </c>
      <c r="F9" s="8"/>
      <c r="G9" s="61" t="s">
        <v>91</v>
      </c>
      <c r="H9" s="82">
        <v>0.0</v>
      </c>
      <c r="I9" s="82">
        <v>0.0</v>
      </c>
      <c r="J9" s="8"/>
      <c r="K9" s="82">
        <v>63.7229437229437</v>
      </c>
      <c r="L9" s="82">
        <v>70.0952380952381</v>
      </c>
      <c r="M9" s="8"/>
      <c r="N9" s="8"/>
      <c r="O9" s="8"/>
      <c r="R9" s="82">
        <v>0.0</v>
      </c>
      <c r="S9" s="61" t="s">
        <v>100</v>
      </c>
      <c r="T9" s="82">
        <v>0.0</v>
      </c>
      <c r="U9" s="82">
        <v>0.0</v>
      </c>
      <c r="V9" s="61" t="s">
        <v>95</v>
      </c>
      <c r="AD9" s="61" t="s">
        <v>101</v>
      </c>
      <c r="AE9" s="82">
        <v>53.0</v>
      </c>
      <c r="AH9" s="61" t="s">
        <v>21</v>
      </c>
      <c r="AI9" s="82">
        <v>0.909090909090909</v>
      </c>
      <c r="AJ9" s="61" t="s">
        <v>82</v>
      </c>
      <c r="AT9" s="82">
        <v>3377.31601731602</v>
      </c>
      <c r="AU9" s="82">
        <v>3715.04761904762</v>
      </c>
      <c r="AW9" s="82">
        <v>0.0</v>
      </c>
      <c r="AX9" s="82">
        <v>0.0</v>
      </c>
      <c r="AY9" s="61" t="s">
        <v>102</v>
      </c>
      <c r="AZ9" s="82">
        <v>0.0</v>
      </c>
      <c r="BC9" s="82">
        <v>0.0</v>
      </c>
      <c r="BE9" s="82">
        <v>3377.31601731602</v>
      </c>
      <c r="BF9" s="82">
        <v>3715.04761904762</v>
      </c>
      <c r="BJ9" s="82">
        <v>53.0</v>
      </c>
      <c r="BK9" s="82">
        <v>0.0</v>
      </c>
      <c r="BM9" s="61" t="s">
        <v>30</v>
      </c>
      <c r="BO9" s="61" t="s">
        <v>40</v>
      </c>
      <c r="BP9" s="82">
        <v>0.0</v>
      </c>
      <c r="BQ9" s="82">
        <v>0.0</v>
      </c>
      <c r="BR9" s="82">
        <v>0.0</v>
      </c>
      <c r="BT9" s="61" t="s">
        <v>26</v>
      </c>
      <c r="BU9" s="82">
        <v>0.0</v>
      </c>
      <c r="BV9" s="82">
        <v>0.0</v>
      </c>
      <c r="BW9" s="82">
        <v>0.0</v>
      </c>
      <c r="BX9" s="82">
        <v>0.0</v>
      </c>
      <c r="CE9" s="83">
        <v>43873.0</v>
      </c>
      <c r="CH9" s="61" t="s">
        <v>103</v>
      </c>
      <c r="CI9" s="61" t="s">
        <v>40</v>
      </c>
      <c r="CJ9" s="82">
        <v>0.0</v>
      </c>
      <c r="CK9" s="61" t="s">
        <v>94</v>
      </c>
      <c r="CM9" s="61" t="s">
        <v>26</v>
      </c>
    </row>
    <row r="10" ht="15.75" customHeight="1">
      <c r="A10" s="8"/>
      <c r="B10" s="61" t="s">
        <v>23</v>
      </c>
      <c r="C10" s="8"/>
      <c r="D10" s="8"/>
      <c r="E10" s="82">
        <v>53.0</v>
      </c>
      <c r="F10" s="8"/>
      <c r="G10" s="61" t="s">
        <v>91</v>
      </c>
      <c r="H10" s="82">
        <v>0.0</v>
      </c>
      <c r="I10" s="82">
        <v>0.0</v>
      </c>
      <c r="J10" s="8"/>
      <c r="K10" s="82">
        <v>39.8268398268398</v>
      </c>
      <c r="L10" s="82">
        <v>43.8095238095238</v>
      </c>
      <c r="M10" s="8"/>
      <c r="N10" s="8"/>
      <c r="O10" s="8"/>
      <c r="R10" s="82">
        <v>0.0</v>
      </c>
      <c r="S10" s="61" t="s">
        <v>100</v>
      </c>
      <c r="T10" s="82">
        <v>0.0</v>
      </c>
      <c r="U10" s="82">
        <v>0.0</v>
      </c>
      <c r="V10" s="61" t="s">
        <v>95</v>
      </c>
      <c r="AD10" s="61" t="s">
        <v>101</v>
      </c>
      <c r="AE10" s="82">
        <v>53.0</v>
      </c>
      <c r="AH10" s="61" t="s">
        <v>21</v>
      </c>
      <c r="AI10" s="82">
        <v>0.909090909090909</v>
      </c>
      <c r="AJ10" s="61" t="s">
        <v>82</v>
      </c>
      <c r="AT10" s="82">
        <v>2110.82251082251</v>
      </c>
      <c r="AU10" s="82">
        <v>2321.90476190476</v>
      </c>
      <c r="AW10" s="82">
        <v>0.0</v>
      </c>
      <c r="AX10" s="82">
        <v>0.0</v>
      </c>
      <c r="AY10" s="61" t="s">
        <v>102</v>
      </c>
      <c r="AZ10" s="82">
        <v>0.0</v>
      </c>
      <c r="BC10" s="82">
        <v>0.0</v>
      </c>
      <c r="BE10" s="82">
        <v>2110.82251082251</v>
      </c>
      <c r="BF10" s="82">
        <v>2321.90476190476</v>
      </c>
      <c r="BJ10" s="82">
        <v>53.0</v>
      </c>
      <c r="BK10" s="82">
        <v>0.0</v>
      </c>
      <c r="BM10" s="61" t="s">
        <v>30</v>
      </c>
      <c r="BO10" s="61" t="s">
        <v>27</v>
      </c>
      <c r="BP10" s="82">
        <v>0.0</v>
      </c>
      <c r="BQ10" s="82">
        <v>0.0</v>
      </c>
      <c r="BR10" s="82">
        <v>0.0</v>
      </c>
      <c r="BT10" s="61" t="s">
        <v>26</v>
      </c>
      <c r="BU10" s="82">
        <v>0.0</v>
      </c>
      <c r="BV10" s="82">
        <v>0.0</v>
      </c>
      <c r="BW10" s="82">
        <v>0.0</v>
      </c>
      <c r="BX10" s="82">
        <v>0.0</v>
      </c>
      <c r="CE10" s="83">
        <v>43873.0</v>
      </c>
      <c r="CH10" s="61" t="s">
        <v>103</v>
      </c>
      <c r="CI10" s="61" t="s">
        <v>27</v>
      </c>
      <c r="CJ10" s="82">
        <v>0.0</v>
      </c>
      <c r="CK10" s="61" t="s">
        <v>94</v>
      </c>
      <c r="CM10" s="61" t="s">
        <v>26</v>
      </c>
    </row>
    <row r="11" ht="15.75" customHeight="1">
      <c r="A11" s="8"/>
      <c r="B11" s="61" t="s">
        <v>23</v>
      </c>
      <c r="C11" s="8"/>
      <c r="D11" s="8"/>
      <c r="E11" s="82">
        <v>17.0</v>
      </c>
      <c r="F11" s="8"/>
      <c r="G11" s="61" t="s">
        <v>91</v>
      </c>
      <c r="H11" s="82">
        <v>0.0</v>
      </c>
      <c r="I11" s="82">
        <v>0.0</v>
      </c>
      <c r="J11" s="8"/>
      <c r="K11" s="82">
        <v>74.4996180290298</v>
      </c>
      <c r="L11" s="82">
        <v>81.9495798319328</v>
      </c>
      <c r="M11" s="8"/>
      <c r="N11" s="8"/>
      <c r="O11" s="8"/>
      <c r="R11" s="82">
        <v>0.0</v>
      </c>
      <c r="S11" s="61" t="s">
        <v>100</v>
      </c>
      <c r="T11" s="82">
        <v>0.0</v>
      </c>
      <c r="U11" s="82">
        <v>0.0</v>
      </c>
      <c r="V11" s="61" t="s">
        <v>96</v>
      </c>
      <c r="AD11" s="61" t="s">
        <v>101</v>
      </c>
      <c r="AE11" s="82">
        <v>17.0</v>
      </c>
      <c r="AH11" s="61" t="s">
        <v>21</v>
      </c>
      <c r="AI11" s="82">
        <v>0.909090909090909</v>
      </c>
      <c r="AJ11" s="61" t="s">
        <v>82</v>
      </c>
      <c r="AT11" s="82">
        <v>1266.49350649351</v>
      </c>
      <c r="AU11" s="82">
        <v>1393.14285714286</v>
      </c>
      <c r="AW11" s="82">
        <v>0.0</v>
      </c>
      <c r="AX11" s="82">
        <v>0.0</v>
      </c>
      <c r="AY11" s="61" t="s">
        <v>102</v>
      </c>
      <c r="AZ11" s="82">
        <v>0.0</v>
      </c>
      <c r="BC11" s="82">
        <v>0.0</v>
      </c>
      <c r="BE11" s="82">
        <v>1266.49350649351</v>
      </c>
      <c r="BF11" s="82">
        <v>1393.14285714286</v>
      </c>
      <c r="BJ11" s="82">
        <v>17.0</v>
      </c>
      <c r="BK11" s="82">
        <v>0.0</v>
      </c>
      <c r="BM11" s="61" t="s">
        <v>30</v>
      </c>
      <c r="BO11" s="61" t="s">
        <v>27</v>
      </c>
      <c r="BP11" s="82">
        <v>0.0</v>
      </c>
      <c r="BQ11" s="82">
        <v>0.0</v>
      </c>
      <c r="BR11" s="82">
        <v>0.0</v>
      </c>
      <c r="BT11" s="61" t="s">
        <v>85</v>
      </c>
      <c r="BU11" s="82">
        <v>0.0</v>
      </c>
      <c r="BV11" s="82">
        <v>0.0</v>
      </c>
      <c r="BW11" s="82">
        <v>0.0</v>
      </c>
      <c r="BX11" s="82">
        <v>0.0</v>
      </c>
      <c r="CE11" s="83">
        <v>43873.0</v>
      </c>
      <c r="CH11" s="61" t="s">
        <v>103</v>
      </c>
      <c r="CI11" s="61" t="s">
        <v>27</v>
      </c>
      <c r="CJ11" s="82">
        <v>0.0</v>
      </c>
      <c r="CK11" s="61" t="s">
        <v>94</v>
      </c>
      <c r="CM11" s="61" t="s">
        <v>85</v>
      </c>
    </row>
    <row r="12" ht="15.75" customHeight="1">
      <c r="A12" s="8"/>
      <c r="B12" s="61" t="s">
        <v>18</v>
      </c>
      <c r="C12" s="8"/>
      <c r="D12" s="8"/>
      <c r="E12" s="82">
        <v>25.0</v>
      </c>
      <c r="F12" s="8"/>
      <c r="G12" s="61" t="s">
        <v>91</v>
      </c>
      <c r="H12" s="82">
        <v>0.0</v>
      </c>
      <c r="I12" s="82">
        <v>0.0</v>
      </c>
      <c r="J12" s="8"/>
      <c r="K12" s="82">
        <v>63.7229437229436</v>
      </c>
      <c r="L12" s="82">
        <v>70.095238095238</v>
      </c>
      <c r="M12" s="8"/>
      <c r="N12" s="8"/>
      <c r="O12" s="8"/>
      <c r="R12" s="82">
        <v>0.0</v>
      </c>
      <c r="S12" s="61" t="s">
        <v>100</v>
      </c>
      <c r="T12" s="82">
        <v>0.0</v>
      </c>
      <c r="U12" s="82">
        <v>0.0</v>
      </c>
      <c r="V12" s="61" t="s">
        <v>95</v>
      </c>
      <c r="AD12" s="61" t="s">
        <v>101</v>
      </c>
      <c r="AE12" s="82">
        <v>25.0</v>
      </c>
      <c r="AH12" s="61" t="s">
        <v>21</v>
      </c>
      <c r="AI12" s="82">
        <v>0.909090909090909</v>
      </c>
      <c r="AJ12" s="61" t="s">
        <v>82</v>
      </c>
      <c r="AT12" s="82">
        <v>1593.07359307359</v>
      </c>
      <c r="AU12" s="82">
        <v>1752.38095238095</v>
      </c>
      <c r="AW12" s="82">
        <v>0.0</v>
      </c>
      <c r="AX12" s="82">
        <v>0.0</v>
      </c>
      <c r="AY12" s="61" t="s">
        <v>102</v>
      </c>
      <c r="AZ12" s="82">
        <v>0.0</v>
      </c>
      <c r="BC12" s="82">
        <v>0.0</v>
      </c>
      <c r="BE12" s="82">
        <v>1593.07359307359</v>
      </c>
      <c r="BF12" s="82">
        <v>1752.38095238095</v>
      </c>
      <c r="BJ12" s="82">
        <v>25.0</v>
      </c>
      <c r="BK12" s="82">
        <v>0.0</v>
      </c>
      <c r="BM12" s="61" t="s">
        <v>30</v>
      </c>
      <c r="BO12" s="61" t="s">
        <v>40</v>
      </c>
      <c r="BP12" s="82">
        <v>0.0</v>
      </c>
      <c r="BQ12" s="82">
        <v>0.0</v>
      </c>
      <c r="BR12" s="82">
        <v>0.0</v>
      </c>
      <c r="BT12" s="61" t="s">
        <v>26</v>
      </c>
      <c r="BU12" s="82">
        <v>0.0</v>
      </c>
      <c r="BV12" s="82">
        <v>0.0</v>
      </c>
      <c r="BW12" s="82">
        <v>0.0</v>
      </c>
      <c r="BX12" s="82">
        <v>0.0</v>
      </c>
      <c r="CE12" s="83">
        <v>43873.0</v>
      </c>
      <c r="CH12" s="61" t="s">
        <v>103</v>
      </c>
      <c r="CI12" s="61" t="s">
        <v>40</v>
      </c>
      <c r="CJ12" s="82">
        <v>0.0</v>
      </c>
      <c r="CK12" s="61" t="s">
        <v>94</v>
      </c>
      <c r="CM12" s="61" t="s">
        <v>26</v>
      </c>
    </row>
    <row r="13" ht="15.75" customHeight="1">
      <c r="A13" s="8"/>
      <c r="B13" s="61" t="s">
        <v>18</v>
      </c>
      <c r="C13" s="8"/>
      <c r="D13" s="8"/>
      <c r="E13" s="82">
        <v>25.0</v>
      </c>
      <c r="F13" s="8"/>
      <c r="G13" s="61" t="s">
        <v>91</v>
      </c>
      <c r="H13" s="82">
        <v>0.0</v>
      </c>
      <c r="I13" s="82">
        <v>0.0</v>
      </c>
      <c r="J13" s="8"/>
      <c r="K13" s="82">
        <v>39.8268398268398</v>
      </c>
      <c r="L13" s="82">
        <v>43.8095238095238</v>
      </c>
      <c r="M13" s="8"/>
      <c r="N13" s="8"/>
      <c r="O13" s="8"/>
      <c r="R13" s="82">
        <v>0.0</v>
      </c>
      <c r="S13" s="61" t="s">
        <v>100</v>
      </c>
      <c r="T13" s="82">
        <v>0.0</v>
      </c>
      <c r="U13" s="82">
        <v>0.0</v>
      </c>
      <c r="V13" s="61" t="s">
        <v>95</v>
      </c>
      <c r="AD13" s="61" t="s">
        <v>101</v>
      </c>
      <c r="AE13" s="82">
        <v>25.0</v>
      </c>
      <c r="AH13" s="61" t="s">
        <v>21</v>
      </c>
      <c r="AI13" s="82">
        <v>0.909090909090909</v>
      </c>
      <c r="AJ13" s="61" t="s">
        <v>82</v>
      </c>
      <c r="AT13" s="82">
        <v>995.670995670995</v>
      </c>
      <c r="AU13" s="82">
        <v>1095.2380952381</v>
      </c>
      <c r="AW13" s="82">
        <v>0.0</v>
      </c>
      <c r="AX13" s="82">
        <v>0.0</v>
      </c>
      <c r="AY13" s="61" t="s">
        <v>102</v>
      </c>
      <c r="AZ13" s="82">
        <v>0.0</v>
      </c>
      <c r="BC13" s="82">
        <v>0.0</v>
      </c>
      <c r="BE13" s="82">
        <v>995.670995670995</v>
      </c>
      <c r="BF13" s="82">
        <v>1095.2380952381</v>
      </c>
      <c r="BJ13" s="82">
        <v>25.0</v>
      </c>
      <c r="BK13" s="82">
        <v>0.0</v>
      </c>
      <c r="BM13" s="61" t="s">
        <v>30</v>
      </c>
      <c r="BO13" s="61" t="s">
        <v>27</v>
      </c>
      <c r="BP13" s="82">
        <v>0.0</v>
      </c>
      <c r="BQ13" s="82">
        <v>0.0</v>
      </c>
      <c r="BR13" s="82">
        <v>0.0</v>
      </c>
      <c r="BT13" s="61" t="s">
        <v>26</v>
      </c>
      <c r="BU13" s="82">
        <v>0.0</v>
      </c>
      <c r="BV13" s="82">
        <v>0.0</v>
      </c>
      <c r="BW13" s="82">
        <v>0.0</v>
      </c>
      <c r="BX13" s="82">
        <v>0.0</v>
      </c>
      <c r="CE13" s="83">
        <v>43873.0</v>
      </c>
      <c r="CH13" s="61" t="s">
        <v>103</v>
      </c>
      <c r="CI13" s="61" t="s">
        <v>27</v>
      </c>
      <c r="CJ13" s="82">
        <v>0.0</v>
      </c>
      <c r="CK13" s="61" t="s">
        <v>94</v>
      </c>
      <c r="CM13" s="61" t="s">
        <v>26</v>
      </c>
    </row>
    <row r="14" ht="15.75" customHeight="1">
      <c r="A14" s="8"/>
      <c r="B14" s="61" t="s">
        <v>18</v>
      </c>
      <c r="C14" s="8"/>
      <c r="D14" s="8"/>
      <c r="E14" s="82">
        <v>8.0</v>
      </c>
      <c r="F14" s="8"/>
      <c r="G14" s="61" t="s">
        <v>91</v>
      </c>
      <c r="H14" s="82">
        <v>0.0</v>
      </c>
      <c r="I14" s="82">
        <v>0.0</v>
      </c>
      <c r="J14" s="8"/>
      <c r="K14" s="82">
        <v>74.6753246753245</v>
      </c>
      <c r="L14" s="82">
        <v>82.142857142857</v>
      </c>
      <c r="M14" s="8"/>
      <c r="N14" s="8"/>
      <c r="O14" s="8"/>
      <c r="R14" s="82">
        <v>0.0</v>
      </c>
      <c r="S14" s="61" t="s">
        <v>100</v>
      </c>
      <c r="T14" s="82">
        <v>0.0</v>
      </c>
      <c r="U14" s="82">
        <v>0.0</v>
      </c>
      <c r="V14" s="61" t="s">
        <v>96</v>
      </c>
      <c r="AD14" s="61" t="s">
        <v>101</v>
      </c>
      <c r="AE14" s="82">
        <v>8.0</v>
      </c>
      <c r="AH14" s="61" t="s">
        <v>21</v>
      </c>
      <c r="AI14" s="82">
        <v>0.909090909090909</v>
      </c>
      <c r="AJ14" s="61" t="s">
        <v>82</v>
      </c>
      <c r="AT14" s="82">
        <v>597.402597402596</v>
      </c>
      <c r="AU14" s="82">
        <v>657.142857142856</v>
      </c>
      <c r="AW14" s="82">
        <v>0.0</v>
      </c>
      <c r="AX14" s="82">
        <v>0.0</v>
      </c>
      <c r="AY14" s="61" t="s">
        <v>102</v>
      </c>
      <c r="AZ14" s="82">
        <v>0.0</v>
      </c>
      <c r="BC14" s="82">
        <v>0.0</v>
      </c>
      <c r="BE14" s="82">
        <v>597.402597402596</v>
      </c>
      <c r="BF14" s="82">
        <v>657.142857142856</v>
      </c>
      <c r="BJ14" s="82">
        <v>8.0</v>
      </c>
      <c r="BK14" s="82">
        <v>0.0</v>
      </c>
      <c r="BM14" s="61" t="s">
        <v>30</v>
      </c>
      <c r="BO14" s="61" t="s">
        <v>27</v>
      </c>
      <c r="BP14" s="82">
        <v>0.0</v>
      </c>
      <c r="BQ14" s="82">
        <v>0.0</v>
      </c>
      <c r="BR14" s="82">
        <v>0.0</v>
      </c>
      <c r="BT14" s="61" t="s">
        <v>85</v>
      </c>
      <c r="BU14" s="82">
        <v>0.0</v>
      </c>
      <c r="BV14" s="82">
        <v>0.0</v>
      </c>
      <c r="BW14" s="82">
        <v>0.0</v>
      </c>
      <c r="BX14" s="82">
        <v>0.0</v>
      </c>
      <c r="CE14" s="83">
        <v>43873.0</v>
      </c>
      <c r="CH14" s="61" t="s">
        <v>103</v>
      </c>
      <c r="CI14" s="61" t="s">
        <v>27</v>
      </c>
      <c r="CJ14" s="82">
        <v>0.0</v>
      </c>
      <c r="CK14" s="61" t="s">
        <v>94</v>
      </c>
      <c r="CM14" s="61" t="s">
        <v>85</v>
      </c>
    </row>
    <row r="15" ht="15.75" customHeight="1">
      <c r="A15" s="8"/>
      <c r="B15" s="61" t="s">
        <v>18</v>
      </c>
      <c r="C15" s="8"/>
      <c r="D15" s="8"/>
      <c r="E15" s="82">
        <v>52.0</v>
      </c>
      <c r="F15" s="8"/>
      <c r="G15" s="61" t="s">
        <v>91</v>
      </c>
      <c r="H15" s="82">
        <v>0.0</v>
      </c>
      <c r="I15" s="82">
        <v>0.0</v>
      </c>
      <c r="J15" s="8"/>
      <c r="K15" s="82">
        <v>63.7229437229437</v>
      </c>
      <c r="L15" s="82">
        <v>70.0952380952381</v>
      </c>
      <c r="M15" s="8"/>
      <c r="N15" s="8"/>
      <c r="O15" s="8"/>
      <c r="R15" s="82">
        <v>0.0</v>
      </c>
      <c r="S15" s="61" t="s">
        <v>100</v>
      </c>
      <c r="T15" s="82">
        <v>0.0</v>
      </c>
      <c r="U15" s="82">
        <v>0.0</v>
      </c>
      <c r="V15" s="61" t="s">
        <v>95</v>
      </c>
      <c r="AD15" s="61" t="s">
        <v>101</v>
      </c>
      <c r="AE15" s="82">
        <v>52.0</v>
      </c>
      <c r="AH15" s="61" t="s">
        <v>21</v>
      </c>
      <c r="AI15" s="82">
        <v>0.909090909090909</v>
      </c>
      <c r="AJ15" s="61" t="s">
        <v>82</v>
      </c>
      <c r="AT15" s="82">
        <v>3313.59307359307</v>
      </c>
      <c r="AU15" s="82">
        <v>3644.95238095238</v>
      </c>
      <c r="AW15" s="82">
        <v>0.0</v>
      </c>
      <c r="AX15" s="82">
        <v>0.0</v>
      </c>
      <c r="AY15" s="61" t="s">
        <v>102</v>
      </c>
      <c r="AZ15" s="82">
        <v>0.0</v>
      </c>
      <c r="BC15" s="82">
        <v>0.0</v>
      </c>
      <c r="BE15" s="82">
        <v>3313.59307359307</v>
      </c>
      <c r="BF15" s="82">
        <v>3644.95238095238</v>
      </c>
      <c r="BJ15" s="82">
        <v>52.0</v>
      </c>
      <c r="BK15" s="82">
        <v>0.0</v>
      </c>
      <c r="BM15" s="61" t="s">
        <v>30</v>
      </c>
      <c r="BO15" s="61" t="s">
        <v>40</v>
      </c>
      <c r="BP15" s="82">
        <v>0.0</v>
      </c>
      <c r="BQ15" s="82">
        <v>0.0</v>
      </c>
      <c r="BR15" s="82">
        <v>0.0</v>
      </c>
      <c r="BT15" s="61" t="s">
        <v>26</v>
      </c>
      <c r="BU15" s="82">
        <v>0.0</v>
      </c>
      <c r="BV15" s="82">
        <v>0.0</v>
      </c>
      <c r="BW15" s="82">
        <v>0.0</v>
      </c>
      <c r="BX15" s="82">
        <v>0.0</v>
      </c>
      <c r="CE15" s="83">
        <v>43873.0</v>
      </c>
      <c r="CH15" s="61" t="s">
        <v>103</v>
      </c>
      <c r="CI15" s="61" t="s">
        <v>40</v>
      </c>
      <c r="CJ15" s="82">
        <v>0.0</v>
      </c>
      <c r="CK15" s="61" t="s">
        <v>94</v>
      </c>
      <c r="CM15" s="61" t="s">
        <v>26</v>
      </c>
    </row>
    <row r="16" ht="15.75" customHeight="1">
      <c r="A16" s="8"/>
      <c r="B16" s="61" t="s">
        <v>18</v>
      </c>
      <c r="C16" s="8"/>
      <c r="D16" s="8"/>
      <c r="E16" s="82">
        <v>52.0</v>
      </c>
      <c r="F16" s="8"/>
      <c r="G16" s="61" t="s">
        <v>91</v>
      </c>
      <c r="H16" s="82">
        <v>0.0</v>
      </c>
      <c r="I16" s="82">
        <v>0.0</v>
      </c>
      <c r="J16" s="8"/>
      <c r="K16" s="82">
        <v>39.8268398268398</v>
      </c>
      <c r="L16" s="82">
        <v>43.8095238095238</v>
      </c>
      <c r="M16" s="8"/>
      <c r="N16" s="8"/>
      <c r="O16" s="8"/>
      <c r="R16" s="82">
        <v>0.0</v>
      </c>
      <c r="S16" s="61" t="s">
        <v>100</v>
      </c>
      <c r="T16" s="82">
        <v>0.0</v>
      </c>
      <c r="U16" s="82">
        <v>0.0</v>
      </c>
      <c r="V16" s="61" t="s">
        <v>95</v>
      </c>
      <c r="AD16" s="61" t="s">
        <v>101</v>
      </c>
      <c r="AE16" s="82">
        <v>52.0</v>
      </c>
      <c r="AH16" s="61" t="s">
        <v>21</v>
      </c>
      <c r="AI16" s="82">
        <v>0.909090909090909</v>
      </c>
      <c r="AJ16" s="61" t="s">
        <v>82</v>
      </c>
      <c r="AT16" s="82">
        <v>2070.99567099567</v>
      </c>
      <c r="AU16" s="82">
        <v>2278.09523809524</v>
      </c>
      <c r="AW16" s="82">
        <v>0.0</v>
      </c>
      <c r="AX16" s="82">
        <v>0.0</v>
      </c>
      <c r="AY16" s="61" t="s">
        <v>102</v>
      </c>
      <c r="AZ16" s="82">
        <v>0.0</v>
      </c>
      <c r="BC16" s="82">
        <v>0.0</v>
      </c>
      <c r="BE16" s="82">
        <v>2070.99567099567</v>
      </c>
      <c r="BF16" s="82">
        <v>2278.09523809524</v>
      </c>
      <c r="BJ16" s="82">
        <v>52.0</v>
      </c>
      <c r="BK16" s="82">
        <v>0.0</v>
      </c>
      <c r="BM16" s="61" t="s">
        <v>30</v>
      </c>
      <c r="BO16" s="61" t="s">
        <v>27</v>
      </c>
      <c r="BP16" s="82">
        <v>0.0</v>
      </c>
      <c r="BQ16" s="82">
        <v>0.0</v>
      </c>
      <c r="BR16" s="82">
        <v>0.0</v>
      </c>
      <c r="BT16" s="61" t="s">
        <v>26</v>
      </c>
      <c r="BU16" s="82">
        <v>0.0</v>
      </c>
      <c r="BV16" s="82">
        <v>0.0</v>
      </c>
      <c r="BW16" s="82">
        <v>0.0</v>
      </c>
      <c r="BX16" s="82">
        <v>0.0</v>
      </c>
      <c r="CE16" s="83">
        <v>43873.0</v>
      </c>
      <c r="CH16" s="61" t="s">
        <v>103</v>
      </c>
      <c r="CI16" s="61" t="s">
        <v>27</v>
      </c>
      <c r="CJ16" s="82">
        <v>0.0</v>
      </c>
      <c r="CK16" s="61" t="s">
        <v>94</v>
      </c>
      <c r="CM16" s="61" t="s">
        <v>26</v>
      </c>
    </row>
    <row r="17" ht="15.75" customHeight="1">
      <c r="A17" s="8"/>
      <c r="B17" s="61" t="s">
        <v>18</v>
      </c>
      <c r="C17" s="8"/>
      <c r="D17" s="8"/>
      <c r="E17" s="82">
        <v>17.0</v>
      </c>
      <c r="F17" s="8"/>
      <c r="G17" s="61" t="s">
        <v>91</v>
      </c>
      <c r="H17" s="82">
        <v>0.0</v>
      </c>
      <c r="I17" s="82">
        <v>0.0</v>
      </c>
      <c r="J17" s="8"/>
      <c r="K17" s="82">
        <v>73.0939648586707</v>
      </c>
      <c r="L17" s="82">
        <v>80.4033613445378</v>
      </c>
      <c r="M17" s="8"/>
      <c r="N17" s="8"/>
      <c r="O17" s="8"/>
      <c r="R17" s="82">
        <v>0.0</v>
      </c>
      <c r="S17" s="61" t="s">
        <v>100</v>
      </c>
      <c r="T17" s="82">
        <v>0.0</v>
      </c>
      <c r="U17" s="82">
        <v>0.0</v>
      </c>
      <c r="V17" s="61" t="s">
        <v>96</v>
      </c>
      <c r="AD17" s="61" t="s">
        <v>101</v>
      </c>
      <c r="AE17" s="82">
        <v>17.0</v>
      </c>
      <c r="AH17" s="61" t="s">
        <v>21</v>
      </c>
      <c r="AI17" s="82">
        <v>0.909090909090909</v>
      </c>
      <c r="AJ17" s="61" t="s">
        <v>82</v>
      </c>
      <c r="AT17" s="82">
        <v>1242.5974025974</v>
      </c>
      <c r="AU17" s="82">
        <v>1366.85714285714</v>
      </c>
      <c r="AW17" s="82">
        <v>0.0</v>
      </c>
      <c r="AX17" s="82">
        <v>0.0</v>
      </c>
      <c r="AY17" s="61" t="s">
        <v>102</v>
      </c>
      <c r="AZ17" s="82">
        <v>0.0</v>
      </c>
      <c r="BC17" s="82">
        <v>0.0</v>
      </c>
      <c r="BE17" s="82">
        <v>1242.5974025974</v>
      </c>
      <c r="BF17" s="82">
        <v>1366.85714285714</v>
      </c>
      <c r="BJ17" s="82">
        <v>17.0</v>
      </c>
      <c r="BK17" s="82">
        <v>0.0</v>
      </c>
      <c r="BM17" s="61" t="s">
        <v>30</v>
      </c>
      <c r="BO17" s="61" t="s">
        <v>27</v>
      </c>
      <c r="BP17" s="82">
        <v>0.0</v>
      </c>
      <c r="BQ17" s="82">
        <v>0.0</v>
      </c>
      <c r="BR17" s="82">
        <v>0.0</v>
      </c>
      <c r="BT17" s="61" t="s">
        <v>85</v>
      </c>
      <c r="BU17" s="82">
        <v>0.0</v>
      </c>
      <c r="BV17" s="82">
        <v>0.0</v>
      </c>
      <c r="BW17" s="82">
        <v>0.0</v>
      </c>
      <c r="BX17" s="82">
        <v>0.0</v>
      </c>
      <c r="CE17" s="83">
        <v>43873.0</v>
      </c>
      <c r="CH17" s="61" t="s">
        <v>103</v>
      </c>
      <c r="CI17" s="61" t="s">
        <v>27</v>
      </c>
      <c r="CJ17" s="82">
        <v>0.0</v>
      </c>
      <c r="CK17" s="61" t="s">
        <v>94</v>
      </c>
      <c r="CM17" s="61" t="s">
        <v>85</v>
      </c>
    </row>
    <row r="18" ht="15.75" customHeight="1">
      <c r="A18" s="8"/>
      <c r="B18" s="61" t="s">
        <v>104</v>
      </c>
      <c r="C18" s="8"/>
      <c r="D18" s="8"/>
      <c r="E18" s="82">
        <v>105.0</v>
      </c>
      <c r="F18" s="8"/>
      <c r="G18" s="61" t="s">
        <v>91</v>
      </c>
      <c r="H18" s="82">
        <v>0.0</v>
      </c>
      <c r="I18" s="82">
        <v>0.0</v>
      </c>
      <c r="J18" s="8"/>
      <c r="K18" s="82">
        <v>63.6363636363636</v>
      </c>
      <c r="L18" s="82">
        <v>70.0</v>
      </c>
      <c r="M18" s="8"/>
      <c r="N18" s="8"/>
      <c r="O18" s="8"/>
      <c r="R18" s="82">
        <v>0.0</v>
      </c>
      <c r="S18" s="61" t="s">
        <v>105</v>
      </c>
      <c r="T18" s="82">
        <v>2.5</v>
      </c>
      <c r="U18" s="82">
        <v>0.0238095238095238</v>
      </c>
      <c r="V18" s="61" t="s">
        <v>95</v>
      </c>
      <c r="AD18" s="61" t="s">
        <v>101</v>
      </c>
      <c r="AE18" s="82">
        <v>105.0</v>
      </c>
      <c r="AH18" s="61" t="s">
        <v>60</v>
      </c>
      <c r="AI18" s="82">
        <v>1.1</v>
      </c>
      <c r="AJ18" s="61" t="s">
        <v>82</v>
      </c>
      <c r="AT18" s="82">
        <v>6690.90909090909</v>
      </c>
      <c r="AU18" s="82">
        <v>7360.0</v>
      </c>
      <c r="AW18" s="82">
        <v>0.0</v>
      </c>
      <c r="AX18" s="82">
        <v>0.0</v>
      </c>
      <c r="AY18" s="61" t="s">
        <v>102</v>
      </c>
      <c r="AZ18" s="82">
        <v>0.0</v>
      </c>
      <c r="BC18" s="82">
        <v>0.0</v>
      </c>
      <c r="BE18" s="82">
        <v>6681.81818181818</v>
      </c>
      <c r="BF18" s="82">
        <v>7350.0</v>
      </c>
      <c r="BJ18" s="82">
        <v>105.0</v>
      </c>
      <c r="BK18" s="82">
        <v>0.0</v>
      </c>
      <c r="BM18" s="61" t="s">
        <v>30</v>
      </c>
      <c r="BO18" s="61" t="s">
        <v>27</v>
      </c>
      <c r="BP18" s="82">
        <v>7.5</v>
      </c>
      <c r="BQ18" s="82">
        <v>0.0714285714285714</v>
      </c>
      <c r="BR18" s="82">
        <v>0.0</v>
      </c>
      <c r="BT18" s="61" t="s">
        <v>26</v>
      </c>
      <c r="BU18" s="82">
        <v>0.0</v>
      </c>
      <c r="BV18" s="82">
        <v>10.0</v>
      </c>
      <c r="BW18" s="82">
        <v>10.0</v>
      </c>
      <c r="BX18" s="82">
        <v>0.0952380952380952</v>
      </c>
      <c r="CE18" s="84">
        <v>43871.0</v>
      </c>
      <c r="CH18" s="61" t="s">
        <v>24</v>
      </c>
      <c r="CI18" s="61" t="s">
        <v>27</v>
      </c>
      <c r="CJ18" s="82">
        <v>0.0</v>
      </c>
      <c r="CK18" s="61" t="s">
        <v>94</v>
      </c>
      <c r="CM18" s="61" t="s">
        <v>26</v>
      </c>
    </row>
    <row r="19" ht="15.75" customHeight="1">
      <c r="A19" s="8"/>
      <c r="B19" s="61" t="s">
        <v>104</v>
      </c>
      <c r="C19" s="8"/>
      <c r="D19" s="8"/>
      <c r="E19" s="82">
        <v>105.0</v>
      </c>
      <c r="F19" s="8"/>
      <c r="G19" s="61" t="s">
        <v>91</v>
      </c>
      <c r="H19" s="82">
        <v>0.0</v>
      </c>
      <c r="I19" s="82">
        <v>0.0</v>
      </c>
      <c r="J19" s="8"/>
      <c r="K19" s="82">
        <v>63.6363636363636</v>
      </c>
      <c r="L19" s="82">
        <v>70.0</v>
      </c>
      <c r="M19" s="8"/>
      <c r="N19" s="8"/>
      <c r="O19" s="8"/>
      <c r="R19" s="82">
        <v>0.0</v>
      </c>
      <c r="S19" s="61" t="s">
        <v>100</v>
      </c>
      <c r="T19" s="82">
        <v>2.5</v>
      </c>
      <c r="U19" s="82">
        <v>0.0238095238095238</v>
      </c>
      <c r="V19" s="61" t="s">
        <v>95</v>
      </c>
      <c r="AD19" s="61" t="s">
        <v>101</v>
      </c>
      <c r="AE19" s="82">
        <v>105.0</v>
      </c>
      <c r="AH19" s="61" t="s">
        <v>60</v>
      </c>
      <c r="AI19" s="82">
        <v>1.1</v>
      </c>
      <c r="AJ19" s="61" t="s">
        <v>82</v>
      </c>
      <c r="AT19" s="82">
        <v>6690.90909090909</v>
      </c>
      <c r="AU19" s="82">
        <v>7360.0</v>
      </c>
      <c r="AW19" s="82">
        <v>0.0</v>
      </c>
      <c r="AX19" s="82">
        <v>0.0</v>
      </c>
      <c r="AY19" s="61" t="s">
        <v>102</v>
      </c>
      <c r="AZ19" s="82">
        <v>0.0</v>
      </c>
      <c r="BC19" s="82">
        <v>0.0</v>
      </c>
      <c r="BE19" s="82">
        <v>6681.81818181818</v>
      </c>
      <c r="BF19" s="82">
        <v>7350.0</v>
      </c>
      <c r="BJ19" s="82">
        <v>105.0</v>
      </c>
      <c r="BK19" s="82">
        <v>0.0</v>
      </c>
      <c r="BM19" s="61" t="s">
        <v>30</v>
      </c>
      <c r="BO19" s="61" t="s">
        <v>27</v>
      </c>
      <c r="BP19" s="82">
        <v>7.5</v>
      </c>
      <c r="BQ19" s="82">
        <v>0.0714285714285714</v>
      </c>
      <c r="BR19" s="82">
        <v>0.0</v>
      </c>
      <c r="BT19" s="61" t="s">
        <v>26</v>
      </c>
      <c r="BU19" s="82">
        <v>0.0</v>
      </c>
      <c r="BV19" s="82">
        <v>10.0</v>
      </c>
      <c r="BW19" s="82">
        <v>10.0</v>
      </c>
      <c r="BX19" s="82">
        <v>0.0952380952380952</v>
      </c>
      <c r="CE19" s="84">
        <v>43872.0</v>
      </c>
      <c r="CH19" s="61" t="s">
        <v>24</v>
      </c>
      <c r="CI19" s="61" t="s">
        <v>27</v>
      </c>
      <c r="CJ19" s="82">
        <v>0.0</v>
      </c>
      <c r="CK19" s="61" t="s">
        <v>94</v>
      </c>
      <c r="CM19" s="61" t="s">
        <v>26</v>
      </c>
    </row>
    <row r="20" ht="15.75" customHeight="1">
      <c r="A20" s="8"/>
      <c r="B20" s="61" t="s">
        <v>104</v>
      </c>
      <c r="C20" s="8"/>
      <c r="D20" s="8"/>
      <c r="E20" s="82">
        <v>105.0</v>
      </c>
      <c r="F20" s="8"/>
      <c r="G20" s="61" t="s">
        <v>91</v>
      </c>
      <c r="H20" s="82">
        <v>0.0</v>
      </c>
      <c r="I20" s="82">
        <v>0.0</v>
      </c>
      <c r="J20" s="8"/>
      <c r="K20" s="82">
        <v>22.7272727272727</v>
      </c>
      <c r="L20" s="82">
        <v>25.0</v>
      </c>
      <c r="M20" s="8"/>
      <c r="N20" s="8"/>
      <c r="O20" s="8"/>
      <c r="R20" s="82">
        <v>0.0</v>
      </c>
      <c r="S20" s="61" t="s">
        <v>100</v>
      </c>
      <c r="T20" s="82">
        <v>2.5</v>
      </c>
      <c r="U20" s="82">
        <v>0.0238095238095238</v>
      </c>
      <c r="V20" s="61" t="s">
        <v>92</v>
      </c>
      <c r="AD20" s="61" t="s">
        <v>101</v>
      </c>
      <c r="AE20" s="82">
        <v>105.0</v>
      </c>
      <c r="AH20" s="61" t="s">
        <v>60</v>
      </c>
      <c r="AI20" s="82">
        <v>1.1</v>
      </c>
      <c r="AJ20" s="61" t="s">
        <v>46</v>
      </c>
      <c r="AT20" s="82">
        <v>2395.45454545455</v>
      </c>
      <c r="AU20" s="82">
        <v>2635.0</v>
      </c>
      <c r="AW20" s="82">
        <v>0.0</v>
      </c>
      <c r="AX20" s="82">
        <v>0.0</v>
      </c>
      <c r="AY20" s="61" t="s">
        <v>102</v>
      </c>
      <c r="AZ20" s="82">
        <v>0.0</v>
      </c>
      <c r="BC20" s="82">
        <v>0.0</v>
      </c>
      <c r="BE20" s="82">
        <v>2386.36363636364</v>
      </c>
      <c r="BF20" s="82">
        <v>2625.0</v>
      </c>
      <c r="BJ20" s="82">
        <v>105.0</v>
      </c>
      <c r="BK20" s="82">
        <v>0.0</v>
      </c>
      <c r="BM20" s="61" t="s">
        <v>30</v>
      </c>
      <c r="BO20" s="61" t="s">
        <v>27</v>
      </c>
      <c r="BP20" s="82">
        <v>7.5</v>
      </c>
      <c r="BQ20" s="82">
        <v>0.0714285714285714</v>
      </c>
      <c r="BR20" s="82">
        <v>0.0</v>
      </c>
      <c r="BT20" s="61" t="s">
        <v>39</v>
      </c>
      <c r="BU20" s="82">
        <v>0.0</v>
      </c>
      <c r="BV20" s="82">
        <v>10.0</v>
      </c>
      <c r="BW20" s="82">
        <v>10.0</v>
      </c>
      <c r="BX20" s="82">
        <v>0.0952380952380952</v>
      </c>
      <c r="CE20" s="84">
        <v>43872.0</v>
      </c>
      <c r="CH20" s="61" t="s">
        <v>24</v>
      </c>
      <c r="CI20" s="61" t="s">
        <v>27</v>
      </c>
      <c r="CJ20" s="82">
        <v>0.0</v>
      </c>
      <c r="CK20" s="61" t="s">
        <v>94</v>
      </c>
      <c r="CM20" s="61" t="s">
        <v>39</v>
      </c>
    </row>
    <row r="21" ht="15.75" customHeight="1">
      <c r="A21" s="8"/>
      <c r="B21" s="61" t="s">
        <v>104</v>
      </c>
      <c r="C21" s="8"/>
      <c r="D21" s="8"/>
      <c r="E21" s="82">
        <v>55.0</v>
      </c>
      <c r="F21" s="8"/>
      <c r="G21" s="61" t="s">
        <v>91</v>
      </c>
      <c r="H21" s="82">
        <v>0.0</v>
      </c>
      <c r="I21" s="82">
        <v>0.0</v>
      </c>
      <c r="J21" s="8"/>
      <c r="K21" s="82">
        <v>63.6363636363636</v>
      </c>
      <c r="L21" s="82">
        <v>70.0</v>
      </c>
      <c r="M21" s="8"/>
      <c r="N21" s="8"/>
      <c r="O21" s="8"/>
      <c r="R21" s="82">
        <v>0.0</v>
      </c>
      <c r="S21" s="61" t="s">
        <v>105</v>
      </c>
      <c r="T21" s="82">
        <v>0.0</v>
      </c>
      <c r="U21" s="82">
        <v>0.0</v>
      </c>
      <c r="V21" s="61" t="s">
        <v>95</v>
      </c>
      <c r="AD21" s="61" t="s">
        <v>101</v>
      </c>
      <c r="AE21" s="82">
        <v>55.0</v>
      </c>
      <c r="AH21" s="61" t="s">
        <v>60</v>
      </c>
      <c r="AI21" s="82">
        <v>1.1</v>
      </c>
      <c r="AJ21" s="61" t="s">
        <v>46</v>
      </c>
      <c r="AT21" s="82">
        <v>3500.0</v>
      </c>
      <c r="AU21" s="82">
        <v>3850.0</v>
      </c>
      <c r="AW21" s="82">
        <v>0.0</v>
      </c>
      <c r="AX21" s="82">
        <v>0.0</v>
      </c>
      <c r="AY21" s="61" t="s">
        <v>102</v>
      </c>
      <c r="AZ21" s="82">
        <v>0.0</v>
      </c>
      <c r="BC21" s="82">
        <v>0.0</v>
      </c>
      <c r="BE21" s="82">
        <v>3500.0</v>
      </c>
      <c r="BF21" s="82">
        <v>3850.0</v>
      </c>
      <c r="BJ21" s="82">
        <v>55.0</v>
      </c>
      <c r="BK21" s="82">
        <v>0.0</v>
      </c>
      <c r="BM21" s="61" t="s">
        <v>30</v>
      </c>
      <c r="BO21" s="61" t="s">
        <v>40</v>
      </c>
      <c r="BP21" s="82">
        <v>0.0</v>
      </c>
      <c r="BQ21" s="82">
        <v>0.0</v>
      </c>
      <c r="BR21" s="82">
        <v>0.0</v>
      </c>
      <c r="BT21" s="61" t="s">
        <v>26</v>
      </c>
      <c r="BU21" s="82">
        <v>0.0</v>
      </c>
      <c r="BV21" s="82">
        <v>0.0</v>
      </c>
      <c r="BW21" s="82">
        <v>0.0</v>
      </c>
      <c r="BX21" s="82">
        <v>0.0</v>
      </c>
      <c r="CE21" s="84">
        <v>43872.0</v>
      </c>
      <c r="CH21" s="61" t="s">
        <v>24</v>
      </c>
      <c r="CI21" s="61" t="s">
        <v>40</v>
      </c>
      <c r="CJ21" s="82">
        <v>0.0</v>
      </c>
      <c r="CK21" s="61" t="s">
        <v>94</v>
      </c>
      <c r="CM21" s="61" t="s">
        <v>26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T22" s="6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