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3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<sst xmlns="http://schemas.openxmlformats.org/spreadsheetml/2006/main" count="649" uniqueCount="71">
  <si>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</si>
  <si>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</si>
  <si>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</si>
  <si>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</si>
  <si>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</si>
  <si>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</si>
  <si>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</si>
  <si>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</si>
  <si>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</si>
  <si>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</si>
  <si>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</si>
  <si>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</si>
  <si>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</si>
  <si>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</si>
  <si>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</si>
  <si>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</si>
  <si>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</si>
  <si>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O:MSFT 14O36.00</t>
  </si>
  <si>
    <t>O:MSFT 14P36.00</t>
  </si>
  <si>
    <t>O:FB 14C67.50</t>
  </si>
  <si>
    <t>O:FB 12L17.00</t>
  </si>
  <si>
    <t>O:FB 12K18.00</t>
  </si>
  <si>
    <t>O:GOOG 13A700.00</t>
  </si>
  <si>
    <t>O:GOOG 13C755.00</t>
  </si>
  <si>
    <t>O:GOOG 12K770.00</t>
  </si>
  <si>
    <t>Admin</t>
  </si>
  <si>
    <t>UpdateExpirationDate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</si>
  <si>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</si>
  <si>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</si>
  <si>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</si>
  <si>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</si>
  <si>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</si>
  <si>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</si>
  <si>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</si>
  <si>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</si>
  <si>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</si>
  <si>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</si>
  <si>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</si>
  <si>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Short</t>
  </si>
  <si>
    <t>MSFT</t>
  </si>
  <si>
    <t>Allocation2</t>
  </si>
  <si>
    <t>Sell to Open</t>
  </si>
  <si>
    <t>FB</t>
  </si>
  <si>
    <t>Sell short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</si>
  <si>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</si>
  <si>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</si>
  <si>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</si>
  <si>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</si>
  <si>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</si>
  <si>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</si>
  <si>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</si>
  <si>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</si>
  <si>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</si>
  <si>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</si>
  <si>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</si>
  <si>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</si>
  <si>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</si>
  <si>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</si>
  <si>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</t>
  </si>
  <si>
    <t>MS</t>
  </si>
  <si>
    <t>Strategy Unallocated</t>
  </si>
  <si>
    <t>EquityOption</t>
  </si>
  <si>
    <t>Sell to Close</t>
  </si>
  <si>
    <t>Sell</t>
  </si>
  <si>
    <t>Buy to Close</t>
  </si>
  <si>
    <t>PortfolioManagement</t>
  </si>
  <si>
    <t>CheckPortfolioManagement</t>
  </si>
  <si>
    <t>NewMF</t>
  </si>
  <si>
    <t>NewMF1</t>
  </si>
  <si>
    <t>NewMF3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</si>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</sst>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F6" s="13">
        <v>60.0</v>
      </c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F7" s="13">
        <v>60.0</v>
      </c>
      <c r="G7" s="8"/>
      <c r="H7" s="13" t="s">
        <v>17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F8" s="13">
        <v>60.0</v>
      </c>
      <c r="G8" s="8"/>
      <c r="H8" s="13" t="s">
        <v>18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F9" s="13">
        <v>50.0</v>
      </c>
      <c r="G9" s="8"/>
      <c r="H9" s="31" t="s">
        <v>19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F10" s="13">
        <v>60.0</v>
      </c>
      <c r="G10" s="8"/>
      <c r="H10" s="31" t="s">
        <v>20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F11" s="13">
        <v>60.0</v>
      </c>
      <c r="G11" s="8"/>
      <c r="H11" s="31" t="s">
        <v>21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F12" s="13">
        <v>60.0</v>
      </c>
      <c r="G12" s="8"/>
      <c r="H12" s="31" t="s">
        <v>22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F13" s="13">
        <v>60.0</v>
      </c>
      <c r="G13" s="8"/>
      <c r="H13" s="31" t="s">
        <v>23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F14" s="13">
        <v>60.0</v>
      </c>
      <c r="G14" s="8"/>
      <c r="H14" s="31" t="s">
        <v>24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27</v>
      </c>
      <c r="C6" s="32">
        <f>TODAY()-11</f>
        <v>45115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28</v>
      </c>
      <c r="C7" s="32">
        <f t="shared" ref="C7:C8" si="1">TODAY()-10</f>
        <v>45116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28</v>
      </c>
      <c r="C8" s="32">
        <f t="shared" si="1"/>
        <v>45116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32">
        <f>TODAY()-11</f>
        <v>45115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17</v>
      </c>
      <c r="C10" s="32">
        <f t="shared" ref="C10:C13" si="2">TODAY()-10</f>
        <v>45116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18</v>
      </c>
      <c r="C11" s="32">
        <f t="shared" si="2"/>
        <v>45116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19</v>
      </c>
      <c r="C12" s="35">
        <f t="shared" si="2"/>
        <v>45116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20</v>
      </c>
      <c r="C13" s="35">
        <f t="shared" si="2"/>
        <v>45116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21</v>
      </c>
      <c r="C14" s="35">
        <f t="shared" ref="C14:C15" si="3">TODAY()-11</f>
        <v>45115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1" t="s">
        <v>22</v>
      </c>
      <c r="C15" s="32">
        <f t="shared" si="3"/>
        <v>45115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1" t="s">
        <v>23</v>
      </c>
      <c r="C16" s="32">
        <f t="shared" ref="C16:C17" si="4">TODAY()-10</f>
        <v>45116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1" t="s">
        <v>24</v>
      </c>
      <c r="C17" s="32">
        <f t="shared" si="4"/>
        <v>45116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1" t="s">
        <v>31</v>
      </c>
      <c r="D6" s="36"/>
      <c r="E6" s="37" t="b">
        <v>1</v>
      </c>
      <c r="F6" s="34"/>
      <c r="G6" s="34"/>
      <c r="H6" s="34"/>
      <c r="I6" s="34"/>
      <c r="J6" s="3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34</v>
      </c>
      <c r="C6" s="34" t="s">
        <v>35</v>
      </c>
      <c r="D6" s="38">
        <v>1100.0</v>
      </c>
      <c r="E6" s="34"/>
      <c r="F6" s="31" t="s">
        <v>36</v>
      </c>
      <c r="G6" s="34"/>
      <c r="H6" s="34"/>
      <c r="I6" s="34"/>
      <c r="J6" s="39">
        <v>1.0</v>
      </c>
      <c r="K6" s="34"/>
      <c r="L6" s="34"/>
      <c r="M6" s="34"/>
      <c r="N6" s="32">
        <f t="shared" ref="N6:N7" si="1">TODAY()-25</f>
        <v>45101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9" t="s">
        <v>27</v>
      </c>
      <c r="C7" s="13" t="s">
        <v>37</v>
      </c>
      <c r="D7" s="13">
        <v>10.0</v>
      </c>
      <c r="E7" s="8"/>
      <c r="F7" s="31" t="s">
        <v>36</v>
      </c>
      <c r="G7" s="8"/>
      <c r="H7" s="8"/>
      <c r="I7" s="8"/>
      <c r="J7" s="13">
        <v>10.0</v>
      </c>
      <c r="K7" s="8"/>
      <c r="L7" s="8"/>
      <c r="M7" s="8"/>
      <c r="N7" s="40">
        <f t="shared" si="1"/>
        <v>45101</v>
      </c>
      <c r="O7" s="8"/>
    </row>
    <row r="8" ht="15.75" customHeight="1">
      <c r="A8" s="8"/>
      <c r="B8" s="34" t="s">
        <v>28</v>
      </c>
      <c r="C8" s="13" t="s">
        <v>37</v>
      </c>
      <c r="D8" s="13">
        <v>10.0</v>
      </c>
      <c r="E8" s="8"/>
      <c r="F8" s="31" t="s">
        <v>36</v>
      </c>
      <c r="G8" s="8"/>
      <c r="H8" s="8"/>
      <c r="I8" s="8"/>
      <c r="J8" s="13">
        <v>10.0</v>
      </c>
      <c r="K8" s="8"/>
      <c r="L8" s="8"/>
      <c r="M8" s="8"/>
      <c r="N8" s="40">
        <f>TODAY()-24</f>
        <v>45102</v>
      </c>
      <c r="O8" s="8"/>
    </row>
    <row r="9" ht="15.75" customHeight="1">
      <c r="A9" s="8"/>
      <c r="B9" s="34" t="s">
        <v>28</v>
      </c>
      <c r="C9" s="13" t="s">
        <v>37</v>
      </c>
      <c r="D9" s="13">
        <v>10.0</v>
      </c>
      <c r="E9" s="8"/>
      <c r="F9" s="31" t="s">
        <v>36</v>
      </c>
      <c r="G9" s="8"/>
      <c r="H9" s="8"/>
      <c r="I9" s="8"/>
      <c r="J9" s="13">
        <v>10.0</v>
      </c>
      <c r="K9" s="8"/>
      <c r="L9" s="8"/>
      <c r="M9" s="13" t="s">
        <v>38</v>
      </c>
      <c r="N9" s="40">
        <f>TODAY()-23</f>
        <v>45103</v>
      </c>
      <c r="O9" s="8"/>
    </row>
    <row r="10" ht="15.75" customHeight="1">
      <c r="A10" s="34"/>
      <c r="B10" s="41" t="s">
        <v>39</v>
      </c>
      <c r="C10" s="34" t="s">
        <v>35</v>
      </c>
      <c r="D10" s="39">
        <v>1100.0</v>
      </c>
      <c r="E10" s="34"/>
      <c r="F10" s="41" t="s">
        <v>40</v>
      </c>
      <c r="G10" s="34"/>
      <c r="H10" s="34"/>
      <c r="I10" s="34"/>
      <c r="J10" s="39">
        <v>1.0</v>
      </c>
      <c r="K10" s="34"/>
      <c r="L10" s="34"/>
      <c r="M10" s="34"/>
      <c r="N10" s="32">
        <f t="shared" ref="N10:N11" si="2">TODAY()-25</f>
        <v>45101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13" t="s">
        <v>16</v>
      </c>
      <c r="C11" s="31" t="s">
        <v>41</v>
      </c>
      <c r="D11" s="39">
        <v>10.0</v>
      </c>
      <c r="E11" s="34"/>
      <c r="F11" s="41" t="s">
        <v>40</v>
      </c>
      <c r="G11" s="34"/>
      <c r="H11" s="34"/>
      <c r="I11" s="34"/>
      <c r="J11" s="39">
        <v>10.0</v>
      </c>
      <c r="K11" s="34"/>
      <c r="L11" s="34"/>
      <c r="M11" s="34"/>
      <c r="N11" s="32">
        <f t="shared" si="2"/>
        <v>45101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13" t="s">
        <v>17</v>
      </c>
      <c r="C12" s="31" t="s">
        <v>41</v>
      </c>
      <c r="D12" s="39">
        <v>10.0</v>
      </c>
      <c r="E12" s="34"/>
      <c r="F12" s="41" t="s">
        <v>40</v>
      </c>
      <c r="G12" s="34"/>
      <c r="H12" s="34"/>
      <c r="I12" s="34"/>
      <c r="J12" s="39">
        <v>10.0</v>
      </c>
      <c r="K12" s="34"/>
      <c r="L12" s="34"/>
      <c r="M12" s="34"/>
      <c r="N12" s="32">
        <f>TODAY()-24</f>
        <v>45102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13" t="s">
        <v>18</v>
      </c>
      <c r="C13" s="31" t="s">
        <v>41</v>
      </c>
      <c r="D13" s="39">
        <v>10.0</v>
      </c>
      <c r="E13" s="34"/>
      <c r="F13" s="41" t="s">
        <v>40</v>
      </c>
      <c r="G13" s="34"/>
      <c r="H13" s="34"/>
      <c r="I13" s="34"/>
      <c r="J13" s="39">
        <v>10.0</v>
      </c>
      <c r="K13" s="34"/>
      <c r="L13" s="34"/>
      <c r="M13" s="31"/>
      <c r="N13" s="32">
        <f>TODAY()-23</f>
        <v>45103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2" t="s">
        <v>42</v>
      </c>
      <c r="C14" s="31" t="s">
        <v>43</v>
      </c>
      <c r="D14" s="39">
        <v>1100.0</v>
      </c>
      <c r="E14" s="39"/>
      <c r="F14" s="9" t="s">
        <v>44</v>
      </c>
      <c r="G14" s="34"/>
      <c r="H14" s="34"/>
      <c r="I14" s="34"/>
      <c r="J14" s="39">
        <v>1.0</v>
      </c>
      <c r="K14" s="34"/>
      <c r="L14" s="34"/>
      <c r="M14" s="34"/>
      <c r="N14" s="35">
        <f>TODAY()-10</f>
        <v>45116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1" t="s">
        <v>19</v>
      </c>
      <c r="C15" s="31" t="s">
        <v>41</v>
      </c>
      <c r="D15" s="39">
        <v>10.0</v>
      </c>
      <c r="E15" s="39"/>
      <c r="F15" s="9" t="s">
        <v>44</v>
      </c>
      <c r="G15" s="34"/>
      <c r="H15" s="34"/>
      <c r="I15" s="34"/>
      <c r="J15" s="39">
        <v>10.0</v>
      </c>
      <c r="K15" s="34"/>
      <c r="L15" s="34"/>
      <c r="M15" s="34"/>
      <c r="N15" s="35">
        <f t="shared" ref="N15:N17" si="3">TODAY()-15</f>
        <v>45111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1" t="s">
        <v>20</v>
      </c>
      <c r="C16" s="31" t="s">
        <v>41</v>
      </c>
      <c r="D16" s="39">
        <v>10.0</v>
      </c>
      <c r="E16" s="39"/>
      <c r="F16" s="9" t="s">
        <v>44</v>
      </c>
      <c r="G16" s="34"/>
      <c r="H16" s="34"/>
      <c r="I16" s="34"/>
      <c r="J16" s="39">
        <v>10.0</v>
      </c>
      <c r="K16" s="34"/>
      <c r="L16" s="34"/>
      <c r="M16" s="34"/>
      <c r="N16" s="35">
        <f t="shared" si="3"/>
        <v>45111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1" t="s">
        <v>21</v>
      </c>
      <c r="C17" s="31" t="s">
        <v>41</v>
      </c>
      <c r="D17" s="39">
        <v>10.0</v>
      </c>
      <c r="E17" s="39"/>
      <c r="F17" s="9" t="s">
        <v>44</v>
      </c>
      <c r="G17" s="34"/>
      <c r="H17" s="34"/>
      <c r="I17" s="34"/>
      <c r="J17" s="39">
        <v>10.0</v>
      </c>
      <c r="K17" s="34"/>
      <c r="L17" s="34"/>
      <c r="M17" s="31"/>
      <c r="N17" s="35">
        <f t="shared" si="3"/>
        <v>45111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41" t="s">
        <v>45</v>
      </c>
      <c r="C18" s="34" t="s">
        <v>43</v>
      </c>
      <c r="D18" s="39">
        <v>1100.0</v>
      </c>
      <c r="E18" s="34"/>
      <c r="F18" s="41" t="s">
        <v>46</v>
      </c>
      <c r="G18" s="34"/>
      <c r="H18" s="34"/>
      <c r="I18" s="34"/>
      <c r="J18" s="39">
        <v>1.0</v>
      </c>
      <c r="K18" s="34"/>
      <c r="L18" s="34"/>
      <c r="M18" s="34"/>
      <c r="N18" s="32">
        <f t="shared" ref="N18:N19" si="4">TODAY()-25</f>
        <v>45101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1" t="s">
        <v>22</v>
      </c>
      <c r="C19" s="31" t="s">
        <v>37</v>
      </c>
      <c r="D19" s="39">
        <v>10.0</v>
      </c>
      <c r="E19" s="34"/>
      <c r="F19" s="41" t="s">
        <v>46</v>
      </c>
      <c r="G19" s="34"/>
      <c r="H19" s="34"/>
      <c r="I19" s="34"/>
      <c r="J19" s="39">
        <v>10.0</v>
      </c>
      <c r="K19" s="34"/>
      <c r="L19" s="34"/>
      <c r="M19" s="34"/>
      <c r="N19" s="32">
        <f t="shared" si="4"/>
        <v>45101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1" t="s">
        <v>23</v>
      </c>
      <c r="C20" s="31" t="s">
        <v>37</v>
      </c>
      <c r="D20" s="39">
        <v>10.0</v>
      </c>
      <c r="E20" s="34"/>
      <c r="F20" s="41" t="s">
        <v>46</v>
      </c>
      <c r="G20" s="31"/>
      <c r="H20" s="34"/>
      <c r="I20" s="34"/>
      <c r="J20" s="39">
        <v>10.0</v>
      </c>
      <c r="K20" s="34"/>
      <c r="L20" s="34"/>
      <c r="M20" s="34"/>
      <c r="N20" s="32">
        <f>TODAY()-24</f>
        <v>45102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1" t="s">
        <v>24</v>
      </c>
      <c r="C21" s="31" t="s">
        <v>37</v>
      </c>
      <c r="D21" s="39">
        <v>10.0</v>
      </c>
      <c r="E21" s="34"/>
      <c r="F21" s="41" t="s">
        <v>46</v>
      </c>
      <c r="G21" s="34"/>
      <c r="H21" s="34"/>
      <c r="I21" s="34"/>
      <c r="J21" s="39">
        <v>10.0</v>
      </c>
      <c r="K21" s="34"/>
      <c r="L21" s="34"/>
      <c r="M21" s="31"/>
      <c r="N21" s="32">
        <f>TODAY()-23</f>
        <v>45103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45125</v>
      </c>
      <c r="C6" s="32">
        <f>TODAY()</f>
        <v>45126</v>
      </c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34</v>
      </c>
      <c r="C6" s="39">
        <v>120.0</v>
      </c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 t="s">
        <v>39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42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45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51</v>
      </c>
      <c r="C6" s="35" t="s">
        <v>52</v>
      </c>
      <c r="D6" s="35">
        <f>TODAY()</f>
        <v>45126</v>
      </c>
      <c r="E6" s="41" t="s">
        <v>36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43" t="s">
        <v>36</v>
      </c>
      <c r="C6" s="34"/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27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36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28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1" t="s">
        <v>36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 t="s">
        <v>38</v>
      </c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51</v>
      </c>
      <c r="C6" s="35" t="s">
        <v>52</v>
      </c>
      <c r="D6" s="35">
        <f>TODAY()</f>
        <v>45126</v>
      </c>
      <c r="E6" s="41" t="s">
        <v>40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16</v>
      </c>
    </row>
    <row r="7" ht="15.75" customHeight="1">
      <c r="A7" s="8"/>
      <c r="B7" s="41" t="s">
        <v>40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17</v>
      </c>
    </row>
    <row r="8" ht="15.75" customHeight="1">
      <c r="A8" s="8"/>
      <c r="B8" s="41" t="s">
        <v>40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51</v>
      </c>
      <c r="C6" s="35" t="s">
        <v>52</v>
      </c>
      <c r="D6" s="35">
        <f>TODAY()</f>
        <v>45126</v>
      </c>
      <c r="E6" s="41" t="s">
        <v>44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9" t="s">
        <v>44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19</v>
      </c>
    </row>
    <row r="7" ht="15.75" customHeight="1">
      <c r="A7" s="8"/>
      <c r="B7" s="9" t="s">
        <v>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1" t="s">
        <v>20</v>
      </c>
    </row>
    <row r="8" ht="15.75" customHeight="1">
      <c r="A8" s="8"/>
      <c r="B8" s="9" t="s">
        <v>44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1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51</v>
      </c>
      <c r="C6" s="35" t="s">
        <v>52</v>
      </c>
      <c r="D6" s="35">
        <f>TODAY()</f>
        <v>45126</v>
      </c>
      <c r="E6" s="41" t="s">
        <v>46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22</v>
      </c>
    </row>
    <row r="7" ht="15.75" customHeight="1">
      <c r="A7" s="8"/>
      <c r="B7" s="34" t="s">
        <v>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1" t="s">
        <v>23</v>
      </c>
    </row>
    <row r="8" ht="15.75" customHeight="1">
      <c r="A8" s="8"/>
      <c r="B8" s="34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1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51</v>
      </c>
      <c r="C6" s="35" t="s">
        <v>52</v>
      </c>
      <c r="D6" s="35">
        <f>TODAY()</f>
        <v>45126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36</v>
      </c>
      <c r="D6" s="46"/>
      <c r="E6" s="47">
        <v>1100.0</v>
      </c>
      <c r="F6" s="8"/>
      <c r="G6" s="45" t="s">
        <v>58</v>
      </c>
      <c r="H6" s="8"/>
      <c r="I6" s="8"/>
      <c r="J6" s="8"/>
      <c r="K6" s="48">
        <v>1.0</v>
      </c>
      <c r="L6" s="48">
        <v>1.0</v>
      </c>
      <c r="M6" s="8"/>
      <c r="N6" s="8"/>
      <c r="O6" s="45" t="s">
        <v>59</v>
      </c>
      <c r="AE6" s="47">
        <v>1100.0</v>
      </c>
      <c r="BJ6" s="47">
        <v>1100.0</v>
      </c>
      <c r="BO6" s="45" t="s">
        <v>35</v>
      </c>
      <c r="BS6" s="45" t="s">
        <v>60</v>
      </c>
      <c r="BT6" s="45" t="s">
        <v>34</v>
      </c>
    </row>
    <row r="7" ht="15.75" customHeight="1">
      <c r="A7" s="8"/>
      <c r="B7" s="45" t="s">
        <v>36</v>
      </c>
      <c r="D7" s="8"/>
      <c r="E7" s="48">
        <v>10.0</v>
      </c>
      <c r="F7" s="8"/>
      <c r="G7" s="45" t="s">
        <v>61</v>
      </c>
      <c r="H7" s="8"/>
      <c r="I7" s="8"/>
      <c r="J7" s="8"/>
      <c r="K7" s="48">
        <v>10.0</v>
      </c>
      <c r="L7" s="48">
        <v>10.0</v>
      </c>
      <c r="M7" s="8"/>
      <c r="N7" s="8"/>
      <c r="O7" s="45" t="s">
        <v>59</v>
      </c>
      <c r="AE7" s="48">
        <v>10.0</v>
      </c>
      <c r="BJ7" s="48">
        <v>10.0</v>
      </c>
      <c r="BO7" s="45" t="s">
        <v>37</v>
      </c>
      <c r="BS7" s="45" t="s">
        <v>38</v>
      </c>
      <c r="BT7" s="45" t="s">
        <v>28</v>
      </c>
    </row>
    <row r="8" ht="15.75" customHeight="1">
      <c r="A8" s="8"/>
      <c r="B8" s="45" t="s">
        <v>40</v>
      </c>
      <c r="D8" s="8"/>
      <c r="E8" s="47">
        <v>1100.0</v>
      </c>
      <c r="F8" s="8"/>
      <c r="G8" s="45" t="s">
        <v>58</v>
      </c>
      <c r="H8" s="8"/>
      <c r="I8" s="8"/>
      <c r="J8" s="8"/>
      <c r="K8" s="48">
        <v>1.0</v>
      </c>
      <c r="L8" s="48">
        <v>1.0</v>
      </c>
      <c r="M8" s="8"/>
      <c r="N8" s="8"/>
      <c r="O8" s="45" t="s">
        <v>59</v>
      </c>
      <c r="AE8" s="47">
        <v>1100.0</v>
      </c>
      <c r="BJ8" s="47">
        <v>1100.0</v>
      </c>
      <c r="BO8" s="45" t="s">
        <v>35</v>
      </c>
      <c r="BS8" s="45" t="s">
        <v>60</v>
      </c>
      <c r="BT8" s="45" t="s">
        <v>39</v>
      </c>
    </row>
    <row r="9" ht="15.75" customHeight="1">
      <c r="A9" s="8"/>
      <c r="B9" s="45" t="s">
        <v>40</v>
      </c>
      <c r="D9" s="8"/>
      <c r="E9" s="48">
        <v>10.0</v>
      </c>
      <c r="F9" s="8"/>
      <c r="G9" s="45" t="s">
        <v>61</v>
      </c>
      <c r="H9" s="8"/>
      <c r="I9" s="8"/>
      <c r="J9" s="8"/>
      <c r="K9" s="48">
        <v>10.0</v>
      </c>
      <c r="L9" s="48">
        <v>10.0</v>
      </c>
      <c r="M9" s="8"/>
      <c r="N9" s="8"/>
      <c r="O9" s="45" t="s">
        <v>59</v>
      </c>
      <c r="AE9" s="48">
        <v>10.0</v>
      </c>
      <c r="BJ9" s="48">
        <v>10.0</v>
      </c>
      <c r="BO9" s="45" t="s">
        <v>41</v>
      </c>
      <c r="BS9" s="45" t="s">
        <v>60</v>
      </c>
      <c r="BT9" s="45" t="s">
        <v>16</v>
      </c>
    </row>
    <row r="10" ht="15.75" customHeight="1">
      <c r="A10" s="8"/>
      <c r="B10" s="45" t="s">
        <v>40</v>
      </c>
      <c r="D10" s="8"/>
      <c r="E10" s="48">
        <v>10.0</v>
      </c>
      <c r="F10" s="8"/>
      <c r="G10" s="45" t="s">
        <v>61</v>
      </c>
      <c r="H10" s="8"/>
      <c r="I10" s="8"/>
      <c r="J10" s="8"/>
      <c r="K10" s="48">
        <v>10.0</v>
      </c>
      <c r="L10" s="48">
        <v>10.0</v>
      </c>
      <c r="M10" s="8"/>
      <c r="N10" s="8"/>
      <c r="O10" s="45" t="s">
        <v>59</v>
      </c>
      <c r="AE10" s="48">
        <v>10.0</v>
      </c>
      <c r="BJ10" s="48">
        <v>10.0</v>
      </c>
      <c r="BO10" s="45" t="s">
        <v>41</v>
      </c>
      <c r="BS10" s="45" t="s">
        <v>60</v>
      </c>
      <c r="BT10" s="45" t="s">
        <v>17</v>
      </c>
    </row>
    <row r="11" ht="15.75" customHeight="1">
      <c r="A11" s="8"/>
      <c r="B11" s="45" t="s">
        <v>40</v>
      </c>
      <c r="D11" s="8"/>
      <c r="E11" s="48">
        <v>10.0</v>
      </c>
      <c r="F11" s="8"/>
      <c r="G11" s="45" t="s">
        <v>61</v>
      </c>
      <c r="H11" s="8"/>
      <c r="I11" s="8"/>
      <c r="J11" s="8"/>
      <c r="K11" s="48">
        <v>10.0</v>
      </c>
      <c r="L11" s="48">
        <v>10.0</v>
      </c>
      <c r="M11" s="8"/>
      <c r="N11" s="8"/>
      <c r="O11" s="45" t="s">
        <v>59</v>
      </c>
      <c r="AE11" s="48">
        <v>10.0</v>
      </c>
      <c r="BJ11" s="48">
        <v>10.0</v>
      </c>
      <c r="BO11" s="45" t="s">
        <v>41</v>
      </c>
      <c r="BS11" s="45" t="s">
        <v>60</v>
      </c>
      <c r="BT11" s="45" t="s">
        <v>18</v>
      </c>
    </row>
    <row r="12" ht="15.75" customHeight="1">
      <c r="A12" s="8"/>
      <c r="B12" s="45" t="s">
        <v>44</v>
      </c>
      <c r="D12" s="8"/>
      <c r="E12" s="47">
        <v>1100.0</v>
      </c>
      <c r="F12" s="8"/>
      <c r="G12" s="45" t="s">
        <v>58</v>
      </c>
      <c r="H12" s="8"/>
      <c r="I12" s="8"/>
      <c r="J12" s="8"/>
      <c r="K12" s="48">
        <v>1.0</v>
      </c>
      <c r="L12" s="48">
        <v>1.0</v>
      </c>
      <c r="M12" s="8"/>
      <c r="N12" s="8"/>
      <c r="O12" s="45" t="s">
        <v>59</v>
      </c>
      <c r="AE12" s="47">
        <v>1100.0</v>
      </c>
      <c r="BJ12" s="47">
        <v>1100.0</v>
      </c>
      <c r="BO12" s="45" t="s">
        <v>43</v>
      </c>
      <c r="BS12" s="45" t="s">
        <v>60</v>
      </c>
      <c r="BT12" s="45" t="s">
        <v>42</v>
      </c>
    </row>
    <row r="13" ht="15.75" customHeight="1">
      <c r="A13" s="8"/>
      <c r="B13" s="45" t="s">
        <v>44</v>
      </c>
      <c r="D13" s="8"/>
      <c r="E13" s="48">
        <v>10.0</v>
      </c>
      <c r="F13" s="8"/>
      <c r="G13" s="45" t="s">
        <v>61</v>
      </c>
      <c r="H13" s="8"/>
      <c r="I13" s="8"/>
      <c r="J13" s="8"/>
      <c r="K13" s="48">
        <v>10.0</v>
      </c>
      <c r="L13" s="48">
        <v>10.0</v>
      </c>
      <c r="M13" s="8"/>
      <c r="N13" s="8"/>
      <c r="O13" s="45" t="s">
        <v>59</v>
      </c>
      <c r="AE13" s="48">
        <v>10.0</v>
      </c>
      <c r="BJ13" s="48">
        <v>10.0</v>
      </c>
      <c r="BO13" s="45" t="s">
        <v>41</v>
      </c>
      <c r="BS13" s="45" t="s">
        <v>60</v>
      </c>
      <c r="BT13" s="45" t="s">
        <v>19</v>
      </c>
    </row>
    <row r="14" ht="15.75" customHeight="1">
      <c r="A14" s="8"/>
      <c r="B14" s="45" t="s">
        <v>36</v>
      </c>
      <c r="D14" s="8"/>
      <c r="E14" s="47">
        <v>10.0</v>
      </c>
      <c r="F14" s="8"/>
      <c r="G14" s="45" t="s">
        <v>61</v>
      </c>
      <c r="H14" s="8"/>
      <c r="I14" s="8"/>
      <c r="J14" s="8"/>
      <c r="K14" s="48">
        <v>10.0</v>
      </c>
      <c r="L14" s="48">
        <v>10.0</v>
      </c>
      <c r="M14" s="8"/>
      <c r="N14" s="8"/>
      <c r="O14" s="45" t="s">
        <v>59</v>
      </c>
      <c r="AE14" s="47">
        <v>10.0</v>
      </c>
      <c r="BJ14" s="47">
        <v>10.0</v>
      </c>
      <c r="BO14" s="45" t="s">
        <v>37</v>
      </c>
      <c r="BS14" s="45" t="s">
        <v>60</v>
      </c>
      <c r="BT14" s="45" t="s">
        <v>27</v>
      </c>
    </row>
    <row r="15" ht="15.75" customHeight="1">
      <c r="A15" s="8"/>
      <c r="B15" s="45" t="s">
        <v>36</v>
      </c>
      <c r="D15" s="8"/>
      <c r="E15" s="47">
        <v>10.0</v>
      </c>
      <c r="F15" s="8"/>
      <c r="G15" s="45" t="s">
        <v>61</v>
      </c>
      <c r="H15" s="8"/>
      <c r="I15" s="8"/>
      <c r="J15" s="8"/>
      <c r="K15" s="48">
        <v>10.0</v>
      </c>
      <c r="L15" s="48">
        <v>10.0</v>
      </c>
      <c r="M15" s="8"/>
      <c r="N15" s="8"/>
      <c r="O15" s="45" t="s">
        <v>59</v>
      </c>
      <c r="AE15" s="47">
        <v>10.0</v>
      </c>
      <c r="BJ15" s="47">
        <v>10.0</v>
      </c>
      <c r="BO15" s="45" t="s">
        <v>37</v>
      </c>
      <c r="BS15" s="45" t="s">
        <v>60</v>
      </c>
      <c r="BT15" s="45" t="s">
        <v>28</v>
      </c>
    </row>
    <row r="16" ht="15.75" customHeight="1">
      <c r="A16" s="8"/>
      <c r="B16" s="45" t="s">
        <v>44</v>
      </c>
      <c r="D16" s="8"/>
      <c r="E16" s="48">
        <v>10.0</v>
      </c>
      <c r="F16" s="8"/>
      <c r="G16" s="45" t="s">
        <v>61</v>
      </c>
      <c r="H16" s="8"/>
      <c r="I16" s="8"/>
      <c r="J16" s="8"/>
      <c r="K16" s="48">
        <v>10.0</v>
      </c>
      <c r="L16" s="48">
        <v>10.0</v>
      </c>
      <c r="M16" s="8"/>
      <c r="N16" s="8"/>
      <c r="O16" s="45" t="s">
        <v>59</v>
      </c>
      <c r="AE16" s="48">
        <v>10.0</v>
      </c>
      <c r="BJ16" s="48">
        <v>10.0</v>
      </c>
      <c r="BO16" s="45" t="s">
        <v>41</v>
      </c>
      <c r="BS16" s="45" t="s">
        <v>60</v>
      </c>
      <c r="BT16" s="45" t="s">
        <v>20</v>
      </c>
    </row>
    <row r="17" ht="15.75" customHeight="1">
      <c r="A17" s="8"/>
      <c r="B17" s="45" t="s">
        <v>44</v>
      </c>
      <c r="D17" s="8"/>
      <c r="E17" s="47">
        <v>10.0</v>
      </c>
      <c r="F17" s="8"/>
      <c r="G17" s="45" t="s">
        <v>61</v>
      </c>
      <c r="H17" s="8"/>
      <c r="I17" s="8"/>
      <c r="J17" s="8"/>
      <c r="K17" s="48">
        <v>10.0</v>
      </c>
      <c r="L17" s="48">
        <v>10.0</v>
      </c>
      <c r="M17" s="8"/>
      <c r="N17" s="8"/>
      <c r="O17" s="45" t="s">
        <v>59</v>
      </c>
      <c r="AE17" s="47">
        <v>10.0</v>
      </c>
      <c r="BJ17" s="47">
        <v>10.0</v>
      </c>
      <c r="BO17" s="45" t="s">
        <v>41</v>
      </c>
      <c r="BS17" s="45" t="s">
        <v>60</v>
      </c>
      <c r="BT17" s="45" t="s">
        <v>21</v>
      </c>
    </row>
    <row r="18" ht="15.75" customHeight="1">
      <c r="A18" s="8"/>
      <c r="B18" s="45" t="s">
        <v>46</v>
      </c>
      <c r="D18" s="8"/>
      <c r="E18" s="47">
        <v>1100.0</v>
      </c>
      <c r="F18" s="8"/>
      <c r="G18" s="45" t="s">
        <v>58</v>
      </c>
      <c r="H18" s="8"/>
      <c r="I18" s="8"/>
      <c r="J18" s="8"/>
      <c r="K18" s="48">
        <v>1.0</v>
      </c>
      <c r="L18" s="48">
        <v>1.0</v>
      </c>
      <c r="M18" s="8"/>
      <c r="N18" s="8"/>
      <c r="O18" s="45" t="s">
        <v>59</v>
      </c>
      <c r="AE18" s="47">
        <v>1100.0</v>
      </c>
      <c r="BJ18" s="47">
        <v>1100.0</v>
      </c>
      <c r="BO18" s="45" t="s">
        <v>43</v>
      </c>
      <c r="BS18" s="45" t="s">
        <v>60</v>
      </c>
      <c r="BT18" s="45" t="s">
        <v>45</v>
      </c>
    </row>
    <row r="19" ht="15.75" customHeight="1">
      <c r="A19" s="8"/>
      <c r="B19" s="45" t="s">
        <v>46</v>
      </c>
      <c r="D19" s="8"/>
      <c r="E19" s="48">
        <v>10.0</v>
      </c>
      <c r="F19" s="8"/>
      <c r="G19" s="45" t="s">
        <v>61</v>
      </c>
      <c r="H19" s="8"/>
      <c r="I19" s="8"/>
      <c r="J19" s="8"/>
      <c r="K19" s="48">
        <v>10.0</v>
      </c>
      <c r="L19" s="48">
        <v>10.0</v>
      </c>
      <c r="M19" s="8"/>
      <c r="N19" s="8"/>
      <c r="O19" s="45" t="s">
        <v>59</v>
      </c>
      <c r="AE19" s="48">
        <v>10.0</v>
      </c>
      <c r="BJ19" s="48">
        <v>10.0</v>
      </c>
      <c r="BO19" s="45" t="s">
        <v>37</v>
      </c>
      <c r="BS19" s="45" t="s">
        <v>60</v>
      </c>
      <c r="BT19" s="45" t="s">
        <v>22</v>
      </c>
    </row>
    <row r="20" ht="15.75" customHeight="1">
      <c r="A20" s="8"/>
      <c r="B20" s="45" t="s">
        <v>36</v>
      </c>
      <c r="D20" s="8"/>
      <c r="E20" s="48">
        <v>10.0</v>
      </c>
      <c r="F20" s="8"/>
      <c r="G20" s="45" t="s">
        <v>61</v>
      </c>
      <c r="H20" s="8"/>
      <c r="I20" s="8"/>
      <c r="J20" s="8"/>
      <c r="K20" s="48">
        <v>0.0</v>
      </c>
      <c r="L20" s="48">
        <v>0.0</v>
      </c>
      <c r="M20" s="8"/>
      <c r="N20" s="8"/>
      <c r="O20" s="45" t="s">
        <v>59</v>
      </c>
      <c r="AE20" s="48">
        <v>10.0</v>
      </c>
      <c r="BJ20" s="48">
        <v>10.0</v>
      </c>
      <c r="BO20" s="45" t="s">
        <v>62</v>
      </c>
      <c r="BS20" s="45" t="s">
        <v>60</v>
      </c>
      <c r="BT20" s="45" t="s">
        <v>28</v>
      </c>
    </row>
    <row r="21" ht="15.75" customHeight="1">
      <c r="A21" s="8"/>
      <c r="B21" s="45" t="s">
        <v>36</v>
      </c>
      <c r="D21" s="8"/>
      <c r="E21" s="48">
        <v>10.0</v>
      </c>
      <c r="F21" s="8"/>
      <c r="G21" s="45" t="s">
        <v>61</v>
      </c>
      <c r="H21" s="8"/>
      <c r="I21" s="8"/>
      <c r="J21" s="8"/>
      <c r="K21" s="48">
        <v>0.0</v>
      </c>
      <c r="L21" s="48">
        <v>0.0</v>
      </c>
      <c r="M21" s="8"/>
      <c r="N21" s="8"/>
      <c r="O21" s="45" t="s">
        <v>59</v>
      </c>
      <c r="AE21" s="48">
        <v>10.0</v>
      </c>
      <c r="BJ21" s="48">
        <v>10.0</v>
      </c>
      <c r="BO21" s="45" t="s">
        <v>62</v>
      </c>
      <c r="BS21" s="45" t="s">
        <v>38</v>
      </c>
      <c r="BT21" s="45" t="s">
        <v>28</v>
      </c>
    </row>
    <row r="22" ht="15.75" customHeight="1">
      <c r="A22" s="8"/>
      <c r="B22" s="45" t="s">
        <v>46</v>
      </c>
      <c r="D22" s="8"/>
      <c r="E22" s="47">
        <v>10.0</v>
      </c>
      <c r="F22" s="8"/>
      <c r="G22" s="45" t="s">
        <v>61</v>
      </c>
      <c r="H22" s="8"/>
      <c r="I22" s="8"/>
      <c r="J22" s="8"/>
      <c r="K22" s="48">
        <v>10.0</v>
      </c>
      <c r="L22" s="48">
        <v>10.0</v>
      </c>
      <c r="M22" s="8"/>
      <c r="N22" s="8"/>
      <c r="O22" s="45" t="s">
        <v>59</v>
      </c>
      <c r="AE22" s="47">
        <v>10.0</v>
      </c>
      <c r="BJ22" s="47">
        <v>10.0</v>
      </c>
      <c r="BO22" s="45" t="s">
        <v>37</v>
      </c>
      <c r="BS22" s="45" t="s">
        <v>60</v>
      </c>
      <c r="BT22" s="45" t="s">
        <v>23</v>
      </c>
    </row>
    <row r="23" ht="15.75" customHeight="1">
      <c r="A23" s="8"/>
      <c r="B23" s="45" t="s">
        <v>36</v>
      </c>
      <c r="D23" s="8"/>
      <c r="E23" s="47">
        <v>1000.0</v>
      </c>
      <c r="F23" s="8"/>
      <c r="G23" s="45" t="s">
        <v>58</v>
      </c>
      <c r="H23" s="8"/>
      <c r="I23" s="8"/>
      <c r="J23" s="8"/>
      <c r="K23" s="48">
        <v>60.0</v>
      </c>
      <c r="L23" s="48">
        <v>60.0</v>
      </c>
      <c r="M23" s="8"/>
      <c r="N23" s="8"/>
      <c r="O23" s="45" t="s">
        <v>59</v>
      </c>
      <c r="AE23" s="47">
        <v>1000.0</v>
      </c>
      <c r="BJ23" s="47">
        <v>1000.0</v>
      </c>
      <c r="BO23" s="45" t="s">
        <v>43</v>
      </c>
      <c r="BS23" s="45" t="s">
        <v>38</v>
      </c>
      <c r="BT23" s="45" t="s">
        <v>34</v>
      </c>
    </row>
    <row r="24" ht="15.75" customHeight="1">
      <c r="A24" s="8"/>
      <c r="B24" s="45" t="s">
        <v>36</v>
      </c>
      <c r="D24" s="8"/>
      <c r="E24" s="47">
        <v>900.0</v>
      </c>
      <c r="F24" s="8"/>
      <c r="G24" s="45" t="s">
        <v>58</v>
      </c>
      <c r="H24" s="8"/>
      <c r="I24" s="8"/>
      <c r="J24" s="8"/>
      <c r="K24" s="48">
        <v>60.0</v>
      </c>
      <c r="L24" s="48">
        <v>60.0</v>
      </c>
      <c r="M24" s="8"/>
      <c r="N24" s="8"/>
      <c r="O24" s="45" t="s">
        <v>59</v>
      </c>
      <c r="AE24" s="47">
        <v>900.0</v>
      </c>
      <c r="BJ24" s="47">
        <v>900.0</v>
      </c>
      <c r="BO24" s="45" t="s">
        <v>43</v>
      </c>
      <c r="BS24" s="45" t="s">
        <v>60</v>
      </c>
      <c r="BT24" s="45" t="s">
        <v>34</v>
      </c>
    </row>
    <row r="25" ht="15.75" customHeight="1">
      <c r="A25" s="8"/>
      <c r="B25" s="45" t="s">
        <v>36</v>
      </c>
      <c r="D25" s="8"/>
      <c r="E25" s="48">
        <v>100.0</v>
      </c>
      <c r="F25" s="8"/>
      <c r="G25" s="45" t="s">
        <v>58</v>
      </c>
      <c r="H25" s="8"/>
      <c r="I25" s="8"/>
      <c r="J25" s="8"/>
      <c r="K25" s="48">
        <v>60.0</v>
      </c>
      <c r="L25" s="48">
        <v>60.0</v>
      </c>
      <c r="M25" s="8"/>
      <c r="N25" s="8"/>
      <c r="O25" s="45" t="s">
        <v>59</v>
      </c>
      <c r="AE25" s="48">
        <v>100.0</v>
      </c>
      <c r="BJ25" s="48">
        <v>100.0</v>
      </c>
      <c r="BO25" s="45" t="s">
        <v>63</v>
      </c>
      <c r="BS25" s="45" t="s">
        <v>60</v>
      </c>
      <c r="BT25" s="45" t="s">
        <v>34</v>
      </c>
    </row>
    <row r="26" ht="15.75" customHeight="1">
      <c r="A26" s="8"/>
      <c r="B26" s="45" t="s">
        <v>46</v>
      </c>
      <c r="D26" s="8"/>
      <c r="E26" s="47">
        <v>10.0</v>
      </c>
      <c r="F26" s="8"/>
      <c r="G26" s="45" t="s">
        <v>61</v>
      </c>
      <c r="H26" s="8"/>
      <c r="I26" s="8"/>
      <c r="J26" s="8"/>
      <c r="K26" s="48">
        <v>10.0</v>
      </c>
      <c r="L26" s="48">
        <v>10.0</v>
      </c>
      <c r="M26" s="8"/>
      <c r="N26" s="8"/>
      <c r="O26" s="45" t="s">
        <v>59</v>
      </c>
      <c r="AE26" s="47">
        <v>10.0</v>
      </c>
      <c r="BJ26" s="47">
        <v>10.0</v>
      </c>
      <c r="BO26" s="45" t="s">
        <v>37</v>
      </c>
      <c r="BS26" s="45" t="s">
        <v>60</v>
      </c>
      <c r="BT26" s="45" t="s">
        <v>24</v>
      </c>
    </row>
    <row r="27" ht="15.75" customHeight="1">
      <c r="B27" s="45" t="s">
        <v>36</v>
      </c>
      <c r="E27" s="47">
        <v>1000.0</v>
      </c>
      <c r="G27" s="45" t="s">
        <v>58</v>
      </c>
      <c r="K27" s="48">
        <v>50.0</v>
      </c>
      <c r="L27" s="48">
        <v>50.0</v>
      </c>
      <c r="O27" s="45" t="s">
        <v>59</v>
      </c>
      <c r="AE27" s="47">
        <v>1000.0</v>
      </c>
      <c r="BJ27" s="47">
        <v>1000.0</v>
      </c>
      <c r="BO27" s="45" t="s">
        <v>63</v>
      </c>
      <c r="BS27" s="45" t="s">
        <v>60</v>
      </c>
      <c r="BT27" s="45" t="s">
        <v>34</v>
      </c>
    </row>
    <row r="28" ht="15.75" customHeight="1">
      <c r="B28" s="45" t="s">
        <v>36</v>
      </c>
      <c r="E28" s="48">
        <v>10.0</v>
      </c>
      <c r="G28" s="45" t="s">
        <v>61</v>
      </c>
      <c r="K28" s="48">
        <v>0.0</v>
      </c>
      <c r="L28" s="48">
        <v>0.0</v>
      </c>
      <c r="O28" s="45" t="s">
        <v>59</v>
      </c>
      <c r="AE28" s="48">
        <v>10.0</v>
      </c>
      <c r="BJ28" s="48">
        <v>10.0</v>
      </c>
      <c r="BO28" s="45" t="s">
        <v>62</v>
      </c>
      <c r="BS28" s="45" t="s">
        <v>60</v>
      </c>
      <c r="BT28" s="45" t="s">
        <v>27</v>
      </c>
    </row>
    <row r="29" ht="15.75" customHeight="1">
      <c r="B29" s="45" t="s">
        <v>40</v>
      </c>
      <c r="E29" s="47">
        <v>10.0</v>
      </c>
      <c r="G29" s="45" t="s">
        <v>61</v>
      </c>
      <c r="K29" s="48">
        <v>0.0</v>
      </c>
      <c r="L29" s="48">
        <v>0.0</v>
      </c>
      <c r="O29" s="45" t="s">
        <v>59</v>
      </c>
      <c r="AE29" s="47">
        <v>10.0</v>
      </c>
      <c r="BJ29" s="47">
        <v>10.0</v>
      </c>
      <c r="BO29" s="45" t="s">
        <v>64</v>
      </c>
      <c r="BS29" s="45" t="s">
        <v>60</v>
      </c>
      <c r="BT29" s="45" t="s">
        <v>16</v>
      </c>
    </row>
    <row r="30" ht="15.75" customHeight="1">
      <c r="B30" s="45" t="s">
        <v>40</v>
      </c>
      <c r="E30" s="47">
        <v>10.0</v>
      </c>
      <c r="G30" s="45" t="s">
        <v>61</v>
      </c>
      <c r="K30" s="48">
        <v>0.0</v>
      </c>
      <c r="L30" s="48">
        <v>0.0</v>
      </c>
      <c r="O30" s="45" t="s">
        <v>59</v>
      </c>
      <c r="AE30" s="47">
        <v>10.0</v>
      </c>
      <c r="BJ30" s="47">
        <v>10.0</v>
      </c>
      <c r="BO30" s="45" t="s">
        <v>64</v>
      </c>
      <c r="BS30" s="45" t="s">
        <v>60</v>
      </c>
      <c r="BT30" s="45" t="s">
        <v>18</v>
      </c>
    </row>
    <row r="31" ht="15.75" customHeight="1">
      <c r="B31" s="45" t="s">
        <v>40</v>
      </c>
      <c r="E31" s="47">
        <v>1000.0</v>
      </c>
      <c r="G31" s="45" t="s">
        <v>58</v>
      </c>
      <c r="K31" s="48">
        <v>60.0</v>
      </c>
      <c r="L31" s="48">
        <v>60.0</v>
      </c>
      <c r="O31" s="45" t="s">
        <v>59</v>
      </c>
      <c r="AE31" s="47">
        <v>1000.0</v>
      </c>
      <c r="BJ31" s="47">
        <v>1000.0</v>
      </c>
      <c r="BO31" s="45" t="s">
        <v>35</v>
      </c>
      <c r="BS31" s="45" t="s">
        <v>60</v>
      </c>
      <c r="BT31" s="45" t="s">
        <v>39</v>
      </c>
    </row>
    <row r="32" ht="15.75" customHeight="1">
      <c r="B32" s="45" t="s">
        <v>40</v>
      </c>
      <c r="E32" s="47">
        <v>10.0</v>
      </c>
      <c r="G32" s="45" t="s">
        <v>61</v>
      </c>
      <c r="K32" s="48">
        <v>0.0</v>
      </c>
      <c r="L32" s="48">
        <v>0.0</v>
      </c>
      <c r="O32" s="45" t="s">
        <v>59</v>
      </c>
      <c r="AE32" s="47">
        <v>10.0</v>
      </c>
      <c r="BJ32" s="47">
        <v>10.0</v>
      </c>
      <c r="BO32" s="45" t="s">
        <v>64</v>
      </c>
      <c r="BS32" s="45" t="s">
        <v>60</v>
      </c>
      <c r="BT32" s="45" t="s">
        <v>17</v>
      </c>
    </row>
    <row r="33" ht="15.75" customHeight="1">
      <c r="B33" s="45" t="s">
        <v>40</v>
      </c>
      <c r="E33" s="47">
        <v>1000.0</v>
      </c>
      <c r="G33" s="45" t="s">
        <v>58</v>
      </c>
      <c r="K33" s="48">
        <v>60.0</v>
      </c>
      <c r="L33" s="48">
        <v>60.0</v>
      </c>
      <c r="O33" s="45" t="s">
        <v>59</v>
      </c>
      <c r="AE33" s="47">
        <v>1000.0</v>
      </c>
      <c r="BJ33" s="47">
        <v>1000.0</v>
      </c>
      <c r="BO33" s="45" t="s">
        <v>35</v>
      </c>
      <c r="BS33" s="45" t="s">
        <v>60</v>
      </c>
      <c r="BT33" s="45" t="s">
        <v>39</v>
      </c>
    </row>
    <row r="34" ht="15.75" customHeight="1">
      <c r="B34" s="45" t="s">
        <v>40</v>
      </c>
      <c r="E34" s="47">
        <v>1000.0</v>
      </c>
      <c r="G34" s="45" t="s">
        <v>58</v>
      </c>
      <c r="K34" s="48">
        <v>60.0</v>
      </c>
      <c r="L34" s="48">
        <v>60.0</v>
      </c>
      <c r="O34" s="45" t="s">
        <v>59</v>
      </c>
      <c r="AE34" s="47">
        <v>1000.0</v>
      </c>
      <c r="BJ34" s="47">
        <v>1000.0</v>
      </c>
      <c r="BO34" s="45" t="s">
        <v>35</v>
      </c>
      <c r="BS34" s="45" t="s">
        <v>60</v>
      </c>
      <c r="BT34" s="45" t="s">
        <v>39</v>
      </c>
    </row>
    <row r="35" ht="15.75" customHeight="1">
      <c r="B35" s="45" t="s">
        <v>44</v>
      </c>
      <c r="E35" s="47">
        <v>10.0</v>
      </c>
      <c r="G35" s="45" t="s">
        <v>61</v>
      </c>
      <c r="K35" s="48">
        <v>0.0</v>
      </c>
      <c r="L35" s="48">
        <v>0.0</v>
      </c>
      <c r="O35" s="45" t="s">
        <v>59</v>
      </c>
      <c r="AE35" s="47">
        <v>10.0</v>
      </c>
      <c r="BJ35" s="47">
        <v>10.0</v>
      </c>
      <c r="BO35" s="45" t="s">
        <v>64</v>
      </c>
      <c r="BS35" s="45" t="s">
        <v>60</v>
      </c>
      <c r="BT35" s="45" t="s">
        <v>21</v>
      </c>
    </row>
    <row r="36" ht="15.75" customHeight="1">
      <c r="B36" s="45" t="s">
        <v>44</v>
      </c>
      <c r="E36" s="47">
        <v>1000.0</v>
      </c>
      <c r="G36" s="45" t="s">
        <v>58</v>
      </c>
      <c r="K36" s="48">
        <v>60.0</v>
      </c>
      <c r="L36" s="48">
        <v>60.0</v>
      </c>
      <c r="O36" s="45" t="s">
        <v>59</v>
      </c>
      <c r="AE36" s="47">
        <v>1000.0</v>
      </c>
      <c r="BJ36" s="47">
        <v>1000.0</v>
      </c>
      <c r="BO36" s="45" t="s">
        <v>43</v>
      </c>
      <c r="BS36" s="45" t="s">
        <v>60</v>
      </c>
      <c r="BT36" s="45" t="s">
        <v>42</v>
      </c>
    </row>
    <row r="37" ht="15.75" customHeight="1">
      <c r="B37" s="45" t="s">
        <v>44</v>
      </c>
      <c r="E37" s="47">
        <v>10.0</v>
      </c>
      <c r="G37" s="45" t="s">
        <v>61</v>
      </c>
      <c r="K37" s="48">
        <v>0.0</v>
      </c>
      <c r="L37" s="48">
        <v>0.0</v>
      </c>
      <c r="O37" s="45" t="s">
        <v>59</v>
      </c>
      <c r="AE37" s="47">
        <v>10.0</v>
      </c>
      <c r="BJ37" s="47">
        <v>10.0</v>
      </c>
      <c r="BO37" s="45" t="s">
        <v>64</v>
      </c>
      <c r="BS37" s="45" t="s">
        <v>60</v>
      </c>
      <c r="BT37" s="45" t="s">
        <v>19</v>
      </c>
    </row>
    <row r="38" ht="15.75" customHeight="1">
      <c r="B38" s="45" t="s">
        <v>44</v>
      </c>
      <c r="E38" s="47">
        <v>1000.0</v>
      </c>
      <c r="G38" s="45" t="s">
        <v>58</v>
      </c>
      <c r="K38" s="48">
        <v>60.0</v>
      </c>
      <c r="L38" s="48">
        <v>60.0</v>
      </c>
      <c r="O38" s="45" t="s">
        <v>59</v>
      </c>
      <c r="AE38" s="47">
        <v>1000.0</v>
      </c>
      <c r="BJ38" s="47">
        <v>1000.0</v>
      </c>
      <c r="BO38" s="45" t="s">
        <v>43</v>
      </c>
      <c r="BS38" s="45" t="s">
        <v>60</v>
      </c>
      <c r="BT38" s="45" t="s">
        <v>42</v>
      </c>
    </row>
    <row r="39" ht="15.75" customHeight="1">
      <c r="B39" s="45" t="s">
        <v>44</v>
      </c>
      <c r="E39" s="47">
        <v>1000.0</v>
      </c>
      <c r="G39" s="45" t="s">
        <v>58</v>
      </c>
      <c r="K39" s="48">
        <v>50.0</v>
      </c>
      <c r="L39" s="48">
        <v>50.0</v>
      </c>
      <c r="O39" s="45" t="s">
        <v>59</v>
      </c>
      <c r="AE39" s="47">
        <v>1000.0</v>
      </c>
      <c r="BJ39" s="47">
        <v>1000.0</v>
      </c>
      <c r="BO39" s="45" t="s">
        <v>43</v>
      </c>
      <c r="BS39" s="45" t="s">
        <v>60</v>
      </c>
      <c r="BT39" s="45" t="s">
        <v>42</v>
      </c>
    </row>
    <row r="40" ht="15.75" customHeight="1">
      <c r="B40" s="45" t="s">
        <v>44</v>
      </c>
      <c r="E40" s="47">
        <v>10.0</v>
      </c>
      <c r="G40" s="45" t="s">
        <v>61</v>
      </c>
      <c r="K40" s="48">
        <v>0.0</v>
      </c>
      <c r="L40" s="48">
        <v>0.0</v>
      </c>
      <c r="O40" s="45" t="s">
        <v>59</v>
      </c>
      <c r="AE40" s="47">
        <v>10.0</v>
      </c>
      <c r="BJ40" s="47">
        <v>10.0</v>
      </c>
      <c r="BO40" s="45" t="s">
        <v>64</v>
      </c>
      <c r="BS40" s="45" t="s">
        <v>60</v>
      </c>
      <c r="BT40" s="45" t="s">
        <v>20</v>
      </c>
    </row>
    <row r="41" ht="15.75" customHeight="1">
      <c r="B41" s="45" t="s">
        <v>46</v>
      </c>
      <c r="E41" s="48">
        <v>10.0</v>
      </c>
      <c r="G41" s="45" t="s">
        <v>61</v>
      </c>
      <c r="K41" s="48">
        <v>0.0</v>
      </c>
      <c r="L41" s="48">
        <v>0.0</v>
      </c>
      <c r="O41" s="45" t="s">
        <v>59</v>
      </c>
      <c r="AE41" s="48">
        <v>10.0</v>
      </c>
      <c r="BJ41" s="48">
        <v>10.0</v>
      </c>
      <c r="BO41" s="45" t="s">
        <v>62</v>
      </c>
      <c r="BS41" s="45" t="s">
        <v>60</v>
      </c>
      <c r="BT41" s="45" t="s">
        <v>22</v>
      </c>
    </row>
    <row r="42" ht="15.75" customHeight="1">
      <c r="B42" s="45" t="s">
        <v>46</v>
      </c>
      <c r="E42" s="47">
        <v>100.0</v>
      </c>
      <c r="G42" s="45" t="s">
        <v>58</v>
      </c>
      <c r="K42" s="48">
        <v>60.0</v>
      </c>
      <c r="L42" s="48">
        <v>60.0</v>
      </c>
      <c r="O42" s="45" t="s">
        <v>59</v>
      </c>
      <c r="AE42" s="47">
        <v>100.0</v>
      </c>
      <c r="BJ42" s="47">
        <v>100.0</v>
      </c>
      <c r="BO42" s="45" t="s">
        <v>64</v>
      </c>
      <c r="BS42" s="45" t="s">
        <v>60</v>
      </c>
      <c r="BT42" s="45" t="s">
        <v>45</v>
      </c>
    </row>
    <row r="43" ht="15.75" customHeight="1">
      <c r="B43" s="45" t="s">
        <v>46</v>
      </c>
      <c r="E43" s="47">
        <v>10.0</v>
      </c>
      <c r="G43" s="45" t="s">
        <v>61</v>
      </c>
      <c r="K43" s="48">
        <v>0.0</v>
      </c>
      <c r="L43" s="48">
        <v>0.0</v>
      </c>
      <c r="O43" s="45" t="s">
        <v>59</v>
      </c>
      <c r="AE43" s="47">
        <v>10.0</v>
      </c>
      <c r="BJ43" s="47">
        <v>10.0</v>
      </c>
      <c r="BO43" s="45" t="s">
        <v>62</v>
      </c>
      <c r="BS43" s="45" t="s">
        <v>60</v>
      </c>
      <c r="BT43" s="45" t="s">
        <v>23</v>
      </c>
    </row>
    <row r="44" ht="15.75" customHeight="1">
      <c r="B44" s="45" t="s">
        <v>46</v>
      </c>
      <c r="E44" s="47">
        <v>900.0</v>
      </c>
      <c r="G44" s="45" t="s">
        <v>58</v>
      </c>
      <c r="K44" s="48">
        <v>60.0</v>
      </c>
      <c r="L44" s="48">
        <v>60.0</v>
      </c>
      <c r="O44" s="45" t="s">
        <v>59</v>
      </c>
      <c r="AE44" s="47">
        <v>900.0</v>
      </c>
      <c r="BJ44" s="47">
        <v>900.0</v>
      </c>
      <c r="BO44" s="45" t="s">
        <v>35</v>
      </c>
      <c r="BS44" s="45" t="s">
        <v>60</v>
      </c>
      <c r="BT44" s="45" t="s">
        <v>45</v>
      </c>
    </row>
    <row r="45" ht="15.75" customHeight="1">
      <c r="B45" s="45" t="s">
        <v>46</v>
      </c>
      <c r="E45" s="48">
        <v>10.0</v>
      </c>
      <c r="G45" s="45" t="s">
        <v>61</v>
      </c>
      <c r="K45" s="48">
        <v>0.0</v>
      </c>
      <c r="L45" s="48">
        <v>0.0</v>
      </c>
      <c r="O45" s="45" t="s">
        <v>59</v>
      </c>
      <c r="AE45" s="48">
        <v>10.0</v>
      </c>
      <c r="BJ45" s="48">
        <v>10.0</v>
      </c>
      <c r="BO45" s="45" t="s">
        <v>62</v>
      </c>
      <c r="BS45" s="45" t="s">
        <v>60</v>
      </c>
      <c r="BT45" s="45" t="s">
        <v>24</v>
      </c>
    </row>
    <row r="46" ht="15.75" customHeight="1">
      <c r="B46" s="45" t="s">
        <v>46</v>
      </c>
      <c r="E46" s="47">
        <v>1000.0</v>
      </c>
      <c r="G46" s="45" t="s">
        <v>58</v>
      </c>
      <c r="K46" s="48">
        <v>60.0</v>
      </c>
      <c r="L46" s="48">
        <v>60.0</v>
      </c>
      <c r="O46" s="45" t="s">
        <v>59</v>
      </c>
      <c r="AE46" s="47">
        <v>1000.0</v>
      </c>
      <c r="BJ46" s="47">
        <v>1000.0</v>
      </c>
      <c r="BO46" s="45" t="s">
        <v>64</v>
      </c>
      <c r="BS46" s="45" t="s">
        <v>60</v>
      </c>
      <c r="BT46" s="45" t="s">
        <v>45</v>
      </c>
    </row>
    <row r="47" ht="15.75" customHeight="1">
      <c r="B47" s="45" t="s">
        <v>46</v>
      </c>
      <c r="E47" s="47">
        <v>1000.0</v>
      </c>
      <c r="G47" s="45" t="s">
        <v>58</v>
      </c>
      <c r="K47" s="48">
        <v>60.0</v>
      </c>
      <c r="L47" s="48">
        <v>60.0</v>
      </c>
      <c r="O47" s="45" t="s">
        <v>59</v>
      </c>
      <c r="AE47" s="47">
        <v>1000.0</v>
      </c>
      <c r="BJ47" s="47">
        <v>1000.0</v>
      </c>
      <c r="BO47" s="45" t="s">
        <v>35</v>
      </c>
      <c r="BS47" s="45" t="s">
        <v>60</v>
      </c>
      <c r="BT47" s="45" t="s">
        <v>45</v>
      </c>
    </row>
    <row r="48" ht="15.75" customHeight="1">
      <c r="AE48" s="4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34</v>
      </c>
      <c r="D6" s="50">
        <v>1100.0</v>
      </c>
      <c r="E6" s="45" t="s">
        <v>36</v>
      </c>
      <c r="F6" s="45" t="s">
        <v>67</v>
      </c>
      <c r="G6" s="48">
        <v>1.0</v>
      </c>
      <c r="H6" s="8"/>
      <c r="I6" s="8"/>
      <c r="J6" s="8"/>
      <c r="K6" s="8"/>
      <c r="L6" s="8"/>
      <c r="M6" s="8"/>
      <c r="N6" s="8"/>
      <c r="O6" s="8"/>
      <c r="S6" s="45" t="s">
        <v>60</v>
      </c>
      <c r="T6" s="45" t="s">
        <v>58</v>
      </c>
      <c r="AN6" s="45" t="s">
        <v>35</v>
      </c>
      <c r="BR6" s="45" t="s">
        <v>59</v>
      </c>
    </row>
    <row r="7" ht="15.75" customHeight="1">
      <c r="A7" s="8"/>
      <c r="B7" s="8"/>
      <c r="C7" s="45" t="s">
        <v>34</v>
      </c>
      <c r="D7" s="50">
        <v>-1000.0</v>
      </c>
      <c r="E7" s="45" t="s">
        <v>36</v>
      </c>
      <c r="F7" s="45" t="s">
        <v>67</v>
      </c>
      <c r="G7" s="48">
        <v>50.0</v>
      </c>
      <c r="H7" s="8"/>
      <c r="I7" s="8"/>
      <c r="J7" s="8"/>
      <c r="K7" s="8"/>
      <c r="L7" s="8"/>
      <c r="M7" s="8"/>
      <c r="N7" s="8"/>
      <c r="O7" s="8"/>
      <c r="S7" s="45" t="s">
        <v>60</v>
      </c>
      <c r="T7" s="45" t="s">
        <v>58</v>
      </c>
      <c r="AN7" s="45" t="s">
        <v>63</v>
      </c>
      <c r="BR7" s="45" t="s">
        <v>59</v>
      </c>
    </row>
    <row r="8" ht="15.75" customHeight="1">
      <c r="A8" s="8"/>
      <c r="B8" s="8"/>
      <c r="C8" s="45" t="s">
        <v>34</v>
      </c>
      <c r="D8" s="50">
        <v>-1000.0</v>
      </c>
      <c r="E8" s="45" t="s">
        <v>36</v>
      </c>
      <c r="F8" s="45" t="s">
        <v>67</v>
      </c>
      <c r="G8" s="48">
        <v>60.0</v>
      </c>
      <c r="H8" s="8"/>
      <c r="I8" s="8"/>
      <c r="J8" s="8"/>
      <c r="K8" s="8"/>
      <c r="L8" s="8"/>
      <c r="M8" s="8"/>
      <c r="N8" s="8"/>
      <c r="O8" s="8"/>
      <c r="S8" s="45" t="s">
        <v>38</v>
      </c>
      <c r="T8" s="45" t="s">
        <v>58</v>
      </c>
      <c r="AN8" s="45" t="s">
        <v>43</v>
      </c>
      <c r="BR8" s="45" t="s">
        <v>59</v>
      </c>
    </row>
    <row r="9" ht="15.75" customHeight="1">
      <c r="A9" s="8"/>
      <c r="B9" s="8"/>
      <c r="C9" s="45" t="s">
        <v>34</v>
      </c>
      <c r="D9" s="48">
        <v>-100.0</v>
      </c>
      <c r="E9" s="45" t="s">
        <v>36</v>
      </c>
      <c r="F9" s="45" t="s">
        <v>67</v>
      </c>
      <c r="G9" s="48">
        <v>60.0</v>
      </c>
      <c r="H9" s="8"/>
      <c r="I9" s="8"/>
      <c r="J9" s="8"/>
      <c r="K9" s="8"/>
      <c r="L9" s="8"/>
      <c r="M9" s="8"/>
      <c r="N9" s="8"/>
      <c r="O9" s="8"/>
      <c r="S9" s="45" t="s">
        <v>60</v>
      </c>
      <c r="T9" s="45" t="s">
        <v>58</v>
      </c>
      <c r="AN9" s="45" t="s">
        <v>63</v>
      </c>
      <c r="BR9" s="45" t="s">
        <v>59</v>
      </c>
    </row>
    <row r="10" ht="15.75" customHeight="1">
      <c r="A10" s="8"/>
      <c r="B10" s="8"/>
      <c r="C10" s="45" t="s">
        <v>34</v>
      </c>
      <c r="D10" s="48">
        <v>-900.0</v>
      </c>
      <c r="E10" s="45" t="s">
        <v>36</v>
      </c>
      <c r="F10" s="45" t="s">
        <v>67</v>
      </c>
      <c r="G10" s="48">
        <v>60.0</v>
      </c>
      <c r="H10" s="8"/>
      <c r="I10" s="8"/>
      <c r="J10" s="8"/>
      <c r="K10" s="8"/>
      <c r="L10" s="8"/>
      <c r="M10" s="8"/>
      <c r="N10" s="8"/>
      <c r="O10" s="8"/>
      <c r="S10" s="45" t="s">
        <v>60</v>
      </c>
      <c r="T10" s="45" t="s">
        <v>58</v>
      </c>
      <c r="AN10" s="45" t="s">
        <v>43</v>
      </c>
      <c r="BR10" s="45" t="s">
        <v>59</v>
      </c>
    </row>
    <row r="11" ht="15.75" customHeight="1">
      <c r="A11" s="8"/>
      <c r="B11" s="8"/>
      <c r="C11" s="45" t="s">
        <v>39</v>
      </c>
      <c r="D11" s="50">
        <v>1100.0</v>
      </c>
      <c r="E11" s="45" t="s">
        <v>40</v>
      </c>
      <c r="F11" s="45" t="s">
        <v>68</v>
      </c>
      <c r="G11" s="48">
        <v>1.0</v>
      </c>
      <c r="H11" s="8"/>
      <c r="I11" s="8"/>
      <c r="J11" s="8"/>
      <c r="K11" s="8"/>
      <c r="L11" s="8"/>
      <c r="M11" s="8"/>
      <c r="N11" s="8"/>
      <c r="O11" s="8"/>
      <c r="S11" s="45" t="s">
        <v>60</v>
      </c>
      <c r="T11" s="45" t="s">
        <v>58</v>
      </c>
      <c r="AN11" s="45" t="s">
        <v>35</v>
      </c>
      <c r="BR11" s="45" t="s">
        <v>59</v>
      </c>
    </row>
    <row r="12" ht="15.75" customHeight="1">
      <c r="A12" s="8"/>
      <c r="B12" s="8"/>
      <c r="C12" s="45" t="s">
        <v>39</v>
      </c>
      <c r="D12" s="50">
        <v>1000.0</v>
      </c>
      <c r="E12" s="45" t="s">
        <v>40</v>
      </c>
      <c r="F12" s="45" t="s">
        <v>68</v>
      </c>
      <c r="G12" s="48">
        <v>60.0</v>
      </c>
      <c r="H12" s="8"/>
      <c r="I12" s="8"/>
      <c r="J12" s="8"/>
      <c r="K12" s="8"/>
      <c r="L12" s="8"/>
      <c r="M12" s="8"/>
      <c r="N12" s="8"/>
      <c r="O12" s="8"/>
      <c r="S12" s="45" t="s">
        <v>60</v>
      </c>
      <c r="T12" s="45" t="s">
        <v>58</v>
      </c>
      <c r="AN12" s="45" t="s">
        <v>35</v>
      </c>
      <c r="BR12" s="45" t="s">
        <v>59</v>
      </c>
    </row>
    <row r="13" ht="15.75" customHeight="1">
      <c r="A13" s="8"/>
      <c r="B13" s="8"/>
      <c r="C13" s="45" t="s">
        <v>39</v>
      </c>
      <c r="D13" s="50">
        <v>1000.0</v>
      </c>
      <c r="E13" s="45" t="s">
        <v>40</v>
      </c>
      <c r="F13" s="45" t="s">
        <v>68</v>
      </c>
      <c r="G13" s="48">
        <v>60.0</v>
      </c>
      <c r="H13" s="8"/>
      <c r="I13" s="8"/>
      <c r="J13" s="8"/>
      <c r="K13" s="8"/>
      <c r="L13" s="8"/>
      <c r="M13" s="8"/>
      <c r="N13" s="8"/>
      <c r="O13" s="8"/>
      <c r="S13" s="45" t="s">
        <v>60</v>
      </c>
      <c r="T13" s="45" t="s">
        <v>58</v>
      </c>
      <c r="AN13" s="45" t="s">
        <v>35</v>
      </c>
      <c r="BR13" s="45" t="s">
        <v>59</v>
      </c>
    </row>
    <row r="14" ht="15.75" customHeight="1">
      <c r="A14" s="8"/>
      <c r="B14" s="8"/>
      <c r="C14" s="45" t="s">
        <v>39</v>
      </c>
      <c r="D14" s="50">
        <v>1000.0</v>
      </c>
      <c r="E14" s="45" t="s">
        <v>40</v>
      </c>
      <c r="F14" s="45" t="s">
        <v>68</v>
      </c>
      <c r="G14" s="48">
        <v>60.0</v>
      </c>
      <c r="H14" s="8"/>
      <c r="I14" s="8"/>
      <c r="J14" s="8"/>
      <c r="K14" s="8"/>
      <c r="L14" s="8"/>
      <c r="M14" s="8"/>
      <c r="N14" s="8"/>
      <c r="O14" s="8"/>
      <c r="S14" s="45" t="s">
        <v>60</v>
      </c>
      <c r="T14" s="45" t="s">
        <v>58</v>
      </c>
      <c r="AN14" s="45" t="s">
        <v>35</v>
      </c>
      <c r="BR14" s="45" t="s">
        <v>59</v>
      </c>
    </row>
    <row r="15" ht="15.75" customHeight="1">
      <c r="A15" s="8"/>
      <c r="B15" s="8"/>
      <c r="C15" s="45" t="s">
        <v>45</v>
      </c>
      <c r="D15" s="50">
        <v>-1100.0</v>
      </c>
      <c r="E15" s="45" t="s">
        <v>46</v>
      </c>
      <c r="F15" s="45" t="s">
        <v>69</v>
      </c>
      <c r="G15" s="48">
        <v>1.0</v>
      </c>
      <c r="H15" s="8"/>
      <c r="I15" s="8"/>
      <c r="J15" s="8"/>
      <c r="K15" s="8"/>
      <c r="L15" s="8"/>
      <c r="M15" s="8"/>
      <c r="N15" s="8"/>
      <c r="O15" s="8"/>
      <c r="S15" s="45" t="s">
        <v>60</v>
      </c>
      <c r="T15" s="45" t="s">
        <v>58</v>
      </c>
      <c r="AN15" s="45" t="s">
        <v>43</v>
      </c>
      <c r="BR15" s="45" t="s">
        <v>59</v>
      </c>
    </row>
    <row r="16" ht="15.75" customHeight="1">
      <c r="A16" s="8"/>
      <c r="B16" s="8"/>
      <c r="C16" s="45" t="s">
        <v>45</v>
      </c>
      <c r="D16" s="50">
        <v>1000.0</v>
      </c>
      <c r="E16" s="45" t="s">
        <v>46</v>
      </c>
      <c r="F16" s="45" t="s">
        <v>69</v>
      </c>
      <c r="G16" s="48">
        <v>60.0</v>
      </c>
      <c r="H16" s="8"/>
      <c r="I16" s="8"/>
      <c r="J16" s="8"/>
      <c r="K16" s="8"/>
      <c r="L16" s="8"/>
      <c r="M16" s="8"/>
      <c r="N16" s="8"/>
      <c r="O16" s="8"/>
      <c r="S16" s="45" t="s">
        <v>60</v>
      </c>
      <c r="T16" s="45" t="s">
        <v>58</v>
      </c>
      <c r="AN16" s="45" t="s">
        <v>64</v>
      </c>
      <c r="BR16" s="45" t="s">
        <v>59</v>
      </c>
    </row>
    <row r="17" ht="15.75" customHeight="1">
      <c r="A17" s="8"/>
      <c r="B17" s="8"/>
      <c r="C17" s="45" t="s">
        <v>45</v>
      </c>
      <c r="D17" s="50">
        <v>1000.0</v>
      </c>
      <c r="E17" s="45" t="s">
        <v>46</v>
      </c>
      <c r="F17" s="45" t="s">
        <v>69</v>
      </c>
      <c r="G17" s="48">
        <v>60.0</v>
      </c>
      <c r="H17" s="8"/>
      <c r="I17" s="8"/>
      <c r="J17" s="8"/>
      <c r="K17" s="8"/>
      <c r="L17" s="8"/>
      <c r="M17" s="8"/>
      <c r="N17" s="8"/>
      <c r="O17" s="8"/>
      <c r="S17" s="45" t="s">
        <v>60</v>
      </c>
      <c r="T17" s="45" t="s">
        <v>58</v>
      </c>
      <c r="AN17" s="45" t="s">
        <v>35</v>
      </c>
      <c r="BR17" s="45" t="s">
        <v>59</v>
      </c>
    </row>
    <row r="18" ht="15.75" customHeight="1">
      <c r="A18" s="8"/>
      <c r="B18" s="8"/>
      <c r="C18" s="45" t="s">
        <v>45</v>
      </c>
      <c r="D18" s="48">
        <v>100.0</v>
      </c>
      <c r="E18" s="45" t="s">
        <v>46</v>
      </c>
      <c r="F18" s="45" t="s">
        <v>69</v>
      </c>
      <c r="G18" s="48">
        <v>60.0</v>
      </c>
      <c r="H18" s="8"/>
      <c r="I18" s="8"/>
      <c r="J18" s="8"/>
      <c r="K18" s="8"/>
      <c r="L18" s="8"/>
      <c r="M18" s="8"/>
      <c r="N18" s="8"/>
      <c r="O18" s="8"/>
      <c r="S18" s="45" t="s">
        <v>60</v>
      </c>
      <c r="T18" s="45" t="s">
        <v>58</v>
      </c>
      <c r="AN18" s="45" t="s">
        <v>64</v>
      </c>
      <c r="BR18" s="45" t="s">
        <v>59</v>
      </c>
    </row>
    <row r="19" ht="15.75" customHeight="1">
      <c r="A19" s="8"/>
      <c r="B19" s="8"/>
      <c r="C19" s="45" t="s">
        <v>45</v>
      </c>
      <c r="D19" s="48">
        <v>900.0</v>
      </c>
      <c r="E19" s="45" t="s">
        <v>46</v>
      </c>
      <c r="F19" s="45" t="s">
        <v>69</v>
      </c>
      <c r="G19" s="48">
        <v>60.0</v>
      </c>
      <c r="H19" s="8"/>
      <c r="I19" s="8"/>
      <c r="J19" s="8"/>
      <c r="K19" s="8"/>
      <c r="L19" s="8"/>
      <c r="M19" s="8"/>
      <c r="N19" s="8"/>
      <c r="O19" s="8"/>
      <c r="S19" s="45" t="s">
        <v>60</v>
      </c>
      <c r="T19" s="45" t="s">
        <v>58</v>
      </c>
      <c r="AN19" s="45" t="s">
        <v>35</v>
      </c>
      <c r="BR19" s="45" t="s">
        <v>59</v>
      </c>
    </row>
    <row r="20" ht="15.75" customHeight="1">
      <c r="A20" s="8"/>
      <c r="B20" s="8"/>
      <c r="C20" s="45" t="s">
        <v>42</v>
      </c>
      <c r="D20" s="50">
        <v>-1000.0</v>
      </c>
      <c r="E20" s="45" t="s">
        <v>44</v>
      </c>
      <c r="F20" s="45" t="s">
        <v>70</v>
      </c>
      <c r="G20" s="48">
        <v>60.0</v>
      </c>
      <c r="H20" s="8"/>
      <c r="I20" s="8"/>
      <c r="J20" s="8"/>
      <c r="K20" s="8"/>
      <c r="L20" s="8"/>
      <c r="M20" s="8"/>
      <c r="N20" s="8"/>
      <c r="O20" s="8"/>
      <c r="S20" s="45" t="s">
        <v>60</v>
      </c>
      <c r="T20" s="45" t="s">
        <v>58</v>
      </c>
      <c r="AN20" s="45" t="s">
        <v>43</v>
      </c>
      <c r="BR20" s="45" t="s">
        <v>59</v>
      </c>
    </row>
    <row r="21" ht="15.75" customHeight="1">
      <c r="A21" s="8"/>
      <c r="B21" s="8"/>
      <c r="C21" s="45" t="s">
        <v>42</v>
      </c>
      <c r="D21" s="50">
        <v>-1000.0</v>
      </c>
      <c r="E21" s="45" t="s">
        <v>44</v>
      </c>
      <c r="F21" s="45" t="s">
        <v>70</v>
      </c>
      <c r="G21" s="48">
        <v>50.0</v>
      </c>
      <c r="H21" s="8"/>
      <c r="I21" s="8"/>
      <c r="J21" s="8"/>
      <c r="K21" s="8"/>
      <c r="L21" s="8"/>
      <c r="M21" s="8"/>
      <c r="N21" s="8"/>
      <c r="O21" s="8"/>
      <c r="S21" s="45" t="s">
        <v>60</v>
      </c>
      <c r="T21" s="45" t="s">
        <v>58</v>
      </c>
      <c r="AN21" s="45" t="s">
        <v>43</v>
      </c>
      <c r="BR21" s="45" t="s">
        <v>59</v>
      </c>
    </row>
    <row r="22" ht="15.75" customHeight="1">
      <c r="A22" s="8"/>
      <c r="B22" s="8"/>
      <c r="C22" s="45" t="s">
        <v>42</v>
      </c>
      <c r="D22" s="50">
        <v>-1000.0</v>
      </c>
      <c r="E22" s="45" t="s">
        <v>44</v>
      </c>
      <c r="F22" s="45" t="s">
        <v>70</v>
      </c>
      <c r="G22" s="48">
        <v>60.0</v>
      </c>
      <c r="H22" s="8"/>
      <c r="I22" s="8"/>
      <c r="J22" s="8"/>
      <c r="K22" s="8"/>
      <c r="L22" s="8"/>
      <c r="M22" s="8"/>
      <c r="N22" s="8"/>
      <c r="O22" s="8"/>
      <c r="S22" s="45" t="s">
        <v>60</v>
      </c>
      <c r="T22" s="45" t="s">
        <v>58</v>
      </c>
      <c r="AN22" s="45" t="s">
        <v>43</v>
      </c>
      <c r="BR22" s="45" t="s">
        <v>59</v>
      </c>
    </row>
    <row r="23" ht="15.75" customHeight="1">
      <c r="A23" s="8"/>
      <c r="B23" s="8"/>
      <c r="C23" s="45" t="s">
        <v>42</v>
      </c>
      <c r="D23" s="50">
        <v>-1100.0</v>
      </c>
      <c r="E23" s="45" t="s">
        <v>44</v>
      </c>
      <c r="F23" s="45" t="s">
        <v>70</v>
      </c>
      <c r="G23" s="48">
        <v>1.0</v>
      </c>
      <c r="H23" s="8"/>
      <c r="I23" s="8"/>
      <c r="J23" s="8"/>
      <c r="K23" s="8"/>
      <c r="L23" s="8"/>
      <c r="M23" s="8"/>
      <c r="N23" s="8"/>
      <c r="O23" s="8"/>
      <c r="S23" s="45" t="s">
        <v>60</v>
      </c>
      <c r="T23" s="45" t="s">
        <v>58</v>
      </c>
      <c r="AN23" s="45" t="s">
        <v>43</v>
      </c>
      <c r="BR23" s="45" t="s">
        <v>59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