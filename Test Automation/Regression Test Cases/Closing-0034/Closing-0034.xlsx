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Expire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UnWindTradeSettlement" sheetId="12" r:id="rId14"/>
  </sheets>
  <definedNames/>
  <calcPr/>
</workbook>
</file>

<file path=xl/sharedStrings.xml><?xml version="1.0" encoding="utf-8"?>
<sst xmlns="http://schemas.openxmlformats.org/spreadsheetml/2006/main" count="105" uniqueCount="37">
  <si>
    <t>Settings</t>
  </si>
  <si>
    <t>Modules Info</t>
  </si>
  <si>
    <t>Master Data Info</t>
  </si>
  <si>
    <t>Module</t>
  </si>
  <si>
    <t>Module Step Setting File</t>
  </si>
  <si>
    <t>Step</t>
  </si>
  <si>
    <t>1eFq-0rBBBruaRgYp8Plf3EAV1IQUFSYg9ee_wKGGGko</t>
  </si>
  <si>
    <t>Master Data Sheet</t>
  </si>
  <si>
    <t>Master Data Settings File</t>
  </si>
  <si>
    <t>1Nt_rf5DtgjbN9Ag4AMMlUkZYROxKZLH5m54YOl7tRT0</t>
  </si>
  <si>
    <t>Modules</t>
  </si>
  <si>
    <t>Data</t>
  </si>
  <si>
    <t>TradingTicket</t>
  </si>
  <si>
    <t>CreateDoneAwayOrder</t>
  </si>
  <si>
    <t>Data Format</t>
  </si>
  <si>
    <t>Input Format</t>
  </si>
  <si>
    <t>USD/JPY 01/01/2016</t>
  </si>
  <si>
    <t>Buy</t>
  </si>
  <si>
    <t>Allocation1</t>
  </si>
  <si>
    <t>Closing</t>
  </si>
  <si>
    <t>GetDataClosing</t>
  </si>
  <si>
    <t>Current</t>
  </si>
  <si>
    <t>VerifyLongPositionsGrid</t>
  </si>
  <si>
    <t>SelectTradeUnexpiredUnsettled</t>
  </si>
  <si>
    <t>FXForward</t>
  </si>
  <si>
    <t>Expire</t>
  </si>
  <si>
    <t>VerifyExpiredSettledGrid</t>
  </si>
  <si>
    <t>NONE</t>
  </si>
  <si>
    <t>Long</t>
  </si>
  <si>
    <t>Allocation</t>
  </si>
  <si>
    <t>GetDataAllocation</t>
  </si>
  <si>
    <t>Currrent</t>
  </si>
  <si>
    <t>CheckAllocatedGroups</t>
  </si>
  <si>
    <t>Closed</t>
  </si>
  <si>
    <t xml:space="preserve">Buy </t>
  </si>
  <si>
    <t>Sell</t>
  </si>
  <si>
    <t>UnWindTradeSettlement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</si>
</sst>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4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5" fillId="0" fontId="5" numFmtId="0" xfId="0" applyAlignment="1" applyBorder="1" applyFont="1">
      <alignment vertical="bottom"/>
    </xf>
    <xf borderId="0" fillId="6" fontId="13" numFmtId="0" xfId="0" applyAlignment="1" applyFill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vertical="bottom"/>
    </xf>
    <xf borderId="5" fillId="0" fontId="4" numFmtId="14" xfId="0" applyAlignment="1" applyBorder="1" applyFont="1" applyNumberFormat="1">
      <alignment vertical="bottom"/>
    </xf>
    <xf borderId="5" fillId="0" fontId="4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4" numFmtId="14" xfId="0" applyAlignment="1" applyFont="1" applyNumberFormat="1">
      <alignment vertical="bottom"/>
    </xf>
    <xf borderId="5" fillId="0" fontId="4" numFmtId="164" xfId="0" applyAlignment="1" applyBorder="1" applyFont="1" applyNumberFormat="1">
      <alignment vertical="bottom"/>
    </xf>
    <xf borderId="0" fillId="0" fontId="4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10</v>
      </c>
      <c r="B3" s="13"/>
      <c r="C3" s="15"/>
      <c r="D3" s="15"/>
      <c r="E3" s="15"/>
      <c r="F3" s="15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1" t="s">
        <v>6</v>
      </c>
      <c r="C3" s="7"/>
    </row>
    <row r="4" ht="15.75" customHeight="1">
      <c r="A4" s="8" t="s">
        <v>8</v>
      </c>
      <c r="B4" s="11" t="s">
        <v>9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5</v>
      </c>
      <c r="C3" s="10" t="s">
        <v>7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13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1" t="s">
        <v>17</v>
      </c>
      <c r="D6" s="32">
        <v>1050.0</v>
      </c>
      <c r="E6" s="33"/>
      <c r="F6" s="31" t="s">
        <v>18</v>
      </c>
      <c r="G6" s="33"/>
      <c r="H6" s="33"/>
      <c r="I6" s="33"/>
      <c r="J6" s="34">
        <v>36.0</v>
      </c>
      <c r="K6" s="33"/>
      <c r="L6" s="33"/>
      <c r="M6" s="33"/>
      <c r="N6" s="35">
        <f>TODAY()</f>
        <v>43634</v>
      </c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20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21</v>
      </c>
      <c r="C6" s="7"/>
      <c r="D6" s="11"/>
      <c r="E6" s="3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22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8" t="s">
        <v>18</v>
      </c>
      <c r="C6" s="33"/>
      <c r="D6" s="38"/>
      <c r="E6" s="33"/>
      <c r="F6" s="33"/>
      <c r="G6" s="33"/>
      <c r="H6" s="33"/>
      <c r="I6" s="34">
        <v>36.0</v>
      </c>
      <c r="J6" s="33"/>
      <c r="K6" s="33"/>
      <c r="L6" s="33"/>
      <c r="M6" s="34">
        <v>1050.0</v>
      </c>
      <c r="N6" s="33"/>
      <c r="O6" s="33"/>
      <c r="P6" s="36" t="s">
        <v>17</v>
      </c>
      <c r="Q6" s="36"/>
      <c r="R6" s="39" t="s">
        <v>16</v>
      </c>
      <c r="S6" s="33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23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1" t="s">
        <v>18</v>
      </c>
      <c r="C6" s="33"/>
      <c r="D6" s="38"/>
      <c r="E6" s="42" t="s">
        <v>24</v>
      </c>
      <c r="F6" s="33"/>
      <c r="G6" s="33"/>
      <c r="H6" s="33"/>
      <c r="I6" s="34">
        <v>36.0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1050.0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4" t="s">
        <v>16</v>
      </c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25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IFERROR(__xludf.DUMMYFUNCTION("""COMPUTED_VALUE"""),"AUECID")</f>
        <v>AUECID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IFERROR(__xludf.DUMMYFUNCTION("""COMPUTED_VALUE"""),"Symbol")</f>
        <v>Symbol</v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8"/>
      <c r="C6" s="33"/>
      <c r="D6" s="38"/>
      <c r="E6" s="33"/>
      <c r="F6" s="33"/>
      <c r="G6" s="33"/>
      <c r="H6" s="33"/>
      <c r="I6" s="33"/>
      <c r="J6" s="33"/>
      <c r="K6" s="33"/>
      <c r="L6" s="33"/>
      <c r="M6" s="33"/>
      <c r="N6" s="33"/>
      <c r="O6" s="35">
        <f>TODAY()</f>
        <v>43634</v>
      </c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Expire!$4:$4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26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1" t="s">
        <v>18</v>
      </c>
      <c r="C6" s="30" t="s">
        <v>24</v>
      </c>
      <c r="D6" s="38"/>
      <c r="E6" s="35">
        <f>TODAY()</f>
        <v>43634</v>
      </c>
      <c r="F6" s="34">
        <v>0.0</v>
      </c>
      <c r="G6" s="34">
        <v>1050.0</v>
      </c>
      <c r="H6" s="31" t="s">
        <v>27</v>
      </c>
      <c r="I6" s="33"/>
      <c r="J6" s="31"/>
      <c r="K6" s="33"/>
      <c r="L6" s="33"/>
      <c r="M6" s="33"/>
      <c r="N6" s="33"/>
      <c r="O6" s="33"/>
      <c r="P6" s="33"/>
      <c r="Q6" s="33"/>
      <c r="R6" s="33"/>
      <c r="S6" s="33"/>
      <c r="T6" s="36"/>
      <c r="U6" s="45">
        <f>TODAY()</f>
        <v>43634</v>
      </c>
      <c r="V6" s="36"/>
      <c r="W6" s="36" t="s">
        <v>28</v>
      </c>
      <c r="X6" s="36"/>
      <c r="Y6" s="36"/>
      <c r="Z6" s="36" t="s">
        <v>17</v>
      </c>
      <c r="AA6" s="36"/>
      <c r="AB6" s="44" t="s">
        <v>16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29</v>
      </c>
      <c r="D3" s="9" t="s">
        <v>5</v>
      </c>
      <c r="E3" s="21" t="s">
        <v>30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31</v>
      </c>
      <c r="C6" s="7"/>
      <c r="D6" s="11"/>
      <c r="E6" s="3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29</v>
      </c>
      <c r="D3" s="9" t="s">
        <v>5</v>
      </c>
      <c r="E3" s="21" t="s">
        <v>32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1" t="s">
        <v>18</v>
      </c>
      <c r="C6" s="33"/>
      <c r="D6" s="38"/>
      <c r="E6" s="34">
        <v>1050.0</v>
      </c>
      <c r="F6" s="33"/>
      <c r="G6" s="33"/>
      <c r="H6" s="33"/>
      <c r="I6" s="46"/>
      <c r="J6" s="33"/>
      <c r="K6" s="47"/>
      <c r="L6" s="47">
        <v>36.0</v>
      </c>
      <c r="M6" s="33"/>
      <c r="N6" s="33"/>
      <c r="O6" s="33"/>
      <c r="P6" s="33"/>
      <c r="Q6" s="33"/>
      <c r="R6" s="33"/>
      <c r="S6" s="36" t="s">
        <v>33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43">
        <v>1050.0</v>
      </c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3">
        <v>1050.0</v>
      </c>
      <c r="BK6" s="36"/>
      <c r="BL6" s="36"/>
      <c r="BN6" s="36"/>
      <c r="BO6" s="36" t="s">
        <v>34</v>
      </c>
      <c r="BP6" s="36"/>
      <c r="BQ6" s="36"/>
      <c r="BR6" s="36"/>
      <c r="BS6" s="36"/>
      <c r="BT6" s="44" t="s">
        <v>16</v>
      </c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</row>
    <row r="7" ht="15.75" customHeight="1">
      <c r="A7" s="36"/>
      <c r="B7" s="48" t="s">
        <v>18</v>
      </c>
      <c r="C7" s="36"/>
      <c r="D7" s="36"/>
      <c r="E7" s="49">
        <v>1050.0</v>
      </c>
      <c r="F7" s="36"/>
      <c r="G7" s="36"/>
      <c r="H7" s="36"/>
      <c r="I7" s="50"/>
      <c r="J7" s="36"/>
      <c r="K7" s="43"/>
      <c r="L7" s="43">
        <v>0.0</v>
      </c>
      <c r="M7" s="36"/>
      <c r="N7" s="36"/>
      <c r="O7" s="36"/>
      <c r="P7" s="36"/>
      <c r="Q7" s="36"/>
      <c r="R7" s="36"/>
      <c r="S7" s="36" t="s">
        <v>33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43">
        <v>1050.0</v>
      </c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43">
        <v>1050.0</v>
      </c>
      <c r="BK7" s="36"/>
      <c r="BL7" s="36"/>
      <c r="BN7" s="36"/>
      <c r="BO7" s="36" t="s">
        <v>35</v>
      </c>
      <c r="BP7" s="36"/>
      <c r="BQ7" s="36"/>
      <c r="BR7" s="36"/>
      <c r="BS7" s="36"/>
      <c r="BT7" s="44" t="s">
        <v>16</v>
      </c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19</v>
      </c>
      <c r="D3" s="9" t="s">
        <v>5</v>
      </c>
      <c r="E3" s="21" t="s">
        <v>36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1" t="s">
        <v>18</v>
      </c>
      <c r="C6" s="30" t="s">
        <v>24</v>
      </c>
      <c r="D6" s="38"/>
      <c r="E6" s="51"/>
      <c r="F6" s="33"/>
      <c r="G6" s="34">
        <v>1050.0</v>
      </c>
      <c r="H6" s="31" t="s">
        <v>27</v>
      </c>
      <c r="I6" s="33"/>
      <c r="J6" s="31"/>
      <c r="K6" s="33"/>
      <c r="L6" s="33"/>
      <c r="M6" s="33"/>
      <c r="N6" s="33"/>
      <c r="O6" s="33"/>
      <c r="P6" s="33"/>
      <c r="Q6" s="33"/>
      <c r="R6" s="33"/>
      <c r="S6" s="33"/>
      <c r="T6" s="52"/>
      <c r="U6" s="36"/>
      <c r="V6" s="36" t="s">
        <v>28</v>
      </c>
      <c r="W6" s="36"/>
      <c r="X6" s="36"/>
      <c r="Y6" s="36" t="s">
        <v>17</v>
      </c>
      <c r="Z6" s="36"/>
      <c r="AA6" s="44" t="s">
        <v>16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