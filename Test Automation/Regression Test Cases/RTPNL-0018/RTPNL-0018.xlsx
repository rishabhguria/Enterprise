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OpenRTPNL" sheetId="6" r:id="rId8"/>
    <sheet state="visible" name="LinkDashboardTabs" sheetId="7" r:id="rId9"/>
    <sheet state="visible" name="SelectRowAtFLAggregation" sheetId="8" r:id="rId10"/>
    <sheet state="visible" name="CheckAccountLevelAggregation" sheetId="9" r:id="rId11"/>
    <sheet state="visible" name="CloseRTPNL" sheetId="10" r:id="rId12"/>
    <sheet state="visible" name="ExtractTabOutsidePMDashboard" sheetId="11" r:id="rId13"/>
    <sheet state="visible" name="CloseRTPNL1" sheetId="12" r:id="rId14"/>
    <sheet state="visible" name="LinkDashboardTabs1" sheetId="13" r:id="rId15"/>
    <sheet state="visible" name="SelectRowAtALAggregation" sheetId="14" r:id="rId16"/>
    <sheet state="visible" name="ExtractTabOutsidePMDashboard1" sheetId="15" r:id="rId17"/>
    <sheet state="visible" name="CloseRTPNL2" sheetId="16" r:id="rId18"/>
    <sheet state="visible" name="LinkDashboardTabs2" sheetId="17" r:id="rId19"/>
    <sheet state="visible" name="SelectRowAtSLAggregation" sheetId="18" r:id="rId20"/>
    <sheet state="visible" name="ExtractTabOutsidePMDashboard2" sheetId="19" r:id="rId21"/>
    <sheet state="visible" name="CloseRTPNL3" sheetId="20" r:id="rId22"/>
    <sheet state="visible" name="LinkDashboardTabs3" sheetId="21" r:id="rId23"/>
    <sheet state="visible" name="ExtractTabOutsidePMDashboard3" sheetId="22" r:id="rId24"/>
    <sheet state="visible" name="CloseRTPNL4" sheetId="23" r:id="rId25"/>
    <sheet state="visible" name="LinkDashboardTabs4" sheetId="24" r:id="rId26"/>
    <sheet state="visible" name="ExtractTabOutsidePMDashboard4" sheetId="25" r:id="rId27"/>
    <sheet state="visible" name="CloseRTPNL5" sheetId="26" r:id="rId28"/>
  </sheets>
  <definedNames/>
  <calcPr/>
</workbook>
</file>

<file path=xl/sharedStrings.xml><?xml version="1.0" encoding="utf-8"?>
<sst xmlns="http://schemas.openxmlformats.org/spreadsheetml/2006/main" count="244" uniqueCount="49">
  <si>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</si>
  <si>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</si>
  <si>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</si>
  <si>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</si>
  <si>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</si>
  <si>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</si>
  <si>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</si>
  <si>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</si>
  <si>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</si>
  <si>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</si>
  <si>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</si>
  <si>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</si>
  <si>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</si>
  <si>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</si>
  <si>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</si>
  <si>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</si>
  <si>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</si>
  <si>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</si>
  <si>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MS</t>
  </si>
  <si>
    <t>Yes</t>
  </si>
  <si>
    <t>TSLA</t>
  </si>
  <si>
    <t>Allocation2</t>
  </si>
  <si>
    <t>PricingInput</t>
  </si>
  <si>
    <t>RTPNL</t>
  </si>
  <si>
    <t>OpenRTPNL</t>
  </si>
  <si>
    <t>Nirvana,PM</t>
  </si>
  <si>
    <t>SummaryDashboard</t>
  </si>
  <si>
    <t>LinkDashboardTabs</t>
  </si>
  <si>
    <t>FundLevelAggregation,AccountLevelAggregation</t>
  </si>
  <si>
    <t>yellow</t>
  </si>
  <si>
    <t>SelectRowAtFLAggregation</t>
  </si>
  <si>
    <t>NewMF</t>
  </si>
  <si>
    <t>CheckAccountLevelAggregation</t>
  </si>
  <si>
    <t>Allocation1</t>
  </si>
  <si>
    <t>NEGATIVE</t>
  </si>
  <si>
    <t>Account</t>
  </si>
  <si>
    <t>CloseRTPNL</t>
  </si>
  <si>
    <t>ExtractTabOutsidePMDashboard</t>
  </si>
  <si>
    <t>FundLevelAggregation</t>
  </si>
  <si>
    <t>Nirvana,PM_FundLevelAggregation</t>
  </si>
  <si>
    <t>AccountLevelAggregation,SymbolLevelAggregation</t>
  </si>
  <si>
    <t>green</t>
  </si>
  <si>
    <t>SelectRowAtALAggregation</t>
  </si>
  <si>
    <t>AccountLevelAggregation</t>
  </si>
  <si>
    <t>Nirvana,PM_AccountLevelAggregation</t>
  </si>
  <si>
    <t>SelectRowAtSLAggregation</t>
  </si>
  <si>
    <t>SymbolLevelAggregation</t>
  </si>
  <si>
    <t>Nirvana,PM_SymbolLevelAggregation</t>
  </si>
  <si>
    <t>FundLevelAggregation,SymbolLevelAggregation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</si>
</sst>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6" fontId="13" numFmtId="0" xfId="0" applyAlignment="1" applyFill="1" applyFont="1">
      <alignment vertical="bottom"/>
    </xf>
    <xf borderId="0" fillId="6" fontId="1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ataValidations>
    <dataValidation type="list" allowBlank="1" sqref="B3">
      <formula1>"OpenTTFromPST,EnterDetailsOnTT,ValidateSymbolTT,VerifyDataTT,SetUIPreferencesTT,SetBrokerWisePreferencesTT,VerifyComplianceOrder,TradeNewSub,CreateStageOrder,CreateReplaceOrder,SetGeneralPreference,CreateNewSubOrder,TradeBloomberg,ClickSymbolLookup,Verify"&amp;"TT,CreateLiveOrder,UpdateMasterFundOnTT,SetTTCompliancePreference,ImportSymbol,ExportSymbolFromRAList,CheckPendingNewOrderAlert,AddSymbolOnRAList,DeleteSymbolListFromRA,RemoveSymbolFromRAList,ToggleBlombergOnRA,CreateDoneAwayOrder,CreateComplianceOrder,Ad"&amp;"dOptionTrade,SendLiveBloomberg,ViewAllocation,CreateReplaceLiveOrder,CreateNewSubLiveOrder,VerifyBasketExport,VerifyCustomAllocationonTT,CustomOrderTT,CheckStepSheet,OptionTradingThroughSecurity,CreateTradeWithAlgoBroker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1000.0</v>
      </c>
      <c r="E6" s="34"/>
      <c r="F6" s="34"/>
      <c r="G6" s="32" t="s">
        <v>18</v>
      </c>
      <c r="H6" s="34"/>
      <c r="I6" s="34"/>
      <c r="J6" s="35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6" t="s">
        <v>19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20</v>
      </c>
      <c r="C7" s="32" t="s">
        <v>17</v>
      </c>
      <c r="D7" s="35">
        <v>1000.0</v>
      </c>
      <c r="E7" s="34"/>
      <c r="F7" s="32" t="s">
        <v>21</v>
      </c>
      <c r="G7" s="32" t="s">
        <v>18</v>
      </c>
      <c r="H7" s="34"/>
      <c r="I7" s="34"/>
      <c r="J7" s="35">
        <v>10.0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6" t="s">
        <v>19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20</v>
      </c>
      <c r="C6" s="35">
        <v>10.0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16</v>
      </c>
      <c r="C7" s="35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25</v>
      </c>
      <c r="C6" s="38" t="s">
        <v>26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33.0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IFERROR(__xludf.DUMMYFUNCTION("""COMPUTED_VALUE"""),"LinkingTabName")</f>
        <v>LinkingTabName</v>
      </c>
      <c r="D5" s="27" t="str">
        <f>IFERROR(__xludf.DUMMYFUNCTION("""COMPUTED_VALUE"""),"Color")</f>
        <v>Color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25</v>
      </c>
      <c r="C6" s="39" t="s">
        <v>28</v>
      </c>
      <c r="D6" s="31" t="s">
        <v>29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LinkDashboardTabs!$4:$4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IFERROR(__xludf.DUMMYFUNCTION("""COMPUTED_VALUE"""),"Fund")</f>
        <v>Fund</v>
      </c>
      <c r="C5" s="27" t="str">
        <f>IFERROR(__xludf.DUMMYFUNCTION("""COMPUTED_VALUE"""),"Market Value")</f>
        <v>Market Value</v>
      </c>
      <c r="D5" s="27" t="str">
        <f>IFERROR(__xludf.DUMMYFUNCTION("""COMPUTED_VALUE"""),"P&amp;L")</f>
        <v>P&amp;L</v>
      </c>
      <c r="E5" s="27" t="str">
        <f>IFERROR(__xludf.DUMMYFUNCTION("""COMPUTED_VALUE"""),"Day P&amp;L")</f>
        <v>Day P&amp;L</v>
      </c>
      <c r="F5" s="28" t="str">
        <f>IFERROR(__xludf.DUMMYFUNCTION("""COMPUTED_VALUE"""),"Exposure")</f>
        <v>Exposure</v>
      </c>
      <c r="G5" s="27" t="str">
        <f>IFERROR(__xludf.DUMMYFUNCTION("""COMPUTED_VALUE"""),"% Gain/Loss Day")</f>
        <v>% Gain/Loss Day</v>
      </c>
      <c r="H5" s="27" t="str">
        <f>IFERROR(__xludf.DUMMYFUNCTION("""COMPUTED_VALUE"""),"% Gain/Loss Cost")</f>
        <v>% Gain/Loss Cost</v>
      </c>
      <c r="I5" s="27" t="str">
        <f>IFERROR(__xludf.DUMMYFUNCTION("""COMPUTED_VALUE"""),"% Market Value")</f>
        <v>% Market Value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IFERROR(__xludf.DUMMYFUNCTION("""COMPUTED_VALUE"""),"Long Exposure")</f>
        <v>Long Exposure</v>
      </c>
      <c r="N5" s="27" t="str">
        <f>IFERROR(__xludf.DUMMYFUNCTION("""COMPUTED_VALUE"""),"% Long Exposure")</f>
        <v>% Long Exposure</v>
      </c>
      <c r="O5" s="27" t="str">
        <f>IFERROR(__xludf.DUMMYFUNCTION("""COMPUTED_VALUE"""),"Accruals")</f>
        <v>Accruals</v>
      </c>
      <c r="P5" s="27" t="str">
        <f>IFERROR(__xludf.DUMMYFUNCTION("""COMPUTED_VALUE"""),"Cash")</f>
        <v>Cash</v>
      </c>
      <c r="Q5" s="27" t="str">
        <f>IFERROR(__xludf.DUMMYFUNCTION("""COMPUTED_VALUE"""),"NAV")</f>
        <v>NAV</v>
      </c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SelectRowAtFLAggregation!$4:$4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IFERROR(__xludf.DUMMYFUNCTION("""COMPUTED_VALUE"""),"Fund")</f>
        <v>Fund</v>
      </c>
      <c r="D5" s="27" t="str">
        <f>IFERROR(__xludf.DUMMYFUNCTION("""COMPUTED_VALUE"""),"Market Value")</f>
        <v>Market Value</v>
      </c>
      <c r="E5" s="27" t="str">
        <f>IFERROR(__xludf.DUMMYFUNCTION("""COMPUTED_VALUE"""),"P&amp;L")</f>
        <v>P&amp;L</v>
      </c>
      <c r="F5" s="28" t="str">
        <f>IFERROR(__xludf.DUMMYFUNCTION("""COMPUTED_VALUE"""),"Day P&amp;L")</f>
        <v>Day P&amp;L</v>
      </c>
      <c r="G5" s="27" t="str">
        <f>IFERROR(__xludf.DUMMYFUNCTION("""COMPUTED_VALUE"""),"Exposure")</f>
        <v>Exposure</v>
      </c>
      <c r="H5" s="27" t="str">
        <f>IFERROR(__xludf.DUMMYFUNCTION("""COMPUTED_VALUE"""),"% Gain/Loss Day")</f>
        <v>% Gain/Loss Day</v>
      </c>
      <c r="I5" s="27" t="str">
        <f>IFERROR(__xludf.DUMMYFUNCTION("""COMPUTED_VALUE"""),"% Gain/Loss Cost")</f>
        <v>% Gain/Loss Cost</v>
      </c>
      <c r="J5" s="27" t="str">
        <f>IFERROR(__xludf.DUMMYFUNCTION("""COMPUTED_VALUE"""),"% Market Value")</f>
        <v>% Market Value</v>
      </c>
      <c r="K5" s="27" t="str">
        <f>IFERROR(__xludf.DUMMYFUNCTION("""COMPUTED_VALUE"""),"% Exposure")</f>
        <v>% Exposure</v>
      </c>
      <c r="L5" s="27" t="str">
        <f>IFERROR(__xludf.DUMMYFUNCTION("""COMPUTED_VALUE"""),"Short Exposure")</f>
        <v>Short Exposure</v>
      </c>
      <c r="M5" s="27" t="str">
        <f>IFERROR(__xludf.DUMMYFUNCTION("""COMPUTED_VALUE"""),"% Short Exposure")</f>
        <v>% Short Exposure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IFERROR(__xludf.DUMMYFUNCTION("""COMPUTED_VALUE"""),"Accruals")</f>
        <v>Accruals</v>
      </c>
      <c r="Q5" s="27" t="str">
        <f>IFERROR(__xludf.DUMMYFUNCTION("""COMPUTED_VALUE"""),"Cash")</f>
        <v>Cash</v>
      </c>
      <c r="R5" s="27" t="str">
        <f>IFERROR(__xludf.DUMMYFUNCTION("""COMPUTED_VALUE"""),"NAV")</f>
        <v>NAV</v>
      </c>
      <c r="S5" s="27" t="str">
        <f>IFERROR(__xludf.DUMMYFUNCTION("""COMPUTED_VALUE"""),"Testing Type")</f>
        <v>Testing Type</v>
      </c>
      <c r="T5" s="29" t="str">
        <f>IFERROR(__xludf.DUMMYFUNCTION("""COMPUTED_VALUE"""),"Testing Column")</f>
        <v>Testing Column</v>
      </c>
      <c r="U5" s="29" t="str">
        <f>IFERROR(__xludf.DUMMYFUNCTION("""COMPUTED_VALUE"""),"Testing Col Value")</f>
        <v>Testing Col Value</v>
      </c>
      <c r="V5" s="29" t="str">
        <f>IFERROR(__xludf.DUMMYFUNCTION("""COMPUTED_VALUE"""),"DuplicateCountOnUI")</f>
        <v>DuplicateCountOnUI</v>
      </c>
      <c r="W5" s="29" t="str">
        <f>IFERROR(__xludf.DUMMYFUNCTION("""COMPUTED_VALUE"""),"DuplicateRow")</f>
        <v>DuplicateRow</v>
      </c>
      <c r="X5" s="29" t="str">
        <f>IFERROR(__xludf.DUMMYFUNCTION("""COMPUTED_VALUE"""),"TabName")</f>
        <v>TabName</v>
      </c>
      <c r="Y5" s="29" t="str">
        <f>IFERROR(__xludf.DUMMYFUNCTION("""COMPUTED_VALUE"""),"GridDataWidgetName")</f>
        <v>GridDataWidgetName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33</v>
      </c>
      <c r="C6" s="32" t="s">
        <v>31</v>
      </c>
      <c r="D6" s="33">
        <v>10000.0</v>
      </c>
      <c r="E6" s="35">
        <v>0.0</v>
      </c>
      <c r="F6" s="35">
        <v>0.0</v>
      </c>
      <c r="G6" s="35">
        <v>10000.0</v>
      </c>
      <c r="H6" s="35">
        <v>0.0</v>
      </c>
      <c r="I6" s="35">
        <v>0.0</v>
      </c>
      <c r="J6" s="35">
        <v>0.0</v>
      </c>
      <c r="K6" s="35">
        <v>0.0</v>
      </c>
      <c r="L6" s="35">
        <v>0.0</v>
      </c>
      <c r="M6" s="35">
        <v>0.0</v>
      </c>
      <c r="N6" s="35">
        <v>10000.0</v>
      </c>
      <c r="O6" s="35">
        <v>0.0</v>
      </c>
      <c r="P6" s="40">
        <v>0.0</v>
      </c>
      <c r="Q6" s="40">
        <v>-10000.0</v>
      </c>
      <c r="R6" s="40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S7" s="9" t="s">
        <v>34</v>
      </c>
      <c r="T7" s="9" t="s">
        <v>35</v>
      </c>
      <c r="U7" s="9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CheckAccountLevelAggregation!$4:$4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25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IFERROR(__xludf.DUMMYFUNCTION("""COMPUTED_VALUE"""),"ExtractTabName")</f>
        <v>ExtractTabName</v>
      </c>
      <c r="D5" s="27" t="str">
        <f>IFERROR(__xludf.DUMMYFUNCTION("""COMPUTED_VALUE"""),"Color")</f>
        <v>Color</v>
      </c>
      <c r="E5" s="27" t="str">
        <f>IFERROR(__xludf.DUMMYFUNCTION("""COMPUTED_VALUE"""),"FetchDataAndVerifyBeforeAndAfterExtraction")</f>
        <v>FetchDataAndVerifyBeforeAndAfterExtraction</v>
      </c>
      <c r="F5" s="28" t="str">
        <f>IFERROR(__xludf.DUMMYFUNCTION("""COMPUTED_VALUE"""),"UnlinkBeforeVerify")</f>
        <v>UnlinkBeforeVerify</v>
      </c>
      <c r="G5" s="27" t="str">
        <f>IFERROR(__xludf.DUMMYFUNCTION("""COMPUTED_VALUE"""),"AfterExtractDashboardName")</f>
        <v>AfterExtractDashboardName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25</v>
      </c>
      <c r="C6" s="41" t="s">
        <v>38</v>
      </c>
      <c r="D6" s="36" t="s">
        <v>29</v>
      </c>
      <c r="E6" s="32" t="s">
        <v>19</v>
      </c>
      <c r="F6" s="34"/>
      <c r="G6" s="32" t="s">
        <v>39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ExtractTabOutsidePMDashboard!$4:$4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25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39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35.13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IFERROR(__xludf.DUMMYFUNCTION("""COMPUTED_VALUE"""),"LinkingTabName")</f>
        <v>LinkingTabName</v>
      </c>
      <c r="D5" s="27" t="str">
        <f>IFERROR(__xludf.DUMMYFUNCTION("""COMPUTED_VALUE"""),"Color")</f>
        <v>Color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25</v>
      </c>
      <c r="C6" s="32" t="s">
        <v>40</v>
      </c>
      <c r="D6" s="39" t="s">
        <v>41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LinkDashboardTabs1!$4:$4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IFERROR(__xludf.DUMMYFUNCTION("""COMPUTED_VALUE"""),"Fund")</f>
        <v>Fund</v>
      </c>
      <c r="D5" s="27" t="str">
        <f>IFERROR(__xludf.DUMMYFUNCTION("""COMPUTED_VALUE"""),"Market Value")</f>
        <v>Market Value</v>
      </c>
      <c r="E5" s="27" t="str">
        <f>IFERROR(__xludf.DUMMYFUNCTION("""COMPUTED_VALUE"""),"P&amp;L")</f>
        <v>P&amp;L</v>
      </c>
      <c r="F5" s="28" t="str">
        <f>IFERROR(__xludf.DUMMYFUNCTION("""COMPUTED_VALUE"""),"Day P&amp;L")</f>
        <v>Day P&amp;L</v>
      </c>
      <c r="G5" s="27" t="str">
        <f>IFERROR(__xludf.DUMMYFUNCTION("""COMPUTED_VALUE"""),"Exposure")</f>
        <v>Exposure</v>
      </c>
      <c r="H5" s="27" t="str">
        <f>IFERROR(__xludf.DUMMYFUNCTION("""COMPUTED_VALUE"""),"% Gain/Loss Day")</f>
        <v>% Gain/Loss Day</v>
      </c>
      <c r="I5" s="27" t="str">
        <f>IFERROR(__xludf.DUMMYFUNCTION("""COMPUTED_VALUE"""),"% Gain/Loss Cost")</f>
        <v>% Gain/Loss Cost</v>
      </c>
      <c r="J5" s="27" t="str">
        <f>IFERROR(__xludf.DUMMYFUNCTION("""COMPUTED_VALUE"""),"% Market Value")</f>
        <v>% Market Value</v>
      </c>
      <c r="K5" s="27" t="str">
        <f>IFERROR(__xludf.DUMMYFUNCTION("""COMPUTED_VALUE"""),"% Exposure")</f>
        <v>% Exposure</v>
      </c>
      <c r="L5" s="27" t="str">
        <f>IFERROR(__xludf.DUMMYFUNCTION("""COMPUTED_VALUE"""),"Short Exposure")</f>
        <v>Short Exposure</v>
      </c>
      <c r="M5" s="27" t="str">
        <f>IFERROR(__xludf.DUMMYFUNCTION("""COMPUTED_VALUE"""),"% Short Exposure")</f>
        <v>% Short Exposure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IFERROR(__xludf.DUMMYFUNCTION("""COMPUTED_VALUE"""),"Accruals")</f>
        <v>Accruals</v>
      </c>
      <c r="Q5" s="27" t="str">
        <f>IFERROR(__xludf.DUMMYFUNCTION("""COMPUTED_VALUE"""),"Cash")</f>
        <v>Cash</v>
      </c>
      <c r="R5" s="27" t="str">
        <f>IFERROR(__xludf.DUMMYFUNCTION("""COMPUTED_VALUE"""),"NAV")</f>
        <v>NAV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SelectRowAtALAggregation!$4:$4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IFERROR(__xludf.DUMMYFUNCTION("""COMPUTED_VALUE"""),"ExtractTabName")</f>
        <v>ExtractTabName</v>
      </c>
      <c r="D5" s="27" t="str">
        <f>IFERROR(__xludf.DUMMYFUNCTION("""COMPUTED_VALUE"""),"Color")</f>
        <v>Color</v>
      </c>
      <c r="E5" s="27" t="str">
        <f>IFERROR(__xludf.DUMMYFUNCTION("""COMPUTED_VALUE"""),"FetchDataAndVerifyBeforeAndAfterExtraction")</f>
        <v>FetchDataAndVerifyBeforeAndAfterExtraction</v>
      </c>
      <c r="F5" s="28" t="str">
        <f>IFERROR(__xludf.DUMMYFUNCTION("""COMPUTED_VALUE"""),"UnlinkBeforeVerify")</f>
        <v>UnlinkBeforeVerify</v>
      </c>
      <c r="G5" s="27" t="str">
        <f>IFERROR(__xludf.DUMMYFUNCTION("""COMPUTED_VALUE"""),"AfterExtractDashboardName")</f>
        <v>AfterExtractDashboardName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25</v>
      </c>
      <c r="C6" s="42" t="s">
        <v>43</v>
      </c>
      <c r="D6" s="36" t="s">
        <v>41</v>
      </c>
      <c r="E6" s="32" t="s">
        <v>19</v>
      </c>
      <c r="F6" s="34"/>
      <c r="G6" s="39" t="s">
        <v>44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ExtractTabOutsidePMDashboard1!$4:$4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25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44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CloseRTPNL2!$4:$4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35.13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IFERROR(__xludf.DUMMYFUNCTION("""COMPUTED_VALUE"""),"LinkingTabName")</f>
        <v>LinkingTabName</v>
      </c>
      <c r="D5" s="27" t="str">
        <f>IFERROR(__xludf.DUMMYFUNCTION("""COMPUTED_VALUE"""),"Color")</f>
        <v>Color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25</v>
      </c>
      <c r="C6" s="32" t="s">
        <v>40</v>
      </c>
      <c r="D6" s="39" t="s">
        <v>41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LinkDashboardTabs2!$4:$4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IFERROR(__xludf.DUMMYFUNCTION("""COMPUTED_VALUE"""),"Position")</f>
        <v>Position</v>
      </c>
      <c r="E5" s="27" t="str">
        <f>IFERROR(__xludf.DUMMYFUNCTION("""COMPUTED_VALUE"""),"Market Value")</f>
        <v>Market Value</v>
      </c>
      <c r="F5" s="28" t="str">
        <f>IFERROR(__xludf.DUMMYFUNCTION("""COMPUTED_VALUE"""),"Day P&amp;L")</f>
        <v>Day P&amp;L</v>
      </c>
      <c r="G5" s="27" t="str">
        <f>IFERROR(__xludf.DUMMYFUNCTION("""COMPUTED_VALUE"""),"Cost Basis P&amp;L")</f>
        <v>Cost Basis P&amp;L</v>
      </c>
      <c r="H5" s="27" t="str">
        <f>IFERROR(__xludf.DUMMYFUNCTION("""COMPUTED_VALUE"""),"Exposure")</f>
        <v>Exposure</v>
      </c>
      <c r="I5" s="27" t="str">
        <f>IFERROR(__xludf.DUMMYFUNCTION("""COMPUTED_VALUE"""),"% Gain/Loss Day")</f>
        <v>% Gain/Loss Day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IFERROR(__xludf.DUMMYFUNCTION("""COMPUTED_VALUE"""),"% Gain/Loss Cost")</f>
        <v>% Gain/Loss Cost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IFERROR(__xludf.DUMMYFUNCTION("""COMPUTED_VALUE"""),"% Net Market Value")</f>
        <v>% Net Market Value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SelectRowAtSLAggregation!$4:$4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IFERROR(__xludf.DUMMYFUNCTION("""COMPUTED_VALUE"""),"ExtractTabName")</f>
        <v>ExtractTabName</v>
      </c>
      <c r="D5" s="27" t="str">
        <f>IFERROR(__xludf.DUMMYFUNCTION("""COMPUTED_VALUE"""),"Color")</f>
        <v>Color</v>
      </c>
      <c r="E5" s="27" t="str">
        <f>IFERROR(__xludf.DUMMYFUNCTION("""COMPUTED_VALUE"""),"FetchDataAndVerifyBeforeAndAfterExtraction")</f>
        <v>FetchDataAndVerifyBeforeAndAfterExtraction</v>
      </c>
      <c r="F5" s="28" t="str">
        <f>IFERROR(__xludf.DUMMYFUNCTION("""COMPUTED_VALUE"""),"UnlinkBeforeVerify")</f>
        <v>UnlinkBeforeVerify</v>
      </c>
      <c r="G5" s="27" t="str">
        <f>IFERROR(__xludf.DUMMYFUNCTION("""COMPUTED_VALUE"""),"AfterExtractDashboardName")</f>
        <v>AfterExtractDashboardName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25</v>
      </c>
      <c r="C6" s="42" t="s">
        <v>46</v>
      </c>
      <c r="D6" s="36" t="s">
        <v>41</v>
      </c>
      <c r="E6" s="32" t="s">
        <v>19</v>
      </c>
      <c r="F6" s="34"/>
      <c r="G6" s="39" t="s">
        <v>47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ExtractTabOutsidePMDashboard2!$4:$4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6.38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25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47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33.0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IFERROR(__xludf.DUMMYFUNCTION("""COMPUTED_VALUE"""),"LinkingTabName")</f>
        <v>LinkingTabName</v>
      </c>
      <c r="D5" s="27" t="str">
        <f>IFERROR(__xludf.DUMMYFUNCTION("""COMPUTED_VALUE"""),"Color")</f>
        <v>Color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25</v>
      </c>
      <c r="C6" s="32" t="s">
        <v>48</v>
      </c>
      <c r="D6" s="39" t="s">
        <v>41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LinkDashboardTabs3!$4:$4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IFERROR(__xludf.DUMMYFUNCTION("""COMPUTED_VALUE"""),"ExtractTabName")</f>
        <v>ExtractTabName</v>
      </c>
      <c r="D5" s="27" t="str">
        <f>IFERROR(__xludf.DUMMYFUNCTION("""COMPUTED_VALUE"""),"Color")</f>
        <v>Color</v>
      </c>
      <c r="E5" s="27" t="str">
        <f>IFERROR(__xludf.DUMMYFUNCTION("""COMPUTED_VALUE"""),"FetchDataAndVerifyBeforeAndAfterExtraction")</f>
        <v>FetchDataAndVerifyBeforeAndAfterExtraction</v>
      </c>
      <c r="F5" s="28" t="str">
        <f>IFERROR(__xludf.DUMMYFUNCTION("""COMPUTED_VALUE"""),"UnlinkBeforeVerify")</f>
        <v>UnlinkBeforeVerify</v>
      </c>
      <c r="G5" s="27" t="str">
        <f>IFERROR(__xludf.DUMMYFUNCTION("""COMPUTED_VALUE"""),"AfterExtractDashboardName")</f>
        <v>AfterExtractDashboardName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25</v>
      </c>
      <c r="C6" s="42" t="s">
        <v>46</v>
      </c>
      <c r="D6" s="36" t="s">
        <v>41</v>
      </c>
      <c r="E6" s="32" t="s">
        <v>19</v>
      </c>
      <c r="F6" s="34"/>
      <c r="G6" s="39" t="s">
        <v>47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ExtractTabOutsidePMDashboard3!$4:$4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25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47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CloseRTPNL4!$4:$4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33.0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IFERROR(__xludf.DUMMYFUNCTION("""COMPUTED_VALUE"""),"LinkingTabName")</f>
        <v>LinkingTabName</v>
      </c>
      <c r="D5" s="27" t="str">
        <f>IFERROR(__xludf.DUMMYFUNCTION("""COMPUTED_VALUE"""),"Color")</f>
        <v>Color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25</v>
      </c>
      <c r="C6" s="32" t="s">
        <v>48</v>
      </c>
      <c r="D6" s="39" t="s">
        <v>41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LinkDashboardTabs4!$4:$4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IFERROR(__xludf.DUMMYFUNCTION("""COMPUTED_VALUE"""),"ExtractTabName")</f>
        <v>ExtractTabName</v>
      </c>
      <c r="D5" s="27" t="str">
        <f>IFERROR(__xludf.DUMMYFUNCTION("""COMPUTED_VALUE"""),"Color")</f>
        <v>Color</v>
      </c>
      <c r="E5" s="27" t="str">
        <f>IFERROR(__xludf.DUMMYFUNCTION("""COMPUTED_VALUE"""),"FetchDataAndVerifyBeforeAndAfterExtraction")</f>
        <v>FetchDataAndVerifyBeforeAndAfterExtraction</v>
      </c>
      <c r="F5" s="28" t="str">
        <f>IFERROR(__xludf.DUMMYFUNCTION("""COMPUTED_VALUE"""),"UnlinkBeforeVerify")</f>
        <v>UnlinkBeforeVerify</v>
      </c>
      <c r="G5" s="27" t="str">
        <f>IFERROR(__xludf.DUMMYFUNCTION("""COMPUTED_VALUE"""),"AfterExtractDashboardName")</f>
        <v>AfterExtractDashboardName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25</v>
      </c>
      <c r="C6" s="41" t="s">
        <v>38</v>
      </c>
      <c r="D6" s="36" t="s">
        <v>41</v>
      </c>
      <c r="E6" s="32" t="s">
        <v>19</v>
      </c>
      <c r="F6" s="34"/>
      <c r="G6" s="32" t="s">
        <v>39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ExtractTabOutsidePMDashboard4!$4:$4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25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39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CloseRTPNL5!$4:$4</formula1>
    </dataValidation>
  </dataValidations>
  <drawing r:id="rId1"/>
</worksheet>
</file>