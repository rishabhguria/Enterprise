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SelectTradeOnOrderGrid" sheetId="6" r:id="rId8"/>
    <sheet state="visible" name="AllocateFromBlotter" sheetId="7" r:id="rId9"/>
    <sheet state="visible" name="CheckAllocatedGroups" sheetId="8" r:id="rId10"/>
    <sheet state="visible" name="CheckPortfolioManagement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<sst xmlns="http://schemas.openxmlformats.org/spreadsheetml/2006/main" count="93" uniqueCount="44">
  <si>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</si>
  <si>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</si>
  <si>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</si>
  <si>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</si>
  <si>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</si>
  <si>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</si>
  <si>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</si>
  <si>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</si>
  <si>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</si>
  <si>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</si>
  <si>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</si>
  <si>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</si>
  <si>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</si>
  <si>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</si>
  <si>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</si>
  <si>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</si>
  <si>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</si>
  <si>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AAPL</t>
  </si>
  <si>
    <t>Buy</t>
  </si>
  <si>
    <t>Unallocated</t>
  </si>
  <si>
    <t>Blotter</t>
  </si>
  <si>
    <t>SelectTradeOnOrderGrid</t>
  </si>
  <si>
    <t>PartiallyFilled</t>
  </si>
  <si>
    <t>MS</t>
  </si>
  <si>
    <t>Market</t>
  </si>
  <si>
    <t>AllocateFromBlotter</t>
  </si>
  <si>
    <t>Allocation1</t>
  </si>
  <si>
    <t>Allocation</t>
  </si>
  <si>
    <t>CheckAllocatedGroups</t>
  </si>
  <si>
    <t>AAPL US EQUITY</t>
  </si>
  <si>
    <t>APPLE</t>
  </si>
  <si>
    <t>USD</t>
  </si>
  <si>
    <t>NASDAQ</t>
  </si>
  <si>
    <t>M</t>
  </si>
  <si>
    <t>jpearce</t>
  </si>
  <si>
    <t>PortfolioManagement</t>
  </si>
  <si>
    <t>CheckPortfolioManagement</t>
  </si>
  <si>
    <t>NewMF</t>
  </si>
  <si>
    <t>Long</t>
  </si>
  <si>
    <t>Strategy Unallocated</t>
  </si>
  <si>
    <t>Equity</t>
  </si>
  <si>
    <t>US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</si>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</sst>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7000.0</v>
      </c>
      <c r="E6" s="31"/>
      <c r="F6" s="13" t="s">
        <v>19</v>
      </c>
      <c r="G6" s="8"/>
      <c r="H6" s="8"/>
      <c r="I6" s="8"/>
      <c r="J6" s="13">
        <v>1.0</v>
      </c>
      <c r="K6" s="8"/>
      <c r="L6" s="8"/>
      <c r="M6" s="8"/>
      <c r="N6" s="8"/>
      <c r="O6" s="8"/>
      <c r="AO6" s="9">
        <v>3500.0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31"/>
      <c r="F6" s="13" t="s">
        <v>18</v>
      </c>
      <c r="G6" s="13" t="s">
        <v>22</v>
      </c>
      <c r="H6" s="13">
        <v>7000.0</v>
      </c>
      <c r="I6" s="13">
        <v>3500.0</v>
      </c>
      <c r="J6" s="8"/>
      <c r="K6" s="8"/>
      <c r="L6" s="8"/>
      <c r="M6" s="8"/>
      <c r="N6" s="13">
        <v>1.0</v>
      </c>
      <c r="O6" s="8"/>
      <c r="P6" s="9">
        <v>1.0</v>
      </c>
      <c r="Q6" s="9" t="s">
        <v>23</v>
      </c>
      <c r="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13">
        <v>4.0</v>
      </c>
      <c r="I6" s="13">
        <v>5.0</v>
      </c>
      <c r="J6" s="8"/>
      <c r="K6" s="13">
        <v>1.0</v>
      </c>
      <c r="L6" s="13">
        <v>1.0</v>
      </c>
      <c r="M6" s="13" t="s">
        <v>29</v>
      </c>
      <c r="N6" s="8"/>
      <c r="O6" s="13" t="s">
        <v>23</v>
      </c>
      <c r="V6" s="9" t="s">
        <v>30</v>
      </c>
      <c r="Z6" s="9" t="s">
        <v>31</v>
      </c>
      <c r="AD6" s="9" t="s">
        <v>32</v>
      </c>
      <c r="AE6" s="9">
        <v>3500.0</v>
      </c>
      <c r="AH6" s="9" t="s">
        <v>33</v>
      </c>
      <c r="AI6" s="9">
        <v>1.0</v>
      </c>
      <c r="AT6" s="32">
        <v>3514.002</v>
      </c>
      <c r="AU6" s="32">
        <v>3514.002</v>
      </c>
      <c r="AY6" s="9" t="s">
        <v>24</v>
      </c>
      <c r="BE6" s="32">
        <v>3500.0</v>
      </c>
      <c r="BF6" s="32">
        <v>3500.0</v>
      </c>
      <c r="BJ6" s="9">
        <v>7000.0</v>
      </c>
      <c r="BO6" s="9" t="s">
        <v>18</v>
      </c>
      <c r="BT6" s="9" t="s">
        <v>17</v>
      </c>
      <c r="CN6" s="33" t="s">
        <v>34</v>
      </c>
      <c r="CO6" s="33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3" t="s">
        <v>17</v>
      </c>
      <c r="D6" s="34">
        <v>3500.0</v>
      </c>
      <c r="E6" s="33" t="s">
        <v>26</v>
      </c>
      <c r="F6" s="33" t="s">
        <v>37</v>
      </c>
      <c r="G6" s="8"/>
      <c r="H6" s="33" t="s">
        <v>38</v>
      </c>
      <c r="I6" s="8"/>
      <c r="J6" s="8"/>
      <c r="K6" s="8"/>
      <c r="L6" s="8"/>
      <c r="M6" s="8"/>
      <c r="N6" s="8"/>
      <c r="O6" s="8"/>
      <c r="S6" s="33" t="s">
        <v>39</v>
      </c>
      <c r="T6" s="33" t="s">
        <v>40</v>
      </c>
      <c r="U6" s="33" t="s">
        <v>41</v>
      </c>
      <c r="V6" s="33" t="s">
        <v>32</v>
      </c>
      <c r="W6" s="33" t="s">
        <v>31</v>
      </c>
      <c r="Y6" s="35">
        <v>1.0</v>
      </c>
      <c r="AN6" s="9" t="s">
        <v>18</v>
      </c>
      <c r="B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36">
        <f t="shared" ref="C6:D6" si="1">today()</f>
        <v>44991</v>
      </c>
      <c r="D6" s="36">
        <f t="shared" si="1"/>
        <v>44991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