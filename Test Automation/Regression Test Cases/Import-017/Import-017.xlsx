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GetOpeningBalanceData" sheetId="6" r:id="rId8"/>
    <sheet state="visible" name="GetNonTradingTransaction" sheetId="7" r:id="rId9"/>
    <sheet state="visible" name="VerifyNonTradingTransaction" sheetId="8" r:id="rId10"/>
  </sheets>
  <definedNames/>
  <calcPr/>
</workbook>
</file>

<file path=xl/sharedStrings.xml><?xml version="1.0" encoding="utf-8"?>
<sst xmlns="http://schemas.openxmlformats.org/spreadsheetml/2006/main" count="125" uniqueCount="86">
  <si>
    <t>Modules Info</t>
  </si>
  <si>
    <t>Modules</t>
  </si>
  <si>
    <t>Settings</t>
  </si>
  <si>
    <t>Module Step Setting File</t>
  </si>
  <si>
    <t>1vLk5rW8SFxSH5bygx9Tg_SjNszt9TcX1P-YckV_qAls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</si>
  <si>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</si>
  <si>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</si>
  <si>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</si>
  <si>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</si>
  <si>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</si>
  <si>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</si>
  <si>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</si>
  <si>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</si>
  <si>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</si>
  <si>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</si>
  <si>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</si>
  <si>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\\192.168.2.108\DistributedAutomation_Master\Import Cases\1_NegateFinalBalance.csv</t>
  </si>
  <si>
    <t>USB</t>
  </si>
  <si>
    <t>Double Entry Cash</t>
  </si>
  <si>
    <t>SelectAllOnImport</t>
  </si>
  <si>
    <t>GeneralLedger</t>
  </si>
  <si>
    <t>GetOpeningBalanceData</t>
  </si>
  <si>
    <t>1/1/1800</t>
  </si>
  <si>
    <t>GetNonTradingTransaction</t>
  </si>
  <si>
    <t>GetDataCash</t>
  </si>
  <si>
    <t>EnterCashDividends</t>
  </si>
  <si>
    <t>EnterNonTradingTransaction</t>
  </si>
  <si>
    <t>VerifyCash</t>
  </si>
  <si>
    <t>VerifyActivity</t>
  </si>
  <si>
    <t>VerifyTradingTransaction</t>
  </si>
  <si>
    <t>VerifyRevaluationData</t>
  </si>
  <si>
    <t>GetTradingTransaction</t>
  </si>
  <si>
    <t>GetActivityData</t>
  </si>
  <si>
    <t>GetRevaluationData</t>
  </si>
  <si>
    <t>GetAccountDetails</t>
  </si>
  <si>
    <t>GetDividendData</t>
  </si>
  <si>
    <t>VerifyNonTradingTransaction</t>
  </si>
  <si>
    <t>VerifyDividend</t>
  </si>
  <si>
    <t>GetAccountBalance</t>
  </si>
  <si>
    <t>SelectNonTradingTransaction</t>
  </si>
  <si>
    <t>SelectNonTradingTranItem</t>
  </si>
  <si>
    <t>DeleteNonTradingTransaction</t>
  </si>
  <si>
    <t>DeleteNonTradingTranItem</t>
  </si>
  <si>
    <t>AddNonTradingTransaction</t>
  </si>
  <si>
    <t>AddNonTradingTranItem</t>
  </si>
  <si>
    <t>VerifyOpeningBalanceData</t>
  </si>
  <si>
    <t>SelectOpeningBalanceTransaction</t>
  </si>
  <si>
    <t>SelectOpeningBalanceTranItem</t>
  </si>
  <si>
    <t>EditNonTradingTransaction</t>
  </si>
  <si>
    <t>EditNonTradingTranItem</t>
  </si>
  <si>
    <t>DeleteOpeningBalanceTransaction</t>
  </si>
  <si>
    <t>DeleteOpeningBalanceTranItem</t>
  </si>
  <si>
    <t>GetDayEndCash</t>
  </si>
  <si>
    <t>VerifyDayEndCash</t>
  </si>
  <si>
    <t>RunRevaluation</t>
  </si>
  <si>
    <t>CalculateDayEndCash</t>
  </si>
  <si>
    <t>GetCashTransaction</t>
  </si>
  <si>
    <t>SelectCashTransaction</t>
  </si>
  <si>
    <t>DeleteCashTransaction</t>
  </si>
  <si>
    <t>EditCashTransaction</t>
  </si>
  <si>
    <t>AddCashTransaction</t>
  </si>
  <si>
    <t>AddOpeningBalanceTransaction</t>
  </si>
  <si>
    <t>AddOpeningBalanceTranItem</t>
  </si>
  <si>
    <t>GetDailyCalculationsData</t>
  </si>
  <si>
    <t>CalculateDailyCalculations</t>
  </si>
  <si>
    <t>EditOpeningBalanceTransaction</t>
  </si>
  <si>
    <t>EditOpeningBalanceTranItem</t>
  </si>
  <si>
    <t>VerifyDailyCalTransactions</t>
  </si>
  <si>
    <t>CloseGeneralLedger</t>
  </si>
  <si>
    <t>VerifyAccountDetails</t>
  </si>
  <si>
    <t>SaveTransaction</t>
  </si>
  <si>
    <t>VerifyCashTransaction</t>
  </si>
  <si>
    <t>VerifyAccountBalances</t>
  </si>
  <si>
    <t>AddMultipleOpeningBalTranItem</t>
  </si>
  <si>
    <t>MasterFund</t>
  </si>
  <si>
    <t>Accounts</t>
  </si>
  <si>
    <t>From Date</t>
  </si>
  <si>
    <t>To Date</t>
  </si>
  <si>
    <t>USD</t>
  </si>
  <si>
    <t>Account - Payable [Liability]</t>
  </si>
  <si>
    <t>jpearce</t>
  </si>
  <si>
    <t>M</t>
  </si>
  <si>
    <t>DR</t>
  </si>
  <si>
    <t>Dummy</t>
  </si>
  <si>
    <t>Cash [Cash]</t>
  </si>
  <si>
    <t>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</si>
</sst>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  <font>
      <sz val="11.0"/>
      <color rgb="FF3C4043"/>
      <name val="Inconsolata"/>
    </font>
    <font>
      <sz val="9.0"/>
      <color rgb="FF000000"/>
      <name val="Arial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868686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14" xfId="0" applyAlignment="1" applyBorder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Alignment="1" applyFont="1">
      <alignment readingOrder="0"/>
    </xf>
    <xf borderId="0" fillId="6" fontId="13" numFmtId="164" xfId="0" applyAlignment="1" applyFill="1" applyFont="1" applyNumberFormat="1">
      <alignment readingOrder="0"/>
    </xf>
    <xf borderId="0" fillId="6" fontId="14" numFmtId="164" xfId="0" applyFont="1" applyNumberFormat="1"/>
    <xf borderId="5" fillId="7" fontId="15" numFmtId="164" xfId="0" applyAlignment="1" applyBorder="1" applyFill="1" applyFont="1" applyNumberFormat="1">
      <alignment horizontal="right" readingOrder="0" vertical="bottom"/>
    </xf>
    <xf borderId="6" fillId="7" fontId="16" numFmtId="0" xfId="0" applyAlignment="1" applyBorder="1" applyFont="1">
      <alignment horizontal="right" readingOrder="0" shrinkToFit="0" wrapText="0"/>
    </xf>
    <xf borderId="6" fillId="7" fontId="16" numFmtId="0" xfId="0" applyAlignment="1" applyBorder="1" applyFont="1">
      <alignment horizontal="right" shrinkToFit="0" wrapText="0"/>
    </xf>
    <xf borderId="6" fillId="7" fontId="15" numFmtId="0" xfId="0" applyAlignment="1" applyBorder="1" applyFont="1">
      <alignment horizontal="right" readingOrder="0" shrinkToFit="0" wrapText="0"/>
    </xf>
    <xf borderId="6" fillId="7" fontId="17" numFmtId="0" xfId="0" applyAlignment="1" applyBorder="1" applyFont="1">
      <alignment horizontal="right" readingOrder="0" shrinkToFit="0" wrapText="0"/>
    </xf>
    <xf borderId="5" fillId="7" fontId="17" numFmtId="0" xfId="0" applyAlignment="1" applyBorder="1" applyFont="1">
      <alignment horizontal="right" vertical="bottom"/>
    </xf>
    <xf borderId="5" fillId="7" fontId="16" numFmtId="0" xfId="0" applyAlignment="1" applyBorder="1" applyFont="1">
      <alignment horizontal="right" vertical="bottom"/>
    </xf>
    <xf borderId="5" fillId="7" fontId="15" numFmtId="0" xfId="0" applyAlignment="1" applyBorder="1" applyFont="1">
      <alignment horizontal="right" readingOrder="0" vertical="bottom"/>
    </xf>
    <xf borderId="0" fillId="7" fontId="15" numFmtId="164" xfId="0" applyAlignment="1" applyFont="1" applyNumberFormat="1">
      <alignment horizontal="right" readingOrder="0" vertical="bottom"/>
    </xf>
    <xf borderId="6" fillId="7" fontId="16" numFmtId="0" xfId="0" applyAlignment="1" applyBorder="1" applyFont="1">
      <alignment horizontal="right" shrinkToFit="0" wrapText="0"/>
    </xf>
    <xf borderId="6" fillId="8" fontId="16" numFmtId="0" xfId="0" applyAlignment="1" applyBorder="1" applyFill="1" applyFont="1">
      <alignment horizontal="right" readingOrder="0" shrinkToFit="0" wrapText="0"/>
    </xf>
    <xf borderId="6" fillId="8" fontId="18" numFmtId="0" xfId="0" applyAlignment="1" applyBorder="1" applyFont="1">
      <alignment horizontal="right" readingOrder="0" shrinkToFit="0" wrapText="0"/>
    </xf>
    <xf borderId="0" fillId="8" fontId="16" numFmtId="0" xfId="0" applyAlignment="1" applyFont="1">
      <alignment horizontal="right" vertical="bottom"/>
    </xf>
    <xf borderId="0" fillId="7" fontId="16" numFmtId="0" xfId="0" applyAlignment="1" applyFont="1">
      <alignment horizontal="right" vertical="bottom"/>
    </xf>
    <xf borderId="0" fillId="8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15</v>
      </c>
      <c r="C6" s="32" t="b">
        <v>0</v>
      </c>
      <c r="D6" s="33"/>
      <c r="E6" s="34" t="s">
        <v>16</v>
      </c>
      <c r="F6" s="35" t="s">
        <v>17</v>
      </c>
      <c r="G6" s="34" t="s">
        <v>18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IFERROR(__xludf.DUMMYFUNCTION("""COMPUTED_VALUE"""),"From")</f>
        <v>From</v>
      </c>
      <c r="E5" s="28" t="str">
        <f>IFERROR(__xludf.DUMMYFUNCTION("""COMPUTED_VALUE"""),"To")</f>
        <v>To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5" t="s">
        <v>15</v>
      </c>
      <c r="D6" s="38" t="s">
        <v>22</v>
      </c>
      <c r="E6" s="38">
        <f>today()</f>
        <v>45905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GetOpeningBalanceData!$4:$4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5" t="s">
        <v>11</v>
      </c>
      <c r="C1" s="39"/>
      <c r="D1" s="39"/>
      <c r="E1" s="39"/>
      <c r="F1" s="39"/>
      <c r="G1" s="39"/>
      <c r="H1" s="40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1" t="e">
        <v>#N/A</v>
      </c>
      <c r="K2" s="21"/>
      <c r="L2" s="8"/>
      <c r="M2" s="8"/>
      <c r="N2" s="8"/>
      <c r="O2" s="8"/>
    </row>
    <row r="3" ht="15.75" customHeight="1">
      <c r="A3" s="22"/>
      <c r="B3" s="12" t="s">
        <v>8</v>
      </c>
      <c r="C3" s="23" t="s">
        <v>20</v>
      </c>
      <c r="D3" s="12" t="s">
        <v>9</v>
      </c>
      <c r="E3" s="23" t="s">
        <v>23</v>
      </c>
      <c r="F3" s="12" t="s">
        <v>13</v>
      </c>
      <c r="G3" s="23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42" t="s">
        <v>24</v>
      </c>
      <c r="C4" s="42" t="s">
        <v>25</v>
      </c>
      <c r="D4" s="42" t="s">
        <v>26</v>
      </c>
      <c r="E4" s="42" t="s">
        <v>27</v>
      </c>
      <c r="F4" s="42" t="s">
        <v>28</v>
      </c>
      <c r="G4" s="42" t="s">
        <v>29</v>
      </c>
      <c r="H4" s="42" t="s">
        <v>30</v>
      </c>
      <c r="I4" s="42" t="s">
        <v>31</v>
      </c>
      <c r="J4" s="42" t="s">
        <v>32</v>
      </c>
      <c r="K4" s="42" t="s">
        <v>33</v>
      </c>
      <c r="L4" s="42" t="s">
        <v>34</v>
      </c>
      <c r="M4" s="42" t="s">
        <v>23</v>
      </c>
      <c r="N4" s="42" t="s">
        <v>35</v>
      </c>
      <c r="O4" s="42" t="s">
        <v>36</v>
      </c>
      <c r="P4" s="43" t="s">
        <v>37</v>
      </c>
      <c r="Q4" s="43" t="s">
        <v>21</v>
      </c>
      <c r="R4" s="43" t="s">
        <v>38</v>
      </c>
      <c r="S4" s="43" t="s">
        <v>39</v>
      </c>
      <c r="T4" s="43" t="s">
        <v>40</v>
      </c>
      <c r="U4" s="43" t="s">
        <v>41</v>
      </c>
      <c r="V4" s="43" t="s">
        <v>42</v>
      </c>
      <c r="W4" s="43" t="s">
        <v>43</v>
      </c>
      <c r="X4" s="43" t="s">
        <v>44</v>
      </c>
      <c r="Y4" s="43" t="s">
        <v>45</v>
      </c>
      <c r="Z4" s="43" t="s">
        <v>46</v>
      </c>
      <c r="AA4" s="43" t="s">
        <v>47</v>
      </c>
      <c r="AB4" s="43" t="s">
        <v>48</v>
      </c>
      <c r="AC4" s="43" t="s">
        <v>49</v>
      </c>
      <c r="AD4" s="43" t="s">
        <v>50</v>
      </c>
      <c r="AE4" s="43" t="s">
        <v>51</v>
      </c>
      <c r="AF4" s="43" t="s">
        <v>52</v>
      </c>
      <c r="AG4" s="43" t="s">
        <v>53</v>
      </c>
      <c r="AH4" s="43" t="s">
        <v>54</v>
      </c>
      <c r="AI4" s="43" t="s">
        <v>55</v>
      </c>
      <c r="AJ4" s="43" t="s">
        <v>56</v>
      </c>
      <c r="AK4" s="43" t="s">
        <v>57</v>
      </c>
      <c r="AL4" s="43" t="s">
        <v>58</v>
      </c>
      <c r="AM4" s="43" t="s">
        <v>59</v>
      </c>
      <c r="AN4" s="43" t="s">
        <v>60</v>
      </c>
      <c r="AO4" s="43" t="s">
        <v>61</v>
      </c>
      <c r="AP4" s="43" t="s">
        <v>62</v>
      </c>
      <c r="AQ4" s="43" t="s">
        <v>63</v>
      </c>
      <c r="AR4" s="43" t="s">
        <v>64</v>
      </c>
      <c r="AS4" s="43" t="s">
        <v>65</v>
      </c>
      <c r="AT4" s="43" t="s">
        <v>66</v>
      </c>
      <c r="AU4" s="43" t="s">
        <v>67</v>
      </c>
      <c r="AV4" s="43" t="s">
        <v>68</v>
      </c>
      <c r="AW4" s="43" t="s">
        <v>69</v>
      </c>
      <c r="AX4" s="43" t="s">
        <v>70</v>
      </c>
      <c r="AY4" s="43" t="s">
        <v>71</v>
      </c>
      <c r="AZ4" s="43" t="s">
        <v>72</v>
      </c>
      <c r="BA4" s="43" t="s">
        <v>73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74</v>
      </c>
      <c r="C5" s="29" t="s">
        <v>75</v>
      </c>
      <c r="D5" s="29" t="s">
        <v>76</v>
      </c>
      <c r="E5" s="29" t="s">
        <v>77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 t="s">
        <v>15</v>
      </c>
      <c r="D6" s="44" t="s">
        <v>22</v>
      </c>
      <c r="E6" s="45">
        <f>today()</f>
        <v>45905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9.38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IFERROR(__xludf.DUMMYFUNCTION("""COMPUTED_VALUE"""),"Currency")</f>
        <v>Currency</v>
      </c>
      <c r="F5" s="29" t="str">
        <f>IFERROR(__xludf.DUMMYFUNCTION("""COMPUTED_VALUE"""),"Cash Sub-Account")</f>
        <v>Cash Sub-Account</v>
      </c>
      <c r="G5" s="28" t="str">
        <f>IFERROR(__xludf.DUMMYFUNCTION("""COMPUTED_VALUE"""),"DR")</f>
        <v>DR</v>
      </c>
      <c r="H5" s="28" t="str">
        <f>IFERROR(__xludf.DUMMYFUNCTION("""COMPUTED_VALUE"""),"CR")</f>
        <v>CR</v>
      </c>
      <c r="I5" s="28" t="str">
        <f>IFERROR(__xludf.DUMMYFUNCTION("""COMPUTED_VALUE"""),"Modify Date")</f>
        <v>Modify Date</v>
      </c>
      <c r="J5" s="28" t="str">
        <f>IFERROR(__xludf.DUMMYFUNCTION("""COMPUTED_VALUE"""),"Entry Date")</f>
        <v>Entry Date</v>
      </c>
      <c r="K5" s="28" t="str">
        <f>IFERROR(__xludf.DUMMYFUNCTION("""COMPUTED_VALUE"""),"User")</f>
        <v>User</v>
      </c>
      <c r="L5" s="28" t="str">
        <f>IFERROR(__xludf.DUMMYFUNCTION("""COMPUTED_VALUE"""),"Fx Rate")</f>
        <v>Fx Rate</v>
      </c>
      <c r="M5" s="28" t="str">
        <f>IFERROR(__xludf.DUMMYFUNCTION("""COMPUTED_VALUE"""),"FX Conversion Method Operator")</f>
        <v>FX Conversion Method Operator</v>
      </c>
      <c r="N5" s="28" t="str">
        <f>IFERROR(__xludf.DUMMYFUNCTION("""COMPUTED_VALUE"""),"Account Side")</f>
        <v>Account Side</v>
      </c>
      <c r="O5" s="28" t="str">
        <f>IFERROR(__xludf.DUMMYFUNCTION("""COMPUTED_VALUE"""),"TransactionSource")</f>
        <v>TransactionSource</v>
      </c>
      <c r="P5" s="28" t="str">
        <f>IFERROR(__xludf.DUMMYFUNCTION("""COMPUTED_VALUE"""),"Base Currency")</f>
        <v>Base Currency</v>
      </c>
      <c r="Q5" s="28" t="str">
        <f>IFERROR(__xludf.DUMMYFUNCTION("""COMPUTED_VALUE"""),"Description")</f>
        <v>Description</v>
      </c>
      <c r="R5" s="28" t="str">
        <f>IFERROR(__xludf.DUMMYFUNCTION("""COMPUTED_VALUE"""),"DR (Base)")</f>
        <v>DR (Base)</v>
      </c>
      <c r="S5" s="28" t="str">
        <f>IFERROR(__xludf.DUMMYFUNCTION("""COMPUTED_VALUE"""),"CR (Base)")</f>
        <v>CR (Base)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/>
      <c r="C6" s="47" t="s">
        <v>15</v>
      </c>
      <c r="D6" s="48"/>
      <c r="E6" s="47" t="s">
        <v>78</v>
      </c>
      <c r="F6" s="49" t="s">
        <v>79</v>
      </c>
      <c r="G6" s="47">
        <v>100.0</v>
      </c>
      <c r="H6" s="50">
        <v>0.0</v>
      </c>
      <c r="I6" s="51"/>
      <c r="J6" s="52"/>
      <c r="K6" s="47" t="s">
        <v>80</v>
      </c>
      <c r="L6" s="47">
        <v>1.0</v>
      </c>
      <c r="M6" s="47" t="s">
        <v>81</v>
      </c>
      <c r="N6" s="47" t="s">
        <v>82</v>
      </c>
      <c r="O6" s="52"/>
      <c r="P6" s="52"/>
      <c r="Q6" s="47" t="s">
        <v>83</v>
      </c>
      <c r="R6" s="53"/>
      <c r="S6" s="5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4"/>
      <c r="C7" s="47" t="s">
        <v>15</v>
      </c>
      <c r="D7" s="55"/>
      <c r="E7" s="47" t="s">
        <v>78</v>
      </c>
      <c r="F7" s="56" t="s">
        <v>84</v>
      </c>
      <c r="G7" s="57">
        <v>0.0</v>
      </c>
      <c r="H7" s="56">
        <v>100.0</v>
      </c>
      <c r="I7" s="58"/>
      <c r="J7" s="59"/>
      <c r="K7" s="56" t="s">
        <v>80</v>
      </c>
      <c r="L7" s="56">
        <v>1.0</v>
      </c>
      <c r="M7" s="56" t="s">
        <v>81</v>
      </c>
      <c r="N7" s="56" t="s">
        <v>85</v>
      </c>
      <c r="O7" s="58"/>
      <c r="P7" s="58"/>
      <c r="Q7" s="47" t="s">
        <v>83</v>
      </c>
      <c r="R7" s="58"/>
      <c r="S7" s="60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VerifyNonTradingTransaction!$4:$4</formula1>
    </dataValidation>
  </dataValidations>
  <drawing r:id="rId1"/>
</worksheet>
</file>