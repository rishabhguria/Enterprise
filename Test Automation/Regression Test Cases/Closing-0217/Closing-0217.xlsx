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CreateDoneAwayOrder" sheetId="6" r:id="rId8"/>
    <sheet state="visible" name="SetClosingPreference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GetDataClosing2" sheetId="15" r:id="rId17"/>
    <sheet state="visible" name="SelectTradeUnexpiredUnsettled2" sheetId="16" r:id="rId18"/>
    <sheet state="visible" name="GetDataAllocation" sheetId="17" r:id="rId19"/>
    <sheet state="visible" name="CheckAllocatedGroups" sheetId="18" r:id="rId20"/>
    <sheet state="visible" name="CheckAllocatedTaxlot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<sst xmlns="http://schemas.openxmlformats.org/spreadsheetml/2006/main" count="945" uniqueCount="80">
  <si>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</si>
  <si>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</si>
  <si>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</si>
  <si>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</si>
  <si>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</si>
  <si>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</si>
  <si>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</si>
  <si>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</si>
  <si>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</si>
  <si>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</si>
  <si>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</si>
  <si>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</si>
  <si>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</si>
  <si>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</si>
  <si>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</si>
  <si>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</si>
  <si>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</si>
  <si>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</si>
  <si>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O:FB 12W20.00</t>
  </si>
  <si>
    <t>Admin</t>
  </si>
  <si>
    <t>UpdateExpirationDate</t>
  </si>
  <si>
    <t>O:AAPL 23D50.00D21</t>
  </si>
  <si>
    <t>O:AAPL 23P40.00D21</t>
  </si>
  <si>
    <t>O:AAPL 23D40.00D21</t>
  </si>
  <si>
    <t>TradingTicket</t>
  </si>
  <si>
    <t>CreateDoneAwayOrder</t>
  </si>
  <si>
    <t>AAPL</t>
  </si>
  <si>
    <t>Buy</t>
  </si>
  <si>
    <t>Allocation1</t>
  </si>
  <si>
    <t>Sell to Close</t>
  </si>
  <si>
    <t>Buy to Open</t>
  </si>
  <si>
    <t>MSFT</t>
  </si>
  <si>
    <t>Allocation2</t>
  </si>
  <si>
    <t>GS</t>
  </si>
  <si>
    <t>Short</t>
  </si>
  <si>
    <t>FB</t>
  </si>
  <si>
    <t>rt</t>
  </si>
  <si>
    <t>Sell to Open</t>
  </si>
  <si>
    <t>Closing</t>
  </si>
  <si>
    <t>SetClosingPreference</t>
  </si>
  <si>
    <t>BTAX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</si>
  <si>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</si>
  <si>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</si>
  <si>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</si>
  <si>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</si>
  <si>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</si>
  <si>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</si>
  <si>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</si>
  <si>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</si>
  <si>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</si>
  <si>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MS</t>
  </si>
  <si>
    <t>Allocation</t>
  </si>
  <si>
    <t>GetDataAllocation</t>
  </si>
  <si>
    <t>CheckAllocatedGroups</t>
  </si>
  <si>
    <t>Manual</t>
  </si>
  <si>
    <t/>
  </si>
  <si>
    <t>Closed</t>
  </si>
  <si>
    <t>USD</t>
  </si>
  <si>
    <t>OPTS</t>
  </si>
  <si>
    <t>IsExercised</t>
  </si>
  <si>
    <t>Assignment</t>
  </si>
  <si>
    <t>US</t>
  </si>
  <si>
    <t>Exercise</t>
  </si>
  <si>
    <t>Equity</t>
  </si>
  <si>
    <t>Open</t>
  </si>
  <si>
    <t>NASDAQ</t>
  </si>
  <si>
    <t>Exercise/Assign</t>
  </si>
  <si>
    <t>Sell short</t>
  </si>
  <si>
    <t>Sell</t>
  </si>
  <si>
    <t>Buy to Close</t>
  </si>
  <si>
    <t>CheckAllocatedTaxlots</t>
  </si>
  <si>
    <t>PortfolioManagement</t>
  </si>
  <si>
    <t>CheckPortfolioManagement</t>
  </si>
  <si>
    <t>NewMF</t>
  </si>
  <si>
    <t>Long</t>
  </si>
  <si>
    <t>jpearce</t>
  </si>
  <si>
    <t>CALL</t>
  </si>
  <si>
    <t>PUT</t>
  </si>
  <si>
    <t>NewMF1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</si>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</sst>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2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31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21</v>
      </c>
      <c r="C6" s="33">
        <f>TODAY()+6</f>
        <v>45119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22</v>
      </c>
      <c r="C7" s="33">
        <f>TODAY()+7</f>
        <v>45120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23</v>
      </c>
      <c r="C8" s="33">
        <f>TODAY()+6</f>
        <v>45119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16</v>
      </c>
      <c r="C9" s="34">
        <f t="shared" ref="C9:C10" si="1">TODAY()+2</f>
        <v>45115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18</v>
      </c>
      <c r="C10" s="34">
        <f t="shared" si="1"/>
        <v>45115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27</v>
      </c>
      <c r="D6" s="13">
        <v>1000.0</v>
      </c>
      <c r="E6" s="13">
        <v>1000.0</v>
      </c>
      <c r="F6" s="13" t="s">
        <v>28</v>
      </c>
      <c r="G6" s="8"/>
      <c r="H6" s="8"/>
      <c r="I6" s="8"/>
      <c r="J6" s="13">
        <v>1.0</v>
      </c>
      <c r="K6" s="8"/>
      <c r="L6" s="8"/>
      <c r="M6" s="8"/>
      <c r="N6" s="33">
        <f>TODAY()-10</f>
        <v>45103</v>
      </c>
      <c r="O6" s="8"/>
    </row>
    <row r="7" ht="15.75" customHeight="1">
      <c r="A7" s="8"/>
      <c r="B7" s="9" t="s">
        <v>21</v>
      </c>
      <c r="C7" s="13" t="s">
        <v>29</v>
      </c>
      <c r="D7" s="13">
        <v>10.0</v>
      </c>
      <c r="E7" s="13">
        <v>10.0</v>
      </c>
      <c r="F7" s="13" t="s">
        <v>28</v>
      </c>
      <c r="G7" s="8"/>
      <c r="H7" s="8"/>
      <c r="I7" s="8"/>
      <c r="J7" s="13">
        <v>10.0</v>
      </c>
      <c r="K7" s="8"/>
      <c r="L7" s="8"/>
      <c r="M7" s="8"/>
      <c r="N7" s="33">
        <f>TODAY()-8</f>
        <v>45105</v>
      </c>
      <c r="O7" s="8"/>
    </row>
    <row r="8" ht="15.75" customHeight="1">
      <c r="A8" s="8"/>
      <c r="B8" s="9" t="s">
        <v>22</v>
      </c>
      <c r="C8" s="13" t="s">
        <v>30</v>
      </c>
      <c r="D8" s="13">
        <v>10.0</v>
      </c>
      <c r="E8" s="13">
        <v>10.0</v>
      </c>
      <c r="F8" s="13" t="s">
        <v>28</v>
      </c>
      <c r="G8" s="8"/>
      <c r="H8" s="8"/>
      <c r="I8" s="8"/>
      <c r="J8" s="13">
        <v>10.0</v>
      </c>
      <c r="K8" s="8"/>
      <c r="L8" s="8"/>
      <c r="M8" s="8"/>
      <c r="N8" s="33">
        <f>TODAY()-7</f>
        <v>45106</v>
      </c>
      <c r="O8" s="8"/>
    </row>
    <row r="9" ht="15.75" customHeight="1">
      <c r="A9" s="8"/>
      <c r="B9" s="9" t="s">
        <v>23</v>
      </c>
      <c r="C9" s="13" t="s">
        <v>29</v>
      </c>
      <c r="D9" s="13">
        <v>10.0</v>
      </c>
      <c r="E9" s="13">
        <v>10.0</v>
      </c>
      <c r="F9" s="13" t="s">
        <v>28</v>
      </c>
      <c r="G9" s="8"/>
      <c r="H9" s="8"/>
      <c r="I9" s="8"/>
      <c r="J9" s="13">
        <v>10.0</v>
      </c>
      <c r="K9" s="8"/>
      <c r="L9" s="8"/>
      <c r="M9" s="8"/>
      <c r="N9" s="33">
        <f>TODAY()-8</f>
        <v>45105</v>
      </c>
      <c r="O9" s="8"/>
    </row>
    <row r="10" ht="15.75" customHeight="1">
      <c r="A10" s="35"/>
      <c r="B10" s="36" t="s">
        <v>31</v>
      </c>
      <c r="C10" s="37" t="s">
        <v>27</v>
      </c>
      <c r="D10" s="38">
        <v>1100.0</v>
      </c>
      <c r="E10" s="38">
        <v>1100.0</v>
      </c>
      <c r="F10" s="36" t="s">
        <v>32</v>
      </c>
      <c r="G10" s="35"/>
      <c r="H10" s="35"/>
      <c r="I10" s="35"/>
      <c r="J10" s="38">
        <v>1.0</v>
      </c>
      <c r="K10" s="35"/>
      <c r="L10" s="35"/>
      <c r="M10" s="35"/>
      <c r="N10" s="34">
        <f>TODAY()-10</f>
        <v>45103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2" t="s">
        <v>16</v>
      </c>
      <c r="C11" s="37" t="s">
        <v>30</v>
      </c>
      <c r="D11" s="38">
        <v>10.0</v>
      </c>
      <c r="E11" s="38">
        <v>10.0</v>
      </c>
      <c r="F11" s="36" t="s">
        <v>32</v>
      </c>
      <c r="G11" s="35"/>
      <c r="H11" s="35"/>
      <c r="I11" s="35"/>
      <c r="J11" s="38">
        <v>10.0</v>
      </c>
      <c r="K11" s="35"/>
      <c r="L11" s="35"/>
      <c r="M11" s="35"/>
      <c r="N11" s="34">
        <f t="shared" ref="N11:N13" si="1">TODAY()-15</f>
        <v>45098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2" t="s">
        <v>16</v>
      </c>
      <c r="C12" s="37" t="s">
        <v>30</v>
      </c>
      <c r="D12" s="38">
        <v>10.0</v>
      </c>
      <c r="E12" s="38">
        <v>10.0</v>
      </c>
      <c r="F12" s="36" t="s">
        <v>32</v>
      </c>
      <c r="G12" s="35" t="s">
        <v>33</v>
      </c>
      <c r="H12" s="35"/>
      <c r="I12" s="35"/>
      <c r="J12" s="38">
        <v>10.0</v>
      </c>
      <c r="K12" s="35"/>
      <c r="L12" s="35"/>
      <c r="M12" s="35"/>
      <c r="N12" s="34">
        <f t="shared" si="1"/>
        <v>45098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2" t="s">
        <v>16</v>
      </c>
      <c r="C13" s="37" t="s">
        <v>30</v>
      </c>
      <c r="D13" s="38">
        <v>10.0</v>
      </c>
      <c r="E13" s="38">
        <v>10.0</v>
      </c>
      <c r="F13" s="36" t="s">
        <v>32</v>
      </c>
      <c r="G13" s="35"/>
      <c r="H13" s="35"/>
      <c r="I13" s="35"/>
      <c r="J13" s="38">
        <v>10.0</v>
      </c>
      <c r="K13" s="35"/>
      <c r="L13" s="35"/>
      <c r="M13" s="37" t="s">
        <v>34</v>
      </c>
      <c r="N13" s="34">
        <f t="shared" si="1"/>
        <v>45098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6" t="s">
        <v>35</v>
      </c>
      <c r="C14" s="37" t="s">
        <v>27</v>
      </c>
      <c r="D14" s="38">
        <v>1100.0</v>
      </c>
      <c r="E14" s="38">
        <v>1100.0</v>
      </c>
      <c r="F14" s="36" t="s">
        <v>36</v>
      </c>
      <c r="G14" s="35"/>
      <c r="H14" s="35"/>
      <c r="I14" s="35"/>
      <c r="J14" s="38">
        <v>1.0</v>
      </c>
      <c r="K14" s="35"/>
      <c r="L14" s="35"/>
      <c r="M14" s="35"/>
      <c r="N14" s="34">
        <f>TODAY()-10</f>
        <v>45103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2" t="s">
        <v>18</v>
      </c>
      <c r="C15" s="37" t="s">
        <v>37</v>
      </c>
      <c r="D15" s="38">
        <v>10.0</v>
      </c>
      <c r="E15" s="38">
        <v>10.0</v>
      </c>
      <c r="F15" s="36" t="s">
        <v>36</v>
      </c>
      <c r="G15" s="35"/>
      <c r="H15" s="35"/>
      <c r="I15" s="35"/>
      <c r="J15" s="38">
        <v>10.0</v>
      </c>
      <c r="K15" s="35"/>
      <c r="L15" s="35"/>
      <c r="M15" s="35"/>
      <c r="N15" s="34">
        <f t="shared" ref="N15:N17" si="2">TODAY()-15</f>
        <v>45098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2" t="s">
        <v>18</v>
      </c>
      <c r="C16" s="37" t="s">
        <v>37</v>
      </c>
      <c r="D16" s="38">
        <v>10.0</v>
      </c>
      <c r="E16" s="38">
        <v>10.0</v>
      </c>
      <c r="F16" s="36" t="s">
        <v>36</v>
      </c>
      <c r="G16" s="35" t="s">
        <v>33</v>
      </c>
      <c r="H16" s="35"/>
      <c r="I16" s="35"/>
      <c r="J16" s="38">
        <v>10.0</v>
      </c>
      <c r="K16" s="35"/>
      <c r="L16" s="35"/>
      <c r="M16" s="35"/>
      <c r="N16" s="34">
        <f t="shared" si="2"/>
        <v>45098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2" t="s">
        <v>18</v>
      </c>
      <c r="C17" s="37" t="s">
        <v>37</v>
      </c>
      <c r="D17" s="38">
        <v>10.0</v>
      </c>
      <c r="E17" s="38">
        <v>10.0</v>
      </c>
      <c r="F17" s="36" t="s">
        <v>36</v>
      </c>
      <c r="G17" s="35"/>
      <c r="H17" s="35"/>
      <c r="I17" s="35"/>
      <c r="J17" s="38">
        <v>10.0</v>
      </c>
      <c r="K17" s="35"/>
      <c r="L17" s="35"/>
      <c r="M17" s="37" t="s">
        <v>34</v>
      </c>
      <c r="N17" s="34">
        <f t="shared" si="2"/>
        <v>45098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40</v>
      </c>
      <c r="D6" s="8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>today()-1</f>
        <v>45112</v>
      </c>
      <c r="C6" s="33">
        <f>today()</f>
        <v>45113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45</v>
      </c>
      <c r="C6" s="33" t="s">
        <v>46</v>
      </c>
      <c r="D6" s="33">
        <f>TODAY()</f>
        <v>45113</v>
      </c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8"/>
      <c r="D6" s="8"/>
      <c r="E6" s="13" t="s">
        <v>48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AQ6" s="9">
        <v>10.0</v>
      </c>
      <c r="BV6" s="13" t="s">
        <v>29</v>
      </c>
      <c r="CG6" s="9">
        <v>10.0</v>
      </c>
      <c r="DH6" s="9" t="s">
        <v>21</v>
      </c>
    </row>
    <row r="7" ht="15.75" customHeight="1">
      <c r="A7" s="8"/>
      <c r="B7" s="13" t="s">
        <v>28</v>
      </c>
      <c r="C7" s="8"/>
      <c r="D7" s="8"/>
      <c r="E7" s="13" t="s">
        <v>48</v>
      </c>
      <c r="F7" s="8"/>
      <c r="G7" s="8"/>
      <c r="H7" s="8"/>
      <c r="I7" s="13">
        <v>10.0</v>
      </c>
      <c r="J7" s="8"/>
      <c r="K7" s="8"/>
      <c r="L7" s="8"/>
      <c r="M7" s="8"/>
      <c r="N7" s="8"/>
      <c r="O7" s="8"/>
      <c r="AQ7" s="9">
        <v>10.0</v>
      </c>
      <c r="BV7" s="13" t="s">
        <v>30</v>
      </c>
      <c r="CG7" s="9">
        <v>10.0</v>
      </c>
      <c r="DH7" s="9" t="s">
        <v>22</v>
      </c>
    </row>
    <row r="8" ht="15.75" customHeight="1">
      <c r="A8" s="35"/>
      <c r="B8" s="37" t="s">
        <v>28</v>
      </c>
      <c r="C8" s="35"/>
      <c r="D8" s="35"/>
      <c r="E8" s="37" t="s">
        <v>48</v>
      </c>
      <c r="F8" s="35"/>
      <c r="G8" s="35"/>
      <c r="H8" s="35"/>
      <c r="I8" s="38">
        <v>10.0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9">
        <v>10.0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13" t="s">
        <v>29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9">
        <v>10.0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9" t="s">
        <v>23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45</v>
      </c>
      <c r="C6" s="34" t="s">
        <v>46</v>
      </c>
      <c r="D6" s="34">
        <f>TODAY()</f>
        <v>45113</v>
      </c>
      <c r="E6" s="1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1"/>
      <c r="B6" s="36" t="s">
        <v>32</v>
      </c>
      <c r="C6" s="35"/>
      <c r="D6" s="41"/>
      <c r="E6" s="37" t="s">
        <v>48</v>
      </c>
      <c r="F6" s="35"/>
      <c r="G6" s="35"/>
      <c r="H6" s="35"/>
      <c r="I6" s="38">
        <v>10.0</v>
      </c>
      <c r="J6" s="35"/>
      <c r="K6" s="35" t="s">
        <v>50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9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7" t="s">
        <v>30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9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2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32</v>
      </c>
      <c r="C7" s="35"/>
      <c r="D7" s="35"/>
      <c r="E7" s="37" t="s">
        <v>48</v>
      </c>
      <c r="F7" s="35"/>
      <c r="G7" s="35"/>
      <c r="H7" s="35"/>
      <c r="I7" s="38">
        <v>10.0</v>
      </c>
      <c r="J7" s="35"/>
      <c r="K7" s="35" t="s">
        <v>33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9">
        <v>10.0</v>
      </c>
      <c r="AR7" s="42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7" t="s">
        <v>30</v>
      </c>
      <c r="BW7" s="35"/>
      <c r="BX7" s="35"/>
      <c r="BY7" s="35"/>
      <c r="BZ7" s="35"/>
      <c r="CA7" s="35"/>
      <c r="CB7" s="35"/>
      <c r="CC7" s="35"/>
      <c r="CD7" s="43"/>
      <c r="CE7" s="35"/>
      <c r="CF7" s="35"/>
      <c r="CG7" s="39">
        <v>10.0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2" t="s">
        <v>16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32</v>
      </c>
      <c r="C8" s="35"/>
      <c r="D8" s="35"/>
      <c r="E8" s="37" t="s">
        <v>48</v>
      </c>
      <c r="F8" s="35"/>
      <c r="G8" s="35"/>
      <c r="H8" s="35"/>
      <c r="I8" s="38">
        <v>10.0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9">
        <v>10.0</v>
      </c>
      <c r="AR8" s="42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7" t="s">
        <v>30</v>
      </c>
      <c r="BW8" s="35"/>
      <c r="BX8" s="35"/>
      <c r="BY8" s="35"/>
      <c r="BZ8" s="35"/>
      <c r="CA8" s="35"/>
      <c r="CB8" s="35"/>
      <c r="CC8" s="35"/>
      <c r="CD8" s="43"/>
      <c r="CE8" s="35"/>
      <c r="CF8" s="35"/>
      <c r="CG8" s="39">
        <v>10.0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7" t="s">
        <v>34</v>
      </c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45</v>
      </c>
      <c r="C6" s="34" t="s">
        <v>46</v>
      </c>
      <c r="D6" s="34">
        <f>TODAY()</f>
        <v>45113</v>
      </c>
      <c r="E6" s="44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1"/>
      <c r="B6" s="36" t="s">
        <v>36</v>
      </c>
      <c r="C6" s="35"/>
      <c r="D6" s="41"/>
      <c r="E6" s="37" t="s">
        <v>48</v>
      </c>
      <c r="F6" s="35"/>
      <c r="G6" s="35"/>
      <c r="H6" s="35"/>
      <c r="I6" s="38">
        <v>10.0</v>
      </c>
      <c r="J6" s="35"/>
      <c r="K6" s="35" t="s">
        <v>50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9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7" t="s">
        <v>37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9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2" t="s">
        <v>18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36</v>
      </c>
      <c r="C7" s="35"/>
      <c r="D7" s="35"/>
      <c r="E7" s="37" t="s">
        <v>48</v>
      </c>
      <c r="F7" s="35"/>
      <c r="G7" s="35"/>
      <c r="H7" s="35"/>
      <c r="I7" s="38">
        <v>10.0</v>
      </c>
      <c r="J7" s="35"/>
      <c r="K7" s="35" t="s">
        <v>33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9">
        <v>10.0</v>
      </c>
      <c r="AR7" s="42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7" t="s">
        <v>37</v>
      </c>
      <c r="BW7" s="35"/>
      <c r="BX7" s="35"/>
      <c r="BY7" s="35"/>
      <c r="BZ7" s="35"/>
      <c r="CA7" s="35"/>
      <c r="CB7" s="35"/>
      <c r="CC7" s="35"/>
      <c r="CD7" s="43"/>
      <c r="CE7" s="35"/>
      <c r="CF7" s="35"/>
      <c r="CG7" s="39">
        <v>10.0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2" t="s">
        <v>18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36</v>
      </c>
      <c r="C8" s="35"/>
      <c r="D8" s="35"/>
      <c r="E8" s="37" t="s">
        <v>48</v>
      </c>
      <c r="F8" s="35"/>
      <c r="G8" s="35"/>
      <c r="H8" s="35"/>
      <c r="I8" s="38">
        <v>10.0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9">
        <v>10.0</v>
      </c>
      <c r="AR8" s="42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7" t="s">
        <v>37</v>
      </c>
      <c r="BW8" s="35"/>
      <c r="BX8" s="35"/>
      <c r="BY8" s="35"/>
      <c r="BZ8" s="35"/>
      <c r="CA8" s="35"/>
      <c r="CB8" s="35"/>
      <c r="CC8" s="35"/>
      <c r="CD8" s="43"/>
      <c r="CE8" s="35"/>
      <c r="CF8" s="35"/>
      <c r="CG8" s="39">
        <v>10.0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7" t="s">
        <v>34</v>
      </c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45</v>
      </c>
      <c r="C6" s="33" t="s">
        <v>46</v>
      </c>
      <c r="D6" s="33">
        <f>TODAY()</f>
        <v>45113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 t="s">
        <v>28</v>
      </c>
      <c r="C6" s="8"/>
      <c r="D6" s="8"/>
      <c r="E6" s="46">
        <v>10.0</v>
      </c>
      <c r="F6" s="45" t="s">
        <v>54</v>
      </c>
      <c r="G6" s="45" t="s">
        <v>48</v>
      </c>
      <c r="H6" s="8"/>
      <c r="I6" s="8"/>
      <c r="J6" s="46">
        <v>12.0</v>
      </c>
      <c r="K6" s="8"/>
      <c r="L6" s="8"/>
      <c r="M6" s="8"/>
      <c r="N6" s="8" t="s">
        <v>55</v>
      </c>
      <c r="O6" s="8"/>
      <c r="Q6">
        <v>3.0</v>
      </c>
      <c r="S6" s="45" t="s">
        <v>56</v>
      </c>
      <c r="X6" t="s">
        <v>55</v>
      </c>
      <c r="Y6" t="s">
        <v>55</v>
      </c>
      <c r="Z6" t="s">
        <v>57</v>
      </c>
      <c r="AD6" s="45" t="s">
        <v>58</v>
      </c>
      <c r="AE6" s="46">
        <v>10.0</v>
      </c>
      <c r="AF6" t="s">
        <v>55</v>
      </c>
      <c r="AI6">
        <v>1.0</v>
      </c>
      <c r="AJ6" s="45" t="s">
        <v>59</v>
      </c>
      <c r="BJ6" s="46">
        <v>10.0</v>
      </c>
      <c r="BL6" t="s">
        <v>55</v>
      </c>
      <c r="BM6" t="s">
        <v>57</v>
      </c>
      <c r="BO6" s="45" t="s">
        <v>30</v>
      </c>
      <c r="BT6" s="45" t="s">
        <v>21</v>
      </c>
      <c r="CH6" t="s">
        <v>38</v>
      </c>
      <c r="CI6" s="45" t="s">
        <v>60</v>
      </c>
      <c r="CK6" t="s">
        <v>61</v>
      </c>
    </row>
    <row r="7" ht="15.75" customHeight="1">
      <c r="A7" s="8"/>
      <c r="B7" s="45" t="s">
        <v>28</v>
      </c>
      <c r="C7" s="8"/>
      <c r="D7" s="8"/>
      <c r="E7" s="46">
        <v>10.0</v>
      </c>
      <c r="F7" s="45" t="s">
        <v>54</v>
      </c>
      <c r="G7" s="45" t="s">
        <v>48</v>
      </c>
      <c r="H7" s="8"/>
      <c r="I7" s="8"/>
      <c r="J7" s="46">
        <v>12.0</v>
      </c>
      <c r="K7" s="8"/>
      <c r="L7" s="8"/>
      <c r="M7" s="8"/>
      <c r="N7" s="8" t="s">
        <v>55</v>
      </c>
      <c r="O7" s="8"/>
      <c r="Q7">
        <v>3.0</v>
      </c>
      <c r="S7" s="45" t="s">
        <v>56</v>
      </c>
      <c r="X7" t="s">
        <v>55</v>
      </c>
      <c r="Y7" t="s">
        <v>55</v>
      </c>
      <c r="Z7" t="s">
        <v>57</v>
      </c>
      <c r="AD7" s="45" t="s">
        <v>58</v>
      </c>
      <c r="AE7" s="46">
        <v>10.0</v>
      </c>
      <c r="AF7" t="s">
        <v>55</v>
      </c>
      <c r="AI7">
        <v>1.0</v>
      </c>
      <c r="AJ7" s="45" t="s">
        <v>59</v>
      </c>
      <c r="BJ7" s="46">
        <v>10.0</v>
      </c>
      <c r="BL7" t="s">
        <v>55</v>
      </c>
      <c r="BM7" t="s">
        <v>57</v>
      </c>
      <c r="BO7" s="45" t="s">
        <v>30</v>
      </c>
      <c r="BT7" s="45" t="s">
        <v>23</v>
      </c>
      <c r="CH7" t="s">
        <v>38</v>
      </c>
      <c r="CI7" s="45" t="s">
        <v>60</v>
      </c>
      <c r="CK7" t="s">
        <v>61</v>
      </c>
    </row>
    <row r="8" ht="15.75" customHeight="1">
      <c r="A8" s="8"/>
      <c r="B8" s="45" t="s">
        <v>28</v>
      </c>
      <c r="C8" s="8"/>
      <c r="D8" s="8"/>
      <c r="E8" s="46">
        <v>10.0</v>
      </c>
      <c r="F8" s="45" t="s">
        <v>54</v>
      </c>
      <c r="G8" s="45" t="s">
        <v>48</v>
      </c>
      <c r="H8" s="8"/>
      <c r="I8" s="8"/>
      <c r="J8" s="46">
        <v>12.0</v>
      </c>
      <c r="K8" s="8"/>
      <c r="L8" s="8"/>
      <c r="M8" s="8"/>
      <c r="N8" s="8" t="s">
        <v>55</v>
      </c>
      <c r="O8" s="8"/>
      <c r="Q8">
        <v>3.0</v>
      </c>
      <c r="S8" s="45" t="s">
        <v>56</v>
      </c>
      <c r="X8" t="s">
        <v>55</v>
      </c>
      <c r="Y8" t="s">
        <v>55</v>
      </c>
      <c r="Z8" t="s">
        <v>57</v>
      </c>
      <c r="AD8" s="45" t="s">
        <v>58</v>
      </c>
      <c r="AE8" s="46">
        <v>10.0</v>
      </c>
      <c r="AF8" t="s">
        <v>55</v>
      </c>
      <c r="AI8">
        <v>1.0</v>
      </c>
      <c r="AJ8" s="45" t="s">
        <v>59</v>
      </c>
      <c r="BJ8" s="46">
        <v>10.0</v>
      </c>
      <c r="BL8" t="s">
        <v>55</v>
      </c>
      <c r="BM8" t="s">
        <v>57</v>
      </c>
      <c r="BO8" s="45" t="s">
        <v>29</v>
      </c>
      <c r="BT8" s="45" t="s">
        <v>22</v>
      </c>
      <c r="CH8" t="s">
        <v>38</v>
      </c>
      <c r="CI8" s="45" t="s">
        <v>62</v>
      </c>
      <c r="CK8" t="s">
        <v>61</v>
      </c>
    </row>
    <row r="9" ht="15.75" customHeight="1">
      <c r="A9" s="8"/>
      <c r="B9" s="45" t="s">
        <v>32</v>
      </c>
      <c r="C9" s="8"/>
      <c r="D9" s="8"/>
      <c r="E9" s="46">
        <v>10.0</v>
      </c>
      <c r="F9" s="45" t="s">
        <v>54</v>
      </c>
      <c r="G9" s="45" t="s">
        <v>48</v>
      </c>
      <c r="H9" s="8"/>
      <c r="I9" s="8"/>
      <c r="J9" s="46">
        <v>12.0</v>
      </c>
      <c r="K9" s="8"/>
      <c r="L9" s="8"/>
      <c r="M9" s="8"/>
      <c r="N9" s="8" t="s">
        <v>55</v>
      </c>
      <c r="O9" s="8"/>
      <c r="Q9">
        <v>3.0</v>
      </c>
      <c r="S9" s="45" t="s">
        <v>56</v>
      </c>
      <c r="X9" t="s">
        <v>55</v>
      </c>
      <c r="Y9" t="s">
        <v>55</v>
      </c>
      <c r="Z9" t="s">
        <v>57</v>
      </c>
      <c r="AD9" s="45" t="s">
        <v>58</v>
      </c>
      <c r="AE9" s="46">
        <v>10.0</v>
      </c>
      <c r="AF9" t="s">
        <v>55</v>
      </c>
      <c r="AI9">
        <v>1.0</v>
      </c>
      <c r="AJ9" s="45" t="s">
        <v>59</v>
      </c>
      <c r="BJ9" s="46">
        <v>10.0</v>
      </c>
      <c r="BL9" t="s">
        <v>55</v>
      </c>
      <c r="BM9" t="s">
        <v>57</v>
      </c>
      <c r="BO9" s="45" t="s">
        <v>29</v>
      </c>
      <c r="BT9" s="45" t="s">
        <v>16</v>
      </c>
      <c r="CH9" t="s">
        <v>38</v>
      </c>
      <c r="CI9" s="45" t="s">
        <v>62</v>
      </c>
      <c r="CK9" t="s">
        <v>61</v>
      </c>
    </row>
    <row r="10" ht="15.75" customHeight="1">
      <c r="A10" s="8"/>
      <c r="B10" s="45" t="s">
        <v>28</v>
      </c>
      <c r="C10" s="8"/>
      <c r="D10" s="8"/>
      <c r="E10" s="47">
        <v>1000.0</v>
      </c>
      <c r="F10" s="45" t="s">
        <v>54</v>
      </c>
      <c r="G10" s="45" t="s">
        <v>63</v>
      </c>
      <c r="H10" s="8"/>
      <c r="I10" s="8"/>
      <c r="J10" s="46">
        <v>1.0</v>
      </c>
      <c r="K10" s="8"/>
      <c r="L10" s="8"/>
      <c r="M10" s="8"/>
      <c r="N10" s="8" t="s">
        <v>55</v>
      </c>
      <c r="O10" s="8"/>
      <c r="Q10">
        <v>3.0</v>
      </c>
      <c r="S10" s="45" t="s">
        <v>64</v>
      </c>
      <c r="X10" t="s">
        <v>55</v>
      </c>
      <c r="Y10" t="s">
        <v>55</v>
      </c>
      <c r="Z10" t="s">
        <v>57</v>
      </c>
      <c r="AD10" s="45" t="s">
        <v>65</v>
      </c>
      <c r="AE10" s="47">
        <v>1000.0</v>
      </c>
      <c r="AF10" t="s">
        <v>55</v>
      </c>
      <c r="AI10">
        <v>1.0</v>
      </c>
      <c r="AJ10" s="45" t="s">
        <v>66</v>
      </c>
      <c r="BJ10" s="47">
        <v>1000.0</v>
      </c>
      <c r="BL10" t="s">
        <v>55</v>
      </c>
      <c r="BM10" t="s">
        <v>57</v>
      </c>
      <c r="BO10" s="45" t="s">
        <v>67</v>
      </c>
      <c r="BT10" s="45" t="s">
        <v>26</v>
      </c>
      <c r="CH10" t="s">
        <v>38</v>
      </c>
      <c r="CI10" s="45" t="s">
        <v>62</v>
      </c>
      <c r="CK10" t="s">
        <v>61</v>
      </c>
    </row>
    <row r="11" ht="15.75" customHeight="1">
      <c r="A11" s="8"/>
      <c r="B11" s="45" t="s">
        <v>28</v>
      </c>
      <c r="C11" s="8"/>
      <c r="D11" s="8"/>
      <c r="E11" s="47">
        <v>1000.0</v>
      </c>
      <c r="F11" s="45" t="s">
        <v>54</v>
      </c>
      <c r="G11" s="45" t="s">
        <v>63</v>
      </c>
      <c r="H11" s="8"/>
      <c r="I11" s="8"/>
      <c r="J11" s="46">
        <v>1.0</v>
      </c>
      <c r="K11" s="8"/>
      <c r="L11" s="8"/>
      <c r="M11" s="8"/>
      <c r="N11" s="8" t="s">
        <v>55</v>
      </c>
      <c r="O11" s="8"/>
      <c r="Q11">
        <v>3.0</v>
      </c>
      <c r="S11" s="45" t="s">
        <v>64</v>
      </c>
      <c r="X11" t="s">
        <v>55</v>
      </c>
      <c r="Y11" t="s">
        <v>55</v>
      </c>
      <c r="Z11" t="s">
        <v>57</v>
      </c>
      <c r="AD11" s="45" t="s">
        <v>65</v>
      </c>
      <c r="AE11" s="47">
        <v>1000.0</v>
      </c>
      <c r="AF11" t="s">
        <v>55</v>
      </c>
      <c r="AI11">
        <v>1.0</v>
      </c>
      <c r="AJ11" s="45" t="s">
        <v>66</v>
      </c>
      <c r="BJ11" s="47">
        <v>1000.0</v>
      </c>
      <c r="BL11" t="s">
        <v>55</v>
      </c>
      <c r="BM11" t="s">
        <v>57</v>
      </c>
      <c r="BO11" s="45" t="s">
        <v>68</v>
      </c>
      <c r="BT11" s="45" t="s">
        <v>26</v>
      </c>
      <c r="CH11" t="s">
        <v>38</v>
      </c>
      <c r="CI11" s="45" t="s">
        <v>60</v>
      </c>
      <c r="CK11" t="s">
        <v>61</v>
      </c>
    </row>
    <row r="12" ht="15.75" customHeight="1">
      <c r="A12" s="8"/>
      <c r="B12" s="45" t="s">
        <v>32</v>
      </c>
      <c r="C12" s="8"/>
      <c r="D12" s="8"/>
      <c r="E12" s="46">
        <v>10.0</v>
      </c>
      <c r="F12" s="45" t="s">
        <v>54</v>
      </c>
      <c r="G12" s="45" t="s">
        <v>48</v>
      </c>
      <c r="H12" s="8"/>
      <c r="I12" s="8"/>
      <c r="J12" s="46">
        <v>12.0</v>
      </c>
      <c r="K12" s="8"/>
      <c r="L12" s="8"/>
      <c r="M12" s="8"/>
      <c r="N12" s="8"/>
      <c r="O12" s="8"/>
      <c r="Q12">
        <v>3.0</v>
      </c>
      <c r="S12" s="45" t="s">
        <v>56</v>
      </c>
      <c r="Z12" t="s">
        <v>57</v>
      </c>
      <c r="AD12" s="45" t="s">
        <v>58</v>
      </c>
      <c r="AE12" s="46">
        <v>10.0</v>
      </c>
      <c r="AI12">
        <v>1.0</v>
      </c>
      <c r="AJ12" s="45" t="s">
        <v>59</v>
      </c>
      <c r="BJ12" s="46">
        <v>10.0</v>
      </c>
      <c r="BM12" t="s">
        <v>57</v>
      </c>
      <c r="BO12" s="45" t="s">
        <v>29</v>
      </c>
      <c r="BT12" s="45" t="s">
        <v>16</v>
      </c>
      <c r="CH12" t="s">
        <v>38</v>
      </c>
      <c r="CI12" s="45" t="s">
        <v>62</v>
      </c>
      <c r="CK12" t="s">
        <v>61</v>
      </c>
    </row>
    <row r="13" ht="15.75" customHeight="1">
      <c r="A13" s="8"/>
      <c r="B13" s="45" t="s">
        <v>28</v>
      </c>
      <c r="C13" s="8"/>
      <c r="D13" s="8"/>
      <c r="E13" s="47">
        <v>1000.0</v>
      </c>
      <c r="F13" s="45" t="s">
        <v>54</v>
      </c>
      <c r="G13" s="45" t="s">
        <v>63</v>
      </c>
      <c r="H13" s="8"/>
      <c r="I13" s="8"/>
      <c r="J13" s="46">
        <v>1.0</v>
      </c>
      <c r="K13" s="8"/>
      <c r="L13" s="8"/>
      <c r="M13" s="8"/>
      <c r="N13" s="8"/>
      <c r="O13" s="8"/>
      <c r="Q13">
        <v>3.0</v>
      </c>
      <c r="S13" s="45" t="s">
        <v>64</v>
      </c>
      <c r="Z13" t="s">
        <v>57</v>
      </c>
      <c r="AD13" s="45" t="s">
        <v>65</v>
      </c>
      <c r="AE13" s="47">
        <v>1000.0</v>
      </c>
      <c r="AI13">
        <v>1.0</v>
      </c>
      <c r="AJ13" s="45" t="s">
        <v>66</v>
      </c>
      <c r="BJ13" s="47">
        <v>1000.0</v>
      </c>
      <c r="BM13" t="s">
        <v>57</v>
      </c>
      <c r="BO13" s="45" t="s">
        <v>67</v>
      </c>
      <c r="BT13" s="45" t="s">
        <v>26</v>
      </c>
      <c r="CH13" t="s">
        <v>38</v>
      </c>
      <c r="CI13" s="45" t="s">
        <v>60</v>
      </c>
      <c r="CK13" t="s">
        <v>61</v>
      </c>
    </row>
    <row r="14" ht="15.75" customHeight="1">
      <c r="A14" s="8"/>
      <c r="B14" s="45" t="s">
        <v>32</v>
      </c>
      <c r="C14" s="8"/>
      <c r="D14" s="8"/>
      <c r="E14" s="46">
        <v>100.0</v>
      </c>
      <c r="F14" s="45" t="s">
        <v>54</v>
      </c>
      <c r="G14" s="45" t="s">
        <v>63</v>
      </c>
      <c r="H14" s="8"/>
      <c r="I14" s="8"/>
      <c r="J14" s="46">
        <v>1.0</v>
      </c>
      <c r="K14" s="8"/>
      <c r="L14" s="8"/>
      <c r="M14" s="8"/>
      <c r="N14" s="8"/>
      <c r="O14" s="8"/>
      <c r="Q14">
        <v>3.0</v>
      </c>
      <c r="S14" s="45" t="s">
        <v>64</v>
      </c>
      <c r="Z14" t="s">
        <v>57</v>
      </c>
      <c r="AD14" s="45" t="s">
        <v>65</v>
      </c>
      <c r="AE14" s="46">
        <v>100.0</v>
      </c>
      <c r="AI14">
        <v>1.0</v>
      </c>
      <c r="AJ14" s="45" t="s">
        <v>66</v>
      </c>
      <c r="BJ14" s="46">
        <v>100.0</v>
      </c>
      <c r="BM14" t="s">
        <v>57</v>
      </c>
      <c r="BO14" s="45" t="s">
        <v>68</v>
      </c>
      <c r="BT14" s="45" t="s">
        <v>31</v>
      </c>
      <c r="CH14" t="s">
        <v>38</v>
      </c>
      <c r="CI14" s="45" t="s">
        <v>62</v>
      </c>
      <c r="CK14" t="s">
        <v>61</v>
      </c>
    </row>
    <row r="15" ht="15.75" customHeight="1">
      <c r="A15" s="8"/>
      <c r="B15" s="45" t="s">
        <v>32</v>
      </c>
      <c r="C15" s="8"/>
      <c r="D15" s="8"/>
      <c r="E15" s="47">
        <v>1000.0</v>
      </c>
      <c r="F15" s="45" t="s">
        <v>54</v>
      </c>
      <c r="G15" s="45" t="s">
        <v>63</v>
      </c>
      <c r="H15" s="8"/>
      <c r="I15" s="8"/>
      <c r="J15" s="46">
        <v>1.0</v>
      </c>
      <c r="K15" s="8"/>
      <c r="L15" s="8"/>
      <c r="M15" s="8"/>
      <c r="N15" s="8"/>
      <c r="O15" s="8"/>
      <c r="Q15">
        <v>3.0</v>
      </c>
      <c r="S15" s="45" t="s">
        <v>64</v>
      </c>
      <c r="Z15" t="s">
        <v>57</v>
      </c>
      <c r="AD15" s="45" t="s">
        <v>65</v>
      </c>
      <c r="AE15" s="47">
        <v>1000.0</v>
      </c>
      <c r="AI15">
        <v>1.0</v>
      </c>
      <c r="AJ15" s="45" t="s">
        <v>66</v>
      </c>
      <c r="BJ15" s="47">
        <v>1000.0</v>
      </c>
      <c r="BM15" t="s">
        <v>57</v>
      </c>
      <c r="BO15" s="45" t="s">
        <v>68</v>
      </c>
      <c r="BT15" s="45" t="s">
        <v>31</v>
      </c>
      <c r="CH15" t="s">
        <v>38</v>
      </c>
      <c r="CI15" s="45" t="s">
        <v>62</v>
      </c>
      <c r="CK15" t="s">
        <v>61</v>
      </c>
    </row>
    <row r="16" ht="15.75" customHeight="1">
      <c r="A16" s="8"/>
      <c r="B16" s="45" t="s">
        <v>32</v>
      </c>
      <c r="C16" s="8"/>
      <c r="D16" s="8"/>
      <c r="E16" s="46">
        <v>900.0</v>
      </c>
      <c r="F16" s="45" t="s">
        <v>54</v>
      </c>
      <c r="G16" s="45" t="s">
        <v>63</v>
      </c>
      <c r="H16" s="8"/>
      <c r="I16" s="8"/>
      <c r="J16" s="46">
        <v>1.0</v>
      </c>
      <c r="K16" s="8"/>
      <c r="L16" s="8"/>
      <c r="M16" s="8"/>
      <c r="N16" s="8"/>
      <c r="O16" s="8"/>
      <c r="Q16">
        <v>3.0</v>
      </c>
      <c r="S16" s="45" t="s">
        <v>64</v>
      </c>
      <c r="Z16" t="s">
        <v>57</v>
      </c>
      <c r="AD16" s="45" t="s">
        <v>65</v>
      </c>
      <c r="AE16" s="46">
        <v>900.0</v>
      </c>
      <c r="AI16">
        <v>1.0</v>
      </c>
      <c r="AJ16" s="45" t="s">
        <v>66</v>
      </c>
      <c r="BJ16" s="46">
        <v>900.0</v>
      </c>
      <c r="BM16" t="s">
        <v>57</v>
      </c>
      <c r="BO16" s="45" t="s">
        <v>67</v>
      </c>
      <c r="BT16" s="45" t="s">
        <v>31</v>
      </c>
      <c r="CH16" t="s">
        <v>38</v>
      </c>
      <c r="CI16" s="45" t="s">
        <v>62</v>
      </c>
      <c r="CK16" t="s">
        <v>61</v>
      </c>
    </row>
    <row r="17" ht="15.75" customHeight="1">
      <c r="A17" s="8"/>
      <c r="B17" s="45" t="s">
        <v>32</v>
      </c>
      <c r="C17" s="8"/>
      <c r="D17" s="8"/>
      <c r="E17" s="46">
        <v>10.0</v>
      </c>
      <c r="F17" s="45" t="s">
        <v>54</v>
      </c>
      <c r="G17" s="45" t="s">
        <v>48</v>
      </c>
      <c r="H17" s="8"/>
      <c r="I17" s="8"/>
      <c r="J17" s="46">
        <v>12.0</v>
      </c>
      <c r="K17" s="8"/>
      <c r="L17" s="8"/>
      <c r="M17" s="8"/>
      <c r="N17" s="8"/>
      <c r="O17" s="8"/>
      <c r="Q17">
        <v>3.0</v>
      </c>
      <c r="S17" s="45" t="s">
        <v>56</v>
      </c>
      <c r="Z17" t="s">
        <v>57</v>
      </c>
      <c r="AD17" s="45" t="s">
        <v>58</v>
      </c>
      <c r="AE17" s="46">
        <v>10.0</v>
      </c>
      <c r="AI17">
        <v>1.0</v>
      </c>
      <c r="AJ17" s="45" t="s">
        <v>59</v>
      </c>
      <c r="BJ17" s="46">
        <v>10.0</v>
      </c>
      <c r="BM17" t="s">
        <v>57</v>
      </c>
      <c r="BO17" s="45" t="s">
        <v>29</v>
      </c>
      <c r="BT17" s="45" t="s">
        <v>16</v>
      </c>
      <c r="CH17" t="s">
        <v>38</v>
      </c>
      <c r="CI17" s="45" t="s">
        <v>62</v>
      </c>
      <c r="CK17" t="s">
        <v>61</v>
      </c>
    </row>
    <row r="18" ht="15.75" customHeight="1">
      <c r="A18" s="8"/>
      <c r="B18" s="45" t="s">
        <v>36</v>
      </c>
      <c r="C18" s="8"/>
      <c r="D18" s="8"/>
      <c r="E18" s="46">
        <v>10.0</v>
      </c>
      <c r="F18" s="45" t="s">
        <v>54</v>
      </c>
      <c r="G18" s="45" t="s">
        <v>48</v>
      </c>
      <c r="H18" s="8"/>
      <c r="I18" s="8"/>
      <c r="J18" s="46">
        <v>12.0</v>
      </c>
      <c r="K18" s="8"/>
      <c r="L18" s="8"/>
      <c r="M18" s="8"/>
      <c r="N18" s="8"/>
      <c r="O18" s="8"/>
      <c r="Q18">
        <v>3.0</v>
      </c>
      <c r="S18" s="45" t="s">
        <v>56</v>
      </c>
      <c r="Z18" t="s">
        <v>57</v>
      </c>
      <c r="AD18" s="45" t="s">
        <v>58</v>
      </c>
      <c r="AE18" s="46">
        <v>10.0</v>
      </c>
      <c r="AI18">
        <v>1.0</v>
      </c>
      <c r="AJ18" s="45" t="s">
        <v>59</v>
      </c>
      <c r="BJ18" s="46">
        <v>10.0</v>
      </c>
      <c r="BM18" t="s">
        <v>57</v>
      </c>
      <c r="BO18" s="45" t="s">
        <v>69</v>
      </c>
      <c r="BT18" s="45" t="s">
        <v>18</v>
      </c>
      <c r="CH18" t="s">
        <v>38</v>
      </c>
      <c r="CI18" s="45" t="s">
        <v>60</v>
      </c>
      <c r="CK18" t="s">
        <v>61</v>
      </c>
    </row>
    <row r="19" ht="15.75" customHeight="1">
      <c r="A19" s="8"/>
      <c r="B19" s="45" t="s">
        <v>36</v>
      </c>
      <c r="C19" s="8"/>
      <c r="D19" s="8"/>
      <c r="E19" s="46">
        <v>10.0</v>
      </c>
      <c r="F19" s="45" t="s">
        <v>54</v>
      </c>
      <c r="G19" s="45" t="s">
        <v>48</v>
      </c>
      <c r="H19" s="8"/>
      <c r="I19" s="8"/>
      <c r="J19" s="46">
        <v>12.0</v>
      </c>
      <c r="K19" s="8"/>
      <c r="L19" s="8"/>
      <c r="M19" s="8"/>
      <c r="N19" s="8"/>
      <c r="O19" s="8"/>
      <c r="Q19">
        <v>3.0</v>
      </c>
      <c r="S19" s="45" t="s">
        <v>56</v>
      </c>
      <c r="Z19" t="s">
        <v>57</v>
      </c>
      <c r="AD19" s="45" t="s">
        <v>58</v>
      </c>
      <c r="AE19" s="46">
        <v>10.0</v>
      </c>
      <c r="AI19">
        <v>1.0</v>
      </c>
      <c r="AJ19" s="45" t="s">
        <v>59</v>
      </c>
      <c r="BJ19" s="46">
        <v>10.0</v>
      </c>
      <c r="BM19" t="s">
        <v>57</v>
      </c>
      <c r="BO19" s="45" t="s">
        <v>69</v>
      </c>
      <c r="BT19" s="45" t="s">
        <v>18</v>
      </c>
      <c r="CH19" t="s">
        <v>38</v>
      </c>
      <c r="CI19" s="45" t="s">
        <v>60</v>
      </c>
      <c r="CK19" t="s">
        <v>61</v>
      </c>
    </row>
    <row r="20" ht="15.75" customHeight="1">
      <c r="A20" s="8"/>
      <c r="B20" s="45" t="s">
        <v>36</v>
      </c>
      <c r="C20" s="8"/>
      <c r="D20" s="8"/>
      <c r="E20" s="46">
        <v>10.0</v>
      </c>
      <c r="F20" s="45" t="s">
        <v>54</v>
      </c>
      <c r="G20" s="45" t="s">
        <v>48</v>
      </c>
      <c r="H20" s="8"/>
      <c r="I20" s="8"/>
      <c r="J20" s="46">
        <v>12.0</v>
      </c>
      <c r="K20" s="8"/>
      <c r="L20" s="8"/>
      <c r="M20" s="8"/>
      <c r="N20" s="8"/>
      <c r="O20" s="8"/>
      <c r="Q20">
        <v>3.0</v>
      </c>
      <c r="S20" s="45" t="s">
        <v>56</v>
      </c>
      <c r="Z20" t="s">
        <v>57</v>
      </c>
      <c r="AD20" s="45" t="s">
        <v>58</v>
      </c>
      <c r="AE20" s="46">
        <v>10.0</v>
      </c>
      <c r="AI20">
        <v>1.0</v>
      </c>
      <c r="AJ20" s="45" t="s">
        <v>59</v>
      </c>
      <c r="BJ20" s="46">
        <v>10.0</v>
      </c>
      <c r="BM20" t="s">
        <v>57</v>
      </c>
      <c r="BO20" s="45" t="s">
        <v>69</v>
      </c>
      <c r="BT20" s="45" t="s">
        <v>18</v>
      </c>
      <c r="CH20" t="s">
        <v>38</v>
      </c>
      <c r="CI20" s="45" t="s">
        <v>60</v>
      </c>
      <c r="CK20" t="s">
        <v>61</v>
      </c>
    </row>
    <row r="21" ht="15.75" customHeight="1">
      <c r="A21" s="8"/>
      <c r="B21" s="45" t="s">
        <v>32</v>
      </c>
      <c r="C21" s="8"/>
      <c r="D21" s="8"/>
      <c r="E21" s="47">
        <v>1000.0</v>
      </c>
      <c r="F21" s="45" t="s">
        <v>54</v>
      </c>
      <c r="G21" s="45" t="s">
        <v>63</v>
      </c>
      <c r="H21" s="8"/>
      <c r="I21" s="8"/>
      <c r="J21" s="46">
        <v>1.0</v>
      </c>
      <c r="K21" s="8"/>
      <c r="L21" s="8"/>
      <c r="M21" s="8"/>
      <c r="N21" s="8"/>
      <c r="O21" s="8"/>
      <c r="Q21">
        <v>3.0</v>
      </c>
      <c r="S21" s="45" t="s">
        <v>64</v>
      </c>
      <c r="Z21" t="s">
        <v>57</v>
      </c>
      <c r="AD21" s="45" t="s">
        <v>65</v>
      </c>
      <c r="AE21" s="47">
        <v>1000.0</v>
      </c>
      <c r="AI21">
        <v>1.0</v>
      </c>
      <c r="AJ21" s="45" t="s">
        <v>66</v>
      </c>
      <c r="BJ21" s="47">
        <v>1000.0</v>
      </c>
      <c r="BM21" t="s">
        <v>57</v>
      </c>
      <c r="BO21" s="45" t="s">
        <v>67</v>
      </c>
      <c r="BT21" s="45" t="s">
        <v>31</v>
      </c>
      <c r="CH21" t="s">
        <v>38</v>
      </c>
      <c r="CI21" s="45" t="s">
        <v>62</v>
      </c>
      <c r="CK21" t="s">
        <v>61</v>
      </c>
    </row>
    <row r="22" ht="15.75" customHeight="1">
      <c r="A22" s="8"/>
      <c r="B22" s="45" t="s">
        <v>36</v>
      </c>
      <c r="C22" s="8"/>
      <c r="D22" s="8"/>
      <c r="E22" s="47">
        <v>1000.0</v>
      </c>
      <c r="F22" s="45" t="s">
        <v>54</v>
      </c>
      <c r="G22" s="45" t="s">
        <v>63</v>
      </c>
      <c r="H22" s="8"/>
      <c r="I22" s="8"/>
      <c r="J22" s="46">
        <v>1.0</v>
      </c>
      <c r="K22" s="8"/>
      <c r="L22" s="8"/>
      <c r="M22" s="8"/>
      <c r="N22" s="8"/>
      <c r="O22" s="8"/>
      <c r="Q22">
        <v>3.0</v>
      </c>
      <c r="S22" s="45" t="s">
        <v>64</v>
      </c>
      <c r="Z22" t="s">
        <v>57</v>
      </c>
      <c r="AD22" s="45" t="s">
        <v>65</v>
      </c>
      <c r="AE22" s="47">
        <v>1000.0</v>
      </c>
      <c r="AI22">
        <v>1.0</v>
      </c>
      <c r="AJ22" s="45" t="s">
        <v>66</v>
      </c>
      <c r="BJ22" s="47">
        <v>1000.0</v>
      </c>
      <c r="BM22" t="s">
        <v>57</v>
      </c>
      <c r="BO22" s="45" t="s">
        <v>27</v>
      </c>
      <c r="BT22" s="45" t="s">
        <v>35</v>
      </c>
      <c r="CH22" t="s">
        <v>38</v>
      </c>
      <c r="CI22" s="45" t="s">
        <v>60</v>
      </c>
      <c r="CK22" t="s">
        <v>61</v>
      </c>
    </row>
    <row r="23" ht="15.75" customHeight="1">
      <c r="A23" s="8"/>
      <c r="B23" s="45" t="s">
        <v>36</v>
      </c>
      <c r="C23" s="8"/>
      <c r="D23" s="8"/>
      <c r="E23" s="47">
        <v>1000.0</v>
      </c>
      <c r="F23" s="45" t="s">
        <v>54</v>
      </c>
      <c r="G23" s="45" t="s">
        <v>63</v>
      </c>
      <c r="H23" s="8"/>
      <c r="I23" s="8"/>
      <c r="J23" s="46">
        <v>1.0</v>
      </c>
      <c r="K23" s="8"/>
      <c r="L23" s="8"/>
      <c r="M23" s="8"/>
      <c r="N23" s="8"/>
      <c r="O23" s="8"/>
      <c r="Q23">
        <v>3.0</v>
      </c>
      <c r="S23" s="45" t="s">
        <v>64</v>
      </c>
      <c r="Z23" t="s">
        <v>57</v>
      </c>
      <c r="AD23" s="45" t="s">
        <v>65</v>
      </c>
      <c r="AE23" s="47">
        <v>1000.0</v>
      </c>
      <c r="AI23">
        <v>1.0</v>
      </c>
      <c r="AJ23" s="45" t="s">
        <v>66</v>
      </c>
      <c r="BJ23" s="47">
        <v>1000.0</v>
      </c>
      <c r="BM23" t="s">
        <v>57</v>
      </c>
      <c r="BO23" s="45" t="s">
        <v>27</v>
      </c>
      <c r="BT23" s="45" t="s">
        <v>35</v>
      </c>
      <c r="CH23" t="s">
        <v>38</v>
      </c>
      <c r="CI23" s="45" t="s">
        <v>60</v>
      </c>
      <c r="CK23" t="s">
        <v>61</v>
      </c>
    </row>
    <row r="24" ht="15.75" customHeight="1">
      <c r="A24" s="8"/>
      <c r="B24" s="45" t="s">
        <v>36</v>
      </c>
      <c r="C24" s="8"/>
      <c r="D24" s="8"/>
      <c r="E24" s="47">
        <v>1000.0</v>
      </c>
      <c r="F24" s="45" t="s">
        <v>54</v>
      </c>
      <c r="G24" s="45" t="s">
        <v>63</v>
      </c>
      <c r="H24" s="8"/>
      <c r="I24" s="8"/>
      <c r="J24" s="46">
        <v>1.0</v>
      </c>
      <c r="K24" s="8"/>
      <c r="L24" s="8"/>
      <c r="M24" s="8"/>
      <c r="N24" s="8"/>
      <c r="O24" s="8"/>
      <c r="Q24">
        <v>3.0</v>
      </c>
      <c r="S24" s="45" t="s">
        <v>64</v>
      </c>
      <c r="Z24" t="s">
        <v>57</v>
      </c>
      <c r="AD24" s="45" t="s">
        <v>65</v>
      </c>
      <c r="AE24" s="47">
        <v>1000.0</v>
      </c>
      <c r="AI24">
        <v>1.0</v>
      </c>
      <c r="AJ24" s="45" t="s">
        <v>66</v>
      </c>
      <c r="BJ24" s="47">
        <v>1000.0</v>
      </c>
      <c r="BM24" t="s">
        <v>57</v>
      </c>
      <c r="BO24" s="45" t="s">
        <v>27</v>
      </c>
      <c r="BT24" s="45" t="s">
        <v>35</v>
      </c>
      <c r="CH24" t="s">
        <v>38</v>
      </c>
      <c r="CI24" s="45" t="s">
        <v>60</v>
      </c>
      <c r="CK24" t="s">
        <v>61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0.0</v>
      </c>
      <c r="C6" s="46">
        <v>0.0</v>
      </c>
      <c r="D6" s="46">
        <v>0.0</v>
      </c>
      <c r="E6" s="46">
        <v>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>
        <v>0.0</v>
      </c>
      <c r="C7" s="46">
        <v>0.0</v>
      </c>
      <c r="D7" s="46">
        <v>0.0</v>
      </c>
      <c r="E7" s="46">
        <v>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>
        <v>0.0</v>
      </c>
      <c r="C8" s="46">
        <v>0.0</v>
      </c>
      <c r="D8" s="46">
        <v>0.0</v>
      </c>
      <c r="E8" s="46">
        <v>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>
        <v>0.0</v>
      </c>
      <c r="C9" s="46">
        <v>0.0</v>
      </c>
      <c r="D9" s="46">
        <v>0.0</v>
      </c>
      <c r="E9" s="46">
        <v>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>
        <v>40000.0</v>
      </c>
      <c r="C10" s="47">
        <v>40000.0</v>
      </c>
      <c r="D10" s="47">
        <v>40000.0</v>
      </c>
      <c r="E10" s="47">
        <v>40000.0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>
        <v>50000.0</v>
      </c>
      <c r="C11" s="47">
        <v>50000.0</v>
      </c>
      <c r="D11" s="47">
        <v>50000.0</v>
      </c>
      <c r="E11" s="47">
        <v>50000.0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>
        <v>40000.0</v>
      </c>
      <c r="C13" s="47">
        <v>40000.0</v>
      </c>
      <c r="D13" s="47">
        <v>40000.0</v>
      </c>
      <c r="E13" s="47">
        <v>40000.0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>
        <v>6000.0</v>
      </c>
      <c r="C14" s="47">
        <v>6000.0</v>
      </c>
      <c r="D14" s="47">
        <v>6000.0</v>
      </c>
      <c r="E14" s="47">
        <v>6000.0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7">
        <v>60000.0</v>
      </c>
      <c r="C15" s="47">
        <v>60000.0</v>
      </c>
      <c r="D15" s="47">
        <v>60000.0</v>
      </c>
      <c r="E15" s="47">
        <v>60000.0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7">
        <v>54000.0</v>
      </c>
      <c r="C16" s="47">
        <v>54000.0</v>
      </c>
      <c r="D16" s="47">
        <v>54000.0</v>
      </c>
      <c r="E16" s="47">
        <v>54000.0</v>
      </c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>
        <v>0.0</v>
      </c>
      <c r="C17" s="46">
        <v>0.0</v>
      </c>
      <c r="D17" s="46">
        <v>0.0</v>
      </c>
      <c r="E17" s="46">
        <v>0.0</v>
      </c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>
        <v>0.0</v>
      </c>
      <c r="C18" s="46">
        <v>0.0</v>
      </c>
      <c r="D18" s="46">
        <v>0.0</v>
      </c>
      <c r="E18" s="46">
        <v>0.0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>
        <v>0.0</v>
      </c>
      <c r="C19" s="46">
        <v>0.0</v>
      </c>
      <c r="D19" s="46">
        <v>0.0</v>
      </c>
      <c r="E19" s="46">
        <v>0.0</v>
      </c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6">
        <v>0.0</v>
      </c>
      <c r="C20" s="46">
        <v>0.0</v>
      </c>
      <c r="D20" s="46">
        <v>0.0</v>
      </c>
      <c r="E20" s="46">
        <v>0.0</v>
      </c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7">
        <v>60000.0</v>
      </c>
      <c r="C21" s="47">
        <v>60000.0</v>
      </c>
      <c r="D21" s="47">
        <v>60000.0</v>
      </c>
      <c r="E21" s="47">
        <v>60000.0</v>
      </c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7">
        <v>60000.0</v>
      </c>
      <c r="C22" s="47">
        <v>60000.0</v>
      </c>
      <c r="D22" s="47">
        <v>60000.0</v>
      </c>
      <c r="E22" s="47">
        <v>60000.0</v>
      </c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7">
        <v>60000.0</v>
      </c>
      <c r="C23" s="47">
        <v>60000.0</v>
      </c>
      <c r="D23" s="47">
        <v>60000.0</v>
      </c>
      <c r="E23" s="47">
        <v>60000.0</v>
      </c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7">
        <v>60000.0</v>
      </c>
      <c r="C24" s="47">
        <v>60000.0</v>
      </c>
      <c r="D24" s="47">
        <v>60000.0</v>
      </c>
      <c r="E24" s="47">
        <v>60000.0</v>
      </c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45" t="s">
        <v>26</v>
      </c>
      <c r="D6" s="48">
        <v>1000.0</v>
      </c>
      <c r="E6" s="45" t="s">
        <v>28</v>
      </c>
      <c r="F6" s="45" t="s">
        <v>73</v>
      </c>
      <c r="G6" s="46">
        <v>1.0</v>
      </c>
      <c r="H6" s="45" t="s">
        <v>34</v>
      </c>
      <c r="I6" s="8"/>
      <c r="J6" s="8"/>
      <c r="K6" s="8"/>
      <c r="L6" s="8"/>
      <c r="M6" s="8"/>
      <c r="N6" s="8"/>
      <c r="O6" s="8"/>
      <c r="Q6" s="48">
        <v>-1000.0</v>
      </c>
      <c r="T6" s="45" t="s">
        <v>63</v>
      </c>
      <c r="U6" t="s">
        <v>61</v>
      </c>
      <c r="V6" s="45" t="s">
        <v>65</v>
      </c>
      <c r="W6" s="45" t="s">
        <v>57</v>
      </c>
      <c r="X6" s="46">
        <v>1.0</v>
      </c>
      <c r="Y6">
        <v>1.0</v>
      </c>
      <c r="AM6" s="46">
        <v>1.0</v>
      </c>
      <c r="AN6" s="45" t="s">
        <v>27</v>
      </c>
      <c r="AP6" s="45" t="s">
        <v>74</v>
      </c>
      <c r="BQ6" s="45" t="s">
        <v>75</v>
      </c>
      <c r="BU6" s="45" t="s">
        <v>63</v>
      </c>
      <c r="CG6" s="48">
        <v>-1000.0</v>
      </c>
      <c r="CH6" s="46">
        <v>-100.0</v>
      </c>
      <c r="DJ6" s="45" t="s">
        <v>27</v>
      </c>
      <c r="DM6">
        <v>1.0</v>
      </c>
      <c r="DP6" s="45" t="s">
        <v>74</v>
      </c>
    </row>
    <row r="7" ht="15.75" customHeight="1">
      <c r="A7" s="8"/>
      <c r="B7" s="8"/>
      <c r="C7" s="45" t="s">
        <v>21</v>
      </c>
      <c r="D7" s="46">
        <v>-10.0</v>
      </c>
      <c r="E7" s="45" t="s">
        <v>28</v>
      </c>
      <c r="F7" s="45" t="s">
        <v>73</v>
      </c>
      <c r="G7" s="46">
        <v>10.0</v>
      </c>
      <c r="H7" s="45" t="s">
        <v>34</v>
      </c>
      <c r="I7" s="8"/>
      <c r="J7" s="8"/>
      <c r="K7" s="8"/>
      <c r="L7" s="8"/>
      <c r="M7" s="8"/>
      <c r="N7" s="8"/>
      <c r="O7" s="8"/>
      <c r="Q7" s="48">
        <v>10000.0</v>
      </c>
      <c r="T7" s="45" t="s">
        <v>48</v>
      </c>
      <c r="U7" t="s">
        <v>61</v>
      </c>
      <c r="V7" s="45" t="s">
        <v>58</v>
      </c>
      <c r="W7" s="45" t="s">
        <v>57</v>
      </c>
      <c r="X7" s="46">
        <v>100.0</v>
      </c>
      <c r="Y7">
        <v>1.0</v>
      </c>
      <c r="AM7" s="46">
        <v>1.0</v>
      </c>
      <c r="AN7" s="45" t="s">
        <v>29</v>
      </c>
      <c r="AP7" s="45" t="s">
        <v>74</v>
      </c>
      <c r="BQ7" s="45" t="s">
        <v>75</v>
      </c>
      <c r="BU7" s="45" t="s">
        <v>76</v>
      </c>
      <c r="CG7" s="48">
        <v>10000.0</v>
      </c>
      <c r="CH7" s="46">
        <v>100.0</v>
      </c>
      <c r="DJ7" s="45" t="s">
        <v>29</v>
      </c>
      <c r="DM7">
        <v>1.0</v>
      </c>
      <c r="DP7" s="45" t="s">
        <v>74</v>
      </c>
    </row>
    <row r="8" ht="15.75" customHeight="1">
      <c r="A8" s="8"/>
      <c r="B8" s="8"/>
      <c r="C8" s="45" t="s">
        <v>22</v>
      </c>
      <c r="D8" s="46">
        <v>10.0</v>
      </c>
      <c r="E8" s="45" t="s">
        <v>28</v>
      </c>
      <c r="F8" s="45" t="s">
        <v>73</v>
      </c>
      <c r="G8" s="46">
        <v>10.0</v>
      </c>
      <c r="H8" s="45" t="s">
        <v>74</v>
      </c>
      <c r="I8" s="8"/>
      <c r="J8" s="8"/>
      <c r="K8" s="8"/>
      <c r="L8" s="8"/>
      <c r="M8" s="8"/>
      <c r="N8" s="8"/>
      <c r="O8" s="8"/>
      <c r="Q8" s="48">
        <v>-10000.0</v>
      </c>
      <c r="T8" s="45" t="s">
        <v>48</v>
      </c>
      <c r="U8" t="s">
        <v>61</v>
      </c>
      <c r="V8" s="45" t="s">
        <v>58</v>
      </c>
      <c r="W8" s="45" t="s">
        <v>57</v>
      </c>
      <c r="X8" s="46">
        <v>100.0</v>
      </c>
      <c r="Y8">
        <v>1.0</v>
      </c>
      <c r="AM8" s="46">
        <v>1.0</v>
      </c>
      <c r="AN8" s="45" t="s">
        <v>30</v>
      </c>
      <c r="AP8" s="45" t="s">
        <v>74</v>
      </c>
      <c r="BQ8" s="45" t="s">
        <v>75</v>
      </c>
      <c r="BU8" s="45" t="s">
        <v>77</v>
      </c>
      <c r="CG8" s="48">
        <v>-10000.0</v>
      </c>
      <c r="CH8" s="46">
        <v>-100.0</v>
      </c>
      <c r="DJ8" s="45" t="s">
        <v>30</v>
      </c>
      <c r="DM8">
        <v>1.0</v>
      </c>
      <c r="DP8" s="45" t="s">
        <v>34</v>
      </c>
    </row>
    <row r="9" ht="15.75" customHeight="1">
      <c r="A9" s="8"/>
      <c r="B9" s="8"/>
      <c r="C9" s="45" t="s">
        <v>23</v>
      </c>
      <c r="D9" s="46">
        <v>-10.0</v>
      </c>
      <c r="E9" s="45" t="s">
        <v>28</v>
      </c>
      <c r="F9" s="45" t="s">
        <v>73</v>
      </c>
      <c r="G9" s="46">
        <v>10.0</v>
      </c>
      <c r="H9" s="45" t="s">
        <v>34</v>
      </c>
      <c r="I9" s="8"/>
      <c r="J9" s="8"/>
      <c r="K9" s="8"/>
      <c r="L9" s="8"/>
      <c r="M9" s="8"/>
      <c r="N9" s="8"/>
      <c r="O9" s="8"/>
      <c r="Q9" s="48">
        <v>10000.0</v>
      </c>
      <c r="T9" s="45" t="s">
        <v>48</v>
      </c>
      <c r="U9" t="s">
        <v>61</v>
      </c>
      <c r="V9" s="45" t="s">
        <v>58</v>
      </c>
      <c r="W9" s="45" t="s">
        <v>57</v>
      </c>
      <c r="X9" s="46">
        <v>100.0</v>
      </c>
      <c r="Y9">
        <v>1.0</v>
      </c>
      <c r="AM9" s="46">
        <v>1.0</v>
      </c>
      <c r="AN9" s="45" t="s">
        <v>29</v>
      </c>
      <c r="AP9" s="45" t="s">
        <v>74</v>
      </c>
      <c r="BQ9" s="45" t="s">
        <v>75</v>
      </c>
      <c r="BU9" s="45" t="s">
        <v>76</v>
      </c>
      <c r="CG9" s="48">
        <v>10000.0</v>
      </c>
      <c r="CH9" s="46">
        <v>100.0</v>
      </c>
      <c r="DJ9" s="45" t="s">
        <v>29</v>
      </c>
      <c r="DM9">
        <v>1.0</v>
      </c>
      <c r="DP9" s="45" t="s">
        <v>74</v>
      </c>
    </row>
    <row r="10" ht="15.75" customHeight="1">
      <c r="A10" s="8"/>
      <c r="B10" s="8"/>
      <c r="C10" s="45" t="s">
        <v>21</v>
      </c>
      <c r="D10" s="46">
        <v>10.0</v>
      </c>
      <c r="E10" s="45" t="s">
        <v>28</v>
      </c>
      <c r="F10" s="45" t="s">
        <v>73</v>
      </c>
      <c r="G10" s="46">
        <v>0.0</v>
      </c>
      <c r="H10" s="45" t="s">
        <v>34</v>
      </c>
      <c r="I10" s="8"/>
      <c r="J10" s="8"/>
      <c r="K10" s="8"/>
      <c r="L10" s="8"/>
      <c r="M10" s="8"/>
      <c r="N10" s="8"/>
      <c r="O10" s="8"/>
      <c r="Q10" s="46">
        <v>0.0</v>
      </c>
      <c r="T10" s="45" t="s">
        <v>48</v>
      </c>
      <c r="U10" t="s">
        <v>61</v>
      </c>
      <c r="V10" s="45" t="s">
        <v>58</v>
      </c>
      <c r="W10" s="45" t="s">
        <v>57</v>
      </c>
      <c r="X10" s="46">
        <v>100.0</v>
      </c>
      <c r="Y10">
        <v>1.0</v>
      </c>
      <c r="AM10" s="46">
        <v>1.0</v>
      </c>
      <c r="AN10" s="45" t="s">
        <v>30</v>
      </c>
      <c r="AP10" s="45" t="s">
        <v>74</v>
      </c>
      <c r="BQ10" s="45" t="s">
        <v>75</v>
      </c>
      <c r="BU10" s="45" t="s">
        <v>76</v>
      </c>
      <c r="CG10" s="46">
        <v>0.0</v>
      </c>
      <c r="CH10" s="46">
        <v>0.0</v>
      </c>
      <c r="DJ10" s="45" t="s">
        <v>60</v>
      </c>
      <c r="DM10">
        <v>1.0</v>
      </c>
      <c r="DP10" s="45" t="s">
        <v>74</v>
      </c>
    </row>
    <row r="11" ht="15.75" customHeight="1">
      <c r="A11" s="8"/>
      <c r="B11" s="8"/>
      <c r="C11" s="45" t="s">
        <v>22</v>
      </c>
      <c r="D11" s="46">
        <v>-10.0</v>
      </c>
      <c r="E11" s="45" t="s">
        <v>28</v>
      </c>
      <c r="F11" s="45" t="s">
        <v>73</v>
      </c>
      <c r="G11" s="46">
        <v>0.0</v>
      </c>
      <c r="H11" s="45" t="s">
        <v>74</v>
      </c>
      <c r="I11" s="8"/>
      <c r="J11" s="8"/>
      <c r="K11" s="8"/>
      <c r="L11" s="8"/>
      <c r="M11" s="8"/>
      <c r="N11" s="8"/>
      <c r="O11" s="8"/>
      <c r="Q11" s="46">
        <v>0.0</v>
      </c>
      <c r="T11" s="45" t="s">
        <v>48</v>
      </c>
      <c r="U11" t="s">
        <v>61</v>
      </c>
      <c r="V11" s="45" t="s">
        <v>58</v>
      </c>
      <c r="W11" s="45" t="s">
        <v>57</v>
      </c>
      <c r="X11" s="46">
        <v>100.0</v>
      </c>
      <c r="Y11">
        <v>1.0</v>
      </c>
      <c r="AM11" s="46">
        <v>1.0</v>
      </c>
      <c r="AN11" s="45" t="s">
        <v>29</v>
      </c>
      <c r="AP11" s="45" t="s">
        <v>74</v>
      </c>
      <c r="BQ11" s="45" t="s">
        <v>75</v>
      </c>
      <c r="BU11" s="45" t="s">
        <v>77</v>
      </c>
      <c r="CG11" s="46">
        <v>0.0</v>
      </c>
      <c r="CH11" s="46">
        <v>0.0</v>
      </c>
      <c r="DJ11" s="45" t="s">
        <v>62</v>
      </c>
      <c r="DM11">
        <v>1.0</v>
      </c>
      <c r="DP11" s="45" t="s">
        <v>34</v>
      </c>
    </row>
    <row r="12" ht="15.75" customHeight="1">
      <c r="A12" s="8"/>
      <c r="B12" s="8"/>
      <c r="C12" s="45" t="s">
        <v>23</v>
      </c>
      <c r="D12" s="46">
        <v>10.0</v>
      </c>
      <c r="E12" s="45" t="s">
        <v>28</v>
      </c>
      <c r="F12" s="45" t="s">
        <v>73</v>
      </c>
      <c r="G12" s="46">
        <v>0.0</v>
      </c>
      <c r="H12" s="45" t="s">
        <v>34</v>
      </c>
      <c r="I12" s="8"/>
      <c r="J12" s="8"/>
      <c r="K12" s="8"/>
      <c r="L12" s="8"/>
      <c r="M12" s="8"/>
      <c r="N12" s="8"/>
      <c r="O12" s="8"/>
      <c r="Q12" s="46">
        <v>0.0</v>
      </c>
      <c r="T12" s="45" t="s">
        <v>48</v>
      </c>
      <c r="U12" t="s">
        <v>61</v>
      </c>
      <c r="V12" s="45" t="s">
        <v>58</v>
      </c>
      <c r="W12" s="45" t="s">
        <v>57</v>
      </c>
      <c r="X12" s="46">
        <v>100.0</v>
      </c>
      <c r="Y12">
        <v>1.0</v>
      </c>
      <c r="AM12" s="46">
        <v>1.0</v>
      </c>
      <c r="AN12" s="45" t="s">
        <v>30</v>
      </c>
      <c r="AP12" s="45" t="s">
        <v>74</v>
      </c>
      <c r="BQ12" s="45" t="s">
        <v>75</v>
      </c>
      <c r="BU12" s="45" t="s">
        <v>76</v>
      </c>
      <c r="CG12" s="46">
        <v>0.0</v>
      </c>
      <c r="CH12" s="46">
        <v>0.0</v>
      </c>
      <c r="DJ12" s="45" t="s">
        <v>60</v>
      </c>
      <c r="DM12">
        <v>1.0</v>
      </c>
      <c r="DP12" s="45" t="s">
        <v>74</v>
      </c>
    </row>
    <row r="13" ht="15.75" customHeight="1">
      <c r="A13" s="8"/>
      <c r="B13" s="8"/>
      <c r="C13" s="45" t="s">
        <v>26</v>
      </c>
      <c r="D13" s="48">
        <v>-1000.0</v>
      </c>
      <c r="E13" s="45" t="s">
        <v>28</v>
      </c>
      <c r="F13" s="45" t="s">
        <v>73</v>
      </c>
      <c r="G13" s="46">
        <v>40.0</v>
      </c>
      <c r="H13" s="45" t="s">
        <v>34</v>
      </c>
      <c r="I13" s="8"/>
      <c r="J13" s="8"/>
      <c r="K13" s="8"/>
      <c r="L13" s="8"/>
      <c r="M13" s="8"/>
      <c r="N13" s="8"/>
      <c r="O13" s="8"/>
      <c r="Q13" s="48">
        <v>40000.0</v>
      </c>
      <c r="T13" s="45" t="s">
        <v>63</v>
      </c>
      <c r="U13" t="s">
        <v>61</v>
      </c>
      <c r="V13" s="45" t="s">
        <v>65</v>
      </c>
      <c r="W13" s="45" t="s">
        <v>57</v>
      </c>
      <c r="X13" s="46">
        <v>1.0</v>
      </c>
      <c r="Y13">
        <v>1.0</v>
      </c>
      <c r="AM13" s="46">
        <v>1.0</v>
      </c>
      <c r="AN13" s="45" t="s">
        <v>67</v>
      </c>
      <c r="AP13" s="45" t="s">
        <v>34</v>
      </c>
      <c r="BQ13" s="45" t="s">
        <v>75</v>
      </c>
      <c r="BU13" s="45" t="s">
        <v>63</v>
      </c>
      <c r="CG13" s="48">
        <v>40000.0</v>
      </c>
      <c r="CH13" s="46">
        <v>100.0</v>
      </c>
      <c r="DJ13" s="45" t="s">
        <v>60</v>
      </c>
      <c r="DM13">
        <v>1.0</v>
      </c>
      <c r="DP13" s="45" t="s">
        <v>34</v>
      </c>
    </row>
    <row r="14" ht="15.75" customHeight="1">
      <c r="A14" s="8"/>
      <c r="B14" s="8"/>
      <c r="C14" s="45" t="s">
        <v>26</v>
      </c>
      <c r="D14" s="48">
        <v>-1000.0</v>
      </c>
      <c r="E14" s="45" t="s">
        <v>28</v>
      </c>
      <c r="F14" s="45" t="s">
        <v>73</v>
      </c>
      <c r="G14" s="46">
        <v>40.0</v>
      </c>
      <c r="H14" s="45" t="s">
        <v>34</v>
      </c>
      <c r="I14" s="8"/>
      <c r="J14" s="8"/>
      <c r="K14" s="8"/>
      <c r="L14" s="8"/>
      <c r="M14" s="8"/>
      <c r="N14" s="8"/>
      <c r="O14" s="8"/>
      <c r="Q14" s="48">
        <v>40000.0</v>
      </c>
      <c r="T14" s="45" t="s">
        <v>63</v>
      </c>
      <c r="U14" t="s">
        <v>61</v>
      </c>
      <c r="V14" s="45" t="s">
        <v>65</v>
      </c>
      <c r="W14" s="45" t="s">
        <v>57</v>
      </c>
      <c r="X14" s="46">
        <v>1.0</v>
      </c>
      <c r="Y14">
        <v>1.0</v>
      </c>
      <c r="AM14" s="46">
        <v>1.0</v>
      </c>
      <c r="AN14" s="45" t="s">
        <v>67</v>
      </c>
      <c r="AP14" s="45" t="s">
        <v>34</v>
      </c>
      <c r="BQ14" s="45" t="s">
        <v>75</v>
      </c>
      <c r="BU14" s="45" t="s">
        <v>63</v>
      </c>
      <c r="CG14" s="48">
        <v>40000.0</v>
      </c>
      <c r="CH14" s="46">
        <v>100.0</v>
      </c>
      <c r="DJ14" s="45" t="s">
        <v>62</v>
      </c>
      <c r="DM14">
        <v>1.0</v>
      </c>
      <c r="DP14" s="45" t="s">
        <v>34</v>
      </c>
    </row>
    <row r="15" ht="15.75" customHeight="1">
      <c r="A15" s="8"/>
      <c r="B15" s="8"/>
      <c r="C15" s="45" t="s">
        <v>26</v>
      </c>
      <c r="D15" s="48">
        <v>-1000.0</v>
      </c>
      <c r="E15" s="45" t="s">
        <v>28</v>
      </c>
      <c r="F15" s="45" t="s">
        <v>73</v>
      </c>
      <c r="G15" s="46">
        <v>50.0</v>
      </c>
      <c r="H15" s="45" t="s">
        <v>34</v>
      </c>
      <c r="I15" s="8"/>
      <c r="J15" s="8"/>
      <c r="K15" s="8"/>
      <c r="L15" s="8"/>
      <c r="M15" s="8"/>
      <c r="N15" s="8"/>
      <c r="O15" s="8"/>
      <c r="Q15" s="48">
        <v>50000.0</v>
      </c>
      <c r="T15" s="45" t="s">
        <v>63</v>
      </c>
      <c r="U15" t="s">
        <v>61</v>
      </c>
      <c r="V15" s="45" t="s">
        <v>65</v>
      </c>
      <c r="W15" s="45" t="s">
        <v>57</v>
      </c>
      <c r="X15" s="46">
        <v>1.0</v>
      </c>
      <c r="Y15">
        <v>1.0</v>
      </c>
      <c r="AM15" s="46">
        <v>1.0</v>
      </c>
      <c r="AN15" s="45" t="s">
        <v>68</v>
      </c>
      <c r="AP15" s="45" t="s">
        <v>74</v>
      </c>
      <c r="BQ15" s="45" t="s">
        <v>75</v>
      </c>
      <c r="BU15" s="45" t="s">
        <v>63</v>
      </c>
      <c r="CG15" s="48">
        <v>50000.0</v>
      </c>
      <c r="CH15" s="46">
        <v>100.0</v>
      </c>
      <c r="DJ15" s="45" t="s">
        <v>60</v>
      </c>
      <c r="DM15">
        <v>1.0</v>
      </c>
      <c r="DP15" s="45" t="s">
        <v>74</v>
      </c>
    </row>
    <row r="16" ht="15.75" customHeight="1">
      <c r="A16" s="8"/>
      <c r="B16" s="8"/>
      <c r="C16" s="45" t="s">
        <v>31</v>
      </c>
      <c r="D16" s="48">
        <v>1100.0</v>
      </c>
      <c r="E16" s="45" t="s">
        <v>32</v>
      </c>
      <c r="F16" s="45" t="s">
        <v>78</v>
      </c>
      <c r="G16" s="46">
        <v>1.0</v>
      </c>
      <c r="H16" s="45" t="s">
        <v>34</v>
      </c>
      <c r="I16" s="8"/>
      <c r="J16" s="8"/>
      <c r="K16" s="8"/>
      <c r="L16" s="8"/>
      <c r="M16" s="8"/>
      <c r="N16" s="8"/>
      <c r="O16" s="8"/>
      <c r="Q16" s="48">
        <v>-1100.0</v>
      </c>
      <c r="T16" s="45" t="s">
        <v>63</v>
      </c>
      <c r="U16" t="s">
        <v>61</v>
      </c>
      <c r="V16" s="45" t="s">
        <v>65</v>
      </c>
      <c r="W16" s="45" t="s">
        <v>57</v>
      </c>
      <c r="X16" s="46">
        <v>1.0</v>
      </c>
      <c r="Y16">
        <v>1.0</v>
      </c>
      <c r="AM16" s="46">
        <v>1.0</v>
      </c>
      <c r="AN16" s="45" t="s">
        <v>27</v>
      </c>
      <c r="AP16" s="45" t="s">
        <v>74</v>
      </c>
      <c r="BQ16" s="45" t="s">
        <v>75</v>
      </c>
      <c r="BU16" s="45" t="s">
        <v>63</v>
      </c>
      <c r="CG16" s="48">
        <v>-1100.0</v>
      </c>
      <c r="CH16" s="46">
        <v>-100.0</v>
      </c>
      <c r="DJ16" s="45" t="s">
        <v>27</v>
      </c>
      <c r="DM16">
        <v>1.0</v>
      </c>
      <c r="DP16" s="45" t="s">
        <v>74</v>
      </c>
    </row>
    <row r="17" ht="15.75" customHeight="1">
      <c r="A17" s="8"/>
      <c r="B17" s="8"/>
      <c r="C17" s="45" t="s">
        <v>16</v>
      </c>
      <c r="D17" s="46">
        <v>10.0</v>
      </c>
      <c r="E17" s="45" t="s">
        <v>32</v>
      </c>
      <c r="F17" s="45" t="s">
        <v>78</v>
      </c>
      <c r="G17" s="46">
        <v>10.0</v>
      </c>
      <c r="H17" s="45" t="s">
        <v>74</v>
      </c>
      <c r="I17" s="8"/>
      <c r="J17" s="8"/>
      <c r="K17" s="8"/>
      <c r="L17" s="8"/>
      <c r="M17" s="8"/>
      <c r="N17" s="8"/>
      <c r="O17" s="8"/>
      <c r="Q17" s="48">
        <v>-10000.0</v>
      </c>
      <c r="T17" s="45" t="s">
        <v>48</v>
      </c>
      <c r="U17" t="s">
        <v>61</v>
      </c>
      <c r="V17" s="45" t="s">
        <v>58</v>
      </c>
      <c r="W17" s="45" t="s">
        <v>57</v>
      </c>
      <c r="X17" s="46">
        <v>100.0</v>
      </c>
      <c r="Y17">
        <v>1.0</v>
      </c>
      <c r="AM17" s="46">
        <v>1.0</v>
      </c>
      <c r="AN17" s="45" t="s">
        <v>30</v>
      </c>
      <c r="AP17" s="45" t="s">
        <v>74</v>
      </c>
      <c r="BQ17" s="45" t="s">
        <v>75</v>
      </c>
      <c r="BU17" s="45" t="s">
        <v>77</v>
      </c>
      <c r="CG17" s="48">
        <v>-10000.0</v>
      </c>
      <c r="CH17" s="46">
        <v>-100.0</v>
      </c>
      <c r="DJ17" s="45" t="s">
        <v>30</v>
      </c>
      <c r="DM17">
        <v>1.0</v>
      </c>
      <c r="DP17" s="45" t="s">
        <v>34</v>
      </c>
    </row>
    <row r="18" ht="15.75" customHeight="1">
      <c r="A18" s="8"/>
      <c r="B18" s="8"/>
      <c r="C18" s="45" t="s">
        <v>16</v>
      </c>
      <c r="D18" s="46">
        <v>10.0</v>
      </c>
      <c r="E18" s="45" t="s">
        <v>32</v>
      </c>
      <c r="F18" s="45" t="s">
        <v>78</v>
      </c>
      <c r="G18" s="46">
        <v>10.0</v>
      </c>
      <c r="H18" s="45" t="s">
        <v>74</v>
      </c>
      <c r="I18" s="8"/>
      <c r="J18" s="8"/>
      <c r="K18" s="8"/>
      <c r="L18" s="8"/>
      <c r="M18" s="8"/>
      <c r="N18" s="8"/>
      <c r="O18" s="8"/>
      <c r="Q18" s="48">
        <v>-10000.0</v>
      </c>
      <c r="T18" s="45" t="s">
        <v>48</v>
      </c>
      <c r="U18" t="s">
        <v>61</v>
      </c>
      <c r="V18" s="45" t="s">
        <v>58</v>
      </c>
      <c r="W18" s="45" t="s">
        <v>57</v>
      </c>
      <c r="X18" s="46">
        <v>100.0</v>
      </c>
      <c r="Y18">
        <v>1.0</v>
      </c>
      <c r="AM18" s="46">
        <v>1.0</v>
      </c>
      <c r="AN18" s="45" t="s">
        <v>30</v>
      </c>
      <c r="AP18" s="45" t="s">
        <v>74</v>
      </c>
      <c r="BQ18" s="45" t="s">
        <v>75</v>
      </c>
      <c r="BU18" s="45" t="s">
        <v>77</v>
      </c>
      <c r="CG18" s="48">
        <v>-10000.0</v>
      </c>
      <c r="CH18" s="46">
        <v>-100.0</v>
      </c>
      <c r="DJ18" s="45" t="s">
        <v>30</v>
      </c>
      <c r="DM18">
        <v>1.0</v>
      </c>
      <c r="DP18" s="45" t="s">
        <v>34</v>
      </c>
    </row>
    <row r="19" ht="15.75" customHeight="1">
      <c r="A19" s="8"/>
      <c r="B19" s="8"/>
      <c r="C19" s="45" t="s">
        <v>16</v>
      </c>
      <c r="D19" s="46">
        <v>10.0</v>
      </c>
      <c r="E19" s="45" t="s">
        <v>32</v>
      </c>
      <c r="F19" s="45" t="s">
        <v>78</v>
      </c>
      <c r="G19" s="46">
        <v>10.0</v>
      </c>
      <c r="H19" s="45" t="s">
        <v>74</v>
      </c>
      <c r="I19" s="8"/>
      <c r="J19" s="8"/>
      <c r="K19" s="8"/>
      <c r="L19" s="8"/>
      <c r="M19" s="8"/>
      <c r="N19" s="8"/>
      <c r="O19" s="8"/>
      <c r="Q19" s="48">
        <v>-10000.0</v>
      </c>
      <c r="T19" s="45" t="s">
        <v>48</v>
      </c>
      <c r="U19" t="s">
        <v>61</v>
      </c>
      <c r="V19" s="45" t="s">
        <v>58</v>
      </c>
      <c r="W19" s="45" t="s">
        <v>57</v>
      </c>
      <c r="X19" s="46">
        <v>100.0</v>
      </c>
      <c r="Y19">
        <v>1.0</v>
      </c>
      <c r="AM19" s="46">
        <v>1.0</v>
      </c>
      <c r="AN19" s="45" t="s">
        <v>30</v>
      </c>
      <c r="AP19" s="45" t="s">
        <v>74</v>
      </c>
      <c r="BQ19" s="45" t="s">
        <v>75</v>
      </c>
      <c r="BU19" s="45" t="s">
        <v>77</v>
      </c>
      <c r="CG19" s="48">
        <v>-10000.0</v>
      </c>
      <c r="CH19" s="46">
        <v>-100.0</v>
      </c>
      <c r="DJ19" s="45" t="s">
        <v>30</v>
      </c>
      <c r="DM19">
        <v>1.0</v>
      </c>
      <c r="DP19" s="45" t="s">
        <v>34</v>
      </c>
    </row>
    <row r="20" ht="15.75" customHeight="1">
      <c r="A20" s="8"/>
      <c r="B20" s="8"/>
      <c r="C20" s="45" t="s">
        <v>16</v>
      </c>
      <c r="D20" s="46">
        <v>-10.0</v>
      </c>
      <c r="E20" s="45" t="s">
        <v>32</v>
      </c>
      <c r="F20" s="45" t="s">
        <v>78</v>
      </c>
      <c r="G20" s="46">
        <v>0.0</v>
      </c>
      <c r="H20" s="45" t="s">
        <v>74</v>
      </c>
      <c r="I20" s="8"/>
      <c r="J20" s="8"/>
      <c r="K20" s="8"/>
      <c r="L20" s="8"/>
      <c r="M20" s="8"/>
      <c r="N20" s="8"/>
      <c r="O20" s="8"/>
      <c r="Q20" s="46">
        <v>0.0</v>
      </c>
      <c r="T20" s="45" t="s">
        <v>48</v>
      </c>
      <c r="U20" t="s">
        <v>61</v>
      </c>
      <c r="V20" s="45" t="s">
        <v>58</v>
      </c>
      <c r="W20" s="45" t="s">
        <v>57</v>
      </c>
      <c r="X20" s="46">
        <v>100.0</v>
      </c>
      <c r="Y20">
        <v>1.0</v>
      </c>
      <c r="AM20" s="46">
        <v>1.0</v>
      </c>
      <c r="AN20" s="45" t="s">
        <v>29</v>
      </c>
      <c r="AP20" s="45" t="s">
        <v>74</v>
      </c>
      <c r="BQ20" s="45" t="s">
        <v>75</v>
      </c>
      <c r="BU20" s="45" t="s">
        <v>77</v>
      </c>
      <c r="CG20" s="46">
        <v>0.0</v>
      </c>
      <c r="CH20" s="46">
        <v>0.0</v>
      </c>
      <c r="DJ20" s="45" t="s">
        <v>62</v>
      </c>
      <c r="DM20">
        <v>1.0</v>
      </c>
      <c r="DP20" s="45" t="s">
        <v>34</v>
      </c>
    </row>
    <row r="21" ht="15.75" customHeight="1">
      <c r="A21" s="8"/>
      <c r="B21" s="8"/>
      <c r="C21" s="45" t="s">
        <v>16</v>
      </c>
      <c r="D21" s="46">
        <v>-10.0</v>
      </c>
      <c r="E21" s="45" t="s">
        <v>32</v>
      </c>
      <c r="F21" s="45" t="s">
        <v>78</v>
      </c>
      <c r="G21" s="46">
        <v>0.0</v>
      </c>
      <c r="H21" s="45" t="s">
        <v>74</v>
      </c>
      <c r="I21" s="8"/>
      <c r="J21" s="8"/>
      <c r="K21" s="8"/>
      <c r="L21" s="8"/>
      <c r="M21" s="8"/>
      <c r="N21" s="8"/>
      <c r="O21" s="8"/>
      <c r="Q21" s="46">
        <v>0.0</v>
      </c>
      <c r="T21" s="45" t="s">
        <v>48</v>
      </c>
      <c r="U21" t="s">
        <v>61</v>
      </c>
      <c r="V21" s="45" t="s">
        <v>58</v>
      </c>
      <c r="W21" s="45" t="s">
        <v>57</v>
      </c>
      <c r="X21" s="46">
        <v>100.0</v>
      </c>
      <c r="Y21">
        <v>1.0</v>
      </c>
      <c r="AM21" s="46">
        <v>1.0</v>
      </c>
      <c r="AN21" s="45" t="s">
        <v>29</v>
      </c>
      <c r="AP21" s="45" t="s">
        <v>74</v>
      </c>
      <c r="BQ21" s="45" t="s">
        <v>75</v>
      </c>
      <c r="BU21" s="45" t="s">
        <v>77</v>
      </c>
      <c r="CG21" s="46">
        <v>0.0</v>
      </c>
      <c r="CH21" s="46">
        <v>0.0</v>
      </c>
      <c r="DJ21" s="45" t="s">
        <v>62</v>
      </c>
      <c r="DM21">
        <v>1.0</v>
      </c>
      <c r="DP21" s="45" t="s">
        <v>34</v>
      </c>
    </row>
    <row r="22" ht="15.75" customHeight="1">
      <c r="A22" s="8"/>
      <c r="B22" s="8"/>
      <c r="C22" s="45" t="s">
        <v>16</v>
      </c>
      <c r="D22" s="46">
        <v>-10.0</v>
      </c>
      <c r="E22" s="45" t="s">
        <v>32</v>
      </c>
      <c r="F22" s="45" t="s">
        <v>78</v>
      </c>
      <c r="G22" s="46">
        <v>0.0</v>
      </c>
      <c r="H22" s="45" t="s">
        <v>74</v>
      </c>
      <c r="I22" s="8"/>
      <c r="J22" s="8"/>
      <c r="K22" s="8"/>
      <c r="L22" s="8"/>
      <c r="M22" s="8"/>
      <c r="N22" s="8"/>
      <c r="O22" s="8"/>
      <c r="Q22" s="46">
        <v>0.0</v>
      </c>
      <c r="T22" s="45" t="s">
        <v>48</v>
      </c>
      <c r="U22" t="s">
        <v>61</v>
      </c>
      <c r="V22" s="45" t="s">
        <v>58</v>
      </c>
      <c r="W22" s="45" t="s">
        <v>57</v>
      </c>
      <c r="X22" s="46">
        <v>100.0</v>
      </c>
      <c r="Y22">
        <v>1.0</v>
      </c>
      <c r="AM22" s="46">
        <v>1.0</v>
      </c>
      <c r="AN22" s="45" t="s">
        <v>29</v>
      </c>
      <c r="AP22" s="45" t="s">
        <v>74</v>
      </c>
      <c r="BQ22" s="45" t="s">
        <v>75</v>
      </c>
      <c r="BU22" s="45" t="s">
        <v>77</v>
      </c>
      <c r="CG22" s="46">
        <v>0.0</v>
      </c>
      <c r="CH22" s="46">
        <v>0.0</v>
      </c>
      <c r="DJ22" s="45" t="s">
        <v>62</v>
      </c>
      <c r="DM22">
        <v>1.0</v>
      </c>
      <c r="DP22" s="45" t="s">
        <v>34</v>
      </c>
    </row>
    <row r="23" ht="15.75" customHeight="1">
      <c r="A23" s="8"/>
      <c r="B23" s="8"/>
      <c r="C23" s="45" t="s">
        <v>31</v>
      </c>
      <c r="D23" s="48">
        <v>-1000.0</v>
      </c>
      <c r="E23" s="45" t="s">
        <v>32</v>
      </c>
      <c r="F23" s="45" t="s">
        <v>78</v>
      </c>
      <c r="G23" s="46">
        <v>60.0</v>
      </c>
      <c r="H23" s="45" t="s">
        <v>34</v>
      </c>
      <c r="I23" s="8"/>
      <c r="J23" s="8"/>
      <c r="K23" s="8"/>
      <c r="L23" s="8"/>
      <c r="M23" s="8"/>
      <c r="N23" s="8"/>
      <c r="O23" s="8"/>
      <c r="Q23" s="48">
        <v>60000.0</v>
      </c>
      <c r="T23" s="45" t="s">
        <v>63</v>
      </c>
      <c r="U23" t="s">
        <v>61</v>
      </c>
      <c r="V23" s="45" t="s">
        <v>65</v>
      </c>
      <c r="W23" s="45" t="s">
        <v>57</v>
      </c>
      <c r="X23" s="46">
        <v>1.0</v>
      </c>
      <c r="Y23">
        <v>1.0</v>
      </c>
      <c r="AM23" s="46">
        <v>1.0</v>
      </c>
      <c r="AN23" s="45" t="s">
        <v>67</v>
      </c>
      <c r="AP23" s="45" t="s">
        <v>34</v>
      </c>
      <c r="BQ23" s="45" t="s">
        <v>75</v>
      </c>
      <c r="BU23" s="45" t="s">
        <v>63</v>
      </c>
      <c r="CG23" s="48">
        <v>60000.0</v>
      </c>
      <c r="CH23" s="46">
        <v>100.0</v>
      </c>
      <c r="DJ23" s="45" t="s">
        <v>62</v>
      </c>
      <c r="DM23">
        <v>1.0</v>
      </c>
      <c r="DP23" s="45" t="s">
        <v>34</v>
      </c>
    </row>
    <row r="24" ht="15.75" customHeight="1">
      <c r="A24" s="8"/>
      <c r="B24" s="8"/>
      <c r="C24" s="45" t="s">
        <v>31</v>
      </c>
      <c r="D24" s="46">
        <v>-100.0</v>
      </c>
      <c r="E24" s="45" t="s">
        <v>32</v>
      </c>
      <c r="F24" s="45" t="s">
        <v>78</v>
      </c>
      <c r="G24" s="46">
        <v>60.0</v>
      </c>
      <c r="H24" s="45" t="s">
        <v>34</v>
      </c>
      <c r="I24" s="8"/>
      <c r="J24" s="8"/>
      <c r="K24" s="8"/>
      <c r="L24" s="8"/>
      <c r="M24" s="8"/>
      <c r="N24" s="8"/>
      <c r="O24" s="8"/>
      <c r="Q24" s="48">
        <v>6000.0</v>
      </c>
      <c r="T24" s="45" t="s">
        <v>63</v>
      </c>
      <c r="U24" t="s">
        <v>61</v>
      </c>
      <c r="V24" s="45" t="s">
        <v>65</v>
      </c>
      <c r="W24" s="45" t="s">
        <v>57</v>
      </c>
      <c r="X24" s="46">
        <v>1.0</v>
      </c>
      <c r="Y24">
        <v>1.0</v>
      </c>
      <c r="AM24" s="46">
        <v>1.0</v>
      </c>
      <c r="AN24" s="45" t="s">
        <v>68</v>
      </c>
      <c r="AP24" s="45" t="s">
        <v>74</v>
      </c>
      <c r="BQ24" s="45" t="s">
        <v>75</v>
      </c>
      <c r="BU24" s="45" t="s">
        <v>63</v>
      </c>
      <c r="CG24" s="48">
        <v>6000.0</v>
      </c>
      <c r="CH24" s="46">
        <v>100.0</v>
      </c>
      <c r="DJ24" s="45" t="s">
        <v>62</v>
      </c>
      <c r="DM24">
        <v>1.0</v>
      </c>
      <c r="DP24" s="45" t="s">
        <v>74</v>
      </c>
    </row>
    <row r="25" ht="15.75" customHeight="1">
      <c r="A25" s="8"/>
      <c r="B25" s="8"/>
      <c r="C25" s="45" t="s">
        <v>31</v>
      </c>
      <c r="D25" s="46">
        <v>-900.0</v>
      </c>
      <c r="E25" s="45" t="s">
        <v>32</v>
      </c>
      <c r="F25" s="45" t="s">
        <v>78</v>
      </c>
      <c r="G25" s="46">
        <v>60.0</v>
      </c>
      <c r="H25" s="45" t="s">
        <v>34</v>
      </c>
      <c r="I25" s="8"/>
      <c r="J25" s="8"/>
      <c r="K25" s="8"/>
      <c r="L25" s="8"/>
      <c r="M25" s="8"/>
      <c r="N25" s="8"/>
      <c r="O25" s="8"/>
      <c r="Q25" s="48">
        <v>54000.0</v>
      </c>
      <c r="T25" s="45" t="s">
        <v>63</v>
      </c>
      <c r="U25" t="s">
        <v>61</v>
      </c>
      <c r="V25" s="45" t="s">
        <v>65</v>
      </c>
      <c r="W25" s="45" t="s">
        <v>57</v>
      </c>
      <c r="X25" s="46">
        <v>1.0</v>
      </c>
      <c r="Y25">
        <v>1.0</v>
      </c>
      <c r="AM25" s="46">
        <v>1.0</v>
      </c>
      <c r="AN25" s="45" t="s">
        <v>67</v>
      </c>
      <c r="AP25" s="45" t="s">
        <v>34</v>
      </c>
      <c r="BQ25" s="45" t="s">
        <v>75</v>
      </c>
      <c r="BU25" s="45" t="s">
        <v>63</v>
      </c>
      <c r="CG25" s="48">
        <v>54000.0</v>
      </c>
      <c r="CH25" s="46">
        <v>100.0</v>
      </c>
      <c r="DJ25" s="45" t="s">
        <v>62</v>
      </c>
      <c r="DM25">
        <v>1.0</v>
      </c>
      <c r="DP25" s="45" t="s">
        <v>34</v>
      </c>
    </row>
    <row r="26" ht="15.75" customHeight="1">
      <c r="C26" s="45" t="s">
        <v>31</v>
      </c>
      <c r="D26" s="48">
        <v>-1000.0</v>
      </c>
      <c r="E26" s="45" t="s">
        <v>32</v>
      </c>
      <c r="F26" s="45" t="s">
        <v>78</v>
      </c>
      <c r="G26" s="46">
        <v>60.0</v>
      </c>
      <c r="H26" s="45" t="s">
        <v>34</v>
      </c>
      <c r="Q26" s="48">
        <v>60000.0</v>
      </c>
      <c r="T26" s="45" t="s">
        <v>63</v>
      </c>
      <c r="U26" t="s">
        <v>61</v>
      </c>
      <c r="V26" s="45" t="s">
        <v>65</v>
      </c>
      <c r="W26" s="45" t="s">
        <v>57</v>
      </c>
      <c r="X26" s="46">
        <v>1.0</v>
      </c>
      <c r="Y26">
        <v>1.0</v>
      </c>
      <c r="AM26" s="46">
        <v>1.0</v>
      </c>
      <c r="AN26" s="45" t="s">
        <v>68</v>
      </c>
      <c r="AP26" s="45" t="s">
        <v>74</v>
      </c>
      <c r="BQ26" s="45" t="s">
        <v>75</v>
      </c>
      <c r="BU26" s="45" t="s">
        <v>63</v>
      </c>
      <c r="CG26" s="48">
        <v>60000.0</v>
      </c>
      <c r="CH26" s="46">
        <v>100.0</v>
      </c>
      <c r="DJ26" s="45" t="s">
        <v>62</v>
      </c>
      <c r="DM26">
        <v>1.0</v>
      </c>
      <c r="DP26" s="45" t="s">
        <v>74</v>
      </c>
    </row>
    <row r="27" ht="15.75" customHeight="1">
      <c r="C27" s="45" t="s">
        <v>35</v>
      </c>
      <c r="D27" s="48">
        <v>1100.0</v>
      </c>
      <c r="E27" s="45" t="s">
        <v>36</v>
      </c>
      <c r="F27" s="45" t="s">
        <v>79</v>
      </c>
      <c r="G27" s="46">
        <v>1.0</v>
      </c>
      <c r="H27" s="45" t="s">
        <v>74</v>
      </c>
      <c r="Q27" s="48">
        <v>-1100.0</v>
      </c>
      <c r="T27" s="45" t="s">
        <v>63</v>
      </c>
      <c r="U27" t="s">
        <v>61</v>
      </c>
      <c r="V27" s="45" t="s">
        <v>65</v>
      </c>
      <c r="W27" s="45" t="s">
        <v>57</v>
      </c>
      <c r="X27" s="46">
        <v>1.0</v>
      </c>
      <c r="Y27">
        <v>1.0</v>
      </c>
      <c r="AM27" s="46">
        <v>1.0</v>
      </c>
      <c r="AN27" s="45" t="s">
        <v>27</v>
      </c>
      <c r="AP27" s="45" t="s">
        <v>74</v>
      </c>
      <c r="BQ27" s="45" t="s">
        <v>75</v>
      </c>
      <c r="BU27" s="45" t="s">
        <v>63</v>
      </c>
      <c r="CG27" s="48">
        <v>-1100.0</v>
      </c>
      <c r="CH27" s="46">
        <v>-100.0</v>
      </c>
      <c r="DJ27" s="45" t="s">
        <v>27</v>
      </c>
      <c r="DM27">
        <v>1.0</v>
      </c>
      <c r="DP27" s="45" t="s">
        <v>74</v>
      </c>
    </row>
    <row r="28" ht="15.75" customHeight="1">
      <c r="C28" s="45" t="s">
        <v>18</v>
      </c>
      <c r="D28" s="46">
        <v>-10.0</v>
      </c>
      <c r="E28" s="45" t="s">
        <v>36</v>
      </c>
      <c r="F28" s="45" t="s">
        <v>79</v>
      </c>
      <c r="G28" s="46">
        <v>10.0</v>
      </c>
      <c r="H28" s="45" t="s">
        <v>34</v>
      </c>
      <c r="Q28" s="48">
        <v>10000.0</v>
      </c>
      <c r="T28" s="45" t="s">
        <v>48</v>
      </c>
      <c r="U28" t="s">
        <v>61</v>
      </c>
      <c r="V28" s="45" t="s">
        <v>58</v>
      </c>
      <c r="W28" s="45" t="s">
        <v>57</v>
      </c>
      <c r="X28" s="46">
        <v>100.0</v>
      </c>
      <c r="Y28">
        <v>1.0</v>
      </c>
      <c r="AM28" s="46">
        <v>1.0</v>
      </c>
      <c r="AN28" s="45" t="s">
        <v>37</v>
      </c>
      <c r="AP28" s="45" t="s">
        <v>74</v>
      </c>
      <c r="BQ28" s="45" t="s">
        <v>75</v>
      </c>
      <c r="BU28" s="45" t="s">
        <v>77</v>
      </c>
      <c r="CG28" s="48">
        <v>10000.0</v>
      </c>
      <c r="CH28" s="46">
        <v>100.0</v>
      </c>
      <c r="DJ28" s="45" t="s">
        <v>37</v>
      </c>
      <c r="DM28">
        <v>1.0</v>
      </c>
      <c r="DP28" s="45" t="s">
        <v>74</v>
      </c>
    </row>
    <row r="29" ht="15.75" customHeight="1">
      <c r="C29" s="45" t="s">
        <v>18</v>
      </c>
      <c r="D29" s="46">
        <v>-10.0</v>
      </c>
      <c r="E29" s="45" t="s">
        <v>36</v>
      </c>
      <c r="F29" s="45" t="s">
        <v>79</v>
      </c>
      <c r="G29" s="46">
        <v>10.0</v>
      </c>
      <c r="H29" s="45" t="s">
        <v>34</v>
      </c>
      <c r="Q29" s="48">
        <v>10000.0</v>
      </c>
      <c r="T29" s="45" t="s">
        <v>48</v>
      </c>
      <c r="U29" t="s">
        <v>61</v>
      </c>
      <c r="V29" s="45" t="s">
        <v>58</v>
      </c>
      <c r="W29" s="45" t="s">
        <v>57</v>
      </c>
      <c r="X29" s="46">
        <v>100.0</v>
      </c>
      <c r="Y29">
        <v>1.0</v>
      </c>
      <c r="AM29" s="46">
        <v>1.0</v>
      </c>
      <c r="AN29" s="45" t="s">
        <v>37</v>
      </c>
      <c r="AP29" s="45" t="s">
        <v>74</v>
      </c>
      <c r="BQ29" s="45" t="s">
        <v>75</v>
      </c>
      <c r="BU29" s="45" t="s">
        <v>77</v>
      </c>
      <c r="CG29" s="48">
        <v>10000.0</v>
      </c>
      <c r="CH29" s="46">
        <v>100.0</v>
      </c>
      <c r="DJ29" s="45" t="s">
        <v>37</v>
      </c>
      <c r="DM29">
        <v>1.0</v>
      </c>
      <c r="DP29" s="45" t="s">
        <v>74</v>
      </c>
    </row>
    <row r="30" ht="15.75" customHeight="1">
      <c r="C30" s="45" t="s">
        <v>18</v>
      </c>
      <c r="D30" s="46">
        <v>-10.0</v>
      </c>
      <c r="E30" s="45" t="s">
        <v>36</v>
      </c>
      <c r="F30" s="45" t="s">
        <v>79</v>
      </c>
      <c r="G30" s="46">
        <v>10.0</v>
      </c>
      <c r="H30" s="45" t="s">
        <v>34</v>
      </c>
      <c r="Q30" s="48">
        <v>10000.0</v>
      </c>
      <c r="T30" s="45" t="s">
        <v>48</v>
      </c>
      <c r="U30" t="s">
        <v>61</v>
      </c>
      <c r="V30" s="45" t="s">
        <v>58</v>
      </c>
      <c r="W30" s="45" t="s">
        <v>57</v>
      </c>
      <c r="X30" s="46">
        <v>100.0</v>
      </c>
      <c r="Y30">
        <v>1.0</v>
      </c>
      <c r="AM30" s="46">
        <v>1.0</v>
      </c>
      <c r="AN30" s="45" t="s">
        <v>37</v>
      </c>
      <c r="AP30" s="45" t="s">
        <v>74</v>
      </c>
      <c r="BQ30" s="45" t="s">
        <v>75</v>
      </c>
      <c r="BU30" s="45" t="s">
        <v>77</v>
      </c>
      <c r="CG30" s="48">
        <v>10000.0</v>
      </c>
      <c r="CH30" s="46">
        <v>100.0</v>
      </c>
      <c r="DJ30" s="45" t="s">
        <v>37</v>
      </c>
      <c r="DM30">
        <v>1.0</v>
      </c>
      <c r="DP30" s="45" t="s">
        <v>74</v>
      </c>
    </row>
    <row r="31" ht="15.75" customHeight="1">
      <c r="C31" s="45" t="s">
        <v>18</v>
      </c>
      <c r="D31" s="46">
        <v>10.0</v>
      </c>
      <c r="E31" s="45" t="s">
        <v>36</v>
      </c>
      <c r="F31" s="45" t="s">
        <v>79</v>
      </c>
      <c r="G31" s="46">
        <v>0.0</v>
      </c>
      <c r="H31" s="45" t="s">
        <v>34</v>
      </c>
      <c r="Q31" s="46">
        <v>0.0</v>
      </c>
      <c r="T31" s="45" t="s">
        <v>48</v>
      </c>
      <c r="U31" t="s">
        <v>61</v>
      </c>
      <c r="V31" s="45" t="s">
        <v>58</v>
      </c>
      <c r="W31" s="45" t="s">
        <v>57</v>
      </c>
      <c r="X31" s="46">
        <v>100.0</v>
      </c>
      <c r="Y31">
        <v>1.0</v>
      </c>
      <c r="AM31" s="46">
        <v>1.0</v>
      </c>
      <c r="AN31" s="45" t="s">
        <v>69</v>
      </c>
      <c r="AP31" s="45" t="s">
        <v>74</v>
      </c>
      <c r="BQ31" s="45" t="s">
        <v>75</v>
      </c>
      <c r="BU31" s="45" t="s">
        <v>77</v>
      </c>
      <c r="CG31" s="46">
        <v>0.0</v>
      </c>
      <c r="CH31" s="46">
        <v>0.0</v>
      </c>
      <c r="DJ31" s="45" t="s">
        <v>60</v>
      </c>
      <c r="DM31">
        <v>1.0</v>
      </c>
      <c r="DP31" s="45" t="s">
        <v>74</v>
      </c>
    </row>
    <row r="32" ht="15.75" customHeight="1">
      <c r="C32" s="45" t="s">
        <v>18</v>
      </c>
      <c r="D32" s="46">
        <v>10.0</v>
      </c>
      <c r="E32" s="45" t="s">
        <v>36</v>
      </c>
      <c r="F32" s="45" t="s">
        <v>79</v>
      </c>
      <c r="G32" s="46">
        <v>0.0</v>
      </c>
      <c r="H32" s="45" t="s">
        <v>34</v>
      </c>
      <c r="Q32" s="46">
        <v>0.0</v>
      </c>
      <c r="T32" s="45" t="s">
        <v>48</v>
      </c>
      <c r="U32" t="s">
        <v>61</v>
      </c>
      <c r="V32" s="45" t="s">
        <v>58</v>
      </c>
      <c r="W32" s="45" t="s">
        <v>57</v>
      </c>
      <c r="X32" s="46">
        <v>100.0</v>
      </c>
      <c r="Y32">
        <v>1.0</v>
      </c>
      <c r="AM32" s="46">
        <v>1.0</v>
      </c>
      <c r="AN32" s="45" t="s">
        <v>69</v>
      </c>
      <c r="AP32" s="45" t="s">
        <v>74</v>
      </c>
      <c r="BQ32" s="45" t="s">
        <v>75</v>
      </c>
      <c r="BU32" s="45" t="s">
        <v>77</v>
      </c>
      <c r="CG32" s="46">
        <v>0.0</v>
      </c>
      <c r="CH32" s="46">
        <v>0.0</v>
      </c>
      <c r="DJ32" s="45" t="s">
        <v>60</v>
      </c>
      <c r="DM32">
        <v>1.0</v>
      </c>
      <c r="DP32" s="45" t="s">
        <v>74</v>
      </c>
    </row>
    <row r="33" ht="15.75" customHeight="1">
      <c r="C33" s="45" t="s">
        <v>18</v>
      </c>
      <c r="D33" s="46">
        <v>10.0</v>
      </c>
      <c r="E33" s="45" t="s">
        <v>36</v>
      </c>
      <c r="F33" s="45" t="s">
        <v>79</v>
      </c>
      <c r="G33" s="46">
        <v>0.0</v>
      </c>
      <c r="H33" s="45" t="s">
        <v>34</v>
      </c>
      <c r="Q33" s="46">
        <v>0.0</v>
      </c>
      <c r="T33" s="45" t="s">
        <v>48</v>
      </c>
      <c r="U33" t="s">
        <v>61</v>
      </c>
      <c r="V33" s="45" t="s">
        <v>58</v>
      </c>
      <c r="W33" s="45" t="s">
        <v>57</v>
      </c>
      <c r="X33" s="46">
        <v>100.0</v>
      </c>
      <c r="Y33">
        <v>1.0</v>
      </c>
      <c r="AM33" s="46">
        <v>1.0</v>
      </c>
      <c r="AN33" s="45" t="s">
        <v>69</v>
      </c>
      <c r="AP33" s="45" t="s">
        <v>74</v>
      </c>
      <c r="BQ33" s="45" t="s">
        <v>75</v>
      </c>
      <c r="BU33" s="45" t="s">
        <v>77</v>
      </c>
      <c r="CG33" s="46">
        <v>0.0</v>
      </c>
      <c r="CH33" s="46">
        <v>0.0</v>
      </c>
      <c r="DJ33" s="45" t="s">
        <v>60</v>
      </c>
      <c r="DM33">
        <v>1.0</v>
      </c>
      <c r="DP33" s="45" t="s">
        <v>74</v>
      </c>
    </row>
    <row r="34" ht="15.75" customHeight="1">
      <c r="C34" s="45" t="s">
        <v>35</v>
      </c>
      <c r="D34" s="48">
        <v>1000.0</v>
      </c>
      <c r="E34" s="45" t="s">
        <v>36</v>
      </c>
      <c r="F34" s="45" t="s">
        <v>79</v>
      </c>
      <c r="G34" s="46">
        <v>60.0</v>
      </c>
      <c r="H34" s="45" t="s">
        <v>74</v>
      </c>
      <c r="Q34" s="48">
        <v>-60000.0</v>
      </c>
      <c r="T34" s="45" t="s">
        <v>63</v>
      </c>
      <c r="U34" t="s">
        <v>61</v>
      </c>
      <c r="V34" s="45" t="s">
        <v>65</v>
      </c>
      <c r="W34" s="45" t="s">
        <v>57</v>
      </c>
      <c r="X34" s="46">
        <v>1.0</v>
      </c>
      <c r="Y34">
        <v>1.0</v>
      </c>
      <c r="AM34" s="46">
        <v>1.0</v>
      </c>
      <c r="AN34" s="45" t="s">
        <v>27</v>
      </c>
      <c r="AP34" s="45" t="s">
        <v>74</v>
      </c>
      <c r="BQ34" s="45" t="s">
        <v>75</v>
      </c>
      <c r="BU34" s="45" t="s">
        <v>63</v>
      </c>
      <c r="CG34" s="48">
        <v>-60000.0</v>
      </c>
      <c r="CH34" s="46">
        <v>-100.0</v>
      </c>
      <c r="DJ34" s="45" t="s">
        <v>60</v>
      </c>
      <c r="DM34">
        <v>1.0</v>
      </c>
      <c r="DP34" s="45" t="s">
        <v>74</v>
      </c>
    </row>
    <row r="35" ht="15.75" customHeight="1">
      <c r="C35" s="45" t="s">
        <v>35</v>
      </c>
      <c r="D35" s="48">
        <v>1000.0</v>
      </c>
      <c r="E35" s="45" t="s">
        <v>36</v>
      </c>
      <c r="F35" s="45" t="s">
        <v>79</v>
      </c>
      <c r="G35" s="46">
        <v>60.0</v>
      </c>
      <c r="H35" s="45" t="s">
        <v>74</v>
      </c>
      <c r="Q35" s="48">
        <v>-60000.0</v>
      </c>
      <c r="T35" s="45" t="s">
        <v>63</v>
      </c>
      <c r="U35" t="s">
        <v>61</v>
      </c>
      <c r="V35" s="45" t="s">
        <v>65</v>
      </c>
      <c r="W35" s="45" t="s">
        <v>57</v>
      </c>
      <c r="X35" s="46">
        <v>1.0</v>
      </c>
      <c r="Y35">
        <v>1.0</v>
      </c>
      <c r="AM35" s="46">
        <v>1.0</v>
      </c>
      <c r="AN35" s="45" t="s">
        <v>27</v>
      </c>
      <c r="AP35" s="45" t="s">
        <v>74</v>
      </c>
      <c r="BQ35" s="45" t="s">
        <v>75</v>
      </c>
      <c r="BU35" s="45" t="s">
        <v>63</v>
      </c>
      <c r="CG35" s="48">
        <v>-60000.0</v>
      </c>
      <c r="CH35" s="46">
        <v>-100.0</v>
      </c>
      <c r="DJ35" s="45" t="s">
        <v>60</v>
      </c>
      <c r="DM35">
        <v>1.0</v>
      </c>
      <c r="DP35" s="45" t="s">
        <v>74</v>
      </c>
    </row>
    <row r="36" ht="15.75" customHeight="1">
      <c r="C36" s="45" t="s">
        <v>35</v>
      </c>
      <c r="D36" s="48">
        <v>1000.0</v>
      </c>
      <c r="E36" s="45" t="s">
        <v>36</v>
      </c>
      <c r="F36" s="45" t="s">
        <v>79</v>
      </c>
      <c r="G36" s="46">
        <v>60.0</v>
      </c>
      <c r="H36" s="45" t="s">
        <v>74</v>
      </c>
      <c r="Q36" s="48">
        <v>-60000.0</v>
      </c>
      <c r="T36" s="45" t="s">
        <v>63</v>
      </c>
      <c r="U36" t="s">
        <v>61</v>
      </c>
      <c r="V36" s="45" t="s">
        <v>65</v>
      </c>
      <c r="W36" s="45" t="s">
        <v>57</v>
      </c>
      <c r="X36" s="46">
        <v>1.0</v>
      </c>
      <c r="Y36">
        <v>1.0</v>
      </c>
      <c r="AM36" s="46">
        <v>1.0</v>
      </c>
      <c r="AN36" s="45" t="s">
        <v>27</v>
      </c>
      <c r="AP36" s="45" t="s">
        <v>74</v>
      </c>
      <c r="BQ36" s="45" t="s">
        <v>75</v>
      </c>
      <c r="BU36" s="45" t="s">
        <v>63</v>
      </c>
      <c r="CG36" s="48">
        <v>-60000.0</v>
      </c>
      <c r="CH36" s="46">
        <v>-100.0</v>
      </c>
      <c r="DJ36" s="45" t="s">
        <v>60</v>
      </c>
      <c r="DM36">
        <v>1.0</v>
      </c>
      <c r="DP36" s="45" t="s">
        <v>74</v>
      </c>
    </row>
    <row r="37" ht="15.75" customHeight="1">
      <c r="Q37" s="49"/>
      <c r="AM37" s="49"/>
      <c r="AP37" s="49"/>
      <c r="CG37" s="49"/>
      <c r="CH37" s="4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