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OrderPTT" sheetId="4" r:id="rId6"/>
    <sheet state="visible" name="TradeNewSubOrder" sheetId="5" r:id="rId7"/>
    <sheet state="visible" name="CustomOrderTT" sheetId="6" r:id="rId8"/>
    <sheet state="visible" name="EditStageOrder" sheetId="7" r:id="rId9"/>
    <sheet state="visible" name="CustomOrderTT1" sheetId="8" r:id="rId10"/>
    <sheet state="visible" name="SelectTradeOnOrderGrid" sheetId="9" r:id="rId11"/>
    <sheet state="visible" name="RightClickOperations" sheetId="10" r:id="rId12"/>
    <sheet state="visible" name="CreateReplaceOrder" sheetId="11" r:id="rId13"/>
    <sheet state="visible" name="VerifyOrder" sheetId="12" r:id="rId14"/>
    <sheet state="visible" name="RightClickAndClickOperations" sheetId="13" r:id="rId15"/>
  </sheets>
  <definedNames/>
  <calcPr/>
</workbook>
</file>

<file path=xl/sharedStrings.xml><?xml version="1.0" encoding="utf-8"?>
<sst xmlns="http://schemas.openxmlformats.org/spreadsheetml/2006/main" count="235" uniqueCount="54">
  <si>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</si>
  <si>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</si>
  <si>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</si>
  <si>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</si>
  <si>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</si>
  <si>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</si>
  <si>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</si>
  <si>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</si>
  <si>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</si>
  <si>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</si>
  <si>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</si>
  <si>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</si>
  <si>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</si>
  <si>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CreateOrderPTT</t>
  </si>
  <si>
    <t>Data Format</t>
  </si>
  <si>
    <t>Input Format</t>
  </si>
  <si>
    <t>AAPL</t>
  </si>
  <si>
    <t>Increase</t>
  </si>
  <si>
    <t>Percentage</t>
  </si>
  <si>
    <t>Account</t>
  </si>
  <si>
    <t>Allocation1,Allocation2</t>
  </si>
  <si>
    <t>Blotter</t>
  </si>
  <si>
    <t>TradeNewSubOrder</t>
  </si>
  <si>
    <t>Buy</t>
  </si>
  <si>
    <t>New</t>
  </si>
  <si>
    <t>TradingTicket</t>
  </si>
  <si>
    <t>CustomOrderTT</t>
  </si>
  <si>
    <t>DoneAway</t>
  </si>
  <si>
    <t>EditStageOrder</t>
  </si>
  <si>
    <t>PartiallyFilled</t>
  </si>
  <si>
    <t>Replace</t>
  </si>
  <si>
    <t>SelectTradeOnOrderGrid</t>
  </si>
  <si>
    <t>Replaced</t>
  </si>
  <si>
    <t>RightClickOperations</t>
  </si>
  <si>
    <t>Orders</t>
  </si>
  <si>
    <t>Edit Order(s)</t>
  </si>
  <si>
    <t>CreateReplaceOrder</t>
  </si>
  <si>
    <t>Yes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</si>
  <si>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</si>
  <si>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</si>
  <si>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</si>
  <si>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</si>
  <si>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</si>
  <si>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</si>
  <si>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</si>
  <si>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</si>
  <si>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Multiple</t>
  </si>
  <si>
    <t>M</t>
  </si>
  <si>
    <t>Equity</t>
  </si>
  <si>
    <t>MS</t>
  </si>
  <si>
    <t>Market</t>
  </si>
  <si>
    <t>Day</t>
  </si>
  <si>
    <t>Unknown</t>
  </si>
  <si>
    <t>RightClickAndClickOperations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</si>
</sst>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/>
      <c r="G6" s="8"/>
      <c r="H6" s="12" t="s">
        <v>19</v>
      </c>
      <c r="I6" s="1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23</v>
      </c>
      <c r="AK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3.0</v>
      </c>
      <c r="E6" s="12" t="s">
        <v>27</v>
      </c>
      <c r="F6" s="8"/>
      <c r="G6" s="8"/>
      <c r="H6" s="8"/>
      <c r="I6" s="8"/>
      <c r="J6" s="12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1000.0</v>
      </c>
      <c r="D6" s="12">
        <v>3.0</v>
      </c>
      <c r="E6" s="12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8"/>
      <c r="G6" s="12" t="s">
        <v>32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IFERROR(__xludf.DUMMYFUNCTION("""COMPUTED_VALUE"""),"GridName")</f>
        <v>GridName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RightClickOperations!$4:$4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2000.0</v>
      </c>
      <c r="E6" s="30"/>
      <c r="F6" s="8"/>
      <c r="G6" s="8"/>
      <c r="H6" s="8"/>
      <c r="I6" s="8"/>
      <c r="J6" s="12">
        <v>3.0</v>
      </c>
      <c r="K6" s="8"/>
      <c r="L6" s="8"/>
      <c r="M6" s="8"/>
      <c r="N6" s="8"/>
      <c r="O6" s="8"/>
      <c r="AO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39</v>
      </c>
      <c r="B6" s="31"/>
      <c r="C6" s="8"/>
      <c r="D6" s="31"/>
      <c r="E6" s="8" t="s">
        <v>40</v>
      </c>
      <c r="F6" s="8"/>
      <c r="G6" s="8"/>
      <c r="H6" s="8" t="s">
        <v>41</v>
      </c>
      <c r="I6" s="8" t="s">
        <v>42</v>
      </c>
      <c r="J6" s="8" t="s">
        <v>16</v>
      </c>
      <c r="K6" s="8" t="s">
        <v>43</v>
      </c>
      <c r="L6" s="8" t="s">
        <v>44</v>
      </c>
      <c r="M6" s="8"/>
      <c r="N6" s="8"/>
      <c r="O6" s="8"/>
      <c r="U6" t="s">
        <v>45</v>
      </c>
      <c r="AA6" t="s">
        <v>46</v>
      </c>
      <c r="AD6">
        <v>1.0</v>
      </c>
      <c r="AF6" t="s">
        <v>47</v>
      </c>
      <c r="AG6">
        <v>3.0</v>
      </c>
      <c r="AH6" t="s">
        <v>48</v>
      </c>
      <c r="AI6" t="s">
        <v>16</v>
      </c>
      <c r="AJ6" t="s">
        <v>23</v>
      </c>
      <c r="AK6" t="s">
        <v>32</v>
      </c>
      <c r="AL6">
        <v>2000.0</v>
      </c>
      <c r="AM6">
        <v>100.0</v>
      </c>
      <c r="AN6">
        <v>5.0</v>
      </c>
      <c r="AO6">
        <v>100.0</v>
      </c>
      <c r="AP6">
        <v>1900.0</v>
      </c>
      <c r="AS6" t="s">
        <v>49</v>
      </c>
      <c r="AT6" t="s">
        <v>46</v>
      </c>
      <c r="AU6" t="s">
        <v>50</v>
      </c>
      <c r="AY6" t="s">
        <v>39</v>
      </c>
      <c r="AZ6">
        <v>1900.0</v>
      </c>
      <c r="BA6" t="s">
        <v>42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12</v>
      </c>
      <c r="BH6" t="s">
        <v>51</v>
      </c>
      <c r="BK6" t="s">
        <v>39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IFERROR(__xludf.DUMMYFUNCTION("IF(C3="""","""",Transpose(IMPORTRANGE('_Settings'!$B$3,C3&amp;""!A4:A1000"")))"),"RightClickAndClickOperations")</f>
        <v>RightClickAndClickOperations</v>
      </c>
      <c r="C4" s="24" t="str">
        <f>IFERROR(__xludf.DUMMYFUNCTION("""COMPUTED_VALUE"""),"CheckModStatus")</f>
        <v>CheckModStatus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IFERROR(__xludf.DUMMYFUNCTION("""COMPUTED_VALUE"""),"GridName")</f>
        <v>GridName</v>
      </c>
      <c r="D5" s="27" t="str">
        <f>IFERROR(__xludf.DUMMYFUNCTION("""COMPUTED_VALUE"""),"PopUpsParentNames")</f>
        <v>PopUpsParentNames</v>
      </c>
      <c r="E5" s="27" t="str">
        <f>IFERROR(__xludf.DUMMYFUNCTION("""COMPUTED_VALUE"""),"SecondaryActions")</f>
        <v>SecondaryActions</v>
      </c>
      <c r="F5" s="28" t="str">
        <f>IFERROR(__xludf.DUMMYFUNCTION("""COMPUTED_VALUE"""),"Popups Text(empty AutomationID)")</f>
        <v>Popups Text(empty AutomationID)</v>
      </c>
      <c r="G5" s="27" t="str">
        <f>IFERROR(__xludf.DUMMYFUNCTION("""COMPUTED_VALUE"""),"Expected Popups(AutomationID)")</f>
        <v>Expected Popups(AutomationID)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RightClickAndClickOperations!$4:$4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