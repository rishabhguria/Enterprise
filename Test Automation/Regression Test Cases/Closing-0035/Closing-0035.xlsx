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heckAllocatedGroups" sheetId="5" r:id="rId7"/>
    <sheet state="visible" name="EditAllocatedGroupSidePanel" sheetId="6" r:id="rId8"/>
    <sheet state="visible" name="GetDataClosing" sheetId="7" r:id="rId9"/>
    <sheet state="visible" name="VerifyUnExpiredUnSettledGrid" sheetId="8" r:id="rId10"/>
    <sheet state="visible" name="SelectTradeUnexpiredUnsettled" sheetId="9" r:id="rId11"/>
    <sheet state="visible" name="PhysicalSettlement" sheetId="10" r:id="rId12"/>
    <sheet state="visible" name="VerifyExpiredSettledGrid" sheetId="11" r:id="rId13"/>
    <sheet state="visible" name="SelectAllocatedGroup" sheetId="12" r:id="rId14"/>
    <sheet state="visible" name="GetDataAllocation" sheetId="13" r:id="rId15"/>
    <sheet state="visible" name="GetActivityData" sheetId="14" r:id="rId16"/>
    <sheet state="visible" name="VerifyActivity" sheetId="15" r:id="rId17"/>
    <sheet state="visible" name="UnWindTradeSettlement" sheetId="16" r:id="rId18"/>
    <sheet state="visible" name="CheckAllocatedGroups1" sheetId="17" r:id="rId19"/>
    <sheet state="visible" name="CheckAllocatedGroups2" sheetId="18" r:id="rId20"/>
  </sheets>
  <definedNames/>
  <calcPr/>
</workbook>
</file>

<file path=xl/sharedStrings.xml><?xml version="1.0" encoding="utf-8"?>
<sst xmlns="http://schemas.openxmlformats.org/spreadsheetml/2006/main" count="218" uniqueCount="50">
  <si>
    <t>Settings</t>
  </si>
  <si>
    <t>Master Data Info</t>
  </si>
  <si>
    <t>Modules Info</t>
  </si>
  <si>
    <t>Module Step Setting File</t>
  </si>
  <si>
    <t>Module</t>
  </si>
  <si>
    <t>1eFq-0rBBBruaRgYp8Plf3EAV1IQUFSYg9ee_wKGGGko</t>
  </si>
  <si>
    <t>Step</t>
  </si>
  <si>
    <t>Master Data Settings File</t>
  </si>
  <si>
    <t>Master Data Sheet</t>
  </si>
  <si>
    <t>1Nt_rf5DtgjbN9Ag4AMMlUkZYROxKZLH5m54YOl7tRT0</t>
  </si>
  <si>
    <t>Modules</t>
  </si>
  <si>
    <t>Data</t>
  </si>
  <si>
    <t>TradingTicket</t>
  </si>
  <si>
    <t>CreateDoneAwayOrder</t>
  </si>
  <si>
    <t>Data Format</t>
  </si>
  <si>
    <t>Input Format</t>
  </si>
  <si>
    <t>ES Z6P1800</t>
  </si>
  <si>
    <t>Buy to Open</t>
  </si>
  <si>
    <t>Allocation1</t>
  </si>
  <si>
    <t>ES Z6C1800</t>
  </si>
  <si>
    <t>Allocation</t>
  </si>
  <si>
    <t>CheckAllocatedGroups</t>
  </si>
  <si>
    <t>EditAllocatedGroupSidePanel</t>
  </si>
  <si>
    <t>Closing</t>
  </si>
  <si>
    <t>GetDataClosing</t>
  </si>
  <si>
    <t>Current</t>
  </si>
  <si>
    <t>VerifyUnExpiredUnSettledGrid</t>
  </si>
  <si>
    <t>SelectTradeUnexpiredUnsettled</t>
  </si>
  <si>
    <t>PhysicalSettlement</t>
  </si>
  <si>
    <t>VerifyExpiredSettledGrid</t>
  </si>
  <si>
    <t>SelectAllocatedGroup</t>
  </si>
  <si>
    <t>GetDataAllocation</t>
  </si>
  <si>
    <t>GeneralLedger</t>
  </si>
  <si>
    <t>GetActivityData</t>
  </si>
  <si>
    <t>SelectAll</t>
  </si>
  <si>
    <t>No</t>
  </si>
  <si>
    <t>Yes</t>
  </si>
  <si>
    <t>VerifyActivity</t>
  </si>
  <si>
    <t>FutureS</t>
  </si>
  <si>
    <t>USD</t>
  </si>
  <si>
    <t>ES Z6</t>
  </si>
  <si>
    <t>FutureOptionL</t>
  </si>
  <si>
    <t>UnWindTradeSettlement</t>
  </si>
  <si>
    <t>FutureL</t>
  </si>
  <si>
    <t>Closed</t>
  </si>
  <si>
    <t>NONE</t>
  </si>
  <si>
    <t>Sell to Close</t>
  </si>
  <si>
    <t>Open</t>
  </si>
  <si>
    <t>Sell short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</si>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</sst>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1" fillId="2" fontId="1" numFmtId="0" xfId="0" applyAlignment="1" applyBorder="1" applyFont="1">
      <alignment horizontal="center" readingOrder="0" shrinkToFit="0" wrapText="0"/>
    </xf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4" fillId="3" fontId="5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14" xfId="0" applyAlignment="1" applyFont="1" applyNumberFormat="1">
      <alignment shrinkToFit="0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wrapText="0"/>
    </xf>
    <xf borderId="0" fillId="0" fontId="4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2</v>
      </c>
      <c r="B1" s="3"/>
      <c r="C1" s="3"/>
      <c r="D1" s="3"/>
      <c r="E1" s="3"/>
      <c r="F1" s="4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10</v>
      </c>
      <c r="B3" s="15"/>
      <c r="C3" s="16"/>
      <c r="D3" s="16"/>
      <c r="E3" s="16"/>
      <c r="F3" s="16"/>
    </row>
    <row r="4" ht="15.75" customHeight="1">
      <c r="A4" s="6" t="str">
        <f>IFERROR(__xludf.DUMMYFUNCTION("IMPORTRANGE('_Settings'!B3,""Modules!A4:L1000"")"),"Allocation")</f>
        <v>Allocation</v>
      </c>
      <c r="B4" s="7" t="str">
        <f>IFERROR(__xludf.DUMMYFUNCTION("""COMPUTED_VALUE"""),"Allocate")</f>
        <v>Allocate</v>
      </c>
      <c r="C4" s="7" t="str">
        <f>IFERROR(__xludf.DUMMYFUNCTION("""COMPUTED_VALUE"""),"1g8wLprruaWRC_5pQcovqkv8ZCiMt5fspCOACibdkz7g")</f>
        <v>1g8wLprruaWRC_5pQcovqkv8ZCiMt5fspCOACibdkz7g</v>
      </c>
      <c r="D4" s="7" t="str">
        <f>IFERROR(__xludf.DUMMYFUNCTION("""COMPUTED_VALUE"""),"")</f>
        <v/>
      </c>
      <c r="E4" s="7" t="str">
        <f>IFERROR(__xludf.DUMMYFUNCTION("""COMPUTED_VALUE"""),"")</f>
        <v/>
      </c>
      <c r="F4" s="7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6" t="str">
        <f>IFERROR(__xludf.DUMMYFUNCTION("""COMPUTED_VALUE"""),"Allocation")</f>
        <v>Allocation</v>
      </c>
      <c r="B5" s="7" t="str">
        <f>IFERROR(__xludf.DUMMYFUNCTION("""COMPUTED_VALUE"""),"CheckAllocatedGroups")</f>
        <v>CheckAllocatedGroups</v>
      </c>
      <c r="C5" s="7" t="str">
        <f>IFERROR(__xludf.DUMMYFUNCTION("""COMPUTED_VALUE"""),"1aecq-HMDoDkIInONjPC11z5TBFHyJhv4ro66e2ZOphg")</f>
        <v>1aecq-HMDoDkIInONjPC11z5TBFHyJhv4ro66e2ZOphg</v>
      </c>
      <c r="D5" s="7" t="str">
        <f>IFERROR(__xludf.DUMMYFUNCTION("""COMPUTED_VALUE"""),"")</f>
        <v/>
      </c>
      <c r="E5" s="7" t="str">
        <f>IFERROR(__xludf.DUMMYFUNCTION("""COMPUTED_VALUE"""),"")</f>
        <v/>
      </c>
      <c r="F5" s="7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7" t="str">
        <f>IFERROR(__xludf.DUMMYFUNCTION("""COMPUTED_VALUE"""),"Allocation")</f>
        <v>Allocation</v>
      </c>
      <c r="B6" s="7" t="str">
        <f>IFERROR(__xludf.DUMMYFUNCTION("""COMPUTED_VALUE"""),"Unallocate")</f>
        <v>Unallocate</v>
      </c>
      <c r="C6" s="7" t="str">
        <f>IFERROR(__xludf.DUMMYFUNCTION("""COMPUTED_VALUE"""),"1eDZq-_vllq4jwvwpk9qGnwQUhlb-sFvyFKPBriT2dA0")</f>
        <v>1eDZq-_vllq4jwvwpk9qGnwQUhlb-sFvyFKPBriT2dA0</v>
      </c>
      <c r="D6" s="7" t="str">
        <f>IFERROR(__xludf.DUMMYFUNCTION("""COMPUTED_VALUE"""),"")</f>
        <v/>
      </c>
      <c r="E6" s="7" t="str">
        <f>IFERROR(__xludf.DUMMYFUNCTION("""COMPUTED_VALUE"""),"")</f>
        <v/>
      </c>
      <c r="F6" s="7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7" t="str">
        <f>IFERROR(__xludf.DUMMYFUNCTION("""COMPUTED_VALUE"""),"Allocation")</f>
        <v>Allocation</v>
      </c>
      <c r="B7" s="7" t="str">
        <f>IFERROR(__xludf.DUMMYFUNCTION("""COMPUTED_VALUE"""),"GetDataAllocation")</f>
        <v>GetDataAllocation</v>
      </c>
      <c r="C7" s="7" t="str">
        <f>IFERROR(__xludf.DUMMYFUNCTION("""COMPUTED_VALUE"""),"1FBTO3wCB7odq-jpQMbYHgSrAL5-rFO2_kp9Kr2iXqXE")</f>
        <v>1FBTO3wCB7odq-jpQMbYHgSrAL5-rFO2_kp9Kr2iXqXE</v>
      </c>
      <c r="D7" s="7" t="str">
        <f>IFERROR(__xludf.DUMMYFUNCTION("""COMPUTED_VALUE"""),"")</f>
        <v/>
      </c>
      <c r="E7" s="7" t="str">
        <f>IFERROR(__xludf.DUMMYFUNCTION("""COMPUTED_VALUE"""),"")</f>
        <v/>
      </c>
      <c r="F7" s="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7" t="str">
        <f>IFERROR(__xludf.DUMMYFUNCTION("""COMPUTED_VALUE"""),"Allocation")</f>
        <v>Allocation</v>
      </c>
      <c r="B8" s="7" t="str">
        <f>IFERROR(__xludf.DUMMYFUNCTION("""COMPUTED_VALUE"""),"SelectAllocatedGroup")</f>
        <v>SelectAllocatedGroup</v>
      </c>
      <c r="C8" s="7" t="str">
        <f>IFERROR(__xludf.DUMMYFUNCTION("""COMPUTED_VALUE"""),"1G0ZkXDrIDX_loGmAyLs_Shy8hExtTELtFXERbX-HdPo")</f>
        <v>1G0ZkXDrIDX_loGmAyLs_Shy8hExtTELtFXERbX-HdPo</v>
      </c>
      <c r="D8" s="7" t="str">
        <f>IFERROR(__xludf.DUMMYFUNCTION("""COMPUTED_VALUE"""),"")</f>
        <v/>
      </c>
      <c r="E8" s="7" t="str">
        <f>IFERROR(__xludf.DUMMYFUNCTION("""COMPUTED_VALUE"""),"")</f>
        <v/>
      </c>
      <c r="F8" s="7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7" t="str">
        <f>IFERROR(__xludf.DUMMYFUNCTION("""COMPUTED_VALUE"""),"Allocation")</f>
        <v>Allocation</v>
      </c>
      <c r="B9" s="7" t="str">
        <f>IFERROR(__xludf.DUMMYFUNCTION("""COMPUTED_VALUE"""),"EditTradesAllocated")</f>
        <v>EditTradesAllocated</v>
      </c>
      <c r="C9" s="7" t="str">
        <f>IFERROR(__xludf.DUMMYFUNCTION("""COMPUTED_VALUE"""),"1YgVZ1jEVgjUF1Dp8FAj_W_zLEZCyqvNMlWJIg0Tmkq4")</f>
        <v>1YgVZ1jEVgjUF1Dp8FAj_W_zLEZCyqvNMlWJIg0Tmkq4</v>
      </c>
      <c r="D9" s="7" t="str">
        <f>IFERROR(__xludf.DUMMYFUNCTION("""COMPUTED_VALUE"""),"")</f>
        <v/>
      </c>
      <c r="E9" s="7" t="str">
        <f>IFERROR(__xludf.DUMMYFUNCTION("""COMPUTED_VALUE"""),"")</f>
        <v/>
      </c>
      <c r="F9" s="7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7" t="str">
        <f>IFERROR(__xludf.DUMMYFUNCTION("""COMPUTED_VALUE"""),"Allocation")</f>
        <v>Allocation</v>
      </c>
      <c r="B10" s="7" t="str">
        <f>IFERROR(__xludf.DUMMYFUNCTION("""COMPUTED_VALUE"""),"EditTradesUnallocated")</f>
        <v>EditTradesUnallocated</v>
      </c>
      <c r="C10" s="7" t="str">
        <f>IFERROR(__xludf.DUMMYFUNCTION("""COMPUTED_VALUE"""),"1MyB61T39MDAUyQqCUJLATzUT2f5UlE8nFq4ltWy_DJ4")</f>
        <v>1MyB61T39MDAUyQqCUJLATzUT2f5UlE8nFq4ltWy_DJ4</v>
      </c>
      <c r="D10" s="7" t="str">
        <f>IFERROR(__xludf.DUMMYFUNCTION("""COMPUTED_VALUE"""),"")</f>
        <v/>
      </c>
      <c r="E10" s="7" t="str">
        <f>IFERROR(__xludf.DUMMYFUNCTION("""COMPUTED_VALUE"""),"")</f>
        <v/>
      </c>
      <c r="F10" s="7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7" t="str">
        <f>IFERROR(__xludf.DUMMYFUNCTION("""COMPUTED_VALUE"""),"Allocation")</f>
        <v>Allocation</v>
      </c>
      <c r="B11" s="7" t="str">
        <f>IFERROR(__xludf.DUMMYFUNCTION("""COMPUTED_VALUE"""),"Reallocate")</f>
        <v>Reallocate</v>
      </c>
      <c r="C11" s="7" t="str">
        <f>IFERROR(__xludf.DUMMYFUNCTION("""COMPUTED_VALUE"""),"undefined")</f>
        <v>undefined</v>
      </c>
      <c r="D11" s="7" t="str">
        <f>IFERROR(__xludf.DUMMYFUNCTION("""COMPUTED_VALUE"""),"")</f>
        <v/>
      </c>
      <c r="E11" s="7" t="str">
        <f>IFERROR(__xludf.DUMMYFUNCTION("""COMPUTED_VALUE"""),"")</f>
        <v/>
      </c>
      <c r="F11" s="7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7" t="str">
        <f>IFERROR(__xludf.DUMMYFUNCTION("""COMPUTED_VALUE"""),"Blotter")</f>
        <v>Blotter</v>
      </c>
      <c r="B12" s="7" t="str">
        <f>IFERROR(__xludf.DUMMYFUNCTION("""COMPUTED_VALUE"""),"ReplaceFillsOnBlotter")</f>
        <v>ReplaceFillsOnBlotter</v>
      </c>
      <c r="C12" s="7" t="str">
        <f>IFERROR(__xludf.DUMMYFUNCTION("""COMPUTED_VALUE"""),"undefined")</f>
        <v>undefined</v>
      </c>
      <c r="D12" s="7" t="str">
        <f>IFERROR(__xludf.DUMMYFUNCTION("""COMPUTED_VALUE"""),"")</f>
        <v/>
      </c>
      <c r="E12" s="7" t="str">
        <f>IFERROR(__xludf.DUMMYFUNCTION("""COMPUTED_VALUE"""),"")</f>
        <v/>
      </c>
      <c r="F12" s="7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7" t="str">
        <f>IFERROR(__xludf.DUMMYFUNCTION("""COMPUTED_VALUE"""),"Blotter")</f>
        <v>Blotter</v>
      </c>
      <c r="B13" s="7" t="str">
        <f>IFERROR(__xludf.DUMMYFUNCTION("""COMPUTED_VALUE"""),"CheckBlotter")</f>
        <v>CheckBlotter</v>
      </c>
      <c r="C13" s="7" t="str">
        <f>IFERROR(__xludf.DUMMYFUNCTION("""COMPUTED_VALUE"""),"16qheLbvgC92hKxalWDlpWfHBMyDDVqHERUCc7bQiO2A")</f>
        <v>16qheLbvgC92hKxalWDlpWfHBMyDDVqHERUCc7bQiO2A</v>
      </c>
      <c r="D13" s="7" t="str">
        <f>IFERROR(__xludf.DUMMYFUNCTION("""COMPUTED_VALUE"""),"")</f>
        <v/>
      </c>
      <c r="E13" s="7" t="str">
        <f>IFERROR(__xludf.DUMMYFUNCTION("""COMPUTED_VALUE"""),"")</f>
        <v/>
      </c>
      <c r="F13" s="7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7" t="str">
        <f>IFERROR(__xludf.DUMMYFUNCTION("""COMPUTED_VALUE"""),"GeneralLedger")</f>
        <v>GeneralLedger</v>
      </c>
      <c r="B14" s="7" t="str">
        <f>IFERROR(__xludf.DUMMYFUNCTION("""COMPUTED_VALUE"""),"GetDataCash")</f>
        <v>GetDataCash</v>
      </c>
      <c r="C14" s="7" t="str">
        <f>IFERROR(__xludf.DUMMYFUNCTION("""COMPUTED_VALUE"""),"1zLd3ju-mV8f6PZiQUYLU-cAgAUwLwyoIAKuu0WgG2zI")</f>
        <v>1zLd3ju-mV8f6PZiQUYLU-cAgAUwLwyoIAKuu0WgG2zI</v>
      </c>
      <c r="D14" s="7" t="str">
        <f>IFERROR(__xludf.DUMMYFUNCTION("""COMPUTED_VALUE"""),"")</f>
        <v/>
      </c>
      <c r="E14" s="7" t="str">
        <f>IFERROR(__xludf.DUMMYFUNCTION("""COMPUTED_VALUE"""),"")</f>
        <v/>
      </c>
      <c r="F14" s="7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7" t="str">
        <f>IFERROR(__xludf.DUMMYFUNCTION("""COMPUTED_VALUE"""),"GeneralLedger")</f>
        <v>GeneralLedger</v>
      </c>
      <c r="B15" s="7" t="str">
        <f>IFERROR(__xludf.DUMMYFUNCTION("""COMPUTED_VALUE"""),"EnterCashDividends")</f>
        <v>EnterCashDividends</v>
      </c>
      <c r="C15" s="7" t="str">
        <f>IFERROR(__xludf.DUMMYFUNCTION("""COMPUTED_VALUE"""),"1sjDsI5FIL_l_G6osMJQ7e8auBgYd3R3JDaKWKV_8Og0")</f>
        <v>1sjDsI5FIL_l_G6osMJQ7e8auBgYd3R3JDaKWKV_8Og0</v>
      </c>
      <c r="D15" s="7" t="str">
        <f>IFERROR(__xludf.DUMMYFUNCTION("""COMPUTED_VALUE"""),"")</f>
        <v/>
      </c>
      <c r="E15" s="7" t="str">
        <f>IFERROR(__xludf.DUMMYFUNCTION("""COMPUTED_VALUE"""),"")</f>
        <v/>
      </c>
      <c r="F15" s="7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7" t="str">
        <f>IFERROR(__xludf.DUMMYFUNCTION("""COMPUTED_VALUE"""),"GeneralLedger")</f>
        <v>GeneralLedger</v>
      </c>
      <c r="B16" s="7" t="str">
        <f>IFERROR(__xludf.DUMMYFUNCTION("""COMPUTED_VALUE"""),"EnterNonTradingTransaction")</f>
        <v>EnterNonTradingTransaction</v>
      </c>
      <c r="C16" s="7" t="str">
        <f>IFERROR(__xludf.DUMMYFUNCTION("""COMPUTED_VALUE"""),"1xn1P_Z-3N4d2BC1SUPly2HiVZazly5ZQcS18BfaTyho")</f>
        <v>1xn1P_Z-3N4d2BC1SUPly2HiVZazly5ZQcS18BfaTyho</v>
      </c>
      <c r="D16" s="7" t="str">
        <f>IFERROR(__xludf.DUMMYFUNCTION("""COMPUTED_VALUE"""),"")</f>
        <v/>
      </c>
      <c r="E16" s="7" t="str">
        <f>IFERROR(__xludf.DUMMYFUNCTION("""COMPUTED_VALUE"""),"")</f>
        <v/>
      </c>
      <c r="F16" s="7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7" t="str">
        <f>IFERROR(__xludf.DUMMYFUNCTION("""COMPUTED_VALUE"""),"GeneralLedger")</f>
        <v>GeneralLedger</v>
      </c>
      <c r="B17" s="7" t="str">
        <f>IFERROR(__xludf.DUMMYFUNCTION("""COMPUTED_VALUE"""),"VerifyCash")</f>
        <v>VerifyCash</v>
      </c>
      <c r="C17" s="7" t="str">
        <f>IFERROR(__xludf.DUMMYFUNCTION("""COMPUTED_VALUE"""),"1vlvYPsiFAWjsnFrbkGn_fAvkwF00V3e7htalalU6QN4")</f>
        <v>1vlvYPsiFAWjsnFrbkGn_fAvkwF00V3e7htalalU6QN4</v>
      </c>
      <c r="D17" s="7" t="str">
        <f>IFERROR(__xludf.DUMMYFUNCTION("""COMPUTED_VALUE"""),"")</f>
        <v/>
      </c>
      <c r="E17" s="7" t="str">
        <f>IFERROR(__xludf.DUMMYFUNCTION("""COMPUTED_VALUE"""),"")</f>
        <v/>
      </c>
      <c r="F17" s="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7" t="str">
        <f>IFERROR(__xludf.DUMMYFUNCTION("""COMPUTED_VALUE"""),"GeneralLedger")</f>
        <v>GeneralLedger</v>
      </c>
      <c r="B18" s="7" t="str">
        <f>IFERROR(__xludf.DUMMYFUNCTION("""COMPUTED_VALUE"""),"VerifyActivity")</f>
        <v>VerifyActivity</v>
      </c>
      <c r="C18" s="7" t="str">
        <f>IFERROR(__xludf.DUMMYFUNCTION("""COMPUTED_VALUE"""),"1o2rCg2FuoAOT5Pl8i4iFP_TwpPm0UB1dd49GbpkytfM")</f>
        <v>1o2rCg2FuoAOT5Pl8i4iFP_TwpPm0UB1dd49GbpkytfM</v>
      </c>
      <c r="D18" s="7" t="str">
        <f>IFERROR(__xludf.DUMMYFUNCTION("""COMPUTED_VALUE"""),"")</f>
        <v/>
      </c>
      <c r="E18" s="7" t="str">
        <f>IFERROR(__xludf.DUMMYFUNCTION("""COMPUTED_VALUE"""),"")</f>
        <v/>
      </c>
      <c r="F18" s="7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7" t="str">
        <f>IFERROR(__xludf.DUMMYFUNCTION("""COMPUTED_VALUE"""),"GeneralLedger")</f>
        <v>GeneralLedger</v>
      </c>
      <c r="B19" s="7" t="str">
        <f>IFERROR(__xludf.DUMMYFUNCTION("""COMPUTED_VALUE"""),"VerifyTradingTransaction")</f>
        <v>VerifyTradingTransaction</v>
      </c>
      <c r="C19" s="7" t="str">
        <f>IFERROR(__xludf.DUMMYFUNCTION("""COMPUTED_VALUE"""),"1_v2niCJ9VGNvgEBpvz030BFqEISSUhYRHyWcAJAn_Eg")</f>
        <v>1_v2niCJ9VGNvgEBpvz030BFqEISSUhYRHyWcAJAn_Eg</v>
      </c>
      <c r="D19" s="7" t="str">
        <f>IFERROR(__xludf.DUMMYFUNCTION("""COMPUTED_VALUE"""),"")</f>
        <v/>
      </c>
      <c r="E19" s="7" t="str">
        <f>IFERROR(__xludf.DUMMYFUNCTION("""COMPUTED_VALUE"""),"")</f>
        <v/>
      </c>
      <c r="F19" s="7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7" t="str">
        <f>IFERROR(__xludf.DUMMYFUNCTION("""COMPUTED_VALUE"""),"GeneralLedger")</f>
        <v>GeneralLedger</v>
      </c>
      <c r="B20" s="7" t="str">
        <f>IFERROR(__xludf.DUMMYFUNCTION("""COMPUTED_VALUE"""),"VerifyRevaluationData")</f>
        <v>VerifyRevaluationData</v>
      </c>
      <c r="C20" s="7" t="str">
        <f>IFERROR(__xludf.DUMMYFUNCTION("""COMPUTED_VALUE"""),"1hsRs1-LY0akTrMe91ArnbLtk6GUy_bKxVwMYCaiMs-8")</f>
        <v>1hsRs1-LY0akTrMe91ArnbLtk6GUy_bKxVwMYCaiMs-8</v>
      </c>
      <c r="D20" s="7" t="str">
        <f>IFERROR(__xludf.DUMMYFUNCTION("""COMPUTED_VALUE"""),"")</f>
        <v/>
      </c>
      <c r="E20" s="7" t="str">
        <f>IFERROR(__xludf.DUMMYFUNCTION("""COMPUTED_VALUE"""),"")</f>
        <v/>
      </c>
      <c r="F20" s="7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7" t="str">
        <f>IFERROR(__xludf.DUMMYFUNCTION("""COMPUTED_VALUE"""),"CorporateAction")</f>
        <v>CorporateAction</v>
      </c>
      <c r="B21" s="7" t="str">
        <f>IFERROR(__xludf.DUMMYFUNCTION("""COMPUTED_VALUE"""),"CorporateAction")</f>
        <v>CorporateAction</v>
      </c>
      <c r="C21" s="7" t="str">
        <f>IFERROR(__xludf.DUMMYFUNCTION("""COMPUTED_VALUE"""),"14rwUHTx4auE_hf60WN-tNOx3atNg7QGvErWNwVQIRqE")</f>
        <v>14rwUHTx4auE_hf60WN-tNOx3atNg7QGvErWNwVQIRqE</v>
      </c>
      <c r="D21" s="7" t="str">
        <f>IFERROR(__xludf.DUMMYFUNCTION("""COMPUTED_VALUE"""),"")</f>
        <v/>
      </c>
      <c r="E21" s="7" t="str">
        <f>IFERROR(__xludf.DUMMYFUNCTION("""COMPUTED_VALUE"""),"")</f>
        <v/>
      </c>
      <c r="F21" s="7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7" t="str">
        <f>IFERROR(__xludf.DUMMYFUNCTION("""COMPUTED_VALUE"""),"CreateTransaction")</f>
        <v>CreateTransaction</v>
      </c>
      <c r="B22" s="7" t="str">
        <f>IFERROR(__xludf.DUMMYFUNCTION("""COMPUTED_VALUE"""),"CreateTransaction")</f>
        <v>CreateTransaction</v>
      </c>
      <c r="C22" s="7" t="str">
        <f>IFERROR(__xludf.DUMMYFUNCTION("""COMPUTED_VALUE"""),"1amshi8Ns36lsDpccBK0y_9bL_pQ2rHdGNYypcgzceUg")</f>
        <v>1amshi8Ns36lsDpccBK0y_9bL_pQ2rHdGNYypcgzceUg</v>
      </c>
      <c r="D22" s="7" t="str">
        <f>IFERROR(__xludf.DUMMYFUNCTION("""COMPUTED_VALUE"""),"")</f>
        <v/>
      </c>
      <c r="E22" s="7" t="str">
        <f>IFERROR(__xludf.DUMMYFUNCTION("""COMPUTED_VALUE"""),"")</f>
        <v/>
      </c>
      <c r="F22" s="7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7" t="str">
        <f>IFERROR(__xludf.DUMMYFUNCTION("""COMPUTED_VALUE"""),"DailyValuation")</f>
        <v>DailyValuation</v>
      </c>
      <c r="B23" s="7" t="str">
        <f>IFERROR(__xludf.DUMMYFUNCTION("""COMPUTED_VALUE"""),"UpdateBeta")</f>
        <v>UpdateBeta</v>
      </c>
      <c r="C23" s="7" t="str">
        <f>IFERROR(__xludf.DUMMYFUNCTION("""COMPUTED_VALUE"""),"1YKttwHsdIskNDoo0Sl7HF2DWikROW-KA05qfT3GLIyI")</f>
        <v>1YKttwHsdIskNDoo0Sl7HF2DWikROW-KA05qfT3GLIyI</v>
      </c>
      <c r="D23" s="7" t="str">
        <f>IFERROR(__xludf.DUMMYFUNCTION("""COMPUTED_VALUE"""),"")</f>
        <v/>
      </c>
      <c r="E23" s="7" t="str">
        <f>IFERROR(__xludf.DUMMYFUNCTION("""COMPUTED_VALUE"""),"")</f>
        <v/>
      </c>
      <c r="F23" s="7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7" t="str">
        <f>IFERROR(__xludf.DUMMYFUNCTION("""COMPUTED_VALUE"""),"DailyValuation")</f>
        <v>DailyValuation</v>
      </c>
      <c r="B24" s="7" t="str">
        <f>IFERROR(__xludf.DUMMYFUNCTION("""COMPUTED_VALUE"""),"UpdateDailyCash")</f>
        <v>UpdateDailyCash</v>
      </c>
      <c r="C24" s="7" t="str">
        <f>IFERROR(__xludf.DUMMYFUNCTION("""COMPUTED_VALUE"""),"1YJ2rTp-OqQTGjubvs_cBC6fl0l94pyHI2eaLJzbddS4")</f>
        <v>1YJ2rTp-OqQTGjubvs_cBC6fl0l94pyHI2eaLJzbddS4</v>
      </c>
      <c r="D24" s="7" t="str">
        <f>IFERROR(__xludf.DUMMYFUNCTION("""COMPUTED_VALUE"""),"")</f>
        <v/>
      </c>
      <c r="E24" s="7" t="str">
        <f>IFERROR(__xludf.DUMMYFUNCTION("""COMPUTED_VALUE"""),"")</f>
        <v/>
      </c>
      <c r="F24" s="7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7" t="str">
        <f>IFERROR(__xludf.DUMMYFUNCTION("""COMPUTED_VALUE"""),"DailyValuation")</f>
        <v>DailyValuation</v>
      </c>
      <c r="B25" s="7" t="str">
        <f>IFERROR(__xludf.DUMMYFUNCTION("""COMPUTED_VALUE"""),"UpdateForexConversion")</f>
        <v>UpdateForexConversion</v>
      </c>
      <c r="C25" s="7" t="str">
        <f>IFERROR(__xludf.DUMMYFUNCTION("""COMPUTED_VALUE"""),"1mLyEfNTVFd65cnE6GfgCRD6TdpKg1BgqNIDjHCFzyO4")</f>
        <v>1mLyEfNTVFd65cnE6GfgCRD6TdpKg1BgqNIDjHCFzyO4</v>
      </c>
      <c r="D25" s="7" t="str">
        <f>IFERROR(__xludf.DUMMYFUNCTION("""COMPUTED_VALUE"""),"")</f>
        <v/>
      </c>
      <c r="E25" s="7" t="str">
        <f>IFERROR(__xludf.DUMMYFUNCTION("""COMPUTED_VALUE"""),"")</f>
        <v/>
      </c>
      <c r="F25" s="7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7" t="str">
        <f>IFERROR(__xludf.DUMMYFUNCTION("""COMPUTED_VALUE"""),"DailyValuation")</f>
        <v>DailyValuation</v>
      </c>
      <c r="B26" s="7" t="str">
        <f>IFERROR(__xludf.DUMMYFUNCTION("""COMPUTED_VALUE"""),"UpdateMarkPrice")</f>
        <v>UpdateMarkPrice</v>
      </c>
      <c r="C26" s="7" t="str">
        <f>IFERROR(__xludf.DUMMYFUNCTION("""COMPUTED_VALUE"""),"1M8d9TyOhMnA65NSIYvS6dR68SH5RL6oKahd6uz7yp6c")</f>
        <v>1M8d9TyOhMnA65NSIYvS6dR68SH5RL6oKahd6uz7yp6c</v>
      </c>
      <c r="D26" s="7" t="str">
        <f>IFERROR(__xludf.DUMMYFUNCTION("""COMPUTED_VALUE"""),"")</f>
        <v/>
      </c>
      <c r="E26" s="7" t="str">
        <f>IFERROR(__xludf.DUMMYFUNCTION("""COMPUTED_VALUE"""),"")</f>
        <v/>
      </c>
      <c r="F26" s="7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7" t="str">
        <f>IFERROR(__xludf.DUMMYFUNCTION("""COMPUTED_VALUE"""),"Import")</f>
        <v>Import</v>
      </c>
      <c r="B27" s="7" t="str">
        <f>IFERROR(__xludf.DUMMYFUNCTION("""COMPUTED_VALUE"""),"Import")</f>
        <v>Import</v>
      </c>
      <c r="C27" s="7" t="str">
        <f>IFERROR(__xludf.DUMMYFUNCTION("""COMPUTED_VALUE"""),"1Q5uOVYo1NMRks6hQRJuV8XWMPb6VFEAbSzpgP1dot1I")</f>
        <v>1Q5uOVYo1NMRks6hQRJuV8XWMPb6VFEAbSzpgP1dot1I</v>
      </c>
      <c r="D27" s="7" t="str">
        <f>IFERROR(__xludf.DUMMYFUNCTION("""COMPUTED_VALUE"""),"")</f>
        <v/>
      </c>
      <c r="E27" s="7" t="str">
        <f>IFERROR(__xludf.DUMMYFUNCTION("""COMPUTED_VALUE"""),"")</f>
        <v/>
      </c>
      <c r="F27" s="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7" t="str">
        <f>IFERROR(__xludf.DUMMYFUNCTION("""COMPUTED_VALUE"""),"PortfolioManagement")</f>
        <v>PortfolioManagement</v>
      </c>
      <c r="B28" s="7" t="str">
        <f>IFERROR(__xludf.DUMMYFUNCTION("""COMPUTED_VALUE"""),"CheckDashboardPM")</f>
        <v>CheckDashboardPM</v>
      </c>
      <c r="C28" s="7" t="str">
        <f>IFERROR(__xludf.DUMMYFUNCTION("""COMPUTED_VALUE"""),"1iqfUyYqyebXIeNBGljH7-T8whBcywTlkBBU3dBZV06s")</f>
        <v>1iqfUyYqyebXIeNBGljH7-T8whBcywTlkBBU3dBZV06s</v>
      </c>
      <c r="D28" s="7" t="str">
        <f>IFERROR(__xludf.DUMMYFUNCTION("""COMPUTED_VALUE"""),"")</f>
        <v/>
      </c>
      <c r="E28" s="7" t="str">
        <f>IFERROR(__xludf.DUMMYFUNCTION("""COMPUTED_VALUE"""),"")</f>
        <v/>
      </c>
      <c r="F28" s="7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7" t="str">
        <f>IFERROR(__xludf.DUMMYFUNCTION("""COMPUTED_VALUE"""),"PortfolioManagement")</f>
        <v>PortfolioManagement</v>
      </c>
      <c r="B29" s="7" t="str">
        <f>IFERROR(__xludf.DUMMYFUNCTION("""COMPUTED_VALUE"""),"CheckPortfolioManagement")</f>
        <v>CheckPortfolioManagement</v>
      </c>
      <c r="C29" s="7" t="str">
        <f>IFERROR(__xludf.DUMMYFUNCTION("""COMPUTED_VALUE"""),"1u0XMlZJy_Slp7uXMwirinW7StOOdTcWD-D8V07sO0VA")</f>
        <v>1u0XMlZJy_Slp7uXMwirinW7StOOdTcWD-D8V07sO0VA</v>
      </c>
      <c r="D29" s="7" t="str">
        <f>IFERROR(__xludf.DUMMYFUNCTION("""COMPUTED_VALUE"""),"")</f>
        <v/>
      </c>
      <c r="E29" s="7" t="str">
        <f>IFERROR(__xludf.DUMMYFUNCTION("""COMPUTED_VALUE"""),"")</f>
        <v/>
      </c>
      <c r="F29" s="7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7" t="str">
        <f>IFERROR(__xludf.DUMMYFUNCTION("""COMPUTED_VALUE"""),"PricingInput")</f>
        <v>PricingInput</v>
      </c>
      <c r="B30" s="7" t="str">
        <f>IFERROR(__xludf.DUMMYFUNCTION("""COMPUTED_VALUE"""),"PricingInput")</f>
        <v>PricingInput</v>
      </c>
      <c r="C30" s="7" t="str">
        <f>IFERROR(__xludf.DUMMYFUNCTION("""COMPUTED_VALUE"""),"1mh3Z5PifhJ3yzX8TPeoc3H3nteNiA0V2tWFse0rVChE")</f>
        <v>1mh3Z5PifhJ3yzX8TPeoc3H3nteNiA0V2tWFse0rVChE</v>
      </c>
      <c r="D30" s="7" t="str">
        <f>IFERROR(__xludf.DUMMYFUNCTION("""COMPUTED_VALUE"""),"")</f>
        <v/>
      </c>
      <c r="E30" s="7" t="str">
        <f>IFERROR(__xludf.DUMMYFUNCTION("""COMPUTED_VALUE"""),"")</f>
        <v/>
      </c>
      <c r="F30" s="7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7" t="str">
        <f>IFERROR(__xludf.DUMMYFUNCTION("""COMPUTED_VALUE"""),"PricingInput")</f>
        <v>PricingInput</v>
      </c>
      <c r="B31" s="7" t="str">
        <f>IFERROR(__xludf.DUMMYFUNCTION("""COMPUTED_VALUE"""),"UpdateSharesOutstanding")</f>
        <v>UpdateSharesOutstanding</v>
      </c>
      <c r="C31" s="7" t="str">
        <f>IFERROR(__xludf.DUMMYFUNCTION("""COMPUTED_VALUE"""),"1vmZ6v1OyZ8SSi8bqqjK3ap3KtM_yPA_SEcIQgYiRInY")</f>
        <v>1vmZ6v1OyZ8SSi8bqqjK3ap3KtM_yPA_SEcIQgYiRInY</v>
      </c>
      <c r="D31" s="7" t="str">
        <f>IFERROR(__xludf.DUMMYFUNCTION("""COMPUTED_VALUE"""),"")</f>
        <v/>
      </c>
      <c r="E31" s="7" t="str">
        <f>IFERROR(__xludf.DUMMYFUNCTION("""COMPUTED_VALUE"""),"")</f>
        <v/>
      </c>
      <c r="F31" s="7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7" t="str">
        <f>IFERROR(__xludf.DUMMYFUNCTION("""COMPUTED_VALUE"""),"SymbolLookup")</f>
        <v>SymbolLookup</v>
      </c>
      <c r="B32" s="7" t="str">
        <f>IFERROR(__xludf.DUMMYFUNCTION("""COMPUTED_VALUE"""),"VerifySymbolLookUp")</f>
        <v>VerifySymbolLookUp</v>
      </c>
      <c r="C32" s="7" t="str">
        <f>IFERROR(__xludf.DUMMYFUNCTION("""COMPUTED_VALUE"""),"1OiI1Pi_JAFOFi8ByMaD3_qqEXSv6yQMo_u6aGTozbl8")</f>
        <v>1OiI1Pi_JAFOFi8ByMaD3_qqEXSv6yQMo_u6aGTozbl8</v>
      </c>
      <c r="D32" s="7" t="str">
        <f>IFERROR(__xludf.DUMMYFUNCTION("""COMPUTED_VALUE"""),"")</f>
        <v/>
      </c>
      <c r="E32" s="7" t="str">
        <f>IFERROR(__xludf.DUMMYFUNCTION("""COMPUTED_VALUE"""),"")</f>
        <v/>
      </c>
      <c r="F32" s="7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7" t="str">
        <f>IFERROR(__xludf.DUMMYFUNCTION("""COMPUTED_VALUE"""),"SymbolLookup")</f>
        <v>SymbolLookup</v>
      </c>
      <c r="B33" s="7" t="str">
        <f>IFERROR(__xludf.DUMMYFUNCTION("""COMPUTED_VALUE"""),"SymbolLookupFromTT")</f>
        <v>SymbolLookupFromTT</v>
      </c>
      <c r="C33" s="7" t="str">
        <f>IFERROR(__xludf.DUMMYFUNCTION("""COMPUTED_VALUE"""),"1ubfvE9sHq5KpJ9NazeH96CrVMJqAuol5Ya9GPjxWrgI")</f>
        <v>1ubfvE9sHq5KpJ9NazeH96CrVMJqAuol5Ya9GPjxWrgI</v>
      </c>
      <c r="D33" s="7" t="str">
        <f>IFERROR(__xludf.DUMMYFUNCTION("""COMPUTED_VALUE"""),"")</f>
        <v/>
      </c>
      <c r="E33" s="7" t="str">
        <f>IFERROR(__xludf.DUMMYFUNCTION("""COMPUTED_VALUE"""),"")</f>
        <v/>
      </c>
      <c r="F33" s="7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0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" t="s">
        <v>0</v>
      </c>
      <c r="B1" s="3"/>
      <c r="C1" s="4"/>
    </row>
    <row r="2" ht="15.75" customHeight="1">
      <c r="A2" s="6"/>
      <c r="B2" s="6"/>
      <c r="C2" s="6"/>
    </row>
    <row r="3" ht="15.75" customHeight="1">
      <c r="A3" s="8" t="s">
        <v>3</v>
      </c>
      <c r="B3" s="10" t="s">
        <v>5</v>
      </c>
      <c r="C3" s="6"/>
    </row>
    <row r="4" ht="15.75" customHeight="1">
      <c r="A4" s="9" t="s">
        <v>7</v>
      </c>
      <c r="B4" s="10" t="s">
        <v>9</v>
      </c>
      <c r="C4" s="6"/>
    </row>
    <row r="5" ht="15.75" customHeight="1">
      <c r="A5" s="13"/>
      <c r="B5" s="6"/>
      <c r="C5" s="6"/>
    </row>
    <row r="6" ht="15.75" customHeight="1">
      <c r="A6" s="13"/>
      <c r="B6" s="6"/>
      <c r="C6" s="6"/>
    </row>
    <row r="7" ht="15.75" customHeight="1">
      <c r="A7" s="13"/>
      <c r="B7" s="6"/>
      <c r="C7" s="6"/>
    </row>
    <row r="8" ht="15.75" customHeight="1">
      <c r="A8" s="13"/>
      <c r="B8" s="6"/>
      <c r="C8" s="6"/>
    </row>
    <row r="9" ht="15.75" customHeight="1">
      <c r="A9" s="13"/>
      <c r="B9" s="6"/>
      <c r="C9" s="6"/>
    </row>
    <row r="10" ht="15.75" customHeight="1">
      <c r="A10" s="13"/>
      <c r="B10" s="6"/>
      <c r="C10" s="6"/>
    </row>
    <row r="11" ht="15.75" customHeight="1">
      <c r="A11" s="13"/>
      <c r="B11" s="6"/>
      <c r="C11" s="6"/>
    </row>
    <row r="12" ht="15.75" customHeight="1">
      <c r="A12" s="13"/>
      <c r="B12" s="6"/>
      <c r="C12" s="6"/>
    </row>
    <row r="13" ht="15.75" customHeight="1">
      <c r="A13" s="13"/>
      <c r="B13" s="6"/>
      <c r="C13" s="6"/>
    </row>
    <row r="14" ht="15.75" customHeight="1">
      <c r="A14" s="13"/>
      <c r="B14" s="6"/>
      <c r="C14" s="6"/>
    </row>
    <row r="15" ht="15.75" customHeight="1">
      <c r="A15" s="13"/>
      <c r="B15" s="6"/>
      <c r="C15" s="6"/>
    </row>
    <row r="16" ht="15.75" customHeight="1">
      <c r="A16" s="13"/>
      <c r="B16" s="6"/>
      <c r="C16" s="6"/>
    </row>
    <row r="17" ht="15.75" customHeight="1">
      <c r="A17" s="13"/>
      <c r="B17" s="6"/>
      <c r="C17" s="6"/>
    </row>
    <row r="18" ht="15.75" customHeight="1">
      <c r="A18" s="13"/>
      <c r="B18" s="6"/>
      <c r="C18" s="6"/>
    </row>
    <row r="19" ht="15.75" customHeight="1">
      <c r="A19" s="13"/>
      <c r="B19" s="6"/>
      <c r="C19" s="6"/>
    </row>
    <row r="20" ht="15.75" customHeight="1">
      <c r="A20" s="13"/>
      <c r="B20" s="6"/>
      <c r="C20" s="6"/>
    </row>
    <row r="21" ht="15.75" customHeight="1">
      <c r="A21" s="13"/>
      <c r="B21" s="6"/>
      <c r="C21" s="6"/>
    </row>
    <row r="22" ht="15.75" customHeight="1">
      <c r="A22" s="13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5" t="s">
        <v>1</v>
      </c>
      <c r="B1" s="3"/>
      <c r="C1" s="3"/>
      <c r="D1" s="3"/>
      <c r="E1" s="3"/>
      <c r="F1" s="4"/>
    </row>
    <row r="2">
      <c r="A2" s="7"/>
      <c r="B2" s="7"/>
      <c r="C2" s="7"/>
      <c r="D2" s="7"/>
      <c r="E2" s="7"/>
      <c r="F2" s="7"/>
    </row>
    <row r="3">
      <c r="A3" s="9" t="s">
        <v>4</v>
      </c>
      <c r="B3" s="11" t="s">
        <v>6</v>
      </c>
      <c r="C3" s="11" t="s">
        <v>8</v>
      </c>
      <c r="D3" s="12"/>
      <c r="E3" s="12"/>
      <c r="F3" s="12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1b5S4Xpp4fgZ1ez6cK92QFnVBylqz8jhwxdAyEvwDqUI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6</v>
      </c>
      <c r="E3" s="21" t="s">
        <v>13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16</v>
      </c>
      <c r="C6" s="10" t="s">
        <v>17</v>
      </c>
      <c r="D6" s="10">
        <v>100.0</v>
      </c>
      <c r="E6" s="10">
        <v>100.0</v>
      </c>
      <c r="F6" s="10" t="s">
        <v>18</v>
      </c>
      <c r="G6" s="6"/>
      <c r="H6" s="6"/>
      <c r="I6" s="6"/>
      <c r="J6" s="10">
        <v>10.0</v>
      </c>
      <c r="K6" s="6"/>
      <c r="L6" s="6"/>
      <c r="M6" s="6"/>
      <c r="N6" s="29">
        <f t="shared" ref="N6:N7" si="1">TODAY()</f>
        <v>43789</v>
      </c>
      <c r="O6" s="6"/>
    </row>
    <row r="7" ht="15.75" customHeight="1">
      <c r="A7" s="6"/>
      <c r="B7" s="10" t="s">
        <v>19</v>
      </c>
      <c r="C7" s="10" t="s">
        <v>17</v>
      </c>
      <c r="D7" s="10">
        <v>100.0</v>
      </c>
      <c r="E7" s="10">
        <v>100.0</v>
      </c>
      <c r="F7" s="10" t="s">
        <v>18</v>
      </c>
      <c r="G7" s="6"/>
      <c r="H7" s="6"/>
      <c r="I7" s="6"/>
      <c r="J7" s="10">
        <v>10.0</v>
      </c>
      <c r="K7" s="6"/>
      <c r="L7" s="6"/>
      <c r="M7" s="6"/>
      <c r="N7" s="29">
        <f t="shared" si="1"/>
        <v>43789</v>
      </c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73" width="14.43"/>
    <col customWidth="1" min="74" max="74" width="32.29"/>
    <col customWidth="1" min="75" max="75" width="32.71"/>
    <col customWidth="1" min="76" max="76" width="33.14"/>
    <col customWidth="1" min="77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20</v>
      </c>
      <c r="D3" s="8" t="s">
        <v>6</v>
      </c>
      <c r="E3" s="21" t="s">
        <v>21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18</v>
      </c>
      <c r="C6" s="6"/>
      <c r="D6" s="10"/>
      <c r="E6" s="31"/>
      <c r="F6" s="6"/>
      <c r="G6" s="6"/>
      <c r="H6" s="6"/>
      <c r="I6" s="6"/>
      <c r="J6" s="6"/>
      <c r="K6" s="10">
        <v>10.0</v>
      </c>
      <c r="L6" s="10">
        <v>10.0</v>
      </c>
      <c r="M6" s="6"/>
      <c r="N6" s="6"/>
      <c r="O6" s="6"/>
      <c r="AE6" s="30">
        <v>100.0</v>
      </c>
      <c r="BJ6" s="30">
        <v>100.0</v>
      </c>
      <c r="BO6" s="30" t="s">
        <v>17</v>
      </c>
      <c r="BT6" s="30" t="s">
        <v>16</v>
      </c>
    </row>
    <row r="7" ht="15.75" customHeight="1">
      <c r="A7" s="6"/>
      <c r="B7" s="10" t="s">
        <v>18</v>
      </c>
      <c r="C7" s="6"/>
      <c r="D7" s="6"/>
      <c r="E7" s="6"/>
      <c r="F7" s="6"/>
      <c r="G7" s="6"/>
      <c r="H7" s="6"/>
      <c r="I7" s="6"/>
      <c r="J7" s="6"/>
      <c r="K7" s="10">
        <v>10.0</v>
      </c>
      <c r="L7" s="10">
        <v>10.0</v>
      </c>
      <c r="M7" s="6"/>
      <c r="N7" s="6"/>
      <c r="O7" s="6"/>
      <c r="AE7" s="30">
        <v>100.0</v>
      </c>
      <c r="BJ7" s="30">
        <v>100.0</v>
      </c>
      <c r="BO7" s="30" t="s">
        <v>17</v>
      </c>
      <c r="BT7" s="30" t="s">
        <v>19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20</v>
      </c>
      <c r="D3" s="8" t="s">
        <v>6</v>
      </c>
      <c r="E3" s="21" t="s">
        <v>22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IFERROR(__xludf.DUMMYFUNCTION("""COMPUTED_VALUE"""),"AvgPrice")</f>
        <v>AvgPrice</v>
      </c>
      <c r="C5" s="26" t="str">
        <f>IFERROR(__xludf.DUMMYFUNCTION("""COMPUTED_VALUE"""),"Commission")</f>
        <v>Commission</v>
      </c>
      <c r="D5" s="26" t="str">
        <f>IFERROR(__xludf.DUMMYFUNCTION("""COMPUTED_VALUE"""),"SoftCommission")</f>
        <v>SoftCommission</v>
      </c>
      <c r="E5" s="26" t="str">
        <f>IFERROR(__xludf.DUMMYFUNCTION("""COMPUTED_VALUE"""),"OtherBrokerFees")</f>
        <v>OtherBrokerFees</v>
      </c>
      <c r="F5" s="27" t="str">
        <f>IFERROR(__xludf.DUMMYFUNCTION("""COMPUTED_VALUE"""),"ClearingBrokerFees")</f>
        <v>ClearingBrokerFees</v>
      </c>
      <c r="G5" s="26" t="str">
        <f>IFERROR(__xludf.DUMMYFUNCTION("""COMPUTED_VALUE"""),"StampDuty")</f>
        <v>StampDuty</v>
      </c>
      <c r="H5" s="26" t="str">
        <f>IFERROR(__xludf.DUMMYFUNCTION("""COMPUTED_VALUE"""),"TransactionLevy")</f>
        <v>TransactionLevy</v>
      </c>
      <c r="I5" s="26" t="str">
        <f>IFERROR(__xludf.DUMMYFUNCTION("""COMPUTED_VALUE"""),"AUECFee1")</f>
        <v>AUECFee1</v>
      </c>
      <c r="J5" s="26" t="str">
        <f>IFERROR(__xludf.DUMMYFUNCTION("""COMPUTED_VALUE"""),"TaxOnCommissions")</f>
        <v>TaxOnCommissions</v>
      </c>
      <c r="K5" s="26" t="str">
        <f>IFERROR(__xludf.DUMMYFUNCTION("""COMPUTED_VALUE"""),"AUECFee2")</f>
        <v>AUECFee2</v>
      </c>
      <c r="L5" s="26" t="str">
        <f>IFERROR(__xludf.DUMMYFUNCTION("""COMPUTED_VALUE"""),"SecFee")</f>
        <v>SecFee</v>
      </c>
      <c r="M5" s="26" t="str">
        <f>IFERROR(__xludf.DUMMYFUNCTION("""COMPUTED_VALUE"""),"OccFee")</f>
        <v>OccFee</v>
      </c>
      <c r="N5" s="26" t="str">
        <f>IFERROR(__xludf.DUMMYFUNCTION("""COMPUTED_VALUE"""),"OrfFee")</f>
        <v>OrfFee</v>
      </c>
      <c r="O5" s="26" t="str">
        <f>IFERROR(__xludf.DUMMYFUNCTION("""COMPUTED_VALUE"""),"Broker")</f>
        <v>Broker</v>
      </c>
      <c r="P5" s="26" t="str">
        <f>IFERROR(__xludf.DUMMYFUNCTION("""COMPUTED_VALUE"""),"Venue")</f>
        <v>Venue</v>
      </c>
      <c r="Q5" s="26" t="str">
        <f>IFERROR(__xludf.DUMMYFUNCTION("""COMPUTED_VALUE"""),"Description")</f>
        <v>Description</v>
      </c>
      <c r="R5" s="26" t="str">
        <f>IFERROR(__xludf.DUMMYFUNCTION("""COMPUTED_VALUE"""),"InternalComments")</f>
        <v>InternalComments</v>
      </c>
      <c r="S5" s="26" t="str">
        <f>IFERROR(__xludf.DUMMYFUNCTION("""COMPUTED_VALUE"""),"FXRate")</f>
        <v>FXRate</v>
      </c>
      <c r="T5" s="28" t="str">
        <f>IFERROR(__xludf.DUMMYFUNCTION("""COMPUTED_VALUE"""),"FxConvOperator")</f>
        <v>FxConvOperator</v>
      </c>
      <c r="U5" s="28" t="str">
        <f>IFERROR(__xludf.DUMMYFUNCTION("""COMPUTED_VALUE"""),"AccruedInterest")</f>
        <v>AccruedInterest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IFERROR(__xludf.DUMMYFUNCTION("""COMPUTED_VALUE"""),"SettlementCurrency")</f>
        <v>SettlementCurrency</v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10">
        <v>3.53</v>
      </c>
      <c r="D6" s="10"/>
      <c r="E6" s="3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EditAllocatedGroupSidePanel!$4:$4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23</v>
      </c>
      <c r="D3" s="8" t="s">
        <v>6</v>
      </c>
      <c r="E3" s="21" t="s">
        <v>24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25</v>
      </c>
      <c r="C6" s="6"/>
      <c r="D6" s="10"/>
      <c r="E6" s="3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17" width="14.43"/>
    <col customWidth="1" min="118" max="118" width="28.71"/>
    <col customWidth="1" min="119" max="119" width="54.71"/>
    <col customWidth="1" min="120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23</v>
      </c>
      <c r="D3" s="8" t="s">
        <v>6</v>
      </c>
      <c r="E3" s="21" t="s">
        <v>26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IFERROR(__xludf.DUMMYFUNCTION("""COMPUTED_VALUE"""),"AccruedInterest")</f>
        <v>AccruedInterest</v>
      </c>
      <c r="D5" s="26" t="str">
        <f>IFERROR(__xludf.DUMMYFUNCTION("""COMPUTED_VALUE"""),"Analyst")</f>
        <v>Analyst</v>
      </c>
      <c r="E5" s="26" t="str">
        <f>IFERROR(__xludf.DUMMYFUNCTION("""COMPUTED_VALUE"""),"Asset Class")</f>
        <v>Asset Class</v>
      </c>
      <c r="F5" s="27" t="str">
        <f>IFERROR(__xludf.DUMMYFUNCTION("""COMPUTED_VALUE"""),"AssetName")</f>
        <v>AssetName</v>
      </c>
      <c r="G5" s="26" t="str">
        <f>IFERROR(__xludf.DUMMYFUNCTION("""COMPUTED_VALUE"""),"AUCID")</f>
        <v>AUCID</v>
      </c>
      <c r="H5" s="26" t="str">
        <f>IFERROR(__xludf.DUMMYFUNCTION("""COMPUTED_VALUE"""),"AUECModifiedDate")</f>
        <v>AUECModifiedDate</v>
      </c>
      <c r="I5" s="26" t="str">
        <f>IFERROR(__xludf.DUMMYFUNCTION("""COMPUTED_VALUE"""),"Average Price")</f>
        <v>Average Price</v>
      </c>
      <c r="J5" s="26" t="str">
        <f>IFERROR(__xludf.DUMMYFUNCTION("""COMPUTED_VALUE"""),"BloombergSymbol")</f>
        <v>BloombergSymbol</v>
      </c>
      <c r="K5" s="26" t="str">
        <f>IFERROR(__xludf.DUMMYFUNCTION("""COMPUTED_VALUE"""),"Broker")</f>
        <v>Broker</v>
      </c>
      <c r="L5" s="26" t="str">
        <f>IFERROR(__xludf.DUMMYFUNCTION("""COMPUTED_VALUE"""),"CalcBasis")</f>
        <v>CalcBasis</v>
      </c>
      <c r="M5" s="26" t="str">
        <f>IFERROR(__xludf.DUMMYFUNCTION("""COMPUTED_VALUE"""),"CashSettledPrice")</f>
        <v>CashSettledPrice</v>
      </c>
      <c r="N5" s="26" t="str">
        <f>IFERROR(__xludf.DUMMYFUNCTION("""COMPUTED_VALUE"""),"ChangeComment")</f>
        <v>ChangeComment</v>
      </c>
      <c r="O5" s="26" t="str">
        <f>IFERROR(__xludf.DUMMYFUNCTION("""COMPUTED_VALUE"""),"ChangeType")</f>
        <v>ChangeType</v>
      </c>
      <c r="P5" s="26" t="str">
        <f>IFERROR(__xludf.DUMMYFUNCTION("""COMPUTED_VALUE"""),"ClearingBrokerFee")</f>
        <v>ClearingBrokerFee</v>
      </c>
      <c r="Q5" s="26" t="str">
        <f>IFERROR(__xludf.DUMMYFUNCTION("""COMPUTED_VALUE"""),"ClearingFee")</f>
        <v>ClearingFee</v>
      </c>
      <c r="R5" s="26" t="str">
        <f>IFERROR(__xludf.DUMMYFUNCTION("""COMPUTED_VALUE"""),"ClosedTotalCommissionandFees")</f>
        <v>ClosedTotalCommissionandFees</v>
      </c>
      <c r="S5" s="26" t="str">
        <f>IFERROR(__xludf.DUMMYFUNCTION("""COMPUTED_VALUE"""),"ClosingAlgo")</f>
        <v>ClosingAlgo</v>
      </c>
      <c r="T5" s="28" t="str">
        <f>IFERROR(__xludf.DUMMYFUNCTION("""COMPUTED_VALUE"""),"ClosingDate")</f>
        <v>ClosingDate</v>
      </c>
      <c r="U5" s="28" t="str">
        <f>IFERROR(__xludf.DUMMYFUNCTION("""COMPUTED_VALUE"""),"ClosingStatus")</f>
        <v>ClosingStatus</v>
      </c>
      <c r="V5" s="28" t="str">
        <f>IFERROR(__xludf.DUMMYFUNCTION("""COMPUTED_VALUE"""),"Commission")</f>
        <v>Commission</v>
      </c>
      <c r="W5" s="28" t="str">
        <f>IFERROR(__xludf.DUMMYFUNCTION("""COMPUTED_VALUE"""),"CommissionAmt")</f>
        <v>CommissionAmt</v>
      </c>
      <c r="X5" s="28" t="str">
        <f>IFERROR(__xludf.DUMMYFUNCTION("""COMPUTED_VALUE"""),"CommissionRate")</f>
        <v>CommissionRate</v>
      </c>
      <c r="Y5" s="28" t="str">
        <f>IFERROR(__xludf.DUMMYFUNCTION("""COMPUTED_VALUE"""),"CompanyUserName")</f>
        <v>CompanyUserName</v>
      </c>
      <c r="Z5" s="28" t="str">
        <f>IFERROR(__xludf.DUMMYFUNCTION("""COMPUTED_VALUE"""),"ContractMultiplier")</f>
        <v>ContractMultiplier</v>
      </c>
      <c r="AA5" s="28" t="str">
        <f>IFERROR(__xludf.DUMMYFUNCTION("""COMPUTED_VALUE"""),"CountryName")</f>
        <v>CountryName</v>
      </c>
      <c r="AB5" s="28" t="str">
        <f>IFERROR(__xludf.DUMMYFUNCTION("""COMPUTED_VALUE"""),"CountryOfRisk")</f>
        <v>CountryOfRisk</v>
      </c>
      <c r="AC5" s="28" t="str">
        <f>IFERROR(__xludf.DUMMYFUNCTION("""COMPUTED_VALUE"""),"CumQty")</f>
        <v>CumQty</v>
      </c>
      <c r="AD5" s="28" t="str">
        <f>IFERROR(__xludf.DUMMYFUNCTION("""COMPUTED_VALUE"""),"CurrencyID")</f>
        <v>CurrencyID</v>
      </c>
      <c r="AE5" s="28" t="str">
        <f>IFERROR(__xludf.DUMMYFUNCTION("""COMPUTED_VALUE"""),"CurrencyName")</f>
        <v>CurrencyName</v>
      </c>
      <c r="AF5" s="28" t="str">
        <f>IFERROR(__xludf.DUMMYFUNCTION("""COMPUTED_VALUE"""),"CusipSymbol")</f>
        <v>CusipSymbol</v>
      </c>
      <c r="AG5" s="28" t="str">
        <f>IFERROR(__xludf.DUMMYFUNCTION("""COMPUTED_VALUE"""),"CustomUDA1")</f>
        <v>CustomUDA1</v>
      </c>
      <c r="AH5" s="28" t="str">
        <f>IFERROR(__xludf.DUMMYFUNCTION("""COMPUTED_VALUE"""),"CustomUDA2")</f>
        <v>CustomUDA2</v>
      </c>
      <c r="AI5" s="28" t="str">
        <f>IFERROR(__xludf.DUMMYFUNCTION("""COMPUTED_VALUE"""),"CustomUDA3")</f>
        <v>CustomUDA3</v>
      </c>
      <c r="AJ5" s="28" t="str">
        <f>IFERROR(__xludf.DUMMYFUNCTION("""COMPUTED_VALUE"""),"CustomUDA4")</f>
        <v>CustomUDA4</v>
      </c>
      <c r="AK5" s="28" t="str">
        <f>IFERROR(__xludf.DUMMYFUNCTION("""COMPUTED_VALUE"""),"CustomUDA5")</f>
        <v>CustomUDA5</v>
      </c>
      <c r="AL5" s="28" t="str">
        <f>IFERROR(__xludf.DUMMYFUNCTION("""COMPUTED_VALUE"""),"CustomUDA6")</f>
        <v>CustomUDA6</v>
      </c>
      <c r="AM5" s="28" t="str">
        <f>IFERROR(__xludf.DUMMYFUNCTION("""COMPUTED_VALUE"""),"CustomUDA7")</f>
        <v>CustomUDA7</v>
      </c>
      <c r="AN5" s="28" t="str">
        <f>IFERROR(__xludf.DUMMYFUNCTION("""COMPUTED_VALUE"""),"Delta")</f>
        <v>Delta</v>
      </c>
      <c r="AO5" s="28" t="str">
        <f>IFERROR(__xludf.DUMMYFUNCTION("""COMPUTED_VALUE"""),"Description")</f>
        <v>Description</v>
      </c>
      <c r="AP5" s="28" t="str">
        <f>IFERROR(__xludf.DUMMYFUNCTION("""COMPUTED_VALUE"""),"ExchangeName")</f>
        <v>ExchangeName</v>
      </c>
      <c r="AQ5" s="28" t="str">
        <f>IFERROR(__xludf.DUMMYFUNCTION("""COMPUTED_VALUE"""),"ExecutedQty")</f>
        <v>ExecutedQty</v>
      </c>
      <c r="AR5" s="28" t="str">
        <f>IFERROR(__xludf.DUMMYFUNCTION("""COMPUTED_VALUE"""),"ExpirationDate")</f>
        <v>ExpirationDate</v>
      </c>
      <c r="AS5" s="28" t="str">
        <f>IFERROR(__xludf.DUMMYFUNCTION("""COMPUTED_VALUE"""),"ExternalTransID")</f>
        <v>ExternalTransID</v>
      </c>
      <c r="AT5" s="28" t="str">
        <f>IFERROR(__xludf.DUMMYFUNCTION("""COMPUTED_VALUE"""),"FXConversionMethodOperator")</f>
        <v>FXConversionMethodOperator</v>
      </c>
      <c r="AU5" s="28" t="str">
        <f>IFERROR(__xludf.DUMMYFUNCTION("""COMPUTED_VALUE"""),"FXRate")</f>
        <v>FXRate</v>
      </c>
      <c r="AV5" s="28" t="str">
        <f>IFERROR(__xludf.DUMMYFUNCTION("""COMPUTED_VALUE"""),"GroupID")</f>
        <v>GroupID</v>
      </c>
      <c r="AW5" s="28" t="str">
        <f>IFERROR(__xludf.DUMMYFUNCTION("""COMPUTED_VALUE"""),"IDCOSymbol")</f>
        <v>IDCOSymbol</v>
      </c>
      <c r="AX5" s="28" t="str">
        <f>IFERROR(__xludf.DUMMYFUNCTION("""COMPUTED_VALUE"""),"InternalComments")</f>
        <v>InternalComments</v>
      </c>
      <c r="AY5" s="28" t="str">
        <f>IFERROR(__xludf.DUMMYFUNCTION("""COMPUTED_VALUE"""),"IsExerciseAtZero")</f>
        <v>IsExerciseAtZero</v>
      </c>
      <c r="AZ5" s="28" t="str">
        <f>IFERROR(__xludf.DUMMYFUNCTION("""COMPUTED_VALUE"""),"ISINSymbol")</f>
        <v>ISINSymbol</v>
      </c>
      <c r="BA5" s="28" t="str">
        <f>IFERROR(__xludf.DUMMYFUNCTION("""COMPUTED_VALUE"""),"IsNDF")</f>
        <v>IsNDF</v>
      </c>
      <c r="BB5" s="28" t="str">
        <f>IFERROR(__xludf.DUMMYFUNCTION("""COMPUTED_VALUE"""),"IsPosition")</f>
        <v>IsPosition</v>
      </c>
      <c r="BC5" s="28" t="str">
        <f>IFERROR(__xludf.DUMMYFUNCTION("""COMPUTED_VALUE"""),"IsPreAllocated")</f>
        <v>IsPreAllocated</v>
      </c>
      <c r="BD5" s="28" t="str">
        <f>IFERROR(__xludf.DUMMYFUNCTION("""COMPUTED_VALUE"""),"Issuer")</f>
        <v>Issuer</v>
      </c>
      <c r="BE5" s="28" t="str">
        <f>IFERROR(__xludf.DUMMYFUNCTION("""COMPUTED_VALUE"""),"IsSwapped")</f>
        <v>IsSwapped</v>
      </c>
      <c r="BF5" s="28" t="str">
        <f>IFERROR(__xludf.DUMMYFUNCTION("""COMPUTED_VALUE"""),"LeadCurrencyID")</f>
        <v>LeadCurrencyID</v>
      </c>
      <c r="BG5" s="28" t="str">
        <f>IFERROR(__xludf.DUMMYFUNCTION("""COMPUTED_VALUE"""),"LiquidTag")</f>
        <v>LiquidTag</v>
      </c>
      <c r="BH5" s="28" t="str">
        <f>IFERROR(__xludf.DUMMYFUNCTION("""COMPUTED_VALUE"""),"LongOrShort")</f>
        <v>LongOrShort</v>
      </c>
      <c r="BI5" s="28" t="str">
        <f>IFERROR(__xludf.DUMMYFUNCTION("""COMPUTED_VALUE"""),"LotId")</f>
        <v>LotId</v>
      </c>
      <c r="BJ5" s="28" t="str">
        <f>IFERROR(__xludf.DUMMYFUNCTION("""COMPUTED_VALUE"""),"M2MProfitLoss")</f>
        <v>M2MProfitLoss</v>
      </c>
      <c r="BK5" s="28" t="str">
        <f>IFERROR(__xludf.DUMMYFUNCTION("""COMPUTED_VALUE"""),"MarkPrice")</f>
        <v>MarkPrice</v>
      </c>
      <c r="BL5" s="28" t="str">
        <f>IFERROR(__xludf.DUMMYFUNCTION("""COMPUTED_VALUE"""),"MasterFund")</f>
        <v>MasterFund</v>
      </c>
      <c r="BM5" s="28" t="str">
        <f>IFERROR(__xludf.DUMMYFUNCTION("""COMPUTED_VALUE"""),"MiscFees")</f>
        <v>MiscFees</v>
      </c>
      <c r="BN5" s="28" t="str">
        <f>IFERROR(__xludf.DUMMYFUNCTION("""COMPUTED_VALUE"""),"NavLockStatus")</f>
        <v>NavLockStatus</v>
      </c>
      <c r="BO5" s="28" t="str">
        <f>IFERROR(__xludf.DUMMYFUNCTION("""COMPUTED_VALUE"""),"Net Notional")</f>
        <v>Net Notional</v>
      </c>
      <c r="BP5" s="28" t="str">
        <f>IFERROR(__xludf.DUMMYFUNCTION("""COMPUTED_VALUE"""),"NirvanaProcessDate")</f>
        <v>NirvanaProcessDate</v>
      </c>
      <c r="BQ5" s="28" t="str">
        <f>IFERROR(__xludf.DUMMYFUNCTION("""COMPUTED_VALUE"""),"OccFee")</f>
        <v>OccFee</v>
      </c>
      <c r="BR5" s="28" t="str">
        <f>IFERROR(__xludf.DUMMYFUNCTION("""COMPUTED_VALUE"""),"OptionPremiumAdjustment")</f>
        <v>OptionPremiumAdjustment</v>
      </c>
      <c r="BS5" s="28" t="str">
        <f>IFERROR(__xludf.DUMMYFUNCTION("""COMPUTED_VALUE"""),"OrderSideTagValue")</f>
        <v>OrderSideTagValue</v>
      </c>
      <c r="BT5" s="28" t="str">
        <f>IFERROR(__xludf.DUMMYFUNCTION("""COMPUTED_VALUE"""),"OrderType")</f>
        <v>OrderType</v>
      </c>
      <c r="BU5" s="28" t="str">
        <f>IFERROR(__xludf.DUMMYFUNCTION("""COMPUTED_VALUE"""),"OrfFee")</f>
        <v>OrfFee</v>
      </c>
      <c r="BV5" s="28" t="str">
        <f>IFERROR(__xludf.DUMMYFUNCTION("""COMPUTED_VALUE"""),"Original Side")</f>
        <v>Original Side</v>
      </c>
      <c r="BW5" s="28" t="str">
        <f>IFERROR(__xludf.DUMMYFUNCTION("""COMPUTED_VALUE"""),"OriginalPurchase Date")</f>
        <v>OriginalPurchase Date</v>
      </c>
      <c r="BX5" s="28" t="str">
        <f>IFERROR(__xludf.DUMMYFUNCTION("""COMPUTED_VALUE"""),"OSISymbol")</f>
        <v>OSISymbol</v>
      </c>
      <c r="BY5" s="28" t="str">
        <f>IFERROR(__xludf.DUMMYFUNCTION("""COMPUTED_VALUE"""),"OtherBrokerFees")</f>
        <v>OtherBrokerFees</v>
      </c>
      <c r="BZ5" s="28" t="str">
        <f>IFERROR(__xludf.DUMMYFUNCTION("""COMPUTED_VALUE"""),"ParentRowPK")</f>
        <v>ParentRowPK</v>
      </c>
      <c r="CA5" s="28" t="str">
        <f>IFERROR(__xludf.DUMMYFUNCTION("""COMPUTED_VALUE"""),"Percentage")</f>
        <v>Percentage</v>
      </c>
      <c r="CB5" s="28" t="str">
        <f>IFERROR(__xludf.DUMMYFUNCTION("""COMPUTED_VALUE"""),"PositionTag")</f>
        <v>PositionTag</v>
      </c>
      <c r="CC5" s="28" t="str">
        <f>IFERROR(__xludf.DUMMYFUNCTION("""COMPUTED_VALUE"""),"PositionType")</f>
        <v>PositionType</v>
      </c>
      <c r="CD5" s="28" t="str">
        <f>IFERROR(__xludf.DUMMYFUNCTION("""COMPUTED_VALUE"""),"Process Date")</f>
        <v>Process Date</v>
      </c>
      <c r="CE5" s="28" t="str">
        <f>IFERROR(__xludf.DUMMYFUNCTION("""COMPUTED_VALUE"""),"ProxySymbol")</f>
        <v>ProxySymbol</v>
      </c>
      <c r="CF5" s="28" t="str">
        <f>IFERROR(__xludf.DUMMYFUNCTION("""COMPUTED_VALUE"""),"PutOrCall")</f>
        <v>PutOrCall</v>
      </c>
      <c r="CG5" s="28" t="str">
        <f>IFERROR(__xludf.DUMMYFUNCTION("""COMPUTED_VALUE"""),"Quantity")</f>
        <v>Quantity</v>
      </c>
      <c r="CH5" s="28" t="str">
        <f>IFERROR(__xludf.DUMMYFUNCTION("""COMPUTED_VALUE"""),"Region")</f>
        <v>Region</v>
      </c>
      <c r="CI5" s="28" t="str">
        <f>IFERROR(__xludf.DUMMYFUNCTION("""COMPUTED_VALUE"""),"ReutersSymbol")</f>
        <v>ReutersSymbol</v>
      </c>
      <c r="CJ5" s="28" t="str">
        <f>IFERROR(__xludf.DUMMYFUNCTION("""COMPUTED_VALUE"""),"RiskCurrency")</f>
        <v>RiskCurrency</v>
      </c>
      <c r="CK5" s="28" t="str">
        <f>IFERROR(__xludf.DUMMYFUNCTION("""COMPUTED_VALUE"""),"SecFee")</f>
        <v>SecFee</v>
      </c>
      <c r="CL5" s="28" t="str">
        <f>IFERROR(__xludf.DUMMYFUNCTION("""COMPUTED_VALUE"""),"SectorName")</f>
        <v>SectorName</v>
      </c>
      <c r="CM5" s="28" t="str">
        <f>IFERROR(__xludf.DUMMYFUNCTION("""COMPUTED_VALUE"""),"Security Name")</f>
        <v>Security Name</v>
      </c>
      <c r="CN5" s="28" t="str">
        <f>IFERROR(__xludf.DUMMYFUNCTION("""COMPUTED_VALUE"""),"SecurityTypeName")</f>
        <v>SecurityTypeName</v>
      </c>
      <c r="CO5" s="28" t="str">
        <f>IFERROR(__xludf.DUMMYFUNCTION("""COMPUTED_VALUE"""),"SedolSymbol")</f>
        <v>SedolSymbol</v>
      </c>
      <c r="CP5" s="28" t="str">
        <f>IFERROR(__xludf.DUMMYFUNCTION("""COMPUTED_VALUE"""),"SettlCurrFxRate")</f>
        <v>SettlCurrFxRate</v>
      </c>
      <c r="CQ5" s="28" t="str">
        <f>IFERROR(__xludf.DUMMYFUNCTION("""COMPUTED_VALUE"""),"SettlCurrFxRateCalc")</f>
        <v>SettlCurrFxRateCalc</v>
      </c>
      <c r="CR5" s="28" t="str">
        <f>IFERROR(__xludf.DUMMYFUNCTION("""COMPUTED_VALUE"""),"SettlCurrUnitCost")</f>
        <v>SettlCurrUnitCost</v>
      </c>
      <c r="CS5" s="28" t="str">
        <f>IFERROR(__xludf.DUMMYFUNCTION("""COMPUTED_VALUE"""),"Settlement Mode")</f>
        <v>Settlement Mode</v>
      </c>
      <c r="CT5" s="28" t="str">
        <f>IFERROR(__xludf.DUMMYFUNCTION("""COMPUTED_VALUE"""),"Settlement Qty")</f>
        <v>Settlement Qty</v>
      </c>
      <c r="CU5" s="28" t="str">
        <f>IFERROR(__xludf.DUMMYFUNCTION("""COMPUTED_VALUE"""),"SettlementCurrencyID")</f>
        <v>SettlementCurrencyID</v>
      </c>
      <c r="CV5" s="28" t="str">
        <f>IFERROR(__xludf.DUMMYFUNCTION("""COMPUTED_VALUE"""),"SettlementDate")</f>
        <v>SettlementDate</v>
      </c>
      <c r="CW5" s="28" t="str">
        <f>IFERROR(__xludf.DUMMYFUNCTION("""COMPUTED_VALUE"""),"SideMultiplier")</f>
        <v>SideMultiplier</v>
      </c>
      <c r="CX5" s="28" t="str">
        <f>IFERROR(__xludf.DUMMYFUNCTION("""COMPUTED_VALUE"""),"SoftCommission")</f>
        <v>SoftCommission</v>
      </c>
      <c r="CY5" s="28" t="str">
        <f>IFERROR(__xludf.DUMMYFUNCTION("""COMPUTED_VALUE"""),"SoftCommissionAmt")</f>
        <v>SoftCommissionAmt</v>
      </c>
      <c r="CZ5" s="28" t="str">
        <f>IFERROR(__xludf.DUMMYFUNCTION("""COMPUTED_VALUE"""),"SoftCommissionCalcBasis")</f>
        <v>SoftCommissionCalcBasis</v>
      </c>
      <c r="DA5" s="28" t="str">
        <f>IFERROR(__xludf.DUMMYFUNCTION("""COMPUTED_VALUE"""),"SoftCommissionRate")</f>
        <v>SoftCommissionRate</v>
      </c>
      <c r="DB5" s="28" t="str">
        <f>IFERROR(__xludf.DUMMYFUNCTION("""COMPUTED_VALUE"""),"StampDuty")</f>
        <v>StampDuty</v>
      </c>
      <c r="DC5" s="28" t="str">
        <f>IFERROR(__xludf.DUMMYFUNCTION("""COMPUTED_VALUE"""),"Strategy")</f>
        <v>Strategy</v>
      </c>
      <c r="DD5" s="28" t="str">
        <f>IFERROR(__xludf.DUMMYFUNCTION("""COMPUTED_VALUE"""),"StrikePrice")</f>
        <v>StrikePrice</v>
      </c>
      <c r="DE5" s="28" t="str">
        <f>IFERROR(__xludf.DUMMYFUNCTION("""COMPUTED_VALUE"""),"SubSectorName")</f>
        <v>SubSectorName</v>
      </c>
      <c r="DF5" s="28" t="str">
        <f>IFERROR(__xludf.DUMMYFUNCTION("""COMPUTED_VALUE"""),"SwapParameters")</f>
        <v>SwapParameters</v>
      </c>
      <c r="DG5" s="28" t="str">
        <f>IFERROR(__xludf.DUMMYFUNCTION("""COMPUTED_VALUE"""),"Symbol")</f>
        <v>Symbol</v>
      </c>
      <c r="DH5" s="28" t="str">
        <f>IFERROR(__xludf.DUMMYFUNCTION("""COMPUTED_VALUE"""),"TaxlotClosingId")</f>
        <v>TaxlotClosingId</v>
      </c>
      <c r="DI5" s="28" t="str">
        <f>IFERROR(__xludf.DUMMYFUNCTION("""COMPUTED_VALUE"""),"TaxLotID")</f>
        <v>TaxLotID</v>
      </c>
      <c r="DJ5" s="28" t="str">
        <f>IFERROR(__xludf.DUMMYFUNCTION("""COMPUTED_VALUE"""),"TaxlotPk")</f>
        <v>TaxlotPk</v>
      </c>
      <c r="DK5" s="28" t="str">
        <f>IFERROR(__xludf.DUMMYFUNCTION("""COMPUTED_VALUE"""),"TaxLotQtyToClose")</f>
        <v>TaxLotQtyToClose</v>
      </c>
      <c r="DL5" s="28" t="str">
        <f>IFERROR(__xludf.DUMMYFUNCTION("""COMPUTED_VALUE"""),"TaxonCommissions")</f>
        <v>TaxonCommissions</v>
      </c>
      <c r="DM5" s="28" t="str">
        <f>IFERROR(__xludf.DUMMYFUNCTION("""COMPUTED_VALUE"""),"TimeOfSaveUTC")</f>
        <v>TimeOfSaveUTC</v>
      </c>
      <c r="DN5" s="28" t="str">
        <f>IFERROR(__xludf.DUMMYFUNCTION("""COMPUTED_VALUE"""),"TotalCommission&amp;Fees")</f>
        <v>TotalCommission&amp;Fees</v>
      </c>
      <c r="DO5" s="28" t="str">
        <f>IFERROR(__xludf.DUMMYFUNCTION("""COMPUTED_VALUE"""),"TotalCommissionandFees")</f>
        <v>TotalCommissionandFees</v>
      </c>
      <c r="DP5" s="28" t="str">
        <f>IFERROR(__xludf.DUMMYFUNCTION("""COMPUTED_VALUE"""),"Tradedate")</f>
        <v>Tradedate</v>
      </c>
      <c r="DQ5" s="28" t="str">
        <f>IFERROR(__xludf.DUMMYFUNCTION("""COMPUTED_VALUE"""),"TradeAttribute1")</f>
        <v>TradeAttribute1</v>
      </c>
      <c r="DR5" s="28" t="str">
        <f>IFERROR(__xludf.DUMMYFUNCTION("""COMPUTED_VALUE"""),"TradeAttribute2")</f>
        <v>TradeAttribute2</v>
      </c>
      <c r="DS5" s="28" t="str">
        <f>IFERROR(__xludf.DUMMYFUNCTION("""COMPUTED_VALUE"""),"TradeAttribute3")</f>
        <v>TradeAttribute3</v>
      </c>
      <c r="DT5" s="28" t="str">
        <f>IFERROR(__xludf.DUMMYFUNCTION("""COMPUTED_VALUE"""),"TradeAttribute4")</f>
        <v>TradeAttribute4</v>
      </c>
      <c r="DU5" s="28" t="str">
        <f>IFERROR(__xludf.DUMMYFUNCTION("""COMPUTED_VALUE"""),"TradeAttribute5")</f>
        <v>TradeAttribute5</v>
      </c>
      <c r="DV5" s="28" t="str">
        <f>IFERROR(__xludf.DUMMYFUNCTION("""COMPUTED_VALUE"""),"TradeAttribute6")</f>
        <v>TradeAttribute6</v>
      </c>
      <c r="DW5" s="28" t="str">
        <f>IFERROR(__xludf.DUMMYFUNCTION("""COMPUTED_VALUE"""),"TradingAccountName")</f>
        <v>TradingAccountName</v>
      </c>
      <c r="DX5" s="28" t="str">
        <f>IFERROR(__xludf.DUMMYFUNCTION("""COMPUTED_VALUE"""),"TransactionLevy")</f>
        <v>TransactionLevy</v>
      </c>
      <c r="DY5" s="28" t="str">
        <f>IFERROR(__xludf.DUMMYFUNCTION("""COMPUTED_VALUE"""),"TransactionType")</f>
        <v>TransactionType</v>
      </c>
      <c r="DZ5" s="28" t="str">
        <f>IFERROR(__xludf.DUMMYFUNCTION("""COMPUTED_VALUE"""),"UcitsEligibleTag")</f>
        <v>UcitsEligibleTag</v>
      </c>
      <c r="EA5" s="28" t="str">
        <f>IFERROR(__xludf.DUMMYFUNCTION("""COMPUTED_VALUE"""),"UDAAsset")</f>
        <v>UDAAsset</v>
      </c>
      <c r="EB5" s="28" t="str">
        <f>IFERROR(__xludf.DUMMYFUNCTION("""COMPUTED_VALUE"""),"UnderlyingDelta")</f>
        <v>UnderlyingDelta</v>
      </c>
      <c r="EC5" s="28" t="str">
        <f>IFERROR(__xludf.DUMMYFUNCTION("""COMPUTED_VALUE"""),"UnderlyingName")</f>
        <v>UnderlyingName</v>
      </c>
      <c r="ED5" s="28" t="str">
        <f>IFERROR(__xludf.DUMMYFUNCTION("""COMPUTED_VALUE"""),"UnderlyingSymbol")</f>
        <v>UnderlyingSymbol</v>
      </c>
      <c r="EE5" s="28" t="str">
        <f>IFERROR(__xludf.DUMMYFUNCTION("""COMPUTED_VALUE"""),"UnitCost")</f>
        <v>UnitCost</v>
      </c>
      <c r="EF5" s="28" t="str">
        <f>IFERROR(__xludf.DUMMYFUNCTION("""COMPUTED_VALUE"""),"UnRealizedPNL")</f>
        <v>UnRealizedPNL</v>
      </c>
      <c r="EG5" s="28" t="str">
        <f>IFERROR(__xludf.DUMMYFUNCTION("""COMPUTED_VALUE"""),"Venue")</f>
        <v>Venue</v>
      </c>
      <c r="EH5" s="28" t="str">
        <f>IFERROR(__xludf.DUMMYFUNCTION("""COMPUTED_VALUE"""),"VsCurrencyID")</f>
        <v>VsCurrencyID</v>
      </c>
      <c r="EI5" s="28" t="str">
        <f>IFERROR(__xludf.DUMMYFUNCTION("""COMPUTED_VALUE"""),"WorkflowState")</f>
        <v>WorkflowState</v>
      </c>
      <c r="EJ5" s="28" t="str">
        <f>IFERROR(__xludf.DUMMYFUNCTION("""COMPUTED_VALUE"""),"AvgPriceBase")</f>
        <v>AvgPriceBase</v>
      </c>
      <c r="EK5" s="28" t="str">
        <f>IFERROR(__xludf.DUMMYFUNCTION("""COMPUTED_VALUE"""),"MarketCap")</f>
        <v>MarketCap</v>
      </c>
      <c r="EL5" s="28" t="str">
        <f>IFERROR(__xludf.DUMMYFUNCTION("""COMPUTED_VALUE"""),"UnitCostBase")</f>
        <v>UnitCostBase</v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18</v>
      </c>
      <c r="C6" s="6"/>
      <c r="D6" s="10"/>
      <c r="E6" s="31"/>
      <c r="F6" s="6"/>
      <c r="G6" s="6"/>
      <c r="H6" s="6"/>
      <c r="I6" s="10">
        <v>10.0</v>
      </c>
      <c r="J6" s="6"/>
      <c r="K6" s="6"/>
      <c r="L6" s="6"/>
      <c r="M6" s="6"/>
      <c r="N6" s="6"/>
      <c r="O6" s="6"/>
      <c r="AQ6" s="30">
        <v>100.0</v>
      </c>
      <c r="BO6" s="30">
        <v>50003.53</v>
      </c>
      <c r="CG6" s="30">
        <v>100.0</v>
      </c>
      <c r="DG6" s="30" t="s">
        <v>16</v>
      </c>
      <c r="DN6" s="30">
        <v>3.53</v>
      </c>
    </row>
    <row r="7" ht="15.75" customHeight="1">
      <c r="A7" s="6"/>
      <c r="B7" s="10" t="s">
        <v>18</v>
      </c>
      <c r="C7" s="6"/>
      <c r="D7" s="6"/>
      <c r="E7" s="6"/>
      <c r="F7" s="6"/>
      <c r="G7" s="6"/>
      <c r="H7" s="6"/>
      <c r="I7" s="10">
        <v>10.0</v>
      </c>
      <c r="J7" s="6"/>
      <c r="K7" s="6"/>
      <c r="L7" s="6"/>
      <c r="M7" s="6"/>
      <c r="N7" s="6"/>
      <c r="O7" s="6"/>
      <c r="AQ7" s="30">
        <v>100.0</v>
      </c>
      <c r="BO7" s="30">
        <v>50000.0</v>
      </c>
      <c r="CG7" s="30">
        <v>100.0</v>
      </c>
      <c r="DG7" s="30" t="s">
        <v>19</v>
      </c>
      <c r="DN7" s="30">
        <v>0.0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VerifyUnExpiredUnSettledGrid!$4:$4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23</v>
      </c>
      <c r="D3" s="8" t="s">
        <v>6</v>
      </c>
      <c r="E3" s="21" t="s">
        <v>27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IFERROR(__xludf.DUMMYFUNCTION("""COMPUTED_VALUE"""),"AccruedInterest")</f>
        <v>AccruedInterest</v>
      </c>
      <c r="D5" s="26" t="str">
        <f>IFERROR(__xludf.DUMMYFUNCTION("""COMPUTED_VALUE"""),"Analyst")</f>
        <v>Analyst</v>
      </c>
      <c r="E5" s="26" t="str">
        <f>IFERROR(__xludf.DUMMYFUNCTION("""COMPUTED_VALUE"""),"Asset Class")</f>
        <v>Asset Class</v>
      </c>
      <c r="F5" s="27" t="str">
        <f>IFERROR(__xludf.DUMMYFUNCTION("""COMPUTED_VALUE"""),"Asset Derivative")</f>
        <v>Asset Derivative</v>
      </c>
      <c r="G5" s="26" t="str">
        <f>IFERROR(__xludf.DUMMYFUNCTION("""COMPUTED_VALUE"""),"AUECID")</f>
        <v>AUECID</v>
      </c>
      <c r="H5" s="26" t="str">
        <f>IFERROR(__xludf.DUMMYFUNCTION("""COMPUTED_VALUE"""),"AUECModifiedDate")</f>
        <v>AUECModifiedDate</v>
      </c>
      <c r="I5" s="26" t="str">
        <f>IFERROR(__xludf.DUMMYFUNCTION("""COMPUTED_VALUE"""),"Average Price")</f>
        <v>Average Price</v>
      </c>
      <c r="J5" s="26" t="str">
        <f>IFERROR(__xludf.DUMMYFUNCTION("""COMPUTED_VALUE"""),"BloombergSymbol")</f>
        <v>BloombergSymbol</v>
      </c>
      <c r="K5" s="26" t="str">
        <f>IFERROR(__xludf.DUMMYFUNCTION("""COMPUTED_VALUE"""),"Broker")</f>
        <v>Broker</v>
      </c>
      <c r="L5" s="26" t="str">
        <f>IFERROR(__xludf.DUMMYFUNCTION("""COMPUTED_VALUE"""),"CalcBasis")</f>
        <v>CalcBasis</v>
      </c>
      <c r="M5" s="26" t="str">
        <f>IFERROR(__xludf.DUMMYFUNCTION("""COMPUTED_VALUE"""),"CashSettledPrice")</f>
        <v>CashSettledPrice</v>
      </c>
      <c r="N5" s="26" t="str">
        <f>IFERROR(__xludf.DUMMYFUNCTION("""COMPUTED_VALUE"""),"ChangeComment")</f>
        <v>ChangeComment</v>
      </c>
      <c r="O5" s="26" t="str">
        <f>IFERROR(__xludf.DUMMYFUNCTION("""COMPUTED_VALUE"""),"ChangeType")</f>
        <v>ChangeType</v>
      </c>
      <c r="P5" s="26" t="str">
        <f>IFERROR(__xludf.DUMMYFUNCTION("""COMPUTED_VALUE"""),"ClearingBrokerFee")</f>
        <v>ClearingBrokerFee</v>
      </c>
      <c r="Q5" s="26" t="str">
        <f>IFERROR(__xludf.DUMMYFUNCTION("""COMPUTED_VALUE"""),"ClearingFee")</f>
        <v>ClearingFee</v>
      </c>
      <c r="R5" s="26" t="str">
        <f>IFERROR(__xludf.DUMMYFUNCTION("""COMPUTED_VALUE"""),"ClosedTotalCommissionandFees")</f>
        <v>ClosedTotalCommissionandFees</v>
      </c>
      <c r="S5" s="26" t="str">
        <f>IFERROR(__xludf.DUMMYFUNCTION("""COMPUTED_VALUE"""),"ClosingAlgo")</f>
        <v>ClosingAlgo</v>
      </c>
      <c r="T5" s="28" t="str">
        <f>IFERROR(__xludf.DUMMYFUNCTION("""COMPUTED_VALUE"""),"ClosingDate")</f>
        <v>ClosingDate</v>
      </c>
      <c r="U5" s="28" t="str">
        <f>IFERROR(__xludf.DUMMYFUNCTION("""COMPUTED_VALUE"""),"ClosingStatus")</f>
        <v>ClosingStatus</v>
      </c>
      <c r="V5" s="28" t="str">
        <f>IFERROR(__xludf.DUMMYFUNCTION("""COMPUTED_VALUE"""),"Commission")</f>
        <v>Commission</v>
      </c>
      <c r="W5" s="28" t="str">
        <f>IFERROR(__xludf.DUMMYFUNCTION("""COMPUTED_VALUE"""),"CommissionAmt")</f>
        <v>CommissionAmt</v>
      </c>
      <c r="X5" s="28" t="str">
        <f>IFERROR(__xludf.DUMMYFUNCTION("""COMPUTED_VALUE"""),"CommissionRate")</f>
        <v>CommissionRate</v>
      </c>
      <c r="Y5" s="28" t="str">
        <f>IFERROR(__xludf.DUMMYFUNCTION("""COMPUTED_VALUE"""),"CompanyUserName")</f>
        <v>CompanyUserName</v>
      </c>
      <c r="Z5" s="28" t="str">
        <f>IFERROR(__xludf.DUMMYFUNCTION("""COMPUTED_VALUE"""),"ContractMultiplier")</f>
        <v>ContractMultiplier</v>
      </c>
      <c r="AA5" s="28" t="str">
        <f>IFERROR(__xludf.DUMMYFUNCTION("""COMPUTED_VALUE"""),"CountryName")</f>
        <v>CountryName</v>
      </c>
      <c r="AB5" s="28" t="str">
        <f>IFERROR(__xludf.DUMMYFUNCTION("""COMPUTED_VALUE"""),"CountryOfRisk")</f>
        <v>CountryOfRisk</v>
      </c>
      <c r="AC5" s="28" t="str">
        <f>IFERROR(__xludf.DUMMYFUNCTION("""COMPUTED_VALUE"""),"CumQty")</f>
        <v>CumQty</v>
      </c>
      <c r="AD5" s="28" t="str">
        <f>IFERROR(__xludf.DUMMYFUNCTION("""COMPUTED_VALUE"""),"CurrencyID")</f>
        <v>CurrencyID</v>
      </c>
      <c r="AE5" s="28" t="str">
        <f>IFERROR(__xludf.DUMMYFUNCTION("""COMPUTED_VALUE"""),"CurrencyName")</f>
        <v>CurrencyName</v>
      </c>
      <c r="AF5" s="28" t="str">
        <f>IFERROR(__xludf.DUMMYFUNCTION("""COMPUTED_VALUE"""),"CusipSymbol")</f>
        <v>CusipSymbol</v>
      </c>
      <c r="AG5" s="28" t="str">
        <f>IFERROR(__xludf.DUMMYFUNCTION("""COMPUTED_VALUE"""),"CustomUDA1")</f>
        <v>CustomUDA1</v>
      </c>
      <c r="AH5" s="28" t="str">
        <f>IFERROR(__xludf.DUMMYFUNCTION("""COMPUTED_VALUE"""),"CustomUDA2")</f>
        <v>CustomUDA2</v>
      </c>
      <c r="AI5" s="28" t="str">
        <f>IFERROR(__xludf.DUMMYFUNCTION("""COMPUTED_VALUE"""),"CustomUDA3")</f>
        <v>CustomUDA3</v>
      </c>
      <c r="AJ5" s="28" t="str">
        <f>IFERROR(__xludf.DUMMYFUNCTION("""COMPUTED_VALUE"""),"CustomUDA4")</f>
        <v>CustomUDA4</v>
      </c>
      <c r="AK5" s="28" t="str">
        <f>IFERROR(__xludf.DUMMYFUNCTION("""COMPUTED_VALUE"""),"CustomUDA5")</f>
        <v>CustomUDA5</v>
      </c>
      <c r="AL5" s="28" t="str">
        <f>IFERROR(__xludf.DUMMYFUNCTION("""COMPUTED_VALUE"""),"CustomUDA6")</f>
        <v>CustomUDA6</v>
      </c>
      <c r="AM5" s="28" t="str">
        <f>IFERROR(__xludf.DUMMYFUNCTION("""COMPUTED_VALUE"""),"CustomUDA7")</f>
        <v>CustomUDA7</v>
      </c>
      <c r="AN5" s="28" t="str">
        <f>IFERROR(__xludf.DUMMYFUNCTION("""COMPUTED_VALUE"""),"Delta")</f>
        <v>Delta</v>
      </c>
      <c r="AO5" s="28" t="str">
        <f>IFERROR(__xludf.DUMMYFUNCTION("""COMPUTED_VALUE"""),"Description")</f>
        <v>Description</v>
      </c>
      <c r="AP5" s="28" t="str">
        <f>IFERROR(__xludf.DUMMYFUNCTION("""COMPUTED_VALUE"""),"ExchangeName")</f>
        <v>ExchangeName</v>
      </c>
      <c r="AQ5" s="28" t="str">
        <f>IFERROR(__xludf.DUMMYFUNCTION("""COMPUTED_VALUE"""),"ExecutedQty")</f>
        <v>ExecutedQty</v>
      </c>
      <c r="AR5" s="28" t="str">
        <f>IFERROR(__xludf.DUMMYFUNCTION("""COMPUTED_VALUE"""),"ExpirationDate")</f>
        <v>ExpirationDate</v>
      </c>
      <c r="AS5" s="28" t="str">
        <f>IFERROR(__xludf.DUMMYFUNCTION("""COMPUTED_VALUE"""),"ExternalTransID")</f>
        <v>ExternalTransID</v>
      </c>
      <c r="AT5" s="28" t="str">
        <f>IFERROR(__xludf.DUMMYFUNCTION("""COMPUTED_VALUE"""),"FXConversionMethodOperator")</f>
        <v>FXConversionMethodOperator</v>
      </c>
      <c r="AU5" s="28" t="str">
        <f>IFERROR(__xludf.DUMMYFUNCTION("""COMPUTED_VALUE"""),"FXRate")</f>
        <v>FXRate</v>
      </c>
      <c r="AV5" s="28" t="str">
        <f>IFERROR(__xludf.DUMMYFUNCTION("""COMPUTED_VALUE"""),"GroupID")</f>
        <v>GroupID</v>
      </c>
      <c r="AW5" s="28" t="str">
        <f>IFERROR(__xludf.DUMMYFUNCTION("""COMPUTED_VALUE"""),"IDCOSymbol")</f>
        <v>IDCOSymbol</v>
      </c>
      <c r="AX5" s="28" t="str">
        <f>IFERROR(__xludf.DUMMYFUNCTION("""COMPUTED_VALUE"""),"InternalComments")</f>
        <v>InternalComments</v>
      </c>
      <c r="AY5" s="28" t="str">
        <f>IFERROR(__xludf.DUMMYFUNCTION("""COMPUTED_VALUE"""),"IsExerciseAtZero")</f>
        <v>IsExerciseAtZero</v>
      </c>
      <c r="AZ5" s="28" t="str">
        <f>IFERROR(__xludf.DUMMYFUNCTION("""COMPUTED_VALUE"""),"ISINSymbol")</f>
        <v>ISINSymbol</v>
      </c>
      <c r="BA5" s="28" t="str">
        <f>IFERROR(__xludf.DUMMYFUNCTION("""COMPUTED_VALUE"""),"IsNDF")</f>
        <v>IsNDF</v>
      </c>
      <c r="BB5" s="28" t="str">
        <f>IFERROR(__xludf.DUMMYFUNCTION("""COMPUTED_VALUE"""),"IsPosition")</f>
        <v>IsPosition</v>
      </c>
      <c r="BC5" s="28" t="str">
        <f>IFERROR(__xludf.DUMMYFUNCTION("""COMPUTED_VALUE"""),"IsPreAllocated")</f>
        <v>IsPreAllocated</v>
      </c>
      <c r="BD5" s="28" t="str">
        <f>IFERROR(__xludf.DUMMYFUNCTION("""COMPUTED_VALUE"""),"Issuer")</f>
        <v>Issuer</v>
      </c>
      <c r="BE5" s="28" t="str">
        <f>IFERROR(__xludf.DUMMYFUNCTION("""COMPUTED_VALUE"""),"IsSwapped")</f>
        <v>IsSwapped</v>
      </c>
      <c r="BF5" s="28" t="str">
        <f>IFERROR(__xludf.DUMMYFUNCTION("""COMPUTED_VALUE"""),"LeadCurrencyID")</f>
        <v>LeadCurrencyID</v>
      </c>
      <c r="BG5" s="28" t="str">
        <f>IFERROR(__xludf.DUMMYFUNCTION("""COMPUTED_VALUE"""),"LiquidTag")</f>
        <v>LiquidTag</v>
      </c>
      <c r="BH5" s="28" t="str">
        <f>IFERROR(__xludf.DUMMYFUNCTION("""COMPUTED_VALUE"""),"LongOrShort")</f>
        <v>LongOrShort</v>
      </c>
      <c r="BI5" s="28" t="str">
        <f>IFERROR(__xludf.DUMMYFUNCTION("""COMPUTED_VALUE"""),"LotId")</f>
        <v>LotId</v>
      </c>
      <c r="BJ5" s="28" t="str">
        <f>IFERROR(__xludf.DUMMYFUNCTION("""COMPUTED_VALUE"""),"M2MProfitLoss")</f>
        <v>M2MProfitLoss</v>
      </c>
      <c r="BK5" s="28" t="str">
        <f>IFERROR(__xludf.DUMMYFUNCTION("""COMPUTED_VALUE"""),"MarkPrice")</f>
        <v>MarkPrice</v>
      </c>
      <c r="BL5" s="28" t="str">
        <f>IFERROR(__xludf.DUMMYFUNCTION("""COMPUTED_VALUE"""),"MasterFund")</f>
        <v>MasterFund</v>
      </c>
      <c r="BM5" s="28" t="str">
        <f>IFERROR(__xludf.DUMMYFUNCTION("""COMPUTED_VALUE"""),"MiscFees")</f>
        <v>MiscFees</v>
      </c>
      <c r="BN5" s="28" t="str">
        <f>IFERROR(__xludf.DUMMYFUNCTION("""COMPUTED_VALUE"""),"NavLockStatus")</f>
        <v>NavLockStatus</v>
      </c>
      <c r="BO5" s="28" t="str">
        <f>IFERROR(__xludf.DUMMYFUNCTION("""COMPUTED_VALUE"""),"Net Notional")</f>
        <v>Net Notional</v>
      </c>
      <c r="BP5" s="28" t="str">
        <f>IFERROR(__xludf.DUMMYFUNCTION("""COMPUTED_VALUE"""),"NirvanaProcessDate")</f>
        <v>NirvanaProcessDate</v>
      </c>
      <c r="BQ5" s="28" t="str">
        <f>IFERROR(__xludf.DUMMYFUNCTION("""COMPUTED_VALUE"""),"OccFee")</f>
        <v>OccFee</v>
      </c>
      <c r="BR5" s="28" t="str">
        <f>IFERROR(__xludf.DUMMYFUNCTION("""COMPUTED_VALUE"""),"OptionPremiumAdjustment")</f>
        <v>OptionPremiumAdjustment</v>
      </c>
      <c r="BS5" s="28" t="str">
        <f>IFERROR(__xludf.DUMMYFUNCTION("""COMPUTED_VALUE"""),"OrderSideTagValue")</f>
        <v>OrderSideTagValue</v>
      </c>
      <c r="BT5" s="28" t="str">
        <f>IFERROR(__xludf.DUMMYFUNCTION("""COMPUTED_VALUE"""),"OrderType")</f>
        <v>OrderType</v>
      </c>
      <c r="BU5" s="28" t="str">
        <f>IFERROR(__xludf.DUMMYFUNCTION("""COMPUTED_VALUE"""),"OrfFee")</f>
        <v>OrfFee</v>
      </c>
      <c r="BV5" s="28" t="str">
        <f>IFERROR(__xludf.DUMMYFUNCTION("""COMPUTED_VALUE"""),"Original Side")</f>
        <v>Original Side</v>
      </c>
      <c r="BW5" s="28" t="str">
        <f>IFERROR(__xludf.DUMMYFUNCTION("""COMPUTED_VALUE"""),"OriginalPurchase Date")</f>
        <v>OriginalPurchase Date</v>
      </c>
      <c r="BX5" s="28" t="str">
        <f>IFERROR(__xludf.DUMMYFUNCTION("""COMPUTED_VALUE"""),"OSISymbol")</f>
        <v>OSISymbol</v>
      </c>
      <c r="BY5" s="28" t="str">
        <f>IFERROR(__xludf.DUMMYFUNCTION("""COMPUTED_VALUE"""),"OtherBrokerFees")</f>
        <v>OtherBrokerFees</v>
      </c>
      <c r="BZ5" s="28" t="str">
        <f>IFERROR(__xludf.DUMMYFUNCTION("""COMPUTED_VALUE"""),"ParentRowPK")</f>
        <v>ParentRowPK</v>
      </c>
      <c r="CA5" s="28" t="str">
        <f>IFERROR(__xludf.DUMMYFUNCTION("""COMPUTED_VALUE"""),"Percentage")</f>
        <v>Percentage</v>
      </c>
      <c r="CB5" s="28" t="str">
        <f>IFERROR(__xludf.DUMMYFUNCTION("""COMPUTED_VALUE"""),"PositionTag")</f>
        <v>PositionTag</v>
      </c>
      <c r="CC5" s="28" t="str">
        <f>IFERROR(__xludf.DUMMYFUNCTION("""COMPUTED_VALUE"""),"PositionType")</f>
        <v>PositionType</v>
      </c>
      <c r="CD5" s="28" t="str">
        <f>IFERROR(__xludf.DUMMYFUNCTION("""COMPUTED_VALUE"""),"Process Date")</f>
        <v>Process Date</v>
      </c>
      <c r="CE5" s="28" t="str">
        <f>IFERROR(__xludf.DUMMYFUNCTION("""COMPUTED_VALUE"""),"ProxySymbol")</f>
        <v>ProxySymbol</v>
      </c>
      <c r="CF5" s="28" t="str">
        <f>IFERROR(__xludf.DUMMYFUNCTION("""COMPUTED_VALUE"""),"PutOrCall")</f>
        <v>PutOrCall</v>
      </c>
      <c r="CG5" s="28" t="str">
        <f>IFERROR(__xludf.DUMMYFUNCTION("""COMPUTED_VALUE"""),"Quantity")</f>
        <v>Quantity</v>
      </c>
      <c r="CH5" s="28" t="str">
        <f>IFERROR(__xludf.DUMMYFUNCTION("""COMPUTED_VALUE"""),"Region")</f>
        <v>Region</v>
      </c>
      <c r="CI5" s="28" t="str">
        <f>IFERROR(__xludf.DUMMYFUNCTION("""COMPUTED_VALUE"""),"ReutersSymbol")</f>
        <v>ReutersSymbol</v>
      </c>
      <c r="CJ5" s="28" t="str">
        <f>IFERROR(__xludf.DUMMYFUNCTION("""COMPUTED_VALUE"""),"RiskCurrency")</f>
        <v>RiskCurrency</v>
      </c>
      <c r="CK5" s="28" t="str">
        <f>IFERROR(__xludf.DUMMYFUNCTION("""COMPUTED_VALUE"""),"SecFee")</f>
        <v>SecFee</v>
      </c>
      <c r="CL5" s="28" t="str">
        <f>IFERROR(__xludf.DUMMYFUNCTION("""COMPUTED_VALUE"""),"SectorName")</f>
        <v>SectorName</v>
      </c>
      <c r="CM5" s="28" t="str">
        <f>IFERROR(__xludf.DUMMYFUNCTION("""COMPUTED_VALUE"""),"Security Name")</f>
        <v>Security Name</v>
      </c>
      <c r="CN5" s="28" t="str">
        <f>IFERROR(__xludf.DUMMYFUNCTION("""COMPUTED_VALUE"""),"SecurityTypeName")</f>
        <v>SecurityTypeName</v>
      </c>
      <c r="CO5" s="28" t="str">
        <f>IFERROR(__xludf.DUMMYFUNCTION("""COMPUTED_VALUE"""),"SedolSymbol")</f>
        <v>SedolSymbol</v>
      </c>
      <c r="CP5" s="28" t="str">
        <f>IFERROR(__xludf.DUMMYFUNCTION("""COMPUTED_VALUE"""),"SettlCurrAmt")</f>
        <v>SettlCurrAmt</v>
      </c>
      <c r="CQ5" s="28" t="str">
        <f>IFERROR(__xludf.DUMMYFUNCTION("""COMPUTED_VALUE"""),"SettlCurrFxRate")</f>
        <v>SettlCurrFxRate</v>
      </c>
      <c r="CR5" s="28" t="str">
        <f>IFERROR(__xludf.DUMMYFUNCTION("""COMPUTED_VALUE"""),"SettlCurrFxRateCalc")</f>
        <v>SettlCurrFxRateCalc</v>
      </c>
      <c r="CS5" s="28" t="str">
        <f>IFERROR(__xludf.DUMMYFUNCTION("""COMPUTED_VALUE"""),"SettlCurrUnitCost")</f>
        <v>SettlCurrUnitCost</v>
      </c>
      <c r="CT5" s="28" t="str">
        <f>IFERROR(__xludf.DUMMYFUNCTION("""COMPUTED_VALUE"""),"Settlement Mode")</f>
        <v>Settlement Mode</v>
      </c>
      <c r="CU5" s="28" t="str">
        <f>IFERROR(__xludf.DUMMYFUNCTION("""COMPUTED_VALUE"""),"Settlement Qty")</f>
        <v>Settlement Qty</v>
      </c>
      <c r="CV5" s="28" t="str">
        <f>IFERROR(__xludf.DUMMYFUNCTION("""COMPUTED_VALUE"""),"SettlementCurrencyID")</f>
        <v>SettlementCurrencyID</v>
      </c>
      <c r="CW5" s="28" t="str">
        <f>IFERROR(__xludf.DUMMYFUNCTION("""COMPUTED_VALUE"""),"SettlementDate")</f>
        <v>SettlementDate</v>
      </c>
      <c r="CX5" s="28" t="str">
        <f>IFERROR(__xludf.DUMMYFUNCTION("""COMPUTED_VALUE"""),"SideMultiplier")</f>
        <v>SideMultiplier</v>
      </c>
      <c r="CY5" s="28" t="str">
        <f>IFERROR(__xludf.DUMMYFUNCTION("""COMPUTED_VALUE"""),"SoftCommission")</f>
        <v>SoftCommission</v>
      </c>
      <c r="CZ5" s="28" t="str">
        <f>IFERROR(__xludf.DUMMYFUNCTION("""COMPUTED_VALUE"""),"SoftCommissionAmt")</f>
        <v>SoftCommissionAmt</v>
      </c>
      <c r="DA5" s="28" t="str">
        <f>IFERROR(__xludf.DUMMYFUNCTION("""COMPUTED_VALUE"""),"SoftCommissionCalcBasis")</f>
        <v>SoftCommissionCalcBasis</v>
      </c>
      <c r="DB5" s="28" t="str">
        <f>IFERROR(__xludf.DUMMYFUNCTION("""COMPUTED_VALUE"""),"SoftCommissionRate")</f>
        <v>SoftCommissionRate</v>
      </c>
      <c r="DC5" s="28" t="str">
        <f>IFERROR(__xludf.DUMMYFUNCTION("""COMPUTED_VALUE"""),"StampDuty")</f>
        <v>StampDuty</v>
      </c>
      <c r="DD5" s="28" t="str">
        <f>IFERROR(__xludf.DUMMYFUNCTION("""COMPUTED_VALUE"""),"Strategy")</f>
        <v>Strategy</v>
      </c>
      <c r="DE5" s="28" t="str">
        <f>IFERROR(__xludf.DUMMYFUNCTION("""COMPUTED_VALUE"""),"StrikePrice")</f>
        <v>StrikePrice</v>
      </c>
      <c r="DF5" s="28" t="str">
        <f>IFERROR(__xludf.DUMMYFUNCTION("""COMPUTED_VALUE"""),"SubSectorName")</f>
        <v>SubSectorName</v>
      </c>
      <c r="DG5" s="28" t="str">
        <f>IFERROR(__xludf.DUMMYFUNCTION("""COMPUTED_VALUE"""),"SwapParameters")</f>
        <v>SwapParameters</v>
      </c>
      <c r="DH5" s="28" t="str">
        <f>IFERROR(__xludf.DUMMYFUNCTION("""COMPUTED_VALUE"""),"Symbol")</f>
        <v>Symbol</v>
      </c>
      <c r="DI5" s="28" t="str">
        <f>IFERROR(__xludf.DUMMYFUNCTION("""COMPUTED_VALUE"""),"TaxlotClosingId")</f>
        <v>TaxlotClosingId</v>
      </c>
      <c r="DJ5" s="28" t="str">
        <f>IFERROR(__xludf.DUMMYFUNCTION("""COMPUTED_VALUE"""),"TaxLotID")</f>
        <v>TaxLotID</v>
      </c>
      <c r="DK5" s="28" t="str">
        <f>IFERROR(__xludf.DUMMYFUNCTION("""COMPUTED_VALUE"""),"TaxlotPk")</f>
        <v>TaxlotPk</v>
      </c>
      <c r="DL5" s="28" t="str">
        <f>IFERROR(__xludf.DUMMYFUNCTION("""COMPUTED_VALUE"""),"TaxLotQtyToClose")</f>
        <v>TaxLotQtyToClose</v>
      </c>
      <c r="DM5" s="28" t="str">
        <f>IFERROR(__xludf.DUMMYFUNCTION("""COMPUTED_VALUE"""),"TaxonCommissions")</f>
        <v>TaxonCommissions</v>
      </c>
      <c r="DN5" s="28" t="str">
        <f>IFERROR(__xludf.DUMMYFUNCTION("""COMPUTED_VALUE"""),"TimeOfSaveUTC")</f>
        <v>TimeOfSaveUTC</v>
      </c>
      <c r="DO5" s="28" t="str">
        <f>IFERROR(__xludf.DUMMYFUNCTION("""COMPUTED_VALUE"""),"TotalCommission&amp;Fees")</f>
        <v>TotalCommission&amp;Fees</v>
      </c>
      <c r="DP5" s="28" t="str">
        <f>IFERROR(__xludf.DUMMYFUNCTION("""COMPUTED_VALUE"""),"TotalCommissionandFees")</f>
        <v>TotalCommissionandFees</v>
      </c>
      <c r="DQ5" s="28" t="str">
        <f>IFERROR(__xludf.DUMMYFUNCTION("""COMPUTED_VALUE"""),"Tradedate")</f>
        <v>Tradedate</v>
      </c>
      <c r="DR5" s="28" t="str">
        <f>IFERROR(__xludf.DUMMYFUNCTION("""COMPUTED_VALUE"""),"TradeAttribute1")</f>
        <v>TradeAttribute1</v>
      </c>
      <c r="DS5" s="28" t="str">
        <f>IFERROR(__xludf.DUMMYFUNCTION("""COMPUTED_VALUE"""),"TradeAttribute2")</f>
        <v>TradeAttribute2</v>
      </c>
      <c r="DT5" s="28" t="str">
        <f>IFERROR(__xludf.DUMMYFUNCTION("""COMPUTED_VALUE"""),"TradeAttribute3")</f>
        <v>TradeAttribute3</v>
      </c>
      <c r="DU5" s="28" t="str">
        <f>IFERROR(__xludf.DUMMYFUNCTION("""COMPUTED_VALUE"""),"TradeAttribute4")</f>
        <v>TradeAttribute4</v>
      </c>
      <c r="DV5" s="28" t="str">
        <f>IFERROR(__xludf.DUMMYFUNCTION("""COMPUTED_VALUE"""),"TradeAttribute5")</f>
        <v>TradeAttribute5</v>
      </c>
      <c r="DW5" s="28" t="str">
        <f>IFERROR(__xludf.DUMMYFUNCTION("""COMPUTED_VALUE"""),"TradeAttribute6")</f>
        <v>TradeAttribute6</v>
      </c>
      <c r="DX5" s="28" t="str">
        <f>IFERROR(__xludf.DUMMYFUNCTION("""COMPUTED_VALUE"""),"TradingAccountName")</f>
        <v>TradingAccountName</v>
      </c>
      <c r="DY5" s="28" t="str">
        <f>IFERROR(__xludf.DUMMYFUNCTION("""COMPUTED_VALUE"""),"TransactionLevy")</f>
        <v>TransactionLevy</v>
      </c>
      <c r="DZ5" s="28" t="str">
        <f>IFERROR(__xludf.DUMMYFUNCTION("""COMPUTED_VALUE"""),"TransactionType")</f>
        <v>TransactionType</v>
      </c>
      <c r="EA5" s="28" t="str">
        <f>IFERROR(__xludf.DUMMYFUNCTION("""COMPUTED_VALUE"""),"UcitsEligibleTag")</f>
        <v>UcitsEligibleTag</v>
      </c>
      <c r="EB5" s="28" t="str">
        <f>IFERROR(__xludf.DUMMYFUNCTION("""COMPUTED_VALUE"""),"UDAAsset")</f>
        <v>UDAAsset</v>
      </c>
      <c r="EC5" s="28" t="str">
        <f>IFERROR(__xludf.DUMMYFUNCTION("""COMPUTED_VALUE"""),"UnderlyingDelta")</f>
        <v>UnderlyingDelta</v>
      </c>
      <c r="ED5" s="28" t="str">
        <f>IFERROR(__xludf.DUMMYFUNCTION("""COMPUTED_VALUE"""),"UnderlyingName")</f>
        <v>UnderlyingName</v>
      </c>
      <c r="EE5" s="28" t="str">
        <f>IFERROR(__xludf.DUMMYFUNCTION("""COMPUTED_VALUE"""),"UnderlyingSymbol")</f>
        <v>UnderlyingSymbol</v>
      </c>
      <c r="EF5" s="28" t="str">
        <f>IFERROR(__xludf.DUMMYFUNCTION("""COMPUTED_VALUE"""),"UnitCost")</f>
        <v>UnitCost</v>
      </c>
      <c r="EG5" s="28" t="str">
        <f>IFERROR(__xludf.DUMMYFUNCTION("""COMPUTED_VALUE"""),"UnRealizedPNL")</f>
        <v>UnRealizedPNL</v>
      </c>
      <c r="EH5" s="28" t="str">
        <f>IFERROR(__xludf.DUMMYFUNCTION("""COMPUTED_VALUE"""),"Venue")</f>
        <v>Venue</v>
      </c>
      <c r="EI5" s="28" t="str">
        <f>IFERROR(__xludf.DUMMYFUNCTION("""COMPUTED_VALUE"""),"VsCurrencyID")</f>
        <v>VsCurrencyID</v>
      </c>
      <c r="EJ5" s="28" t="str">
        <f>IFERROR(__xludf.DUMMYFUNCTION("""COMPUTED_VALUE"""),"WorkflowState")</f>
        <v>WorkflowState</v>
      </c>
      <c r="EK5" s="28" t="str">
        <f>IFERROR(__xludf.DUMMYFUNCTION("""COMPUTED_VALUE"""),"AvgPriceBase")</f>
        <v>AvgPriceBase</v>
      </c>
      <c r="EL5" s="28" t="str">
        <f>IFERROR(__xludf.DUMMYFUNCTION("""COMPUTED_VALUE"""),"MarketCap")</f>
        <v>MarketCap</v>
      </c>
      <c r="EM5" s="28" t="str">
        <f>IFERROR(__xludf.DUMMYFUNCTION("""COMPUTED_VALUE"""),"UnitCostBase")</f>
        <v>UnitCostBase</v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18</v>
      </c>
      <c r="D6" s="10"/>
      <c r="E6" s="10"/>
      <c r="G6" s="6"/>
      <c r="H6" s="6"/>
      <c r="I6" s="10">
        <v>10.0</v>
      </c>
      <c r="K6" s="6"/>
      <c r="L6" s="6"/>
      <c r="M6" s="6"/>
      <c r="N6" s="6"/>
      <c r="O6" s="6"/>
      <c r="BV6" s="10" t="s">
        <v>17</v>
      </c>
      <c r="DH6" s="10" t="s">
        <v>16</v>
      </c>
    </row>
    <row r="7" ht="15.75" customHeight="1">
      <c r="A7" s="6"/>
      <c r="B7" s="10" t="s">
        <v>18</v>
      </c>
      <c r="D7" s="10"/>
      <c r="E7" s="10"/>
      <c r="G7" s="6"/>
      <c r="H7" s="6"/>
      <c r="I7" s="10">
        <v>10.0</v>
      </c>
      <c r="K7" s="6"/>
      <c r="L7" s="6"/>
      <c r="M7" s="6"/>
      <c r="N7" s="6"/>
      <c r="O7" s="6"/>
      <c r="BV7" s="10" t="s">
        <v>17</v>
      </c>
      <c r="DH7" s="10" t="s">
        <v>19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23</v>
      </c>
      <c r="D3" s="8" t="s">
        <v>6</v>
      </c>
      <c r="E3" s="21" t="s">
        <v>28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IFERROR(__xludf.DUMMYFUNCTION("""COMPUTED_VALUE"""),"AccountValue")</f>
        <v>AccountValue</v>
      </c>
      <c r="D5" s="26" t="str">
        <f>IFERROR(__xludf.DUMMYFUNCTION("""COMPUTED_VALUE"""),"AccruedInterest")</f>
        <v>AccruedInterest</v>
      </c>
      <c r="E5" s="26" t="str">
        <f>IFERROR(__xludf.DUMMYFUNCTION("""COMPUTED_VALUE"""),"Asset")</f>
        <v>Asset</v>
      </c>
      <c r="F5" s="27" t="str">
        <f>IFERROR(__xludf.DUMMYFUNCTION("""COMPUTED_VALUE"""),"AUEC Fee1")</f>
        <v>AUEC Fee1</v>
      </c>
      <c r="G5" s="26" t="str">
        <f>IFERROR(__xludf.DUMMYFUNCTION("""COMPUTED_VALUE"""),"AUCE Fee2")</f>
        <v>AUCE Fee2</v>
      </c>
      <c r="H5" s="26" t="str">
        <f>IFERROR(__xludf.DUMMYFUNCTION("""COMPUTED_VALUE"""),"AUCID")</f>
        <v>AUCID</v>
      </c>
      <c r="I5" s="26" t="str">
        <f>IFERROR(__xludf.DUMMYFUNCTION("""COMPUTED_VALUE"""),"AUECLocalDateToday")</f>
        <v>AUECLocalDateToday</v>
      </c>
      <c r="J5" s="26" t="str">
        <f>IFERROR(__xludf.DUMMYFUNCTION("""COMPUTED_VALUE"""),"Average Price")</f>
        <v>Average Price</v>
      </c>
      <c r="K5" s="26" t="str">
        <f>IFERROR(__xludf.DUMMYFUNCTION("""COMPUTED_VALUE"""),"AvgPriceRealizedPL")</f>
        <v>AvgPriceRealizedPL</v>
      </c>
      <c r="L5" s="26" t="str">
        <f>IFERROR(__xludf.DUMMYFUNCTION("""COMPUTED_VALUE"""),"Broker")</f>
        <v>Broker</v>
      </c>
      <c r="M5" s="26" t="str">
        <f>IFERROR(__xludf.DUMMYFUNCTION("""COMPUTED_VALUE"""),"Clearing Broker Fee")</f>
        <v>Clearing Broker Fee</v>
      </c>
      <c r="N5" s="26" t="str">
        <f>IFERROR(__xludf.DUMMYFUNCTION("""COMPUTED_VALUE"""),"ClosedQty")</f>
        <v>ClosedQty</v>
      </c>
      <c r="O5" s="26" t="str">
        <f>IFERROR(__xludf.DUMMYFUNCTION("""COMPUTED_VALUE"""),"Commission")</f>
        <v>Commission</v>
      </c>
      <c r="P5" s="26" t="str">
        <f>IFERROR(__xludf.DUMMYFUNCTION("""COMPUTED_VALUE"""),"CostBasisRealizePNL")</f>
        <v>CostBasisRealizePNL</v>
      </c>
      <c r="Q5" s="26" t="str">
        <f>IFERROR(__xludf.DUMMYFUNCTION("""COMPUTED_VALUE"""),"Currency")</f>
        <v>Currency</v>
      </c>
      <c r="R5" s="26" t="str">
        <f>IFERROR(__xludf.DUMMYFUNCTION("""COMPUTED_VALUE"""),"Description")</f>
        <v>Description</v>
      </c>
      <c r="S5" s="26" t="str">
        <f>IFERROR(__xludf.DUMMYFUNCTION("""COMPUTED_VALUE"""),"EndDate")</f>
        <v>EndDate</v>
      </c>
      <c r="T5" s="28" t="str">
        <f>IFERROR(__xludf.DUMMYFUNCTION("""COMPUTED_VALUE"""),"ExchangeID")</f>
        <v>ExchangeID</v>
      </c>
      <c r="U5" s="28" t="str">
        <f>IFERROR(__xludf.DUMMYFUNCTION("""COMPUTED_VALUE"""),"Expiration Date")</f>
        <v>Expiration Date</v>
      </c>
      <c r="V5" s="28" t="str">
        <f>IFERROR(__xludf.DUMMYFUNCTION("""COMPUTED_VALUE"""),"ExpiredQty")</f>
        <v>ExpiredQty</v>
      </c>
      <c r="W5" s="28" t="str">
        <f>IFERROR(__xludf.DUMMYFUNCTION("""COMPUTED_VALUE"""),"ExpiredTaxlotID")</f>
        <v>ExpiredTaxlotID</v>
      </c>
      <c r="X5" s="28" t="str">
        <f>IFERROR(__xludf.DUMMYFUNCTION("""COMPUTED_VALUE"""),"FXRate")</f>
        <v>FXRate</v>
      </c>
      <c r="Y5" s="28" t="str">
        <f>IFERROR(__xludf.DUMMYFUNCTION("""COMPUTED_VALUE"""),"FXRateoperator")</f>
        <v>FXRateoperator</v>
      </c>
      <c r="Z5" s="28" t="str">
        <f>IFERROR(__xludf.DUMMYFUNCTION("""COMPUTED_VALUE"""),"ID")</f>
        <v>ID</v>
      </c>
      <c r="AA5" s="28" t="str">
        <f>IFERROR(__xludf.DUMMYFUNCTION("""COMPUTED_VALUE"""),"If Pay/Recevie Changes")</f>
        <v>If Pay/Recevie Changes</v>
      </c>
      <c r="AB5" s="28" t="str">
        <f>IFERROR(__xludf.DUMMYFUNCTION("""COMPUTED_VALUE"""),"IntPositionType")</f>
        <v>IntPositionType</v>
      </c>
      <c r="AC5" s="28" t="str">
        <f>IFERROR(__xludf.DUMMYFUNCTION("""COMPUTED_VALUE"""),"LeadCurrencyID")</f>
        <v>LeadCurrencyID</v>
      </c>
      <c r="AD5" s="28" t="str">
        <f>IFERROR(__xludf.DUMMYFUNCTION("""COMPUTED_VALUE"""),"Leveraged Factor")</f>
        <v>Leveraged Factor</v>
      </c>
      <c r="AE5" s="28" t="str">
        <f>IFERROR(__xludf.DUMMYFUNCTION("""COMPUTED_VALUE"""),"MarkPriceForMonth")</f>
        <v>MarkPriceForMonth</v>
      </c>
      <c r="AF5" s="28" t="str">
        <f>IFERROR(__xludf.DUMMYFUNCTION("""COMPUTED_VALUE"""),"MonthToDateRealizedProfit")</f>
        <v>MonthToDateRealizedProfit</v>
      </c>
      <c r="AG5" s="28" t="str">
        <f>IFERROR(__xludf.DUMMYFUNCTION("""COMPUTED_VALUE"""),"Multiplier")</f>
        <v>Multiplier</v>
      </c>
      <c r="AH5" s="28" t="str">
        <f>IFERROR(__xludf.DUMMYFUNCTION("""COMPUTED_VALUE"""),"NotionalValue")</f>
        <v>NotionalValue</v>
      </c>
      <c r="AI5" s="28" t="str">
        <f>IFERROR(__xludf.DUMMYFUNCTION("""COMPUTED_VALUE"""),"OCC Fee")</f>
        <v>OCC Fee</v>
      </c>
      <c r="AJ5" s="28" t="str">
        <f>IFERROR(__xludf.DUMMYFUNCTION("""COMPUTED_VALUE"""),"OpenQty")</f>
        <v>OpenQty</v>
      </c>
      <c r="AK5" s="28" t="str">
        <f>IFERROR(__xludf.DUMMYFUNCTION("""COMPUTED_VALUE"""),"Option Activated")</f>
        <v>Option Activated</v>
      </c>
      <c r="AL5" s="28" t="str">
        <f>IFERROR(__xludf.DUMMYFUNCTION("""COMPUTED_VALUE"""),"Option Type")</f>
        <v>Option Type</v>
      </c>
      <c r="AM5" s="28" t="str">
        <f>IFERROR(__xludf.DUMMYFUNCTION("""COMPUTED_VALUE"""),"OptionPremiumAdjustment")</f>
        <v>OptionPremiumAdjustment</v>
      </c>
      <c r="AN5" s="28" t="str">
        <f>IFERROR(__xludf.DUMMYFUNCTION("""COMPUTED_VALUE"""),"ORF Fee")</f>
        <v>ORF Fee</v>
      </c>
      <c r="AO5" s="28" t="str">
        <f>IFERROR(__xludf.DUMMYFUNCTION("""COMPUTED_VALUE"""),"Original Side")</f>
        <v>Original Side</v>
      </c>
      <c r="AP5" s="28" t="str">
        <f>IFERROR(__xludf.DUMMYFUNCTION("""COMPUTED_VALUE"""),"OriginalPurchaseDate")</f>
        <v>OriginalPurchaseDate</v>
      </c>
      <c r="AQ5" s="28" t="str">
        <f>IFERROR(__xludf.DUMMYFUNCTION("""COMPUTED_VALUE"""),"Other Broker Fees")</f>
        <v>Other Broker Fees</v>
      </c>
      <c r="AR5" s="28" t="str">
        <f>IFERROR(__xludf.DUMMYFUNCTION("""COMPUTED_VALUE"""),"ParentTradeDate")</f>
        <v>ParentTradeDate</v>
      </c>
      <c r="AS5" s="28" t="str">
        <f>IFERROR(__xludf.DUMMYFUNCTION("""COMPUTED_VALUE"""),"Pay/Recive")</f>
        <v>Pay/Recive</v>
      </c>
      <c r="AT5" s="28" t="str">
        <f>IFERROR(__xludf.DUMMYFUNCTION("""COMPUTED_VALUE"""),"PositionType")</f>
        <v>PositionType</v>
      </c>
      <c r="AU5" s="28" t="str">
        <f>IFERROR(__xludf.DUMMYFUNCTION("""COMPUTED_VALUE"""),"ProcessDate")</f>
        <v>ProcessDate</v>
      </c>
      <c r="AV5" s="28" t="str">
        <f>IFERROR(__xludf.DUMMYFUNCTION("""COMPUTED_VALUE"""),"QtyCurrency")</f>
        <v>QtyCurrency</v>
      </c>
      <c r="AW5" s="28" t="str">
        <f>IFERROR(__xludf.DUMMYFUNCTION("""COMPUTED_VALUE"""),"Quantity")</f>
        <v>Quantity</v>
      </c>
      <c r="AX5" s="28" t="str">
        <f>IFERROR(__xludf.DUMMYFUNCTION("""COMPUTED_VALUE"""),"RecordType")</f>
        <v>RecordType</v>
      </c>
      <c r="AY5" s="28" t="str">
        <f>IFERROR(__xludf.DUMMYFUNCTION("""COMPUTED_VALUE"""),"SEC Fee")</f>
        <v>SEC Fee</v>
      </c>
      <c r="AZ5" s="28" t="str">
        <f>IFERROR(__xludf.DUMMYFUNCTION("""COMPUTED_VALUE"""),"Settlement Currency")</f>
        <v>Settlement Currency</v>
      </c>
      <c r="BA5" s="28" t="str">
        <f>IFERROR(__xludf.DUMMYFUNCTION("""COMPUTED_VALUE"""),"Settlement Date")</f>
        <v>Settlement Date</v>
      </c>
      <c r="BB5" s="28" t="str">
        <f>IFERROR(__xludf.DUMMYFUNCTION("""COMPUTED_VALUE"""),"Settlement FxRate")</f>
        <v>Settlement FxRate</v>
      </c>
      <c r="BC5" s="28" t="str">
        <f>IFERROR(__xludf.DUMMYFUNCTION("""COMPUTED_VALUE"""),"Settlement FxRate Operator")</f>
        <v>Settlement FxRate Operator</v>
      </c>
      <c r="BD5" s="28" t="str">
        <f>IFERROR(__xludf.DUMMYFUNCTION("""COMPUTED_VALUE"""),"Settlement Price")</f>
        <v>Settlement Price</v>
      </c>
      <c r="BE5" s="28" t="str">
        <f>IFERROR(__xludf.DUMMYFUNCTION("""COMPUTED_VALUE"""),"Side")</f>
        <v>Side</v>
      </c>
      <c r="BF5" s="28" t="str">
        <f>IFERROR(__xludf.DUMMYFUNCTION("""COMPUTED_VALUE"""),"Soft Commission")</f>
        <v>Soft Commission</v>
      </c>
      <c r="BG5" s="28" t="str">
        <f>IFERROR(__xludf.DUMMYFUNCTION("""COMPUTED_VALUE"""),"Stamp Duty")</f>
        <v>Stamp Duty</v>
      </c>
      <c r="BH5" s="28" t="str">
        <f>IFERROR(__xludf.DUMMYFUNCTION("""COMPUTED_VALUE"""),"StartTaxlotID")</f>
        <v>StartTaxlotID</v>
      </c>
      <c r="BI5" s="28" t="str">
        <f>IFERROR(__xludf.DUMMYFUNCTION("""COMPUTED_VALUE"""),"Status")</f>
        <v>Status</v>
      </c>
      <c r="BJ5" s="28" t="str">
        <f>IFERROR(__xludf.DUMMYFUNCTION("""COMPUTED_VALUE"""),"Strategy")</f>
        <v>Strategy</v>
      </c>
      <c r="BK5" s="28" t="str">
        <f>IFERROR(__xludf.DUMMYFUNCTION("""COMPUTED_VALUE"""),"Strike Price")</f>
        <v>Strike Price</v>
      </c>
      <c r="BL5" s="28" t="str">
        <f>IFERROR(__xludf.DUMMYFUNCTION("""COMPUTED_VALUE"""),"Symbol")</f>
        <v>Symbol</v>
      </c>
      <c r="BM5" s="28" t="str">
        <f>IFERROR(__xludf.DUMMYFUNCTION("""COMPUTED_VALUE"""),"SymbolAveragePrice")</f>
        <v>SymbolAveragePrice</v>
      </c>
      <c r="BN5" s="28" t="str">
        <f>IFERROR(__xludf.DUMMYFUNCTION("""COMPUTED_VALUE"""),"Tax On Commissions")</f>
        <v>Tax On Commissions</v>
      </c>
      <c r="BO5" s="28" t="str">
        <f>IFERROR(__xludf.DUMMYFUNCTION("""COMPUTED_VALUE"""),"TaxLotClosingId")</f>
        <v>TaxLotClosingId</v>
      </c>
      <c r="BP5" s="28" t="str">
        <f>IFERROR(__xludf.DUMMYFUNCTION("""COMPUTED_VALUE"""),"Trade Date")</f>
        <v>Trade Date</v>
      </c>
      <c r="BQ5" s="28" t="str">
        <f>IFERROR(__xludf.DUMMYFUNCTION("""COMPUTED_VALUE"""),"Transaction Levy")</f>
        <v>Transaction Levy</v>
      </c>
      <c r="BR5" s="28" t="str">
        <f>IFERROR(__xludf.DUMMYFUNCTION("""COMPUTED_VALUE"""),"Transaction Type")</f>
        <v>Transaction Type</v>
      </c>
      <c r="BS5" s="28" t="str">
        <f>IFERROR(__xludf.DUMMYFUNCTION("""COMPUTED_VALUE"""),"TransactionSource")</f>
        <v>TransactionSource</v>
      </c>
      <c r="BT5" s="28" t="str">
        <f>IFERROR(__xludf.DUMMYFUNCTION("""COMPUTED_VALUE"""),"Underlying Symbol")</f>
        <v>Underlying Symbol</v>
      </c>
      <c r="BU5" s="28" t="str">
        <f>IFERROR(__xludf.DUMMYFUNCTION("""COMPUTED_VALUE"""),"UnderlyingID")</f>
        <v>UnderlyingID</v>
      </c>
      <c r="BV5" s="28" t="str">
        <f>IFERROR(__xludf.DUMMYFUNCTION("""COMPUTED_VALUE"""),"Venue")</f>
        <v>Venue</v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6"/>
      <c r="D6" s="10"/>
      <c r="E6" s="31"/>
      <c r="F6" s="6"/>
      <c r="G6" s="6"/>
      <c r="H6" s="6"/>
      <c r="I6" s="6"/>
      <c r="J6" s="6"/>
      <c r="K6" s="6"/>
      <c r="L6" s="6"/>
      <c r="M6" s="6"/>
      <c r="N6" s="6"/>
      <c r="O6" s="10">
        <v>15.0</v>
      </c>
      <c r="BF6" s="30">
        <v>15.0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PhysicalSettlement!$4:$4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23</v>
      </c>
      <c r="D3" s="8" t="s">
        <v>6</v>
      </c>
      <c r="E3" s="21" t="s">
        <v>29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IFERROR(__xludf.DUMMYFUNCTION("""COMPUTED_VALUE"""),"checkBox")</f>
        <v>checkBox</v>
      </c>
      <c r="E5" s="26" t="str">
        <f>IFERROR(__xludf.DUMMYFUNCTION("""COMPUTED_VALUE"""),"Close Date")</f>
        <v>Close Date</v>
      </c>
      <c r="F5" s="27" t="str">
        <f>IFERROR(__xludf.DUMMYFUNCTION("""COMPUTED_VALUE"""),"ClosedAveragePrice")</f>
        <v>ClosedAveragePrice</v>
      </c>
      <c r="G5" s="26" t="str">
        <f>IFERROR(__xludf.DUMMYFUNCTION("""COMPUTED_VALUE"""),"ClosedQty")</f>
        <v>ClosedQty</v>
      </c>
      <c r="H5" s="26" t="str">
        <f>IFERROR(__xludf.DUMMYFUNCTION("""COMPUTED_VALUE"""),"Closing Method")</f>
        <v>Closing Method</v>
      </c>
      <c r="I5" s="26" t="str">
        <f>IFERROR(__xludf.DUMMYFUNCTION("""COMPUTED_VALUE"""),"ClosingID")</f>
        <v>ClosingID</v>
      </c>
      <c r="J5" s="26" t="str">
        <f>IFERROR(__xludf.DUMMYFUNCTION("""COMPUTED_VALUE"""),"ClosingMode")</f>
        <v>ClosingMode</v>
      </c>
      <c r="K5" s="26" t="str">
        <f>IFERROR(__xludf.DUMMYFUNCTION("""COMPUTED_VALUE"""),"ClosingPositionTag")</f>
        <v>ClosingPositionTag</v>
      </c>
      <c r="L5" s="26" t="str">
        <f>IFERROR(__xludf.DUMMYFUNCTION("""COMPUTED_VALUE"""),"ClosingSide")</f>
        <v>ClosingSide</v>
      </c>
      <c r="M5" s="26" t="str">
        <f>IFERROR(__xludf.DUMMYFUNCTION("""COMPUTED_VALUE"""),"ClosingTotalCommissionandFees")</f>
        <v>ClosingTotalCommissionandFees</v>
      </c>
      <c r="N5" s="26" t="str">
        <f>IFERROR(__xludf.DUMMYFUNCTION("""COMPUTED_VALUE"""),"Column1")</f>
        <v>Column1</v>
      </c>
      <c r="O5" s="26" t="str">
        <f>IFERROR(__xludf.DUMMYFUNCTION("""COMPUTED_VALUE"""),"CostBasisGrossPNL")</f>
        <v>CostBasisGrossPNL</v>
      </c>
      <c r="P5" s="26" t="str">
        <f>IFERROR(__xludf.DUMMYFUNCTION("""COMPUTED_VALUE"""),"Currency")</f>
        <v>Currency</v>
      </c>
      <c r="Q5" s="26" t="str">
        <f>IFERROR(__xludf.DUMMYFUNCTION("""COMPUTED_VALUE"""),"CurrencyID")</f>
        <v>CurrencyID</v>
      </c>
      <c r="R5" s="26" t="str">
        <f>IFERROR(__xludf.DUMMYFUNCTION("""COMPUTED_VALUE"""),"Exchange")</f>
        <v>Exchange</v>
      </c>
      <c r="S5" s="26" t="str">
        <f>IFERROR(__xludf.DUMMYFUNCTION("""COMPUTED_VALUE"""),"NotionalChange")</f>
        <v>NotionalChange</v>
      </c>
      <c r="T5" s="28" t="str">
        <f>IFERROR(__xludf.DUMMYFUNCTION("""COMPUTED_VALUE"""),"OpenAveragePrice")</f>
        <v>OpenAveragePrice</v>
      </c>
      <c r="U5" s="28" t="str">
        <f>IFERROR(__xludf.DUMMYFUNCTION("""COMPUTED_VALUE"""),"Original Purchase Date")</f>
        <v>Original Purchase Date</v>
      </c>
      <c r="V5" s="28" t="str">
        <f>IFERROR(__xludf.DUMMYFUNCTION("""COMPUTED_VALUE"""),"Position Type")</f>
        <v>Position Type</v>
      </c>
      <c r="W5" s="28" t="str">
        <f>IFERROR(__xludf.DUMMYFUNCTION("""COMPUTED_VALUE"""),"PositionSide")</f>
        <v>PositionSide</v>
      </c>
      <c r="X5" s="28" t="str">
        <f>IFERROR(__xludf.DUMMYFUNCTION("""COMPUTED_VALUE"""),"PositionTotalCommissionandFees")</f>
        <v>PositionTotalCommissionandFees</v>
      </c>
      <c r="Y5" s="28" t="str">
        <f>IFERROR(__xludf.DUMMYFUNCTION("""COMPUTED_VALUE"""),"Realized PNL(C.B.)")</f>
        <v>Realized PNL(C.B.)</v>
      </c>
      <c r="Z5" s="28" t="str">
        <f>IFERROR(__xludf.DUMMYFUNCTION("""COMPUTED_VALUE"""),"Side")</f>
        <v>Side</v>
      </c>
      <c r="AA5" s="28" t="str">
        <f>IFERROR(__xludf.DUMMYFUNCTION("""COMPUTED_VALUE"""),"Strategy")</f>
        <v>Strategy</v>
      </c>
      <c r="AB5" s="28" t="str">
        <f>IFERROR(__xludf.DUMMYFUNCTION("""COMPUTED_VALUE"""),"Symbol")</f>
        <v>Symbol</v>
      </c>
      <c r="AC5" s="28" t="str">
        <f>IFERROR(__xludf.DUMMYFUNCTION("""COMPUTED_VALUE"""),"Taxlot ID")</f>
        <v>Taxlot ID</v>
      </c>
      <c r="AD5" s="28" t="str">
        <f>IFERROR(__xludf.DUMMYFUNCTION("""COMPUTED_VALUE"""),"UnderlyingName")</f>
        <v>UnderlyingName</v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18</v>
      </c>
      <c r="C6" s="6"/>
      <c r="D6" s="10"/>
      <c r="E6" s="31"/>
      <c r="F6" s="10">
        <v>0.0</v>
      </c>
      <c r="G6" s="10">
        <v>100.0</v>
      </c>
      <c r="H6" s="6"/>
      <c r="I6" s="6"/>
      <c r="J6" s="6"/>
      <c r="K6" s="6"/>
      <c r="L6" s="6"/>
      <c r="M6" s="6"/>
      <c r="N6" s="6"/>
      <c r="O6" s="10">
        <v>-50000.0</v>
      </c>
      <c r="X6" s="30">
        <v>3.53</v>
      </c>
      <c r="Z6" s="30" t="s">
        <v>17</v>
      </c>
      <c r="AB6" s="30" t="s">
        <v>16</v>
      </c>
    </row>
    <row r="7" ht="15.75" customHeight="1">
      <c r="A7" s="6"/>
      <c r="B7" s="10" t="s">
        <v>18</v>
      </c>
      <c r="C7" s="6"/>
      <c r="D7" s="6"/>
      <c r="E7" s="6"/>
      <c r="F7" s="10">
        <v>0.0</v>
      </c>
      <c r="G7" s="10">
        <v>100.0</v>
      </c>
      <c r="H7" s="6"/>
      <c r="I7" s="6"/>
      <c r="J7" s="6"/>
      <c r="K7" s="6"/>
      <c r="L7" s="6"/>
      <c r="M7" s="10">
        <v>-50000.0</v>
      </c>
      <c r="N7" s="6"/>
      <c r="O7" s="10">
        <v>-50000.0</v>
      </c>
      <c r="Z7" s="30" t="s">
        <v>17</v>
      </c>
      <c r="AB7" s="30" t="s">
        <v>19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1-RJhOo2E5PhyqaiMEjsPi8RpfYBuiSqE9fj_-bRpkKw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20</v>
      </c>
      <c r="D3" s="8" t="s">
        <v>6</v>
      </c>
      <c r="E3" s="21" t="s">
        <v>30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IFERROR(__xludf.DUMMYFUNCTION("""COMPUTED_VALUE"""),"Quantity")</f>
        <v>Quantity</v>
      </c>
      <c r="D5" s="26" t="str">
        <f>IFERROR(__xludf.DUMMYFUNCTION("""COMPUTED_VALUE"""),"Trade Date")</f>
        <v>Trade Date</v>
      </c>
      <c r="E5" s="26" t="str">
        <f>IFERROR(__xludf.DUMMYFUNCTION("""COMPUTED_VALUE"""),"Account Name")</f>
        <v>Account Name</v>
      </c>
      <c r="F5" s="27" t="str">
        <f>IFERROR(__xludf.DUMMYFUNCTION("""COMPUTED_VALUE"""),"Side")</f>
        <v>Side</v>
      </c>
      <c r="G5" s="26" t="str">
        <f>IFERROR(__xludf.DUMMYFUNCTION("""COMPUTED_VALUE"""),"Group Status")</f>
        <v>Group Status</v>
      </c>
      <c r="H5" s="26" t="str">
        <f>IFERROR(__xludf.DUMMYFUNCTION("""COMPUTED_VALUE"""),"Avg Price(Base)")</f>
        <v>Avg Price(Base)</v>
      </c>
      <c r="I5" s="26" t="str">
        <f>IFERROR(__xludf.DUMMYFUNCTION("""COMPUTED_VALUE"""),"Execution Time")</f>
        <v>Execution Time</v>
      </c>
      <c r="J5" s="26" t="str">
        <f>IFERROR(__xludf.DUMMYFUNCTION("""COMPUTED_VALUE"""),"Trade Attribute 1")</f>
        <v>Trade Attribute 1</v>
      </c>
      <c r="K5" s="26" t="str">
        <f>IFERROR(__xludf.DUMMYFUNCTION("""COMPUTED_VALUE"""),"Avg Price(Local)")</f>
        <v>Avg Price(Local)</v>
      </c>
      <c r="L5" s="26" t="str">
        <f>IFERROR(__xludf.DUMMYFUNCTION("""COMPUTED_VALUE"""),"Trade Attribute 2")</f>
        <v>Trade Attribute 2</v>
      </c>
      <c r="M5" s="26" t="str">
        <f>IFERROR(__xludf.DUMMYFUNCTION("""COMPUTED_VALUE"""),"Accrued Interest")</f>
        <v>Accrued Interest</v>
      </c>
      <c r="N5" s="26" t="str">
        <f>IFERROR(__xludf.DUMMYFUNCTION("""COMPUTED_VALUE"""),"Commission")</f>
        <v>Commission</v>
      </c>
      <c r="O5" s="26" t="str">
        <f>IFERROR(__xludf.DUMMYFUNCTION("""COMPUTED_VALUE"""),"Soft Commission")</f>
        <v>Soft Commission</v>
      </c>
      <c r="P5" s="26" t="str">
        <f>IFERROR(__xludf.DUMMYFUNCTION("""COMPUTED_VALUE"""),"Broker")</f>
        <v>Broker</v>
      </c>
      <c r="Q5" s="26" t="str">
        <f>IFERROR(__xludf.DUMMYFUNCTION("""COMPUTED_VALUE"""),"Transaction Type")</f>
        <v>Transaction Type</v>
      </c>
      <c r="R5" s="26" t="str">
        <f>IFERROR(__xludf.DUMMYFUNCTION("""COMPUTED_VALUE"""),"AUEC Fee1")</f>
        <v>AUEC Fee1</v>
      </c>
      <c r="S5" s="26" t="str">
        <f>IFERROR(__xludf.DUMMYFUNCTION("""COMPUTED_VALUE"""),"AUEC Fee2")</f>
        <v>AUEC Fee2</v>
      </c>
      <c r="T5" s="28" t="str">
        <f>IFERROR(__xludf.DUMMYFUNCTION("""COMPUTED_VALUE"""),"Clearing Broker Fee")</f>
        <v>Clearing Broker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IFERROR(__xludf.DUMMYFUNCTION("""COMPUTED_VALUE"""),"OCC Fee")</f>
        <v>OCC Fee</v>
      </c>
      <c r="W5" s="28" t="str">
        <f>IFERROR(__xludf.DUMMYFUNCTION("""COMPUTED_VALUE"""),"SEC Fee")</f>
        <v>SEC Fee</v>
      </c>
      <c r="X5" s="28" t="str">
        <f>IFERROR(__xludf.DUMMYFUNCTION("""COMPUTED_VALUE"""),"ORF Fee")</f>
        <v>ORF Fee</v>
      </c>
      <c r="Y5" s="28" t="str">
        <f>IFERROR(__xludf.DUMMYFUNCTION("""COMPUTED_VALUE"""),"IsPreAllocated")</f>
        <v>IsPreAllocated</v>
      </c>
      <c r="Z5" s="28" t="str">
        <f>IFERROR(__xludf.DUMMYFUNCTION("""COMPUTED_VALUE"""),"Stamp Duty")</f>
        <v>Stamp Duty</v>
      </c>
      <c r="AA5" s="28" t="str">
        <f>IFERROR(__xludf.DUMMYFUNCTION("""COMPUTED_VALUE"""),"IsManual Group")</f>
        <v>IsManual Group</v>
      </c>
      <c r="AB5" s="28" t="str">
        <f>IFERROR(__xludf.DUMMYFUNCTION("""COMPUTED_VALUE"""),"Tax On Commissions")</f>
        <v>Tax On Commissions</v>
      </c>
      <c r="AC5" s="28" t="str">
        <f>IFERROR(__xludf.DUMMYFUNCTION("""COMPUTED_VALUE"""),"IsAnotherTaxlotAttributesUpdated")</f>
        <v>IsAnotherTaxlotAttributesUpdated</v>
      </c>
      <c r="AD5" s="28" t="str">
        <f>IFERROR(__xludf.DUMMYFUNCTION("""COMPUTED_VALUE"""),"ISNDF")</f>
        <v>ISNDF</v>
      </c>
      <c r="AE5" s="28" t="str">
        <f>IFERROR(__xludf.DUMMYFUNCTION("""COMPUTED_VALUE"""),"Transaction Levy")</f>
        <v>Transaction Levy</v>
      </c>
      <c r="AF5" s="28" t="str">
        <f>IFERROR(__xludf.DUMMYFUNCTION("""COMPUTED_VALUE"""),"Description")</f>
        <v>Description</v>
      </c>
      <c r="AG5" s="28" t="str">
        <f>IFERROR(__xludf.DUMMYFUNCTION("""COMPUTED_VALUE"""),"GroupID")</f>
        <v>GroupID</v>
      </c>
      <c r="AH5" s="28" t="str">
        <f>IFERROR(__xludf.DUMMYFUNCTION("""COMPUTED_VALUE"""),"Internal Comments")</f>
        <v>Internal Comments</v>
      </c>
      <c r="AI5" s="28" t="str">
        <f>IFERROR(__xludf.DUMMYFUNCTION("""COMPUTED_VALUE"""),"M2MProfitLoss")</f>
        <v>M2MProfitLoss</v>
      </c>
      <c r="AJ5" s="28" t="str">
        <f>IFERROR(__xludf.DUMMYFUNCTION("""COMPUTED_VALUE"""),"FX Rate")</f>
        <v>FX Rate</v>
      </c>
      <c r="AK5" s="28" t="str">
        <f>IFERROR(__xludf.DUMMYFUNCTION("""COMPUTED_VALUE"""),"FX Conversion Operator")</f>
        <v>FX Conversion Operator</v>
      </c>
      <c r="AL5" s="28" t="str">
        <f>IFERROR(__xludf.DUMMYFUNCTION("""COMPUTED_VALUE"""),"Trade Attribute 3")</f>
        <v>Trade Attribute 3</v>
      </c>
      <c r="AM5" s="28" t="str">
        <f>IFERROR(__xludf.DUMMYFUNCTION("""COMPUTED_VALUE"""),"Trade Attribute 4")</f>
        <v>Trade Attribute 4</v>
      </c>
      <c r="AN5" s="28" t="str">
        <f>IFERROR(__xludf.DUMMYFUNCTION("""COMPUTED_VALUE"""),"Trade Attribute 5")</f>
        <v>Trade Attribute 5</v>
      </c>
      <c r="AO5" s="28" t="str">
        <f>IFERROR(__xludf.DUMMYFUNCTION("""COMPUTED_VALUE"""),"Trade Attribute 6")</f>
        <v>Trade Attribute 6</v>
      </c>
      <c r="AP5" s="28" t="str">
        <f>IFERROR(__xludf.DUMMYFUNCTION("""COMPUTED_VALUE"""),"Put Or Call")</f>
        <v>Put Or Call</v>
      </c>
      <c r="AQ5" s="28" t="str">
        <f>IFERROR(__xludf.DUMMYFUNCTION("""COMPUTED_VALUE"""),"Allocated Qty")</f>
        <v>Allocated Qty</v>
      </c>
      <c r="AR5" s="28" t="str">
        <f>IFERROR(__xludf.DUMMYFUNCTION("""COMPUTED_VALUE"""),"Total Commission And Fee")</f>
        <v>Total Commission And Fee</v>
      </c>
      <c r="AS5" s="28" t="str">
        <f>IFERROR(__xludf.DUMMYFUNCTION("""COMPUTED_VALUE"""),"Executed Qty")</f>
        <v>Executed Qty</v>
      </c>
      <c r="AT5" s="28" t="str">
        <f>IFERROR(__xludf.DUMMYFUNCTION("""COMPUTED_VALUE"""),"Net Amount( Local)")</f>
        <v>Net Amount( Local)</v>
      </c>
      <c r="AU5" s="28" t="str">
        <f>IFERROR(__xludf.DUMMYFUNCTION("""COMPUTED_VALUE"""),"Net Amount( Base)")</f>
        <v>Net Amount( Base)</v>
      </c>
      <c r="AV5" s="28" t="str">
        <f>IFERROR(__xludf.DUMMYFUNCTION("""COMPUTED_VALUE"""),"UnAllocatedQty")</f>
        <v>UnAllocatedQty</v>
      </c>
      <c r="AW5" s="28" t="str">
        <f>IFERROR(__xludf.DUMMYFUNCTION("""COMPUTED_VALUE"""),"Option Premium Adjustment")</f>
        <v>Option Premium Adjustment</v>
      </c>
      <c r="AX5" s="28" t="str">
        <f>IFERROR(__xludf.DUMMYFUNCTION("""COMPUTED_VALUE"""),"Principal Amount( Local)")</f>
        <v>Principal Amount( Local)</v>
      </c>
      <c r="AY5" s="28" t="str">
        <f>IFERROR(__xludf.DUMMYFUNCTION("""COMPUTED_VALUE"""),"Principal Amount( Base)")</f>
        <v>Principal Amount( Base)</v>
      </c>
      <c r="AZ5" s="28" t="str">
        <f>IFERROR(__xludf.DUMMYFUNCTION("""COMPUTED_VALUE"""),"Settlement Currency")</f>
        <v>Settlement Currency</v>
      </c>
      <c r="BA5" s="28" t="str">
        <f>IFERROR(__xludf.DUMMYFUNCTION("""COMPUTED_VALUE"""),"User")</f>
        <v>User</v>
      </c>
      <c r="BB5" s="28" t="str">
        <f>IFERROR(__xludf.DUMMYFUNCTION("""COMPUTED_VALUE"""),"Asset Category")</f>
        <v>Asset Category</v>
      </c>
      <c r="BC5" s="28" t="str">
        <f>IFERROR(__xludf.DUMMYFUNCTION("""COMPUTED_VALUE"""),"Change Type")</f>
        <v>Change Type</v>
      </c>
      <c r="BD5" s="28" t="str">
        <f>IFERROR(__xludf.DUMMYFUNCTION("""COMPUTED_VALUE"""),"Strategy Name")</f>
        <v>Strategy Name</v>
      </c>
      <c r="BE5" s="28" t="str">
        <f>IFERROR(__xludf.DUMMYFUNCTION("""COMPUTED_VALUE"""),"Prana Msg Type")</f>
        <v>Prana Msg Type</v>
      </c>
      <c r="BF5" s="28" t="str">
        <f>IFERROR(__xludf.DUMMYFUNCTION("""COMPUTED_VALUE"""),"Total Commission")</f>
        <v>Total Commission</v>
      </c>
      <c r="BG5" s="28" t="str">
        <f>IFERROR(__xludf.DUMMYFUNCTION("""COMPUTED_VALUE"""),"Commission Per Share")</f>
        <v>Commission Per Share</v>
      </c>
      <c r="BH5" s="28" t="str">
        <f>IFERROR(__xludf.DUMMYFUNCTION("""COMPUTED_VALUE"""),"Soft Commission Per Share")</f>
        <v>Soft Commission Per Share</v>
      </c>
      <c r="BI5" s="28" t="str">
        <f>IFERROR(__xludf.DUMMYFUNCTION("""COMPUTED_VALUE"""),"Total Commission Per Share")</f>
        <v>Total Commission Per Share</v>
      </c>
      <c r="BJ5" s="28" t="str">
        <f>IFERROR(__xludf.DUMMYFUNCTION("""COMPUTED_VALUE"""),"Closing Status")</f>
        <v>Closing Status</v>
      </c>
      <c r="BK5" s="28" t="str">
        <f>IFERROR(__xludf.DUMMYFUNCTION("""COMPUTED_VALUE"""),"Closing Method")</f>
        <v>Closing Method</v>
      </c>
      <c r="BL5" s="28" t="str">
        <f>IFERROR(__xludf.DUMMYFUNCTION("""COMPUTED_VALUE"""),"Allocation Scheme Name")</f>
        <v>Allocation Scheme Name</v>
      </c>
      <c r="BM5" s="28" t="str">
        <f>IFERROR(__xludf.DUMMYFUNCTION("""COMPUTED_VALUE"""),"Change Comment")</f>
        <v>Change Comment</v>
      </c>
      <c r="BN5" s="28" t="str">
        <f>IFERROR(__xludf.DUMMYFUNCTION("""COMPUTED_VALUE"""),"Order Type")</f>
        <v>Order Type</v>
      </c>
      <c r="BO5" s="28" t="str">
        <f>IFERROR(__xludf.DUMMYFUNCTION("""COMPUTED_VALUE"""),"Underlying")</f>
        <v>Underlying</v>
      </c>
      <c r="BP5" s="28" t="str">
        <f>IFERROR(__xludf.DUMMYFUNCTION("""COMPUTED_VALUE"""),"Exchange")</f>
        <v>Exchange</v>
      </c>
      <c r="BQ5" s="28" t="str">
        <f>IFERROR(__xludf.DUMMYFUNCTION("""COMPUTED_VALUE"""),"Currency")</f>
        <v>Currency</v>
      </c>
      <c r="BR5" s="28" t="str">
        <f>IFERROR(__xludf.DUMMYFUNCTION("""COMPUTED_VALUE"""),"AUECID")</f>
        <v>AUECID</v>
      </c>
      <c r="BS5" s="28" t="str">
        <f>IFERROR(__xludf.DUMMYFUNCTION("""COMPUTED_VALUE"""),"Trading Account")</f>
        <v>Trading Account</v>
      </c>
      <c r="BT5" s="28" t="str">
        <f>IFERROR(__xludf.DUMMYFUNCTION("""COMPUTED_VALUE"""),"Venue")</f>
        <v>Venue</v>
      </c>
      <c r="BU5" s="28" t="str">
        <f>IFERROR(__xludf.DUMMYFUNCTION("""COMPUTED_VALUE"""),"Cum Qty For Sub Order")</f>
        <v>Cum Qty For Sub Order</v>
      </c>
      <c r="BV5" s="28" t="str">
        <f>IFERROR(__xludf.DUMMYFUNCTION("""COMPUTED_VALUE"""),"Contract Multiplier")</f>
        <v>Contract Multiplier</v>
      </c>
      <c r="BW5" s="28" t="str">
        <f>IFERROR(__xludf.DUMMYFUNCTION("""COMPUTED_VALUE"""),"Company")</f>
        <v>Company</v>
      </c>
      <c r="BX5" s="28" t="str">
        <f>IFERROR(__xludf.DUMMYFUNCTION("""COMPUTED_VALUE"""),"Nirvana Process Date")</f>
        <v>Nirvana Process Date</v>
      </c>
      <c r="BY5" s="28" t="str">
        <f>IFERROR(__xludf.DUMMYFUNCTION("""COMPUTED_VALUE"""),"Process Date")</f>
        <v>Process Date</v>
      </c>
      <c r="BZ5" s="28" t="str">
        <f>IFERROR(__xludf.DUMMYFUNCTION("""COMPUTED_VALUE"""),"Original Purchase Date")</f>
        <v>Original Purchase Date</v>
      </c>
      <c r="CA5" s="28" t="str">
        <f>IFERROR(__xludf.DUMMYFUNCTION("""COMPUTED_VALUE"""),"Closing Date")</f>
        <v>Closing Date</v>
      </c>
      <c r="CB5" s="28" t="str">
        <f>IFERROR(__xludf.DUMMYFUNCTION("""COMPUTED_VALUE"""),"Settlement Date")</f>
        <v>Settlement Date</v>
      </c>
      <c r="CC5" s="28" t="str">
        <f>IFERROR(__xludf.DUMMYFUNCTION("""COMPUTED_VALUE"""),"Expiration Date")</f>
        <v>Expiration Date</v>
      </c>
      <c r="CD5" s="28" t="str">
        <f>IFERROR(__xludf.DUMMYFUNCTION("""COMPUTED_VALUE"""),"Underlying Symbol")</f>
        <v>Underlying Symbol</v>
      </c>
      <c r="CE5" s="28" t="str">
        <f>IFERROR(__xludf.DUMMYFUNCTION("""COMPUTED_VALUE"""),"Accrual Basis")</f>
        <v>Accrual Basis</v>
      </c>
      <c r="CF5" s="28" t="str">
        <f>IFERROR(__xludf.DUMMYFUNCTION("""COMPUTED_VALUE"""),"Bond Type")</f>
        <v>Bond Type</v>
      </c>
      <c r="CG5" s="28" t="str">
        <f>IFERROR(__xludf.DUMMYFUNCTION("""COMPUTED_VALUE"""),"Coupon Rate")</f>
        <v>Coupon Rate</v>
      </c>
      <c r="CH5" s="28" t="str">
        <f>IFERROR(__xludf.DUMMYFUNCTION("""COMPUTED_VALUE"""),"Delta")</f>
        <v>Delta</v>
      </c>
      <c r="CI5" s="28" t="str">
        <f>IFERROR(__xludf.DUMMYFUNCTION("""COMPUTED_VALUE"""),"Bloomberg")</f>
        <v>Bloomberg</v>
      </c>
      <c r="CJ5" s="28" t="str">
        <f>IFERROR(__xludf.DUMMYFUNCTION("""COMPUTED_VALUE"""),"Sedol Symbol")</f>
        <v>Sedol Symbol</v>
      </c>
      <c r="CK5" s="28" t="str">
        <f>IFERROR(__xludf.DUMMYFUNCTION("""COMPUTED_VALUE"""),"Cusip Symbol")</f>
        <v>Cusip Symbol</v>
      </c>
      <c r="CL5" s="28" t="str">
        <f>IFERROR(__xludf.DUMMYFUNCTION("""COMPUTED_VALUE"""),"ISIN")</f>
        <v>ISIN</v>
      </c>
      <c r="CM5" s="28" t="str">
        <f>IFERROR(__xludf.DUMMYFUNCTION("""COMPUTED_VALUE"""),"OSISSymbol")</f>
        <v>OSISSymbol</v>
      </c>
      <c r="CN5" s="28" t="str">
        <f>IFERROR(__xludf.DUMMYFUNCTION("""COMPUTED_VALUE"""),"IDCOSymbol")</f>
        <v>IDCOSymbol</v>
      </c>
      <c r="CO5" s="28" t="str">
        <f>IFERROR(__xludf.DUMMYFUNCTION("""COMPUTED_VALUE"""),"Underlying Delta")</f>
        <v>Underlying Delta</v>
      </c>
      <c r="CP5" s="28" t="str">
        <f>IFERROR(__xludf.DUMMYFUNCTION("""COMPUTED_VALUE"""),"Proxy Symbol")</f>
        <v>Proxy Symbol</v>
      </c>
      <c r="CQ5" s="28" t="str">
        <f>IFERROR(__xludf.DUMMYFUNCTION("""COMPUTED_VALUE"""),"Transaction Source")</f>
        <v>Transaction Source</v>
      </c>
      <c r="CR5" s="28" t="str">
        <f>IFERROR(__xludf.DUMMYFUNCTION("""COMPUTED_VALUE"""),"Import File Name")</f>
        <v>Import File Name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16</v>
      </c>
      <c r="C6" s="10">
        <v>100.0</v>
      </c>
      <c r="D6" s="10"/>
      <c r="E6" s="3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20</v>
      </c>
      <c r="D3" s="8" t="s">
        <v>6</v>
      </c>
      <c r="E3" s="21" t="s">
        <v>31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25</v>
      </c>
      <c r="C6" s="6"/>
      <c r="D6" s="10"/>
      <c r="E6" s="3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32</v>
      </c>
      <c r="D3" s="8" t="s">
        <v>6</v>
      </c>
      <c r="E3" s="21" t="s">
        <v>33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34</v>
      </c>
      <c r="C6" s="10" t="s">
        <v>18</v>
      </c>
      <c r="D6" s="32">
        <f t="shared" ref="D6:E6" si="1">TODAY()</f>
        <v>43789</v>
      </c>
      <c r="E6" s="32">
        <f t="shared" si="1"/>
        <v>43789</v>
      </c>
      <c r="F6" s="10" t="s">
        <v>35</v>
      </c>
      <c r="G6" s="10" t="s">
        <v>35</v>
      </c>
      <c r="H6" s="10" t="s">
        <v>36</v>
      </c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32</v>
      </c>
      <c r="D3" s="8" t="s">
        <v>6</v>
      </c>
      <c r="E3" s="21" t="s">
        <v>37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18</v>
      </c>
      <c r="C6" s="6"/>
      <c r="D6" s="10" t="s">
        <v>38</v>
      </c>
      <c r="E6" s="10">
        <v>-50003.53</v>
      </c>
      <c r="F6" s="6"/>
      <c r="G6" s="6"/>
      <c r="H6" s="6"/>
      <c r="I6" s="6"/>
      <c r="J6" s="30">
        <v>0.0</v>
      </c>
      <c r="K6" s="10" t="s">
        <v>39</v>
      </c>
      <c r="L6" s="6"/>
      <c r="M6" s="6"/>
      <c r="N6" s="6"/>
      <c r="O6" s="6"/>
      <c r="V6" s="30">
        <v>100.0</v>
      </c>
      <c r="AB6" s="30" t="s">
        <v>40</v>
      </c>
    </row>
    <row r="7" ht="15.75" customHeight="1">
      <c r="A7" s="6"/>
      <c r="B7" s="10" t="s">
        <v>18</v>
      </c>
      <c r="C7" s="6"/>
      <c r="D7" s="10" t="s">
        <v>41</v>
      </c>
      <c r="E7" s="10">
        <v>-50003.53</v>
      </c>
      <c r="F7" s="6"/>
      <c r="G7" s="6"/>
      <c r="H7" s="6"/>
      <c r="I7" s="6"/>
      <c r="J7" s="10">
        <v>3.53</v>
      </c>
      <c r="K7" s="10" t="s">
        <v>39</v>
      </c>
      <c r="L7" s="6"/>
      <c r="M7" s="6"/>
      <c r="N7" s="6"/>
      <c r="O7" s="6"/>
      <c r="V7" s="30">
        <v>100.0</v>
      </c>
      <c r="AB7" s="30" t="s">
        <v>16</v>
      </c>
    </row>
    <row r="8" ht="15.75" customHeight="1">
      <c r="A8" s="6"/>
      <c r="B8" s="10" t="s">
        <v>18</v>
      </c>
      <c r="C8" s="6"/>
      <c r="D8" s="10" t="s">
        <v>43</v>
      </c>
      <c r="E8" s="10">
        <v>-50030.0</v>
      </c>
      <c r="F8" s="6"/>
      <c r="G8" s="6"/>
      <c r="H8" s="6"/>
      <c r="I8" s="6"/>
      <c r="J8" s="31">
        <v>15.0</v>
      </c>
      <c r="K8" s="10" t="s">
        <v>39</v>
      </c>
      <c r="L8" s="6"/>
      <c r="M8" s="6"/>
      <c r="N8" s="6"/>
      <c r="O8" s="6"/>
      <c r="V8" s="30">
        <v>100.0</v>
      </c>
      <c r="AB8" s="30" t="s">
        <v>40</v>
      </c>
    </row>
    <row r="9" ht="15.75" customHeight="1">
      <c r="A9" s="6"/>
      <c r="B9" s="10" t="s">
        <v>18</v>
      </c>
      <c r="C9" s="6"/>
      <c r="D9" s="10" t="s">
        <v>41</v>
      </c>
      <c r="E9" s="10">
        <v>-50000.0</v>
      </c>
      <c r="F9" s="6"/>
      <c r="G9" s="6"/>
      <c r="H9" s="6"/>
      <c r="I9" s="6"/>
      <c r="J9" s="30">
        <v>0.0</v>
      </c>
      <c r="K9" s="10" t="s">
        <v>39</v>
      </c>
      <c r="L9" s="6"/>
      <c r="M9" s="6"/>
      <c r="N9" s="6"/>
      <c r="O9" s="6"/>
      <c r="V9" s="30">
        <v>100.0</v>
      </c>
      <c r="AB9" s="30" t="s">
        <v>19</v>
      </c>
    </row>
    <row r="10" ht="15.75" customHeight="1">
      <c r="A10" s="6"/>
      <c r="B10" s="10" t="s">
        <v>18</v>
      </c>
      <c r="C10" s="6"/>
      <c r="D10" s="10" t="s">
        <v>41</v>
      </c>
      <c r="E10" s="10">
        <v>50003.53</v>
      </c>
      <c r="F10" s="6"/>
      <c r="G10" s="6"/>
      <c r="H10" s="6"/>
      <c r="I10" s="6"/>
      <c r="J10" s="31">
        <v>0.0</v>
      </c>
      <c r="K10" s="10" t="s">
        <v>39</v>
      </c>
      <c r="L10" s="6"/>
      <c r="M10" s="6"/>
      <c r="N10" s="6"/>
      <c r="O10" s="6"/>
      <c r="V10" s="30">
        <v>100.0</v>
      </c>
      <c r="AB10" s="30" t="s">
        <v>16</v>
      </c>
    </row>
    <row r="11" ht="15.75" customHeight="1">
      <c r="A11" s="6"/>
      <c r="B11" s="10" t="s">
        <v>18</v>
      </c>
      <c r="C11" s="6"/>
      <c r="D11" s="10" t="s">
        <v>41</v>
      </c>
      <c r="E11" s="10">
        <v>50000.0</v>
      </c>
      <c r="F11" s="6"/>
      <c r="G11" s="6"/>
      <c r="H11" s="6"/>
      <c r="I11" s="6"/>
      <c r="J11" s="10">
        <v>0.0</v>
      </c>
      <c r="K11" s="10" t="s">
        <v>39</v>
      </c>
      <c r="L11" s="6"/>
      <c r="M11" s="6"/>
      <c r="N11" s="6"/>
      <c r="O11" s="6"/>
      <c r="V11" s="30">
        <v>100.0</v>
      </c>
      <c r="AB11" s="30" t="s">
        <v>19</v>
      </c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23</v>
      </c>
      <c r="D3" s="8" t="s">
        <v>6</v>
      </c>
      <c r="E3" s="21" t="s">
        <v>42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IFERROR(__xludf.DUMMYFUNCTION("""COMPUTED_VALUE"""),"checkBox")</f>
        <v>checkBox</v>
      </c>
      <c r="E5" s="26" t="str">
        <f>IFERROR(__xludf.DUMMYFUNCTION("""COMPUTED_VALUE"""),"Close Date")</f>
        <v>Close Date</v>
      </c>
      <c r="F5" s="27" t="str">
        <f>IFERROR(__xludf.DUMMYFUNCTION("""COMPUTED_VALUE"""),"ClosedAveragePrice")</f>
        <v>ClosedAveragePrice</v>
      </c>
      <c r="G5" s="26" t="str">
        <f>IFERROR(__xludf.DUMMYFUNCTION("""COMPUTED_VALUE"""),"ClosedQty")</f>
        <v>ClosedQty</v>
      </c>
      <c r="H5" s="26" t="str">
        <f>IFERROR(__xludf.DUMMYFUNCTION("""COMPUTED_VALUE"""),"Closing Method")</f>
        <v>Closing Method</v>
      </c>
      <c r="I5" s="26" t="str">
        <f>IFERROR(__xludf.DUMMYFUNCTION("""COMPUTED_VALUE"""),"ClosingID")</f>
        <v>ClosingID</v>
      </c>
      <c r="J5" s="26" t="str">
        <f>IFERROR(__xludf.DUMMYFUNCTION("""COMPUTED_VALUE"""),"ClosingMode")</f>
        <v>ClosingMode</v>
      </c>
      <c r="K5" s="26" t="str">
        <f>IFERROR(__xludf.DUMMYFUNCTION("""COMPUTED_VALUE"""),"ClosingPositionTag")</f>
        <v>ClosingPositionTag</v>
      </c>
      <c r="L5" s="26" t="str">
        <f>IFERROR(__xludf.DUMMYFUNCTION("""COMPUTED_VALUE"""),"ClosingSide")</f>
        <v>ClosingSide</v>
      </c>
      <c r="M5" s="26" t="str">
        <f>IFERROR(__xludf.DUMMYFUNCTION("""COMPUTED_VALUE"""),"ClosingTotalCommissionandFees")</f>
        <v>ClosingTotalCommissionandFees</v>
      </c>
      <c r="N5" s="26" t="str">
        <f>IFERROR(__xludf.DUMMYFUNCTION("""COMPUTED_VALUE"""),"CostBasisGrossPNL")</f>
        <v>CostBasisGrossPNL</v>
      </c>
      <c r="O5" s="26" t="str">
        <f>IFERROR(__xludf.DUMMYFUNCTION("""COMPUTED_VALUE"""),"Currency")</f>
        <v>Currency</v>
      </c>
      <c r="P5" s="26" t="str">
        <f>IFERROR(__xludf.DUMMYFUNCTION("""COMPUTED_VALUE"""),"CurrencyID")</f>
        <v>CurrencyID</v>
      </c>
      <c r="Q5" s="26" t="str">
        <f>IFERROR(__xludf.DUMMYFUNCTION("""COMPUTED_VALUE"""),"Exchange")</f>
        <v>Exchange</v>
      </c>
      <c r="R5" s="26" t="str">
        <f>IFERROR(__xludf.DUMMYFUNCTION("""COMPUTED_VALUE"""),"NotionalChange")</f>
        <v>NotionalChange</v>
      </c>
      <c r="S5" s="26" t="str">
        <f>IFERROR(__xludf.DUMMYFUNCTION("""COMPUTED_VALUE"""),"OpenAveragePrice")</f>
        <v>OpenAveragePrice</v>
      </c>
      <c r="T5" s="28" t="str">
        <f>IFERROR(__xludf.DUMMYFUNCTION("""COMPUTED_VALUE"""),"Original Purchase Date")</f>
        <v>Original Purchase Date</v>
      </c>
      <c r="U5" s="28" t="str">
        <f>IFERROR(__xludf.DUMMYFUNCTION("""COMPUTED_VALUE"""),"Position Type")</f>
        <v>Position Type</v>
      </c>
      <c r="V5" s="28" t="str">
        <f>IFERROR(__xludf.DUMMYFUNCTION("""COMPUTED_VALUE"""),"PositionSide")</f>
        <v>PositionSide</v>
      </c>
      <c r="W5" s="28" t="str">
        <f>IFERROR(__xludf.DUMMYFUNCTION("""COMPUTED_VALUE"""),"PositionTotalCommissionandFees")</f>
        <v>PositionTotalCommissionandFees</v>
      </c>
      <c r="X5" s="28" t="str">
        <f>IFERROR(__xludf.DUMMYFUNCTION("""COMPUTED_VALUE"""),"Realized PNL(C.B.)")</f>
        <v>Realized PNL(C.B.)</v>
      </c>
      <c r="Y5" s="28" t="str">
        <f>IFERROR(__xludf.DUMMYFUNCTION("""COMPUTED_VALUE"""),"Side")</f>
        <v>Side</v>
      </c>
      <c r="Z5" s="28" t="str">
        <f>IFERROR(__xludf.DUMMYFUNCTION("""COMPUTED_VALUE"""),"Strategy")</f>
        <v>Strategy</v>
      </c>
      <c r="AA5" s="28" t="str">
        <f>IFERROR(__xludf.DUMMYFUNCTION("""COMPUTED_VALUE"""),"Symbol")</f>
        <v>Symbol</v>
      </c>
      <c r="AB5" s="28" t="str">
        <f>IFERROR(__xludf.DUMMYFUNCTION("""COMPUTED_VALUE"""),"Taxlot ID")</f>
        <v>Taxlot ID</v>
      </c>
      <c r="AC5" s="28" t="str">
        <f>IFERROR(__xludf.DUMMYFUNCTION("""COMPUTED_VALUE"""),"UnderlyingName")</f>
        <v>UnderlyingName</v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18</v>
      </c>
      <c r="C6" s="6"/>
      <c r="D6" s="10"/>
      <c r="E6" s="31"/>
      <c r="F6" s="10">
        <v>0.0</v>
      </c>
      <c r="G6" s="10">
        <v>100.0</v>
      </c>
      <c r="H6" s="6"/>
      <c r="I6" s="6"/>
      <c r="J6" s="6"/>
      <c r="K6" s="6"/>
      <c r="L6" s="6"/>
      <c r="M6" s="6"/>
      <c r="N6" s="6"/>
      <c r="O6" s="6"/>
      <c r="Y6" s="30" t="s">
        <v>17</v>
      </c>
      <c r="AA6" s="30" t="s">
        <v>16</v>
      </c>
    </row>
    <row r="7" ht="15.75" customHeight="1">
      <c r="A7" s="6"/>
      <c r="B7" s="10" t="s">
        <v>18</v>
      </c>
      <c r="C7" s="6"/>
      <c r="D7" s="6"/>
      <c r="E7" s="6"/>
      <c r="F7" s="10">
        <v>0.0</v>
      </c>
      <c r="G7" s="10">
        <v>100.0</v>
      </c>
      <c r="H7" s="6"/>
      <c r="I7" s="6"/>
      <c r="J7" s="6"/>
      <c r="K7" s="6"/>
      <c r="L7" s="6"/>
      <c r="M7" s="6"/>
      <c r="N7" s="6"/>
      <c r="O7" s="6"/>
      <c r="Y7" s="30" t="s">
        <v>17</v>
      </c>
      <c r="AA7" s="30" t="s">
        <v>19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UnWindTradeSettlement!$4:$4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20</v>
      </c>
      <c r="D3" s="8" t="s">
        <v>6</v>
      </c>
      <c r="E3" s="21" t="s">
        <v>21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18</v>
      </c>
      <c r="C6" s="6"/>
      <c r="D6" s="10"/>
      <c r="E6" s="31"/>
      <c r="F6" s="6"/>
      <c r="G6" s="6"/>
      <c r="H6" s="6"/>
      <c r="I6" s="6"/>
      <c r="J6" s="6"/>
      <c r="K6" s="6"/>
      <c r="L6" s="10">
        <v>10.0</v>
      </c>
      <c r="M6" s="6"/>
      <c r="N6" s="6"/>
      <c r="O6" s="6"/>
      <c r="T6" s="30">
        <v>3.53</v>
      </c>
      <c r="AE6" s="30">
        <v>100.0</v>
      </c>
      <c r="BJ6" s="30">
        <v>100.0</v>
      </c>
      <c r="BO6" s="30" t="s">
        <v>17</v>
      </c>
      <c r="BT6" s="30" t="s">
        <v>16</v>
      </c>
    </row>
    <row r="7" ht="15.75" customHeight="1">
      <c r="A7" s="6"/>
      <c r="B7" s="10" t="s">
        <v>18</v>
      </c>
      <c r="C7" s="6"/>
      <c r="D7" s="6"/>
      <c r="E7" s="6"/>
      <c r="F7" s="6"/>
      <c r="G7" s="6"/>
      <c r="H7" s="6"/>
      <c r="I7" s="6"/>
      <c r="J7" s="6"/>
      <c r="K7" s="6"/>
      <c r="L7" s="10">
        <v>10.0</v>
      </c>
      <c r="M7" s="6"/>
      <c r="N7" s="6"/>
      <c r="O7" s="6"/>
      <c r="T7" s="30">
        <v>0.0</v>
      </c>
      <c r="AE7" s="30">
        <v>100.0</v>
      </c>
      <c r="BJ7" s="30">
        <v>100.0</v>
      </c>
      <c r="BO7" s="30" t="s">
        <v>17</v>
      </c>
      <c r="BT7" s="30" t="s">
        <v>19</v>
      </c>
    </row>
    <row r="8" ht="15.75" customHeight="1">
      <c r="A8" s="6"/>
      <c r="B8" s="10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20</v>
      </c>
      <c r="D3" s="8" t="s">
        <v>6</v>
      </c>
      <c r="E3" s="21" t="s">
        <v>21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18</v>
      </c>
      <c r="C6" s="6"/>
      <c r="D6" s="10"/>
      <c r="E6" s="10">
        <v>100.0</v>
      </c>
      <c r="F6" s="6"/>
      <c r="G6" s="6"/>
      <c r="H6" s="6"/>
      <c r="I6" s="6"/>
      <c r="J6" s="6"/>
      <c r="K6" s="10">
        <v>10.0</v>
      </c>
      <c r="L6" s="10">
        <v>10.0</v>
      </c>
      <c r="M6" s="6"/>
      <c r="N6" s="6"/>
      <c r="O6" s="6"/>
      <c r="S6" s="30" t="s">
        <v>44</v>
      </c>
      <c r="T6" s="30">
        <v>3.53</v>
      </c>
      <c r="AE6" s="30">
        <v>100.0</v>
      </c>
      <c r="AX6" s="30">
        <v>0.0</v>
      </c>
      <c r="BJ6" s="30">
        <v>100.0</v>
      </c>
      <c r="BO6" s="30" t="s">
        <v>17</v>
      </c>
      <c r="BT6" s="30" t="s">
        <v>16</v>
      </c>
      <c r="CP6" s="30" t="s">
        <v>45</v>
      </c>
    </row>
    <row r="7" ht="15.75" customHeight="1">
      <c r="A7" s="6"/>
      <c r="B7" s="10" t="s">
        <v>18</v>
      </c>
      <c r="C7" s="6"/>
      <c r="D7" s="6"/>
      <c r="E7" s="10">
        <v>100.0</v>
      </c>
      <c r="F7" s="6"/>
      <c r="G7" s="6"/>
      <c r="H7" s="6"/>
      <c r="I7" s="6"/>
      <c r="J7" s="6"/>
      <c r="K7" s="10">
        <v>0.0</v>
      </c>
      <c r="L7" s="10">
        <v>0.0</v>
      </c>
      <c r="M7" s="6"/>
      <c r="N7" s="6"/>
      <c r="O7" s="6"/>
      <c r="S7" s="30" t="s">
        <v>44</v>
      </c>
      <c r="T7" s="30">
        <v>0.0</v>
      </c>
      <c r="AE7" s="30">
        <v>100.0</v>
      </c>
      <c r="AX7" s="30">
        <v>-50003.53</v>
      </c>
      <c r="BJ7" s="30">
        <v>100.0</v>
      </c>
      <c r="BO7" s="30" t="s">
        <v>46</v>
      </c>
      <c r="BT7" s="30" t="s">
        <v>16</v>
      </c>
      <c r="CP7" s="30" t="s">
        <v>45</v>
      </c>
    </row>
    <row r="8" ht="15.75" customHeight="1">
      <c r="A8" s="6"/>
      <c r="B8" s="10" t="s">
        <v>18</v>
      </c>
      <c r="C8" s="6"/>
      <c r="D8" s="6"/>
      <c r="E8" s="10">
        <v>100.0</v>
      </c>
      <c r="F8" s="6"/>
      <c r="G8" s="6"/>
      <c r="H8" s="6"/>
      <c r="I8" s="6"/>
      <c r="J8" s="6"/>
      <c r="K8" s="10">
        <v>1800.0</v>
      </c>
      <c r="L8" s="10">
        <v>1800.0</v>
      </c>
      <c r="M8" s="6"/>
      <c r="N8" s="6"/>
      <c r="O8" s="6"/>
      <c r="S8" s="30" t="s">
        <v>47</v>
      </c>
      <c r="T8" s="30">
        <v>0.0</v>
      </c>
      <c r="AE8" s="30">
        <v>100.0</v>
      </c>
      <c r="AX8" s="30">
        <v>50003.53</v>
      </c>
      <c r="BJ8" s="30">
        <v>100.0</v>
      </c>
      <c r="BO8" s="30" t="s">
        <v>48</v>
      </c>
      <c r="BT8" s="30" t="s">
        <v>40</v>
      </c>
      <c r="CP8" s="30" t="s">
        <v>45</v>
      </c>
    </row>
    <row r="9" ht="15.75" customHeight="1">
      <c r="A9" s="6"/>
      <c r="B9" s="10" t="s">
        <v>18</v>
      </c>
      <c r="C9" s="6"/>
      <c r="D9" s="6"/>
      <c r="E9" s="10">
        <v>100.0</v>
      </c>
      <c r="F9" s="6"/>
      <c r="G9" s="6"/>
      <c r="H9" s="6"/>
      <c r="I9" s="6"/>
      <c r="J9" s="6"/>
      <c r="K9" s="10">
        <v>10.0</v>
      </c>
      <c r="L9" s="10">
        <v>10.0</v>
      </c>
      <c r="M9" s="6"/>
      <c r="N9" s="6"/>
      <c r="O9" s="6"/>
      <c r="S9" s="30" t="s">
        <v>44</v>
      </c>
      <c r="T9" s="30">
        <v>0.0</v>
      </c>
      <c r="AE9" s="30">
        <v>100.0</v>
      </c>
      <c r="AX9" s="30">
        <v>0.0</v>
      </c>
      <c r="BJ9" s="30">
        <v>100.0</v>
      </c>
      <c r="BO9" s="30" t="s">
        <v>17</v>
      </c>
      <c r="BT9" s="30" t="s">
        <v>19</v>
      </c>
      <c r="CP9" s="30" t="s">
        <v>45</v>
      </c>
    </row>
    <row r="10" ht="15.75" customHeight="1">
      <c r="A10" s="6"/>
      <c r="B10" s="10" t="s">
        <v>18</v>
      </c>
      <c r="C10" s="6"/>
      <c r="D10" s="6"/>
      <c r="E10" s="10">
        <v>100.0</v>
      </c>
      <c r="F10" s="6"/>
      <c r="G10" s="6"/>
      <c r="H10" s="6"/>
      <c r="I10" s="6"/>
      <c r="J10" s="6"/>
      <c r="K10" s="10">
        <v>0.0</v>
      </c>
      <c r="L10" s="10">
        <v>0.0</v>
      </c>
      <c r="M10" s="6"/>
      <c r="N10" s="6"/>
      <c r="O10" s="6"/>
      <c r="S10" s="30" t="s">
        <v>44</v>
      </c>
      <c r="T10" s="30">
        <v>0.0</v>
      </c>
      <c r="AE10" s="30">
        <v>100.0</v>
      </c>
      <c r="AX10" s="30">
        <v>-50000.0</v>
      </c>
      <c r="BJ10" s="30">
        <v>100.0</v>
      </c>
      <c r="BO10" s="30" t="s">
        <v>46</v>
      </c>
      <c r="BT10" s="30" t="s">
        <v>19</v>
      </c>
      <c r="CP10" s="30" t="s">
        <v>45</v>
      </c>
    </row>
    <row r="11" ht="15.75" customHeight="1">
      <c r="A11" s="6"/>
      <c r="B11" s="10" t="s">
        <v>18</v>
      </c>
      <c r="C11" s="6"/>
      <c r="D11" s="6"/>
      <c r="E11" s="10">
        <v>100.0</v>
      </c>
      <c r="F11" s="6"/>
      <c r="G11" s="6"/>
      <c r="H11" s="6"/>
      <c r="I11" s="6"/>
      <c r="J11" s="6"/>
      <c r="K11" s="10">
        <v>1800.0</v>
      </c>
      <c r="L11" s="10">
        <v>1800.0</v>
      </c>
      <c r="M11" s="6"/>
      <c r="N11" s="6"/>
      <c r="O11" s="6"/>
      <c r="S11" s="30" t="s">
        <v>47</v>
      </c>
      <c r="T11" s="30">
        <v>15.0</v>
      </c>
      <c r="AE11" s="30">
        <v>100.0</v>
      </c>
      <c r="AX11" s="30">
        <v>50000.0</v>
      </c>
      <c r="BJ11" s="30">
        <v>100.0</v>
      </c>
      <c r="BO11" s="30" t="s">
        <v>49</v>
      </c>
      <c r="BT11" s="30" t="s">
        <v>40</v>
      </c>
      <c r="CP11" s="30" t="s">
        <v>45</v>
      </c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CheckAllocatedGroups2!$4:$4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