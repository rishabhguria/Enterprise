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CustomOrderTT" sheetId="4" r:id="rId7"/>
    <sheet state="visible" name="PricingInput" sheetId="5" r:id="rId8"/>
    <sheet state="visible" name="CreateOrderPTT" sheetId="6" r:id="rId9"/>
    <sheet state="visible" name="FetchAccountPositions" sheetId="7" r:id="rId10"/>
    <sheet state="visible" name="RebalanceAcrossSecurities" sheetId="8" r:id="rId11"/>
    <sheet state="visible" name="RunRebalance" sheetId="9" r:id="rId12"/>
    <sheet state="visible" name="SendtoStaging" sheetId="10" r:id="rId13"/>
    <sheet state="visible" name="GetDailyCash" sheetId="11" r:id="rId14"/>
    <sheet state="visible" name="UpdateMultipleDailyCash" sheetId="12" r:id="rId15"/>
    <sheet state="visible" name="SelectTradeOnOrderGrid" sheetId="13" r:id="rId16"/>
    <sheet state="visible" name="TradeNewSubOrder" sheetId="14" r:id="rId17"/>
    <sheet state="visible" name="CustomOrderTT1" sheetId="15" r:id="rId18"/>
    <sheet state="visible" name="SelectTradeOnOrderGrid1" sheetId="16" r:id="rId19"/>
    <sheet state="visible" name="TradeNewSubOrder1" sheetId="17" r:id="rId20"/>
    <sheet state="visible" name="VerifyOrder" sheetId="18" r:id="rId21"/>
    <sheet state="visible" name="VerifyWorkingSubs" sheetId="19" r:id="rId22"/>
  </sheets>
  <definedNames/>
  <calcPr/>
  <extLst>
    <ext uri="GoogleSheetsCustomDataVersion2">
      <go:sheetsCustomData xmlns:go="http://customooxmlschemas.google.com/" r:id="rId23" roundtripDataChecksum="1dbdGPBwGowa9m85N1GVPknkVEUMh8vL8WwjQoDPvBM="/>
    </ext>
  </extLst>
</workbook>
</file>

<file path=xl/sharedStrings.xml><?xml version="1.0" encoding="utf-8"?>
<sst xmlns="http://schemas.openxmlformats.org/spreadsheetml/2006/main" count="281" uniqueCount="123">
  <si>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</si>
  <si>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</si>
  <si>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</si>
  <si>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</si>
  <si>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</si>
  <si>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</si>
  <si>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</si>
  <si>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</si>
  <si>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</si>
  <si>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</si>
  <si>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</si>
  <si>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</si>
  <si>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</si>
  <si>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</si>
  <si>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</si>
  <si>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</si>
  <si>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</si>
  <si>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</si>
  <si>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</si>
  <si>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PricingInput</t>
  </si>
  <si>
    <t>PTT</t>
  </si>
  <si>
    <t>CreateOrderPTT</t>
  </si>
  <si>
    <t>Increase</t>
  </si>
  <si>
    <t>Percentage</t>
  </si>
  <si>
    <t>Account</t>
  </si>
  <si>
    <t>Allocation1</t>
  </si>
  <si>
    <t>Rebalancer</t>
  </si>
  <si>
    <t>FetchAccountPositions</t>
  </si>
  <si>
    <t>RebalanceAcrossSecurities</t>
  </si>
  <si>
    <t>MSFT</t>
  </si>
  <si>
    <t>RunRebalance</t>
  </si>
  <si>
    <t>Nearest Round Off</t>
  </si>
  <si>
    <t>SendtoStaging</t>
  </si>
  <si>
    <t>Select Date</t>
  </si>
  <si>
    <t>Copy From</t>
  </si>
  <si>
    <t>Local Currency</t>
  </si>
  <si>
    <t>Cash Value Local</t>
  </si>
  <si>
    <t>USD</t>
  </si>
  <si>
    <t>Blotter</t>
  </si>
  <si>
    <t>SelectTradeOnOrderGrid</t>
  </si>
  <si>
    <t>New</t>
  </si>
  <si>
    <t>TradeNewSubOrder</t>
  </si>
  <si>
    <t>S1</t>
  </si>
  <si>
    <t>VerifyOrder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</si>
  <si>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</si>
  <si>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</si>
  <si>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</si>
  <si>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</si>
  <si>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</si>
  <si>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</si>
  <si>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</si>
  <si>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</si>
  <si>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</si>
  <si>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</si>
  <si>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</si>
  <si>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</si>
  <si>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</si>
  <si>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</si>
  <si>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</si>
  <si>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</si>
  <si>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</si>
  <si>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</si>
  <si>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</si>
  <si>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</si>
  <si>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</si>
  <si>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</si>
  <si>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</si>
  <si>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</si>
  <si>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</si>
  <si>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</si>
  <si>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</si>
  <si>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</si>
  <si>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</si>
  <si>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</si>
  <si>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</si>
  <si>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</si>
  <si>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</si>
  <si>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</si>
  <si>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</si>
  <si>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</si>
  <si>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</si>
  <si>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</si>
  <si>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</si>
  <si>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</si>
  <si>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</si>
  <si>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</si>
  <si>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</si>
  <si>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</si>
  <si>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</si>
  <si>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</si>
  <si>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</si>
  <si>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</si>
  <si>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</si>
  <si>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</si>
  <si>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</si>
  <si>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</si>
  <si>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</si>
  <si>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</si>
  <si>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</si>
  <si>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</si>
  <si>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</si>
  <si>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</si>
  <si>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</si>
  <si>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</si>
  <si>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</si>
  <si>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</si>
  <si>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</si>
  <si>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</si>
  <si>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</si>
  <si>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</si>
  <si>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Strategy</t>
  </si>
  <si>
    <t>AAPL US EQUITY</t>
  </si>
  <si>
    <t>NewMF</t>
  </si>
  <si>
    <t>Equity</t>
  </si>
  <si>
    <t>Filled</t>
  </si>
  <si>
    <t>Market</t>
  </si>
  <si>
    <t>Manual</t>
  </si>
  <si>
    <t>Day</t>
  </si>
  <si>
    <t>Strategy Unallocated</t>
  </si>
  <si>
    <t>PST</t>
  </si>
  <si>
    <t>MSFT US EQUITY</t>
  </si>
  <si>
    <t>VerifyWorkingSubs</t>
  </si>
  <si>
    <t>GCCAP1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</si>
</sst>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theme="1"/>
      <name val="Calibri"/>
    </font>
    <font>
      <color rgb="FFFFFFFF"/>
      <name val="Calibri"/>
    </font>
    <font>
      <b/>
      <color rgb="FFFFFFFF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color rgb="FFD9D9D9"/>
      <name val="Calibri"/>
    </font>
    <font>
      <color rgb="FFD9D9D9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Font="1"/>
    <xf borderId="0" fillId="0" fontId="6" numFmtId="0" xfId="0" applyFont="1"/>
    <xf borderId="1" fillId="2" fontId="7" numFmtId="0" xfId="0" applyAlignment="1" applyBorder="1" applyFont="1">
      <alignment horizontal="center" shrinkToFit="0" wrapText="0"/>
    </xf>
    <xf borderId="0" fillId="0" fontId="8" numFmtId="0" xfId="0" applyFont="1"/>
    <xf borderId="3" fillId="3" fontId="9" numFmtId="0" xfId="0" applyAlignment="1" applyBorder="1" applyFont="1">
      <alignment shrinkToFit="0" wrapText="0"/>
    </xf>
    <xf borderId="3" fillId="3" fontId="10" numFmtId="0" xfId="0" applyAlignment="1" applyBorder="1" applyFont="1">
      <alignment shrinkToFit="0" wrapText="0"/>
    </xf>
    <xf borderId="0" fillId="0" fontId="11" numFmtId="0" xfId="0" applyFont="1"/>
    <xf borderId="0" fillId="2" fontId="1" numFmtId="0" xfId="0" applyAlignment="1" applyFont="1">
      <alignment horizontal="center" shrinkToFit="0" wrapText="0"/>
    </xf>
    <xf borderId="0" fillId="2" fontId="6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2" numFmtId="0" xfId="0" applyFont="1"/>
    <xf borderId="0" fillId="4" fontId="13" numFmtId="0" xfId="0" applyAlignment="1" applyFill="1" applyFont="1">
      <alignment shrinkToFit="0" wrapText="0"/>
    </xf>
    <xf borderId="0" fillId="4" fontId="14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2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5" fontId="12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IFERROR(__xludf.DUMMYFUNCTION("""COMPUTED_VALUE"""),"1hVwFlW5MKD4NHZXvDHfS6l0ApW93ZHmg5lFN4Tn10aY")</f>
        <v>1hVwFlW5MKD4NHZXvDHfS6l0ApW93ZHmg5lFN4Tn10aY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8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 t="str">
        <f>IFERROR(__xludf.DUMMYFUNCTION("""COMPUTED_VALUE"""),"Admin")</f>
        <v>Admin</v>
      </c>
      <c r="B941" s="7" t="str">
        <f>IFERROR(__xludf.DUMMYFUNCTION("""COMPUTED_VALUE"""),"ChangeDate")</f>
        <v>ChangeDate</v>
      </c>
      <c r="C941" s="7" t="str">
        <f>IFERROR(__xludf.DUMMYFUNCTION("""COMPUTED_VALUE"""),"1P5fd0ftHTs8WR6XF70cltzN5BPur7V01OcYEMpPEMVE")</f>
        <v>1P5fd0ftHTs8WR6XF70cltzN5BPur7V01OcYEMpPEMVE</v>
      </c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 t="str">
        <f>IFERROR(__xludf.DUMMYFUNCTION("""COMPUTED_VALUE"""),"Simulator")</f>
        <v>Simulator</v>
      </c>
      <c r="B942" s="7" t="str">
        <f>IFERROR(__xludf.DUMMYFUNCTION("""COMPUTED_VALUE"""),"NewAcknowledgeTrade")</f>
        <v>NewAcknowledgeTrade</v>
      </c>
      <c r="C942" s="7" t="str">
        <f>IFERROR(__xludf.DUMMYFUNCTION("""COMPUTED_VALUE"""),"1H8R-FdslnMhiBZjAanQN5V9z26E47VjoaeJWQdGZ2pU")</f>
        <v>1H8R-FdslnMhiBZjAanQN5V9z26E47VjoaeJWQdGZ2pU</v>
      </c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 t="str">
        <f>IFERROR(__xludf.DUMMYFUNCTION("""COMPUTED_VALUE"""),"Allocation")</f>
        <v>Allocation</v>
      </c>
      <c r="B943" s="7" t="str">
        <f>IFERROR(__xludf.DUMMYFUNCTION("""COMPUTED_VALUE"""),"ActionOnToolBar")</f>
        <v>ActionOnToolBar</v>
      </c>
      <c r="C943" s="7" t="str">
        <f>IFERROR(__xludf.DUMMYFUNCTION("""COMPUTED_VALUE"""),"11EX1Ln-BQAtx9NTd9zfcaia52FGNdZENDW2kwMCJ8HQ")</f>
        <v>11EX1Ln-BQAtx9NTd9zfcaia52FGNdZENDW2kwMCJ8HQ</v>
      </c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 t="str">
        <f>IFERROR(__xludf.DUMMYFUNCTION("""COMPUTED_VALUE"""),"Allocation")</f>
        <v>Allocation</v>
      </c>
      <c r="B944" s="7" t="str">
        <f>IFERROR(__xludf.DUMMYFUNCTION("""COMPUTED_VALUE"""),"AutoGrpRules")</f>
        <v>AutoGrpRules</v>
      </c>
      <c r="C944" s="7" t="str">
        <f>IFERROR(__xludf.DUMMYFUNCTION("""COMPUTED_VALUE"""),"11EX1Ln-BQAtx9NTd9zfcaia52FGNdZENDW2kwMCJ8HQ")</f>
        <v>11EX1Ln-BQAtx9NTd9zfcaia52FGNdZENDW2kwMCJ8HQ</v>
      </c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 t="str">
        <f>IFERROR(__xludf.DUMMYFUNCTION("""COMPUTED_VALUE"""),"Allocation")</f>
        <v>Allocation</v>
      </c>
      <c r="B945" s="7" t="str">
        <f>IFERROR(__xludf.DUMMYFUNCTION("""COMPUTED_VALUE"""),"VerifyToggleStateTA")</f>
        <v>VerifyToggleStateTA</v>
      </c>
      <c r="C945" s="7" t="str">
        <f>IFERROR(__xludf.DUMMYFUNCTION("""COMPUTED_VALUE"""),"11EX1Ln-BQAtx9NTd9zfcaia52FGNdZENDW2kwMCJ8HQ")</f>
        <v>11EX1Ln-BQAtx9NTd9zfcaia52FGNdZENDW2kwMCJ8HQ</v>
      </c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 t="str">
        <f>IFERROR(__xludf.DUMMYFUNCTION("""COMPUTED_VALUE"""),"Expnl")</f>
        <v>Expnl</v>
      </c>
      <c r="B946" s="7" t="str">
        <f>IFERROR(__xludf.DUMMYFUNCTION("""COMPUTED_VALUE"""),"RefreshExpnlUi")</f>
        <v>RefreshExpnlUi</v>
      </c>
      <c r="C946" s="7" t="str">
        <f>IFERROR(__xludf.DUMMYFUNCTION("""COMPUTED_VALUE"""),"Undefined")</f>
        <v>Undefined</v>
      </c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 t="str">
        <f>IFERROR(__xludf.DUMMYFUNCTION("""COMPUTED_VALUE"""),"Allocation")</f>
        <v>Allocation</v>
      </c>
      <c r="B947" s="7" t="str">
        <f>IFERROR(__xludf.DUMMYFUNCTION("""COMPUTED_VALUE"""),"ActiononAGP")</f>
        <v>ActiononAGP</v>
      </c>
      <c r="C947" s="7" t="str">
        <f>IFERROR(__xludf.DUMMYFUNCTION("""COMPUTED_VALUE"""),"11EX1Ln-BQAtx9NTd9zfcaia52FGNdZENDW2kwMCJ8HQ")</f>
        <v>11EX1Ln-BQAtx9NTd9zfcaia52FGNdZENDW2kwMCJ8HQ</v>
      </c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 t="str">
        <f>IFERROR(__xludf.DUMMYFUNCTION("""COMPUTED_VALUE"""),"Allocation")</f>
        <v>Allocation</v>
      </c>
      <c r="B948" s="7" t="str">
        <f>IFERROR(__xludf.DUMMYFUNCTION("""COMPUTED_VALUE"""),"AttBulkChng")</f>
        <v>AttBulkChng</v>
      </c>
      <c r="C948" s="7" t="str">
        <f>IFERROR(__xludf.DUMMYFUNCTION("""COMPUTED_VALUE"""),"11EX1Ln-BQAtx9NTd9zfcaia52FGNdZENDW2kwMCJ8HQ")</f>
        <v>11EX1Ln-BQAtx9NTd9zfcaia52FGNdZENDW2kwMCJ8HQ</v>
      </c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 t="str">
        <f>IFERROR(__xludf.DUMMYFUNCTION("""COMPUTED_VALUE"""),"Allocation")</f>
        <v>Allocation</v>
      </c>
      <c r="B949" s="7" t="str">
        <f>IFERROR(__xludf.DUMMYFUNCTION("""COMPUTED_VALUE"""),"AttBulkChngTwo")</f>
        <v>AttBulkChngTwo</v>
      </c>
      <c r="C949" s="7" t="str">
        <f>IFERROR(__xludf.DUMMYFUNCTION("""COMPUTED_VALUE"""),"11EX1Ln-BQAtx9NTd9zfcaia52FGNdZENDW2kwMCJ8HQ")</f>
        <v>11EX1Ln-BQAtx9NTd9zfcaia52FGNdZENDW2kwMCJ8HQ</v>
      </c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 t="str">
        <f>IFERROR(__xludf.DUMMYFUNCTION("""COMPUTED_VALUE"""),"Login")</f>
        <v>Login</v>
      </c>
      <c r="B950" s="7" t="str">
        <f>IFERROR(__xludf.DUMMYFUNCTION("""COMPUTED_VALUE"""),"Login")</f>
        <v>Login</v>
      </c>
      <c r="C950" s="7" t="str">
        <f>IFERROR(__xludf.DUMMYFUNCTION("""COMPUTED_VALUE"""),"1uy63r2XjpUIBlAUk-lXKJTr-PpvpP6wxvLlLDzoM-Ic")</f>
        <v>1uy63r2XjpUIBlAUk-lXKJTr-PpvpP6wxvLlLDzoM-Ic</v>
      </c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 t="str">
        <f>IFERROR(__xludf.DUMMYFUNCTION("""COMPUTED_VALUE"""),"Simulator")</f>
        <v>Simulator</v>
      </c>
      <c r="B951" s="7" t="str">
        <f>IFERROR(__xludf.DUMMYFUNCTION("""COMPUTED_VALUE"""),"VerifyRowAllFixLogs")</f>
        <v>VerifyRowAllFixLogs</v>
      </c>
      <c r="C951" s="7" t="str">
        <f>IFERROR(__xludf.DUMMYFUNCTION("""COMPUTED_VALUE"""),"1_W_DB1rnbV-zXf1aqv8VkPNpTGPIckmD7s5z0ncm4ho")</f>
        <v>1_W_DB1rnbV-zXf1aqv8VkPNpTGPIckmD7s5z0ncm4ho</v>
      </c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 t="str">
        <f>IFERROR(__xludf.DUMMYFUNCTION("""COMPUTED_VALUE"""),"Blotter")</f>
        <v>Blotter</v>
      </c>
      <c r="B952" s="7" t="str">
        <f>IFERROR(__xludf.DUMMYFUNCTION("""COMPUTED_VALUE"""),"ManageHotButton")</f>
        <v>ManageHotButton</v>
      </c>
      <c r="C952" s="7" t="str">
        <f>IFERROR(__xludf.DUMMYFUNCTION("""COMPUTED_VALUE"""),"1kQpkPRi_1u4R3VazjhiilbOI8OkiiHRY2wfgByau1YY")</f>
        <v>1kQpkPRi_1u4R3VazjhiilbOI8OkiiHRY2wfgByau1YY</v>
      </c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 t="str">
        <f>IFERROR(__xludf.DUMMYFUNCTION("""COMPUTED_VALUE"""),"Simulator")</f>
        <v>Simulator</v>
      </c>
      <c r="B953" s="7" t="str">
        <f>IFERROR(__xludf.DUMMYFUNCTION("""COMPUTED_VALUE"""),"ClearAllFixLogs")</f>
        <v>ClearAllFixLogs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 t="str">
        <f>IFERROR(__xludf.DUMMYFUNCTION("""COMPUTED_VALUE"""),"PranaClient")</f>
        <v>PranaClient</v>
      </c>
      <c r="B954" s="7" t="str">
        <f>IFERROR(__xludf.DUMMYFUNCTION("""COMPUTED_VALUE"""),"UpdateLiveExcelSheetForRTPNL")</f>
        <v>UpdateLiveExcelSheetForRTPNL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 t="str">
        <f>IFERROR(__xludf.DUMMYFUNCTION("""COMPUTED_VALUE"""),"OpenFin")</f>
        <v>OpenFin</v>
      </c>
      <c r="B955" s="7" t="str">
        <f>IFERROR(__xludf.DUMMYFUNCTION("""COMPUTED_VALUE"""),"SavePageRTPNL")</f>
        <v>SavePageRTPNL</v>
      </c>
      <c r="C955" s="7" t="str">
        <f>IFERROR(__xludf.DUMMYFUNCTION("""COMPUTED_VALUE"""),"1YqhSG4yXo70SfhUq3fYD9CKf-eg44IFJ37IZh4WLI84")</f>
        <v>1YqhSG4yXo70SfhUq3fYD9CKf-eg44IFJ37IZh4WLI84</v>
      </c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 t="str">
        <f>IFERROR(__xludf.DUMMYFUNCTION("""COMPUTED_VALUE"""),"RTPNL")</f>
        <v>RTPNL</v>
      </c>
      <c r="B956" s="7" t="str">
        <f>IFERROR(__xludf.DUMMYFUNCTION("""COMPUTED_VALUE"""),"VerifyGridThroughLiveExcel")</f>
        <v>VerifyGridThroughLiveExcel</v>
      </c>
      <c r="C956" s="7" t="str">
        <f>IFERROR(__xludf.DUMMYFUNCTION("""COMPUTED_VALUE"""),"1cCUw9lchUCKgHeNcwCDXybCOZXIeN4O0zRhkTZCVDUg")</f>
        <v>1cCUw9lchUCKgHeNcwCDXybCOZXIeN4O0zRhkTZCVDUg</v>
      </c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 t="str">
        <f>IFERROR(__xludf.DUMMYFUNCTION("""COMPUTED_VALUE"""),"OpenFin")</f>
        <v>OpenFin</v>
      </c>
      <c r="B957" s="7" t="str">
        <f>IFERROR(__xludf.DUMMYFUNCTION("""COMPUTED_VALUE"""),"VerifyToastMessage")</f>
        <v>VerifyToastMessage</v>
      </c>
      <c r="C957" s="7" t="str">
        <f>IFERROR(__xludf.DUMMYFUNCTION("""COMPUTED_VALUE"""),"1DYn70fZ-UJ9bocMMWUWIW2IVfXlF5TRVuLedi7Y_LNk")</f>
        <v>1DYn70fZ-UJ9bocMMWUWIW2IVfXlF5TRVuLedi7Y_LNk</v>
      </c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 t="str">
        <f>IFERROR(__xludf.DUMMYFUNCTION("""COMPUTED_VALUE"""),"NavLock")</f>
        <v>NavLock</v>
      </c>
      <c r="B958" s="7" t="str">
        <f>IFERROR(__xludf.DUMMYFUNCTION("""COMPUTED_VALUE"""),"VerifyNavLockGrid")</f>
        <v>VerifyNavLockGrid</v>
      </c>
      <c r="C958" s="7" t="str">
        <f>IFERROR(__xludf.DUMMYFUNCTION("""COMPUTED_VALUE"""),"11EX1Ln-BQAtx9NTd9zfcaia52FGNdZENDW2kwMCJ8HQ")</f>
        <v>11EX1Ln-BQAtx9NTd9zfcaia52FGNdZENDW2kwMCJ8HQ</v>
      </c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 t="str">
        <f>IFERROR(__xludf.DUMMYFUNCTION("""COMPUTED_VALUE"""),"RTPNL")</f>
        <v>RTPNL</v>
      </c>
      <c r="B959" s="7" t="str">
        <f>IFERROR(__xludf.DUMMYFUNCTION("""COMPUTED_VALUE"""),"ApplyColumnFilter")</f>
        <v>ApplyColumnFilter</v>
      </c>
      <c r="C959" s="7" t="str">
        <f>IFERROR(__xludf.DUMMYFUNCTION("""COMPUTED_VALUE"""),"1N9Nn6t5kuoUpj5sQRZwukYuXz8skh2F7E53j1Um1W1A")</f>
        <v>1N9Nn6t5kuoUpj5sQRZwukYuXz8skh2F7E53j1Um1W1A</v>
      </c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 t="str">
        <f>IFERROR(__xludf.DUMMYFUNCTION("""COMPUTED_VALUE"""),"Closing")</f>
        <v>Closing</v>
      </c>
      <c r="B960" s="7" t="str">
        <f>IFERROR(__xludf.DUMMYFUNCTION("""COMPUTED_VALUE"""),"GetClosingData")</f>
        <v>GetClosingData</v>
      </c>
      <c r="C960" s="7" t="str">
        <f>IFERROR(__xludf.DUMMYFUNCTION("""COMPUTED_VALUE"""),"11EX1Ln-BQAtx9NTd9zfcaia52FGNdZENDW2kwMCJ9HQ")</f>
        <v>11EX1Ln-BQAtx9NTd9zfcaia52FGNdZENDW2kwMCJ9HQ</v>
      </c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 t="str">
        <f>IFERROR(__xludf.DUMMYFUNCTION("""COMPUTED_VALUE"""),"Closing")</f>
        <v>Closing</v>
      </c>
      <c r="B961" s="7" t="str">
        <f>IFERROR(__xludf.DUMMYFUNCTION("""COMPUTED_VALUE"""),"CloseAmendOprtn")</f>
        <v>CloseAmendOprtn</v>
      </c>
      <c r="C961" s="7" t="str">
        <f>IFERROR(__xludf.DUMMYFUNCTION("""COMPUTED_VALUE"""),"11EX1Ln-BQAtx9NTd9zfcaia52FGNdZENDW2kwMCJ10HQ")</f>
        <v>11EX1Ln-BQAtx9NTd9zfcaia52FGNdZENDW2kwMCJ10HQ</v>
      </c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 t="str">
        <f>IFERROR(__xludf.DUMMYFUNCTION("""COMPUTED_VALUE"""),"Closing")</f>
        <v>Closing</v>
      </c>
      <c r="B962" s="7" t="str">
        <f>IFERROR(__xludf.DUMMYFUNCTION("""COMPUTED_VALUE"""),"ExpSettlOprtn")</f>
        <v>ExpSettlOprtn</v>
      </c>
      <c r="C962" s="7" t="str">
        <f>IFERROR(__xludf.DUMMYFUNCTION("""COMPUTED_VALUE"""),"11EX1Ln-BQAtx9NTd9zfcaia52FGNdZENDW2kwMCJ11HQ")</f>
        <v>11EX1Ln-BQAtx9NTd9zfcaia52FGNdZENDW2kwMCJ11HQ</v>
      </c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 t="str">
        <f>IFERROR(__xludf.DUMMYFUNCTION("""COMPUTED_VALUE"""),"Closing")</f>
        <v>Closing</v>
      </c>
      <c r="B963" s="7" t="str">
        <f>IFERROR(__xludf.DUMMYFUNCTION("""COMPUTED_VALUE"""),"CloseOrderOprtn")</f>
        <v>CloseOrderOprtn</v>
      </c>
      <c r="C963" s="7" t="str">
        <f>IFERROR(__xludf.DUMMYFUNCTION("""COMPUTED_VALUE"""),"11EX1Ln-BQAtx9NTd9zfcaia52FGNdZENDW2kwMCJ12HQ")</f>
        <v>11EX1Ln-BQAtx9NTd9zfcaia52FGNdZENDW2kwMCJ12HQ</v>
      </c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 t="str">
        <f>IFERROR(__xludf.DUMMYFUNCTION("""COMPUTED_VALUE"""),"Closing")</f>
        <v>Closing</v>
      </c>
      <c r="B964" s="7" t="str">
        <f>IFERROR(__xludf.DUMMYFUNCTION("""COMPUTED_VALUE"""),"SelectgrdCloseTrades")</f>
        <v>SelectgrdCloseTrades</v>
      </c>
      <c r="C964" s="7" t="str">
        <f>IFERROR(__xludf.DUMMYFUNCTION("""COMPUTED_VALUE"""),"11EX1Ln-BQAtx9NTd9zfcaia52FGNdZENDW2kwMCJ13HQ")</f>
        <v>11EX1Ln-BQAtx9NTd9zfcaia52FGNdZENDW2kwMCJ13HQ</v>
      </c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 t="str">
        <f>IFERROR(__xludf.DUMMYFUNCTION("""COMPUTED_VALUE"""),"Closing")</f>
        <v>Closing</v>
      </c>
      <c r="B965" s="7" t="str">
        <f>IFERROR(__xludf.DUMMYFUNCTION("""COMPUTED_VALUE"""),"SelectgrdLongTrades")</f>
        <v>SelectgrdLongTrades</v>
      </c>
      <c r="C965" s="7" t="str">
        <f>IFERROR(__xludf.DUMMYFUNCTION("""COMPUTED_VALUE"""),"11EX1Ln-BQAtx9NTd9zfcaia52FGNdZENDW2kwMCJ14HQ")</f>
        <v>11EX1Ln-BQAtx9NTd9zfcaia52FGNdZENDW2kwMCJ14HQ</v>
      </c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 t="str">
        <f>IFERROR(__xludf.DUMMYFUNCTION("""COMPUTED_VALUE"""),"Closing")</f>
        <v>Closing</v>
      </c>
      <c r="B966" s="7" t="str">
        <f>IFERROR(__xludf.DUMMYFUNCTION("""COMPUTED_VALUE"""),"SelectgrdShortTrades")</f>
        <v>SelectgrdShortTrades</v>
      </c>
      <c r="C966" s="7" t="str">
        <f>IFERROR(__xludf.DUMMYFUNCTION("""COMPUTED_VALUE"""),"11EX1Ln-BQAtx9NTd9zfcaia52FGNdZENDW2kwMCJ15HQ")</f>
        <v>11EX1Ln-BQAtx9NTd9zfcaia52FGNdZENDW2kwMCJ15HQ</v>
      </c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 t="str">
        <f>IFERROR(__xludf.DUMMYFUNCTION("""COMPUTED_VALUE"""),"Closing")</f>
        <v>Closing</v>
      </c>
      <c r="B967" s="7" t="str">
        <f>IFERROR(__xludf.DUMMYFUNCTION("""COMPUTED_VALUE"""),"SelectgrdNetPositionTrades")</f>
        <v>SelectgrdNetPositionTrades</v>
      </c>
      <c r="C967" s="7" t="str">
        <f>IFERROR(__xludf.DUMMYFUNCTION("""COMPUTED_VALUE"""),"11EX1Ln-BQAtx9NTd9zfcaia52FGNdZENDW2kwMCJ16HQ")</f>
        <v>11EX1Ln-BQAtx9NTd9zfcaia52FGNdZENDW2kwMCJ16HQ</v>
      </c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 t="str">
        <f>IFERROR(__xludf.DUMMYFUNCTION("""COMPUTED_VALUE"""),"Closing")</f>
        <v>Closing</v>
      </c>
      <c r="B968" s="7" t="str">
        <f>IFERROR(__xludf.DUMMYFUNCTION("""COMPUTED_VALUE"""),"SelectgrdUnexpiredTrades")</f>
        <v>SelectgrdUnexpiredTrades</v>
      </c>
      <c r="C968" s="7" t="str">
        <f>IFERROR(__xludf.DUMMYFUNCTION("""COMPUTED_VALUE"""),"11EX1Ln-BQAtx9NTd9zfcaia52FGNdZENDW2kwMCJ17HQ")</f>
        <v>11EX1Ln-BQAtx9NTd9zfcaia52FGNdZENDW2kwMCJ17HQ</v>
      </c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 t="str">
        <f>IFERROR(__xludf.DUMMYFUNCTION("""COMPUTED_VALUE"""),"Closing")</f>
        <v>Closing</v>
      </c>
      <c r="B969" s="7" t="str">
        <f>IFERROR(__xludf.DUMMYFUNCTION("""COMPUTED_VALUE"""),"SelectgrdCPTrades")</f>
        <v>SelectgrdCPTrades</v>
      </c>
      <c r="C969" s="7" t="str">
        <f>IFERROR(__xludf.DUMMYFUNCTION("""COMPUTED_VALUE"""),"11EX1Ln-BQAtx9NTd9zfcaia52FGNdZENDW2kwMCJ18HQ")</f>
        <v>11EX1Ln-BQAtx9NTd9zfcaia52FGNdZENDW2kwMCJ18HQ</v>
      </c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 t="str">
        <f>IFERROR(__xludf.DUMMYFUNCTION("""COMPUTED_VALUE"""),"Closing")</f>
        <v>Closing</v>
      </c>
      <c r="B970" s="7" t="str">
        <f>IFERROR(__xludf.DUMMYFUNCTION("""COMPUTED_VALUE"""),"SelectgrdExpiredTrades")</f>
        <v>SelectgrdExpiredTrades</v>
      </c>
      <c r="C970" s="7" t="str">
        <f>IFERROR(__xludf.DUMMYFUNCTION("""COMPUTED_VALUE"""),"11EX1Ln-BQAtx9NTd9zfcaia52FGNdZENDW2kwMCJ19HQ")</f>
        <v>11EX1Ln-BQAtx9NTd9zfcaia52FGNdZENDW2kwMCJ19HQ</v>
      </c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 t="str">
        <f>IFERROR(__xludf.DUMMYFUNCTION("""COMPUTED_VALUE"""),"Closing")</f>
        <v>Closing</v>
      </c>
      <c r="B971" s="7" t="str">
        <f>IFERROR(__xludf.DUMMYFUNCTION("""COMPUTED_VALUE"""),"SelectgrdOpenTrades")</f>
        <v>SelectgrdOpenTrades</v>
      </c>
      <c r="C971" s="7" t="str">
        <f>IFERROR(__xludf.DUMMYFUNCTION("""COMPUTED_VALUE"""),"11EX1Ln-BQAtx9NTd9zfcaia52FGNdZENDW2kwMCJ20HQ")</f>
        <v>11EX1Ln-BQAtx9NTd9zfcaia52FGNdZENDW2kwMCJ20HQ</v>
      </c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 t="str">
        <f>IFERROR(__xludf.DUMMYFUNCTION("""COMPUTED_VALUE"""),"Closing")</f>
        <v>Closing</v>
      </c>
      <c r="B972" s="7" t="str">
        <f>IFERROR(__xludf.DUMMYFUNCTION("""COMPUTED_VALUE"""),"GetClosingData")</f>
        <v>GetClosingData</v>
      </c>
      <c r="C972" s="7" t="str">
        <f>IFERROR(__xludf.DUMMYFUNCTION("""COMPUTED_VALUE"""),"11EX1Ln-BQAtx9NTd9zfcaia52FGNdZENDW2kwMCJ20HQ")</f>
        <v>11EX1Ln-BQAtx9NTd9zfcaia52FGNdZENDW2kwMCJ20HQ</v>
      </c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 t="str">
        <f>IFERROR(__xludf.DUMMYFUNCTION("""COMPUTED_VALUE"""),"Closing")</f>
        <v>Closing</v>
      </c>
      <c r="B973" s="7" t="str">
        <f>IFERROR(__xludf.DUMMYFUNCTION("""COMPUTED_VALUE"""),"WizardOptions")</f>
        <v>WizardOptions</v>
      </c>
      <c r="C973" s="7" t="str">
        <f>IFERROR(__xludf.DUMMYFUNCTION("""COMPUTED_VALUE"""),"11EX1Ln-BQAtx9NTd9zfcaia52FGNdZENDW2kwMCJ21HQ")</f>
        <v>11EX1Ln-BQAtx9NTd9zfcaia52FGNdZENDW2kwMCJ21HQ</v>
      </c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 t="str">
        <f>IFERROR(__xludf.DUMMYFUNCTION("""COMPUTED_VALUE"""),"Closing")</f>
        <v>Closing</v>
      </c>
      <c r="B974" s="7" t="str">
        <f>IFERROR(__xludf.DUMMYFUNCTION("""COMPUTED_VALUE"""),"ActionOnClosingWiz")</f>
        <v>ActionOnClosingWiz</v>
      </c>
      <c r="C974" s="7" t="str">
        <f>IFERROR(__xludf.DUMMYFUNCTION("""COMPUTED_VALUE"""),"11EX1Ln-BQAtx9NTd9zfcaia52FGNdZENDW2kwMCJ21HQ")</f>
        <v>11EX1Ln-BQAtx9NTd9zfcaia52FGNdZENDW2kwMCJ21HQ</v>
      </c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 t="str">
        <f>IFERROR(__xludf.DUMMYFUNCTION("""COMPUTED_VALUE"""),"Allocation")</f>
        <v>Allocation</v>
      </c>
      <c r="B975" s="7" t="str">
        <f>IFERROR(__xludf.DUMMYFUNCTION("""COMPUTED_VALUE"""),"VerifyAttRenaming")</f>
        <v>VerifyAttRenaming</v>
      </c>
      <c r="C975" s="7" t="str">
        <f>IFERROR(__xludf.DUMMYFUNCTION("""COMPUTED_VALUE"""),"11EX1Ln-BQAtx9NTd9zfcaia52FGNdZENDW2kwMCJ21HQ")</f>
        <v>11EX1Ln-BQAtx9NTd9zfcaia52FGNdZENDW2kwMCJ21HQ</v>
      </c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 t="str">
        <f>IFERROR(__xludf.DUMMYFUNCTION("""COMPUTED_VALUE"""),"NavLock")</f>
        <v>NavLock</v>
      </c>
      <c r="B976" s="7" t="str">
        <f>IFERROR(__xludf.DUMMYFUNCTION("""COMPUTED_VALUE"""),"DeleteRowNavLock")</f>
        <v>DeleteRowNavLock</v>
      </c>
      <c r="C976" s="7" t="str">
        <f>IFERROR(__xludf.DUMMYFUNCTION("""COMPUTED_VALUE"""),"11EX1Ln-BQAtx9NTd9zfcaia52FGNdZENDW2kwMCJ21HQ")</f>
        <v>11EX1Ln-BQAtx9NTd9zfcaia52FGNdZENDW2kwMCJ21HQ</v>
      </c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>
      <c r="A977" s="7" t="str">
        <f>IFERROR(__xludf.DUMMYFUNCTION("""COMPUTED_VALUE"""),"Closing")</f>
        <v>Closing</v>
      </c>
      <c r="B977" s="7" t="str">
        <f>IFERROR(__xludf.DUMMYFUNCTION("""COMPUTED_VALUE"""),"VerifyLongPositionsGrid")</f>
        <v>VerifyLongPositionsGrid</v>
      </c>
      <c r="C977" s="7" t="str">
        <f>IFERROR(__xludf.DUMMYFUNCTION("""COMPUTED_VALUE"""),"11EX1Ln-BQAtx9NTd9zfcaia52FGNdZENDW2kwMCJ14HQ")</f>
        <v>11EX1Ln-BQAtx9NTd9zfcaia52FGNdZENDW2kwMCJ14HQ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IFERROR(__xludf.DUMMYFUNCTION("""COMPUTED_VALUE"""),"VerifyShortPositionsGrid")</f>
        <v>VerifyShortPositionsGrid</v>
      </c>
      <c r="C978" s="7" t="str">
        <f>IFERROR(__xludf.DUMMYFUNCTION("""COMPUTED_VALUE"""),"11EX1Ln-BQAtx9NTd9zfcaia52FGNdZENDW2kwMCJ15HQ")</f>
        <v>11EX1Ln-BQAtx9NTd9zfcaia52FGNdZENDW2kwMCJ15HQ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IFERROR(__xludf.DUMMYFUNCTION("""COMPUTED_VALUE"""),"VerifyClosedTrades")</f>
        <v>VerifyClosedTrades</v>
      </c>
      <c r="C979" s="7" t="str">
        <f>IFERROR(__xludf.DUMMYFUNCTION("""COMPUTED_VALUE"""),"11EX1Ln-BQAtx9NTd9zfcaia52FGNdZENDW2kwMCJ16HQ")</f>
        <v>11EX1Ln-BQAtx9NTd9zfcaia52FGNdZENDW2kwMCJ16HQ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IFERROR(__xludf.DUMMYFUNCTION("""COMPUTED_VALUE"""),"CloseAmendOprtn")</f>
        <v>CloseAmendOprtn</v>
      </c>
      <c r="C980" s="7" t="str">
        <f>IFERROR(__xludf.DUMMYFUNCTION("""COMPUTED_VALUE"""),"11EX1Ln-BQAtx9NTd9zfcaia52FGNdZENDW2kwMCJ17HQ")</f>
        <v>11EX1Ln-BQAtx9NTd9zfcaia52FGNdZENDW2kwMCJ17HQ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IFERROR(__xludf.DUMMYFUNCTION("""COMPUTED_VALUE"""),"ExpSettlOprtn")</f>
        <v>ExpSettlOprtn</v>
      </c>
      <c r="C981" s="7" t="str">
        <f>IFERROR(__xludf.DUMMYFUNCTION("""COMPUTED_VALUE"""),"11EX1Ln-BQAtx9NTd9zfcaia52FGNdZENDW2kwMCJ18HQ")</f>
        <v>11EX1Ln-BQAtx9NTd9zfcaia52FGNdZENDW2kwMCJ18HQ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IFERROR(__xludf.DUMMYFUNCTION("""COMPUTED_VALUE"""),"ActionOnExpGrid")</f>
        <v>ActionOnExpGrid</v>
      </c>
      <c r="C982" s="7" t="str">
        <f>IFERROR(__xludf.DUMMYFUNCTION("""COMPUTED_VALUE"""),"11EX1Ln-BQAtx9NTd9zfcaia52FGNdZENDW2kwMCJ19HQ")</f>
        <v>11EX1Ln-BQAtx9NTd9zfcaia52FGNdZENDW2kwMCJ19HQ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IFERROR(__xludf.DUMMYFUNCTION("""COMPUTED_VALUE"""),"ActiononIncorrectQty")</f>
        <v>ActiononIncorrectQty</v>
      </c>
      <c r="C983" s="7" t="str">
        <f>IFERROR(__xludf.DUMMYFUNCTION("""COMPUTED_VALUE"""),"11EX1Ln-BQAtx9NTd9zfcaia52FGNdZENDW2kwMCJ20HQ")</f>
        <v>11EX1Ln-BQAtx9NTd9zfcaia52FGNdZENDW2kwMCJ20HQ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IFERROR(__xludf.DUMMYFUNCTION("""COMPUTED_VALUE"""),"VerifyIncorrectQty")</f>
        <v>VerifyIncorrectQty</v>
      </c>
      <c r="C984" s="7" t="str">
        <f>IFERROR(__xludf.DUMMYFUNCTION("""COMPUTED_VALUE"""),"11EX1Ln-BQAtx9NTd9zfcaia52FGNdZENDW2kwMCJ21HQ")</f>
        <v>11EX1Ln-BQAtx9NTd9zfcaia52FGNdZENDW2kwMCJ21HQ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IFERROR(__xludf.DUMMYFUNCTION("""COMPUTED_VALUE"""),"VerifyOpenTrades")</f>
        <v>VerifyOpenTrades</v>
      </c>
      <c r="C985" s="7" t="str">
        <f>IFERROR(__xludf.DUMMYFUNCTION("""COMPUTED_VALUE"""),"11EX1Ln-BQAtx9NTd9zfcaia52FGNdZENDW2kwMCJ20HQ")</f>
        <v>11EX1Ln-BQAtx9NTd9zfcaia52FGNdZENDW2kwMCJ20HQ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IFERROR(__xludf.DUMMYFUNCTION("""COMPUTED_VALUE"""),"CreateTransaction")</f>
        <v>CreateTransaction</v>
      </c>
      <c r="B986" s="7" t="str">
        <f>IFERROR(__xludf.DUMMYFUNCTION("""COMPUTED_VALUE"""),"EditCTGrid")</f>
        <v>EditCTGrid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IFERROR(__xludf.DUMMYFUNCTION("""COMPUTED_VALUE"""),"ActionOnCT")</f>
        <v>ActionOnCT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IFERROR(__xludf.DUMMYFUNCTION("""COMPUTED_VALUE"""),"Unknown")</f>
        <v>Unknown</v>
      </c>
      <c r="B988" s="7" t="str">
        <f>IFERROR(__xludf.DUMMYFUNCTION("""COMPUTED_VALUE"""),"OpenColumnChooser")</f>
        <v>OpenColumnChooser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IFERROR(__xludf.DUMMYFUNCTION("""COMPUTED_VALUE"""),"Closing")</f>
        <v>Closing</v>
      </c>
      <c r="B989" s="7" t="str">
        <f>IFERROR(__xludf.DUMMYFUNCTION("""COMPUTED_VALUE"""),"UnExpUnsettOperation")</f>
        <v>UnExpUnsettOperation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IFERROR(__xludf.DUMMYFUNCTION("""COMPUTED_VALUE"""),"NavLock")</f>
        <v>NavLock</v>
      </c>
      <c r="B990" s="7" t="str">
        <f>IFERROR(__xludf.DUMMYFUNCTION("""COMPUTED_VALUE"""),"ActiononNavLock")</f>
        <v>ActiononNavLock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IFERROR(__xludf.DUMMYFUNCTION("""COMPUTED_VALUE"""),"Allocation")</f>
        <v>Allocation</v>
      </c>
      <c r="B991" s="7" t="str">
        <f>IFERROR(__xludf.DUMMYFUNCTION("""COMPUTED_VALUE"""),"ActiononFixPref")</f>
        <v>ActiononFixPref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IFERROR(__xludf.DUMMYFUNCTION("""COMPUTED_VALUE"""),"Blotter")</f>
        <v>Blotter</v>
      </c>
      <c r="B992" s="7" t="str">
        <f>IFERROR(__xludf.DUMMYFUNCTION("""COMPUTED_VALUE"""),"SelectWorkSubsOnBlotter")</f>
        <v>SelectWorkSubsOnBlotter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IFERROR(__xludf.DUMMYFUNCTION("""COMPUTED_VALUE"""),"Closing")</f>
        <v>Closing</v>
      </c>
      <c r="B993" s="7" t="str">
        <f>IFERROR(__xludf.DUMMYFUNCTION("""COMPUTED_VALUE"""),"VerifyAccountUnexpired")</f>
        <v>VerifyAccountUnexpired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IFERROR(__xludf.DUMMYFUNCTION("""COMPUTED_VALUE"""),"PortfolioManagement")</f>
        <v>PortfolioManagement</v>
      </c>
      <c r="B994" s="7" t="str">
        <f>IFERROR(__xludf.DUMMYFUNCTION("""COMPUTED_VALUE"""),"ToolBarActiononPM")</f>
        <v>ToolBarActiononPM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IFERROR(__xludf.DUMMYFUNCTION("""COMPUTED_VALUE"""),"Allocation")</f>
        <v>Allocation</v>
      </c>
      <c r="B995" s="7" t="str">
        <f>IFERROR(__xludf.DUMMYFUNCTION("""COMPUTED_VALUE"""),"EditAttRenaming")</f>
        <v>EditAttRenaming</v>
      </c>
      <c r="C995" s="7" t="str">
        <f>IFERROR(__xludf.DUMMYFUNCTION("""COMPUTED_VALUE"""),"14aTeLjmUbS-nhaQwjtZAMGxdQ5DS6UsBjE5OTWN-LQU")</f>
        <v>14aTeLjmUbS-nhaQwjtZAMGxdQ5DS6UsBjE5OTWN-LQU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IFERROR(__xludf.DUMMYFUNCTION("""COMPUTED_VALUE"""),"Unknown")</f>
        <v>Unknown</v>
      </c>
      <c r="B996" s="7" t="str">
        <f>IFERROR(__xludf.DUMMYFUNCTION("""COMPUTED_VALUE"""),"ActiononColumnChooser")</f>
        <v>ActiononColumnChooser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IFERROR(__xludf.DUMMYFUNCTION("""COMPUTED_VALUE"""),"VerifyColumnChooser")</f>
        <v>VerifyColumnChooser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IFERROR(__xludf.DUMMYFUNCTION("""COMPUTED_VALUE"""),"EditColumnChooser")</f>
        <v>EditColumnChooser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IFERROR(__xludf.DUMMYFUNCTION("""COMPUTED_VALUE"""),"OpenColumnChooser")</f>
        <v>OpenColumnChooser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IFERROR(__xludf.DUMMYFUNCTION("""COMPUTED_VALUE"""),"TradingTicket")</f>
        <v>TradingTicket</v>
      </c>
      <c r="B1000" s="7" t="str">
        <f>IFERROR(__xludf.DUMMYFUNCTION("""COMPUTED_VALUE"""),"UpdateTTCA")</f>
        <v>UpdateTTCA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10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2" t="s">
        <v>9</v>
      </c>
      <c r="C3" s="12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IFERROR(__xludf.DUMMYFUNCTION("""COMPUTED_VALUE"""),"Quantity")</f>
        <v>Quantity</v>
      </c>
      <c r="D5" s="22" t="str">
        <f>IFERROR(__xludf.DUMMYFUNCTION("""COMPUTED_VALUE"""),"Price")</f>
        <v>Price</v>
      </c>
      <c r="E5" s="22" t="str">
        <f>IFERROR(__xludf.DUMMYFUNCTION("""COMPUTED_VALUE"""),"Order type button")</f>
        <v>Order type button</v>
      </c>
      <c r="F5" s="22" t="str">
        <f>IFERROR(__xludf.DUMMYFUNCTION("""COMPUTED_VALUE"""),"SharesOutstandingPopUp")</f>
        <v>SharesOutstandingPopUp</v>
      </c>
      <c r="G5" s="22" t="str">
        <f>IFERROR(__xludf.DUMMYFUNCTION("""COMPUTED_VALUE"""),"TT_Open")</f>
        <v>TT_Open</v>
      </c>
      <c r="H5" s="22" t="str">
        <f>IFERROR(__xludf.DUMMYFUNCTION("""COMPUTED_VALUE"""),"SharesOutstandingPopUpQty")</f>
        <v>SharesOutstandingPopUpQty</v>
      </c>
      <c r="I5" s="22" t="str">
        <f>IFERROR(__xludf.DUMMYFUNCTION("""COMPUTED_VALUE"""),"AllocationMethod")</f>
        <v>AllocationMethod</v>
      </c>
      <c r="J5" s="22" t="str">
        <f>IFERROR(__xludf.DUMMYFUNCTION("""COMPUTED_VALUE"""),"Order Side")</f>
        <v>Order Side</v>
      </c>
      <c r="K5" s="22" t="str">
        <f>IFERROR(__xludf.DUMMYFUNCTION("""COMPUTED_VALUE"""),"DB_Check")</f>
        <v>DB_Check</v>
      </c>
      <c r="L5" s="22" t="str">
        <f>IFERROR(__xludf.DUMMYFUNCTION("""COMPUTED_VALUE"""),"CommissionBasis")</f>
        <v>CommissionBasis</v>
      </c>
      <c r="M5" s="22" t="str">
        <f>IFERROR(__xludf.DUMMYFUNCTION("""COMPUTED_VALUE"""),"CommissionRate")</f>
        <v>CommissionRate</v>
      </c>
      <c r="N5" s="22" t="str">
        <f>IFERROR(__xludf.DUMMYFUNCTION("""COMPUTED_VALUE"""),"SoftBasis")</f>
        <v>SoftBasis</v>
      </c>
      <c r="O5" s="22" t="str">
        <f>IFERROR(__xludf.DUMMYFUNCTION("""COMPUTED_VALUE"""),"SoftRate")</f>
        <v>SoftRate</v>
      </c>
      <c r="P5" s="22" t="str">
        <f>IFERROR(__xludf.DUMMYFUNCTION("""COMPUTED_VALUE"""),"Account")</f>
        <v>Account</v>
      </c>
      <c r="Q5" s="22" t="str">
        <f>IFERROR(__xludf.DUMMYFUNCTION("""COMPUTED_VALUE"""),"Account %")</f>
        <v>Account %</v>
      </c>
      <c r="R5" s="22" t="str">
        <f>IFERROR(__xludf.DUMMYFUNCTION("""COMPUTED_VALUE"""),"VerifySuggestions")</f>
        <v>VerifySuggestions</v>
      </c>
      <c r="S5" s="22" t="str">
        <f>IFERROR(__xludf.DUMMYFUNCTION("""COMPUTED_VALUE"""),"SymbolToPickFromSuggesstions")</f>
        <v>SymbolToPickFromSuggesstions</v>
      </c>
      <c r="T5" s="23" t="str">
        <f>IFERROR(__xludf.DUMMYFUNCTION("""COMPUTED_VALUE"""),"TypedSymbolAvailableOnSuggestion")</f>
        <v>TypedSymbolAvailableOnSuggestion</v>
      </c>
      <c r="U5" s="23" t="str">
        <f>IFERROR(__xludf.DUMMYFUNCTION("""COMPUTED_VALUE"""),"TIF")</f>
        <v>TIF</v>
      </c>
      <c r="V5" s="23" t="str">
        <f>IFERROR(__xludf.DUMMYFUNCTION("""COMPUTED_VALUE"""),"Order Type")</f>
        <v>Order Type</v>
      </c>
      <c r="W5" s="23" t="str">
        <f>IFERROR(__xludf.DUMMYFUNCTION("""COMPUTED_VALUE"""),"Stop")</f>
        <v>Stop</v>
      </c>
      <c r="X5" s="23" t="str">
        <f>IFERROR(__xludf.DUMMYFUNCTION("""COMPUTED_VALUE"""),"Limit")</f>
        <v>Limit</v>
      </c>
      <c r="Y5" s="23" t="str">
        <f>IFERROR(__xludf.DUMMYFUNCTION("""COMPUTED_VALUE"""),"Expiration Date")</f>
        <v>Expiration Date</v>
      </c>
      <c r="Z5" s="23" t="str">
        <f>IFERROR(__xludf.DUMMYFUNCTION("""COMPUTED_VALUE"""),"Trade Date")</f>
        <v>Trade Date</v>
      </c>
      <c r="AA5" s="23" t="str">
        <f>IFERROR(__xludf.DUMMYFUNCTION("""COMPUTED_VALUE"""),"Broker")</f>
        <v>Broker</v>
      </c>
      <c r="AB5" s="23" t="str">
        <f>IFERROR(__xludf.DUMMYFUNCTION("""COMPUTED_VALUE"""),"Padlock Visiblity")</f>
        <v>Padlock Visiblity</v>
      </c>
      <c r="AC5" s="23" t="str">
        <f>IFERROR(__xludf.DUMMYFUNCTION("""COMPUTED_VALUE"""),"Padlock Unlock")</f>
        <v>Padlock Unlock</v>
      </c>
      <c r="AD5" s="23" t="str">
        <f>IFERROR(__xludf.DUMMYFUNCTION("""COMPUTED_VALUE"""),"Venue")</f>
        <v>Venue</v>
      </c>
      <c r="AE5" s="23" t="str">
        <f>IFERROR(__xludf.DUMMYFUNCTION("""COMPUTED_VALUE"""),"Fx Rate")</f>
        <v>Fx Rate</v>
      </c>
      <c r="AF5" s="23" t="str">
        <f>IFERROR(__xludf.DUMMYFUNCTION("""COMPUTED_VALUE"""),"Fx Operator")</f>
        <v>Fx Operator</v>
      </c>
      <c r="AG5" s="23" t="str">
        <f>IFERROR(__xludf.DUMMYFUNCTION("""COMPUTED_VALUE"""),"PendingApprovalPopUp")</f>
        <v>PendingApprovalPopUp</v>
      </c>
      <c r="AH5" s="23" t="str">
        <f>IFERROR(__xludf.DUMMYFUNCTION("""COMPUTED_VALUE"""),"TradeBy")</f>
        <v>TradeBy</v>
      </c>
      <c r="AI5" s="23" t="str">
        <f>IFERROR(__xludf.DUMMYFUNCTION("""COMPUTED_VALUE"""),"BookAsSwap")</f>
        <v>BookAsSwap</v>
      </c>
      <c r="AJ5" s="23" t="str">
        <f>IFERROR(__xludf.DUMMYFUNCTION("""COMPUTED_VALUE"""),"RoundLot")</f>
        <v>RoundLot</v>
      </c>
      <c r="AK5" s="23" t="str">
        <f>IFERROR(__xludf.DUMMYFUNCTION("""COMPUTED_VALUE"""),"Increment")</f>
        <v>Increment</v>
      </c>
      <c r="AL5" s="23" t="str">
        <f>IFERROR(__xludf.DUMMYFUNCTION("""COMPUTED_VALUE"""),"Decrement")</f>
        <v>Decrement</v>
      </c>
      <c r="AM5" s="23" t="str">
        <f>IFERROR(__xludf.DUMMYFUNCTION("""COMPUTED_VALUE"""),"Trade Attribute 01")</f>
        <v>Trade Attribute 01</v>
      </c>
      <c r="AN5" s="23" t="str">
        <f>IFERROR(__xludf.DUMMYFUNCTION("""COMPUTED_VALUE"""),"Trade Attribute 02")</f>
        <v>Trade Attribute 02</v>
      </c>
      <c r="AO5" s="23" t="str">
        <f>IFERROR(__xludf.DUMMYFUNCTION("""COMPUTED_VALUE"""),"Trade Attribute 03")</f>
        <v>Trade Attribute 03</v>
      </c>
      <c r="AP5" s="23" t="str">
        <f>IFERROR(__xludf.DUMMYFUNCTION("""COMPUTED_VALUE"""),"Trade Attribute 04")</f>
        <v>Trade Attribute 04</v>
      </c>
      <c r="AQ5" s="23" t="str">
        <f>IFERROR(__xludf.DUMMYFUNCTION("""COMPUTED_VALUE"""),"Trade Attribute 05")</f>
        <v>Trade Attribute 05</v>
      </c>
      <c r="AR5" s="23" t="str">
        <f>IFERROR(__xludf.DUMMYFUNCTION("""COMPUTED_VALUE"""),"Trade Attribute 06")</f>
        <v>Trade Attribute 06</v>
      </c>
      <c r="AS5" s="23" t="str">
        <f>IFERROR(__xludf.DUMMYFUNCTION("""COMPUTED_VALUE"""),"Trade Attribute 01 suggestion")</f>
        <v>Trade Attribute 01 suggestion</v>
      </c>
      <c r="AT5" s="23" t="str">
        <f>IFERROR(__xludf.DUMMYFUNCTION("""COMPUTED_VALUE"""),"Trade Attribute 02 suggestion")</f>
        <v>Trade Attribute 02 suggestion</v>
      </c>
      <c r="AU5" s="23" t="str">
        <f>IFERROR(__xludf.DUMMYFUNCTION("""COMPUTED_VALUE"""),"Trade Attribute 03 suggestion")</f>
        <v>Trade Attribute 03 suggestion</v>
      </c>
      <c r="AV5" s="23" t="str">
        <f>IFERROR(__xludf.DUMMYFUNCTION("""COMPUTED_VALUE"""),"Trade Attribute 04 suggestion")</f>
        <v>Trade Attribute 04 suggestion</v>
      </c>
      <c r="AW5" s="23" t="str">
        <f>IFERROR(__xludf.DUMMYFUNCTION("""COMPUTED_VALUE"""),"Trade Attribute 05 suggestion")</f>
        <v>Trade Attribute 05 suggestion</v>
      </c>
      <c r="AX5" s="23" t="str">
        <f>IFERROR(__xludf.DUMMYFUNCTION("""COMPUTED_VALUE"""),"Trade Attribute 06 suggestion")</f>
        <v>Trade Attribute 06 suggestion</v>
      </c>
      <c r="AY5" s="23" t="str">
        <f>IFERROR(__xludf.DUMMYFUNCTION("""COMPUTED_VALUE"""),"Strategy")</f>
        <v>Strategy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6"/>
      <c r="B6" s="6" t="s">
        <v>16</v>
      </c>
      <c r="C6" s="6">
        <v>100.0</v>
      </c>
      <c r="D6" s="6">
        <v>10.0</v>
      </c>
      <c r="E6" s="6" t="s">
        <v>17</v>
      </c>
      <c r="F6" s="6"/>
      <c r="G6" s="6"/>
      <c r="H6" s="6"/>
      <c r="I6" s="6"/>
      <c r="J6" s="6" t="s">
        <v>18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19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</row>
    <row r="4" ht="15.75" customHeight="1">
      <c r="A4" s="19"/>
      <c r="B4" s="19" t="str">
        <f>IFERROR(__xludf.DUMMYFUNCTION("IF(C3="""","""",Transpose(IMPORTRANGE('_Settings'!$B$3,C3&amp;""!A4:A1000"")))"),"PricingInput")</f>
        <v>PricingInput</v>
      </c>
      <c r="C4" s="19" t="str">
        <f>IFERROR(__xludf.DUMMYFUNCTION("""COMPUTED_VALUE"""),"UpdateSharesOutstanding")</f>
        <v>UpdateSharesOutstanding</v>
      </c>
      <c r="D4" s="19" t="str">
        <f>IFERROR(__xludf.DUMMYFUNCTION("""COMPUTED_VALUE"""),"EODTPreferences")</f>
        <v>EODTPreferences</v>
      </c>
      <c r="E4" s="19" t="str">
        <f>IFERROR(__xludf.DUMMYFUNCTION("""COMPUTED_VALUE"""),"LiveData")</f>
        <v>LiveData</v>
      </c>
      <c r="F4" s="19" t="str">
        <f>IFERROR(__xludf.DUMMYFUNCTION("""COMPUTED_VALUE"""),"UncheckDividendYield")</f>
        <v>UncheckDividendYield</v>
      </c>
      <c r="G4" s="19" t="str">
        <f>IFERROR(__xludf.DUMMYFUNCTION("""COMPUTED_VALUE"""),"VerifyPINavLockPopup")</f>
        <v>VerifyPINavLockPopup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IFERROR(__xludf.DUMMYFUNCTION("""COMPUTED_VALUE"""),"User Px")</f>
        <v>User Px</v>
      </c>
      <c r="D5" s="22" t="str">
        <f>IFERROR(__xludf.DUMMYFUNCTION("""COMPUTED_VALUE"""),"Asset Class")</f>
        <v>Asset Class</v>
      </c>
      <c r="E5" s="22" t="str">
        <f>IFERROR(__xludf.DUMMYFUNCTION("""COMPUTED_VALUE"""),"Volatility(%)")</f>
        <v>Volatility(%)</v>
      </c>
      <c r="F5" s="22" t="str">
        <f>IFERROR(__xludf.DUMMYFUNCTION("""COMPUTED_VALUE"""),"Historical Volatility")</f>
        <v>Historical Volatility</v>
      </c>
      <c r="G5" s="22" t="str">
        <f>IFERROR(__xludf.DUMMYFUNCTION("""COMPUTED_VALUE"""),"User Volatility")</f>
        <v>User Volatility</v>
      </c>
      <c r="H5" s="22" t="str">
        <f>IFERROR(__xludf.DUMMYFUNCTION("""COMPUTED_VALUE"""),"Interest Rate")</f>
        <v>Interest Rate</v>
      </c>
      <c r="I5" s="22" t="str">
        <f>IFERROR(__xludf.DUMMYFUNCTION("""COMPUTED_VALUE"""),"User Interest Rate")</f>
        <v>User Interest Rate</v>
      </c>
      <c r="J5" s="22" t="str">
        <f>IFERROR(__xludf.DUMMYFUNCTION("""COMPUTED_VALUE"""),"Dividend Yield")</f>
        <v>Dividend Yield</v>
      </c>
      <c r="K5" s="22" t="str">
        <f>IFERROR(__xludf.DUMMYFUNCTION("""COMPUTED_VALUE"""),"User Dividend Yield")</f>
        <v>User Dividend Yield</v>
      </c>
      <c r="L5" s="22" t="str">
        <f>IFERROR(__xludf.DUMMYFUNCTION("""COMPUTED_VALUE"""),"Actual Delta")</f>
        <v>Actual Delta</v>
      </c>
      <c r="M5" s="22" t="str">
        <f>IFERROR(__xludf.DUMMYFUNCTION("""COMPUTED_VALUE"""),"User Delta")</f>
        <v>User Delta</v>
      </c>
      <c r="N5" s="22" t="str">
        <f>IFERROR(__xludf.DUMMYFUNCTION("""COMPUTED_VALUE"""),"Selected Px")</f>
        <v>Selected Px</v>
      </c>
      <c r="O5" s="22" t="str">
        <f>IFERROR(__xludf.DUMMYFUNCTION("""COMPUTED_VALUE"""),"Forward Points")</f>
        <v>Forward Points</v>
      </c>
      <c r="P5" s="22" t="str">
        <f>IFERROR(__xludf.DUMMYFUNCTION("""COMPUTED_VALUE"""),"Shares Outstanding")</f>
        <v>Shares Outstanding</v>
      </c>
      <c r="Q5" s="22" t="str">
        <f>IFERROR(__xludf.DUMMYFUNCTION("""COMPUTED_VALUE"""),"User Shares Outstanding")</f>
        <v>User Shares Outstanding</v>
      </c>
      <c r="R5" s="22" t="str">
        <f>IFERROR(__xludf.DUMMYFUNCTION("""COMPUTED_VALUE"""),"LastPriceUsed")</f>
        <v>LastPriceUsed</v>
      </c>
      <c r="S5" s="22" t="str">
        <f>IFERROR(__xludf.DUMMYFUNCTION("""COMPUTED_VALUE"""),"VolatilityUsed")</f>
        <v>VolatilityUsed</v>
      </c>
      <c r="T5" s="23" t="str">
        <f>IFERROR(__xludf.DUMMYFUNCTION("""COMPUTED_VALUE"""),"IntRateUsed")</f>
        <v>IntRateUsed</v>
      </c>
      <c r="U5" s="23" t="str">
        <f>IFERROR(__xludf.DUMMYFUNCTION("""COMPUTED_VALUE"""),"SM Shares Outstanding")</f>
        <v>SM Shares Outstanding</v>
      </c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ht="15.75" customHeight="1">
      <c r="A6" s="6"/>
      <c r="B6" s="6" t="s">
        <v>16</v>
      </c>
      <c r="C6" s="6">
        <v>10.0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20</v>
      </c>
      <c r="D3" s="4" t="s">
        <v>9</v>
      </c>
      <c r="E3" s="11" t="s">
        <v>21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</row>
    <row r="4" ht="15.75" customHeight="1">
      <c r="A4" s="19"/>
      <c r="B4" s="19" t="str">
        <f>IFERROR(__xludf.DUMMYFUNCTION("IF(C3="""","""",Transpose(IMPORTRANGE('_Settings'!$B$3,C3&amp;""!A4:A1000"")))"),"CalculatePTT")</f>
        <v>CalculatePTT</v>
      </c>
      <c r="C4" s="19" t="str">
        <f>IFERROR(__xludf.DUMMYFUNCTION("""COMPUTED_VALUE"""),"TradeUsingPTT")</f>
        <v>TradeUsingPTT</v>
      </c>
      <c r="D4" s="19" t="str">
        <f>IFERROR(__xludf.DUMMYFUNCTION("""COMPUTED_VALUE"""),"VerifyPTTCompliance")</f>
        <v>VerifyPTTCompliance</v>
      </c>
      <c r="E4" s="19" t="str">
        <f>IFERROR(__xludf.DUMMYFUNCTION("""COMPUTED_VALUE"""),"StageOrderUsingPTT")</f>
        <v>StageOrderUsingPTT</v>
      </c>
      <c r="F4" s="19" t="str">
        <f>IFERROR(__xludf.DUMMYFUNCTION("""COMPUTED_VALUE"""),"CreateOrderPTT")</f>
        <v>CreateOrderPTT</v>
      </c>
      <c r="G4" s="19" t="str">
        <f>IFERROR(__xludf.DUMMYFUNCTION("""COMPUTED_VALUE"""),"TradePTT")</f>
        <v>TradePTT</v>
      </c>
      <c r="H4" s="19" t="str">
        <f>IFERROR(__xludf.DUMMYFUNCTION("""COMPUTED_VALUE"""),"VerifyPTT")</f>
        <v>VerifyPTT</v>
      </c>
      <c r="I4" s="19" t="str">
        <f>IFERROR(__xludf.DUMMYFUNCTION("""COMPUTED_VALUE"""),"OpenMultiTTFromPTT")</f>
        <v>OpenMultiTTFromPTT</v>
      </c>
      <c r="J4" s="19" t="str">
        <f>IFERROR(__xludf.DUMMYFUNCTION("""COMPUTED_VALUE"""),"SelectMultiTT")</f>
        <v>SelectMultiTT</v>
      </c>
      <c r="K4" s="19" t="str">
        <f>IFERROR(__xludf.DUMMYFUNCTION("""COMPUTED_VALUE"""),"EditMultiTT")</f>
        <v>EditMultiTT</v>
      </c>
      <c r="L4" s="19" t="str">
        <f>IFERROR(__xludf.DUMMYFUNCTION("""COMPUTED_VALUE"""),"SetAccountFactor")</f>
        <v>SetAccountFactor</v>
      </c>
      <c r="M4" s="19" t="str">
        <f>IFERROR(__xludf.DUMMYFUNCTION("""COMPUTED_VALUE"""),"SetPTTPreference")</f>
        <v>SetPTTPreference</v>
      </c>
      <c r="N4" s="19" t="str">
        <f>IFERROR(__xludf.DUMMYFUNCTION("""COMPUTED_VALUE"""),"SetLongShortPTTPreference")</f>
        <v>SetLongShortPTTPreference</v>
      </c>
      <c r="O4" s="19" t="str">
        <f>IFERROR(__xludf.DUMMYFUNCTION("""COMPUTED_VALUE"""),"SelectPTTRecord")</f>
        <v>SelectPTTRecord</v>
      </c>
      <c r="P4" s="20" t="str">
        <f>IFERROR(__xludf.DUMMYFUNCTION("""COMPUTED_VALUE"""),"EditPTTRecordAndExecuteOrder")</f>
        <v>EditPTTRecordAndExecuteOrder</v>
      </c>
      <c r="Q4" s="20" t="str">
        <f>IFERROR(__xludf.DUMMYFUNCTION("""COMPUTED_VALUE"""),"CreateOrderAfterEditPTT")</f>
        <v>CreateOrderAfterEditPTT</v>
      </c>
      <c r="R4" s="20" t="str">
        <f>IFERROR(__xludf.DUMMYFUNCTION("""COMPUTED_VALUE"""),"EditPTTWPFGrid")</f>
        <v>EditPTTWPFGrid</v>
      </c>
      <c r="S4" s="20" t="str">
        <f>IFERROR(__xludf.DUMMYFUNCTION("""COMPUTED_VALUE"""),"SetDefaultSymbology")</f>
        <v>SetDefaultSymbology</v>
      </c>
      <c r="T4" s="20" t="str">
        <f>IFERROR(__xludf.DUMMYFUNCTION("""COMPUTED_VALUE"""),"EditPTTAccountLevelWPF")</f>
        <v>EditPTTAccountLevelWPF</v>
      </c>
      <c r="U4" s="20" t="str">
        <f>IFERROR(__xludf.DUMMYFUNCTION("""COMPUTED_VALUE"""),"AutoStageImportFromPTTExport")</f>
        <v>AutoStageImportFromPTTExport</v>
      </c>
      <c r="V4" s="20" t="str">
        <f>IFERROR(__xludf.DUMMYFUNCTION("""COMPUTED_VALUE"""),"OpenPreferencesFromPTT")</f>
        <v>OpenPreferencesFromPTT</v>
      </c>
      <c r="W4" s="20" t="str">
        <f>IFERROR(__xludf.DUMMYFUNCTION("""COMPUTED_VALUE"""),"VerifyTradeSummary")</f>
        <v>VerifyTradeSummary</v>
      </c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IFERROR(__xludf.DUMMYFUNCTION("""COMPUTED_VALUE"""),"Ticker")</f>
        <v>Ticker</v>
      </c>
      <c r="C5" s="22" t="str">
        <f>IFERROR(__xludf.DUMMYFUNCTION("""COMPUTED_VALUE"""),"Add/Set")</f>
        <v>Add/Set</v>
      </c>
      <c r="D5" s="22" t="str">
        <f>IFERROR(__xludf.DUMMYFUNCTION("""COMPUTED_VALUE"""),"Type")</f>
        <v>Type</v>
      </c>
      <c r="E5" s="22" t="str">
        <f>IFERROR(__xludf.DUMMYFUNCTION("""COMPUTED_VALUE"""),"Target")</f>
        <v>Target</v>
      </c>
      <c r="F5" s="22" t="str">
        <f>IFERROR(__xludf.DUMMYFUNCTION("""COMPUTED_VALUE"""),"Price")</f>
        <v>Price</v>
      </c>
      <c r="G5" s="22" t="str">
        <f>IFERROR(__xludf.DUMMYFUNCTION("""COMPUTED_VALUE"""),"Combined Account Total")</f>
        <v>Combined Account Total</v>
      </c>
      <c r="H5" s="22" t="str">
        <f>IFERROR(__xludf.DUMMYFUNCTION("""COMPUTED_VALUE"""),"MasterFund/Account")</f>
        <v>MasterFund/Account</v>
      </c>
      <c r="I5" s="22" t="str">
        <f>IFERROR(__xludf.DUMMYFUNCTION("""COMPUTED_VALUE"""),"Accounts")</f>
        <v>Accounts</v>
      </c>
      <c r="J5" s="22" t="str">
        <f>IFERROR(__xludf.DUMMYFUNCTION("""COMPUTED_VALUE"""),"SoftNotesCount")</f>
        <v>SoftNotesCount</v>
      </c>
      <c r="K5" s="22" t="str">
        <f>IFERROR(__xludf.DUMMYFUNCTION("""COMPUTED_VALUE"""),"SoftNotesComment")</f>
        <v>SoftNotesComment</v>
      </c>
      <c r="L5" s="22" t="str">
        <f>IFERROR(__xludf.DUMMYFUNCTION("""COMPUTED_VALUE"""),"DoNotAllowTrade")</f>
        <v>DoNotAllowTrade</v>
      </c>
      <c r="M5" s="22" t="str">
        <f>IFERROR(__xludf.DUMMYFUNCTION("""COMPUTED_VALUE"""),"Round Lots")</f>
        <v>Round Lots</v>
      </c>
      <c r="N5" s="22" t="str">
        <f>IFERROR(__xludf.DUMMYFUNCTION("""COMPUTED_VALUE"""),"Alert Type")</f>
        <v>Alert Type</v>
      </c>
      <c r="O5" s="22" t="str">
        <f>IFERROR(__xludf.DUMMYFUNCTION("""COMPUTED_VALUE"""),"Use Custodian Broker")</f>
        <v>Use Custodian Broker</v>
      </c>
      <c r="P5" s="22" t="str">
        <f>IFERROR(__xludf.DUMMYFUNCTION("""COMPUTED_VALUE"""),"Broker")</f>
        <v>Broker</v>
      </c>
      <c r="Q5" s="22" t="str">
        <f>IFERROR(__xludf.DUMMYFUNCTION("""COMPUTED_VALUE"""),"Venue")</f>
        <v>Venue</v>
      </c>
      <c r="R5" s="22" t="str">
        <f>IFERROR(__xludf.DUMMYFUNCTION("""COMPUTED_VALUE"""),"TIF")</f>
        <v>TIF</v>
      </c>
      <c r="S5" s="22" t="str">
        <f>IFERROR(__xludf.DUMMYFUNCTION("""COMPUTED_VALUE"""),"Order Type")</f>
        <v>Order Type</v>
      </c>
      <c r="T5" s="23" t="str">
        <f>IFERROR(__xludf.DUMMYFUNCTION("""COMPUTED_VALUE"""),"Stop")</f>
        <v>Stop</v>
      </c>
      <c r="U5" s="23" t="str">
        <f>IFERROR(__xludf.DUMMYFUNCTION("""COMPUTED_VALUE"""),"Limit")</f>
        <v>Limit</v>
      </c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</row>
    <row r="6" ht="15.75" customHeight="1">
      <c r="A6" s="24"/>
      <c r="B6" s="25" t="s">
        <v>16</v>
      </c>
      <c r="C6" s="25" t="s">
        <v>22</v>
      </c>
      <c r="D6" s="25" t="s">
        <v>23</v>
      </c>
      <c r="E6" s="26">
        <v>10.0</v>
      </c>
      <c r="F6" s="27"/>
      <c r="G6" s="24"/>
      <c r="H6" s="25" t="s">
        <v>24</v>
      </c>
      <c r="I6" s="25" t="s">
        <v>25</v>
      </c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2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26</v>
      </c>
      <c r="D3" s="4" t="s">
        <v>9</v>
      </c>
      <c r="E3" s="11" t="s">
        <v>27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</row>
    <row r="4" ht="15.75" customHeight="1">
      <c r="A4" s="19"/>
      <c r="B4" s="19" t="str">
        <f>IFERROR(__xludf.DUMMYFUNCTION("IF(C3="""","""",Transpose(IMPORTRANGE('_Settings'!$B$3,C3&amp;""!A4:A1000"")))"),"FetchAccountPositions")</f>
        <v>FetchAccountPositions</v>
      </c>
      <c r="C4" s="19" t="str">
        <f>IFERROR(__xludf.DUMMYFUNCTION("""COMPUTED_VALUE"""),"AddCash")</f>
        <v>AddCash</v>
      </c>
      <c r="D4" s="19" t="str">
        <f>IFERROR(__xludf.DUMMYFUNCTION("""COMPUTED_VALUE"""),"VerifyGridData")</f>
        <v>VerifyGridData</v>
      </c>
      <c r="E4" s="19" t="str">
        <f>IFERROR(__xludf.DUMMYFUNCTION("""COMPUTED_VALUE"""),"RunRebalance")</f>
        <v>RunRebalance</v>
      </c>
      <c r="F4" s="19" t="str">
        <f>IFERROR(__xludf.DUMMYFUNCTION("""COMPUTED_VALUE"""),"EnableComplianceTab")</f>
        <v>EnableComplianceTab</v>
      </c>
      <c r="G4" s="19" t="str">
        <f>IFERROR(__xludf.DUMMYFUNCTION("""COMPUTED_VALUE"""),"RebalancePreference")</f>
        <v>RebalancePreference</v>
      </c>
      <c r="H4" s="19" t="str">
        <f>IFERROR(__xludf.DUMMYFUNCTION("""COMPUTED_VALUE"""),"ImportModelPortfolio")</f>
        <v>ImportModelPortfolio</v>
      </c>
      <c r="I4" s="19" t="str">
        <f>IFERROR(__xludf.DUMMYFUNCTION("""COMPUTED_VALUE"""),"RebalanceAcrossSecurities")</f>
        <v>RebalanceAcrossSecurities</v>
      </c>
      <c r="J4" s="19" t="str">
        <f>IFERROR(__xludf.DUMMYFUNCTION("""COMPUTED_VALUE"""),"CheckBasketCompliance")</f>
        <v>CheckBasketCompliance</v>
      </c>
      <c r="K4" s="19" t="str">
        <f>IFERROR(__xludf.DUMMYFUNCTION("""COMPUTED_VALUE"""),"ClearCalculations")</f>
        <v>ClearCalculations</v>
      </c>
      <c r="L4" s="19" t="str">
        <f>IFERROR(__xludf.DUMMYFUNCTION("""COMPUTED_VALUE"""),"ModifyRebalance")</f>
        <v>ModifyRebalance</v>
      </c>
      <c r="M4" s="19" t="str">
        <f>IFERROR(__xludf.DUMMYFUNCTION("""COMPUTED_VALUE"""),"ModelPortfolio")</f>
        <v>ModelPortfolio</v>
      </c>
      <c r="N4" s="19" t="str">
        <f>IFERROR(__xludf.DUMMYFUNCTION("""COMPUTED_VALUE"""),"LockandUnlockGridData")</f>
        <v>LockandUnlockGridData</v>
      </c>
      <c r="O4" s="19" t="str">
        <f>IFERROR(__xludf.DUMMYFUNCTION("""COMPUTED_VALUE"""),"RefreshGridData")</f>
        <v>RefreshGridData</v>
      </c>
      <c r="P4" s="20" t="str">
        <f>IFERROR(__xludf.DUMMYFUNCTION("""COMPUTED_VALUE"""),"SendtoStaging")</f>
        <v>SendtoStaging</v>
      </c>
      <c r="Q4" s="20" t="str">
        <f>IFERROR(__xludf.DUMMYFUNCTION("""COMPUTED_VALUE"""),"SendToStagingExport")</f>
        <v>SendToStagingExport</v>
      </c>
      <c r="R4" s="20" t="str">
        <f>IFERROR(__xludf.DUMMYFUNCTION("""COMPUTED_VALUE"""),"RebalanceViaBloomberg")</f>
        <v>RebalanceViaBloomberg</v>
      </c>
      <c r="S4" s="20" t="str">
        <f>IFERROR(__xludf.DUMMYFUNCTION("""COMPUTED_VALUE"""),"AddUserAdjustedNAV")</f>
        <v>AddUserAdjustedNAV</v>
      </c>
      <c r="T4" s="20" t="str">
        <f>IFERROR(__xludf.DUMMYFUNCTION("""COMPUTED_VALUE"""),"SymbologyChangeRB")</f>
        <v>SymbologyChangeRB</v>
      </c>
      <c r="U4" s="20" t="str">
        <f>IFERROR(__xludf.DUMMYFUNCTION("""COMPUTED_VALUE"""),"CloseRebalancer")</f>
        <v>CloseRebalancer</v>
      </c>
      <c r="V4" s="20" t="str">
        <f>IFERROR(__xludf.DUMMYFUNCTION("""COMPUTED_VALUE"""),"AddCustomCashUsingImport")</f>
        <v>AddCustomCashUsingImport</v>
      </c>
      <c r="W4" s="20" t="str">
        <f>IFERROR(__xludf.DUMMYFUNCTION("""COMPUTED_VALUE"""),"EditRebalanceGrid")</f>
        <v>EditRebalanceGrid</v>
      </c>
      <c r="X4" s="20" t="str">
        <f>IFERROR(__xludf.DUMMYFUNCTION("""COMPUTED_VALUE"""),"SaveTradeList")</f>
        <v>SaveTradeList</v>
      </c>
      <c r="Y4" s="20" t="str">
        <f>IFERROR(__xludf.DUMMYFUNCTION("""COMPUTED_VALUE"""),"NavImpactingComponent")</f>
        <v>NavImpactingComponent</v>
      </c>
      <c r="Z4" s="20" t="str">
        <f>IFERROR(__xludf.DUMMYFUNCTION("""COMPUTED_VALUE"""),"ImportUsingRebalAccrossSec")</f>
        <v>ImportUsingRebalAccrossSec</v>
      </c>
      <c r="AA4" s="20" t="str">
        <f>IFERROR(__xludf.DUMMYFUNCTION("""COMPUTED_VALUE"""),"EditImportStatus")</f>
        <v>EditImportStatus</v>
      </c>
      <c r="AB4" s="20" t="str">
        <f>IFERROR(__xludf.DUMMYFUNCTION("""COMPUTED_VALUE"""),"SelectActionsOnImportStatus")</f>
        <v>SelectActionsOnImportStatus</v>
      </c>
      <c r="AC4" s="20" t="str">
        <f>IFERROR(__xludf.DUMMYFUNCTION("""COMPUTED_VALUE"""),"VerifyImportStatus")</f>
        <v>VerifyImportStatus</v>
      </c>
      <c r="AD4" s="20" t="str">
        <f>IFERROR(__xludf.DUMMYFUNCTION("""COMPUTED_VALUE"""),"AddNewModelPortfolio")</f>
        <v>AddNewModelPortfolio</v>
      </c>
      <c r="AE4" s="20" t="str">
        <f>IFERROR(__xludf.DUMMYFUNCTION("""COMPUTED_VALUE"""),"VerifyBuySellList")</f>
        <v>VerifyBuySellList</v>
      </c>
      <c r="AF4" s="20" t="str">
        <f>IFERROR(__xludf.DUMMYFUNCTION("""COMPUTED_VALUE"""),"CreateOrViewModelPortfolio")</f>
        <v>CreateOrViewModelPortfolio</v>
      </c>
      <c r="AG4" s="20" t="str">
        <f>IFERROR(__xludf.DUMMYFUNCTION("""COMPUTED_VALUE"""),"VerifyModelPortfolio")</f>
        <v>VerifyModelPortfolio</v>
      </c>
      <c r="AH4" s="20" t="str">
        <f>IFERROR(__xludf.DUMMYFUNCTION("""COMPUTED_VALUE"""),"VerifyTradeListSummary")</f>
        <v>VerifyTradeListSummary</v>
      </c>
      <c r="AI4" s="20" t="str">
        <f>IFERROR(__xludf.DUMMYFUNCTION("""COMPUTED_VALUE"""),"ActionOnTBSListSummary")</f>
        <v>ActionOnTBSListSummary</v>
      </c>
      <c r="AJ4" s="20" t="str">
        <f>IFERROR(__xludf.DUMMYFUNCTION("""COMPUTED_VALUE"""),"VerifyTLOSideSummary")</f>
        <v>VerifyTLOSideSummary</v>
      </c>
      <c r="AK4" s="20" t="str">
        <f>IFERROR(__xludf.DUMMYFUNCTION("""COMPUTED_VALUE"""),"SelectAndVerifyTradeList")</f>
        <v>SelectAndVerifyTradeList</v>
      </c>
      <c r="AL4" s="20" t="str">
        <f>IFERROR(__xludf.DUMMYFUNCTION("""COMPUTED_VALUE"""),"ActionOnTradeBuySellListView")</f>
        <v>ActionOnTradeBuySellListView</v>
      </c>
      <c r="AM4" s="20" t="str">
        <f>IFERROR(__xludf.DUMMYFUNCTION("""COMPUTED_VALUE"""),"ImportOnRB")</f>
        <v>ImportOnRB</v>
      </c>
      <c r="AN4" s="20" t="str">
        <f>IFERROR(__xludf.DUMMYFUNCTION("""COMPUTED_VALUE"""),"VerifyImportGridRBForInvalidSec")</f>
        <v>VerifyImportGridRBForInvalidSec</v>
      </c>
      <c r="AO4" s="20" t="str">
        <f>IFERROR(__xludf.DUMMYFUNCTION("""COMPUTED_VALUE"""),"VerifyImportGridRBForValidSec")</f>
        <v>VerifyImportGridRBForValidSec</v>
      </c>
      <c r="AP4" s="20" t="str">
        <f>IFERROR(__xludf.DUMMYFUNCTION("""COMPUTED_VALUE"""),"ActionOnRSAImportGrid")</f>
        <v>ActionOnRSAImportGrid</v>
      </c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IFERROR(__xludf.DUMMYFUNCTION("""COMPUTED_VALUE"""),"Account/Groups")</f>
        <v>Account/Groups</v>
      </c>
      <c r="C5" s="22" t="str">
        <f>IFERROR(__xludf.DUMMYFUNCTION("""COMPUTED_VALUE"""),"Account Positions")</f>
        <v>Account Positions</v>
      </c>
      <c r="D5" s="22" t="str">
        <f>IFERROR(__xludf.DUMMYFUNCTION("""COMPUTED_VALUE"""),"Calculation Level")</f>
        <v>Calculation Level</v>
      </c>
      <c r="E5" s="22" t="str">
        <f>IFERROR(__xludf.DUMMYFUNCTION("""COMPUTED_VALUE"""),"Refresh")</f>
        <v>Refresh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</row>
    <row r="6" ht="15.75" customHeight="1">
      <c r="A6" s="6"/>
      <c r="B6" s="6" t="s">
        <v>25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2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26</v>
      </c>
      <c r="D3" s="4" t="s">
        <v>9</v>
      </c>
      <c r="E3" s="11" t="s">
        <v>28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</row>
    <row r="4" ht="15.75" customHeight="1">
      <c r="A4" s="19"/>
      <c r="B4" s="19" t="str">
        <f>IFERROR(__xludf.DUMMYFUNCTION("IF(C3="""","""",Transpose(IMPORTRANGE('_Settings'!$B$3,C3&amp;""!A4:A1000"")))"),"FetchAccountPositions")</f>
        <v>FetchAccountPositions</v>
      </c>
      <c r="C4" s="19" t="str">
        <f>IFERROR(__xludf.DUMMYFUNCTION("""COMPUTED_VALUE"""),"AddCash")</f>
        <v>AddCash</v>
      </c>
      <c r="D4" s="19" t="str">
        <f>IFERROR(__xludf.DUMMYFUNCTION("""COMPUTED_VALUE"""),"VerifyGridData")</f>
        <v>VerifyGridData</v>
      </c>
      <c r="E4" s="19" t="str">
        <f>IFERROR(__xludf.DUMMYFUNCTION("""COMPUTED_VALUE"""),"RunRebalance")</f>
        <v>RunRebalance</v>
      </c>
      <c r="F4" s="19" t="str">
        <f>IFERROR(__xludf.DUMMYFUNCTION("""COMPUTED_VALUE"""),"EnableComplianceTab")</f>
        <v>EnableComplianceTab</v>
      </c>
      <c r="G4" s="19" t="str">
        <f>IFERROR(__xludf.DUMMYFUNCTION("""COMPUTED_VALUE"""),"RebalancePreference")</f>
        <v>RebalancePreference</v>
      </c>
      <c r="H4" s="19" t="str">
        <f>IFERROR(__xludf.DUMMYFUNCTION("""COMPUTED_VALUE"""),"ImportModelPortfolio")</f>
        <v>ImportModelPortfolio</v>
      </c>
      <c r="I4" s="19" t="str">
        <f>IFERROR(__xludf.DUMMYFUNCTION("""COMPUTED_VALUE"""),"RebalanceAcrossSecurities")</f>
        <v>RebalanceAcrossSecurities</v>
      </c>
      <c r="J4" s="19" t="str">
        <f>IFERROR(__xludf.DUMMYFUNCTION("""COMPUTED_VALUE"""),"CheckBasketCompliance")</f>
        <v>CheckBasketCompliance</v>
      </c>
      <c r="K4" s="19" t="str">
        <f>IFERROR(__xludf.DUMMYFUNCTION("""COMPUTED_VALUE"""),"ClearCalculations")</f>
        <v>ClearCalculations</v>
      </c>
      <c r="L4" s="19" t="str">
        <f>IFERROR(__xludf.DUMMYFUNCTION("""COMPUTED_VALUE"""),"ModifyRebalance")</f>
        <v>ModifyRebalance</v>
      </c>
      <c r="M4" s="19" t="str">
        <f>IFERROR(__xludf.DUMMYFUNCTION("""COMPUTED_VALUE"""),"ModelPortfolio")</f>
        <v>ModelPortfolio</v>
      </c>
      <c r="N4" s="19" t="str">
        <f>IFERROR(__xludf.DUMMYFUNCTION("""COMPUTED_VALUE"""),"LockandUnlockGridData")</f>
        <v>LockandUnlockGridData</v>
      </c>
      <c r="O4" s="19" t="str">
        <f>IFERROR(__xludf.DUMMYFUNCTION("""COMPUTED_VALUE"""),"RefreshGridData")</f>
        <v>RefreshGridData</v>
      </c>
      <c r="P4" s="20" t="str">
        <f>IFERROR(__xludf.DUMMYFUNCTION("""COMPUTED_VALUE"""),"SendtoStaging")</f>
        <v>SendtoStaging</v>
      </c>
      <c r="Q4" s="20" t="str">
        <f>IFERROR(__xludf.DUMMYFUNCTION("""COMPUTED_VALUE"""),"SendToStagingExport")</f>
        <v>SendToStagingExport</v>
      </c>
      <c r="R4" s="20" t="str">
        <f>IFERROR(__xludf.DUMMYFUNCTION("""COMPUTED_VALUE"""),"RebalanceViaBloomberg")</f>
        <v>RebalanceViaBloomberg</v>
      </c>
      <c r="S4" s="20" t="str">
        <f>IFERROR(__xludf.DUMMYFUNCTION("""COMPUTED_VALUE"""),"AddUserAdjustedNAV")</f>
        <v>AddUserAdjustedNAV</v>
      </c>
      <c r="T4" s="20" t="str">
        <f>IFERROR(__xludf.DUMMYFUNCTION("""COMPUTED_VALUE"""),"SymbologyChangeRB")</f>
        <v>SymbologyChangeRB</v>
      </c>
      <c r="U4" s="20" t="str">
        <f>IFERROR(__xludf.DUMMYFUNCTION("""COMPUTED_VALUE"""),"CloseRebalancer")</f>
        <v>CloseRebalancer</v>
      </c>
      <c r="V4" s="20" t="str">
        <f>IFERROR(__xludf.DUMMYFUNCTION("""COMPUTED_VALUE"""),"AddCustomCashUsingImport")</f>
        <v>AddCustomCashUsingImport</v>
      </c>
      <c r="W4" s="20" t="str">
        <f>IFERROR(__xludf.DUMMYFUNCTION("""COMPUTED_VALUE"""),"EditRebalanceGrid")</f>
        <v>EditRebalanceGrid</v>
      </c>
      <c r="X4" s="20" t="str">
        <f>IFERROR(__xludf.DUMMYFUNCTION("""COMPUTED_VALUE"""),"SaveTradeList")</f>
        <v>SaveTradeList</v>
      </c>
      <c r="Y4" s="20" t="str">
        <f>IFERROR(__xludf.DUMMYFUNCTION("""COMPUTED_VALUE"""),"NavImpactingComponent")</f>
        <v>NavImpactingComponent</v>
      </c>
      <c r="Z4" s="20" t="str">
        <f>IFERROR(__xludf.DUMMYFUNCTION("""COMPUTED_VALUE"""),"ImportUsingRebalAccrossSec")</f>
        <v>ImportUsingRebalAccrossSec</v>
      </c>
      <c r="AA4" s="20" t="str">
        <f>IFERROR(__xludf.DUMMYFUNCTION("""COMPUTED_VALUE"""),"EditImportStatus")</f>
        <v>EditImportStatus</v>
      </c>
      <c r="AB4" s="20" t="str">
        <f>IFERROR(__xludf.DUMMYFUNCTION("""COMPUTED_VALUE"""),"SelectActionsOnImportStatus")</f>
        <v>SelectActionsOnImportStatus</v>
      </c>
      <c r="AC4" s="20" t="str">
        <f>IFERROR(__xludf.DUMMYFUNCTION("""COMPUTED_VALUE"""),"VerifyImportStatus")</f>
        <v>VerifyImportStatus</v>
      </c>
      <c r="AD4" s="20" t="str">
        <f>IFERROR(__xludf.DUMMYFUNCTION("""COMPUTED_VALUE"""),"AddNewModelPortfolio")</f>
        <v>AddNewModelPortfolio</v>
      </c>
      <c r="AE4" s="20" t="str">
        <f>IFERROR(__xludf.DUMMYFUNCTION("""COMPUTED_VALUE"""),"VerifyBuySellList")</f>
        <v>VerifyBuySellList</v>
      </c>
      <c r="AF4" s="20" t="str">
        <f>IFERROR(__xludf.DUMMYFUNCTION("""COMPUTED_VALUE"""),"CreateOrViewModelPortfolio")</f>
        <v>CreateOrViewModelPortfolio</v>
      </c>
      <c r="AG4" s="20" t="str">
        <f>IFERROR(__xludf.DUMMYFUNCTION("""COMPUTED_VALUE"""),"VerifyModelPortfolio")</f>
        <v>VerifyModelPortfolio</v>
      </c>
      <c r="AH4" s="20" t="str">
        <f>IFERROR(__xludf.DUMMYFUNCTION("""COMPUTED_VALUE"""),"VerifyTradeListSummary")</f>
        <v>VerifyTradeListSummary</v>
      </c>
      <c r="AI4" s="20" t="str">
        <f>IFERROR(__xludf.DUMMYFUNCTION("""COMPUTED_VALUE"""),"ActionOnTBSListSummary")</f>
        <v>ActionOnTBSListSummary</v>
      </c>
      <c r="AJ4" s="20" t="str">
        <f>IFERROR(__xludf.DUMMYFUNCTION("""COMPUTED_VALUE"""),"VerifyTLOSideSummary")</f>
        <v>VerifyTLOSideSummary</v>
      </c>
      <c r="AK4" s="20" t="str">
        <f>IFERROR(__xludf.DUMMYFUNCTION("""COMPUTED_VALUE"""),"SelectAndVerifyTradeList")</f>
        <v>SelectAndVerifyTradeList</v>
      </c>
      <c r="AL4" s="20" t="str">
        <f>IFERROR(__xludf.DUMMYFUNCTION("""COMPUTED_VALUE"""),"ActionOnTradeBuySellListView")</f>
        <v>ActionOnTradeBuySellListView</v>
      </c>
      <c r="AM4" s="20" t="str">
        <f>IFERROR(__xludf.DUMMYFUNCTION("""COMPUTED_VALUE"""),"ImportOnRB")</f>
        <v>ImportOnRB</v>
      </c>
      <c r="AN4" s="20" t="str">
        <f>IFERROR(__xludf.DUMMYFUNCTION("""COMPUTED_VALUE"""),"VerifyImportGridRBForInvalidSec")</f>
        <v>VerifyImportGridRBForInvalidSec</v>
      </c>
      <c r="AO4" s="20" t="str">
        <f>IFERROR(__xludf.DUMMYFUNCTION("""COMPUTED_VALUE"""),"VerifyImportGridRBForValidSec")</f>
        <v>VerifyImportGridRBForValidSec</v>
      </c>
      <c r="AP4" s="20" t="str">
        <f>IFERROR(__xludf.DUMMYFUNCTION("""COMPUTED_VALUE"""),"ActionOnRSAImportGrid")</f>
        <v>ActionOnRSAImportGrid</v>
      </c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IFERROR(__xludf.DUMMYFUNCTION("""COMPUTED_VALUE"""),"Ticker")</f>
        <v>Ticker</v>
      </c>
      <c r="C5" s="22" t="str">
        <f>IFERROR(__xludf.DUMMYFUNCTION("""COMPUTED_VALUE"""),"Set/Inc/Dec")</f>
        <v>Set/Inc/Dec</v>
      </c>
      <c r="D5" s="22" t="str">
        <f>IFERROR(__xludf.DUMMYFUNCTION("""COMPUTED_VALUE"""),"Target%")</f>
        <v>Target%</v>
      </c>
      <c r="E5" s="22" t="str">
        <f>IFERROR(__xludf.DUMMYFUNCTION("""COMPUTED_VALUE"""),"Account/Group")</f>
        <v>Account/Group</v>
      </c>
      <c r="F5" s="22" t="str">
        <f>IFERROR(__xludf.DUMMYFUNCTION("""COMPUTED_VALUE"""),"ReinvestCash")</f>
        <v>ReinvestCash</v>
      </c>
      <c r="G5" s="22" t="str">
        <f>IFERROR(__xludf.DUMMYFUNCTION("""COMPUTED_VALUE"""),"SellToRaiseCash")</f>
        <v>SellToRaiseCash</v>
      </c>
      <c r="H5" s="22" t="str">
        <f>IFERROR(__xludf.DUMMYFUNCTION("""COMPUTED_VALUE"""),"AllowNegCash")</f>
        <v>AllowNegCash</v>
      </c>
      <c r="I5" s="22" t="str">
        <f>IFERROR(__xludf.DUMMYFUNCTION("""COMPUTED_VALUE"""),"NoShortning")</f>
        <v>NoShortning</v>
      </c>
      <c r="J5" s="22" t="str">
        <f>IFERROR(__xludf.DUMMYFUNCTION("""COMPUTED_VALUE"""),"Price")</f>
        <v>Price</v>
      </c>
      <c r="K5" s="22" t="str">
        <f>IFERROR(__xludf.DUMMYFUNCTION("""COMPUTED_VALUE"""),"Fx")</f>
        <v>Fx</v>
      </c>
      <c r="L5" s="22" t="str">
        <f>IFERROR(__xludf.DUMMYFUNCTION("""COMPUTED_VALUE"""),"BPS SET")</f>
        <v>BPS SET</v>
      </c>
      <c r="M5" s="22" t="str">
        <f>IFERROR(__xludf.DUMMYFUNCTION("""COMPUTED_VALUE"""),"SetCashTarget")</f>
        <v>SetCashTarget</v>
      </c>
      <c r="N5" s="22" t="str">
        <f>IFERROR(__xludf.DUMMYFUNCTION("""COMPUTED_VALUE"""),"SetCashTarget%")</f>
        <v>SetCashTarget%</v>
      </c>
      <c r="O5" s="22" t="str">
        <f>IFERROR(__xludf.DUMMYFUNCTION("""COMPUTED_VALUE"""),"SellToRaiseCashAndSetCashTarget")</f>
        <v>SellToRaiseCashAndSetCashTarget</v>
      </c>
      <c r="P5" s="22" t="str">
        <f>IFERROR(__xludf.DUMMYFUNCTION("""COMPUTED_VALUE"""),"AllowNegCashAndSetCashTarget")</f>
        <v>AllowNegCashAndSetCashTarget</v>
      </c>
      <c r="Q5" s="22" t="str">
        <f>IFERROR(__xludf.DUMMYFUNCTION("""COMPUTED_VALUE"""),"DisableCT")</f>
        <v>DisableCT</v>
      </c>
      <c r="R5" s="22" t="str">
        <f>IFERROR(__xludf.DUMMYFUNCTION("""COMPUTED_VALUE"""),"AllowNegCashAndSellToRaise")</f>
        <v>AllowNegCashAndSellToRaise</v>
      </c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</row>
    <row r="6" ht="15.75" customHeight="1">
      <c r="A6" s="24"/>
      <c r="B6" s="25" t="s">
        <v>29</v>
      </c>
      <c r="C6" s="25" t="s">
        <v>22</v>
      </c>
      <c r="D6" s="26">
        <v>10.0</v>
      </c>
      <c r="E6" s="25" t="s">
        <v>25</v>
      </c>
      <c r="F6" s="24"/>
      <c r="G6" s="24"/>
      <c r="H6" s="24"/>
      <c r="I6" s="24"/>
      <c r="J6" s="26">
        <v>2.0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2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26</v>
      </c>
      <c r="D3" s="4" t="s">
        <v>9</v>
      </c>
      <c r="E3" s="11" t="s">
        <v>30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</row>
    <row r="4" ht="15.75" customHeight="1">
      <c r="A4" s="19"/>
      <c r="B4" s="19" t="str">
        <f>IFERROR(__xludf.DUMMYFUNCTION("IF(C3="""","""",Transpose(IMPORTRANGE('_Settings'!$B$3,C3&amp;""!A4:A1000"")))"),"FetchAccountPositions")</f>
        <v>FetchAccountPositions</v>
      </c>
      <c r="C4" s="19" t="str">
        <f>IFERROR(__xludf.DUMMYFUNCTION("""COMPUTED_VALUE"""),"AddCash")</f>
        <v>AddCash</v>
      </c>
      <c r="D4" s="19" t="str">
        <f>IFERROR(__xludf.DUMMYFUNCTION("""COMPUTED_VALUE"""),"VerifyGridData")</f>
        <v>VerifyGridData</v>
      </c>
      <c r="E4" s="19" t="str">
        <f>IFERROR(__xludf.DUMMYFUNCTION("""COMPUTED_VALUE"""),"RunRebalance")</f>
        <v>RunRebalance</v>
      </c>
      <c r="F4" s="19" t="str">
        <f>IFERROR(__xludf.DUMMYFUNCTION("""COMPUTED_VALUE"""),"EnableComplianceTab")</f>
        <v>EnableComplianceTab</v>
      </c>
      <c r="G4" s="19" t="str">
        <f>IFERROR(__xludf.DUMMYFUNCTION("""COMPUTED_VALUE"""),"RebalancePreference")</f>
        <v>RebalancePreference</v>
      </c>
      <c r="H4" s="19" t="str">
        <f>IFERROR(__xludf.DUMMYFUNCTION("""COMPUTED_VALUE"""),"ImportModelPortfolio")</f>
        <v>ImportModelPortfolio</v>
      </c>
      <c r="I4" s="19" t="str">
        <f>IFERROR(__xludf.DUMMYFUNCTION("""COMPUTED_VALUE"""),"RebalanceAcrossSecurities")</f>
        <v>RebalanceAcrossSecurities</v>
      </c>
      <c r="J4" s="19" t="str">
        <f>IFERROR(__xludf.DUMMYFUNCTION("""COMPUTED_VALUE"""),"CheckBasketCompliance")</f>
        <v>CheckBasketCompliance</v>
      </c>
      <c r="K4" s="19" t="str">
        <f>IFERROR(__xludf.DUMMYFUNCTION("""COMPUTED_VALUE"""),"ClearCalculations")</f>
        <v>ClearCalculations</v>
      </c>
      <c r="L4" s="19" t="str">
        <f>IFERROR(__xludf.DUMMYFUNCTION("""COMPUTED_VALUE"""),"ModifyRebalance")</f>
        <v>ModifyRebalance</v>
      </c>
      <c r="M4" s="19" t="str">
        <f>IFERROR(__xludf.DUMMYFUNCTION("""COMPUTED_VALUE"""),"ModelPortfolio")</f>
        <v>ModelPortfolio</v>
      </c>
      <c r="N4" s="19" t="str">
        <f>IFERROR(__xludf.DUMMYFUNCTION("""COMPUTED_VALUE"""),"LockandUnlockGridData")</f>
        <v>LockandUnlockGridData</v>
      </c>
      <c r="O4" s="19" t="str">
        <f>IFERROR(__xludf.DUMMYFUNCTION("""COMPUTED_VALUE"""),"RefreshGridData")</f>
        <v>RefreshGridData</v>
      </c>
      <c r="P4" s="20" t="str">
        <f>IFERROR(__xludf.DUMMYFUNCTION("""COMPUTED_VALUE"""),"SendtoStaging")</f>
        <v>SendtoStaging</v>
      </c>
      <c r="Q4" s="20" t="str">
        <f>IFERROR(__xludf.DUMMYFUNCTION("""COMPUTED_VALUE"""),"SendToStagingExport")</f>
        <v>SendToStagingExport</v>
      </c>
      <c r="R4" s="20" t="str">
        <f>IFERROR(__xludf.DUMMYFUNCTION("""COMPUTED_VALUE"""),"RebalanceViaBloomberg")</f>
        <v>RebalanceViaBloomberg</v>
      </c>
      <c r="S4" s="20" t="str">
        <f>IFERROR(__xludf.DUMMYFUNCTION("""COMPUTED_VALUE"""),"AddUserAdjustedNAV")</f>
        <v>AddUserAdjustedNAV</v>
      </c>
      <c r="T4" s="20" t="str">
        <f>IFERROR(__xludf.DUMMYFUNCTION("""COMPUTED_VALUE"""),"SymbologyChangeRB")</f>
        <v>SymbologyChangeRB</v>
      </c>
      <c r="U4" s="20" t="str">
        <f>IFERROR(__xludf.DUMMYFUNCTION("""COMPUTED_VALUE"""),"CloseRebalancer")</f>
        <v>CloseRebalancer</v>
      </c>
      <c r="V4" s="20" t="str">
        <f>IFERROR(__xludf.DUMMYFUNCTION("""COMPUTED_VALUE"""),"AddCustomCashUsingImport")</f>
        <v>AddCustomCashUsingImport</v>
      </c>
      <c r="W4" s="20" t="str">
        <f>IFERROR(__xludf.DUMMYFUNCTION("""COMPUTED_VALUE"""),"EditRebalanceGrid")</f>
        <v>EditRebalanceGrid</v>
      </c>
      <c r="X4" s="20" t="str">
        <f>IFERROR(__xludf.DUMMYFUNCTION("""COMPUTED_VALUE"""),"SaveTradeList")</f>
        <v>SaveTradeList</v>
      </c>
      <c r="Y4" s="20" t="str">
        <f>IFERROR(__xludf.DUMMYFUNCTION("""COMPUTED_VALUE"""),"NavImpactingComponent")</f>
        <v>NavImpactingComponent</v>
      </c>
      <c r="Z4" s="20" t="str">
        <f>IFERROR(__xludf.DUMMYFUNCTION("""COMPUTED_VALUE"""),"ImportUsingRebalAccrossSec")</f>
        <v>ImportUsingRebalAccrossSec</v>
      </c>
      <c r="AA4" s="20" t="str">
        <f>IFERROR(__xludf.DUMMYFUNCTION("""COMPUTED_VALUE"""),"EditImportStatus")</f>
        <v>EditImportStatus</v>
      </c>
      <c r="AB4" s="20" t="str">
        <f>IFERROR(__xludf.DUMMYFUNCTION("""COMPUTED_VALUE"""),"SelectActionsOnImportStatus")</f>
        <v>SelectActionsOnImportStatus</v>
      </c>
      <c r="AC4" s="20" t="str">
        <f>IFERROR(__xludf.DUMMYFUNCTION("""COMPUTED_VALUE"""),"VerifyImportStatus")</f>
        <v>VerifyImportStatus</v>
      </c>
      <c r="AD4" s="20" t="str">
        <f>IFERROR(__xludf.DUMMYFUNCTION("""COMPUTED_VALUE"""),"AddNewModelPortfolio")</f>
        <v>AddNewModelPortfolio</v>
      </c>
      <c r="AE4" s="20" t="str">
        <f>IFERROR(__xludf.DUMMYFUNCTION("""COMPUTED_VALUE"""),"VerifyBuySellList")</f>
        <v>VerifyBuySellList</v>
      </c>
      <c r="AF4" s="20" t="str">
        <f>IFERROR(__xludf.DUMMYFUNCTION("""COMPUTED_VALUE"""),"CreateOrViewModelPortfolio")</f>
        <v>CreateOrViewModelPortfolio</v>
      </c>
      <c r="AG4" s="20" t="str">
        <f>IFERROR(__xludf.DUMMYFUNCTION("""COMPUTED_VALUE"""),"VerifyModelPortfolio")</f>
        <v>VerifyModelPortfolio</v>
      </c>
      <c r="AH4" s="20" t="str">
        <f>IFERROR(__xludf.DUMMYFUNCTION("""COMPUTED_VALUE"""),"VerifyTradeListSummary")</f>
        <v>VerifyTradeListSummary</v>
      </c>
      <c r="AI4" s="20" t="str">
        <f>IFERROR(__xludf.DUMMYFUNCTION("""COMPUTED_VALUE"""),"ActionOnTBSListSummary")</f>
        <v>ActionOnTBSListSummary</v>
      </c>
      <c r="AJ4" s="20" t="str">
        <f>IFERROR(__xludf.DUMMYFUNCTION("""COMPUTED_VALUE"""),"VerifyTLOSideSummary")</f>
        <v>VerifyTLOSideSummary</v>
      </c>
      <c r="AK4" s="20" t="str">
        <f>IFERROR(__xludf.DUMMYFUNCTION("""COMPUTED_VALUE"""),"SelectAndVerifyTradeList")</f>
        <v>SelectAndVerifyTradeList</v>
      </c>
      <c r="AL4" s="20" t="str">
        <f>IFERROR(__xludf.DUMMYFUNCTION("""COMPUTED_VALUE"""),"ActionOnTradeBuySellListView")</f>
        <v>ActionOnTradeBuySellListView</v>
      </c>
      <c r="AM4" s="20" t="str">
        <f>IFERROR(__xludf.DUMMYFUNCTION("""COMPUTED_VALUE"""),"ImportOnRB")</f>
        <v>ImportOnRB</v>
      </c>
      <c r="AN4" s="20" t="str">
        <f>IFERROR(__xludf.DUMMYFUNCTION("""COMPUTED_VALUE"""),"VerifyImportGridRBForInvalidSec")</f>
        <v>VerifyImportGridRBForInvalidSec</v>
      </c>
      <c r="AO4" s="20" t="str">
        <f>IFERROR(__xludf.DUMMYFUNCTION("""COMPUTED_VALUE"""),"VerifyImportGridRBForValidSec")</f>
        <v>VerifyImportGridRBForValidSec</v>
      </c>
      <c r="AP4" s="20" t="str">
        <f>IFERROR(__xludf.DUMMYFUNCTION("""COMPUTED_VALUE"""),"ActionOnRSAImportGrid")</f>
        <v>ActionOnRSAImportGrid</v>
      </c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IFERROR(__xludf.DUMMYFUNCTION("""COMPUTED_VALUE"""),"Rounding Type")</f>
        <v>Rounding Type</v>
      </c>
      <c r="C5" s="22" t="str">
        <f>IFERROR(__xludf.DUMMYFUNCTION("""COMPUTED_VALUE"""),"Rebalance")</f>
        <v>Rebalance</v>
      </c>
      <c r="D5" s="22" t="str">
        <f>IFERROR(__xludf.DUMMYFUNCTION("""COMPUTED_VALUE"""),"Round Lot")</f>
        <v>Round Lot</v>
      </c>
      <c r="E5" s="22" t="str">
        <f>IFERROR(__xludf.DUMMYFUNCTION("""COMPUTED_VALUE"""),"AllowNegCash")</f>
        <v>AllowNegCash</v>
      </c>
      <c r="F5" s="22" t="str">
        <f>IFERROR(__xludf.DUMMYFUNCTION("""COMPUTED_VALUE"""),"SellToRaiseCash")</f>
        <v>SellToRaiseCash</v>
      </c>
      <c r="G5" s="22" t="str">
        <f>IFERROR(__xludf.DUMMYFUNCTION("""COMPUTED_VALUE"""),"VerifyPopupCashValue")</f>
        <v>VerifyPopupCashValue</v>
      </c>
      <c r="H5" s="22" t="str">
        <f>IFERROR(__xludf.DUMMYFUNCTION("""COMPUTED_VALUE"""),"AllowPopup")</f>
        <v>AllowPopup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</row>
    <row r="6" ht="15.75" customHeight="1">
      <c r="A6" s="6"/>
      <c r="B6" s="6" t="s">
        <v>31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2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26</v>
      </c>
      <c r="D3" s="4" t="s">
        <v>9</v>
      </c>
      <c r="E3" s="11" t="s">
        <v>32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</row>
    <row r="4" ht="15.75" customHeight="1">
      <c r="A4" s="19"/>
      <c r="B4" s="19" t="str">
        <f>IFERROR(__xludf.DUMMYFUNCTION("IF(C3="""","""",Transpose(IMPORTRANGE('_Settings'!$B$3,C3&amp;""!A4:A1000"")))"),"FetchAccountPositions")</f>
        <v>FetchAccountPositions</v>
      </c>
      <c r="C4" s="19" t="str">
        <f>IFERROR(__xludf.DUMMYFUNCTION("""COMPUTED_VALUE"""),"AddCash")</f>
        <v>AddCash</v>
      </c>
      <c r="D4" s="19" t="str">
        <f>IFERROR(__xludf.DUMMYFUNCTION("""COMPUTED_VALUE"""),"VerifyGridData")</f>
        <v>VerifyGridData</v>
      </c>
      <c r="E4" s="19" t="str">
        <f>IFERROR(__xludf.DUMMYFUNCTION("""COMPUTED_VALUE"""),"RunRebalance")</f>
        <v>RunRebalance</v>
      </c>
      <c r="F4" s="19" t="str">
        <f>IFERROR(__xludf.DUMMYFUNCTION("""COMPUTED_VALUE"""),"EnableComplianceTab")</f>
        <v>EnableComplianceTab</v>
      </c>
      <c r="G4" s="19" t="str">
        <f>IFERROR(__xludf.DUMMYFUNCTION("""COMPUTED_VALUE"""),"RebalancePreference")</f>
        <v>RebalancePreference</v>
      </c>
      <c r="H4" s="19" t="str">
        <f>IFERROR(__xludf.DUMMYFUNCTION("""COMPUTED_VALUE"""),"ImportModelPortfolio")</f>
        <v>ImportModelPortfolio</v>
      </c>
      <c r="I4" s="19" t="str">
        <f>IFERROR(__xludf.DUMMYFUNCTION("""COMPUTED_VALUE"""),"RebalanceAcrossSecurities")</f>
        <v>RebalanceAcrossSecurities</v>
      </c>
      <c r="J4" s="19" t="str">
        <f>IFERROR(__xludf.DUMMYFUNCTION("""COMPUTED_VALUE"""),"CheckBasketCompliance")</f>
        <v>CheckBasketCompliance</v>
      </c>
      <c r="K4" s="19" t="str">
        <f>IFERROR(__xludf.DUMMYFUNCTION("""COMPUTED_VALUE"""),"ClearCalculations")</f>
        <v>ClearCalculations</v>
      </c>
      <c r="L4" s="19" t="str">
        <f>IFERROR(__xludf.DUMMYFUNCTION("""COMPUTED_VALUE"""),"ModifyRebalance")</f>
        <v>ModifyRebalance</v>
      </c>
      <c r="M4" s="19" t="str">
        <f>IFERROR(__xludf.DUMMYFUNCTION("""COMPUTED_VALUE"""),"ModelPortfolio")</f>
        <v>ModelPortfolio</v>
      </c>
      <c r="N4" s="19" t="str">
        <f>IFERROR(__xludf.DUMMYFUNCTION("""COMPUTED_VALUE"""),"LockandUnlockGridData")</f>
        <v>LockandUnlockGridData</v>
      </c>
      <c r="O4" s="19" t="str">
        <f>IFERROR(__xludf.DUMMYFUNCTION("""COMPUTED_VALUE"""),"RefreshGridData")</f>
        <v>RefreshGridData</v>
      </c>
      <c r="P4" s="20" t="str">
        <f>IFERROR(__xludf.DUMMYFUNCTION("""COMPUTED_VALUE"""),"SendtoStaging")</f>
        <v>SendtoStaging</v>
      </c>
      <c r="Q4" s="20" t="str">
        <f>IFERROR(__xludf.DUMMYFUNCTION("""COMPUTED_VALUE"""),"SendToStagingExport")</f>
        <v>SendToStagingExport</v>
      </c>
      <c r="R4" s="20" t="str">
        <f>IFERROR(__xludf.DUMMYFUNCTION("""COMPUTED_VALUE"""),"RebalanceViaBloomberg")</f>
        <v>RebalanceViaBloomberg</v>
      </c>
      <c r="S4" s="20" t="str">
        <f>IFERROR(__xludf.DUMMYFUNCTION("""COMPUTED_VALUE"""),"AddUserAdjustedNAV")</f>
        <v>AddUserAdjustedNAV</v>
      </c>
      <c r="T4" s="20" t="str">
        <f>IFERROR(__xludf.DUMMYFUNCTION("""COMPUTED_VALUE"""),"SymbologyChangeRB")</f>
        <v>SymbologyChangeRB</v>
      </c>
      <c r="U4" s="20" t="str">
        <f>IFERROR(__xludf.DUMMYFUNCTION("""COMPUTED_VALUE"""),"CloseRebalancer")</f>
        <v>CloseRebalancer</v>
      </c>
      <c r="V4" s="20" t="str">
        <f>IFERROR(__xludf.DUMMYFUNCTION("""COMPUTED_VALUE"""),"AddCustomCashUsingImport")</f>
        <v>AddCustomCashUsingImport</v>
      </c>
      <c r="W4" s="20" t="str">
        <f>IFERROR(__xludf.DUMMYFUNCTION("""COMPUTED_VALUE"""),"EditRebalanceGrid")</f>
        <v>EditRebalanceGrid</v>
      </c>
      <c r="X4" s="20" t="str">
        <f>IFERROR(__xludf.DUMMYFUNCTION("""COMPUTED_VALUE"""),"SaveTradeList")</f>
        <v>SaveTradeList</v>
      </c>
      <c r="Y4" s="20" t="str">
        <f>IFERROR(__xludf.DUMMYFUNCTION("""COMPUTED_VALUE"""),"NavImpactingComponent")</f>
        <v>NavImpactingComponent</v>
      </c>
      <c r="Z4" s="20" t="str">
        <f>IFERROR(__xludf.DUMMYFUNCTION("""COMPUTED_VALUE"""),"ImportUsingRebalAccrossSec")</f>
        <v>ImportUsingRebalAccrossSec</v>
      </c>
      <c r="AA4" s="20" t="str">
        <f>IFERROR(__xludf.DUMMYFUNCTION("""COMPUTED_VALUE"""),"EditImportStatus")</f>
        <v>EditImportStatus</v>
      </c>
      <c r="AB4" s="20" t="str">
        <f>IFERROR(__xludf.DUMMYFUNCTION("""COMPUTED_VALUE"""),"SelectActionsOnImportStatus")</f>
        <v>SelectActionsOnImportStatus</v>
      </c>
      <c r="AC4" s="20" t="str">
        <f>IFERROR(__xludf.DUMMYFUNCTION("""COMPUTED_VALUE"""),"VerifyImportStatus")</f>
        <v>VerifyImportStatus</v>
      </c>
      <c r="AD4" s="20" t="str">
        <f>IFERROR(__xludf.DUMMYFUNCTION("""COMPUTED_VALUE"""),"AddNewModelPortfolio")</f>
        <v>AddNewModelPortfolio</v>
      </c>
      <c r="AE4" s="20" t="str">
        <f>IFERROR(__xludf.DUMMYFUNCTION("""COMPUTED_VALUE"""),"VerifyBuySellList")</f>
        <v>VerifyBuySellList</v>
      </c>
      <c r="AF4" s="20" t="str">
        <f>IFERROR(__xludf.DUMMYFUNCTION("""COMPUTED_VALUE"""),"CreateOrViewModelPortfolio")</f>
        <v>CreateOrViewModelPortfolio</v>
      </c>
      <c r="AG4" s="20" t="str">
        <f>IFERROR(__xludf.DUMMYFUNCTION("""COMPUTED_VALUE"""),"VerifyModelPortfolio")</f>
        <v>VerifyModelPortfolio</v>
      </c>
      <c r="AH4" s="20" t="str">
        <f>IFERROR(__xludf.DUMMYFUNCTION("""COMPUTED_VALUE"""),"VerifyTradeListSummary")</f>
        <v>VerifyTradeListSummary</v>
      </c>
      <c r="AI4" s="20" t="str">
        <f>IFERROR(__xludf.DUMMYFUNCTION("""COMPUTED_VALUE"""),"ActionOnTBSListSummary")</f>
        <v>ActionOnTBSListSummary</v>
      </c>
      <c r="AJ4" s="20" t="str">
        <f>IFERROR(__xludf.DUMMYFUNCTION("""COMPUTED_VALUE"""),"VerifyTLOSideSummary")</f>
        <v>VerifyTLOSideSummary</v>
      </c>
      <c r="AK4" s="20" t="str">
        <f>IFERROR(__xludf.DUMMYFUNCTION("""COMPUTED_VALUE"""),"SelectAndVerifyTradeList")</f>
        <v>SelectAndVerifyTradeList</v>
      </c>
      <c r="AL4" s="20" t="str">
        <f>IFERROR(__xludf.DUMMYFUNCTION("""COMPUTED_VALUE"""),"ActionOnTradeBuySellListView")</f>
        <v>ActionOnTradeBuySellListView</v>
      </c>
      <c r="AM4" s="20" t="str">
        <f>IFERROR(__xludf.DUMMYFUNCTION("""COMPUTED_VALUE"""),"ImportOnRB")</f>
        <v>ImportOnRB</v>
      </c>
      <c r="AN4" s="20" t="str">
        <f>IFERROR(__xludf.DUMMYFUNCTION("""COMPUTED_VALUE"""),"VerifyImportGridRBForInvalidSec")</f>
        <v>VerifyImportGridRBForInvalidSec</v>
      </c>
      <c r="AO4" s="20" t="str">
        <f>IFERROR(__xludf.DUMMYFUNCTION("""COMPUTED_VALUE"""),"VerifyImportGridRBForValidSec")</f>
        <v>VerifyImportGridRBForValidSec</v>
      </c>
      <c r="AP4" s="20" t="str">
        <f>IFERROR(__xludf.DUMMYFUNCTION("""COMPUTED_VALUE"""),"ActionOnRSAImportGrid")</f>
        <v>ActionOnRSAImportGrid</v>
      </c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IFERROR(__xludf.DUMMYFUNCTION("""COMPUTED_VALUE"""),"Account")</f>
        <v>Account</v>
      </c>
      <c r="C5" s="22" t="str">
        <f>IFERROR(__xludf.DUMMYFUNCTION("""COMPUTED_VALUE"""),"Side")</f>
        <v>Side</v>
      </c>
      <c r="D5" s="22" t="str">
        <f>IFERROR(__xludf.DUMMYFUNCTION("""COMPUTED_VALUE"""),"Symbol")</f>
        <v>Symbol</v>
      </c>
      <c r="E5" s="22" t="str">
        <f>IFERROR(__xludf.DUMMYFUNCTION("""COMPUTED_VALUE"""),"Quantity")</f>
        <v>Quantity</v>
      </c>
      <c r="F5" s="22" t="str">
        <f>IFERROR(__xludf.DUMMYFUNCTION("""COMPUTED_VALUE"""),"Price (Local)")</f>
        <v>Price (Local)</v>
      </c>
      <c r="G5" s="22" t="str">
        <f>IFERROR(__xludf.DUMMYFUNCTION("""COMPUTED_VALUE"""),"Buy/Sell Value (Base)")</f>
        <v>Buy/Sell Value (Base)</v>
      </c>
      <c r="H5" s="22" t="str">
        <f>IFERROR(__xludf.DUMMYFUNCTION("""COMPUTED_VALUE"""),"Comments")</f>
        <v>Comments</v>
      </c>
      <c r="I5" s="22" t="str">
        <f>IFERROR(__xludf.DUMMYFUNCTION("""COMPUTED_VALUE"""),"SendToStaging")</f>
        <v>SendToStaging</v>
      </c>
      <c r="J5" s="22" t="str">
        <f>IFERROR(__xludf.DUMMYFUNCTION("""COMPUTED_VALUE"""),"Use Custodian Broker")</f>
        <v>Use Custodian Broker</v>
      </c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</row>
    <row r="6" ht="15.75" customHeight="1">
      <c r="A6" s="6"/>
      <c r="B6" s="6" t="s">
        <v>25</v>
      </c>
      <c r="C6" s="6" t="s">
        <v>18</v>
      </c>
      <c r="D6" s="6" t="s">
        <v>29</v>
      </c>
      <c r="E6" s="6">
        <v>500.0</v>
      </c>
      <c r="F6" s="6">
        <v>2.0</v>
      </c>
      <c r="G6" s="6">
        <v>1000.0</v>
      </c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5.13"/>
  </cols>
  <sheetData>
    <row r="5">
      <c r="B5" s="8" t="s">
        <v>33</v>
      </c>
      <c r="C5" s="8" t="s">
        <v>34</v>
      </c>
    </row>
    <row r="6">
      <c r="B6" s="28">
        <f>TODAY()-1</f>
        <v>45914</v>
      </c>
      <c r="C6" s="28">
        <f>TODAY()</f>
        <v>45915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5.13"/>
  </cols>
  <sheetData>
    <row r="5">
      <c r="B5" s="8" t="s">
        <v>24</v>
      </c>
      <c r="C5" s="8" t="s">
        <v>35</v>
      </c>
      <c r="D5" s="8" t="s">
        <v>36</v>
      </c>
    </row>
    <row r="6">
      <c r="B6" s="8" t="s">
        <v>25</v>
      </c>
      <c r="C6" s="8" t="s">
        <v>37</v>
      </c>
      <c r="D6" s="8">
        <v>10000.0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5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38</v>
      </c>
      <c r="D3" s="4" t="s">
        <v>9</v>
      </c>
      <c r="E3" s="11" t="s">
        <v>39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 t="str">
        <f>IFERROR(__xludf.DUMMYFUNCTION("""COMPUTED_VALUE"""),"ManageHotButton")</f>
        <v>ManageHotButton</v>
      </c>
      <c r="DI4" s="20" t="str">
        <f>IFERROR(__xludf.DUMMYFUNCTION("""COMPUTED_VALUE"""),"EditTradeAttributesWindow")</f>
        <v>EditTradeAttributesWindow</v>
      </c>
      <c r="DJ4" s="20" t="str">
        <f>IFERROR(__xludf.DUMMYFUNCTION("""COMPUTED_VALUE"""),"EditTradeAttributesOrders")</f>
        <v>EditTradeAttributesOrders</v>
      </c>
      <c r="DK4" s="20" t="str">
        <f>IFERROR(__xludf.DUMMYFUNCTION("""COMPUTED_VALUE"""),"EditTradeAttributesWorkingSub")</f>
        <v>EditTradeAttributesWorkingSub</v>
      </c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IFERROR(__xludf.DUMMYFUNCTION("""COMPUTED_VALUE"""),"Avg Fill Price (Base)")</f>
        <v>Avg Fill Price (Base)</v>
      </c>
      <c r="C5" s="22" t="str">
        <f>IFERROR(__xludf.DUMMYFUNCTION("""COMPUTED_VALUE"""),"Transaction Time")</f>
        <v>Transaction Time</v>
      </c>
      <c r="D5" s="22" t="str">
        <f>IFERROR(__xludf.DUMMYFUNCTION("""COMPUTED_VALUE"""),"Symbol")</f>
        <v>Symbol</v>
      </c>
      <c r="E5" s="22" t="str">
        <f>IFERROR(__xludf.DUMMYFUNCTION("""COMPUTED_VALUE"""),"Algo")</f>
        <v>Algo</v>
      </c>
      <c r="F5" s="22" t="str">
        <f>IFERROR(__xludf.DUMMYFUNCTION("""COMPUTED_VALUE"""),"Side")</f>
        <v>Side</v>
      </c>
      <c r="G5" s="22" t="str">
        <f>IFERROR(__xludf.DUMMYFUNCTION("""COMPUTED_VALUE"""),"Status")</f>
        <v>Status</v>
      </c>
      <c r="H5" s="22" t="str">
        <f>IFERROR(__xludf.DUMMYFUNCTION("""COMPUTED_VALUE"""),"Target Qty")</f>
        <v>Target Qty</v>
      </c>
      <c r="I5" s="22" t="str">
        <f>IFERROR(__xludf.DUMMYFUNCTION("""COMPUTED_VALUE"""),"Total Executed Qty")</f>
        <v>Total Executed Qty</v>
      </c>
      <c r="J5" s="22" t="str">
        <f>IFERROR(__xludf.DUMMYFUNCTION("""COMPUTED_VALUE"""),"% Executed")</f>
        <v>% Executed</v>
      </c>
      <c r="K5" s="22" t="str">
        <f>IFERROR(__xludf.DUMMYFUNCTION("""COMPUTED_VALUE"""),"Day Executed Qty")</f>
        <v>Day Executed Qty</v>
      </c>
      <c r="L5" s="22" t="str">
        <f>IFERROR(__xludf.DUMMYFUNCTION("""COMPUTED_VALUE"""),"Uncommitted Qty")</f>
        <v>Uncommitted Qty</v>
      </c>
      <c r="M5" s="22" t="str">
        <f>IFERROR(__xludf.DUMMYFUNCTION("""COMPUTED_VALUE"""),"Limit Price")</f>
        <v>Limit Price</v>
      </c>
      <c r="N5" s="22" t="str">
        <f>IFERROR(__xludf.DUMMYFUNCTION("""COMPUTED_VALUE"""),"Last Fill Price (Local)")</f>
        <v>Last Fill Price (Local)</v>
      </c>
      <c r="O5" s="22" t="str">
        <f>IFERROR(__xludf.DUMMYFUNCTION("""COMPUTED_VALUE"""),"Stop Price")</f>
        <v>Stop Price</v>
      </c>
      <c r="P5" s="22" t="str">
        <f>IFERROR(__xludf.DUMMYFUNCTION("""COMPUTED_VALUE"""),"Avg Fill Price (Local)")</f>
        <v>Avg Fill Price (Local)</v>
      </c>
      <c r="Q5" s="22" t="str">
        <f>IFERROR(__xludf.DUMMYFUNCTION("""COMPUTED_VALUE"""),"Broker")</f>
        <v>Broker</v>
      </c>
      <c r="R5" s="22" t="str">
        <f>IFERROR(__xludf.DUMMYFUNCTION("""COMPUTED_VALUE"""),"Account")</f>
        <v>Account</v>
      </c>
      <c r="S5" s="22" t="str">
        <f>IFERROR(__xludf.DUMMYFUNCTION("""COMPUTED_VALUE"""),"OrderID")</f>
        <v>OrderID</v>
      </c>
      <c r="T5" s="23" t="str">
        <f>IFERROR(__xludf.DUMMYFUNCTION("""COMPUTED_VALUE"""),"Order Type")</f>
        <v>Order Type</v>
      </c>
      <c r="U5" s="23" t="str">
        <f>IFERROR(__xludf.DUMMYFUNCTION("""COMPUTED_VALUE"""),"Principal Amount (Local)")</f>
        <v>Principal Amount (Local)</v>
      </c>
      <c r="V5" s="23" t="str">
        <f>IFERROR(__xludf.DUMMYFUNCTION("""COMPUTED_VALUE"""),"Principal Amount (Base)")</f>
        <v>Principal Amount (Base)</v>
      </c>
      <c r="W5" s="23" t="str">
        <f>IFERROR(__xludf.DUMMYFUNCTION("""COMPUTED_VALUE"""),"Peg")</f>
        <v>Peg</v>
      </c>
      <c r="X5" s="23" t="str">
        <f>IFERROR(__xludf.DUMMYFUNCTION("""COMPUTED_VALUE"""),"ParentClOrderID")</f>
        <v>ParentClOrderID</v>
      </c>
      <c r="Y5" s="23" t="str">
        <f>IFERROR(__xludf.DUMMYFUNCTION("""COMPUTED_VALUE"""),"Strike Price")</f>
        <v>Strike Price</v>
      </c>
      <c r="Z5" s="23" t="str">
        <f>IFERROR(__xludf.DUMMYFUNCTION("""COMPUTED_VALUE"""),"Last Shares")</f>
        <v>Last Shares</v>
      </c>
      <c r="AA5" s="23" t="str">
        <f>IFERROR(__xludf.DUMMYFUNCTION("""COMPUTED_VALUE"""),"Working Qty")</f>
        <v>Working Qty</v>
      </c>
      <c r="AB5" s="23" t="str">
        <f>IFERROR(__xludf.DUMMYFUNCTION("""COMPUTED_VALUE"""),"Bloomberg Symbol")</f>
        <v>Bloomberg Symbol</v>
      </c>
      <c r="AC5" s="23" t="str">
        <f>IFERROR(__xludf.DUMMYFUNCTION("""COMPUTED_VALUE"""),"Imported File Name")</f>
        <v>Imported File Name</v>
      </c>
      <c r="AD5" s="23" t="str">
        <f>IFERROR(__xludf.DUMMYFUNCTION("""COMPUTED_VALUE"""),"Master Fund")</f>
        <v>Master Fund</v>
      </c>
      <c r="AE5" s="23" t="str">
        <f>IFERROR(__xludf.DUMMYFUNCTION("""COMPUTED_VALUE"""),"Day Average Price")</f>
        <v>Day Average Price</v>
      </c>
      <c r="AF5" s="23" t="str">
        <f>IFERROR(__xludf.DUMMYFUNCTION("""COMPUTED_VALUE"""),"Asset Class")</f>
        <v>Asset Class</v>
      </c>
      <c r="AG5" s="23" t="str">
        <f>IFERROR(__xludf.DUMMYFUNCTION("""COMPUTED_VALUE"""),"Underlying Country")</f>
        <v>Underlying Country</v>
      </c>
      <c r="AH5" s="23" t="str">
        <f>IFERROR(__xludf.DUMMYFUNCTION("""COMPUTED_VALUE"""),"Trader")</f>
        <v>Trader</v>
      </c>
      <c r="AI5" s="23" t="str">
        <f>IFERROR(__xludf.DUMMYFUNCTION("""COMPUTED_VALUE"""),"User")</f>
        <v>User</v>
      </c>
      <c r="AJ5" s="23" t="str">
        <f>IFERROR(__xludf.DUMMYFUNCTION("""COMPUTED_VALUE"""),"Venue")</f>
        <v>Venue</v>
      </c>
      <c r="AK5" s="23" t="str">
        <f>IFERROR(__xludf.DUMMYFUNCTION("""COMPUTED_VALUE"""),"Settlement Currency")</f>
        <v>Settlement Currency</v>
      </c>
      <c r="AL5" s="23" t="str">
        <f>IFERROR(__xludf.DUMMYFUNCTION("""COMPUTED_VALUE"""),"FX Conversion Operator")</f>
        <v>FX Conversion Operator</v>
      </c>
      <c r="AM5" s="23" t="str">
        <f>IFERROR(__xludf.DUMMYFUNCTION("""COMPUTED_VALUE"""),"Process Date")</f>
        <v>Process Date</v>
      </c>
      <c r="AN5" s="23" t="str">
        <f>IFERROR(__xludf.DUMMYFUNCTION("""COMPUTED_VALUE"""),"Underlying Symbol")</f>
        <v>Underlying Symbol</v>
      </c>
      <c r="AO5" s="23" t="str">
        <f>IFERROR(__xludf.DUMMYFUNCTION("""COMPUTED_VALUE"""),"Put/Call")</f>
        <v>Put/Call</v>
      </c>
      <c r="AP5" s="23" t="str">
        <f>IFERROR(__xludf.DUMMYFUNCTION("""COMPUTED_VALUE"""),"FX Rate")</f>
        <v>FX Rate</v>
      </c>
      <c r="AQ5" s="23" t="str">
        <f>IFERROR(__xludf.DUMMYFUNCTION("""COMPUTED_VALUE"""),"Trade Attribute 1")</f>
        <v>Trade Attribute 1</v>
      </c>
      <c r="AR5" s="23" t="str">
        <f>IFERROR(__xludf.DUMMYFUNCTION("""COMPUTED_VALUE"""),"Trade Attribute 2")</f>
        <v>Trade Attribute 2</v>
      </c>
      <c r="AS5" s="23" t="str">
        <f>IFERROR(__xludf.DUMMYFUNCTION("""COMPUTED_VALUE"""),"Trade Attribute 3")</f>
        <v>Trade Attribute 3</v>
      </c>
      <c r="AT5" s="23" t="str">
        <f>IFERROR(__xludf.DUMMYFUNCTION("""COMPUTED_VALUE"""),"Trade Attribute 4")</f>
        <v>Trade Attribute 4</v>
      </c>
      <c r="AU5" s="23" t="str">
        <f>IFERROR(__xludf.DUMMYFUNCTION("""COMPUTED_VALUE"""),"Trade Attribute 5")</f>
        <v>Trade Attribute 5</v>
      </c>
      <c r="AV5" s="23" t="str">
        <f>IFERROR(__xludf.DUMMYFUNCTION("""COMPUTED_VALUE"""),"Trade Attribute 6")</f>
        <v>Trade Attribute 6</v>
      </c>
      <c r="AW5" s="23" t="str">
        <f>IFERROR(__xludf.DUMMYFUNCTION("""COMPUTED_VALUE"""),"Internal Comments")</f>
        <v>Internal Comments</v>
      </c>
      <c r="AX5" s="23" t="str">
        <f>IFERROR(__xludf.DUMMYFUNCTION("""COMPUTED_VALUE"""),"Allocation Scheme Name")</f>
        <v>Allocation Scheme Name</v>
      </c>
      <c r="AY5" s="23" t="str">
        <f>IFERROR(__xludf.DUMMYFUNCTION("""COMPUTED_VALUE"""),"Start of Day Qty")</f>
        <v>Start of Day Qty</v>
      </c>
      <c r="AZ5" s="23" t="str">
        <f>IFERROR(__xludf.DUMMYFUNCTION("""COMPUTED_VALUE"""),"Leaves")</f>
        <v>Leaves</v>
      </c>
      <c r="BA5" s="23" t="str">
        <f>IFERROR(__xludf.DUMMYFUNCTION("""COMPUTED_VALUE"""),"CheckBox")</f>
        <v>CheckBox</v>
      </c>
      <c r="BB5" s="23" t="str">
        <f>IFERROR(__xludf.DUMMYFUNCTION("""COMPUTED_VALUE"""),"Action on toolbar")</f>
        <v>Action on toolbar</v>
      </c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</row>
    <row r="6" ht="15.75" customHeight="1">
      <c r="A6" s="6"/>
      <c r="B6" s="6"/>
      <c r="C6" s="6"/>
      <c r="D6" s="6" t="s">
        <v>16</v>
      </c>
      <c r="E6" s="6"/>
      <c r="F6" s="6" t="s">
        <v>18</v>
      </c>
      <c r="G6" s="6" t="s">
        <v>40</v>
      </c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5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38</v>
      </c>
      <c r="D3" s="4" t="s">
        <v>9</v>
      </c>
      <c r="E3" s="11" t="s">
        <v>41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 t="str">
        <f>IFERROR(__xludf.DUMMYFUNCTION("""COMPUTED_VALUE"""),"ManageHotButton")</f>
        <v>ManageHotButton</v>
      </c>
      <c r="DI4" s="20" t="str">
        <f>IFERROR(__xludf.DUMMYFUNCTION("""COMPUTED_VALUE"""),"EditTradeAttributesWindow")</f>
        <v>EditTradeAttributesWindow</v>
      </c>
      <c r="DJ4" s="20" t="str">
        <f>IFERROR(__xludf.DUMMYFUNCTION("""COMPUTED_VALUE"""),"EditTradeAttributesOrders")</f>
        <v>EditTradeAttributesOrders</v>
      </c>
      <c r="DK4" s="20" t="str">
        <f>IFERROR(__xludf.DUMMYFUNCTION("""COMPUTED_VALUE"""),"EditTradeAttributesWorkingSub")</f>
        <v>EditTradeAttributesWorkingSub</v>
      </c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IFERROR(__xludf.DUMMYFUNCTION("""COMPUTED_VALUE"""),"User")</f>
        <v>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6")</f>
        <v>Trade Attribute 6</v>
      </c>
      <c r="N5" s="22" t="str">
        <f>IFERROR(__xludf.DUMMYFUNCTION("""COMPUTED_VALUE"""),"Trade Attribute 5")</f>
        <v>Trade Attribute 5</v>
      </c>
      <c r="O5" s="22" t="str">
        <f>IFERROR(__xludf.DUMMYFUNCTION("""COMPUTED_VALUE"""),"Trade Attribute 4")</f>
        <v>Trade Attribute 4</v>
      </c>
      <c r="P5" s="22" t="str">
        <f>IFERROR(__xludf.DUMMYFUNCTION("""COMPUTED_VALUE"""),"Trade Attribute 3")</f>
        <v>Trade Attribute 3</v>
      </c>
      <c r="Q5" s="22" t="str">
        <f>IFERROR(__xludf.DUMMYFUNCTION("""COMPUTED_VALUE"""),"Trade Attribute 1")</f>
        <v>Trade Attribute 1</v>
      </c>
      <c r="R5" s="22" t="str">
        <f>IFERROR(__xludf.DUMMYFUNCTION("""COMPUTED_VALUE"""),"Trade Attribute 2")</f>
        <v>Trade Attribute 2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Currency")</f>
        <v>Settlement Currency</v>
      </c>
      <c r="V5" s="23" t="str">
        <f>IFERROR(__xludf.DUMMYFUNCTION("""COMPUTED_VALUE"""),"Put/Call")</f>
        <v>Put/Call</v>
      </c>
      <c r="W5" s="23" t="str">
        <f>IFERROR(__xludf.DUMMYFUNCTION("""COMPUTED_VALUE"""),"Process Date")</f>
        <v>Process Date</v>
      </c>
      <c r="X5" s="23" t="str">
        <f>IFERROR(__xludf.DUMMYFUNCTION("""COMPUTED_VALUE"""),"Peg")</f>
        <v>Peg</v>
      </c>
      <c r="Y5" s="23" t="str">
        <f>IFERROR(__xludf.DUMMYFUNCTION("""COMPUTED_VALUE"""),"ParentClOrderID")</f>
        <v>ParentClOrderID</v>
      </c>
      <c r="Z5" s="23" t="str">
        <f>IFERROR(__xludf.DUMMYFUNCTION("""COMPUTED_VALUE"""),"OrderID")</f>
        <v>OrderID</v>
      </c>
      <c r="AA5" s="23" t="str">
        <f>IFERROR(__xludf.DUMMYFUNCTION("""COMPUTED_VALUE"""),"Master Fund")</f>
        <v>Master Fund</v>
      </c>
      <c r="AB5" s="23" t="str">
        <f>IFERROR(__xludf.DUMMYFUNCTION("""COMPUTED_VALUE"""),"Last Shares")</f>
        <v>Last Shares</v>
      </c>
      <c r="AC5" s="23" t="str">
        <f>IFERROR(__xludf.DUMMYFUNCTION("""COMPUTED_VALUE"""),"Internal Comments")</f>
        <v>Internal Comments</v>
      </c>
      <c r="AD5" s="23" t="str">
        <f>IFERROR(__xludf.DUMMYFUNCTION("""COMPUTED_VALUE"""),"FX Rate")</f>
        <v>FX Rate</v>
      </c>
      <c r="AE5" s="23" t="str">
        <f>IFERROR(__xludf.DUMMYFUNCTION("""COMPUTED_VALUE"""),"Imported File Name")</f>
        <v>Imported File Name</v>
      </c>
      <c r="AF5" s="23" t="str">
        <f>IFERROR(__xludf.DUMMYFUNCTION("""COMPUTED_VALUE"""),"FX Conversion Operator")</f>
        <v>FX Conversion Operator</v>
      </c>
      <c r="AG5" s="23" t="str">
        <f>IFERROR(__xludf.DUMMYFUNCTION("""COMPUTED_VALUE"""),"Day Average Price")</f>
        <v>Day Average Price</v>
      </c>
      <c r="AH5" s="23" t="str">
        <f>IFERROR(__xludf.DUMMYFUNCTION("""COMPUTED_VALUE"""),"Asset Class")</f>
        <v>Asset Class</v>
      </c>
      <c r="AI5" s="23" t="str">
        <f>IFERROR(__xludf.DUMMYFUNCTION("""COMPUTED_VALUE"""),"Symbol")</f>
        <v>Symbol</v>
      </c>
      <c r="AJ5" s="23" t="str">
        <f>IFERROR(__xludf.DUMMYFUNCTION("""COMPUTED_VALUE"""),"Side")</f>
        <v>Side</v>
      </c>
      <c r="AK5" s="23" t="str">
        <f>IFERROR(__xludf.DUMMYFUNCTION("""COMPUTED_VALUE"""),"Status")</f>
        <v>Status</v>
      </c>
      <c r="AL5" s="23" t="str">
        <f>IFERROR(__xludf.DUMMYFUNCTION("""COMPUTED_VALUE"""),"Target Qty")</f>
        <v>Target Qty</v>
      </c>
      <c r="AM5" s="23" t="str">
        <f>IFERROR(__xludf.DUMMYFUNCTION("""COMPUTED_VALUE"""),"Total Executed Qty")</f>
        <v>Total Executed Qty</v>
      </c>
      <c r="AN5" s="23" t="str">
        <f>IFERROR(__xludf.DUMMYFUNCTION("""COMPUTED_VALUE"""),"% Executed")</f>
        <v>% Executed</v>
      </c>
      <c r="AO5" s="23" t="str">
        <f>IFERROR(__xludf.DUMMYFUNCTION("""COMPUTED_VALUE"""),"Day Executed Qty")</f>
        <v>Day Executed Qty</v>
      </c>
      <c r="AP5" s="23" t="str">
        <f>IFERROR(__xludf.DUMMYFUNCTION("""COMPUTED_VALUE"""),"Uncommitted Qty")</f>
        <v>Uncommitted Qty</v>
      </c>
      <c r="AQ5" s="23" t="str">
        <f>IFERROR(__xludf.DUMMYFUNCTION("""COMPUTED_VALUE"""),"Last Fill Price (Local)")</f>
        <v>Last Fill Price (Local)</v>
      </c>
      <c r="AR5" s="23" t="str">
        <f>IFERROR(__xludf.DUMMYFUNCTION("""COMPUTED_VALUE"""),"Avg Fill Price (Local)")</f>
        <v>Avg Fill Price (Local)</v>
      </c>
      <c r="AS5" s="23" t="str">
        <f>IFERROR(__xludf.DUMMYFUNCTION("""COMPUTED_VALUE"""),"Broker")</f>
        <v>Broker</v>
      </c>
      <c r="AT5" s="23" t="str">
        <f>IFERROR(__xludf.DUMMYFUNCTION("""COMPUTED_VALUE"""),"Account")</f>
        <v>Account</v>
      </c>
      <c r="AU5" s="23" t="str">
        <f>IFERROR(__xludf.DUMMYFUNCTION("""COMPUTED_VALUE"""),"Order Type")</f>
        <v>Order Type</v>
      </c>
      <c r="AV5" s="23" t="str">
        <f>IFERROR(__xludf.DUMMYFUNCTION("""COMPUTED_VALUE"""),"Principal Amount (Local)")</f>
        <v>Principal Amount (Local)</v>
      </c>
      <c r="AW5" s="23" t="str">
        <f>IFERROR(__xludf.DUMMYFUNCTION("""COMPUTED_VALUE"""),"Principal Amount (Base)")</f>
        <v>Principal Amount (Base)</v>
      </c>
      <c r="AX5" s="23" t="str">
        <f>IFERROR(__xludf.DUMMYFUNCTION("""COMPUTED_VALUE"""),"Allocation Scheme Name")</f>
        <v>Allocation Scheme Name</v>
      </c>
      <c r="AY5" s="23" t="str">
        <f>IFERROR(__xludf.DUMMYFUNCTION("""COMPUTED_VALUE"""),"Status (With Rollover)")</f>
        <v>Status (With Rollover)</v>
      </c>
      <c r="AZ5" s="23" t="str">
        <f>IFERROR(__xludf.DUMMYFUNCTION("""COMPUTED_VALUE"""),"Start of Day Qty")</f>
        <v>Start of Day Qty</v>
      </c>
      <c r="BA5" s="23" t="str">
        <f>IFERROR(__xludf.DUMMYFUNCTION("""COMPUTED_VALUE"""),"Leaves")</f>
        <v>Leaves</v>
      </c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I6" s="8" t="s">
        <v>16</v>
      </c>
      <c r="AJ6" s="8" t="s">
        <v>18</v>
      </c>
      <c r="AK6" s="8" t="s">
        <v>40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IFERROR(__xludf.DUMMYFUNCTION("""COMPUTED_VALUE"""),"Quantity")</f>
        <v>Quantity</v>
      </c>
      <c r="D5" s="22" t="str">
        <f>IFERROR(__xludf.DUMMYFUNCTION("""COMPUTED_VALUE"""),"Price")</f>
        <v>Price</v>
      </c>
      <c r="E5" s="22" t="str">
        <f>IFERROR(__xludf.DUMMYFUNCTION("""COMPUTED_VALUE"""),"Order type button")</f>
        <v>Order type button</v>
      </c>
      <c r="F5" s="22" t="str">
        <f>IFERROR(__xludf.DUMMYFUNCTION("""COMPUTED_VALUE"""),"SharesOutstandingPopUp")</f>
        <v>SharesOutstandingPopUp</v>
      </c>
      <c r="G5" s="22" t="str">
        <f>IFERROR(__xludf.DUMMYFUNCTION("""COMPUTED_VALUE"""),"TT_Open")</f>
        <v>TT_Open</v>
      </c>
      <c r="H5" s="22" t="str">
        <f>IFERROR(__xludf.DUMMYFUNCTION("""COMPUTED_VALUE"""),"SharesOutstandingPopUpQty")</f>
        <v>SharesOutstandingPopUpQty</v>
      </c>
      <c r="I5" s="22" t="str">
        <f>IFERROR(__xludf.DUMMYFUNCTION("""COMPUTED_VALUE"""),"AllocationMethod")</f>
        <v>AllocationMethod</v>
      </c>
      <c r="J5" s="22" t="str">
        <f>IFERROR(__xludf.DUMMYFUNCTION("""COMPUTED_VALUE"""),"Order Side")</f>
        <v>Order Side</v>
      </c>
      <c r="K5" s="22" t="str">
        <f>IFERROR(__xludf.DUMMYFUNCTION("""COMPUTED_VALUE"""),"DB_Check")</f>
        <v>DB_Check</v>
      </c>
      <c r="L5" s="22" t="str">
        <f>IFERROR(__xludf.DUMMYFUNCTION("""COMPUTED_VALUE"""),"CommissionBasis")</f>
        <v>CommissionBasis</v>
      </c>
      <c r="M5" s="22" t="str">
        <f>IFERROR(__xludf.DUMMYFUNCTION("""COMPUTED_VALUE"""),"CommissionRate")</f>
        <v>CommissionRate</v>
      </c>
      <c r="N5" s="22" t="str">
        <f>IFERROR(__xludf.DUMMYFUNCTION("""COMPUTED_VALUE"""),"SoftBasis")</f>
        <v>SoftBasis</v>
      </c>
      <c r="O5" s="22" t="str">
        <f>IFERROR(__xludf.DUMMYFUNCTION("""COMPUTED_VALUE"""),"SoftRate")</f>
        <v>SoftRate</v>
      </c>
      <c r="P5" s="22" t="str">
        <f>IFERROR(__xludf.DUMMYFUNCTION("""COMPUTED_VALUE"""),"Account")</f>
        <v>Account</v>
      </c>
      <c r="Q5" s="22" t="str">
        <f>IFERROR(__xludf.DUMMYFUNCTION("""COMPUTED_VALUE"""),"Account %")</f>
        <v>Account %</v>
      </c>
      <c r="R5" s="22" t="str">
        <f>IFERROR(__xludf.DUMMYFUNCTION("""COMPUTED_VALUE"""),"VerifySuggestions")</f>
        <v>VerifySuggestions</v>
      </c>
      <c r="S5" s="22" t="str">
        <f>IFERROR(__xludf.DUMMYFUNCTION("""COMPUTED_VALUE"""),"SymbolToPickFromSuggesstions")</f>
        <v>SymbolToPickFromSuggesstions</v>
      </c>
      <c r="T5" s="23" t="str">
        <f>IFERROR(__xludf.DUMMYFUNCTION("""COMPUTED_VALUE"""),"TypedSymbolAvailableOnSuggestion")</f>
        <v>TypedSymbolAvailableOnSuggestion</v>
      </c>
      <c r="U5" s="23" t="str">
        <f>IFERROR(__xludf.DUMMYFUNCTION("""COMPUTED_VALUE"""),"TIF")</f>
        <v>TIF</v>
      </c>
      <c r="V5" s="23" t="str">
        <f>IFERROR(__xludf.DUMMYFUNCTION("""COMPUTED_VALUE"""),"Order Type")</f>
        <v>Order Type</v>
      </c>
      <c r="W5" s="23" t="str">
        <f>IFERROR(__xludf.DUMMYFUNCTION("""COMPUTED_VALUE"""),"Stop")</f>
        <v>Stop</v>
      </c>
      <c r="X5" s="23" t="str">
        <f>IFERROR(__xludf.DUMMYFUNCTION("""COMPUTED_VALUE"""),"Limit")</f>
        <v>Limit</v>
      </c>
      <c r="Y5" s="23" t="str">
        <f>IFERROR(__xludf.DUMMYFUNCTION("""COMPUTED_VALUE"""),"Expiration Date")</f>
        <v>Expiration Date</v>
      </c>
      <c r="Z5" s="23" t="str">
        <f>IFERROR(__xludf.DUMMYFUNCTION("""COMPUTED_VALUE"""),"Trade Date")</f>
        <v>Trade Date</v>
      </c>
      <c r="AA5" s="23" t="str">
        <f>IFERROR(__xludf.DUMMYFUNCTION("""COMPUTED_VALUE"""),"Broker")</f>
        <v>Broker</v>
      </c>
      <c r="AB5" s="23" t="str">
        <f>IFERROR(__xludf.DUMMYFUNCTION("""COMPUTED_VALUE"""),"Padlock Visiblity")</f>
        <v>Padlock Visiblity</v>
      </c>
      <c r="AC5" s="23" t="str">
        <f>IFERROR(__xludf.DUMMYFUNCTION("""COMPUTED_VALUE"""),"Padlock Unlock")</f>
        <v>Padlock Unlock</v>
      </c>
      <c r="AD5" s="23" t="str">
        <f>IFERROR(__xludf.DUMMYFUNCTION("""COMPUTED_VALUE"""),"Venue")</f>
        <v>Venue</v>
      </c>
      <c r="AE5" s="23" t="str">
        <f>IFERROR(__xludf.DUMMYFUNCTION("""COMPUTED_VALUE"""),"Fx Rate")</f>
        <v>Fx Rate</v>
      </c>
      <c r="AF5" s="23" t="str">
        <f>IFERROR(__xludf.DUMMYFUNCTION("""COMPUTED_VALUE"""),"Fx Operator")</f>
        <v>Fx Operator</v>
      </c>
      <c r="AG5" s="23" t="str">
        <f>IFERROR(__xludf.DUMMYFUNCTION("""COMPUTED_VALUE"""),"PendingApprovalPopUp")</f>
        <v>PendingApprovalPopUp</v>
      </c>
      <c r="AH5" s="23" t="str">
        <f>IFERROR(__xludf.DUMMYFUNCTION("""COMPUTED_VALUE"""),"TradeBy")</f>
        <v>TradeBy</v>
      </c>
      <c r="AI5" s="23" t="str">
        <f>IFERROR(__xludf.DUMMYFUNCTION("""COMPUTED_VALUE"""),"BookAsSwap")</f>
        <v>BookAsSwap</v>
      </c>
      <c r="AJ5" s="23" t="str">
        <f>IFERROR(__xludf.DUMMYFUNCTION("""COMPUTED_VALUE"""),"RoundLot")</f>
        <v>RoundLot</v>
      </c>
      <c r="AK5" s="23" t="str">
        <f>IFERROR(__xludf.DUMMYFUNCTION("""COMPUTED_VALUE"""),"Increment")</f>
        <v>Increment</v>
      </c>
      <c r="AL5" s="23" t="str">
        <f>IFERROR(__xludf.DUMMYFUNCTION("""COMPUTED_VALUE"""),"Decrement")</f>
        <v>Decrement</v>
      </c>
      <c r="AM5" s="23" t="str">
        <f>IFERROR(__xludf.DUMMYFUNCTION("""COMPUTED_VALUE"""),"Trade Attribute 01")</f>
        <v>Trade Attribute 01</v>
      </c>
      <c r="AN5" s="23" t="str">
        <f>IFERROR(__xludf.DUMMYFUNCTION("""COMPUTED_VALUE"""),"Trade Attribute 02")</f>
        <v>Trade Attribute 02</v>
      </c>
      <c r="AO5" s="23" t="str">
        <f>IFERROR(__xludf.DUMMYFUNCTION("""COMPUTED_VALUE"""),"Trade Attribute 03")</f>
        <v>Trade Attribute 03</v>
      </c>
      <c r="AP5" s="23" t="str">
        <f>IFERROR(__xludf.DUMMYFUNCTION("""COMPUTED_VALUE"""),"Trade Attribute 04")</f>
        <v>Trade Attribute 04</v>
      </c>
      <c r="AQ5" s="23" t="str">
        <f>IFERROR(__xludf.DUMMYFUNCTION("""COMPUTED_VALUE"""),"Trade Attribute 05")</f>
        <v>Trade Attribute 05</v>
      </c>
      <c r="AR5" s="23" t="str">
        <f>IFERROR(__xludf.DUMMYFUNCTION("""COMPUTED_VALUE"""),"Trade Attribute 06")</f>
        <v>Trade Attribute 06</v>
      </c>
      <c r="AS5" s="23" t="str">
        <f>IFERROR(__xludf.DUMMYFUNCTION("""COMPUTED_VALUE"""),"Trade Attribute 01 suggestion")</f>
        <v>Trade Attribute 01 suggestion</v>
      </c>
      <c r="AT5" s="23" t="str">
        <f>IFERROR(__xludf.DUMMYFUNCTION("""COMPUTED_VALUE"""),"Trade Attribute 02 suggestion")</f>
        <v>Trade Attribute 02 suggestion</v>
      </c>
      <c r="AU5" s="23" t="str">
        <f>IFERROR(__xludf.DUMMYFUNCTION("""COMPUTED_VALUE"""),"Trade Attribute 03 suggestion")</f>
        <v>Trade Attribute 03 suggestion</v>
      </c>
      <c r="AV5" s="23" t="str">
        <f>IFERROR(__xludf.DUMMYFUNCTION("""COMPUTED_VALUE"""),"Trade Attribute 04 suggestion")</f>
        <v>Trade Attribute 04 suggestion</v>
      </c>
      <c r="AW5" s="23" t="str">
        <f>IFERROR(__xludf.DUMMYFUNCTION("""COMPUTED_VALUE"""),"Trade Attribute 05 suggestion")</f>
        <v>Trade Attribute 05 suggestion</v>
      </c>
      <c r="AX5" s="23" t="str">
        <f>IFERROR(__xludf.DUMMYFUNCTION("""COMPUTED_VALUE"""),"Trade Attribute 06 suggestion")</f>
        <v>Trade Attribute 06 suggestion</v>
      </c>
      <c r="AY5" s="23" t="str">
        <f>IFERROR(__xludf.DUMMYFUNCTION("""COMPUTED_VALUE"""),"Strategy")</f>
        <v>Strategy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6"/>
      <c r="B6" s="6"/>
      <c r="C6" s="6"/>
      <c r="D6" s="6">
        <v>10.0</v>
      </c>
      <c r="E6" s="6" t="s">
        <v>17</v>
      </c>
      <c r="F6" s="6"/>
      <c r="G6" s="6"/>
      <c r="H6" s="6"/>
      <c r="I6" s="6"/>
      <c r="J6" s="6"/>
      <c r="K6" s="6"/>
      <c r="L6" s="6"/>
      <c r="M6" s="6"/>
      <c r="N6" s="6"/>
      <c r="O6" s="6"/>
      <c r="AY6" s="8" t="s">
        <v>42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5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38</v>
      </c>
      <c r="D3" s="4" t="s">
        <v>9</v>
      </c>
      <c r="E3" s="11" t="s">
        <v>39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 t="str">
        <f>IFERROR(__xludf.DUMMYFUNCTION("""COMPUTED_VALUE"""),"ManageHotButton")</f>
        <v>ManageHotButton</v>
      </c>
      <c r="DI4" s="20" t="str">
        <f>IFERROR(__xludf.DUMMYFUNCTION("""COMPUTED_VALUE"""),"EditTradeAttributesWindow")</f>
        <v>EditTradeAttributesWindow</v>
      </c>
      <c r="DJ4" s="20" t="str">
        <f>IFERROR(__xludf.DUMMYFUNCTION("""COMPUTED_VALUE"""),"EditTradeAttributesOrders")</f>
        <v>EditTradeAttributesOrders</v>
      </c>
      <c r="DK4" s="20" t="str">
        <f>IFERROR(__xludf.DUMMYFUNCTION("""COMPUTED_VALUE"""),"EditTradeAttributesWorkingSub")</f>
        <v>EditTradeAttributesWorkingSub</v>
      </c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IFERROR(__xludf.DUMMYFUNCTION("""COMPUTED_VALUE"""),"Avg Fill Price (Base)")</f>
        <v>Avg Fill Price (Base)</v>
      </c>
      <c r="C5" s="22" t="str">
        <f>IFERROR(__xludf.DUMMYFUNCTION("""COMPUTED_VALUE"""),"Transaction Time")</f>
        <v>Transaction Time</v>
      </c>
      <c r="D5" s="22" t="str">
        <f>IFERROR(__xludf.DUMMYFUNCTION("""COMPUTED_VALUE"""),"Symbol")</f>
        <v>Symbol</v>
      </c>
      <c r="E5" s="22" t="str">
        <f>IFERROR(__xludf.DUMMYFUNCTION("""COMPUTED_VALUE"""),"Algo")</f>
        <v>Algo</v>
      </c>
      <c r="F5" s="22" t="str">
        <f>IFERROR(__xludf.DUMMYFUNCTION("""COMPUTED_VALUE"""),"Side")</f>
        <v>Side</v>
      </c>
      <c r="G5" s="22" t="str">
        <f>IFERROR(__xludf.DUMMYFUNCTION("""COMPUTED_VALUE"""),"Status")</f>
        <v>Status</v>
      </c>
      <c r="H5" s="22" t="str">
        <f>IFERROR(__xludf.DUMMYFUNCTION("""COMPUTED_VALUE"""),"Target Qty")</f>
        <v>Target Qty</v>
      </c>
      <c r="I5" s="22" t="str">
        <f>IFERROR(__xludf.DUMMYFUNCTION("""COMPUTED_VALUE"""),"Total Executed Qty")</f>
        <v>Total Executed Qty</v>
      </c>
      <c r="J5" s="22" t="str">
        <f>IFERROR(__xludf.DUMMYFUNCTION("""COMPUTED_VALUE"""),"% Executed")</f>
        <v>% Executed</v>
      </c>
      <c r="K5" s="22" t="str">
        <f>IFERROR(__xludf.DUMMYFUNCTION("""COMPUTED_VALUE"""),"Day Executed Qty")</f>
        <v>Day Executed Qty</v>
      </c>
      <c r="L5" s="22" t="str">
        <f>IFERROR(__xludf.DUMMYFUNCTION("""COMPUTED_VALUE"""),"Uncommitted Qty")</f>
        <v>Uncommitted Qty</v>
      </c>
      <c r="M5" s="22" t="str">
        <f>IFERROR(__xludf.DUMMYFUNCTION("""COMPUTED_VALUE"""),"Limit Price")</f>
        <v>Limit Price</v>
      </c>
      <c r="N5" s="22" t="str">
        <f>IFERROR(__xludf.DUMMYFUNCTION("""COMPUTED_VALUE"""),"Last Fill Price (Local)")</f>
        <v>Last Fill Price (Local)</v>
      </c>
      <c r="O5" s="22" t="str">
        <f>IFERROR(__xludf.DUMMYFUNCTION("""COMPUTED_VALUE"""),"Stop Price")</f>
        <v>Stop Price</v>
      </c>
      <c r="P5" s="22" t="str">
        <f>IFERROR(__xludf.DUMMYFUNCTION("""COMPUTED_VALUE"""),"Avg Fill Price (Local)")</f>
        <v>Avg Fill Price (Local)</v>
      </c>
      <c r="Q5" s="22" t="str">
        <f>IFERROR(__xludf.DUMMYFUNCTION("""COMPUTED_VALUE"""),"Broker")</f>
        <v>Broker</v>
      </c>
      <c r="R5" s="22" t="str">
        <f>IFERROR(__xludf.DUMMYFUNCTION("""COMPUTED_VALUE"""),"Account")</f>
        <v>Account</v>
      </c>
      <c r="S5" s="22" t="str">
        <f>IFERROR(__xludf.DUMMYFUNCTION("""COMPUTED_VALUE"""),"OrderID")</f>
        <v>OrderID</v>
      </c>
      <c r="T5" s="23" t="str">
        <f>IFERROR(__xludf.DUMMYFUNCTION("""COMPUTED_VALUE"""),"Order Type")</f>
        <v>Order Type</v>
      </c>
      <c r="U5" s="23" t="str">
        <f>IFERROR(__xludf.DUMMYFUNCTION("""COMPUTED_VALUE"""),"Principal Amount (Local)")</f>
        <v>Principal Amount (Local)</v>
      </c>
      <c r="V5" s="23" t="str">
        <f>IFERROR(__xludf.DUMMYFUNCTION("""COMPUTED_VALUE"""),"Principal Amount (Base)")</f>
        <v>Principal Amount (Base)</v>
      </c>
      <c r="W5" s="23" t="str">
        <f>IFERROR(__xludf.DUMMYFUNCTION("""COMPUTED_VALUE"""),"Peg")</f>
        <v>Peg</v>
      </c>
      <c r="X5" s="23" t="str">
        <f>IFERROR(__xludf.DUMMYFUNCTION("""COMPUTED_VALUE"""),"ParentClOrderID")</f>
        <v>ParentClOrderID</v>
      </c>
      <c r="Y5" s="23" t="str">
        <f>IFERROR(__xludf.DUMMYFUNCTION("""COMPUTED_VALUE"""),"Strike Price")</f>
        <v>Strike Price</v>
      </c>
      <c r="Z5" s="23" t="str">
        <f>IFERROR(__xludf.DUMMYFUNCTION("""COMPUTED_VALUE"""),"Last Shares")</f>
        <v>Last Shares</v>
      </c>
      <c r="AA5" s="23" t="str">
        <f>IFERROR(__xludf.DUMMYFUNCTION("""COMPUTED_VALUE"""),"Working Qty")</f>
        <v>Working Qty</v>
      </c>
      <c r="AB5" s="23" t="str">
        <f>IFERROR(__xludf.DUMMYFUNCTION("""COMPUTED_VALUE"""),"Bloomberg Symbol")</f>
        <v>Bloomberg Symbol</v>
      </c>
      <c r="AC5" s="23" t="str">
        <f>IFERROR(__xludf.DUMMYFUNCTION("""COMPUTED_VALUE"""),"Imported File Name")</f>
        <v>Imported File Name</v>
      </c>
      <c r="AD5" s="23" t="str">
        <f>IFERROR(__xludf.DUMMYFUNCTION("""COMPUTED_VALUE"""),"Master Fund")</f>
        <v>Master Fund</v>
      </c>
      <c r="AE5" s="23" t="str">
        <f>IFERROR(__xludf.DUMMYFUNCTION("""COMPUTED_VALUE"""),"Day Average Price")</f>
        <v>Day Average Price</v>
      </c>
      <c r="AF5" s="23" t="str">
        <f>IFERROR(__xludf.DUMMYFUNCTION("""COMPUTED_VALUE"""),"Asset Class")</f>
        <v>Asset Class</v>
      </c>
      <c r="AG5" s="23" t="str">
        <f>IFERROR(__xludf.DUMMYFUNCTION("""COMPUTED_VALUE"""),"Underlying Country")</f>
        <v>Underlying Country</v>
      </c>
      <c r="AH5" s="23" t="str">
        <f>IFERROR(__xludf.DUMMYFUNCTION("""COMPUTED_VALUE"""),"Trader")</f>
        <v>Trader</v>
      </c>
      <c r="AI5" s="23" t="str">
        <f>IFERROR(__xludf.DUMMYFUNCTION("""COMPUTED_VALUE"""),"User")</f>
        <v>User</v>
      </c>
      <c r="AJ5" s="23" t="str">
        <f>IFERROR(__xludf.DUMMYFUNCTION("""COMPUTED_VALUE"""),"Venue")</f>
        <v>Venue</v>
      </c>
      <c r="AK5" s="23" t="str">
        <f>IFERROR(__xludf.DUMMYFUNCTION("""COMPUTED_VALUE"""),"Settlement Currency")</f>
        <v>Settlement Currency</v>
      </c>
      <c r="AL5" s="23" t="str">
        <f>IFERROR(__xludf.DUMMYFUNCTION("""COMPUTED_VALUE"""),"FX Conversion Operator")</f>
        <v>FX Conversion Operator</v>
      </c>
      <c r="AM5" s="23" t="str">
        <f>IFERROR(__xludf.DUMMYFUNCTION("""COMPUTED_VALUE"""),"Process Date")</f>
        <v>Process Date</v>
      </c>
      <c r="AN5" s="23" t="str">
        <f>IFERROR(__xludf.DUMMYFUNCTION("""COMPUTED_VALUE"""),"Underlying Symbol")</f>
        <v>Underlying Symbol</v>
      </c>
      <c r="AO5" s="23" t="str">
        <f>IFERROR(__xludf.DUMMYFUNCTION("""COMPUTED_VALUE"""),"Put/Call")</f>
        <v>Put/Call</v>
      </c>
      <c r="AP5" s="23" t="str">
        <f>IFERROR(__xludf.DUMMYFUNCTION("""COMPUTED_VALUE"""),"FX Rate")</f>
        <v>FX Rate</v>
      </c>
      <c r="AQ5" s="23" t="str">
        <f>IFERROR(__xludf.DUMMYFUNCTION("""COMPUTED_VALUE"""),"Trade Attribute 1")</f>
        <v>Trade Attribute 1</v>
      </c>
      <c r="AR5" s="23" t="str">
        <f>IFERROR(__xludf.DUMMYFUNCTION("""COMPUTED_VALUE"""),"Trade Attribute 2")</f>
        <v>Trade Attribute 2</v>
      </c>
      <c r="AS5" s="23" t="str">
        <f>IFERROR(__xludf.DUMMYFUNCTION("""COMPUTED_VALUE"""),"Trade Attribute 3")</f>
        <v>Trade Attribute 3</v>
      </c>
      <c r="AT5" s="23" t="str">
        <f>IFERROR(__xludf.DUMMYFUNCTION("""COMPUTED_VALUE"""),"Trade Attribute 4")</f>
        <v>Trade Attribute 4</v>
      </c>
      <c r="AU5" s="23" t="str">
        <f>IFERROR(__xludf.DUMMYFUNCTION("""COMPUTED_VALUE"""),"Trade Attribute 5")</f>
        <v>Trade Attribute 5</v>
      </c>
      <c r="AV5" s="23" t="str">
        <f>IFERROR(__xludf.DUMMYFUNCTION("""COMPUTED_VALUE"""),"Trade Attribute 6")</f>
        <v>Trade Attribute 6</v>
      </c>
      <c r="AW5" s="23" t="str">
        <f>IFERROR(__xludf.DUMMYFUNCTION("""COMPUTED_VALUE"""),"Internal Comments")</f>
        <v>Internal Comments</v>
      </c>
      <c r="AX5" s="23" t="str">
        <f>IFERROR(__xludf.DUMMYFUNCTION("""COMPUTED_VALUE"""),"Allocation Scheme Name")</f>
        <v>Allocation Scheme Name</v>
      </c>
      <c r="AY5" s="23" t="str">
        <f>IFERROR(__xludf.DUMMYFUNCTION("""COMPUTED_VALUE"""),"Start of Day Qty")</f>
        <v>Start of Day Qty</v>
      </c>
      <c r="AZ5" s="23" t="str">
        <f>IFERROR(__xludf.DUMMYFUNCTION("""COMPUTED_VALUE"""),"Leaves")</f>
        <v>Leaves</v>
      </c>
      <c r="BA5" s="23" t="str">
        <f>IFERROR(__xludf.DUMMYFUNCTION("""COMPUTED_VALUE"""),"CheckBox")</f>
        <v>CheckBox</v>
      </c>
      <c r="BB5" s="23" t="str">
        <f>IFERROR(__xludf.DUMMYFUNCTION("""COMPUTED_VALUE"""),"Action on toolbar")</f>
        <v>Action on toolbar</v>
      </c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</row>
    <row r="6" ht="15.75" customHeight="1">
      <c r="A6" s="6"/>
      <c r="B6" s="6"/>
      <c r="C6" s="6"/>
      <c r="D6" s="6" t="s">
        <v>29</v>
      </c>
      <c r="E6" s="6"/>
      <c r="F6" s="6" t="s">
        <v>18</v>
      </c>
      <c r="G6" s="6" t="s">
        <v>40</v>
      </c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5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38</v>
      </c>
      <c r="D3" s="4" t="s">
        <v>9</v>
      </c>
      <c r="E3" s="11" t="s">
        <v>41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 t="str">
        <f>IFERROR(__xludf.DUMMYFUNCTION("""COMPUTED_VALUE"""),"ManageHotButton")</f>
        <v>ManageHotButton</v>
      </c>
      <c r="DI4" s="20" t="str">
        <f>IFERROR(__xludf.DUMMYFUNCTION("""COMPUTED_VALUE"""),"EditTradeAttributesWindow")</f>
        <v>EditTradeAttributesWindow</v>
      </c>
      <c r="DJ4" s="20" t="str">
        <f>IFERROR(__xludf.DUMMYFUNCTION("""COMPUTED_VALUE"""),"EditTradeAttributesOrders")</f>
        <v>EditTradeAttributesOrders</v>
      </c>
      <c r="DK4" s="20" t="str">
        <f>IFERROR(__xludf.DUMMYFUNCTION("""COMPUTED_VALUE"""),"EditTradeAttributesWorkingSub")</f>
        <v>EditTradeAttributesWorkingSub</v>
      </c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IFERROR(__xludf.DUMMYFUNCTION("""COMPUTED_VALUE"""),"User")</f>
        <v>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6")</f>
        <v>Trade Attribute 6</v>
      </c>
      <c r="N5" s="22" t="str">
        <f>IFERROR(__xludf.DUMMYFUNCTION("""COMPUTED_VALUE"""),"Trade Attribute 5")</f>
        <v>Trade Attribute 5</v>
      </c>
      <c r="O5" s="22" t="str">
        <f>IFERROR(__xludf.DUMMYFUNCTION("""COMPUTED_VALUE"""),"Trade Attribute 4")</f>
        <v>Trade Attribute 4</v>
      </c>
      <c r="P5" s="22" t="str">
        <f>IFERROR(__xludf.DUMMYFUNCTION("""COMPUTED_VALUE"""),"Trade Attribute 3")</f>
        <v>Trade Attribute 3</v>
      </c>
      <c r="Q5" s="22" t="str">
        <f>IFERROR(__xludf.DUMMYFUNCTION("""COMPUTED_VALUE"""),"Trade Attribute 1")</f>
        <v>Trade Attribute 1</v>
      </c>
      <c r="R5" s="22" t="str">
        <f>IFERROR(__xludf.DUMMYFUNCTION("""COMPUTED_VALUE"""),"Trade Attribute 2")</f>
        <v>Trade Attribute 2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Currency")</f>
        <v>Settlement Currency</v>
      </c>
      <c r="V5" s="23" t="str">
        <f>IFERROR(__xludf.DUMMYFUNCTION("""COMPUTED_VALUE"""),"Put/Call")</f>
        <v>Put/Call</v>
      </c>
      <c r="W5" s="23" t="str">
        <f>IFERROR(__xludf.DUMMYFUNCTION("""COMPUTED_VALUE"""),"Process Date")</f>
        <v>Process Date</v>
      </c>
      <c r="X5" s="23" t="str">
        <f>IFERROR(__xludf.DUMMYFUNCTION("""COMPUTED_VALUE"""),"Peg")</f>
        <v>Peg</v>
      </c>
      <c r="Y5" s="23" t="str">
        <f>IFERROR(__xludf.DUMMYFUNCTION("""COMPUTED_VALUE"""),"ParentClOrderID")</f>
        <v>ParentClOrderID</v>
      </c>
      <c r="Z5" s="23" t="str">
        <f>IFERROR(__xludf.DUMMYFUNCTION("""COMPUTED_VALUE"""),"OrderID")</f>
        <v>OrderID</v>
      </c>
      <c r="AA5" s="23" t="str">
        <f>IFERROR(__xludf.DUMMYFUNCTION("""COMPUTED_VALUE"""),"Master Fund")</f>
        <v>Master Fund</v>
      </c>
      <c r="AB5" s="23" t="str">
        <f>IFERROR(__xludf.DUMMYFUNCTION("""COMPUTED_VALUE"""),"Last Shares")</f>
        <v>Last Shares</v>
      </c>
      <c r="AC5" s="23" t="str">
        <f>IFERROR(__xludf.DUMMYFUNCTION("""COMPUTED_VALUE"""),"Internal Comments")</f>
        <v>Internal Comments</v>
      </c>
      <c r="AD5" s="23" t="str">
        <f>IFERROR(__xludf.DUMMYFUNCTION("""COMPUTED_VALUE"""),"FX Rate")</f>
        <v>FX Rate</v>
      </c>
      <c r="AE5" s="23" t="str">
        <f>IFERROR(__xludf.DUMMYFUNCTION("""COMPUTED_VALUE"""),"Imported File Name")</f>
        <v>Imported File Name</v>
      </c>
      <c r="AF5" s="23" t="str">
        <f>IFERROR(__xludf.DUMMYFUNCTION("""COMPUTED_VALUE"""),"FX Conversion Operator")</f>
        <v>FX Conversion Operator</v>
      </c>
      <c r="AG5" s="23" t="str">
        <f>IFERROR(__xludf.DUMMYFUNCTION("""COMPUTED_VALUE"""),"Day Average Price")</f>
        <v>Day Average Price</v>
      </c>
      <c r="AH5" s="23" t="str">
        <f>IFERROR(__xludf.DUMMYFUNCTION("""COMPUTED_VALUE"""),"Asset Class")</f>
        <v>Asset Class</v>
      </c>
      <c r="AI5" s="23" t="str">
        <f>IFERROR(__xludf.DUMMYFUNCTION("""COMPUTED_VALUE"""),"Symbol")</f>
        <v>Symbol</v>
      </c>
      <c r="AJ5" s="23" t="str">
        <f>IFERROR(__xludf.DUMMYFUNCTION("""COMPUTED_VALUE"""),"Side")</f>
        <v>Side</v>
      </c>
      <c r="AK5" s="23" t="str">
        <f>IFERROR(__xludf.DUMMYFUNCTION("""COMPUTED_VALUE"""),"Status")</f>
        <v>Status</v>
      </c>
      <c r="AL5" s="23" t="str">
        <f>IFERROR(__xludf.DUMMYFUNCTION("""COMPUTED_VALUE"""),"Target Qty")</f>
        <v>Target Qty</v>
      </c>
      <c r="AM5" s="23" t="str">
        <f>IFERROR(__xludf.DUMMYFUNCTION("""COMPUTED_VALUE"""),"Total Executed Qty")</f>
        <v>Total Executed Qty</v>
      </c>
      <c r="AN5" s="23" t="str">
        <f>IFERROR(__xludf.DUMMYFUNCTION("""COMPUTED_VALUE"""),"% Executed")</f>
        <v>% Executed</v>
      </c>
      <c r="AO5" s="23" t="str">
        <f>IFERROR(__xludf.DUMMYFUNCTION("""COMPUTED_VALUE"""),"Day Executed Qty")</f>
        <v>Day Executed Qty</v>
      </c>
      <c r="AP5" s="23" t="str">
        <f>IFERROR(__xludf.DUMMYFUNCTION("""COMPUTED_VALUE"""),"Uncommitted Qty")</f>
        <v>Uncommitted Qty</v>
      </c>
      <c r="AQ5" s="23" t="str">
        <f>IFERROR(__xludf.DUMMYFUNCTION("""COMPUTED_VALUE"""),"Last Fill Price (Local)")</f>
        <v>Last Fill Price (Local)</v>
      </c>
      <c r="AR5" s="23" t="str">
        <f>IFERROR(__xludf.DUMMYFUNCTION("""COMPUTED_VALUE"""),"Avg Fill Price (Local)")</f>
        <v>Avg Fill Price (Local)</v>
      </c>
      <c r="AS5" s="23" t="str">
        <f>IFERROR(__xludf.DUMMYFUNCTION("""COMPUTED_VALUE"""),"Broker")</f>
        <v>Broker</v>
      </c>
      <c r="AT5" s="23" t="str">
        <f>IFERROR(__xludf.DUMMYFUNCTION("""COMPUTED_VALUE"""),"Account")</f>
        <v>Account</v>
      </c>
      <c r="AU5" s="23" t="str">
        <f>IFERROR(__xludf.DUMMYFUNCTION("""COMPUTED_VALUE"""),"Order Type")</f>
        <v>Order Type</v>
      </c>
      <c r="AV5" s="23" t="str">
        <f>IFERROR(__xludf.DUMMYFUNCTION("""COMPUTED_VALUE"""),"Principal Amount (Local)")</f>
        <v>Principal Amount (Local)</v>
      </c>
      <c r="AW5" s="23" t="str">
        <f>IFERROR(__xludf.DUMMYFUNCTION("""COMPUTED_VALUE"""),"Principal Amount (Base)")</f>
        <v>Principal Amount (Base)</v>
      </c>
      <c r="AX5" s="23" t="str">
        <f>IFERROR(__xludf.DUMMYFUNCTION("""COMPUTED_VALUE"""),"Allocation Scheme Name")</f>
        <v>Allocation Scheme Name</v>
      </c>
      <c r="AY5" s="23" t="str">
        <f>IFERROR(__xludf.DUMMYFUNCTION("""COMPUTED_VALUE"""),"Status (With Rollover)")</f>
        <v>Status (With Rollover)</v>
      </c>
      <c r="AZ5" s="23" t="str">
        <f>IFERROR(__xludf.DUMMYFUNCTION("""COMPUTED_VALUE"""),"Start of Day Qty")</f>
        <v>Start of Day Qty</v>
      </c>
      <c r="BA5" s="23" t="str">
        <f>IFERROR(__xludf.DUMMYFUNCTION("""COMPUTED_VALUE"""),"Leaves")</f>
        <v>Leaves</v>
      </c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I6" s="8" t="s">
        <v>29</v>
      </c>
      <c r="AJ6" s="8" t="s">
        <v>18</v>
      </c>
      <c r="AK6" s="8" t="s">
        <v>40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38</v>
      </c>
      <c r="D3" s="4" t="s">
        <v>9</v>
      </c>
      <c r="E3" s="11" t="s">
        <v>43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 t="str">
        <f>IFERROR(__xludf.DUMMYFUNCTION("""COMPUTED_VALUE"""),"ManageHotButton")</f>
        <v>ManageHotButton</v>
      </c>
      <c r="DI4" s="20" t="str">
        <f>IFERROR(__xludf.DUMMYFUNCTION("""COMPUTED_VALUE"""),"EditTradeAttributesWindow")</f>
        <v>EditTradeAttributesWindow</v>
      </c>
      <c r="DJ4" s="20" t="str">
        <f>IFERROR(__xludf.DUMMYFUNCTION("""COMPUTED_VALUE"""),"EditTradeAttributesOrders")</f>
        <v>EditTradeAttributesOrders</v>
      </c>
      <c r="DK4" s="20" t="str">
        <f>IFERROR(__xludf.DUMMYFUNCTION("""COMPUTED_VALUE"""),"EditTradeAttributesWorkingSub")</f>
        <v>EditTradeAttributesWorkingSub</v>
      </c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</row>
    <row r="5" ht="15.75" customHeight="1">
      <c r="A5" s="21"/>
      <c r="B5" s="22" t="s">
        <v>44</v>
      </c>
      <c r="C5" s="22" t="s">
        <v>45</v>
      </c>
      <c r="D5" s="22" t="s">
        <v>46</v>
      </c>
      <c r="E5" s="22" t="s">
        <v>47</v>
      </c>
      <c r="F5" s="22" t="s">
        <v>48</v>
      </c>
      <c r="G5" s="22" t="s">
        <v>49</v>
      </c>
      <c r="H5" s="22" t="s">
        <v>50</v>
      </c>
      <c r="I5" s="22" t="s">
        <v>51</v>
      </c>
      <c r="J5" s="22" t="s">
        <v>52</v>
      </c>
      <c r="K5" s="22" t="s">
        <v>53</v>
      </c>
      <c r="L5" s="22" t="s">
        <v>54</v>
      </c>
      <c r="M5" s="22" t="s">
        <v>55</v>
      </c>
      <c r="N5" s="22" t="s">
        <v>56</v>
      </c>
      <c r="O5" s="22" t="s">
        <v>57</v>
      </c>
      <c r="P5" s="22" t="s">
        <v>58</v>
      </c>
      <c r="Q5" s="22" t="s">
        <v>59</v>
      </c>
      <c r="R5" s="22" t="s">
        <v>60</v>
      </c>
      <c r="S5" s="22" t="s">
        <v>61</v>
      </c>
      <c r="T5" s="23" t="s">
        <v>62</v>
      </c>
      <c r="U5" s="23" t="s">
        <v>63</v>
      </c>
      <c r="V5" s="23" t="s">
        <v>64</v>
      </c>
      <c r="W5" s="23" t="s">
        <v>65</v>
      </c>
      <c r="X5" s="23" t="s">
        <v>66</v>
      </c>
      <c r="Y5" s="23" t="s">
        <v>67</v>
      </c>
      <c r="Z5" s="23" t="s">
        <v>68</v>
      </c>
      <c r="AA5" s="23" t="s">
        <v>69</v>
      </c>
      <c r="AB5" s="23" t="s">
        <v>70</v>
      </c>
      <c r="AC5" s="23" t="s">
        <v>71</v>
      </c>
      <c r="AD5" s="23" t="s">
        <v>72</v>
      </c>
      <c r="AE5" s="23" t="s">
        <v>73</v>
      </c>
      <c r="AF5" s="23" t="s">
        <v>74</v>
      </c>
      <c r="AG5" s="23" t="s">
        <v>75</v>
      </c>
      <c r="AH5" s="23" t="s">
        <v>76</v>
      </c>
      <c r="AI5" s="23" t="s">
        <v>77</v>
      </c>
      <c r="AJ5" s="23" t="s">
        <v>78</v>
      </c>
      <c r="AK5" s="23" t="s">
        <v>79</v>
      </c>
      <c r="AL5" s="23" t="s">
        <v>80</v>
      </c>
      <c r="AM5" s="23" t="s">
        <v>81</v>
      </c>
      <c r="AN5" s="23" t="s">
        <v>82</v>
      </c>
      <c r="AO5" s="23" t="s">
        <v>83</v>
      </c>
      <c r="AP5" s="23" t="s">
        <v>84</v>
      </c>
      <c r="AQ5" s="23" t="s">
        <v>85</v>
      </c>
      <c r="AR5" s="23" t="s">
        <v>86</v>
      </c>
      <c r="AS5" s="23" t="s">
        <v>87</v>
      </c>
      <c r="AT5" s="23" t="s">
        <v>24</v>
      </c>
      <c r="AU5" s="23" t="s">
        <v>88</v>
      </c>
      <c r="AV5" s="23" t="s">
        <v>89</v>
      </c>
      <c r="AW5" s="23" t="s">
        <v>90</v>
      </c>
      <c r="AX5" s="23" t="s">
        <v>91</v>
      </c>
      <c r="AY5" s="23" t="s">
        <v>92</v>
      </c>
      <c r="AZ5" s="23" t="s">
        <v>93</v>
      </c>
      <c r="BA5" s="23" t="s">
        <v>94</v>
      </c>
      <c r="BB5" s="23" t="s">
        <v>95</v>
      </c>
      <c r="BC5" s="23" t="s">
        <v>96</v>
      </c>
      <c r="BD5" s="23" t="s">
        <v>97</v>
      </c>
      <c r="BE5" s="23" t="s">
        <v>98</v>
      </c>
      <c r="BF5" s="23" t="s">
        <v>99</v>
      </c>
      <c r="BG5" s="23" t="s">
        <v>100</v>
      </c>
      <c r="BH5" s="23" t="s">
        <v>101</v>
      </c>
      <c r="BI5" s="23" t="s">
        <v>102</v>
      </c>
      <c r="BJ5" s="23" t="s">
        <v>103</v>
      </c>
      <c r="BK5" s="23" t="s">
        <v>104</v>
      </c>
      <c r="BL5" s="23" t="s">
        <v>105</v>
      </c>
      <c r="BM5" s="23" t="s">
        <v>106</v>
      </c>
      <c r="BN5" s="23" t="s">
        <v>107</v>
      </c>
      <c r="BO5" s="23" t="s">
        <v>108</v>
      </c>
      <c r="BP5" s="23" t="s">
        <v>109</v>
      </c>
      <c r="BQ5" s="29" t="s">
        <v>110</v>
      </c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</row>
    <row r="6" ht="15.75" customHeight="1">
      <c r="A6" s="6"/>
      <c r="B6" s="6"/>
      <c r="C6" s="6"/>
      <c r="D6" s="30">
        <v>10.0</v>
      </c>
      <c r="E6" s="30" t="s">
        <v>111</v>
      </c>
      <c r="F6" s="6"/>
      <c r="G6" s="6"/>
      <c r="H6" s="30"/>
      <c r="I6" s="30"/>
      <c r="J6" s="6"/>
      <c r="K6" s="6"/>
      <c r="L6" s="6"/>
      <c r="M6" s="6"/>
      <c r="N6" s="6"/>
      <c r="O6" s="6"/>
      <c r="AA6" s="31" t="s">
        <v>112</v>
      </c>
      <c r="AH6" s="31" t="s">
        <v>113</v>
      </c>
      <c r="AI6" s="31" t="s">
        <v>16</v>
      </c>
      <c r="AJ6" s="31" t="s">
        <v>18</v>
      </c>
      <c r="AK6" s="31" t="s">
        <v>114</v>
      </c>
      <c r="AL6" s="31">
        <v>100.0</v>
      </c>
      <c r="AM6" s="31">
        <v>100.0</v>
      </c>
      <c r="AN6" s="31">
        <v>100.0</v>
      </c>
      <c r="AT6" s="31" t="s">
        <v>25</v>
      </c>
      <c r="AU6" s="31" t="s">
        <v>115</v>
      </c>
      <c r="AX6" s="31" t="s">
        <v>116</v>
      </c>
      <c r="BG6" s="31" t="s">
        <v>12</v>
      </c>
      <c r="BH6" s="31" t="s">
        <v>117</v>
      </c>
      <c r="BQ6" s="31" t="s">
        <v>118</v>
      </c>
    </row>
    <row r="7" ht="15.75" customHeight="1">
      <c r="A7" s="6"/>
      <c r="B7" s="6"/>
      <c r="C7" s="6"/>
      <c r="D7" s="30">
        <v>10.0</v>
      </c>
      <c r="E7" s="30" t="s">
        <v>111</v>
      </c>
      <c r="F7" s="6"/>
      <c r="G7" s="6"/>
      <c r="H7" s="30"/>
      <c r="I7" s="30"/>
      <c r="J7" s="6"/>
      <c r="K7" s="6"/>
      <c r="L7" s="6"/>
      <c r="M7" s="6"/>
      <c r="N7" s="6"/>
      <c r="O7" s="6"/>
      <c r="AA7" s="31" t="s">
        <v>112</v>
      </c>
      <c r="AH7" s="31" t="s">
        <v>113</v>
      </c>
      <c r="AI7" s="31" t="s">
        <v>16</v>
      </c>
      <c r="AJ7" s="31" t="s">
        <v>18</v>
      </c>
      <c r="AK7" s="31" t="s">
        <v>114</v>
      </c>
      <c r="AL7" s="31">
        <v>100.0</v>
      </c>
      <c r="AM7" s="31">
        <v>100.0</v>
      </c>
      <c r="AN7" s="31">
        <v>100.0</v>
      </c>
      <c r="AT7" s="31" t="s">
        <v>25</v>
      </c>
      <c r="AU7" s="31" t="s">
        <v>115</v>
      </c>
      <c r="AX7" s="31" t="s">
        <v>116</v>
      </c>
      <c r="BG7" s="31" t="s">
        <v>119</v>
      </c>
      <c r="BH7" s="31" t="s">
        <v>117</v>
      </c>
      <c r="BQ7" s="31" t="s">
        <v>118</v>
      </c>
    </row>
    <row r="8" ht="15.75" customHeight="1">
      <c r="A8" s="6"/>
      <c r="B8" s="6"/>
      <c r="C8" s="6"/>
      <c r="D8" s="30">
        <v>10.0</v>
      </c>
      <c r="E8" s="30" t="s">
        <v>120</v>
      </c>
      <c r="F8" s="6"/>
      <c r="G8" s="6"/>
      <c r="H8" s="30"/>
      <c r="I8" s="30"/>
      <c r="J8" s="6"/>
      <c r="K8" s="6"/>
      <c r="L8" s="6"/>
      <c r="M8" s="6"/>
      <c r="N8" s="6"/>
      <c r="O8" s="6"/>
      <c r="AA8" s="31" t="s">
        <v>112</v>
      </c>
      <c r="AH8" s="31" t="s">
        <v>113</v>
      </c>
      <c r="AI8" s="31" t="s">
        <v>29</v>
      </c>
      <c r="AJ8" s="31" t="s">
        <v>18</v>
      </c>
      <c r="AK8" s="31" t="s">
        <v>114</v>
      </c>
      <c r="AL8" s="31">
        <v>500.0</v>
      </c>
      <c r="AM8" s="31">
        <v>500.0</v>
      </c>
      <c r="AN8" s="31">
        <v>100.0</v>
      </c>
      <c r="AT8" s="31" t="s">
        <v>25</v>
      </c>
      <c r="AU8" s="31" t="s">
        <v>115</v>
      </c>
      <c r="AX8" s="31" t="s">
        <v>116</v>
      </c>
      <c r="BG8" s="31" t="s">
        <v>26</v>
      </c>
      <c r="BH8" s="31" t="s">
        <v>117</v>
      </c>
      <c r="BQ8" s="31" t="s">
        <v>118</v>
      </c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38</v>
      </c>
      <c r="D3" s="4" t="s">
        <v>9</v>
      </c>
      <c r="E3" s="11" t="s">
        <v>121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 t="str">
        <f>IFERROR(__xludf.DUMMYFUNCTION("""COMPUTED_VALUE"""),"ManageHotButton")</f>
        <v>ManageHotButton</v>
      </c>
      <c r="DI4" s="20" t="str">
        <f>IFERROR(__xludf.DUMMYFUNCTION("""COMPUTED_VALUE"""),"EditTradeAttributesWindow")</f>
        <v>EditTradeAttributesWindow</v>
      </c>
      <c r="DJ4" s="20" t="str">
        <f>IFERROR(__xludf.DUMMYFUNCTION("""COMPUTED_VALUE"""),"EditTradeAttributesOrders")</f>
        <v>EditTradeAttributesOrders</v>
      </c>
      <c r="DK4" s="20" t="str">
        <f>IFERROR(__xludf.DUMMYFUNCTION("""COMPUTED_VALUE"""),"EditTradeAttributesWorkingSub")</f>
        <v>EditTradeAttributesWorkingSub</v>
      </c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IFERROR(__xludf.DUMMYFUNCTION("""COMPUTED_VALUE"""),"Side")</f>
        <v>Side</v>
      </c>
      <c r="D5" s="22" t="str">
        <f>IFERROR(__xludf.DUMMYFUNCTION("""COMPUTED_VALUE"""),"Quantity")</f>
        <v>Quantity</v>
      </c>
      <c r="E5" s="22" t="str">
        <f>IFERROR(__xludf.DUMMYFUNCTION("""COMPUTED_VALUE"""),"Executed Qty")</f>
        <v>Executed Qty</v>
      </c>
      <c r="F5" s="22" t="str">
        <f>IFERROR(__xludf.DUMMYFUNCTION("""COMPUTED_VALUE"""),"Unexecuted Qty")</f>
        <v>Unexecuted Qty</v>
      </c>
      <c r="G5" s="22" t="str">
        <f>IFERROR(__xludf.DUMMYFUNCTION("""COMPUTED_VALUE"""),"Status")</f>
        <v>Status</v>
      </c>
      <c r="H5" s="22" t="str">
        <f>IFERROR(__xludf.DUMMYFUNCTION("""COMPUTED_VALUE"""),"Last Shares")</f>
        <v>Last Shares</v>
      </c>
      <c r="I5" s="22" t="str">
        <f>IFERROR(__xludf.DUMMYFUNCTION("""COMPUTED_VALUE"""),"Last Fill Price (Local)")</f>
        <v>Last Fill Price (Local)</v>
      </c>
      <c r="J5" s="22" t="str">
        <f>IFERROR(__xludf.DUMMYFUNCTION("""COMPUTED_VALUE"""),"Avg Fill Price (Local)")</f>
        <v>Avg Fill Price (Local)</v>
      </c>
      <c r="K5" s="22" t="str">
        <f>IFERROR(__xludf.DUMMYFUNCTION("""COMPUTED_VALUE"""),"Broker")</f>
        <v>Broker</v>
      </c>
      <c r="L5" s="22" t="str">
        <f>IFERROR(__xludf.DUMMYFUNCTION("""COMPUTED_VALUE"""),"Account")</f>
        <v>Account</v>
      </c>
      <c r="M5" s="22" t="str">
        <f>IFERROR(__xludf.DUMMYFUNCTION("""COMPUTED_VALUE"""),"Order Type")</f>
        <v>Order Type</v>
      </c>
      <c r="N5" s="22" t="str">
        <f>IFERROR(__xludf.DUMMYFUNCTION("""COMPUTED_VALUE"""),"OrderStatus")</f>
        <v>OrderStatus</v>
      </c>
      <c r="O5" s="22" t="str">
        <f>IFERROR(__xludf.DUMMYFUNCTION("""COMPUTED_VALUE"""),"Avg Fill Price (Base)")</f>
        <v>Avg Fill Price (Base)</v>
      </c>
      <c r="P5" s="22" t="str">
        <f>IFERROR(__xludf.DUMMYFUNCTION("""COMPUTED_VALUE"""),"Limit Price")</f>
        <v>Limit Price</v>
      </c>
      <c r="Q5" s="22" t="str">
        <f>IFERROR(__xludf.DUMMYFUNCTION("""COMPUTED_VALUE"""),"Stop Price")</f>
        <v>Stop Price</v>
      </c>
      <c r="R5" s="22" t="str">
        <f>IFERROR(__xludf.DUMMYFUNCTION("""COMPUTED_VALUE"""),"Actual User")</f>
        <v>Actual User</v>
      </c>
      <c r="S5" s="22" t="str">
        <f>IFERROR(__xludf.DUMMYFUNCTION("""COMPUTED_VALUE"""),"Bloomberg Symbol")</f>
        <v>Bloomberg Symbol</v>
      </c>
      <c r="T5" s="23" t="str">
        <f>IFERROR(__xludf.DUMMYFUNCTION("""COMPUTED_VALUE"""),"Algo")</f>
        <v>Algo</v>
      </c>
      <c r="U5" s="23" t="str">
        <f>IFERROR(__xludf.DUMMYFUNCTION("""COMPUTED_VALUE"""),"Allocation Scheme Name")</f>
        <v>Allocation Scheme Name</v>
      </c>
      <c r="V5" s="23" t="str">
        <f>IFERROR(__xludf.DUMMYFUNCTION("""COMPUTED_VALUE"""),"Allocation Status")</f>
        <v>Allocation Status</v>
      </c>
      <c r="W5" s="23" t="str">
        <f>IFERROR(__xludf.DUMMYFUNCTION("""COMPUTED_VALUE"""),"Asset Class")</f>
        <v>Asset Class</v>
      </c>
      <c r="X5" s="23" t="str">
        <f>IFERROR(__xludf.DUMMYFUNCTION("""COMPUTED_VALUE"""),"FX Conversion Operator")</f>
        <v>FX Conversion Operator</v>
      </c>
      <c r="Y5" s="23" t="str">
        <f>IFERROR(__xludf.DUMMYFUNCTION("""COMPUTED_VALUE"""),"FX Rate")</f>
        <v>FX Rate</v>
      </c>
      <c r="Z5" s="23" t="str">
        <f>IFERROR(__xludf.DUMMYFUNCTION("""COMPUTED_VALUE"""),"Imported File Name")</f>
        <v>Imported File Name</v>
      </c>
      <c r="AA5" s="23" t="str">
        <f>IFERROR(__xludf.DUMMYFUNCTION("""COMPUTED_VALUE"""),"Internal Comments")</f>
        <v>Internal Comments</v>
      </c>
      <c r="AB5" s="23" t="str">
        <f>IFERROR(__xludf.DUMMYFUNCTION("""COMPUTED_VALUE"""),"Peg")</f>
        <v>Peg</v>
      </c>
      <c r="AC5" s="23" t="str">
        <f>IFERROR(__xludf.DUMMYFUNCTION("""COMPUTED_VALUE"""),"Principal Amount (Base)")</f>
        <v>Principal Amount (Base)</v>
      </c>
      <c r="AD5" s="23" t="str">
        <f>IFERROR(__xludf.DUMMYFUNCTION("""COMPUTED_VALUE"""),"Principal Amount (Local)")</f>
        <v>Principal Amount (Local)</v>
      </c>
      <c r="AE5" s="23" t="str">
        <f>IFERROR(__xludf.DUMMYFUNCTION("""COMPUTED_VALUE"""),"Process Date")</f>
        <v>Process Date</v>
      </c>
      <c r="AF5" s="23" t="str">
        <f>IFERROR(__xludf.DUMMYFUNCTION("""COMPUTED_VALUE"""),"Put/Call")</f>
        <v>Put/Call</v>
      </c>
      <c r="AG5" s="23" t="str">
        <f>IFERROR(__xludf.DUMMYFUNCTION("""COMPUTED_VALUE"""),"Settlement Currency")</f>
        <v>Settlement Currency</v>
      </c>
      <c r="AH5" s="23" t="str">
        <f>IFERROR(__xludf.DUMMYFUNCTION("""COMPUTED_VALUE"""),"Source")</f>
        <v>Source</v>
      </c>
      <c r="AI5" s="23" t="str">
        <f>IFERROR(__xludf.DUMMYFUNCTION("""COMPUTED_VALUE"""),"Status (With Rollover)")</f>
        <v>Status (With Rollover)</v>
      </c>
      <c r="AJ5" s="23" t="str">
        <f>IFERROR(__xludf.DUMMYFUNCTION("""COMPUTED_VALUE"""),"Strategy")</f>
        <v>Strategy</v>
      </c>
      <c r="AK5" s="23" t="str">
        <f>IFERROR(__xludf.DUMMYFUNCTION("""COMPUTED_VALUE"""),"Strike Price")</f>
        <v>Strike Price</v>
      </c>
      <c r="AL5" s="23" t="str">
        <f>IFERROR(__xludf.DUMMYFUNCTION("""COMPUTED_VALUE"""),"Trade Attribute 1")</f>
        <v>Trade Attribute 1</v>
      </c>
      <c r="AM5" s="23" t="str">
        <f>IFERROR(__xludf.DUMMYFUNCTION("""COMPUTED_VALUE"""),"Trade Attribute 2")</f>
        <v>Trade Attribute 2</v>
      </c>
      <c r="AN5" s="23" t="str">
        <f>IFERROR(__xludf.DUMMYFUNCTION("""COMPUTED_VALUE"""),"Trade Attribute 3")</f>
        <v>Trade Attribute 3</v>
      </c>
      <c r="AO5" s="23" t="str">
        <f>IFERROR(__xludf.DUMMYFUNCTION("""COMPUTED_VALUE"""),"Trade Attribute 4")</f>
        <v>Trade Attribute 4</v>
      </c>
      <c r="AP5" s="23" t="str">
        <f>IFERROR(__xludf.DUMMYFUNCTION("""COMPUTED_VALUE"""),"Trade Attribute 5")</f>
        <v>Trade Attribute 5</v>
      </c>
      <c r="AQ5" s="23" t="str">
        <f>IFERROR(__xludf.DUMMYFUNCTION("""COMPUTED_VALUE"""),"Trade Attribute 6")</f>
        <v>Trade Attribute 6</v>
      </c>
      <c r="AR5" s="23" t="str">
        <f>IFERROR(__xludf.DUMMYFUNCTION("""COMPUTED_VALUE"""),"Trader")</f>
        <v>Trader</v>
      </c>
      <c r="AS5" s="23" t="str">
        <f>IFERROR(__xludf.DUMMYFUNCTION("""COMPUTED_VALUE"""),"Transaction Time")</f>
        <v>Transaction Time</v>
      </c>
      <c r="AT5" s="23" t="str">
        <f>IFERROR(__xludf.DUMMYFUNCTION("""COMPUTED_VALUE"""),"Underlying Country")</f>
        <v>Underlying Country</v>
      </c>
      <c r="AU5" s="23" t="str">
        <f>IFERROR(__xludf.DUMMYFUNCTION("""COMPUTED_VALUE"""),"Underlying Symbol")</f>
        <v>Underlying Symbol</v>
      </c>
      <c r="AV5" s="23" t="str">
        <f>IFERROR(__xludf.DUMMYFUNCTION("""COMPUTED_VALUE"""),"Venue")</f>
        <v>Venue</v>
      </c>
      <c r="AW5" s="23" t="str">
        <f>IFERROR(__xludf.DUMMYFUNCTION("""COMPUTED_VALUE"""),"Working Qty")</f>
        <v>Working Qty</v>
      </c>
      <c r="AX5" s="23" t="str">
        <f>IFERROR(__xludf.DUMMYFUNCTION("""COMPUTED_VALUE"""),"Client")</f>
        <v>Client</v>
      </c>
      <c r="AY5" s="23" t="str">
        <f>IFERROR(__xludf.DUMMYFUNCTION("""COMPUTED_VALUE"""),"OrderID")</f>
        <v>OrderID</v>
      </c>
      <c r="AZ5" s="23" t="str">
        <f>IFERROR(__xludf.DUMMYFUNCTION("""COMPUTED_VALUE"""),"ParentClOrderID")</f>
        <v>ParentClOrderID</v>
      </c>
      <c r="BA5" s="23" t="str">
        <f>IFERROR(__xludf.DUMMYFUNCTION("""COMPUTED_VALUE"""),"Master Fund")</f>
        <v>Master Fund</v>
      </c>
      <c r="BB5" s="23" t="str">
        <f>IFERROR(__xludf.DUMMYFUNCTION("""COMPUTED_VALUE"""),"Current User")</f>
        <v>Current User</v>
      </c>
      <c r="BC5" s="23" t="str">
        <f>IFERROR(__xludf.DUMMYFUNCTION("""COMPUTED_VALUE"""),"% Completed")</f>
        <v>% Completed</v>
      </c>
      <c r="BD5" s="23" t="str">
        <f>IFERROR(__xludf.DUMMYFUNCTION("""COMPUTED_VALUE"""),"isRowCountCheck")</f>
        <v>isRowCountCheck</v>
      </c>
      <c r="BE5" s="23" t="str">
        <f>IFERROR(__xludf.DUMMYFUNCTION("""COMPUTED_VALUE"""),"MandatoryColumn")</f>
        <v>MandatoryColumn</v>
      </c>
      <c r="BF5" s="23" t="str">
        <f>IFERROR(__xludf.DUMMYFUNCTION("""COMPUTED_VALUE"""),"Testing Type")</f>
        <v>Testing Type</v>
      </c>
      <c r="BG5" s="23" t="str">
        <f>IFERROR(__xludf.DUMMYFUNCTION("""COMPUTED_VALUE"""),"Testing Column")</f>
        <v>Testing Column</v>
      </c>
      <c r="BH5" s="23" t="str">
        <f>IFERROR(__xludf.DUMMYFUNCTION("""COMPUTED_VALUE"""),"Testing Col Value")</f>
        <v>Testing Col Value</v>
      </c>
      <c r="BI5" s="23" t="str">
        <f>IFERROR(__xludf.DUMMYFUNCTION("""COMPUTED_VALUE"""),"DuplicateRow")</f>
        <v>DuplicateRow</v>
      </c>
      <c r="BJ5" s="23" t="str">
        <f>IFERROR(__xludf.DUMMYFUNCTION("""COMPUTED_VALUE"""),"DuplicateCountOnUI")</f>
        <v>DuplicateCountOnUI</v>
      </c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</row>
    <row r="6" ht="15.75" customHeight="1">
      <c r="A6" s="6"/>
      <c r="B6" s="30" t="s">
        <v>16</v>
      </c>
      <c r="C6" s="30" t="s">
        <v>18</v>
      </c>
      <c r="D6" s="30">
        <v>100.0</v>
      </c>
      <c r="E6" s="30">
        <v>100.0</v>
      </c>
      <c r="F6" s="6"/>
      <c r="G6" s="30" t="s">
        <v>114</v>
      </c>
      <c r="H6" s="6"/>
      <c r="I6" s="6"/>
      <c r="J6" s="6"/>
      <c r="K6" s="30"/>
      <c r="L6" s="30" t="s">
        <v>25</v>
      </c>
      <c r="M6" s="30" t="s">
        <v>115</v>
      </c>
      <c r="N6" s="6"/>
      <c r="O6" s="30">
        <v>10.0</v>
      </c>
      <c r="S6" s="31" t="s">
        <v>111</v>
      </c>
      <c r="U6" s="31" t="s">
        <v>116</v>
      </c>
      <c r="W6" s="31" t="s">
        <v>113</v>
      </c>
      <c r="AJ6" s="31" t="s">
        <v>118</v>
      </c>
      <c r="AR6" s="31" t="s">
        <v>122</v>
      </c>
    </row>
    <row r="7" ht="15.75" customHeight="1">
      <c r="A7" s="6"/>
      <c r="B7" s="30" t="s">
        <v>16</v>
      </c>
      <c r="C7" s="30" t="s">
        <v>18</v>
      </c>
      <c r="D7" s="30">
        <v>100.0</v>
      </c>
      <c r="E7" s="30">
        <v>100.0</v>
      </c>
      <c r="F7" s="6"/>
      <c r="G7" s="30" t="s">
        <v>114</v>
      </c>
      <c r="H7" s="6"/>
      <c r="I7" s="6"/>
      <c r="J7" s="6"/>
      <c r="K7" s="30"/>
      <c r="L7" s="30" t="s">
        <v>25</v>
      </c>
      <c r="M7" s="30" t="s">
        <v>115</v>
      </c>
      <c r="N7" s="6"/>
      <c r="O7" s="30">
        <v>10.0</v>
      </c>
      <c r="S7" s="31" t="s">
        <v>111</v>
      </c>
      <c r="U7" s="31" t="s">
        <v>116</v>
      </c>
      <c r="W7" s="31" t="s">
        <v>113</v>
      </c>
      <c r="AJ7" s="31" t="s">
        <v>118</v>
      </c>
      <c r="AR7" s="31" t="s">
        <v>122</v>
      </c>
    </row>
    <row r="8" ht="15.75" customHeight="1">
      <c r="A8" s="6"/>
      <c r="B8" s="30" t="s">
        <v>29</v>
      </c>
      <c r="C8" s="30" t="s">
        <v>18</v>
      </c>
      <c r="D8" s="30">
        <v>500.0</v>
      </c>
      <c r="E8" s="30">
        <v>500.0</v>
      </c>
      <c r="F8" s="6"/>
      <c r="G8" s="30" t="s">
        <v>114</v>
      </c>
      <c r="H8" s="6"/>
      <c r="I8" s="6"/>
      <c r="J8" s="6"/>
      <c r="K8" s="30"/>
      <c r="L8" s="30" t="s">
        <v>25</v>
      </c>
      <c r="M8" s="30" t="s">
        <v>115</v>
      </c>
      <c r="N8" s="6"/>
      <c r="O8" s="30">
        <v>10.0</v>
      </c>
      <c r="S8" s="31" t="s">
        <v>120</v>
      </c>
      <c r="U8" s="31" t="s">
        <v>116</v>
      </c>
      <c r="W8" s="31" t="s">
        <v>113</v>
      </c>
      <c r="AJ8" s="31" t="s">
        <v>118</v>
      </c>
      <c r="AR8" s="31" t="s">
        <v>122</v>
      </c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