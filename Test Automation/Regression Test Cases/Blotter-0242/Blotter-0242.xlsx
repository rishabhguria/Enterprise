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Rollover" sheetId="5" r:id="rId7"/>
    <sheet state="visible" name="VerifyRollover" sheetId="6" r:id="rId8"/>
    <sheet state="visible" name="CreateStageOrder" sheetId="7" r:id="rId9"/>
    <sheet state="visible" name="TradeNewSubOrder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SelectTradeOnOrderGrid" sheetId="12" r:id="rId14"/>
    <sheet state="visible" name="VerifyRollover1" sheetId="13" r:id="rId15"/>
  </sheets>
  <definedNames/>
  <calcPr/>
</workbook>
</file>

<file path=xl/sharedStrings.xml><?xml version="1.0" encoding="utf-8"?>
<sst xmlns="http://schemas.openxmlformats.org/spreadsheetml/2006/main" count="116" uniqueCount="41">
  <si>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</si>
  <si>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</si>
  <si>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</si>
  <si>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</si>
  <si>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</si>
  <si>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</si>
  <si>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</si>
  <si>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</si>
  <si>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</si>
  <si>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</si>
  <si>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</si>
  <si>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</si>
  <si>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</si>
  <si>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</si>
  <si>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</si>
  <si>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</si>
  <si>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</si>
  <si>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</si>
  <si>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</si>
  <si>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Admin</t>
  </si>
  <si>
    <t>SetRollover</t>
  </si>
  <si>
    <t>Equity</t>
  </si>
  <si>
    <t>US</t>
  </si>
  <si>
    <t>NASDAQ</t>
  </si>
  <si>
    <t>Right Now</t>
  </si>
  <si>
    <t>Blotter</t>
  </si>
  <si>
    <t>VerifyRollover</t>
  </si>
  <si>
    <t>PartiallyFilled</t>
  </si>
  <si>
    <t>MS</t>
  </si>
  <si>
    <t>Market</t>
  </si>
  <si>
    <t>RollOver</t>
  </si>
  <si>
    <t>CreateStageOrder</t>
  </si>
  <si>
    <t>MSFT</t>
  </si>
  <si>
    <t>TradeNewSubOrder</t>
  </si>
  <si>
    <t>New</t>
  </si>
  <si>
    <t>CreateLiveOrder</t>
  </si>
  <si>
    <t>Unallocated</t>
  </si>
  <si>
    <t>Simulator</t>
  </si>
  <si>
    <t>SelectTrade</t>
  </si>
  <si>
    <t>AcknowledgeTrade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</si>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</sst>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4" fillId="5" fontId="4" numFmtId="49" xfId="0" applyAlignment="1" applyBorder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6" fillId="6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/>
      <c r="H6" s="33"/>
      <c r="I6" s="33"/>
      <c r="J6" s="35">
        <v>1.0</v>
      </c>
      <c r="K6" s="33"/>
      <c r="L6" s="33"/>
      <c r="M6" s="33"/>
      <c r="N6" s="36">
        <f>today()</f>
        <v>44971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IFERROR(__xludf.DUMMYFUNCTION("""COMPUTED_VALUE"""),"AssetName")</f>
        <v>AssetName</v>
      </c>
      <c r="C5" s="28" t="str">
        <f>IFERROR(__xludf.DUMMYFUNCTION("""COMPUTED_VALUE"""),"UnderLyingName")</f>
        <v>UnderLyingName</v>
      </c>
      <c r="D5" s="28" t="str">
        <f>IFERROR(__xludf.DUMMYFUNCTION("""COMPUTED_VALUE"""),"DisplayName")</f>
        <v>DisplayName</v>
      </c>
      <c r="E5" s="38" t="str">
        <f>IFERROR(__xludf.DUMMYFUNCTION("""COMPUTED_VALUE"""),"ClearanceTime")</f>
        <v>ClearanceTime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21</v>
      </c>
      <c r="C6" s="41" t="s">
        <v>22</v>
      </c>
      <c r="D6" s="40" t="s">
        <v>23</v>
      </c>
      <c r="E6" s="41" t="s">
        <v>24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7"/>
      <c r="D6" s="42">
        <v>1.0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43"/>
      <c r="AI6" s="44" t="s">
        <v>16</v>
      </c>
      <c r="AJ6" s="44" t="s">
        <v>17</v>
      </c>
      <c r="AK6" s="45" t="s">
        <v>27</v>
      </c>
      <c r="AL6" s="46">
        <v>1000.0</v>
      </c>
      <c r="AM6" s="46">
        <v>500.0</v>
      </c>
      <c r="AN6" s="37"/>
      <c r="AO6" s="37"/>
      <c r="AP6" s="46">
        <v>1.0</v>
      </c>
      <c r="AQ6" s="43" t="s">
        <v>28</v>
      </c>
      <c r="AR6" s="44" t="s">
        <v>18</v>
      </c>
      <c r="AS6" s="43" t="s">
        <v>29</v>
      </c>
      <c r="AT6" s="44">
        <v>500.0</v>
      </c>
      <c r="AU6" s="44">
        <v>500.0</v>
      </c>
      <c r="AV6" s="43"/>
      <c r="AW6" s="44" t="s">
        <v>30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32</v>
      </c>
      <c r="C6" s="39" t="s">
        <v>17</v>
      </c>
      <c r="D6" s="42">
        <v>1000.0</v>
      </c>
      <c r="E6" s="46">
        <v>1000.0</v>
      </c>
      <c r="F6" s="39"/>
      <c r="G6" s="37"/>
      <c r="H6" s="37"/>
      <c r="I6" s="37"/>
      <c r="J6" s="42">
        <v>1.0</v>
      </c>
      <c r="K6" s="37"/>
      <c r="L6" s="37"/>
      <c r="M6" s="37"/>
      <c r="N6" s="4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7"/>
      <c r="D6" s="39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32</v>
      </c>
      <c r="AJ6" s="37" t="s">
        <v>17</v>
      </c>
      <c r="AK6" s="37" t="s">
        <v>34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32</v>
      </c>
      <c r="C6" s="48" t="s">
        <v>17</v>
      </c>
      <c r="D6" s="42">
        <v>1000.0</v>
      </c>
      <c r="E6" s="49">
        <v>0.0</v>
      </c>
      <c r="F6" s="48" t="s">
        <v>36</v>
      </c>
      <c r="G6" s="37"/>
      <c r="H6" s="37"/>
      <c r="I6" s="37"/>
      <c r="J6" s="50">
        <v>40.25</v>
      </c>
      <c r="K6" s="37"/>
      <c r="L6" s="37"/>
      <c r="M6" s="37"/>
      <c r="N6" s="47">
        <f>TODAY()</f>
        <v>44971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32</v>
      </c>
      <c r="D6" s="13"/>
      <c r="E6" s="5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32</v>
      </c>
      <c r="D6" s="13"/>
      <c r="E6" s="5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 t="s">
        <v>32</v>
      </c>
      <c r="F6" s="37" t="s">
        <v>17</v>
      </c>
      <c r="G6" s="37" t="s">
        <v>34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7"/>
      <c r="D6" s="50">
        <v>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43"/>
      <c r="AI6" s="52" t="s">
        <v>32</v>
      </c>
      <c r="AJ6" s="44" t="s">
        <v>17</v>
      </c>
      <c r="AK6" s="52" t="s">
        <v>34</v>
      </c>
      <c r="AL6" s="46">
        <v>1000.0</v>
      </c>
      <c r="AM6" s="46"/>
      <c r="AN6" s="37"/>
      <c r="AO6" s="37"/>
      <c r="AP6" s="46"/>
      <c r="AQ6" s="43" t="s">
        <v>28</v>
      </c>
      <c r="AR6" s="44"/>
      <c r="AS6" s="43" t="s">
        <v>29</v>
      </c>
      <c r="AT6" s="44"/>
      <c r="AU6" s="44"/>
      <c r="AV6" s="43"/>
      <c r="AW6" s="44" t="s">
        <v>30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VerifyRollover1!$4:$4</formula1>
    </dataValidation>
  </dataValidations>
  <drawing r:id="rId1"/>
</worksheet>
</file>