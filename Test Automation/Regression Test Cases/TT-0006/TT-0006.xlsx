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4" activeTab="8"/>
  </bookViews>
  <sheets>
    <sheet name="_Modules" sheetId="1" r:id="rId1"/>
    <sheet name="_Settings" sheetId="2" r:id="rId2"/>
    <sheet name="_MasterData" sheetId="3" r:id="rId3"/>
    <sheet name="TradeBloomberg" sheetId="4" r:id="rId4"/>
    <sheet name="VerifyWorkingSubs" sheetId="5" r:id="rId5"/>
    <sheet name="VerifySubOrder" sheetId="6" r:id="rId6"/>
    <sheet name="VerifyOrder" sheetId="7" r:id="rId7"/>
    <sheet name="CheckUnallocatedGroups" sheetId="8" r:id="rId8"/>
    <sheet name="CheckPortfolioManagement" sheetId="9" r:id="rId9"/>
    <sheet name="GetDataAllocation" sheetId="10" r:id="rId10"/>
  </sheets>
  <calcPr calcId="145621"/>
</workbook>
</file>

<file path=xl/calcChain.xml><?xml version="1.0" encoding="utf-8"?>
<calcChain xmlns="http://schemas.openxmlformats.org/spreadsheetml/2006/main">
  <c r="BK5" i="9" l="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FI5" i="9"/>
  <c r="FA5" i="9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FJ4" i="9"/>
  <c r="FB4" i="9"/>
  <c r="ET4" i="9"/>
  <c r="EL4" i="9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FH5" i="9"/>
  <c r="EZ5" i="9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FI4" i="9"/>
  <c r="FA4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FG5" i="9"/>
  <c r="EY5" i="9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FH4" i="9"/>
  <c r="EZ4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FF5" i="9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FG4" i="9"/>
  <c r="EY4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FM5" i="9"/>
  <c r="FE5" i="9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FF4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FL5" i="9"/>
  <c r="FD5" i="9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FM4" i="9"/>
  <c r="FE4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FK5" i="9"/>
  <c r="FC5" i="9"/>
  <c r="EU5" i="9"/>
  <c r="EM5" i="9"/>
  <c r="EE5" i="9"/>
  <c r="DW5" i="9"/>
  <c r="DO5" i="9"/>
  <c r="DG5" i="9"/>
  <c r="CY5" i="9"/>
  <c r="CQ5" i="9"/>
  <c r="CI5" i="9"/>
  <c r="CA5" i="9"/>
  <c r="BS5" i="9"/>
  <c r="BC5" i="9"/>
  <c r="AU5" i="9"/>
  <c r="AM5" i="9"/>
  <c r="AE5" i="9"/>
  <c r="W5" i="9"/>
  <c r="O5" i="9"/>
  <c r="G5" i="9"/>
  <c r="FL4" i="9"/>
  <c r="FD4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FJ5" i="9"/>
  <c r="FB5" i="9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FK4" i="9"/>
  <c r="FC4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ED4" i="9"/>
  <c r="BR4" i="9"/>
  <c r="F4" i="9"/>
  <c r="CR5" i="8"/>
  <c r="AF5" i="8"/>
  <c r="D5" i="8"/>
  <c r="EL4" i="8"/>
  <c r="DV4" i="8"/>
  <c r="DF4" i="8"/>
  <c r="CP4" i="8"/>
  <c r="CA4" i="8"/>
  <c r="BQ4" i="8"/>
  <c r="BG4" i="8"/>
  <c r="AX4" i="8"/>
  <c r="AN4" i="8"/>
  <c r="AE4" i="8"/>
  <c r="V4" i="8"/>
  <c r="M4" i="8"/>
  <c r="D4" i="8"/>
  <c r="ES5" i="7"/>
  <c r="EJ5" i="7"/>
  <c r="DZ5" i="7"/>
  <c r="DQ5" i="7"/>
  <c r="DH5" i="7"/>
  <c r="CY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DV4" i="9"/>
  <c r="BJ4" i="9"/>
  <c r="EV5" i="8"/>
  <c r="CJ5" i="8"/>
  <c r="AB5" i="8"/>
  <c r="C5" i="8"/>
  <c r="EK4" i="8"/>
  <c r="DU4" i="8"/>
  <c r="DE4" i="8"/>
  <c r="CO4" i="8"/>
  <c r="BZ4" i="8"/>
  <c r="BP4" i="8"/>
  <c r="BF4" i="8"/>
  <c r="AV4" i="8"/>
  <c r="AM4" i="8"/>
  <c r="AD4" i="8"/>
  <c r="U4" i="8"/>
  <c r="L4" i="8"/>
  <c r="C4" i="8"/>
  <c r="ER5" i="7"/>
  <c r="EH5" i="7"/>
  <c r="DY5" i="7"/>
  <c r="DP5" i="7"/>
  <c r="DG5" i="7"/>
  <c r="CX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DN4" i="9"/>
  <c r="BB4" i="9"/>
  <c r="EN5" i="8"/>
  <c r="CB5" i="8"/>
  <c r="X5" i="8"/>
  <c r="EX4" i="8"/>
  <c r="EH4" i="8"/>
  <c r="DR4" i="8"/>
  <c r="DB4" i="8"/>
  <c r="CL4" i="8"/>
  <c r="BY4" i="8"/>
  <c r="BN4" i="8"/>
  <c r="BD4" i="8"/>
  <c r="AU4" i="8"/>
  <c r="AL4" i="8"/>
  <c r="AC4" i="8"/>
  <c r="T4" i="8"/>
  <c r="K4" i="8"/>
  <c r="B4" i="8"/>
  <c r="EP5" i="7"/>
  <c r="EG5" i="7"/>
  <c r="DX5" i="7"/>
  <c r="DO5" i="7"/>
  <c r="DF5" i="7"/>
  <c r="CW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DF4" i="9"/>
  <c r="AT4" i="9"/>
  <c r="EF5" i="8"/>
  <c r="BT5" i="8"/>
  <c r="T5" i="8"/>
  <c r="EU4" i="8"/>
  <c r="EE4" i="8"/>
  <c r="DO4" i="8"/>
  <c r="CY4" i="8"/>
  <c r="CI4" i="8"/>
  <c r="BX4" i="8"/>
  <c r="BL4" i="8"/>
  <c r="BC4" i="8"/>
  <c r="AT4" i="8"/>
  <c r="AK4" i="8"/>
  <c r="AB4" i="8"/>
  <c r="S4" i="8"/>
  <c r="J4" i="8"/>
  <c r="EX5" i="7"/>
  <c r="EO5" i="7"/>
  <c r="EF5" i="7"/>
  <c r="DW5" i="7"/>
  <c r="DN5" i="7"/>
  <c r="DE5" i="7"/>
  <c r="CV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CX4" i="9"/>
  <c r="AL4" i="9"/>
  <c r="DX5" i="8"/>
  <c r="BL5" i="8"/>
  <c r="P5" i="8"/>
  <c r="ET4" i="8"/>
  <c r="ED4" i="8"/>
  <c r="DN4" i="8"/>
  <c r="CX4" i="8"/>
  <c r="CH4" i="8"/>
  <c r="BV4" i="8"/>
  <c r="BK4" i="8"/>
  <c r="BB4" i="8"/>
  <c r="AS4" i="8"/>
  <c r="AJ4" i="8"/>
  <c r="AA4" i="8"/>
  <c r="R4" i="8"/>
  <c r="H4" i="8"/>
  <c r="EW5" i="7"/>
  <c r="EN5" i="7"/>
  <c r="EE5" i="7"/>
  <c r="DV5" i="7"/>
  <c r="DM5" i="7"/>
  <c r="DD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CP4" i="9"/>
  <c r="AD4" i="9"/>
  <c r="DP5" i="8"/>
  <c r="BD5" i="8"/>
  <c r="L5" i="8"/>
  <c r="ES4" i="8"/>
  <c r="EC4" i="8"/>
  <c r="DM4" i="8"/>
  <c r="CW4" i="8"/>
  <c r="CG4" i="8"/>
  <c r="BT4" i="8"/>
  <c r="BJ4" i="8"/>
  <c r="BA4" i="8"/>
  <c r="AR4" i="8"/>
  <c r="AI4" i="8"/>
  <c r="Z4" i="8"/>
  <c r="P4" i="8"/>
  <c r="G4" i="8"/>
  <c r="EV5" i="7"/>
  <c r="EM5" i="7"/>
  <c r="ED5" i="7"/>
  <c r="DU5" i="7"/>
  <c r="DL5" i="7"/>
  <c r="DB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CH4" i="9"/>
  <c r="V4" i="9"/>
  <c r="DH5" i="8"/>
  <c r="AV5" i="8"/>
  <c r="K5" i="8"/>
  <c r="EP4" i="8"/>
  <c r="DZ4" i="8"/>
  <c r="DJ4" i="8"/>
  <c r="CT4" i="8"/>
  <c r="CF4" i="8"/>
  <c r="BS4" i="8"/>
  <c r="BI4" i="8"/>
  <c r="AZ4" i="8"/>
  <c r="AQ4" i="8"/>
  <c r="AH4" i="8"/>
  <c r="X4" i="8"/>
  <c r="O4" i="8"/>
  <c r="F4" i="8"/>
  <c r="EU5" i="7"/>
  <c r="EL5" i="7"/>
  <c r="EC5" i="7"/>
  <c r="DT5" i="7"/>
  <c r="DJ5" i="7"/>
  <c r="DA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BZ4" i="9"/>
  <c r="N4" i="9"/>
  <c r="CZ5" i="8"/>
  <c r="AN5" i="8"/>
  <c r="H5" i="8"/>
  <c r="EM4" i="8"/>
  <c r="DW4" i="8"/>
  <c r="DG4" i="8"/>
  <c r="CQ4" i="8"/>
  <c r="CD4" i="8"/>
  <c r="BR4" i="8"/>
  <c r="BH4" i="8"/>
  <c r="AY4" i="8"/>
  <c r="AP4" i="8"/>
  <c r="AF4" i="8"/>
  <c r="W4" i="8"/>
  <c r="N4" i="8"/>
  <c r="E4" i="8"/>
  <c r="ET5" i="7"/>
  <c r="EK5" i="7"/>
  <c r="EB5" i="7"/>
  <c r="DR5" i="7"/>
  <c r="DI5" i="7"/>
  <c r="CZ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BA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A950" i="3"/>
  <c r="C949" i="3"/>
  <c r="E948" i="3"/>
  <c r="E947" i="3"/>
  <c r="G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L949" i="3"/>
  <c r="B949" i="3"/>
  <c r="D948" i="3"/>
  <c r="D947" i="3"/>
  <c r="F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K949" i="3"/>
  <c r="A949" i="3"/>
  <c r="A948" i="3"/>
  <c r="C947" i="3"/>
  <c r="E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J949" i="3"/>
  <c r="L948" i="3"/>
  <c r="L947" i="3"/>
  <c r="B947" i="3"/>
  <c r="D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I949" i="3"/>
  <c r="I948" i="3"/>
  <c r="K947" i="3"/>
  <c r="A947" i="3"/>
  <c r="C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H949" i="3"/>
  <c r="H948" i="3"/>
  <c r="J947" i="3"/>
  <c r="L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E949" i="3"/>
  <c r="G948" i="3"/>
  <c r="I947" i="3"/>
  <c r="I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D949" i="3"/>
  <c r="F948" i="3"/>
  <c r="H947" i="3"/>
  <c r="H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B865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A865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I697" i="3"/>
  <c r="C696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H697" i="3"/>
  <c r="I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G697" i="3"/>
  <c r="H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A697" i="3"/>
  <c r="G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L696" i="3"/>
  <c r="C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K696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E696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D696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B611" i="3"/>
  <c r="C610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A611" i="3"/>
  <c r="K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610" i="3"/>
  <c r="J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K610" i="3"/>
  <c r="I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G610" i="3"/>
  <c r="H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F610" i="3"/>
  <c r="G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E610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D610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A532" i="3"/>
  <c r="K529" i="3"/>
  <c r="B528" i="3"/>
  <c r="B527" i="3"/>
  <c r="A526" i="3"/>
  <c r="B525" i="3"/>
  <c r="D524" i="3"/>
  <c r="G523" i="3"/>
  <c r="J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E531" i="3"/>
  <c r="J529" i="3"/>
  <c r="A528" i="3"/>
  <c r="K526" i="3"/>
  <c r="K525" i="3"/>
  <c r="L524" i="3"/>
  <c r="C524" i="3"/>
  <c r="F523" i="3"/>
  <c r="I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C531" i="3"/>
  <c r="E529" i="3"/>
  <c r="K527" i="3"/>
  <c r="J526" i="3"/>
  <c r="J525" i="3"/>
  <c r="K524" i="3"/>
  <c r="B524" i="3"/>
  <c r="E523" i="3"/>
  <c r="H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B531" i="3"/>
  <c r="C529" i="3"/>
  <c r="J527" i="3"/>
  <c r="I526" i="3"/>
  <c r="G525" i="3"/>
  <c r="J524" i="3"/>
  <c r="A524" i="3"/>
  <c r="D523" i="3"/>
  <c r="G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I530" i="3"/>
  <c r="B529" i="3"/>
  <c r="G527" i="3"/>
  <c r="G526" i="3"/>
  <c r="F525" i="3"/>
  <c r="I524" i="3"/>
  <c r="L523" i="3"/>
  <c r="C523" i="3"/>
  <c r="F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G530" i="3"/>
  <c r="I528" i="3"/>
  <c r="F527" i="3"/>
  <c r="F526" i="3"/>
  <c r="E525" i="3"/>
  <c r="H524" i="3"/>
  <c r="K523" i="3"/>
  <c r="B523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F530" i="3"/>
  <c r="G528" i="3"/>
  <c r="E527" i="3"/>
  <c r="C526" i="3"/>
  <c r="D525" i="3"/>
  <c r="G524" i="3"/>
  <c r="J523" i="3"/>
  <c r="L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A530" i="3"/>
  <c r="F528" i="3"/>
  <c r="C527" i="3"/>
  <c r="B526" i="3"/>
  <c r="C525" i="3"/>
  <c r="F524" i="3"/>
  <c r="H523" i="3"/>
  <c r="K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I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H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J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H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G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F778" i="1"/>
  <c r="B773" i="1"/>
  <c r="J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J777" i="1"/>
  <c r="F772" i="1"/>
  <c r="I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B777" i="1"/>
  <c r="J771" i="1"/>
  <c r="G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F776" i="1"/>
  <c r="B771" i="1"/>
  <c r="F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J775" i="1"/>
  <c r="F770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B775" i="1"/>
  <c r="J769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F774" i="1"/>
  <c r="B769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J773" i="1"/>
  <c r="F768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H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G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F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E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D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A428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L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K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J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J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F4" i="1"/>
  <c r="I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E257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B257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B4" i="1"/>
  <c r="A257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J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I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J2" i="8" l="1"/>
  <c r="J2" i="10"/>
  <c r="J2" i="9"/>
  <c r="J2" i="6"/>
  <c r="J2" i="7"/>
  <c r="J2" i="5"/>
  <c r="J2" i="4"/>
</calcChain>
</file>

<file path=xl/sharedStrings.xml><?xml version="1.0" encoding="utf-8"?>
<sst xmlns="http://schemas.openxmlformats.org/spreadsheetml/2006/main" count="87" uniqueCount="32">
  <si>
    <t>Modules Info</t>
  </si>
  <si>
    <t>Modules</t>
  </si>
  <si>
    <t>Settings</t>
  </si>
  <si>
    <t>Module Step Setting File</t>
  </si>
  <si>
    <t>15Il9KeswuJGgf6kL64q0xt7c_sevGOAe7T20r5WsNa0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</si>
  <si>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</si>
  <si>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</si>
  <si>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</si>
  <si>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</si>
  <si>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</si>
  <si>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</si>
  <si>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</si>
  <si>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</si>
  <si>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TradeBloomberg</t>
  </si>
  <si>
    <t>Data Format</t>
  </si>
  <si>
    <t>Input Format</t>
  </si>
  <si>
    <t>1099 HK</t>
  </si>
  <si>
    <t>Buy</t>
  </si>
  <si>
    <t>Unallocated</t>
  </si>
  <si>
    <t>Market</t>
  </si>
  <si>
    <t>Blotter</t>
  </si>
  <si>
    <t>VerifyWorkingSubs</t>
  </si>
  <si>
    <t>1099-HKG</t>
  </si>
  <si>
    <t>Filled</t>
  </si>
  <si>
    <t>VerifySubOrder</t>
  </si>
  <si>
    <t>VerifyOrder</t>
  </si>
  <si>
    <t>Allocation</t>
  </si>
  <si>
    <t>CheckUnallocatedGroups</t>
  </si>
  <si>
    <t>PortfolioManagement</t>
  </si>
  <si>
    <t>CheckPortfolioManagement</t>
  </si>
  <si>
    <t>GetDataAllocation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</si>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</sst>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5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5" t="s">
        <v>0</v>
      </c>
      <c r="B1" s="36"/>
      <c r="C1" s="36"/>
      <c r="D1" s="36"/>
      <c r="E1" s="36"/>
      <c r="F1" s="37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1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8" t="s">
        <v>2</v>
      </c>
      <c r="B1" s="36"/>
      <c r="C1" s="37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5" t="s">
        <v>7</v>
      </c>
      <c r="B1" s="36"/>
      <c r="C1" s="36"/>
      <c r="D1" s="36"/>
      <c r="E1" s="36"/>
      <c r="F1" s="37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25" t="s">
        <v>16</v>
      </c>
      <c r="C6" s="26" t="s">
        <v>17</v>
      </c>
      <c r="D6" s="27">
        <v>200</v>
      </c>
      <c r="E6" s="25">
        <v>200</v>
      </c>
      <c r="F6" s="26" t="s">
        <v>18</v>
      </c>
      <c r="G6" s="28"/>
      <c r="H6" s="28"/>
      <c r="I6" s="26" t="s">
        <v>19</v>
      </c>
      <c r="J6" s="29">
        <v>20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30" t="s">
        <v>22</v>
      </c>
      <c r="C6" s="31" t="s">
        <v>17</v>
      </c>
      <c r="D6" s="29">
        <v>200</v>
      </c>
      <c r="E6" s="25">
        <v>200</v>
      </c>
      <c r="F6" s="28"/>
      <c r="G6" s="25" t="s">
        <v>23</v>
      </c>
      <c r="H6" s="28"/>
      <c r="I6" s="25">
        <v>20</v>
      </c>
      <c r="J6" s="25">
        <v>20</v>
      </c>
      <c r="K6" s="28"/>
      <c r="L6" s="28"/>
      <c r="M6" s="25" t="s">
        <v>19</v>
      </c>
      <c r="N6" s="28"/>
      <c r="O6" s="28"/>
      <c r="P6" s="28"/>
      <c r="Q6" s="28"/>
      <c r="R6" s="28"/>
      <c r="S6" s="25" t="s">
        <v>16</v>
      </c>
      <c r="T6" s="28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32"/>
      <c r="E6" s="25" t="s">
        <v>16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U6" s="28"/>
      <c r="AI6" s="30" t="s">
        <v>22</v>
      </c>
      <c r="AJ6" s="31" t="s">
        <v>17</v>
      </c>
      <c r="AK6" s="6" t="s">
        <v>23</v>
      </c>
      <c r="AL6" s="6">
        <v>200</v>
      </c>
      <c r="AM6" s="6">
        <v>200</v>
      </c>
      <c r="AN6" s="6">
        <v>100</v>
      </c>
      <c r="AT6" s="6" t="s">
        <v>19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32"/>
      <c r="E6" s="25" t="s">
        <v>16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U6" s="28"/>
      <c r="AI6" s="30" t="s">
        <v>22</v>
      </c>
      <c r="AJ6" s="31" t="s">
        <v>17</v>
      </c>
      <c r="AK6" s="6" t="s">
        <v>23</v>
      </c>
      <c r="AL6" s="6">
        <v>200</v>
      </c>
      <c r="AM6" s="6">
        <v>200</v>
      </c>
      <c r="AN6" s="6">
        <v>100</v>
      </c>
      <c r="AQ6" s="6">
        <v>20</v>
      </c>
      <c r="AR6" s="6">
        <v>20</v>
      </c>
      <c r="AU6" s="6" t="s">
        <v>19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1c7aP-E18Fb8lEVGiXac03BLoNVdUNRzodD2Xjn-9pzU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IFERROR(__xludf.DUMMYFUNCTION("""COMPUTED_VALUE"""),"Accrual Basis")</f>
        <v>Accrual Basis</v>
      </c>
      <c r="C5" s="22" t="str">
        <f ca="1">IFERROR(__xludf.DUMMYFUNCTION("""COMPUTED_VALUE"""),"Accrued Interest")</f>
        <v>Accrued Interest</v>
      </c>
      <c r="D5" s="22" t="str">
        <f ca="1">IFERROR(__xludf.DUMMYFUNCTION("""COMPUTED_VALUE"""),"Allocated Qty")</f>
        <v>Allocated Qty</v>
      </c>
      <c r="E5" s="22" t="str">
        <f ca="1">IFERROR(__xludf.DUMMYFUNCTION("""COMPUTED_VALUE"""),"Allocation Scheme Name")</f>
        <v>Allocation Scheme Name</v>
      </c>
      <c r="F5" s="23" t="str">
        <f ca="1">IFERROR(__xludf.DUMMYFUNCTION("""COMPUTED_VALUE"""),"Asset Category")</f>
        <v>Asset Category</v>
      </c>
      <c r="G5" s="22" t="str">
        <f ca="1">IFERROR(__xludf.DUMMYFUNCTION("""COMPUTED_VALUE"""),"AUEC Fee1")</f>
        <v>AUEC Fee1</v>
      </c>
      <c r="H5" s="22" t="str">
        <f ca="1">IFERROR(__xludf.DUMMYFUNCTION("""COMPUTED_VALUE"""),"AUEC Fee2")</f>
        <v>AUEC Fee2</v>
      </c>
      <c r="I5" s="22" t="str">
        <f ca="1">IFERROR(__xludf.DUMMYFUNCTION("""COMPUTED_VALUE"""),"AUECID")</f>
        <v>AUECID</v>
      </c>
      <c r="J5" s="22" t="str">
        <f ca="1">IFERROR(__xludf.DUMMYFUNCTION("""COMPUTED_VALUE"""),"Avg Price(Base)")</f>
        <v>Avg Price(Base)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IFERROR(__xludf.DUMMYFUNCTION("""COMPUTED_VALUE"""),"Bloomberg")</f>
        <v>Bloomberg</v>
      </c>
      <c r="M5" s="22" t="str">
        <f ca="1">IFERROR(__xludf.DUMMYFUNCTION("""COMPUTED_VALUE"""),"Bond Type")</f>
        <v>Bond Type</v>
      </c>
      <c r="N5" s="22" t="str">
        <f ca="1">IFERROR(__xludf.DUMMYFUNCTION("""COMPUTED_VALUE"""),"Broker")</f>
        <v>Broker</v>
      </c>
      <c r="O5" s="22" t="str">
        <f ca="1">IFERROR(__xludf.DUMMYFUNCTION("""COMPUTED_VALUE"""),"Change Comment")</f>
        <v>Change Comment</v>
      </c>
      <c r="P5" s="22" t="str">
        <f ca="1">IFERROR(__xludf.DUMMYFUNCTION("""COMPUTED_VALUE"""),"Change Type")</f>
        <v>Change Type</v>
      </c>
      <c r="Q5" s="22" t="str">
        <f ca="1">IFERROR(__xludf.DUMMYFUNCTION("""COMPUTED_VALUE"""),"Clearing Broker Fee")</f>
        <v>Clearing Broker Fee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IFERROR(__xludf.DUMMYFUNCTION("""COMPUTED_VALUE"""),"Execution Time")</f>
        <v>Execution Time</v>
      </c>
      <c r="AG5" s="24" t="str">
        <f ca="1">IFERROR(__xludf.DUMMYFUNCTION("""COMPUTED_VALUE"""),"FX Conversion Operator")</f>
        <v>FX Conversion Operator</v>
      </c>
      <c r="AH5" s="24" t="str">
        <f ca="1">IFERROR(__xludf.DUMMYFUNCTION("""COMPUTED_VALUE"""),"FX Rate")</f>
        <v>FX Rate</v>
      </c>
      <c r="AI5" s="24" t="str">
        <f ca="1">IFERROR(__xludf.DUMMYFUNCTION("""COMPUTED_VALUE"""),"Group Status")</f>
        <v>Group Status</v>
      </c>
      <c r="AJ5" s="24" t="str">
        <f ca="1">IFERROR(__xludf.DUMMYFUNCTION("""COMPUTED_VALUE"""),"GroupID")</f>
        <v>GroupID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IFERROR(__xludf.DUMMYFUNCTION("""COMPUTED_VALUE"""),"Symbol")</f>
        <v>Symbol</v>
      </c>
      <c r="BT5" s="24" t="str">
        <f ca="1">IFERROR(__xludf.DUMMYFUNCTION("""COMPUTED_VALUE"""),"Tax On Commissions")</f>
        <v>Tax On Commissions</v>
      </c>
      <c r="BU5" s="24" t="str">
        <f ca="1">IFERROR(__xludf.DUMMYFUNCTION("""COMPUTED_VALUE"""),"Total Commission")</f>
        <v>Total Commission</v>
      </c>
      <c r="BV5" s="24" t="str">
        <f ca="1">IFERROR(__xludf.DUMMYFUNCTION("""COMPUTED_VALUE"""),"Total Commission And Fee")</f>
        <v>Total Commission And Fee</v>
      </c>
      <c r="BW5" s="24" t="str">
        <f ca="1">IFERROR(__xludf.DUMMYFUNCTION("""COMPUTED_VALUE"""),"Total Commission Per Share")</f>
        <v>Total Commission Per Share</v>
      </c>
      <c r="BX5" s="24" t="str">
        <f ca="1">IFERROR(__xludf.DUMMYFUNCTION("""COMPUTED_VALUE"""),"Trade Attribute 1")</f>
        <v>Trade Attribute 1</v>
      </c>
      <c r="BY5" s="24" t="str">
        <f ca="1">IFERROR(__xludf.DUMMYFUNCTION("""COMPUTED_VALUE"""),"Trade Attribute 2")</f>
        <v>Trade Attribute 2</v>
      </c>
      <c r="BZ5" s="24" t="str">
        <f ca="1">IFERROR(__xludf.DUMMYFUNCTION("""COMPUTED_VALUE"""),"Trade Attribute 3")</f>
        <v>Trade Attribute 3</v>
      </c>
      <c r="CA5" s="24" t="str">
        <f ca="1">IFERROR(__xludf.DUMMYFUNCTION("""COMPUTED_VALUE"""),"Trade Attribute 4")</f>
        <v>Trade Attribute 4</v>
      </c>
      <c r="CB5" s="24" t="str">
        <f ca="1">IFERROR(__xludf.DUMMYFUNCTION("""COMPUTED_VALUE"""),"Trade Attribute 5")</f>
        <v>Trade Attribute 5</v>
      </c>
      <c r="CC5" s="24" t="str">
        <f ca="1">IFERROR(__xludf.DUMMYFUNCTION("""COMPUTED_VALUE"""),"Trade Attribute 6")</f>
        <v>Trade Attribute 6</v>
      </c>
      <c r="CD5" s="24" t="str">
        <f ca="1">IFERROR(__xludf.DUMMYFUNCTION("""COMPUTED_VALUE"""),"Trade Date")</f>
        <v>Trade Date</v>
      </c>
      <c r="CE5" s="24" t="str">
        <f ca="1">IFERROR(__xludf.DUMMYFUNCTION("""COMPUTED_VALUE"""),"Trading Account")</f>
        <v>Trading Account</v>
      </c>
      <c r="CF5" s="24" t="str">
        <f ca="1">IFERROR(__xludf.DUMMYFUNCTION("""COMPUTED_VALUE"""),"Transaction Levy")</f>
        <v>Transaction Levy</v>
      </c>
      <c r="CG5" s="24" t="str">
        <f ca="1">IFERROR(__xludf.DUMMYFUNCTION("""COMPUTED_VALUE"""),"Transaction Source")</f>
        <v>Transaction Source</v>
      </c>
      <c r="CH5" s="24" t="str">
        <f ca="1">IFERROR(__xludf.DUMMYFUNCTION("""COMPUTED_VALUE"""),"Transaction Type")</f>
        <v>Transaction Type</v>
      </c>
      <c r="CI5" s="24" t="str">
        <f ca="1">IFERROR(__xludf.DUMMYFUNCTION("""COMPUTED_VALUE"""),"UnAllocatedQty")</f>
        <v>UnAllocatedQty</v>
      </c>
      <c r="CJ5" s="24" t="str">
        <f ca="1">IFERROR(__xludf.DUMMYFUNCTION("""COMPUTED_VALUE"""),"Underlying")</f>
        <v>Underlying</v>
      </c>
      <c r="CK5" s="24" t="str">
        <f ca="1">IFERROR(__xludf.DUMMYFUNCTION("""COMPUTED_VALUE"""),"Underlying Delta")</f>
        <v>Underlying Delta</v>
      </c>
      <c r="CL5" s="24" t="str">
        <f ca="1">IFERROR(__xludf.DUMMYFUNCTION("""COMPUTED_VALUE"""),"Underlying Symbol")</f>
        <v>Underlying Symbol</v>
      </c>
      <c r="CM5" s="24" t="str">
        <f ca="1">IFERROR(__xludf.DUMMYFUNCTION("""COMPUTED_VALUE"""),"User")</f>
        <v>User</v>
      </c>
      <c r="CN5" s="24" t="str">
        <f ca="1">IFERROR(__xludf.DUMMYFUNCTION("""COMPUTED_VALUE"""),"Venue")</f>
        <v>Venue</v>
      </c>
      <c r="CO5" s="24" t="str">
        <f ca="1">IFERROR(__xludf.DUMMYFUNCTION("""COMPUTED_VALUE"""),"Closing Date")</f>
        <v>Closing Date</v>
      </c>
      <c r="CP5" s="24" t="str">
        <f ca="1">IFERROR(__xludf.DUMMYFUNCTION("""COMPUTED_VALUE"""),"Expiration Date")</f>
        <v>Expiration Date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32"/>
      <c r="C6" s="28"/>
      <c r="D6" s="32"/>
      <c r="E6" s="28"/>
      <c r="F6" s="28"/>
      <c r="G6" s="28"/>
      <c r="H6" s="28"/>
      <c r="I6" s="28"/>
      <c r="J6" s="28"/>
      <c r="K6" s="28"/>
      <c r="L6" s="25" t="s">
        <v>16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5">
        <v>200</v>
      </c>
      <c r="AF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6" t="s">
        <v>19</v>
      </c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33">
        <v>200</v>
      </c>
      <c r="BK6" s="28"/>
      <c r="BL6" s="28"/>
      <c r="BM6" s="33"/>
      <c r="BN6" s="28"/>
      <c r="BO6" s="28" t="s">
        <v>17</v>
      </c>
      <c r="BP6" s="28"/>
      <c r="BQ6" s="28"/>
      <c r="BR6" s="28"/>
      <c r="BS6" s="25" t="s">
        <v>22</v>
      </c>
      <c r="BT6" s="28"/>
      <c r="BV6" s="28"/>
      <c r="BW6" s="28"/>
      <c r="BX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"/>
  <sheetViews>
    <sheetView tabSelected="1" topLeftCell="BB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9" ht="15.75" customHeight="1" x14ac:dyDescent="0.2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</row>
    <row r="4" spans="1:169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  <c r="FL4" s="20" t="str">
        <f ca="1">IFERROR(__xludf.DUMMYFUNCTION("""COMPUTED_VALUE"""),"")</f>
        <v/>
      </c>
      <c r="FM4" s="20" t="str">
        <f ca="1">IFERROR(__xludf.DUMMYFUNCTION("""COMPUTED_VALUE"""),"")</f>
        <v/>
      </c>
    </row>
    <row r="5" spans="1:169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  <c r="FL5" s="24" t="str">
        <f ca="1">IFERROR(__xludf.DUMMYFUNCTION("""COMPUTED_VALUE"""),"")</f>
        <v/>
      </c>
      <c r="FM5" s="24" t="str">
        <f ca="1">IFERROR(__xludf.DUMMYFUNCTION("""COMPUTED_VALUE"""),"")</f>
        <v/>
      </c>
    </row>
    <row r="6" spans="1:169" ht="15.75" customHeight="1" x14ac:dyDescent="0.2">
      <c r="A6" s="7"/>
      <c r="B6" s="32"/>
      <c r="C6" s="30" t="s">
        <v>22</v>
      </c>
      <c r="D6" s="27">
        <v>200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 t="s">
        <v>17</v>
      </c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5" t="s">
        <v>16</v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</row>
    <row r="7" spans="1:169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9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9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9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9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9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9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9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9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9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5" t="s">
        <v>11</v>
      </c>
      <c r="C1" s="36"/>
      <c r="D1" s="36"/>
      <c r="E1" s="36"/>
      <c r="F1" s="36"/>
      <c r="G1" s="36"/>
      <c r="H1" s="37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31</v>
      </c>
      <c r="C6" s="5"/>
      <c r="D6" s="7"/>
      <c r="E6" s="34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TradeBloomberg</vt:lpstr>
      <vt:lpstr>VerifyWorkingSubs</vt:lpstr>
      <vt:lpstr>VerifySubOrder</vt:lpstr>
      <vt:lpstr>VerifyOrder</vt:lpstr>
      <vt:lpstr>CheckUnallocatedGroups</vt:lpstr>
      <vt:lpstr>CheckPortfolioManagement</vt:lpstr>
      <vt:lpstr>GetDataAllocation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2021-08-04T09:45:59Z</dcterms:modified>
</cp:coreProperties>
</file>