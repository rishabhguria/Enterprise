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1" activeTab="4"/>
  </bookViews>
  <sheets>
    <sheet name="_Modules" sheetId="1" r:id="rId1"/>
    <sheet name="_Settings" sheetId="2" r:id="rId2"/>
    <sheet name="_MasterData" sheetId="3" r:id="rId3"/>
    <sheet name="EnableDisableModule" sheetId="4" r:id="rId4"/>
    <sheet name="ImportOnShortLocate" sheetId="5" r:id="rId5"/>
    <sheet name="VerifyShortLocateGrid" sheetId="6" r:id="rId6"/>
    <sheet name="CreateDoneAwayOrder" sheetId="7" r:id="rId7"/>
    <sheet name="VerifyOrder" sheetId="8" r:id="rId8"/>
    <sheet name="GetDataAllocation" sheetId="9" r:id="rId9"/>
    <sheet name="CheckAllocatedGroups" sheetId="10" r:id="rId10"/>
    <sheet name="GetDataClosing" sheetId="11" r:id="rId11"/>
    <sheet name="VerifyShortPositionsGrid" sheetId="12" r:id="rId12"/>
    <sheet name="VerifyShortLocateGrid1" sheetId="13" r:id="rId13"/>
    <sheet name="EnableDisableModule1" sheetId="14" r:id="rId14"/>
  </sheets>
  <calcPr calcId="145621"/>
</workbook>
</file>

<file path=xl/calcChain.xml><?xml version="1.0" encoding="utf-8"?>
<calcChain xmlns="http://schemas.openxmlformats.org/spreadsheetml/2006/main">
  <c r="C5" i="14" l="1"/>
  <c r="K4" i="14"/>
  <c r="C4" i="14"/>
  <c r="J5" i="13"/>
  <c r="B5" i="13"/>
  <c r="B4" i="13"/>
  <c r="T5" i="12"/>
  <c r="L5" i="12"/>
  <c r="D5" i="12"/>
  <c r="Y4" i="12"/>
  <c r="Q4" i="12"/>
  <c r="I4" i="12"/>
  <c r="AA4" i="11"/>
  <c r="S4" i="11"/>
  <c r="K4" i="11"/>
  <c r="C4" i="11"/>
  <c r="CN5" i="10"/>
  <c r="CF5" i="10"/>
  <c r="BX5" i="10"/>
  <c r="BP5" i="10"/>
  <c r="BH5" i="10"/>
  <c r="AZ5" i="10"/>
  <c r="AR5" i="10"/>
  <c r="AJ5" i="10"/>
  <c r="AB5" i="10"/>
  <c r="T5" i="10"/>
  <c r="L5" i="10"/>
  <c r="D5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O5" i="9"/>
  <c r="G5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BA5" i="8"/>
  <c r="AS5" i="8"/>
  <c r="AK5" i="8"/>
  <c r="AC5" i="8"/>
  <c r="U5" i="8"/>
  <c r="M5" i="8"/>
  <c r="E5" i="8"/>
  <c r="BA4" i="8"/>
  <c r="AS4" i="8"/>
  <c r="AK4" i="8"/>
  <c r="AC4" i="8"/>
  <c r="U4" i="8"/>
  <c r="M4" i="8"/>
  <c r="E4" i="8"/>
  <c r="AN5" i="7"/>
  <c r="AF5" i="7"/>
  <c r="X5" i="7"/>
  <c r="P5" i="7"/>
  <c r="H5" i="7"/>
  <c r="AB4" i="7"/>
  <c r="T4" i="7"/>
  <c r="L4" i="7"/>
  <c r="D4" i="7"/>
  <c r="K5" i="6"/>
  <c r="C5" i="6"/>
  <c r="C4" i="6"/>
  <c r="F4" i="5"/>
  <c r="A5" i="4"/>
  <c r="I4" i="4"/>
  <c r="A19" i="3"/>
  <c r="A17" i="3"/>
  <c r="A15" i="3"/>
  <c r="A13" i="3"/>
  <c r="A11" i="3"/>
  <c r="A9" i="3"/>
  <c r="A7" i="3"/>
  <c r="A5" i="3"/>
  <c r="C511" i="1"/>
  <c r="A509" i="1"/>
  <c r="B506" i="1"/>
  <c r="C503" i="1"/>
  <c r="A501" i="1"/>
  <c r="B498" i="1"/>
  <c r="C495" i="1"/>
  <c r="A493" i="1"/>
  <c r="B490" i="1"/>
  <c r="C487" i="1"/>
  <c r="A485" i="1"/>
  <c r="B5" i="14"/>
  <c r="J4" i="14"/>
  <c r="B4" i="14"/>
  <c r="I5" i="13"/>
  <c r="A5" i="13"/>
  <c r="S5" i="12"/>
  <c r="K5" i="12"/>
  <c r="C5" i="12"/>
  <c r="X4" i="12"/>
  <c r="P4" i="12"/>
  <c r="H4" i="12"/>
  <c r="E5" i="11"/>
  <c r="Z4" i="11"/>
  <c r="R4" i="11"/>
  <c r="J4" i="11"/>
  <c r="B4" i="11"/>
  <c r="CM5" i="10"/>
  <c r="CE5" i="10"/>
  <c r="BW5" i="10"/>
  <c r="BO5" i="10"/>
  <c r="BG5" i="10"/>
  <c r="AY5" i="10"/>
  <c r="AQ5" i="10"/>
  <c r="AI5" i="10"/>
  <c r="AA5" i="10"/>
  <c r="S5" i="10"/>
  <c r="K5" i="10"/>
  <c r="C5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N5" i="9"/>
  <c r="F5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AZ5" i="8"/>
  <c r="AR5" i="8"/>
  <c r="AJ5" i="8"/>
  <c r="AB5" i="8"/>
  <c r="T5" i="8"/>
  <c r="L5" i="8"/>
  <c r="D5" i="8"/>
  <c r="AZ4" i="8"/>
  <c r="AR4" i="8"/>
  <c r="AJ4" i="8"/>
  <c r="AB4" i="8"/>
  <c r="T4" i="8"/>
  <c r="L4" i="8"/>
  <c r="D4" i="8"/>
  <c r="AM5" i="7"/>
  <c r="AE5" i="7"/>
  <c r="W5" i="7"/>
  <c r="O5" i="7"/>
  <c r="G5" i="7"/>
  <c r="AA4" i="7"/>
  <c r="S4" i="7"/>
  <c r="K4" i="7"/>
  <c r="C4" i="7"/>
  <c r="J5" i="6"/>
  <c r="B5" i="6"/>
  <c r="B4" i="6"/>
  <c r="A5" i="14"/>
  <c r="I4" i="14"/>
  <c r="H5" i="13"/>
  <c r="H4" i="13"/>
  <c r="Z5" i="12"/>
  <c r="R5" i="12"/>
  <c r="J5" i="12"/>
  <c r="B5" i="12"/>
  <c r="W4" i="12"/>
  <c r="O4" i="12"/>
  <c r="G4" i="12"/>
  <c r="D5" i="11"/>
  <c r="Y4" i="11"/>
  <c r="Q4" i="11"/>
  <c r="I4" i="11"/>
  <c r="CL5" i="10"/>
  <c r="CD5" i="10"/>
  <c r="BV5" i="10"/>
  <c r="BN5" i="10"/>
  <c r="BF5" i="10"/>
  <c r="AX5" i="10"/>
  <c r="AP5" i="10"/>
  <c r="AH5" i="10"/>
  <c r="Z5" i="10"/>
  <c r="R5" i="10"/>
  <c r="J5" i="10"/>
  <c r="B5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M5" i="9"/>
  <c r="E5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AY5" i="8"/>
  <c r="AQ5" i="8"/>
  <c r="AI5" i="8"/>
  <c r="AA5" i="8"/>
  <c r="S5" i="8"/>
  <c r="K5" i="8"/>
  <c r="C5" i="8"/>
  <c r="AY4" i="8"/>
  <c r="AQ4" i="8"/>
  <c r="AI4" i="8"/>
  <c r="AA4" i="8"/>
  <c r="S4" i="8"/>
  <c r="K4" i="8"/>
  <c r="C4" i="8"/>
  <c r="AL5" i="7"/>
  <c r="AD5" i="7"/>
  <c r="V5" i="7"/>
  <c r="N5" i="7"/>
  <c r="F5" i="7"/>
  <c r="Z4" i="7"/>
  <c r="R4" i="7"/>
  <c r="J4" i="7"/>
  <c r="B4" i="7"/>
  <c r="I5" i="6"/>
  <c r="A5" i="6"/>
  <c r="D4" i="5"/>
  <c r="O4" i="4"/>
  <c r="G4" i="4"/>
  <c r="C20" i="3"/>
  <c r="C18" i="3"/>
  <c r="C16" i="3"/>
  <c r="C14" i="3"/>
  <c r="C12" i="3"/>
  <c r="C10" i="3"/>
  <c r="C8" i="3"/>
  <c r="C6" i="3"/>
  <c r="C4" i="3"/>
  <c r="A511" i="1"/>
  <c r="B508" i="1"/>
  <c r="C505" i="1"/>
  <c r="A503" i="1"/>
  <c r="B500" i="1"/>
  <c r="C497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P4" i="14"/>
  <c r="H4" i="14"/>
  <c r="O5" i="13"/>
  <c r="G5" i="13"/>
  <c r="G4" i="13"/>
  <c r="Y5" i="12"/>
  <c r="Q5" i="12"/>
  <c r="I5" i="12"/>
  <c r="A5" i="12"/>
  <c r="V4" i="12"/>
  <c r="N4" i="12"/>
  <c r="F4" i="12"/>
  <c r="C5" i="11"/>
  <c r="X4" i="11"/>
  <c r="P4" i="11"/>
  <c r="H4" i="11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L5" i="9"/>
  <c r="D5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AX5" i="8"/>
  <c r="AP5" i="8"/>
  <c r="AH5" i="8"/>
  <c r="Z5" i="8"/>
  <c r="R5" i="8"/>
  <c r="J5" i="8"/>
  <c r="B5" i="8"/>
  <c r="AX4" i="8"/>
  <c r="AP4" i="8"/>
  <c r="AH4" i="8"/>
  <c r="Z4" i="8"/>
  <c r="R4" i="8"/>
  <c r="J4" i="8"/>
  <c r="B4" i="8"/>
  <c r="AK5" i="7"/>
  <c r="AC5" i="7"/>
  <c r="U5" i="7"/>
  <c r="M5" i="7"/>
  <c r="E5" i="7"/>
  <c r="Y4" i="7"/>
  <c r="Q4" i="7"/>
  <c r="I4" i="7"/>
  <c r="H5" i="6"/>
  <c r="H4" i="6"/>
  <c r="C5" i="5"/>
  <c r="C4" i="5"/>
  <c r="N4" i="4"/>
  <c r="F4" i="4"/>
  <c r="B20" i="3"/>
  <c r="B18" i="3"/>
  <c r="B16" i="3"/>
  <c r="B14" i="3"/>
  <c r="B12" i="3"/>
  <c r="B10" i="3"/>
  <c r="B8" i="3"/>
  <c r="B6" i="3"/>
  <c r="B4" i="3"/>
  <c r="C510" i="1"/>
  <c r="A508" i="1"/>
  <c r="B505" i="1"/>
  <c r="C502" i="1"/>
  <c r="A500" i="1"/>
  <c r="B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O4" i="14"/>
  <c r="G4" i="14"/>
  <c r="N5" i="13"/>
  <c r="F5" i="13"/>
  <c r="F4" i="13"/>
  <c r="X5" i="12"/>
  <c r="P5" i="12"/>
  <c r="H5" i="12"/>
  <c r="AC4" i="12"/>
  <c r="U4" i="12"/>
  <c r="M4" i="12"/>
  <c r="E4" i="12"/>
  <c r="B5" i="11"/>
  <c r="W4" i="11"/>
  <c r="O4" i="11"/>
  <c r="G4" i="11"/>
  <c r="CR5" i="10"/>
  <c r="CJ5" i="10"/>
  <c r="CB5" i="10"/>
  <c r="BT5" i="10"/>
  <c r="BL5" i="10"/>
  <c r="BD5" i="10"/>
  <c r="AV5" i="10"/>
  <c r="AN5" i="10"/>
  <c r="AF5" i="10"/>
  <c r="X5" i="10"/>
  <c r="P5" i="10"/>
  <c r="H5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K5" i="9"/>
  <c r="C5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AW5" i="8"/>
  <c r="AO5" i="8"/>
  <c r="AG5" i="8"/>
  <c r="Y5" i="8"/>
  <c r="Q5" i="8"/>
  <c r="I5" i="8"/>
  <c r="A5" i="8"/>
  <c r="AW4" i="8"/>
  <c r="AO4" i="8"/>
  <c r="AG4" i="8"/>
  <c r="Y4" i="8"/>
  <c r="Q4" i="8"/>
  <c r="I4" i="8"/>
  <c r="AJ5" i="7"/>
  <c r="AB5" i="7"/>
  <c r="T5" i="7"/>
  <c r="L5" i="7"/>
  <c r="D5" i="7"/>
  <c r="X4" i="7"/>
  <c r="P4" i="7"/>
  <c r="H4" i="7"/>
  <c r="O5" i="6"/>
  <c r="G5" i="6"/>
  <c r="G4" i="6"/>
  <c r="B5" i="5"/>
  <c r="B4" i="5"/>
  <c r="M4" i="4"/>
  <c r="E4" i="4"/>
  <c r="A20" i="3"/>
  <c r="A18" i="3"/>
  <c r="A16" i="3"/>
  <c r="A14" i="3"/>
  <c r="A12" i="3"/>
  <c r="A10" i="3"/>
  <c r="A8" i="3"/>
  <c r="A6" i="3"/>
  <c r="A4" i="3"/>
  <c r="B510" i="1"/>
  <c r="C507" i="1"/>
  <c r="A505" i="1"/>
  <c r="B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N4" i="14"/>
  <c r="F4" i="14"/>
  <c r="M5" i="13"/>
  <c r="E5" i="13"/>
  <c r="E4" i="13"/>
  <c r="W5" i="12"/>
  <c r="O5" i="12"/>
  <c r="G5" i="12"/>
  <c r="AB4" i="12"/>
  <c r="T4" i="12"/>
  <c r="L4" i="12"/>
  <c r="D4" i="12"/>
  <c r="A5" i="11"/>
  <c r="V4" i="11"/>
  <c r="N4" i="11"/>
  <c r="F4" i="11"/>
  <c r="CQ5" i="10"/>
  <c r="CI5" i="10"/>
  <c r="CA5" i="10"/>
  <c r="BS5" i="10"/>
  <c r="BK5" i="10"/>
  <c r="BC5" i="10"/>
  <c r="AU5" i="10"/>
  <c r="AM5" i="10"/>
  <c r="AE5" i="10"/>
  <c r="W5" i="10"/>
  <c r="O5" i="10"/>
  <c r="G5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R5" i="9"/>
  <c r="J5" i="9"/>
  <c r="B5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AV5" i="8"/>
  <c r="AN5" i="8"/>
  <c r="AF5" i="8"/>
  <c r="X5" i="8"/>
  <c r="P5" i="8"/>
  <c r="H5" i="8"/>
  <c r="BD4" i="8"/>
  <c r="AV4" i="8"/>
  <c r="AN4" i="8"/>
  <c r="AF4" i="8"/>
  <c r="X4" i="8"/>
  <c r="P4" i="8"/>
  <c r="H4" i="8"/>
  <c r="AQ5" i="7"/>
  <c r="AI5" i="7"/>
  <c r="AA5" i="7"/>
  <c r="S5" i="7"/>
  <c r="K5" i="7"/>
  <c r="C5" i="7"/>
  <c r="W4" i="7"/>
  <c r="O4" i="7"/>
  <c r="G4" i="7"/>
  <c r="N5" i="6"/>
  <c r="F5" i="6"/>
  <c r="F4" i="6"/>
  <c r="A5" i="5"/>
  <c r="L4" i="4"/>
  <c r="D4" i="4"/>
  <c r="D19" i="3"/>
  <c r="D17" i="3"/>
  <c r="D15" i="3"/>
  <c r="D13" i="3"/>
  <c r="D11" i="3"/>
  <c r="D9" i="3"/>
  <c r="D7" i="3"/>
  <c r="D5" i="3"/>
  <c r="C512" i="1"/>
  <c r="A510" i="1"/>
  <c r="B507" i="1"/>
  <c r="C504" i="1"/>
  <c r="A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M4" i="14"/>
  <c r="E4" i="14"/>
  <c r="L5" i="13"/>
  <c r="D5" i="13"/>
  <c r="D4" i="13"/>
  <c r="V5" i="12"/>
  <c r="N5" i="12"/>
  <c r="F5" i="12"/>
  <c r="AA4" i="12"/>
  <c r="S4" i="12"/>
  <c r="K4" i="12"/>
  <c r="C4" i="12"/>
  <c r="AC4" i="11"/>
  <c r="U4" i="11"/>
  <c r="M4" i="11"/>
  <c r="E4" i="11"/>
  <c r="CP5" i="10"/>
  <c r="CH5" i="10"/>
  <c r="BZ5" i="10"/>
  <c r="BR5" i="10"/>
  <c r="BJ5" i="10"/>
  <c r="BB5" i="10"/>
  <c r="AT5" i="10"/>
  <c r="AL5" i="10"/>
  <c r="AD5" i="10"/>
  <c r="V5" i="10"/>
  <c r="N5" i="10"/>
  <c r="F5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Q5" i="9"/>
  <c r="I5" i="9"/>
  <c r="A5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AU5" i="8"/>
  <c r="AM5" i="8"/>
  <c r="AE5" i="8"/>
  <c r="W5" i="8"/>
  <c r="O5" i="8"/>
  <c r="G5" i="8"/>
  <c r="BC4" i="8"/>
  <c r="AU4" i="8"/>
  <c r="AM4" i="8"/>
  <c r="AE4" i="8"/>
  <c r="W4" i="8"/>
  <c r="O4" i="8"/>
  <c r="G4" i="8"/>
  <c r="AP5" i="7"/>
  <c r="AH5" i="7"/>
  <c r="Z5" i="7"/>
  <c r="R5" i="7"/>
  <c r="J5" i="7"/>
  <c r="B5" i="7"/>
  <c r="V4" i="7"/>
  <c r="N4" i="7"/>
  <c r="F4" i="7"/>
  <c r="M5" i="6"/>
  <c r="E5" i="6"/>
  <c r="E4" i="6"/>
  <c r="H4" i="5"/>
  <c r="C5" i="4"/>
  <c r="K4" i="4"/>
  <c r="C4" i="4"/>
  <c r="C19" i="3"/>
  <c r="C17" i="3"/>
  <c r="C15" i="3"/>
  <c r="C13" i="3"/>
  <c r="C11" i="3"/>
  <c r="C9" i="3"/>
  <c r="C7" i="3"/>
  <c r="C5" i="3"/>
  <c r="B512" i="1"/>
  <c r="C509" i="1"/>
  <c r="A507" i="1"/>
  <c r="B504" i="1"/>
  <c r="C501" i="1"/>
  <c r="A499" i="1"/>
  <c r="B496" i="1"/>
  <c r="C493" i="1"/>
  <c r="A491" i="1"/>
  <c r="B488" i="1"/>
  <c r="C485" i="1"/>
  <c r="A483" i="1"/>
  <c r="B480" i="1"/>
  <c r="L4" i="14"/>
  <c r="D4" i="14"/>
  <c r="K5" i="13"/>
  <c r="C5" i="13"/>
  <c r="C4" i="13"/>
  <c r="U5" i="12"/>
  <c r="M5" i="12"/>
  <c r="E5" i="12"/>
  <c r="Z4" i="12"/>
  <c r="R4" i="12"/>
  <c r="J4" i="12"/>
  <c r="B4" i="12"/>
  <c r="AB4" i="11"/>
  <c r="T4" i="11"/>
  <c r="L4" i="11"/>
  <c r="D4" i="11"/>
  <c r="CO5" i="10"/>
  <c r="CG5" i="10"/>
  <c r="BY5" i="10"/>
  <c r="BQ5" i="10"/>
  <c r="BI5" i="10"/>
  <c r="BA5" i="10"/>
  <c r="AS5" i="10"/>
  <c r="AK5" i="10"/>
  <c r="AC5" i="10"/>
  <c r="U5" i="10"/>
  <c r="M5" i="10"/>
  <c r="E5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P5" i="9"/>
  <c r="H5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AT5" i="8"/>
  <c r="AL5" i="8"/>
  <c r="AD5" i="8"/>
  <c r="V5" i="8"/>
  <c r="N5" i="8"/>
  <c r="F5" i="8"/>
  <c r="BB4" i="8"/>
  <c r="AT4" i="8"/>
  <c r="AL4" i="8"/>
  <c r="AD4" i="8"/>
  <c r="V4" i="8"/>
  <c r="N4" i="8"/>
  <c r="F4" i="8"/>
  <c r="AO5" i="7"/>
  <c r="AG5" i="7"/>
  <c r="Y5" i="7"/>
  <c r="Q5" i="7"/>
  <c r="I5" i="7"/>
  <c r="A5" i="7"/>
  <c r="U4" i="7"/>
  <c r="M4" i="7"/>
  <c r="E4" i="7"/>
  <c r="L5" i="6"/>
  <c r="D5" i="6"/>
  <c r="D4" i="6"/>
  <c r="G4" i="5"/>
  <c r="B5" i="4"/>
  <c r="J4" i="4"/>
  <c r="B4" i="4"/>
  <c r="B19" i="3"/>
  <c r="B17" i="3"/>
  <c r="B15" i="3"/>
  <c r="B13" i="3"/>
  <c r="B11" i="3"/>
  <c r="B9" i="3"/>
  <c r="B7" i="3"/>
  <c r="B5" i="3"/>
  <c r="A512" i="1"/>
  <c r="B509" i="1"/>
  <c r="C506" i="1"/>
  <c r="A504" i="1"/>
  <c r="B501" i="1"/>
  <c r="C498" i="1"/>
  <c r="A496" i="1"/>
  <c r="B493" i="1"/>
  <c r="C490" i="1"/>
  <c r="A488" i="1"/>
  <c r="B485" i="1"/>
  <c r="E4" i="5"/>
  <c r="D10" i="3"/>
  <c r="C500" i="1"/>
  <c r="B482" i="1"/>
  <c r="C476" i="1"/>
  <c r="B471" i="1"/>
  <c r="A466" i="1"/>
  <c r="A461" i="1"/>
  <c r="B456" i="1"/>
  <c r="C452" i="1"/>
  <c r="A448" i="1"/>
  <c r="B444" i="1"/>
  <c r="C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P4" i="4"/>
  <c r="D8" i="3"/>
  <c r="A498" i="1"/>
  <c r="A482" i="1"/>
  <c r="A475" i="1"/>
  <c r="C469" i="1"/>
  <c r="B464" i="1"/>
  <c r="C460" i="1"/>
  <c r="A456" i="1"/>
  <c r="B452" i="1"/>
  <c r="C447" i="1"/>
  <c r="A443" i="1"/>
  <c r="B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H4" i="4"/>
  <c r="D6" i="3"/>
  <c r="B495" i="1"/>
  <c r="A480" i="1"/>
  <c r="C474" i="1"/>
  <c r="B469" i="1"/>
  <c r="A464" i="1"/>
  <c r="B460" i="1"/>
  <c r="C455" i="1"/>
  <c r="A451" i="1"/>
  <c r="B447" i="1"/>
  <c r="C442" i="1"/>
  <c r="A439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D20" i="3"/>
  <c r="D4" i="3"/>
  <c r="C492" i="1"/>
  <c r="C479" i="1"/>
  <c r="B474" i="1"/>
  <c r="A469" i="1"/>
  <c r="C463" i="1"/>
  <c r="A459" i="1"/>
  <c r="B455" i="1"/>
  <c r="C450" i="1"/>
  <c r="A447" i="1"/>
  <c r="B442" i="1"/>
  <c r="C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D18" i="3"/>
  <c r="B511" i="1"/>
  <c r="A490" i="1"/>
  <c r="B479" i="1"/>
  <c r="A474" i="1"/>
  <c r="C468" i="1"/>
  <c r="B463" i="1"/>
  <c r="C458" i="1"/>
  <c r="A455" i="1"/>
  <c r="B450" i="1"/>
  <c r="C445" i="1"/>
  <c r="A442" i="1"/>
  <c r="B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D16" i="3"/>
  <c r="C508" i="1"/>
  <c r="B487" i="1"/>
  <c r="C477" i="1"/>
  <c r="B472" i="1"/>
  <c r="A467" i="1"/>
  <c r="A463" i="1"/>
  <c r="B458" i="1"/>
  <c r="C453" i="1"/>
  <c r="A450" i="1"/>
  <c r="B445" i="1"/>
  <c r="C441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D14" i="3"/>
  <c r="A506" i="1"/>
  <c r="C484" i="1"/>
  <c r="B477" i="1"/>
  <c r="A472" i="1"/>
  <c r="C466" i="1"/>
  <c r="C461" i="1"/>
  <c r="A458" i="1"/>
  <c r="B453" i="1"/>
  <c r="C449" i="1"/>
  <c r="A445" i="1"/>
  <c r="B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D12" i="3"/>
  <c r="B503" i="1"/>
  <c r="C482" i="1"/>
  <c r="A477" i="1"/>
  <c r="C471" i="1"/>
  <c r="B466" i="1"/>
  <c r="B461" i="1"/>
  <c r="C457" i="1"/>
  <c r="A453" i="1"/>
  <c r="B448" i="1"/>
  <c r="C444" i="1"/>
  <c r="A440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J2" i="12" l="1"/>
  <c r="J2" i="4"/>
  <c r="J2" i="13"/>
  <c r="J2" i="14"/>
  <c r="J2" i="11"/>
  <c r="J2" i="6"/>
  <c r="J2" i="7"/>
  <c r="J2" i="10"/>
  <c r="J2" i="8"/>
  <c r="J2" i="5"/>
  <c r="J2" i="9"/>
</calcChain>
</file>

<file path=xl/sharedStrings.xml><?xml version="1.0" encoding="utf-8"?>
<sst xmlns="http://schemas.openxmlformats.org/spreadsheetml/2006/main" count="162" uniqueCount="53">
  <si>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</si>
  <si>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</si>
  <si>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</si>
  <si>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</si>
  <si>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</si>
  <si>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</si>
  <si>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</si>
  <si>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</si>
  <si>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</si>
  <si>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</si>
  <si>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</si>
  <si>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</si>
  <si>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</si>
  <si>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</si>
  <si>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</si>
  <si>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</si>
  <si>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</si>
  <si>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</si>
  <si>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</si>
  <si>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</si>
  <si>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</si>
  <si>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</si>
  <si>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</si>
  <si>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</si>
  <si>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</si>
  <si>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</si>
  <si>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</si>
  <si>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</si>
  <si>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</si>
  <si>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</si>
  <si>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</si>
  <si>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</si>
  <si>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</si>
  <si>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</si>
  <si>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TradingTicket</t>
  </si>
  <si>
    <t>CreateDoneAwayOrder</t>
  </si>
  <si>
    <t>Sell short</t>
  </si>
  <si>
    <t>Allocation1</t>
  </si>
  <si>
    <t xml:space="preserve"> </t>
  </si>
  <si>
    <t>Blotter</t>
  </si>
  <si>
    <t>VerifyOrder</t>
  </si>
  <si>
    <t>Filled</t>
  </si>
  <si>
    <t>Market</t>
  </si>
  <si>
    <t>Allocation</t>
  </si>
  <si>
    <t>GetDataAllocation</t>
  </si>
  <si>
    <t>Current</t>
  </si>
  <si>
    <t>CheckAllocatedGroups</t>
  </si>
  <si>
    <t>SellShort</t>
  </si>
  <si>
    <t>Closing</t>
  </si>
  <si>
    <t>GetDataClosing</t>
  </si>
  <si>
    <t>VerifyShortPositionsGrid</t>
  </si>
  <si>
    <t>Equity</t>
  </si>
  <si>
    <t>\\192.168.2.108\DistributedAutomation_Master\Import Cases\20201002_SLL_GSPRIME.csv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</si>
</sst>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"/>
  </numFmts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0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/>
    <xf numFmtId="4" fontId="5" fillId="0" borderId="0" xfId="0" applyNumberFormat="1" applyFont="1" applyAlignment="1"/>
    <xf numFmtId="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/>
    <xf numFmtId="0" fontId="5" fillId="0" borderId="5" xfId="0" applyFont="1" applyBorder="1" applyAlignment="1">
      <alignment horizontal="center"/>
    </xf>
    <xf numFmtId="0" fontId="3" fillId="0" borderId="5" xfId="0" applyFont="1" applyBorder="1" applyAlignment="1"/>
    <xf numFmtId="0" fontId="3" fillId="0" borderId="5" xfId="0" applyFont="1" applyBorder="1" applyAlignment="1"/>
    <xf numFmtId="0" fontId="3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file:///\\192.168.2.108\DistributedAutomation_Master\Import%20Cases\20201002_SLL_GSPRIME.csv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45" t="s">
        <v>0</v>
      </c>
      <c r="B1" s="46"/>
      <c r="C1" s="46"/>
      <c r="D1" s="46"/>
      <c r="E1" s="46"/>
      <c r="F1" s="47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 x14ac:dyDescent="0.2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 x14ac:dyDescent="0.2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 x14ac:dyDescent="0.2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 x14ac:dyDescent="0.2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 x14ac:dyDescent="0.2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 x14ac:dyDescent="0.2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 x14ac:dyDescent="0.2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 x14ac:dyDescent="0.2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 x14ac:dyDescent="0.2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 x14ac:dyDescent="0.2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 x14ac:dyDescent="0.2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 x14ac:dyDescent="0.2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 x14ac:dyDescent="0.2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 x14ac:dyDescent="0.2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 x14ac:dyDescent="0.2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 x14ac:dyDescent="0.2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 x14ac:dyDescent="0.2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 x14ac:dyDescent="0.2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 x14ac:dyDescent="0.2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 x14ac:dyDescent="0.2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 x14ac:dyDescent="0.2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 x14ac:dyDescent="0.2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 x14ac:dyDescent="0.2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 x14ac:dyDescent="0.2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 x14ac:dyDescent="0.2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 x14ac:dyDescent="0.2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 x14ac:dyDescent="0.2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 x14ac:dyDescent="0.2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 x14ac:dyDescent="0.2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 x14ac:dyDescent="0.2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 x14ac:dyDescent="0.2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 x14ac:dyDescent="0.2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 x14ac:dyDescent="0.2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 x14ac:dyDescent="0.2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 x14ac:dyDescent="0.2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 x14ac:dyDescent="0.2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 x14ac:dyDescent="0.2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 x14ac:dyDescent="0.2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 x14ac:dyDescent="0.2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 x14ac:dyDescent="0.2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 x14ac:dyDescent="0.2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 x14ac:dyDescent="0.2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 x14ac:dyDescent="0.2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 x14ac:dyDescent="0.2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 x14ac:dyDescent="0.2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 x14ac:dyDescent="0.2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 x14ac:dyDescent="0.2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 x14ac:dyDescent="0.2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 x14ac:dyDescent="0.2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 x14ac:dyDescent="0.2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 x14ac:dyDescent="0.2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 x14ac:dyDescent="0.2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 x14ac:dyDescent="0.2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 x14ac:dyDescent="0.2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 x14ac:dyDescent="0.2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 x14ac:dyDescent="0.2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 x14ac:dyDescent="0.2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 x14ac:dyDescent="0.2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 x14ac:dyDescent="0.2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 x14ac:dyDescent="0.2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 x14ac:dyDescent="0.2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 x14ac:dyDescent="0.2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 x14ac:dyDescent="0.2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 x14ac:dyDescent="0.2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 x14ac:dyDescent="0.2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 x14ac:dyDescent="0.2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 x14ac:dyDescent="0.2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 x14ac:dyDescent="0.2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 x14ac:dyDescent="0.2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 x14ac:dyDescent="0.2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 x14ac:dyDescent="0.2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 x14ac:dyDescent="0.2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 x14ac:dyDescent="0.2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 x14ac:dyDescent="0.2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 x14ac:dyDescent="0.2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 x14ac:dyDescent="0.2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 x14ac:dyDescent="0.2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 x14ac:dyDescent="0.2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 x14ac:dyDescent="0.2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 x14ac:dyDescent="0.2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 x14ac:dyDescent="0.2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 x14ac:dyDescent="0.2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 x14ac:dyDescent="0.2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 x14ac:dyDescent="0.2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 x14ac:dyDescent="0.2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 x14ac:dyDescent="0.2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 x14ac:dyDescent="0.2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 x14ac:dyDescent="0.2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 x14ac:dyDescent="0.2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 x14ac:dyDescent="0.2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 x14ac:dyDescent="0.2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 x14ac:dyDescent="0.2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 x14ac:dyDescent="0.2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 x14ac:dyDescent="0.2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 x14ac:dyDescent="0.2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 x14ac:dyDescent="0.2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 x14ac:dyDescent="0.2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 x14ac:dyDescent="0.2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 x14ac:dyDescent="0.2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 x14ac:dyDescent="0.2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 x14ac:dyDescent="0.2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 x14ac:dyDescent="0.2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 x14ac:dyDescent="0.2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 x14ac:dyDescent="0.2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 x14ac:dyDescent="0.2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 x14ac:dyDescent="0.2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 x14ac:dyDescent="0.2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 x14ac:dyDescent="0.2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 x14ac:dyDescent="0.2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 x14ac:dyDescent="0.2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 x14ac:dyDescent="0.2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 x14ac:dyDescent="0.2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 x14ac:dyDescent="0.2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 x14ac:dyDescent="0.2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 x14ac:dyDescent="0.2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 x14ac:dyDescent="0.2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 x14ac:dyDescent="0.2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 x14ac:dyDescent="0.2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 x14ac:dyDescent="0.2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 x14ac:dyDescent="0.2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 x14ac:dyDescent="0.2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 x14ac:dyDescent="0.2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 x14ac:dyDescent="0.2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 x14ac:dyDescent="0.2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 x14ac:dyDescent="0.2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 x14ac:dyDescent="0.2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 x14ac:dyDescent="0.2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 x14ac:dyDescent="0.2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 x14ac:dyDescent="0.2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 x14ac:dyDescent="0.2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 x14ac:dyDescent="0.2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 x14ac:dyDescent="0.2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 x14ac:dyDescent="0.2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 x14ac:dyDescent="0.2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 x14ac:dyDescent="0.2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 x14ac:dyDescent="0.2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 x14ac:dyDescent="0.2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 x14ac:dyDescent="0.2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 x14ac:dyDescent="0.2">
      <c r="A510" t="str">
        <f ca="1">IFERROR(__xludf.DUMMYFUNCTION("""COMPUTED_VALUE"""),"Compliance")</f>
        <v>Compliance</v>
      </c>
      <c r="B510" t="str">
        <f ca="1">IFERROR(__xludf.DUMMYFUNCTION("""COMPUTED_VALUE"""),"RestartRuleMediator")</f>
        <v>RestartRuleMediator</v>
      </c>
      <c r="C510" t="str">
        <f ca="1">IFERROR(__xludf.DUMMYFUNCTION("""COMPUTED_VALUE"""),"18SVZSt8o151Ibqp7S3Ge-27pHb5fW7wNT71WgA_kP_8")</f>
        <v>18SVZSt8o151Ibqp7S3Ge-27pHb5fW7wNT71WgA_kP_8</v>
      </c>
    </row>
    <row r="511" spans="1:3" ht="15.75" customHeight="1" x14ac:dyDescent="0.2">
      <c r="A511" t="str">
        <f ca="1">IFERROR(__xludf.DUMMYFUNCTION("""COMPUTED_VALUE"""),"Compliance")</f>
        <v>Compliance</v>
      </c>
      <c r="B511" t="str">
        <f ca="1">IFERROR(__xludf.DUMMYFUNCTION("""COMPUTED_VALUE"""),"VerifyAggAccountSymbolWithNav")</f>
        <v>VerifyAggAccountSymbolWithNav</v>
      </c>
      <c r="C511" t="str">
        <f ca="1">IFERROR(__xludf.DUMMYFUNCTION("""COMPUTED_VALUE"""),"1yORtQDYWOiS9sGzwmSy3jeH1KeWbwIscJSVtvVljcqk")</f>
        <v>1yORtQDYWOiS9sGzwmSy3jeH1KeWbwIscJSVtvVljcqk</v>
      </c>
    </row>
    <row r="512" spans="1:3" ht="15.75" customHeight="1" x14ac:dyDescent="0.2">
      <c r="A512" t="str">
        <f ca="1">IFERROR(__xludf.DUMMYFUNCTION("""COMPUTED_VALUE"""),"Admin")</f>
        <v>Admin</v>
      </c>
      <c r="B512" t="str">
        <f ca="1">IFERROR(__xludf.DUMMYFUNCTION("""COMPUTED_VALUE"""),"SetComplianceAlert")</f>
        <v>SetComplianceAlert</v>
      </c>
      <c r="C512" t="str">
        <f ca="1">IFERROR(__xludf.DUMMYFUNCTION("""COMPUTED_VALUE"""),"1tHcWqzzT9x7_tjIYlb_jsMu7VunfhVIyqGIWGIXOrQE")</f>
        <v>1tHcWqzzT9x7_tjIYlb_jsMu7VunfhVIyqGIWGIXOrQE</v>
      </c>
    </row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8" t="s">
        <v>2</v>
      </c>
      <c r="B1" s="46"/>
      <c r="C1" s="47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5" t="s">
        <v>7</v>
      </c>
      <c r="B1" s="46"/>
      <c r="C1" s="46"/>
      <c r="D1" s="46"/>
      <c r="E1" s="46"/>
      <c r="F1" s="47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IFERROR(__xludf.DUMMYFUNCTION("""COMPUTED_VALUE"""),"isEnableModule")</f>
        <v>isEnableModule</v>
      </c>
      <c r="C5" s="22" t="str">
        <f ca="1">IFERROR(__xludf.DUMMYFUNCTION("""COMPUTED_VALUE"""),"moduleName")</f>
        <v>moduleName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1</v>
      </c>
      <c r="C6" s="7" t="s">
        <v>16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F13" sqref="F13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17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IFERROR(__xludf.DUMMYFUNCTION("IF(C3="""","""",Transpose(IMPORTRANGE('_Settings'!$B$3,C3&amp;""!A4:A1000"")))"),"ImportOnShortLocate")</f>
        <v>ImportOnShortLocate</v>
      </c>
      <c r="C4" s="19" t="str">
        <f ca="1">IFERROR(__xludf.DUMMYFUNCTION("""COMPUTED_VALUE"""),"ApplyFilterOnShortLocate")</f>
        <v>ApplyFilterOnShortLocate</v>
      </c>
      <c r="D4" s="19" t="str">
        <f ca="1">IFERROR(__xludf.DUMMYFUNCTION("""COMPUTED_VALUE"""),"OpenTTFromShortLocate")</f>
        <v>OpenTTFromShortLocate</v>
      </c>
      <c r="E4" s="19" t="str">
        <f ca="1">IFERROR(__xludf.DUMMYFUNCTION("""COMPUTED_VALUE"""),"Upload")</f>
        <v>Upload</v>
      </c>
      <c r="F4" s="19" t="str">
        <f ca="1">IFERROR(__xludf.DUMMYFUNCTION("""COMPUTED_VALUE"""),"VerifyShortLocateGrid")</f>
        <v>VerifyShortLocateGrid</v>
      </c>
      <c r="G4" s="19" t="str">
        <f ca="1">IFERROR(__xludf.DUMMYFUNCTION("""COMPUTED_VALUE"""),"DownloadFile")</f>
        <v>DownloadFile</v>
      </c>
      <c r="H4" s="19" t="str">
        <f ca="1">IFERROR(__xludf.DUMMYFUNCTION("""COMPUTED_VALUE"""),"SearchShortLocateUI")</f>
        <v>SearchShortLocateUI</v>
      </c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IFERROR(__xludf.DUMMYFUNCTION("""COMPUTED_VALUE"""),"Upload ThirdParty")</f>
        <v>Upload ThirdParty</v>
      </c>
      <c r="C5" s="22" t="str">
        <f ca="1">IFERROR(__xludf.DUMMYFUNCTION("""COMPUTED_VALUE"""),"Select File")</f>
        <v>Select File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19</v>
      </c>
      <c r="C6" s="49" t="s">
        <v>52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C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17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IFERROR(__xludf.DUMMYFUNCTION("IF(C3="""","""",Transpose(IMPORTRANGE('_Settings'!$B$3,C3&amp;""!A4:A1000"")))"),"ImportOnShortLocate")</f>
        <v>ImportOnShortLocate</v>
      </c>
      <c r="C4" s="19" t="str">
        <f ca="1">IFERROR(__xludf.DUMMYFUNCTION("""COMPUTED_VALUE"""),"ApplyFilterOnShortLocate")</f>
        <v>ApplyFilterOnShortLocate</v>
      </c>
      <c r="D4" s="19" t="str">
        <f ca="1">IFERROR(__xludf.DUMMYFUNCTION("""COMPUTED_VALUE"""),"OpenTTFromShortLocate")</f>
        <v>OpenTTFromShortLocate</v>
      </c>
      <c r="E4" s="19" t="str">
        <f ca="1">IFERROR(__xludf.DUMMYFUNCTION("""COMPUTED_VALUE"""),"Upload")</f>
        <v>Upload</v>
      </c>
      <c r="F4" s="19" t="str">
        <f ca="1">IFERROR(__xludf.DUMMYFUNCTION("""COMPUTED_VALUE"""),"VerifyShortLocateGrid")</f>
        <v>VerifyShortLocateGrid</v>
      </c>
      <c r="G4" s="19" t="str">
        <f ca="1">IFERROR(__xludf.DUMMYFUNCTION("""COMPUTED_VALUE"""),"DownloadFile")</f>
        <v>DownloadFile</v>
      </c>
      <c r="H4" s="19" t="str">
        <f ca="1">IFERROR(__xludf.DUMMYFUNCTION("""COMPUTED_VALUE"""),"SearchShortLocateUI")</f>
        <v>SearchShortLocateUI</v>
      </c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IFERROR(__xludf.DUMMYFUNCTION("""COMPUTED_VALUE"""),"Borrow Broker")</f>
        <v>Borrow Broker</v>
      </c>
      <c r="D5" s="22" t="str">
        <f ca="1">IFERROR(__xludf.DUMMYFUNCTION("""COMPUTED_VALUE"""),"Last PX")</f>
        <v>Last PX</v>
      </c>
      <c r="E5" s="22" t="str">
        <f ca="1">IFERROR(__xludf.DUMMYFUNCTION("""COMPUTED_VALUE"""),"Trade Quantity")</f>
        <v>Trade Quantity</v>
      </c>
      <c r="F5" s="23" t="str">
        <f ca="1">IFERROR(__xludf.DUMMYFUNCTION("""COMPUTED_VALUE"""),"Borrow Shares Available")</f>
        <v>Borrow Shares Available</v>
      </c>
      <c r="G5" s="22" t="str">
        <f ca="1">IFERROR(__xludf.DUMMYFUNCTION("""COMPUTED_VALUE"""),"Borrow Rate(%)")</f>
        <v>Borrow Rate(%)</v>
      </c>
      <c r="H5" s="22" t="str">
        <f ca="1">IFERROR(__xludf.DUMMYFUNCTION("""COMPUTED_VALUE"""),"Total Borrow Value")</f>
        <v>Total Borrow Value</v>
      </c>
      <c r="I5" s="22" t="str">
        <f ca="1">IFERROR(__xludf.DUMMYFUNCTION("""COMPUTED_VALUE"""),"Borrower ID")</f>
        <v>Borrower ID</v>
      </c>
      <c r="J5" s="22" t="str">
        <f ca="1">IFERROR(__xludf.DUMMYFUNCTION("""COMPUTED_VALUE"""),"Borrowed Share")</f>
        <v>Borrowed Share</v>
      </c>
      <c r="K5" s="22" t="str">
        <f ca="1">IFERROR(__xludf.DUMMYFUNCTION("""COMPUTED_VALUE"""),"Borrowed Rate(%)")</f>
        <v>Borrowed Rate(%)</v>
      </c>
      <c r="L5" s="22" t="str">
        <f ca="1">IFERROR(__xludf.DUMMYFUNCTION("""COMPUTED_VALUE"""),"Total Borrowed Value")</f>
        <v>Total Borrowed Value</v>
      </c>
      <c r="M5" s="22" t="str">
        <f ca="1">IFERROR(__xludf.DUMMYFUNCTION("""COMPUTED_VALUE"""),"SOD Borrow share Available")</f>
        <v>SOD Borrow share Available</v>
      </c>
      <c r="N5" s="22" t="str">
        <f ca="1">IFERROR(__xludf.DUMMYFUNCTION("""COMPUTED_VALUE"""),"SOD BorrowRate(%)")</f>
        <v>SOD BorrowRate(%)</v>
      </c>
      <c r="O5" s="22" t="str">
        <f ca="1">IFERROR(__xludf.DUMMYFUNCTION("""COMPUTED_VALUE"""),"Status Source")</f>
        <v>Status Source</v>
      </c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6"/>
      <c r="B6" s="27" t="s">
        <v>21</v>
      </c>
      <c r="C6" s="28" t="s">
        <v>19</v>
      </c>
      <c r="D6" s="29">
        <v>0</v>
      </c>
      <c r="E6" s="30">
        <v>0</v>
      </c>
      <c r="F6" s="30">
        <v>10000</v>
      </c>
      <c r="G6" s="30">
        <v>2</v>
      </c>
      <c r="H6" s="30">
        <v>0</v>
      </c>
      <c r="I6" s="31" t="s">
        <v>22</v>
      </c>
      <c r="J6" s="30">
        <v>0</v>
      </c>
      <c r="K6" s="30">
        <v>0</v>
      </c>
      <c r="L6" s="30">
        <v>0</v>
      </c>
      <c r="M6" s="30">
        <v>10000</v>
      </c>
      <c r="N6" s="30">
        <v>2</v>
      </c>
      <c r="O6" s="28" t="s">
        <v>23</v>
      </c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 x14ac:dyDescent="0.2">
      <c r="A7" s="32"/>
      <c r="B7" s="32" t="s">
        <v>24</v>
      </c>
      <c r="C7" s="32" t="s">
        <v>19</v>
      </c>
      <c r="D7" s="33">
        <v>0</v>
      </c>
      <c r="E7" s="33">
        <v>0</v>
      </c>
      <c r="F7" s="33">
        <v>20000</v>
      </c>
      <c r="G7" s="33">
        <v>2</v>
      </c>
      <c r="H7" s="33">
        <v>0</v>
      </c>
      <c r="I7" s="34" t="s">
        <v>25</v>
      </c>
      <c r="J7" s="33">
        <v>0</v>
      </c>
      <c r="K7" s="33">
        <v>0</v>
      </c>
      <c r="L7" s="33">
        <v>0</v>
      </c>
      <c r="M7" s="33">
        <v>20000</v>
      </c>
      <c r="N7" s="33">
        <v>2</v>
      </c>
      <c r="O7" s="32" t="s">
        <v>23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 x14ac:dyDescent="0.2">
      <c r="A8" s="32"/>
      <c r="B8" s="32" t="s">
        <v>26</v>
      </c>
      <c r="C8" s="32" t="s">
        <v>19</v>
      </c>
      <c r="D8" s="33">
        <v>0</v>
      </c>
      <c r="E8" s="33">
        <v>0</v>
      </c>
      <c r="F8" s="33">
        <v>30000</v>
      </c>
      <c r="G8" s="33">
        <v>2</v>
      </c>
      <c r="H8" s="33">
        <v>0</v>
      </c>
      <c r="I8" s="34" t="s">
        <v>27</v>
      </c>
      <c r="J8" s="33">
        <v>0</v>
      </c>
      <c r="K8" s="33">
        <v>0</v>
      </c>
      <c r="L8" s="33">
        <v>0</v>
      </c>
      <c r="M8" s="33">
        <v>30000</v>
      </c>
      <c r="N8" s="33">
        <v>2</v>
      </c>
      <c r="O8" s="32" t="s">
        <v>23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 x14ac:dyDescent="0.2">
      <c r="A9" s="32"/>
      <c r="B9" s="32" t="s">
        <v>28</v>
      </c>
      <c r="C9" s="32" t="s">
        <v>19</v>
      </c>
      <c r="D9" s="33">
        <v>0</v>
      </c>
      <c r="E9" s="33">
        <v>0</v>
      </c>
      <c r="F9" s="33">
        <v>40000</v>
      </c>
      <c r="G9" s="33">
        <v>2</v>
      </c>
      <c r="H9" s="33">
        <v>0</v>
      </c>
      <c r="I9" s="34" t="s">
        <v>29</v>
      </c>
      <c r="J9" s="33">
        <v>0</v>
      </c>
      <c r="K9" s="33">
        <v>0</v>
      </c>
      <c r="L9" s="33">
        <v>0</v>
      </c>
      <c r="M9" s="33">
        <v>40000</v>
      </c>
      <c r="N9" s="33">
        <v>2</v>
      </c>
      <c r="O9" s="32" t="s">
        <v>23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spans="1:154" ht="15.75" customHeight="1" x14ac:dyDescent="0.2">
      <c r="A10" s="32"/>
      <c r="B10" s="32" t="s">
        <v>30</v>
      </c>
      <c r="C10" s="32" t="s">
        <v>19</v>
      </c>
      <c r="D10" s="33">
        <v>0</v>
      </c>
      <c r="E10" s="33">
        <v>0</v>
      </c>
      <c r="F10" s="33">
        <v>6000</v>
      </c>
      <c r="G10" s="33">
        <v>2</v>
      </c>
      <c r="H10" s="33">
        <v>0</v>
      </c>
      <c r="I10" s="34" t="s">
        <v>31</v>
      </c>
      <c r="J10" s="33">
        <v>0</v>
      </c>
      <c r="K10" s="33">
        <v>0</v>
      </c>
      <c r="L10" s="33">
        <v>0</v>
      </c>
      <c r="M10" s="33">
        <v>6000</v>
      </c>
      <c r="N10" s="33">
        <v>2</v>
      </c>
      <c r="O10" s="32" t="s">
        <v>23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spans="1:154" ht="15.75" customHeight="1" x14ac:dyDescent="0.2">
      <c r="A11" s="32"/>
      <c r="B11" s="32" t="s">
        <v>32</v>
      </c>
      <c r="C11" s="32" t="s">
        <v>19</v>
      </c>
      <c r="D11" s="33">
        <v>0</v>
      </c>
      <c r="E11" s="33">
        <v>0</v>
      </c>
      <c r="F11" s="33">
        <v>60000</v>
      </c>
      <c r="G11" s="33">
        <v>2</v>
      </c>
      <c r="H11" s="33">
        <v>0</v>
      </c>
      <c r="I11" s="34" t="s">
        <v>33</v>
      </c>
      <c r="J11" s="33">
        <v>0</v>
      </c>
      <c r="K11" s="33">
        <v>0</v>
      </c>
      <c r="L11" s="33">
        <v>0</v>
      </c>
      <c r="M11" s="33">
        <v>60000</v>
      </c>
      <c r="N11" s="33">
        <v>2</v>
      </c>
      <c r="O11" s="32" t="s">
        <v>23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" customHeight="1" x14ac:dyDescent="0.2">
      <c r="A6" s="7"/>
      <c r="B6" s="7" t="s">
        <v>26</v>
      </c>
      <c r="C6" s="6" t="s">
        <v>36</v>
      </c>
      <c r="D6" s="6">
        <v>1000</v>
      </c>
      <c r="E6" s="7"/>
      <c r="F6" s="7" t="s">
        <v>37</v>
      </c>
      <c r="G6" s="7" t="s">
        <v>19</v>
      </c>
      <c r="H6" s="5"/>
      <c r="I6" s="7" t="s">
        <v>38</v>
      </c>
      <c r="J6" s="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20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I6" s="6" t="s">
        <v>26</v>
      </c>
      <c r="AJ6" s="6" t="s">
        <v>36</v>
      </c>
      <c r="AK6" s="6" t="s">
        <v>41</v>
      </c>
      <c r="AL6" s="6">
        <v>1000</v>
      </c>
      <c r="AM6" s="6">
        <v>1000</v>
      </c>
      <c r="AN6" s="6">
        <v>100</v>
      </c>
      <c r="AO6" s="6">
        <v>1000</v>
      </c>
      <c r="AQ6" s="6">
        <v>20</v>
      </c>
      <c r="AR6" s="6">
        <v>20</v>
      </c>
      <c r="AS6" s="6" t="s">
        <v>19</v>
      </c>
      <c r="AT6" s="6" t="s">
        <v>37</v>
      </c>
      <c r="AU6" s="6" t="s">
        <v>42</v>
      </c>
      <c r="AV6" s="6">
        <v>-20000</v>
      </c>
      <c r="AW6" s="6">
        <v>-20000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43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45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43</v>
      </c>
      <c r="D3" s="2" t="s">
        <v>9</v>
      </c>
      <c r="E3" s="17" t="s">
        <v>46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37</v>
      </c>
      <c r="C6" s="5"/>
      <c r="D6" s="7"/>
      <c r="E6" s="35">
        <v>1000</v>
      </c>
      <c r="F6" s="5"/>
      <c r="G6" s="5"/>
      <c r="H6" s="7">
        <v>4</v>
      </c>
      <c r="I6" s="7">
        <v>5</v>
      </c>
      <c r="J6" s="5"/>
      <c r="K6" s="7">
        <v>20</v>
      </c>
      <c r="L6" s="7">
        <v>20</v>
      </c>
      <c r="M6" s="5"/>
      <c r="N6" s="5"/>
      <c r="O6" s="5"/>
      <c r="R6" s="6">
        <v>0</v>
      </c>
      <c r="T6" s="6">
        <v>0</v>
      </c>
      <c r="U6" s="6">
        <v>0</v>
      </c>
      <c r="AE6" s="36">
        <v>1000</v>
      </c>
      <c r="AT6" s="37">
        <v>19985.988799999999</v>
      </c>
      <c r="AU6" s="37">
        <v>19985.988799999999</v>
      </c>
      <c r="AW6" s="6">
        <v>0</v>
      </c>
      <c r="AZ6" s="6">
        <v>0</v>
      </c>
      <c r="BE6" s="36">
        <v>20000</v>
      </c>
      <c r="BF6" s="36">
        <v>20000</v>
      </c>
      <c r="BJ6" s="36">
        <v>1000</v>
      </c>
      <c r="BO6" s="6" t="s">
        <v>36</v>
      </c>
      <c r="BT6" s="6" t="s">
        <v>26</v>
      </c>
      <c r="BU6" s="6">
        <v>3</v>
      </c>
      <c r="BW6" s="6">
        <v>14.011200000000001</v>
      </c>
      <c r="CI6" s="37" t="s">
        <v>47</v>
      </c>
      <c r="CM6" s="6" t="s">
        <v>26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48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45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48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37</v>
      </c>
      <c r="C6" s="7" t="s">
        <v>51</v>
      </c>
      <c r="D6" s="7"/>
      <c r="E6" s="25"/>
      <c r="F6" s="5"/>
      <c r="G6" s="5"/>
      <c r="H6" s="5"/>
      <c r="I6" s="5"/>
      <c r="J6" s="5"/>
      <c r="K6" s="5"/>
      <c r="L6" s="5"/>
      <c r="M6" s="7">
        <v>1000</v>
      </c>
      <c r="N6" s="5"/>
      <c r="O6" s="5"/>
      <c r="P6" s="6" t="s">
        <v>36</v>
      </c>
      <c r="R6" s="6" t="s">
        <v>26</v>
      </c>
      <c r="X6" s="38">
        <v>19.985988800000001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17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IFERROR(__xludf.DUMMYFUNCTION("IF(C3="""","""",Transpose(IMPORTRANGE('_Settings'!$B$3,C3&amp;""!A4:A1000"")))"),"ImportOnShortLocate")</f>
        <v>ImportOnShortLocate</v>
      </c>
      <c r="C4" s="19" t="str">
        <f ca="1">IFERROR(__xludf.DUMMYFUNCTION("""COMPUTED_VALUE"""),"ApplyFilterOnShortLocate")</f>
        <v>ApplyFilterOnShortLocate</v>
      </c>
      <c r="D4" s="19" t="str">
        <f ca="1">IFERROR(__xludf.DUMMYFUNCTION("""COMPUTED_VALUE"""),"OpenTTFromShortLocate")</f>
        <v>OpenTTFromShortLocate</v>
      </c>
      <c r="E4" s="19" t="str">
        <f ca="1">IFERROR(__xludf.DUMMYFUNCTION("""COMPUTED_VALUE"""),"Upload")</f>
        <v>Upload</v>
      </c>
      <c r="F4" s="19" t="str">
        <f ca="1">IFERROR(__xludf.DUMMYFUNCTION("""COMPUTED_VALUE"""),"VerifyShortLocateGrid")</f>
        <v>VerifyShortLocateGrid</v>
      </c>
      <c r="G4" s="19" t="str">
        <f ca="1">IFERROR(__xludf.DUMMYFUNCTION("""COMPUTED_VALUE"""),"DownloadFile")</f>
        <v>DownloadFile</v>
      </c>
      <c r="H4" s="19" t="str">
        <f ca="1">IFERROR(__xludf.DUMMYFUNCTION("""COMPUTED_VALUE"""),"SearchShortLocateUI")</f>
        <v>SearchShortLocateUI</v>
      </c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IFERROR(__xludf.DUMMYFUNCTION("""COMPUTED_VALUE"""),"Borrow Broker")</f>
        <v>Borrow Broker</v>
      </c>
      <c r="D5" s="22" t="str">
        <f ca="1">IFERROR(__xludf.DUMMYFUNCTION("""COMPUTED_VALUE"""),"Last PX")</f>
        <v>Last PX</v>
      </c>
      <c r="E5" s="22" t="str">
        <f ca="1">IFERROR(__xludf.DUMMYFUNCTION("""COMPUTED_VALUE"""),"Trade Quantity")</f>
        <v>Trade Quantity</v>
      </c>
      <c r="F5" s="23" t="str">
        <f ca="1">IFERROR(__xludf.DUMMYFUNCTION("""COMPUTED_VALUE"""),"Borrow Shares Available")</f>
        <v>Borrow Shares Available</v>
      </c>
      <c r="G5" s="22" t="str">
        <f ca="1">IFERROR(__xludf.DUMMYFUNCTION("""COMPUTED_VALUE"""),"Borrow Rate(%)")</f>
        <v>Borrow Rate(%)</v>
      </c>
      <c r="H5" s="22" t="str">
        <f ca="1">IFERROR(__xludf.DUMMYFUNCTION("""COMPUTED_VALUE"""),"Total Borrow Value")</f>
        <v>Total Borrow Value</v>
      </c>
      <c r="I5" s="22" t="str">
        <f ca="1">IFERROR(__xludf.DUMMYFUNCTION("""COMPUTED_VALUE"""),"Borrower ID")</f>
        <v>Borrower ID</v>
      </c>
      <c r="J5" s="22" t="str">
        <f ca="1">IFERROR(__xludf.DUMMYFUNCTION("""COMPUTED_VALUE"""),"Borrowed Share")</f>
        <v>Borrowed Share</v>
      </c>
      <c r="K5" s="22" t="str">
        <f ca="1">IFERROR(__xludf.DUMMYFUNCTION("""COMPUTED_VALUE"""),"Borrowed Rate(%)")</f>
        <v>Borrowed Rate(%)</v>
      </c>
      <c r="L5" s="22" t="str">
        <f ca="1">IFERROR(__xludf.DUMMYFUNCTION("""COMPUTED_VALUE"""),"Total Borrowed Value")</f>
        <v>Total Borrowed Value</v>
      </c>
      <c r="M5" s="22" t="str">
        <f ca="1">IFERROR(__xludf.DUMMYFUNCTION("""COMPUTED_VALUE"""),"SOD Borrow share Available")</f>
        <v>SOD Borrow share Available</v>
      </c>
      <c r="N5" s="22" t="str">
        <f ca="1">IFERROR(__xludf.DUMMYFUNCTION("""COMPUTED_VALUE"""),"SOD BorrowRate(%)")</f>
        <v>SOD BorrowRate(%)</v>
      </c>
      <c r="O5" s="22" t="str">
        <f ca="1">IFERROR(__xludf.DUMMYFUNCTION("""COMPUTED_VALUE"""),"Status Source")</f>
        <v>Status Source</v>
      </c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6"/>
      <c r="B6" s="27" t="s">
        <v>21</v>
      </c>
      <c r="C6" s="28" t="s">
        <v>19</v>
      </c>
      <c r="D6" s="29">
        <v>0</v>
      </c>
      <c r="E6" s="30">
        <v>0</v>
      </c>
      <c r="F6" s="30">
        <v>10000</v>
      </c>
      <c r="G6" s="30">
        <v>2</v>
      </c>
      <c r="H6" s="30">
        <v>0</v>
      </c>
      <c r="I6" s="31" t="s">
        <v>22</v>
      </c>
      <c r="J6" s="30">
        <v>0</v>
      </c>
      <c r="K6" s="30">
        <v>0</v>
      </c>
      <c r="L6" s="30">
        <v>0</v>
      </c>
      <c r="M6" s="30">
        <v>10000</v>
      </c>
      <c r="N6" s="30">
        <v>2</v>
      </c>
      <c r="O6" s="28" t="s">
        <v>23</v>
      </c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 x14ac:dyDescent="0.2">
      <c r="A7" s="32"/>
      <c r="B7" s="32" t="s">
        <v>24</v>
      </c>
      <c r="C7" s="32" t="s">
        <v>19</v>
      </c>
      <c r="D7" s="33">
        <v>0</v>
      </c>
      <c r="E7" s="33">
        <v>0</v>
      </c>
      <c r="F7" s="33">
        <v>20000</v>
      </c>
      <c r="G7" s="33">
        <v>2</v>
      </c>
      <c r="H7" s="33">
        <v>0</v>
      </c>
      <c r="I7" s="34" t="s">
        <v>25</v>
      </c>
      <c r="J7" s="33">
        <v>0</v>
      </c>
      <c r="K7" s="33">
        <v>0</v>
      </c>
      <c r="L7" s="33">
        <v>0</v>
      </c>
      <c r="M7" s="33">
        <v>20000</v>
      </c>
      <c r="N7" s="33">
        <v>2</v>
      </c>
      <c r="O7" s="32" t="s">
        <v>23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 x14ac:dyDescent="0.2">
      <c r="A8" s="32"/>
      <c r="B8" s="32" t="s">
        <v>26</v>
      </c>
      <c r="C8" s="32" t="s">
        <v>19</v>
      </c>
      <c r="D8" s="33">
        <v>0</v>
      </c>
      <c r="E8" s="33">
        <v>0</v>
      </c>
      <c r="F8" s="39">
        <v>29000</v>
      </c>
      <c r="G8" s="33">
        <v>2</v>
      </c>
      <c r="H8" s="33">
        <v>0</v>
      </c>
      <c r="I8" s="34" t="s">
        <v>27</v>
      </c>
      <c r="J8" s="39">
        <v>1000</v>
      </c>
      <c r="K8" s="39">
        <v>2</v>
      </c>
      <c r="L8" s="33">
        <v>0</v>
      </c>
      <c r="M8" s="33">
        <v>30000</v>
      </c>
      <c r="N8" s="33">
        <v>2</v>
      </c>
      <c r="O8" s="32" t="s">
        <v>23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 x14ac:dyDescent="0.2">
      <c r="A9" s="32"/>
      <c r="B9" s="32" t="s">
        <v>28</v>
      </c>
      <c r="C9" s="32" t="s">
        <v>19</v>
      </c>
      <c r="D9" s="33">
        <v>0</v>
      </c>
      <c r="E9" s="33">
        <v>0</v>
      </c>
      <c r="F9" s="33">
        <v>40000</v>
      </c>
      <c r="G9" s="33">
        <v>2</v>
      </c>
      <c r="H9" s="33">
        <v>0</v>
      </c>
      <c r="I9" s="34" t="s">
        <v>29</v>
      </c>
      <c r="J9" s="33">
        <v>0</v>
      </c>
      <c r="K9" s="33">
        <v>0</v>
      </c>
      <c r="L9" s="33">
        <v>0</v>
      </c>
      <c r="M9" s="33">
        <v>40000</v>
      </c>
      <c r="N9" s="33">
        <v>2</v>
      </c>
      <c r="O9" s="32" t="s">
        <v>23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spans="1:154" ht="15.75" customHeight="1" x14ac:dyDescent="0.2">
      <c r="A10" s="32"/>
      <c r="B10" s="32" t="s">
        <v>30</v>
      </c>
      <c r="C10" s="32" t="s">
        <v>19</v>
      </c>
      <c r="D10" s="33">
        <v>0</v>
      </c>
      <c r="E10" s="33">
        <v>0</v>
      </c>
      <c r="F10" s="33">
        <v>6000</v>
      </c>
      <c r="G10" s="33">
        <v>2</v>
      </c>
      <c r="H10" s="33">
        <v>0</v>
      </c>
      <c r="I10" s="34" t="s">
        <v>31</v>
      </c>
      <c r="J10" s="33">
        <v>0</v>
      </c>
      <c r="K10" s="33">
        <v>0</v>
      </c>
      <c r="L10" s="33">
        <v>0</v>
      </c>
      <c r="M10" s="33">
        <v>6000</v>
      </c>
      <c r="N10" s="33">
        <v>2</v>
      </c>
      <c r="O10" s="32" t="s">
        <v>23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spans="1:154" ht="15.75" customHeight="1" x14ac:dyDescent="0.2">
      <c r="A11" s="32"/>
      <c r="B11" s="32" t="s">
        <v>32</v>
      </c>
      <c r="C11" s="32" t="s">
        <v>19</v>
      </c>
      <c r="D11" s="33">
        <v>0</v>
      </c>
      <c r="E11" s="33">
        <v>0</v>
      </c>
      <c r="F11" s="33">
        <v>60000</v>
      </c>
      <c r="G11" s="33">
        <v>2</v>
      </c>
      <c r="H11" s="33">
        <v>0</v>
      </c>
      <c r="I11" s="34" t="s">
        <v>33</v>
      </c>
      <c r="J11" s="33">
        <v>0</v>
      </c>
      <c r="K11" s="33">
        <v>0</v>
      </c>
      <c r="L11" s="33">
        <v>0</v>
      </c>
      <c r="M11" s="33">
        <v>60000</v>
      </c>
      <c r="N11" s="33">
        <v>2</v>
      </c>
      <c r="O11" s="32" t="s">
        <v>23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5" t="s">
        <v>11</v>
      </c>
      <c r="C1" s="46"/>
      <c r="D1" s="46"/>
      <c r="E1" s="46"/>
      <c r="F1" s="46"/>
      <c r="G1" s="46"/>
      <c r="H1" s="4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IFERROR(__xludf.DUMMYFUNCTION("""COMPUTED_VALUE"""),"isEnableModule")</f>
        <v>isEnableModule</v>
      </c>
      <c r="C5" s="22" t="str">
        <f ca="1">IFERROR(__xludf.DUMMYFUNCTION("""COMPUTED_VALUE"""),"moduleName")</f>
        <v>moduleName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40"/>
      <c r="B6" s="41" t="b">
        <v>0</v>
      </c>
      <c r="C6" s="42" t="s">
        <v>16</v>
      </c>
      <c r="D6" s="43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_Modules</vt:lpstr>
      <vt:lpstr>_Settings</vt:lpstr>
      <vt:lpstr>_MasterData</vt:lpstr>
      <vt:lpstr>EnableDisableModule</vt:lpstr>
      <vt:lpstr>ImportOnShortLocate</vt:lpstr>
      <vt:lpstr>VerifyShortLocateGrid</vt:lpstr>
      <vt:lpstr>CreateDoneAwayOrder</vt:lpstr>
      <vt:lpstr>VerifyOrder</vt:lpstr>
      <vt:lpstr>GetDataAllocation</vt:lpstr>
      <vt:lpstr>CheckAllocatedGroups</vt:lpstr>
      <vt:lpstr>GetDataClosing</vt:lpstr>
      <vt:lpstr>VerifyShortPositionsGrid</vt:lpstr>
      <vt:lpstr>VerifyShortLocateGrid1</vt:lpstr>
      <vt:lpstr>EnableDisableModule1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2021-08-25T11:12:38Z</dcterms:modified>
</cp:coreProperties>
</file>