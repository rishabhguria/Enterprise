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PricingInput" sheetId="6" r:id="rId8"/>
    <sheet state="visible" name="SavePageView" sheetId="7" r:id="rId9"/>
    <sheet state="visible" name="ActionOnPageFromSearch" sheetId="8" r:id="rId10"/>
    <sheet state="visible" name="CalculatePTT" sheetId="9" r:id="rId11"/>
    <sheet state="visible" name="EditPTTRecordAndExecuteOrder" sheetId="10" r:id="rId12"/>
    <sheet state="visible" name="EditPTTRecordAndExecuteOrder1" sheetId="11" r:id="rId13"/>
    <sheet state="visible" name="VerifyPTT" sheetId="12" r:id="rId14"/>
    <sheet state="visible" name="CustomOrderTT" sheetId="13" r:id="rId15"/>
    <sheet state="visible" name="CalculatePTT1" sheetId="14" r:id="rId16"/>
    <sheet state="visible" name="VerifyPTT1" sheetId="15" r:id="rId17"/>
    <sheet state="visible" name="CreateDoneAwayOrder" sheetId="16" r:id="rId18"/>
    <sheet state="visible" name="CustomOrderTT1" sheetId="17" r:id="rId19"/>
  </sheets>
  <definedNames/>
  <calcPr/>
</workbook>
</file>

<file path=xl/sharedStrings.xml><?xml version="1.0" encoding="utf-8"?>
<sst xmlns="http://schemas.openxmlformats.org/spreadsheetml/2006/main" count="167" uniqueCount="49">
  <si>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</si>
  <si>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</si>
  <si>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</si>
  <si>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</si>
  <si>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</si>
  <si>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</si>
  <si>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</si>
  <si>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</si>
  <si>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</si>
  <si>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</si>
  <si>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</si>
  <si>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</si>
  <si>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</si>
  <si>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</si>
  <si>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</si>
  <si>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</si>
  <si>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</si>
  <si>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</si>
  <si>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</si>
  <si>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</si>
  <si>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Allocation3</t>
  </si>
  <si>
    <t>Allocation4</t>
  </si>
  <si>
    <t>PricingInput</t>
  </si>
  <si>
    <t>AAPL</t>
  </si>
  <si>
    <t>OpenFin</t>
  </si>
  <si>
    <t>SavePageView</t>
  </si>
  <si>
    <t>Trading Ticket</t>
  </si>
  <si>
    <t>TT_Page</t>
  </si>
  <si>
    <t>ActionOnPageFromSearch</t>
  </si>
  <si>
    <t>PTT</t>
  </si>
  <si>
    <t>CalculatePTT</t>
  </si>
  <si>
    <t>Increase</t>
  </si>
  <si>
    <t>Percentage</t>
  </si>
  <si>
    <t>No</t>
  </si>
  <si>
    <t>MasterFund</t>
  </si>
  <si>
    <t>NewMF</t>
  </si>
  <si>
    <t>MS</t>
  </si>
  <si>
    <t>Market</t>
  </si>
  <si>
    <t>EditPTTRecordAndExecuteOrder</t>
  </si>
  <si>
    <t>Select</t>
  </si>
  <si>
    <t>Edit</t>
  </si>
  <si>
    <t>VerifyPTT</t>
  </si>
  <si>
    <t>Buy</t>
  </si>
  <si>
    <t>TradingTicket</t>
  </si>
  <si>
    <t>CustomOrderTT</t>
  </si>
  <si>
    <t>DoneAway</t>
  </si>
  <si>
    <t>Trade</t>
  </si>
  <si>
    <t>NewMF1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</si>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</sst>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f>today()-1</f>
        <v>45834</v>
      </c>
      <c r="C6" s="30">
        <f>today()</f>
        <v>45835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17</v>
      </c>
      <c r="C6" s="33" t="s">
        <v>18</v>
      </c>
      <c r="D6" s="34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33" t="s">
        <v>18</v>
      </c>
      <c r="D7" s="35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20</v>
      </c>
      <c r="C8" s="33" t="s">
        <v>18</v>
      </c>
      <c r="D8" s="35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21</v>
      </c>
      <c r="C9" s="33" t="s">
        <v>18</v>
      </c>
      <c r="D9" s="35">
        <v>100000.0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2" t="s">
        <v>23</v>
      </c>
      <c r="C6" s="37">
        <v>100.0</v>
      </c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26</v>
      </c>
      <c r="C6" s="33" t="s">
        <v>27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27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2" t="s">
        <v>23</v>
      </c>
      <c r="C6" s="33" t="s">
        <v>31</v>
      </c>
      <c r="D6" s="32" t="s">
        <v>32</v>
      </c>
      <c r="E6" s="35">
        <v>10.0</v>
      </c>
      <c r="F6" s="37">
        <v>20.0</v>
      </c>
      <c r="G6" s="33" t="s">
        <v>33</v>
      </c>
      <c r="H6" s="33" t="s">
        <v>34</v>
      </c>
      <c r="I6" s="33" t="s">
        <v>35</v>
      </c>
      <c r="J6" s="38"/>
      <c r="K6" s="38"/>
      <c r="L6" s="38"/>
      <c r="M6" s="33" t="s">
        <v>36</v>
      </c>
      <c r="N6" s="38"/>
      <c r="O6" s="38"/>
      <c r="P6" s="38" t="s">
        <v>37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IFERROR(__xludf.DUMMYFUNCTION("""COMPUTED_VALUE"""),"Action")</f>
        <v>Action</v>
      </c>
      <c r="U5" s="29" t="str">
        <f>IFERROR(__xludf.DUMMYFUNCTION("""COMPUTED_VALUE"""),"OrderButtonType")</f>
        <v>OrderButtonType</v>
      </c>
      <c r="V5" s="29" t="str">
        <f>IFERROR(__xludf.DUMMYFUNCTION("""COMPUTED_VALUE"""),"Change Amt")</f>
        <v>Change Amt</v>
      </c>
      <c r="W5" s="29" t="str">
        <f>IFERROR(__xludf.DUMMYFUNCTION("""COMPUTED_VALUE"""),"Group")</f>
        <v>Group</v>
      </c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2" t="s">
        <v>17</v>
      </c>
      <c r="C6" s="38"/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 t="s">
        <v>39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8"/>
      <c r="E7" s="38"/>
      <c r="F7" s="38"/>
      <c r="G7" s="38"/>
      <c r="H7" s="38"/>
      <c r="I7" s="37">
        <v>1000.0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 t="s">
        <v>40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1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T8" s="38"/>
    </row>
    <row r="9" ht="15.75" customHeight="1">
      <c r="A9" s="8"/>
      <c r="B9" s="8"/>
      <c r="C9" s="8"/>
      <c r="D9" s="8"/>
      <c r="E9" s="8"/>
      <c r="F9" s="8"/>
      <c r="G9" s="8"/>
      <c r="H9" s="8"/>
      <c r="I9" s="12"/>
      <c r="J9" s="8"/>
      <c r="K9" s="8"/>
      <c r="L9" s="8"/>
      <c r="M9" s="8"/>
      <c r="N9" s="8"/>
      <c r="O9" s="8"/>
      <c r="T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IFERROR(__xludf.DUMMYFUNCTION("""COMPUTED_VALUE"""),"Action")</f>
        <v>Action</v>
      </c>
      <c r="U5" s="29" t="str">
        <f>IFERROR(__xludf.DUMMYFUNCTION("""COMPUTED_VALUE"""),"OrderButtonType")</f>
        <v>OrderButtonType</v>
      </c>
      <c r="V5" s="29" t="str">
        <f>IFERROR(__xludf.DUMMYFUNCTION("""COMPUTED_VALUE"""),"Change Amt")</f>
        <v>Change Amt</v>
      </c>
      <c r="W5" s="29" t="str">
        <f>IFERROR(__xludf.DUMMYFUNCTION("""COMPUTED_VALUE"""),"Group")</f>
        <v>Group</v>
      </c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9" t="s">
        <v>20</v>
      </c>
      <c r="C6" s="38"/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 t="s">
        <v>39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8"/>
      <c r="E7" s="38"/>
      <c r="F7" s="38"/>
      <c r="G7" s="38"/>
      <c r="H7" s="38"/>
      <c r="I7" s="37">
        <v>1000.0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 t="s">
        <v>40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5">
        <v>100000.0</v>
      </c>
      <c r="D6" s="34">
        <v>0.0</v>
      </c>
      <c r="E6" s="35"/>
      <c r="F6" s="8"/>
      <c r="G6" s="37">
        <v>20.0</v>
      </c>
      <c r="H6" s="37">
        <v>20.0</v>
      </c>
      <c r="I6" s="12">
        <v>1000.0</v>
      </c>
      <c r="J6" s="12">
        <v>1000.0</v>
      </c>
      <c r="K6" s="12">
        <v>20000.0</v>
      </c>
      <c r="L6" s="8"/>
      <c r="M6" s="8"/>
      <c r="N6" s="8"/>
      <c r="O6" s="8"/>
      <c r="R6" s="38" t="s">
        <v>42</v>
      </c>
    </row>
    <row r="7" ht="15.75" customHeight="1">
      <c r="A7" s="8"/>
      <c r="B7" s="12" t="s">
        <v>20</v>
      </c>
      <c r="C7" s="35">
        <v>100000.0</v>
      </c>
      <c r="D7" s="35">
        <v>0.0</v>
      </c>
      <c r="E7" s="35"/>
      <c r="F7" s="8"/>
      <c r="G7" s="37">
        <v>20.0</v>
      </c>
      <c r="H7" s="37">
        <v>20.0</v>
      </c>
      <c r="I7" s="12">
        <v>1000.0</v>
      </c>
      <c r="J7" s="12">
        <v>1000.0</v>
      </c>
      <c r="K7" s="12">
        <v>20000.0</v>
      </c>
      <c r="L7" s="8"/>
      <c r="M7" s="8"/>
      <c r="N7" s="8"/>
      <c r="O7" s="8"/>
      <c r="R7" s="38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R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45</v>
      </c>
      <c r="F6" s="8"/>
      <c r="G6" s="8"/>
      <c r="H6" s="8"/>
      <c r="I6" s="8"/>
      <c r="J6" s="12" t="s">
        <v>46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2" t="s">
        <v>23</v>
      </c>
      <c r="C6" s="33" t="s">
        <v>31</v>
      </c>
      <c r="D6" s="32" t="s">
        <v>32</v>
      </c>
      <c r="E6" s="35">
        <v>10.0</v>
      </c>
      <c r="F6" s="37">
        <v>20.0</v>
      </c>
      <c r="G6" s="33" t="s">
        <v>33</v>
      </c>
      <c r="H6" s="33" t="s">
        <v>34</v>
      </c>
      <c r="I6" s="39" t="s">
        <v>47</v>
      </c>
      <c r="J6" s="38"/>
      <c r="K6" s="38"/>
      <c r="L6" s="38"/>
      <c r="M6" s="33" t="s">
        <v>36</v>
      </c>
      <c r="N6" s="38"/>
      <c r="O6" s="38"/>
      <c r="P6" s="38" t="s">
        <v>37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37">
        <v>101000.0</v>
      </c>
      <c r="D6" s="37">
        <v>100.0</v>
      </c>
      <c r="E6" s="37"/>
      <c r="F6" s="8"/>
      <c r="G6" s="37"/>
      <c r="H6" s="37"/>
      <c r="I6" s="12">
        <v>505.0</v>
      </c>
      <c r="J6" s="12">
        <v>605.0</v>
      </c>
      <c r="K6" s="12">
        <v>12100.0</v>
      </c>
      <c r="L6" s="8"/>
      <c r="M6" s="8"/>
      <c r="N6" s="8"/>
      <c r="O6" s="8"/>
      <c r="R6" s="38" t="s">
        <v>42</v>
      </c>
    </row>
    <row r="7" ht="15.75" customHeight="1">
      <c r="A7" s="8"/>
      <c r="B7" s="12" t="s">
        <v>21</v>
      </c>
      <c r="C7" s="37">
        <v>101000.0</v>
      </c>
      <c r="D7" s="37">
        <v>100.0</v>
      </c>
      <c r="E7" s="37"/>
      <c r="F7" s="8"/>
      <c r="G7" s="37"/>
      <c r="H7" s="37"/>
      <c r="I7" s="12">
        <v>505.0</v>
      </c>
      <c r="J7" s="12">
        <v>605.0</v>
      </c>
      <c r="K7" s="12">
        <v>12100.0</v>
      </c>
      <c r="L7" s="8"/>
      <c r="M7" s="8"/>
      <c r="N7" s="8"/>
      <c r="O7" s="8"/>
      <c r="R7" s="38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2" t="s">
        <v>23</v>
      </c>
      <c r="C6" s="39" t="s">
        <v>42</v>
      </c>
      <c r="D6" s="34">
        <v>100.0</v>
      </c>
      <c r="E6" s="38"/>
      <c r="F6" s="40" t="s">
        <v>19</v>
      </c>
      <c r="G6" s="38"/>
      <c r="H6" s="38"/>
      <c r="I6" s="38"/>
      <c r="J6" s="35">
        <v>10.0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23</v>
      </c>
      <c r="C7" s="39" t="s">
        <v>42</v>
      </c>
      <c r="D7" s="35">
        <v>100.0</v>
      </c>
      <c r="E7" s="38"/>
      <c r="F7" s="40" t="s">
        <v>21</v>
      </c>
      <c r="G7" s="38"/>
      <c r="H7" s="38"/>
      <c r="I7" s="38"/>
      <c r="J7" s="35">
        <v>10.0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23</v>
      </c>
      <c r="C6" s="34">
        <v>100.0</v>
      </c>
      <c r="D6" s="35">
        <v>10.0</v>
      </c>
      <c r="E6" s="12" t="s">
        <v>45</v>
      </c>
      <c r="F6" s="8"/>
      <c r="G6" s="8"/>
      <c r="H6" s="8"/>
      <c r="I6" s="40" t="s">
        <v>19</v>
      </c>
      <c r="J6" s="39" t="s">
        <v>42</v>
      </c>
      <c r="K6" s="8"/>
      <c r="L6" s="8"/>
      <c r="M6" s="8"/>
      <c r="N6" s="8"/>
      <c r="O6" s="8"/>
    </row>
    <row r="7" ht="15.75" customHeight="1">
      <c r="A7" s="8"/>
      <c r="B7" s="39" t="s">
        <v>23</v>
      </c>
      <c r="C7" s="35">
        <v>100.0</v>
      </c>
      <c r="D7" s="35">
        <v>10.0</v>
      </c>
      <c r="E7" s="12" t="s">
        <v>45</v>
      </c>
      <c r="F7" s="8"/>
      <c r="G7" s="8"/>
      <c r="H7" s="8"/>
      <c r="I7" s="40" t="s">
        <v>21</v>
      </c>
      <c r="J7" s="39" t="s">
        <v>42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