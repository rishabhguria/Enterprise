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SymbolToWatchlist" sheetId="4" r:id="rId6"/>
    <sheet state="visible" name="TradeFromWatchlist" sheetId="5" r:id="rId7"/>
    <sheet state="visible" name="SelectTradeUsingMTT" sheetId="6" r:id="rId8"/>
    <sheet state="visible" name="EditTradeUsingMTT" sheetId="7" r:id="rId9"/>
    <sheet state="visible" name="SelectTradeUsingMTT1" sheetId="8" r:id="rId10"/>
    <sheet state="visible" name="EditTradeUsingMTT1" sheetId="9" r:id="rId11"/>
    <sheet state="visible" name="SelectTradeUsingMTT2" sheetId="10" r:id="rId12"/>
    <sheet state="visible" name="BulkChangeCreateStageOrder" sheetId="11" r:id="rId13"/>
    <sheet state="visible" name="MergeOrder" sheetId="12" r:id="rId14"/>
    <sheet state="visible" name="VerifyOrder" sheetId="13" r:id="rId15"/>
    <sheet state="visible" name="VerifyOrder1" sheetId="14" r:id="rId16"/>
    <sheet state="visible" name="TradeFromWatchlist1" sheetId="15" r:id="rId17"/>
    <sheet state="visible" name="SelectTradeUsingMTT3" sheetId="16" r:id="rId18"/>
    <sheet state="visible" name="EditTradeUsingMTT3" sheetId="17" r:id="rId19"/>
  </sheets>
  <definedNames/>
  <calcPr/>
</workbook>
</file>

<file path=xl/sharedStrings.xml><?xml version="1.0" encoding="utf-8"?>
<sst xmlns="http://schemas.openxmlformats.org/spreadsheetml/2006/main" count="403" uniqueCount="46">
  <si>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</si>
  <si>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</si>
  <si>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</si>
  <si>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</si>
  <si>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</si>
  <si>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</si>
  <si>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</si>
  <si>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</si>
  <si>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</si>
  <si>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</si>
  <si>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</si>
  <si>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</si>
  <si>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Watchlist</t>
  </si>
  <si>
    <t>AddSymbolToWatchlist</t>
  </si>
  <si>
    <t>Data Format</t>
  </si>
  <si>
    <t>Input Format</t>
  </si>
  <si>
    <t>AAPL</t>
  </si>
  <si>
    <t>SAP</t>
  </si>
  <si>
    <t>TradeFromWatchlist</t>
  </si>
  <si>
    <t>Buy</t>
  </si>
  <si>
    <t>MultiTradingTicket</t>
  </si>
  <si>
    <t>SelectTradeUsingMTT</t>
  </si>
  <si>
    <t>EditTradeUsingMTT</t>
  </si>
  <si>
    <t>BulkChangeCreateStageOrder</t>
  </si>
  <si>
    <t>Blotter</t>
  </si>
  <si>
    <t>MergeOrder</t>
  </si>
  <si>
    <t>Yes</t>
  </si>
  <si>
    <t>VerifyOrder</t>
  </si>
  <si>
    <t/>
  </si>
  <si>
    <t>AAPL US EQUITY</t>
  </si>
  <si>
    <t>NASDAQ</t>
  </si>
  <si>
    <t>jpearce</t>
  </si>
  <si>
    <t>US</t>
  </si>
  <si>
    <t>GCCAP1</t>
  </si>
  <si>
    <t>USD</t>
  </si>
  <si>
    <t>NONE</t>
  </si>
  <si>
    <t>NewMF</t>
  </si>
  <si>
    <t>M</t>
  </si>
  <si>
    <t>Equity</t>
  </si>
  <si>
    <t>New</t>
  </si>
  <si>
    <t>MS</t>
  </si>
  <si>
    <t>Allocation1</t>
  </si>
  <si>
    <t>Market</t>
  </si>
  <si>
    <t>Manual</t>
  </si>
  <si>
    <t>TradingTicket</t>
  </si>
  <si>
    <t>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</si>
</sst>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Docs-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6" fontId="13" numFmtId="0" xfId="0" applyAlignment="1" applyFill="1" applyFont="1">
      <alignment horizontal="left" readingOrder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IFERROR(__xludf.DUMMYFUNCTION("IF(C3="""","""",Transpose(IMPORTRANGE('_Settings'!$B$3,C3&amp;""!A4:A1000"")))"),"AddTabOnWatchlist")</f>
        <v>AddTabOnWatchlist</v>
      </c>
      <c r="C4" s="24" t="str">
        <f>IFERROR(__xludf.DUMMYFUNCTION("""COMPUTED_VALUE"""),"DeleteTabOnWatchlist")</f>
        <v>DeleteTabOnWatchlist</v>
      </c>
      <c r="D4" s="24" t="str">
        <f>IFERROR(__xludf.DUMMYFUNCTION("""COMPUTED_VALUE"""),"AddSymbolToWatchlist")</f>
        <v>AddSymbolToWatchlist</v>
      </c>
      <c r="E4" s="24" t="str">
        <f>IFERROR(__xludf.DUMMYFUNCTION("""COMPUTED_VALUE"""),"TradeFromWatchlist")</f>
        <v>TradeFromWatchlist</v>
      </c>
      <c r="F4" s="24" t="str">
        <f>IFERROR(__xludf.DUMMYFUNCTION("""COMPUTED_VALUE"""),"MultiTradeFromWatchlist")</f>
        <v>MultiTradeFromWatchlist</v>
      </c>
      <c r="G4" s="24" t="str">
        <f>IFERROR(__xludf.DUMMYFUNCTION("""COMPUTED_VALUE"""),"DeleteSymbolFromWatchlist")</f>
        <v>DeleteSymbolFromWatchlist</v>
      </c>
      <c r="H4" s="24" t="str">
        <f>IFERROR(__xludf.DUMMYFUNCTION("""COMPUTED_VALUE"""),"VerifySymbolsOnWatchlist")</f>
        <v>VerifySymbolsOnWatchlist</v>
      </c>
      <c r="I4" s="24" t="str">
        <f>IFERROR(__xludf.DUMMYFUNCTION("""COMPUTED_VALUE"""),"OpenPTTFromWatchlist")</f>
        <v>OpenPTTFromWatchlist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17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AddSymbolToWatchlist!$4:$4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IFERROR(__xludf.DUMMYFUNCTION("IF(C3="""","""",Transpose(IMPORTRANGE('_Settings'!$B$3,C3&amp;""!A4:A1000"")))"),"AddTabOnWatchlist")</f>
        <v>AddTabOnWatchlist</v>
      </c>
      <c r="C4" s="24" t="str">
        <f>IFERROR(__xludf.DUMMYFUNCTION("""COMPUTED_VALUE"""),"DeleteTabOnWatchlist")</f>
        <v>DeleteTabOnWatchlist</v>
      </c>
      <c r="D4" s="24" t="str">
        <f>IFERROR(__xludf.DUMMYFUNCTION("""COMPUTED_VALUE"""),"AddSymbolToWatchlist")</f>
        <v>AddSymbolToWatchlist</v>
      </c>
      <c r="E4" s="24" t="str">
        <f>IFERROR(__xludf.DUMMYFUNCTION("""COMPUTED_VALUE"""),"TradeFromWatchlist")</f>
        <v>TradeFromWatchlist</v>
      </c>
      <c r="F4" s="24" t="str">
        <f>IFERROR(__xludf.DUMMYFUNCTION("""COMPUTED_VALUE"""),"MultiTradeFromWatchlist")</f>
        <v>MultiTradeFromWatchlist</v>
      </c>
      <c r="G4" s="24" t="str">
        <f>IFERROR(__xludf.DUMMYFUNCTION("""COMPUTED_VALUE"""),"DeleteSymbolFromWatchlist")</f>
        <v>DeleteSymbolFromWatchlist</v>
      </c>
      <c r="H4" s="24" t="str">
        <f>IFERROR(__xludf.DUMMYFUNCTION("""COMPUTED_VALUE"""),"VerifySymbolsOnWatchlist")</f>
        <v>VerifySymbolsOnWatchlist</v>
      </c>
      <c r="I4" s="24" t="str">
        <f>IFERROR(__xludf.DUMMYFUNCTION("""COMPUTED_VALUE"""),"OpenPTTFromWatchlist")</f>
        <v>OpenPTTFromWatchlist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19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17</v>
      </c>
      <c r="C7" s="12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TradeFromWatchlist!$4:$4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IFERROR(__xludf.DUMMYFUNCTION("""COMPUTED_VALUE"""),"FX Operator")</f>
        <v>FX Operator</v>
      </c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19</v>
      </c>
      <c r="D6" s="12">
        <v>100.0</v>
      </c>
      <c r="E6" s="30"/>
      <c r="F6" s="8"/>
      <c r="G6" s="8"/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IFERROR(__xludf.DUMMYFUNCTION("""COMPUTED_VALUE"""),"FX Operator")</f>
        <v>FX Operator</v>
      </c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19</v>
      </c>
      <c r="D6" s="12">
        <v>100.0</v>
      </c>
      <c r="E6" s="30"/>
      <c r="F6" s="8"/>
      <c r="G6" s="8"/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EditTradeUsingMTT1!$4:$4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17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SelectTradeUsingMTT2!$4:$4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IFERROR(__xludf.DUMMYFUNCTION("""COMPUTED_VALUE"""),"Account")</f>
        <v>Account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IFERROR(__xludf.DUMMYFUNCTION("""COMPUTED_VALUE"""),"INFORMATIONRELATEDPOPUP_YESORNO")</f>
        <v>INFORMATIONRELATEDPOPUP_YESORNO</v>
      </c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BulkChangeCreateStageOrder!$4:$4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IFERROR(__xludf.DUMMYFUNCTION("""COMPUTED_VALUE"""),"Allow Merge")</f>
        <v>Allow Merge</v>
      </c>
      <c r="BB5" s="29" t="str">
        <f>IFERROR(__xludf.DUMMYFUNCTION("""COMPUTED_VALUE"""),"ButtonClick")</f>
        <v>ButtonClick</v>
      </c>
      <c r="BC5" s="29" t="str">
        <f>IFERROR(__xludf.DUMMYFUNCTION("""COMPUTED_VALUE"""),"checkBox")</f>
        <v>checkBox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0"/>
      <c r="F6" s="8"/>
      <c r="G6" s="8"/>
      <c r="H6" s="12">
        <v>100.0</v>
      </c>
      <c r="I6" s="8"/>
      <c r="J6" s="8"/>
      <c r="K6" s="8"/>
      <c r="L6" s="8"/>
      <c r="M6" s="8"/>
      <c r="N6" s="8"/>
      <c r="O6" s="8"/>
      <c r="BA6" s="9" t="s">
        <v>26</v>
      </c>
    </row>
    <row r="7" ht="15.75" customHeight="1">
      <c r="A7" s="8"/>
      <c r="B7" s="8"/>
      <c r="C7" s="8"/>
      <c r="D7" s="12" t="s">
        <v>16</v>
      </c>
      <c r="E7" s="8"/>
      <c r="F7" s="8"/>
      <c r="G7" s="8"/>
      <c r="H7" s="12">
        <v>200.0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MergeOrder!$4:$4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1" t="s">
        <v>28</v>
      </c>
      <c r="B6" s="31"/>
      <c r="C6" s="8"/>
      <c r="D6" s="31"/>
      <c r="E6" s="8" t="s">
        <v>29</v>
      </c>
      <c r="F6" s="8"/>
      <c r="G6" s="8"/>
      <c r="H6" s="8" t="s">
        <v>30</v>
      </c>
      <c r="I6" s="8" t="s">
        <v>31</v>
      </c>
      <c r="J6" s="8" t="s">
        <v>16</v>
      </c>
      <c r="K6" s="8" t="s">
        <v>32</v>
      </c>
      <c r="L6" s="8" t="s">
        <v>33</v>
      </c>
      <c r="M6" s="8"/>
      <c r="N6" s="8"/>
      <c r="O6" s="8"/>
      <c r="U6" t="s">
        <v>34</v>
      </c>
      <c r="V6" t="s">
        <v>35</v>
      </c>
      <c r="AA6" t="s">
        <v>36</v>
      </c>
      <c r="AD6">
        <v>1.0</v>
      </c>
      <c r="AF6" t="s">
        <v>37</v>
      </c>
      <c r="AH6" t="s">
        <v>38</v>
      </c>
      <c r="AI6" t="s">
        <v>16</v>
      </c>
      <c r="AJ6" t="s">
        <v>19</v>
      </c>
      <c r="AK6" t="s">
        <v>39</v>
      </c>
      <c r="AL6">
        <v>300.0</v>
      </c>
      <c r="AP6">
        <v>300.0</v>
      </c>
      <c r="AS6" t="s">
        <v>40</v>
      </c>
      <c r="AT6" t="s">
        <v>41</v>
      </c>
      <c r="AU6" t="s">
        <v>42</v>
      </c>
      <c r="AX6" t="s">
        <v>43</v>
      </c>
      <c r="AY6" t="s">
        <v>28</v>
      </c>
      <c r="AZ6">
        <v>300.0</v>
      </c>
      <c r="BA6" t="s">
        <v>31</v>
      </c>
      <c r="BB6" t="s">
        <v>28</v>
      </c>
      <c r="BC6" t="s">
        <v>28</v>
      </c>
      <c r="BD6" t="s">
        <v>28</v>
      </c>
      <c r="BE6" t="s">
        <v>28</v>
      </c>
      <c r="BF6" t="s">
        <v>28</v>
      </c>
      <c r="BG6" s="32" t="s">
        <v>44</v>
      </c>
      <c r="BH6" t="s">
        <v>45</v>
      </c>
      <c r="BK6" t="s">
        <v>28</v>
      </c>
      <c r="BP6" t="s">
        <v>28</v>
      </c>
      <c r="BQ6" t="s">
        <v>28</v>
      </c>
      <c r="BR6" t="s">
        <v>28</v>
      </c>
      <c r="BS6" t="s">
        <v>28</v>
      </c>
      <c r="BT6" t="s">
        <v>28</v>
      </c>
      <c r="BU6" t="s">
        <v>28</v>
      </c>
      <c r="BV6" t="s">
        <v>28</v>
      </c>
      <c r="BW6" t="s">
        <v>28</v>
      </c>
      <c r="BX6" t="s">
        <v>28</v>
      </c>
      <c r="BY6" t="s">
        <v>28</v>
      </c>
      <c r="BZ6" t="s">
        <v>28</v>
      </c>
      <c r="CA6" t="s">
        <v>28</v>
      </c>
      <c r="CB6" t="s">
        <v>28</v>
      </c>
      <c r="CC6" t="s">
        <v>28</v>
      </c>
      <c r="CD6" t="s">
        <v>28</v>
      </c>
      <c r="CE6" t="s">
        <v>28</v>
      </c>
      <c r="CF6" t="s">
        <v>28</v>
      </c>
      <c r="CG6" t="s">
        <v>28</v>
      </c>
      <c r="CH6" t="s">
        <v>28</v>
      </c>
      <c r="CI6" t="s">
        <v>28</v>
      </c>
      <c r="CJ6" t="s">
        <v>28</v>
      </c>
      <c r="CK6" t="s">
        <v>28</v>
      </c>
      <c r="CL6" t="s">
        <v>28</v>
      </c>
      <c r="CM6" t="s">
        <v>28</v>
      </c>
      <c r="CN6" t="s">
        <v>28</v>
      </c>
      <c r="CO6" t="s">
        <v>28</v>
      </c>
      <c r="CP6" t="s">
        <v>28</v>
      </c>
      <c r="CQ6" t="s">
        <v>28</v>
      </c>
      <c r="CR6" t="s">
        <v>28</v>
      </c>
      <c r="CS6" t="s">
        <v>28</v>
      </c>
      <c r="CT6" t="s">
        <v>28</v>
      </c>
      <c r="CU6" t="s">
        <v>28</v>
      </c>
      <c r="CV6" t="s">
        <v>28</v>
      </c>
      <c r="CW6" t="s">
        <v>28</v>
      </c>
      <c r="CX6" t="s">
        <v>28</v>
      </c>
      <c r="CY6" t="s">
        <v>28</v>
      </c>
      <c r="CZ6" t="s">
        <v>28</v>
      </c>
      <c r="DA6" t="s">
        <v>28</v>
      </c>
      <c r="DB6" t="s">
        <v>28</v>
      </c>
      <c r="DC6" t="s">
        <v>28</v>
      </c>
      <c r="DD6" t="s">
        <v>28</v>
      </c>
      <c r="DE6" t="s">
        <v>28</v>
      </c>
      <c r="DF6" t="s">
        <v>28</v>
      </c>
      <c r="DG6" t="s">
        <v>28</v>
      </c>
      <c r="DH6" t="s">
        <v>28</v>
      </c>
      <c r="DI6" t="s">
        <v>28</v>
      </c>
      <c r="DJ6" t="s">
        <v>28</v>
      </c>
      <c r="DK6" t="s">
        <v>28</v>
      </c>
      <c r="DL6" t="s">
        <v>28</v>
      </c>
      <c r="DM6" t="s">
        <v>28</v>
      </c>
      <c r="DN6" t="s">
        <v>28</v>
      </c>
      <c r="DO6" t="s">
        <v>28</v>
      </c>
      <c r="DP6" t="s">
        <v>28</v>
      </c>
      <c r="DQ6" t="s">
        <v>28</v>
      </c>
      <c r="DR6" t="s">
        <v>28</v>
      </c>
      <c r="DS6" t="s">
        <v>28</v>
      </c>
      <c r="DT6" t="s">
        <v>28</v>
      </c>
      <c r="DU6" t="s">
        <v>28</v>
      </c>
      <c r="DV6" t="s">
        <v>28</v>
      </c>
      <c r="DW6" t="s">
        <v>28</v>
      </c>
      <c r="DX6" t="s">
        <v>28</v>
      </c>
      <c r="DY6" t="s">
        <v>28</v>
      </c>
      <c r="DZ6" t="s">
        <v>28</v>
      </c>
      <c r="EA6" t="s">
        <v>28</v>
      </c>
      <c r="EB6" t="s">
        <v>28</v>
      </c>
      <c r="EC6" t="s">
        <v>28</v>
      </c>
      <c r="ED6" t="s">
        <v>28</v>
      </c>
      <c r="EE6" t="s">
        <v>28</v>
      </c>
      <c r="EF6" t="s">
        <v>28</v>
      </c>
      <c r="EG6" t="s">
        <v>28</v>
      </c>
      <c r="EH6" t="s">
        <v>28</v>
      </c>
      <c r="EI6" t="s">
        <v>28</v>
      </c>
      <c r="EJ6" t="s">
        <v>28</v>
      </c>
      <c r="EK6" t="s">
        <v>28</v>
      </c>
      <c r="EL6" t="s">
        <v>28</v>
      </c>
      <c r="EM6" t="s">
        <v>28</v>
      </c>
      <c r="EN6" t="s">
        <v>28</v>
      </c>
      <c r="EO6" t="s">
        <v>28</v>
      </c>
      <c r="EP6" t="s">
        <v>28</v>
      </c>
      <c r="EQ6" t="s">
        <v>28</v>
      </c>
      <c r="ER6" t="s">
        <v>28</v>
      </c>
      <c r="ES6" t="s">
        <v>28</v>
      </c>
      <c r="ET6" t="s">
        <v>28</v>
      </c>
      <c r="EU6" t="s">
        <v>28</v>
      </c>
      <c r="EV6" t="s">
        <v>28</v>
      </c>
      <c r="EW6" t="s">
        <v>28</v>
      </c>
      <c r="EX6" t="s">
        <v>28</v>
      </c>
      <c r="EY6" t="s">
        <v>28</v>
      </c>
      <c r="EZ6" t="s">
        <v>28</v>
      </c>
      <c r="FA6" t="s">
        <v>28</v>
      </c>
      <c r="FB6" t="s">
        <v>28</v>
      </c>
      <c r="FC6" t="s">
        <v>28</v>
      </c>
      <c r="FD6" t="s">
        <v>28</v>
      </c>
      <c r="FE6" t="s">
        <v>28</v>
      </c>
      <c r="FF6" t="s">
        <v>28</v>
      </c>
      <c r="FG6" t="s">
        <v>28</v>
      </c>
      <c r="FH6" t="s">
        <v>28</v>
      </c>
      <c r="FI6" t="s">
        <v>28</v>
      </c>
      <c r="FJ6" t="s">
        <v>28</v>
      </c>
      <c r="FK6" t="s">
        <v>28</v>
      </c>
      <c r="FL6" t="s">
        <v>28</v>
      </c>
      <c r="FM6" t="s">
        <v>28</v>
      </c>
      <c r="FN6" t="s">
        <v>28</v>
      </c>
      <c r="FO6" t="s">
        <v>28</v>
      </c>
      <c r="FP6" t="s">
        <v>28</v>
      </c>
      <c r="FQ6" t="s">
        <v>28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1" t="s">
        <v>28</v>
      </c>
      <c r="B6" s="31"/>
      <c r="C6" s="8"/>
      <c r="D6" s="31"/>
      <c r="E6" s="8" t="s">
        <v>29</v>
      </c>
      <c r="F6" s="8"/>
      <c r="G6" s="8"/>
      <c r="H6" s="8" t="s">
        <v>30</v>
      </c>
      <c r="I6" s="8" t="s">
        <v>31</v>
      </c>
      <c r="J6" s="8" t="s">
        <v>16</v>
      </c>
      <c r="K6" s="8" t="s">
        <v>32</v>
      </c>
      <c r="L6" s="8" t="s">
        <v>33</v>
      </c>
      <c r="M6" s="8"/>
      <c r="N6" s="8"/>
      <c r="O6" s="8"/>
      <c r="U6" t="s">
        <v>34</v>
      </c>
      <c r="V6" t="s">
        <v>35</v>
      </c>
      <c r="AA6" t="s">
        <v>36</v>
      </c>
      <c r="AD6">
        <v>1.0</v>
      </c>
      <c r="AF6" t="s">
        <v>37</v>
      </c>
      <c r="AH6" t="s">
        <v>38</v>
      </c>
      <c r="AI6" t="s">
        <v>16</v>
      </c>
      <c r="AJ6" t="s">
        <v>19</v>
      </c>
      <c r="AK6" t="s">
        <v>39</v>
      </c>
      <c r="AL6">
        <v>300.0</v>
      </c>
      <c r="AP6">
        <v>300.0</v>
      </c>
      <c r="AS6" t="s">
        <v>40</v>
      </c>
      <c r="AT6" t="s">
        <v>41</v>
      </c>
      <c r="AU6" t="s">
        <v>42</v>
      </c>
      <c r="AX6" t="s">
        <v>43</v>
      </c>
      <c r="AY6" t="s">
        <v>28</v>
      </c>
      <c r="AZ6">
        <v>300.0</v>
      </c>
      <c r="BA6" t="s">
        <v>31</v>
      </c>
      <c r="BB6" t="s">
        <v>28</v>
      </c>
      <c r="BC6" t="s">
        <v>28</v>
      </c>
      <c r="BD6" t="s">
        <v>28</v>
      </c>
      <c r="BE6" t="s">
        <v>28</v>
      </c>
      <c r="BF6" t="s">
        <v>28</v>
      </c>
      <c r="BG6" s="32" t="s">
        <v>44</v>
      </c>
      <c r="BH6" t="s">
        <v>45</v>
      </c>
      <c r="BK6" t="s">
        <v>28</v>
      </c>
      <c r="BP6" t="s">
        <v>28</v>
      </c>
      <c r="BQ6" t="s">
        <v>28</v>
      </c>
      <c r="BR6" t="s">
        <v>28</v>
      </c>
      <c r="BS6" t="s">
        <v>28</v>
      </c>
      <c r="BT6" t="s">
        <v>28</v>
      </c>
      <c r="BU6" t="s">
        <v>28</v>
      </c>
      <c r="BV6" t="s">
        <v>28</v>
      </c>
      <c r="BW6" t="s">
        <v>28</v>
      </c>
      <c r="BX6" t="s">
        <v>28</v>
      </c>
      <c r="BY6" t="s">
        <v>28</v>
      </c>
      <c r="BZ6" t="s">
        <v>28</v>
      </c>
      <c r="CA6" t="s">
        <v>28</v>
      </c>
      <c r="CB6" t="s">
        <v>28</v>
      </c>
      <c r="CC6" t="s">
        <v>28</v>
      </c>
      <c r="CD6" t="s">
        <v>28</v>
      </c>
      <c r="CE6" t="s">
        <v>28</v>
      </c>
      <c r="CF6" t="s">
        <v>28</v>
      </c>
      <c r="CG6" t="s">
        <v>28</v>
      </c>
      <c r="CH6" t="s">
        <v>28</v>
      </c>
      <c r="CI6" t="s">
        <v>28</v>
      </c>
      <c r="CJ6" t="s">
        <v>28</v>
      </c>
      <c r="CK6" t="s">
        <v>28</v>
      </c>
      <c r="CL6" t="s">
        <v>28</v>
      </c>
      <c r="CM6" t="s">
        <v>28</v>
      </c>
      <c r="CN6" t="s">
        <v>28</v>
      </c>
      <c r="CO6" t="s">
        <v>28</v>
      </c>
      <c r="CP6" t="s">
        <v>28</v>
      </c>
      <c r="CQ6" t="s">
        <v>28</v>
      </c>
      <c r="CR6" t="s">
        <v>28</v>
      </c>
      <c r="CS6" t="s">
        <v>28</v>
      </c>
      <c r="CT6" t="s">
        <v>28</v>
      </c>
      <c r="CU6" t="s">
        <v>28</v>
      </c>
      <c r="CV6" t="s">
        <v>28</v>
      </c>
      <c r="CW6" t="s">
        <v>28</v>
      </c>
      <c r="CX6" t="s">
        <v>28</v>
      </c>
      <c r="CY6" t="s">
        <v>28</v>
      </c>
      <c r="CZ6" t="s">
        <v>28</v>
      </c>
      <c r="DA6" t="s">
        <v>28</v>
      </c>
      <c r="DB6" t="s">
        <v>28</v>
      </c>
      <c r="DC6" t="s">
        <v>28</v>
      </c>
      <c r="DD6" t="s">
        <v>28</v>
      </c>
      <c r="DE6" t="s">
        <v>28</v>
      </c>
      <c r="DF6" t="s">
        <v>28</v>
      </c>
      <c r="DG6" t="s">
        <v>28</v>
      </c>
      <c r="DH6" t="s">
        <v>28</v>
      </c>
      <c r="DI6" t="s">
        <v>28</v>
      </c>
      <c r="DJ6" t="s">
        <v>28</v>
      </c>
      <c r="DK6" t="s">
        <v>28</v>
      </c>
      <c r="DL6" t="s">
        <v>28</v>
      </c>
      <c r="DM6" t="s">
        <v>28</v>
      </c>
      <c r="DN6" t="s">
        <v>28</v>
      </c>
      <c r="DO6" t="s">
        <v>28</v>
      </c>
      <c r="DP6" t="s">
        <v>28</v>
      </c>
      <c r="DQ6" t="s">
        <v>28</v>
      </c>
      <c r="DR6" t="s">
        <v>28</v>
      </c>
      <c r="DS6" t="s">
        <v>28</v>
      </c>
      <c r="DT6" t="s">
        <v>28</v>
      </c>
      <c r="DU6" t="s">
        <v>28</v>
      </c>
      <c r="DV6" t="s">
        <v>28</v>
      </c>
      <c r="DW6" t="s">
        <v>28</v>
      </c>
      <c r="DX6" t="s">
        <v>28</v>
      </c>
      <c r="DY6" t="s">
        <v>28</v>
      </c>
      <c r="DZ6" t="s">
        <v>28</v>
      </c>
      <c r="EA6" t="s">
        <v>28</v>
      </c>
      <c r="EB6" t="s">
        <v>28</v>
      </c>
      <c r="EC6" t="s">
        <v>28</v>
      </c>
      <c r="ED6" t="s">
        <v>28</v>
      </c>
      <c r="EE6" t="s">
        <v>28</v>
      </c>
      <c r="EF6" t="s">
        <v>28</v>
      </c>
      <c r="EG6" t="s">
        <v>28</v>
      </c>
      <c r="EH6" t="s">
        <v>28</v>
      </c>
      <c r="EI6" t="s">
        <v>28</v>
      </c>
      <c r="EJ6" t="s">
        <v>28</v>
      </c>
      <c r="EK6" t="s">
        <v>28</v>
      </c>
      <c r="EL6" t="s">
        <v>28</v>
      </c>
      <c r="EM6" t="s">
        <v>28</v>
      </c>
      <c r="EN6" t="s">
        <v>28</v>
      </c>
      <c r="EO6" t="s">
        <v>28</v>
      </c>
      <c r="EP6" t="s">
        <v>28</v>
      </c>
      <c r="EQ6" t="s">
        <v>28</v>
      </c>
      <c r="ER6" t="s">
        <v>28</v>
      </c>
      <c r="ES6" t="s">
        <v>28</v>
      </c>
      <c r="ET6" t="s">
        <v>28</v>
      </c>
      <c r="EU6" t="s">
        <v>28</v>
      </c>
      <c r="EV6" t="s">
        <v>28</v>
      </c>
      <c r="EW6" t="s">
        <v>28</v>
      </c>
      <c r="EX6" t="s">
        <v>28</v>
      </c>
      <c r="EY6" t="s">
        <v>28</v>
      </c>
      <c r="EZ6" t="s">
        <v>28</v>
      </c>
      <c r="FA6" t="s">
        <v>28</v>
      </c>
      <c r="FB6" t="s">
        <v>28</v>
      </c>
      <c r="FC6" t="s">
        <v>28</v>
      </c>
      <c r="FD6" t="s">
        <v>28</v>
      </c>
      <c r="FE6" t="s">
        <v>28</v>
      </c>
      <c r="FF6" t="s">
        <v>28</v>
      </c>
      <c r="FG6" t="s">
        <v>28</v>
      </c>
      <c r="FH6" t="s">
        <v>28</v>
      </c>
      <c r="FI6" t="s">
        <v>28</v>
      </c>
      <c r="FJ6" t="s">
        <v>28</v>
      </c>
      <c r="FK6" t="s">
        <v>28</v>
      </c>
      <c r="FL6" t="s">
        <v>28</v>
      </c>
      <c r="FM6" t="s">
        <v>28</v>
      </c>
      <c r="FN6" t="s">
        <v>28</v>
      </c>
      <c r="FO6" t="s">
        <v>28</v>
      </c>
      <c r="FP6" t="s">
        <v>28</v>
      </c>
      <c r="FQ6" t="s">
        <v>28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IFERROR(__xludf.DUMMYFUNCTION("IF(C3="""","""",Transpose(IMPORTRANGE('_Settings'!$B$3,C3&amp;""!A4:A1000"")))"),"AddTabOnWatchlist")</f>
        <v>AddTabOnWatchlist</v>
      </c>
      <c r="C4" s="24" t="str">
        <f>IFERROR(__xludf.DUMMYFUNCTION("""COMPUTED_VALUE"""),"DeleteTabOnWatchlist")</f>
        <v>DeleteTabOnWatchlist</v>
      </c>
      <c r="D4" s="24" t="str">
        <f>IFERROR(__xludf.DUMMYFUNCTION("""COMPUTED_VALUE"""),"AddSymbolToWatchlist")</f>
        <v>AddSymbolToWatchlist</v>
      </c>
      <c r="E4" s="24" t="str">
        <f>IFERROR(__xludf.DUMMYFUNCTION("""COMPUTED_VALUE"""),"TradeFromWatchlist")</f>
        <v>TradeFromWatchlist</v>
      </c>
      <c r="F4" s="24" t="str">
        <f>IFERROR(__xludf.DUMMYFUNCTION("""COMPUTED_VALUE"""),"MultiTradeFromWatchlist")</f>
        <v>MultiTradeFromWatchlist</v>
      </c>
      <c r="G4" s="24" t="str">
        <f>IFERROR(__xludf.DUMMYFUNCTION("""COMPUTED_VALUE"""),"DeleteSymbolFromWatchlist")</f>
        <v>DeleteSymbolFromWatchlist</v>
      </c>
      <c r="H4" s="24" t="str">
        <f>IFERROR(__xludf.DUMMYFUNCTION("""COMPUTED_VALUE"""),"VerifySymbolsOnWatchlist")</f>
        <v>VerifySymbolsOnWatchlist</v>
      </c>
      <c r="I4" s="24" t="str">
        <f>IFERROR(__xludf.DUMMYFUNCTION("""COMPUTED_VALUE"""),"OpenPTTFromWatchlist")</f>
        <v>OpenPTTFromWatchlist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19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17</v>
      </c>
      <c r="C7" s="12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TradeFromWatchlist1!$4:$4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IFERROR(__xludf.DUMMYFUNCTION("""COMPUTED_VALUE"""),"FX Operator")</f>
        <v>FX Operator</v>
      </c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19</v>
      </c>
      <c r="D6" s="12">
        <v>200.0</v>
      </c>
      <c r="E6" s="30"/>
      <c r="F6" s="8"/>
      <c r="G6" s="8"/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