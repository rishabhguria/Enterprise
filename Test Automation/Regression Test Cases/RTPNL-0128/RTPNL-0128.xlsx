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OpenRTPNL" sheetId="5" r:id="rId7"/>
    <sheet state="visible" name="ApplyColumnFilter" sheetId="6" r:id="rId8"/>
    <sheet state="visible" name="CheckRealTimeSymAccountMonitor" sheetId="7" r:id="rId9"/>
    <sheet state="visible" name="CheckRealTimeSymAccountMonitor1" sheetId="8" r:id="rId10"/>
    <sheet state="visible" name="ApplyColumnFilter2" sheetId="9" r:id="rId11"/>
    <sheet state="visible" name="ApplyColumnFilter1" sheetId="10" r:id="rId12"/>
    <sheet state="visible" name="CheckRealTimeSymAccountMonitor2" sheetId="11" r:id="rId13"/>
    <sheet state="visible" name="ApplyColumnFilter8" sheetId="12" r:id="rId14"/>
    <sheet state="visible" name="CheckRealTimeSymAccountMonitor3" sheetId="13" r:id="rId15"/>
    <sheet state="visible" name="OpenRTPNL1" sheetId="14" r:id="rId16"/>
    <sheet state="visible" name="ApplyColumnFilter3" sheetId="15" r:id="rId17"/>
    <sheet state="visible" name="CheckRealTimeSymbolFundMonitor" sheetId="16" r:id="rId18"/>
    <sheet state="visible" name="OpenRTPNL2" sheetId="17" r:id="rId19"/>
    <sheet state="visible" name="ApplyColumnFilter4" sheetId="18" r:id="rId20"/>
    <sheet state="visible" name="CheckSymbolLevelAggregation" sheetId="19" r:id="rId21"/>
    <sheet state="visible" name="OpenRTPNL3" sheetId="20" r:id="rId22"/>
    <sheet state="visible" name="ApplyColumnFilter5" sheetId="21" r:id="rId23"/>
    <sheet state="visible" name="CheckAccountLevelAggregation" sheetId="22" r:id="rId24"/>
    <sheet state="visible" name="OpenRTPNL4" sheetId="23" r:id="rId25"/>
    <sheet state="visible" name="ApplyColumnFilter6" sheetId="24" r:id="rId26"/>
    <sheet state="visible" name="CheckFundLevelAggregation" sheetId="25" r:id="rId27"/>
    <sheet state="visible" name="OpenRTPNL5" sheetId="26" r:id="rId28"/>
    <sheet state="visible" name="AddWidget" sheetId="27" r:id="rId29"/>
    <sheet state="visible" name="CreateGroupingWidget" sheetId="28" r:id="rId30"/>
    <sheet state="visible" name="ApplyColumnFilter7" sheetId="29" r:id="rId31"/>
    <sheet state="visible" name="CheckGroupingWidget" sheetId="30" r:id="rId32"/>
    <sheet state="visible" name="CloseRTPNL" sheetId="31" r:id="rId33"/>
  </sheets>
  <definedNames/>
  <calcPr/>
</workbook>
</file>

<file path=xl/sharedStrings.xml><?xml version="1.0" encoding="utf-8"?>
<sst xmlns="http://schemas.openxmlformats.org/spreadsheetml/2006/main" count="382" uniqueCount="90">
  <si>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</si>
  <si>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</si>
  <si>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</si>
  <si>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</si>
  <si>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</si>
  <si>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</si>
  <si>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</si>
  <si>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</si>
  <si>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</si>
  <si>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</si>
  <si>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</si>
  <si>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</si>
  <si>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</si>
  <si>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</si>
  <si>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</si>
  <si>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</si>
  <si>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</si>
  <si>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</si>
  <si>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Allocation1</t>
  </si>
  <si>
    <t>Buy</t>
  </si>
  <si>
    <t>GOOG</t>
  </si>
  <si>
    <t>Allocation2</t>
  </si>
  <si>
    <t>FRU-TC</t>
  </si>
  <si>
    <t>Allocation3</t>
  </si>
  <si>
    <t>NFLX</t>
  </si>
  <si>
    <t>Allocation11</t>
  </si>
  <si>
    <t>AMZN</t>
  </si>
  <si>
    <t>Allocation4</t>
  </si>
  <si>
    <t>SAP</t>
  </si>
  <si>
    <t>Allocation5</t>
  </si>
  <si>
    <t>MSFT</t>
  </si>
  <si>
    <t>Allocation6</t>
  </si>
  <si>
    <t>IBM</t>
  </si>
  <si>
    <t>Allocation7</t>
  </si>
  <si>
    <t>RTPNL</t>
  </si>
  <si>
    <t>OpenRTPNL</t>
  </si>
  <si>
    <t>Nirvana,PM</t>
  </si>
  <si>
    <t>RealTimeSymAccountMonitor</t>
  </si>
  <si>
    <t>ApplyColumnFilter</t>
  </si>
  <si>
    <t>Position</t>
  </si>
  <si>
    <t>Equals</t>
  </si>
  <si>
    <t>OR</t>
  </si>
  <si>
    <t>CheckRealTimeSymAccountMonitor</t>
  </si>
  <si>
    <t>GOOGLE-A</t>
  </si>
  <si>
    <t>NewMF1</t>
  </si>
  <si>
    <t>MICROSOFT INC</t>
  </si>
  <si>
    <t>NewMF3</t>
  </si>
  <si>
    <t>NewMF</t>
  </si>
  <si>
    <t>NETFLIX</t>
  </si>
  <si>
    <t>NewMF4</t>
  </si>
  <si>
    <t>APPLE</t>
  </si>
  <si>
    <t>AMAZON.COM</t>
  </si>
  <si>
    <t>Greater than</t>
  </si>
  <si>
    <t>AND</t>
  </si>
  <si>
    <t>Does not equal</t>
  </si>
  <si>
    <t>Greater than or equal to</t>
  </si>
  <si>
    <t>RealTimeSymbolFundMonitor</t>
  </si>
  <si>
    <t>Less than</t>
  </si>
  <si>
    <t>CheckRealTimeSymbolFundMonitor</t>
  </si>
  <si>
    <t>SymbolLevelAggregation</t>
  </si>
  <si>
    <t>Less than or equal to</t>
  </si>
  <si>
    <t>CheckSymbolLevelAggregation</t>
  </si>
  <si>
    <t>AccountLevelAggregation</t>
  </si>
  <si>
    <t>Market Value</t>
  </si>
  <si>
    <t>Between</t>
  </si>
  <si>
    <t>CheckAccountLevelAggregation</t>
  </si>
  <si>
    <t>NewM3</t>
  </si>
  <si>
    <t>FundLevelAggregation</t>
  </si>
  <si>
    <t>Blank</t>
  </si>
  <si>
    <t>CheckFundLevelAggregation</t>
  </si>
  <si>
    <t>Nirvana</t>
  </si>
  <si>
    <t>GroupingWidget</t>
  </si>
  <si>
    <t>AddWidget</t>
  </si>
  <si>
    <t>Grouping</t>
  </si>
  <si>
    <t>Symbol</t>
  </si>
  <si>
    <t>CreateGroupingWidget</t>
  </si>
  <si>
    <t>Chip 1</t>
  </si>
  <si>
    <t>Chip 2</t>
  </si>
  <si>
    <t>Chip 3</t>
  </si>
  <si>
    <t>MakeColumFavourite</t>
  </si>
  <si>
    <t>MakeColumnUnfavourite</t>
  </si>
  <si>
    <t>ColumnsToAdd</t>
  </si>
  <si>
    <t>Verify Chip Values</t>
  </si>
  <si>
    <t>NextAction</t>
  </si>
  <si>
    <t>VerifyActionButtonVisibility</t>
  </si>
  <si>
    <t>Create</t>
  </si>
  <si>
    <t>Not blank</t>
  </si>
  <si>
    <t>CheckGroupingWidget</t>
  </si>
  <si>
    <t>CloseRTPNL</t>
  </si>
  <si>
    <t>Discard 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</si>
</sst>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0000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amazon.com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amazon.com/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amazon.com/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http://amazon.com/" TargetMode="External"/><Relationship Id="rId2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2.0</v>
      </c>
      <c r="E6" s="12" t="s">
        <v>17</v>
      </c>
      <c r="F6" s="8"/>
      <c r="G6" s="8"/>
      <c r="H6" s="8"/>
      <c r="I6" s="12" t="s">
        <v>18</v>
      </c>
      <c r="J6" s="12" t="s">
        <v>19</v>
      </c>
      <c r="K6" s="8"/>
      <c r="L6" s="8"/>
      <c r="M6" s="8"/>
      <c r="N6" s="8"/>
      <c r="O6" s="8"/>
    </row>
    <row r="7" ht="15.75" customHeight="1">
      <c r="A7" s="8"/>
      <c r="B7" s="12" t="s">
        <v>20</v>
      </c>
      <c r="C7" s="12">
        <v>50.0</v>
      </c>
      <c r="D7" s="12">
        <v>5.0</v>
      </c>
      <c r="E7" s="12" t="s">
        <v>17</v>
      </c>
      <c r="F7" s="8"/>
      <c r="G7" s="8"/>
      <c r="H7" s="8"/>
      <c r="I7" s="12" t="s">
        <v>21</v>
      </c>
      <c r="J7" s="12" t="s">
        <v>19</v>
      </c>
      <c r="K7" s="8"/>
      <c r="L7" s="8"/>
      <c r="M7" s="8"/>
      <c r="N7" s="8"/>
      <c r="O7" s="8"/>
    </row>
    <row r="8" ht="15.75" customHeight="1">
      <c r="A8" s="8"/>
      <c r="B8" s="12" t="s">
        <v>22</v>
      </c>
      <c r="C8" s="12">
        <v>70.0</v>
      </c>
      <c r="D8" s="12">
        <v>8.0</v>
      </c>
      <c r="E8" s="12" t="s">
        <v>17</v>
      </c>
      <c r="F8" s="8"/>
      <c r="G8" s="8"/>
      <c r="H8" s="8"/>
      <c r="I8" s="12" t="s">
        <v>23</v>
      </c>
      <c r="J8" s="12" t="s">
        <v>19</v>
      </c>
      <c r="K8" s="8"/>
      <c r="L8" s="8"/>
      <c r="M8" s="8"/>
      <c r="N8" s="8"/>
      <c r="O8" s="8"/>
    </row>
    <row r="9" ht="15.75" customHeight="1">
      <c r="A9" s="8"/>
      <c r="B9" s="12" t="s">
        <v>24</v>
      </c>
      <c r="C9" s="12">
        <v>500.0</v>
      </c>
      <c r="D9" s="12">
        <v>3.0</v>
      </c>
      <c r="E9" s="12" t="s">
        <v>17</v>
      </c>
      <c r="F9" s="8"/>
      <c r="G9" s="8"/>
      <c r="H9" s="8"/>
      <c r="I9" s="12" t="s">
        <v>25</v>
      </c>
      <c r="J9" s="12" t="s">
        <v>19</v>
      </c>
      <c r="K9" s="8"/>
      <c r="L9" s="8"/>
      <c r="M9" s="8"/>
      <c r="N9" s="8"/>
      <c r="O9" s="8"/>
    </row>
    <row r="10" ht="15.75" customHeight="1">
      <c r="A10" s="8"/>
      <c r="B10" s="12" t="s">
        <v>26</v>
      </c>
      <c r="C10" s="12">
        <v>200.0</v>
      </c>
      <c r="D10" s="12">
        <v>2.0</v>
      </c>
      <c r="E10" s="12" t="s">
        <v>17</v>
      </c>
      <c r="F10" s="8"/>
      <c r="G10" s="8"/>
      <c r="H10" s="8"/>
      <c r="I10" s="12" t="s">
        <v>27</v>
      </c>
      <c r="J10" s="12" t="s">
        <v>19</v>
      </c>
      <c r="K10" s="8"/>
      <c r="L10" s="8"/>
      <c r="M10" s="8"/>
      <c r="N10" s="8"/>
      <c r="O10" s="8"/>
    </row>
    <row r="11" ht="15.75" customHeight="1">
      <c r="A11" s="8"/>
      <c r="B11" s="12" t="s">
        <v>28</v>
      </c>
      <c r="C11" s="12">
        <v>75.0</v>
      </c>
      <c r="D11" s="12">
        <v>5.0</v>
      </c>
      <c r="E11" s="12" t="s">
        <v>17</v>
      </c>
      <c r="F11" s="8"/>
      <c r="G11" s="8"/>
      <c r="H11" s="8"/>
      <c r="I11" s="12" t="s">
        <v>29</v>
      </c>
      <c r="J11" s="12" t="s">
        <v>19</v>
      </c>
      <c r="K11" s="8"/>
      <c r="L11" s="8"/>
      <c r="M11" s="8"/>
      <c r="N11" s="8"/>
      <c r="O11" s="8"/>
    </row>
    <row r="12" ht="15.75" customHeight="1">
      <c r="A12" s="8"/>
      <c r="B12" s="12" t="s">
        <v>30</v>
      </c>
      <c r="C12" s="12">
        <v>10.0</v>
      </c>
      <c r="D12" s="12">
        <v>8.0</v>
      </c>
      <c r="E12" s="12" t="s">
        <v>17</v>
      </c>
      <c r="F12" s="8"/>
      <c r="G12" s="8"/>
      <c r="H12" s="8"/>
      <c r="I12" s="12" t="s">
        <v>31</v>
      </c>
      <c r="J12" s="12" t="s">
        <v>19</v>
      </c>
      <c r="K12" s="8"/>
      <c r="L12" s="8"/>
      <c r="M12" s="8"/>
      <c r="N12" s="8"/>
      <c r="O12" s="8"/>
    </row>
    <row r="13" ht="15.75" customHeight="1">
      <c r="A13" s="8"/>
      <c r="B13" s="12" t="s">
        <v>32</v>
      </c>
      <c r="C13" s="12">
        <v>5.0</v>
      </c>
      <c r="D13" s="12">
        <v>3.0</v>
      </c>
      <c r="E13" s="12" t="s">
        <v>17</v>
      </c>
      <c r="F13" s="8"/>
      <c r="G13" s="8"/>
      <c r="H13" s="8"/>
      <c r="I13" s="12" t="s">
        <v>33</v>
      </c>
      <c r="J13" s="12" t="s">
        <v>19</v>
      </c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12" t="s">
        <v>37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IFERROR(__xludf.DUMMYFUNCTION("""COMPUTED_VALUE"""),"Column")</f>
        <v>Column</v>
      </c>
      <c r="C5" s="27" t="str">
        <f>IFERROR(__xludf.DUMMYFUNCTION("""COMPUTED_VALUE"""),"FilterType1")</f>
        <v>FilterType1</v>
      </c>
      <c r="D5" s="27" t="str">
        <f>IFERROR(__xludf.DUMMYFUNCTION("""COMPUTED_VALUE"""),"Input1")</f>
        <v>Input1</v>
      </c>
      <c r="E5" s="27" t="str">
        <f>IFERROR(__xludf.DUMMYFUNCTION("""COMPUTED_VALUE"""),"AND/OR")</f>
        <v>AND/OR</v>
      </c>
      <c r="F5" s="28" t="str">
        <f>IFERROR(__xludf.DUMMYFUNCTION("""COMPUTED_VALUE"""),"FilterType2")</f>
        <v>FilterType2</v>
      </c>
      <c r="G5" s="27" t="str">
        <f>IFERROR(__xludf.DUMMYFUNCTION("""COMPUTED_VALUE"""),"Input2")</f>
        <v>Input2</v>
      </c>
      <c r="H5" s="27" t="str">
        <f>IFERROR(__xludf.DUMMYFUNCTION("""COMPUTED_VALUE"""),"WindowName")</f>
        <v>WindowName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9" t="s">
        <v>40</v>
      </c>
      <c r="D6" s="12">
        <v>10.0</v>
      </c>
      <c r="E6" s="12" t="s">
        <v>41</v>
      </c>
      <c r="F6" s="9" t="s">
        <v>40</v>
      </c>
      <c r="G6" s="12">
        <v>50.0</v>
      </c>
      <c r="H6" s="12" t="s">
        <v>37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ApplyColumnFilter!$4:$4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43</v>
      </c>
      <c r="D6" s="12" t="s">
        <v>44</v>
      </c>
      <c r="E6" s="12" t="s">
        <v>21</v>
      </c>
      <c r="F6" s="8"/>
      <c r="G6" s="12">
        <v>50.0</v>
      </c>
      <c r="H6" s="8"/>
      <c r="I6" s="12">
        <v>5.0</v>
      </c>
      <c r="J6" s="12">
        <v>5.0</v>
      </c>
      <c r="K6" s="8"/>
      <c r="L6" s="8"/>
      <c r="M6" s="8"/>
      <c r="N6" s="8"/>
      <c r="O6" s="8"/>
    </row>
    <row r="7" ht="15.75" customHeight="1">
      <c r="A7" s="8"/>
      <c r="B7" s="12" t="s">
        <v>30</v>
      </c>
      <c r="C7" s="12" t="s">
        <v>45</v>
      </c>
      <c r="D7" s="12" t="s">
        <v>46</v>
      </c>
      <c r="E7" s="12" t="s">
        <v>31</v>
      </c>
      <c r="F7" s="8"/>
      <c r="G7" s="12">
        <v>10.0</v>
      </c>
      <c r="H7" s="8"/>
      <c r="I7" s="12">
        <v>8.0</v>
      </c>
      <c r="J7" s="12">
        <v>8.0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CheckRealTimeSymAccountMonitor!$4:$4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22</v>
      </c>
      <c r="D6" s="12" t="s">
        <v>47</v>
      </c>
      <c r="E6" s="12" t="s">
        <v>23</v>
      </c>
      <c r="F6" s="8"/>
      <c r="G6" s="12">
        <v>70.0</v>
      </c>
      <c r="H6" s="8"/>
      <c r="I6" s="12">
        <v>8.0</v>
      </c>
      <c r="J6" s="12">
        <v>8.0</v>
      </c>
      <c r="K6" s="8"/>
      <c r="L6" s="8"/>
      <c r="M6" s="8"/>
      <c r="N6" s="8"/>
      <c r="O6" s="8"/>
    </row>
    <row r="7" ht="15.75" customHeight="1">
      <c r="A7" s="8"/>
      <c r="B7" s="12" t="s">
        <v>24</v>
      </c>
      <c r="C7" s="12" t="s">
        <v>48</v>
      </c>
      <c r="D7" s="12" t="s">
        <v>49</v>
      </c>
      <c r="E7" s="12" t="s">
        <v>25</v>
      </c>
      <c r="F7" s="8"/>
      <c r="G7" s="12">
        <v>500.0</v>
      </c>
      <c r="H7" s="8"/>
      <c r="I7" s="12">
        <v>3.0</v>
      </c>
      <c r="J7" s="12">
        <v>3.0</v>
      </c>
      <c r="K7" s="8"/>
      <c r="L7" s="8"/>
      <c r="M7" s="8"/>
      <c r="N7" s="8"/>
      <c r="O7" s="8"/>
    </row>
    <row r="8" ht="15.75" customHeight="1">
      <c r="A8" s="8"/>
      <c r="B8" s="12" t="s">
        <v>16</v>
      </c>
      <c r="C8" s="12" t="s">
        <v>50</v>
      </c>
      <c r="D8" s="12" t="s">
        <v>47</v>
      </c>
      <c r="E8" s="12" t="s">
        <v>18</v>
      </c>
      <c r="F8" s="8"/>
      <c r="G8" s="12">
        <v>100.0</v>
      </c>
      <c r="H8" s="8"/>
      <c r="I8" s="12">
        <v>2.0</v>
      </c>
      <c r="J8" s="12">
        <v>2.0</v>
      </c>
      <c r="K8" s="8"/>
      <c r="L8" s="8"/>
      <c r="M8" s="8"/>
      <c r="N8" s="8"/>
      <c r="O8" s="8"/>
    </row>
    <row r="9" ht="15.75" customHeight="1">
      <c r="A9" s="8"/>
      <c r="B9" s="12" t="s">
        <v>26</v>
      </c>
      <c r="C9" s="31" t="s">
        <v>51</v>
      </c>
      <c r="D9" s="12" t="s">
        <v>44</v>
      </c>
      <c r="E9" s="12" t="s">
        <v>27</v>
      </c>
      <c r="F9" s="8"/>
      <c r="G9" s="12">
        <v>200.0</v>
      </c>
      <c r="H9" s="8"/>
      <c r="I9" s="12">
        <v>2.0</v>
      </c>
      <c r="J9" s="12">
        <v>2.0</v>
      </c>
      <c r="K9" s="8"/>
      <c r="L9" s="8"/>
      <c r="M9" s="8"/>
      <c r="N9" s="8"/>
      <c r="O9" s="8"/>
    </row>
    <row r="10" ht="15.75" customHeight="1">
      <c r="A10" s="8"/>
      <c r="B10" s="12" t="s">
        <v>28</v>
      </c>
      <c r="C10" s="8"/>
      <c r="D10" s="12" t="s">
        <v>46</v>
      </c>
      <c r="E10" s="12" t="s">
        <v>29</v>
      </c>
      <c r="F10" s="8"/>
      <c r="G10" s="12">
        <v>75.0</v>
      </c>
      <c r="H10" s="8"/>
      <c r="I10" s="12">
        <v>5.0</v>
      </c>
      <c r="J10" s="12">
        <v>5.0</v>
      </c>
      <c r="K10" s="8"/>
      <c r="L10" s="8"/>
      <c r="M10" s="8"/>
      <c r="N10" s="8"/>
      <c r="O10" s="8"/>
    </row>
    <row r="11" ht="15.75" customHeight="1">
      <c r="A11" s="8"/>
      <c r="B11" s="12" t="s">
        <v>32</v>
      </c>
      <c r="C11" s="12" t="s">
        <v>32</v>
      </c>
      <c r="D11" s="12" t="s">
        <v>46</v>
      </c>
      <c r="E11" s="12" t="s">
        <v>33</v>
      </c>
      <c r="F11" s="8"/>
      <c r="G11" s="12">
        <v>5.0</v>
      </c>
      <c r="H11" s="8"/>
      <c r="I11" s="12">
        <v>3.0</v>
      </c>
      <c r="J11" s="12">
        <v>3.0</v>
      </c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CheckRealTimeSymAccountMonitor1!$4:$4</formula1>
    </dataValidation>
  </dataValidations>
  <hyperlinks>
    <hyperlink r:id="rId1" ref="C9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IFERROR(__xludf.DUMMYFUNCTION("""COMPUTED_VALUE"""),"Column")</f>
        <v>Column</v>
      </c>
      <c r="C5" s="27" t="str">
        <f>IFERROR(__xludf.DUMMYFUNCTION("""COMPUTED_VALUE"""),"FilterType1")</f>
        <v>FilterType1</v>
      </c>
      <c r="D5" s="27" t="str">
        <f>IFERROR(__xludf.DUMMYFUNCTION("""COMPUTED_VALUE"""),"Input1")</f>
        <v>Input1</v>
      </c>
      <c r="E5" s="27" t="str">
        <f>IFERROR(__xludf.DUMMYFUNCTION("""COMPUTED_VALUE"""),"AND/OR")</f>
        <v>AND/OR</v>
      </c>
      <c r="F5" s="28" t="str">
        <f>IFERROR(__xludf.DUMMYFUNCTION("""COMPUTED_VALUE"""),"FilterType2")</f>
        <v>FilterType2</v>
      </c>
      <c r="G5" s="27" t="str">
        <f>IFERROR(__xludf.DUMMYFUNCTION("""COMPUTED_VALUE"""),"Input2")</f>
        <v>Input2</v>
      </c>
      <c r="H5" s="27" t="str">
        <f>IFERROR(__xludf.DUMMYFUNCTION("""COMPUTED_VALUE"""),"WindowName")</f>
        <v>WindowName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9" t="s">
        <v>52</v>
      </c>
      <c r="D6" s="12">
        <v>100.0</v>
      </c>
      <c r="E6" s="12" t="s">
        <v>53</v>
      </c>
      <c r="F6" s="12" t="s">
        <v>54</v>
      </c>
      <c r="G6" s="12">
        <v>500.0</v>
      </c>
      <c r="H6" s="12" t="s">
        <v>37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ApplyColumnFilter2!$4:$4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IFERROR(__xludf.DUMMYFUNCTION("""COMPUTED_VALUE"""),"Column")</f>
        <v>Column</v>
      </c>
      <c r="C5" s="27" t="str">
        <f>IFERROR(__xludf.DUMMYFUNCTION("""COMPUTED_VALUE"""),"FilterType1")</f>
        <v>FilterType1</v>
      </c>
      <c r="D5" s="27" t="str">
        <f>IFERROR(__xludf.DUMMYFUNCTION("""COMPUTED_VALUE"""),"Input1")</f>
        <v>Input1</v>
      </c>
      <c r="E5" s="27" t="str">
        <f>IFERROR(__xludf.DUMMYFUNCTION("""COMPUTED_VALUE"""),"AND/OR")</f>
        <v>AND/OR</v>
      </c>
      <c r="F5" s="28" t="str">
        <f>IFERROR(__xludf.DUMMYFUNCTION("""COMPUTED_VALUE"""),"FilterType2")</f>
        <v>FilterType2</v>
      </c>
      <c r="G5" s="27" t="str">
        <f>IFERROR(__xludf.DUMMYFUNCTION("""COMPUTED_VALUE"""),"Input2")</f>
        <v>Input2</v>
      </c>
      <c r="H5" s="27" t="str">
        <f>IFERROR(__xludf.DUMMYFUNCTION("""COMPUTED_VALUE"""),"WindowName")</f>
        <v>WindowName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12" t="s">
        <v>54</v>
      </c>
      <c r="D6" s="12">
        <v>10.0</v>
      </c>
      <c r="E6" s="12" t="s">
        <v>53</v>
      </c>
      <c r="F6" s="12" t="s">
        <v>54</v>
      </c>
      <c r="G6" s="12">
        <v>50.0</v>
      </c>
      <c r="H6" s="12" t="s">
        <v>37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ApplyColumnFilter1!$4:$4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31" t="s">
        <v>51</v>
      </c>
      <c r="D6" s="12" t="s">
        <v>44</v>
      </c>
      <c r="E6" s="12" t="s">
        <v>27</v>
      </c>
      <c r="F6" s="8"/>
      <c r="G6" s="12">
        <v>200.0</v>
      </c>
      <c r="H6" s="8"/>
      <c r="I6" s="12">
        <v>2.0</v>
      </c>
      <c r="J6" s="12">
        <v>2.0</v>
      </c>
      <c r="K6" s="12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CheckRealTimeSymAccountMonitor2!$4:$4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C6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IFERROR(__xludf.DUMMYFUNCTION("""COMPUTED_VALUE"""),"Column")</f>
        <v>Column</v>
      </c>
      <c r="C5" s="27" t="str">
        <f>IFERROR(__xludf.DUMMYFUNCTION("""COMPUTED_VALUE"""),"FilterType1")</f>
        <v>FilterType1</v>
      </c>
      <c r="D5" s="27" t="str">
        <f>IFERROR(__xludf.DUMMYFUNCTION("""COMPUTED_VALUE"""),"Input1")</f>
        <v>Input1</v>
      </c>
      <c r="E5" s="27" t="str">
        <f>IFERROR(__xludf.DUMMYFUNCTION("""COMPUTED_VALUE"""),"AND/OR")</f>
        <v>AND/OR</v>
      </c>
      <c r="F5" s="28" t="str">
        <f>IFERROR(__xludf.DUMMYFUNCTION("""COMPUTED_VALUE"""),"FilterType2")</f>
        <v>FilterType2</v>
      </c>
      <c r="G5" s="27" t="str">
        <f>IFERROR(__xludf.DUMMYFUNCTION("""COMPUTED_VALUE"""),"Input2")</f>
        <v>Input2</v>
      </c>
      <c r="H5" s="27" t="str">
        <f>IFERROR(__xludf.DUMMYFUNCTION("""COMPUTED_VALUE"""),"WindowName")</f>
        <v>WindowName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9" t="s">
        <v>55</v>
      </c>
      <c r="D6" s="12">
        <v>100.0</v>
      </c>
      <c r="E6" s="12" t="s">
        <v>53</v>
      </c>
      <c r="F6" s="12" t="s">
        <v>54</v>
      </c>
      <c r="G6" s="12">
        <v>500.0</v>
      </c>
      <c r="H6" s="12" t="s">
        <v>37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ApplyColumnFilter8!$4:$4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50</v>
      </c>
      <c r="D6" s="12" t="s">
        <v>47</v>
      </c>
      <c r="E6" s="12" t="s">
        <v>18</v>
      </c>
      <c r="F6" s="8"/>
      <c r="G6" s="12">
        <v>100.0</v>
      </c>
      <c r="H6" s="8"/>
      <c r="I6" s="12">
        <v>2.0</v>
      </c>
      <c r="J6" s="12">
        <v>2.0</v>
      </c>
      <c r="K6" s="12"/>
      <c r="L6" s="8"/>
      <c r="M6" s="8"/>
      <c r="N6" s="8"/>
      <c r="O6" s="8"/>
    </row>
    <row r="7" ht="15.75" customHeight="1">
      <c r="A7" s="8"/>
      <c r="B7" s="12" t="s">
        <v>26</v>
      </c>
      <c r="C7" s="31" t="s">
        <v>51</v>
      </c>
      <c r="D7" s="12" t="s">
        <v>44</v>
      </c>
      <c r="E7" s="12" t="s">
        <v>27</v>
      </c>
      <c r="F7" s="8"/>
      <c r="G7" s="12">
        <v>200.0</v>
      </c>
      <c r="H7" s="8"/>
      <c r="I7" s="12">
        <v>2.0</v>
      </c>
      <c r="J7" s="12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CheckRealTimeSymAccountMonitor3!$4:$4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C7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12" t="s">
        <v>56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IFERROR(__xludf.DUMMYFUNCTION("""COMPUTED_VALUE"""),"Column")</f>
        <v>Column</v>
      </c>
      <c r="C5" s="27" t="str">
        <f>IFERROR(__xludf.DUMMYFUNCTION("""COMPUTED_VALUE"""),"FilterType1")</f>
        <v>FilterType1</v>
      </c>
      <c r="D5" s="27" t="str">
        <f>IFERROR(__xludf.DUMMYFUNCTION("""COMPUTED_VALUE"""),"Input1")</f>
        <v>Input1</v>
      </c>
      <c r="E5" s="27" t="str">
        <f>IFERROR(__xludf.DUMMYFUNCTION("""COMPUTED_VALUE"""),"AND/OR")</f>
        <v>AND/OR</v>
      </c>
      <c r="F5" s="28" t="str">
        <f>IFERROR(__xludf.DUMMYFUNCTION("""COMPUTED_VALUE"""),"FilterType2")</f>
        <v>FilterType2</v>
      </c>
      <c r="G5" s="27" t="str">
        <f>IFERROR(__xludf.DUMMYFUNCTION("""COMPUTED_VALUE"""),"Input2")</f>
        <v>Input2</v>
      </c>
      <c r="H5" s="27" t="str">
        <f>IFERROR(__xludf.DUMMYFUNCTION("""COMPUTED_VALUE"""),"WindowName")</f>
        <v>WindowName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9" t="s">
        <v>57</v>
      </c>
      <c r="D6" s="12">
        <v>100.0</v>
      </c>
      <c r="E6" s="12" t="s">
        <v>53</v>
      </c>
      <c r="F6" s="9" t="s">
        <v>52</v>
      </c>
      <c r="G6" s="12">
        <v>50.0</v>
      </c>
      <c r="H6" s="12" t="s">
        <v>56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ApplyColumnFilter3!$4:$4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IFERROR(__xludf.DUMMYFUNCTION("""COMPUTED_VALUE"""),"Asset Class")</f>
        <v>Asset Class</v>
      </c>
      <c r="F5" s="28" t="str">
        <f>IFERROR(__xludf.DUMMYFUNCTION("""COMPUTED_VALUE"""),"Position")</f>
        <v>Position</v>
      </c>
      <c r="G5" s="27" t="str">
        <f>IFERROR(__xludf.DUMMYFUNCTION("""COMPUTED_VALUE"""),"Position Side")</f>
        <v>Position Side</v>
      </c>
      <c r="H5" s="27" t="str">
        <f>IFERROR(__xludf.DUMMYFUNCTION("""COMPUTED_VALUE"""),"Px Selected Feed (Local)")</f>
        <v>Px Selected Feed (Local)</v>
      </c>
      <c r="I5" s="27" t="str">
        <f>IFERROR(__xludf.DUMMYFUNCTION("""COMPUTED_VALUE"""),"Px Selected Feed (Base)")</f>
        <v>Px Selected Feed (Base)</v>
      </c>
      <c r="J5" s="27" t="str">
        <f>IFERROR(__xludf.DUMMYFUNCTION("""COMPUTED_VALUE"""),"Market Value (Base)")</f>
        <v>Market Value (Base)</v>
      </c>
      <c r="K5" s="27" t="str">
        <f>IFERROR(__xludf.DUMMYFUNCTION("""COMPUTED_VALUE"""),"% Net Market Value (Base)")</f>
        <v>% Net Market Value (Base)</v>
      </c>
      <c r="L5" s="27" t="str">
        <f>IFERROR(__xludf.DUMMYFUNCTION("""COMPUTED_VALUE"""),"Cost Basis P&amp;L (Base)")</f>
        <v>Cost Basis P&amp;L (Base)</v>
      </c>
      <c r="M5" s="27" t="str">
        <f>IFERROR(__xludf.DUMMYFUNCTION("""COMPUTED_VALUE"""),"% Gain/Loss Cost")</f>
        <v>% Gain/Loss Cost</v>
      </c>
      <c r="N5" s="27" t="str">
        <f>IFERROR(__xludf.DUMMYFUNCTION("""COMPUTED_VALUE"""),"Day P&amp;L (Base)")</f>
        <v>Day P&amp;L (Base)</v>
      </c>
      <c r="O5" s="27" t="str">
        <f>IFERROR(__xludf.DUMMYFUNCTION("""COMPUTED_VALUE"""),"% Gain/Loss Day")</f>
        <v>% Gain/Loss Day</v>
      </c>
      <c r="P5" s="27" t="str">
        <f>IFERROR(__xludf.DUMMYFUNCTION("""COMPUTED_VALUE"""),"Exposure (Base)")</f>
        <v>Exposure (Base)</v>
      </c>
      <c r="Q5" s="27" t="str">
        <f>IFERROR(__xludf.DUMMYFUNCTION("""COMPUTED_VALUE"""),"% Exposure (Base)")</f>
        <v>% Exposure (Base)</v>
      </c>
      <c r="R5" s="27" t="str">
        <f>IFERROR(__xludf.DUMMYFUNCTION("""COMPUTED_VALUE"""),"Live Feed Provider Ticker")</f>
        <v>Live Feed Provider Ticker</v>
      </c>
      <c r="S5" s="27" t="str">
        <f>IFERROR(__xludf.DUMMYFUNCTION("""COMPUTED_VALUE"""),"Testing Type")</f>
        <v>Testing Type</v>
      </c>
      <c r="T5" s="29" t="str">
        <f>IFERROR(__xludf.DUMMYFUNCTION("""COMPUTED_VALUE"""),"Testing Column")</f>
        <v>Testing Column</v>
      </c>
      <c r="U5" s="29" t="str">
        <f>IFERROR(__xludf.DUMMYFUNCTION("""COMPUTED_VALUE"""),"Testing Col Value")</f>
        <v>Testing Col Value</v>
      </c>
      <c r="V5" s="29" t="str">
        <f>IFERROR(__xludf.DUMMYFUNCTION("""COMPUTED_VALUE"""),"DuplicateCountOnUI")</f>
        <v>DuplicateCountOnUI</v>
      </c>
      <c r="W5" s="29" t="str">
        <f>IFERROR(__xludf.DUMMYFUNCTION("""COMPUTED_VALUE"""),"DuplicateRow")</f>
        <v>DuplicateRow</v>
      </c>
      <c r="X5" s="29" t="str">
        <f>IFERROR(__xludf.DUMMYFUNCTION("""COMPUTED_VALUE"""),"TabName")</f>
        <v>TabName</v>
      </c>
      <c r="Y5" s="29" t="str">
        <f>IFERROR(__xludf.DUMMYFUNCTION("""COMPUTED_VALUE"""),"GridDataWidgetName")</f>
        <v>GridDataWidgetName</v>
      </c>
      <c r="Z5" s="29" t="str">
        <f>IFERROR(__xludf.DUMMYFUNCTION("""COMPUTED_VALUE"""),"Bloomberg Symbol")</f>
        <v>Bloomberg Symbol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22</v>
      </c>
      <c r="D6" s="12" t="s">
        <v>47</v>
      </c>
      <c r="E6" s="30"/>
      <c r="F6" s="12">
        <v>70.0</v>
      </c>
      <c r="G6" s="8"/>
      <c r="H6" s="12">
        <v>8.0</v>
      </c>
      <c r="I6" s="12">
        <v>8.0</v>
      </c>
      <c r="J6" s="8"/>
      <c r="K6" s="8"/>
      <c r="L6" s="8"/>
      <c r="M6" s="8"/>
      <c r="N6" s="8"/>
      <c r="O6" s="8"/>
    </row>
    <row r="7" ht="15.75" customHeight="1">
      <c r="A7" s="8"/>
      <c r="B7" s="12" t="s">
        <v>28</v>
      </c>
      <c r="C7" s="12"/>
      <c r="D7" s="12" t="s">
        <v>46</v>
      </c>
      <c r="E7" s="8"/>
      <c r="F7" s="12">
        <v>75.0</v>
      </c>
      <c r="G7" s="8"/>
      <c r="H7" s="12">
        <v>5.0</v>
      </c>
      <c r="I7" s="12">
        <v>5.0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CheckRealTimeSymbolFundMonitor!$4:$4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12" t="s">
        <v>59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IFERROR(__xludf.DUMMYFUNCTION("""COMPUTED_VALUE"""),"Column")</f>
        <v>Column</v>
      </c>
      <c r="C5" s="27" t="str">
        <f>IFERROR(__xludf.DUMMYFUNCTION("""COMPUTED_VALUE"""),"FilterType1")</f>
        <v>FilterType1</v>
      </c>
      <c r="D5" s="27" t="str">
        <f>IFERROR(__xludf.DUMMYFUNCTION("""COMPUTED_VALUE"""),"Input1")</f>
        <v>Input1</v>
      </c>
      <c r="E5" s="27" t="str">
        <f>IFERROR(__xludf.DUMMYFUNCTION("""COMPUTED_VALUE"""),"AND/OR")</f>
        <v>AND/OR</v>
      </c>
      <c r="F5" s="28" t="str">
        <f>IFERROR(__xludf.DUMMYFUNCTION("""COMPUTED_VALUE"""),"FilterType2")</f>
        <v>FilterType2</v>
      </c>
      <c r="G5" s="27" t="str">
        <f>IFERROR(__xludf.DUMMYFUNCTION("""COMPUTED_VALUE"""),"Input2")</f>
        <v>Input2</v>
      </c>
      <c r="H5" s="27" t="str">
        <f>IFERROR(__xludf.DUMMYFUNCTION("""COMPUTED_VALUE"""),"WindowName")</f>
        <v>WindowName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9" t="s">
        <v>60</v>
      </c>
      <c r="D6" s="12">
        <v>100.0</v>
      </c>
      <c r="E6" s="12" t="s">
        <v>53</v>
      </c>
      <c r="F6" s="9" t="s">
        <v>52</v>
      </c>
      <c r="G6" s="12">
        <v>50.0</v>
      </c>
      <c r="H6" s="12" t="s">
        <v>59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ApplyColumnFilter4!$4:$4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IFERROR(__xludf.DUMMYFUNCTION("""COMPUTED_VALUE"""),"Position")</f>
        <v>Position</v>
      </c>
      <c r="E5" s="27" t="str">
        <f>IFERROR(__xludf.DUMMYFUNCTION("""COMPUTED_VALUE"""),"Market Value")</f>
        <v>Market Value</v>
      </c>
      <c r="F5" s="28" t="str">
        <f>IFERROR(__xludf.DUMMYFUNCTION("""COMPUTED_VALUE"""),"Day P&amp;L")</f>
        <v>Day P&amp;L</v>
      </c>
      <c r="G5" s="27" t="str">
        <f>IFERROR(__xludf.DUMMYFUNCTION("""COMPUTED_VALUE"""),"Cost Basis P&amp;L")</f>
        <v>Cost Basis P&amp;L</v>
      </c>
      <c r="H5" s="27" t="str">
        <f>IFERROR(__xludf.DUMMYFUNCTION("""COMPUTED_VALUE"""),"Exposure")</f>
        <v>Exposure</v>
      </c>
      <c r="I5" s="27" t="str">
        <f>IFERROR(__xludf.DUMMYFUNCTION("""COMPUTED_VALUE"""),"% Gain/Loss Day")</f>
        <v>% Gain/Loss Day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IFERROR(__xludf.DUMMYFUNCTION("""COMPUTED_VALUE"""),"% Gain/Loss Cost")</f>
        <v>% Gain/Loss Cost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IFERROR(__xludf.DUMMYFUNCTION("""COMPUTED_VALUE"""),"% Net Market Value")</f>
        <v>% Net Market Value</v>
      </c>
      <c r="Q5" s="27" t="str">
        <f>IFERROR(__xludf.DUMMYFUNCTION("""COMPUTED_VALUE"""),"Testing Type")</f>
        <v>Testing Type</v>
      </c>
      <c r="R5" s="27" t="str">
        <f>IFERROR(__xludf.DUMMYFUNCTION("""COMPUTED_VALUE"""),"Testing Column")</f>
        <v>Testing Column</v>
      </c>
      <c r="S5" s="27" t="str">
        <f>IFERROR(__xludf.DUMMYFUNCTION("""COMPUTED_VALUE"""),"Testing Col Value")</f>
        <v>Testing Col Value</v>
      </c>
      <c r="T5" s="29" t="str">
        <f>IFERROR(__xludf.DUMMYFUNCTION("""COMPUTED_VALUE"""),"DuplicateCountOnUI")</f>
        <v>DuplicateCountOnUI</v>
      </c>
      <c r="U5" s="29" t="str">
        <f>IFERROR(__xludf.DUMMYFUNCTION("""COMPUTED_VALUE"""),"DuplicateRow")</f>
        <v>DuplicateRow</v>
      </c>
      <c r="V5" s="29" t="str">
        <f>IFERROR(__xludf.DUMMYFUNCTION("""COMPUTED_VALUE"""),"Bloomberg Symbol")</f>
        <v>Bloomberg Symbol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22</v>
      </c>
      <c r="D6" s="12">
        <v>70.0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 t="s">
        <v>50</v>
      </c>
      <c r="D7" s="12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28</v>
      </c>
      <c r="C8" s="8"/>
      <c r="D8" s="12">
        <v>75.0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CheckSymbolLevelAggregation!$4:$4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12" t="s">
        <v>62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IFERROR(__xludf.DUMMYFUNCTION("""COMPUTED_VALUE"""),"Column")</f>
        <v>Column</v>
      </c>
      <c r="C5" s="27" t="str">
        <f>IFERROR(__xludf.DUMMYFUNCTION("""COMPUTED_VALUE"""),"FilterType1")</f>
        <v>FilterType1</v>
      </c>
      <c r="D5" s="27" t="str">
        <f>IFERROR(__xludf.DUMMYFUNCTION("""COMPUTED_VALUE"""),"Input1")</f>
        <v>Input1</v>
      </c>
      <c r="E5" s="27" t="str">
        <f>IFERROR(__xludf.DUMMYFUNCTION("""COMPUTED_VALUE"""),"AND/OR")</f>
        <v>AND/OR</v>
      </c>
      <c r="F5" s="28" t="str">
        <f>IFERROR(__xludf.DUMMYFUNCTION("""COMPUTED_VALUE"""),"FilterType2")</f>
        <v>FilterType2</v>
      </c>
      <c r="G5" s="27" t="str">
        <f>IFERROR(__xludf.DUMMYFUNCTION("""COMPUTED_VALUE"""),"Input2")</f>
        <v>Input2</v>
      </c>
      <c r="H5" s="27" t="str">
        <f>IFERROR(__xludf.DUMMYFUNCTION("""COMPUTED_VALUE"""),"WindowName")</f>
        <v>WindowName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63</v>
      </c>
      <c r="C6" s="9" t="s">
        <v>64</v>
      </c>
      <c r="D6" s="12">
        <v>15.0</v>
      </c>
      <c r="E6" s="12" t="s">
        <v>53</v>
      </c>
      <c r="F6" s="12"/>
      <c r="G6" s="12">
        <v>400.0</v>
      </c>
      <c r="H6" s="12" t="s">
        <v>62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ApplyColumnFilter5!$4:$4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IFERROR(__xludf.DUMMYFUNCTION("""COMPUTED_VALUE"""),"Fund")</f>
        <v>Fund</v>
      </c>
      <c r="D5" s="27" t="str">
        <f>IFERROR(__xludf.DUMMYFUNCTION("""COMPUTED_VALUE"""),"Market Value")</f>
        <v>Market Value</v>
      </c>
      <c r="E5" s="27" t="str">
        <f>IFERROR(__xludf.DUMMYFUNCTION("""COMPUTED_VALUE"""),"P&amp;L")</f>
        <v>P&amp;L</v>
      </c>
      <c r="F5" s="28" t="str">
        <f>IFERROR(__xludf.DUMMYFUNCTION("""COMPUTED_VALUE"""),"Day P&amp;L")</f>
        <v>Day P&amp;L</v>
      </c>
      <c r="G5" s="27" t="str">
        <f>IFERROR(__xludf.DUMMYFUNCTION("""COMPUTED_VALUE"""),"Exposure")</f>
        <v>Exposure</v>
      </c>
      <c r="H5" s="27" t="str">
        <f>IFERROR(__xludf.DUMMYFUNCTION("""COMPUTED_VALUE"""),"% Gain/Loss Day")</f>
        <v>% Gain/Loss Day</v>
      </c>
      <c r="I5" s="27" t="str">
        <f>IFERROR(__xludf.DUMMYFUNCTION("""COMPUTED_VALUE"""),"% Gain/Loss Cost")</f>
        <v>% Gain/Loss Cost</v>
      </c>
      <c r="J5" s="27" t="str">
        <f>IFERROR(__xludf.DUMMYFUNCTION("""COMPUTED_VALUE"""),"% Market Value")</f>
        <v>% Market Value</v>
      </c>
      <c r="K5" s="27" t="str">
        <f>IFERROR(__xludf.DUMMYFUNCTION("""COMPUTED_VALUE"""),"% Exposure")</f>
        <v>% Exposure</v>
      </c>
      <c r="L5" s="27" t="str">
        <f>IFERROR(__xludf.DUMMYFUNCTION("""COMPUTED_VALUE"""),"Short Exposure")</f>
        <v>Short Exposure</v>
      </c>
      <c r="M5" s="27" t="str">
        <f>IFERROR(__xludf.DUMMYFUNCTION("""COMPUTED_VALUE"""),"% Short Exposure")</f>
        <v>% Short Exposure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IFERROR(__xludf.DUMMYFUNCTION("""COMPUTED_VALUE"""),"Accruals")</f>
        <v>Accruals</v>
      </c>
      <c r="Q5" s="27" t="str">
        <f>IFERROR(__xludf.DUMMYFUNCTION("""COMPUTED_VALUE"""),"Cash")</f>
        <v>Cash</v>
      </c>
      <c r="R5" s="27" t="str">
        <f>IFERROR(__xludf.DUMMYFUNCTION("""COMPUTED_VALUE"""),"NAV")</f>
        <v>NAV</v>
      </c>
      <c r="S5" s="27" t="str">
        <f>IFERROR(__xludf.DUMMYFUNCTION("""COMPUTED_VALUE"""),"Testing Type")</f>
        <v>Testing Type</v>
      </c>
      <c r="T5" s="29" t="str">
        <f>IFERROR(__xludf.DUMMYFUNCTION("""COMPUTED_VALUE"""),"Testing Column")</f>
        <v>Testing Column</v>
      </c>
      <c r="U5" s="29" t="str">
        <f>IFERROR(__xludf.DUMMYFUNCTION("""COMPUTED_VALUE"""),"Testing Col Value")</f>
        <v>Testing Col Value</v>
      </c>
      <c r="V5" s="29" t="str">
        <f>IFERROR(__xludf.DUMMYFUNCTION("""COMPUTED_VALUE"""),"DuplicateCountOnUI")</f>
        <v>DuplicateCountOnUI</v>
      </c>
      <c r="W5" s="29" t="str">
        <f>IFERROR(__xludf.DUMMYFUNCTION("""COMPUTED_VALUE"""),"DuplicateRow")</f>
        <v>DuplicateRow</v>
      </c>
      <c r="X5" s="29" t="str">
        <f>IFERROR(__xludf.DUMMYFUNCTION("""COMPUTED_VALUE"""),"TabName")</f>
        <v>TabName</v>
      </c>
      <c r="Y5" s="29" t="str">
        <f>IFERROR(__xludf.DUMMYFUNCTION("""COMPUTED_VALUE"""),"GridDataWidgetName")</f>
        <v>GridDataWidgetName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44</v>
      </c>
      <c r="D6" s="12">
        <v>250.0</v>
      </c>
      <c r="E6" s="30"/>
      <c r="F6" s="8"/>
      <c r="G6" s="12">
        <v>250.0</v>
      </c>
      <c r="H6" s="8"/>
      <c r="I6" s="8"/>
      <c r="J6" s="8"/>
      <c r="K6" s="12">
        <v>0.0</v>
      </c>
      <c r="L6" s="8"/>
      <c r="M6" s="8"/>
      <c r="N6" s="8"/>
      <c r="O6" s="8"/>
      <c r="R6" s="9">
        <v>0.0</v>
      </c>
    </row>
    <row r="7" ht="15.75" customHeight="1">
      <c r="A7" s="8"/>
      <c r="B7" s="12" t="s">
        <v>18</v>
      </c>
      <c r="C7" s="12" t="s">
        <v>47</v>
      </c>
      <c r="D7" s="12">
        <v>200.0</v>
      </c>
      <c r="E7" s="8"/>
      <c r="F7" s="8"/>
      <c r="G7" s="12">
        <v>200.0</v>
      </c>
      <c r="H7" s="8"/>
      <c r="I7" s="8"/>
      <c r="J7" s="8"/>
      <c r="K7" s="12">
        <v>0.0</v>
      </c>
      <c r="L7" s="8"/>
      <c r="M7" s="8"/>
      <c r="N7" s="8"/>
      <c r="O7" s="8"/>
      <c r="R7" s="9">
        <v>0.0</v>
      </c>
    </row>
    <row r="8" ht="15.75" customHeight="1">
      <c r="A8" s="8"/>
      <c r="B8" s="12" t="s">
        <v>29</v>
      </c>
      <c r="C8" s="12" t="s">
        <v>66</v>
      </c>
      <c r="D8" s="12">
        <v>375.0</v>
      </c>
      <c r="E8" s="8"/>
      <c r="F8" s="8"/>
      <c r="G8" s="12">
        <v>375.0</v>
      </c>
      <c r="H8" s="8"/>
      <c r="I8" s="8"/>
      <c r="J8" s="8"/>
      <c r="K8" s="12">
        <v>0.0</v>
      </c>
      <c r="L8" s="8"/>
      <c r="M8" s="8"/>
      <c r="N8" s="8"/>
      <c r="O8" s="8"/>
      <c r="R8" s="9">
        <v>0.0</v>
      </c>
    </row>
    <row r="9" ht="15.75" customHeight="1">
      <c r="A9" s="8"/>
      <c r="B9" s="12" t="s">
        <v>31</v>
      </c>
      <c r="C9" s="12" t="s">
        <v>46</v>
      </c>
      <c r="D9" s="12">
        <v>80.0</v>
      </c>
      <c r="E9" s="8"/>
      <c r="F9" s="8"/>
      <c r="G9" s="12">
        <v>80.0</v>
      </c>
      <c r="H9" s="8"/>
      <c r="I9" s="8"/>
      <c r="J9" s="8"/>
      <c r="K9" s="12">
        <v>0.0</v>
      </c>
      <c r="L9" s="8"/>
      <c r="M9" s="8"/>
      <c r="N9" s="8"/>
      <c r="O9" s="8"/>
      <c r="R9" s="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CheckAccountLevelAggregation!$4:$4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12" t="s">
        <v>67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IFERROR(__xludf.DUMMYFUNCTION("""COMPUTED_VALUE"""),"Column")</f>
        <v>Column</v>
      </c>
      <c r="C5" s="27" t="str">
        <f>IFERROR(__xludf.DUMMYFUNCTION("""COMPUTED_VALUE"""),"FilterType1")</f>
        <v>FilterType1</v>
      </c>
      <c r="D5" s="27" t="str">
        <f>IFERROR(__xludf.DUMMYFUNCTION("""COMPUTED_VALUE"""),"Input1")</f>
        <v>Input1</v>
      </c>
      <c r="E5" s="27" t="str">
        <f>IFERROR(__xludf.DUMMYFUNCTION("""COMPUTED_VALUE"""),"AND/OR")</f>
        <v>AND/OR</v>
      </c>
      <c r="F5" s="28" t="str">
        <f>IFERROR(__xludf.DUMMYFUNCTION("""COMPUTED_VALUE"""),"FilterType2")</f>
        <v>FilterType2</v>
      </c>
      <c r="G5" s="27" t="str">
        <f>IFERROR(__xludf.DUMMYFUNCTION("""COMPUTED_VALUE"""),"Input2")</f>
        <v>Input2</v>
      </c>
      <c r="H5" s="27" t="str">
        <f>IFERROR(__xludf.DUMMYFUNCTION("""COMPUTED_VALUE"""),"WindowName")</f>
        <v>WindowName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63</v>
      </c>
      <c r="C6" s="9" t="s">
        <v>68</v>
      </c>
      <c r="D6" s="12"/>
      <c r="E6" s="12" t="s">
        <v>41</v>
      </c>
      <c r="F6" s="12" t="s">
        <v>40</v>
      </c>
      <c r="G6" s="12">
        <v>470.0</v>
      </c>
      <c r="H6" s="12" t="s">
        <v>67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ApplyColumnFilter6!$4:$4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IFERROR(__xludf.DUMMYFUNCTION("""COMPUTED_VALUE"""),"Fund")</f>
        <v>Fund</v>
      </c>
      <c r="C5" s="27" t="str">
        <f>IFERROR(__xludf.DUMMYFUNCTION("""COMPUTED_VALUE"""),"Market Value")</f>
        <v>Market Value</v>
      </c>
      <c r="D5" s="27" t="str">
        <f>IFERROR(__xludf.DUMMYFUNCTION("""COMPUTED_VALUE"""),"P&amp;L")</f>
        <v>P&amp;L</v>
      </c>
      <c r="E5" s="27" t="str">
        <f>IFERROR(__xludf.DUMMYFUNCTION("""COMPUTED_VALUE"""),"Day P&amp;L")</f>
        <v>Day P&amp;L</v>
      </c>
      <c r="F5" s="28" t="str">
        <f>IFERROR(__xludf.DUMMYFUNCTION("""COMPUTED_VALUE"""),"Exposure")</f>
        <v>Exposure</v>
      </c>
      <c r="G5" s="27" t="str">
        <f>IFERROR(__xludf.DUMMYFUNCTION("""COMPUTED_VALUE"""),"% Gain/Loss Day")</f>
        <v>% Gain/Loss Day</v>
      </c>
      <c r="H5" s="27" t="str">
        <f>IFERROR(__xludf.DUMMYFUNCTION("""COMPUTED_VALUE"""),"% Gain/Loss Cost")</f>
        <v>% Gain/Loss Cost</v>
      </c>
      <c r="I5" s="27" t="str">
        <f>IFERROR(__xludf.DUMMYFUNCTION("""COMPUTED_VALUE"""),"% Market Value")</f>
        <v>% Market Value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IFERROR(__xludf.DUMMYFUNCTION("""COMPUTED_VALUE"""),"Long Exposure")</f>
        <v>Long Exposure</v>
      </c>
      <c r="N5" s="27" t="str">
        <f>IFERROR(__xludf.DUMMYFUNCTION("""COMPUTED_VALUE"""),"% Long Exposure")</f>
        <v>% Long Exposure</v>
      </c>
      <c r="O5" s="27" t="str">
        <f>IFERROR(__xludf.DUMMYFUNCTION("""COMPUTED_VALUE"""),"Accruals")</f>
        <v>Accruals</v>
      </c>
      <c r="P5" s="27" t="str">
        <f>IFERROR(__xludf.DUMMYFUNCTION("""COMPUTED_VALUE"""),"Cash")</f>
        <v>Cash</v>
      </c>
      <c r="Q5" s="27" t="str">
        <f>IFERROR(__xludf.DUMMYFUNCTION("""COMPUTED_VALUE"""),"NAV")</f>
        <v>NAV</v>
      </c>
      <c r="R5" s="27" t="str">
        <f>IFERROR(__xludf.DUMMYFUNCTION("""COMPUTED_VALUE"""),"Testing Type")</f>
        <v>Testing Type</v>
      </c>
      <c r="S5" s="27" t="str">
        <f>IFERROR(__xludf.DUMMYFUNCTION("""COMPUTED_VALUE"""),"Testing Column")</f>
        <v>Testing Column</v>
      </c>
      <c r="T5" s="29" t="str">
        <f>IFERROR(__xludf.DUMMYFUNCTION("""COMPUTED_VALUE"""),"Testing Col Value")</f>
        <v>Testing Col Value</v>
      </c>
      <c r="U5" s="29" t="str">
        <f>IFERROR(__xludf.DUMMYFUNCTION("""COMPUTED_VALUE"""),"DuplicateCountOnUI")</f>
        <v>DuplicateCountOnUI</v>
      </c>
      <c r="V5" s="29" t="str">
        <f>IFERROR(__xludf.DUMMYFUNCTION("""COMPUTED_VALUE"""),"DuplicateRow")</f>
        <v>DuplicateRow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46</v>
      </c>
      <c r="C6" s="8"/>
      <c r="D6" s="12"/>
      <c r="E6" s="30"/>
      <c r="F6" s="12">
        <v>470.0</v>
      </c>
      <c r="G6" s="8"/>
      <c r="H6" s="8"/>
      <c r="I6" s="8"/>
      <c r="J6" s="12">
        <v>0.0</v>
      </c>
      <c r="K6" s="8"/>
      <c r="L6" s="8"/>
      <c r="M6" s="8"/>
      <c r="N6" s="8"/>
      <c r="O6" s="8"/>
      <c r="Q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CheckFundLevelAggregation!$4:$4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70</v>
      </c>
      <c r="C6" s="34" t="s">
        <v>71</v>
      </c>
      <c r="D6" s="32"/>
      <c r="E6" s="35" t="b">
        <v>1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4" t="s">
        <v>71</v>
      </c>
      <c r="C6" s="34" t="s">
        <v>71</v>
      </c>
      <c r="D6" s="32"/>
      <c r="E6" s="37" t="s">
        <v>73</v>
      </c>
      <c r="F6" s="37" t="s">
        <v>74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76</v>
      </c>
      <c r="C5" s="28" t="s">
        <v>77</v>
      </c>
      <c r="D5" s="28" t="s">
        <v>78</v>
      </c>
      <c r="E5" s="28" t="s">
        <v>79</v>
      </c>
      <c r="F5" s="28" t="s">
        <v>80</v>
      </c>
      <c r="G5" s="28" t="s">
        <v>81</v>
      </c>
      <c r="H5" s="28" t="s">
        <v>82</v>
      </c>
      <c r="I5" s="28" t="s">
        <v>83</v>
      </c>
      <c r="J5" s="28" t="s">
        <v>84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74</v>
      </c>
      <c r="C6" s="12"/>
      <c r="D6" s="12"/>
      <c r="E6" s="30"/>
      <c r="F6" s="8"/>
      <c r="G6" s="8"/>
      <c r="H6" s="8"/>
      <c r="I6" s="12" t="s">
        <v>85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IFERROR(__xludf.DUMMYFUNCTION("""COMPUTED_VALUE"""),"Column")</f>
        <v>Column</v>
      </c>
      <c r="C5" s="27" t="str">
        <f>IFERROR(__xludf.DUMMYFUNCTION("""COMPUTED_VALUE"""),"FilterType1")</f>
        <v>FilterType1</v>
      </c>
      <c r="D5" s="27" t="str">
        <f>IFERROR(__xludf.DUMMYFUNCTION("""COMPUTED_VALUE"""),"Input1")</f>
        <v>Input1</v>
      </c>
      <c r="E5" s="27" t="str">
        <f>IFERROR(__xludf.DUMMYFUNCTION("""COMPUTED_VALUE"""),"AND/OR")</f>
        <v>AND/OR</v>
      </c>
      <c r="F5" s="28" t="str">
        <f>IFERROR(__xludf.DUMMYFUNCTION("""COMPUTED_VALUE"""),"FilterType2")</f>
        <v>FilterType2</v>
      </c>
      <c r="G5" s="27" t="str">
        <f>IFERROR(__xludf.DUMMYFUNCTION("""COMPUTED_VALUE"""),"Input2")</f>
        <v>Input2</v>
      </c>
      <c r="H5" s="27" t="str">
        <f>IFERROR(__xludf.DUMMYFUNCTION("""COMPUTED_VALUE"""),"WindowName")</f>
        <v>WindowName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9" t="s">
        <v>86</v>
      </c>
      <c r="D6" s="12"/>
      <c r="E6" s="12" t="s">
        <v>53</v>
      </c>
      <c r="F6" s="12" t="s">
        <v>52</v>
      </c>
      <c r="G6" s="12">
        <v>100.0</v>
      </c>
      <c r="H6" s="34" t="s">
        <v>71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ApplyColumnFilter7!$4:$4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IFERROR(__xludf.DUMMYFUNCTION("""COMPUTED_VALUE"""),"Bloomberg Symbol")</f>
        <v>Bloomberg Symbol</v>
      </c>
      <c r="E5" s="27" t="str">
        <f>IFERROR(__xludf.DUMMYFUNCTION("""COMPUTED_VALUE"""),"Fund")</f>
        <v>Fund</v>
      </c>
      <c r="F5" s="28" t="str">
        <f>IFERROR(__xludf.DUMMYFUNCTION("""COMPUTED_VALUE"""),"Account")</f>
        <v>Account</v>
      </c>
      <c r="G5" s="27" t="str">
        <f>IFERROR(__xludf.DUMMYFUNCTION("""COMPUTED_VALUE"""),"Asset Class")</f>
        <v>Asset Class</v>
      </c>
      <c r="H5" s="27" t="str">
        <f>IFERROR(__xludf.DUMMYFUNCTION("""COMPUTED_VALUE"""),"Position")</f>
        <v>Position</v>
      </c>
      <c r="I5" s="27" t="str">
        <f>IFERROR(__xludf.DUMMYFUNCTION("""COMPUTED_VALUE"""),"Position Side")</f>
        <v>Position Side</v>
      </c>
      <c r="J5" s="27" t="str">
        <f>IFERROR(__xludf.DUMMYFUNCTION("""COMPUTED_VALUE"""),"Px Selected Feed (Local)")</f>
        <v>Px Selected Feed (Local)</v>
      </c>
      <c r="K5" s="27" t="str">
        <f>IFERROR(__xludf.DUMMYFUNCTION("""COMPUTED_VALUE"""),"Px Selected Feed (Base)")</f>
        <v>Px Selected Feed (Base)</v>
      </c>
      <c r="L5" s="27" t="str">
        <f>IFERROR(__xludf.DUMMYFUNCTION("""COMPUTED_VALUE"""),"Market Value (Base)")</f>
        <v>Market Value (Base)</v>
      </c>
      <c r="M5" s="27" t="str">
        <f>IFERROR(__xludf.DUMMYFUNCTION("""COMPUTED_VALUE"""),"% Net Market Value (Base)")</f>
        <v>% Net Market Value (Base)</v>
      </c>
      <c r="N5" s="27" t="str">
        <f>IFERROR(__xludf.DUMMYFUNCTION("""COMPUTED_VALUE"""),"Cost Basis P&amp;L (Base)")</f>
        <v>Cost Basis P&amp;L (Base)</v>
      </c>
      <c r="O5" s="27" t="str">
        <f>IFERROR(__xludf.DUMMYFUNCTION("""COMPUTED_VALUE"""),"% Gain/Loss Cost")</f>
        <v>% Gain/Loss Cost</v>
      </c>
      <c r="P5" s="27" t="str">
        <f>IFERROR(__xludf.DUMMYFUNCTION("""COMPUTED_VALUE"""),"Day P&amp;L (Base)")</f>
        <v>Day P&amp;L (Base)</v>
      </c>
      <c r="Q5" s="27" t="str">
        <f>IFERROR(__xludf.DUMMYFUNCTION("""COMPUTED_VALUE"""),"% Gain/Loss Day")</f>
        <v>% Gain/Loss Day</v>
      </c>
      <c r="R5" s="27" t="str">
        <f>IFERROR(__xludf.DUMMYFUNCTION("""COMPUTED_VALUE"""),"TabName")</f>
        <v>TabName</v>
      </c>
      <c r="S5" s="27" t="str">
        <f>IFERROR(__xludf.DUMMYFUNCTION("""COMPUTED_VALUE"""),"GridDataWidgetName")</f>
        <v>GridDataWidgetName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31" t="s">
        <v>51</v>
      </c>
      <c r="D6" s="12"/>
      <c r="E6" s="12" t="s">
        <v>44</v>
      </c>
      <c r="F6" s="12" t="s">
        <v>27</v>
      </c>
      <c r="G6" s="8"/>
      <c r="H6" s="12">
        <v>200.0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24</v>
      </c>
      <c r="C7" s="12" t="s">
        <v>48</v>
      </c>
      <c r="D7" s="8"/>
      <c r="E7" s="12" t="s">
        <v>49</v>
      </c>
      <c r="F7" s="12" t="s">
        <v>25</v>
      </c>
      <c r="G7" s="8"/>
      <c r="H7" s="12">
        <v>500.0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CheckGroupingWidget!$4:$4</formula1>
    </dataValidation>
  </dataValidations>
  <hyperlinks>
    <hyperlink r:id="rId1" ref="C6"/>
  </hyperlin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IFERROR(__xludf.DUMMYFUNCTION("""COMPUTED_VALUE"""),"VerifyPopUpText")</f>
        <v>VerifyPopUpText</v>
      </c>
      <c r="D5" s="27" t="str">
        <f>IFERROR(__xludf.DUMMYFUNCTION("""COMPUTED_VALUE"""),"ActionOnPopUp")</f>
        <v>ActionOnPopUp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8"/>
      <c r="D6" s="12" t="s">
        <v>89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