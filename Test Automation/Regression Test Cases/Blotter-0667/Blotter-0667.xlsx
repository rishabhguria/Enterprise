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SelectTradeOnOrderGrid" sheetId="11" r:id="rId13"/>
    <sheet state="visible" name="RightClickAndClickOperations" sheetId="12" r:id="rId14"/>
    <sheet state="visible" name="SelectTradeOnOrderGrid1" sheetId="13" r:id="rId15"/>
    <sheet state="visible" name="RightClickAndClickOperations1" sheetId="14" r:id="rId16"/>
  </sheets>
  <definedNames/>
  <calcPr/>
</workbook>
</file>

<file path=xl/sharedStrings.xml><?xml version="1.0" encoding="utf-8"?>
<sst xmlns="http://schemas.openxmlformats.org/spreadsheetml/2006/main" count="124" uniqueCount="43">
  <si>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</si>
  <si>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</si>
  <si>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</si>
  <si>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</si>
  <si>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</si>
  <si>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</si>
  <si>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</si>
  <si>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</si>
  <si>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</si>
  <si>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</si>
  <si>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</si>
  <si>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</si>
  <si>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</si>
  <si>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</si>
  <si>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</si>
  <si>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</si>
  <si>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</si>
  <si>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</si>
  <si>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</si>
  <si>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</si>
  <si>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Limit</t>
  </si>
  <si>
    <t>IBM</t>
  </si>
  <si>
    <t>GTC</t>
  </si>
  <si>
    <t>Simulator</t>
  </si>
  <si>
    <t>SelectTrade</t>
  </si>
  <si>
    <t>AcknowledgeTrade</t>
  </si>
  <si>
    <t>ExecuteTrade</t>
  </si>
  <si>
    <t>Blotter</t>
  </si>
  <si>
    <t>SelectTradeOnOrderGrid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</si>
  <si>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</si>
  <si>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</si>
  <si>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</si>
  <si>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</si>
  <si>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</si>
  <si>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</si>
  <si>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</si>
  <si>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</si>
  <si>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</si>
  <si>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</si>
  <si>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</si>
  <si>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</si>
  <si>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OrderBlotterGrid</t>
  </si>
  <si>
    <t>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</si>
</sst>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2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IFERROR(__xludf.DUMMYFUNCTION("""COMPUTED_VALUE"""),"1hVwFlW5MKD4NHZXvDHfS6l0ApW93ZHmg5lFN4Tn10aY")</f>
        <v>1hVwFlW5MKD4NHZXvDHfS6l0ApW93ZHmg5lFN4Tn10aY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 t="str">
        <f>IFERROR(__xludf.DUMMYFUNCTION("""COMPUTED_VALUE"""),"Trade Attribute 01 suggestion")</f>
        <v>Trade Attribute 01 suggestion</v>
      </c>
      <c r="AT5" s="30" t="str">
        <f>IFERROR(__xludf.DUMMYFUNCTION("""COMPUTED_VALUE"""),"Trade Attribute 02 suggestion")</f>
        <v>Trade Attribute 02 suggestion</v>
      </c>
      <c r="AU5" s="30" t="str">
        <f>IFERROR(__xludf.DUMMYFUNCTION("""COMPUTED_VALUE"""),"Trade Attribute 03 suggestion")</f>
        <v>Trade Attribute 03 suggestion</v>
      </c>
      <c r="AV5" s="30" t="str">
        <f>IFERROR(__xludf.DUMMYFUNCTION("""COMPUTED_VALUE"""),"Trade Attribute 04 suggestion")</f>
        <v>Trade Attribute 04 suggestion</v>
      </c>
      <c r="AW5" s="30" t="str">
        <f>IFERROR(__xludf.DUMMYFUNCTION("""COMPUTED_VALUE"""),"Trade Attribute 05 suggestion")</f>
        <v>Trade Attribute 05 suggestion</v>
      </c>
      <c r="AX5" s="30" t="str">
        <f>IFERROR(__xludf.DUMMYFUNCTION("""COMPUTED_VALUE"""),"Trade Attribute 06 suggestion")</f>
        <v>Trade Attribute 06 suggestion</v>
      </c>
      <c r="AY5" s="30" t="str">
        <f>IFERROR(__xludf.DUMMYFUNCTION("""COMPUTED_VALUE"""),"Strategy")</f>
        <v>Strategy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5000.0</v>
      </c>
      <c r="D6" s="13"/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  <c r="U6" s="9" t="s">
        <v>19</v>
      </c>
      <c r="V6" s="9" t="s">
        <v>20</v>
      </c>
      <c r="X6" s="9">
        <v>315.95</v>
      </c>
      <c r="Y6" s="31">
        <f>today()+2</f>
        <v>45912</v>
      </c>
    </row>
    <row r="7" ht="15.75" customHeight="1">
      <c r="A7" s="13"/>
      <c r="B7" s="13" t="s">
        <v>21</v>
      </c>
      <c r="C7" s="13">
        <v>5000.0</v>
      </c>
      <c r="D7" s="13"/>
      <c r="E7" s="13" t="s">
        <v>17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  <c r="U7" s="9" t="s">
        <v>22</v>
      </c>
      <c r="V7" s="9" t="s">
        <v>20</v>
      </c>
      <c r="X7" s="9">
        <v>315.95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16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21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IFERROR(__xludf.DUMMYFUNCTION("""COMPUTED_VALUE"""),"VerifyRowAllFixLogs")</f>
        <v>VerifyRowAllFixLogs</v>
      </c>
      <c r="Q4" s="26" t="str">
        <f>IFERROR(__xludf.DUMMYFUNCTION("""COMPUTED_VALUE"""),"ClearAllFixLogs")</f>
        <v>ClearAllFixLogs</v>
      </c>
      <c r="R4" s="26" t="str">
        <f>IFERROR(__xludf.DUMMYFUNCTION("""COMPUTED_VALUE"""),"SaveTradeData")</f>
        <v>SaveTradeData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315.95</v>
      </c>
      <c r="C6" s="13">
        <v>2500.0</v>
      </c>
      <c r="D6" s="13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/>
      <c r="C1" s="33"/>
      <c r="D1" s="33"/>
      <c r="E1" s="33"/>
      <c r="F1" s="33"/>
      <c r="G1" s="33"/>
      <c r="H1" s="34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29</v>
      </c>
      <c r="C5" s="29" t="s">
        <v>30</v>
      </c>
      <c r="D5" s="29" t="s">
        <v>31</v>
      </c>
      <c r="E5" s="29" t="s">
        <v>32</v>
      </c>
      <c r="F5" s="29" t="s">
        <v>33</v>
      </c>
      <c r="G5" s="29" t="s">
        <v>34</v>
      </c>
      <c r="H5" s="29" t="s">
        <v>35</v>
      </c>
      <c r="I5" s="29" t="s">
        <v>36</v>
      </c>
      <c r="J5" s="29" t="s">
        <v>37</v>
      </c>
      <c r="K5" s="29" t="s">
        <v>38</v>
      </c>
      <c r="L5" s="29" t="s">
        <v>39</v>
      </c>
      <c r="M5" s="29" t="s">
        <v>40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41</v>
      </c>
      <c r="D6" s="13"/>
      <c r="E6" s="32"/>
      <c r="F6" s="8"/>
      <c r="G6" s="8"/>
      <c r="H6" s="8"/>
      <c r="I6" s="13" t="s">
        <v>42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RightClickAndClickOperations!$4:$4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 t="str">
        <f>IFERROR(__xludf.DUMMYFUNCTION("""COMPUTED_VALUE"""),"EditTradeAttributesWindow")</f>
        <v>EditTradeAttributesWindow</v>
      </c>
      <c r="DJ4" s="26" t="str">
        <f>IFERROR(__xludf.DUMMYFUNCTION("""COMPUTED_VALUE"""),"EditTradeAttributesOrders")</f>
        <v>EditTradeAttributesOrders</v>
      </c>
      <c r="DK4" s="26" t="str">
        <f>IFERROR(__xludf.DUMMYFUNCTION("""COMPUTED_VALUE"""),"EditTradeAttributesWorkingSub")</f>
        <v>EditTradeAttributesWorkingSub</v>
      </c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32"/>
      <c r="F6" s="13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/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/>
      <c r="K2" s="21"/>
      <c r="L2" s="8"/>
      <c r="M2" s="8"/>
      <c r="N2" s="8"/>
      <c r="O2" s="8"/>
    </row>
    <row r="3" ht="15.75" customHeight="1">
      <c r="A3" s="22"/>
      <c r="B3" s="5"/>
      <c r="C3" s="23"/>
      <c r="D3" s="5"/>
      <c r="E3" s="23"/>
      <c r="F3" s="5"/>
      <c r="G3" s="14"/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29</v>
      </c>
      <c r="C5" s="29" t="s">
        <v>30</v>
      </c>
      <c r="D5" s="29" t="s">
        <v>31</v>
      </c>
      <c r="E5" s="29" t="s">
        <v>32</v>
      </c>
      <c r="F5" s="29" t="s">
        <v>33</v>
      </c>
      <c r="G5" s="29" t="s">
        <v>34</v>
      </c>
      <c r="H5" s="29" t="s">
        <v>35</v>
      </c>
      <c r="I5" s="29" t="s">
        <v>36</v>
      </c>
      <c r="J5" s="29" t="s">
        <v>37</v>
      </c>
      <c r="K5" s="29" t="s">
        <v>38</v>
      </c>
      <c r="L5" s="29" t="s">
        <v>39</v>
      </c>
      <c r="M5" s="29" t="s">
        <v>40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41</v>
      </c>
      <c r="D6" s="13"/>
      <c r="E6" s="32"/>
      <c r="F6" s="8"/>
      <c r="G6" s="8"/>
      <c r="H6" s="8"/>
      <c r="I6" s="13" t="s">
        <v>42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RightClickAndClickOperations1!$4:$4</formula1>
    </dataValidation>
  </dataValidations>
  <drawing r:id="rId1"/>
</worksheet>
</file>