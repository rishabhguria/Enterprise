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SelectTradeUnexpiredUnsettled" sheetId="8" r:id="rId10"/>
    <sheet state="visible" name="ExerciseAssignment" sheetId="9" r:id="rId11"/>
    <sheet state="visible" name="VerifyExpiredSettledGrid" sheetId="10" r:id="rId12"/>
    <sheet state="visible" name="CreateDoneAwayOrder1" sheetId="11" r:id="rId13"/>
    <sheet state="visible" name="GetDataClosing1" sheetId="12" r:id="rId14"/>
    <sheet state="visible" name="ManualClosing" sheetId="13" r:id="rId15"/>
    <sheet state="visible" name="ManualClosing1" sheetId="14" r:id="rId16"/>
    <sheet state="visible" name="ManualClosing2" sheetId="15" r:id="rId17"/>
    <sheet state="visible" name="ManualClosing3" sheetId="16" r:id="rId18"/>
    <sheet state="visible" name="VerifyClosedTrades" sheetId="17" r:id="rId19"/>
    <sheet state="visible" name="UnWindTradeSettlement" sheetId="18" r:id="rId20"/>
    <sheet state="visible" name="GetDataAllocation" sheetId="19" r:id="rId21"/>
    <sheet state="visible" name="CheckAllocatedGroups" sheetId="20" r:id="rId22"/>
  </sheets>
  <definedNames/>
  <calcPr/>
</workbook>
</file>

<file path=xl/sharedStrings.xml><?xml version="1.0" encoding="utf-8"?>
<sst xmlns="http://schemas.openxmlformats.org/spreadsheetml/2006/main" count="337" uniqueCount="56">
  <si>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</si>
  <si>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</si>
  <si>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</si>
  <si>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</si>
  <si>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</si>
  <si>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</si>
  <si>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</si>
  <si>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</si>
  <si>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</si>
  <si>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</si>
  <si>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</si>
  <si>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</si>
  <si>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</si>
  <si>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</si>
  <si>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</si>
  <si>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</si>
  <si>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O:AMZN 16E620.00D20</t>
  </si>
  <si>
    <t>Buy to Open</t>
  </si>
  <si>
    <t>Allocation1</t>
  </si>
  <si>
    <t xml:space="preserve"> O:AMZN 15L660.00D18</t>
  </si>
  <si>
    <t xml:space="preserve"> O:AMZN 15L690.00D18</t>
  </si>
  <si>
    <t xml:space="preserve"> O:EOG 10D95.00</t>
  </si>
  <si>
    <t>Sell to Open</t>
  </si>
  <si>
    <t xml:space="preserve"> O:EOG 14O190.00</t>
  </si>
  <si>
    <t>Closing</t>
  </si>
  <si>
    <t>GetDataClosing</t>
  </si>
  <si>
    <t>Historical</t>
  </si>
  <si>
    <t>VerifyLongPositionsGrid</t>
  </si>
  <si>
    <t>EquityOption</t>
  </si>
  <si>
    <t>Long</t>
  </si>
  <si>
    <t>O:AMZN 16E620.00D20</t>
  </si>
  <si>
    <t>O:AMZN 15L660.00D18</t>
  </si>
  <si>
    <t>O:AMZN 15L690.00D18</t>
  </si>
  <si>
    <t>VerifyShortPositionsGrid</t>
  </si>
  <si>
    <t>Short</t>
  </si>
  <si>
    <t>O:EOG 10D95.00</t>
  </si>
  <si>
    <t>O:EOG 14O190.00</t>
  </si>
  <si>
    <t>SelectTradeUnexpiredUnsettled</t>
  </si>
  <si>
    <t>ExerciseAssignment</t>
  </si>
  <si>
    <t>VerifyExpiredSettledGrid</t>
  </si>
  <si>
    <t>AMZN</t>
  </si>
  <si>
    <t>Sell</t>
  </si>
  <si>
    <t>EOG</t>
  </si>
  <si>
    <t>Buy to Close</t>
  </si>
  <si>
    <t>ManualClosing</t>
  </si>
  <si>
    <t>Buy</t>
  </si>
  <si>
    <t>Sell short</t>
  </si>
  <si>
    <t>VerifyClosedTrades</t>
  </si>
  <si>
    <t>UnWindTradeSettlement</t>
  </si>
  <si>
    <t>Allocation</t>
  </si>
  <si>
    <t>GetDataAllocation</t>
  </si>
  <si>
    <t>CheckAllocatedGroups</t>
  </si>
  <si>
    <t>Closed</t>
  </si>
  <si>
    <t>Sell to Close</t>
  </si>
  <si>
    <t>Open</t>
  </si>
  <si>
    <t>PartiallyClosed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</si>
</sst>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name val="Arial"/>
    </font>
    <font>
      <sz val="9.0"/>
      <color rgb="FF000000"/>
      <name val="Arial"/>
    </font>
    <font>
      <sz val="8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right" readingOrder="0"/>
    </xf>
    <xf borderId="5" fillId="0" fontId="5" numFmtId="0" xfId="0" applyAlignment="1" applyBorder="1" applyFont="1">
      <alignment vertical="bottom"/>
    </xf>
    <xf borderId="0" fillId="6" fontId="14" numFmtId="0" xfId="0" applyAlignment="1" applyFill="1" applyFont="1">
      <alignment readingOrder="0"/>
    </xf>
    <xf borderId="0" fillId="0" fontId="15" numFmtId="0" xfId="0" applyAlignment="1" applyFont="1">
      <alignment horizontal="left" readingOrder="0" vertical="bottom"/>
    </xf>
    <xf borderId="0" fillId="0" fontId="15" numFmtId="4" xfId="0" applyAlignment="1" applyFont="1" applyNumberFormat="1">
      <alignment horizontal="righ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8009.0</v>
      </c>
      <c r="E6" s="11">
        <v>8009.0</v>
      </c>
      <c r="F6" s="11" t="s">
        <v>18</v>
      </c>
      <c r="G6" s="8"/>
      <c r="H6" s="8"/>
      <c r="I6" s="8"/>
      <c r="J6" s="11">
        <v>5620.0</v>
      </c>
      <c r="K6" s="8"/>
      <c r="L6" s="8"/>
      <c r="N6" s="30">
        <v>43771.0</v>
      </c>
      <c r="O6" s="8"/>
    </row>
    <row r="7" ht="15.75" customHeight="1">
      <c r="A7" s="8"/>
      <c r="B7" s="11" t="s">
        <v>19</v>
      </c>
      <c r="C7" s="11" t="s">
        <v>17</v>
      </c>
      <c r="D7" s="11">
        <v>16000.0</v>
      </c>
      <c r="E7" s="11">
        <v>16000.0</v>
      </c>
      <c r="F7" s="11" t="s">
        <v>18</v>
      </c>
      <c r="G7" s="8"/>
      <c r="H7" s="8"/>
      <c r="I7" s="8"/>
      <c r="J7" s="11">
        <v>120.0</v>
      </c>
      <c r="K7" s="8"/>
      <c r="L7" s="8"/>
      <c r="N7" s="30">
        <v>43773.0</v>
      </c>
      <c r="O7" s="8"/>
    </row>
    <row r="8" ht="15.75" customHeight="1">
      <c r="A8" s="8"/>
      <c r="B8" s="11" t="s">
        <v>20</v>
      </c>
      <c r="C8" s="11" t="s">
        <v>17</v>
      </c>
      <c r="D8" s="11">
        <v>1500.0</v>
      </c>
      <c r="E8" s="11">
        <v>1500.0</v>
      </c>
      <c r="F8" s="11" t="s">
        <v>18</v>
      </c>
      <c r="G8" s="8"/>
      <c r="H8" s="8"/>
      <c r="I8" s="8"/>
      <c r="J8" s="11">
        <v>157.0</v>
      </c>
      <c r="K8" s="8"/>
      <c r="L8" s="8"/>
      <c r="N8" s="30">
        <v>43776.0</v>
      </c>
      <c r="O8" s="8"/>
    </row>
    <row r="9" ht="15.75" customHeight="1">
      <c r="A9" s="8"/>
      <c r="B9" s="11" t="s">
        <v>21</v>
      </c>
      <c r="C9" s="11" t="s">
        <v>22</v>
      </c>
      <c r="D9" s="11">
        <v>10000.0</v>
      </c>
      <c r="E9" s="11">
        <v>10000.0</v>
      </c>
      <c r="F9" s="11" t="s">
        <v>18</v>
      </c>
      <c r="G9" s="8"/>
      <c r="H9" s="8"/>
      <c r="I9" s="8"/>
      <c r="J9" s="11">
        <v>140.0</v>
      </c>
      <c r="K9" s="8"/>
      <c r="L9" s="8"/>
      <c r="M9" s="8"/>
      <c r="N9" s="30">
        <v>43795.0</v>
      </c>
      <c r="O9" s="8"/>
    </row>
    <row r="10" ht="15.75" customHeight="1">
      <c r="A10" s="8"/>
      <c r="B10" s="11" t="s">
        <v>23</v>
      </c>
      <c r="C10" s="11" t="s">
        <v>22</v>
      </c>
      <c r="D10" s="11">
        <v>5000.0</v>
      </c>
      <c r="E10" s="11">
        <v>5000.0</v>
      </c>
      <c r="F10" s="11" t="s">
        <v>18</v>
      </c>
      <c r="G10" s="8"/>
      <c r="H10" s="8"/>
      <c r="I10" s="8"/>
      <c r="J10" s="11">
        <v>34.0</v>
      </c>
      <c r="K10" s="8"/>
      <c r="L10" s="8"/>
      <c r="M10" s="8"/>
      <c r="N10" s="30">
        <v>43792.0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30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0">
        <v>43101.0</v>
      </c>
      <c r="D6" s="31">
        <f>TODAY()</f>
        <v>44753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3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18</v>
      </c>
      <c r="C6" s="33" t="s">
        <v>28</v>
      </c>
      <c r="D6" s="11"/>
      <c r="E6" s="32"/>
      <c r="F6" s="8"/>
      <c r="G6" s="8"/>
      <c r="H6" s="8"/>
      <c r="I6" s="34">
        <v>5620.0</v>
      </c>
      <c r="J6" s="8"/>
      <c r="K6" s="33" t="s">
        <v>29</v>
      </c>
      <c r="L6" s="8"/>
      <c r="M6" s="34">
        <v>8009.0</v>
      </c>
      <c r="N6" s="8"/>
      <c r="O6" s="8"/>
      <c r="P6" s="33" t="s">
        <v>17</v>
      </c>
      <c r="R6" s="33" t="s">
        <v>30</v>
      </c>
    </row>
    <row r="7" ht="15.75" customHeight="1">
      <c r="A7" s="8"/>
      <c r="B7" s="33" t="s">
        <v>18</v>
      </c>
      <c r="C7" s="33" t="s">
        <v>28</v>
      </c>
      <c r="D7" s="8"/>
      <c r="E7" s="8"/>
      <c r="F7" s="8"/>
      <c r="G7" s="8"/>
      <c r="H7" s="8"/>
      <c r="I7" s="34">
        <v>120.0</v>
      </c>
      <c r="J7" s="8"/>
      <c r="K7" s="33" t="s">
        <v>29</v>
      </c>
      <c r="L7" s="8"/>
      <c r="M7" s="34">
        <v>16000.0</v>
      </c>
      <c r="N7" s="8"/>
      <c r="O7" s="8"/>
      <c r="P7" s="33" t="s">
        <v>17</v>
      </c>
      <c r="R7" s="33" t="s">
        <v>31</v>
      </c>
    </row>
    <row r="8" ht="15.75" customHeight="1">
      <c r="A8" s="8"/>
      <c r="B8" s="33" t="s">
        <v>18</v>
      </c>
      <c r="C8" s="33" t="s">
        <v>28</v>
      </c>
      <c r="D8" s="8"/>
      <c r="E8" s="8"/>
      <c r="F8" s="8"/>
      <c r="G8" s="8"/>
      <c r="H8" s="8"/>
      <c r="I8" s="34">
        <v>157.0</v>
      </c>
      <c r="J8" s="8"/>
      <c r="K8" s="33" t="s">
        <v>29</v>
      </c>
      <c r="L8" s="8"/>
      <c r="M8" s="34">
        <v>1500.0</v>
      </c>
      <c r="N8" s="8"/>
      <c r="O8" s="8"/>
      <c r="P8" s="33" t="s">
        <v>17</v>
      </c>
      <c r="R8" s="33" t="s">
        <v>32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18</v>
      </c>
      <c r="C6" s="33" t="s">
        <v>28</v>
      </c>
      <c r="D6" s="11"/>
      <c r="E6" s="32"/>
      <c r="F6" s="8"/>
      <c r="G6" s="8"/>
      <c r="H6" s="8"/>
      <c r="I6" s="34">
        <v>140.0</v>
      </c>
      <c r="J6" s="8"/>
      <c r="K6" s="33" t="s">
        <v>34</v>
      </c>
      <c r="L6" s="8"/>
      <c r="M6" s="34">
        <v>10000.0</v>
      </c>
      <c r="N6" s="8"/>
      <c r="O6" s="8"/>
      <c r="P6" s="33" t="s">
        <v>22</v>
      </c>
      <c r="R6" s="33" t="s">
        <v>35</v>
      </c>
    </row>
    <row r="7" ht="15.75" customHeight="1">
      <c r="A7" s="8"/>
      <c r="B7" s="33" t="s">
        <v>18</v>
      </c>
      <c r="C7" s="33" t="s">
        <v>28</v>
      </c>
      <c r="D7" s="8"/>
      <c r="E7" s="8"/>
      <c r="F7" s="8"/>
      <c r="G7" s="8"/>
      <c r="H7" s="8"/>
      <c r="I7" s="34">
        <v>34.0</v>
      </c>
      <c r="J7" s="8"/>
      <c r="K7" s="33" t="s">
        <v>34</v>
      </c>
      <c r="L7" s="8"/>
      <c r="M7" s="34">
        <v>5000.0</v>
      </c>
      <c r="N7" s="8"/>
      <c r="O7" s="8"/>
      <c r="P7" s="33" t="s">
        <v>22</v>
      </c>
      <c r="R7" s="33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5" t="s">
        <v>28</v>
      </c>
      <c r="F6" s="8"/>
      <c r="G6" s="8"/>
      <c r="H6" s="8"/>
      <c r="I6" s="11">
        <v>5620.0</v>
      </c>
      <c r="J6" s="8"/>
      <c r="K6" s="8"/>
      <c r="L6" s="8"/>
      <c r="M6" s="8"/>
      <c r="N6" s="8"/>
      <c r="O6" s="8"/>
      <c r="AQ6" s="9">
        <v>8009.0</v>
      </c>
      <c r="DH6" s="33" t="s">
        <v>30</v>
      </c>
    </row>
    <row r="7" ht="15.75" customHeight="1">
      <c r="A7" s="8"/>
      <c r="B7" s="11" t="s">
        <v>18</v>
      </c>
      <c r="C7" s="8"/>
      <c r="D7" s="8"/>
      <c r="E7" s="35" t="s">
        <v>28</v>
      </c>
      <c r="F7" s="8"/>
      <c r="G7" s="8"/>
      <c r="H7" s="8"/>
      <c r="I7" s="11">
        <v>120.0</v>
      </c>
      <c r="J7" s="8"/>
      <c r="K7" s="8"/>
      <c r="L7" s="8"/>
      <c r="M7" s="8"/>
      <c r="N7" s="8"/>
      <c r="O7" s="8"/>
      <c r="AQ7" s="9">
        <v>16000.0</v>
      </c>
      <c r="DH7" s="33" t="s">
        <v>31</v>
      </c>
    </row>
    <row r="8" ht="15.75" customHeight="1">
      <c r="A8" s="8"/>
      <c r="B8" s="11" t="s">
        <v>18</v>
      </c>
      <c r="C8" s="8"/>
      <c r="D8" s="8"/>
      <c r="E8" s="35" t="s">
        <v>28</v>
      </c>
      <c r="F8" s="8"/>
      <c r="G8" s="8"/>
      <c r="H8" s="8"/>
      <c r="I8" s="11">
        <v>157.0</v>
      </c>
      <c r="J8" s="8"/>
      <c r="K8" s="8"/>
      <c r="L8" s="8"/>
      <c r="M8" s="8"/>
      <c r="N8" s="8"/>
      <c r="O8" s="8"/>
      <c r="AQ8" s="9">
        <v>1500.0</v>
      </c>
      <c r="DH8" s="33" t="s">
        <v>32</v>
      </c>
    </row>
    <row r="9" ht="15.75" customHeight="1">
      <c r="A9" s="8"/>
      <c r="B9" s="11" t="s">
        <v>18</v>
      </c>
      <c r="C9" s="8"/>
      <c r="D9" s="8"/>
      <c r="E9" s="35" t="s">
        <v>28</v>
      </c>
      <c r="F9" s="8"/>
      <c r="G9" s="8"/>
      <c r="H9" s="8"/>
      <c r="I9" s="11">
        <v>140.0</v>
      </c>
      <c r="J9" s="8"/>
      <c r="K9" s="8"/>
      <c r="L9" s="8"/>
      <c r="M9" s="8"/>
      <c r="N9" s="8"/>
      <c r="O9" s="8"/>
      <c r="AQ9" s="9">
        <v>10000.0</v>
      </c>
      <c r="DH9" s="33" t="s">
        <v>35</v>
      </c>
    </row>
    <row r="10" ht="15.75" customHeight="1">
      <c r="A10" s="8"/>
      <c r="B10" s="11" t="s">
        <v>18</v>
      </c>
      <c r="C10" s="8"/>
      <c r="D10" s="8"/>
      <c r="E10" s="35" t="s">
        <v>28</v>
      </c>
      <c r="F10" s="8"/>
      <c r="G10" s="8"/>
      <c r="H10" s="8"/>
      <c r="I10" s="11">
        <v>34.0</v>
      </c>
      <c r="J10" s="8"/>
      <c r="K10" s="8"/>
      <c r="L10" s="8"/>
      <c r="M10" s="8"/>
      <c r="N10" s="8"/>
      <c r="O10" s="8"/>
      <c r="AQ10" s="9">
        <v>5000.0</v>
      </c>
      <c r="DH10" s="33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IFERROR(__xludf.DUMMYFUNCTION("""COMPUTED_VALUE"""),"Settlement Qty")</f>
        <v>Settlement Qty</v>
      </c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/>
      <c r="C7" s="8"/>
      <c r="D7" s="8"/>
      <c r="E7" s="35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/>
      <c r="C8" s="8"/>
      <c r="D8" s="8"/>
      <c r="E8" s="35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/>
      <c r="C9" s="8"/>
      <c r="D9" s="8"/>
      <c r="E9" s="35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/>
      <c r="C10" s="8"/>
      <c r="D10" s="8"/>
      <c r="E10" s="35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2"/>
      <c r="F6" s="8"/>
      <c r="G6" s="9">
        <v>8009.0</v>
      </c>
      <c r="H6" s="8"/>
      <c r="I6" s="8"/>
      <c r="J6" s="8"/>
      <c r="K6" s="8"/>
      <c r="L6" s="8"/>
      <c r="M6" s="8"/>
      <c r="N6" s="8"/>
      <c r="O6" s="8"/>
      <c r="T6" s="11">
        <v>5620.0</v>
      </c>
      <c r="W6" s="9" t="s">
        <v>29</v>
      </c>
      <c r="Z6" s="33" t="s">
        <v>17</v>
      </c>
      <c r="AB6" s="33" t="s">
        <v>30</v>
      </c>
    </row>
    <row r="7" ht="15.75" customHeight="1">
      <c r="A7" s="8"/>
      <c r="B7" s="11" t="s">
        <v>18</v>
      </c>
      <c r="C7" s="8"/>
      <c r="D7" s="8"/>
      <c r="E7" s="8"/>
      <c r="F7" s="8"/>
      <c r="G7" s="9">
        <v>16000.0</v>
      </c>
      <c r="H7" s="8"/>
      <c r="I7" s="8"/>
      <c r="J7" s="8"/>
      <c r="K7" s="8"/>
      <c r="L7" s="8"/>
      <c r="M7" s="8"/>
      <c r="N7" s="8"/>
      <c r="O7" s="8"/>
      <c r="T7" s="11">
        <v>120.0</v>
      </c>
      <c r="W7" s="9" t="s">
        <v>29</v>
      </c>
      <c r="Z7" s="33" t="s">
        <v>17</v>
      </c>
      <c r="AB7" s="33" t="s">
        <v>31</v>
      </c>
    </row>
    <row r="8" ht="15.75" customHeight="1">
      <c r="A8" s="8"/>
      <c r="B8" s="11" t="s">
        <v>18</v>
      </c>
      <c r="C8" s="8"/>
      <c r="D8" s="8"/>
      <c r="E8" s="8"/>
      <c r="F8" s="8"/>
      <c r="G8" s="9">
        <v>1500.0</v>
      </c>
      <c r="H8" s="8"/>
      <c r="I8" s="8"/>
      <c r="J8" s="8"/>
      <c r="K8" s="8"/>
      <c r="L8" s="8"/>
      <c r="M8" s="8"/>
      <c r="N8" s="8"/>
      <c r="O8" s="8"/>
      <c r="T8" s="11">
        <v>157.0</v>
      </c>
      <c r="W8" s="9" t="s">
        <v>29</v>
      </c>
      <c r="Z8" s="33" t="s">
        <v>17</v>
      </c>
      <c r="AB8" s="33" t="s">
        <v>32</v>
      </c>
    </row>
    <row r="9" ht="15.75" customHeight="1">
      <c r="A9" s="8"/>
      <c r="B9" s="11" t="s">
        <v>18</v>
      </c>
      <c r="C9" s="8"/>
      <c r="D9" s="8"/>
      <c r="E9" s="8"/>
      <c r="F9" s="8"/>
      <c r="G9" s="9">
        <v>10000.0</v>
      </c>
      <c r="H9" s="8"/>
      <c r="I9" s="8"/>
      <c r="J9" s="8"/>
      <c r="K9" s="8"/>
      <c r="L9" s="8"/>
      <c r="M9" s="8"/>
      <c r="N9" s="8"/>
      <c r="O9" s="8"/>
      <c r="T9" s="11">
        <v>140.0</v>
      </c>
      <c r="W9" s="9" t="s">
        <v>34</v>
      </c>
      <c r="Z9" s="33" t="s">
        <v>22</v>
      </c>
      <c r="AB9" s="33" t="s">
        <v>35</v>
      </c>
    </row>
    <row r="10" ht="15.75" customHeight="1">
      <c r="A10" s="8"/>
      <c r="B10" s="11" t="s">
        <v>18</v>
      </c>
      <c r="C10" s="8"/>
      <c r="D10" s="8"/>
      <c r="E10" s="8"/>
      <c r="F10" s="8"/>
      <c r="G10" s="9">
        <v>5000.0</v>
      </c>
      <c r="H10" s="8"/>
      <c r="I10" s="8"/>
      <c r="J10" s="8"/>
      <c r="K10" s="8"/>
      <c r="L10" s="8"/>
      <c r="M10" s="8"/>
      <c r="N10" s="8"/>
      <c r="O10" s="8"/>
      <c r="T10" s="11">
        <v>34.0</v>
      </c>
      <c r="W10" s="9" t="s">
        <v>34</v>
      </c>
      <c r="Z10" s="33" t="s">
        <v>22</v>
      </c>
      <c r="AB10" s="33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11" t="s">
        <v>41</v>
      </c>
      <c r="D6" s="36">
        <v>2550900.0</v>
      </c>
      <c r="E6" s="36">
        <v>2550900.0</v>
      </c>
      <c r="F6" s="11" t="s">
        <v>18</v>
      </c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11" t="s">
        <v>42</v>
      </c>
      <c r="C7" s="11" t="s">
        <v>43</v>
      </c>
      <c r="D7" s="11">
        <v>9000.0</v>
      </c>
      <c r="E7" s="11">
        <v>9000.0</v>
      </c>
      <c r="F7" s="11" t="s">
        <v>18</v>
      </c>
      <c r="G7" s="8"/>
      <c r="H7" s="8"/>
      <c r="I7" s="8"/>
      <c r="J7" s="11">
        <v>100.0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0">
        <v>43101.0</v>
      </c>
      <c r="D6" s="31">
        <f>TODAY()</f>
        <v>44753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3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18</v>
      </c>
      <c r="E6" s="32"/>
      <c r="F6" s="8"/>
      <c r="G6" s="8"/>
      <c r="H6" s="8"/>
      <c r="I6" s="8"/>
      <c r="J6" s="8"/>
      <c r="K6" s="34">
        <v>690.0</v>
      </c>
      <c r="L6" s="8"/>
      <c r="M6" s="33" t="s">
        <v>29</v>
      </c>
      <c r="N6" s="8"/>
      <c r="O6" s="34">
        <v>150000.0</v>
      </c>
      <c r="V6" s="33" t="s">
        <v>45</v>
      </c>
      <c r="X6" s="33" t="s">
        <v>40</v>
      </c>
      <c r="AE6" s="9" t="s">
        <v>18</v>
      </c>
      <c r="AL6" s="9">
        <v>100.0</v>
      </c>
      <c r="AP6" s="9">
        <v>2550900.0</v>
      </c>
      <c r="AW6" s="9" t="s">
        <v>41</v>
      </c>
      <c r="AY6" s="9" t="s">
        <v>40</v>
      </c>
    </row>
    <row r="7" ht="15.75" customHeight="1">
      <c r="A7" s="8"/>
      <c r="B7" s="11"/>
      <c r="C7" s="11"/>
      <c r="D7" s="11"/>
      <c r="E7" s="8"/>
      <c r="F7" s="8"/>
      <c r="G7" s="8"/>
      <c r="H7" s="8"/>
      <c r="I7" s="8"/>
      <c r="J7" s="8"/>
      <c r="K7" s="34"/>
      <c r="L7" s="8"/>
      <c r="M7" s="11"/>
      <c r="N7" s="8"/>
      <c r="O7" s="34"/>
      <c r="V7" s="33"/>
    </row>
    <row r="8" ht="15.75" customHeight="1">
      <c r="A8" s="8"/>
      <c r="B8" s="11"/>
      <c r="C8" s="11"/>
      <c r="D8" s="11"/>
      <c r="E8" s="8"/>
      <c r="F8" s="8"/>
      <c r="G8" s="8"/>
      <c r="H8" s="8"/>
      <c r="I8" s="8"/>
      <c r="J8" s="8"/>
      <c r="K8" s="34"/>
      <c r="L8" s="8"/>
      <c r="M8" s="11"/>
      <c r="N8" s="8"/>
      <c r="O8" s="34"/>
    </row>
    <row r="9" ht="15.75" customHeight="1">
      <c r="A9" s="8"/>
      <c r="B9" s="11"/>
      <c r="C9" s="11"/>
      <c r="D9" s="11"/>
      <c r="E9" s="8"/>
      <c r="F9" s="8"/>
      <c r="G9" s="8"/>
      <c r="H9" s="8"/>
      <c r="I9" s="8"/>
      <c r="J9" s="8"/>
      <c r="K9" s="34"/>
      <c r="L9" s="8"/>
      <c r="M9" s="11"/>
      <c r="N9" s="8"/>
      <c r="O9" s="34"/>
      <c r="V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18</v>
      </c>
      <c r="E6" s="8"/>
      <c r="F6" s="8"/>
      <c r="G6" s="8"/>
      <c r="H6" s="8"/>
      <c r="I6" s="8"/>
      <c r="J6" s="8"/>
      <c r="K6" s="34">
        <v>660.0</v>
      </c>
      <c r="L6" s="8"/>
      <c r="M6" s="11" t="s">
        <v>29</v>
      </c>
      <c r="N6" s="8"/>
      <c r="O6" s="34">
        <v>1600000.0</v>
      </c>
      <c r="V6" s="33" t="s">
        <v>45</v>
      </c>
      <c r="X6" s="9" t="s">
        <v>40</v>
      </c>
      <c r="AE6" s="9" t="s">
        <v>18</v>
      </c>
      <c r="AL6" s="9">
        <v>100.0</v>
      </c>
      <c r="AP6" s="9">
        <v>2400900.0</v>
      </c>
      <c r="AW6" s="9" t="s">
        <v>41</v>
      </c>
      <c r="AY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18</v>
      </c>
      <c r="E6" s="8"/>
      <c r="F6" s="8"/>
      <c r="G6" s="8"/>
      <c r="H6" s="8"/>
      <c r="I6" s="8"/>
      <c r="J6" s="8"/>
      <c r="K6" s="34">
        <v>620.0</v>
      </c>
      <c r="L6" s="8"/>
      <c r="M6" s="11" t="s">
        <v>29</v>
      </c>
      <c r="N6" s="8"/>
      <c r="O6" s="34">
        <v>800900.0</v>
      </c>
      <c r="V6" s="9" t="s">
        <v>45</v>
      </c>
      <c r="X6" s="9" t="s">
        <v>40</v>
      </c>
      <c r="AE6" s="9" t="s">
        <v>18</v>
      </c>
      <c r="AL6" s="9">
        <v>100.0</v>
      </c>
      <c r="AP6" s="9">
        <v>800900.0</v>
      </c>
      <c r="AW6" s="9" t="s">
        <v>41</v>
      </c>
      <c r="AY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IFERROR(__xludf.DUMMYFUNCTION("""COMPUTED_VALUE"""),"CloseSSw/BuyBTO")</f>
        <v>CloseSSw/BuyBTO</v>
      </c>
      <c r="C5" s="27" t="str">
        <f>IFERROR(__xludf.DUMMYFUNCTION("""COMPUTED_VALUE"""),"AutoCloseStrategy")</f>
        <v>AutoCloseStrategy</v>
      </c>
      <c r="D5" s="27" t="str">
        <f>IFERROR(__xludf.DUMMYFUNCTION("""COMPUTED_VALUE"""),"LongAccount")</f>
        <v>LongAccount</v>
      </c>
      <c r="E5" s="27" t="str">
        <f>IFERROR(__xludf.DUMMYFUNCTION("""COMPUTED_VALUE"""),"LongAsset Class")</f>
        <v>LongAsset Class</v>
      </c>
      <c r="F5" s="28" t="str">
        <f>IFERROR(__xludf.DUMMYFUNCTION("""COMPUTED_VALUE"""),"LongAUECID")</f>
        <v>LongAUECID</v>
      </c>
      <c r="G5" s="27" t="str">
        <f>IFERROR(__xludf.DUMMYFUNCTION("""COMPUTED_VALUE"""),"LongExternalTransId")</f>
        <v>LongExternalTransId</v>
      </c>
      <c r="H5" s="27" t="str">
        <f>IFERROR(__xludf.DUMMYFUNCTION("""COMPUTED_VALUE"""),"LongIsSwapped")</f>
        <v>LongIsSwapped</v>
      </c>
      <c r="I5" s="27" t="str">
        <f>IFERROR(__xludf.DUMMYFUNCTION("""COMPUTED_VALUE"""),"LongLotId")</f>
        <v>LongLotId</v>
      </c>
      <c r="J5" s="27" t="str">
        <f>IFERROR(__xludf.DUMMYFUNCTION("""COMPUTED_VALUE"""),"LongNet Notional")</f>
        <v>LongNet Notional</v>
      </c>
      <c r="K5" s="27" t="str">
        <f>IFERROR(__xludf.DUMMYFUNCTION("""COMPUTED_VALUE"""),"LongOpening Price")</f>
        <v>LongOpening Price</v>
      </c>
      <c r="L5" s="27" t="str">
        <f>IFERROR(__xludf.DUMMYFUNCTION("""COMPUTED_VALUE"""),"LongOriginal Purchase Date")</f>
        <v>LongOriginal Purchase Date</v>
      </c>
      <c r="M5" s="27" t="str">
        <f>IFERROR(__xludf.DUMMYFUNCTION("""COMPUTED_VALUE"""),"LongPositionTag")</f>
        <v>LongPositionTag</v>
      </c>
      <c r="N5" s="27" t="str">
        <f>IFERROR(__xludf.DUMMYFUNCTION("""COMPUTED_VALUE"""),"LongProcess Date")</f>
        <v>LongProcess Date</v>
      </c>
      <c r="O5" s="27" t="str">
        <f>IFERROR(__xludf.DUMMYFUNCTION("""COMPUTED_VALUE"""),"LongQuantity")</f>
        <v>LongQuantity</v>
      </c>
      <c r="P5" s="27" t="str">
        <f>IFERROR(__xludf.DUMMYFUNCTION("""COMPUTED_VALUE"""),"LongSecurity Name")</f>
        <v>LongSecurity Name</v>
      </c>
      <c r="Q5" s="27" t="str">
        <f>IFERROR(__xludf.DUMMYFUNCTION("""COMPUTED_VALUE"""),"LongSettlement Currency")</f>
        <v>LongSettlement Currency</v>
      </c>
      <c r="R5" s="27" t="str">
        <f>IFERROR(__xludf.DUMMYFUNCTION("""COMPUTED_VALUE"""),"LongSettlement FxRate")</f>
        <v>LongSettlement FxRate</v>
      </c>
      <c r="S5" s="27" t="str">
        <f>IFERROR(__xludf.DUMMYFUNCTION("""COMPUTED_VALUE"""),"LongSettlement FxRate Operator")</f>
        <v>LongSettlement FxRate Operator</v>
      </c>
      <c r="T5" s="29" t="str">
        <f>IFERROR(__xludf.DUMMYFUNCTION("""COMPUTED_VALUE"""),"LongSettlement Price")</f>
        <v>LongSettlement Price</v>
      </c>
      <c r="U5" s="29" t="str">
        <f>IFERROR(__xludf.DUMMYFUNCTION("""COMPUTED_VALUE"""),"LongSettlement Unit Cost")</f>
        <v>LongSettlement Unit Cost</v>
      </c>
      <c r="V5" s="29" t="str">
        <f>IFERROR(__xludf.DUMMYFUNCTION("""COMPUTED_VALUE"""),"LongSide")</f>
        <v>LongSide</v>
      </c>
      <c r="W5" s="29" t="str">
        <f>IFERROR(__xludf.DUMMYFUNCTION("""COMPUTED_VALUE"""),"LongStrategy")</f>
        <v>LongStrategy</v>
      </c>
      <c r="X5" s="29" t="str">
        <f>IFERROR(__xludf.DUMMYFUNCTION("""COMPUTED_VALUE"""),"LongSymbol")</f>
        <v>LongSymbol</v>
      </c>
      <c r="Y5" s="29" t="str">
        <f>IFERROR(__xludf.DUMMYFUNCTION("""COMPUTED_VALUE"""),"LongTaxlot Id")</f>
        <v>LongTaxlot Id</v>
      </c>
      <c r="Z5" s="29" t="str">
        <f>IFERROR(__xludf.DUMMYFUNCTION("""COMPUTED_VALUE"""),"LongTotal Fee And Commission")</f>
        <v>LongTotal Fee And Commission</v>
      </c>
      <c r="AA5" s="29" t="str">
        <f>IFERROR(__xludf.DUMMYFUNCTION("""COMPUTED_VALUE"""),"LongTrade Date")</f>
        <v>LongTrade Date</v>
      </c>
      <c r="AB5" s="29" t="str">
        <f>IFERROR(__xludf.DUMMYFUNCTION("""COMPUTED_VALUE"""),"LongTransaction Type")</f>
        <v>LongTransaction Type</v>
      </c>
      <c r="AC5" s="29" t="str">
        <f>IFERROR(__xludf.DUMMYFUNCTION("""COMPUTED_VALUE"""),"LongUnderlyingName")</f>
        <v>LongUnderlyingName</v>
      </c>
      <c r="AD5" s="29" t="str">
        <f>IFERROR(__xludf.DUMMYFUNCTION("""COMPUTED_VALUE"""),"LongUnitCost")</f>
        <v>LongUnitCost</v>
      </c>
      <c r="AE5" s="29" t="str">
        <f>IFERROR(__xludf.DUMMYFUNCTION("""COMPUTED_VALUE"""),"ShortAccount")</f>
        <v>ShortAccount</v>
      </c>
      <c r="AF5" s="29" t="str">
        <f>IFERROR(__xludf.DUMMYFUNCTION("""COMPUTED_VALUE"""),"ShortAsset Class")</f>
        <v>ShortAsset Class</v>
      </c>
      <c r="AG5" s="29" t="str">
        <f>IFERROR(__xludf.DUMMYFUNCTION("""COMPUTED_VALUE"""),"ShortAUECID")</f>
        <v>ShortAUECID</v>
      </c>
      <c r="AH5" s="29" t="str">
        <f>IFERROR(__xludf.DUMMYFUNCTION("""COMPUTED_VALUE"""),"ShortExternalTransId")</f>
        <v>ShortExternalTransId</v>
      </c>
      <c r="AI5" s="29" t="str">
        <f>IFERROR(__xludf.DUMMYFUNCTION("""COMPUTED_VALUE"""),"ShortIsSwapped")</f>
        <v>ShortIsSwapped</v>
      </c>
      <c r="AJ5" s="29" t="str">
        <f>IFERROR(__xludf.DUMMYFUNCTION("""COMPUTED_VALUE"""),"ShortLotId")</f>
        <v>ShortLotId</v>
      </c>
      <c r="AK5" s="29" t="str">
        <f>IFERROR(__xludf.DUMMYFUNCTION("""COMPUTED_VALUE"""),"ShortNet Notional")</f>
        <v>ShortNet Notional</v>
      </c>
      <c r="AL5" s="29" t="str">
        <f>IFERROR(__xludf.DUMMYFUNCTION("""COMPUTED_VALUE"""),"ShortOpening Price")</f>
        <v>ShortOpening Price</v>
      </c>
      <c r="AM5" s="29" t="str">
        <f>IFERROR(__xludf.DUMMYFUNCTION("""COMPUTED_VALUE"""),"ShortOriginal Purchase Date")</f>
        <v>ShortOriginal Purchase Date</v>
      </c>
      <c r="AN5" s="29" t="str">
        <f>IFERROR(__xludf.DUMMYFUNCTION("""COMPUTED_VALUE"""),"ShortPositionTag")</f>
        <v>ShortPositionTag</v>
      </c>
      <c r="AO5" s="29" t="str">
        <f>IFERROR(__xludf.DUMMYFUNCTION("""COMPUTED_VALUE"""),"ShortProcess Date")</f>
        <v>ShortProcess Date</v>
      </c>
      <c r="AP5" s="29" t="str">
        <f>IFERROR(__xludf.DUMMYFUNCTION("""COMPUTED_VALUE"""),"ShortQuantity")</f>
        <v>ShortQuantity</v>
      </c>
      <c r="AQ5" s="29" t="str">
        <f>IFERROR(__xludf.DUMMYFUNCTION("""COMPUTED_VALUE"""),"ShortSecurity Name")</f>
        <v>ShortSecurity Name</v>
      </c>
      <c r="AR5" s="29" t="str">
        <f>IFERROR(__xludf.DUMMYFUNCTION("""COMPUTED_VALUE"""),"ShortSettlement Currency")</f>
        <v>ShortSettlement Currency</v>
      </c>
      <c r="AS5" s="29" t="str">
        <f>IFERROR(__xludf.DUMMYFUNCTION("""COMPUTED_VALUE"""),"ShortSettlement FxRate")</f>
        <v>ShortSettlement FxRate</v>
      </c>
      <c r="AT5" s="29" t="str">
        <f>IFERROR(__xludf.DUMMYFUNCTION("""COMPUTED_VALUE"""),"ShortSettlement FxRate Operator")</f>
        <v>ShortSettlement FxRate Operator</v>
      </c>
      <c r="AU5" s="29" t="str">
        <f>IFERROR(__xludf.DUMMYFUNCTION("""COMPUTED_VALUE"""),"ShortSettlement Price")</f>
        <v>ShortSettlement Price</v>
      </c>
      <c r="AV5" s="29" t="str">
        <f>IFERROR(__xludf.DUMMYFUNCTION("""COMPUTED_VALUE"""),"ShortSettlement Unit Cost")</f>
        <v>ShortSettlement Unit Cost</v>
      </c>
      <c r="AW5" s="29" t="str">
        <f>IFERROR(__xludf.DUMMYFUNCTION("""COMPUTED_VALUE"""),"ShortSide")</f>
        <v>ShortSide</v>
      </c>
      <c r="AX5" s="29" t="str">
        <f>IFERROR(__xludf.DUMMYFUNCTION("""COMPUTED_VALUE"""),"ShortStrategy")</f>
        <v>ShortStrategy</v>
      </c>
      <c r="AY5" s="29" t="str">
        <f>IFERROR(__xludf.DUMMYFUNCTION("""COMPUTED_VALUE"""),"ShortSymbol")</f>
        <v>ShortSymbol</v>
      </c>
      <c r="AZ5" s="29" t="str">
        <f>IFERROR(__xludf.DUMMYFUNCTION("""COMPUTED_VALUE"""),"ShortTaxlot Id")</f>
        <v>ShortTaxlot Id</v>
      </c>
      <c r="BA5" s="29" t="str">
        <f>IFERROR(__xludf.DUMMYFUNCTION("""COMPUTED_VALUE"""),"ShortTotal Fee And Commission")</f>
        <v>ShortTotal Fee And Commission</v>
      </c>
      <c r="BB5" s="29" t="str">
        <f>IFERROR(__xludf.DUMMYFUNCTION("""COMPUTED_VALUE"""),"ShortTrade Date")</f>
        <v>ShortTrade Date</v>
      </c>
      <c r="BC5" s="29" t="str">
        <f>IFERROR(__xludf.DUMMYFUNCTION("""COMPUTED_VALUE"""),"ShortTransaction Type")</f>
        <v>ShortTransaction Type</v>
      </c>
      <c r="BD5" s="29" t="str">
        <f>IFERROR(__xludf.DUMMYFUNCTION("""COMPUTED_VALUE"""),"ShortUnderlyingName")</f>
        <v>ShortUnderlyingName</v>
      </c>
      <c r="BE5" s="29" t="str">
        <f>IFERROR(__xludf.DUMMYFUNCTION("""COMPUTED_VALUE"""),"ShortUnitCost")</f>
        <v>ShortUnitCost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0</v>
      </c>
      <c r="D6" s="11" t="s">
        <v>18</v>
      </c>
      <c r="E6" s="8"/>
      <c r="F6" s="8"/>
      <c r="G6" s="8"/>
      <c r="H6" s="8"/>
      <c r="I6" s="8"/>
      <c r="J6" s="8"/>
      <c r="K6" s="34">
        <v>100.0</v>
      </c>
      <c r="L6" s="8"/>
      <c r="M6" s="11" t="s">
        <v>29</v>
      </c>
      <c r="N6" s="8"/>
      <c r="O6" s="34">
        <v>9000.0</v>
      </c>
      <c r="V6" s="33" t="s">
        <v>43</v>
      </c>
      <c r="X6" s="9" t="s">
        <v>42</v>
      </c>
      <c r="AE6" s="9" t="s">
        <v>18</v>
      </c>
      <c r="AL6" s="9">
        <v>95.0</v>
      </c>
      <c r="AP6" s="9">
        <v>1000000.0</v>
      </c>
      <c r="AW6" s="9" t="s">
        <v>46</v>
      </c>
      <c r="AY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33" t="s">
        <v>18</v>
      </c>
      <c r="E6" s="32"/>
      <c r="F6" s="33" t="s">
        <v>29</v>
      </c>
      <c r="G6" s="8"/>
      <c r="H6" s="33" t="s">
        <v>40</v>
      </c>
      <c r="I6" s="34">
        <v>150000.0</v>
      </c>
      <c r="J6" s="34">
        <v>690.0</v>
      </c>
      <c r="K6" s="34">
        <v>100.0</v>
      </c>
      <c r="L6" s="8"/>
      <c r="M6" s="8"/>
      <c r="N6" s="8"/>
      <c r="O6" s="8"/>
    </row>
    <row r="7" ht="15.75" customHeight="1">
      <c r="A7" s="8"/>
      <c r="B7" s="8"/>
      <c r="C7" s="8"/>
      <c r="D7" s="33" t="s">
        <v>18</v>
      </c>
      <c r="E7" s="8"/>
      <c r="F7" s="33" t="s">
        <v>29</v>
      </c>
      <c r="G7" s="8"/>
      <c r="H7" s="33" t="s">
        <v>40</v>
      </c>
      <c r="I7" s="34">
        <v>1600000.0</v>
      </c>
      <c r="J7" s="34">
        <v>660.0</v>
      </c>
      <c r="K7" s="34">
        <v>100.0</v>
      </c>
      <c r="L7" s="8"/>
      <c r="M7" s="8"/>
      <c r="N7" s="8"/>
      <c r="O7" s="8"/>
    </row>
    <row r="8" ht="15.75" customHeight="1">
      <c r="A8" s="8"/>
      <c r="B8" s="8"/>
      <c r="C8" s="8"/>
      <c r="D8" s="33" t="s">
        <v>18</v>
      </c>
      <c r="E8" s="8"/>
      <c r="F8" s="33" t="s">
        <v>29</v>
      </c>
      <c r="G8" s="8"/>
      <c r="H8" s="33" t="s">
        <v>40</v>
      </c>
      <c r="I8" s="34">
        <v>800900.0</v>
      </c>
      <c r="J8" s="34">
        <v>620.0</v>
      </c>
      <c r="K8" s="34">
        <v>100.0</v>
      </c>
      <c r="L8" s="8"/>
      <c r="M8" s="8"/>
      <c r="N8" s="8"/>
      <c r="O8" s="8"/>
    </row>
    <row r="9" ht="15.75" customHeight="1">
      <c r="A9" s="8"/>
      <c r="B9" s="8"/>
      <c r="C9" s="8"/>
      <c r="D9" s="33" t="s">
        <v>18</v>
      </c>
      <c r="E9" s="8"/>
      <c r="F9" s="33" t="s">
        <v>34</v>
      </c>
      <c r="G9" s="8"/>
      <c r="H9" s="33" t="s">
        <v>42</v>
      </c>
      <c r="I9" s="34">
        <v>9000.0</v>
      </c>
      <c r="J9" s="34">
        <v>95.0</v>
      </c>
      <c r="K9" s="34">
        <v>100.0</v>
      </c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IFERROR(__xludf.DUMMYFUNCTION("""COMPUTED_VALUE"""),"CostBasisGrossPNL")</f>
        <v>CostBasisGrossPNL</v>
      </c>
      <c r="O5" s="27" t="str">
        <f>IFERROR(__xludf.DUMMYFUNCTION("""COMPUTED_VALUE"""),"Currency")</f>
        <v>Currency</v>
      </c>
      <c r="P5" s="27" t="str">
        <f>IFERROR(__xludf.DUMMYFUNCTION("""COMPUTED_VALUE"""),"CurrencyID")</f>
        <v>CurrencyID</v>
      </c>
      <c r="Q5" s="27" t="str">
        <f>IFERROR(__xludf.DUMMYFUNCTION("""COMPUTED_VALUE"""),"Exchange")</f>
        <v>Exchange</v>
      </c>
      <c r="R5" s="27" t="str">
        <f>IFERROR(__xludf.DUMMYFUNCTION("""COMPUTED_VALUE"""),"NotionalChange")</f>
        <v>NotionalChange</v>
      </c>
      <c r="S5" s="27" t="str">
        <f>IFERROR(__xludf.DUMMYFUNCTION("""COMPUTED_VALUE"""),"OpenAveragePrice")</f>
        <v>OpenAveragePrice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IFERROR(__xludf.DUMMYFUNCTION("""COMPUTED_VALUE"""),"Position Type")</f>
        <v>Position Type</v>
      </c>
      <c r="V5" s="29" t="str">
        <f>IFERROR(__xludf.DUMMYFUNCTION("""COMPUTED_VALUE"""),"PositionSide")</f>
        <v>PositionSide</v>
      </c>
      <c r="W5" s="29" t="str">
        <f>IFERROR(__xludf.DUMMYFUNCTION("""COMPUTED_VALUE"""),"PositionTotalCommissionandFees")</f>
        <v>PositionTotalCommissionandFees</v>
      </c>
      <c r="X5" s="29" t="str">
        <f>IFERROR(__xludf.DUMMYFUNCTION("""COMPUTED_VALUE"""),"Realized PNL(C.B.)")</f>
        <v>Realized PNL(C.B.)</v>
      </c>
      <c r="Y5" s="29" t="str">
        <f>IFERROR(__xludf.DUMMYFUNCTION("""COMPUTED_VALUE"""),"Side")</f>
        <v>Side</v>
      </c>
      <c r="Z5" s="29" t="str">
        <f>IFERROR(__xludf.DUMMYFUNCTION("""COMPUTED_VALUE"""),"Strategy")</f>
        <v>Strategy</v>
      </c>
      <c r="AA5" s="29" t="str">
        <f>IFERROR(__xludf.DUMMYFUNCTION("""COMPUTED_VALUE"""),"Symbol")</f>
        <v>Symbol</v>
      </c>
      <c r="AB5" s="29" t="str">
        <f>IFERROR(__xludf.DUMMYFUNCTION("""COMPUTED_VALUE"""),"Taxlot ID")</f>
        <v>Taxlot ID</v>
      </c>
      <c r="AC5" s="29" t="str">
        <f>IFERROR(__xludf.DUMMYFUNCTION("""COMPUTED_VALUE"""),"UnderlyingName")</f>
        <v>UnderlyingName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2"/>
      <c r="F6" s="8"/>
      <c r="G6" s="9">
        <v>8009.0</v>
      </c>
      <c r="H6" s="8"/>
      <c r="I6" s="8"/>
      <c r="J6" s="8"/>
      <c r="K6" s="8"/>
      <c r="L6" s="8"/>
      <c r="M6" s="8"/>
      <c r="N6" s="8"/>
      <c r="O6" s="8"/>
      <c r="S6" s="11">
        <v>5620.0</v>
      </c>
      <c r="Y6" s="33" t="s">
        <v>17</v>
      </c>
      <c r="AA6" s="33" t="s">
        <v>30</v>
      </c>
    </row>
    <row r="7" ht="15.75" customHeight="1">
      <c r="A7" s="8"/>
      <c r="B7" s="11" t="s">
        <v>18</v>
      </c>
      <c r="C7" s="8"/>
      <c r="D7" s="8"/>
      <c r="E7" s="8"/>
      <c r="F7" s="8"/>
      <c r="G7" s="9">
        <v>16000.0</v>
      </c>
      <c r="H7" s="8"/>
      <c r="I7" s="8"/>
      <c r="J7" s="8"/>
      <c r="K7" s="8"/>
      <c r="L7" s="8"/>
      <c r="M7" s="8"/>
      <c r="N7" s="8"/>
      <c r="O7" s="8"/>
      <c r="S7" s="11">
        <v>120.0</v>
      </c>
      <c r="Y7" s="33" t="s">
        <v>17</v>
      </c>
      <c r="AA7" s="33" t="s">
        <v>31</v>
      </c>
    </row>
    <row r="8" ht="15.75" customHeight="1">
      <c r="A8" s="8"/>
      <c r="B8" s="11" t="s">
        <v>18</v>
      </c>
      <c r="C8" s="8"/>
      <c r="D8" s="8"/>
      <c r="E8" s="8"/>
      <c r="F8" s="8"/>
      <c r="G8" s="9">
        <v>1500.0</v>
      </c>
      <c r="H8" s="8"/>
      <c r="I8" s="8"/>
      <c r="J8" s="8"/>
      <c r="K8" s="8"/>
      <c r="L8" s="8"/>
      <c r="M8" s="8"/>
      <c r="N8" s="8"/>
      <c r="O8" s="8"/>
      <c r="S8" s="11">
        <v>157.0</v>
      </c>
      <c r="Y8" s="33" t="s">
        <v>17</v>
      </c>
      <c r="AA8" s="33" t="s">
        <v>32</v>
      </c>
    </row>
    <row r="9" ht="15.75" customHeight="1">
      <c r="A9" s="8"/>
      <c r="B9" s="11" t="s">
        <v>18</v>
      </c>
      <c r="C9" s="8"/>
      <c r="D9" s="8"/>
      <c r="E9" s="8"/>
      <c r="F9" s="8"/>
      <c r="G9" s="9">
        <v>10000.0</v>
      </c>
      <c r="H9" s="8"/>
      <c r="I9" s="8"/>
      <c r="J9" s="8"/>
      <c r="K9" s="8"/>
      <c r="L9" s="8"/>
      <c r="M9" s="8"/>
      <c r="N9" s="8"/>
      <c r="O9" s="8"/>
      <c r="S9" s="11">
        <v>140.0</v>
      </c>
      <c r="Y9" s="33" t="s">
        <v>22</v>
      </c>
      <c r="AA9" s="33" t="s">
        <v>35</v>
      </c>
    </row>
    <row r="10" ht="15.75" customHeight="1">
      <c r="A10" s="8"/>
      <c r="B10" s="11" t="s">
        <v>18</v>
      </c>
      <c r="C10" s="8"/>
      <c r="D10" s="8"/>
      <c r="E10" s="8"/>
      <c r="F10" s="8"/>
      <c r="G10" s="9">
        <v>5000.0</v>
      </c>
      <c r="H10" s="8"/>
      <c r="I10" s="8"/>
      <c r="J10" s="8"/>
      <c r="K10" s="8"/>
      <c r="L10" s="8"/>
      <c r="M10" s="8"/>
      <c r="N10" s="8"/>
      <c r="O10" s="8"/>
      <c r="S10" s="11">
        <v>34.0</v>
      </c>
      <c r="Y10" s="33" t="s">
        <v>22</v>
      </c>
      <c r="AA10" s="33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0">
        <v>43101.0</v>
      </c>
      <c r="D6" s="31">
        <f>TODAY()</f>
        <v>44753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18</v>
      </c>
      <c r="C6" s="8"/>
      <c r="D6" s="11"/>
      <c r="E6" s="38">
        <v>8009.0</v>
      </c>
      <c r="F6" s="8"/>
      <c r="G6" s="8"/>
      <c r="H6" s="8"/>
      <c r="I6" s="8"/>
      <c r="J6" s="8"/>
      <c r="K6" s="38">
        <v>5620.0</v>
      </c>
      <c r="L6" s="38">
        <v>5620.0</v>
      </c>
      <c r="M6" s="8"/>
      <c r="N6" s="8"/>
      <c r="O6" s="8"/>
      <c r="S6" s="37" t="s">
        <v>52</v>
      </c>
      <c r="AE6" s="38">
        <v>8009.0</v>
      </c>
      <c r="BJ6" s="38">
        <v>8009.0</v>
      </c>
      <c r="BO6" s="37" t="s">
        <v>17</v>
      </c>
      <c r="BT6" s="37" t="s">
        <v>30</v>
      </c>
    </row>
    <row r="7" ht="15.75" customHeight="1">
      <c r="A7" s="8"/>
      <c r="B7" s="37" t="s">
        <v>18</v>
      </c>
      <c r="C7" s="8"/>
      <c r="D7" s="8"/>
      <c r="E7" s="38">
        <v>16000.0</v>
      </c>
      <c r="F7" s="8"/>
      <c r="G7" s="8"/>
      <c r="H7" s="8"/>
      <c r="I7" s="8"/>
      <c r="J7" s="8"/>
      <c r="K7" s="39">
        <v>120.0</v>
      </c>
      <c r="L7" s="39">
        <v>120.0</v>
      </c>
      <c r="M7" s="8"/>
      <c r="N7" s="8"/>
      <c r="O7" s="8"/>
      <c r="S7" s="37" t="s">
        <v>52</v>
      </c>
      <c r="AE7" s="38">
        <v>16000.0</v>
      </c>
      <c r="BJ7" s="38">
        <v>16000.0</v>
      </c>
      <c r="BO7" s="37" t="s">
        <v>17</v>
      </c>
      <c r="BT7" s="37" t="s">
        <v>31</v>
      </c>
    </row>
    <row r="8" ht="15.75" customHeight="1">
      <c r="A8" s="8"/>
      <c r="B8" s="37" t="s">
        <v>18</v>
      </c>
      <c r="C8" s="8"/>
      <c r="D8" s="8"/>
      <c r="E8" s="38">
        <v>1500.0</v>
      </c>
      <c r="F8" s="8"/>
      <c r="G8" s="8"/>
      <c r="H8" s="8"/>
      <c r="I8" s="8"/>
      <c r="J8" s="8"/>
      <c r="K8" s="39">
        <v>157.0</v>
      </c>
      <c r="L8" s="39">
        <v>157.0</v>
      </c>
      <c r="M8" s="8"/>
      <c r="N8" s="8"/>
      <c r="O8" s="8"/>
      <c r="S8" s="37" t="s">
        <v>52</v>
      </c>
      <c r="AE8" s="38">
        <v>1500.0</v>
      </c>
      <c r="BJ8" s="38">
        <v>1500.0</v>
      </c>
      <c r="BO8" s="37" t="s">
        <v>17</v>
      </c>
      <c r="BT8" s="37" t="s">
        <v>32</v>
      </c>
    </row>
    <row r="9" ht="15.75" customHeight="1">
      <c r="A9" s="8"/>
      <c r="B9" s="37" t="s">
        <v>18</v>
      </c>
      <c r="C9" s="8"/>
      <c r="D9" s="8"/>
      <c r="E9" s="38">
        <v>10000.0</v>
      </c>
      <c r="F9" s="8"/>
      <c r="G9" s="8"/>
      <c r="H9" s="8"/>
      <c r="I9" s="8"/>
      <c r="J9" s="8"/>
      <c r="K9" s="39">
        <v>140.0</v>
      </c>
      <c r="L9" s="39">
        <v>140.0</v>
      </c>
      <c r="M9" s="8"/>
      <c r="N9" s="8"/>
      <c r="O9" s="8"/>
      <c r="S9" s="37" t="s">
        <v>52</v>
      </c>
      <c r="AE9" s="38">
        <v>10000.0</v>
      </c>
      <c r="BJ9" s="38">
        <v>10000.0</v>
      </c>
      <c r="BO9" s="37" t="s">
        <v>22</v>
      </c>
      <c r="BT9" s="37" t="s">
        <v>35</v>
      </c>
    </row>
    <row r="10" ht="15.75" customHeight="1">
      <c r="A10" s="8"/>
      <c r="B10" s="37" t="s">
        <v>18</v>
      </c>
      <c r="C10" s="8"/>
      <c r="D10" s="8"/>
      <c r="E10" s="38">
        <v>5000.0</v>
      </c>
      <c r="F10" s="8"/>
      <c r="G10" s="8"/>
      <c r="H10" s="8"/>
      <c r="I10" s="8"/>
      <c r="J10" s="8"/>
      <c r="K10" s="39">
        <v>34.0</v>
      </c>
      <c r="L10" s="39">
        <v>34.0</v>
      </c>
      <c r="M10" s="8"/>
      <c r="N10" s="8"/>
      <c r="O10" s="8"/>
      <c r="S10" s="37" t="s">
        <v>52</v>
      </c>
      <c r="AE10" s="38">
        <v>5000.0</v>
      </c>
      <c r="BJ10" s="38">
        <v>5000.0</v>
      </c>
      <c r="BO10" s="37" t="s">
        <v>22</v>
      </c>
      <c r="BT10" s="37" t="s">
        <v>36</v>
      </c>
    </row>
    <row r="11" ht="15.75" customHeight="1">
      <c r="A11" s="8"/>
      <c r="B11" s="37" t="s">
        <v>18</v>
      </c>
      <c r="C11" s="8"/>
      <c r="D11" s="8"/>
      <c r="E11" s="38">
        <v>8009.0</v>
      </c>
      <c r="F11" s="8"/>
      <c r="G11" s="8"/>
      <c r="H11" s="8"/>
      <c r="I11" s="8"/>
      <c r="J11" s="8"/>
      <c r="K11" s="39">
        <v>0.0</v>
      </c>
      <c r="L11" s="39">
        <v>0.0</v>
      </c>
      <c r="M11" s="8"/>
      <c r="N11" s="8"/>
      <c r="O11" s="8"/>
      <c r="S11" s="37" t="s">
        <v>52</v>
      </c>
      <c r="AE11" s="38">
        <v>8009.0</v>
      </c>
      <c r="BJ11" s="38">
        <v>8009.0</v>
      </c>
      <c r="BO11" s="37" t="s">
        <v>53</v>
      </c>
      <c r="BT11" s="37" t="s">
        <v>30</v>
      </c>
    </row>
    <row r="12" ht="15.75" customHeight="1">
      <c r="A12" s="8"/>
      <c r="B12" s="37" t="s">
        <v>18</v>
      </c>
      <c r="C12" s="8"/>
      <c r="D12" s="8"/>
      <c r="E12" s="38">
        <v>16000.0</v>
      </c>
      <c r="F12" s="8"/>
      <c r="G12" s="8"/>
      <c r="H12" s="8"/>
      <c r="I12" s="8"/>
      <c r="J12" s="8"/>
      <c r="K12" s="39">
        <v>0.0</v>
      </c>
      <c r="L12" s="39">
        <v>0.0</v>
      </c>
      <c r="M12" s="8"/>
      <c r="N12" s="8"/>
      <c r="O12" s="8"/>
      <c r="S12" s="37" t="s">
        <v>52</v>
      </c>
      <c r="AE12" s="38">
        <v>16000.0</v>
      </c>
      <c r="BJ12" s="38">
        <v>16000.0</v>
      </c>
      <c r="BO12" s="37" t="s">
        <v>53</v>
      </c>
      <c r="BT12" s="37" t="s">
        <v>31</v>
      </c>
    </row>
    <row r="13" ht="15.75" customHeight="1">
      <c r="A13" s="8"/>
      <c r="B13" s="37" t="s">
        <v>18</v>
      </c>
      <c r="C13" s="8"/>
      <c r="D13" s="8"/>
      <c r="E13" s="38">
        <v>1500.0</v>
      </c>
      <c r="F13" s="8"/>
      <c r="G13" s="8"/>
      <c r="H13" s="8"/>
      <c r="I13" s="8"/>
      <c r="J13" s="8"/>
      <c r="K13" s="39">
        <v>0.0</v>
      </c>
      <c r="L13" s="39">
        <v>0.0</v>
      </c>
      <c r="M13" s="8"/>
      <c r="N13" s="8"/>
      <c r="O13" s="8"/>
      <c r="S13" s="37" t="s">
        <v>52</v>
      </c>
      <c r="AE13" s="38">
        <v>1500.0</v>
      </c>
      <c r="BJ13" s="38">
        <v>1500.0</v>
      </c>
      <c r="BO13" s="37" t="s">
        <v>53</v>
      </c>
      <c r="BT13" s="37" t="s">
        <v>32</v>
      </c>
    </row>
    <row r="14" ht="15.75" customHeight="1">
      <c r="A14" s="8"/>
      <c r="B14" s="37" t="s">
        <v>18</v>
      </c>
      <c r="C14" s="8"/>
      <c r="D14" s="8"/>
      <c r="E14" s="38">
        <v>10000.0</v>
      </c>
      <c r="F14" s="8"/>
      <c r="G14" s="8"/>
      <c r="H14" s="8"/>
      <c r="I14" s="8"/>
      <c r="J14" s="8"/>
      <c r="K14" s="39">
        <v>0.0</v>
      </c>
      <c r="L14" s="39">
        <v>0.0</v>
      </c>
      <c r="M14" s="8"/>
      <c r="N14" s="8"/>
      <c r="O14" s="8"/>
      <c r="S14" s="37" t="s">
        <v>52</v>
      </c>
      <c r="AE14" s="38">
        <v>10000.0</v>
      </c>
      <c r="BJ14" s="38">
        <v>10000.0</v>
      </c>
      <c r="BO14" s="37" t="s">
        <v>43</v>
      </c>
      <c r="BT14" s="37" t="s">
        <v>35</v>
      </c>
    </row>
    <row r="15" ht="15.75" customHeight="1">
      <c r="A15" s="8"/>
      <c r="B15" s="37" t="s">
        <v>18</v>
      </c>
      <c r="C15" s="8"/>
      <c r="D15" s="8"/>
      <c r="E15" s="38">
        <v>5000.0</v>
      </c>
      <c r="F15" s="8"/>
      <c r="G15" s="8"/>
      <c r="H15" s="8"/>
      <c r="I15" s="8"/>
      <c r="J15" s="8"/>
      <c r="K15" s="39">
        <v>0.0</v>
      </c>
      <c r="L15" s="39">
        <v>0.0</v>
      </c>
      <c r="M15" s="8"/>
      <c r="N15" s="8"/>
      <c r="O15" s="8"/>
      <c r="S15" s="37" t="s">
        <v>52</v>
      </c>
      <c r="AE15" s="38">
        <v>5000.0</v>
      </c>
      <c r="BJ15" s="38">
        <v>5000.0</v>
      </c>
      <c r="BO15" s="37" t="s">
        <v>43</v>
      </c>
      <c r="BT15" s="37" t="s">
        <v>36</v>
      </c>
    </row>
    <row r="16" ht="15.75" customHeight="1">
      <c r="A16" s="8"/>
      <c r="B16" s="37" t="s">
        <v>18</v>
      </c>
      <c r="C16" s="8"/>
      <c r="D16" s="8"/>
      <c r="E16" s="38">
        <v>500000.0</v>
      </c>
      <c r="F16" s="8"/>
      <c r="G16" s="8"/>
      <c r="H16" s="8"/>
      <c r="I16" s="8"/>
      <c r="J16" s="8"/>
      <c r="K16" s="39">
        <v>190.0</v>
      </c>
      <c r="L16" s="39">
        <v>190.0</v>
      </c>
      <c r="M16" s="8"/>
      <c r="N16" s="8"/>
      <c r="O16" s="8"/>
      <c r="S16" s="37" t="s">
        <v>54</v>
      </c>
      <c r="AE16" s="38">
        <v>500000.0</v>
      </c>
      <c r="BJ16" s="38">
        <v>500000.0</v>
      </c>
      <c r="BO16" s="37" t="s">
        <v>45</v>
      </c>
      <c r="BT16" s="37" t="s">
        <v>42</v>
      </c>
    </row>
    <row r="17" ht="15.75" customHeight="1">
      <c r="A17" s="8"/>
      <c r="B17" s="37" t="s">
        <v>18</v>
      </c>
      <c r="C17" s="8"/>
      <c r="D17" s="8"/>
      <c r="E17" s="38">
        <v>1000000.0</v>
      </c>
      <c r="F17" s="8"/>
      <c r="G17" s="8"/>
      <c r="H17" s="8"/>
      <c r="I17" s="8"/>
      <c r="J17" s="8"/>
      <c r="K17" s="39">
        <v>95.0</v>
      </c>
      <c r="L17" s="39">
        <v>95.0</v>
      </c>
      <c r="M17" s="8"/>
      <c r="N17" s="8"/>
      <c r="O17" s="8"/>
      <c r="S17" s="37" t="s">
        <v>55</v>
      </c>
      <c r="AE17" s="38">
        <v>1000000.0</v>
      </c>
      <c r="BJ17" s="38">
        <v>1000000.0</v>
      </c>
      <c r="BO17" s="37" t="s">
        <v>46</v>
      </c>
      <c r="BT17" s="37" t="s">
        <v>42</v>
      </c>
    </row>
    <row r="18" ht="15.75" customHeight="1">
      <c r="A18" s="8"/>
      <c r="B18" s="37" t="s">
        <v>18</v>
      </c>
      <c r="C18" s="8"/>
      <c r="D18" s="8"/>
      <c r="E18" s="38">
        <v>150000.0</v>
      </c>
      <c r="F18" s="8"/>
      <c r="G18" s="8"/>
      <c r="H18" s="8"/>
      <c r="I18" s="8"/>
      <c r="J18" s="8"/>
      <c r="K18" s="39">
        <v>690.0</v>
      </c>
      <c r="L18" s="39">
        <v>690.0</v>
      </c>
      <c r="M18" s="8"/>
      <c r="N18" s="8"/>
      <c r="O18" s="8"/>
      <c r="S18" s="37" t="s">
        <v>52</v>
      </c>
      <c r="AE18" s="38">
        <v>150000.0</v>
      </c>
      <c r="BJ18" s="38">
        <v>150000.0</v>
      </c>
      <c r="BO18" s="37" t="s">
        <v>45</v>
      </c>
      <c r="BT18" s="37" t="s">
        <v>40</v>
      </c>
    </row>
    <row r="19" ht="15.75" customHeight="1">
      <c r="A19" s="8"/>
      <c r="B19" s="37" t="s">
        <v>18</v>
      </c>
      <c r="C19" s="8"/>
      <c r="D19" s="8"/>
      <c r="E19" s="38">
        <v>1600000.0</v>
      </c>
      <c r="F19" s="8"/>
      <c r="G19" s="8"/>
      <c r="H19" s="8"/>
      <c r="I19" s="8"/>
      <c r="J19" s="8"/>
      <c r="K19" s="39">
        <v>660.0</v>
      </c>
      <c r="L19" s="39">
        <v>660.0</v>
      </c>
      <c r="M19" s="8"/>
      <c r="N19" s="8"/>
      <c r="O19" s="8"/>
      <c r="S19" s="37" t="s">
        <v>52</v>
      </c>
      <c r="AE19" s="38">
        <v>1600000.0</v>
      </c>
      <c r="BJ19" s="38">
        <v>1600000.0</v>
      </c>
      <c r="BO19" s="37" t="s">
        <v>45</v>
      </c>
      <c r="BT19" s="37" t="s">
        <v>40</v>
      </c>
    </row>
    <row r="20" ht="15.75" customHeight="1">
      <c r="A20" s="8"/>
      <c r="B20" s="37" t="s">
        <v>18</v>
      </c>
      <c r="C20" s="8"/>
      <c r="D20" s="8"/>
      <c r="E20" s="38">
        <v>800900.0</v>
      </c>
      <c r="F20" s="8"/>
      <c r="G20" s="8"/>
      <c r="H20" s="8"/>
      <c r="I20" s="8"/>
      <c r="J20" s="8"/>
      <c r="K20" s="39">
        <v>620.0</v>
      </c>
      <c r="L20" s="39">
        <v>620.0</v>
      </c>
      <c r="M20" s="8"/>
      <c r="N20" s="8"/>
      <c r="O20" s="8"/>
      <c r="S20" s="37" t="s">
        <v>52</v>
      </c>
      <c r="AE20" s="38">
        <v>800900.0</v>
      </c>
      <c r="BJ20" s="38">
        <v>800900.0</v>
      </c>
      <c r="BO20" s="37" t="s">
        <v>45</v>
      </c>
      <c r="BT20" s="37" t="s">
        <v>40</v>
      </c>
    </row>
    <row r="21" ht="15.75" customHeight="1">
      <c r="A21" s="8"/>
      <c r="B21" s="37" t="s">
        <v>18</v>
      </c>
      <c r="C21" s="8"/>
      <c r="D21" s="8"/>
      <c r="E21" s="38">
        <v>2550900.0</v>
      </c>
      <c r="F21" s="8"/>
      <c r="G21" s="8"/>
      <c r="H21" s="8"/>
      <c r="I21" s="8"/>
      <c r="J21" s="8"/>
      <c r="K21" s="39">
        <v>100.0</v>
      </c>
      <c r="L21" s="39">
        <v>100.0</v>
      </c>
      <c r="M21" s="8"/>
      <c r="N21" s="8"/>
      <c r="O21" s="8"/>
      <c r="S21" s="37" t="s">
        <v>52</v>
      </c>
      <c r="AE21" s="38">
        <v>2550900.0</v>
      </c>
      <c r="BJ21" s="38">
        <v>2550900.0</v>
      </c>
      <c r="BO21" s="37" t="s">
        <v>41</v>
      </c>
      <c r="BT21" s="37" t="s">
        <v>40</v>
      </c>
    </row>
    <row r="22" ht="15.75" customHeight="1">
      <c r="A22" s="8"/>
      <c r="B22" s="37" t="s">
        <v>18</v>
      </c>
      <c r="C22" s="8"/>
      <c r="D22" s="8"/>
      <c r="E22" s="38">
        <v>9000.0</v>
      </c>
      <c r="F22" s="8"/>
      <c r="G22" s="8"/>
      <c r="H22" s="8"/>
      <c r="I22" s="8"/>
      <c r="J22" s="8"/>
      <c r="K22" s="39">
        <v>100.0</v>
      </c>
      <c r="L22" s="39">
        <v>100.0</v>
      </c>
      <c r="M22" s="8"/>
      <c r="N22" s="8"/>
      <c r="O22" s="8"/>
      <c r="S22" s="37" t="s">
        <v>52</v>
      </c>
      <c r="AE22" s="38">
        <v>9000.0</v>
      </c>
      <c r="BJ22" s="38">
        <v>9000.0</v>
      </c>
      <c r="BO22" s="37" t="s">
        <v>43</v>
      </c>
      <c r="BT22" s="37" t="s">
        <v>42</v>
      </c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