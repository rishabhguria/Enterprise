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SetTTUIAdminPreferences" sheetId="4" r:id="rId7"/>
    <sheet state="visible" name="RestartReleasesAndServices" sheetId="5" r:id="rId8"/>
    <sheet state="visible" name="CustomOrderTT" sheetId="6" r:id="rId9"/>
    <sheet state="visible" name="LogOutSamsara" sheetId="7" r:id="rId10"/>
    <sheet state="visible" name="LoginClient" sheetId="8" r:id="rId11"/>
    <sheet state="visible" name="OpenRTPNL" sheetId="9" r:id="rId12"/>
    <sheet state="visible" name="IncreaseOrUnwindPositionRTPNL" sheetId="10" r:id="rId13"/>
    <sheet state="visible" name="CalculatePTT" sheetId="11" r:id="rId14"/>
    <sheet state="visible" name="VerifyTT" sheetId="12" r:id="rId15"/>
  </sheets>
  <definedNames/>
  <calcPr/>
  <extLst>
    <ext uri="GoogleSheetsCustomDataVersion2">
      <go:sheetsCustomData xmlns:go="http://customooxmlschemas.google.com/" r:id="rId16" roundtripDataChecksum="7e7jjR9tKi++D0yIutIuVbUzXsk+NGbH4EbKPo13T/U="/>
    </ext>
  </extLst>
</workbook>
</file>

<file path=xl/sharedStrings.xml><?xml version="1.0" encoding="utf-8"?>
<sst xmlns="http://schemas.openxmlformats.org/spreadsheetml/2006/main" count="126" uniqueCount="102">
  <si>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</si>
  <si>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</si>
  <si>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</si>
  <si>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</si>
  <si>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</si>
  <si>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</si>
  <si>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</si>
  <si>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</si>
  <si>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</si>
  <si>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</si>
  <si>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</si>
  <si>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Broker</t>
  </si>
  <si>
    <t>Venue</t>
  </si>
  <si>
    <t>TIF</t>
  </si>
  <si>
    <t>Trader</t>
  </si>
  <si>
    <t>ShowHideTargetQuantity</t>
  </si>
  <si>
    <t>SecurityValidationForEquityOption</t>
  </si>
  <si>
    <t>Order Type</t>
  </si>
  <si>
    <t>Account</t>
  </si>
  <si>
    <t>NULL</t>
  </si>
  <si>
    <t>Restart Basket</t>
  </si>
  <si>
    <t>DontShutSimulator</t>
  </si>
  <si>
    <t>YES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</si>
  <si>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</si>
  <si>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</si>
  <si>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</si>
  <si>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</si>
  <si>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</si>
  <si>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</si>
  <si>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</si>
  <si>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</si>
  <si>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</si>
  <si>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MS</t>
  </si>
  <si>
    <t>Action</t>
  </si>
  <si>
    <t>VerifyDock</t>
  </si>
  <si>
    <t>VerifyTextOnLogoutDock</t>
  </si>
  <si>
    <t>Save</t>
  </si>
  <si>
    <t>LoginUserName</t>
  </si>
  <si>
    <t>LoginPassword</t>
  </si>
  <si>
    <t>Support6</t>
  </si>
  <si>
    <t>Nirvana@1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</si>
  <si>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</si>
  <si>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</si>
  <si>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</si>
  <si>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</si>
  <si>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</si>
  <si>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</si>
  <si>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</si>
  <si>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</si>
  <si>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adjust,decrease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</si>
  <si>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</si>
  <si>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</si>
  <si>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</si>
  <si>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</si>
  <si>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</si>
  <si>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</si>
  <si>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</si>
  <si>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</si>
  <si>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</si>
  <si>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</si>
  <si>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</si>
  <si>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Stop</t>
  </si>
  <si>
    <t>Limit</t>
  </si>
  <si>
    <t>Increase</t>
  </si>
  <si>
    <t>Percentage</t>
  </si>
  <si>
    <t>Symbol</t>
  </si>
  <si>
    <t>Order Side</t>
  </si>
  <si>
    <t>Quantity</t>
  </si>
  <si>
    <t>TargetQuantityIn</t>
  </si>
  <si>
    <t>AllocationMethod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</si>
  <si>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</si>
  <si>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</si>
  <si>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</si>
  <si>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</si>
  <si>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</si>
  <si>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</si>
  <si>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</si>
  <si>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</si>
  <si>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</si>
  <si>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</si>
  <si>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</si>
  <si>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</si>
  <si>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</si>
  <si>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</si>
  <si>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</si>
  <si>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</si>
  <si>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</si>
  <si>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MasterFund</t>
  </si>
  <si>
    <t>RoundLotStrip</t>
  </si>
  <si>
    <t>Button_Status</t>
  </si>
  <si>
    <t>Position</t>
  </si>
  <si>
    <t>Symbol Name</t>
  </si>
  <si>
    <t>Last</t>
  </si>
  <si>
    <t>Change</t>
  </si>
  <si>
    <t>Bid</t>
  </si>
  <si>
    <t>Ask</t>
  </si>
  <si>
    <t>Notional(Base)</t>
  </si>
  <si>
    <t>Notional(Local)</t>
  </si>
  <si>
    <t>Exposure</t>
  </si>
  <si>
    <t>Day P&amp;L</t>
  </si>
  <si>
    <t>VerifyDisableVenue</t>
  </si>
  <si>
    <t>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</si>
</sst>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color theme="1"/>
      <name val="Arial"/>
      <scheme val="minor"/>
    </font>
    <font>
      <color rgb="FFFFFFFF"/>
      <name val="Arial"/>
    </font>
    <font>
      <color rgb="FFD9D9D9"/>
      <name val="Calibri"/>
    </font>
    <font>
      <color rgb="FFD9D9D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Font="1"/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9" numFmtId="0" xfId="0" applyFont="1"/>
    <xf borderId="0" fillId="0" fontId="10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9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</row>
    <row r="6">
      <c r="B6" s="13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3" t="s">
        <v>20</v>
      </c>
      <c r="C5" s="13" t="s">
        <v>21</v>
      </c>
    </row>
    <row r="6">
      <c r="B6" s="13" t="s">
        <v>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4"/>
      <c r="B1" s="1" t="s">
        <v>23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24</v>
      </c>
      <c r="D3" s="4" t="s">
        <v>9</v>
      </c>
      <c r="E3" s="10" t="s">
        <v>25</v>
      </c>
      <c r="F3" s="4" t="s">
        <v>26</v>
      </c>
      <c r="G3" s="10" t="s">
        <v>27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28</v>
      </c>
      <c r="C6" s="6">
        <v>2000.0</v>
      </c>
      <c r="D6" s="6">
        <v>10.0</v>
      </c>
      <c r="E6" s="6" t="s">
        <v>29</v>
      </c>
      <c r="F6" s="6"/>
      <c r="G6" s="6"/>
      <c r="H6" s="6"/>
      <c r="I6" s="6" t="s">
        <v>30</v>
      </c>
      <c r="J6" s="6" t="s">
        <v>31</v>
      </c>
      <c r="K6" s="6"/>
      <c r="L6" s="6"/>
      <c r="M6" s="6"/>
      <c r="N6" s="6"/>
      <c r="O6" s="6"/>
      <c r="AA6" s="13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3" t="s">
        <v>33</v>
      </c>
      <c r="C5" s="13" t="s">
        <v>34</v>
      </c>
      <c r="D5" s="13" t="s">
        <v>35</v>
      </c>
    </row>
    <row r="6">
      <c r="B6" s="13" t="s">
        <v>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3" t="s">
        <v>37</v>
      </c>
      <c r="C5" s="13" t="s">
        <v>38</v>
      </c>
    </row>
    <row r="6">
      <c r="B6" s="13" t="s">
        <v>39</v>
      </c>
      <c r="C6" s="13" t="s">
        <v>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13"/>
  </cols>
  <sheetData>
    <row r="5">
      <c r="A5" s="24"/>
      <c r="B5" s="25" t="s">
        <v>41</v>
      </c>
      <c r="C5" s="25" t="s">
        <v>42</v>
      </c>
      <c r="D5" s="25" t="s">
        <v>43</v>
      </c>
      <c r="E5" s="25" t="s">
        <v>44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6"/>
      <c r="B6" s="27" t="s">
        <v>45</v>
      </c>
      <c r="C6" s="27" t="s">
        <v>46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4"/>
      <c r="B1" s="1" t="s">
        <v>23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0" t="s">
        <v>47</v>
      </c>
      <c r="D3" s="4" t="s">
        <v>9</v>
      </c>
      <c r="E3" s="10" t="s">
        <v>48</v>
      </c>
      <c r="F3" s="4" t="s">
        <v>26</v>
      </c>
      <c r="G3" s="10" t="s">
        <v>27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IFERROR(__xludf.DUMMYFUNCTION("""COMPUTED_VALUE"""),"Security Name")</f>
        <v>Security Name</v>
      </c>
      <c r="D5" s="22" t="str">
        <f>IFERROR(__xludf.DUMMYFUNCTION("""COMPUTED_VALUE"""),"Fund")</f>
        <v>Fund</v>
      </c>
      <c r="E5" s="22" t="str">
        <f>IFERROR(__xludf.DUMMYFUNCTION("""COMPUTED_VALUE"""),"Account")</f>
        <v>Account</v>
      </c>
      <c r="F5" s="22" t="str">
        <f>IFERROR(__xludf.DUMMYFUNCTION("""COMPUTED_VALUE"""),"Asset Class")</f>
        <v>Asset Class</v>
      </c>
      <c r="G5" s="22" t="str">
        <f>IFERROR(__xludf.DUMMYFUNCTION("""COMPUTED_VALUE"""),"Position")</f>
        <v>Position</v>
      </c>
      <c r="H5" s="22" t="str">
        <f>IFERROR(__xludf.DUMMYFUNCTION("""COMPUTED_VALUE"""),"Position Side")</f>
        <v>Position Side</v>
      </c>
      <c r="I5" s="22" t="str">
        <f>IFERROR(__xludf.DUMMYFUNCTION("""COMPUTED_VALUE"""),"Px Selected Feed (Local)")</f>
        <v>Px Selected Feed (Local)</v>
      </c>
      <c r="J5" s="22" t="str">
        <f>IFERROR(__xludf.DUMMYFUNCTION("""COMPUTED_VALUE"""),"Px Selected Feed (Base)")</f>
        <v>Px Selected Feed (Base)</v>
      </c>
      <c r="K5" s="22" t="str">
        <f>IFERROR(__xludf.DUMMYFUNCTION("""COMPUTED_VALUE"""),"Market Value (Base)")</f>
        <v>Market Value (Base)</v>
      </c>
      <c r="L5" s="22" t="str">
        <f>IFERROR(__xludf.DUMMYFUNCTION("""COMPUTED_VALUE"""),"% Net Market Value (Base)")</f>
        <v>% Net Market Value (Base)</v>
      </c>
      <c r="M5" s="22" t="str">
        <f>IFERROR(__xludf.DUMMYFUNCTION("""COMPUTED_VALUE"""),"Cost Basis P&amp;L (Base)")</f>
        <v>Cost Basis P&amp;L (Base)</v>
      </c>
      <c r="N5" s="22" t="str">
        <f>IFERROR(__xludf.DUMMYFUNCTION("""COMPUTED_VALUE"""),"% Gain/Loss Cost")</f>
        <v>% Gain/Loss Cost</v>
      </c>
      <c r="O5" s="22" t="str">
        <f>IFERROR(__xludf.DUMMYFUNCTION("""COMPUTED_VALUE"""),"Day P&amp;L (Base)")</f>
        <v>Day P&amp;L (Base)</v>
      </c>
      <c r="P5" s="22" t="str">
        <f>IFERROR(__xludf.DUMMYFUNCTION("""COMPUTED_VALUE"""),"% Gain/Loss Day")</f>
        <v>% Gain/Loss Day</v>
      </c>
      <c r="Q5" s="22" t="str">
        <f>IFERROR(__xludf.DUMMYFUNCTION("""COMPUTED_VALUE"""),"Exposure (Base)")</f>
        <v>Exposure (Base)</v>
      </c>
      <c r="R5" s="22" t="str">
        <f>IFERROR(__xludf.DUMMYFUNCTION("""COMPUTED_VALUE"""),"% Exposure (Base)")</f>
        <v>% Exposure (Base)</v>
      </c>
      <c r="S5" s="22" t="str">
        <f>IFERROR(__xludf.DUMMYFUNCTION("""COMPUTED_VALUE"""),"Live Feed Provider Ticker")</f>
        <v>Live Feed Provider Ticker</v>
      </c>
      <c r="T5" s="23" t="str">
        <f>IFERROR(__xludf.DUMMYFUNCTION("""COMPUTED_VALUE"""),"PositionAction")</f>
        <v>PositionAction</v>
      </c>
      <c r="U5" s="23" t="str">
        <f>IFERROR(__xludf.DUMMYFUNCTION("""COMPUTED_VALUE"""),"VerifyOptionsList")</f>
        <v>VerifyOptionsList</v>
      </c>
      <c r="V5" s="23" t="str">
        <f>IFERROR(__xludf.DUMMYFUNCTION("""COMPUTED_VALUE"""),"Disable/Grey buttons")</f>
        <v>Disable/Grey buttons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 t="s">
        <v>28</v>
      </c>
      <c r="C6" s="6"/>
      <c r="D6" s="6"/>
      <c r="E6" s="6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T6" s="13" t="s">
        <v>49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8"/>
      <c r="B5" s="28" t="s">
        <v>50</v>
      </c>
      <c r="C5" s="28" t="s">
        <v>51</v>
      </c>
      <c r="D5" s="28" t="s">
        <v>52</v>
      </c>
      <c r="E5" s="28" t="s">
        <v>53</v>
      </c>
      <c r="F5" s="28" t="s">
        <v>54</v>
      </c>
      <c r="G5" s="28" t="s">
        <v>55</v>
      </c>
      <c r="H5" s="28" t="s">
        <v>56</v>
      </c>
      <c r="I5" s="28" t="s">
        <v>57</v>
      </c>
      <c r="J5" s="28" t="s">
        <v>58</v>
      </c>
      <c r="K5" s="28" t="s">
        <v>59</v>
      </c>
      <c r="L5" s="28" t="s">
        <v>60</v>
      </c>
      <c r="M5" s="28" t="s">
        <v>11</v>
      </c>
      <c r="N5" s="28" t="s">
        <v>12</v>
      </c>
      <c r="O5" s="28" t="s">
        <v>13</v>
      </c>
      <c r="P5" s="28" t="s">
        <v>17</v>
      </c>
      <c r="Q5" s="28" t="s">
        <v>61</v>
      </c>
      <c r="R5" s="28" t="s">
        <v>62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</row>
    <row r="6">
      <c r="C6" s="13" t="s">
        <v>63</v>
      </c>
      <c r="D6" s="13" t="s">
        <v>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3" t="s">
        <v>65</v>
      </c>
      <c r="C5" s="13" t="s">
        <v>66</v>
      </c>
      <c r="D5" s="13" t="s">
        <v>67</v>
      </c>
      <c r="E5" s="13" t="s">
        <v>68</v>
      </c>
      <c r="F5" s="13" t="s">
        <v>69</v>
      </c>
      <c r="G5" s="13" t="s">
        <v>11</v>
      </c>
      <c r="H5" s="13" t="s">
        <v>13</v>
      </c>
      <c r="I5" s="13" t="s">
        <v>17</v>
      </c>
      <c r="J5" s="13" t="s">
        <v>54</v>
      </c>
      <c r="K5" s="13" t="s">
        <v>61</v>
      </c>
      <c r="L5" s="13" t="s">
        <v>62</v>
      </c>
      <c r="M5" s="13" t="s">
        <v>70</v>
      </c>
      <c r="N5" s="13" t="s">
        <v>71</v>
      </c>
      <c r="O5" s="13" t="s">
        <v>72</v>
      </c>
      <c r="P5" s="13" t="s">
        <v>73</v>
      </c>
      <c r="Q5" s="13" t="s">
        <v>74</v>
      </c>
      <c r="R5" s="13" t="s">
        <v>75</v>
      </c>
      <c r="S5" s="13" t="s">
        <v>76</v>
      </c>
      <c r="T5" s="13" t="s">
        <v>77</v>
      </c>
      <c r="U5" s="13" t="s">
        <v>78</v>
      </c>
      <c r="V5" s="13" t="s">
        <v>79</v>
      </c>
      <c r="W5" s="13" t="s">
        <v>80</v>
      </c>
      <c r="X5" s="13" t="s">
        <v>81</v>
      </c>
      <c r="Y5" s="13" t="s">
        <v>82</v>
      </c>
      <c r="Z5" s="13" t="s">
        <v>83</v>
      </c>
      <c r="AA5" s="13" t="s">
        <v>84</v>
      </c>
      <c r="AB5" s="13" t="s">
        <v>12</v>
      </c>
      <c r="AC5" s="13" t="s">
        <v>85</v>
      </c>
      <c r="AD5" s="13" t="s">
        <v>86</v>
      </c>
      <c r="AE5" s="13" t="s">
        <v>14</v>
      </c>
      <c r="AF5" s="13" t="s">
        <v>87</v>
      </c>
      <c r="AG5" s="13" t="s">
        <v>88</v>
      </c>
      <c r="AH5" s="13" t="s">
        <v>59</v>
      </c>
      <c r="AI5" s="13" t="s">
        <v>89</v>
      </c>
      <c r="AJ5" s="13" t="s">
        <v>90</v>
      </c>
      <c r="AK5" s="13" t="s">
        <v>91</v>
      </c>
      <c r="AL5" s="13" t="s">
        <v>92</v>
      </c>
      <c r="AM5" s="13" t="s">
        <v>93</v>
      </c>
      <c r="AN5" s="13" t="s">
        <v>94</v>
      </c>
      <c r="AO5" s="13" t="s">
        <v>95</v>
      </c>
      <c r="AP5" s="13" t="s">
        <v>96</v>
      </c>
      <c r="AQ5" s="13" t="s">
        <v>97</v>
      </c>
      <c r="AR5" s="13" t="s">
        <v>98</v>
      </c>
      <c r="AS5" s="13" t="s">
        <v>99</v>
      </c>
      <c r="AT5" s="13" t="s">
        <v>100</v>
      </c>
    </row>
    <row r="6">
      <c r="B6" s="13" t="s">
        <v>28</v>
      </c>
      <c r="G6" s="13" t="s">
        <v>101</v>
      </c>
      <c r="AB6" s="13" t="s">
        <v>101</v>
      </c>
    </row>
  </sheetData>
  <drawing r:id="rId1"/>
</worksheet>
</file>