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CreateOrderPTT" sheetId="8" r:id="rId10"/>
    <sheet state="visible" name="SelectTradeOnOrderGrid" sheetId="9" r:id="rId11"/>
    <sheet state="visible" name="ViewPTTAllocationDetails" sheetId="10" r:id="rId12"/>
  </sheets>
  <definedNames/>
  <calcPr/>
</workbook>
</file>

<file path=xl/sharedStrings.xml><?xml version="1.0" encoding="utf-8"?>
<sst xmlns="http://schemas.openxmlformats.org/spreadsheetml/2006/main" count="129" uniqueCount="76">
  <si>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</si>
  <si>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</si>
  <si>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</si>
  <si>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</si>
  <si>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</si>
  <si>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</si>
  <si>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</si>
  <si>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</si>
  <si>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</si>
  <si>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</si>
  <si>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</si>
  <si>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</si>
  <si>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</si>
  <si>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</si>
  <si>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</si>
  <si>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</si>
  <si>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MSFT</t>
  </si>
  <si>
    <t>DoneAway</t>
  </si>
  <si>
    <t>Allocation1</t>
  </si>
  <si>
    <t>Buy</t>
  </si>
  <si>
    <t>Allocation2</t>
  </si>
  <si>
    <t>PricingInput</t>
  </si>
  <si>
    <t>DailyValuation</t>
  </si>
  <si>
    <t>GetDailyCash</t>
  </si>
  <si>
    <t>UpdateMultipleDailyCash</t>
  </si>
  <si>
    <t>UpdateBeta</t>
  </si>
  <si>
    <t>UpdateDailyCash</t>
  </si>
  <si>
    <t>UpdateForexConversion</t>
  </si>
  <si>
    <t>UpdateMarkPrice</t>
  </si>
  <si>
    <t>CleanUp</t>
  </si>
  <si>
    <t>GetMarkPriceData</t>
  </si>
  <si>
    <t>GetForwardPoints</t>
  </si>
  <si>
    <t>UpdateForwardPoints</t>
  </si>
  <si>
    <t>GetForexConversion</t>
  </si>
  <si>
    <t>DeleteNAV</t>
  </si>
  <si>
    <t>GetDailyBeta</t>
  </si>
  <si>
    <t>GetDailyVolatility</t>
  </si>
  <si>
    <t>GetDailyDividendYield</t>
  </si>
  <si>
    <t>GetDailyTradingVolume</t>
  </si>
  <si>
    <t>GetDailyOutstandings</t>
  </si>
  <si>
    <t>GetDailyDelta</t>
  </si>
  <si>
    <t>UpdateDailyVolatility</t>
  </si>
  <si>
    <t>UpdateDividendYield</t>
  </si>
  <si>
    <t>UpdateTradingVolume</t>
  </si>
  <si>
    <t>UpdateDailyDelta</t>
  </si>
  <si>
    <t>UpdateDailyOutstandings</t>
  </si>
  <si>
    <t>UpdateNAV</t>
  </si>
  <si>
    <t>UpdateDailyCreditLimt</t>
  </si>
  <si>
    <t>RemoveDailyCreditLimit</t>
  </si>
  <si>
    <t>RemoveDailyCash</t>
  </si>
  <si>
    <t>RemoveNAV</t>
  </si>
  <si>
    <t>UpdateForexConversionMonthly</t>
  </si>
  <si>
    <t>UpdateMarkPriceMonthly</t>
  </si>
  <si>
    <t>VerifyDailyCash</t>
  </si>
  <si>
    <t>EnableBlankMarkPrices</t>
  </si>
  <si>
    <t>UpateSymbolBlankMP</t>
  </si>
  <si>
    <t>UpdateBlankMP</t>
  </si>
  <si>
    <t>FilterBlankMP</t>
  </si>
  <si>
    <t>VerifyDVNavLockPopup</t>
  </si>
  <si>
    <t>SelectDateAtMPFC</t>
  </si>
  <si>
    <t>Account</t>
  </si>
  <si>
    <t>Local Currency</t>
  </si>
  <si>
    <t>Cash Value Local</t>
  </si>
  <si>
    <t>USD</t>
  </si>
  <si>
    <t>PTT</t>
  </si>
  <si>
    <t>CreateOrderPTT</t>
  </si>
  <si>
    <t>Increase</t>
  </si>
  <si>
    <t>Percentage</t>
  </si>
  <si>
    <t>No</t>
  </si>
  <si>
    <t>Allocation1,Allocation2</t>
  </si>
  <si>
    <t>Blotter</t>
  </si>
  <si>
    <t>SelectTradeOnOrderGrid</t>
  </si>
  <si>
    <t>New</t>
  </si>
  <si>
    <t>ViewPTTAllocationDetails</t>
  </si>
  <si>
    <t>MS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</si>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</sst>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2" fillId="2" fontId="1" numFmtId="0" xfId="0" applyAlignment="1" applyBorder="1" applyFont="1">
      <alignment horizontal="center" shrinkToFit="0" wrapText="0"/>
    </xf>
    <xf borderId="3" fillId="2" fontId="1" numFmtId="0" xfId="0" applyAlignment="1" applyBorder="1" applyFont="1">
      <alignment horizontal="center" shrinkToFit="0" wrapText="0"/>
    </xf>
    <xf borderId="0" fillId="0" fontId="8" numFmtId="0" xfId="0" applyAlignment="1" applyFont="1">
      <alignment readingOrder="0" shrinkToFit="0" wrapText="0"/>
    </xf>
    <xf borderId="0" fillId="4" fontId="12" numFmtId="0" xfId="0" applyAlignment="1" applyFont="1">
      <alignment readingOrder="0" shrinkToFit="0" wrapText="0"/>
    </xf>
    <xf borderId="0" fillId="4" fontId="1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500.0</v>
      </c>
      <c r="D6" s="13">
        <v>25.0</v>
      </c>
      <c r="E6" s="13" t="s">
        <v>17</v>
      </c>
      <c r="F6" s="8"/>
      <c r="G6" s="8"/>
      <c r="H6" s="8"/>
      <c r="I6" s="13" t="s">
        <v>18</v>
      </c>
      <c r="J6" s="13" t="s">
        <v>19</v>
      </c>
      <c r="K6" s="8"/>
      <c r="L6" s="8"/>
      <c r="M6" s="8"/>
      <c r="N6" s="8"/>
      <c r="O6" s="8"/>
    </row>
    <row r="7" ht="15.75" customHeight="1">
      <c r="A7" s="13"/>
      <c r="B7" s="13" t="s">
        <v>16</v>
      </c>
      <c r="C7" s="13">
        <v>500.0</v>
      </c>
      <c r="D7" s="13">
        <v>25.0</v>
      </c>
      <c r="E7" s="13" t="s">
        <v>17</v>
      </c>
      <c r="F7" s="8"/>
      <c r="G7" s="8"/>
      <c r="H7" s="8"/>
      <c r="I7" s="13" t="s">
        <v>20</v>
      </c>
      <c r="J7" s="13" t="s">
        <v>19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25.0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today()-1</f>
        <v>45909</v>
      </c>
      <c r="C6" s="33">
        <f>today()</f>
        <v>45910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5" t="s">
        <v>11</v>
      </c>
      <c r="C1" s="34"/>
      <c r="D1" s="34"/>
      <c r="E1" s="34"/>
      <c r="F1" s="34"/>
      <c r="G1" s="34"/>
      <c r="H1" s="35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36" t="e">
        <v>#N/A</v>
      </c>
      <c r="K2" s="21"/>
      <c r="L2" s="8"/>
      <c r="M2" s="8"/>
      <c r="N2" s="8"/>
      <c r="O2" s="8"/>
    </row>
    <row r="3" ht="15.75" customHeight="1">
      <c r="A3" s="22"/>
      <c r="B3" s="12" t="s">
        <v>8</v>
      </c>
      <c r="C3" s="23" t="s">
        <v>22</v>
      </c>
      <c r="D3" s="12" t="s">
        <v>9</v>
      </c>
      <c r="E3" s="23" t="s">
        <v>24</v>
      </c>
      <c r="F3" s="12" t="s">
        <v>14</v>
      </c>
      <c r="G3" s="23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37" t="s">
        <v>25</v>
      </c>
      <c r="C4" s="37" t="s">
        <v>26</v>
      </c>
      <c r="D4" s="37" t="s">
        <v>24</v>
      </c>
      <c r="E4" s="37" t="s">
        <v>27</v>
      </c>
      <c r="F4" s="37" t="s">
        <v>28</v>
      </c>
      <c r="G4" s="37" t="s">
        <v>29</v>
      </c>
      <c r="H4" s="37" t="s">
        <v>30</v>
      </c>
      <c r="I4" s="37" t="s">
        <v>31</v>
      </c>
      <c r="J4" s="37" t="s">
        <v>32</v>
      </c>
      <c r="K4" s="37" t="s">
        <v>33</v>
      </c>
      <c r="L4" s="37" t="s">
        <v>34</v>
      </c>
      <c r="M4" s="37" t="s">
        <v>23</v>
      </c>
      <c r="N4" s="37" t="s">
        <v>35</v>
      </c>
      <c r="O4" s="37" t="s">
        <v>36</v>
      </c>
      <c r="P4" s="38" t="s">
        <v>37</v>
      </c>
      <c r="Q4" s="38" t="s">
        <v>38</v>
      </c>
      <c r="R4" s="38" t="s">
        <v>39</v>
      </c>
      <c r="S4" s="38" t="s">
        <v>40</v>
      </c>
      <c r="T4" s="38" t="s">
        <v>41</v>
      </c>
      <c r="U4" s="38" t="s">
        <v>42</v>
      </c>
      <c r="V4" s="38" t="s">
        <v>43</v>
      </c>
      <c r="W4" s="38" t="s">
        <v>44</v>
      </c>
      <c r="X4" s="38" t="s">
        <v>45</v>
      </c>
      <c r="Y4" s="38" t="s">
        <v>25</v>
      </c>
      <c r="Z4" s="38" t="s">
        <v>46</v>
      </c>
      <c r="AA4" s="38" t="s">
        <v>26</v>
      </c>
      <c r="AB4" s="38" t="s">
        <v>47</v>
      </c>
      <c r="AC4" s="38" t="s">
        <v>48</v>
      </c>
      <c r="AD4" s="38" t="s">
        <v>49</v>
      </c>
      <c r="AE4" s="38" t="s">
        <v>50</v>
      </c>
      <c r="AF4" s="38" t="s">
        <v>51</v>
      </c>
      <c r="AG4" s="38" t="s">
        <v>52</v>
      </c>
      <c r="AH4" s="38" t="s">
        <v>53</v>
      </c>
      <c r="AI4" s="38" t="s">
        <v>54</v>
      </c>
      <c r="AJ4" s="38" t="s">
        <v>55</v>
      </c>
      <c r="AK4" s="38" t="s">
        <v>56</v>
      </c>
      <c r="AL4" s="38" t="s">
        <v>57</v>
      </c>
      <c r="AM4" s="38" t="s">
        <v>58</v>
      </c>
      <c r="AN4" s="38" t="s">
        <v>59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9" t="s">
        <v>60</v>
      </c>
      <c r="C5" s="29" t="s">
        <v>61</v>
      </c>
      <c r="D5" s="29" t="s">
        <v>62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63</v>
      </c>
      <c r="D6" s="13">
        <v>5000.0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20</v>
      </c>
      <c r="C7" s="13" t="s">
        <v>63</v>
      </c>
      <c r="D7" s="13">
        <v>6000.0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7.13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64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 t="str">
        <f>IFERROR(__xludf.DUMMYFUNCTION("""COMPUTED_VALUE"""),"Use Custodian Broker")</f>
        <v>Use Custodian Broker</v>
      </c>
      <c r="P5" s="28" t="str">
        <f>IFERROR(__xludf.DUMMYFUNCTION("""COMPUTED_VALUE"""),"Broker")</f>
        <v>Broker</v>
      </c>
      <c r="Q5" s="28" t="str">
        <f>IFERROR(__xludf.DUMMYFUNCTION("""COMPUTED_VALUE"""),"Venue")</f>
        <v>Venue</v>
      </c>
      <c r="R5" s="28" t="str">
        <f>IFERROR(__xludf.DUMMYFUNCTION("""COMPUTED_VALUE"""),"TIF")</f>
        <v>TIF</v>
      </c>
      <c r="S5" s="28" t="str">
        <f>IFERROR(__xludf.DUMMYFUNCTION("""COMPUTED_VALUE"""),"Order Type")</f>
        <v>Order Type</v>
      </c>
      <c r="T5" s="30" t="str">
        <f>IFERROR(__xludf.DUMMYFUNCTION("""COMPUTED_VALUE"""),"Stop")</f>
        <v>Stop</v>
      </c>
      <c r="U5" s="30" t="str">
        <f>IFERROR(__xludf.DUMMYFUNCTION("""COMPUTED_VALUE"""),"Limit")</f>
        <v>Limit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66</v>
      </c>
      <c r="D6" s="13" t="s">
        <v>67</v>
      </c>
      <c r="E6" s="13">
        <v>25.0</v>
      </c>
      <c r="F6" s="8"/>
      <c r="G6" s="13" t="s">
        <v>68</v>
      </c>
      <c r="H6" s="13" t="s">
        <v>60</v>
      </c>
      <c r="I6" s="13" t="s">
        <v>69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70</v>
      </c>
      <c r="D3" s="5" t="s">
        <v>9</v>
      </c>
      <c r="E3" s="23" t="s">
        <v>71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19</v>
      </c>
      <c r="G6" s="13" t="s">
        <v>72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70</v>
      </c>
      <c r="D3" s="5" t="s">
        <v>9</v>
      </c>
      <c r="E3" s="23" t="s">
        <v>73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19</v>
      </c>
      <c r="AK6" s="9" t="s">
        <v>72</v>
      </c>
      <c r="AL6" s="9">
        <v>110.0</v>
      </c>
      <c r="AS6" s="9" t="s">
        <v>74</v>
      </c>
      <c r="AT6" s="9" t="s">
        <v>75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ViewPTTAllocationDetails!$4:$4</formula1>
    </dataValidation>
  </dataValidations>
  <drawing r:id="rId1"/>
</worksheet>
</file>