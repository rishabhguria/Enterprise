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SetClosingPreference" sheetId="5" r:id="rId7"/>
    <sheet state="visible" name="UpdateExpirationDate" sheetId="6" r:id="rId8"/>
    <sheet state="visible" name="CreateDoneAwayOrder" sheetId="7" r:id="rId9"/>
    <sheet state="visible" name="GetMarkPriceData" sheetId="8" r:id="rId10"/>
    <sheet state="visible" name="UpdateMarkPrice" sheetId="9" r:id="rId11"/>
    <sheet state="visible" name="GetDataClosing" sheetId="10" r:id="rId12"/>
    <sheet state="visible" name="SelectTradeUnexpiredUnsettled" sheetId="11" r:id="rId13"/>
    <sheet state="visible" name="ExerciseAssignment" sheetId="12" r:id="rId14"/>
    <sheet state="visible" name="GetDataClosing1" sheetId="13" r:id="rId15"/>
    <sheet state="visible" name="SelectTradeUnexpiredUnsettled1" sheetId="14" r:id="rId16"/>
    <sheet state="visible" name="ExerciseAssignment1" sheetId="15" r:id="rId17"/>
    <sheet state="visible" name="GetDataClosing2" sheetId="16" r:id="rId18"/>
    <sheet state="visible" name="SelectTradeUnexpiredUnsettled2" sheetId="17" r:id="rId19"/>
    <sheet state="visible" name="ExerciseAssignment2" sheetId="18" r:id="rId20"/>
    <sheet state="visible" name="GetDataClosing3" sheetId="19" r:id="rId21"/>
    <sheet state="visible" name="SelectTradeUnexpiredUnsettled3" sheetId="20" r:id="rId22"/>
    <sheet state="visible" name="ExerciseAssignment3" sheetId="21" r:id="rId23"/>
    <sheet state="visible" name="GetDataAllocation" sheetId="22" r:id="rId24"/>
    <sheet state="visible" name="CheckAllocatedGroups" sheetId="23" r:id="rId25"/>
    <sheet state="visible" name="CheckPortfolioManagement" sheetId="24" r:id="rId26"/>
  </sheets>
  <definedNames/>
  <calcPr/>
</workbook>
</file>

<file path=xl/sharedStrings.xml><?xml version="1.0" encoding="utf-8"?>
<sst xmlns="http://schemas.openxmlformats.org/spreadsheetml/2006/main" count="692" uniqueCount="73">
  <si>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</si>
  <si>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</si>
  <si>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</si>
  <si>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</si>
  <si>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</si>
  <si>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</si>
  <si>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</si>
  <si>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</si>
  <si>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</si>
  <si>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</si>
  <si>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</si>
  <si>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</si>
  <si>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</si>
  <si>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</si>
  <si>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</si>
  <si>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</si>
  <si>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O:MSFT 12X31.00</t>
  </si>
  <si>
    <t>Yes</t>
  </si>
  <si>
    <t>O:MSFT 14O36.00</t>
  </si>
  <si>
    <t>O:MSFT 14P36.00</t>
  </si>
  <si>
    <t>O:FB 14C67.50</t>
  </si>
  <si>
    <t>O:FB 12L17.00</t>
  </si>
  <si>
    <t>O:FB 12K18.00</t>
  </si>
  <si>
    <t>O:GOOG 13A700.00</t>
  </si>
  <si>
    <t>O:GOOG 13C755.00</t>
  </si>
  <si>
    <t>O:GOOG 12K770.00</t>
  </si>
  <si>
    <t>O:GOOG 14A705.00</t>
  </si>
  <si>
    <t>Closing</t>
  </si>
  <si>
    <t>SetClosingPreference</t>
  </si>
  <si>
    <t>BTAX</t>
  </si>
  <si>
    <t>Admin</t>
  </si>
  <si>
    <t>UpdateExpirationDate</t>
  </si>
  <si>
    <t>O:AAPL 23P60.00D21</t>
  </si>
  <si>
    <t>TradingTicket</t>
  </si>
  <si>
    <t>CreateDoneAwayOrder</t>
  </si>
  <si>
    <t>AAPL</t>
  </si>
  <si>
    <t>Buy</t>
  </si>
  <si>
    <t>Allocation1</t>
  </si>
  <si>
    <t>Sell to Open</t>
  </si>
  <si>
    <t>GS</t>
  </si>
  <si>
    <t>Short</t>
  </si>
  <si>
    <t>MSFT</t>
  </si>
  <si>
    <t>Allocation2</t>
  </si>
  <si>
    <t>Buy to Open</t>
  </si>
  <si>
    <t>FB</t>
  </si>
  <si>
    <t>Sell short</t>
  </si>
  <si>
    <t>rt</t>
  </si>
  <si>
    <t>GOOG</t>
  </si>
  <si>
    <t>Allocation5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</si>
  <si>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</si>
  <si>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</si>
  <si>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</si>
  <si>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</si>
  <si>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</si>
  <si>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</si>
  <si>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</si>
  <si>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ExerciseAssignment</t>
  </si>
  <si>
    <t>Allocation</t>
  </si>
  <si>
    <t>GetDataAllocation</t>
  </si>
  <si>
    <t>CheckAllocatedGroups</t>
  </si>
  <si>
    <t>Equity</t>
  </si>
  <si>
    <t>MS</t>
  </si>
  <si>
    <t>Strategy Unallocated</t>
  </si>
  <si>
    <t>Sell</t>
  </si>
  <si>
    <t>Buy to Close</t>
  </si>
  <si>
    <t>EquityOption</t>
  </si>
  <si>
    <t>Sell to Close</t>
  </si>
  <si>
    <t>PortfolioManagement</t>
  </si>
  <si>
    <t>CheckPortfolioManagement</t>
  </si>
  <si>
    <t>NewMF</t>
  </si>
  <si>
    <t>NewMF1</t>
  </si>
  <si>
    <t>NewMF2</t>
  </si>
  <si>
    <t>NewMF3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</si>
</sst>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 h:mm am/p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color rgb="FF00000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15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15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15" numFmtId="0" xfId="0" applyAlignment="1" applyFont="1">
      <alignment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7" width="12.63"/>
    <col customWidth="1" min="8" max="8" width="16.38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IFERROR(__xludf.DUMMYFUNCTION("IF(C3="""","""",Transpose(IMPORTRANGE('_Settings'!$B$3,C3&amp;""!A4:A1000"")))"),"EditSMGridUi")</f>
        <v>EditSMGridUi</v>
      </c>
      <c r="C4" s="25" t="str">
        <f>IFERROR(__xludf.DUMMYFUNCTION("""COMPUTED_VALUE"""),"SelectFromSMGridUI")</f>
        <v>SelectFromSMGridUI</v>
      </c>
      <c r="D4" s="25" t="str">
        <f>IFERROR(__xludf.DUMMYFUNCTION("""COMPUTED_VALUE"""),"VerifySymbolLookUp")</f>
        <v>VerifySymbolLookUp</v>
      </c>
      <c r="E4" s="25" t="str">
        <f>IFERROR(__xludf.DUMMYFUNCTION("""COMPUTED_VALUE"""),"SymbolLookupFromTT")</f>
        <v>SymbolLookupFromTT</v>
      </c>
      <c r="F4" s="25" t="str">
        <f>IFERROR(__xludf.DUMMYFUNCTION("""COMPUTED_VALUE"""),"UpdateUDA")</f>
        <v>UpdateUDA</v>
      </c>
      <c r="G4" s="25" t="str">
        <f>IFERROR(__xludf.DUMMYFUNCTION("""COMPUTED_VALUE"""),"GetSymbol")</f>
        <v>GetSymbol</v>
      </c>
      <c r="H4" s="25" t="str">
        <f>IFERROR(__xludf.DUMMYFUNCTION("""COMPUTED_VALUE"""),"AddSymbol")</f>
        <v>AddSymbol</v>
      </c>
      <c r="I4" s="25" t="str">
        <f>IFERROR(__xludf.DUMMYFUNCTION("""COMPUTED_VALUE"""),"GetDataSymbolLookup")</f>
        <v>GetDataSymbolLookup</v>
      </c>
      <c r="J4" s="25" t="str">
        <f>IFERROR(__xludf.DUMMYFUNCTION("""COMPUTED_VALUE"""),"DeleteValidateSymbol")</f>
        <v>DeleteValidateSymbol</v>
      </c>
      <c r="K4" s="25" t="str">
        <f>IFERROR(__xludf.DUMMYFUNCTION("""COMPUTED_VALUE"""),"TradeSymbolFromSM")</f>
        <v>TradeSymbolFromSM</v>
      </c>
      <c r="L4" s="25" t="str">
        <f>IFERROR(__xludf.DUMMYFUNCTION("""COMPUTED_VALUE"""),"UpdateSecurityInfoOnSM")</f>
        <v>UpdateSecurityInfoOnSM</v>
      </c>
      <c r="M4" s="25" t="str">
        <f>IFERROR(__xludf.DUMMYFUNCTION("""COMPUTED_VALUE"""),"EnterEquity")</f>
        <v>EnterEquity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IFERROR(__xludf.DUMMYFUNCTION("""COMPUTED_VALUE"""),"UseUDAFromUnderlyingOrRoot")</f>
        <v>UseUDAFromUnderlyingOrRoot</v>
      </c>
      <c r="C5" s="28" t="str">
        <f>IFERROR(__xludf.DUMMYFUNCTION("""COMPUTED_VALUE"""),"Is NDF")</f>
        <v>Is NDF</v>
      </c>
      <c r="D5" s="28" t="str">
        <f>IFERROR(__xludf.DUMMYFUNCTION("""COMPUTED_VALUE"""),"IsZero")</f>
        <v>IsZero</v>
      </c>
      <c r="E5" s="28" t="str">
        <f>IFERROR(__xludf.DUMMYFUNCTION("""COMPUTED_VALUE"""),"IsSecApproved")</f>
        <v>IsSecApproved</v>
      </c>
      <c r="F5" s="29" t="str">
        <f>IFERROR(__xludf.DUMMYFUNCTION("""COMPUTED_VALUE"""),"Strike Price")</f>
        <v>Strike Price</v>
      </c>
      <c r="G5" s="28" t="str">
        <f>IFERROR(__xludf.DUMMYFUNCTION("""COMPUTED_VALUE"""),"Search Type")</f>
        <v>Search Type</v>
      </c>
      <c r="H5" s="28" t="str">
        <f>IFERROR(__xludf.DUMMYFUNCTION("""COMPUTED_VALUE"""),"Symbol")</f>
        <v>Symbol</v>
      </c>
      <c r="I5" s="28" t="str">
        <f>IFERROR(__xludf.DUMMYFUNCTION("""COMPUTED_VALUE"""),"SearchBeforeEdit")</f>
        <v>SearchBeforeEdit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>
        <v>60.0</v>
      </c>
      <c r="G6" s="8"/>
      <c r="H6" s="32" t="s">
        <v>16</v>
      </c>
      <c r="I6" s="13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13">
        <v>60.0</v>
      </c>
      <c r="G7" s="8"/>
      <c r="H7" s="32" t="s">
        <v>18</v>
      </c>
      <c r="I7" s="13" t="s">
        <v>17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13">
        <v>60.0</v>
      </c>
      <c r="G8" s="8"/>
      <c r="H8" s="32" t="s">
        <v>19</v>
      </c>
      <c r="I8" s="13" t="s">
        <v>17</v>
      </c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13">
        <v>60.0</v>
      </c>
      <c r="G9" s="8"/>
      <c r="H9" s="13" t="s">
        <v>20</v>
      </c>
      <c r="I9" s="13" t="s">
        <v>17</v>
      </c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13">
        <v>60.0</v>
      </c>
      <c r="G10" s="8"/>
      <c r="H10" s="13" t="s">
        <v>21</v>
      </c>
      <c r="I10" s="13" t="s">
        <v>17</v>
      </c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13">
        <v>60.0</v>
      </c>
      <c r="G11" s="8"/>
      <c r="H11" s="13" t="s">
        <v>22</v>
      </c>
      <c r="I11" s="13" t="s">
        <v>17</v>
      </c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13">
        <v>50.0</v>
      </c>
      <c r="G12" s="8"/>
      <c r="H12" s="33" t="s">
        <v>23</v>
      </c>
      <c r="I12" s="13" t="s">
        <v>17</v>
      </c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13">
        <v>60.0</v>
      </c>
      <c r="G13" s="8"/>
      <c r="H13" s="33" t="s">
        <v>24</v>
      </c>
      <c r="I13" s="13" t="s">
        <v>17</v>
      </c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13">
        <v>60.0</v>
      </c>
      <c r="G14" s="8"/>
      <c r="H14" s="33" t="s">
        <v>25</v>
      </c>
      <c r="I14" s="13" t="s">
        <v>17</v>
      </c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13">
        <v>70.0</v>
      </c>
      <c r="G15" s="8"/>
      <c r="H15" s="33" t="s">
        <v>26</v>
      </c>
      <c r="I15" s="13" t="s">
        <v>17</v>
      </c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EditSMGridUi!$4:$4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3" t="s">
        <v>29</v>
      </c>
      <c r="D6" s="34"/>
      <c r="E6" s="35" t="b">
        <v>1</v>
      </c>
      <c r="F6" s="36"/>
      <c r="G6" s="36"/>
      <c r="H6" s="36"/>
      <c r="I6" s="36"/>
      <c r="J6" s="35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7.0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32</v>
      </c>
      <c r="C6" s="37">
        <f>TODAY()-11</f>
        <v>45128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32</v>
      </c>
      <c r="C7" s="37">
        <f t="shared" ref="C7:C9" si="1">TODAY()-10</f>
        <v>45129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9" t="s">
        <v>32</v>
      </c>
      <c r="C8" s="37">
        <f t="shared" si="1"/>
        <v>45129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16</v>
      </c>
      <c r="C9" s="37">
        <f t="shared" si="1"/>
        <v>45129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 t="s">
        <v>18</v>
      </c>
      <c r="C10" s="37">
        <f>TODAY()-11</f>
        <v>45128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2" t="s">
        <v>19</v>
      </c>
      <c r="C11" s="37">
        <f>TODAY()-10</f>
        <v>45129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20</v>
      </c>
      <c r="C12" s="37">
        <f>TODAY()-11</f>
        <v>45128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21</v>
      </c>
      <c r="C13" s="37">
        <f t="shared" ref="C13:C14" si="2">TODAY()-10</f>
        <v>45129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22</v>
      </c>
      <c r="C14" s="37">
        <f t="shared" si="2"/>
        <v>45129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3" t="s">
        <v>23</v>
      </c>
      <c r="C15" s="37">
        <f>TODAY()-11</f>
        <v>45128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3" t="s">
        <v>24</v>
      </c>
      <c r="C16" s="37">
        <f t="shared" ref="C16:C18" si="3">TODAY()-10</f>
        <v>45129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3" t="s">
        <v>25</v>
      </c>
      <c r="C17" s="37">
        <f t="shared" si="3"/>
        <v>45129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3" t="s">
        <v>26</v>
      </c>
      <c r="C18" s="37">
        <f t="shared" si="3"/>
        <v>45129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35</v>
      </c>
      <c r="C6" s="36" t="s">
        <v>36</v>
      </c>
      <c r="D6" s="38">
        <v>1000.0</v>
      </c>
      <c r="E6" s="36"/>
      <c r="F6" s="39" t="s">
        <v>37</v>
      </c>
      <c r="G6" s="36"/>
      <c r="H6" s="36"/>
      <c r="I6" s="36"/>
      <c r="J6" s="40">
        <v>1.0</v>
      </c>
      <c r="K6" s="36"/>
      <c r="L6" s="36"/>
      <c r="M6" s="36"/>
      <c r="N6" s="37">
        <f t="shared" ref="N6:N7" si="1">TODAY()-25</f>
        <v>45114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9" t="s">
        <v>32</v>
      </c>
      <c r="C7" s="13" t="s">
        <v>38</v>
      </c>
      <c r="D7" s="13">
        <v>10.0</v>
      </c>
      <c r="E7" s="8"/>
      <c r="F7" s="39" t="s">
        <v>37</v>
      </c>
      <c r="G7" s="8"/>
      <c r="H7" s="8"/>
      <c r="I7" s="8"/>
      <c r="J7" s="13">
        <v>10.0</v>
      </c>
      <c r="K7" s="8"/>
      <c r="L7" s="8"/>
      <c r="M7" s="8"/>
      <c r="N7" s="41">
        <f t="shared" si="1"/>
        <v>45114</v>
      </c>
      <c r="O7" s="8"/>
    </row>
    <row r="8" ht="15.75" customHeight="1">
      <c r="A8" s="8"/>
      <c r="B8" s="9" t="s">
        <v>32</v>
      </c>
      <c r="C8" s="13" t="s">
        <v>38</v>
      </c>
      <c r="D8" s="13">
        <v>10.0</v>
      </c>
      <c r="E8" s="8"/>
      <c r="F8" s="39" t="s">
        <v>37</v>
      </c>
      <c r="G8" s="13" t="s">
        <v>39</v>
      </c>
      <c r="H8" s="8"/>
      <c r="I8" s="8"/>
      <c r="J8" s="13">
        <v>10.0</v>
      </c>
      <c r="K8" s="8"/>
      <c r="L8" s="8"/>
      <c r="M8" s="8"/>
      <c r="N8" s="41">
        <f>TODAY()-24</f>
        <v>45115</v>
      </c>
      <c r="O8" s="8"/>
    </row>
    <row r="9" ht="15.75" customHeight="1">
      <c r="A9" s="8"/>
      <c r="B9" s="9" t="s">
        <v>32</v>
      </c>
      <c r="C9" s="13" t="s">
        <v>38</v>
      </c>
      <c r="D9" s="13">
        <v>10.0</v>
      </c>
      <c r="E9" s="8"/>
      <c r="F9" s="39" t="s">
        <v>37</v>
      </c>
      <c r="G9" s="8"/>
      <c r="H9" s="8"/>
      <c r="I9" s="8"/>
      <c r="J9" s="13">
        <v>10.0</v>
      </c>
      <c r="K9" s="8"/>
      <c r="L9" s="8"/>
      <c r="M9" s="13" t="s">
        <v>40</v>
      </c>
      <c r="N9" s="41">
        <f>TODAY()-23</f>
        <v>45116</v>
      </c>
      <c r="O9" s="8"/>
    </row>
    <row r="10" ht="15.75" customHeight="1">
      <c r="A10" s="36"/>
      <c r="B10" s="39" t="s">
        <v>41</v>
      </c>
      <c r="C10" s="33" t="s">
        <v>36</v>
      </c>
      <c r="D10" s="40">
        <v>1100.0</v>
      </c>
      <c r="E10" s="36"/>
      <c r="F10" s="39" t="s">
        <v>42</v>
      </c>
      <c r="G10" s="36"/>
      <c r="H10" s="36"/>
      <c r="I10" s="36"/>
      <c r="J10" s="40">
        <v>1.0</v>
      </c>
      <c r="K10" s="36"/>
      <c r="L10" s="36"/>
      <c r="M10" s="36"/>
      <c r="N10" s="37">
        <f t="shared" ref="N10:N11" si="2">TODAY()-25</f>
        <v>45114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2" t="s">
        <v>16</v>
      </c>
      <c r="C11" s="36" t="s">
        <v>43</v>
      </c>
      <c r="D11" s="40">
        <v>10.0</v>
      </c>
      <c r="E11" s="36"/>
      <c r="F11" s="39" t="s">
        <v>42</v>
      </c>
      <c r="G11" s="36"/>
      <c r="H11" s="36"/>
      <c r="I11" s="36"/>
      <c r="J11" s="40">
        <v>10.0</v>
      </c>
      <c r="K11" s="36"/>
      <c r="L11" s="36"/>
      <c r="M11" s="36"/>
      <c r="N11" s="37">
        <f t="shared" si="2"/>
        <v>45114</v>
      </c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32" t="s">
        <v>18</v>
      </c>
      <c r="C12" s="36" t="s">
        <v>43</v>
      </c>
      <c r="D12" s="40">
        <v>10.0</v>
      </c>
      <c r="E12" s="36"/>
      <c r="F12" s="39" t="s">
        <v>42</v>
      </c>
      <c r="G12" s="36"/>
      <c r="H12" s="36"/>
      <c r="I12" s="36"/>
      <c r="J12" s="40">
        <v>10.0</v>
      </c>
      <c r="K12" s="36"/>
      <c r="L12" s="36"/>
      <c r="M12" s="36"/>
      <c r="N12" s="37">
        <f>TODAY()-24</f>
        <v>45115</v>
      </c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32" t="s">
        <v>19</v>
      </c>
      <c r="C13" s="36" t="s">
        <v>43</v>
      </c>
      <c r="D13" s="40">
        <v>10.0</v>
      </c>
      <c r="E13" s="36"/>
      <c r="F13" s="39" t="s">
        <v>42</v>
      </c>
      <c r="G13" s="36"/>
      <c r="H13" s="36"/>
      <c r="I13" s="36"/>
      <c r="J13" s="40">
        <v>10.0</v>
      </c>
      <c r="K13" s="36"/>
      <c r="L13" s="36"/>
      <c r="M13" s="36"/>
      <c r="N13" s="37">
        <f>TODAY()-23</f>
        <v>45116</v>
      </c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36"/>
      <c r="B14" s="39" t="s">
        <v>44</v>
      </c>
      <c r="C14" s="36" t="s">
        <v>45</v>
      </c>
      <c r="D14" s="40">
        <v>1100.0</v>
      </c>
      <c r="E14" s="36"/>
      <c r="F14" s="39" t="s">
        <v>46</v>
      </c>
      <c r="G14" s="36"/>
      <c r="H14" s="36"/>
      <c r="I14" s="36"/>
      <c r="J14" s="40">
        <v>1.0</v>
      </c>
      <c r="K14" s="36"/>
      <c r="L14" s="36"/>
      <c r="M14" s="36"/>
      <c r="N14" s="37">
        <f t="shared" ref="N14:N15" si="3">TODAY()-25</f>
        <v>45114</v>
      </c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</row>
    <row r="15" ht="15.75" customHeight="1">
      <c r="A15" s="36"/>
      <c r="B15" s="13" t="s">
        <v>20</v>
      </c>
      <c r="C15" s="36" t="s">
        <v>43</v>
      </c>
      <c r="D15" s="40">
        <v>10.0</v>
      </c>
      <c r="E15" s="36"/>
      <c r="F15" s="39" t="s">
        <v>46</v>
      </c>
      <c r="G15" s="36"/>
      <c r="H15" s="36"/>
      <c r="I15" s="36"/>
      <c r="J15" s="40">
        <v>10.0</v>
      </c>
      <c r="K15" s="36"/>
      <c r="L15" s="36"/>
      <c r="M15" s="36"/>
      <c r="N15" s="37">
        <f t="shared" si="3"/>
        <v>45114</v>
      </c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</row>
    <row r="16" ht="15.75" customHeight="1">
      <c r="A16" s="36"/>
      <c r="B16" s="13" t="s">
        <v>21</v>
      </c>
      <c r="C16" s="36" t="s">
        <v>43</v>
      </c>
      <c r="D16" s="40">
        <v>10.0</v>
      </c>
      <c r="E16" s="36"/>
      <c r="F16" s="39" t="s">
        <v>46</v>
      </c>
      <c r="G16" s="36"/>
      <c r="H16" s="36"/>
      <c r="I16" s="36"/>
      <c r="J16" s="40">
        <v>10.0</v>
      </c>
      <c r="K16" s="36"/>
      <c r="L16" s="36"/>
      <c r="M16" s="36"/>
      <c r="N16" s="37">
        <f>TODAY()-24</f>
        <v>45115</v>
      </c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</row>
    <row r="17" ht="15.75" customHeight="1">
      <c r="A17" s="36"/>
      <c r="B17" s="13" t="s">
        <v>22</v>
      </c>
      <c r="C17" s="36" t="s">
        <v>43</v>
      </c>
      <c r="D17" s="40">
        <v>10.0</v>
      </c>
      <c r="E17" s="36"/>
      <c r="F17" s="39" t="s">
        <v>46</v>
      </c>
      <c r="G17" s="36"/>
      <c r="H17" s="36"/>
      <c r="I17" s="36"/>
      <c r="J17" s="40">
        <v>10.0</v>
      </c>
      <c r="K17" s="36"/>
      <c r="L17" s="36"/>
      <c r="M17" s="36"/>
      <c r="N17" s="37">
        <f>TODAY()-23</f>
        <v>45116</v>
      </c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</row>
    <row r="18" ht="15.75" customHeight="1">
      <c r="A18" s="36"/>
      <c r="B18" s="39" t="s">
        <v>47</v>
      </c>
      <c r="C18" s="33" t="s">
        <v>45</v>
      </c>
      <c r="D18" s="40">
        <v>1000.0</v>
      </c>
      <c r="E18" s="33"/>
      <c r="F18" s="42" t="s">
        <v>48</v>
      </c>
      <c r="G18" s="33"/>
      <c r="H18" s="33"/>
      <c r="I18" s="33"/>
      <c r="J18" s="40">
        <v>1.0</v>
      </c>
      <c r="K18" s="33"/>
      <c r="L18" s="33"/>
      <c r="M18" s="33"/>
      <c r="N18" s="37">
        <f t="shared" ref="N18:N19" si="4">TODAY()-25</f>
        <v>45114</v>
      </c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</row>
    <row r="19" ht="15.75" customHeight="1">
      <c r="A19" s="33"/>
      <c r="B19" s="33" t="s">
        <v>23</v>
      </c>
      <c r="C19" s="34" t="s">
        <v>38</v>
      </c>
      <c r="D19" s="40">
        <v>10.0</v>
      </c>
      <c r="E19" s="43"/>
      <c r="F19" s="42" t="s">
        <v>48</v>
      </c>
      <c r="G19" s="36"/>
      <c r="H19" s="33"/>
      <c r="I19" s="33"/>
      <c r="J19" s="40">
        <v>10.0</v>
      </c>
      <c r="K19" s="33"/>
      <c r="L19" s="33"/>
      <c r="M19" s="33"/>
      <c r="N19" s="37">
        <f t="shared" si="4"/>
        <v>45114</v>
      </c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</row>
    <row r="20" ht="15.75" customHeight="1">
      <c r="A20" s="33"/>
      <c r="B20" s="33" t="s">
        <v>24</v>
      </c>
      <c r="C20" s="34" t="s">
        <v>38</v>
      </c>
      <c r="D20" s="40">
        <v>10.0</v>
      </c>
      <c r="E20" s="43"/>
      <c r="F20" s="42" t="s">
        <v>48</v>
      </c>
      <c r="G20" s="36"/>
      <c r="H20" s="33"/>
      <c r="I20" s="33"/>
      <c r="J20" s="40">
        <v>10.0</v>
      </c>
      <c r="K20" s="33"/>
      <c r="L20" s="33"/>
      <c r="M20" s="33"/>
      <c r="N20" s="37">
        <f>TODAY()-24</f>
        <v>45115</v>
      </c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</row>
    <row r="21" ht="15.75" customHeight="1">
      <c r="A21" s="33"/>
      <c r="B21" s="33" t="s">
        <v>25</v>
      </c>
      <c r="C21" s="34" t="s">
        <v>38</v>
      </c>
      <c r="D21" s="40">
        <v>10.0</v>
      </c>
      <c r="E21" s="43"/>
      <c r="F21" s="42" t="s">
        <v>48</v>
      </c>
      <c r="G21" s="36"/>
      <c r="H21" s="33"/>
      <c r="I21" s="33"/>
      <c r="J21" s="40">
        <v>10.0</v>
      </c>
      <c r="K21" s="33"/>
      <c r="L21" s="33"/>
      <c r="M21" s="33"/>
      <c r="N21" s="37">
        <f>TODAY()-23</f>
        <v>45116</v>
      </c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  <c r="EM21" s="33"/>
      <c r="EN21" s="33"/>
      <c r="EO21" s="33"/>
      <c r="EP21" s="33"/>
      <c r="EQ21" s="33"/>
      <c r="ER21" s="33"/>
      <c r="ES21" s="33"/>
      <c r="ET21" s="33"/>
      <c r="EU21" s="33"/>
      <c r="EV21" s="33"/>
      <c r="EW21" s="33"/>
      <c r="EX21" s="33"/>
    </row>
    <row r="22" ht="15.75" customHeight="1">
      <c r="A22" s="33"/>
      <c r="B22" s="33" t="s">
        <v>26</v>
      </c>
      <c r="C22" s="33" t="s">
        <v>38</v>
      </c>
      <c r="D22" s="40">
        <v>10.0</v>
      </c>
      <c r="E22" s="33"/>
      <c r="F22" s="42" t="s">
        <v>48</v>
      </c>
      <c r="G22" s="33"/>
      <c r="H22" s="33"/>
      <c r="I22" s="33"/>
      <c r="J22" s="40">
        <v>10.0</v>
      </c>
      <c r="K22" s="33"/>
      <c r="L22" s="33"/>
      <c r="M22" s="33"/>
      <c r="N22" s="37">
        <f>TODAY()-21</f>
        <v>45118</v>
      </c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7">
        <f>TODAY()-1</f>
        <v>45138</v>
      </c>
      <c r="C6" s="37">
        <f>TODAY()</f>
        <v>45139</v>
      </c>
      <c r="D6" s="3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35</v>
      </c>
      <c r="C6" s="40">
        <v>120.0</v>
      </c>
      <c r="D6" s="3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13" t="s">
        <v>41</v>
      </c>
      <c r="C7" s="13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44</v>
      </c>
      <c r="C8" s="13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47</v>
      </c>
      <c r="C9" s="13">
        <v>120.0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3" t="s">
        <v>53</v>
      </c>
      <c r="C6" s="44" t="s">
        <v>54</v>
      </c>
      <c r="D6" s="44">
        <f>TODAY()</f>
        <v>45139</v>
      </c>
      <c r="E6" s="39" t="s">
        <v>37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43" t="s">
        <v>37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DH6" s="9" t="s">
        <v>32</v>
      </c>
    </row>
    <row r="7" ht="15.75" customHeight="1">
      <c r="A7" s="8"/>
      <c r="B7" s="33" t="s">
        <v>37</v>
      </c>
      <c r="C7" s="8"/>
      <c r="D7" s="8"/>
      <c r="E7" s="8"/>
      <c r="F7" s="8"/>
      <c r="G7" s="8"/>
      <c r="H7" s="8"/>
      <c r="I7" s="8"/>
      <c r="J7" s="8"/>
      <c r="K7" s="13" t="s">
        <v>39</v>
      </c>
      <c r="L7" s="8"/>
      <c r="M7" s="8"/>
      <c r="N7" s="8"/>
      <c r="O7" s="8"/>
    </row>
    <row r="8" ht="15.75" customHeight="1">
      <c r="A8" s="8"/>
      <c r="B8" s="33" t="s">
        <v>37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D8" s="9" t="s">
        <v>40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3" t="s">
        <v>53</v>
      </c>
      <c r="C6" s="44" t="s">
        <v>54</v>
      </c>
      <c r="D6" s="44">
        <f>TODAY()</f>
        <v>45139</v>
      </c>
      <c r="E6" s="39" t="s">
        <v>42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4"/>
      <c r="B6" s="39" t="s">
        <v>42</v>
      </c>
      <c r="C6" s="36"/>
      <c r="D6" s="3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2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9" t="s">
        <v>42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2" t="s">
        <v>18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9" t="s">
        <v>42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45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2" t="s">
        <v>19</v>
      </c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3" t="s">
        <v>53</v>
      </c>
      <c r="C6" s="44" t="s">
        <v>54</v>
      </c>
      <c r="D6" s="44">
        <f>TODAY()</f>
        <v>45139</v>
      </c>
      <c r="E6" s="39" t="s">
        <v>46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4"/>
      <c r="B6" s="42" t="s">
        <v>46</v>
      </c>
      <c r="C6" s="36"/>
      <c r="D6" s="3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13" t="s">
        <v>20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2" t="s">
        <v>46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13" t="s">
        <v>21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42" t="s">
        <v>46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13" t="s">
        <v>22</v>
      </c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3" t="s">
        <v>53</v>
      </c>
      <c r="C6" s="44" t="s">
        <v>54</v>
      </c>
      <c r="D6" s="44">
        <f>TODAY()</f>
        <v>45139</v>
      </c>
      <c r="E6" s="39" t="s">
        <v>48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GetDataClosing3!$4:$4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6.5" customHeight="1">
      <c r="A6" s="34"/>
      <c r="B6" s="39" t="s">
        <v>48</v>
      </c>
      <c r="C6" s="36"/>
      <c r="D6" s="3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3" t="s">
        <v>23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9" t="s">
        <v>48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3" t="s">
        <v>24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9" t="s">
        <v>48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45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3" t="s">
        <v>25</v>
      </c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9" t="s">
        <v>48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3" t="s">
        <v>26</v>
      </c>
      <c r="DI9" s="36"/>
      <c r="DJ9" s="36"/>
      <c r="DK9" s="36"/>
      <c r="DL9" s="36"/>
      <c r="DM9" s="36"/>
      <c r="DN9" s="36"/>
      <c r="DO9" s="36"/>
      <c r="DP9" s="36"/>
      <c r="DQ9" s="45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SelectTradeUnexpiredUnsettled3!$4:$4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3" t="s">
        <v>53</v>
      </c>
      <c r="C6" s="44" t="s">
        <v>54</v>
      </c>
      <c r="D6" s="44">
        <f>TODAY()</f>
        <v>45139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6" t="s">
        <v>37</v>
      </c>
      <c r="C6" s="47"/>
      <c r="D6" s="48"/>
      <c r="E6" s="49">
        <v>1000.0</v>
      </c>
      <c r="F6" s="36"/>
      <c r="G6" s="46" t="s">
        <v>60</v>
      </c>
      <c r="H6" s="50"/>
      <c r="I6" s="51"/>
      <c r="J6" s="51"/>
      <c r="K6" s="52">
        <v>60.0</v>
      </c>
      <c r="L6" s="52">
        <v>60.0</v>
      </c>
      <c r="M6" s="36"/>
      <c r="N6" s="36"/>
      <c r="O6" s="46" t="s">
        <v>61</v>
      </c>
      <c r="P6" s="36"/>
      <c r="Q6" s="51"/>
      <c r="R6" s="51"/>
      <c r="S6" s="36"/>
      <c r="T6" s="51"/>
      <c r="U6" s="51"/>
      <c r="V6" s="36"/>
      <c r="W6" s="51"/>
      <c r="X6" s="36"/>
      <c r="Y6" s="36"/>
      <c r="Z6" s="36"/>
      <c r="AA6" s="36"/>
      <c r="AB6" s="51"/>
      <c r="AC6" s="36"/>
      <c r="AD6" s="36"/>
      <c r="AE6" s="49">
        <v>1000.0</v>
      </c>
      <c r="AF6" s="36"/>
      <c r="AG6" s="53"/>
      <c r="AH6" s="36"/>
      <c r="AI6" s="51"/>
      <c r="AJ6" s="34"/>
      <c r="AK6" s="36"/>
      <c r="AL6" s="36"/>
      <c r="AM6" s="36"/>
      <c r="AN6" s="54"/>
      <c r="AO6" s="36"/>
      <c r="AP6" s="54"/>
      <c r="AQ6" s="54"/>
      <c r="AR6" s="54"/>
      <c r="AS6" s="51"/>
      <c r="AT6" s="51"/>
      <c r="AU6" s="51"/>
      <c r="AV6" s="51"/>
      <c r="AW6" s="51"/>
      <c r="AX6" s="51"/>
      <c r="AY6" s="36"/>
      <c r="AZ6" s="51"/>
      <c r="BA6" s="51"/>
      <c r="BB6" s="36"/>
      <c r="BC6" s="51"/>
      <c r="BD6" s="36"/>
      <c r="BE6" s="51"/>
      <c r="BF6" s="51"/>
      <c r="BG6" s="51"/>
      <c r="BH6" s="36"/>
      <c r="BI6" s="36"/>
      <c r="BJ6" s="49">
        <v>1000.0</v>
      </c>
      <c r="BK6" s="51"/>
      <c r="BL6" s="36"/>
      <c r="BM6" s="36"/>
      <c r="BN6" s="51"/>
      <c r="BO6" s="46" t="s">
        <v>36</v>
      </c>
      <c r="BP6" s="51"/>
      <c r="BQ6" s="51"/>
      <c r="BR6" s="51"/>
      <c r="BS6" s="46" t="s">
        <v>62</v>
      </c>
      <c r="BT6" s="46" t="s">
        <v>35</v>
      </c>
      <c r="BU6" s="51"/>
      <c r="BV6" s="51"/>
      <c r="BW6" s="51"/>
      <c r="BX6" s="51"/>
      <c r="BY6" s="36"/>
      <c r="BZ6" s="36"/>
      <c r="CA6" s="36"/>
      <c r="CB6" s="36"/>
      <c r="CC6" s="36"/>
      <c r="CD6" s="36"/>
      <c r="CE6" s="51"/>
      <c r="CF6" s="36"/>
      <c r="CG6" s="51"/>
      <c r="CH6" s="36"/>
      <c r="CI6" s="36"/>
      <c r="CJ6" s="51"/>
      <c r="CK6" s="36"/>
      <c r="CL6" s="51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46" t="s">
        <v>42</v>
      </c>
      <c r="C7" s="36"/>
      <c r="D7" s="51"/>
      <c r="E7" s="49">
        <v>1100.0</v>
      </c>
      <c r="F7" s="36"/>
      <c r="G7" s="46" t="s">
        <v>60</v>
      </c>
      <c r="H7" s="51"/>
      <c r="I7" s="51"/>
      <c r="J7" s="51"/>
      <c r="K7" s="52">
        <v>1.0</v>
      </c>
      <c r="L7" s="52">
        <v>1.0</v>
      </c>
      <c r="M7" s="36"/>
      <c r="N7" s="36"/>
      <c r="O7" s="46" t="s">
        <v>61</v>
      </c>
      <c r="P7" s="36"/>
      <c r="Q7" s="51"/>
      <c r="R7" s="51"/>
      <c r="S7" s="36"/>
      <c r="T7" s="51"/>
      <c r="U7" s="51"/>
      <c r="V7" s="36"/>
      <c r="W7" s="51"/>
      <c r="X7" s="36"/>
      <c r="Y7" s="36"/>
      <c r="Z7" s="36"/>
      <c r="AA7" s="36"/>
      <c r="AB7" s="51"/>
      <c r="AC7" s="36"/>
      <c r="AD7" s="36"/>
      <c r="AE7" s="49">
        <v>1100.0</v>
      </c>
      <c r="AF7" s="36"/>
      <c r="AG7" s="51"/>
      <c r="AH7" s="36"/>
      <c r="AI7" s="51"/>
      <c r="AJ7" s="36"/>
      <c r="AK7" s="36"/>
      <c r="AL7" s="36"/>
      <c r="AM7" s="36"/>
      <c r="AN7" s="54"/>
      <c r="AO7" s="36"/>
      <c r="AP7" s="54"/>
      <c r="AQ7" s="54"/>
      <c r="AR7" s="54"/>
      <c r="AS7" s="51"/>
      <c r="AT7" s="51"/>
      <c r="AU7" s="51"/>
      <c r="AV7" s="51"/>
      <c r="AW7" s="51"/>
      <c r="AX7" s="51"/>
      <c r="AY7" s="36"/>
      <c r="AZ7" s="51"/>
      <c r="BA7" s="51"/>
      <c r="BB7" s="36"/>
      <c r="BC7" s="51"/>
      <c r="BD7" s="36"/>
      <c r="BE7" s="51"/>
      <c r="BF7" s="51"/>
      <c r="BG7" s="51"/>
      <c r="BH7" s="36"/>
      <c r="BI7" s="36"/>
      <c r="BJ7" s="49">
        <v>1100.0</v>
      </c>
      <c r="BK7" s="51"/>
      <c r="BL7" s="36"/>
      <c r="BM7" s="36"/>
      <c r="BN7" s="51"/>
      <c r="BO7" s="46" t="s">
        <v>36</v>
      </c>
      <c r="BP7" s="51"/>
      <c r="BQ7" s="51"/>
      <c r="BR7" s="51"/>
      <c r="BS7" s="46" t="s">
        <v>62</v>
      </c>
      <c r="BT7" s="46" t="s">
        <v>41</v>
      </c>
      <c r="BU7" s="51"/>
      <c r="BV7" s="51"/>
      <c r="BW7" s="51"/>
      <c r="BX7" s="51"/>
      <c r="BY7" s="36"/>
      <c r="BZ7" s="36"/>
      <c r="CA7" s="36"/>
      <c r="CB7" s="36"/>
      <c r="CC7" s="36"/>
      <c r="CD7" s="36"/>
      <c r="CE7" s="51"/>
      <c r="CF7" s="36"/>
      <c r="CG7" s="51"/>
      <c r="CH7" s="36"/>
      <c r="CI7" s="36"/>
      <c r="CJ7" s="51"/>
      <c r="CK7" s="36"/>
      <c r="CL7" s="51"/>
      <c r="CM7" s="36"/>
      <c r="CN7" s="36"/>
    </row>
    <row r="8" ht="15.75" customHeight="1">
      <c r="A8" s="8"/>
      <c r="B8" s="46" t="s">
        <v>37</v>
      </c>
      <c r="C8" s="36"/>
      <c r="D8" s="51"/>
      <c r="E8" s="49">
        <v>1000.0</v>
      </c>
      <c r="F8" s="36"/>
      <c r="G8" s="46" t="s">
        <v>60</v>
      </c>
      <c r="H8" s="51"/>
      <c r="I8" s="51"/>
      <c r="J8" s="51"/>
      <c r="K8" s="52">
        <v>1.0</v>
      </c>
      <c r="L8" s="52">
        <v>1.0</v>
      </c>
      <c r="M8" s="36"/>
      <c r="N8" s="36"/>
      <c r="O8" s="46" t="s">
        <v>61</v>
      </c>
      <c r="P8" s="36"/>
      <c r="Q8" s="51"/>
      <c r="R8" s="51"/>
      <c r="S8" s="36"/>
      <c r="T8" s="51"/>
      <c r="U8" s="51"/>
      <c r="V8" s="36"/>
      <c r="W8" s="51"/>
      <c r="X8" s="36"/>
      <c r="Y8" s="36"/>
      <c r="Z8" s="36"/>
      <c r="AA8" s="36"/>
      <c r="AB8" s="51"/>
      <c r="AC8" s="36"/>
      <c r="AD8" s="36"/>
      <c r="AE8" s="49">
        <v>1000.0</v>
      </c>
      <c r="AF8" s="36"/>
      <c r="AG8" s="51"/>
      <c r="AH8" s="36"/>
      <c r="AI8" s="51"/>
      <c r="AJ8" s="36"/>
      <c r="AK8" s="36"/>
      <c r="AL8" s="36"/>
      <c r="AM8" s="36"/>
      <c r="AN8" s="54"/>
      <c r="AO8" s="36"/>
      <c r="AP8" s="54"/>
      <c r="AQ8" s="54"/>
      <c r="AR8" s="54"/>
      <c r="AS8" s="51"/>
      <c r="AT8" s="51"/>
      <c r="AU8" s="51"/>
      <c r="AV8" s="51"/>
      <c r="AW8" s="51"/>
      <c r="AX8" s="51"/>
      <c r="AY8" s="36"/>
      <c r="AZ8" s="51"/>
      <c r="BA8" s="51"/>
      <c r="BB8" s="36"/>
      <c r="BC8" s="51"/>
      <c r="BD8" s="36"/>
      <c r="BE8" s="51"/>
      <c r="BF8" s="51"/>
      <c r="BG8" s="51"/>
      <c r="BH8" s="36"/>
      <c r="BI8" s="36"/>
      <c r="BJ8" s="49">
        <v>1000.0</v>
      </c>
      <c r="BK8" s="51"/>
      <c r="BL8" s="36"/>
      <c r="BM8" s="36"/>
      <c r="BN8" s="51"/>
      <c r="BO8" s="46" t="s">
        <v>36</v>
      </c>
      <c r="BP8" s="51"/>
      <c r="BQ8" s="51"/>
      <c r="BR8" s="51"/>
      <c r="BS8" s="46" t="s">
        <v>62</v>
      </c>
      <c r="BT8" s="46" t="s">
        <v>35</v>
      </c>
      <c r="BU8" s="51"/>
      <c r="BV8" s="51"/>
      <c r="BW8" s="51"/>
      <c r="BX8" s="51"/>
      <c r="BY8" s="36"/>
      <c r="BZ8" s="36"/>
      <c r="CA8" s="36"/>
      <c r="CB8" s="36"/>
      <c r="CC8" s="36"/>
      <c r="CD8" s="36"/>
      <c r="CE8" s="51"/>
      <c r="CF8" s="36"/>
      <c r="CG8" s="51"/>
      <c r="CH8" s="36"/>
      <c r="CI8" s="36"/>
      <c r="CJ8" s="51"/>
      <c r="CK8" s="36"/>
      <c r="CL8" s="51"/>
      <c r="CM8" s="36"/>
      <c r="CN8" s="36"/>
    </row>
    <row r="9" ht="15.75" customHeight="1">
      <c r="A9" s="8"/>
      <c r="B9" s="46" t="s">
        <v>37</v>
      </c>
      <c r="C9" s="36"/>
      <c r="D9" s="51"/>
      <c r="E9" s="49">
        <v>1000.0</v>
      </c>
      <c r="F9" s="36"/>
      <c r="G9" s="46" t="s">
        <v>60</v>
      </c>
      <c r="H9" s="51"/>
      <c r="I9" s="51"/>
      <c r="J9" s="51"/>
      <c r="K9" s="52">
        <v>60.0</v>
      </c>
      <c r="L9" s="52">
        <v>60.0</v>
      </c>
      <c r="M9" s="36"/>
      <c r="N9" s="36"/>
      <c r="O9" s="46" t="s">
        <v>39</v>
      </c>
      <c r="P9" s="36"/>
      <c r="Q9" s="51"/>
      <c r="R9" s="51"/>
      <c r="S9" s="36"/>
      <c r="T9" s="51"/>
      <c r="U9" s="51"/>
      <c r="V9" s="36"/>
      <c r="W9" s="51"/>
      <c r="X9" s="36"/>
      <c r="Y9" s="36"/>
      <c r="Z9" s="36"/>
      <c r="AA9" s="36"/>
      <c r="AB9" s="51"/>
      <c r="AC9" s="36"/>
      <c r="AD9" s="36"/>
      <c r="AE9" s="49">
        <v>1000.0</v>
      </c>
      <c r="AF9" s="36"/>
      <c r="AG9" s="51"/>
      <c r="AH9" s="36"/>
      <c r="AI9" s="51"/>
      <c r="AJ9" s="36"/>
      <c r="AK9" s="36"/>
      <c r="AL9" s="36"/>
      <c r="AM9" s="36"/>
      <c r="AN9" s="54"/>
      <c r="AO9" s="36"/>
      <c r="AP9" s="54"/>
      <c r="AQ9" s="54"/>
      <c r="AR9" s="54"/>
      <c r="AS9" s="51"/>
      <c r="AT9" s="51"/>
      <c r="AU9" s="51"/>
      <c r="AV9" s="51"/>
      <c r="AW9" s="51"/>
      <c r="AX9" s="51"/>
      <c r="AY9" s="36"/>
      <c r="AZ9" s="51"/>
      <c r="BA9" s="51"/>
      <c r="BB9" s="36"/>
      <c r="BC9" s="51"/>
      <c r="BD9" s="36"/>
      <c r="BE9" s="51"/>
      <c r="BF9" s="51"/>
      <c r="BG9" s="51"/>
      <c r="BH9" s="36"/>
      <c r="BI9" s="36"/>
      <c r="BJ9" s="49">
        <v>1000.0</v>
      </c>
      <c r="BK9" s="51"/>
      <c r="BL9" s="36"/>
      <c r="BM9" s="36"/>
      <c r="BN9" s="51"/>
      <c r="BO9" s="46" t="s">
        <v>36</v>
      </c>
      <c r="BP9" s="51"/>
      <c r="BQ9" s="51"/>
      <c r="BR9" s="51"/>
      <c r="BS9" s="46" t="s">
        <v>62</v>
      </c>
      <c r="BT9" s="46" t="s">
        <v>35</v>
      </c>
      <c r="BU9" s="51"/>
      <c r="BV9" s="51"/>
      <c r="BW9" s="51"/>
      <c r="BX9" s="51"/>
      <c r="BY9" s="36"/>
      <c r="BZ9" s="36"/>
      <c r="CA9" s="36"/>
      <c r="CB9" s="36"/>
      <c r="CC9" s="36"/>
      <c r="CD9" s="36"/>
      <c r="CE9" s="51"/>
      <c r="CF9" s="36"/>
      <c r="CG9" s="51"/>
      <c r="CH9" s="36"/>
      <c r="CI9" s="36"/>
      <c r="CJ9" s="51"/>
      <c r="CK9" s="36"/>
      <c r="CL9" s="51"/>
      <c r="CM9" s="36"/>
      <c r="CN9" s="36"/>
    </row>
    <row r="10" ht="15.75" customHeight="1">
      <c r="A10" s="8"/>
      <c r="B10" s="46" t="s">
        <v>46</v>
      </c>
      <c r="C10" s="36"/>
      <c r="D10" s="51"/>
      <c r="E10" s="49">
        <v>1100.0</v>
      </c>
      <c r="F10" s="36"/>
      <c r="G10" s="46" t="s">
        <v>60</v>
      </c>
      <c r="H10" s="51"/>
      <c r="I10" s="51"/>
      <c r="J10" s="51"/>
      <c r="K10" s="52">
        <v>1.0</v>
      </c>
      <c r="L10" s="52">
        <v>1.0</v>
      </c>
      <c r="M10" s="36"/>
      <c r="N10" s="36"/>
      <c r="O10" s="46" t="s">
        <v>61</v>
      </c>
      <c r="P10" s="36"/>
      <c r="Q10" s="51"/>
      <c r="R10" s="51"/>
      <c r="S10" s="36"/>
      <c r="T10" s="51"/>
      <c r="U10" s="51"/>
      <c r="V10" s="36"/>
      <c r="W10" s="51"/>
      <c r="X10" s="36"/>
      <c r="Y10" s="36"/>
      <c r="Z10" s="36"/>
      <c r="AA10" s="36"/>
      <c r="AB10" s="51"/>
      <c r="AC10" s="36"/>
      <c r="AD10" s="36"/>
      <c r="AE10" s="49">
        <v>1100.0</v>
      </c>
      <c r="AF10" s="36"/>
      <c r="AG10" s="51"/>
      <c r="AH10" s="36"/>
      <c r="AI10" s="51"/>
      <c r="AJ10" s="36"/>
      <c r="AK10" s="36"/>
      <c r="AL10" s="36"/>
      <c r="AM10" s="36"/>
      <c r="AN10" s="54"/>
      <c r="AO10" s="36"/>
      <c r="AP10" s="54"/>
      <c r="AQ10" s="54"/>
      <c r="AR10" s="54"/>
      <c r="AS10" s="51"/>
      <c r="AT10" s="51"/>
      <c r="AU10" s="51"/>
      <c r="AV10" s="51"/>
      <c r="AW10" s="51"/>
      <c r="AX10" s="51"/>
      <c r="AY10" s="36"/>
      <c r="AZ10" s="51"/>
      <c r="BA10" s="51"/>
      <c r="BB10" s="36"/>
      <c r="BC10" s="51"/>
      <c r="BD10" s="36"/>
      <c r="BE10" s="51"/>
      <c r="BF10" s="51"/>
      <c r="BG10" s="51"/>
      <c r="BH10" s="36"/>
      <c r="BI10" s="36"/>
      <c r="BJ10" s="49">
        <v>1100.0</v>
      </c>
      <c r="BK10" s="51"/>
      <c r="BL10" s="36"/>
      <c r="BM10" s="36"/>
      <c r="BN10" s="51"/>
      <c r="BO10" s="46" t="s">
        <v>45</v>
      </c>
      <c r="BP10" s="51"/>
      <c r="BQ10" s="51"/>
      <c r="BR10" s="51"/>
      <c r="BS10" s="46" t="s">
        <v>62</v>
      </c>
      <c r="BT10" s="46" t="s">
        <v>44</v>
      </c>
      <c r="BU10" s="51"/>
      <c r="BV10" s="51"/>
      <c r="BW10" s="51"/>
      <c r="BX10" s="51"/>
      <c r="BY10" s="36"/>
      <c r="BZ10" s="36"/>
      <c r="CA10" s="36"/>
      <c r="CB10" s="36"/>
      <c r="CC10" s="36"/>
      <c r="CD10" s="36"/>
      <c r="CE10" s="51"/>
      <c r="CF10" s="36"/>
      <c r="CG10" s="51"/>
      <c r="CH10" s="36"/>
      <c r="CI10" s="36"/>
      <c r="CJ10" s="51"/>
      <c r="CK10" s="36"/>
      <c r="CL10" s="51"/>
      <c r="CM10" s="36"/>
      <c r="CN10" s="36"/>
    </row>
    <row r="11" ht="15.75" customHeight="1">
      <c r="A11" s="8"/>
      <c r="B11" s="46" t="s">
        <v>37</v>
      </c>
      <c r="C11" s="36"/>
      <c r="D11" s="51"/>
      <c r="E11" s="49">
        <v>1000.0</v>
      </c>
      <c r="F11" s="36"/>
      <c r="G11" s="46" t="s">
        <v>60</v>
      </c>
      <c r="H11" s="51"/>
      <c r="I11" s="51"/>
      <c r="J11" s="51"/>
      <c r="K11" s="52">
        <v>60.0</v>
      </c>
      <c r="L11" s="52">
        <v>60.0</v>
      </c>
      <c r="M11" s="36"/>
      <c r="N11" s="36"/>
      <c r="O11" s="46" t="s">
        <v>61</v>
      </c>
      <c r="P11" s="36"/>
      <c r="Q11" s="51"/>
      <c r="R11" s="51"/>
      <c r="S11" s="36"/>
      <c r="T11" s="51"/>
      <c r="U11" s="51"/>
      <c r="V11" s="36"/>
      <c r="W11" s="51"/>
      <c r="X11" s="36"/>
      <c r="Y11" s="36"/>
      <c r="Z11" s="36"/>
      <c r="AA11" s="36"/>
      <c r="AB11" s="51"/>
      <c r="AC11" s="36"/>
      <c r="AD11" s="36"/>
      <c r="AE11" s="49">
        <v>1000.0</v>
      </c>
      <c r="AF11" s="36"/>
      <c r="AG11" s="51"/>
      <c r="AH11" s="36"/>
      <c r="AI11" s="51"/>
      <c r="AJ11" s="36"/>
      <c r="AK11" s="36"/>
      <c r="AL11" s="36"/>
      <c r="AM11" s="36"/>
      <c r="AN11" s="54"/>
      <c r="AO11" s="36"/>
      <c r="AP11" s="54"/>
      <c r="AQ11" s="54"/>
      <c r="AR11" s="54"/>
      <c r="AS11" s="51"/>
      <c r="AT11" s="51"/>
      <c r="AU11" s="51"/>
      <c r="AV11" s="51"/>
      <c r="AW11" s="51"/>
      <c r="AX11" s="51"/>
      <c r="AY11" s="36"/>
      <c r="AZ11" s="51"/>
      <c r="BA11" s="51"/>
      <c r="BB11" s="36"/>
      <c r="BC11" s="51"/>
      <c r="BD11" s="36"/>
      <c r="BE11" s="51"/>
      <c r="BF11" s="51"/>
      <c r="BG11" s="51"/>
      <c r="BH11" s="36"/>
      <c r="BI11" s="36"/>
      <c r="BJ11" s="49">
        <v>1000.0</v>
      </c>
      <c r="BK11" s="51"/>
      <c r="BL11" s="36"/>
      <c r="BM11" s="36"/>
      <c r="BN11" s="51"/>
      <c r="BO11" s="46" t="s">
        <v>36</v>
      </c>
      <c r="BP11" s="51"/>
      <c r="BQ11" s="51"/>
      <c r="BR11" s="51"/>
      <c r="BS11" s="46" t="s">
        <v>40</v>
      </c>
      <c r="BT11" s="46" t="s">
        <v>35</v>
      </c>
      <c r="BU11" s="51"/>
      <c r="BV11" s="51"/>
      <c r="BW11" s="51"/>
      <c r="BX11" s="51"/>
      <c r="BY11" s="36"/>
      <c r="BZ11" s="36"/>
      <c r="CA11" s="36"/>
      <c r="CB11" s="36"/>
      <c r="CC11" s="36"/>
      <c r="CD11" s="36"/>
      <c r="CE11" s="51"/>
      <c r="CF11" s="36"/>
      <c r="CG11" s="51"/>
      <c r="CH11" s="36"/>
      <c r="CI11" s="36"/>
      <c r="CJ11" s="51"/>
      <c r="CK11" s="36"/>
      <c r="CL11" s="51"/>
      <c r="CM11" s="36"/>
      <c r="CN11" s="36"/>
    </row>
    <row r="12" ht="15.75" customHeight="1">
      <c r="A12" s="8"/>
      <c r="B12" s="46" t="s">
        <v>48</v>
      </c>
      <c r="C12" s="36"/>
      <c r="D12" s="51"/>
      <c r="E12" s="49">
        <v>1000.0</v>
      </c>
      <c r="F12" s="36"/>
      <c r="G12" s="46" t="s">
        <v>60</v>
      </c>
      <c r="H12" s="51"/>
      <c r="I12" s="51"/>
      <c r="J12" s="51"/>
      <c r="K12" s="52">
        <v>1.0</v>
      </c>
      <c r="L12" s="52">
        <v>1.0</v>
      </c>
      <c r="M12" s="36"/>
      <c r="N12" s="36"/>
      <c r="O12" s="46" t="s">
        <v>61</v>
      </c>
      <c r="P12" s="36"/>
      <c r="Q12" s="51"/>
      <c r="R12" s="51"/>
      <c r="S12" s="36"/>
      <c r="T12" s="51"/>
      <c r="U12" s="51"/>
      <c r="V12" s="36"/>
      <c r="W12" s="51"/>
      <c r="X12" s="36"/>
      <c r="Y12" s="36"/>
      <c r="Z12" s="36"/>
      <c r="AA12" s="36"/>
      <c r="AB12" s="51"/>
      <c r="AC12" s="36"/>
      <c r="AD12" s="36"/>
      <c r="AE12" s="49">
        <v>1000.0</v>
      </c>
      <c r="AF12" s="36"/>
      <c r="AG12" s="51"/>
      <c r="AH12" s="36"/>
      <c r="AI12" s="51"/>
      <c r="AJ12" s="36"/>
      <c r="AK12" s="36"/>
      <c r="AL12" s="36"/>
      <c r="AM12" s="36"/>
      <c r="AN12" s="54"/>
      <c r="AO12" s="36"/>
      <c r="AP12" s="54"/>
      <c r="AQ12" s="54"/>
      <c r="AR12" s="54"/>
      <c r="AS12" s="51"/>
      <c r="AT12" s="51"/>
      <c r="AU12" s="51"/>
      <c r="AV12" s="51"/>
      <c r="AW12" s="51"/>
      <c r="AX12" s="51"/>
      <c r="AY12" s="36"/>
      <c r="AZ12" s="51"/>
      <c r="BA12" s="51"/>
      <c r="BB12" s="36"/>
      <c r="BC12" s="51"/>
      <c r="BD12" s="36"/>
      <c r="BE12" s="51"/>
      <c r="BF12" s="51"/>
      <c r="BG12" s="51"/>
      <c r="BH12" s="36"/>
      <c r="BI12" s="36"/>
      <c r="BJ12" s="49">
        <v>1000.0</v>
      </c>
      <c r="BK12" s="51"/>
      <c r="BL12" s="36"/>
      <c r="BM12" s="36"/>
      <c r="BN12" s="51"/>
      <c r="BO12" s="46" t="s">
        <v>45</v>
      </c>
      <c r="BP12" s="51"/>
      <c r="BQ12" s="51"/>
      <c r="BR12" s="51"/>
      <c r="BS12" s="46" t="s">
        <v>62</v>
      </c>
      <c r="BT12" s="46" t="s">
        <v>47</v>
      </c>
      <c r="BU12" s="51"/>
      <c r="BV12" s="51"/>
      <c r="BW12" s="51"/>
      <c r="BX12" s="51"/>
      <c r="BY12" s="36"/>
      <c r="BZ12" s="36"/>
      <c r="CA12" s="36"/>
      <c r="CB12" s="36"/>
      <c r="CC12" s="36"/>
      <c r="CD12" s="36"/>
      <c r="CE12" s="51"/>
      <c r="CF12" s="36"/>
      <c r="CG12" s="51"/>
      <c r="CH12" s="36"/>
      <c r="CI12" s="36"/>
      <c r="CJ12" s="51"/>
      <c r="CK12" s="36"/>
      <c r="CL12" s="51"/>
      <c r="CM12" s="36"/>
      <c r="CN12" s="36"/>
    </row>
    <row r="13" ht="15.75" customHeight="1">
      <c r="A13" s="8"/>
      <c r="B13" s="46" t="s">
        <v>42</v>
      </c>
      <c r="C13" s="36"/>
      <c r="D13" s="51"/>
      <c r="E13" s="49">
        <v>100.0</v>
      </c>
      <c r="F13" s="36"/>
      <c r="G13" s="46" t="s">
        <v>60</v>
      </c>
      <c r="H13" s="51"/>
      <c r="I13" s="51"/>
      <c r="J13" s="51"/>
      <c r="K13" s="52">
        <v>60.0</v>
      </c>
      <c r="L13" s="52">
        <v>60.0</v>
      </c>
      <c r="M13" s="36"/>
      <c r="N13" s="36"/>
      <c r="O13" s="46" t="s">
        <v>61</v>
      </c>
      <c r="P13" s="36"/>
      <c r="Q13" s="51"/>
      <c r="R13" s="51"/>
      <c r="S13" s="36"/>
      <c r="T13" s="51"/>
      <c r="U13" s="51"/>
      <c r="V13" s="36"/>
      <c r="W13" s="51"/>
      <c r="X13" s="36"/>
      <c r="Y13" s="36"/>
      <c r="Z13" s="36"/>
      <c r="AA13" s="36"/>
      <c r="AB13" s="51"/>
      <c r="AC13" s="36"/>
      <c r="AD13" s="36"/>
      <c r="AE13" s="49">
        <v>100.0</v>
      </c>
      <c r="AF13" s="36"/>
      <c r="AG13" s="51"/>
      <c r="AH13" s="36"/>
      <c r="AI13" s="51"/>
      <c r="AJ13" s="36"/>
      <c r="AK13" s="36"/>
      <c r="AL13" s="36"/>
      <c r="AM13" s="36"/>
      <c r="AN13" s="54"/>
      <c r="AO13" s="36"/>
      <c r="AP13" s="54"/>
      <c r="AQ13" s="54"/>
      <c r="AR13" s="54"/>
      <c r="AS13" s="51"/>
      <c r="AT13" s="51"/>
      <c r="AU13" s="51"/>
      <c r="AV13" s="51"/>
      <c r="AW13" s="51"/>
      <c r="AX13" s="51"/>
      <c r="AY13" s="36"/>
      <c r="AZ13" s="51"/>
      <c r="BA13" s="51"/>
      <c r="BB13" s="36"/>
      <c r="BC13" s="51"/>
      <c r="BD13" s="36"/>
      <c r="BE13" s="51"/>
      <c r="BF13" s="51"/>
      <c r="BG13" s="51"/>
      <c r="BH13" s="36"/>
      <c r="BI13" s="36"/>
      <c r="BJ13" s="49">
        <v>100.0</v>
      </c>
      <c r="BK13" s="51"/>
      <c r="BL13" s="36"/>
      <c r="BM13" s="36"/>
      <c r="BN13" s="51"/>
      <c r="BO13" s="46" t="s">
        <v>63</v>
      </c>
      <c r="BP13" s="51"/>
      <c r="BQ13" s="51"/>
      <c r="BR13" s="51"/>
      <c r="BS13" s="46" t="s">
        <v>62</v>
      </c>
      <c r="BT13" s="46" t="s">
        <v>41</v>
      </c>
      <c r="BU13" s="51"/>
      <c r="BV13" s="51"/>
      <c r="BW13" s="51"/>
      <c r="BX13" s="51"/>
      <c r="BY13" s="36"/>
      <c r="BZ13" s="36"/>
      <c r="CA13" s="36"/>
      <c r="CB13" s="36"/>
      <c r="CC13" s="36"/>
      <c r="CD13" s="36"/>
      <c r="CE13" s="51"/>
      <c r="CF13" s="36"/>
      <c r="CG13" s="51"/>
      <c r="CH13" s="36"/>
      <c r="CI13" s="36"/>
      <c r="CJ13" s="51"/>
      <c r="CK13" s="36"/>
      <c r="CL13" s="51"/>
      <c r="CM13" s="36"/>
      <c r="CN13" s="36"/>
    </row>
    <row r="14" ht="15.75" customHeight="1">
      <c r="A14" s="8"/>
      <c r="B14" s="46" t="s">
        <v>42</v>
      </c>
      <c r="C14" s="36"/>
      <c r="D14" s="51"/>
      <c r="E14" s="49">
        <v>1000.0</v>
      </c>
      <c r="F14" s="36"/>
      <c r="G14" s="46" t="s">
        <v>60</v>
      </c>
      <c r="H14" s="51"/>
      <c r="I14" s="51"/>
      <c r="J14" s="51"/>
      <c r="K14" s="52">
        <v>60.0</v>
      </c>
      <c r="L14" s="52">
        <v>60.0</v>
      </c>
      <c r="M14" s="36"/>
      <c r="N14" s="36"/>
      <c r="O14" s="46" t="s">
        <v>61</v>
      </c>
      <c r="P14" s="36"/>
      <c r="Q14" s="51"/>
      <c r="R14" s="51"/>
      <c r="S14" s="36"/>
      <c r="T14" s="51"/>
      <c r="U14" s="51"/>
      <c r="V14" s="36"/>
      <c r="W14" s="51"/>
      <c r="X14" s="36"/>
      <c r="Y14" s="36"/>
      <c r="Z14" s="36"/>
      <c r="AA14" s="36"/>
      <c r="AB14" s="51"/>
      <c r="AC14" s="36"/>
      <c r="AD14" s="36"/>
      <c r="AE14" s="49">
        <v>1000.0</v>
      </c>
      <c r="AF14" s="36"/>
      <c r="AG14" s="51"/>
      <c r="AH14" s="36"/>
      <c r="AI14" s="51"/>
      <c r="AJ14" s="36"/>
      <c r="AK14" s="36"/>
      <c r="AL14" s="36"/>
      <c r="AM14" s="36"/>
      <c r="AN14" s="54"/>
      <c r="AO14" s="36"/>
      <c r="AP14" s="54"/>
      <c r="AQ14" s="54"/>
      <c r="AR14" s="54"/>
      <c r="AS14" s="51"/>
      <c r="AT14" s="51"/>
      <c r="AU14" s="51"/>
      <c r="AV14" s="51"/>
      <c r="AW14" s="51"/>
      <c r="AX14" s="51"/>
      <c r="AY14" s="36"/>
      <c r="AZ14" s="51"/>
      <c r="BA14" s="51"/>
      <c r="BB14" s="36"/>
      <c r="BC14" s="51"/>
      <c r="BD14" s="36"/>
      <c r="BE14" s="51"/>
      <c r="BF14" s="51"/>
      <c r="BG14" s="51"/>
      <c r="BH14" s="36"/>
      <c r="BI14" s="36"/>
      <c r="BJ14" s="49">
        <v>1000.0</v>
      </c>
      <c r="BK14" s="51"/>
      <c r="BL14" s="36"/>
      <c r="BM14" s="36"/>
      <c r="BN14" s="51"/>
      <c r="BO14" s="46" t="s">
        <v>45</v>
      </c>
      <c r="BP14" s="51"/>
      <c r="BQ14" s="51"/>
      <c r="BR14" s="51"/>
      <c r="BS14" s="46" t="s">
        <v>62</v>
      </c>
      <c r="BT14" s="46" t="s">
        <v>41</v>
      </c>
      <c r="BU14" s="51"/>
      <c r="BV14" s="51"/>
      <c r="BW14" s="51"/>
      <c r="BX14" s="51"/>
      <c r="BY14" s="36"/>
      <c r="BZ14" s="36"/>
      <c r="CA14" s="36"/>
      <c r="CB14" s="36"/>
      <c r="CC14" s="36"/>
      <c r="CD14" s="36"/>
      <c r="CE14" s="51"/>
      <c r="CF14" s="36"/>
      <c r="CG14" s="51"/>
      <c r="CH14" s="36"/>
      <c r="CI14" s="36"/>
      <c r="CJ14" s="51"/>
      <c r="CK14" s="36"/>
      <c r="CL14" s="51"/>
      <c r="CM14" s="36"/>
      <c r="CN14" s="36"/>
    </row>
    <row r="15" ht="15.75" customHeight="1">
      <c r="A15" s="8"/>
      <c r="B15" s="46" t="s">
        <v>42</v>
      </c>
      <c r="C15" s="36"/>
      <c r="D15" s="51"/>
      <c r="E15" s="49">
        <v>1000.0</v>
      </c>
      <c r="F15" s="36"/>
      <c r="G15" s="46" t="s">
        <v>60</v>
      </c>
      <c r="H15" s="51"/>
      <c r="I15" s="51"/>
      <c r="J15" s="51"/>
      <c r="K15" s="52">
        <v>60.0</v>
      </c>
      <c r="L15" s="52">
        <v>60.0</v>
      </c>
      <c r="M15" s="36"/>
      <c r="N15" s="36"/>
      <c r="O15" s="46" t="s">
        <v>61</v>
      </c>
      <c r="P15" s="36"/>
      <c r="Q15" s="51"/>
      <c r="R15" s="51"/>
      <c r="S15" s="36"/>
      <c r="T15" s="51"/>
      <c r="U15" s="51"/>
      <c r="V15" s="36"/>
      <c r="W15" s="51"/>
      <c r="X15" s="36"/>
      <c r="Y15" s="36"/>
      <c r="Z15" s="36"/>
      <c r="AA15" s="36"/>
      <c r="AB15" s="51"/>
      <c r="AC15" s="36"/>
      <c r="AD15" s="36"/>
      <c r="AE15" s="49">
        <v>1000.0</v>
      </c>
      <c r="AF15" s="36"/>
      <c r="AG15" s="51"/>
      <c r="AH15" s="36"/>
      <c r="AI15" s="51"/>
      <c r="AJ15" s="36"/>
      <c r="AK15" s="34"/>
      <c r="AL15" s="36"/>
      <c r="AM15" s="36"/>
      <c r="AN15" s="54"/>
      <c r="AO15" s="36"/>
      <c r="AP15" s="54"/>
      <c r="AQ15" s="54"/>
      <c r="AR15" s="54"/>
      <c r="AS15" s="51"/>
      <c r="AT15" s="51"/>
      <c r="AU15" s="51"/>
      <c r="AV15" s="51"/>
      <c r="AW15" s="51"/>
      <c r="AX15" s="51"/>
      <c r="AY15" s="36"/>
      <c r="AZ15" s="51"/>
      <c r="BA15" s="51"/>
      <c r="BB15" s="36"/>
      <c r="BC15" s="51"/>
      <c r="BD15" s="36"/>
      <c r="BE15" s="51"/>
      <c r="BF15" s="51"/>
      <c r="BG15" s="51"/>
      <c r="BH15" s="36"/>
      <c r="BI15" s="36"/>
      <c r="BJ15" s="49">
        <v>1000.0</v>
      </c>
      <c r="BK15" s="51"/>
      <c r="BL15" s="36"/>
      <c r="BM15" s="36"/>
      <c r="BN15" s="51"/>
      <c r="BO15" s="46" t="s">
        <v>63</v>
      </c>
      <c r="BP15" s="51"/>
      <c r="BQ15" s="51"/>
      <c r="BR15" s="51"/>
      <c r="BS15" s="46" t="s">
        <v>62</v>
      </c>
      <c r="BT15" s="46" t="s">
        <v>41</v>
      </c>
      <c r="BU15" s="51"/>
      <c r="BV15" s="51"/>
      <c r="BW15" s="51"/>
      <c r="BX15" s="51"/>
      <c r="BY15" s="36"/>
      <c r="BZ15" s="36"/>
      <c r="CA15" s="36"/>
      <c r="CB15" s="36"/>
      <c r="CC15" s="36"/>
      <c r="CD15" s="36"/>
      <c r="CE15" s="51"/>
      <c r="CF15" s="36"/>
      <c r="CG15" s="51"/>
      <c r="CH15" s="36"/>
      <c r="CI15" s="36"/>
      <c r="CJ15" s="51"/>
      <c r="CK15" s="36"/>
      <c r="CL15" s="51"/>
      <c r="CM15" s="36"/>
      <c r="CN15" s="36"/>
    </row>
    <row r="16" ht="15.75" customHeight="1">
      <c r="A16" s="8"/>
      <c r="B16" s="46" t="s">
        <v>42</v>
      </c>
      <c r="C16" s="8"/>
      <c r="D16" s="8"/>
      <c r="E16" s="49">
        <v>900.0</v>
      </c>
      <c r="F16" s="8"/>
      <c r="G16" s="46" t="s">
        <v>60</v>
      </c>
      <c r="H16" s="8"/>
      <c r="I16" s="8"/>
      <c r="J16" s="8"/>
      <c r="K16" s="52">
        <v>60.0</v>
      </c>
      <c r="L16" s="52">
        <v>60.0</v>
      </c>
      <c r="M16" s="8"/>
      <c r="N16" s="8"/>
      <c r="O16" s="46" t="s">
        <v>61</v>
      </c>
      <c r="AE16" s="49">
        <v>900.0</v>
      </c>
      <c r="BJ16" s="49">
        <v>900.0</v>
      </c>
      <c r="BO16" s="46" t="s">
        <v>45</v>
      </c>
      <c r="BS16" s="46" t="s">
        <v>62</v>
      </c>
      <c r="BT16" s="46" t="s">
        <v>41</v>
      </c>
    </row>
    <row r="17" ht="15.75" customHeight="1">
      <c r="A17" s="8"/>
      <c r="B17" s="46" t="s">
        <v>46</v>
      </c>
      <c r="C17" s="8"/>
      <c r="D17" s="8"/>
      <c r="E17" s="49">
        <v>1000.0</v>
      </c>
      <c r="F17" s="8"/>
      <c r="G17" s="46" t="s">
        <v>60</v>
      </c>
      <c r="H17" s="8"/>
      <c r="I17" s="8"/>
      <c r="J17" s="8"/>
      <c r="K17" s="52">
        <v>60.0</v>
      </c>
      <c r="L17" s="52">
        <v>60.0</v>
      </c>
      <c r="M17" s="8"/>
      <c r="N17" s="8"/>
      <c r="O17" s="46" t="s">
        <v>61</v>
      </c>
      <c r="AE17" s="49">
        <v>1000.0</v>
      </c>
      <c r="BJ17" s="49">
        <v>1000.0</v>
      </c>
      <c r="BO17" s="46" t="s">
        <v>36</v>
      </c>
      <c r="BS17" s="46" t="s">
        <v>62</v>
      </c>
      <c r="BT17" s="46" t="s">
        <v>44</v>
      </c>
    </row>
    <row r="18" ht="15.75" customHeight="1">
      <c r="A18" s="8"/>
      <c r="B18" s="46" t="s">
        <v>46</v>
      </c>
      <c r="C18" s="8"/>
      <c r="D18" s="8"/>
      <c r="E18" s="52">
        <v>100.0</v>
      </c>
      <c r="F18" s="8"/>
      <c r="G18" s="46" t="s">
        <v>60</v>
      </c>
      <c r="H18" s="8"/>
      <c r="I18" s="8"/>
      <c r="J18" s="8"/>
      <c r="K18" s="52">
        <v>60.0</v>
      </c>
      <c r="L18" s="52">
        <v>60.0</v>
      </c>
      <c r="M18" s="8"/>
      <c r="N18" s="8"/>
      <c r="O18" s="46" t="s">
        <v>61</v>
      </c>
      <c r="AE18" s="52">
        <v>100.0</v>
      </c>
      <c r="BJ18" s="52">
        <v>100.0</v>
      </c>
      <c r="BO18" s="46" t="s">
        <v>64</v>
      </c>
      <c r="BS18" s="46" t="s">
        <v>62</v>
      </c>
      <c r="BT18" s="46" t="s">
        <v>44</v>
      </c>
    </row>
    <row r="19" ht="15.75" customHeight="1">
      <c r="A19" s="8"/>
      <c r="B19" s="46" t="s">
        <v>46</v>
      </c>
      <c r="C19" s="8"/>
      <c r="D19" s="8"/>
      <c r="E19" s="49">
        <v>900.0</v>
      </c>
      <c r="F19" s="8"/>
      <c r="G19" s="46" t="s">
        <v>60</v>
      </c>
      <c r="H19" s="8"/>
      <c r="I19" s="8"/>
      <c r="J19" s="8"/>
      <c r="K19" s="52">
        <v>60.0</v>
      </c>
      <c r="L19" s="52">
        <v>60.0</v>
      </c>
      <c r="M19" s="8"/>
      <c r="N19" s="8"/>
      <c r="O19" s="46" t="s">
        <v>61</v>
      </c>
      <c r="AE19" s="49">
        <v>900.0</v>
      </c>
      <c r="BJ19" s="49">
        <v>900.0</v>
      </c>
      <c r="BO19" s="46" t="s">
        <v>36</v>
      </c>
      <c r="BS19" s="46" t="s">
        <v>62</v>
      </c>
      <c r="BT19" s="46" t="s">
        <v>44</v>
      </c>
    </row>
    <row r="20" ht="15.75" customHeight="1">
      <c r="A20" s="8"/>
      <c r="B20" s="46" t="s">
        <v>46</v>
      </c>
      <c r="C20" s="8"/>
      <c r="D20" s="8"/>
      <c r="E20" s="49">
        <v>1000.0</v>
      </c>
      <c r="F20" s="8"/>
      <c r="G20" s="46" t="s">
        <v>60</v>
      </c>
      <c r="H20" s="8"/>
      <c r="I20" s="8"/>
      <c r="J20" s="8"/>
      <c r="K20" s="52">
        <v>60.0</v>
      </c>
      <c r="L20" s="52">
        <v>60.0</v>
      </c>
      <c r="M20" s="8"/>
      <c r="N20" s="8"/>
      <c r="O20" s="46" t="s">
        <v>61</v>
      </c>
      <c r="AE20" s="49">
        <v>1000.0</v>
      </c>
      <c r="BJ20" s="49">
        <v>1000.0</v>
      </c>
      <c r="BO20" s="46" t="s">
        <v>64</v>
      </c>
      <c r="BS20" s="46" t="s">
        <v>62</v>
      </c>
      <c r="BT20" s="46" t="s">
        <v>44</v>
      </c>
    </row>
    <row r="21" ht="15.75" customHeight="1">
      <c r="A21" s="8"/>
      <c r="B21" s="46" t="s">
        <v>46</v>
      </c>
      <c r="C21" s="8"/>
      <c r="D21" s="8"/>
      <c r="E21" s="52">
        <v>10.0</v>
      </c>
      <c r="F21" s="8"/>
      <c r="G21" s="46" t="s">
        <v>65</v>
      </c>
      <c r="H21" s="8"/>
      <c r="I21" s="8"/>
      <c r="J21" s="8"/>
      <c r="K21" s="52">
        <v>10.0</v>
      </c>
      <c r="L21" s="52">
        <v>10.0</v>
      </c>
      <c r="M21" s="8"/>
      <c r="N21" s="8"/>
      <c r="O21" s="46" t="s">
        <v>61</v>
      </c>
      <c r="AE21" s="52">
        <v>10.0</v>
      </c>
      <c r="BJ21" s="52">
        <v>10.0</v>
      </c>
      <c r="BO21" s="46" t="s">
        <v>43</v>
      </c>
      <c r="BS21" s="46" t="s">
        <v>62</v>
      </c>
      <c r="BT21" s="46" t="s">
        <v>21</v>
      </c>
    </row>
    <row r="22" ht="15.75" customHeight="1">
      <c r="A22" s="8"/>
      <c r="B22" s="46" t="s">
        <v>37</v>
      </c>
      <c r="C22" s="8"/>
      <c r="D22" s="8"/>
      <c r="E22" s="52">
        <v>10.0</v>
      </c>
      <c r="F22" s="8"/>
      <c r="G22" s="46" t="s">
        <v>65</v>
      </c>
      <c r="H22" s="8"/>
      <c r="I22" s="8"/>
      <c r="J22" s="8"/>
      <c r="K22" s="52">
        <v>10.0</v>
      </c>
      <c r="L22" s="52">
        <v>10.0</v>
      </c>
      <c r="M22" s="8"/>
      <c r="N22" s="8"/>
      <c r="O22" s="46" t="s">
        <v>61</v>
      </c>
      <c r="AE22" s="52">
        <v>10.0</v>
      </c>
      <c r="BJ22" s="52">
        <v>10.0</v>
      </c>
      <c r="BO22" s="46" t="s">
        <v>38</v>
      </c>
      <c r="BS22" s="46" t="s">
        <v>62</v>
      </c>
      <c r="BT22" s="46" t="s">
        <v>32</v>
      </c>
    </row>
    <row r="23" ht="15.75" customHeight="1">
      <c r="A23" s="8"/>
      <c r="B23" s="46" t="s">
        <v>42</v>
      </c>
      <c r="C23" s="8"/>
      <c r="D23" s="8"/>
      <c r="E23" s="52">
        <v>10.0</v>
      </c>
      <c r="F23" s="8"/>
      <c r="G23" s="46" t="s">
        <v>65</v>
      </c>
      <c r="H23" s="8"/>
      <c r="I23" s="8"/>
      <c r="J23" s="8"/>
      <c r="K23" s="52">
        <v>10.0</v>
      </c>
      <c r="L23" s="52">
        <v>10.0</v>
      </c>
      <c r="M23" s="8"/>
      <c r="N23" s="8"/>
      <c r="O23" s="46" t="s">
        <v>61</v>
      </c>
      <c r="AE23" s="52">
        <v>10.0</v>
      </c>
      <c r="BJ23" s="52">
        <v>10.0</v>
      </c>
      <c r="BO23" s="46" t="s">
        <v>43</v>
      </c>
      <c r="BS23" s="46" t="s">
        <v>62</v>
      </c>
      <c r="BT23" s="46" t="s">
        <v>18</v>
      </c>
    </row>
    <row r="24" ht="15.75" customHeight="1">
      <c r="A24" s="8"/>
      <c r="B24" s="46" t="s">
        <v>42</v>
      </c>
      <c r="C24" s="8"/>
      <c r="D24" s="8"/>
      <c r="E24" s="49">
        <v>10.0</v>
      </c>
      <c r="F24" s="8"/>
      <c r="G24" s="46" t="s">
        <v>65</v>
      </c>
      <c r="H24" s="8"/>
      <c r="I24" s="8"/>
      <c r="J24" s="8"/>
      <c r="K24" s="52">
        <v>10.0</v>
      </c>
      <c r="L24" s="52">
        <v>10.0</v>
      </c>
      <c r="M24" s="8"/>
      <c r="N24" s="8"/>
      <c r="O24" s="46" t="s">
        <v>61</v>
      </c>
      <c r="AE24" s="49">
        <v>10.0</v>
      </c>
      <c r="BJ24" s="49">
        <v>10.0</v>
      </c>
      <c r="BO24" s="46" t="s">
        <v>43</v>
      </c>
      <c r="BS24" s="46" t="s">
        <v>62</v>
      </c>
      <c r="BT24" s="46" t="s">
        <v>19</v>
      </c>
    </row>
    <row r="25" ht="15.75" customHeight="1">
      <c r="A25" s="8"/>
      <c r="B25" s="46" t="s">
        <v>48</v>
      </c>
      <c r="C25" s="8"/>
      <c r="D25" s="8"/>
      <c r="E25" s="49">
        <v>1000.0</v>
      </c>
      <c r="F25" s="8"/>
      <c r="G25" s="46" t="s">
        <v>60</v>
      </c>
      <c r="H25" s="8"/>
      <c r="I25" s="8"/>
      <c r="J25" s="8"/>
      <c r="K25" s="52">
        <v>70.0</v>
      </c>
      <c r="L25" s="52">
        <v>70.0</v>
      </c>
      <c r="M25" s="8"/>
      <c r="N25" s="8"/>
      <c r="O25" s="46" t="s">
        <v>61</v>
      </c>
      <c r="AE25" s="49">
        <v>1000.0</v>
      </c>
      <c r="BJ25" s="49">
        <v>1000.0</v>
      </c>
      <c r="BO25" s="46" t="s">
        <v>45</v>
      </c>
      <c r="BS25" s="46" t="s">
        <v>62</v>
      </c>
      <c r="BT25" s="46" t="s">
        <v>47</v>
      </c>
    </row>
    <row r="26" ht="15.75" customHeight="1">
      <c r="A26" s="8"/>
      <c r="B26" s="46" t="s">
        <v>48</v>
      </c>
      <c r="C26" s="8"/>
      <c r="D26" s="8"/>
      <c r="E26" s="49">
        <v>1000.0</v>
      </c>
      <c r="F26" s="8"/>
      <c r="G26" s="46" t="s">
        <v>60</v>
      </c>
      <c r="H26" s="8"/>
      <c r="I26" s="8"/>
      <c r="J26" s="8"/>
      <c r="K26" s="52">
        <v>60.0</v>
      </c>
      <c r="L26" s="52">
        <v>60.0</v>
      </c>
      <c r="M26" s="8"/>
      <c r="N26" s="8"/>
      <c r="O26" s="46" t="s">
        <v>61</v>
      </c>
      <c r="AE26" s="49">
        <v>1000.0</v>
      </c>
      <c r="BJ26" s="49">
        <v>1000.0</v>
      </c>
      <c r="BO26" s="46" t="s">
        <v>45</v>
      </c>
      <c r="BS26" s="46" t="s">
        <v>62</v>
      </c>
      <c r="BT26" s="46" t="s">
        <v>47</v>
      </c>
    </row>
    <row r="27" ht="15.75" customHeight="1">
      <c r="B27" s="46" t="s">
        <v>48</v>
      </c>
      <c r="E27" s="49">
        <v>1000.0</v>
      </c>
      <c r="G27" s="46" t="s">
        <v>60</v>
      </c>
      <c r="K27" s="52">
        <v>60.0</v>
      </c>
      <c r="L27" s="52">
        <v>60.0</v>
      </c>
      <c r="O27" s="46" t="s">
        <v>61</v>
      </c>
      <c r="AE27" s="49">
        <v>1000.0</v>
      </c>
      <c r="BJ27" s="49">
        <v>1000.0</v>
      </c>
      <c r="BO27" s="46" t="s">
        <v>45</v>
      </c>
      <c r="BS27" s="46" t="s">
        <v>62</v>
      </c>
      <c r="BT27" s="46" t="s">
        <v>47</v>
      </c>
    </row>
    <row r="28" ht="15.75" customHeight="1">
      <c r="B28" s="46" t="s">
        <v>48</v>
      </c>
      <c r="E28" s="49">
        <v>1000.0</v>
      </c>
      <c r="G28" s="46" t="s">
        <v>60</v>
      </c>
      <c r="K28" s="52">
        <v>50.0</v>
      </c>
      <c r="L28" s="52">
        <v>50.0</v>
      </c>
      <c r="O28" s="46" t="s">
        <v>61</v>
      </c>
      <c r="AE28" s="49">
        <v>1000.0</v>
      </c>
      <c r="BJ28" s="49">
        <v>1000.0</v>
      </c>
      <c r="BO28" s="46" t="s">
        <v>45</v>
      </c>
      <c r="BS28" s="46" t="s">
        <v>62</v>
      </c>
      <c r="BT28" s="46" t="s">
        <v>47</v>
      </c>
    </row>
    <row r="29" ht="15.75" customHeight="1">
      <c r="B29" s="46" t="s">
        <v>37</v>
      </c>
      <c r="E29" s="52">
        <v>10.0</v>
      </c>
      <c r="G29" s="46" t="s">
        <v>65</v>
      </c>
      <c r="K29" s="52">
        <v>10.0</v>
      </c>
      <c r="L29" s="52">
        <v>10.0</v>
      </c>
      <c r="O29" s="46" t="s">
        <v>39</v>
      </c>
      <c r="AE29" s="52">
        <v>10.0</v>
      </c>
      <c r="BJ29" s="52">
        <v>10.0</v>
      </c>
      <c r="BO29" s="46" t="s">
        <v>38</v>
      </c>
      <c r="BS29" s="46" t="s">
        <v>62</v>
      </c>
      <c r="BT29" s="46" t="s">
        <v>32</v>
      </c>
    </row>
    <row r="30" ht="15.75" customHeight="1">
      <c r="B30" s="46" t="s">
        <v>42</v>
      </c>
      <c r="E30" s="52">
        <v>10.0</v>
      </c>
      <c r="G30" s="46" t="s">
        <v>65</v>
      </c>
      <c r="K30" s="52">
        <v>10.0</v>
      </c>
      <c r="L30" s="52">
        <v>10.0</v>
      </c>
      <c r="O30" s="46" t="s">
        <v>61</v>
      </c>
      <c r="AE30" s="52">
        <v>10.0</v>
      </c>
      <c r="BJ30" s="52">
        <v>10.0</v>
      </c>
      <c r="BO30" s="46" t="s">
        <v>43</v>
      </c>
      <c r="BS30" s="46" t="s">
        <v>62</v>
      </c>
      <c r="BT30" s="46" t="s">
        <v>16</v>
      </c>
    </row>
    <row r="31" ht="15.75" customHeight="1">
      <c r="B31" s="46" t="s">
        <v>37</v>
      </c>
      <c r="E31" s="52">
        <v>10.0</v>
      </c>
      <c r="G31" s="46" t="s">
        <v>65</v>
      </c>
      <c r="K31" s="52">
        <v>10.0</v>
      </c>
      <c r="L31" s="52">
        <v>10.0</v>
      </c>
      <c r="O31" s="46" t="s">
        <v>61</v>
      </c>
      <c r="AE31" s="52">
        <v>10.0</v>
      </c>
      <c r="BJ31" s="52">
        <v>10.0</v>
      </c>
      <c r="BO31" s="46" t="s">
        <v>38</v>
      </c>
      <c r="BS31" s="46" t="s">
        <v>40</v>
      </c>
      <c r="BT31" s="46" t="s">
        <v>32</v>
      </c>
    </row>
    <row r="32" ht="15.75" customHeight="1">
      <c r="B32" s="46" t="s">
        <v>46</v>
      </c>
      <c r="E32" s="52">
        <v>10.0</v>
      </c>
      <c r="G32" s="46" t="s">
        <v>65</v>
      </c>
      <c r="K32" s="52">
        <v>10.0</v>
      </c>
      <c r="L32" s="52">
        <v>10.0</v>
      </c>
      <c r="O32" s="46" t="s">
        <v>61</v>
      </c>
      <c r="AE32" s="52">
        <v>10.0</v>
      </c>
      <c r="BJ32" s="52">
        <v>10.0</v>
      </c>
      <c r="BO32" s="46" t="s">
        <v>43</v>
      </c>
      <c r="BS32" s="46" t="s">
        <v>62</v>
      </c>
      <c r="BT32" s="46" t="s">
        <v>20</v>
      </c>
    </row>
    <row r="33" ht="15.75" customHeight="1">
      <c r="B33" s="46" t="s">
        <v>48</v>
      </c>
      <c r="E33" s="52">
        <v>10.0</v>
      </c>
      <c r="G33" s="46" t="s">
        <v>65</v>
      </c>
      <c r="K33" s="52">
        <v>10.0</v>
      </c>
      <c r="L33" s="52">
        <v>10.0</v>
      </c>
      <c r="O33" s="46" t="s">
        <v>61</v>
      </c>
      <c r="AE33" s="52">
        <v>10.0</v>
      </c>
      <c r="BJ33" s="52">
        <v>10.0</v>
      </c>
      <c r="BO33" s="46" t="s">
        <v>38</v>
      </c>
      <c r="BS33" s="46" t="s">
        <v>62</v>
      </c>
      <c r="BT33" s="46" t="s">
        <v>25</v>
      </c>
    </row>
    <row r="34" ht="15.75" customHeight="1">
      <c r="B34" s="46" t="s">
        <v>48</v>
      </c>
      <c r="E34" s="52">
        <v>10.0</v>
      </c>
      <c r="G34" s="46" t="s">
        <v>65</v>
      </c>
      <c r="K34" s="52">
        <v>10.0</v>
      </c>
      <c r="L34" s="52">
        <v>10.0</v>
      </c>
      <c r="O34" s="46" t="s">
        <v>61</v>
      </c>
      <c r="AE34" s="52">
        <v>10.0</v>
      </c>
      <c r="BJ34" s="52">
        <v>10.0</v>
      </c>
      <c r="BO34" s="46" t="s">
        <v>38</v>
      </c>
      <c r="BS34" s="46" t="s">
        <v>62</v>
      </c>
      <c r="BT34" s="46" t="s">
        <v>24</v>
      </c>
    </row>
    <row r="35" ht="15.75" customHeight="1">
      <c r="B35" s="46" t="s">
        <v>42</v>
      </c>
      <c r="E35" s="52">
        <v>10.0</v>
      </c>
      <c r="G35" s="46" t="s">
        <v>65</v>
      </c>
      <c r="K35" s="52">
        <v>0.0</v>
      </c>
      <c r="L35" s="52">
        <v>0.0</v>
      </c>
      <c r="O35" s="46" t="s">
        <v>61</v>
      </c>
      <c r="AE35" s="52">
        <v>10.0</v>
      </c>
      <c r="BJ35" s="52">
        <v>10.0</v>
      </c>
      <c r="BO35" s="46" t="s">
        <v>66</v>
      </c>
      <c r="BS35" s="46" t="s">
        <v>62</v>
      </c>
      <c r="BT35" s="46" t="s">
        <v>19</v>
      </c>
    </row>
    <row r="36" ht="15.75" customHeight="1">
      <c r="B36" s="46" t="s">
        <v>46</v>
      </c>
      <c r="E36" s="52">
        <v>10.0</v>
      </c>
      <c r="G36" s="46" t="s">
        <v>65</v>
      </c>
      <c r="K36" s="52">
        <v>0.0</v>
      </c>
      <c r="L36" s="52">
        <v>0.0</v>
      </c>
      <c r="O36" s="46" t="s">
        <v>61</v>
      </c>
      <c r="AE36" s="52">
        <v>10.0</v>
      </c>
      <c r="BJ36" s="52">
        <v>10.0</v>
      </c>
      <c r="BO36" s="46" t="s">
        <v>66</v>
      </c>
      <c r="BS36" s="46" t="s">
        <v>62</v>
      </c>
      <c r="BT36" s="46" t="s">
        <v>22</v>
      </c>
    </row>
    <row r="37" ht="15.75" customHeight="1">
      <c r="B37" s="46" t="s">
        <v>46</v>
      </c>
      <c r="E37" s="52">
        <v>10.0</v>
      </c>
      <c r="G37" s="46" t="s">
        <v>65</v>
      </c>
      <c r="K37" s="52">
        <v>10.0</v>
      </c>
      <c r="L37" s="52">
        <v>10.0</v>
      </c>
      <c r="O37" s="46" t="s">
        <v>61</v>
      </c>
      <c r="AE37" s="52">
        <v>10.0</v>
      </c>
      <c r="BJ37" s="52">
        <v>10.0</v>
      </c>
      <c r="BO37" s="46" t="s">
        <v>43</v>
      </c>
      <c r="BS37" s="46" t="s">
        <v>62</v>
      </c>
      <c r="BT37" s="46" t="s">
        <v>22</v>
      </c>
    </row>
    <row r="38" ht="15.75" customHeight="1">
      <c r="B38" s="46" t="s">
        <v>48</v>
      </c>
      <c r="E38" s="52">
        <v>10.0</v>
      </c>
      <c r="G38" s="46" t="s">
        <v>65</v>
      </c>
      <c r="K38" s="52">
        <v>10.0</v>
      </c>
      <c r="L38" s="52">
        <v>10.0</v>
      </c>
      <c r="O38" s="46" t="s">
        <v>61</v>
      </c>
      <c r="AE38" s="52">
        <v>10.0</v>
      </c>
      <c r="BJ38" s="52">
        <v>10.0</v>
      </c>
      <c r="BO38" s="46" t="s">
        <v>38</v>
      </c>
      <c r="BS38" s="46" t="s">
        <v>62</v>
      </c>
      <c r="BT38" s="46" t="s">
        <v>26</v>
      </c>
    </row>
    <row r="39" ht="15.75" customHeight="1">
      <c r="B39" s="46" t="s">
        <v>37</v>
      </c>
      <c r="E39" s="52">
        <v>10.0</v>
      </c>
      <c r="G39" s="46" t="s">
        <v>65</v>
      </c>
      <c r="K39" s="52">
        <v>0.0</v>
      </c>
      <c r="L39" s="52">
        <v>0.0</v>
      </c>
      <c r="O39" s="46" t="s">
        <v>61</v>
      </c>
      <c r="AE39" s="52">
        <v>10.0</v>
      </c>
      <c r="BJ39" s="52">
        <v>10.0</v>
      </c>
      <c r="BO39" s="46" t="s">
        <v>64</v>
      </c>
      <c r="BS39" s="46" t="s">
        <v>62</v>
      </c>
      <c r="BT39" s="46" t="s">
        <v>32</v>
      </c>
    </row>
    <row r="40" ht="15.75" customHeight="1">
      <c r="B40" s="46" t="s">
        <v>48</v>
      </c>
      <c r="E40" s="52">
        <v>10.0</v>
      </c>
      <c r="G40" s="46" t="s">
        <v>65</v>
      </c>
      <c r="K40" s="52">
        <v>10.0</v>
      </c>
      <c r="L40" s="52">
        <v>10.0</v>
      </c>
      <c r="O40" s="46" t="s">
        <v>61</v>
      </c>
      <c r="AE40" s="52">
        <v>10.0</v>
      </c>
      <c r="BJ40" s="52">
        <v>10.0</v>
      </c>
      <c r="BO40" s="46" t="s">
        <v>38</v>
      </c>
      <c r="BS40" s="46" t="s">
        <v>62</v>
      </c>
      <c r="BT40" s="46" t="s">
        <v>23</v>
      </c>
    </row>
    <row r="41" ht="15.75" customHeight="1">
      <c r="B41" s="46" t="s">
        <v>37</v>
      </c>
      <c r="E41" s="52">
        <v>10.0</v>
      </c>
      <c r="G41" s="46" t="s">
        <v>65</v>
      </c>
      <c r="K41" s="52">
        <v>0.0</v>
      </c>
      <c r="L41" s="52">
        <v>0.0</v>
      </c>
      <c r="O41" s="46" t="s">
        <v>61</v>
      </c>
      <c r="AE41" s="52">
        <v>10.0</v>
      </c>
      <c r="BJ41" s="52">
        <v>10.0</v>
      </c>
      <c r="BO41" s="46" t="s">
        <v>64</v>
      </c>
      <c r="BS41" s="46" t="s">
        <v>40</v>
      </c>
      <c r="BT41" s="46" t="s">
        <v>32</v>
      </c>
    </row>
    <row r="42" ht="15.75" customHeight="1">
      <c r="B42" s="46" t="s">
        <v>48</v>
      </c>
      <c r="E42" s="52">
        <v>10.0</v>
      </c>
      <c r="G42" s="46" t="s">
        <v>65</v>
      </c>
      <c r="K42" s="52">
        <v>0.0</v>
      </c>
      <c r="L42" s="52">
        <v>0.0</v>
      </c>
      <c r="O42" s="46" t="s">
        <v>61</v>
      </c>
      <c r="AE42" s="52">
        <v>10.0</v>
      </c>
      <c r="BJ42" s="52">
        <v>10.0</v>
      </c>
      <c r="BO42" s="46" t="s">
        <v>64</v>
      </c>
      <c r="BS42" s="46" t="s">
        <v>62</v>
      </c>
      <c r="BT42" s="46" t="s">
        <v>23</v>
      </c>
    </row>
    <row r="43" ht="15.75" customHeight="1">
      <c r="B43" s="46" t="s">
        <v>37</v>
      </c>
      <c r="E43" s="52">
        <v>10.0</v>
      </c>
      <c r="G43" s="46" t="s">
        <v>65</v>
      </c>
      <c r="K43" s="52">
        <v>0.0</v>
      </c>
      <c r="L43" s="52">
        <v>0.0</v>
      </c>
      <c r="O43" s="46" t="s">
        <v>39</v>
      </c>
      <c r="AE43" s="52">
        <v>10.0</v>
      </c>
      <c r="BJ43" s="52">
        <v>10.0</v>
      </c>
      <c r="BO43" s="46" t="s">
        <v>64</v>
      </c>
      <c r="BS43" s="46" t="s">
        <v>62</v>
      </c>
      <c r="BT43" s="46" t="s">
        <v>32</v>
      </c>
    </row>
    <row r="44" ht="15.75" customHeight="1">
      <c r="B44" s="46" t="s">
        <v>42</v>
      </c>
      <c r="E44" s="52">
        <v>10.0</v>
      </c>
      <c r="G44" s="46" t="s">
        <v>65</v>
      </c>
      <c r="K44" s="52">
        <v>0.0</v>
      </c>
      <c r="L44" s="52">
        <v>0.0</v>
      </c>
      <c r="O44" s="46" t="s">
        <v>61</v>
      </c>
      <c r="AE44" s="52">
        <v>10.0</v>
      </c>
      <c r="BJ44" s="52">
        <v>10.0</v>
      </c>
      <c r="BO44" s="46" t="s">
        <v>66</v>
      </c>
      <c r="BS44" s="46" t="s">
        <v>62</v>
      </c>
      <c r="BT44" s="46" t="s">
        <v>16</v>
      </c>
    </row>
    <row r="45" ht="15.75" customHeight="1">
      <c r="B45" s="46" t="s">
        <v>42</v>
      </c>
      <c r="E45" s="52">
        <v>10.0</v>
      </c>
      <c r="G45" s="46" t="s">
        <v>65</v>
      </c>
      <c r="K45" s="52">
        <v>0.0</v>
      </c>
      <c r="L45" s="52">
        <v>0.0</v>
      </c>
      <c r="O45" s="46" t="s">
        <v>61</v>
      </c>
      <c r="AE45" s="52">
        <v>10.0</v>
      </c>
      <c r="BJ45" s="52">
        <v>10.0</v>
      </c>
      <c r="BO45" s="46" t="s">
        <v>66</v>
      </c>
      <c r="BS45" s="46" t="s">
        <v>62</v>
      </c>
      <c r="BT45" s="46" t="s">
        <v>18</v>
      </c>
    </row>
    <row r="46" ht="15.75" customHeight="1">
      <c r="B46" s="46" t="s">
        <v>46</v>
      </c>
      <c r="E46" s="52">
        <v>10.0</v>
      </c>
      <c r="G46" s="46" t="s">
        <v>65</v>
      </c>
      <c r="K46" s="52">
        <v>0.0</v>
      </c>
      <c r="L46" s="52">
        <v>0.0</v>
      </c>
      <c r="O46" s="46" t="s">
        <v>61</v>
      </c>
      <c r="AE46" s="52">
        <v>10.0</v>
      </c>
      <c r="BJ46" s="52">
        <v>10.0</v>
      </c>
      <c r="BO46" s="46" t="s">
        <v>66</v>
      </c>
      <c r="BS46" s="46" t="s">
        <v>62</v>
      </c>
      <c r="BT46" s="46" t="s">
        <v>21</v>
      </c>
    </row>
    <row r="47" ht="15.75" customHeight="1">
      <c r="B47" s="46" t="s">
        <v>48</v>
      </c>
      <c r="E47" s="52">
        <v>10.0</v>
      </c>
      <c r="G47" s="46" t="s">
        <v>65</v>
      </c>
      <c r="K47" s="52">
        <v>0.0</v>
      </c>
      <c r="L47" s="52">
        <v>0.0</v>
      </c>
      <c r="O47" s="46" t="s">
        <v>61</v>
      </c>
      <c r="AE47" s="52">
        <v>10.0</v>
      </c>
      <c r="BJ47" s="52">
        <v>10.0</v>
      </c>
      <c r="BO47" s="46" t="s">
        <v>64</v>
      </c>
      <c r="BS47" s="46" t="s">
        <v>62</v>
      </c>
      <c r="BT47" s="46" t="s">
        <v>25</v>
      </c>
    </row>
    <row r="48" ht="15.75" customHeight="1">
      <c r="B48" s="46" t="s">
        <v>46</v>
      </c>
      <c r="E48" s="52">
        <v>10.0</v>
      </c>
      <c r="G48" s="46" t="s">
        <v>65</v>
      </c>
      <c r="K48" s="52">
        <v>0.0</v>
      </c>
      <c r="L48" s="52">
        <v>0.0</v>
      </c>
      <c r="O48" s="46" t="s">
        <v>61</v>
      </c>
      <c r="AE48" s="52">
        <v>10.0</v>
      </c>
      <c r="BJ48" s="52">
        <v>10.0</v>
      </c>
      <c r="BO48" s="46" t="s">
        <v>66</v>
      </c>
      <c r="BS48" s="46" t="s">
        <v>62</v>
      </c>
      <c r="BT48" s="46" t="s">
        <v>20</v>
      </c>
    </row>
    <row r="49" ht="15.75" customHeight="1">
      <c r="B49" s="46" t="s">
        <v>48</v>
      </c>
      <c r="E49" s="52">
        <v>10.0</v>
      </c>
      <c r="G49" s="46" t="s">
        <v>65</v>
      </c>
      <c r="K49" s="52">
        <v>0.0</v>
      </c>
      <c r="L49" s="52">
        <v>0.0</v>
      </c>
      <c r="O49" s="46" t="s">
        <v>61</v>
      </c>
      <c r="AE49" s="52">
        <v>10.0</v>
      </c>
      <c r="BJ49" s="52">
        <v>10.0</v>
      </c>
      <c r="BO49" s="46" t="s">
        <v>64</v>
      </c>
      <c r="BS49" s="46" t="s">
        <v>62</v>
      </c>
      <c r="BT49" s="46" t="s">
        <v>26</v>
      </c>
    </row>
    <row r="50" ht="15.75" customHeight="1">
      <c r="B50" s="46" t="s">
        <v>48</v>
      </c>
      <c r="E50" s="52">
        <v>10.0</v>
      </c>
      <c r="G50" s="46" t="s">
        <v>65</v>
      </c>
      <c r="K50" s="52">
        <v>0.0</v>
      </c>
      <c r="L50" s="52">
        <v>0.0</v>
      </c>
      <c r="O50" s="46" t="s">
        <v>61</v>
      </c>
      <c r="AE50" s="52">
        <v>10.0</v>
      </c>
      <c r="BJ50" s="52">
        <v>10.0</v>
      </c>
      <c r="BO50" s="46" t="s">
        <v>64</v>
      </c>
      <c r="BS50" s="46" t="s">
        <v>62</v>
      </c>
      <c r="BT50" s="46" t="s">
        <v>24</v>
      </c>
    </row>
    <row r="51" ht="15.75" customHeight="1">
      <c r="B51" s="55"/>
    </row>
    <row r="52" ht="15.75" customHeight="1">
      <c r="B52" s="55"/>
    </row>
    <row r="53" ht="15.75" customHeight="1">
      <c r="B53" s="55"/>
    </row>
    <row r="54" ht="15.75" customHeight="1">
      <c r="B54" s="55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" width="12.63"/>
    <col customWidth="1" min="19" max="19" width="16.0"/>
    <col customWidth="1" min="20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67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6" t="s">
        <v>35</v>
      </c>
      <c r="D6" s="56">
        <v>1000.0</v>
      </c>
      <c r="E6" s="46" t="s">
        <v>37</v>
      </c>
      <c r="F6" s="46" t="s">
        <v>69</v>
      </c>
      <c r="G6" s="52">
        <v>1.0</v>
      </c>
      <c r="H6" s="8"/>
      <c r="I6" s="8"/>
      <c r="J6" s="8"/>
      <c r="K6" s="8"/>
      <c r="L6" s="8"/>
      <c r="M6" s="8"/>
      <c r="N6" s="8"/>
      <c r="O6" s="8"/>
      <c r="S6" s="46" t="s">
        <v>62</v>
      </c>
      <c r="T6" s="46" t="s">
        <v>60</v>
      </c>
      <c r="AN6" s="46" t="s">
        <v>36</v>
      </c>
      <c r="BR6" s="46" t="s">
        <v>61</v>
      </c>
    </row>
    <row r="7" ht="15.75" customHeight="1">
      <c r="A7" s="8"/>
      <c r="B7" s="8"/>
      <c r="C7" s="46" t="s">
        <v>35</v>
      </c>
      <c r="D7" s="56">
        <v>1000.0</v>
      </c>
      <c r="E7" s="46" t="s">
        <v>37</v>
      </c>
      <c r="F7" s="46" t="s">
        <v>69</v>
      </c>
      <c r="G7" s="52">
        <v>60.0</v>
      </c>
      <c r="H7" s="8"/>
      <c r="I7" s="8"/>
      <c r="J7" s="8"/>
      <c r="K7" s="8"/>
      <c r="L7" s="8"/>
      <c r="M7" s="8"/>
      <c r="N7" s="8"/>
      <c r="O7" s="8"/>
      <c r="S7" s="46" t="s">
        <v>40</v>
      </c>
      <c r="T7" s="46" t="s">
        <v>60</v>
      </c>
      <c r="AN7" s="46" t="s">
        <v>36</v>
      </c>
      <c r="BR7" s="46" t="s">
        <v>61</v>
      </c>
    </row>
    <row r="8" ht="15.75" customHeight="1">
      <c r="A8" s="8"/>
      <c r="B8" s="8"/>
      <c r="C8" s="46" t="s">
        <v>35</v>
      </c>
      <c r="D8" s="56">
        <v>1000.0</v>
      </c>
      <c r="E8" s="46" t="s">
        <v>37</v>
      </c>
      <c r="F8" s="46" t="s">
        <v>69</v>
      </c>
      <c r="G8" s="52">
        <v>60.0</v>
      </c>
      <c r="H8" s="8"/>
      <c r="I8" s="8"/>
      <c r="J8" s="8"/>
      <c r="K8" s="8"/>
      <c r="L8" s="8"/>
      <c r="M8" s="8"/>
      <c r="N8" s="8"/>
      <c r="O8" s="8"/>
      <c r="S8" s="46" t="s">
        <v>62</v>
      </c>
      <c r="T8" s="46" t="s">
        <v>60</v>
      </c>
      <c r="AN8" s="46" t="s">
        <v>36</v>
      </c>
      <c r="BR8" s="46" t="s">
        <v>39</v>
      </c>
    </row>
    <row r="9" ht="15.75" customHeight="1">
      <c r="A9" s="8"/>
      <c r="B9" s="8"/>
      <c r="C9" s="46" t="s">
        <v>35</v>
      </c>
      <c r="D9" s="56">
        <v>1000.0</v>
      </c>
      <c r="E9" s="46" t="s">
        <v>37</v>
      </c>
      <c r="F9" s="46" t="s">
        <v>69</v>
      </c>
      <c r="G9" s="52">
        <v>60.0</v>
      </c>
      <c r="H9" s="8"/>
      <c r="I9" s="8"/>
      <c r="J9" s="8"/>
      <c r="K9" s="8"/>
      <c r="L9" s="8"/>
      <c r="M9" s="8"/>
      <c r="N9" s="8"/>
      <c r="O9" s="8"/>
      <c r="S9" s="46" t="s">
        <v>62</v>
      </c>
      <c r="T9" s="46" t="s">
        <v>60</v>
      </c>
      <c r="AN9" s="46" t="s">
        <v>36</v>
      </c>
      <c r="BR9" s="46" t="s">
        <v>61</v>
      </c>
    </row>
    <row r="10" ht="15.75" customHeight="1">
      <c r="A10" s="8"/>
      <c r="B10" s="8"/>
      <c r="C10" s="46" t="s">
        <v>41</v>
      </c>
      <c r="D10" s="56">
        <v>1100.0</v>
      </c>
      <c r="E10" s="46" t="s">
        <v>42</v>
      </c>
      <c r="F10" s="46" t="s">
        <v>70</v>
      </c>
      <c r="G10" s="52">
        <v>1.0</v>
      </c>
      <c r="H10" s="8"/>
      <c r="I10" s="8"/>
      <c r="J10" s="8"/>
      <c r="K10" s="8"/>
      <c r="L10" s="8"/>
      <c r="M10" s="8"/>
      <c r="N10" s="8"/>
      <c r="O10" s="8"/>
      <c r="S10" s="46" t="s">
        <v>62</v>
      </c>
      <c r="T10" s="46" t="s">
        <v>60</v>
      </c>
      <c r="AN10" s="46" t="s">
        <v>36</v>
      </c>
      <c r="BR10" s="46" t="s">
        <v>61</v>
      </c>
    </row>
    <row r="11" ht="15.75" customHeight="1">
      <c r="A11" s="8"/>
      <c r="B11" s="8"/>
      <c r="C11" s="46" t="s">
        <v>41</v>
      </c>
      <c r="D11" s="56">
        <v>-1000.0</v>
      </c>
      <c r="E11" s="46" t="s">
        <v>42</v>
      </c>
      <c r="F11" s="46" t="s">
        <v>70</v>
      </c>
      <c r="G11" s="52">
        <v>60.0</v>
      </c>
      <c r="H11" s="8"/>
      <c r="I11" s="8"/>
      <c r="J11" s="8"/>
      <c r="K11" s="8"/>
      <c r="L11" s="8"/>
      <c r="M11" s="8"/>
      <c r="N11" s="8"/>
      <c r="O11" s="8"/>
      <c r="S11" s="46" t="s">
        <v>62</v>
      </c>
      <c r="T11" s="46" t="s">
        <v>60</v>
      </c>
      <c r="AN11" s="46" t="s">
        <v>63</v>
      </c>
      <c r="BR11" s="46" t="s">
        <v>61</v>
      </c>
    </row>
    <row r="12" ht="15.75" customHeight="1">
      <c r="A12" s="8"/>
      <c r="B12" s="8"/>
      <c r="C12" s="46" t="s">
        <v>41</v>
      </c>
      <c r="D12" s="56">
        <v>-1000.0</v>
      </c>
      <c r="E12" s="46" t="s">
        <v>42</v>
      </c>
      <c r="F12" s="46" t="s">
        <v>70</v>
      </c>
      <c r="G12" s="52">
        <v>60.0</v>
      </c>
      <c r="H12" s="8"/>
      <c r="I12" s="8"/>
      <c r="J12" s="8"/>
      <c r="K12" s="8"/>
      <c r="L12" s="8"/>
      <c r="M12" s="8"/>
      <c r="N12" s="8"/>
      <c r="O12" s="8"/>
      <c r="S12" s="46" t="s">
        <v>62</v>
      </c>
      <c r="T12" s="46" t="s">
        <v>60</v>
      </c>
      <c r="AN12" s="46" t="s">
        <v>45</v>
      </c>
      <c r="BR12" s="46" t="s">
        <v>61</v>
      </c>
    </row>
    <row r="13" ht="15.75" customHeight="1">
      <c r="A13" s="8"/>
      <c r="B13" s="8"/>
      <c r="C13" s="46" t="s">
        <v>41</v>
      </c>
      <c r="D13" s="56">
        <v>-100.0</v>
      </c>
      <c r="E13" s="46" t="s">
        <v>42</v>
      </c>
      <c r="F13" s="46" t="s">
        <v>70</v>
      </c>
      <c r="G13" s="52">
        <v>60.0</v>
      </c>
      <c r="H13" s="8"/>
      <c r="I13" s="8"/>
      <c r="J13" s="8"/>
      <c r="K13" s="8"/>
      <c r="L13" s="8"/>
      <c r="M13" s="8"/>
      <c r="N13" s="8"/>
      <c r="O13" s="8"/>
      <c r="S13" s="46" t="s">
        <v>62</v>
      </c>
      <c r="T13" s="46" t="s">
        <v>60</v>
      </c>
      <c r="AN13" s="46" t="s">
        <v>63</v>
      </c>
      <c r="BR13" s="46" t="s">
        <v>61</v>
      </c>
    </row>
    <row r="14" ht="15.75" customHeight="1">
      <c r="A14" s="8"/>
      <c r="B14" s="8"/>
      <c r="C14" s="46" t="s">
        <v>41</v>
      </c>
      <c r="D14" s="56">
        <v>-900.0</v>
      </c>
      <c r="E14" s="46" t="s">
        <v>42</v>
      </c>
      <c r="F14" s="46" t="s">
        <v>70</v>
      </c>
      <c r="G14" s="52">
        <v>60.0</v>
      </c>
      <c r="H14" s="8"/>
      <c r="I14" s="8"/>
      <c r="J14" s="8"/>
      <c r="K14" s="8"/>
      <c r="L14" s="8"/>
      <c r="M14" s="8"/>
      <c r="N14" s="8"/>
      <c r="O14" s="8"/>
      <c r="S14" s="46" t="s">
        <v>62</v>
      </c>
      <c r="T14" s="46" t="s">
        <v>60</v>
      </c>
      <c r="AN14" s="46" t="s">
        <v>45</v>
      </c>
      <c r="BR14" s="46" t="s">
        <v>61</v>
      </c>
    </row>
    <row r="15" ht="15.75" customHeight="1">
      <c r="A15" s="8"/>
      <c r="B15" s="8"/>
      <c r="C15" s="46" t="s">
        <v>44</v>
      </c>
      <c r="D15" s="56">
        <v>-1100.0</v>
      </c>
      <c r="E15" s="46" t="s">
        <v>46</v>
      </c>
      <c r="F15" s="46" t="s">
        <v>71</v>
      </c>
      <c r="G15" s="52">
        <v>1.0</v>
      </c>
      <c r="H15" s="8"/>
      <c r="I15" s="8"/>
      <c r="J15" s="8"/>
      <c r="K15" s="8"/>
      <c r="L15" s="8"/>
      <c r="M15" s="8"/>
      <c r="N15" s="8"/>
      <c r="O15" s="8"/>
      <c r="S15" s="46" t="s">
        <v>62</v>
      </c>
      <c r="T15" s="46" t="s">
        <v>60</v>
      </c>
      <c r="AN15" s="46" t="s">
        <v>45</v>
      </c>
      <c r="BR15" s="46" t="s">
        <v>61</v>
      </c>
    </row>
    <row r="16" ht="15.75" customHeight="1">
      <c r="A16" s="8"/>
      <c r="B16" s="8"/>
      <c r="C16" s="46" t="s">
        <v>44</v>
      </c>
      <c r="D16" s="56">
        <v>1000.0</v>
      </c>
      <c r="E16" s="46" t="s">
        <v>46</v>
      </c>
      <c r="F16" s="46" t="s">
        <v>71</v>
      </c>
      <c r="G16" s="52">
        <v>60.0</v>
      </c>
      <c r="H16" s="8"/>
      <c r="I16" s="8"/>
      <c r="J16" s="8"/>
      <c r="K16" s="8"/>
      <c r="L16" s="8"/>
      <c r="M16" s="8"/>
      <c r="N16" s="8"/>
      <c r="O16" s="8"/>
      <c r="S16" s="46" t="s">
        <v>62</v>
      </c>
      <c r="T16" s="46" t="s">
        <v>60</v>
      </c>
      <c r="AN16" s="46" t="s">
        <v>64</v>
      </c>
      <c r="BR16" s="46" t="s">
        <v>61</v>
      </c>
    </row>
    <row r="17" ht="15.75" customHeight="1">
      <c r="A17" s="8"/>
      <c r="B17" s="8"/>
      <c r="C17" s="46" t="s">
        <v>44</v>
      </c>
      <c r="D17" s="52">
        <v>900.0</v>
      </c>
      <c r="E17" s="46" t="s">
        <v>46</v>
      </c>
      <c r="F17" s="46" t="s">
        <v>71</v>
      </c>
      <c r="G17" s="52">
        <v>60.0</v>
      </c>
      <c r="H17" s="8"/>
      <c r="I17" s="8"/>
      <c r="J17" s="8"/>
      <c r="K17" s="8"/>
      <c r="L17" s="8"/>
      <c r="M17" s="8"/>
      <c r="N17" s="8"/>
      <c r="O17" s="8"/>
      <c r="S17" s="46" t="s">
        <v>62</v>
      </c>
      <c r="T17" s="46" t="s">
        <v>60</v>
      </c>
      <c r="AN17" s="46" t="s">
        <v>36</v>
      </c>
      <c r="BR17" s="46" t="s">
        <v>61</v>
      </c>
    </row>
    <row r="18" ht="15.75" customHeight="1">
      <c r="A18" s="8"/>
      <c r="B18" s="8"/>
      <c r="C18" s="46" t="s">
        <v>44</v>
      </c>
      <c r="D18" s="56">
        <v>1000.0</v>
      </c>
      <c r="E18" s="46" t="s">
        <v>46</v>
      </c>
      <c r="F18" s="46" t="s">
        <v>71</v>
      </c>
      <c r="G18" s="52">
        <v>60.0</v>
      </c>
      <c r="H18" s="8"/>
      <c r="I18" s="8"/>
      <c r="J18" s="8"/>
      <c r="K18" s="8"/>
      <c r="L18" s="8"/>
      <c r="M18" s="8"/>
      <c r="N18" s="8"/>
      <c r="O18" s="8"/>
      <c r="S18" s="46" t="s">
        <v>62</v>
      </c>
      <c r="T18" s="46" t="s">
        <v>60</v>
      </c>
      <c r="AN18" s="46" t="s">
        <v>36</v>
      </c>
      <c r="BR18" s="46" t="s">
        <v>61</v>
      </c>
    </row>
    <row r="19" ht="15.75" customHeight="1">
      <c r="A19" s="8"/>
      <c r="B19" s="8"/>
      <c r="C19" s="46" t="s">
        <v>44</v>
      </c>
      <c r="D19" s="56">
        <v>100.0</v>
      </c>
      <c r="E19" s="46" t="s">
        <v>46</v>
      </c>
      <c r="F19" s="46" t="s">
        <v>71</v>
      </c>
      <c r="G19" s="52">
        <v>60.0</v>
      </c>
      <c r="H19" s="8"/>
      <c r="I19" s="8"/>
      <c r="J19" s="8"/>
      <c r="K19" s="8"/>
      <c r="L19" s="8"/>
      <c r="M19" s="8"/>
      <c r="N19" s="8"/>
      <c r="O19" s="8"/>
      <c r="S19" s="46" t="s">
        <v>62</v>
      </c>
      <c r="T19" s="46" t="s">
        <v>60</v>
      </c>
      <c r="AN19" s="46" t="s">
        <v>64</v>
      </c>
      <c r="BR19" s="46" t="s">
        <v>61</v>
      </c>
    </row>
    <row r="20" ht="15.75" customHeight="1">
      <c r="A20" s="8"/>
      <c r="B20" s="8"/>
      <c r="C20" s="46" t="s">
        <v>47</v>
      </c>
      <c r="D20" s="56">
        <v>-1000.0</v>
      </c>
      <c r="E20" s="46" t="s">
        <v>48</v>
      </c>
      <c r="F20" s="46" t="s">
        <v>72</v>
      </c>
      <c r="G20" s="52">
        <v>1.0</v>
      </c>
      <c r="H20" s="8"/>
      <c r="I20" s="8"/>
      <c r="J20" s="8"/>
      <c r="K20" s="8"/>
      <c r="L20" s="8"/>
      <c r="M20" s="8"/>
      <c r="N20" s="8"/>
      <c r="O20" s="8"/>
      <c r="S20" s="46" t="s">
        <v>62</v>
      </c>
      <c r="T20" s="46" t="s">
        <v>60</v>
      </c>
      <c r="AN20" s="46" t="s">
        <v>45</v>
      </c>
      <c r="BR20" s="46" t="s">
        <v>61</v>
      </c>
    </row>
    <row r="21" ht="15.75" customHeight="1">
      <c r="A21" s="8"/>
      <c r="B21" s="8"/>
      <c r="C21" s="46" t="s">
        <v>47</v>
      </c>
      <c r="D21" s="56">
        <v>-1000.0</v>
      </c>
      <c r="E21" s="46" t="s">
        <v>48</v>
      </c>
      <c r="F21" s="46" t="s">
        <v>72</v>
      </c>
      <c r="G21" s="52">
        <v>50.0</v>
      </c>
      <c r="H21" s="8"/>
      <c r="I21" s="8"/>
      <c r="J21" s="8"/>
      <c r="K21" s="8"/>
      <c r="L21" s="8"/>
      <c r="M21" s="8"/>
      <c r="N21" s="8"/>
      <c r="O21" s="8"/>
      <c r="S21" s="46" t="s">
        <v>62</v>
      </c>
      <c r="T21" s="46" t="s">
        <v>60</v>
      </c>
      <c r="AN21" s="46" t="s">
        <v>45</v>
      </c>
      <c r="BR21" s="46" t="s">
        <v>61</v>
      </c>
    </row>
    <row r="22" ht="15.75" customHeight="1">
      <c r="A22" s="8"/>
      <c r="B22" s="8"/>
      <c r="C22" s="46" t="s">
        <v>47</v>
      </c>
      <c r="D22" s="56">
        <v>-1000.0</v>
      </c>
      <c r="E22" s="46" t="s">
        <v>48</v>
      </c>
      <c r="F22" s="46" t="s">
        <v>72</v>
      </c>
      <c r="G22" s="52">
        <v>70.0</v>
      </c>
      <c r="H22" s="8"/>
      <c r="I22" s="8"/>
      <c r="J22" s="8"/>
      <c r="K22" s="8"/>
      <c r="L22" s="8"/>
      <c r="M22" s="8"/>
      <c r="N22" s="8"/>
      <c r="O22" s="8"/>
      <c r="S22" s="46" t="s">
        <v>62</v>
      </c>
      <c r="T22" s="46" t="s">
        <v>60</v>
      </c>
      <c r="AN22" s="46" t="s">
        <v>45</v>
      </c>
      <c r="BR22" s="46" t="s">
        <v>61</v>
      </c>
    </row>
    <row r="23" ht="15.75" customHeight="1">
      <c r="A23" s="8"/>
      <c r="B23" s="8"/>
      <c r="C23" s="46" t="s">
        <v>47</v>
      </c>
      <c r="D23" s="56">
        <v>-1000.0</v>
      </c>
      <c r="E23" s="46" t="s">
        <v>48</v>
      </c>
      <c r="F23" s="46" t="s">
        <v>72</v>
      </c>
      <c r="G23" s="52">
        <v>60.0</v>
      </c>
      <c r="H23" s="8"/>
      <c r="I23" s="8"/>
      <c r="J23" s="8"/>
      <c r="K23" s="8"/>
      <c r="L23" s="8"/>
      <c r="M23" s="8"/>
      <c r="N23" s="8"/>
      <c r="O23" s="8"/>
      <c r="S23" s="46" t="s">
        <v>62</v>
      </c>
      <c r="T23" s="46" t="s">
        <v>60</v>
      </c>
      <c r="AN23" s="46" t="s">
        <v>45</v>
      </c>
      <c r="BR23" s="46" t="s">
        <v>61</v>
      </c>
    </row>
    <row r="24" ht="15.75" customHeight="1">
      <c r="A24" s="8"/>
      <c r="B24" s="8"/>
      <c r="C24" s="46" t="s">
        <v>47</v>
      </c>
      <c r="D24" s="56">
        <v>-1000.0</v>
      </c>
      <c r="E24" s="46" t="s">
        <v>48</v>
      </c>
      <c r="F24" s="46" t="s">
        <v>72</v>
      </c>
      <c r="G24" s="52">
        <v>60.0</v>
      </c>
      <c r="H24" s="8"/>
      <c r="I24" s="8"/>
      <c r="J24" s="8"/>
      <c r="K24" s="8"/>
      <c r="L24" s="8"/>
      <c r="M24" s="8"/>
      <c r="N24" s="8"/>
      <c r="O24" s="8"/>
      <c r="S24" s="46" t="s">
        <v>62</v>
      </c>
      <c r="T24" s="46" t="s">
        <v>60</v>
      </c>
      <c r="AN24" s="46" t="s">
        <v>45</v>
      </c>
      <c r="BR24" s="46" t="s">
        <v>61</v>
      </c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