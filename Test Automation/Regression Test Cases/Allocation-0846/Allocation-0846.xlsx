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AddMFPreferences" sheetId="6" r:id="rId8"/>
    <sheet state="visible" name="SetMFPreferencesDefaultRule" sheetId="7" r:id="rId9"/>
    <sheet state="visible" name="SetMFPrefFundDistribution" sheetId="8" r:id="rId10"/>
    <sheet state="visible" name="SetMFPrefAccountValues" sheetId="9" r:id="rId11"/>
    <sheet state="visible" name="SelectUnallocatedGroup" sheetId="10" r:id="rId12"/>
    <sheet state="visible" name="EnterAllocatePreference" sheetId="11" r:id="rId13"/>
    <sheet state="visible" name="CheckUnallocatedGroups" sheetId="12" r:id="rId14"/>
    <sheet state="visible" name="CheckAllocatedGroups" sheetId="13" r:id="rId15"/>
    <sheet state="visible" name="SetMFPrefAccountValues1" sheetId="14" r:id="rId16"/>
    <sheet state="visible" name="Copy of Data" sheetId="15" r:id="rId17"/>
  </sheets>
  <definedNames/>
  <calcPr/>
</workbook>
</file>

<file path=xl/sharedStrings.xml><?xml version="1.0" encoding="utf-8"?>
<sst xmlns="http://schemas.openxmlformats.org/spreadsheetml/2006/main" count="770" uniqueCount="72">
  <si>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</si>
  <si>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</si>
  <si>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</si>
  <si>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</si>
  <si>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</si>
  <si>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</si>
  <si>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</si>
  <si>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</si>
  <si>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</si>
  <si>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</si>
  <si>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</si>
  <si>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</si>
  <si>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</si>
  <si>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</si>
  <si>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</si>
  <si>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</si>
  <si>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SAP</t>
  </si>
  <si>
    <t>Buy</t>
  </si>
  <si>
    <t>Allocation1</t>
  </si>
  <si>
    <t>Allocation4</t>
  </si>
  <si>
    <t>LP C/O</t>
  </si>
  <si>
    <t>CSCO</t>
  </si>
  <si>
    <t>Sell</t>
  </si>
  <si>
    <t>Allocation2</t>
  </si>
  <si>
    <t>Unallocated</t>
  </si>
  <si>
    <t>Buy to Close</t>
  </si>
  <si>
    <t>Allocation</t>
  </si>
  <si>
    <t>SetGeneralPreferences</t>
  </si>
  <si>
    <t>AddMFPreferences</t>
  </si>
  <si>
    <t>TestPref</t>
  </si>
  <si>
    <t>SetMFPreferencesDefaultRule</t>
  </si>
  <si>
    <t>Current Preference</t>
  </si>
  <si>
    <t>Complete Portfolio</t>
  </si>
  <si>
    <t>SetMFPrefFundDistribution</t>
  </si>
  <si>
    <t>NewMF</t>
  </si>
  <si>
    <t>NewMF1</t>
  </si>
  <si>
    <t>SetMFPrefAccountValues</t>
  </si>
  <si>
    <t>SelectUnallocatedGroup</t>
  </si>
  <si>
    <t>EnterAllocatePreference</t>
  </si>
  <si>
    <t>Calculated</t>
  </si>
  <si>
    <t>CheckUnallocatedGroups</t>
  </si>
  <si>
    <t>CheckAllocatedGroups</t>
  </si>
  <si>
    <t>Actual_365</t>
  </si>
  <si>
    <t>Manual</t>
  </si>
  <si>
    <t>Equity</t>
  </si>
  <si>
    <t>Treasury</t>
  </si>
  <si>
    <t>MS</t>
  </si>
  <si>
    <t>Open</t>
  </si>
  <si>
    <t>SAP AG SP.ADR</t>
  </si>
  <si>
    <t/>
  </si>
  <si>
    <t>USD</t>
  </si>
  <si>
    <t>BrokerNotes</t>
  </si>
  <si>
    <t>NYSE</t>
  </si>
  <si>
    <t>M</t>
  </si>
  <si>
    <t>None</t>
  </si>
  <si>
    <t>DefaultNotes</t>
  </si>
  <si>
    <t>Market</t>
  </si>
  <si>
    <t>InternalOrder</t>
  </si>
  <si>
    <t>Strategy Unallocated</t>
  </si>
  <si>
    <t>GCCAP1</t>
  </si>
  <si>
    <t>US</t>
  </si>
  <si>
    <t>jpearce</t>
  </si>
  <si>
    <t>NASDAQ</t>
  </si>
  <si>
    <t>NONE</t>
  </si>
  <si>
    <t>CSCO US EQUITY</t>
  </si>
  <si>
    <t>CISCO SYSTEM INC</t>
  </si>
  <si>
    <t>17275R102</t>
  </si>
  <si>
    <t>US17275R1023</t>
  </si>
  <si>
    <t>Multiple</t>
  </si>
  <si>
    <t>BuytoClose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</si>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</sst>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 H:mm:ss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IFERROR(__xludf.DUMMYFUNCTION("""COMPUTED_VALUE"""),"ActionOnCFI")</f>
        <v>ActionOnCFI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IFERROR(__xludf.DUMMYFUNCTION("""COMPUTED_VALUE"""),"Rebalancer")</f>
        <v>Rebalancer</v>
      </c>
      <c r="B879" t="str">
        <f>IFERROR(__xludf.DUMMYFUNCTION("""COMPUTED_VALUE"""),"VerifyCFI")</f>
        <v>VerifyCFI</v>
      </c>
      <c r="C879" t="str">
        <f>IFERROR(__xludf.DUMMYFUNCTION("""COMPUTED_VALUE"""),"1DUwxSUq_47EK60XmK3LOdCXa1fkWqWJE9bLuGS3ccv412")</f>
        <v>1DUwxSUq_47EK60XmK3LOdCXa1fkWqWJE9bLuGS3ccv412</v>
      </c>
    </row>
    <row r="880" ht="15.75" customHeight="1">
      <c r="A880" t="str">
        <f>IFERROR(__xludf.DUMMYFUNCTION("""COMPUTED_VALUE"""),"Blotter")</f>
        <v>Blotter</v>
      </c>
      <c r="B880" t="str">
        <f>IFERROR(__xludf.DUMMYFUNCTION("""COMPUTED_VALUE"""),"EnableOrVerifyHotButton")</f>
        <v>EnableOrVerifyHotButton</v>
      </c>
      <c r="C880" t="str">
        <f>IFERROR(__xludf.DUMMYFUNCTION("""COMPUTED_VALUE"""),"1wa8x9d9kPOHEp49mT2DEW0cyjjOClvAgixk1H2w-Tos")</f>
        <v>1wa8x9d9kPOHEp49mT2DEW0cyjjOClvAgixk1H2w-Tos</v>
      </c>
    </row>
    <row r="881" ht="15.75" customHeight="1">
      <c r="A881" t="str">
        <f>IFERROR(__xludf.DUMMYFUNCTION("""COMPUTED_VALUE"""),"TradeServer")</f>
        <v>TradeServer</v>
      </c>
      <c r="B881" t="str">
        <f>IFERROR(__xludf.DUMMYFUNCTION("""COMPUTED_VALUE"""),"RestartServerOnly")</f>
        <v>RestartServerOnly</v>
      </c>
      <c r="C881" t="str">
        <f>IFERROR(__xludf.DUMMYFUNCTION("""COMPUTED_VALUE"""),"Undefined")</f>
        <v>Undefined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IFERROR(__xludf.DUMMYFUNCTION("""COMPUTED_VALUE"""),"ActionOnCFI")</f>
        <v>ActionOnCFI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IFERROR(__xludf.DUMMYFUNCTION("""COMPUTED_VALUE"""),"VerifyCFI")</f>
        <v>VerifyCFI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IFERROR(__xludf.DUMMYFUNCTION("""COMPUTED_VALUE"""),"Rebalancer")</f>
        <v>Rebalancer</v>
      </c>
      <c r="B884" t="str">
        <f>IFERROR(__xludf.DUMMYFUNCTION("""COMPUTED_VALUE"""),"VerifyDelRASGrid")</f>
        <v>VerifyDelRASGrid</v>
      </c>
      <c r="C884" t="str">
        <f>IFERROR(__xludf.DUMMYFUNCTION("""COMPUTED_VALUE"""),"1DUwxSUq_47EK60XmK3LOdCXa1fkWqWJE9bLuGS3ccv412")</f>
        <v>1DUwxSUq_47EK60XmK3LOdCXa1fkWqWJE9bLuGS3ccv412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IFERROR(__xludf.DUMMYFUNCTION("""COMPUTED_VALUE"""),"ActionOnUPW")</f>
        <v>ActionOnUPW</v>
      </c>
      <c r="C885" t="str">
        <f>IFERROR(__xludf.DUMMYFUNCTION("""COMPUTED_VALUE"""),"1DUwxSUq_47EK60XmK3LOdCXa1fkWqWJE9bLuGS3ccv413")</f>
        <v>1DUwxSUq_47EK60XmK3LOdCXa1fkWqWJE9bLuGS3ccv413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IFERROR(__xludf.DUMMYFUNCTION("""COMPUTED_VALUE"""),"DefaultRuleUPW")</f>
        <v>DefaultRuleUPW</v>
      </c>
      <c r="C886" t="str">
        <f>IFERROR(__xludf.DUMMYFUNCTION("""COMPUTED_VALUE"""),"1DUwxSUq_47EK60XmK3LOdCXa1fkWqWJE9bLuGS3ccv414")</f>
        <v>1DUwxSUq_47EK60XmK3LOdCXa1fkWqWJE9bLuGS3ccv414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IFERROR(__xludf.DUMMYFUNCTION("""COMPUTED_VALUE"""),"AccountStrategyUPW")</f>
        <v>AccountStrategyUPW</v>
      </c>
      <c r="C887" t="str">
        <f>IFERROR(__xludf.DUMMYFUNCTION("""COMPUTED_VALUE"""),"1DUwxSUq_47EK60XmK3LOdCXa1fkWqWJE9bLuGS3ccv415")</f>
        <v>1DUwxSUq_47EK60XmK3LOdCXa1fkWqWJE9bLuGS3ccv415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IFERROR(__xludf.DUMMYFUNCTION("""COMPUTED_VALUE"""),"ActionOnCalPref")</f>
        <v>ActionOnCalPref</v>
      </c>
      <c r="C888" t="str">
        <f>IFERROR(__xludf.DUMMYFUNCTION("""COMPUTED_VALUE"""),"1DUwxSUq_47EK60XmK3LOdCXa1fkWqWJE9bLuGS3ccv416")</f>
        <v>1DUwxSUq_47EK60XmK3LOdCXa1fkWqWJE9bLuGS3ccv416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IFERROR(__xludf.DUMMYFUNCTION("""COMPUTED_VALUE"""),"SetMFDefaultRule")</f>
        <v>SetMFDefaultRule</v>
      </c>
      <c r="C889" t="str">
        <f>IFERROR(__xludf.DUMMYFUNCTION("""COMPUTED_VALUE"""),"1DUwxSUq_47EK60XmK3LOdCXa1fkWqWJE9bLuGS3ccv417")</f>
        <v>1DUwxSUq_47EK60XmK3LOdCXa1fkWqWJE9bLuGS3ccv417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IFERROR(__xludf.DUMMYFUNCTION("""COMPUTED_VALUE"""),"ActionOnPrefWindow")</f>
        <v>ActionOnPrefWindow</v>
      </c>
      <c r="C890" t="str">
        <f>IFERROR(__xludf.DUMMYFUNCTION("""COMPUTED_VALUE"""),"1DUwxSUq_47EK60XmK3LOdCXa1fkWqWJE9bLuGS3ccv418")</f>
        <v>1DUwxSUq_47EK60XmK3LOdCXa1fkWqWJE9bLuGS3ccv418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IFERROR(__xludf.DUMMYFUNCTION("""COMPUTED_VALUE"""),"GetFixedPrefScheme")</f>
        <v>GetFixedPrefScheme</v>
      </c>
      <c r="C891" t="str">
        <f>IFERROR(__xludf.DUMMYFUNCTION("""COMPUTED_VALUE"""),"1DUwxSUq_47EK60XmK3LOdCXa1fkWqWJE9bLuGS3ccv419")</f>
        <v>1DUwxSUq_47EK60XmK3LOdCXa1fkWqWJE9bLuGS3ccv419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IFERROR(__xludf.DUMMYFUNCTION("""COMPUTED_VALUE"""),"VerifyFixedPref")</f>
        <v>VerifyFixedPref</v>
      </c>
      <c r="C892" t="str">
        <f>IFERROR(__xludf.DUMMYFUNCTION("""COMPUTED_VALUE"""),"1DUwxSUq_47EK60XmK3LOdCXa1fkWqWJE9bLuGS3ccv420")</f>
        <v>1DUwxSUq_47EK60XmK3LOdCXa1fkWqWJE9bLuGS3ccv420</v>
      </c>
    </row>
    <row r="893" ht="15.75" customHeight="1">
      <c r="A893" t="str">
        <f>IFERROR(__xludf.DUMMYFUNCTION("""COMPUTED_VALUE"""),"Allocation")</f>
        <v>Allocation</v>
      </c>
      <c r="B893" t="str">
        <f>IFERROR(__xludf.DUMMYFUNCTION("""COMPUTED_VALUE"""),"ActionOnToolBar")</f>
        <v>ActionOnToolBar</v>
      </c>
      <c r="C893" t="str">
        <f>IFERROR(__xludf.DUMMYFUNCTION("""COMPUTED_VALUE"""),"1DUwxSUq_47EK60XmK3LOdCXa1fkWqWJE9bLuGS3ccv421")</f>
        <v>1DUwxSUq_47EK60XmK3LOdCXa1fkWqWJE9bLuGS3ccv421</v>
      </c>
    </row>
    <row r="894" ht="15.75" customHeight="1">
      <c r="A894" t="str">
        <f>IFERROR(__xludf.DUMMYFUNCTION("""COMPUTED_VALUE"""),"Rebalancer")</f>
        <v>Rebalancer</v>
      </c>
      <c r="B894" t="str">
        <f>IFERROR(__xludf.DUMMYFUNCTION("""COMPUTED_VALUE"""),"VerifyCustomGroupModel")</f>
        <v>VerifyCustomGroupModel</v>
      </c>
      <c r="C894" t="str">
        <f>IFERROR(__xludf.DUMMYFUNCTION("""COMPUTED_VALUE"""),"1DUwxSUq_47EK60XmK3LOdCXa1fkWqWJE9bLuGS3ccv422")</f>
        <v>1DUwxSUq_47EK60XmK3LOdCXa1fkWqWJE9bLuGS3ccv422</v>
      </c>
    </row>
    <row r="895" ht="15.75" customHeight="1">
      <c r="A895" t="str">
        <f>IFERROR(__xludf.DUMMYFUNCTION("""COMPUTED_VALUE"""),"Blotter")</f>
        <v>Blotter</v>
      </c>
      <c r="B895" t="str">
        <f>IFERROR(__xludf.DUMMYFUNCTION("""COMPUTED_VALUE"""),"VerifyFilterUiRC")</f>
        <v>VerifyFilterUiRC</v>
      </c>
      <c r="C895" t="str">
        <f>IFERROR(__xludf.DUMMYFUNCTION("""COMPUTED_VALUE"""),"1QQZEZqPXfPnxfNID2a3__xw8RnEAn77igg5Q32S3Sm0")</f>
        <v>1QQZEZqPXfPnxfNID2a3__xw8RnEAn77igg5Q32S3Sm0</v>
      </c>
    </row>
    <row r="896" ht="15.75" customHeight="1">
      <c r="A896" t="str">
        <f>IFERROR(__xludf.DUMMYFUNCTION("""COMPUTED_VALUE"""),"TradingTicket")</f>
        <v>TradingTicket</v>
      </c>
      <c r="B896" t="str">
        <f>IFERROR(__xludf.DUMMYFUNCTION("""COMPUTED_VALUE"""),"SymbolSuggestionVerify")</f>
        <v>SymbolSuggestionVerify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IFERROR(__xludf.DUMMYFUNCTION("""COMPUTED_VALUE"""),"UpdatePTTPref")</f>
        <v>UpdatePTTPref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IFERROR(__xludf.DUMMYFUNCTION("""COMPUTED_VALUE"""),"ActionOnPreferencesMain")</f>
        <v>ActionOnPreferencesMain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IFERROR(__xludf.DUMMYFUNCTION("""COMPUTED_VALUE"""),"VerifyUpdategrdAccountFactor")</f>
        <v>VerifyUpdategrdAccountFactor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IFERROR(__xludf.DUMMYFUNCTION("""COMPUTED_VALUE"""),"VerifyUpdategrdMFA")</f>
        <v>VerifyUpdategrdMFA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IFERROR(__xludf.DUMMYFUNCTION("""COMPUTED_VALUE"""),"SwitchTabMFA")</f>
        <v>SwitchTabMFA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IFERROR(__xludf.DUMMYFUNCTION("""COMPUTED_VALUE"""),"UpdateBlotterPref")</f>
        <v>UpdateBlotterPref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IFERROR(__xludf.DUMMYFUNCTION("""COMPUTED_VALUE"""),"UpdatePMPref")</f>
        <v>UpdatePMPref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IFERROR(__xludf.DUMMYFUNCTION("""COMPUTED_VALUE"""),"UpdateGenPref")</f>
        <v>UpdateGenPref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IFERROR(__xludf.DUMMYFUNCTION("""COMPUTED_VALUE"""),"VerifyUpdateAssetSide")</f>
        <v>VerifyUpdateAssetSide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IFERROR(__xludf.DUMMYFUNCTION("""COMPUTED_VALUE"""),"SwicthTabPref")</f>
        <v>SwicthTabPref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IFERROR(__xludf.DUMMYFUNCTION("""COMPUTED_VALUE"""),"TTDefaultSelection")</f>
        <v>TTDefaultSelection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IFERROR(__xludf.DUMMYFUNCTION("""COMPUTED_VALUE"""),"TTNumSelection")</f>
        <v>TTNumSelection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IFERROR(__xludf.DUMMYFUNCTION("""COMPUTED_VALUE"""),"TTConfirmationPopUps")</f>
        <v>TTConfirmationPopUps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IFERROR(__xludf.DUMMYFUNCTION("""COMPUTED_VALUE"""),"VerifyUpdateBrokerPref")</f>
        <v>VerifyUpdateBrokerPref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IFERROR(__xludf.DUMMYFUNCTION("""COMPUTED_VALUE"""),"TTGeneralPref")</f>
        <v>TTGeneralPref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IFERROR(__xludf.DUMMYFUNCTION("""COMPUTED_VALUE"""),"PreferencesMain")</f>
        <v>PreferencesMain</v>
      </c>
      <c r="B912" t="str">
        <f>IFERROR(__xludf.DUMMYFUNCTION("""COMPUTED_VALUE"""),"UpdateClosingPref")</f>
        <v>UpdateClosingPref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IFERROR(__xludf.DUMMYFUNCTION("""COMPUTED_VALUE"""),"Allocation")</f>
        <v>Allocation</v>
      </c>
      <c r="B913" t="str">
        <f>IFERROR(__xludf.DUMMYFUNCTION("""COMPUTED_VALUE"""),"VerifyEditAttRenaming")</f>
        <v>VerifyEditAttRenaming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IFERROR(__xludf.DUMMYFUNCTION("""COMPUTED_VALUE"""),"Rebalancer")</f>
        <v>Rebalancer</v>
      </c>
      <c r="B914" t="str">
        <f>IFERROR(__xludf.DUMMYFUNCTION("""COMPUTED_VALUE"""),"VerifyTradeList")</f>
        <v>VerifyTradeList</v>
      </c>
      <c r="C914" t="str">
        <f>IFERROR(__xludf.DUMMYFUNCTION("""COMPUTED_VALUE"""),"14aTeLjmUbS-nhaQwjtZAMGxdQ5DS6UsBjE5OTWN-LQU")</f>
        <v>14aTeLjmUbS-nhaQwjtZAMGxdQ5DS6UsBjE5OTWN-LQU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IFERROR(__xludf.DUMMYFUNCTION("""COMPUTED_VALUE"""),"TTMainControls")</f>
        <v>TTMainControls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IFERROR(__xludf.DUMMYFUNCTION("""COMPUTED_VALUE"""),"VerifySymStrip")</f>
        <v>VerifySymStrip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IFERROR(__xludf.DUMMYFUNCTION("""COMPUTED_VALUE"""),"TTBottomTab")</f>
        <v>TTBottomTab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IFERROR(__xludf.DUMMYFUNCTION("""COMPUTED_VALUE"""),"TradingTicket")</f>
        <v>TradingTicket</v>
      </c>
      <c r="B918" t="str">
        <f>IFERROR(__xludf.DUMMYFUNCTION("""COMPUTED_VALUE"""),"TTBottomSwap")</f>
        <v>TTBottomSwap</v>
      </c>
      <c r="C918" t="str">
        <f>IFERROR(__xludf.DUMMYFUNCTION("""COMPUTED_VALUE"""),"1DUwxSUq_47EK60XmK3LOdCXa1fkWqWJE9bLuGS3ccv412")</f>
        <v>1DUwxSUq_47EK60XmK3LOdCXa1fkWqWJE9bLuGS3ccv412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IFERROR(__xludf.DUMMYFUNCTION("""COMPUTED_VALUE"""),"CreateHotButtonOnBlotter")</f>
        <v>CreateHotButtonOnBlotter</v>
      </c>
      <c r="C919" t="str">
        <f>IFERROR(__xludf.DUMMYFUNCTION("""COMPUTED_VALUE"""),"1Yu7Fb6AjhUP8b-KuRJvgAwq8TykNK6BDh9F0Xpf12Ek")</f>
        <v>1Yu7Fb6AjhUP8b-KuRJvgAwq8TykNK6BDh9F0Xpf12Ek</v>
      </c>
    </row>
    <row r="920" ht="15.75" customHeight="1">
      <c r="A920" t="str">
        <f>IFERROR(__xludf.DUMMYFUNCTION("""COMPUTED_VALUE"""),"Blotter")</f>
        <v>Blotter</v>
      </c>
      <c r="B920" t="str">
        <f>IFERROR(__xludf.DUMMYFUNCTION("""COMPUTED_VALUE"""),"FillHBdetailsOnBlotter")</f>
        <v>FillHBdetailsOnBlotter</v>
      </c>
      <c r="C920" t="str">
        <f>IFERROR(__xludf.DUMMYFUNCTION("""COMPUTED_VALUE"""),"13Isj5c5k8kObxI-GBT6Ir9VBOz_46lzhwVxXXVP8jQU")</f>
        <v>13Isj5c5k8kObxI-GBT6Ir9VBOz_46lzhwVxXXVP8jQU</v>
      </c>
    </row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1000.0</v>
      </c>
      <c r="E6" s="12"/>
      <c r="F6" s="12" t="s">
        <v>18</v>
      </c>
      <c r="G6" s="8"/>
      <c r="H6" s="8"/>
      <c r="J6" s="9">
        <v>2.0</v>
      </c>
      <c r="K6" s="8"/>
      <c r="L6" s="8"/>
      <c r="M6" s="8"/>
      <c r="N6" s="8"/>
      <c r="O6" s="8"/>
    </row>
    <row r="7" ht="15.75" customHeight="1">
      <c r="A7" s="12"/>
      <c r="B7" s="12" t="s">
        <v>16</v>
      </c>
      <c r="C7" s="12" t="s">
        <v>17</v>
      </c>
      <c r="D7" s="12">
        <v>500.0</v>
      </c>
      <c r="E7" s="12"/>
      <c r="F7" s="12" t="s">
        <v>19</v>
      </c>
      <c r="G7" s="8"/>
      <c r="H7" s="8"/>
      <c r="J7" s="9">
        <v>2.0</v>
      </c>
      <c r="K7" s="8"/>
      <c r="L7" s="8"/>
      <c r="M7" s="8"/>
      <c r="N7" s="8"/>
      <c r="O7" s="8"/>
    </row>
    <row r="8" ht="15.75" customHeight="1">
      <c r="A8" s="12"/>
      <c r="B8" s="12" t="s">
        <v>16</v>
      </c>
      <c r="C8" s="12" t="s">
        <v>17</v>
      </c>
      <c r="D8" s="12">
        <v>300.0</v>
      </c>
      <c r="E8" s="12"/>
      <c r="F8" s="12" t="s">
        <v>20</v>
      </c>
      <c r="G8" s="8"/>
      <c r="H8" s="8"/>
      <c r="J8" s="9">
        <v>2.0</v>
      </c>
      <c r="K8" s="8"/>
      <c r="L8" s="8"/>
      <c r="M8" s="8"/>
      <c r="N8" s="8"/>
      <c r="O8" s="8"/>
    </row>
    <row r="9" ht="15.75" customHeight="1">
      <c r="A9" s="8"/>
      <c r="B9" s="12" t="s">
        <v>21</v>
      </c>
      <c r="C9" s="12" t="s">
        <v>22</v>
      </c>
      <c r="D9" s="12">
        <v>500.0</v>
      </c>
      <c r="E9" s="12"/>
      <c r="F9" s="12" t="s">
        <v>18</v>
      </c>
      <c r="G9" s="8"/>
      <c r="H9" s="8"/>
      <c r="J9" s="9">
        <v>2.0</v>
      </c>
      <c r="K9" s="8"/>
      <c r="L9" s="8"/>
      <c r="M9" s="8"/>
      <c r="N9" s="8"/>
      <c r="O9" s="8"/>
    </row>
    <row r="10" ht="15.75" customHeight="1">
      <c r="A10" s="8"/>
      <c r="B10" s="12" t="s">
        <v>21</v>
      </c>
      <c r="C10" s="12" t="s">
        <v>22</v>
      </c>
      <c r="D10" s="12">
        <v>500.0</v>
      </c>
      <c r="E10" s="12"/>
      <c r="F10" s="12" t="s">
        <v>23</v>
      </c>
      <c r="G10" s="8"/>
      <c r="H10" s="8"/>
      <c r="J10" s="9">
        <v>2.0</v>
      </c>
      <c r="K10" s="8"/>
      <c r="L10" s="8"/>
      <c r="M10" s="8"/>
      <c r="N10" s="8"/>
      <c r="O10" s="8"/>
    </row>
    <row r="11" ht="15.75" customHeight="1">
      <c r="A11" s="12"/>
      <c r="B11" s="12" t="s">
        <v>16</v>
      </c>
      <c r="C11" s="12" t="s">
        <v>22</v>
      </c>
      <c r="D11" s="12">
        <v>1000.0</v>
      </c>
      <c r="E11" s="12"/>
      <c r="F11" s="12" t="s">
        <v>24</v>
      </c>
      <c r="G11" s="8"/>
      <c r="H11" s="8"/>
      <c r="J11" s="9">
        <v>2.0</v>
      </c>
      <c r="K11" s="8"/>
      <c r="L11" s="8"/>
      <c r="M11" s="8"/>
      <c r="N11" s="8"/>
      <c r="O11" s="8"/>
    </row>
    <row r="12" ht="15.75" customHeight="1">
      <c r="A12" s="12"/>
      <c r="B12" s="12" t="s">
        <v>21</v>
      </c>
      <c r="C12" s="12" t="s">
        <v>25</v>
      </c>
      <c r="D12" s="12">
        <v>1000.0</v>
      </c>
      <c r="E12" s="12"/>
      <c r="F12" s="12" t="s">
        <v>24</v>
      </c>
      <c r="G12" s="8"/>
      <c r="H12" s="8"/>
      <c r="J12" s="9">
        <v>2.0</v>
      </c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V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IFERROR(__xludf.DUMMYFUNCTION("""COMPUTED_VALUE"""),"RemainderAllocationTo")</f>
        <v>RemainderAllocationTo</v>
      </c>
      <c r="C5" s="27" t="str">
        <f>IFERROR(__xludf.DUMMYFUNCTION("""COMPUTED_VALUE"""),"Target%AsOf")</f>
        <v>Target%AsOf</v>
      </c>
      <c r="D5" s="27" t="str">
        <f>IFERROR(__xludf.DUMMYFUNCTION("""COMPUTED_VALUE"""),"ProrataAccounts")</f>
        <v>ProrataAccounts</v>
      </c>
      <c r="E5" s="27" t="str">
        <f>IFERROR(__xludf.DUMMYFUNCTION("""COMPUTED_VALUE"""),"DateUptoDays")</f>
        <v>DateUptoDays</v>
      </c>
      <c r="F5" s="28" t="str">
        <f>IFERROR(__xludf.DUMMYFUNCTION("""COMPUTED_VALUE"""),"PreferenceName")</f>
        <v>PreferenceName</v>
      </c>
      <c r="G5" s="27" t="str">
        <f>IFERROR(__xludf.DUMMYFUNCTION("""COMPUTED_VALUE"""),"MatchClosingTransaction")</f>
        <v>MatchClosingTransaction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31</v>
      </c>
      <c r="D6" s="12"/>
      <c r="E6" s="30"/>
      <c r="F6" s="12" t="s">
        <v>29</v>
      </c>
      <c r="G6" s="12" t="s">
        <v>32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IFERROR(__xludf.DUMMYFUNCTION("""COMPUTED_VALUE"""),"MasterFundName")</f>
        <v>MasterFundName</v>
      </c>
      <c r="D5" s="27" t="str">
        <f>IFERROR(__xludf.DUMMYFUNCTION("""COMPUTED_VALUE"""),"TargetPercentage")</f>
        <v>TargetPercentage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12" t="s">
        <v>34</v>
      </c>
      <c r="D6" s="12">
        <v>30.0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29</v>
      </c>
      <c r="C7" s="12" t="s">
        <v>35</v>
      </c>
      <c r="D7" s="12">
        <v>70.0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SetMFPrefFundDistribution!$4:$4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12" t="s">
        <v>34</v>
      </c>
      <c r="D6" s="12" t="s">
        <v>18</v>
      </c>
      <c r="E6" s="12">
        <v>100.0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22</v>
      </c>
      <c r="D6" s="12">
        <v>1000.0</v>
      </c>
      <c r="E6" s="12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21</v>
      </c>
      <c r="C7" s="12" t="s">
        <v>25</v>
      </c>
      <c r="D7" s="12">
        <v>1000.0</v>
      </c>
      <c r="E7" s="12">
        <v>1000.0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IFERROR(__xludf.DUMMYFUNCTION("""COMPUTED_VALUE"""),"PreferenceType")</f>
        <v>PreferenceType</v>
      </c>
      <c r="C5" s="27" t="str">
        <f>IFERROR(__xludf.DUMMYFUNCTION("""COMPUTED_VALUE"""),"PreferenceName")</f>
        <v>PreferenceName</v>
      </c>
      <c r="D5" s="27" t="str">
        <f>IFERROR(__xludf.DUMMYFUNCTION("""COMPUTED_VALUE"""),"PTTPrefNeeded")</f>
        <v>PTTPrefNeeded</v>
      </c>
      <c r="E5" s="27" t="str">
        <f>IFERROR(__xludf.DUMMYFUNCTION("""COMPUTED_VALUE"""),"IsForceAllocation")</f>
        <v>IsForceAllocation</v>
      </c>
      <c r="F5" s="28" t="str">
        <f>IFERROR(__xludf.DUMMYFUNCTION("""COMPUTED_VALUE"""),"AllocationMethod")</f>
        <v>AllocationMethod</v>
      </c>
      <c r="G5" s="27" t="str">
        <f>IFERROR(__xludf.DUMMYFUNCTION("""COMPUTED_VALUE"""),"RemainderAllocationTo")</f>
        <v>RemainderAllocationTo</v>
      </c>
      <c r="H5" s="27" t="str">
        <f>IFERROR(__xludf.DUMMYFUNCTION("""COMPUTED_VALUE"""),"Target%AsOf")</f>
        <v>Target%AsOf</v>
      </c>
      <c r="I5" s="27" t="str">
        <f>IFERROR(__xludf.DUMMYFUNCTION("""COMPUTED_VALUE"""),"AccountsForProrata")</f>
        <v>AccountsForProrata</v>
      </c>
      <c r="J5" s="27" t="str">
        <f>IFERROR(__xludf.DUMMYFUNCTION("""COMPUTED_VALUE"""),"DateUptoDays")</f>
        <v>DateUptoDays</v>
      </c>
      <c r="K5" s="27" t="str">
        <f>IFERROR(__xludf.DUMMYFUNCTION("""COMPUTED_VALUE"""),"MatchClosingTransactions")</f>
        <v>MatchClosingTransactions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39</v>
      </c>
      <c r="C6" s="12" t="s">
        <v>29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IFERROR(__xludf.DUMMYFUNCTION("""COMPUTED_VALUE"""),"Accrual Basis")</f>
        <v>Accrual Basis</v>
      </c>
      <c r="C5" s="27" t="str">
        <f>IFERROR(__xludf.DUMMYFUNCTION("""COMPUTED_VALUE"""),"Accrued Interest")</f>
        <v>Accrued Interest</v>
      </c>
      <c r="D5" s="27" t="str">
        <f>IFERROR(__xludf.DUMMYFUNCTION("""COMPUTED_VALUE"""),"Allocated Qty")</f>
        <v>Allocated Qty</v>
      </c>
      <c r="E5" s="27" t="str">
        <f>IFERROR(__xludf.DUMMYFUNCTION("""COMPUTED_VALUE"""),"Allocation Scheme Name")</f>
        <v>Allocation Scheme Name</v>
      </c>
      <c r="F5" s="28" t="str">
        <f>IFERROR(__xludf.DUMMYFUNCTION("""COMPUTED_VALUE"""),"Asset Category")</f>
        <v>Asset Category</v>
      </c>
      <c r="G5" s="27" t="str">
        <f>IFERROR(__xludf.DUMMYFUNCTION("""COMPUTED_VALUE"""),"AUEC Fee1")</f>
        <v>AUEC Fee1</v>
      </c>
      <c r="H5" s="27" t="str">
        <f>IFERROR(__xludf.DUMMYFUNCTION("""COMPUTED_VALUE"""),"AUEC Fee2")</f>
        <v>AUEC Fee2</v>
      </c>
      <c r="I5" s="27" t="str">
        <f>IFERROR(__xludf.DUMMYFUNCTION("""COMPUTED_VALUE"""),"AUECID")</f>
        <v>AUECID</v>
      </c>
      <c r="J5" s="27" t="str">
        <f>IFERROR(__xludf.DUMMYFUNCTION("""COMPUTED_VALUE"""),"Avg Price(Base)")</f>
        <v>Avg Price(Base)</v>
      </c>
      <c r="K5" s="27" t="str">
        <f>IFERROR(__xludf.DUMMYFUNCTION("""COMPUTED_VALUE"""),"Avg Price(Local)")</f>
        <v>Avg Price(Local)</v>
      </c>
      <c r="L5" s="27" t="str">
        <f>IFERROR(__xludf.DUMMYFUNCTION("""COMPUTED_VALUE"""),"Bloomberg")</f>
        <v>Bloomberg</v>
      </c>
      <c r="M5" s="27" t="str">
        <f>IFERROR(__xludf.DUMMYFUNCTION("""COMPUTED_VALUE"""),"Bond Type")</f>
        <v>Bond Type</v>
      </c>
      <c r="N5" s="27" t="str">
        <f>IFERROR(__xludf.DUMMYFUNCTION("""COMPUTED_VALUE"""),"Broker")</f>
        <v>Broker</v>
      </c>
      <c r="O5" s="27" t="str">
        <f>IFERROR(__xludf.DUMMYFUNCTION("""COMPUTED_VALUE"""),"Change Comment")</f>
        <v>Change Comment</v>
      </c>
      <c r="P5" s="27" t="str">
        <f>IFERROR(__xludf.DUMMYFUNCTION("""COMPUTED_VALUE"""),"Change Type")</f>
        <v>Change Type</v>
      </c>
      <c r="Q5" s="27" t="str">
        <f>IFERROR(__xludf.DUMMYFUNCTION("""COMPUTED_VALUE"""),"Clearing Broker Fee")</f>
        <v>Clearing Broker Fee</v>
      </c>
      <c r="R5" s="27" t="str">
        <f>IFERROR(__xludf.DUMMYFUNCTION("""COMPUTED_VALUE"""),"Closing Method")</f>
        <v>Closing Method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IFERROR(__xludf.DUMMYFUNCTION("""COMPUTED_VALUE"""),"Execution Time")</f>
        <v>Execution Time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IFERROR(__xludf.DUMMYFUNCTION("""COMPUTED_VALUE"""),"FX Rate")</f>
        <v>FX Rate</v>
      </c>
      <c r="AI5" s="29" t="str">
        <f>IFERROR(__xludf.DUMMYFUNCTION("""COMPUTED_VALUE"""),"Group Status")</f>
        <v>Group Status</v>
      </c>
      <c r="AJ5" s="29" t="str">
        <f>IFERROR(__xludf.DUMMYFUNCTION("""COMPUTED_VALUE"""),"GroupID")</f>
        <v>GroupID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IFERROR(__xludf.DUMMYFUNCTION("""COMPUTED_VALUE"""),"Symbol")</f>
        <v>Symbol</v>
      </c>
      <c r="BT5" s="29" t="str">
        <f>IFERROR(__xludf.DUMMYFUNCTION("""COMPUTED_VALUE"""),"Tax On Commissions")</f>
        <v>Tax On Commissions</v>
      </c>
      <c r="BU5" s="29" t="str">
        <f>IFERROR(__xludf.DUMMYFUNCTION("""COMPUTED_VALUE"""),"Total Commission")</f>
        <v>Total Commission</v>
      </c>
      <c r="BV5" s="29" t="str">
        <f>IFERROR(__xludf.DUMMYFUNCTION("""COMPUTED_VALUE"""),"Total Commission And Fee")</f>
        <v>Total Commission And Fee</v>
      </c>
      <c r="BW5" s="29" t="str">
        <f>IFERROR(__xludf.DUMMYFUNCTION("""COMPUTED_VALUE"""),"Total Commission Per Share")</f>
        <v>Total Commission Per Share</v>
      </c>
      <c r="BX5" s="29" t="str">
        <f>IFERROR(__xludf.DUMMYFUNCTION("""COMPUTED_VALUE"""),"Trade Attribute 1")</f>
        <v>Trade Attribute 1</v>
      </c>
      <c r="BY5" s="29" t="str">
        <f>IFERROR(__xludf.DUMMYFUNCTION("""COMPUTED_VALUE"""),"Trade Attribute 2")</f>
        <v>Trade Attribute 2</v>
      </c>
      <c r="BZ5" s="29" t="str">
        <f>IFERROR(__xludf.DUMMYFUNCTION("""COMPUTED_VALUE"""),"Trade Attribute 3")</f>
        <v>Trade Attribute 3</v>
      </c>
      <c r="CA5" s="29" t="str">
        <f>IFERROR(__xludf.DUMMYFUNCTION("""COMPUTED_VALUE"""),"Trade Attribute 4")</f>
        <v>Trade Attribute 4</v>
      </c>
      <c r="CB5" s="29" t="str">
        <f>IFERROR(__xludf.DUMMYFUNCTION("""COMPUTED_VALUE"""),"Trade Attribute 5")</f>
        <v>Trade Attribute 5</v>
      </c>
      <c r="CC5" s="29" t="str">
        <f>IFERROR(__xludf.DUMMYFUNCTION("""COMPUTED_VALUE"""),"Trade Attribute 6")</f>
        <v>Trade Attribute 6</v>
      </c>
      <c r="CD5" s="29" t="str">
        <f>IFERROR(__xludf.DUMMYFUNCTION("""COMPUTED_VALUE"""),"Trade Date")</f>
        <v>Trade Date</v>
      </c>
      <c r="CE5" s="29" t="str">
        <f>IFERROR(__xludf.DUMMYFUNCTION("""COMPUTED_VALUE"""),"Trading Account")</f>
        <v>Trading Account</v>
      </c>
      <c r="CF5" s="29" t="str">
        <f>IFERROR(__xludf.DUMMYFUNCTION("""COMPUTED_VALUE"""),"Transaction Levy")</f>
        <v>Transaction Levy</v>
      </c>
      <c r="CG5" s="29" t="str">
        <f>IFERROR(__xludf.DUMMYFUNCTION("""COMPUTED_VALUE"""),"Transaction Source")</f>
        <v>Transaction Source</v>
      </c>
      <c r="CH5" s="29" t="str">
        <f>IFERROR(__xludf.DUMMYFUNCTION("""COMPUTED_VALUE"""),"Transaction Type")</f>
        <v>Transaction Type</v>
      </c>
      <c r="CI5" s="29" t="str">
        <f>IFERROR(__xludf.DUMMYFUNCTION("""COMPUTED_VALUE"""),"UnAllocatedQty")</f>
        <v>UnAllocatedQty</v>
      </c>
      <c r="CJ5" s="29" t="str">
        <f>IFERROR(__xludf.DUMMYFUNCTION("""COMPUTED_VALUE"""),"Underlying")</f>
        <v>Underlying</v>
      </c>
      <c r="CK5" s="29" t="str">
        <f>IFERROR(__xludf.DUMMYFUNCTION("""COMPUTED_VALUE"""),"Underlying Delta")</f>
        <v>Underlying Delta</v>
      </c>
      <c r="CL5" s="29" t="str">
        <f>IFERROR(__xludf.DUMMYFUNCTION("""COMPUTED_VALUE"""),"Underlying Symbol")</f>
        <v>Underlying Symbol</v>
      </c>
      <c r="CM5" s="29" t="str">
        <f>IFERROR(__xludf.DUMMYFUNCTION("""COMPUTED_VALUE"""),"User")</f>
        <v>User</v>
      </c>
      <c r="CN5" s="29" t="str">
        <f>IFERROR(__xludf.DUMMYFUNCTION("""COMPUTED_VALUE"""),"Venue")</f>
        <v>Venue</v>
      </c>
      <c r="CO5" s="29" t="str">
        <f>IFERROR(__xludf.DUMMYFUNCTION("""COMPUTED_VALUE"""),"Closing Date")</f>
        <v>Closing Date</v>
      </c>
      <c r="CP5" s="29" t="str">
        <f>IFERROR(__xludf.DUMMYFUNCTION("""COMPUTED_VALUE"""),"Expiration Date")</f>
        <v>Expiration Date</v>
      </c>
      <c r="CQ5" s="29" t="str">
        <f>IFERROR(__xludf.DUMMYFUNCTION("""COMPUTED_VALUE"""),"Master Fund")</f>
        <v>Master Fund</v>
      </c>
      <c r="CR5" s="29" t="str">
        <f>IFERROR(__xludf.DUMMYFUNCTION("""COMPUTED_VALUE"""),"Borrow Broker")</f>
        <v>Borrow Broker</v>
      </c>
      <c r="CS5" s="29" t="str">
        <f>IFERROR(__xludf.DUMMYFUNCTION("""COMPUTED_VALUE"""),"MandatoryColumn")</f>
        <v>MandatoryColumn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0.0</v>
      </c>
      <c r="E6" s="30"/>
      <c r="F6" s="8"/>
      <c r="G6" s="8"/>
      <c r="H6" s="8"/>
      <c r="I6" s="8"/>
      <c r="J6" s="12">
        <v>2.0</v>
      </c>
      <c r="K6" s="12">
        <v>2.0</v>
      </c>
      <c r="L6" s="8"/>
      <c r="M6" s="8"/>
      <c r="N6" s="8"/>
      <c r="O6" s="8"/>
      <c r="AE6" s="9">
        <v>1000.0</v>
      </c>
      <c r="BJ6" s="9">
        <v>1000.0</v>
      </c>
      <c r="BO6" s="31" t="s">
        <v>22</v>
      </c>
      <c r="BS6" s="9" t="s">
        <v>16</v>
      </c>
      <c r="CI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</row>
    <row r="6" ht="15.75" customHeight="1">
      <c r="A6" s="12"/>
      <c r="B6" s="32" t="s">
        <v>18</v>
      </c>
      <c r="C6" s="8" t="s">
        <v>42</v>
      </c>
      <c r="D6" s="32">
        <v>0.0</v>
      </c>
      <c r="E6" s="8">
        <v>1000.0</v>
      </c>
      <c r="F6" s="8" t="s">
        <v>43</v>
      </c>
      <c r="G6" s="8" t="s">
        <v>44</v>
      </c>
      <c r="H6" s="8">
        <v>18.0</v>
      </c>
      <c r="I6" s="8">
        <v>0.0</v>
      </c>
      <c r="J6" s="8">
        <v>15.0</v>
      </c>
      <c r="K6" s="8">
        <v>2.0</v>
      </c>
      <c r="L6" s="8">
        <v>2.0</v>
      </c>
      <c r="M6" s="8"/>
      <c r="N6" s="8" t="s">
        <v>45</v>
      </c>
      <c r="O6" s="8" t="s">
        <v>46</v>
      </c>
      <c r="Q6">
        <v>3.0</v>
      </c>
      <c r="R6">
        <v>0.0</v>
      </c>
      <c r="S6" t="s">
        <v>47</v>
      </c>
      <c r="T6">
        <v>0.0</v>
      </c>
      <c r="U6">
        <v>0.0</v>
      </c>
      <c r="V6" t="s">
        <v>48</v>
      </c>
      <c r="W6">
        <v>1.0</v>
      </c>
      <c r="X6">
        <v>0.0</v>
      </c>
      <c r="Y6" t="s">
        <v>49</v>
      </c>
      <c r="Z6" t="s">
        <v>50</v>
      </c>
      <c r="AB6">
        <v>1.0</v>
      </c>
      <c r="AC6" t="s">
        <v>51</v>
      </c>
      <c r="AD6" t="s">
        <v>52</v>
      </c>
      <c r="AE6">
        <v>1000.0</v>
      </c>
      <c r="AF6" t="s">
        <v>49</v>
      </c>
      <c r="AG6" s="33"/>
      <c r="AH6" t="s">
        <v>53</v>
      </c>
      <c r="AI6">
        <v>1.0</v>
      </c>
      <c r="AJ6" t="s">
        <v>54</v>
      </c>
      <c r="AM6" t="s">
        <v>55</v>
      </c>
      <c r="AN6" t="b">
        <v>0</v>
      </c>
      <c r="AP6" t="b">
        <v>1</v>
      </c>
      <c r="AQ6" t="b">
        <v>0</v>
      </c>
      <c r="AR6" t="b">
        <v>1</v>
      </c>
      <c r="AS6">
        <v>0.0</v>
      </c>
      <c r="AT6">
        <v>2019.35</v>
      </c>
      <c r="AU6">
        <v>2019.35</v>
      </c>
      <c r="AV6" s="34"/>
      <c r="AW6">
        <v>0.0</v>
      </c>
      <c r="AX6">
        <v>0.0</v>
      </c>
      <c r="AY6" t="s">
        <v>56</v>
      </c>
      <c r="AZ6">
        <v>0.0</v>
      </c>
      <c r="BA6" s="33"/>
      <c r="BC6">
        <v>0.0</v>
      </c>
      <c r="BD6" t="s">
        <v>57</v>
      </c>
      <c r="BE6">
        <v>2000.0</v>
      </c>
      <c r="BF6">
        <v>2000.0</v>
      </c>
      <c r="BG6" s="33"/>
      <c r="BJ6">
        <v>1000.0</v>
      </c>
      <c r="BK6">
        <v>0.0</v>
      </c>
      <c r="BL6" t="s">
        <v>49</v>
      </c>
      <c r="BM6" t="s">
        <v>50</v>
      </c>
      <c r="BN6" s="33"/>
      <c r="BO6" t="s">
        <v>17</v>
      </c>
      <c r="BP6">
        <v>0.0</v>
      </c>
      <c r="BQ6">
        <v>0.0</v>
      </c>
      <c r="BR6">
        <v>0.35</v>
      </c>
      <c r="BS6" t="s">
        <v>58</v>
      </c>
      <c r="BT6" t="s">
        <v>16</v>
      </c>
      <c r="BU6">
        <v>1.0</v>
      </c>
      <c r="BV6">
        <v>0.0</v>
      </c>
      <c r="BW6">
        <v>19.35</v>
      </c>
      <c r="BX6">
        <v>0.0</v>
      </c>
      <c r="BY6" t="s">
        <v>49</v>
      </c>
      <c r="BZ6" t="s">
        <v>49</v>
      </c>
      <c r="CA6" t="s">
        <v>49</v>
      </c>
      <c r="CB6" t="s">
        <v>49</v>
      </c>
      <c r="CC6" t="s">
        <v>49</v>
      </c>
      <c r="CD6" t="s">
        <v>49</v>
      </c>
      <c r="CE6" s="33"/>
      <c r="CF6" t="s">
        <v>59</v>
      </c>
      <c r="CG6">
        <v>0.0</v>
      </c>
      <c r="CH6" t="s">
        <v>12</v>
      </c>
      <c r="CI6" t="s">
        <v>17</v>
      </c>
      <c r="CJ6">
        <v>0.0</v>
      </c>
      <c r="CK6" t="s">
        <v>60</v>
      </c>
      <c r="CL6">
        <v>1.0</v>
      </c>
      <c r="CN6" t="s">
        <v>61</v>
      </c>
      <c r="CO6" t="s">
        <v>62</v>
      </c>
      <c r="CP6" t="s">
        <v>63</v>
      </c>
      <c r="CQ6" s="33"/>
      <c r="CS6" t="s">
        <v>49</v>
      </c>
      <c r="CU6" t="s">
        <v>49</v>
      </c>
      <c r="CV6" t="s">
        <v>49</v>
      </c>
      <c r="CW6" t="s">
        <v>49</v>
      </c>
      <c r="CX6" t="s">
        <v>49</v>
      </c>
      <c r="CY6" t="s">
        <v>49</v>
      </c>
      <c r="CZ6" t="s">
        <v>49</v>
      </c>
      <c r="DA6" t="s">
        <v>49</v>
      </c>
      <c r="DB6" t="s">
        <v>49</v>
      </c>
      <c r="DC6" t="s">
        <v>49</v>
      </c>
      <c r="DD6" t="s">
        <v>49</v>
      </c>
      <c r="DE6" t="s">
        <v>49</v>
      </c>
      <c r="DF6" t="s">
        <v>49</v>
      </c>
      <c r="DG6" t="s">
        <v>49</v>
      </c>
      <c r="DH6" t="s">
        <v>49</v>
      </c>
      <c r="DI6" t="s">
        <v>49</v>
      </c>
      <c r="DJ6" t="s">
        <v>49</v>
      </c>
      <c r="DK6" t="s">
        <v>49</v>
      </c>
      <c r="DL6" t="s">
        <v>49</v>
      </c>
      <c r="DM6" t="s">
        <v>49</v>
      </c>
      <c r="DN6" t="s">
        <v>49</v>
      </c>
      <c r="DO6" t="s">
        <v>49</v>
      </c>
      <c r="DP6" t="s">
        <v>49</v>
      </c>
      <c r="DQ6" t="s">
        <v>49</v>
      </c>
      <c r="DR6" t="s">
        <v>49</v>
      </c>
      <c r="DS6" t="s">
        <v>49</v>
      </c>
      <c r="DT6" t="s">
        <v>49</v>
      </c>
      <c r="DU6" t="s">
        <v>49</v>
      </c>
      <c r="DV6" t="s">
        <v>49</v>
      </c>
      <c r="DW6" t="s">
        <v>49</v>
      </c>
      <c r="DX6" t="s">
        <v>49</v>
      </c>
      <c r="DY6" t="s">
        <v>49</v>
      </c>
      <c r="DZ6" t="s">
        <v>49</v>
      </c>
      <c r="EA6" t="s">
        <v>49</v>
      </c>
      <c r="EB6" t="s">
        <v>49</v>
      </c>
      <c r="EC6" t="s">
        <v>49</v>
      </c>
      <c r="ED6" t="s">
        <v>49</v>
      </c>
      <c r="EE6" t="s">
        <v>49</v>
      </c>
      <c r="EF6" t="s">
        <v>49</v>
      </c>
      <c r="EG6" t="s">
        <v>49</v>
      </c>
      <c r="EH6" t="s">
        <v>49</v>
      </c>
      <c r="EI6" t="s">
        <v>49</v>
      </c>
      <c r="EJ6" t="s">
        <v>49</v>
      </c>
      <c r="EK6" t="s">
        <v>49</v>
      </c>
      <c r="EL6" t="s">
        <v>49</v>
      </c>
      <c r="EM6" t="s">
        <v>49</v>
      </c>
      <c r="EN6" t="s">
        <v>49</v>
      </c>
      <c r="EO6" t="s">
        <v>49</v>
      </c>
      <c r="EP6" t="s">
        <v>49</v>
      </c>
      <c r="EQ6" t="s">
        <v>49</v>
      </c>
      <c r="ER6" t="s">
        <v>49</v>
      </c>
      <c r="ES6" t="s">
        <v>49</v>
      </c>
      <c r="ET6" t="s">
        <v>49</v>
      </c>
      <c r="EU6" t="s">
        <v>49</v>
      </c>
      <c r="EV6" t="s">
        <v>49</v>
      </c>
      <c r="EW6" t="s">
        <v>49</v>
      </c>
      <c r="EX6" t="s">
        <v>49</v>
      </c>
      <c r="EY6" t="s">
        <v>49</v>
      </c>
      <c r="EZ6" t="s">
        <v>49</v>
      </c>
      <c r="FA6" t="s">
        <v>49</v>
      </c>
      <c r="FB6" t="s">
        <v>49</v>
      </c>
      <c r="FC6" t="s">
        <v>49</v>
      </c>
      <c r="FD6" t="s">
        <v>49</v>
      </c>
      <c r="FE6" t="s">
        <v>49</v>
      </c>
      <c r="FF6" t="s">
        <v>49</v>
      </c>
      <c r="FG6" t="s">
        <v>49</v>
      </c>
      <c r="FH6" t="s">
        <v>49</v>
      </c>
    </row>
    <row r="7" ht="15.75" customHeight="1">
      <c r="A7" s="8"/>
      <c r="B7" s="8" t="s">
        <v>19</v>
      </c>
      <c r="C7" s="8" t="s">
        <v>42</v>
      </c>
      <c r="D7" s="8">
        <v>0.0</v>
      </c>
      <c r="E7" s="8">
        <v>500.0</v>
      </c>
      <c r="F7" s="8" t="s">
        <v>43</v>
      </c>
      <c r="G7" s="8" t="s">
        <v>44</v>
      </c>
      <c r="H7" s="8">
        <v>9.0</v>
      </c>
      <c r="I7" s="8">
        <v>0.0</v>
      </c>
      <c r="J7" s="8">
        <v>15.0</v>
      </c>
      <c r="K7" s="8">
        <v>2.0</v>
      </c>
      <c r="L7" s="8">
        <v>2.0</v>
      </c>
      <c r="M7" s="8"/>
      <c r="N7" s="8" t="s">
        <v>45</v>
      </c>
      <c r="O7" s="8" t="s">
        <v>46</v>
      </c>
      <c r="Q7">
        <v>3.0</v>
      </c>
      <c r="R7">
        <v>0.0</v>
      </c>
      <c r="S7" t="s">
        <v>47</v>
      </c>
      <c r="T7">
        <v>0.0</v>
      </c>
      <c r="U7">
        <v>0.0</v>
      </c>
      <c r="V7" t="s">
        <v>48</v>
      </c>
      <c r="W7">
        <v>1.0</v>
      </c>
      <c r="X7">
        <v>0.0</v>
      </c>
      <c r="Y7" t="s">
        <v>49</v>
      </c>
      <c r="Z7" t="s">
        <v>50</v>
      </c>
      <c r="AB7">
        <v>1.0</v>
      </c>
      <c r="AC7" t="s">
        <v>51</v>
      </c>
      <c r="AD7" t="s">
        <v>52</v>
      </c>
      <c r="AE7">
        <v>500.0</v>
      </c>
      <c r="AF7" t="s">
        <v>49</v>
      </c>
      <c r="AG7" s="33"/>
      <c r="AH7" t="s">
        <v>53</v>
      </c>
      <c r="AI7">
        <v>1.0</v>
      </c>
      <c r="AJ7" t="s">
        <v>54</v>
      </c>
      <c r="AM7" t="s">
        <v>55</v>
      </c>
      <c r="AN7" t="b">
        <v>0</v>
      </c>
      <c r="AP7" t="b">
        <v>1</v>
      </c>
      <c r="AQ7" t="b">
        <v>0</v>
      </c>
      <c r="AR7" t="b">
        <v>1</v>
      </c>
      <c r="AS7">
        <v>0.0</v>
      </c>
      <c r="AT7">
        <v>1010.175</v>
      </c>
      <c r="AU7">
        <v>1010.175</v>
      </c>
      <c r="AV7" s="34"/>
      <c r="AW7">
        <v>0.0</v>
      </c>
      <c r="AX7">
        <v>0.0</v>
      </c>
      <c r="AY7" t="s">
        <v>56</v>
      </c>
      <c r="AZ7">
        <v>0.0</v>
      </c>
      <c r="BA7" s="33"/>
      <c r="BC7">
        <v>0.0</v>
      </c>
      <c r="BD7" t="s">
        <v>57</v>
      </c>
      <c r="BE7">
        <v>1000.0</v>
      </c>
      <c r="BF7">
        <v>1000.0</v>
      </c>
      <c r="BG7" s="33"/>
      <c r="BJ7">
        <v>500.0</v>
      </c>
      <c r="BK7">
        <v>0.0</v>
      </c>
      <c r="BL7" t="s">
        <v>49</v>
      </c>
      <c r="BM7" t="s">
        <v>50</v>
      </c>
      <c r="BN7" s="33"/>
      <c r="BO7" t="s">
        <v>17</v>
      </c>
      <c r="BP7">
        <v>0.0</v>
      </c>
      <c r="BQ7">
        <v>0.0</v>
      </c>
      <c r="BR7">
        <v>0.175</v>
      </c>
      <c r="BS7" t="s">
        <v>58</v>
      </c>
      <c r="BT7" t="s">
        <v>16</v>
      </c>
      <c r="BU7">
        <v>1.0</v>
      </c>
      <c r="BV7">
        <v>0.0</v>
      </c>
      <c r="BW7">
        <v>10.175</v>
      </c>
      <c r="BX7">
        <v>0.0</v>
      </c>
      <c r="BY7" t="s">
        <v>49</v>
      </c>
      <c r="BZ7" t="s">
        <v>49</v>
      </c>
      <c r="CA7" t="s">
        <v>49</v>
      </c>
      <c r="CB7" t="s">
        <v>49</v>
      </c>
      <c r="CC7" t="s">
        <v>49</v>
      </c>
      <c r="CD7" t="s">
        <v>49</v>
      </c>
      <c r="CE7" s="33"/>
      <c r="CF7" t="s">
        <v>59</v>
      </c>
      <c r="CG7">
        <v>0.0</v>
      </c>
      <c r="CH7" t="s">
        <v>12</v>
      </c>
      <c r="CI7" t="s">
        <v>17</v>
      </c>
      <c r="CJ7">
        <v>0.0</v>
      </c>
      <c r="CK7" t="s">
        <v>60</v>
      </c>
      <c r="CL7">
        <v>1.0</v>
      </c>
      <c r="CN7" t="s">
        <v>61</v>
      </c>
      <c r="CO7" t="s">
        <v>62</v>
      </c>
      <c r="CP7" t="s">
        <v>63</v>
      </c>
      <c r="CQ7" s="33"/>
      <c r="CS7" t="s">
        <v>49</v>
      </c>
      <c r="CU7" t="s">
        <v>49</v>
      </c>
      <c r="CV7" t="s">
        <v>49</v>
      </c>
      <c r="CW7" t="s">
        <v>49</v>
      </c>
      <c r="CX7" t="s">
        <v>49</v>
      </c>
      <c r="CY7" t="s">
        <v>49</v>
      </c>
      <c r="CZ7" t="s">
        <v>49</v>
      </c>
      <c r="DA7" t="s">
        <v>49</v>
      </c>
      <c r="DB7" t="s">
        <v>49</v>
      </c>
      <c r="DC7" t="s">
        <v>49</v>
      </c>
      <c r="DD7" t="s">
        <v>49</v>
      </c>
      <c r="DE7" t="s">
        <v>49</v>
      </c>
      <c r="DF7" t="s">
        <v>49</v>
      </c>
      <c r="DG7" t="s">
        <v>49</v>
      </c>
      <c r="DH7" t="s">
        <v>49</v>
      </c>
      <c r="DI7" t="s">
        <v>49</v>
      </c>
      <c r="DJ7" t="s">
        <v>49</v>
      </c>
      <c r="DK7" t="s">
        <v>49</v>
      </c>
      <c r="DL7" t="s">
        <v>49</v>
      </c>
      <c r="DM7" t="s">
        <v>49</v>
      </c>
      <c r="DN7" t="s">
        <v>49</v>
      </c>
      <c r="DO7" t="s">
        <v>49</v>
      </c>
      <c r="DP7" t="s">
        <v>49</v>
      </c>
      <c r="DQ7" t="s">
        <v>49</v>
      </c>
      <c r="DR7" t="s">
        <v>49</v>
      </c>
      <c r="DS7" t="s">
        <v>49</v>
      </c>
      <c r="DT7" t="s">
        <v>49</v>
      </c>
      <c r="DU7" t="s">
        <v>49</v>
      </c>
      <c r="DV7" t="s">
        <v>49</v>
      </c>
      <c r="DW7" t="s">
        <v>49</v>
      </c>
      <c r="DX7" t="s">
        <v>49</v>
      </c>
      <c r="DY7" t="s">
        <v>49</v>
      </c>
      <c r="DZ7" t="s">
        <v>49</v>
      </c>
      <c r="EA7" t="s">
        <v>49</v>
      </c>
      <c r="EB7" t="s">
        <v>49</v>
      </c>
      <c r="EC7" t="s">
        <v>49</v>
      </c>
      <c r="ED7" t="s">
        <v>49</v>
      </c>
      <c r="EE7" t="s">
        <v>49</v>
      </c>
      <c r="EF7" t="s">
        <v>49</v>
      </c>
      <c r="EG7" t="s">
        <v>49</v>
      </c>
      <c r="EH7" t="s">
        <v>49</v>
      </c>
      <c r="EI7" t="s">
        <v>49</v>
      </c>
      <c r="EJ7" t="s">
        <v>49</v>
      </c>
      <c r="EK7" t="s">
        <v>49</v>
      </c>
      <c r="EL7" t="s">
        <v>49</v>
      </c>
      <c r="EM7" t="s">
        <v>49</v>
      </c>
      <c r="EN7" t="s">
        <v>49</v>
      </c>
      <c r="EO7" t="s">
        <v>49</v>
      </c>
      <c r="EP7" t="s">
        <v>49</v>
      </c>
      <c r="EQ7" t="s">
        <v>49</v>
      </c>
      <c r="ER7" t="s">
        <v>49</v>
      </c>
      <c r="ES7" t="s">
        <v>49</v>
      </c>
      <c r="ET7" t="s">
        <v>49</v>
      </c>
      <c r="EU7" t="s">
        <v>49</v>
      </c>
      <c r="EV7" t="s">
        <v>49</v>
      </c>
      <c r="EW7" t="s">
        <v>49</v>
      </c>
      <c r="EX7" t="s">
        <v>49</v>
      </c>
      <c r="EY7" t="s">
        <v>49</v>
      </c>
      <c r="EZ7" t="s">
        <v>49</v>
      </c>
      <c r="FA7" t="s">
        <v>49</v>
      </c>
      <c r="FB7" t="s">
        <v>49</v>
      </c>
      <c r="FC7" t="s">
        <v>49</v>
      </c>
      <c r="FD7" t="s">
        <v>49</v>
      </c>
      <c r="FE7" t="s">
        <v>49</v>
      </c>
      <c r="FF7" t="s">
        <v>49</v>
      </c>
      <c r="FG7" t="s">
        <v>49</v>
      </c>
      <c r="FH7" t="s">
        <v>49</v>
      </c>
    </row>
    <row r="8" ht="15.75" customHeight="1">
      <c r="A8" s="8"/>
      <c r="B8" s="8" t="s">
        <v>20</v>
      </c>
      <c r="C8" s="8" t="s">
        <v>42</v>
      </c>
      <c r="D8" s="8">
        <v>0.0</v>
      </c>
      <c r="E8" s="8">
        <v>300.0</v>
      </c>
      <c r="F8" s="8" t="s">
        <v>43</v>
      </c>
      <c r="G8" s="8" t="s">
        <v>44</v>
      </c>
      <c r="H8" s="8">
        <v>5.0</v>
      </c>
      <c r="I8" s="8">
        <v>0.0</v>
      </c>
      <c r="J8" s="8">
        <v>15.0</v>
      </c>
      <c r="K8" s="8">
        <v>2.0</v>
      </c>
      <c r="L8" s="8">
        <v>2.0</v>
      </c>
      <c r="M8" s="8"/>
      <c r="N8" s="8" t="s">
        <v>45</v>
      </c>
      <c r="O8" s="8" t="s">
        <v>46</v>
      </c>
      <c r="Q8">
        <v>3.0</v>
      </c>
      <c r="R8">
        <v>0.0</v>
      </c>
      <c r="S8" t="s">
        <v>47</v>
      </c>
      <c r="T8">
        <v>0.0</v>
      </c>
      <c r="U8">
        <v>0.0</v>
      </c>
      <c r="V8" t="s">
        <v>48</v>
      </c>
      <c r="W8">
        <v>1.0</v>
      </c>
      <c r="X8">
        <v>0.0</v>
      </c>
      <c r="Y8" t="s">
        <v>49</v>
      </c>
      <c r="Z8" t="s">
        <v>50</v>
      </c>
      <c r="AB8">
        <v>1.0</v>
      </c>
      <c r="AC8" t="s">
        <v>51</v>
      </c>
      <c r="AD8" t="s">
        <v>52</v>
      </c>
      <c r="AE8">
        <v>300.0</v>
      </c>
      <c r="AF8" t="s">
        <v>49</v>
      </c>
      <c r="AG8" s="33"/>
      <c r="AH8" t="s">
        <v>53</v>
      </c>
      <c r="AI8">
        <v>1.0</v>
      </c>
      <c r="AJ8" t="s">
        <v>54</v>
      </c>
      <c r="AM8" t="s">
        <v>55</v>
      </c>
      <c r="AN8" t="b">
        <v>0</v>
      </c>
      <c r="AP8" t="b">
        <v>1</v>
      </c>
      <c r="AQ8" t="b">
        <v>0</v>
      </c>
      <c r="AR8" t="b">
        <v>1</v>
      </c>
      <c r="AS8">
        <v>0.0</v>
      </c>
      <c r="AT8">
        <v>606.105</v>
      </c>
      <c r="AU8">
        <v>606.105</v>
      </c>
      <c r="AV8" s="34"/>
      <c r="AW8">
        <v>0.0</v>
      </c>
      <c r="AX8">
        <v>0.0</v>
      </c>
      <c r="AY8" t="s">
        <v>56</v>
      </c>
      <c r="AZ8">
        <v>0.0</v>
      </c>
      <c r="BA8" s="33"/>
      <c r="BC8">
        <v>0.0</v>
      </c>
      <c r="BD8" t="s">
        <v>57</v>
      </c>
      <c r="BE8">
        <v>600.0</v>
      </c>
      <c r="BF8">
        <v>600.0</v>
      </c>
      <c r="BG8" s="33"/>
      <c r="BJ8">
        <v>300.0</v>
      </c>
      <c r="BK8">
        <v>0.0</v>
      </c>
      <c r="BL8" t="s">
        <v>49</v>
      </c>
      <c r="BM8" t="s">
        <v>50</v>
      </c>
      <c r="BN8" s="33"/>
      <c r="BO8" t="s">
        <v>17</v>
      </c>
      <c r="BP8">
        <v>0.0</v>
      </c>
      <c r="BQ8">
        <v>0.0</v>
      </c>
      <c r="BR8">
        <v>0.105</v>
      </c>
      <c r="BS8" t="s">
        <v>58</v>
      </c>
      <c r="BT8" t="s">
        <v>16</v>
      </c>
      <c r="BU8">
        <v>1.0</v>
      </c>
      <c r="BV8">
        <v>0.0</v>
      </c>
      <c r="BW8">
        <v>6.105</v>
      </c>
      <c r="BX8">
        <v>0.0</v>
      </c>
      <c r="BY8" t="s">
        <v>49</v>
      </c>
      <c r="BZ8" t="s">
        <v>49</v>
      </c>
      <c r="CA8" t="s">
        <v>49</v>
      </c>
      <c r="CB8" t="s">
        <v>49</v>
      </c>
      <c r="CC8" t="s">
        <v>49</v>
      </c>
      <c r="CD8" t="s">
        <v>49</v>
      </c>
      <c r="CE8" s="33"/>
      <c r="CF8" t="s">
        <v>59</v>
      </c>
      <c r="CG8">
        <v>0.0</v>
      </c>
      <c r="CH8" t="s">
        <v>12</v>
      </c>
      <c r="CI8" t="s">
        <v>17</v>
      </c>
      <c r="CJ8">
        <v>0.0</v>
      </c>
      <c r="CK8" t="s">
        <v>60</v>
      </c>
      <c r="CL8">
        <v>1.0</v>
      </c>
      <c r="CN8" t="s">
        <v>61</v>
      </c>
      <c r="CO8" t="s">
        <v>62</v>
      </c>
      <c r="CP8" t="s">
        <v>63</v>
      </c>
      <c r="CQ8" s="33"/>
      <c r="CS8" t="s">
        <v>49</v>
      </c>
      <c r="CU8" t="s">
        <v>49</v>
      </c>
      <c r="CV8" t="s">
        <v>49</v>
      </c>
      <c r="CW8" t="s">
        <v>49</v>
      </c>
      <c r="CX8" t="s">
        <v>49</v>
      </c>
      <c r="CY8" t="s">
        <v>49</v>
      </c>
      <c r="CZ8" t="s">
        <v>49</v>
      </c>
      <c r="DA8" t="s">
        <v>49</v>
      </c>
      <c r="DB8" t="s">
        <v>49</v>
      </c>
      <c r="DC8" t="s">
        <v>49</v>
      </c>
      <c r="DD8" t="s">
        <v>49</v>
      </c>
      <c r="DE8" t="s">
        <v>49</v>
      </c>
      <c r="DF8" t="s">
        <v>49</v>
      </c>
      <c r="DG8" t="s">
        <v>49</v>
      </c>
      <c r="DH8" t="s">
        <v>49</v>
      </c>
      <c r="DI8" t="s">
        <v>49</v>
      </c>
      <c r="DJ8" t="s">
        <v>49</v>
      </c>
      <c r="DK8" t="s">
        <v>49</v>
      </c>
      <c r="DL8" t="s">
        <v>49</v>
      </c>
      <c r="DM8" t="s">
        <v>49</v>
      </c>
      <c r="DN8" t="s">
        <v>49</v>
      </c>
      <c r="DO8" t="s">
        <v>49</v>
      </c>
      <c r="DP8" t="s">
        <v>49</v>
      </c>
      <c r="DQ8" t="s">
        <v>49</v>
      </c>
      <c r="DR8" t="s">
        <v>49</v>
      </c>
      <c r="DS8" t="s">
        <v>49</v>
      </c>
      <c r="DT8" t="s">
        <v>49</v>
      </c>
      <c r="DU8" t="s">
        <v>49</v>
      </c>
      <c r="DV8" t="s">
        <v>49</v>
      </c>
      <c r="DW8" t="s">
        <v>49</v>
      </c>
      <c r="DX8" t="s">
        <v>49</v>
      </c>
      <c r="DY8" t="s">
        <v>49</v>
      </c>
      <c r="DZ8" t="s">
        <v>49</v>
      </c>
      <c r="EA8" t="s">
        <v>49</v>
      </c>
      <c r="EB8" t="s">
        <v>49</v>
      </c>
      <c r="EC8" t="s">
        <v>49</v>
      </c>
      <c r="ED8" t="s">
        <v>49</v>
      </c>
      <c r="EE8" t="s">
        <v>49</v>
      </c>
      <c r="EF8" t="s">
        <v>49</v>
      </c>
      <c r="EG8" t="s">
        <v>49</v>
      </c>
      <c r="EH8" t="s">
        <v>49</v>
      </c>
      <c r="EI8" t="s">
        <v>49</v>
      </c>
      <c r="EJ8" t="s">
        <v>49</v>
      </c>
      <c r="EK8" t="s">
        <v>49</v>
      </c>
      <c r="EL8" t="s">
        <v>49</v>
      </c>
      <c r="EM8" t="s">
        <v>49</v>
      </c>
      <c r="EN8" t="s">
        <v>49</v>
      </c>
      <c r="EO8" t="s">
        <v>49</v>
      </c>
      <c r="EP8" t="s">
        <v>49</v>
      </c>
      <c r="EQ8" t="s">
        <v>49</v>
      </c>
      <c r="ER8" t="s">
        <v>49</v>
      </c>
      <c r="ES8" t="s">
        <v>49</v>
      </c>
      <c r="ET8" t="s">
        <v>49</v>
      </c>
      <c r="EU8" t="s">
        <v>49</v>
      </c>
      <c r="EV8" t="s">
        <v>49</v>
      </c>
      <c r="EW8" t="s">
        <v>49</v>
      </c>
      <c r="EX8" t="s">
        <v>49</v>
      </c>
      <c r="EY8" t="s">
        <v>49</v>
      </c>
      <c r="EZ8" t="s">
        <v>49</v>
      </c>
      <c r="FA8" t="s">
        <v>49</v>
      </c>
      <c r="FB8" t="s">
        <v>49</v>
      </c>
      <c r="FC8" t="s">
        <v>49</v>
      </c>
      <c r="FD8" t="s">
        <v>49</v>
      </c>
      <c r="FE8" t="s">
        <v>49</v>
      </c>
      <c r="FF8" t="s">
        <v>49</v>
      </c>
      <c r="FG8" t="s">
        <v>49</v>
      </c>
      <c r="FH8" t="s">
        <v>49</v>
      </c>
    </row>
    <row r="9" ht="15.75" customHeight="1">
      <c r="A9" s="8"/>
      <c r="B9" s="8" t="s">
        <v>23</v>
      </c>
      <c r="C9" s="8" t="s">
        <v>42</v>
      </c>
      <c r="D9" s="8">
        <v>0.0</v>
      </c>
      <c r="E9" s="8">
        <v>500.0</v>
      </c>
      <c r="F9" s="8" t="s">
        <v>43</v>
      </c>
      <c r="G9" s="8" t="s">
        <v>44</v>
      </c>
      <c r="H9" s="8">
        <v>4.0</v>
      </c>
      <c r="I9" s="8">
        <v>5.0</v>
      </c>
      <c r="J9" s="8">
        <v>1.0</v>
      </c>
      <c r="K9" s="8">
        <v>2.0</v>
      </c>
      <c r="L9" s="8">
        <v>2.0</v>
      </c>
      <c r="M9" s="8" t="s">
        <v>64</v>
      </c>
      <c r="N9" s="8" t="s">
        <v>45</v>
      </c>
      <c r="O9" s="8" t="s">
        <v>46</v>
      </c>
      <c r="Q9">
        <v>3.0</v>
      </c>
      <c r="R9">
        <v>0.0</v>
      </c>
      <c r="S9" t="s">
        <v>47</v>
      </c>
      <c r="T9">
        <v>0.0</v>
      </c>
      <c r="U9">
        <v>0.0</v>
      </c>
      <c r="V9" t="s">
        <v>65</v>
      </c>
      <c r="W9">
        <v>1.0</v>
      </c>
      <c r="X9">
        <v>0.0</v>
      </c>
      <c r="Y9" t="s">
        <v>49</v>
      </c>
      <c r="Z9" t="s">
        <v>50</v>
      </c>
      <c r="AA9" t="s">
        <v>66</v>
      </c>
      <c r="AB9">
        <v>1.0</v>
      </c>
      <c r="AC9" t="s">
        <v>51</v>
      </c>
      <c r="AD9" t="s">
        <v>62</v>
      </c>
      <c r="AE9">
        <v>500.0</v>
      </c>
      <c r="AF9" t="s">
        <v>49</v>
      </c>
      <c r="AG9" s="33"/>
      <c r="AH9" t="s">
        <v>53</v>
      </c>
      <c r="AI9">
        <v>1.0</v>
      </c>
      <c r="AJ9" t="s">
        <v>54</v>
      </c>
      <c r="AM9" t="s">
        <v>55</v>
      </c>
      <c r="AN9" t="b">
        <v>0</v>
      </c>
      <c r="AO9" t="s">
        <v>67</v>
      </c>
      <c r="AP9" t="b">
        <v>1</v>
      </c>
      <c r="AQ9" t="b">
        <v>0</v>
      </c>
      <c r="AR9" t="b">
        <v>1</v>
      </c>
      <c r="AS9">
        <v>0.0</v>
      </c>
      <c r="AT9">
        <v>985.9994</v>
      </c>
      <c r="AU9">
        <v>985.9994</v>
      </c>
      <c r="AV9" s="34"/>
      <c r="AW9">
        <v>0.0</v>
      </c>
      <c r="AX9">
        <v>0.0</v>
      </c>
      <c r="AY9" t="s">
        <v>56</v>
      </c>
      <c r="AZ9">
        <v>0.0</v>
      </c>
      <c r="BA9" s="33"/>
      <c r="BC9">
        <v>0.0</v>
      </c>
      <c r="BD9" t="s">
        <v>57</v>
      </c>
      <c r="BE9">
        <v>1000.0</v>
      </c>
      <c r="BF9">
        <v>1000.0</v>
      </c>
      <c r="BG9" s="33"/>
      <c r="BJ9">
        <v>500.0</v>
      </c>
      <c r="BK9">
        <v>0.0</v>
      </c>
      <c r="BL9" t="s">
        <v>49</v>
      </c>
      <c r="BM9" t="s">
        <v>50</v>
      </c>
      <c r="BN9" s="33"/>
      <c r="BO9" t="s">
        <v>22</v>
      </c>
      <c r="BP9">
        <v>0.0</v>
      </c>
      <c r="BQ9">
        <v>0.0</v>
      </c>
      <c r="BR9">
        <v>6.0E-4</v>
      </c>
      <c r="BS9" t="s">
        <v>58</v>
      </c>
      <c r="BT9" t="s">
        <v>21</v>
      </c>
      <c r="BU9">
        <v>3.0</v>
      </c>
      <c r="BV9">
        <v>0.0</v>
      </c>
      <c r="BW9">
        <v>14.0006</v>
      </c>
      <c r="BX9">
        <v>0.0</v>
      </c>
      <c r="BY9" t="s">
        <v>49</v>
      </c>
      <c r="BZ9" t="s">
        <v>49</v>
      </c>
      <c r="CA9" t="s">
        <v>49</v>
      </c>
      <c r="CB9" t="s">
        <v>49</v>
      </c>
      <c r="CC9" t="s">
        <v>49</v>
      </c>
      <c r="CD9" t="s">
        <v>49</v>
      </c>
      <c r="CE9" s="33"/>
      <c r="CF9" t="s">
        <v>59</v>
      </c>
      <c r="CG9">
        <v>2.0</v>
      </c>
      <c r="CH9" t="s">
        <v>12</v>
      </c>
      <c r="CI9" t="s">
        <v>22</v>
      </c>
      <c r="CJ9">
        <v>0.0</v>
      </c>
      <c r="CK9" t="s">
        <v>60</v>
      </c>
      <c r="CL9">
        <v>1.0</v>
      </c>
      <c r="CM9" t="s">
        <v>21</v>
      </c>
      <c r="CN9" t="s">
        <v>61</v>
      </c>
      <c r="CO9" t="s">
        <v>62</v>
      </c>
      <c r="CP9" t="s">
        <v>63</v>
      </c>
      <c r="CQ9" s="33"/>
      <c r="CS9" t="s">
        <v>49</v>
      </c>
      <c r="CU9" t="s">
        <v>49</v>
      </c>
      <c r="CV9" t="s">
        <v>49</v>
      </c>
      <c r="CW9" t="s">
        <v>49</v>
      </c>
      <c r="CX9" t="s">
        <v>49</v>
      </c>
      <c r="CY9" t="s">
        <v>49</v>
      </c>
      <c r="CZ9" t="s">
        <v>49</v>
      </c>
      <c r="DA9" t="s">
        <v>49</v>
      </c>
      <c r="DB9" t="s">
        <v>49</v>
      </c>
      <c r="DC9" t="s">
        <v>49</v>
      </c>
      <c r="DD9" t="s">
        <v>49</v>
      </c>
      <c r="DE9" t="s">
        <v>49</v>
      </c>
      <c r="DF9" t="s">
        <v>49</v>
      </c>
      <c r="DG9" t="s">
        <v>49</v>
      </c>
      <c r="DH9" t="s">
        <v>49</v>
      </c>
      <c r="DI9" t="s">
        <v>49</v>
      </c>
      <c r="DJ9" t="s">
        <v>49</v>
      </c>
      <c r="DK9" t="s">
        <v>49</v>
      </c>
      <c r="DL9" t="s">
        <v>49</v>
      </c>
      <c r="DM9" t="s">
        <v>49</v>
      </c>
      <c r="DN9" t="s">
        <v>49</v>
      </c>
      <c r="DO9" t="s">
        <v>49</v>
      </c>
      <c r="DP9" t="s">
        <v>49</v>
      </c>
      <c r="DQ9" t="s">
        <v>49</v>
      </c>
      <c r="DR9" t="s">
        <v>49</v>
      </c>
      <c r="DS9" t="s">
        <v>49</v>
      </c>
      <c r="DT9" t="s">
        <v>49</v>
      </c>
      <c r="DU9" t="s">
        <v>49</v>
      </c>
      <c r="DV9" t="s">
        <v>49</v>
      </c>
      <c r="DW9" t="s">
        <v>49</v>
      </c>
      <c r="DX9" t="s">
        <v>49</v>
      </c>
      <c r="DY9" t="s">
        <v>49</v>
      </c>
      <c r="DZ9" t="s">
        <v>49</v>
      </c>
      <c r="EA9" t="s">
        <v>49</v>
      </c>
      <c r="EB9" t="s">
        <v>49</v>
      </c>
      <c r="EC9" t="s">
        <v>49</v>
      </c>
      <c r="ED9" t="s">
        <v>49</v>
      </c>
      <c r="EE9" t="s">
        <v>49</v>
      </c>
      <c r="EF9" t="s">
        <v>49</v>
      </c>
      <c r="EG9" t="s">
        <v>49</v>
      </c>
      <c r="EH9" t="s">
        <v>49</v>
      </c>
      <c r="EI9" t="s">
        <v>49</v>
      </c>
      <c r="EJ9" t="s">
        <v>49</v>
      </c>
      <c r="EK9" t="s">
        <v>49</v>
      </c>
      <c r="EL9" t="s">
        <v>49</v>
      </c>
      <c r="EM9" t="s">
        <v>49</v>
      </c>
      <c r="EN9" t="s">
        <v>49</v>
      </c>
      <c r="EO9" t="s">
        <v>49</v>
      </c>
      <c r="EP9" t="s">
        <v>49</v>
      </c>
      <c r="EQ9" t="s">
        <v>49</v>
      </c>
      <c r="ER9" t="s">
        <v>49</v>
      </c>
      <c r="ES9" t="s">
        <v>49</v>
      </c>
      <c r="ET9" t="s">
        <v>49</v>
      </c>
      <c r="EU9" t="s">
        <v>49</v>
      </c>
      <c r="EV9" t="s">
        <v>49</v>
      </c>
      <c r="EW9" t="s">
        <v>49</v>
      </c>
      <c r="EX9" t="s">
        <v>49</v>
      </c>
      <c r="EY9" t="s">
        <v>49</v>
      </c>
      <c r="EZ9" t="s">
        <v>49</v>
      </c>
      <c r="FA9" t="s">
        <v>49</v>
      </c>
      <c r="FB9" t="s">
        <v>49</v>
      </c>
      <c r="FC9" t="s">
        <v>49</v>
      </c>
      <c r="FD9" t="s">
        <v>49</v>
      </c>
      <c r="FE9" t="s">
        <v>49</v>
      </c>
      <c r="FF9" t="s">
        <v>49</v>
      </c>
      <c r="FG9" t="s">
        <v>49</v>
      </c>
      <c r="FH9" t="s">
        <v>49</v>
      </c>
    </row>
    <row r="10" ht="15.75" customHeight="1">
      <c r="A10" s="8"/>
      <c r="B10" s="8" t="s">
        <v>18</v>
      </c>
      <c r="C10" s="8" t="s">
        <v>42</v>
      </c>
      <c r="D10" s="8">
        <v>0.0</v>
      </c>
      <c r="E10" s="8">
        <v>500.0</v>
      </c>
      <c r="F10" s="8" t="s">
        <v>43</v>
      </c>
      <c r="G10" s="8" t="s">
        <v>44</v>
      </c>
      <c r="H10" s="8">
        <v>4.0</v>
      </c>
      <c r="I10" s="8">
        <v>5.0</v>
      </c>
      <c r="J10" s="8">
        <v>1.0</v>
      </c>
      <c r="K10" s="8">
        <v>2.0</v>
      </c>
      <c r="L10" s="8">
        <v>2.0</v>
      </c>
      <c r="M10" s="8" t="s">
        <v>64</v>
      </c>
      <c r="N10" s="8" t="s">
        <v>45</v>
      </c>
      <c r="O10" s="8" t="s">
        <v>46</v>
      </c>
      <c r="Q10">
        <v>3.0</v>
      </c>
      <c r="R10">
        <v>0.0</v>
      </c>
      <c r="S10" t="s">
        <v>47</v>
      </c>
      <c r="T10">
        <v>0.0</v>
      </c>
      <c r="U10">
        <v>0.0</v>
      </c>
      <c r="V10" t="s">
        <v>65</v>
      </c>
      <c r="W10">
        <v>1.0</v>
      </c>
      <c r="X10">
        <v>0.0</v>
      </c>
      <c r="Y10" t="s">
        <v>49</v>
      </c>
      <c r="Z10" t="s">
        <v>50</v>
      </c>
      <c r="AA10" t="s">
        <v>66</v>
      </c>
      <c r="AB10">
        <v>1.0</v>
      </c>
      <c r="AC10" t="s">
        <v>51</v>
      </c>
      <c r="AD10" t="s">
        <v>62</v>
      </c>
      <c r="AE10">
        <v>500.0</v>
      </c>
      <c r="AF10" t="s">
        <v>49</v>
      </c>
      <c r="AG10" s="33"/>
      <c r="AH10" t="s">
        <v>53</v>
      </c>
      <c r="AI10">
        <v>1.0</v>
      </c>
      <c r="AJ10" t="s">
        <v>54</v>
      </c>
      <c r="AM10" t="s">
        <v>55</v>
      </c>
      <c r="AN10" t="b">
        <v>0</v>
      </c>
      <c r="AO10" t="s">
        <v>67</v>
      </c>
      <c r="AP10" t="b">
        <v>1</v>
      </c>
      <c r="AQ10" t="b">
        <v>0</v>
      </c>
      <c r="AR10" t="b">
        <v>1</v>
      </c>
      <c r="AS10">
        <v>0.0</v>
      </c>
      <c r="AT10">
        <v>985.9994</v>
      </c>
      <c r="AU10">
        <v>985.9994</v>
      </c>
      <c r="AV10" s="34"/>
      <c r="AW10">
        <v>0.0</v>
      </c>
      <c r="AX10">
        <v>0.0</v>
      </c>
      <c r="AY10" t="s">
        <v>56</v>
      </c>
      <c r="AZ10">
        <v>0.0</v>
      </c>
      <c r="BA10" s="33"/>
      <c r="BC10">
        <v>0.0</v>
      </c>
      <c r="BD10" t="s">
        <v>57</v>
      </c>
      <c r="BE10">
        <v>1000.0</v>
      </c>
      <c r="BF10">
        <v>1000.0</v>
      </c>
      <c r="BG10" s="33"/>
      <c r="BJ10">
        <v>500.0</v>
      </c>
      <c r="BK10">
        <v>0.0</v>
      </c>
      <c r="BL10" t="s">
        <v>49</v>
      </c>
      <c r="BM10" t="s">
        <v>50</v>
      </c>
      <c r="BN10" s="33"/>
      <c r="BO10" t="s">
        <v>22</v>
      </c>
      <c r="BP10">
        <v>0.0</v>
      </c>
      <c r="BQ10">
        <v>0.0</v>
      </c>
      <c r="BR10">
        <v>6.0E-4</v>
      </c>
      <c r="BS10" t="s">
        <v>58</v>
      </c>
      <c r="BT10" t="s">
        <v>21</v>
      </c>
      <c r="BU10">
        <v>3.0</v>
      </c>
      <c r="BV10">
        <v>0.0</v>
      </c>
      <c r="BW10">
        <v>14.0006</v>
      </c>
      <c r="BX10">
        <v>0.0</v>
      </c>
      <c r="BY10" t="s">
        <v>49</v>
      </c>
      <c r="BZ10" t="s">
        <v>49</v>
      </c>
      <c r="CA10" t="s">
        <v>49</v>
      </c>
      <c r="CB10" t="s">
        <v>49</v>
      </c>
      <c r="CC10" t="s">
        <v>49</v>
      </c>
      <c r="CD10" t="s">
        <v>49</v>
      </c>
      <c r="CE10" s="33"/>
      <c r="CF10" t="s">
        <v>59</v>
      </c>
      <c r="CG10">
        <v>2.0</v>
      </c>
      <c r="CH10" t="s">
        <v>12</v>
      </c>
      <c r="CI10" t="s">
        <v>22</v>
      </c>
      <c r="CJ10">
        <v>0.0</v>
      </c>
      <c r="CK10" t="s">
        <v>60</v>
      </c>
      <c r="CL10">
        <v>1.0</v>
      </c>
      <c r="CM10" t="s">
        <v>21</v>
      </c>
      <c r="CN10" t="s">
        <v>61</v>
      </c>
      <c r="CO10" t="s">
        <v>62</v>
      </c>
      <c r="CP10" t="s">
        <v>63</v>
      </c>
      <c r="CQ10" s="33"/>
      <c r="CS10" t="s">
        <v>49</v>
      </c>
      <c r="CU10" t="s">
        <v>49</v>
      </c>
      <c r="CV10" t="s">
        <v>49</v>
      </c>
      <c r="CW10" t="s">
        <v>49</v>
      </c>
      <c r="CX10" t="s">
        <v>49</v>
      </c>
      <c r="CY10" t="s">
        <v>49</v>
      </c>
      <c r="CZ10" t="s">
        <v>49</v>
      </c>
      <c r="DA10" t="s">
        <v>49</v>
      </c>
      <c r="DB10" t="s">
        <v>49</v>
      </c>
      <c r="DC10" t="s">
        <v>49</v>
      </c>
      <c r="DD10" t="s">
        <v>49</v>
      </c>
      <c r="DE10" t="s">
        <v>49</v>
      </c>
      <c r="DF10" t="s">
        <v>49</v>
      </c>
      <c r="DG10" t="s">
        <v>49</v>
      </c>
      <c r="DH10" t="s">
        <v>49</v>
      </c>
      <c r="DI10" t="s">
        <v>49</v>
      </c>
      <c r="DJ10" t="s">
        <v>49</v>
      </c>
      <c r="DK10" t="s">
        <v>49</v>
      </c>
      <c r="DL10" t="s">
        <v>49</v>
      </c>
      <c r="DM10" t="s">
        <v>49</v>
      </c>
      <c r="DN10" t="s">
        <v>49</v>
      </c>
      <c r="DO10" t="s">
        <v>49</v>
      </c>
      <c r="DP10" t="s">
        <v>49</v>
      </c>
      <c r="DQ10" t="s">
        <v>49</v>
      </c>
      <c r="DR10" t="s">
        <v>49</v>
      </c>
      <c r="DS10" t="s">
        <v>49</v>
      </c>
      <c r="DT10" t="s">
        <v>49</v>
      </c>
      <c r="DU10" t="s">
        <v>49</v>
      </c>
      <c r="DV10" t="s">
        <v>49</v>
      </c>
      <c r="DW10" t="s">
        <v>49</v>
      </c>
      <c r="DX10" t="s">
        <v>49</v>
      </c>
      <c r="DY10" t="s">
        <v>49</v>
      </c>
      <c r="DZ10" t="s">
        <v>49</v>
      </c>
      <c r="EA10" t="s">
        <v>49</v>
      </c>
      <c r="EB10" t="s">
        <v>49</v>
      </c>
      <c r="EC10" t="s">
        <v>49</v>
      </c>
      <c r="ED10" t="s">
        <v>49</v>
      </c>
      <c r="EE10" t="s">
        <v>49</v>
      </c>
      <c r="EF10" t="s">
        <v>49</v>
      </c>
      <c r="EG10" t="s">
        <v>49</v>
      </c>
      <c r="EH10" t="s">
        <v>49</v>
      </c>
      <c r="EI10" t="s">
        <v>49</v>
      </c>
      <c r="EJ10" t="s">
        <v>49</v>
      </c>
      <c r="EK10" t="s">
        <v>49</v>
      </c>
      <c r="EL10" t="s">
        <v>49</v>
      </c>
      <c r="EM10" t="s">
        <v>49</v>
      </c>
      <c r="EN10" t="s">
        <v>49</v>
      </c>
      <c r="EO10" t="s">
        <v>49</v>
      </c>
      <c r="EP10" t="s">
        <v>49</v>
      </c>
      <c r="EQ10" t="s">
        <v>49</v>
      </c>
      <c r="ER10" t="s">
        <v>49</v>
      </c>
      <c r="ES10" t="s">
        <v>49</v>
      </c>
      <c r="ET10" t="s">
        <v>49</v>
      </c>
      <c r="EU10" t="s">
        <v>49</v>
      </c>
      <c r="EV10" t="s">
        <v>49</v>
      </c>
      <c r="EW10" t="s">
        <v>49</v>
      </c>
      <c r="EX10" t="s">
        <v>49</v>
      </c>
      <c r="EY10" t="s">
        <v>49</v>
      </c>
      <c r="EZ10" t="s">
        <v>49</v>
      </c>
      <c r="FA10" t="s">
        <v>49</v>
      </c>
      <c r="FB10" t="s">
        <v>49</v>
      </c>
      <c r="FC10" t="s">
        <v>49</v>
      </c>
      <c r="FD10" t="s">
        <v>49</v>
      </c>
      <c r="FE10" t="s">
        <v>49</v>
      </c>
      <c r="FF10" t="s">
        <v>49</v>
      </c>
      <c r="FG10" t="s">
        <v>49</v>
      </c>
      <c r="FH10" t="s">
        <v>49</v>
      </c>
    </row>
    <row r="11" ht="15.75" customHeight="1">
      <c r="A11" s="8"/>
      <c r="B11" s="8" t="s">
        <v>68</v>
      </c>
      <c r="C11" s="8" t="s">
        <v>42</v>
      </c>
      <c r="D11" s="8">
        <v>0.0</v>
      </c>
      <c r="E11" s="8">
        <v>1000.0</v>
      </c>
      <c r="F11" s="8" t="s">
        <v>29</v>
      </c>
      <c r="G11" s="8" t="s">
        <v>44</v>
      </c>
      <c r="H11" s="8">
        <v>4.0</v>
      </c>
      <c r="I11" s="8">
        <v>5.0</v>
      </c>
      <c r="J11" s="8">
        <v>1.0</v>
      </c>
      <c r="K11" s="8">
        <v>2.0</v>
      </c>
      <c r="L11" s="8">
        <v>2.0</v>
      </c>
      <c r="M11" s="8" t="s">
        <v>64</v>
      </c>
      <c r="N11" s="8" t="s">
        <v>45</v>
      </c>
      <c r="O11" s="8" t="s">
        <v>46</v>
      </c>
      <c r="Q11">
        <v>3.0</v>
      </c>
      <c r="R11">
        <v>0.0</v>
      </c>
      <c r="S11" t="s">
        <v>47</v>
      </c>
      <c r="T11">
        <v>0.0</v>
      </c>
      <c r="U11">
        <v>0.0</v>
      </c>
      <c r="V11" t="s">
        <v>65</v>
      </c>
      <c r="W11">
        <v>1.0</v>
      </c>
      <c r="X11">
        <v>0.0</v>
      </c>
      <c r="Y11" t="s">
        <v>49</v>
      </c>
      <c r="Z11" t="s">
        <v>50</v>
      </c>
      <c r="AA11" t="s">
        <v>66</v>
      </c>
      <c r="AB11">
        <v>1.0</v>
      </c>
      <c r="AC11" t="s">
        <v>51</v>
      </c>
      <c r="AD11" t="s">
        <v>62</v>
      </c>
      <c r="AE11">
        <v>1000.0</v>
      </c>
      <c r="AF11" t="s">
        <v>49</v>
      </c>
      <c r="AG11" s="33"/>
      <c r="AH11" t="s">
        <v>53</v>
      </c>
      <c r="AI11">
        <v>1.0</v>
      </c>
      <c r="AJ11" t="s">
        <v>54</v>
      </c>
      <c r="AM11" t="s">
        <v>55</v>
      </c>
      <c r="AN11" t="b">
        <v>0</v>
      </c>
      <c r="AO11" t="s">
        <v>67</v>
      </c>
      <c r="AP11" t="b">
        <v>1</v>
      </c>
      <c r="AQ11" t="b">
        <v>0</v>
      </c>
      <c r="AR11" t="b">
        <v>0</v>
      </c>
      <c r="AS11">
        <v>0.0</v>
      </c>
      <c r="AT11">
        <v>2014.0011</v>
      </c>
      <c r="AU11">
        <v>2014.0011</v>
      </c>
      <c r="AV11" s="34"/>
      <c r="AW11">
        <v>0.0</v>
      </c>
      <c r="AX11">
        <v>0.0</v>
      </c>
      <c r="AY11" t="s">
        <v>56</v>
      </c>
      <c r="AZ11">
        <v>0.0</v>
      </c>
      <c r="BA11" s="33"/>
      <c r="BC11">
        <v>0.0</v>
      </c>
      <c r="BD11" t="s">
        <v>57</v>
      </c>
      <c r="BE11">
        <v>2000.0</v>
      </c>
      <c r="BF11">
        <v>2000.0</v>
      </c>
      <c r="BG11" s="33"/>
      <c r="BJ11">
        <v>1000.0</v>
      </c>
      <c r="BK11">
        <v>0.0</v>
      </c>
      <c r="BL11" t="s">
        <v>49</v>
      </c>
      <c r="BM11" t="s">
        <v>50</v>
      </c>
      <c r="BN11" s="33"/>
      <c r="BO11" t="s">
        <v>25</v>
      </c>
      <c r="BP11">
        <v>0.0</v>
      </c>
      <c r="BQ11">
        <v>0.0</v>
      </c>
      <c r="BR11">
        <v>0.0011</v>
      </c>
      <c r="BS11" t="s">
        <v>58</v>
      </c>
      <c r="BT11" t="s">
        <v>21</v>
      </c>
      <c r="BU11">
        <v>3.0</v>
      </c>
      <c r="BV11">
        <v>0.0</v>
      </c>
      <c r="BW11">
        <v>14.0011</v>
      </c>
      <c r="BX11">
        <v>0.0</v>
      </c>
      <c r="BY11" t="s">
        <v>49</v>
      </c>
      <c r="BZ11" t="s">
        <v>49</v>
      </c>
      <c r="CA11" t="s">
        <v>49</v>
      </c>
      <c r="CB11" t="s">
        <v>49</v>
      </c>
      <c r="CC11" t="s">
        <v>49</v>
      </c>
      <c r="CD11" t="s">
        <v>49</v>
      </c>
      <c r="CE11" s="33"/>
      <c r="CF11" t="s">
        <v>59</v>
      </c>
      <c r="CG11">
        <v>2.0</v>
      </c>
      <c r="CH11" t="s">
        <v>12</v>
      </c>
      <c r="CI11" t="s">
        <v>69</v>
      </c>
      <c r="CJ11">
        <v>0.0</v>
      </c>
      <c r="CK11" t="s">
        <v>60</v>
      </c>
      <c r="CL11">
        <v>1.0</v>
      </c>
      <c r="CM11" t="s">
        <v>21</v>
      </c>
      <c r="CN11" t="s">
        <v>61</v>
      </c>
      <c r="CO11" t="s">
        <v>62</v>
      </c>
      <c r="CP11" t="s">
        <v>63</v>
      </c>
      <c r="CQ11" s="33"/>
      <c r="CS11" t="s">
        <v>49</v>
      </c>
      <c r="CU11" t="s">
        <v>49</v>
      </c>
      <c r="CV11" t="s">
        <v>49</v>
      </c>
      <c r="CW11" t="s">
        <v>49</v>
      </c>
      <c r="CX11" t="s">
        <v>49</v>
      </c>
      <c r="CY11" t="s">
        <v>49</v>
      </c>
      <c r="CZ11" t="s">
        <v>49</v>
      </c>
      <c r="DA11" t="s">
        <v>49</v>
      </c>
      <c r="DB11" t="s">
        <v>49</v>
      </c>
      <c r="DC11" t="s">
        <v>49</v>
      </c>
      <c r="DD11" t="s">
        <v>49</v>
      </c>
      <c r="DE11" t="s">
        <v>49</v>
      </c>
      <c r="DF11" t="s">
        <v>49</v>
      </c>
      <c r="DG11" t="s">
        <v>49</v>
      </c>
      <c r="DH11" t="s">
        <v>49</v>
      </c>
      <c r="DI11" t="s">
        <v>49</v>
      </c>
      <c r="DJ11" t="s">
        <v>49</v>
      </c>
      <c r="DK11" t="s">
        <v>49</v>
      </c>
      <c r="DL11" t="s">
        <v>49</v>
      </c>
      <c r="DM11" t="s">
        <v>49</v>
      </c>
      <c r="DN11" t="s">
        <v>49</v>
      </c>
      <c r="DO11" t="s">
        <v>49</v>
      </c>
      <c r="DP11" t="s">
        <v>49</v>
      </c>
      <c r="DQ11" t="s">
        <v>49</v>
      </c>
      <c r="DR11" t="s">
        <v>49</v>
      </c>
      <c r="DS11" t="s">
        <v>49</v>
      </c>
      <c r="DT11" t="s">
        <v>49</v>
      </c>
      <c r="DU11" t="s">
        <v>49</v>
      </c>
      <c r="DV11" t="s">
        <v>49</v>
      </c>
      <c r="DW11" t="s">
        <v>49</v>
      </c>
      <c r="DX11" t="s">
        <v>49</v>
      </c>
      <c r="DY11" t="s">
        <v>49</v>
      </c>
      <c r="DZ11" t="s">
        <v>49</v>
      </c>
      <c r="EA11" t="s">
        <v>49</v>
      </c>
      <c r="EB11" t="s">
        <v>49</v>
      </c>
      <c r="EC11" t="s">
        <v>49</v>
      </c>
      <c r="ED11" t="s">
        <v>49</v>
      </c>
      <c r="EE11" t="s">
        <v>49</v>
      </c>
      <c r="EF11" t="s">
        <v>49</v>
      </c>
      <c r="EG11" t="s">
        <v>49</v>
      </c>
      <c r="EH11" t="s">
        <v>49</v>
      </c>
      <c r="EI11" t="s">
        <v>49</v>
      </c>
      <c r="EJ11" t="s">
        <v>49</v>
      </c>
      <c r="EK11" t="s">
        <v>49</v>
      </c>
      <c r="EL11" t="s">
        <v>49</v>
      </c>
      <c r="EM11" t="s">
        <v>49</v>
      </c>
      <c r="EN11" t="s">
        <v>49</v>
      </c>
      <c r="EO11" t="s">
        <v>49</v>
      </c>
      <c r="EP11" t="s">
        <v>49</v>
      </c>
      <c r="EQ11" t="s">
        <v>49</v>
      </c>
      <c r="ER11" t="s">
        <v>49</v>
      </c>
      <c r="ES11" t="s">
        <v>49</v>
      </c>
      <c r="ET11" t="s">
        <v>49</v>
      </c>
      <c r="EU11" t="s">
        <v>49</v>
      </c>
      <c r="EV11" t="s">
        <v>49</v>
      </c>
      <c r="EW11" t="s">
        <v>49</v>
      </c>
      <c r="EX11" t="s">
        <v>49</v>
      </c>
      <c r="EY11" t="s">
        <v>49</v>
      </c>
      <c r="EZ11" t="s">
        <v>49</v>
      </c>
      <c r="FA11" t="s">
        <v>49</v>
      </c>
      <c r="FB11" t="s">
        <v>49</v>
      </c>
      <c r="FC11" t="s">
        <v>49</v>
      </c>
      <c r="FD11" t="s">
        <v>49</v>
      </c>
      <c r="FE11" t="s">
        <v>49</v>
      </c>
      <c r="FF11" t="s">
        <v>49</v>
      </c>
      <c r="FG11" t="s">
        <v>49</v>
      </c>
      <c r="FH11" t="s">
        <v>49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29</v>
      </c>
      <c r="C6" s="12" t="s">
        <v>35</v>
      </c>
      <c r="D6" s="12" t="s">
        <v>23</v>
      </c>
      <c r="E6" s="12">
        <v>100.0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70</v>
      </c>
      <c r="C6" s="8"/>
      <c r="D6" s="12" t="s">
        <v>71</v>
      </c>
      <c r="E6" s="3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Data'!$4:$4</formula1>
    </dataValidation>
  </dataValidations>
  <drawing r:id="rId1"/>
</worksheet>
</file>