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SelectTradeUsingMTT1" sheetId="10" r:id="rId12"/>
    <sheet state="visible" name="EditTradeUsingMTT" sheetId="11" r:id="rId13"/>
    <sheet state="visible" name="EditTradeUsingMTT1" sheetId="12" r:id="rId14"/>
    <sheet state="visible" name="DoneAwayUsingMTT" sheetId="13" r:id="rId15"/>
    <sheet state="visible" name="VerifyOrder" sheetId="14" r:id="rId16"/>
    <sheet state="visible" name="VerifyWorkingSubs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<sst xmlns="http://schemas.openxmlformats.org/spreadsheetml/2006/main" count="226" uniqueCount="51">
  <si>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</si>
  <si>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</si>
  <si>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</si>
  <si>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</si>
  <si>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</si>
  <si>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</si>
  <si>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</si>
  <si>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</si>
  <si>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</si>
  <si>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</si>
  <si>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</si>
  <si>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</si>
  <si>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</si>
  <si>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</si>
  <si>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</si>
  <si>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</si>
  <si>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</si>
  <si>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</si>
  <si>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</si>
  <si>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SetDefaultRuleCalculatedPref</t>
  </si>
  <si>
    <t>Trade Quantity</t>
  </si>
  <si>
    <t>Allocation1</t>
  </si>
  <si>
    <t>Current Preference</t>
  </si>
  <si>
    <t>TradingTicket</t>
  </si>
  <si>
    <t>CreateStageOrder</t>
  </si>
  <si>
    <t>BALT</t>
  </si>
  <si>
    <t>Buy</t>
  </si>
  <si>
    <t>Unallocated</t>
  </si>
  <si>
    <t>MS</t>
  </si>
  <si>
    <t>GOOG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</si>
  <si>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</si>
  <si>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</si>
  <si>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</si>
  <si>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</si>
  <si>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</si>
  <si>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</si>
  <si>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</si>
  <si>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</si>
  <si>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DoneAwayUsingMTT</t>
  </si>
  <si>
    <t>NASDAQ</t>
  </si>
  <si>
    <t>VerifyOrder</t>
  </si>
  <si>
    <t>Filled</t>
  </si>
  <si>
    <t>Market</t>
  </si>
  <si>
    <t>VerifyWorkingSubs</t>
  </si>
  <si>
    <t>Multiple</t>
  </si>
  <si>
    <t>GetDataAllocation</t>
  </si>
  <si>
    <t>Current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</si>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</sst>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>
      <c r="A599" t="str">
        <f>IFERROR(__xludf.DUMMYFUNCTION("""COMPUTED_VALUE"""),"Compliance")</f>
        <v>Compliance</v>
      </c>
      <c r="B599" t="str">
        <f>IFERROR(__xludf.DUMMYFUNCTION("""COMPUTED_VALUE"""),"ApproveorRejectpendingapproval")</f>
        <v>ApproveorRejectpendingapproval</v>
      </c>
      <c r="C599" t="str">
        <f>IFERROR(__xludf.DUMMYFUNCTION("""COMPUTED_VALUE"""),"1y-sTWmoC_H1YDpnZGfQbhkY373SoIrYiLpMuGNBQ0Sg")</f>
        <v>1y-sTWmoC_H1YDpnZGfQbhkY373SoIrYiLpMuGNBQ0Sg</v>
      </c>
    </row>
    <row r="600" ht="15.75" customHeight="1">
      <c r="A600" t="str">
        <f>IFERROR(__xludf.DUMMYFUNCTION("""COMPUTED_VALUE"""),"Compliance")</f>
        <v>Compliance</v>
      </c>
      <c r="B600" t="str">
        <f>IFERROR(__xludf.DUMMYFUNCTION("""COMPUTED_VALUE"""),"VerifyAlertHistory")</f>
        <v>VerifyAlertHistory</v>
      </c>
      <c r="C600" t="str">
        <f>IFERROR(__xludf.DUMMYFUNCTION("""COMPUTED_VALUE"""),"11YtQ09JiPm_fxJbDxXEHFdwP8lXJA1EhSMiSMDI8-Mg")</f>
        <v>11YtQ09JiPm_fxJbDxXEHFdwP8lXJA1EhSMiSMDI8-Mg</v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9" t="str">
        <f>"Pref1-"&amp;text(TODAY(),"dd-mm-yy")</f>
        <v>Pref1-05-08-22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tr">
        <f t="shared" ref="B6:B7" si="1">"Pref1-"&amp;text(TODAY(),"dd-mm-yy")</f>
        <v>Pref1-05-08-22</v>
      </c>
      <c r="C6" s="35" t="s">
        <v>17</v>
      </c>
      <c r="D6" s="36">
        <v>50.0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38"/>
      <c r="B7" s="39" t="str">
        <f t="shared" si="1"/>
        <v>Pref1-05-08-22</v>
      </c>
      <c r="C7" s="40" t="s">
        <v>18</v>
      </c>
      <c r="D7" s="41">
        <v>50.0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5" t="s">
        <v>20</v>
      </c>
      <c r="C6" s="35" t="s">
        <v>21</v>
      </c>
      <c r="D6" s="42" t="s">
        <v>22</v>
      </c>
      <c r="E6" s="37"/>
      <c r="F6" s="37"/>
      <c r="G6" s="43" t="b">
        <v>1</v>
      </c>
      <c r="H6" s="37" t="str">
        <f>"Pref1-"&amp;text(TODAY(),"dd-mm-yy")</f>
        <v>Pref1-05-08-22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25</v>
      </c>
      <c r="C6" s="37" t="s">
        <v>26</v>
      </c>
      <c r="D6" s="44">
        <v>1000.0</v>
      </c>
      <c r="E6" s="45">
        <v>1000.0</v>
      </c>
      <c r="F6" s="35" t="s">
        <v>27</v>
      </c>
      <c r="G6" s="37" t="s">
        <v>28</v>
      </c>
      <c r="H6" s="37"/>
      <c r="I6" s="37"/>
      <c r="J6" s="45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29</v>
      </c>
      <c r="C7" s="38" t="s">
        <v>26</v>
      </c>
      <c r="D7" s="46">
        <v>1000.0</v>
      </c>
      <c r="E7" s="46">
        <v>1000.0</v>
      </c>
      <c r="F7" s="35" t="s">
        <v>27</v>
      </c>
      <c r="G7" s="38" t="s">
        <v>28</v>
      </c>
      <c r="H7" s="38"/>
      <c r="I7" s="38"/>
      <c r="J7" s="46">
        <v>10.0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/>
      <c r="C6" s="37"/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47">
        <v>1.0</v>
      </c>
      <c r="AE6" s="38"/>
      <c r="AF6" s="38" t="s">
        <v>32</v>
      </c>
      <c r="AG6" s="38"/>
      <c r="AH6" s="38" t="s">
        <v>33</v>
      </c>
      <c r="AI6" s="38" t="s">
        <v>25</v>
      </c>
      <c r="AJ6" s="38" t="s">
        <v>26</v>
      </c>
      <c r="AK6" s="38" t="s">
        <v>34</v>
      </c>
      <c r="AL6" s="47">
        <v>1000.0</v>
      </c>
      <c r="AM6" s="38"/>
      <c r="AN6" s="38"/>
      <c r="AO6" s="38"/>
      <c r="AP6" s="38"/>
      <c r="AQ6" s="38"/>
      <c r="AR6" s="38"/>
      <c r="AS6" s="38" t="s">
        <v>28</v>
      </c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47">
        <v>1.0</v>
      </c>
      <c r="AE7" s="38"/>
      <c r="AF7" s="38" t="s">
        <v>32</v>
      </c>
      <c r="AG7" s="38"/>
      <c r="AH7" s="38" t="s">
        <v>33</v>
      </c>
      <c r="AI7" s="38" t="s">
        <v>29</v>
      </c>
      <c r="AJ7" s="38" t="s">
        <v>26</v>
      </c>
      <c r="AK7" s="38" t="s">
        <v>34</v>
      </c>
      <c r="AL7" s="47">
        <v>1000.0</v>
      </c>
      <c r="AM7" s="38"/>
      <c r="AN7" s="38"/>
      <c r="AO7" s="38"/>
      <c r="AP7" s="38"/>
      <c r="AQ7" s="38"/>
      <c r="AR7" s="38"/>
      <c r="AS7" s="38" t="s">
        <v>28</v>
      </c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25</v>
      </c>
      <c r="C6" s="37" t="s">
        <v>26</v>
      </c>
      <c r="D6" s="44">
        <v>1000.0</v>
      </c>
      <c r="E6" s="37"/>
      <c r="F6" s="37"/>
      <c r="G6" s="37" t="s">
        <v>28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29</v>
      </c>
      <c r="C6" s="37" t="s">
        <v>26</v>
      </c>
      <c r="D6" s="44">
        <v>1000.0</v>
      </c>
      <c r="E6" s="37"/>
      <c r="F6" s="37"/>
      <c r="G6" s="37" t="s">
        <v>28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4"/>
      <c r="B6" s="34"/>
      <c r="C6" s="37"/>
      <c r="D6" s="34"/>
      <c r="E6" s="37"/>
      <c r="F6" s="9" t="str">
        <f>"Pref1-"&amp;text(TODAY(),"dd-mm-yy")</f>
        <v>Pref1-05-08-22</v>
      </c>
      <c r="G6" s="37" t="s">
        <v>28</v>
      </c>
      <c r="H6" s="37"/>
      <c r="I6" s="37"/>
      <c r="J6" s="48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4"/>
      <c r="B6" s="34"/>
      <c r="C6" s="37"/>
      <c r="D6" s="34"/>
      <c r="E6" s="37"/>
      <c r="F6" s="9" t="str">
        <f>"Pref1-"&amp;text(TODAY(),"dd-mm-yy")</f>
        <v>Pref1-05-08-22</v>
      </c>
      <c r="G6" s="37" t="s">
        <v>28</v>
      </c>
      <c r="H6" s="37"/>
      <c r="I6" s="37"/>
      <c r="J6" s="48">
        <v>10.0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 t="str">
        <f>IFERROR(__xludf.DUMMYFUNCTION("""COMPUTED_VALUE"""),"SharesOutstandingPopUp")</f>
        <v>SharesOutstandingPopUp</v>
      </c>
      <c r="AL5" s="31" t="str">
        <f>IFERROR(__xludf.DUMMYFUNCTION("""COMPUTED_VALUE"""),"PopUpQuantity")</f>
        <v>PopUpQuantity</v>
      </c>
      <c r="AM5" s="31" t="str">
        <f>IFERROR(__xludf.DUMMYFUNCTION("""COMPUTED_VALUE"""),"ResAllowedListPopUp")</f>
        <v>ResAllowedListPopUp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25</v>
      </c>
      <c r="C6" s="37" t="s">
        <v>26</v>
      </c>
      <c r="D6" s="44">
        <v>1000.0</v>
      </c>
      <c r="E6" s="37"/>
      <c r="F6" s="9" t="str">
        <f t="shared" ref="F6:F7" si="1">"Pref1-"&amp;text(TODAY(),"dd-mm-yy")</f>
        <v>Pref1-05-08-22</v>
      </c>
      <c r="G6" s="37" t="s">
        <v>28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 t="s">
        <v>39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29</v>
      </c>
      <c r="C7" s="38" t="s">
        <v>26</v>
      </c>
      <c r="D7" s="46">
        <v>1000.0</v>
      </c>
      <c r="E7" s="38"/>
      <c r="F7" s="9" t="str">
        <f t="shared" si="1"/>
        <v>Pref1-05-08-22</v>
      </c>
      <c r="G7" s="38" t="s">
        <v>28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 t="s">
        <v>39</v>
      </c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32</v>
      </c>
      <c r="AH6" s="9" t="s">
        <v>33</v>
      </c>
      <c r="AI6" s="9" t="s">
        <v>25</v>
      </c>
      <c r="AJ6" s="9" t="s">
        <v>26</v>
      </c>
      <c r="AK6" s="9" t="s">
        <v>41</v>
      </c>
      <c r="AL6" s="9">
        <v>1000.0</v>
      </c>
      <c r="AM6" s="9">
        <v>1000.0</v>
      </c>
      <c r="AN6" s="9">
        <v>100.0</v>
      </c>
      <c r="AR6" s="9">
        <v>10.0</v>
      </c>
      <c r="AS6" s="9" t="s">
        <v>28</v>
      </c>
      <c r="AU6" s="9" t="s">
        <v>42</v>
      </c>
      <c r="AV6" s="9">
        <v>10000.0</v>
      </c>
      <c r="AW6" s="9">
        <v>10000.0</v>
      </c>
      <c r="AY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32</v>
      </c>
      <c r="AH7" s="9" t="s">
        <v>33</v>
      </c>
      <c r="AI7" s="9" t="s">
        <v>29</v>
      </c>
      <c r="AJ7" s="9" t="s">
        <v>26</v>
      </c>
      <c r="AK7" s="9" t="s">
        <v>41</v>
      </c>
      <c r="AL7" s="9">
        <v>1000.0</v>
      </c>
      <c r="AM7" s="9">
        <v>1000.0</v>
      </c>
      <c r="AN7" s="9">
        <v>100.0</v>
      </c>
      <c r="AR7" s="9">
        <v>10.0</v>
      </c>
      <c r="AS7" s="9" t="s">
        <v>28</v>
      </c>
      <c r="AU7" s="9" t="s">
        <v>42</v>
      </c>
      <c r="AV7" s="9">
        <v>10000.0</v>
      </c>
      <c r="AW7" s="9">
        <v>10000.0</v>
      </c>
      <c r="AY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IFERROR(__xludf.DUMMYFUNCTION("""COMPUTED_VALUE"""),"Unexecuted Qty")</f>
        <v>Unexecuted Qty</v>
      </c>
      <c r="G5" s="29" t="str">
        <f>IFERROR(__xludf.DUMMYFUNCTION("""COMPUTED_VALUE"""),"Status")</f>
        <v>Status</v>
      </c>
      <c r="H5" s="29" t="str">
        <f>IFERROR(__xludf.DUMMYFUNCTION("""COMPUTED_VALUE"""),"Last Shares")</f>
        <v>Last Shares</v>
      </c>
      <c r="I5" s="29" t="str">
        <f>IFERROR(__xludf.DUMMYFUNCTION("""COMPUTED_VALUE"""),"Last Fill Price (Local)")</f>
        <v>Last Fill Price (Local)</v>
      </c>
      <c r="J5" s="29" t="str">
        <f>IFERROR(__xludf.DUMMYFUNCTION("""COMPUTED_VALUE"""),"Avg Fill Price (Local)")</f>
        <v>Avg Fill Price (Local)</v>
      </c>
      <c r="K5" s="29" t="str">
        <f>IFERROR(__xludf.DUMMYFUNCTION("""COMPUTED_VALUE"""),"Broker")</f>
        <v>Broker</v>
      </c>
      <c r="L5" s="29" t="str">
        <f>IFERROR(__xludf.DUMMYFUNCTION("""COMPUTED_VALUE"""),"Account")</f>
        <v>Account</v>
      </c>
      <c r="M5" s="29" t="str">
        <f>IFERROR(__xludf.DUMMYFUNCTION("""COMPUTED_VALUE"""),"Order Type")</f>
        <v>Order Type</v>
      </c>
      <c r="N5" s="29" t="str">
        <f>IFERROR(__xludf.DUMMYFUNCTION("""COMPUTED_VALUE"""),"OrderStatus")</f>
        <v>OrderStatus</v>
      </c>
      <c r="O5" s="29" t="str">
        <f>IFERROR(__xludf.DUMMYFUNCTION("""COMPUTED_VALUE"""),"Avg Fill Price (Base)")</f>
        <v>Avg Fill Price (Base)</v>
      </c>
      <c r="P5" s="29" t="str">
        <f>IFERROR(__xludf.DUMMYFUNCTION("""COMPUTED_VALUE"""),"Limit Price")</f>
        <v>Limit Price</v>
      </c>
      <c r="Q5" s="29" t="str">
        <f>IFERROR(__xludf.DUMMYFUNCTION("""COMPUTED_VALUE"""),"Stop Price")</f>
        <v>Stop Price</v>
      </c>
      <c r="R5" s="29" t="str">
        <f>IFERROR(__xludf.DUMMYFUNCTION("""COMPUTED_VALUE"""),"Actual User")</f>
        <v>Actual User</v>
      </c>
      <c r="S5" s="29" t="str">
        <f>IFERROR(__xludf.DUMMYFUNCTION("""COMPUTED_VALUE"""),"Bloomberg Symbol")</f>
        <v>Bloomberg Symbol</v>
      </c>
      <c r="T5" s="31" t="str">
        <f>IFERROR(__xludf.DUMMYFUNCTION("""COMPUTED_VALUE"""),"Algo")</f>
        <v>Algo</v>
      </c>
      <c r="U5" s="31" t="str">
        <f>IFERROR(__xludf.DUMMYFUNCTION("""COMPUTED_VALUE"""),"Allocation Scheme Name")</f>
        <v>Allocation Scheme Name</v>
      </c>
      <c r="V5" s="31" t="str">
        <f>IFERROR(__xludf.DUMMYFUNCTION("""COMPUTED_VALUE"""),"Allocation Status")</f>
        <v>Allocation Status</v>
      </c>
      <c r="W5" s="31" t="str">
        <f>IFERROR(__xludf.DUMMYFUNCTION("""COMPUTED_VALUE"""),"Asset Class")</f>
        <v>Asset Class</v>
      </c>
      <c r="X5" s="31" t="str">
        <f>IFERROR(__xludf.DUMMYFUNCTION("""COMPUTED_VALUE"""),"FX Conversion Operator")</f>
        <v>FX Conversion Operator</v>
      </c>
      <c r="Y5" s="31" t="str">
        <f>IFERROR(__xludf.DUMMYFUNCTION("""COMPUTED_VALUE"""),"FX Rate")</f>
        <v>FX Rate</v>
      </c>
      <c r="Z5" s="31" t="str">
        <f>IFERROR(__xludf.DUMMYFUNCTION("""COMPUTED_VALUE"""),"Imported File Name")</f>
        <v>Imported File Name</v>
      </c>
      <c r="AA5" s="31" t="str">
        <f>IFERROR(__xludf.DUMMYFUNCTION("""COMPUTED_VALUE"""),"Internal Comments")</f>
        <v>Internal Comments</v>
      </c>
      <c r="AB5" s="31" t="str">
        <f>IFERROR(__xludf.DUMMYFUNCTION("""COMPUTED_VALUE"""),"Peg")</f>
        <v>Peg</v>
      </c>
      <c r="AC5" s="31" t="str">
        <f>IFERROR(__xludf.DUMMYFUNCTION("""COMPUTED_VALUE"""),"Principal Amount (Base)")</f>
        <v>Principal Amount (Base)</v>
      </c>
      <c r="AD5" s="31" t="str">
        <f>IFERROR(__xludf.DUMMYFUNCTION("""COMPUTED_VALUE"""),"Principal Amount (Local)")</f>
        <v>Principal Amount (Local)</v>
      </c>
      <c r="AE5" s="31" t="str">
        <f>IFERROR(__xludf.DUMMYFUNCTION("""COMPUTED_VALUE"""),"Process Date")</f>
        <v>Process Date</v>
      </c>
      <c r="AF5" s="31" t="str">
        <f>IFERROR(__xludf.DUMMYFUNCTION("""COMPUTED_VALUE"""),"Put/Call")</f>
        <v>Put/Call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IFERROR(__xludf.DUMMYFUNCTION("""COMPUTED_VALUE"""),"Source")</f>
        <v>Source</v>
      </c>
      <c r="AI5" s="31" t="str">
        <f>IFERROR(__xludf.DUMMYFUNCTION("""COMPUTED_VALUE"""),"Status (With Rollover)")</f>
        <v>Status (With Rollover)</v>
      </c>
      <c r="AJ5" s="31" t="str">
        <f>IFERROR(__xludf.DUMMYFUNCTION("""COMPUTED_VALUE"""),"Strategy")</f>
        <v>Strategy</v>
      </c>
      <c r="AK5" s="31" t="str">
        <f>IFERROR(__xludf.DUMMYFUNCTION("""COMPUTED_VALUE"""),"Strike Price")</f>
        <v>Strike Price</v>
      </c>
      <c r="AL5" s="31" t="str">
        <f>IFERROR(__xludf.DUMMYFUNCTION("""COMPUTED_VALUE"""),"Trade Attribute 1")</f>
        <v>Trade Attribute 1</v>
      </c>
      <c r="AM5" s="31" t="str">
        <f>IFERROR(__xludf.DUMMYFUNCTION("""COMPUTED_VALUE"""),"Trade Attribute 2")</f>
        <v>Trade Attribute 2</v>
      </c>
      <c r="AN5" s="31" t="str">
        <f>IFERROR(__xludf.DUMMYFUNCTION("""COMPUTED_VALUE"""),"Trade Attribute 3")</f>
        <v>Trade Attribute 3</v>
      </c>
      <c r="AO5" s="31" t="str">
        <f>IFERROR(__xludf.DUMMYFUNCTION("""COMPUTED_VALUE"""),"Trade Attribute 4")</f>
        <v>Trade Attribute 4</v>
      </c>
      <c r="AP5" s="31" t="str">
        <f>IFERROR(__xludf.DUMMYFUNCTION("""COMPUTED_VALUE"""),"Trade Attribute 5")</f>
        <v>Trade Attribute 5</v>
      </c>
      <c r="AQ5" s="31" t="str">
        <f>IFERROR(__xludf.DUMMYFUNCTION("""COMPUTED_VALUE"""),"Trade Attribute 6")</f>
        <v>Trade Attribute 6</v>
      </c>
      <c r="AR5" s="31" t="str">
        <f>IFERROR(__xludf.DUMMYFUNCTION("""COMPUTED_VALUE"""),"Trader")</f>
        <v>Trader</v>
      </c>
      <c r="AS5" s="31" t="str">
        <f>IFERROR(__xludf.DUMMYFUNCTION("""COMPUTED_VALUE"""),"Transaction Time")</f>
        <v>Transaction Time</v>
      </c>
      <c r="AT5" s="31" t="str">
        <f>IFERROR(__xludf.DUMMYFUNCTION("""COMPUTED_VALUE"""),"Underlying Country")</f>
        <v>Underlying Country</v>
      </c>
      <c r="AU5" s="31" t="str">
        <f>IFERROR(__xludf.DUMMYFUNCTION("""COMPUTED_VALUE"""),"Underlying Symbol")</f>
        <v>Underlying Symbol</v>
      </c>
      <c r="AV5" s="31" t="str">
        <f>IFERROR(__xludf.DUMMYFUNCTION("""COMPUTED_VALUE"""),"Venue")</f>
        <v>Venue</v>
      </c>
      <c r="AW5" s="31" t="str">
        <f>IFERROR(__xludf.DUMMYFUNCTION("""COMPUTED_VALUE"""),"Working Qty")</f>
        <v>Working Qty</v>
      </c>
      <c r="AX5" s="31" t="str">
        <f>IFERROR(__xludf.DUMMYFUNCTION("""COMPUTED_VALUE"""),"Client")</f>
        <v>Client</v>
      </c>
      <c r="AY5" s="31" t="str">
        <f>IFERROR(__xludf.DUMMYFUNCTION("""COMPUTED_VALUE"""),"OrderID")</f>
        <v>OrderID</v>
      </c>
      <c r="AZ5" s="31" t="str">
        <f>IFERROR(__xludf.DUMMYFUNCTION("""COMPUTED_VALUE"""),"ParentClOrderID")</f>
        <v>ParentClOrderID</v>
      </c>
      <c r="BA5" s="31" t="str">
        <f>IFERROR(__xludf.DUMMYFUNCTION("""COMPUTED_VALUE"""),"Master Fund")</f>
        <v>Master Fund</v>
      </c>
      <c r="BB5" s="31" t="str">
        <f>IFERROR(__xludf.DUMMYFUNCTION("""COMPUTED_VALUE"""),"Current User")</f>
        <v>Current User</v>
      </c>
      <c r="BC5" s="31" t="str">
        <f>IFERROR(__xludf.DUMMYFUNCTION("""COMPUTED_VALUE"""),"isRowCountCheck")</f>
        <v>isRowCountCheck</v>
      </c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25</v>
      </c>
      <c r="C6" s="13" t="s">
        <v>26</v>
      </c>
      <c r="D6" s="13">
        <v>1000.0</v>
      </c>
      <c r="E6" s="13">
        <v>1000.0</v>
      </c>
      <c r="F6" s="8"/>
      <c r="G6" s="13" t="s">
        <v>41</v>
      </c>
      <c r="H6" s="8"/>
      <c r="I6" s="8"/>
      <c r="J6" s="13">
        <v>10.0</v>
      </c>
      <c r="K6" s="13" t="s">
        <v>28</v>
      </c>
      <c r="L6" s="13" t="s">
        <v>44</v>
      </c>
      <c r="M6" s="13" t="s">
        <v>42</v>
      </c>
      <c r="N6" s="8"/>
      <c r="O6" s="13">
        <v>10.0</v>
      </c>
      <c r="U6" s="9" t="str">
        <f t="shared" ref="U6:U7" si="1">"Pref1-"&amp;text(TODAY(),"dd-mm-yy")</f>
        <v>Pref1-05-08-22</v>
      </c>
      <c r="W6" s="9" t="s">
        <v>33</v>
      </c>
      <c r="X6" s="9" t="s">
        <v>32</v>
      </c>
      <c r="Y6" s="9">
        <v>1.0</v>
      </c>
      <c r="AC6" s="9">
        <v>10000.0</v>
      </c>
      <c r="AD6" s="9">
        <v>10000.0</v>
      </c>
    </row>
    <row r="7" ht="15.75" customHeight="1">
      <c r="A7" s="8"/>
      <c r="B7" s="13" t="s">
        <v>29</v>
      </c>
      <c r="C7" s="13" t="s">
        <v>26</v>
      </c>
      <c r="D7" s="13">
        <v>1000.0</v>
      </c>
      <c r="E7" s="13">
        <v>1000.0</v>
      </c>
      <c r="F7" s="8"/>
      <c r="G7" s="13" t="s">
        <v>41</v>
      </c>
      <c r="H7" s="8"/>
      <c r="I7" s="8"/>
      <c r="J7" s="13">
        <v>10.0</v>
      </c>
      <c r="K7" s="13" t="s">
        <v>28</v>
      </c>
      <c r="L7" s="13" t="s">
        <v>44</v>
      </c>
      <c r="M7" s="13" t="s">
        <v>42</v>
      </c>
      <c r="N7" s="8"/>
      <c r="O7" s="13">
        <v>10.0</v>
      </c>
      <c r="U7" s="9" t="str">
        <f t="shared" si="1"/>
        <v>Pref1-05-08-22</v>
      </c>
      <c r="W7" s="9" t="s">
        <v>33</v>
      </c>
      <c r="X7" s="9" t="s">
        <v>32</v>
      </c>
      <c r="Y7" s="9">
        <v>1.0</v>
      </c>
      <c r="AC7" s="9">
        <v>10000.0</v>
      </c>
      <c r="AD7" s="9">
        <v>10000.0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9" t="s">
        <v>44</v>
      </c>
      <c r="C6" s="8"/>
      <c r="D6" s="13"/>
      <c r="E6" s="13">
        <v>1000.0</v>
      </c>
      <c r="F6" s="9" t="str">
        <f t="shared" ref="F6:F7" si="1">"Pref1-"&amp;text(TODAY(),"dd-mm-yy")</f>
        <v>Pref1-05-08-22</v>
      </c>
      <c r="G6" s="13" t="s">
        <v>33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28</v>
      </c>
      <c r="AE6" s="9">
        <v>1000.0</v>
      </c>
      <c r="AH6" s="9" t="s">
        <v>32</v>
      </c>
      <c r="AI6" s="9">
        <v>1.0</v>
      </c>
      <c r="AT6" s="50">
        <v>10092.75</v>
      </c>
      <c r="AU6" s="50">
        <v>10092.75</v>
      </c>
      <c r="AY6" s="49" t="s">
        <v>42</v>
      </c>
      <c r="BE6" s="9">
        <v>10000.0</v>
      </c>
      <c r="BF6" s="9">
        <v>10000.0</v>
      </c>
      <c r="BJ6" s="9">
        <v>1000.0</v>
      </c>
      <c r="BO6" s="9" t="s">
        <v>26</v>
      </c>
      <c r="BT6" s="49" t="s">
        <v>25</v>
      </c>
    </row>
    <row r="7" ht="15.75" customHeight="1">
      <c r="A7" s="8"/>
      <c r="B7" s="49" t="s">
        <v>44</v>
      </c>
      <c r="C7" s="8"/>
      <c r="D7" s="8"/>
      <c r="E7" s="13">
        <v>1000.0</v>
      </c>
      <c r="F7" s="9" t="str">
        <f t="shared" si="1"/>
        <v>Pref1-05-08-22</v>
      </c>
      <c r="G7" s="13" t="s">
        <v>33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28</v>
      </c>
      <c r="AE7" s="9">
        <v>1000.0</v>
      </c>
      <c r="AH7" s="9" t="s">
        <v>32</v>
      </c>
      <c r="AI7" s="9">
        <v>1.0</v>
      </c>
      <c r="AT7" s="50">
        <v>10014.0056</v>
      </c>
      <c r="AU7" s="50">
        <v>10014.0056</v>
      </c>
      <c r="AY7" s="49" t="s">
        <v>42</v>
      </c>
      <c r="BE7" s="9">
        <v>10000.0</v>
      </c>
      <c r="BF7" s="9">
        <v>10000.0</v>
      </c>
      <c r="BJ7" s="9">
        <v>1000.0</v>
      </c>
      <c r="BO7" s="9" t="s">
        <v>26</v>
      </c>
      <c r="BT7" s="4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</row>
    <row r="6" ht="15.75" customHeight="1">
      <c r="A6" s="13"/>
      <c r="B6" s="13"/>
      <c r="C6" s="49" t="s">
        <v>25</v>
      </c>
      <c r="D6" s="51">
        <v>500.0</v>
      </c>
      <c r="E6" s="49" t="s">
        <v>17</v>
      </c>
      <c r="F6" s="8"/>
      <c r="G6" s="51">
        <v>10.0</v>
      </c>
      <c r="H6" s="49" t="s">
        <v>50</v>
      </c>
      <c r="I6" s="8"/>
      <c r="J6" s="8"/>
      <c r="K6" s="8"/>
      <c r="L6" s="8"/>
      <c r="M6" s="8"/>
      <c r="N6" s="8"/>
      <c r="O6" s="8"/>
      <c r="T6" s="9" t="s">
        <v>33</v>
      </c>
      <c r="Y6" s="9">
        <v>1.0</v>
      </c>
      <c r="AN6" s="9" t="s">
        <v>26</v>
      </c>
      <c r="AP6" s="49" t="s">
        <v>50</v>
      </c>
    </row>
    <row r="7" ht="15.75" customHeight="1">
      <c r="A7" s="8"/>
      <c r="B7" s="8"/>
      <c r="C7" s="49" t="s">
        <v>29</v>
      </c>
      <c r="D7" s="51">
        <v>500.0</v>
      </c>
      <c r="E7" s="49" t="s">
        <v>17</v>
      </c>
      <c r="F7" s="8"/>
      <c r="G7" s="51">
        <v>10.0</v>
      </c>
      <c r="H7" s="49" t="s">
        <v>50</v>
      </c>
      <c r="I7" s="8"/>
      <c r="J7" s="8"/>
      <c r="K7" s="8"/>
      <c r="L7" s="8"/>
      <c r="M7" s="8"/>
      <c r="N7" s="8"/>
      <c r="O7" s="8"/>
      <c r="T7" s="9" t="s">
        <v>33</v>
      </c>
      <c r="Y7" s="9">
        <v>1.0</v>
      </c>
      <c r="AN7" s="9" t="s">
        <v>26</v>
      </c>
      <c r="AP7" s="49" t="s">
        <v>50</v>
      </c>
    </row>
    <row r="8" ht="15.75" customHeight="1">
      <c r="A8" s="8"/>
      <c r="B8" s="8"/>
      <c r="C8" s="49" t="s">
        <v>25</v>
      </c>
      <c r="D8" s="51">
        <v>500.0</v>
      </c>
      <c r="E8" s="49" t="s">
        <v>18</v>
      </c>
      <c r="F8" s="8"/>
      <c r="G8" s="51">
        <v>10.0</v>
      </c>
      <c r="H8" s="49" t="s">
        <v>50</v>
      </c>
      <c r="I8" s="8"/>
      <c r="J8" s="8"/>
      <c r="K8" s="8"/>
      <c r="L8" s="8"/>
      <c r="M8" s="8"/>
      <c r="N8" s="8"/>
      <c r="O8" s="8"/>
      <c r="T8" s="9" t="s">
        <v>33</v>
      </c>
      <c r="Y8" s="9">
        <v>1.0</v>
      </c>
      <c r="AN8" s="9" t="s">
        <v>26</v>
      </c>
      <c r="AP8" s="49" t="s">
        <v>50</v>
      </c>
    </row>
    <row r="9" ht="15.75" customHeight="1">
      <c r="A9" s="8"/>
      <c r="B9" s="8"/>
      <c r="C9" s="49" t="s">
        <v>29</v>
      </c>
      <c r="D9" s="51">
        <v>500.0</v>
      </c>
      <c r="E9" s="49" t="s">
        <v>18</v>
      </c>
      <c r="F9" s="8"/>
      <c r="G9" s="51">
        <v>10.0</v>
      </c>
      <c r="H9" s="49" t="s">
        <v>50</v>
      </c>
      <c r="I9" s="8"/>
      <c r="J9" s="8"/>
      <c r="K9" s="8"/>
      <c r="L9" s="8"/>
      <c r="M9" s="8"/>
      <c r="N9" s="8"/>
      <c r="O9" s="8"/>
      <c r="T9" s="9" t="s">
        <v>33</v>
      </c>
      <c r="Y9" s="9">
        <v>1.0</v>
      </c>
      <c r="AN9" s="9" t="s">
        <v>26</v>
      </c>
      <c r="AP9" s="49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