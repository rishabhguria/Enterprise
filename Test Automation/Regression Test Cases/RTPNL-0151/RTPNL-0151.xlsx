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ustomOrderTT" sheetId="4" r:id="rId7"/>
    <sheet state="visible" name="OpenRTPNL" sheetId="5" r:id="rId8"/>
    <sheet state="visible" name="AddWidget" sheetId="6" r:id="rId9"/>
    <sheet state="visible" name="CreateGroupingWidget" sheetId="7" r:id="rId10"/>
    <sheet state="visible" name="AddWidget2" sheetId="8" r:id="rId11"/>
    <sheet state="visible" name="VerifyToastMessage" sheetId="9" r:id="rId12"/>
    <sheet state="visible" name="CreateGroupingWidget1" sheetId="10" r:id="rId13"/>
    <sheet state="visible" name="AddWidget1" sheetId="11" r:id="rId14"/>
    <sheet state="visible" name="CreateGroupingWidget2" sheetId="12" r:id="rId15"/>
    <sheet state="visible" name="VerifyColumns" sheetId="13" r:id="rId16"/>
    <sheet state="visible" name="VerifyL1L2PanelRTPNL" sheetId="14" r:id="rId17"/>
    <sheet state="visible" name="CloseRTPNL" sheetId="15" r:id="rId18"/>
    <sheet state="visible" name="OpenRTPNL1" sheetId="16" r:id="rId19"/>
  </sheets>
  <definedNames/>
  <calcPr/>
  <extLst>
    <ext uri="GoogleSheetsCustomDataVersion2">
      <go:sheetsCustomData xmlns:go="http://customooxmlschemas.google.com/" r:id="rId20" roundtripDataChecksum="7VGyCxdR0/pOmPsPe3SHwIZqYd37vVQVOeoQfKSQXRs="/>
    </ext>
  </extLst>
</workbook>
</file>

<file path=xl/sharedStrings.xml><?xml version="1.0" encoding="utf-8"?>
<sst xmlns="http://schemas.openxmlformats.org/spreadsheetml/2006/main" count="127" uniqueCount="48">
  <si>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</si>
  <si>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</si>
  <si>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</si>
  <si>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</si>
  <si>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</si>
  <si>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</si>
  <si>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</si>
  <si>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</si>
  <si>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</si>
  <si>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</si>
  <si>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</si>
  <si>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</si>
  <si>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</si>
  <si>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</si>
  <si>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</si>
  <si>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</si>
  <si>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</si>
  <si>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</si>
  <si>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</si>
  <si>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RTPNL</t>
  </si>
  <si>
    <t>OpenRTPNL</t>
  </si>
  <si>
    <t>Nirvana</t>
  </si>
  <si>
    <t>yash</t>
  </si>
  <si>
    <t>AddWidget</t>
  </si>
  <si>
    <t xml:space="preserve">    AcctSym</t>
  </si>
  <si>
    <t>Grouping</t>
  </si>
  <si>
    <t>Symbol</t>
  </si>
  <si>
    <t>CreateGroupingWidget</t>
  </si>
  <si>
    <t>Symbol Fund</t>
  </si>
  <si>
    <t>Day P&amp;L (Base)</t>
  </si>
  <si>
    <t>Create</t>
  </si>
  <si>
    <t>AcctSym</t>
  </si>
  <si>
    <t>OpenFin</t>
  </si>
  <si>
    <t>VerifyToastMessage</t>
  </si>
  <si>
    <t>Title already exists. Please update with a different title.</t>
  </si>
  <si>
    <t>Back</t>
  </si>
  <si>
    <t>AcctSym1</t>
  </si>
  <si>
    <t>VerifyColumns</t>
  </si>
  <si>
    <t>VerifyL1L2PanelRTPNL</t>
  </si>
  <si>
    <t>DashboardName</t>
  </si>
  <si>
    <t>VerifyPopUpText</t>
  </si>
  <si>
    <t>ActionOnPopUp</t>
  </si>
  <si>
    <t>Nirvana,yash</t>
  </si>
  <si>
    <t>Discard All</t>
  </si>
  <si>
    <t>OpenWindow</t>
  </si>
  <si>
    <t>TabName</t>
  </si>
  <si>
    <t>Description</t>
  </si>
  <si>
    <t>Save?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</si>
</sst>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sz val="14.0"/>
      <color rgb="FFFFFFFF"/>
      <name val="Calibri"/>
    </font>
    <font>
      <sz val="10.0"/>
      <color theme="1"/>
      <name val="Calibri"/>
    </font>
    <font>
      <color rgb="FFFFFFFF"/>
      <name val="Calibri"/>
    </font>
    <font>
      <b/>
      <color rgb="FFFFFFFF"/>
      <name val="Arial"/>
    </font>
    <font>
      <color rgb="FFFFFFFF"/>
      <name val="Arial"/>
    </font>
    <font>
      <color rgb="FFD9D9D9"/>
      <name val="Calibri"/>
    </font>
    <font>
      <color rgb="FFD9D9D9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3" numFmtId="0" xfId="0" applyFont="1"/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3" fillId="3" fontId="8" numFmtId="0" xfId="0" applyAlignment="1" applyBorder="1" applyFont="1">
      <alignment shrinkToFit="0" wrapText="0"/>
    </xf>
    <xf borderId="3" fillId="3" fontId="9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IFERROR(__xludf.DUMMYFUNCTION("""COMPUTED_VALUE"""),"1hVwFlW5MKD4NHZXvDHfS6l0ApW93ZHmg5lFN4Tn10aY")</f>
        <v>1hVwFlW5MKD4NHZXvDHfS6l0ApW93ZHmg5lFN4Tn10aY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7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7" max="26" width="15.13"/>
  </cols>
  <sheetData>
    <row r="1" ht="15.75" customHeight="1">
      <c r="A1" s="8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9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0"/>
      <c r="B5" s="6"/>
      <c r="C5" s="6"/>
    </row>
    <row r="6" ht="15.75" customHeight="1">
      <c r="A6" s="10"/>
      <c r="B6" s="6"/>
      <c r="C6" s="6"/>
    </row>
    <row r="7" ht="15.75" customHeight="1">
      <c r="A7" s="10"/>
      <c r="B7" s="6"/>
      <c r="C7" s="6"/>
    </row>
    <row r="8" ht="15.75" customHeight="1">
      <c r="A8" s="10"/>
      <c r="B8" s="6"/>
      <c r="C8" s="6"/>
    </row>
    <row r="9" ht="15.75" customHeight="1">
      <c r="A9" s="10"/>
      <c r="B9" s="6"/>
      <c r="C9" s="6"/>
    </row>
    <row r="10" ht="15.75" customHeight="1">
      <c r="A10" s="10"/>
      <c r="B10" s="6"/>
      <c r="C10" s="6"/>
    </row>
    <row r="11" ht="15.75" customHeight="1">
      <c r="A11" s="10"/>
      <c r="B11" s="6"/>
      <c r="C11" s="6"/>
    </row>
    <row r="12" ht="15.75" customHeight="1">
      <c r="A12" s="10"/>
      <c r="B12" s="6"/>
      <c r="C12" s="6"/>
    </row>
    <row r="13" ht="15.75" customHeight="1">
      <c r="A13" s="10"/>
      <c r="B13" s="6"/>
      <c r="C13" s="6"/>
    </row>
    <row r="14" ht="15.75" customHeight="1">
      <c r="A14" s="10"/>
      <c r="B14" s="6"/>
      <c r="C14" s="6"/>
    </row>
    <row r="15" ht="15.75" customHeight="1">
      <c r="A15" s="10"/>
      <c r="B15" s="6"/>
      <c r="C15" s="6"/>
    </row>
    <row r="16" ht="15.75" customHeight="1">
      <c r="A16" s="10"/>
      <c r="B16" s="6"/>
      <c r="C16" s="6"/>
    </row>
    <row r="17" ht="15.75" customHeight="1">
      <c r="A17" s="10"/>
      <c r="B17" s="6"/>
      <c r="C17" s="6"/>
    </row>
    <row r="18" ht="15.75" customHeight="1">
      <c r="A18" s="10"/>
      <c r="B18" s="6"/>
      <c r="C18" s="6"/>
    </row>
    <row r="19" ht="15.75" customHeight="1">
      <c r="A19" s="10"/>
      <c r="B19" s="6"/>
      <c r="C19" s="6"/>
    </row>
    <row r="20" ht="15.75" customHeight="1">
      <c r="A20" s="10"/>
      <c r="B20" s="6"/>
      <c r="C20" s="6"/>
    </row>
    <row r="21" ht="15.75" customHeight="1">
      <c r="A21" s="10"/>
      <c r="B21" s="6"/>
      <c r="C21" s="6"/>
    </row>
    <row r="22" ht="15.75" customHeight="1">
      <c r="A22" s="10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1" t="s">
        <v>9</v>
      </c>
      <c r="C3" s="11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12</v>
      </c>
      <c r="D3" s="4" t="s">
        <v>9</v>
      </c>
      <c r="E3" s="10" t="s">
        <v>13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</row>
    <row r="4" ht="15.75" customHeight="1">
      <c r="A4" s="18"/>
      <c r="B4" s="18" t="str">
        <f>IFERROR(__xludf.DUMMYFUNCTION("IF(C3="""","""",Transpose(IMPORTRANGE('_Settings'!$B$3,C3&amp;""!A4:A1000"")))"),"OpenTTFromPST")</f>
        <v>OpenTTFromPST</v>
      </c>
      <c r="C4" s="18" t="str">
        <f>IFERROR(__xludf.DUMMYFUNCTION("""COMPUTED_VALUE"""),"EnterDetailsOnTT")</f>
        <v>EnterDetailsOnTT</v>
      </c>
      <c r="D4" s="18" t="str">
        <f>IFERROR(__xludf.DUMMYFUNCTION("""COMPUTED_VALUE"""),"ValidateSymbolTT")</f>
        <v>ValidateSymbolTT</v>
      </c>
      <c r="E4" s="18" t="str">
        <f>IFERROR(__xludf.DUMMYFUNCTION("""COMPUTED_VALUE"""),"VerifyDataTT")</f>
        <v>VerifyDataTT</v>
      </c>
      <c r="F4" s="18" t="str">
        <f>IFERROR(__xludf.DUMMYFUNCTION("""COMPUTED_VALUE"""),"SetUIPreferencesTT")</f>
        <v>SetUIPreferencesTT</v>
      </c>
      <c r="G4" s="18" t="str">
        <f>IFERROR(__xludf.DUMMYFUNCTION("""COMPUTED_VALUE"""),"SetBrokerWisePreferencesTT")</f>
        <v>SetBrokerWisePreferencesTT</v>
      </c>
      <c r="H4" s="18" t="str">
        <f>IFERROR(__xludf.DUMMYFUNCTION("""COMPUTED_VALUE"""),"VerifyComplianceOrder")</f>
        <v>VerifyComplianceOrder</v>
      </c>
      <c r="I4" s="18" t="str">
        <f>IFERROR(__xludf.DUMMYFUNCTION("""COMPUTED_VALUE"""),"TradeNewSub")</f>
        <v>TradeNewSub</v>
      </c>
      <c r="J4" s="18" t="str">
        <f>IFERROR(__xludf.DUMMYFUNCTION("""COMPUTED_VALUE"""),"CreateStageOrder")</f>
        <v>CreateStageOrder</v>
      </c>
      <c r="K4" s="18" t="str">
        <f>IFERROR(__xludf.DUMMYFUNCTION("""COMPUTED_VALUE"""),"CreateReplaceOrder")</f>
        <v>CreateReplaceOrder</v>
      </c>
      <c r="L4" s="18" t="str">
        <f>IFERROR(__xludf.DUMMYFUNCTION("""COMPUTED_VALUE"""),"SetGeneralPreference")</f>
        <v>SetGeneralPreference</v>
      </c>
      <c r="M4" s="18" t="str">
        <f>IFERROR(__xludf.DUMMYFUNCTION("""COMPUTED_VALUE"""),"CreateNewSubOrder")</f>
        <v>CreateNewSubOrder</v>
      </c>
      <c r="N4" s="18" t="str">
        <f>IFERROR(__xludf.DUMMYFUNCTION("""COMPUTED_VALUE"""),"TradeBloomberg")</f>
        <v>TradeBloomberg</v>
      </c>
      <c r="O4" s="18" t="str">
        <f>IFERROR(__xludf.DUMMYFUNCTION("""COMPUTED_VALUE"""),"ClickSymbolLookup")</f>
        <v>ClickSymbolLookup</v>
      </c>
      <c r="P4" s="19" t="str">
        <f>IFERROR(__xludf.DUMMYFUNCTION("""COMPUTED_VALUE"""),"VerifyTT")</f>
        <v>VerifyTT</v>
      </c>
      <c r="Q4" s="19" t="str">
        <f>IFERROR(__xludf.DUMMYFUNCTION("""COMPUTED_VALUE"""),"CreateLiveOrder")</f>
        <v>CreateLiveOrder</v>
      </c>
      <c r="R4" s="19" t="str">
        <f>IFERROR(__xludf.DUMMYFUNCTION("""COMPUTED_VALUE"""),"UpdateMasterFundOnTT")</f>
        <v>UpdateMasterFundOnTT</v>
      </c>
      <c r="S4" s="19" t="str">
        <f>IFERROR(__xludf.DUMMYFUNCTION("""COMPUTED_VALUE"""),"SetTTCompliancePreference")</f>
        <v>SetTTCompliancePreference</v>
      </c>
      <c r="T4" s="19" t="str">
        <f>IFERROR(__xludf.DUMMYFUNCTION("""COMPUTED_VALUE"""),"ImportSymbol")</f>
        <v>ImportSymbol</v>
      </c>
      <c r="U4" s="19" t="str">
        <f>IFERROR(__xludf.DUMMYFUNCTION("""COMPUTED_VALUE"""),"ExportSymbolFromRAList")</f>
        <v>ExportSymbolFromRAList</v>
      </c>
      <c r="V4" s="19" t="str">
        <f>IFERROR(__xludf.DUMMYFUNCTION("""COMPUTED_VALUE"""),"CheckPendingNewOrderAlert")</f>
        <v>CheckPendingNewOrderAlert</v>
      </c>
      <c r="W4" s="19" t="str">
        <f>IFERROR(__xludf.DUMMYFUNCTION("""COMPUTED_VALUE"""),"AddSymbolOnRAList")</f>
        <v>AddSymbolOnRAList</v>
      </c>
      <c r="X4" s="19" t="str">
        <f>IFERROR(__xludf.DUMMYFUNCTION("""COMPUTED_VALUE"""),"DeleteSymbolListFromRA")</f>
        <v>DeleteSymbolListFromRA</v>
      </c>
      <c r="Y4" s="19" t="str">
        <f>IFERROR(__xludf.DUMMYFUNCTION("""COMPUTED_VALUE"""),"RemoveSymbolFromRAList")</f>
        <v>RemoveSymbolFromRAList</v>
      </c>
      <c r="Z4" s="19" t="str">
        <f>IFERROR(__xludf.DUMMYFUNCTION("""COMPUTED_VALUE"""),"ToggleBlombergOnRA")</f>
        <v>ToggleBlombergOnRA</v>
      </c>
      <c r="AA4" s="19" t="str">
        <f>IFERROR(__xludf.DUMMYFUNCTION("""COMPUTED_VALUE"""),"CreateDoneAwayOrder")</f>
        <v>CreateDoneAwayOrder</v>
      </c>
      <c r="AB4" s="19" t="str">
        <f>IFERROR(__xludf.DUMMYFUNCTION("""COMPUTED_VALUE"""),"CreateComplianceOrder")</f>
        <v>CreateComplianceOrder</v>
      </c>
      <c r="AC4" s="19" t="str">
        <f>IFERROR(__xludf.DUMMYFUNCTION("""COMPUTED_VALUE"""),"AddOptionTrade")</f>
        <v>AddOptionTrade</v>
      </c>
      <c r="AD4" s="19" t="str">
        <f>IFERROR(__xludf.DUMMYFUNCTION("""COMPUTED_VALUE"""),"SendLiveBloomberg")</f>
        <v>SendLiveBloomberg</v>
      </c>
      <c r="AE4" s="19" t="str">
        <f>IFERROR(__xludf.DUMMYFUNCTION("""COMPUTED_VALUE"""),"ViewAllocation")</f>
        <v>ViewAllocation</v>
      </c>
      <c r="AF4" s="19" t="str">
        <f>IFERROR(__xludf.DUMMYFUNCTION("""COMPUTED_VALUE"""),"CreateReplaceLiveOrder")</f>
        <v>CreateReplaceLiveOrder</v>
      </c>
      <c r="AG4" s="19" t="str">
        <f>IFERROR(__xludf.DUMMYFUNCTION("""COMPUTED_VALUE"""),"CreateNewSubLiveOrder")</f>
        <v>CreateNewSubLiveOrder</v>
      </c>
      <c r="AH4" s="19" t="str">
        <f>IFERROR(__xludf.DUMMYFUNCTION("""COMPUTED_VALUE"""),"VerifyBasketExport")</f>
        <v>VerifyBasketExport</v>
      </c>
      <c r="AI4" s="19" t="str">
        <f>IFERROR(__xludf.DUMMYFUNCTION("""COMPUTED_VALUE"""),"VerifyCustomAllocationonTT")</f>
        <v>VerifyCustomAllocationonTT</v>
      </c>
      <c r="AJ4" s="19" t="str">
        <f>IFERROR(__xludf.DUMMYFUNCTION("""COMPUTED_VALUE"""),"CustomOrderTT")</f>
        <v>CustomOrderTT</v>
      </c>
      <c r="AK4" s="19" t="str">
        <f>IFERROR(__xludf.DUMMYFUNCTION("""COMPUTED_VALUE"""),"CheckStepSheet")</f>
        <v>CheckStepSheet</v>
      </c>
      <c r="AL4" s="19" t="str">
        <f>IFERROR(__xludf.DUMMYFUNCTION("""COMPUTED_VALUE"""),"OptionTradingThroughSecurity")</f>
        <v>OptionTradingThroughSecurity</v>
      </c>
      <c r="AM4" s="19" t="str">
        <f>IFERROR(__xludf.DUMMYFUNCTION("""COMPUTED_VALUE"""),"CreateTradeWithAlgoBroker")</f>
        <v>CreateTradeWithAlgoBroker</v>
      </c>
      <c r="AN4" s="19" t="str">
        <f>IFERROR(__xludf.DUMMYFUNCTION("""COMPUTED_VALUE"""),"VerifyOrderSide")</f>
        <v>VerifyOrderSide</v>
      </c>
      <c r="AO4" s="19" t="str">
        <f>IFERROR(__xludf.DUMMYFUNCTION("""COMPUTED_VALUE"""),"CreateOrEditSymbolTT")</f>
        <v>CreateOrEditSymbolTT</v>
      </c>
      <c r="AP4" s="19" t="str">
        <f>IFERROR(__xludf.DUMMYFUNCTION("""COMPUTED_VALUE"""),"VerifyTTNavLockPopup")</f>
        <v>VerifyTTNavLockPopup</v>
      </c>
      <c r="AQ4" s="19" t="str">
        <f>IFERROR(__xludf.DUMMYFUNCTION("""COMPUTED_VALUE"""),"VerifyCustomAllocationSecondUI")</f>
        <v>VerifyCustomAllocationSecondUI</v>
      </c>
      <c r="AR4" s="19" t="str">
        <f>IFERROR(__xludf.DUMMYFUNCTION("""COMPUTED_VALUE"""),"ShortLocateFromTT")</f>
        <v>ShortLocateFromTT</v>
      </c>
      <c r="AS4" s="19" t="str">
        <f>IFERROR(__xludf.DUMMYFUNCTION("""COMPUTED_VALUE"""),"ShortLocateFromTT")</f>
        <v>ShortLocateFromTT</v>
      </c>
      <c r="AT4" s="19" t="str">
        <f>IFERROR(__xludf.DUMMYFUNCTION("""COMPUTED_VALUE"""),"ShortLocateFromTT")</f>
        <v>ShortLocateFromTT</v>
      </c>
      <c r="AU4" s="19" t="str">
        <f>IFERROR(__xludf.DUMMYFUNCTION("""COMPUTED_VALUE"""),"VerifyShortLocateWindowOnTT")</f>
        <v>VerifyShortLocateWindowOnTT</v>
      </c>
      <c r="AV4" s="19" t="str">
        <f>IFERROR(__xludf.DUMMYFUNCTION("""COMPUTED_VALUE"""),"AlgoUIOperations")</f>
        <v>AlgoUIOperations</v>
      </c>
      <c r="AW4" s="19" t="str">
        <f>IFERROR(__xludf.DUMMYFUNCTION("""COMPUTED_VALUE"""),"UpdateShortLocateFromTT")</f>
        <v>UpdateShortLocateFromTT</v>
      </c>
      <c r="AX4" s="19" t="str">
        <f>IFERROR(__xludf.DUMMYFUNCTION("""COMPUTED_VALUE"""),"ResetTT")</f>
        <v>ResetTT</v>
      </c>
      <c r="AY4" s="19" t="str">
        <f>IFERROR(__xludf.DUMMYFUNCTION("""COMPUTED_VALUE"""),"MergeTT")</f>
        <v>MergeTT</v>
      </c>
      <c r="AZ4" s="19" t="str">
        <f>IFERROR(__xludf.DUMMYFUNCTION("""COMPUTED_VALUE"""),"ResizeEnsureTT")</f>
        <v>ResizeEnsureTT</v>
      </c>
      <c r="BA4" s="19" t="str">
        <f>IFERROR(__xludf.DUMMYFUNCTION("""COMPUTED_VALUE"""),"VerifyExecutionType")</f>
        <v>VerifyExecutionType</v>
      </c>
      <c r="BB4" s="19" t="str">
        <f>IFERROR(__xludf.DUMMYFUNCTION("""COMPUTED_VALUE"""),"VerifyPopupAlignment")</f>
        <v>VerifyPopupAlignment</v>
      </c>
      <c r="BC4" s="19" t="str">
        <f>IFERROR(__xludf.DUMMYFUNCTION("""COMPUTED_VALUE"""),"SelectET")</f>
        <v>SelectET</v>
      </c>
      <c r="BD4" s="19" t="str">
        <f>IFERROR(__xludf.DUMMYFUNCTION("""COMPUTED_VALUE"""),"SymbolSuggestionVerify")</f>
        <v>SymbolSuggestionVerify</v>
      </c>
      <c r="BE4" s="19" t="str">
        <f>IFERROR(__xludf.DUMMYFUNCTION("""COMPUTED_VALUE"""),"EditAuecWindow")</f>
        <v>EditAuecWindow</v>
      </c>
      <c r="BF4" s="19" t="str">
        <f>IFERROR(__xludf.DUMMYFUNCTION("""COMPUTED_VALUE"""),"VerifyBrokerSummary")</f>
        <v>VerifyBrokerSummary</v>
      </c>
      <c r="BG4" s="19" t="str">
        <f>IFERROR(__xludf.DUMMYFUNCTION("""COMPUTED_VALUE"""),"QTTHamburg")</f>
        <v>QTTHamburg</v>
      </c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IFERROR(__xludf.DUMMYFUNCTION("""COMPUTED_VALUE"""),"Symbol")</f>
        <v>Symbol</v>
      </c>
      <c r="C5" s="21" t="str">
        <f>IFERROR(__xludf.DUMMYFUNCTION("""COMPUTED_VALUE"""),"Quantity")</f>
        <v>Quantity</v>
      </c>
      <c r="D5" s="21" t="str">
        <f>IFERROR(__xludf.DUMMYFUNCTION("""COMPUTED_VALUE"""),"Price")</f>
        <v>Price</v>
      </c>
      <c r="E5" s="21" t="str">
        <f>IFERROR(__xludf.DUMMYFUNCTION("""COMPUTED_VALUE"""),"Order type button")</f>
        <v>Order type button</v>
      </c>
      <c r="F5" s="21" t="str">
        <f>IFERROR(__xludf.DUMMYFUNCTION("""COMPUTED_VALUE"""),"SharesOutstandingPopUp")</f>
        <v>SharesOutstandingPopUp</v>
      </c>
      <c r="G5" s="21" t="str">
        <f>IFERROR(__xludf.DUMMYFUNCTION("""COMPUTED_VALUE"""),"TT_Open")</f>
        <v>TT_Open</v>
      </c>
      <c r="H5" s="21" t="str">
        <f>IFERROR(__xludf.DUMMYFUNCTION("""COMPUTED_VALUE"""),"SharesOutstandingPopUpQty")</f>
        <v>SharesOutstandingPopUpQty</v>
      </c>
      <c r="I5" s="21" t="str">
        <f>IFERROR(__xludf.DUMMYFUNCTION("""COMPUTED_VALUE"""),"AllocationMethod")</f>
        <v>AllocationMethod</v>
      </c>
      <c r="J5" s="21" t="str">
        <f>IFERROR(__xludf.DUMMYFUNCTION("""COMPUTED_VALUE"""),"Order Side")</f>
        <v>Order Side</v>
      </c>
      <c r="K5" s="21" t="str">
        <f>IFERROR(__xludf.DUMMYFUNCTION("""COMPUTED_VALUE"""),"DB_Check")</f>
        <v>DB_Check</v>
      </c>
      <c r="L5" s="21" t="str">
        <f>IFERROR(__xludf.DUMMYFUNCTION("""COMPUTED_VALUE"""),"CommissionBasis")</f>
        <v>CommissionBasis</v>
      </c>
      <c r="M5" s="21" t="str">
        <f>IFERROR(__xludf.DUMMYFUNCTION("""COMPUTED_VALUE"""),"CommissionRate")</f>
        <v>CommissionRate</v>
      </c>
      <c r="N5" s="21" t="str">
        <f>IFERROR(__xludf.DUMMYFUNCTION("""COMPUTED_VALUE"""),"SoftBasis")</f>
        <v>SoftBasis</v>
      </c>
      <c r="O5" s="21" t="str">
        <f>IFERROR(__xludf.DUMMYFUNCTION("""COMPUTED_VALUE"""),"SoftRate")</f>
        <v>SoftRate</v>
      </c>
      <c r="P5" s="21" t="str">
        <f>IFERROR(__xludf.DUMMYFUNCTION("""COMPUTED_VALUE"""),"Account")</f>
        <v>Account</v>
      </c>
      <c r="Q5" s="21" t="str">
        <f>IFERROR(__xludf.DUMMYFUNCTION("""COMPUTED_VALUE"""),"Account %")</f>
        <v>Account %</v>
      </c>
      <c r="R5" s="21" t="str">
        <f>IFERROR(__xludf.DUMMYFUNCTION("""COMPUTED_VALUE"""),"VerifySuggestions")</f>
        <v>VerifySuggestions</v>
      </c>
      <c r="S5" s="21" t="str">
        <f>IFERROR(__xludf.DUMMYFUNCTION("""COMPUTED_VALUE"""),"SymbolToPickFromSuggesstions")</f>
        <v>SymbolToPickFromSuggesstions</v>
      </c>
      <c r="T5" s="22" t="str">
        <f>IFERROR(__xludf.DUMMYFUNCTION("""COMPUTED_VALUE"""),"TypedSymbolAvailableOnSuggestion")</f>
        <v>TypedSymbolAvailableOnSuggestion</v>
      </c>
      <c r="U5" s="22" t="str">
        <f>IFERROR(__xludf.DUMMYFUNCTION("""COMPUTED_VALUE"""),"TIF")</f>
        <v>TIF</v>
      </c>
      <c r="V5" s="22" t="str">
        <f>IFERROR(__xludf.DUMMYFUNCTION("""COMPUTED_VALUE"""),"Order Type")</f>
        <v>Order Type</v>
      </c>
      <c r="W5" s="22" t="str">
        <f>IFERROR(__xludf.DUMMYFUNCTION("""COMPUTED_VALUE"""),"Stop")</f>
        <v>Stop</v>
      </c>
      <c r="X5" s="22" t="str">
        <f>IFERROR(__xludf.DUMMYFUNCTION("""COMPUTED_VALUE"""),"Limit")</f>
        <v>Limit</v>
      </c>
      <c r="Y5" s="22" t="str">
        <f>IFERROR(__xludf.DUMMYFUNCTION("""COMPUTED_VALUE"""),"Expiration Date")</f>
        <v>Expiration Date</v>
      </c>
      <c r="Z5" s="22" t="str">
        <f>IFERROR(__xludf.DUMMYFUNCTION("""COMPUTED_VALUE"""),"Trade Date")</f>
        <v>Trade Date</v>
      </c>
      <c r="AA5" s="22" t="str">
        <f>IFERROR(__xludf.DUMMYFUNCTION("""COMPUTED_VALUE"""),"Broker")</f>
        <v>Broker</v>
      </c>
      <c r="AB5" s="22" t="str">
        <f>IFERROR(__xludf.DUMMYFUNCTION("""COMPUTED_VALUE"""),"Padlock Visiblity")</f>
        <v>Padlock Visiblity</v>
      </c>
      <c r="AC5" s="22" t="str">
        <f>IFERROR(__xludf.DUMMYFUNCTION("""COMPUTED_VALUE"""),"Padlock Unlock")</f>
        <v>Padlock Unlock</v>
      </c>
      <c r="AD5" s="22" t="str">
        <f>IFERROR(__xludf.DUMMYFUNCTION("""COMPUTED_VALUE"""),"Venue")</f>
        <v>Venue</v>
      </c>
      <c r="AE5" s="22" t="str">
        <f>IFERROR(__xludf.DUMMYFUNCTION("""COMPUTED_VALUE"""),"Fx Rate")</f>
        <v>Fx Rate</v>
      </c>
      <c r="AF5" s="22" t="str">
        <f>IFERROR(__xludf.DUMMYFUNCTION("""COMPUTED_VALUE"""),"Fx Operator")</f>
        <v>Fx Operator</v>
      </c>
      <c r="AG5" s="22" t="str">
        <f>IFERROR(__xludf.DUMMYFUNCTION("""COMPUTED_VALUE"""),"PendingApprovalPopUp")</f>
        <v>PendingApprovalPopUp</v>
      </c>
      <c r="AH5" s="22" t="str">
        <f>IFERROR(__xludf.DUMMYFUNCTION("""COMPUTED_VALUE"""),"TradeBy")</f>
        <v>TradeBy</v>
      </c>
      <c r="AI5" s="22" t="str">
        <f>IFERROR(__xludf.DUMMYFUNCTION("""COMPUTED_VALUE"""),"BookAsSwap")</f>
        <v>BookAsSwap</v>
      </c>
      <c r="AJ5" s="22" t="str">
        <f>IFERROR(__xludf.DUMMYFUNCTION("""COMPUTED_VALUE"""),"RoundLot")</f>
        <v>RoundLot</v>
      </c>
      <c r="AK5" s="22" t="str">
        <f>IFERROR(__xludf.DUMMYFUNCTION("""COMPUTED_VALUE"""),"Increment")</f>
        <v>Increment</v>
      </c>
      <c r="AL5" s="22" t="str">
        <f>IFERROR(__xludf.DUMMYFUNCTION("""COMPUTED_VALUE"""),"Decrement")</f>
        <v>Decrement</v>
      </c>
      <c r="AM5" s="22" t="str">
        <f>IFERROR(__xludf.DUMMYFUNCTION("""COMPUTED_VALUE"""),"Trade Attribute 01")</f>
        <v>Trade Attribute 01</v>
      </c>
      <c r="AN5" s="22" t="str">
        <f>IFERROR(__xludf.DUMMYFUNCTION("""COMPUTED_VALUE"""),"Trade Attribute 02")</f>
        <v>Trade Attribute 02</v>
      </c>
      <c r="AO5" s="22" t="str">
        <f>IFERROR(__xludf.DUMMYFUNCTION("""COMPUTED_VALUE"""),"Trade Attribute 03")</f>
        <v>Trade Attribute 03</v>
      </c>
      <c r="AP5" s="22" t="str">
        <f>IFERROR(__xludf.DUMMYFUNCTION("""COMPUTED_VALUE"""),"Trade Attribute 04")</f>
        <v>Trade Attribute 04</v>
      </c>
      <c r="AQ5" s="22" t="str">
        <f>IFERROR(__xludf.DUMMYFUNCTION("""COMPUTED_VALUE"""),"Trade Attribute 05")</f>
        <v>Trade Attribute 05</v>
      </c>
      <c r="AR5" s="22" t="str">
        <f>IFERROR(__xludf.DUMMYFUNCTION("""COMPUTED_VALUE"""),"Trade Attribute 06")</f>
        <v>Trade Attribute 06</v>
      </c>
      <c r="AS5" s="22" t="str">
        <f>IFERROR(__xludf.DUMMYFUNCTION("""COMPUTED_VALUE"""),"Trade Attribute 01 suggestion")</f>
        <v>Trade Attribute 01 suggestion</v>
      </c>
      <c r="AT5" s="22" t="str">
        <f>IFERROR(__xludf.DUMMYFUNCTION("""COMPUTED_VALUE"""),"Trade Attribute 02 suggestion")</f>
        <v>Trade Attribute 02 suggestion</v>
      </c>
      <c r="AU5" s="22" t="str">
        <f>IFERROR(__xludf.DUMMYFUNCTION("""COMPUTED_VALUE"""),"Trade Attribute 03 suggestion")</f>
        <v>Trade Attribute 03 suggestion</v>
      </c>
      <c r="AV5" s="22" t="str">
        <f>IFERROR(__xludf.DUMMYFUNCTION("""COMPUTED_VALUE"""),"Trade Attribute 04 suggestion")</f>
        <v>Trade Attribute 04 suggestion</v>
      </c>
      <c r="AW5" s="22" t="str">
        <f>IFERROR(__xludf.DUMMYFUNCTION("""COMPUTED_VALUE"""),"Trade Attribute 05 suggestion")</f>
        <v>Trade Attribute 05 suggestion</v>
      </c>
      <c r="AX5" s="22" t="str">
        <f>IFERROR(__xludf.DUMMYFUNCTION("""COMPUTED_VALUE"""),"Trade Attribute 06 suggestion")</f>
        <v>Trade Attribute 06 suggestion</v>
      </c>
      <c r="AY5" s="22" t="str">
        <f>IFERROR(__xludf.DUMMYFUNCTION("""COMPUTED_VALUE"""),"Strategy")</f>
        <v>Strategy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</row>
    <row r="6" ht="15.75" customHeight="1">
      <c r="A6" s="6"/>
      <c r="B6" s="6" t="s">
        <v>16</v>
      </c>
      <c r="C6" s="6">
        <v>100.0</v>
      </c>
      <c r="D6" s="6">
        <v>10.0</v>
      </c>
      <c r="E6" s="6" t="s">
        <v>17</v>
      </c>
      <c r="F6" s="6"/>
      <c r="G6" s="6"/>
      <c r="H6" s="6"/>
      <c r="I6" s="6"/>
      <c r="J6" s="6" t="s">
        <v>18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19</v>
      </c>
      <c r="D3" s="4" t="s">
        <v>9</v>
      </c>
      <c r="E3" s="10" t="s">
        <v>20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IFERROR(__xludf.DUMMYFUNCTION("IF(C3="""","""",Transpose(IMPORTRANGE('_Settings'!$B$3,C3&amp;""!A4:A1000"")))"),"CheckSummaryDashboard")</f>
        <v>CheckSummaryDashboard</v>
      </c>
      <c r="C4" s="18" t="str">
        <f>IFERROR(__xludf.DUMMYFUNCTION("""COMPUTED_VALUE"""),"CheckFundLevelAggregation")</f>
        <v>CheckFundLevelAggregation</v>
      </c>
      <c r="D4" s="18" t="str">
        <f>IFERROR(__xludf.DUMMYFUNCTION("""COMPUTED_VALUE"""),"CheckAccountLevelAggregation")</f>
        <v>CheckAccountLevelAggregation</v>
      </c>
      <c r="E4" s="18" t="str">
        <f>IFERROR(__xludf.DUMMYFUNCTION("""COMPUTED_VALUE"""),"CheckSymbolLevelAggregation")</f>
        <v>CheckSymbolLevelAggregation</v>
      </c>
      <c r="F4" s="18" t="str">
        <f>IFERROR(__xludf.DUMMYFUNCTION("""COMPUTED_VALUE"""),"CheckRealTimeSymbolFundMonitor")</f>
        <v>CheckRealTimeSymbolFundMonitor</v>
      </c>
      <c r="G4" s="18" t="str">
        <f>IFERROR(__xludf.DUMMYFUNCTION("""COMPUTED_VALUE"""),"CheckRealTimeSymAccountMonitor")</f>
        <v>CheckRealTimeSymAccountMonitor</v>
      </c>
      <c r="H4" s="18" t="str">
        <f>IFERROR(__xludf.DUMMYFUNCTION("""COMPUTED_VALUE"""),"CreateDashBoard")</f>
        <v>CreateDashBoard</v>
      </c>
      <c r="I4" s="18" t="str">
        <f>IFERROR(__xludf.DUMMYFUNCTION("""COMPUTED_VALUE"""),"UpdateDashboardName")</f>
        <v>UpdateDashboardName</v>
      </c>
      <c r="J4" s="18" t="str">
        <f>IFERROR(__xludf.DUMMYFUNCTION("""COMPUTED_VALUE"""),"AddWidget")</f>
        <v>AddWidget</v>
      </c>
      <c r="K4" s="18" t="str">
        <f>IFERROR(__xludf.DUMMYFUNCTION("""COMPUTED_VALUE"""),"CheckDashboardWidgetTitle")</f>
        <v>CheckDashboardWidgetTitle</v>
      </c>
      <c r="L4" s="18" t="str">
        <f>IFERROR(__xludf.DUMMYFUNCTION("""COMPUTED_VALUE"""),"updateWidget")</f>
        <v>updateWidget</v>
      </c>
      <c r="M4" s="18" t="str">
        <f>IFERROR(__xludf.DUMMYFUNCTION("""COMPUTED_VALUE"""),"OpenRTPNL")</f>
        <v>OpenRTPNL</v>
      </c>
      <c r="N4" s="18" t="str">
        <f>IFERROR(__xludf.DUMMYFUNCTION("""COMPUTED_VALUE"""),"LinkDashboardTabs")</f>
        <v>LinkDashboardTabs</v>
      </c>
      <c r="O4" s="18" t="str">
        <f>IFERROR(__xludf.DUMMYFUNCTION("""COMPUTED_VALUE"""),"SelectDashboardTabRow")</f>
        <v>SelectDashboardTabRow</v>
      </c>
      <c r="P4" s="19" t="str">
        <f>IFERROR(__xludf.DUMMYFUNCTION("""COMPUTED_VALUE"""),"SelectRowAtFLAggregation")</f>
        <v>SelectRowAtFLAggregation</v>
      </c>
      <c r="Q4" s="19" t="str">
        <f>IFERROR(__xludf.DUMMYFUNCTION("""COMPUTED_VALUE"""),"SelectRowAtALAggregation")</f>
        <v>SelectRowAtALAggregation</v>
      </c>
      <c r="R4" s="19" t="str">
        <f>IFERROR(__xludf.DUMMYFUNCTION("""COMPUTED_VALUE"""),"SelectRowAtSLAggregation")</f>
        <v>SelectRowAtSLAggregation</v>
      </c>
      <c r="S4" s="19" t="str">
        <f>IFERROR(__xludf.DUMMYFUNCTION("""COMPUTED_VALUE"""),"SelectRowAtRTSFundMonitor")</f>
        <v>SelectRowAtRTSFundMonitor</v>
      </c>
      <c r="T4" s="19" t="str">
        <f>IFERROR(__xludf.DUMMYFUNCTION("""COMPUTED_VALUE"""),"SelectRowAtRTSAccountMonitor")</f>
        <v>SelectRowAtRTSAccountMonitor</v>
      </c>
      <c r="U4" s="19" t="str">
        <f>IFERROR(__xludf.DUMMYFUNCTION("""COMPUTED_VALUE"""),"FilterOnPMGrid")</f>
        <v>FilterOnPMGrid</v>
      </c>
      <c r="V4" s="19" t="str">
        <f>IFERROR(__xludf.DUMMYFUNCTION("""COMPUTED_VALUE"""),"SortOnPMGrid")</f>
        <v>SortOnPMGrid</v>
      </c>
      <c r="W4" s="19" t="str">
        <f>IFERROR(__xludf.DUMMYFUNCTION("""COMPUTED_VALUE"""),"ExtractTabOutsidePMDashboard")</f>
        <v>ExtractTabOutsidePMDashboard</v>
      </c>
      <c r="X4" s="19" t="str">
        <f>IFERROR(__xludf.DUMMYFUNCTION("""COMPUTED_VALUE"""),"SortRTSFM")</f>
        <v>SortRTSFM</v>
      </c>
      <c r="Y4" s="19" t="str">
        <f>IFERROR(__xludf.DUMMYFUNCTION("""COMPUTED_VALUE"""),"SortSLA")</f>
        <v>SortSLA</v>
      </c>
      <c r="Z4" s="19" t="str">
        <f>IFERROR(__xludf.DUMMYFUNCTION("""COMPUTED_VALUE"""),"SortFLA")</f>
        <v>SortFLA</v>
      </c>
      <c r="AA4" s="19" t="str">
        <f>IFERROR(__xludf.DUMMYFUNCTION("""COMPUTED_VALUE"""),"SortALA")</f>
        <v>SortALA</v>
      </c>
      <c r="AB4" s="19" t="str">
        <f>IFERROR(__xludf.DUMMYFUNCTION("""COMPUTED_VALUE"""),"FilterSLA")</f>
        <v>FilterSLA</v>
      </c>
      <c r="AC4" s="19" t="str">
        <f>IFERROR(__xludf.DUMMYFUNCTION("""COMPUTED_VALUE"""),"FilterRTSFM")</f>
        <v>FilterRTSFM</v>
      </c>
      <c r="AD4" s="19" t="str">
        <f>IFERROR(__xludf.DUMMYFUNCTION("""COMPUTED_VALUE"""),"FilterALA")</f>
        <v>FilterALA</v>
      </c>
      <c r="AE4" s="19" t="str">
        <f>IFERROR(__xludf.DUMMYFUNCTION("""COMPUTED_VALUE"""),"FilterFLA")</f>
        <v>FilterFLA</v>
      </c>
      <c r="AF4" s="19" t="str">
        <f>IFERROR(__xludf.DUMMYFUNCTION("""COMPUTED_VALUE"""),"SortRTSAM")</f>
        <v>SortRTSAM</v>
      </c>
      <c r="AG4" s="19" t="str">
        <f>IFERROR(__xludf.DUMMYFUNCTION("""COMPUTED_VALUE"""),"FilterRTSAM")</f>
        <v>FilterRTSAM</v>
      </c>
      <c r="AH4" s="19" t="str">
        <f>IFERROR(__xludf.DUMMYFUNCTION("""COMPUTED_VALUE"""),"SortRTSAM")</f>
        <v>SortRTSAM</v>
      </c>
      <c r="AI4" s="19" t="str">
        <f>IFERROR(__xludf.DUMMYFUNCTION("""COMPUTED_VALUE"""),"IncreaseOrUnwindPositionRTPNL")</f>
        <v>IncreaseOrUnwindPositionRTPNL</v>
      </c>
      <c r="AJ4" s="19" t="str">
        <f>IFERROR(__xludf.DUMMYFUNCTION("""COMPUTED_VALUE"""),"SavePage")</f>
        <v>SavePage</v>
      </c>
      <c r="AK4" s="19" t="str">
        <f>IFERROR(__xludf.DUMMYFUNCTION("""COMPUTED_VALUE"""),"CloseRTPNL")</f>
        <v>CloseRTPNL</v>
      </c>
      <c r="AL4" s="19" t="str">
        <f>IFERROR(__xludf.DUMMYFUNCTION("""COMPUTED_VALUE"""),"VerifyColumns")</f>
        <v>VerifyColumns</v>
      </c>
      <c r="AM4" s="19" t="str">
        <f>IFERROR(__xludf.DUMMYFUNCTION("""COMPUTED_VALUE"""),"ConfigureWidget")</f>
        <v>ConfigureWidget</v>
      </c>
      <c r="AN4" s="19" t="str">
        <f>IFERROR(__xludf.DUMMYFUNCTION("""COMPUTED_VALUE"""),"ChangeWidgetView")</f>
        <v>ChangeWidgetView</v>
      </c>
      <c r="AO4" s="19" t="str">
        <f>IFERROR(__xludf.DUMMYFUNCTION("""COMPUTED_VALUE"""),"ResizeEnsure")</f>
        <v>ResizeEnsure</v>
      </c>
      <c r="AP4" s="19" t="str">
        <f>IFERROR(__xludf.DUMMYFUNCTION("""COMPUTED_VALUE"""),"RenameTabs")</f>
        <v>RenameTabs</v>
      </c>
      <c r="AQ4" s="19" t="str">
        <f>IFERROR(__xludf.DUMMYFUNCTION("""COMPUTED_VALUE"""),"AddTabRTPNL")</f>
        <v>AddTabRTPNL</v>
      </c>
      <c r="AR4" s="19" t="str">
        <f>IFERROR(__xludf.DUMMYFUNCTION("""COMPUTED_VALUE"""),"MergeWindows")</f>
        <v>MergeWindows</v>
      </c>
      <c r="AS4" s="19" t="str">
        <f>IFERROR(__xludf.DUMMYFUNCTION("""COMPUTED_VALUE"""),"Grouping")</f>
        <v>Grouping</v>
      </c>
      <c r="AT4" s="19" t="str">
        <f>IFERROR(__xludf.DUMMYFUNCTION("""COMPUTED_VALUE"""),"CreateGroupingWidget")</f>
        <v>CreateGroupingWidget</v>
      </c>
      <c r="AU4" s="19" t="str">
        <f>IFERROR(__xludf.DUMMYFUNCTION("""COMPUTED_VALUE"""),"CheckGroupingWidget")</f>
        <v>CheckGroupingWidget</v>
      </c>
      <c r="AV4" s="19" t="str">
        <f>IFERROR(__xludf.DUMMYFUNCTION("""COMPUTED_VALUE"""),"VerifyL1L2PanelRTPNL")</f>
        <v>VerifyL1L2PanelRTPNL</v>
      </c>
      <c r="AW4" s="19" t="str">
        <f>IFERROR(__xludf.DUMMYFUNCTION("""COMPUTED_VALUE"""),"VerifyGridThroughLiveExcel")</f>
        <v>VerifyGridThroughLiveExcel</v>
      </c>
      <c r="AX4" s="19" t="str">
        <f>IFERROR(__xludf.DUMMYFUNCTION("""COMPUTED_VALUE"""),"ApplyColumnFilter")</f>
        <v>ApplyColumnFilter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IFERROR(__xludf.DUMMYFUNCTION("""COMPUTED_VALUE"""),"OpenWindow")</f>
        <v>OpenWindow</v>
      </c>
      <c r="C5" s="21" t="str">
        <f>IFERROR(__xludf.DUMMYFUNCTION("""COMPUTED_VALUE"""),"TabName")</f>
        <v>TabName</v>
      </c>
      <c r="D5" s="21" t="str">
        <f>IFERROR(__xludf.DUMMYFUNCTION("""COMPUTED_VALUE"""),"Description")</f>
        <v>Description</v>
      </c>
      <c r="E5" s="21" t="str">
        <f>IFERROR(__xludf.DUMMYFUNCTION("""COMPUTED_VALUE"""),"Save?")</f>
        <v>Save?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6"/>
      <c r="B6" s="23" t="s">
        <v>21</v>
      </c>
      <c r="C6" s="23" t="s">
        <v>22</v>
      </c>
      <c r="D6" s="24"/>
      <c r="E6" s="25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19</v>
      </c>
      <c r="D3" s="4" t="s">
        <v>9</v>
      </c>
      <c r="E3" s="10" t="s">
        <v>23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IFERROR(__xludf.DUMMYFUNCTION("IF(C3="""","""",Transpose(IMPORTRANGE('_Settings'!$B$3,C3&amp;""!A4:A1000"")))"),"CheckSummaryDashboard")</f>
        <v>CheckSummaryDashboard</v>
      </c>
      <c r="C4" s="18" t="str">
        <f>IFERROR(__xludf.DUMMYFUNCTION("""COMPUTED_VALUE"""),"CheckFundLevelAggregation")</f>
        <v>CheckFundLevelAggregation</v>
      </c>
      <c r="D4" s="18" t="str">
        <f>IFERROR(__xludf.DUMMYFUNCTION("""COMPUTED_VALUE"""),"CheckAccountLevelAggregation")</f>
        <v>CheckAccountLevelAggregation</v>
      </c>
      <c r="E4" s="18" t="str">
        <f>IFERROR(__xludf.DUMMYFUNCTION("""COMPUTED_VALUE"""),"CheckSymbolLevelAggregation")</f>
        <v>CheckSymbolLevelAggregation</v>
      </c>
      <c r="F4" s="18" t="str">
        <f>IFERROR(__xludf.DUMMYFUNCTION("""COMPUTED_VALUE"""),"CheckRealTimeSymbolFundMonitor")</f>
        <v>CheckRealTimeSymbolFundMonitor</v>
      </c>
      <c r="G4" s="18" t="str">
        <f>IFERROR(__xludf.DUMMYFUNCTION("""COMPUTED_VALUE"""),"CheckRealTimeSymAccountMonitor")</f>
        <v>CheckRealTimeSymAccountMonitor</v>
      </c>
      <c r="H4" s="18" t="str">
        <f>IFERROR(__xludf.DUMMYFUNCTION("""COMPUTED_VALUE"""),"CreateDashBoard")</f>
        <v>CreateDashBoard</v>
      </c>
      <c r="I4" s="18" t="str">
        <f>IFERROR(__xludf.DUMMYFUNCTION("""COMPUTED_VALUE"""),"UpdateDashboardName")</f>
        <v>UpdateDashboardName</v>
      </c>
      <c r="J4" s="18" t="str">
        <f>IFERROR(__xludf.DUMMYFUNCTION("""COMPUTED_VALUE"""),"AddWidget")</f>
        <v>AddWidget</v>
      </c>
      <c r="K4" s="18" t="str">
        <f>IFERROR(__xludf.DUMMYFUNCTION("""COMPUTED_VALUE"""),"CheckDashboardWidgetTitle")</f>
        <v>CheckDashboardWidgetTitle</v>
      </c>
      <c r="L4" s="18" t="str">
        <f>IFERROR(__xludf.DUMMYFUNCTION("""COMPUTED_VALUE"""),"updateWidget")</f>
        <v>updateWidget</v>
      </c>
      <c r="M4" s="18" t="str">
        <f>IFERROR(__xludf.DUMMYFUNCTION("""COMPUTED_VALUE"""),"OpenRTPNL")</f>
        <v>OpenRTPNL</v>
      </c>
      <c r="N4" s="18" t="str">
        <f>IFERROR(__xludf.DUMMYFUNCTION("""COMPUTED_VALUE"""),"LinkDashboardTabs")</f>
        <v>LinkDashboardTabs</v>
      </c>
      <c r="O4" s="18" t="str">
        <f>IFERROR(__xludf.DUMMYFUNCTION("""COMPUTED_VALUE"""),"SelectDashboardTabRow")</f>
        <v>SelectDashboardTabRow</v>
      </c>
      <c r="P4" s="19" t="str">
        <f>IFERROR(__xludf.DUMMYFUNCTION("""COMPUTED_VALUE"""),"SelectRowAtFLAggregation")</f>
        <v>SelectRowAtFLAggregation</v>
      </c>
      <c r="Q4" s="19" t="str">
        <f>IFERROR(__xludf.DUMMYFUNCTION("""COMPUTED_VALUE"""),"SelectRowAtALAggregation")</f>
        <v>SelectRowAtALAggregation</v>
      </c>
      <c r="R4" s="19" t="str">
        <f>IFERROR(__xludf.DUMMYFUNCTION("""COMPUTED_VALUE"""),"SelectRowAtSLAggregation")</f>
        <v>SelectRowAtSLAggregation</v>
      </c>
      <c r="S4" s="19" t="str">
        <f>IFERROR(__xludf.DUMMYFUNCTION("""COMPUTED_VALUE"""),"SelectRowAtRTSFundMonitor")</f>
        <v>SelectRowAtRTSFundMonitor</v>
      </c>
      <c r="T4" s="19" t="str">
        <f>IFERROR(__xludf.DUMMYFUNCTION("""COMPUTED_VALUE"""),"SelectRowAtRTSAccountMonitor")</f>
        <v>SelectRowAtRTSAccountMonitor</v>
      </c>
      <c r="U4" s="19" t="str">
        <f>IFERROR(__xludf.DUMMYFUNCTION("""COMPUTED_VALUE"""),"FilterOnPMGrid")</f>
        <v>FilterOnPMGrid</v>
      </c>
      <c r="V4" s="19" t="str">
        <f>IFERROR(__xludf.DUMMYFUNCTION("""COMPUTED_VALUE"""),"SortOnPMGrid")</f>
        <v>SortOnPMGrid</v>
      </c>
      <c r="W4" s="19" t="str">
        <f>IFERROR(__xludf.DUMMYFUNCTION("""COMPUTED_VALUE"""),"ExtractTabOutsidePMDashboard")</f>
        <v>ExtractTabOutsidePMDashboard</v>
      </c>
      <c r="X4" s="19" t="str">
        <f>IFERROR(__xludf.DUMMYFUNCTION("""COMPUTED_VALUE"""),"SortRTSFM")</f>
        <v>SortRTSFM</v>
      </c>
      <c r="Y4" s="19" t="str">
        <f>IFERROR(__xludf.DUMMYFUNCTION("""COMPUTED_VALUE"""),"SortSLA")</f>
        <v>SortSLA</v>
      </c>
      <c r="Z4" s="19" t="str">
        <f>IFERROR(__xludf.DUMMYFUNCTION("""COMPUTED_VALUE"""),"SortFLA")</f>
        <v>SortFLA</v>
      </c>
      <c r="AA4" s="19" t="str">
        <f>IFERROR(__xludf.DUMMYFUNCTION("""COMPUTED_VALUE"""),"SortALA")</f>
        <v>SortALA</v>
      </c>
      <c r="AB4" s="19" t="str">
        <f>IFERROR(__xludf.DUMMYFUNCTION("""COMPUTED_VALUE"""),"FilterSLA")</f>
        <v>FilterSLA</v>
      </c>
      <c r="AC4" s="19" t="str">
        <f>IFERROR(__xludf.DUMMYFUNCTION("""COMPUTED_VALUE"""),"FilterRTSFM")</f>
        <v>FilterRTSFM</v>
      </c>
      <c r="AD4" s="19" t="str">
        <f>IFERROR(__xludf.DUMMYFUNCTION("""COMPUTED_VALUE"""),"FilterALA")</f>
        <v>FilterALA</v>
      </c>
      <c r="AE4" s="19" t="str">
        <f>IFERROR(__xludf.DUMMYFUNCTION("""COMPUTED_VALUE"""),"FilterFLA")</f>
        <v>FilterFLA</v>
      </c>
      <c r="AF4" s="19" t="str">
        <f>IFERROR(__xludf.DUMMYFUNCTION("""COMPUTED_VALUE"""),"SortRTSAM")</f>
        <v>SortRTSAM</v>
      </c>
      <c r="AG4" s="19" t="str">
        <f>IFERROR(__xludf.DUMMYFUNCTION("""COMPUTED_VALUE"""),"FilterRTSAM")</f>
        <v>FilterRTSAM</v>
      </c>
      <c r="AH4" s="19" t="str">
        <f>IFERROR(__xludf.DUMMYFUNCTION("""COMPUTED_VALUE"""),"SortRTSAM")</f>
        <v>SortRTSAM</v>
      </c>
      <c r="AI4" s="19" t="str">
        <f>IFERROR(__xludf.DUMMYFUNCTION("""COMPUTED_VALUE"""),"IncreaseOrUnwindPositionRTPNL")</f>
        <v>IncreaseOrUnwindPositionRTPNL</v>
      </c>
      <c r="AJ4" s="19" t="str">
        <f>IFERROR(__xludf.DUMMYFUNCTION("""COMPUTED_VALUE"""),"SavePage")</f>
        <v>SavePage</v>
      </c>
      <c r="AK4" s="19" t="str">
        <f>IFERROR(__xludf.DUMMYFUNCTION("""COMPUTED_VALUE"""),"CloseRTPNL")</f>
        <v>CloseRTPNL</v>
      </c>
      <c r="AL4" s="19" t="str">
        <f>IFERROR(__xludf.DUMMYFUNCTION("""COMPUTED_VALUE"""),"VerifyColumns")</f>
        <v>VerifyColumns</v>
      </c>
      <c r="AM4" s="19" t="str">
        <f>IFERROR(__xludf.DUMMYFUNCTION("""COMPUTED_VALUE"""),"ConfigureWidget")</f>
        <v>ConfigureWidget</v>
      </c>
      <c r="AN4" s="19" t="str">
        <f>IFERROR(__xludf.DUMMYFUNCTION("""COMPUTED_VALUE"""),"ChangeWidgetView")</f>
        <v>ChangeWidgetView</v>
      </c>
      <c r="AO4" s="19" t="str">
        <f>IFERROR(__xludf.DUMMYFUNCTION("""COMPUTED_VALUE"""),"ResizeEnsure")</f>
        <v>ResizeEnsure</v>
      </c>
      <c r="AP4" s="19" t="str">
        <f>IFERROR(__xludf.DUMMYFUNCTION("""COMPUTED_VALUE"""),"RenameTabs")</f>
        <v>RenameTabs</v>
      </c>
      <c r="AQ4" s="19" t="str">
        <f>IFERROR(__xludf.DUMMYFUNCTION("""COMPUTED_VALUE"""),"AddTabRTPNL")</f>
        <v>AddTabRTPNL</v>
      </c>
      <c r="AR4" s="19" t="str">
        <f>IFERROR(__xludf.DUMMYFUNCTION("""COMPUTED_VALUE"""),"MergeWindows")</f>
        <v>MergeWindows</v>
      </c>
      <c r="AS4" s="19" t="str">
        <f>IFERROR(__xludf.DUMMYFUNCTION("""COMPUTED_VALUE"""),"Grouping")</f>
        <v>Grouping</v>
      </c>
      <c r="AT4" s="19" t="str">
        <f>IFERROR(__xludf.DUMMYFUNCTION("""COMPUTED_VALUE"""),"CreateGroupingWidget")</f>
        <v>CreateGroupingWidget</v>
      </c>
      <c r="AU4" s="19" t="str">
        <f>IFERROR(__xludf.DUMMYFUNCTION("""COMPUTED_VALUE"""),"CheckGroupingWidget")</f>
        <v>CheckGroupingWidget</v>
      </c>
      <c r="AV4" s="19" t="str">
        <f>IFERROR(__xludf.DUMMYFUNCTION("""COMPUTED_VALUE"""),"VerifyL1L2PanelRTPNL")</f>
        <v>VerifyL1L2PanelRTPNL</v>
      </c>
      <c r="AW4" s="19" t="str">
        <f>IFERROR(__xludf.DUMMYFUNCTION("""COMPUTED_VALUE"""),"VerifyGridThroughLiveExcel")</f>
        <v>VerifyGridThroughLiveExcel</v>
      </c>
      <c r="AX4" s="19" t="str">
        <f>IFERROR(__xludf.DUMMYFUNCTION("""COMPUTED_VALUE"""),"ApplyColumnFilter")</f>
        <v>ApplyColumnFilter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IFERROR(__xludf.DUMMYFUNCTION("""COMPUTED_VALUE"""),"DashboardName")</f>
        <v>DashboardName</v>
      </c>
      <c r="C5" s="21" t="str">
        <f>IFERROR(__xludf.DUMMYFUNCTION("""COMPUTED_VALUE"""),"WidgetName")</f>
        <v>WidgetName</v>
      </c>
      <c r="D5" s="21" t="str">
        <f>IFERROR(__xludf.DUMMYFUNCTION("""COMPUTED_VALUE"""),"ColumnsToAdd")</f>
        <v>ColumnsToAdd</v>
      </c>
      <c r="E5" s="21" t="str">
        <f>IFERROR(__xludf.DUMMYFUNCTION("""COMPUTED_VALUE"""),"DashBoardType")</f>
        <v>DashBoardType</v>
      </c>
      <c r="F5" s="21" t="str">
        <f>IFERROR(__xludf.DUMMYFUNCTION("""COMPUTED_VALUE"""),"DashBoardLevel")</f>
        <v>DashBoardLevel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24"/>
      <c r="B6" s="23" t="s">
        <v>22</v>
      </c>
      <c r="C6" s="24" t="s">
        <v>24</v>
      </c>
      <c r="D6" s="24"/>
      <c r="E6" s="23" t="s">
        <v>25</v>
      </c>
      <c r="F6" s="23" t="s">
        <v>26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19</v>
      </c>
      <c r="D3" s="4" t="s">
        <v>9</v>
      </c>
      <c r="E3" s="10" t="s">
        <v>27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IFERROR(__xludf.DUMMYFUNCTION("IF(C3="""","""",Transpose(IMPORTRANGE('_Settings'!$B$3,C3&amp;""!A4:A1000"")))"),"CheckSummaryDashboard")</f>
        <v>CheckSummaryDashboard</v>
      </c>
      <c r="C4" s="18" t="str">
        <f>IFERROR(__xludf.DUMMYFUNCTION("""COMPUTED_VALUE"""),"CheckFundLevelAggregation")</f>
        <v>CheckFundLevelAggregation</v>
      </c>
      <c r="D4" s="18" t="str">
        <f>IFERROR(__xludf.DUMMYFUNCTION("""COMPUTED_VALUE"""),"CheckAccountLevelAggregation")</f>
        <v>CheckAccountLevelAggregation</v>
      </c>
      <c r="E4" s="18" t="str">
        <f>IFERROR(__xludf.DUMMYFUNCTION("""COMPUTED_VALUE"""),"CheckSymbolLevelAggregation")</f>
        <v>CheckSymbolLevelAggregation</v>
      </c>
      <c r="F4" s="18" t="str">
        <f>IFERROR(__xludf.DUMMYFUNCTION("""COMPUTED_VALUE"""),"CheckRealTimeSymbolFundMonitor")</f>
        <v>CheckRealTimeSymbolFundMonitor</v>
      </c>
      <c r="G4" s="18" t="str">
        <f>IFERROR(__xludf.DUMMYFUNCTION("""COMPUTED_VALUE"""),"CheckRealTimeSymAccountMonitor")</f>
        <v>CheckRealTimeSymAccountMonitor</v>
      </c>
      <c r="H4" s="18" t="str">
        <f>IFERROR(__xludf.DUMMYFUNCTION("""COMPUTED_VALUE"""),"CreateDashBoard")</f>
        <v>CreateDashBoard</v>
      </c>
      <c r="I4" s="18" t="str">
        <f>IFERROR(__xludf.DUMMYFUNCTION("""COMPUTED_VALUE"""),"UpdateDashboardName")</f>
        <v>UpdateDashboardName</v>
      </c>
      <c r="J4" s="18" t="str">
        <f>IFERROR(__xludf.DUMMYFUNCTION("""COMPUTED_VALUE"""),"AddWidget")</f>
        <v>AddWidget</v>
      </c>
      <c r="K4" s="18" t="str">
        <f>IFERROR(__xludf.DUMMYFUNCTION("""COMPUTED_VALUE"""),"CheckDashboardWidgetTitle")</f>
        <v>CheckDashboardWidgetTitle</v>
      </c>
      <c r="L4" s="18" t="str">
        <f>IFERROR(__xludf.DUMMYFUNCTION("""COMPUTED_VALUE"""),"updateWidget")</f>
        <v>updateWidget</v>
      </c>
      <c r="M4" s="18" t="str">
        <f>IFERROR(__xludf.DUMMYFUNCTION("""COMPUTED_VALUE"""),"OpenRTPNL")</f>
        <v>OpenRTPNL</v>
      </c>
      <c r="N4" s="18" t="str">
        <f>IFERROR(__xludf.DUMMYFUNCTION("""COMPUTED_VALUE"""),"LinkDashboardTabs")</f>
        <v>LinkDashboardTabs</v>
      </c>
      <c r="O4" s="18" t="str">
        <f>IFERROR(__xludf.DUMMYFUNCTION("""COMPUTED_VALUE"""),"SelectDashboardTabRow")</f>
        <v>SelectDashboardTabRow</v>
      </c>
      <c r="P4" s="19" t="str">
        <f>IFERROR(__xludf.DUMMYFUNCTION("""COMPUTED_VALUE"""),"SelectRowAtFLAggregation")</f>
        <v>SelectRowAtFLAggregation</v>
      </c>
      <c r="Q4" s="19" t="str">
        <f>IFERROR(__xludf.DUMMYFUNCTION("""COMPUTED_VALUE"""),"SelectRowAtALAggregation")</f>
        <v>SelectRowAtALAggregation</v>
      </c>
      <c r="R4" s="19" t="str">
        <f>IFERROR(__xludf.DUMMYFUNCTION("""COMPUTED_VALUE"""),"SelectRowAtSLAggregation")</f>
        <v>SelectRowAtSLAggregation</v>
      </c>
      <c r="S4" s="19" t="str">
        <f>IFERROR(__xludf.DUMMYFUNCTION("""COMPUTED_VALUE"""),"SelectRowAtRTSFundMonitor")</f>
        <v>SelectRowAtRTSFundMonitor</v>
      </c>
      <c r="T4" s="19" t="str">
        <f>IFERROR(__xludf.DUMMYFUNCTION("""COMPUTED_VALUE"""),"SelectRowAtRTSAccountMonitor")</f>
        <v>SelectRowAtRTSAccountMonitor</v>
      </c>
      <c r="U4" s="19" t="str">
        <f>IFERROR(__xludf.DUMMYFUNCTION("""COMPUTED_VALUE"""),"FilterOnPMGrid")</f>
        <v>FilterOnPMGrid</v>
      </c>
      <c r="V4" s="19" t="str">
        <f>IFERROR(__xludf.DUMMYFUNCTION("""COMPUTED_VALUE"""),"SortOnPMGrid")</f>
        <v>SortOnPMGrid</v>
      </c>
      <c r="W4" s="19" t="str">
        <f>IFERROR(__xludf.DUMMYFUNCTION("""COMPUTED_VALUE"""),"ExtractTabOutsidePMDashboard")</f>
        <v>ExtractTabOutsidePMDashboard</v>
      </c>
      <c r="X4" s="19" t="str">
        <f>IFERROR(__xludf.DUMMYFUNCTION("""COMPUTED_VALUE"""),"SortRTSFM")</f>
        <v>SortRTSFM</v>
      </c>
      <c r="Y4" s="19" t="str">
        <f>IFERROR(__xludf.DUMMYFUNCTION("""COMPUTED_VALUE"""),"SortSLA")</f>
        <v>SortSLA</v>
      </c>
      <c r="Z4" s="19" t="str">
        <f>IFERROR(__xludf.DUMMYFUNCTION("""COMPUTED_VALUE"""),"SortFLA")</f>
        <v>SortFLA</v>
      </c>
      <c r="AA4" s="19" t="str">
        <f>IFERROR(__xludf.DUMMYFUNCTION("""COMPUTED_VALUE"""),"SortALA")</f>
        <v>SortALA</v>
      </c>
      <c r="AB4" s="19" t="str">
        <f>IFERROR(__xludf.DUMMYFUNCTION("""COMPUTED_VALUE"""),"FilterSLA")</f>
        <v>FilterSLA</v>
      </c>
      <c r="AC4" s="19" t="str">
        <f>IFERROR(__xludf.DUMMYFUNCTION("""COMPUTED_VALUE"""),"FilterRTSFM")</f>
        <v>FilterRTSFM</v>
      </c>
      <c r="AD4" s="19" t="str">
        <f>IFERROR(__xludf.DUMMYFUNCTION("""COMPUTED_VALUE"""),"FilterALA")</f>
        <v>FilterALA</v>
      </c>
      <c r="AE4" s="19" t="str">
        <f>IFERROR(__xludf.DUMMYFUNCTION("""COMPUTED_VALUE"""),"FilterFLA")</f>
        <v>FilterFLA</v>
      </c>
      <c r="AF4" s="19" t="str">
        <f>IFERROR(__xludf.DUMMYFUNCTION("""COMPUTED_VALUE"""),"SortRTSAM")</f>
        <v>SortRTSAM</v>
      </c>
      <c r="AG4" s="19" t="str">
        <f>IFERROR(__xludf.DUMMYFUNCTION("""COMPUTED_VALUE"""),"FilterRTSAM")</f>
        <v>FilterRTSAM</v>
      </c>
      <c r="AH4" s="19" t="str">
        <f>IFERROR(__xludf.DUMMYFUNCTION("""COMPUTED_VALUE"""),"SortRTSAM")</f>
        <v>SortRTSAM</v>
      </c>
      <c r="AI4" s="19" t="str">
        <f>IFERROR(__xludf.DUMMYFUNCTION("""COMPUTED_VALUE"""),"IncreaseOrUnwindPositionRTPNL")</f>
        <v>IncreaseOrUnwindPositionRTPNL</v>
      </c>
      <c r="AJ4" s="19" t="str">
        <f>IFERROR(__xludf.DUMMYFUNCTION("""COMPUTED_VALUE"""),"SavePage")</f>
        <v>SavePage</v>
      </c>
      <c r="AK4" s="19" t="str">
        <f>IFERROR(__xludf.DUMMYFUNCTION("""COMPUTED_VALUE"""),"CloseRTPNL")</f>
        <v>CloseRTPNL</v>
      </c>
      <c r="AL4" s="19" t="str">
        <f>IFERROR(__xludf.DUMMYFUNCTION("""COMPUTED_VALUE"""),"VerifyColumns")</f>
        <v>VerifyColumns</v>
      </c>
      <c r="AM4" s="19" t="str">
        <f>IFERROR(__xludf.DUMMYFUNCTION("""COMPUTED_VALUE"""),"ConfigureWidget")</f>
        <v>ConfigureWidget</v>
      </c>
      <c r="AN4" s="19" t="str">
        <f>IFERROR(__xludf.DUMMYFUNCTION("""COMPUTED_VALUE"""),"ChangeWidgetView")</f>
        <v>ChangeWidgetView</v>
      </c>
      <c r="AO4" s="19" t="str">
        <f>IFERROR(__xludf.DUMMYFUNCTION("""COMPUTED_VALUE"""),"ResizeEnsure")</f>
        <v>ResizeEnsure</v>
      </c>
      <c r="AP4" s="19" t="str">
        <f>IFERROR(__xludf.DUMMYFUNCTION("""COMPUTED_VALUE"""),"RenameTabs")</f>
        <v>RenameTabs</v>
      </c>
      <c r="AQ4" s="19" t="str">
        <f>IFERROR(__xludf.DUMMYFUNCTION("""COMPUTED_VALUE"""),"AddTabRTPNL")</f>
        <v>AddTabRTPNL</v>
      </c>
      <c r="AR4" s="19" t="str">
        <f>IFERROR(__xludf.DUMMYFUNCTION("""COMPUTED_VALUE"""),"MergeWindows")</f>
        <v>MergeWindows</v>
      </c>
      <c r="AS4" s="19" t="str">
        <f>IFERROR(__xludf.DUMMYFUNCTION("""COMPUTED_VALUE"""),"Grouping")</f>
        <v>Grouping</v>
      </c>
      <c r="AT4" s="19" t="str">
        <f>IFERROR(__xludf.DUMMYFUNCTION("""COMPUTED_VALUE"""),"CreateGroupingWidget")</f>
        <v>CreateGroupingWidget</v>
      </c>
      <c r="AU4" s="19" t="str">
        <f>IFERROR(__xludf.DUMMYFUNCTION("""COMPUTED_VALUE"""),"CheckGroupingWidget")</f>
        <v>CheckGroupingWidget</v>
      </c>
      <c r="AV4" s="19" t="str">
        <f>IFERROR(__xludf.DUMMYFUNCTION("""COMPUTED_VALUE"""),"VerifyL1L2PanelRTPNL")</f>
        <v>VerifyL1L2PanelRTPNL</v>
      </c>
      <c r="AW4" s="19" t="str">
        <f>IFERROR(__xludf.DUMMYFUNCTION("""COMPUTED_VALUE"""),"VerifyGridThroughLiveExcel")</f>
        <v>VerifyGridThroughLiveExcel</v>
      </c>
      <c r="AX4" s="19" t="str">
        <f>IFERROR(__xludf.DUMMYFUNCTION("""COMPUTED_VALUE"""),"ApplyColumnFilter")</f>
        <v>ApplyColumnFilter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IFERROR(__xludf.DUMMYFUNCTION("""COMPUTED_VALUE"""),"Chip 1")</f>
        <v>Chip 1</v>
      </c>
      <c r="C5" s="21" t="str">
        <f>IFERROR(__xludf.DUMMYFUNCTION("""COMPUTED_VALUE"""),"Chip 2")</f>
        <v>Chip 2</v>
      </c>
      <c r="D5" s="21" t="str">
        <f>IFERROR(__xludf.DUMMYFUNCTION("""COMPUTED_VALUE"""),"Chip 3")</f>
        <v>Chip 3</v>
      </c>
      <c r="E5" s="21" t="str">
        <f>IFERROR(__xludf.DUMMYFUNCTION("""COMPUTED_VALUE"""),"MakeColumFavourite")</f>
        <v>MakeColumFavourite</v>
      </c>
      <c r="F5" s="21" t="str">
        <f>IFERROR(__xludf.DUMMYFUNCTION("""COMPUTED_VALUE"""),"MakeColumnUnfavourite")</f>
        <v>MakeColumnUnfavourite</v>
      </c>
      <c r="G5" s="21" t="str">
        <f>IFERROR(__xludf.DUMMYFUNCTION("""COMPUTED_VALUE"""),"ColumnsToAdd")</f>
        <v>ColumnsToAdd</v>
      </c>
      <c r="H5" s="21" t="str">
        <f>IFERROR(__xludf.DUMMYFUNCTION("""COMPUTED_VALUE"""),"Verify Chip Values")</f>
        <v>Verify Chip Values</v>
      </c>
      <c r="I5" s="21" t="str">
        <f>IFERROR(__xludf.DUMMYFUNCTION("""COMPUTED_VALUE"""),"NextAction")</f>
        <v>NextAction</v>
      </c>
      <c r="J5" s="21" t="str">
        <f>IFERROR(__xludf.DUMMYFUNCTION("""COMPUTED_VALUE"""),"VerifyActionButtonVisibility")</f>
        <v>VerifyActionButtonVisibility</v>
      </c>
      <c r="K5" s="21" t="str">
        <f>IFERROR(__xludf.DUMMYFUNCTION("""COMPUTED_VALUE"""),"FlashButton")</f>
        <v>FlashButton</v>
      </c>
      <c r="L5" s="21" t="str">
        <f>IFERROR(__xludf.DUMMYFUNCTION("""COMPUTED_VALUE"""),"ColumnsToCheckForFlash")</f>
        <v>ColumnsToCheckForFlash</v>
      </c>
      <c r="M5" s="21" t="str">
        <f>IFERROR(__xludf.DUMMYFUNCTION("""COMPUTED_VALUE"""),"LinkWidgetColor")</f>
        <v>LinkWidgetColor</v>
      </c>
      <c r="N5" s="21" t="str">
        <f>IFERROR(__xludf.DUMMYFUNCTION("""COMPUTED_VALUE"""),"ColumnsToAdd2")</f>
        <v>ColumnsToAdd2</v>
      </c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6"/>
      <c r="B6" s="6"/>
      <c r="C6" s="6"/>
      <c r="D6" s="26" t="s">
        <v>28</v>
      </c>
      <c r="E6" s="6"/>
      <c r="F6" s="6"/>
      <c r="G6" s="6" t="s">
        <v>29</v>
      </c>
      <c r="H6" s="6"/>
      <c r="I6" s="23" t="s">
        <v>30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19</v>
      </c>
      <c r="D3" s="4" t="s">
        <v>9</v>
      </c>
      <c r="E3" s="10" t="s">
        <v>23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IFERROR(__xludf.DUMMYFUNCTION("IF(C3="""","""",Transpose(IMPORTRANGE('_Settings'!$B$3,C3&amp;""!A4:A1000"")))"),"CheckSummaryDashboard")</f>
        <v>CheckSummaryDashboard</v>
      </c>
      <c r="C4" s="18" t="str">
        <f>IFERROR(__xludf.DUMMYFUNCTION("""COMPUTED_VALUE"""),"CheckFundLevelAggregation")</f>
        <v>CheckFundLevelAggregation</v>
      </c>
      <c r="D4" s="18" t="str">
        <f>IFERROR(__xludf.DUMMYFUNCTION("""COMPUTED_VALUE"""),"CheckAccountLevelAggregation")</f>
        <v>CheckAccountLevelAggregation</v>
      </c>
      <c r="E4" s="18" t="str">
        <f>IFERROR(__xludf.DUMMYFUNCTION("""COMPUTED_VALUE"""),"CheckSymbolLevelAggregation")</f>
        <v>CheckSymbolLevelAggregation</v>
      </c>
      <c r="F4" s="18" t="str">
        <f>IFERROR(__xludf.DUMMYFUNCTION("""COMPUTED_VALUE"""),"CheckRealTimeSymbolFundMonitor")</f>
        <v>CheckRealTimeSymbolFundMonitor</v>
      </c>
      <c r="G4" s="18" t="str">
        <f>IFERROR(__xludf.DUMMYFUNCTION("""COMPUTED_VALUE"""),"CheckRealTimeSymAccountMonitor")</f>
        <v>CheckRealTimeSymAccountMonitor</v>
      </c>
      <c r="H4" s="18" t="str">
        <f>IFERROR(__xludf.DUMMYFUNCTION("""COMPUTED_VALUE"""),"CreateDashBoard")</f>
        <v>CreateDashBoard</v>
      </c>
      <c r="I4" s="18" t="str">
        <f>IFERROR(__xludf.DUMMYFUNCTION("""COMPUTED_VALUE"""),"UpdateDashboardName")</f>
        <v>UpdateDashboardName</v>
      </c>
      <c r="J4" s="18" t="str">
        <f>IFERROR(__xludf.DUMMYFUNCTION("""COMPUTED_VALUE"""),"AddWidget")</f>
        <v>AddWidget</v>
      </c>
      <c r="K4" s="18" t="str">
        <f>IFERROR(__xludf.DUMMYFUNCTION("""COMPUTED_VALUE"""),"CheckDashboardWidgetTitle")</f>
        <v>CheckDashboardWidgetTitle</v>
      </c>
      <c r="L4" s="18" t="str">
        <f>IFERROR(__xludf.DUMMYFUNCTION("""COMPUTED_VALUE"""),"updateWidget")</f>
        <v>updateWidget</v>
      </c>
      <c r="M4" s="18" t="str">
        <f>IFERROR(__xludf.DUMMYFUNCTION("""COMPUTED_VALUE"""),"OpenRTPNL")</f>
        <v>OpenRTPNL</v>
      </c>
      <c r="N4" s="18" t="str">
        <f>IFERROR(__xludf.DUMMYFUNCTION("""COMPUTED_VALUE"""),"LinkDashboardTabs")</f>
        <v>LinkDashboardTabs</v>
      </c>
      <c r="O4" s="18" t="str">
        <f>IFERROR(__xludf.DUMMYFUNCTION("""COMPUTED_VALUE"""),"SelectDashboardTabRow")</f>
        <v>SelectDashboardTabRow</v>
      </c>
      <c r="P4" s="19" t="str">
        <f>IFERROR(__xludf.DUMMYFUNCTION("""COMPUTED_VALUE"""),"SelectRowAtFLAggregation")</f>
        <v>SelectRowAtFLAggregation</v>
      </c>
      <c r="Q4" s="19" t="str">
        <f>IFERROR(__xludf.DUMMYFUNCTION("""COMPUTED_VALUE"""),"SelectRowAtALAggregation")</f>
        <v>SelectRowAtALAggregation</v>
      </c>
      <c r="R4" s="19" t="str">
        <f>IFERROR(__xludf.DUMMYFUNCTION("""COMPUTED_VALUE"""),"SelectRowAtSLAggregation")</f>
        <v>SelectRowAtSLAggregation</v>
      </c>
      <c r="S4" s="19" t="str">
        <f>IFERROR(__xludf.DUMMYFUNCTION("""COMPUTED_VALUE"""),"SelectRowAtRTSFundMonitor")</f>
        <v>SelectRowAtRTSFundMonitor</v>
      </c>
      <c r="T4" s="19" t="str">
        <f>IFERROR(__xludf.DUMMYFUNCTION("""COMPUTED_VALUE"""),"SelectRowAtRTSAccountMonitor")</f>
        <v>SelectRowAtRTSAccountMonitor</v>
      </c>
      <c r="U4" s="19" t="str">
        <f>IFERROR(__xludf.DUMMYFUNCTION("""COMPUTED_VALUE"""),"FilterOnPMGrid")</f>
        <v>FilterOnPMGrid</v>
      </c>
      <c r="V4" s="19" t="str">
        <f>IFERROR(__xludf.DUMMYFUNCTION("""COMPUTED_VALUE"""),"SortOnPMGrid")</f>
        <v>SortOnPMGrid</v>
      </c>
      <c r="W4" s="19" t="str">
        <f>IFERROR(__xludf.DUMMYFUNCTION("""COMPUTED_VALUE"""),"ExtractTabOutsidePMDashboard")</f>
        <v>ExtractTabOutsidePMDashboard</v>
      </c>
      <c r="X4" s="19" t="str">
        <f>IFERROR(__xludf.DUMMYFUNCTION("""COMPUTED_VALUE"""),"SortRTSFM")</f>
        <v>SortRTSFM</v>
      </c>
      <c r="Y4" s="19" t="str">
        <f>IFERROR(__xludf.DUMMYFUNCTION("""COMPUTED_VALUE"""),"SortSLA")</f>
        <v>SortSLA</v>
      </c>
      <c r="Z4" s="19" t="str">
        <f>IFERROR(__xludf.DUMMYFUNCTION("""COMPUTED_VALUE"""),"SortFLA")</f>
        <v>SortFLA</v>
      </c>
      <c r="AA4" s="19" t="str">
        <f>IFERROR(__xludf.DUMMYFUNCTION("""COMPUTED_VALUE"""),"SortALA")</f>
        <v>SortALA</v>
      </c>
      <c r="AB4" s="19" t="str">
        <f>IFERROR(__xludf.DUMMYFUNCTION("""COMPUTED_VALUE"""),"FilterSLA")</f>
        <v>FilterSLA</v>
      </c>
      <c r="AC4" s="19" t="str">
        <f>IFERROR(__xludf.DUMMYFUNCTION("""COMPUTED_VALUE"""),"FilterRTSFM")</f>
        <v>FilterRTSFM</v>
      </c>
      <c r="AD4" s="19" t="str">
        <f>IFERROR(__xludf.DUMMYFUNCTION("""COMPUTED_VALUE"""),"FilterALA")</f>
        <v>FilterALA</v>
      </c>
      <c r="AE4" s="19" t="str">
        <f>IFERROR(__xludf.DUMMYFUNCTION("""COMPUTED_VALUE"""),"FilterFLA")</f>
        <v>FilterFLA</v>
      </c>
      <c r="AF4" s="19" t="str">
        <f>IFERROR(__xludf.DUMMYFUNCTION("""COMPUTED_VALUE"""),"SortRTSAM")</f>
        <v>SortRTSAM</v>
      </c>
      <c r="AG4" s="19" t="str">
        <f>IFERROR(__xludf.DUMMYFUNCTION("""COMPUTED_VALUE"""),"FilterRTSAM")</f>
        <v>FilterRTSAM</v>
      </c>
      <c r="AH4" s="19" t="str">
        <f>IFERROR(__xludf.DUMMYFUNCTION("""COMPUTED_VALUE"""),"SortRTSAM")</f>
        <v>SortRTSAM</v>
      </c>
      <c r="AI4" s="19" t="str">
        <f>IFERROR(__xludf.DUMMYFUNCTION("""COMPUTED_VALUE"""),"IncreaseOrUnwindPositionRTPNL")</f>
        <v>IncreaseOrUnwindPositionRTPNL</v>
      </c>
      <c r="AJ4" s="19" t="str">
        <f>IFERROR(__xludf.DUMMYFUNCTION("""COMPUTED_VALUE"""),"SavePage")</f>
        <v>SavePage</v>
      </c>
      <c r="AK4" s="19" t="str">
        <f>IFERROR(__xludf.DUMMYFUNCTION("""COMPUTED_VALUE"""),"CloseRTPNL")</f>
        <v>CloseRTPNL</v>
      </c>
      <c r="AL4" s="19" t="str">
        <f>IFERROR(__xludf.DUMMYFUNCTION("""COMPUTED_VALUE"""),"VerifyColumns")</f>
        <v>VerifyColumns</v>
      </c>
      <c r="AM4" s="19" t="str">
        <f>IFERROR(__xludf.DUMMYFUNCTION("""COMPUTED_VALUE"""),"ConfigureWidget")</f>
        <v>ConfigureWidget</v>
      </c>
      <c r="AN4" s="19" t="str">
        <f>IFERROR(__xludf.DUMMYFUNCTION("""COMPUTED_VALUE"""),"ChangeWidgetView")</f>
        <v>ChangeWidgetView</v>
      </c>
      <c r="AO4" s="19" t="str">
        <f>IFERROR(__xludf.DUMMYFUNCTION("""COMPUTED_VALUE"""),"ResizeEnsure")</f>
        <v>ResizeEnsure</v>
      </c>
      <c r="AP4" s="19" t="str">
        <f>IFERROR(__xludf.DUMMYFUNCTION("""COMPUTED_VALUE"""),"RenameTabs")</f>
        <v>RenameTabs</v>
      </c>
      <c r="AQ4" s="19" t="str">
        <f>IFERROR(__xludf.DUMMYFUNCTION("""COMPUTED_VALUE"""),"AddTabRTPNL")</f>
        <v>AddTabRTPNL</v>
      </c>
      <c r="AR4" s="19" t="str">
        <f>IFERROR(__xludf.DUMMYFUNCTION("""COMPUTED_VALUE"""),"MergeWindows")</f>
        <v>MergeWindows</v>
      </c>
      <c r="AS4" s="19" t="str">
        <f>IFERROR(__xludf.DUMMYFUNCTION("""COMPUTED_VALUE"""),"Grouping")</f>
        <v>Grouping</v>
      </c>
      <c r="AT4" s="19" t="str">
        <f>IFERROR(__xludf.DUMMYFUNCTION("""COMPUTED_VALUE"""),"CreateGroupingWidget")</f>
        <v>CreateGroupingWidget</v>
      </c>
      <c r="AU4" s="19" t="str">
        <f>IFERROR(__xludf.DUMMYFUNCTION("""COMPUTED_VALUE"""),"CheckGroupingWidget")</f>
        <v>CheckGroupingWidget</v>
      </c>
      <c r="AV4" s="19" t="str">
        <f>IFERROR(__xludf.DUMMYFUNCTION("""COMPUTED_VALUE"""),"VerifyL1L2PanelRTPNL")</f>
        <v>VerifyL1L2PanelRTPNL</v>
      </c>
      <c r="AW4" s="19" t="str">
        <f>IFERROR(__xludf.DUMMYFUNCTION("""COMPUTED_VALUE"""),"VerifyGridThroughLiveExcel")</f>
        <v>VerifyGridThroughLiveExcel</v>
      </c>
      <c r="AX4" s="19" t="str">
        <f>IFERROR(__xludf.DUMMYFUNCTION("""COMPUTED_VALUE"""),"ApplyColumnFilter")</f>
        <v>ApplyColumnFilter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IFERROR(__xludf.DUMMYFUNCTION("""COMPUTED_VALUE"""),"DashboardName")</f>
        <v>DashboardName</v>
      </c>
      <c r="C5" s="21" t="str">
        <f>IFERROR(__xludf.DUMMYFUNCTION("""COMPUTED_VALUE"""),"WidgetName")</f>
        <v>WidgetName</v>
      </c>
      <c r="D5" s="21" t="str">
        <f>IFERROR(__xludf.DUMMYFUNCTION("""COMPUTED_VALUE"""),"ColumnsToAdd")</f>
        <v>ColumnsToAdd</v>
      </c>
      <c r="E5" s="21" t="str">
        <f>IFERROR(__xludf.DUMMYFUNCTION("""COMPUTED_VALUE"""),"DashBoardType")</f>
        <v>DashBoardType</v>
      </c>
      <c r="F5" s="21" t="str">
        <f>IFERROR(__xludf.DUMMYFUNCTION("""COMPUTED_VALUE"""),"DashBoardLevel")</f>
        <v>DashBoardLevel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24"/>
      <c r="B6" s="23" t="s">
        <v>22</v>
      </c>
      <c r="C6" s="24" t="s">
        <v>31</v>
      </c>
      <c r="D6" s="24"/>
      <c r="E6" s="23" t="s">
        <v>25</v>
      </c>
      <c r="F6" s="23" t="s">
        <v>26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32</v>
      </c>
      <c r="D3" s="4" t="s">
        <v>9</v>
      </c>
      <c r="E3" s="10" t="s">
        <v>33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</row>
    <row r="4" ht="15.75" customHeight="1">
      <c r="A4" s="18"/>
      <c r="B4" s="18" t="str">
        <f>IFERROR(__xludf.DUMMYFUNCTION("IF(C3="""","""",Transpose(IMPORTRANGE('_Settings'!$B$3,C3&amp;""!A4:A1000"")))"),"CheckOpenFinWindowName")</f>
        <v>CheckOpenFinWindowName</v>
      </c>
      <c r="C4" s="18" t="str">
        <f>IFERROR(__xludf.DUMMYFUNCTION("""COMPUTED_VALUE"""),"OpenWindowFromSearch")</f>
        <v>OpenWindowFromSearch</v>
      </c>
      <c r="D4" s="18" t="str">
        <f>IFERROR(__xludf.DUMMYFUNCTION("""COMPUTED_VALUE"""),"VerifyColour")</f>
        <v>VerifyColour</v>
      </c>
      <c r="E4" s="18" t="str">
        <f>IFERROR(__xludf.DUMMYFUNCTION("""COMPUTED_VALUE"""),"OpenReleaseClient")</f>
        <v>OpenReleaseClient</v>
      </c>
      <c r="F4" s="18" t="str">
        <f>IFERROR(__xludf.DUMMYFUNCTION("""COMPUTED_VALUE"""),"ActionOnPageFromSearch")</f>
        <v>ActionOnPageFromSearch</v>
      </c>
      <c r="G4" s="18" t="str">
        <f>IFERROR(__xludf.DUMMYFUNCTION("""COMPUTED_VALUE"""),"SavePageView")</f>
        <v>SavePageView</v>
      </c>
      <c r="H4" s="18" t="str">
        <f>IFERROR(__xludf.DUMMYFUNCTION("""COMPUTED_VALUE"""),"ChangeThemeOnModule")</f>
        <v>ChangeThemeOnModule</v>
      </c>
      <c r="I4" s="18" t="str">
        <f>IFERROR(__xludf.DUMMYFUNCTION("""COMPUTED_VALUE"""),"CloseService")</f>
        <v>CloseService</v>
      </c>
      <c r="J4" s="18" t="str">
        <f>IFERROR(__xludf.DUMMYFUNCTION("""COMPUTED_VALUE"""),"LogOutSamsara")</f>
        <v>LogOutSamsara</v>
      </c>
      <c r="K4" s="18" t="str">
        <f>IFERROR(__xludf.DUMMYFUNCTION("""COMPUTED_VALUE"""),"ResizeEnsure")</f>
        <v>ResizeEnsure</v>
      </c>
      <c r="L4" s="18" t="str">
        <f>IFERROR(__xludf.DUMMYFUNCTION("""COMPUTED_VALUE"""),"VerifyNotification")</f>
        <v>VerifyNotification</v>
      </c>
      <c r="M4" s="18" t="str">
        <f>IFERROR(__xludf.DUMMYFUNCTION("""COMPUTED_VALUE"""),"LockUnlockModule")</f>
        <v>LockUnlockModule</v>
      </c>
      <c r="N4" s="18" t="str">
        <f>IFERROR(__xludf.DUMMYFUNCTION("""COMPUTED_VALUE"""),"OpenModuleFromDock")</f>
        <v>OpenModuleFromDock</v>
      </c>
      <c r="O4" s="18" t="str">
        <f>IFERROR(__xludf.DUMMYFUNCTION("""COMPUTED_VALUE"""),"SavePageRTPNL")</f>
        <v>SavePageRTPNL</v>
      </c>
      <c r="P4" s="19" t="str">
        <f>IFERROR(__xludf.DUMMYFUNCTION("""COMPUTED_VALUE"""),"VerifyToastMessage")</f>
        <v>VerifyToastMessage</v>
      </c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IFERROR(__xludf.DUMMYFUNCTION("""COMPUTED_VALUE"""),"Message")</f>
        <v>Message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</row>
    <row r="6" ht="15.75" customHeight="1">
      <c r="A6" s="6"/>
      <c r="B6" s="6" t="s">
        <v>34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VerifyToastMessage!$4:$4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19</v>
      </c>
      <c r="D3" s="4" t="s">
        <v>9</v>
      </c>
      <c r="E3" s="10" t="s">
        <v>27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IFERROR(__xludf.DUMMYFUNCTION("IF(C3="""","""",Transpose(IMPORTRANGE('_Settings'!$B$3,C3&amp;""!A4:A1000"")))"),"CheckSummaryDashboard")</f>
        <v>CheckSummaryDashboard</v>
      </c>
      <c r="C4" s="18" t="str">
        <f>IFERROR(__xludf.DUMMYFUNCTION("""COMPUTED_VALUE"""),"CheckFundLevelAggregation")</f>
        <v>CheckFundLevelAggregation</v>
      </c>
      <c r="D4" s="18" t="str">
        <f>IFERROR(__xludf.DUMMYFUNCTION("""COMPUTED_VALUE"""),"CheckAccountLevelAggregation")</f>
        <v>CheckAccountLevelAggregation</v>
      </c>
      <c r="E4" s="18" t="str">
        <f>IFERROR(__xludf.DUMMYFUNCTION("""COMPUTED_VALUE"""),"CheckSymbolLevelAggregation")</f>
        <v>CheckSymbolLevelAggregation</v>
      </c>
      <c r="F4" s="18" t="str">
        <f>IFERROR(__xludf.DUMMYFUNCTION("""COMPUTED_VALUE"""),"CheckRealTimeSymbolFundMonitor")</f>
        <v>CheckRealTimeSymbolFundMonitor</v>
      </c>
      <c r="G4" s="18" t="str">
        <f>IFERROR(__xludf.DUMMYFUNCTION("""COMPUTED_VALUE"""),"CheckRealTimeSymAccountMonitor")</f>
        <v>CheckRealTimeSymAccountMonitor</v>
      </c>
      <c r="H4" s="18" t="str">
        <f>IFERROR(__xludf.DUMMYFUNCTION("""COMPUTED_VALUE"""),"CreateDashBoard")</f>
        <v>CreateDashBoard</v>
      </c>
      <c r="I4" s="18" t="str">
        <f>IFERROR(__xludf.DUMMYFUNCTION("""COMPUTED_VALUE"""),"UpdateDashboardName")</f>
        <v>UpdateDashboardName</v>
      </c>
      <c r="J4" s="18" t="str">
        <f>IFERROR(__xludf.DUMMYFUNCTION("""COMPUTED_VALUE"""),"AddWidget")</f>
        <v>AddWidget</v>
      </c>
      <c r="K4" s="18" t="str">
        <f>IFERROR(__xludf.DUMMYFUNCTION("""COMPUTED_VALUE"""),"CheckDashboardWidgetTitle")</f>
        <v>CheckDashboardWidgetTitle</v>
      </c>
      <c r="L4" s="18" t="str">
        <f>IFERROR(__xludf.DUMMYFUNCTION("""COMPUTED_VALUE"""),"updateWidget")</f>
        <v>updateWidget</v>
      </c>
      <c r="M4" s="18" t="str">
        <f>IFERROR(__xludf.DUMMYFUNCTION("""COMPUTED_VALUE"""),"OpenRTPNL")</f>
        <v>OpenRTPNL</v>
      </c>
      <c r="N4" s="18" t="str">
        <f>IFERROR(__xludf.DUMMYFUNCTION("""COMPUTED_VALUE"""),"LinkDashboardTabs")</f>
        <v>LinkDashboardTabs</v>
      </c>
      <c r="O4" s="18" t="str">
        <f>IFERROR(__xludf.DUMMYFUNCTION("""COMPUTED_VALUE"""),"SelectDashboardTabRow")</f>
        <v>SelectDashboardTabRow</v>
      </c>
      <c r="P4" s="19" t="str">
        <f>IFERROR(__xludf.DUMMYFUNCTION("""COMPUTED_VALUE"""),"SelectRowAtFLAggregation")</f>
        <v>SelectRowAtFLAggregation</v>
      </c>
      <c r="Q4" s="19" t="str">
        <f>IFERROR(__xludf.DUMMYFUNCTION("""COMPUTED_VALUE"""),"SelectRowAtALAggregation")</f>
        <v>SelectRowAtALAggregation</v>
      </c>
      <c r="R4" s="19" t="str">
        <f>IFERROR(__xludf.DUMMYFUNCTION("""COMPUTED_VALUE"""),"SelectRowAtSLAggregation")</f>
        <v>SelectRowAtSLAggregation</v>
      </c>
      <c r="S4" s="19" t="str">
        <f>IFERROR(__xludf.DUMMYFUNCTION("""COMPUTED_VALUE"""),"SelectRowAtRTSFundMonitor")</f>
        <v>SelectRowAtRTSFundMonitor</v>
      </c>
      <c r="T4" s="19" t="str">
        <f>IFERROR(__xludf.DUMMYFUNCTION("""COMPUTED_VALUE"""),"SelectRowAtRTSAccountMonitor")</f>
        <v>SelectRowAtRTSAccountMonitor</v>
      </c>
      <c r="U4" s="19" t="str">
        <f>IFERROR(__xludf.DUMMYFUNCTION("""COMPUTED_VALUE"""),"FilterOnPMGrid")</f>
        <v>FilterOnPMGrid</v>
      </c>
      <c r="V4" s="19" t="str">
        <f>IFERROR(__xludf.DUMMYFUNCTION("""COMPUTED_VALUE"""),"SortOnPMGrid")</f>
        <v>SortOnPMGrid</v>
      </c>
      <c r="W4" s="19" t="str">
        <f>IFERROR(__xludf.DUMMYFUNCTION("""COMPUTED_VALUE"""),"ExtractTabOutsidePMDashboard")</f>
        <v>ExtractTabOutsidePMDashboard</v>
      </c>
      <c r="X4" s="19" t="str">
        <f>IFERROR(__xludf.DUMMYFUNCTION("""COMPUTED_VALUE"""),"SortRTSFM")</f>
        <v>SortRTSFM</v>
      </c>
      <c r="Y4" s="19" t="str">
        <f>IFERROR(__xludf.DUMMYFUNCTION("""COMPUTED_VALUE"""),"SortSLA")</f>
        <v>SortSLA</v>
      </c>
      <c r="Z4" s="19" t="str">
        <f>IFERROR(__xludf.DUMMYFUNCTION("""COMPUTED_VALUE"""),"SortFLA")</f>
        <v>SortFLA</v>
      </c>
      <c r="AA4" s="19" t="str">
        <f>IFERROR(__xludf.DUMMYFUNCTION("""COMPUTED_VALUE"""),"SortALA")</f>
        <v>SortALA</v>
      </c>
      <c r="AB4" s="19" t="str">
        <f>IFERROR(__xludf.DUMMYFUNCTION("""COMPUTED_VALUE"""),"FilterSLA")</f>
        <v>FilterSLA</v>
      </c>
      <c r="AC4" s="19" t="str">
        <f>IFERROR(__xludf.DUMMYFUNCTION("""COMPUTED_VALUE"""),"FilterRTSFM")</f>
        <v>FilterRTSFM</v>
      </c>
      <c r="AD4" s="19" t="str">
        <f>IFERROR(__xludf.DUMMYFUNCTION("""COMPUTED_VALUE"""),"FilterALA")</f>
        <v>FilterALA</v>
      </c>
      <c r="AE4" s="19" t="str">
        <f>IFERROR(__xludf.DUMMYFUNCTION("""COMPUTED_VALUE"""),"FilterFLA")</f>
        <v>FilterFLA</v>
      </c>
      <c r="AF4" s="19" t="str">
        <f>IFERROR(__xludf.DUMMYFUNCTION("""COMPUTED_VALUE"""),"SortRTSAM")</f>
        <v>SortRTSAM</v>
      </c>
      <c r="AG4" s="19" t="str">
        <f>IFERROR(__xludf.DUMMYFUNCTION("""COMPUTED_VALUE"""),"FilterRTSAM")</f>
        <v>FilterRTSAM</v>
      </c>
      <c r="AH4" s="19" t="str">
        <f>IFERROR(__xludf.DUMMYFUNCTION("""COMPUTED_VALUE"""),"SortRTSAM")</f>
        <v>SortRTSAM</v>
      </c>
      <c r="AI4" s="19" t="str">
        <f>IFERROR(__xludf.DUMMYFUNCTION("""COMPUTED_VALUE"""),"IncreaseOrUnwindPositionRTPNL")</f>
        <v>IncreaseOrUnwindPositionRTPNL</v>
      </c>
      <c r="AJ4" s="19" t="str">
        <f>IFERROR(__xludf.DUMMYFUNCTION("""COMPUTED_VALUE"""),"SavePage")</f>
        <v>SavePage</v>
      </c>
      <c r="AK4" s="19" t="str">
        <f>IFERROR(__xludf.DUMMYFUNCTION("""COMPUTED_VALUE"""),"CloseRTPNL")</f>
        <v>CloseRTPNL</v>
      </c>
      <c r="AL4" s="19" t="str">
        <f>IFERROR(__xludf.DUMMYFUNCTION("""COMPUTED_VALUE"""),"VerifyColumns")</f>
        <v>VerifyColumns</v>
      </c>
      <c r="AM4" s="19" t="str">
        <f>IFERROR(__xludf.DUMMYFUNCTION("""COMPUTED_VALUE"""),"ConfigureWidget")</f>
        <v>ConfigureWidget</v>
      </c>
      <c r="AN4" s="19" t="str">
        <f>IFERROR(__xludf.DUMMYFUNCTION("""COMPUTED_VALUE"""),"ChangeWidgetView")</f>
        <v>ChangeWidgetView</v>
      </c>
      <c r="AO4" s="19" t="str">
        <f>IFERROR(__xludf.DUMMYFUNCTION("""COMPUTED_VALUE"""),"ResizeEnsure")</f>
        <v>ResizeEnsure</v>
      </c>
      <c r="AP4" s="19" t="str">
        <f>IFERROR(__xludf.DUMMYFUNCTION("""COMPUTED_VALUE"""),"RenameTabs")</f>
        <v>RenameTabs</v>
      </c>
      <c r="AQ4" s="19" t="str">
        <f>IFERROR(__xludf.DUMMYFUNCTION("""COMPUTED_VALUE"""),"AddTabRTPNL")</f>
        <v>AddTabRTPNL</v>
      </c>
      <c r="AR4" s="19" t="str">
        <f>IFERROR(__xludf.DUMMYFUNCTION("""COMPUTED_VALUE"""),"MergeWindows")</f>
        <v>MergeWindows</v>
      </c>
      <c r="AS4" s="19" t="str">
        <f>IFERROR(__xludf.DUMMYFUNCTION("""COMPUTED_VALUE"""),"Grouping")</f>
        <v>Grouping</v>
      </c>
      <c r="AT4" s="19" t="str">
        <f>IFERROR(__xludf.DUMMYFUNCTION("""COMPUTED_VALUE"""),"CreateGroupingWidget")</f>
        <v>CreateGroupingWidget</v>
      </c>
      <c r="AU4" s="19" t="str">
        <f>IFERROR(__xludf.DUMMYFUNCTION("""COMPUTED_VALUE"""),"CheckGroupingWidget")</f>
        <v>CheckGroupingWidget</v>
      </c>
      <c r="AV4" s="19" t="str">
        <f>IFERROR(__xludf.DUMMYFUNCTION("""COMPUTED_VALUE"""),"VerifyL1L2PanelRTPNL")</f>
        <v>VerifyL1L2PanelRTPNL</v>
      </c>
      <c r="AW4" s="19" t="str">
        <f>IFERROR(__xludf.DUMMYFUNCTION("""COMPUTED_VALUE"""),"VerifyGridThroughLiveExcel")</f>
        <v>VerifyGridThroughLiveExcel</v>
      </c>
      <c r="AX4" s="19" t="str">
        <f>IFERROR(__xludf.DUMMYFUNCTION("""COMPUTED_VALUE"""),"ApplyColumnFilter")</f>
        <v>ApplyColumnFilter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IFERROR(__xludf.DUMMYFUNCTION("""COMPUTED_VALUE"""),"Chip 1")</f>
        <v>Chip 1</v>
      </c>
      <c r="C5" s="21" t="str">
        <f>IFERROR(__xludf.DUMMYFUNCTION("""COMPUTED_VALUE"""),"Chip 2")</f>
        <v>Chip 2</v>
      </c>
      <c r="D5" s="21" t="str">
        <f>IFERROR(__xludf.DUMMYFUNCTION("""COMPUTED_VALUE"""),"Chip 3")</f>
        <v>Chip 3</v>
      </c>
      <c r="E5" s="21" t="str">
        <f>IFERROR(__xludf.DUMMYFUNCTION("""COMPUTED_VALUE"""),"MakeColumFavourite")</f>
        <v>MakeColumFavourite</v>
      </c>
      <c r="F5" s="21" t="str">
        <f>IFERROR(__xludf.DUMMYFUNCTION("""COMPUTED_VALUE"""),"MakeColumnUnfavourite")</f>
        <v>MakeColumnUnfavourite</v>
      </c>
      <c r="G5" s="21" t="str">
        <f>IFERROR(__xludf.DUMMYFUNCTION("""COMPUTED_VALUE"""),"ColumnsToAdd")</f>
        <v>ColumnsToAdd</v>
      </c>
      <c r="H5" s="21" t="str">
        <f>IFERROR(__xludf.DUMMYFUNCTION("""COMPUTED_VALUE"""),"Verify Chip Values")</f>
        <v>Verify Chip Values</v>
      </c>
      <c r="I5" s="21" t="str">
        <f>IFERROR(__xludf.DUMMYFUNCTION("""COMPUTED_VALUE"""),"NextAction")</f>
        <v>NextAction</v>
      </c>
      <c r="J5" s="21" t="str">
        <f>IFERROR(__xludf.DUMMYFUNCTION("""COMPUTED_VALUE"""),"VerifyActionButtonVisibility")</f>
        <v>VerifyActionButtonVisibility</v>
      </c>
      <c r="K5" s="21" t="str">
        <f>IFERROR(__xludf.DUMMYFUNCTION("""COMPUTED_VALUE"""),"FlashButton")</f>
        <v>FlashButton</v>
      </c>
      <c r="L5" s="21" t="str">
        <f>IFERROR(__xludf.DUMMYFUNCTION("""COMPUTED_VALUE"""),"ColumnsToCheckForFlash")</f>
        <v>ColumnsToCheckForFlash</v>
      </c>
      <c r="M5" s="21" t="str">
        <f>IFERROR(__xludf.DUMMYFUNCTION("""COMPUTED_VALUE"""),"LinkWidgetColor")</f>
        <v>LinkWidgetColor</v>
      </c>
      <c r="N5" s="21" t="str">
        <f>IFERROR(__xludf.DUMMYFUNCTION("""COMPUTED_VALUE"""),"ColumnsToAdd2")</f>
        <v>ColumnsToAdd2</v>
      </c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6"/>
      <c r="B6" s="6"/>
      <c r="C6" s="6"/>
      <c r="D6" s="6"/>
      <c r="E6" s="6"/>
      <c r="F6" s="6"/>
      <c r="G6" s="6"/>
      <c r="H6" s="6"/>
      <c r="I6" s="6" t="s">
        <v>35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19</v>
      </c>
      <c r="D3" s="4" t="s">
        <v>9</v>
      </c>
      <c r="E3" s="10" t="s">
        <v>23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IFERROR(__xludf.DUMMYFUNCTION("IF(C3="""","""",Transpose(IMPORTRANGE('_Settings'!$B$3,C3&amp;""!A4:A1000"")))"),"CheckSummaryDashboard")</f>
        <v>CheckSummaryDashboard</v>
      </c>
      <c r="C4" s="18" t="str">
        <f>IFERROR(__xludf.DUMMYFUNCTION("""COMPUTED_VALUE"""),"CheckFundLevelAggregation")</f>
        <v>CheckFundLevelAggregation</v>
      </c>
      <c r="D4" s="18" t="str">
        <f>IFERROR(__xludf.DUMMYFUNCTION("""COMPUTED_VALUE"""),"CheckAccountLevelAggregation")</f>
        <v>CheckAccountLevelAggregation</v>
      </c>
      <c r="E4" s="18" t="str">
        <f>IFERROR(__xludf.DUMMYFUNCTION("""COMPUTED_VALUE"""),"CheckSymbolLevelAggregation")</f>
        <v>CheckSymbolLevelAggregation</v>
      </c>
      <c r="F4" s="18" t="str">
        <f>IFERROR(__xludf.DUMMYFUNCTION("""COMPUTED_VALUE"""),"CheckRealTimeSymbolFundMonitor")</f>
        <v>CheckRealTimeSymbolFundMonitor</v>
      </c>
      <c r="G4" s="18" t="str">
        <f>IFERROR(__xludf.DUMMYFUNCTION("""COMPUTED_VALUE"""),"CheckRealTimeSymAccountMonitor")</f>
        <v>CheckRealTimeSymAccountMonitor</v>
      </c>
      <c r="H4" s="18" t="str">
        <f>IFERROR(__xludf.DUMMYFUNCTION("""COMPUTED_VALUE"""),"CreateDashBoard")</f>
        <v>CreateDashBoard</v>
      </c>
      <c r="I4" s="18" t="str">
        <f>IFERROR(__xludf.DUMMYFUNCTION("""COMPUTED_VALUE"""),"UpdateDashboardName")</f>
        <v>UpdateDashboardName</v>
      </c>
      <c r="J4" s="18" t="str">
        <f>IFERROR(__xludf.DUMMYFUNCTION("""COMPUTED_VALUE"""),"AddWidget")</f>
        <v>AddWidget</v>
      </c>
      <c r="K4" s="18" t="str">
        <f>IFERROR(__xludf.DUMMYFUNCTION("""COMPUTED_VALUE"""),"CheckDashboardWidgetTitle")</f>
        <v>CheckDashboardWidgetTitle</v>
      </c>
      <c r="L4" s="18" t="str">
        <f>IFERROR(__xludf.DUMMYFUNCTION("""COMPUTED_VALUE"""),"updateWidget")</f>
        <v>updateWidget</v>
      </c>
      <c r="M4" s="18" t="str">
        <f>IFERROR(__xludf.DUMMYFUNCTION("""COMPUTED_VALUE"""),"OpenRTPNL")</f>
        <v>OpenRTPNL</v>
      </c>
      <c r="N4" s="18" t="str">
        <f>IFERROR(__xludf.DUMMYFUNCTION("""COMPUTED_VALUE"""),"LinkDashboardTabs")</f>
        <v>LinkDashboardTabs</v>
      </c>
      <c r="O4" s="18" t="str">
        <f>IFERROR(__xludf.DUMMYFUNCTION("""COMPUTED_VALUE"""),"SelectDashboardTabRow")</f>
        <v>SelectDashboardTabRow</v>
      </c>
      <c r="P4" s="19" t="str">
        <f>IFERROR(__xludf.DUMMYFUNCTION("""COMPUTED_VALUE"""),"SelectRowAtFLAggregation")</f>
        <v>SelectRowAtFLAggregation</v>
      </c>
      <c r="Q4" s="19" t="str">
        <f>IFERROR(__xludf.DUMMYFUNCTION("""COMPUTED_VALUE"""),"SelectRowAtALAggregation")</f>
        <v>SelectRowAtALAggregation</v>
      </c>
      <c r="R4" s="19" t="str">
        <f>IFERROR(__xludf.DUMMYFUNCTION("""COMPUTED_VALUE"""),"SelectRowAtSLAggregation")</f>
        <v>SelectRowAtSLAggregation</v>
      </c>
      <c r="S4" s="19" t="str">
        <f>IFERROR(__xludf.DUMMYFUNCTION("""COMPUTED_VALUE"""),"SelectRowAtRTSFundMonitor")</f>
        <v>SelectRowAtRTSFundMonitor</v>
      </c>
      <c r="T4" s="19" t="str">
        <f>IFERROR(__xludf.DUMMYFUNCTION("""COMPUTED_VALUE"""),"SelectRowAtRTSAccountMonitor")</f>
        <v>SelectRowAtRTSAccountMonitor</v>
      </c>
      <c r="U4" s="19" t="str">
        <f>IFERROR(__xludf.DUMMYFUNCTION("""COMPUTED_VALUE"""),"FilterOnPMGrid")</f>
        <v>FilterOnPMGrid</v>
      </c>
      <c r="V4" s="19" t="str">
        <f>IFERROR(__xludf.DUMMYFUNCTION("""COMPUTED_VALUE"""),"SortOnPMGrid")</f>
        <v>SortOnPMGrid</v>
      </c>
      <c r="W4" s="19" t="str">
        <f>IFERROR(__xludf.DUMMYFUNCTION("""COMPUTED_VALUE"""),"ExtractTabOutsidePMDashboard")</f>
        <v>ExtractTabOutsidePMDashboard</v>
      </c>
      <c r="X4" s="19" t="str">
        <f>IFERROR(__xludf.DUMMYFUNCTION("""COMPUTED_VALUE"""),"SortRTSFM")</f>
        <v>SortRTSFM</v>
      </c>
      <c r="Y4" s="19" t="str">
        <f>IFERROR(__xludf.DUMMYFUNCTION("""COMPUTED_VALUE"""),"SortSLA")</f>
        <v>SortSLA</v>
      </c>
      <c r="Z4" s="19" t="str">
        <f>IFERROR(__xludf.DUMMYFUNCTION("""COMPUTED_VALUE"""),"SortFLA")</f>
        <v>SortFLA</v>
      </c>
      <c r="AA4" s="19" t="str">
        <f>IFERROR(__xludf.DUMMYFUNCTION("""COMPUTED_VALUE"""),"SortALA")</f>
        <v>SortALA</v>
      </c>
      <c r="AB4" s="19" t="str">
        <f>IFERROR(__xludf.DUMMYFUNCTION("""COMPUTED_VALUE"""),"FilterSLA")</f>
        <v>FilterSLA</v>
      </c>
      <c r="AC4" s="19" t="str">
        <f>IFERROR(__xludf.DUMMYFUNCTION("""COMPUTED_VALUE"""),"FilterRTSFM")</f>
        <v>FilterRTSFM</v>
      </c>
      <c r="AD4" s="19" t="str">
        <f>IFERROR(__xludf.DUMMYFUNCTION("""COMPUTED_VALUE"""),"FilterALA")</f>
        <v>FilterALA</v>
      </c>
      <c r="AE4" s="19" t="str">
        <f>IFERROR(__xludf.DUMMYFUNCTION("""COMPUTED_VALUE"""),"FilterFLA")</f>
        <v>FilterFLA</v>
      </c>
      <c r="AF4" s="19" t="str">
        <f>IFERROR(__xludf.DUMMYFUNCTION("""COMPUTED_VALUE"""),"SortRTSAM")</f>
        <v>SortRTSAM</v>
      </c>
      <c r="AG4" s="19" t="str">
        <f>IFERROR(__xludf.DUMMYFUNCTION("""COMPUTED_VALUE"""),"FilterRTSAM")</f>
        <v>FilterRTSAM</v>
      </c>
      <c r="AH4" s="19" t="str">
        <f>IFERROR(__xludf.DUMMYFUNCTION("""COMPUTED_VALUE"""),"SortRTSAM")</f>
        <v>SortRTSAM</v>
      </c>
      <c r="AI4" s="19" t="str">
        <f>IFERROR(__xludf.DUMMYFUNCTION("""COMPUTED_VALUE"""),"IncreaseOrUnwindPositionRTPNL")</f>
        <v>IncreaseOrUnwindPositionRTPNL</v>
      </c>
      <c r="AJ4" s="19" t="str">
        <f>IFERROR(__xludf.DUMMYFUNCTION("""COMPUTED_VALUE"""),"SavePage")</f>
        <v>SavePage</v>
      </c>
      <c r="AK4" s="19" t="str">
        <f>IFERROR(__xludf.DUMMYFUNCTION("""COMPUTED_VALUE"""),"CloseRTPNL")</f>
        <v>CloseRTPNL</v>
      </c>
      <c r="AL4" s="19" t="str">
        <f>IFERROR(__xludf.DUMMYFUNCTION("""COMPUTED_VALUE"""),"VerifyColumns")</f>
        <v>VerifyColumns</v>
      </c>
      <c r="AM4" s="19" t="str">
        <f>IFERROR(__xludf.DUMMYFUNCTION("""COMPUTED_VALUE"""),"ConfigureWidget")</f>
        <v>ConfigureWidget</v>
      </c>
      <c r="AN4" s="19" t="str">
        <f>IFERROR(__xludf.DUMMYFUNCTION("""COMPUTED_VALUE"""),"ChangeWidgetView")</f>
        <v>ChangeWidgetView</v>
      </c>
      <c r="AO4" s="19" t="str">
        <f>IFERROR(__xludf.DUMMYFUNCTION("""COMPUTED_VALUE"""),"ResizeEnsure")</f>
        <v>ResizeEnsure</v>
      </c>
      <c r="AP4" s="19" t="str">
        <f>IFERROR(__xludf.DUMMYFUNCTION("""COMPUTED_VALUE"""),"RenameTabs")</f>
        <v>RenameTabs</v>
      </c>
      <c r="AQ4" s="19" t="str">
        <f>IFERROR(__xludf.DUMMYFUNCTION("""COMPUTED_VALUE"""),"AddTabRTPNL")</f>
        <v>AddTabRTPNL</v>
      </c>
      <c r="AR4" s="19" t="str">
        <f>IFERROR(__xludf.DUMMYFUNCTION("""COMPUTED_VALUE"""),"MergeWindows")</f>
        <v>MergeWindows</v>
      </c>
      <c r="AS4" s="19" t="str">
        <f>IFERROR(__xludf.DUMMYFUNCTION("""COMPUTED_VALUE"""),"Grouping")</f>
        <v>Grouping</v>
      </c>
      <c r="AT4" s="19" t="str">
        <f>IFERROR(__xludf.DUMMYFUNCTION("""COMPUTED_VALUE"""),"CreateGroupingWidget")</f>
        <v>CreateGroupingWidget</v>
      </c>
      <c r="AU4" s="19" t="str">
        <f>IFERROR(__xludf.DUMMYFUNCTION("""COMPUTED_VALUE"""),"CheckGroupingWidget")</f>
        <v>CheckGroupingWidget</v>
      </c>
      <c r="AV4" s="19" t="str">
        <f>IFERROR(__xludf.DUMMYFUNCTION("""COMPUTED_VALUE"""),"VerifyL1L2PanelRTPNL")</f>
        <v>VerifyL1L2PanelRTPNL</v>
      </c>
      <c r="AW4" s="19" t="str">
        <f>IFERROR(__xludf.DUMMYFUNCTION("""COMPUTED_VALUE"""),"VerifyGridThroughLiveExcel")</f>
        <v>VerifyGridThroughLiveExcel</v>
      </c>
      <c r="AX4" s="19" t="str">
        <f>IFERROR(__xludf.DUMMYFUNCTION("""COMPUTED_VALUE"""),"ApplyColumnFilter")</f>
        <v>ApplyColumnFilter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IFERROR(__xludf.DUMMYFUNCTION("""COMPUTED_VALUE"""),"DashboardName")</f>
        <v>DashboardName</v>
      </c>
      <c r="C5" s="21" t="str">
        <f>IFERROR(__xludf.DUMMYFUNCTION("""COMPUTED_VALUE"""),"WidgetName")</f>
        <v>WidgetName</v>
      </c>
      <c r="D5" s="21" t="str">
        <f>IFERROR(__xludf.DUMMYFUNCTION("""COMPUTED_VALUE"""),"ColumnsToAdd")</f>
        <v>ColumnsToAdd</v>
      </c>
      <c r="E5" s="21" t="str">
        <f>IFERROR(__xludf.DUMMYFUNCTION("""COMPUTED_VALUE"""),"DashBoardType")</f>
        <v>DashBoardType</v>
      </c>
      <c r="F5" s="21" t="str">
        <f>IFERROR(__xludf.DUMMYFUNCTION("""COMPUTED_VALUE"""),"DashBoardLevel")</f>
        <v>DashBoardLevel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24"/>
      <c r="B6" s="23" t="s">
        <v>22</v>
      </c>
      <c r="C6" s="24" t="s">
        <v>36</v>
      </c>
      <c r="D6" s="24"/>
      <c r="E6" s="23" t="s">
        <v>25</v>
      </c>
      <c r="F6" s="23" t="s">
        <v>26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19</v>
      </c>
      <c r="D3" s="4" t="s">
        <v>9</v>
      </c>
      <c r="E3" s="10" t="s">
        <v>27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IFERROR(__xludf.DUMMYFUNCTION("IF(C3="""","""",Transpose(IMPORTRANGE('_Settings'!$B$3,C3&amp;""!A4:A1000"")))"),"CheckSummaryDashboard")</f>
        <v>CheckSummaryDashboard</v>
      </c>
      <c r="C4" s="18" t="str">
        <f>IFERROR(__xludf.DUMMYFUNCTION("""COMPUTED_VALUE"""),"CheckFundLevelAggregation")</f>
        <v>CheckFundLevelAggregation</v>
      </c>
      <c r="D4" s="18" t="str">
        <f>IFERROR(__xludf.DUMMYFUNCTION("""COMPUTED_VALUE"""),"CheckAccountLevelAggregation")</f>
        <v>CheckAccountLevelAggregation</v>
      </c>
      <c r="E4" s="18" t="str">
        <f>IFERROR(__xludf.DUMMYFUNCTION("""COMPUTED_VALUE"""),"CheckSymbolLevelAggregation")</f>
        <v>CheckSymbolLevelAggregation</v>
      </c>
      <c r="F4" s="18" t="str">
        <f>IFERROR(__xludf.DUMMYFUNCTION("""COMPUTED_VALUE"""),"CheckRealTimeSymbolFundMonitor")</f>
        <v>CheckRealTimeSymbolFundMonitor</v>
      </c>
      <c r="G4" s="18" t="str">
        <f>IFERROR(__xludf.DUMMYFUNCTION("""COMPUTED_VALUE"""),"CheckRealTimeSymAccountMonitor")</f>
        <v>CheckRealTimeSymAccountMonitor</v>
      </c>
      <c r="H4" s="18" t="str">
        <f>IFERROR(__xludf.DUMMYFUNCTION("""COMPUTED_VALUE"""),"CreateDashBoard")</f>
        <v>CreateDashBoard</v>
      </c>
      <c r="I4" s="18" t="str">
        <f>IFERROR(__xludf.DUMMYFUNCTION("""COMPUTED_VALUE"""),"UpdateDashboardName")</f>
        <v>UpdateDashboardName</v>
      </c>
      <c r="J4" s="18" t="str">
        <f>IFERROR(__xludf.DUMMYFUNCTION("""COMPUTED_VALUE"""),"AddWidget")</f>
        <v>AddWidget</v>
      </c>
      <c r="K4" s="18" t="str">
        <f>IFERROR(__xludf.DUMMYFUNCTION("""COMPUTED_VALUE"""),"CheckDashboardWidgetTitle")</f>
        <v>CheckDashboardWidgetTitle</v>
      </c>
      <c r="L4" s="18" t="str">
        <f>IFERROR(__xludf.DUMMYFUNCTION("""COMPUTED_VALUE"""),"updateWidget")</f>
        <v>updateWidget</v>
      </c>
      <c r="M4" s="18" t="str">
        <f>IFERROR(__xludf.DUMMYFUNCTION("""COMPUTED_VALUE"""),"OpenRTPNL")</f>
        <v>OpenRTPNL</v>
      </c>
      <c r="N4" s="18" t="str">
        <f>IFERROR(__xludf.DUMMYFUNCTION("""COMPUTED_VALUE"""),"LinkDashboardTabs")</f>
        <v>LinkDashboardTabs</v>
      </c>
      <c r="O4" s="18" t="str">
        <f>IFERROR(__xludf.DUMMYFUNCTION("""COMPUTED_VALUE"""),"SelectDashboardTabRow")</f>
        <v>SelectDashboardTabRow</v>
      </c>
      <c r="P4" s="19" t="str">
        <f>IFERROR(__xludf.DUMMYFUNCTION("""COMPUTED_VALUE"""),"SelectRowAtFLAggregation")</f>
        <v>SelectRowAtFLAggregation</v>
      </c>
      <c r="Q4" s="19" t="str">
        <f>IFERROR(__xludf.DUMMYFUNCTION("""COMPUTED_VALUE"""),"SelectRowAtALAggregation")</f>
        <v>SelectRowAtALAggregation</v>
      </c>
      <c r="R4" s="19" t="str">
        <f>IFERROR(__xludf.DUMMYFUNCTION("""COMPUTED_VALUE"""),"SelectRowAtSLAggregation")</f>
        <v>SelectRowAtSLAggregation</v>
      </c>
      <c r="S4" s="19" t="str">
        <f>IFERROR(__xludf.DUMMYFUNCTION("""COMPUTED_VALUE"""),"SelectRowAtRTSFundMonitor")</f>
        <v>SelectRowAtRTSFundMonitor</v>
      </c>
      <c r="T4" s="19" t="str">
        <f>IFERROR(__xludf.DUMMYFUNCTION("""COMPUTED_VALUE"""),"SelectRowAtRTSAccountMonitor")</f>
        <v>SelectRowAtRTSAccountMonitor</v>
      </c>
      <c r="U4" s="19" t="str">
        <f>IFERROR(__xludf.DUMMYFUNCTION("""COMPUTED_VALUE"""),"FilterOnPMGrid")</f>
        <v>FilterOnPMGrid</v>
      </c>
      <c r="V4" s="19" t="str">
        <f>IFERROR(__xludf.DUMMYFUNCTION("""COMPUTED_VALUE"""),"SortOnPMGrid")</f>
        <v>SortOnPMGrid</v>
      </c>
      <c r="W4" s="19" t="str">
        <f>IFERROR(__xludf.DUMMYFUNCTION("""COMPUTED_VALUE"""),"ExtractTabOutsidePMDashboard")</f>
        <v>ExtractTabOutsidePMDashboard</v>
      </c>
      <c r="X4" s="19" t="str">
        <f>IFERROR(__xludf.DUMMYFUNCTION("""COMPUTED_VALUE"""),"SortRTSFM")</f>
        <v>SortRTSFM</v>
      </c>
      <c r="Y4" s="19" t="str">
        <f>IFERROR(__xludf.DUMMYFUNCTION("""COMPUTED_VALUE"""),"SortSLA")</f>
        <v>SortSLA</v>
      </c>
      <c r="Z4" s="19" t="str">
        <f>IFERROR(__xludf.DUMMYFUNCTION("""COMPUTED_VALUE"""),"SortFLA")</f>
        <v>SortFLA</v>
      </c>
      <c r="AA4" s="19" t="str">
        <f>IFERROR(__xludf.DUMMYFUNCTION("""COMPUTED_VALUE"""),"SortALA")</f>
        <v>SortALA</v>
      </c>
      <c r="AB4" s="19" t="str">
        <f>IFERROR(__xludf.DUMMYFUNCTION("""COMPUTED_VALUE"""),"FilterSLA")</f>
        <v>FilterSLA</v>
      </c>
      <c r="AC4" s="19" t="str">
        <f>IFERROR(__xludf.DUMMYFUNCTION("""COMPUTED_VALUE"""),"FilterRTSFM")</f>
        <v>FilterRTSFM</v>
      </c>
      <c r="AD4" s="19" t="str">
        <f>IFERROR(__xludf.DUMMYFUNCTION("""COMPUTED_VALUE"""),"FilterALA")</f>
        <v>FilterALA</v>
      </c>
      <c r="AE4" s="19" t="str">
        <f>IFERROR(__xludf.DUMMYFUNCTION("""COMPUTED_VALUE"""),"FilterFLA")</f>
        <v>FilterFLA</v>
      </c>
      <c r="AF4" s="19" t="str">
        <f>IFERROR(__xludf.DUMMYFUNCTION("""COMPUTED_VALUE"""),"SortRTSAM")</f>
        <v>SortRTSAM</v>
      </c>
      <c r="AG4" s="19" t="str">
        <f>IFERROR(__xludf.DUMMYFUNCTION("""COMPUTED_VALUE"""),"FilterRTSAM")</f>
        <v>FilterRTSAM</v>
      </c>
      <c r="AH4" s="19" t="str">
        <f>IFERROR(__xludf.DUMMYFUNCTION("""COMPUTED_VALUE"""),"SortRTSAM")</f>
        <v>SortRTSAM</v>
      </c>
      <c r="AI4" s="19" t="str">
        <f>IFERROR(__xludf.DUMMYFUNCTION("""COMPUTED_VALUE"""),"IncreaseOrUnwindPositionRTPNL")</f>
        <v>IncreaseOrUnwindPositionRTPNL</v>
      </c>
      <c r="AJ4" s="19" t="str">
        <f>IFERROR(__xludf.DUMMYFUNCTION("""COMPUTED_VALUE"""),"SavePage")</f>
        <v>SavePage</v>
      </c>
      <c r="AK4" s="19" t="str">
        <f>IFERROR(__xludf.DUMMYFUNCTION("""COMPUTED_VALUE"""),"CloseRTPNL")</f>
        <v>CloseRTPNL</v>
      </c>
      <c r="AL4" s="19" t="str">
        <f>IFERROR(__xludf.DUMMYFUNCTION("""COMPUTED_VALUE"""),"VerifyColumns")</f>
        <v>VerifyColumns</v>
      </c>
      <c r="AM4" s="19" t="str">
        <f>IFERROR(__xludf.DUMMYFUNCTION("""COMPUTED_VALUE"""),"ConfigureWidget")</f>
        <v>ConfigureWidget</v>
      </c>
      <c r="AN4" s="19" t="str">
        <f>IFERROR(__xludf.DUMMYFUNCTION("""COMPUTED_VALUE"""),"ChangeWidgetView")</f>
        <v>ChangeWidgetView</v>
      </c>
      <c r="AO4" s="19" t="str">
        <f>IFERROR(__xludf.DUMMYFUNCTION("""COMPUTED_VALUE"""),"ResizeEnsure")</f>
        <v>ResizeEnsure</v>
      </c>
      <c r="AP4" s="19" t="str">
        <f>IFERROR(__xludf.DUMMYFUNCTION("""COMPUTED_VALUE"""),"RenameTabs")</f>
        <v>RenameTabs</v>
      </c>
      <c r="AQ4" s="19" t="str">
        <f>IFERROR(__xludf.DUMMYFUNCTION("""COMPUTED_VALUE"""),"AddTabRTPNL")</f>
        <v>AddTabRTPNL</v>
      </c>
      <c r="AR4" s="19" t="str">
        <f>IFERROR(__xludf.DUMMYFUNCTION("""COMPUTED_VALUE"""),"MergeWindows")</f>
        <v>MergeWindows</v>
      </c>
      <c r="AS4" s="19" t="str">
        <f>IFERROR(__xludf.DUMMYFUNCTION("""COMPUTED_VALUE"""),"Grouping")</f>
        <v>Grouping</v>
      </c>
      <c r="AT4" s="19" t="str">
        <f>IFERROR(__xludf.DUMMYFUNCTION("""COMPUTED_VALUE"""),"CreateGroupingWidget")</f>
        <v>CreateGroupingWidget</v>
      </c>
      <c r="AU4" s="19" t="str">
        <f>IFERROR(__xludf.DUMMYFUNCTION("""COMPUTED_VALUE"""),"CheckGroupingWidget")</f>
        <v>CheckGroupingWidget</v>
      </c>
      <c r="AV4" s="19" t="str">
        <f>IFERROR(__xludf.DUMMYFUNCTION("""COMPUTED_VALUE"""),"VerifyL1L2PanelRTPNL")</f>
        <v>VerifyL1L2PanelRTPNL</v>
      </c>
      <c r="AW4" s="19" t="str">
        <f>IFERROR(__xludf.DUMMYFUNCTION("""COMPUTED_VALUE"""),"VerifyGridThroughLiveExcel")</f>
        <v>VerifyGridThroughLiveExcel</v>
      </c>
      <c r="AX4" s="19" t="str">
        <f>IFERROR(__xludf.DUMMYFUNCTION("""COMPUTED_VALUE"""),"ApplyColumnFilter")</f>
        <v>ApplyColumnFilter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IFERROR(__xludf.DUMMYFUNCTION("""COMPUTED_VALUE"""),"Chip 1")</f>
        <v>Chip 1</v>
      </c>
      <c r="C5" s="21" t="str">
        <f>IFERROR(__xludf.DUMMYFUNCTION("""COMPUTED_VALUE"""),"Chip 2")</f>
        <v>Chip 2</v>
      </c>
      <c r="D5" s="21" t="str">
        <f>IFERROR(__xludf.DUMMYFUNCTION("""COMPUTED_VALUE"""),"Chip 3")</f>
        <v>Chip 3</v>
      </c>
      <c r="E5" s="21" t="str">
        <f>IFERROR(__xludf.DUMMYFUNCTION("""COMPUTED_VALUE"""),"MakeColumFavourite")</f>
        <v>MakeColumFavourite</v>
      </c>
      <c r="F5" s="21" t="str">
        <f>IFERROR(__xludf.DUMMYFUNCTION("""COMPUTED_VALUE"""),"MakeColumnUnfavourite")</f>
        <v>MakeColumnUnfavourite</v>
      </c>
      <c r="G5" s="21" t="str">
        <f>IFERROR(__xludf.DUMMYFUNCTION("""COMPUTED_VALUE"""),"ColumnsToAdd")</f>
        <v>ColumnsToAdd</v>
      </c>
      <c r="H5" s="21" t="str">
        <f>IFERROR(__xludf.DUMMYFUNCTION("""COMPUTED_VALUE"""),"Verify Chip Values")</f>
        <v>Verify Chip Values</v>
      </c>
      <c r="I5" s="21" t="str">
        <f>IFERROR(__xludf.DUMMYFUNCTION("""COMPUTED_VALUE"""),"NextAction")</f>
        <v>NextAction</v>
      </c>
      <c r="J5" s="21" t="str">
        <f>IFERROR(__xludf.DUMMYFUNCTION("""COMPUTED_VALUE"""),"VerifyActionButtonVisibility")</f>
        <v>VerifyActionButtonVisibility</v>
      </c>
      <c r="K5" s="21" t="str">
        <f>IFERROR(__xludf.DUMMYFUNCTION("""COMPUTED_VALUE"""),"FlashButton")</f>
        <v>FlashButton</v>
      </c>
      <c r="L5" s="21" t="str">
        <f>IFERROR(__xludf.DUMMYFUNCTION("""COMPUTED_VALUE"""),"ColumnsToCheckForFlash")</f>
        <v>ColumnsToCheckForFlash</v>
      </c>
      <c r="M5" s="21" t="str">
        <f>IFERROR(__xludf.DUMMYFUNCTION("""COMPUTED_VALUE"""),"LinkWidgetColor")</f>
        <v>LinkWidgetColor</v>
      </c>
      <c r="N5" s="21" t="str">
        <f>IFERROR(__xludf.DUMMYFUNCTION("""COMPUTED_VALUE"""),"ColumnsToAdd2")</f>
        <v>ColumnsToAdd2</v>
      </c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6"/>
      <c r="B6" s="6"/>
      <c r="C6" s="6"/>
      <c r="D6" s="26" t="s">
        <v>28</v>
      </c>
      <c r="E6" s="6"/>
      <c r="F6" s="6"/>
      <c r="G6" s="6" t="s">
        <v>29</v>
      </c>
      <c r="H6" s="6"/>
      <c r="I6" s="23" t="s">
        <v>30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19</v>
      </c>
      <c r="D3" s="4" t="s">
        <v>9</v>
      </c>
      <c r="E3" s="10" t="s">
        <v>37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IFERROR(__xludf.DUMMYFUNCTION("IF(C3="""","""",Transpose(IMPORTRANGE('_Settings'!$B$3,C3&amp;""!A4:A1000"")))"),"CheckSummaryDashboard")</f>
        <v>CheckSummaryDashboard</v>
      </c>
      <c r="C4" s="18" t="str">
        <f>IFERROR(__xludf.DUMMYFUNCTION("""COMPUTED_VALUE"""),"CheckFundLevelAggregation")</f>
        <v>CheckFundLevelAggregation</v>
      </c>
      <c r="D4" s="18" t="str">
        <f>IFERROR(__xludf.DUMMYFUNCTION("""COMPUTED_VALUE"""),"CheckAccountLevelAggregation")</f>
        <v>CheckAccountLevelAggregation</v>
      </c>
      <c r="E4" s="18" t="str">
        <f>IFERROR(__xludf.DUMMYFUNCTION("""COMPUTED_VALUE"""),"CheckSymbolLevelAggregation")</f>
        <v>CheckSymbolLevelAggregation</v>
      </c>
      <c r="F4" s="18" t="str">
        <f>IFERROR(__xludf.DUMMYFUNCTION("""COMPUTED_VALUE"""),"CheckRealTimeSymbolFundMonitor")</f>
        <v>CheckRealTimeSymbolFundMonitor</v>
      </c>
      <c r="G4" s="18" t="str">
        <f>IFERROR(__xludf.DUMMYFUNCTION("""COMPUTED_VALUE"""),"CheckRealTimeSymAccountMonitor")</f>
        <v>CheckRealTimeSymAccountMonitor</v>
      </c>
      <c r="H4" s="18" t="str">
        <f>IFERROR(__xludf.DUMMYFUNCTION("""COMPUTED_VALUE"""),"CreateDashBoard")</f>
        <v>CreateDashBoard</v>
      </c>
      <c r="I4" s="18" t="str">
        <f>IFERROR(__xludf.DUMMYFUNCTION("""COMPUTED_VALUE"""),"UpdateDashboardName")</f>
        <v>UpdateDashboardName</v>
      </c>
      <c r="J4" s="18" t="str">
        <f>IFERROR(__xludf.DUMMYFUNCTION("""COMPUTED_VALUE"""),"AddWidget")</f>
        <v>AddWidget</v>
      </c>
      <c r="K4" s="18" t="str">
        <f>IFERROR(__xludf.DUMMYFUNCTION("""COMPUTED_VALUE"""),"CheckDashboardWidgetTitle")</f>
        <v>CheckDashboardWidgetTitle</v>
      </c>
      <c r="L4" s="18" t="str">
        <f>IFERROR(__xludf.DUMMYFUNCTION("""COMPUTED_VALUE"""),"updateWidget")</f>
        <v>updateWidget</v>
      </c>
      <c r="M4" s="18" t="str">
        <f>IFERROR(__xludf.DUMMYFUNCTION("""COMPUTED_VALUE"""),"OpenRTPNL")</f>
        <v>OpenRTPNL</v>
      </c>
      <c r="N4" s="18" t="str">
        <f>IFERROR(__xludf.DUMMYFUNCTION("""COMPUTED_VALUE"""),"LinkDashboardTabs")</f>
        <v>LinkDashboardTabs</v>
      </c>
      <c r="O4" s="18" t="str">
        <f>IFERROR(__xludf.DUMMYFUNCTION("""COMPUTED_VALUE"""),"SelectDashboardTabRow")</f>
        <v>SelectDashboardTabRow</v>
      </c>
      <c r="P4" s="19" t="str">
        <f>IFERROR(__xludf.DUMMYFUNCTION("""COMPUTED_VALUE"""),"SelectRowAtFLAggregation")</f>
        <v>SelectRowAtFLAggregation</v>
      </c>
      <c r="Q4" s="19" t="str">
        <f>IFERROR(__xludf.DUMMYFUNCTION("""COMPUTED_VALUE"""),"SelectRowAtALAggregation")</f>
        <v>SelectRowAtALAggregation</v>
      </c>
      <c r="R4" s="19" t="str">
        <f>IFERROR(__xludf.DUMMYFUNCTION("""COMPUTED_VALUE"""),"SelectRowAtSLAggregation")</f>
        <v>SelectRowAtSLAggregation</v>
      </c>
      <c r="S4" s="19" t="str">
        <f>IFERROR(__xludf.DUMMYFUNCTION("""COMPUTED_VALUE"""),"SelectRowAtRTSFundMonitor")</f>
        <v>SelectRowAtRTSFundMonitor</v>
      </c>
      <c r="T4" s="19" t="str">
        <f>IFERROR(__xludf.DUMMYFUNCTION("""COMPUTED_VALUE"""),"SelectRowAtRTSAccountMonitor")</f>
        <v>SelectRowAtRTSAccountMonitor</v>
      </c>
      <c r="U4" s="19" t="str">
        <f>IFERROR(__xludf.DUMMYFUNCTION("""COMPUTED_VALUE"""),"FilterOnPMGrid")</f>
        <v>FilterOnPMGrid</v>
      </c>
      <c r="V4" s="19" t="str">
        <f>IFERROR(__xludf.DUMMYFUNCTION("""COMPUTED_VALUE"""),"SortOnPMGrid")</f>
        <v>SortOnPMGrid</v>
      </c>
      <c r="W4" s="19" t="str">
        <f>IFERROR(__xludf.DUMMYFUNCTION("""COMPUTED_VALUE"""),"ExtractTabOutsidePMDashboard")</f>
        <v>ExtractTabOutsidePMDashboard</v>
      </c>
      <c r="X4" s="19" t="str">
        <f>IFERROR(__xludf.DUMMYFUNCTION("""COMPUTED_VALUE"""),"SortRTSFM")</f>
        <v>SortRTSFM</v>
      </c>
      <c r="Y4" s="19" t="str">
        <f>IFERROR(__xludf.DUMMYFUNCTION("""COMPUTED_VALUE"""),"SortSLA")</f>
        <v>SortSLA</v>
      </c>
      <c r="Z4" s="19" t="str">
        <f>IFERROR(__xludf.DUMMYFUNCTION("""COMPUTED_VALUE"""),"SortFLA")</f>
        <v>SortFLA</v>
      </c>
      <c r="AA4" s="19" t="str">
        <f>IFERROR(__xludf.DUMMYFUNCTION("""COMPUTED_VALUE"""),"SortALA")</f>
        <v>SortALA</v>
      </c>
      <c r="AB4" s="19" t="str">
        <f>IFERROR(__xludf.DUMMYFUNCTION("""COMPUTED_VALUE"""),"FilterSLA")</f>
        <v>FilterSLA</v>
      </c>
      <c r="AC4" s="19" t="str">
        <f>IFERROR(__xludf.DUMMYFUNCTION("""COMPUTED_VALUE"""),"FilterRTSFM")</f>
        <v>FilterRTSFM</v>
      </c>
      <c r="AD4" s="19" t="str">
        <f>IFERROR(__xludf.DUMMYFUNCTION("""COMPUTED_VALUE"""),"FilterALA")</f>
        <v>FilterALA</v>
      </c>
      <c r="AE4" s="19" t="str">
        <f>IFERROR(__xludf.DUMMYFUNCTION("""COMPUTED_VALUE"""),"FilterFLA")</f>
        <v>FilterFLA</v>
      </c>
      <c r="AF4" s="19" t="str">
        <f>IFERROR(__xludf.DUMMYFUNCTION("""COMPUTED_VALUE"""),"SortRTSAM")</f>
        <v>SortRTSAM</v>
      </c>
      <c r="AG4" s="19" t="str">
        <f>IFERROR(__xludf.DUMMYFUNCTION("""COMPUTED_VALUE"""),"FilterRTSAM")</f>
        <v>FilterRTSAM</v>
      </c>
      <c r="AH4" s="19" t="str">
        <f>IFERROR(__xludf.DUMMYFUNCTION("""COMPUTED_VALUE"""),"SortRTSAM")</f>
        <v>SortRTSAM</v>
      </c>
      <c r="AI4" s="19" t="str">
        <f>IFERROR(__xludf.DUMMYFUNCTION("""COMPUTED_VALUE"""),"IncreaseOrUnwindPositionRTPNL")</f>
        <v>IncreaseOrUnwindPositionRTPNL</v>
      </c>
      <c r="AJ4" s="19" t="str">
        <f>IFERROR(__xludf.DUMMYFUNCTION("""COMPUTED_VALUE"""),"SavePage")</f>
        <v>SavePage</v>
      </c>
      <c r="AK4" s="19" t="str">
        <f>IFERROR(__xludf.DUMMYFUNCTION("""COMPUTED_VALUE"""),"CloseRTPNL")</f>
        <v>CloseRTPNL</v>
      </c>
      <c r="AL4" s="19" t="str">
        <f>IFERROR(__xludf.DUMMYFUNCTION("""COMPUTED_VALUE"""),"VerifyColumns")</f>
        <v>VerifyColumns</v>
      </c>
      <c r="AM4" s="19" t="str">
        <f>IFERROR(__xludf.DUMMYFUNCTION("""COMPUTED_VALUE"""),"ConfigureWidget")</f>
        <v>ConfigureWidget</v>
      </c>
      <c r="AN4" s="19" t="str">
        <f>IFERROR(__xludf.DUMMYFUNCTION("""COMPUTED_VALUE"""),"ChangeWidgetView")</f>
        <v>ChangeWidgetView</v>
      </c>
      <c r="AO4" s="19" t="str">
        <f>IFERROR(__xludf.DUMMYFUNCTION("""COMPUTED_VALUE"""),"ResizeEnsure")</f>
        <v>ResizeEnsure</v>
      </c>
      <c r="AP4" s="19" t="str">
        <f>IFERROR(__xludf.DUMMYFUNCTION("""COMPUTED_VALUE"""),"RenameTabs")</f>
        <v>RenameTabs</v>
      </c>
      <c r="AQ4" s="19" t="str">
        <f>IFERROR(__xludf.DUMMYFUNCTION("""COMPUTED_VALUE"""),"AddTabRTPNL")</f>
        <v>AddTabRTPNL</v>
      </c>
      <c r="AR4" s="19" t="str">
        <f>IFERROR(__xludf.DUMMYFUNCTION("""COMPUTED_VALUE"""),"MergeWindows")</f>
        <v>MergeWindows</v>
      </c>
      <c r="AS4" s="19" t="str">
        <f>IFERROR(__xludf.DUMMYFUNCTION("""COMPUTED_VALUE"""),"Grouping")</f>
        <v>Grouping</v>
      </c>
      <c r="AT4" s="19" t="str">
        <f>IFERROR(__xludf.DUMMYFUNCTION("""COMPUTED_VALUE"""),"CreateGroupingWidget")</f>
        <v>CreateGroupingWidget</v>
      </c>
      <c r="AU4" s="19" t="str">
        <f>IFERROR(__xludf.DUMMYFUNCTION("""COMPUTED_VALUE"""),"CheckGroupingWidget")</f>
        <v>CheckGroupingWidget</v>
      </c>
      <c r="AV4" s="19" t="str">
        <f>IFERROR(__xludf.DUMMYFUNCTION("""COMPUTED_VALUE"""),"VerifyL1L2PanelRTPNL")</f>
        <v>VerifyL1L2PanelRTPNL</v>
      </c>
      <c r="AW4" s="19" t="str">
        <f>IFERROR(__xludf.DUMMYFUNCTION("""COMPUTED_VALUE"""),"VerifyGridThroughLiveExcel")</f>
        <v>VerifyGridThroughLiveExcel</v>
      </c>
      <c r="AX4" s="19" t="str">
        <f>IFERROR(__xludf.DUMMYFUNCTION("""COMPUTED_VALUE"""),"ApplyColumnFilter")</f>
        <v>ApplyColumnFilter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IFERROR(__xludf.DUMMYFUNCTION("""COMPUTED_VALUE"""),"WindowName")</f>
        <v>WindowName</v>
      </c>
      <c r="C5" s="21" t="str">
        <f>IFERROR(__xludf.DUMMYFUNCTION("""COMPUTED_VALUE"""),"ColumnToVerify")</f>
        <v>ColumnToVerify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6"/>
      <c r="B6" s="23" t="s">
        <v>22</v>
      </c>
      <c r="C6" s="7" t="s">
        <v>29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VerifyColumns!$4:$4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19</v>
      </c>
      <c r="D3" s="4" t="s">
        <v>9</v>
      </c>
      <c r="E3" s="10" t="s">
        <v>38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IFERROR(__xludf.DUMMYFUNCTION("IF(C3="""","""",Transpose(IMPORTRANGE('_Settings'!$B$3,C3&amp;""!A4:A1000"")))"),"CheckSummaryDashboard")</f>
        <v>CheckSummaryDashboard</v>
      </c>
      <c r="C4" s="18" t="str">
        <f>IFERROR(__xludf.DUMMYFUNCTION("""COMPUTED_VALUE"""),"CheckFundLevelAggregation")</f>
        <v>CheckFundLevelAggregation</v>
      </c>
      <c r="D4" s="18" t="str">
        <f>IFERROR(__xludf.DUMMYFUNCTION("""COMPUTED_VALUE"""),"CheckAccountLevelAggregation")</f>
        <v>CheckAccountLevelAggregation</v>
      </c>
      <c r="E4" s="18" t="str">
        <f>IFERROR(__xludf.DUMMYFUNCTION("""COMPUTED_VALUE"""),"CheckSymbolLevelAggregation")</f>
        <v>CheckSymbolLevelAggregation</v>
      </c>
      <c r="F4" s="18" t="str">
        <f>IFERROR(__xludf.DUMMYFUNCTION("""COMPUTED_VALUE"""),"CheckRealTimeSymbolFundMonitor")</f>
        <v>CheckRealTimeSymbolFundMonitor</v>
      </c>
      <c r="G4" s="18" t="str">
        <f>IFERROR(__xludf.DUMMYFUNCTION("""COMPUTED_VALUE"""),"CheckRealTimeSymAccountMonitor")</f>
        <v>CheckRealTimeSymAccountMonitor</v>
      </c>
      <c r="H4" s="18" t="str">
        <f>IFERROR(__xludf.DUMMYFUNCTION("""COMPUTED_VALUE"""),"CreateDashBoard")</f>
        <v>CreateDashBoard</v>
      </c>
      <c r="I4" s="18" t="str">
        <f>IFERROR(__xludf.DUMMYFUNCTION("""COMPUTED_VALUE"""),"UpdateDashboardName")</f>
        <v>UpdateDashboardName</v>
      </c>
      <c r="J4" s="18" t="str">
        <f>IFERROR(__xludf.DUMMYFUNCTION("""COMPUTED_VALUE"""),"AddWidget")</f>
        <v>AddWidget</v>
      </c>
      <c r="K4" s="18" t="str">
        <f>IFERROR(__xludf.DUMMYFUNCTION("""COMPUTED_VALUE"""),"CheckDashboardWidgetTitle")</f>
        <v>CheckDashboardWidgetTitle</v>
      </c>
      <c r="L4" s="18" t="str">
        <f>IFERROR(__xludf.DUMMYFUNCTION("""COMPUTED_VALUE"""),"updateWidget")</f>
        <v>updateWidget</v>
      </c>
      <c r="M4" s="18" t="str">
        <f>IFERROR(__xludf.DUMMYFUNCTION("""COMPUTED_VALUE"""),"OpenRTPNL")</f>
        <v>OpenRTPNL</v>
      </c>
      <c r="N4" s="18" t="str">
        <f>IFERROR(__xludf.DUMMYFUNCTION("""COMPUTED_VALUE"""),"LinkDashboardTabs")</f>
        <v>LinkDashboardTabs</v>
      </c>
      <c r="O4" s="18" t="str">
        <f>IFERROR(__xludf.DUMMYFUNCTION("""COMPUTED_VALUE"""),"SelectDashboardTabRow")</f>
        <v>SelectDashboardTabRow</v>
      </c>
      <c r="P4" s="19" t="str">
        <f>IFERROR(__xludf.DUMMYFUNCTION("""COMPUTED_VALUE"""),"SelectRowAtFLAggregation")</f>
        <v>SelectRowAtFLAggregation</v>
      </c>
      <c r="Q4" s="19" t="str">
        <f>IFERROR(__xludf.DUMMYFUNCTION("""COMPUTED_VALUE"""),"SelectRowAtALAggregation")</f>
        <v>SelectRowAtALAggregation</v>
      </c>
      <c r="R4" s="19" t="str">
        <f>IFERROR(__xludf.DUMMYFUNCTION("""COMPUTED_VALUE"""),"SelectRowAtSLAggregation")</f>
        <v>SelectRowAtSLAggregation</v>
      </c>
      <c r="S4" s="19" t="str">
        <f>IFERROR(__xludf.DUMMYFUNCTION("""COMPUTED_VALUE"""),"SelectRowAtRTSFundMonitor")</f>
        <v>SelectRowAtRTSFundMonitor</v>
      </c>
      <c r="T4" s="19" t="str">
        <f>IFERROR(__xludf.DUMMYFUNCTION("""COMPUTED_VALUE"""),"SelectRowAtRTSAccountMonitor")</f>
        <v>SelectRowAtRTSAccountMonitor</v>
      </c>
      <c r="U4" s="19" t="str">
        <f>IFERROR(__xludf.DUMMYFUNCTION("""COMPUTED_VALUE"""),"FilterOnPMGrid")</f>
        <v>FilterOnPMGrid</v>
      </c>
      <c r="V4" s="19" t="str">
        <f>IFERROR(__xludf.DUMMYFUNCTION("""COMPUTED_VALUE"""),"SortOnPMGrid")</f>
        <v>SortOnPMGrid</v>
      </c>
      <c r="W4" s="19" t="str">
        <f>IFERROR(__xludf.DUMMYFUNCTION("""COMPUTED_VALUE"""),"ExtractTabOutsidePMDashboard")</f>
        <v>ExtractTabOutsidePMDashboard</v>
      </c>
      <c r="X4" s="19" t="str">
        <f>IFERROR(__xludf.DUMMYFUNCTION("""COMPUTED_VALUE"""),"SortRTSFM")</f>
        <v>SortRTSFM</v>
      </c>
      <c r="Y4" s="19" t="str">
        <f>IFERROR(__xludf.DUMMYFUNCTION("""COMPUTED_VALUE"""),"SortSLA")</f>
        <v>SortSLA</v>
      </c>
      <c r="Z4" s="19" t="str">
        <f>IFERROR(__xludf.DUMMYFUNCTION("""COMPUTED_VALUE"""),"SortFLA")</f>
        <v>SortFLA</v>
      </c>
      <c r="AA4" s="19" t="str">
        <f>IFERROR(__xludf.DUMMYFUNCTION("""COMPUTED_VALUE"""),"SortALA")</f>
        <v>SortALA</v>
      </c>
      <c r="AB4" s="19" t="str">
        <f>IFERROR(__xludf.DUMMYFUNCTION("""COMPUTED_VALUE"""),"FilterSLA")</f>
        <v>FilterSLA</v>
      </c>
      <c r="AC4" s="19" t="str">
        <f>IFERROR(__xludf.DUMMYFUNCTION("""COMPUTED_VALUE"""),"FilterRTSFM")</f>
        <v>FilterRTSFM</v>
      </c>
      <c r="AD4" s="19" t="str">
        <f>IFERROR(__xludf.DUMMYFUNCTION("""COMPUTED_VALUE"""),"FilterALA")</f>
        <v>FilterALA</v>
      </c>
      <c r="AE4" s="19" t="str">
        <f>IFERROR(__xludf.DUMMYFUNCTION("""COMPUTED_VALUE"""),"FilterFLA")</f>
        <v>FilterFLA</v>
      </c>
      <c r="AF4" s="19" t="str">
        <f>IFERROR(__xludf.DUMMYFUNCTION("""COMPUTED_VALUE"""),"SortRTSAM")</f>
        <v>SortRTSAM</v>
      </c>
      <c r="AG4" s="19" t="str">
        <f>IFERROR(__xludf.DUMMYFUNCTION("""COMPUTED_VALUE"""),"FilterRTSAM")</f>
        <v>FilterRTSAM</v>
      </c>
      <c r="AH4" s="19" t="str">
        <f>IFERROR(__xludf.DUMMYFUNCTION("""COMPUTED_VALUE"""),"SortRTSAM")</f>
        <v>SortRTSAM</v>
      </c>
      <c r="AI4" s="19" t="str">
        <f>IFERROR(__xludf.DUMMYFUNCTION("""COMPUTED_VALUE"""),"IncreaseOrUnwindPositionRTPNL")</f>
        <v>IncreaseOrUnwindPositionRTPNL</v>
      </c>
      <c r="AJ4" s="19" t="str">
        <f>IFERROR(__xludf.DUMMYFUNCTION("""COMPUTED_VALUE"""),"SavePage")</f>
        <v>SavePage</v>
      </c>
      <c r="AK4" s="19" t="str">
        <f>IFERROR(__xludf.DUMMYFUNCTION("""COMPUTED_VALUE"""),"CloseRTPNL")</f>
        <v>CloseRTPNL</v>
      </c>
      <c r="AL4" s="19" t="str">
        <f>IFERROR(__xludf.DUMMYFUNCTION("""COMPUTED_VALUE"""),"VerifyColumns")</f>
        <v>VerifyColumns</v>
      </c>
      <c r="AM4" s="19" t="str">
        <f>IFERROR(__xludf.DUMMYFUNCTION("""COMPUTED_VALUE"""),"ConfigureWidget")</f>
        <v>ConfigureWidget</v>
      </c>
      <c r="AN4" s="19" t="str">
        <f>IFERROR(__xludf.DUMMYFUNCTION("""COMPUTED_VALUE"""),"ChangeWidgetView")</f>
        <v>ChangeWidgetView</v>
      </c>
      <c r="AO4" s="19" t="str">
        <f>IFERROR(__xludf.DUMMYFUNCTION("""COMPUTED_VALUE"""),"ResizeEnsure")</f>
        <v>ResizeEnsure</v>
      </c>
      <c r="AP4" s="19" t="str">
        <f>IFERROR(__xludf.DUMMYFUNCTION("""COMPUTED_VALUE"""),"RenameTabs")</f>
        <v>RenameTabs</v>
      </c>
      <c r="AQ4" s="19" t="str">
        <f>IFERROR(__xludf.DUMMYFUNCTION("""COMPUTED_VALUE"""),"AddTabRTPNL")</f>
        <v>AddTabRTPNL</v>
      </c>
      <c r="AR4" s="19" t="str">
        <f>IFERROR(__xludf.DUMMYFUNCTION("""COMPUTED_VALUE"""),"MergeWindows")</f>
        <v>MergeWindows</v>
      </c>
      <c r="AS4" s="19" t="str">
        <f>IFERROR(__xludf.DUMMYFUNCTION("""COMPUTED_VALUE"""),"Grouping")</f>
        <v>Grouping</v>
      </c>
      <c r="AT4" s="19" t="str">
        <f>IFERROR(__xludf.DUMMYFUNCTION("""COMPUTED_VALUE"""),"CreateGroupingWidget")</f>
        <v>CreateGroupingWidget</v>
      </c>
      <c r="AU4" s="19" t="str">
        <f>IFERROR(__xludf.DUMMYFUNCTION("""COMPUTED_VALUE"""),"CheckGroupingWidget")</f>
        <v>CheckGroupingWidget</v>
      </c>
      <c r="AV4" s="19" t="str">
        <f>IFERROR(__xludf.DUMMYFUNCTION("""COMPUTED_VALUE"""),"VerifyL1L2PanelRTPNL")</f>
        <v>VerifyL1L2PanelRTPNL</v>
      </c>
      <c r="AW4" s="19" t="str">
        <f>IFERROR(__xludf.DUMMYFUNCTION("""COMPUTED_VALUE"""),"VerifyGridThroughLiveExcel")</f>
        <v>VerifyGridThroughLiveExcel</v>
      </c>
      <c r="AX4" s="19" t="str">
        <f>IFERROR(__xludf.DUMMYFUNCTION("""COMPUTED_VALUE"""),"ApplyColumnFilter")</f>
        <v>ApplyColumnFilter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IFERROR(__xludf.DUMMYFUNCTION("""COMPUTED_VALUE"""),"DashboardName")</f>
        <v>DashboardName</v>
      </c>
      <c r="C5" s="21" t="str">
        <f>IFERROR(__xludf.DUMMYFUNCTION("""COMPUTED_VALUE"""),"IsL1isVisible")</f>
        <v>IsL1isVisible</v>
      </c>
      <c r="D5" s="21" t="str">
        <f>IFERROR(__xludf.DUMMYFUNCTION("""COMPUTED_VALUE"""),"IsL2isVisible")</f>
        <v>IsL2isVisible</v>
      </c>
      <c r="E5" s="21" t="str">
        <f>IFERROR(__xludf.DUMMYFUNCTION("""COMPUTED_VALUE"""),"ClickOnL1")</f>
        <v>ClickOnL1</v>
      </c>
      <c r="F5" s="21" t="str">
        <f>IFERROR(__xludf.DUMMYFUNCTION("""COMPUTED_VALUE"""),"ClickOnL2")</f>
        <v>ClickOnL2</v>
      </c>
      <c r="G5" s="21" t="str">
        <f>IFERROR(__xludf.DUMMYFUNCTION("""COMPUTED_VALUE"""),"L1State")</f>
        <v>L1State</v>
      </c>
      <c r="H5" s="21" t="str">
        <f>IFERROR(__xludf.DUMMYFUNCTION("""COMPUTED_VALUE"""),"L2State")</f>
        <v>L2State</v>
      </c>
      <c r="I5" s="21" t="str">
        <f>IFERROR(__xludf.DUMMYFUNCTION("""COMPUTED_VALUE"""),"L1Label")</f>
        <v>L1Label</v>
      </c>
      <c r="J5" s="21" t="str">
        <f>IFERROR(__xludf.DUMMYFUNCTION("""COMPUTED_VALUE"""),"L2Label")</f>
        <v>L2Label</v>
      </c>
      <c r="K5" s="21" t="str">
        <f>IFERROR(__xludf.DUMMYFUNCTION("""COMPUTED_VALUE"""),"WidgetName")</f>
        <v>WidgetName</v>
      </c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6"/>
      <c r="B6" s="23" t="s">
        <v>22</v>
      </c>
      <c r="C6" s="6"/>
      <c r="D6" s="6"/>
      <c r="E6" s="6"/>
      <c r="F6" s="6"/>
      <c r="G6" s="6"/>
      <c r="H6" s="6"/>
      <c r="I6" s="6"/>
      <c r="J6" s="6"/>
      <c r="K6" s="24" t="s">
        <v>36</v>
      </c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VerifyL1L2PanelRTPNL!$4:$4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7" t="s">
        <v>39</v>
      </c>
      <c r="C5" s="27" t="s">
        <v>40</v>
      </c>
      <c r="D5" s="27" t="s">
        <v>41</v>
      </c>
    </row>
    <row r="6">
      <c r="B6" s="27" t="s">
        <v>42</v>
      </c>
      <c r="D6" s="27" t="s">
        <v>43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7" t="s">
        <v>44</v>
      </c>
      <c r="C5" s="7" t="s">
        <v>45</v>
      </c>
      <c r="D5" s="7" t="s">
        <v>46</v>
      </c>
      <c r="E5" s="7" t="s">
        <v>47</v>
      </c>
    </row>
    <row r="6">
      <c r="B6" s="7" t="s">
        <v>42</v>
      </c>
    </row>
  </sheetData>
  <drawing r:id="rId1"/>
</worksheet>
</file>