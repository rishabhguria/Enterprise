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MergeOrder1" sheetId="6" r:id="rId8"/>
    <sheet state="visible" name="TradeNewSubOrder" sheetId="7" r:id="rId9"/>
    <sheet state="visible" name="CustomOrderTT" sheetId="8" r:id="rId10"/>
    <sheet state="visible" name="TradeNewSubOrder1" sheetId="9" r:id="rId11"/>
    <sheet state="visible" name="CreateNewSubLiveOrder" sheetId="10" r:id="rId12"/>
    <sheet state="visible" name="CreateNewSubLiveOrder1" sheetId="11" r:id="rId13"/>
    <sheet state="visible" name="SelectTrade" sheetId="12" r:id="rId14"/>
    <sheet state="visible" name="AcknowledgeTrade" sheetId="13" r:id="rId15"/>
    <sheet state="visible" name="SelectTrade1" sheetId="14" r:id="rId16"/>
    <sheet state="visible" name="SelectTrade2" sheetId="15" r:id="rId17"/>
    <sheet state="visible" name="AcknowledgeTrade1" sheetId="16" r:id="rId18"/>
    <sheet state="visible" name="ExecuteTrade" sheetId="17" r:id="rId19"/>
    <sheet state="visible" name="SelectTradeOnOrderGrid" sheetId="18" r:id="rId20"/>
    <sheet state="visible" name="SelectTradeOnOrderGrid1" sheetId="19" r:id="rId21"/>
    <sheet state="visible" name="AllocateFromBlotter" sheetId="20" r:id="rId22"/>
    <sheet state="visible" name="VerifyWorkingSubs" sheetId="21" r:id="rId23"/>
    <sheet state="visible" name="RestartClient" sheetId="22" r:id="rId24"/>
  </sheets>
  <definedNames/>
  <calcPr/>
</workbook>
</file>

<file path=xl/sharedStrings.xml><?xml version="1.0" encoding="utf-8"?>
<sst xmlns="http://schemas.openxmlformats.org/spreadsheetml/2006/main" count="328" uniqueCount="58">
  <si>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</si>
  <si>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</si>
  <si>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</si>
  <si>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</si>
  <si>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</si>
  <si>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</si>
  <si>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</si>
  <si>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</si>
  <si>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</si>
  <si>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</si>
  <si>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</si>
  <si>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</si>
  <si>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</si>
  <si>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</si>
  <si>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</si>
  <si>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</si>
  <si>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</si>
  <si>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</si>
  <si>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Unallocated</t>
  </si>
  <si>
    <t>GTC</t>
  </si>
  <si>
    <t>Limit</t>
  </si>
  <si>
    <t>Blotter</t>
  </si>
  <si>
    <t>MergeOrder</t>
  </si>
  <si>
    <t>Yes</t>
  </si>
  <si>
    <t>GOOG</t>
  </si>
  <si>
    <t>TradeNewSubOrder</t>
  </si>
  <si>
    <t>CustomOrderTT</t>
  </si>
  <si>
    <t>Send</t>
  </si>
  <si>
    <t>Good Till Date</t>
  </si>
  <si>
    <t>CreateNewSubLiveOrder</t>
  </si>
  <si>
    <t>MSFT</t>
  </si>
  <si>
    <t>Simulator</t>
  </si>
  <si>
    <t>SelectTrade</t>
  </si>
  <si>
    <t>AcknowledgeTrade</t>
  </si>
  <si>
    <t>ExecuteTrade</t>
  </si>
  <si>
    <t>SelectTradeOnOrderGrid</t>
  </si>
  <si>
    <t>AllocateFromBlotter</t>
  </si>
  <si>
    <t>Allocation1</t>
  </si>
  <si>
    <t>VerifyWorkingSubs</t>
  </si>
  <si>
    <t/>
  </si>
  <si>
    <t>PartiallyFilled</t>
  </si>
  <si>
    <t>MS</t>
  </si>
  <si>
    <t>jpearce</t>
  </si>
  <si>
    <t>AAPL US EQUITY</t>
  </si>
  <si>
    <t>UNALLOCATED</t>
  </si>
  <si>
    <t>Equity</t>
  </si>
  <si>
    <t>M</t>
  </si>
  <si>
    <t>NONE</t>
  </si>
  <si>
    <t>USD</t>
  </si>
  <si>
    <t>Fix</t>
  </si>
  <si>
    <t>GCCAP1</t>
  </si>
  <si>
    <t>US</t>
  </si>
  <si>
    <t>NASDAQ</t>
  </si>
  <si>
    <t>NewMF</t>
  </si>
  <si>
    <t>PranaClient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</si>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</sst>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16</v>
      </c>
      <c r="C6" s="30" t="s">
        <v>17</v>
      </c>
      <c r="D6" s="31">
        <v>5000.0</v>
      </c>
      <c r="E6" s="8"/>
      <c r="F6" s="30" t="s">
        <v>18</v>
      </c>
      <c r="G6" s="8"/>
      <c r="H6" s="32" t="s">
        <v>19</v>
      </c>
      <c r="I6" s="32" t="s">
        <v>20</v>
      </c>
      <c r="J6" s="31">
        <v>315.95</v>
      </c>
      <c r="K6" s="8"/>
      <c r="L6" s="31">
        <v>315.95</v>
      </c>
      <c r="M6" s="8"/>
      <c r="N6" s="33">
        <f t="shared" ref="N6:N7" si="1">TODAY()-1</f>
        <v>45342</v>
      </c>
      <c r="O6" s="8"/>
    </row>
    <row r="7" ht="15.75" customHeight="1">
      <c r="A7" s="8"/>
      <c r="B7" s="30" t="s">
        <v>16</v>
      </c>
      <c r="C7" s="30" t="s">
        <v>17</v>
      </c>
      <c r="D7" s="34">
        <v>5001.0</v>
      </c>
      <c r="E7" s="8"/>
      <c r="F7" s="30" t="s">
        <v>18</v>
      </c>
      <c r="G7" s="8"/>
      <c r="H7" s="32" t="s">
        <v>19</v>
      </c>
      <c r="I7" s="32" t="s">
        <v>20</v>
      </c>
      <c r="J7" s="31">
        <v>315.95</v>
      </c>
      <c r="K7" s="8"/>
      <c r="L7" s="31">
        <v>315.95</v>
      </c>
      <c r="M7" s="8"/>
      <c r="N7" s="33">
        <f t="shared" si="1"/>
        <v>45342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5"/>
      <c r="F6" s="8"/>
      <c r="G6" s="8"/>
      <c r="H6" s="12">
        <v>5000.0</v>
      </c>
      <c r="I6" s="8"/>
      <c r="J6" s="8"/>
      <c r="K6" s="8"/>
      <c r="L6" s="8"/>
      <c r="M6" s="8"/>
      <c r="N6" s="8"/>
      <c r="O6" s="8"/>
      <c r="BA6" s="9" t="s">
        <v>23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5001.0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5"/>
      <c r="F6" s="8"/>
      <c r="H6" s="12">
        <v>5000.0</v>
      </c>
      <c r="I6" s="8"/>
      <c r="J6" s="8"/>
      <c r="K6" s="8"/>
      <c r="L6" s="8"/>
      <c r="M6" s="8"/>
      <c r="N6" s="8"/>
      <c r="O6" s="8"/>
      <c r="BA6" s="9" t="s">
        <v>23</v>
      </c>
    </row>
    <row r="7" ht="15.75" customHeight="1">
      <c r="A7" s="8"/>
      <c r="B7" s="8"/>
      <c r="C7" s="8"/>
      <c r="D7" s="12" t="s">
        <v>24</v>
      </c>
      <c r="E7" s="8"/>
      <c r="F7" s="8"/>
      <c r="H7" s="12">
        <v>5001.0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7"/>
      <c r="C6" s="31"/>
      <c r="D6" s="38">
        <v>315.95</v>
      </c>
      <c r="E6" s="37" t="s">
        <v>27</v>
      </c>
      <c r="F6" s="32"/>
      <c r="G6" s="32"/>
      <c r="H6" s="32"/>
      <c r="I6" s="39" t="s">
        <v>18</v>
      </c>
      <c r="J6" s="30"/>
      <c r="K6" s="32"/>
      <c r="L6" s="32"/>
      <c r="M6" s="32"/>
      <c r="N6" s="32"/>
      <c r="O6" s="32"/>
      <c r="P6" s="32"/>
      <c r="Q6" s="32"/>
      <c r="R6" s="32"/>
      <c r="S6" s="32"/>
      <c r="T6" s="32"/>
      <c r="U6" s="32" t="s">
        <v>28</v>
      </c>
      <c r="V6" s="32" t="s">
        <v>20</v>
      </c>
      <c r="W6" s="32"/>
      <c r="X6" s="31">
        <v>315.95</v>
      </c>
      <c r="Y6" s="33">
        <f>TODAY()</f>
        <v>45343</v>
      </c>
      <c r="Z6" s="33">
        <f>TODAY()-1</f>
        <v>45342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0"/>
      <c r="C7" s="34"/>
      <c r="D7" s="31"/>
      <c r="E7" s="40"/>
      <c r="F7" s="32"/>
      <c r="G7" s="32"/>
      <c r="H7" s="32"/>
      <c r="I7" s="30"/>
      <c r="J7" s="30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1"/>
      <c r="Y7" s="33"/>
      <c r="Z7" s="33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0"/>
      <c r="C8" s="31"/>
      <c r="D8" s="31"/>
      <c r="E8" s="40"/>
      <c r="F8" s="32"/>
      <c r="G8" s="32"/>
      <c r="H8" s="32"/>
      <c r="I8" s="30"/>
      <c r="J8" s="30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1"/>
      <c r="Y8" s="32"/>
      <c r="Z8" s="33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0"/>
      <c r="C9" s="34"/>
      <c r="D9" s="31"/>
      <c r="E9" s="40"/>
      <c r="F9" s="32"/>
      <c r="G9" s="32"/>
      <c r="H9" s="32"/>
      <c r="I9" s="30"/>
      <c r="J9" s="30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1"/>
      <c r="Y9" s="32"/>
      <c r="Z9" s="33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5"/>
      <c r="F6" s="12" t="s">
        <v>18</v>
      </c>
      <c r="G6" s="8"/>
      <c r="H6" s="8"/>
      <c r="I6" s="8"/>
      <c r="J6" s="12">
        <v>315.95</v>
      </c>
      <c r="K6" s="8"/>
      <c r="L6" s="12">
        <v>315.95</v>
      </c>
      <c r="M6" s="8"/>
      <c r="N6" s="33">
        <f>TODAY()-1</f>
        <v>45342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17</v>
      </c>
      <c r="D6" s="12"/>
      <c r="E6" s="35"/>
      <c r="F6" s="12" t="s">
        <v>18</v>
      </c>
      <c r="G6" s="8"/>
      <c r="H6" s="8"/>
      <c r="I6" s="8"/>
      <c r="J6" s="12">
        <v>315.95</v>
      </c>
      <c r="K6" s="8"/>
      <c r="L6" s="12">
        <v>315.95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24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24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15.95</v>
      </c>
      <c r="C6" s="12">
        <v>2500.0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>
        <v>100.0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39</v>
      </c>
      <c r="B6" s="41" t="s">
        <v>16</v>
      </c>
      <c r="C6" s="8" t="s">
        <v>17</v>
      </c>
      <c r="D6" s="41">
        <v>10001.0</v>
      </c>
      <c r="E6" s="8">
        <v>2500.0</v>
      </c>
      <c r="F6" s="8">
        <v>7501.0</v>
      </c>
      <c r="G6" s="8" t="s">
        <v>40</v>
      </c>
      <c r="H6" s="8">
        <v>2500.0</v>
      </c>
      <c r="I6" s="8"/>
      <c r="J6" s="8"/>
      <c r="K6" s="8" t="s">
        <v>41</v>
      </c>
      <c r="L6" s="8" t="s">
        <v>37</v>
      </c>
      <c r="M6" s="8" t="s">
        <v>20</v>
      </c>
      <c r="N6" s="8" t="s">
        <v>39</v>
      </c>
      <c r="O6" s="8"/>
      <c r="R6" t="s">
        <v>42</v>
      </c>
      <c r="S6" t="s">
        <v>43</v>
      </c>
      <c r="V6" t="s">
        <v>44</v>
      </c>
      <c r="W6" t="s">
        <v>45</v>
      </c>
      <c r="X6" t="s">
        <v>46</v>
      </c>
      <c r="Y6">
        <v>1.0</v>
      </c>
      <c r="AF6" t="s">
        <v>47</v>
      </c>
      <c r="AG6" t="s">
        <v>48</v>
      </c>
      <c r="AH6" t="s">
        <v>49</v>
      </c>
      <c r="AI6" t="s">
        <v>40</v>
      </c>
      <c r="AR6" t="s">
        <v>50</v>
      </c>
      <c r="AT6" t="s">
        <v>51</v>
      </c>
      <c r="AU6" t="s">
        <v>16</v>
      </c>
      <c r="AV6" t="s">
        <v>52</v>
      </c>
      <c r="AW6">
        <v>7501.0</v>
      </c>
      <c r="AX6" t="s">
        <v>39</v>
      </c>
      <c r="BA6" t="s">
        <v>53</v>
      </c>
      <c r="BB6" t="s">
        <v>42</v>
      </c>
      <c r="BD6" t="s">
        <v>39</v>
      </c>
      <c r="BE6" t="s">
        <v>39</v>
      </c>
      <c r="BF6" t="s">
        <v>39</v>
      </c>
      <c r="BG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R6" t="s">
        <v>39</v>
      </c>
      <c r="BS6" t="s">
        <v>39</v>
      </c>
      <c r="BT6" t="s">
        <v>39</v>
      </c>
      <c r="BU6" t="s">
        <v>39</v>
      </c>
      <c r="BV6" t="s">
        <v>39</v>
      </c>
      <c r="BW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S6" t="s">
        <v>39</v>
      </c>
      <c r="CT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56</v>
      </c>
      <c r="C6" s="8"/>
      <c r="D6" s="12" t="s">
        <v>57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