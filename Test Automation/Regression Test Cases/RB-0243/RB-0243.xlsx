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MarkPriceData" sheetId="6" r:id="rId8"/>
    <sheet state="visible" name="UpdateMarkPrice" sheetId="7" r:id="rId9"/>
    <sheet state="visible" name="GetForexConversion" sheetId="8" r:id="rId10"/>
    <sheet state="visible" name="UpdateForexConversion" sheetId="9" r:id="rId11"/>
    <sheet state="visible" name="FetchAccountPositions" sheetId="10" r:id="rId12"/>
    <sheet state="visible" name="RebalanceAcrossSecurities" sheetId="11" r:id="rId13"/>
    <sheet state="visible" name="RunRebalance" sheetId="12" r:id="rId14"/>
  </sheets>
  <definedNames/>
  <calcPr/>
</workbook>
</file>

<file path=xl/sharedStrings.xml><?xml version="1.0" encoding="utf-8"?>
<sst xmlns="http://schemas.openxmlformats.org/spreadsheetml/2006/main" count="129" uniqueCount="48">
  <si>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</si>
  <si>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</si>
  <si>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</si>
  <si>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</si>
  <si>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</si>
  <si>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</si>
  <si>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</si>
  <si>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</si>
  <si>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</si>
  <si>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</si>
  <si>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</si>
  <si>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</si>
  <si>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</si>
  <si>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</si>
  <si>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</si>
  <si>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</si>
  <si>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</si>
  <si>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</si>
  <si>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Allocation1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</si>
  <si>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</si>
  <si>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</si>
  <si>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</si>
  <si>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</si>
  <si>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</si>
  <si>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</si>
  <si>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</si>
  <si>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</si>
  <si>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</si>
  <si>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</si>
  <si>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</si>
  <si>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</si>
  <si>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</si>
  <si>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</si>
  <si>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</si>
  <si>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</si>
  <si>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</si>
  <si>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Rebalancer</t>
  </si>
  <si>
    <t>FetchAccountPositions</t>
  </si>
  <si>
    <t>Real-Time Positions</t>
  </si>
  <si>
    <t>Account</t>
  </si>
  <si>
    <t>Positions</t>
  </si>
  <si>
    <t>RebalanceAcrossSecurities</t>
  </si>
  <si>
    <t>AAPL</t>
  </si>
  <si>
    <t>Increase</t>
  </si>
  <si>
    <t>Yes</t>
  </si>
  <si>
    <t>BPS</t>
  </si>
  <si>
    <t>RunRebalance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</si>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</sst>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sz val="9.0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6" fontId="15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6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7">
        <f t="shared" ref="N6:N9" si="1">TODAY()-90</f>
        <v>44978</v>
      </c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19</v>
      </c>
      <c r="C7" s="33" t="s">
        <v>17</v>
      </c>
      <c r="D7" s="41">
        <v>100.0</v>
      </c>
      <c r="E7" s="40"/>
      <c r="F7" s="33" t="s">
        <v>18</v>
      </c>
      <c r="G7" s="40"/>
      <c r="H7" s="40"/>
      <c r="I7" s="40"/>
      <c r="J7" s="36">
        <v>2.0</v>
      </c>
      <c r="K7" s="40"/>
      <c r="L7" s="40"/>
      <c r="M7" s="40"/>
      <c r="N7" s="37">
        <f t="shared" si="1"/>
        <v>44978</v>
      </c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9"/>
      <c r="B8" s="40" t="s">
        <v>20</v>
      </c>
      <c r="C8" s="33" t="s">
        <v>21</v>
      </c>
      <c r="D8" s="41">
        <v>100.0</v>
      </c>
      <c r="E8" s="40"/>
      <c r="F8" s="33" t="s">
        <v>18</v>
      </c>
      <c r="G8" s="40"/>
      <c r="H8" s="40"/>
      <c r="I8" s="40"/>
      <c r="J8" s="36">
        <v>2.0</v>
      </c>
      <c r="K8" s="40"/>
      <c r="L8" s="40"/>
      <c r="M8" s="40"/>
      <c r="N8" s="37">
        <f t="shared" si="1"/>
        <v>44978</v>
      </c>
      <c r="O8" s="40"/>
      <c r="P8" s="40"/>
      <c r="Q8" s="40"/>
      <c r="R8" s="40"/>
      <c r="S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9"/>
      <c r="B9" s="42" t="s">
        <v>22</v>
      </c>
      <c r="C9" s="33" t="s">
        <v>17</v>
      </c>
      <c r="D9" s="41">
        <v>100.0</v>
      </c>
      <c r="E9" s="40"/>
      <c r="F9" s="33" t="s">
        <v>18</v>
      </c>
      <c r="G9" s="40"/>
      <c r="H9" s="40"/>
      <c r="I9" s="40"/>
      <c r="J9" s="36">
        <v>2.0</v>
      </c>
      <c r="K9" s="40"/>
      <c r="L9" s="40"/>
      <c r="M9" s="40"/>
      <c r="N9" s="37">
        <f t="shared" si="1"/>
        <v>44978</v>
      </c>
      <c r="O9" s="40"/>
      <c r="P9" s="40"/>
      <c r="Q9" s="40"/>
      <c r="R9" s="40"/>
      <c r="S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9"/>
      <c r="B10" s="40" t="s">
        <v>23</v>
      </c>
      <c r="C10" s="33" t="s">
        <v>17</v>
      </c>
      <c r="D10" s="41">
        <v>100.0</v>
      </c>
      <c r="E10" s="40"/>
      <c r="F10" s="33" t="s">
        <v>18</v>
      </c>
      <c r="G10" s="40"/>
      <c r="H10" s="40"/>
      <c r="I10" s="40"/>
      <c r="J10" s="36">
        <v>2.0</v>
      </c>
      <c r="K10" s="40"/>
      <c r="L10" s="40"/>
      <c r="M10" s="40"/>
      <c r="N10" s="37">
        <f>TODAY()-89</f>
        <v>44979</v>
      </c>
      <c r="O10" s="40"/>
      <c r="P10" s="40"/>
      <c r="Q10" s="40"/>
      <c r="R10" s="40"/>
      <c r="S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9"/>
      <c r="B11" s="40" t="s">
        <v>24</v>
      </c>
      <c r="C11" s="33" t="s">
        <v>17</v>
      </c>
      <c r="D11" s="41">
        <v>100.0</v>
      </c>
      <c r="E11" s="40"/>
      <c r="F11" s="33" t="s">
        <v>18</v>
      </c>
      <c r="G11" s="40"/>
      <c r="H11" s="40"/>
      <c r="I11" s="40"/>
      <c r="J11" s="36">
        <v>2.0</v>
      </c>
      <c r="K11" s="40"/>
      <c r="L11" s="40"/>
      <c r="M11" s="40"/>
      <c r="N11" s="37">
        <f>TODAY()-1</f>
        <v>45067</v>
      </c>
      <c r="O11" s="40"/>
      <c r="P11" s="40"/>
      <c r="Q11" s="40"/>
      <c r="R11" s="40"/>
      <c r="S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9"/>
      <c r="B12" s="40" t="s">
        <v>24</v>
      </c>
      <c r="C12" s="33" t="s">
        <v>25</v>
      </c>
      <c r="D12" s="36">
        <v>50.0</v>
      </c>
      <c r="E12" s="40"/>
      <c r="F12" s="33" t="s">
        <v>18</v>
      </c>
      <c r="G12" s="40"/>
      <c r="H12" s="40"/>
      <c r="I12" s="40"/>
      <c r="J12" s="36">
        <v>2.0</v>
      </c>
      <c r="K12" s="40"/>
      <c r="L12" s="40"/>
      <c r="M12" s="40"/>
      <c r="N12" s="37">
        <f t="shared" ref="N12:N14" si="2">TODAY()-60</f>
        <v>45008</v>
      </c>
      <c r="O12" s="40"/>
      <c r="P12" s="40"/>
      <c r="Q12" s="40"/>
      <c r="R12" s="40"/>
      <c r="S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 t="s">
        <v>26</v>
      </c>
      <c r="C13" s="33" t="s">
        <v>25</v>
      </c>
      <c r="D13" s="43">
        <v>33333.0</v>
      </c>
      <c r="E13" s="40"/>
      <c r="F13" s="33" t="s">
        <v>18</v>
      </c>
      <c r="G13" s="40"/>
      <c r="H13" s="40"/>
      <c r="I13" s="40"/>
      <c r="J13" s="36">
        <v>0.0</v>
      </c>
      <c r="K13" s="40"/>
      <c r="L13" s="40"/>
      <c r="M13" s="40"/>
      <c r="N13" s="37">
        <f t="shared" si="2"/>
        <v>45008</v>
      </c>
      <c r="O13" s="40"/>
      <c r="P13" s="40"/>
      <c r="Q13" s="40"/>
      <c r="R13" s="40"/>
      <c r="S13" s="40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44"/>
      <c r="B14" s="44" t="s">
        <v>27</v>
      </c>
      <c r="C14" s="33" t="s">
        <v>25</v>
      </c>
      <c r="D14" s="43">
        <v>33333.0</v>
      </c>
      <c r="E14" s="40"/>
      <c r="F14" s="33" t="s">
        <v>18</v>
      </c>
      <c r="G14" s="40"/>
      <c r="H14" s="40"/>
      <c r="I14" s="40"/>
      <c r="J14" s="36">
        <v>0.0</v>
      </c>
      <c r="K14" s="40"/>
      <c r="L14" s="40"/>
      <c r="M14" s="40"/>
      <c r="N14" s="37">
        <f t="shared" si="2"/>
        <v>45008</v>
      </c>
      <c r="O14" s="40"/>
      <c r="P14" s="40"/>
      <c r="Q14" s="40"/>
      <c r="R14" s="40"/>
      <c r="S14" s="40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16</v>
      </c>
      <c r="C6" s="46">
        <v>20.0</v>
      </c>
      <c r="D6" s="45"/>
      <c r="E6" s="35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46">
        <v>20.0</v>
      </c>
      <c r="D7" s="38"/>
      <c r="E7" s="40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46">
        <v>20.0</v>
      </c>
      <c r="D8" s="38"/>
      <c r="E8" s="40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2" t="s">
        <v>22</v>
      </c>
      <c r="C9" s="46">
        <v>20.0</v>
      </c>
      <c r="D9" s="38"/>
      <c r="E9" s="42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0" t="s">
        <v>23</v>
      </c>
      <c r="C10" s="46">
        <v>20.0</v>
      </c>
      <c r="D10" s="38"/>
      <c r="E10" s="40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46">
        <v>232.0</v>
      </c>
      <c r="D11" s="38"/>
      <c r="E11" s="4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 t="s">
        <v>26</v>
      </c>
      <c r="C12" s="46">
        <v>0.0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44" t="s">
        <v>27</v>
      </c>
      <c r="C13" s="46">
        <v>0.0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7">
        <f t="shared" ref="B6:C6" si="1">TODAY()-1</f>
        <v>45067</v>
      </c>
      <c r="C6" s="48">
        <f t="shared" si="1"/>
        <v>45067</v>
      </c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16</v>
      </c>
      <c r="C6" s="46">
        <v>10.0</v>
      </c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46">
        <v>19.5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46">
        <v>0.01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2" t="s">
        <v>22</v>
      </c>
      <c r="C9" s="46">
        <v>10.0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0" t="s">
        <v>23</v>
      </c>
      <c r="C10" s="46">
        <v>10.0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46">
        <v>209.08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 t="s">
        <v>26</v>
      </c>
      <c r="C12" s="46">
        <v>12.94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44" t="s">
        <v>27</v>
      </c>
      <c r="C13" s="46">
        <v>241.8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7">
        <f t="shared" ref="B6:C6" si="1">TODAY()-1</f>
        <v>45067</v>
      </c>
      <c r="C6" s="48">
        <f t="shared" si="1"/>
        <v>45067</v>
      </c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9" t="s">
        <v>34</v>
      </c>
      <c r="C6" s="38" t="s">
        <v>35</v>
      </c>
      <c r="D6" s="45"/>
      <c r="E6" s="46">
        <v>1.340482574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32" t="s">
        <v>18</v>
      </c>
      <c r="C6" s="35" t="s">
        <v>38</v>
      </c>
      <c r="D6" s="32" t="s">
        <v>39</v>
      </c>
      <c r="E6" s="35" t="s">
        <v>40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42</v>
      </c>
      <c r="C6" s="38" t="s">
        <v>43</v>
      </c>
      <c r="D6" s="51">
        <v>3000.0</v>
      </c>
      <c r="E6" s="38" t="s">
        <v>18</v>
      </c>
      <c r="F6" s="38"/>
      <c r="G6" s="38"/>
      <c r="I6" s="38" t="s">
        <v>44</v>
      </c>
      <c r="J6" s="52">
        <v>20.0</v>
      </c>
      <c r="K6" s="38"/>
      <c r="L6" s="38" t="s">
        <v>45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53" t="s">
        <v>47</v>
      </c>
      <c r="C6" s="38"/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