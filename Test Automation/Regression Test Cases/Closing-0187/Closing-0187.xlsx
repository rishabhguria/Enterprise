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</sheets>
  <definedNames/>
  <calcPr/>
</workbook>
</file>

<file path=xl/sharedStrings.xml><?xml version="1.0" encoding="utf-8"?>
<sst xmlns="http://schemas.openxmlformats.org/spreadsheetml/2006/main" count="95" uniqueCount="37">
  <si>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</si>
  <si>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</si>
  <si>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</si>
  <si>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</si>
  <si>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</si>
  <si>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</si>
  <si>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</si>
  <si>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</si>
  <si>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</si>
  <si>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</si>
  <si>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</si>
  <si>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</si>
  <si>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</si>
  <si>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</si>
  <si>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</si>
  <si>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</si>
  <si>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</si>
  <si>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</si>
  <si>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</si>
  <si>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</si>
  <si>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</si>
  <si>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</si>
  <si>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Sell short</t>
  </si>
  <si>
    <t>Allocation1</t>
  </si>
  <si>
    <t>MS</t>
  </si>
  <si>
    <t>O:AAPL 13N715.00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</si>
  <si>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</si>
  <si>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</si>
  <si>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</si>
  <si>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</si>
  <si>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</si>
  <si>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</si>
  <si>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</si>
  <si>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</si>
  <si>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Long</t>
  </si>
  <si>
    <t>ExerciseAssignment</t>
  </si>
  <si>
    <t>VerifyExpiredSettledGrid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</si>
</sst>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44563.0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13">
        <v>100.0</v>
      </c>
      <c r="F6" s="13" t="s">
        <v>23</v>
      </c>
      <c r="G6" s="13" t="s">
        <v>24</v>
      </c>
      <c r="H6" s="8"/>
      <c r="I6" s="8"/>
      <c r="J6" s="13">
        <v>10.0</v>
      </c>
      <c r="K6" s="8"/>
      <c r="L6" s="8"/>
      <c r="M6" s="8"/>
      <c r="N6" s="38">
        <f>TODAY()</f>
        <v>45013</v>
      </c>
      <c r="O6" s="8"/>
    </row>
    <row r="7" ht="15.75" customHeight="1">
      <c r="A7" s="33"/>
      <c r="B7" s="39" t="s">
        <v>25</v>
      </c>
      <c r="C7" s="39" t="s">
        <v>26</v>
      </c>
      <c r="D7" s="40">
        <v>10.0</v>
      </c>
      <c r="E7" s="33"/>
      <c r="F7" s="39" t="s">
        <v>23</v>
      </c>
      <c r="G7" s="33"/>
      <c r="H7" s="33"/>
      <c r="I7" s="33"/>
      <c r="J7" s="40">
        <v>10.0</v>
      </c>
      <c r="K7" s="33"/>
      <c r="L7" s="33"/>
      <c r="M7" s="33"/>
      <c r="N7" s="32">
        <v>44561.0</v>
      </c>
      <c r="O7" s="40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45012</v>
      </c>
      <c r="C6" s="38">
        <f>TODAY()</f>
        <v>45013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40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43">
        <v>44197.0</v>
      </c>
      <c r="D6" s="43">
        <v>44896.0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2"/>
      <c r="F6" s="8"/>
      <c r="G6" s="8"/>
      <c r="H6" s="8"/>
      <c r="I6" s="8"/>
      <c r="J6" s="8"/>
      <c r="K6" s="13" t="s">
        <v>24</v>
      </c>
      <c r="L6" s="8"/>
      <c r="M6" s="8"/>
      <c r="N6" s="8"/>
      <c r="O6" s="8"/>
      <c r="U6" s="9" t="s">
        <v>33</v>
      </c>
      <c r="AQ6" s="9">
        <v>10.0</v>
      </c>
      <c r="AU6" s="9">
        <v>1.0</v>
      </c>
      <c r="BV6" s="9" t="s">
        <v>26</v>
      </c>
      <c r="CB6" s="9" t="s">
        <v>34</v>
      </c>
      <c r="CG6" s="9">
        <v>10.0</v>
      </c>
      <c r="DH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2"/>
      <c r="F6" s="8"/>
      <c r="G6" s="13">
        <v>10.0</v>
      </c>
      <c r="H6" s="8"/>
      <c r="I6" s="8"/>
      <c r="J6" s="8"/>
      <c r="K6" s="8"/>
      <c r="L6" s="8"/>
      <c r="M6" s="8"/>
      <c r="N6" s="8"/>
      <c r="O6" s="8"/>
      <c r="V6" s="9" t="s">
        <v>34</v>
      </c>
      <c r="W6" s="9" t="s">
        <v>34</v>
      </c>
      <c r="Z6" s="9" t="s">
        <v>26</v>
      </c>
      <c r="A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