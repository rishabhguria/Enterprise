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TradeNewSub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SelectTrade1" sheetId="16" r:id="rId18"/>
    <sheet state="visible" name="ExecuteTrade1" sheetId="17" r:id="rId19"/>
    <sheet state="visible" name="VerifyOrder1" sheetId="18" r:id="rId20"/>
    <sheet state="visible" name="CheckAllocatedGroups1" sheetId="19" r:id="rId21"/>
    <sheet state="visible" name="CheckPortfolioManagement1" sheetId="20" r:id="rId22"/>
    <sheet state="visible" name="SelectTrade2" sheetId="21" r:id="rId23"/>
    <sheet state="visible" name="ExecuteTrade2" sheetId="22" r:id="rId24"/>
    <sheet state="visible" name="VerifyOrder2" sheetId="23" r:id="rId25"/>
    <sheet state="visible" name="CheckAllocatedGroups2" sheetId="24" r:id="rId26"/>
    <sheet state="visible" name="CheckPortfolioManagement2" sheetId="25" r:id="rId27"/>
  </sheets>
  <definedNames/>
  <calcPr/>
</workbook>
</file>

<file path=xl/sharedStrings.xml><?xml version="1.0" encoding="utf-8"?>
<sst xmlns="http://schemas.openxmlformats.org/spreadsheetml/2006/main" count="436" uniqueCount="68">
  <si>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</si>
  <si>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</si>
  <si>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</si>
  <si>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</si>
  <si>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</si>
  <si>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</si>
  <si>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</si>
  <si>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</si>
  <si>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</si>
  <si>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</si>
  <si>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</si>
  <si>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</si>
  <si>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</si>
  <si>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</si>
  <si>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</si>
  <si>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</si>
  <si>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</si>
  <si>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</si>
  <si>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Cases\Stage(Allocation-0287).csv</t>
  </si>
  <si>
    <t>ISOX</t>
  </si>
  <si>
    <t>Staged Order</t>
  </si>
  <si>
    <t>SelectAllOnImport</t>
  </si>
  <si>
    <t>Blotter</t>
  </si>
  <si>
    <t>TradeNewSubOrder</t>
  </si>
  <si>
    <t>AMZN</t>
  </si>
  <si>
    <t>Buy</t>
  </si>
  <si>
    <t>New</t>
  </si>
  <si>
    <t>Multiple</t>
  </si>
  <si>
    <t>TradingTicket</t>
  </si>
  <si>
    <t>CreateLiveOrder</t>
  </si>
  <si>
    <t>Simulator</t>
  </si>
  <si>
    <t>SelectTrade</t>
  </si>
  <si>
    <t>AcknowledgeTrade</t>
  </si>
  <si>
    <t>ExecuteTrade</t>
  </si>
  <si>
    <t>VerifyOrder</t>
  </si>
  <si>
    <t>AMZN US EQUITY</t>
  </si>
  <si>
    <t>NASDAQ</t>
  </si>
  <si>
    <t>jpearce</t>
  </si>
  <si>
    <t>US</t>
  </si>
  <si>
    <t>GCCAP1</t>
  </si>
  <si>
    <t>USD</t>
  </si>
  <si>
    <t>M</t>
  </si>
  <si>
    <t>Equity</t>
  </si>
  <si>
    <t>PartiallyFilled</t>
  </si>
  <si>
    <t>MS</t>
  </si>
  <si>
    <t>Limit</t>
  </si>
  <si>
    <t/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</si>
  <si>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</si>
  <si>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</si>
  <si>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</si>
  <si>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</si>
  <si>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</si>
  <si>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</si>
  <si>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</si>
  <si>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Allocation2</t>
  </si>
  <si>
    <t>Long</t>
  </si>
  <si>
    <t>Strategy Unallocated</t>
  </si>
  <si>
    <t>Yes</t>
  </si>
  <si>
    <t>Allocation1</t>
  </si>
  <si>
    <t>NONE</t>
  </si>
  <si>
    <t>Manual</t>
  </si>
  <si>
    <t>AMAZON.COM</t>
  </si>
  <si>
    <t>Equity General</t>
  </si>
  <si>
    <t>Communications</t>
  </si>
  <si>
    <t>Europe</t>
  </si>
  <si>
    <t>USA</t>
  </si>
  <si>
    <t>Filled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</si>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</sst>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 t="str">
        <f>IFERROR(__xludf.DUMMYFUNCTION("""COMPUTED_VALUE"""),"LoginClient")</f>
        <v>LoginClient</v>
      </c>
      <c r="H4" s="25" t="str">
        <f>IFERROR(__xludf.DUMMYFUNCTION("""COMPUTED_VALUE"""),"Action")</f>
        <v>Action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5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24</v>
      </c>
      <c r="AJ6" s="9" t="s">
        <v>25</v>
      </c>
      <c r="AK6" s="9" t="s">
        <v>26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76.0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13"/>
      <c r="F6" s="8"/>
      <c r="G6" s="13">
        <v>76.0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13">
        <v>76.0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/>
      <c r="D6" s="37">
        <v>10.0</v>
      </c>
      <c r="E6" s="8" t="s">
        <v>35</v>
      </c>
      <c r="F6" s="8">
        <v>10.0</v>
      </c>
      <c r="G6" s="8">
        <v>51.0</v>
      </c>
      <c r="H6" s="8" t="s">
        <v>36</v>
      </c>
      <c r="I6" s="8" t="s">
        <v>37</v>
      </c>
      <c r="J6" s="8" t="s">
        <v>24</v>
      </c>
      <c r="K6" s="8" t="s">
        <v>38</v>
      </c>
      <c r="L6" s="8" t="s">
        <v>39</v>
      </c>
      <c r="M6" s="8"/>
      <c r="N6" s="8"/>
      <c r="O6" s="8"/>
      <c r="U6" t="s">
        <v>40</v>
      </c>
      <c r="AA6" t="s">
        <v>27</v>
      </c>
      <c r="AD6">
        <v>1.0</v>
      </c>
      <c r="AF6" t="s">
        <v>41</v>
      </c>
      <c r="AH6" t="s">
        <v>42</v>
      </c>
      <c r="AI6" t="s">
        <v>24</v>
      </c>
      <c r="AJ6" t="s">
        <v>25</v>
      </c>
      <c r="AK6" t="s">
        <v>43</v>
      </c>
      <c r="AL6">
        <v>76.0</v>
      </c>
      <c r="AM6">
        <v>25.0</v>
      </c>
      <c r="AQ6">
        <v>10.0</v>
      </c>
      <c r="AR6">
        <v>10.0</v>
      </c>
      <c r="AS6" t="s">
        <v>44</v>
      </c>
      <c r="AT6" t="s">
        <v>27</v>
      </c>
      <c r="AU6" t="s">
        <v>45</v>
      </c>
      <c r="AV6">
        <v>250.0</v>
      </c>
      <c r="AW6">
        <v>250.0</v>
      </c>
      <c r="BA6" t="s">
        <v>37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27</v>
      </c>
      <c r="C6" s="8" t="s">
        <v>46</v>
      </c>
      <c r="D6" s="37"/>
      <c r="E6" s="8">
        <v>25.0</v>
      </c>
      <c r="F6" s="8"/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35</v>
      </c>
      <c r="N6" s="8" t="s">
        <v>46</v>
      </c>
      <c r="O6" s="8" t="s">
        <v>44</v>
      </c>
      <c r="Q6">
        <v>3.0</v>
      </c>
      <c r="S6" t="s">
        <v>51</v>
      </c>
      <c r="X6" t="s">
        <v>46</v>
      </c>
      <c r="Y6" t="s">
        <v>46</v>
      </c>
      <c r="Z6" t="s">
        <v>40</v>
      </c>
      <c r="AD6" t="s">
        <v>36</v>
      </c>
      <c r="AE6">
        <v>25.0</v>
      </c>
      <c r="AF6" t="s">
        <v>46</v>
      </c>
      <c r="AH6" t="s">
        <v>41</v>
      </c>
      <c r="AI6">
        <v>1.0</v>
      </c>
      <c r="BO6" s="9" t="s">
        <v>25</v>
      </c>
      <c r="B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7"/>
      <c r="C6" s="8" t="s">
        <v>24</v>
      </c>
      <c r="D6" s="37">
        <v>13.0</v>
      </c>
      <c r="E6" s="8" t="s">
        <v>54</v>
      </c>
      <c r="F6" s="8"/>
      <c r="G6" s="8">
        <v>10.0</v>
      </c>
      <c r="H6" s="8" t="s">
        <v>55</v>
      </c>
      <c r="I6" s="8"/>
      <c r="J6" s="8"/>
      <c r="K6" s="8"/>
      <c r="L6" s="8"/>
      <c r="M6" s="8"/>
      <c r="N6" s="8"/>
      <c r="O6" s="8"/>
      <c r="S6" t="s">
        <v>56</v>
      </c>
      <c r="T6" t="s">
        <v>42</v>
      </c>
      <c r="U6" t="s">
        <v>38</v>
      </c>
      <c r="V6" t="s">
        <v>36</v>
      </c>
      <c r="W6" t="s">
        <v>40</v>
      </c>
      <c r="X6">
        <v>1.0</v>
      </c>
      <c r="Y6">
        <v>1.0</v>
      </c>
      <c r="AF6">
        <v>13.0</v>
      </c>
      <c r="AM6">
        <v>1.0</v>
      </c>
      <c r="AN6" t="s">
        <v>25</v>
      </c>
      <c r="AP6" t="s">
        <v>55</v>
      </c>
      <c r="AQ6" t="s">
        <v>24</v>
      </c>
      <c r="AS6">
        <v>1.0</v>
      </c>
      <c r="AV6">
        <v>1.0</v>
      </c>
      <c r="BC6">
        <v>1.0</v>
      </c>
      <c r="BE6" t="s">
        <v>42</v>
      </c>
      <c r="BQ6" t="s">
        <v>37</v>
      </c>
      <c r="BR6" t="s">
        <v>44</v>
      </c>
      <c r="BU6" t="s">
        <v>42</v>
      </c>
      <c r="CP6" t="s">
        <v>35</v>
      </c>
      <c r="CS6">
        <v>10.0</v>
      </c>
      <c r="DD6">
        <v>13.0</v>
      </c>
      <c r="DJ6" t="s">
        <v>25</v>
      </c>
      <c r="DM6">
        <v>1.0</v>
      </c>
      <c r="DP6" t="s">
        <v>55</v>
      </c>
      <c r="EA6" t="s">
        <v>57</v>
      </c>
      <c r="EL6" t="s">
        <v>55</v>
      </c>
      <c r="EV6" t="s">
        <v>55</v>
      </c>
      <c r="FA6" t="s">
        <v>46</v>
      </c>
      <c r="FB6" t="s">
        <v>46</v>
      </c>
    </row>
    <row r="7" ht="15.75" customHeight="1">
      <c r="A7" s="8"/>
      <c r="B7" s="8"/>
      <c r="C7" s="8" t="s">
        <v>24</v>
      </c>
      <c r="D7" s="8">
        <v>12.0</v>
      </c>
      <c r="E7" s="8" t="s">
        <v>58</v>
      </c>
      <c r="F7" s="8"/>
      <c r="G7" s="8">
        <v>10.0</v>
      </c>
      <c r="H7" s="8" t="s">
        <v>55</v>
      </c>
      <c r="I7" s="8"/>
      <c r="J7" s="8"/>
      <c r="K7" s="8"/>
      <c r="L7" s="8"/>
      <c r="M7" s="8"/>
      <c r="N7" s="8"/>
      <c r="O7" s="8"/>
      <c r="S7" t="s">
        <v>56</v>
      </c>
      <c r="T7" t="s">
        <v>42</v>
      </c>
      <c r="U7" t="s">
        <v>38</v>
      </c>
      <c r="V7" t="s">
        <v>36</v>
      </c>
      <c r="W7" t="s">
        <v>40</v>
      </c>
      <c r="X7">
        <v>1.0</v>
      </c>
      <c r="Y7">
        <v>1.0</v>
      </c>
      <c r="AF7">
        <v>12.0</v>
      </c>
      <c r="AM7">
        <v>1.0</v>
      </c>
      <c r="AN7" t="s">
        <v>25</v>
      </c>
      <c r="AP7" t="s">
        <v>55</v>
      </c>
      <c r="AQ7" t="s">
        <v>24</v>
      </c>
      <c r="AS7">
        <v>1.0</v>
      </c>
      <c r="AV7">
        <v>1.0</v>
      </c>
      <c r="BC7">
        <v>1.0</v>
      </c>
      <c r="BE7" t="s">
        <v>42</v>
      </c>
      <c r="BQ7" t="s">
        <v>37</v>
      </c>
      <c r="BR7" t="s">
        <v>44</v>
      </c>
      <c r="BU7" t="s">
        <v>42</v>
      </c>
      <c r="CP7" t="s">
        <v>35</v>
      </c>
      <c r="CS7">
        <v>10.0</v>
      </c>
      <c r="DD7">
        <v>12.0</v>
      </c>
      <c r="DJ7" t="s">
        <v>25</v>
      </c>
      <c r="DM7">
        <v>1.0</v>
      </c>
      <c r="DP7" t="s">
        <v>55</v>
      </c>
      <c r="EA7" t="s">
        <v>57</v>
      </c>
      <c r="EL7" t="s">
        <v>55</v>
      </c>
      <c r="EV7" t="s">
        <v>55</v>
      </c>
      <c r="FA7" t="s">
        <v>46</v>
      </c>
      <c r="FB7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13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/>
      <c r="D6" s="37">
        <v>10.0</v>
      </c>
      <c r="E6" s="8" t="s">
        <v>35</v>
      </c>
      <c r="F6" s="8">
        <v>10.0</v>
      </c>
      <c r="G6" s="8">
        <v>41.0</v>
      </c>
      <c r="H6" s="8" t="s">
        <v>36</v>
      </c>
      <c r="I6" s="8" t="s">
        <v>37</v>
      </c>
      <c r="J6" s="8" t="s">
        <v>24</v>
      </c>
      <c r="K6" s="8" t="s">
        <v>38</v>
      </c>
      <c r="L6" s="8" t="s">
        <v>39</v>
      </c>
      <c r="M6" s="8"/>
      <c r="N6" s="8"/>
      <c r="O6" s="8"/>
      <c r="U6" t="s">
        <v>40</v>
      </c>
      <c r="V6" t="s">
        <v>59</v>
      </c>
      <c r="AA6" t="s">
        <v>27</v>
      </c>
      <c r="AB6">
        <v>10.0</v>
      </c>
      <c r="AD6">
        <v>1.0</v>
      </c>
      <c r="AF6" t="s">
        <v>41</v>
      </c>
      <c r="AH6" t="s">
        <v>42</v>
      </c>
      <c r="AI6" t="s">
        <v>24</v>
      </c>
      <c r="AJ6" t="s">
        <v>25</v>
      </c>
      <c r="AK6" t="s">
        <v>43</v>
      </c>
      <c r="AL6">
        <v>76.0</v>
      </c>
      <c r="AQ6">
        <v>10.0</v>
      </c>
      <c r="AR6">
        <v>10.0</v>
      </c>
      <c r="AS6" t="s">
        <v>44</v>
      </c>
      <c r="AT6" t="s">
        <v>27</v>
      </c>
      <c r="AU6" t="s">
        <v>45</v>
      </c>
      <c r="AV6">
        <v>350.0</v>
      </c>
      <c r="AW6">
        <v>350.0</v>
      </c>
      <c r="AZ6">
        <v>41.0</v>
      </c>
      <c r="BA6" t="s">
        <v>37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27</v>
      </c>
      <c r="C6" s="8" t="s">
        <v>46</v>
      </c>
      <c r="D6" s="37"/>
      <c r="E6" s="8">
        <v>35.0</v>
      </c>
      <c r="F6" s="8" t="s">
        <v>60</v>
      </c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35</v>
      </c>
      <c r="N6" s="8" t="s">
        <v>46</v>
      </c>
      <c r="O6" s="8" t="s">
        <v>44</v>
      </c>
      <c r="Q6">
        <v>3.0</v>
      </c>
      <c r="S6" t="s">
        <v>51</v>
      </c>
      <c r="V6" t="s">
        <v>61</v>
      </c>
      <c r="W6">
        <v>1.0</v>
      </c>
      <c r="X6" t="s">
        <v>46</v>
      </c>
      <c r="Y6" t="s">
        <v>46</v>
      </c>
      <c r="Z6" t="s">
        <v>40</v>
      </c>
      <c r="AA6">
        <v>2.3135106E7</v>
      </c>
      <c r="AB6">
        <v>1.0</v>
      </c>
      <c r="AD6" t="s">
        <v>36</v>
      </c>
      <c r="AE6">
        <v>35.0</v>
      </c>
      <c r="AF6" t="s">
        <v>46</v>
      </c>
      <c r="AH6" t="s">
        <v>41</v>
      </c>
      <c r="AI6">
        <v>1.0</v>
      </c>
      <c r="AR6" t="b">
        <v>1</v>
      </c>
      <c r="BO6" s="9" t="s">
        <v>25</v>
      </c>
      <c r="B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7"/>
      <c r="C6" s="8" t="s">
        <v>24</v>
      </c>
      <c r="D6" s="37">
        <v>18.0</v>
      </c>
      <c r="E6" s="8" t="s">
        <v>54</v>
      </c>
      <c r="F6" s="8"/>
      <c r="G6" s="8">
        <v>10.0</v>
      </c>
      <c r="H6" s="8" t="s">
        <v>55</v>
      </c>
      <c r="I6" s="8"/>
      <c r="J6" s="8"/>
      <c r="K6" s="8"/>
      <c r="L6" s="8"/>
      <c r="M6" s="8"/>
      <c r="N6" s="8"/>
      <c r="O6" s="8"/>
      <c r="T6" t="s">
        <v>42</v>
      </c>
      <c r="U6" t="s">
        <v>38</v>
      </c>
      <c r="V6" t="s">
        <v>36</v>
      </c>
      <c r="W6" t="s">
        <v>40</v>
      </c>
      <c r="X6">
        <v>1.0</v>
      </c>
      <c r="Y6">
        <v>1.0</v>
      </c>
      <c r="AL6">
        <v>1.0</v>
      </c>
      <c r="AM6">
        <v>1.0</v>
      </c>
      <c r="AN6" t="s">
        <v>25</v>
      </c>
      <c r="AP6" t="s">
        <v>55</v>
      </c>
      <c r="AQ6" t="s">
        <v>24</v>
      </c>
      <c r="AS6">
        <v>1.0</v>
      </c>
      <c r="AV6">
        <v>1.0</v>
      </c>
      <c r="BE6" t="s">
        <v>42</v>
      </c>
      <c r="BF6" t="s">
        <v>62</v>
      </c>
      <c r="BG6" t="s">
        <v>63</v>
      </c>
      <c r="BH6" t="s">
        <v>64</v>
      </c>
      <c r="BI6" t="s">
        <v>65</v>
      </c>
      <c r="BQ6" t="s">
        <v>37</v>
      </c>
      <c r="BR6" t="s">
        <v>44</v>
      </c>
      <c r="BU6" t="s">
        <v>42</v>
      </c>
      <c r="CP6" t="s">
        <v>35</v>
      </c>
      <c r="DJ6" t="s">
        <v>25</v>
      </c>
      <c r="DM6">
        <v>1.0</v>
      </c>
      <c r="DP6" t="s">
        <v>55</v>
      </c>
      <c r="EL6" t="s">
        <v>55</v>
      </c>
      <c r="EV6" t="s">
        <v>55</v>
      </c>
      <c r="FA6" t="s">
        <v>46</v>
      </c>
      <c r="FB6" t="s">
        <v>46</v>
      </c>
    </row>
    <row r="7" ht="15.75" customHeight="1">
      <c r="A7" s="8"/>
      <c r="B7" s="8"/>
      <c r="C7" s="8" t="s">
        <v>24</v>
      </c>
      <c r="D7" s="8">
        <v>17.0</v>
      </c>
      <c r="E7" s="8" t="s">
        <v>58</v>
      </c>
      <c r="F7" s="8"/>
      <c r="G7" s="8">
        <v>10.0</v>
      </c>
      <c r="H7" s="8" t="s">
        <v>55</v>
      </c>
      <c r="I7" s="8"/>
      <c r="J7" s="8"/>
      <c r="K7" s="8"/>
      <c r="L7" s="8"/>
      <c r="M7" s="8"/>
      <c r="N7" s="8"/>
      <c r="O7" s="8"/>
      <c r="T7" t="s">
        <v>42</v>
      </c>
      <c r="U7" t="s">
        <v>38</v>
      </c>
      <c r="V7" t="s">
        <v>36</v>
      </c>
      <c r="W7" t="s">
        <v>40</v>
      </c>
      <c r="X7">
        <v>1.0</v>
      </c>
      <c r="Y7">
        <v>1.0</v>
      </c>
      <c r="AL7">
        <v>1.0</v>
      </c>
      <c r="AM7">
        <v>1.0</v>
      </c>
      <c r="AN7" t="s">
        <v>25</v>
      </c>
      <c r="AP7" t="s">
        <v>55</v>
      </c>
      <c r="AQ7" t="s">
        <v>24</v>
      </c>
      <c r="AS7">
        <v>1.0</v>
      </c>
      <c r="AV7">
        <v>1.0</v>
      </c>
      <c r="BE7" t="s">
        <v>42</v>
      </c>
      <c r="BF7" t="s">
        <v>62</v>
      </c>
      <c r="BG7" t="s">
        <v>63</v>
      </c>
      <c r="BH7" t="s">
        <v>64</v>
      </c>
      <c r="BI7" t="s">
        <v>65</v>
      </c>
      <c r="BQ7" t="s">
        <v>37</v>
      </c>
      <c r="BR7" t="s">
        <v>44</v>
      </c>
      <c r="BU7" t="s">
        <v>42</v>
      </c>
      <c r="CP7" t="s">
        <v>35</v>
      </c>
      <c r="DJ7" t="s">
        <v>25</v>
      </c>
      <c r="DM7">
        <v>1.0</v>
      </c>
      <c r="DP7" t="s">
        <v>55</v>
      </c>
      <c r="EL7" t="s">
        <v>55</v>
      </c>
      <c r="EV7" t="s">
        <v>55</v>
      </c>
      <c r="FA7" t="s">
        <v>46</v>
      </c>
      <c r="FB7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13">
        <v>76.0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41.0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/>
      <c r="D6" s="37">
        <v>10.0</v>
      </c>
      <c r="E6" s="8" t="s">
        <v>35</v>
      </c>
      <c r="F6" s="8">
        <v>10.0</v>
      </c>
      <c r="G6" s="8"/>
      <c r="H6" s="8" t="s">
        <v>36</v>
      </c>
      <c r="I6" s="8" t="s">
        <v>37</v>
      </c>
      <c r="J6" s="8" t="s">
        <v>24</v>
      </c>
      <c r="K6" s="8" t="s">
        <v>38</v>
      </c>
      <c r="L6" s="8" t="s">
        <v>39</v>
      </c>
      <c r="M6" s="8"/>
      <c r="N6" s="8"/>
      <c r="O6" s="8"/>
      <c r="U6" t="s">
        <v>40</v>
      </c>
      <c r="AA6" t="s">
        <v>27</v>
      </c>
      <c r="AB6">
        <v>41.0</v>
      </c>
      <c r="AD6">
        <v>1.0</v>
      </c>
      <c r="AF6" t="s">
        <v>41</v>
      </c>
      <c r="AH6" t="s">
        <v>42</v>
      </c>
      <c r="AI6" t="s">
        <v>24</v>
      </c>
      <c r="AJ6" t="s">
        <v>25</v>
      </c>
      <c r="AK6" t="s">
        <v>66</v>
      </c>
      <c r="AL6">
        <v>76.0</v>
      </c>
      <c r="AM6">
        <v>76.0</v>
      </c>
      <c r="AN6">
        <v>100.0</v>
      </c>
      <c r="AQ6">
        <v>10.0</v>
      </c>
      <c r="AR6">
        <v>10.0</v>
      </c>
      <c r="AS6" t="s">
        <v>44</v>
      </c>
      <c r="AT6" t="s">
        <v>27</v>
      </c>
      <c r="AU6" t="s">
        <v>45</v>
      </c>
      <c r="AV6">
        <v>760.0</v>
      </c>
      <c r="AW6">
        <v>760.0</v>
      </c>
      <c r="BA6" t="s">
        <v>37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27</v>
      </c>
      <c r="C6" s="8" t="s">
        <v>46</v>
      </c>
      <c r="D6" s="37"/>
      <c r="E6" s="8">
        <v>76.0</v>
      </c>
      <c r="F6" s="8" t="s">
        <v>60</v>
      </c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35</v>
      </c>
      <c r="N6" s="8" t="s">
        <v>46</v>
      </c>
      <c r="O6" s="8" t="s">
        <v>44</v>
      </c>
      <c r="Q6">
        <v>3.0</v>
      </c>
      <c r="S6" t="s">
        <v>51</v>
      </c>
      <c r="W6">
        <v>1.0</v>
      </c>
      <c r="X6" t="s">
        <v>46</v>
      </c>
      <c r="Y6" t="s">
        <v>46</v>
      </c>
      <c r="Z6" t="s">
        <v>40</v>
      </c>
      <c r="AA6">
        <v>2.3135106E7</v>
      </c>
      <c r="AB6">
        <v>1.0</v>
      </c>
      <c r="AD6" t="s">
        <v>36</v>
      </c>
      <c r="AE6">
        <v>76.0</v>
      </c>
      <c r="AF6" t="s">
        <v>46</v>
      </c>
      <c r="AH6" t="s">
        <v>41</v>
      </c>
      <c r="AI6">
        <v>1.0</v>
      </c>
      <c r="AJ6" t="s">
        <v>67</v>
      </c>
      <c r="BJ6">
        <v>76.0</v>
      </c>
      <c r="BL6" t="s">
        <v>46</v>
      </c>
      <c r="BM6" t="s">
        <v>40</v>
      </c>
      <c r="BO6" t="s">
        <v>25</v>
      </c>
      <c r="BS6" t="s">
        <v>56</v>
      </c>
      <c r="BT6" t="s">
        <v>24</v>
      </c>
      <c r="BU6">
        <v>3.0</v>
      </c>
      <c r="CF6" t="s">
        <v>39</v>
      </c>
      <c r="CI6" t="s">
        <v>25</v>
      </c>
      <c r="CK6" t="s">
        <v>38</v>
      </c>
      <c r="CL6">
        <v>1.0</v>
      </c>
      <c r="CM6" t="s">
        <v>24</v>
      </c>
      <c r="CN6" t="s">
        <v>37</v>
      </c>
      <c r="CO6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7"/>
      <c r="C6" s="8" t="s">
        <v>24</v>
      </c>
      <c r="D6" s="37">
        <v>38.0</v>
      </c>
      <c r="E6" s="8" t="s">
        <v>54</v>
      </c>
      <c r="F6" s="8"/>
      <c r="G6" s="8">
        <v>10.0</v>
      </c>
      <c r="H6" s="8" t="s">
        <v>55</v>
      </c>
      <c r="I6" s="8"/>
      <c r="J6" s="8"/>
      <c r="K6" s="8"/>
      <c r="L6" s="8"/>
      <c r="M6" s="8"/>
      <c r="N6" s="8"/>
      <c r="O6" s="8"/>
      <c r="S6" t="s">
        <v>56</v>
      </c>
      <c r="T6" t="s">
        <v>42</v>
      </c>
      <c r="U6" t="s">
        <v>38</v>
      </c>
      <c r="V6" t="s">
        <v>36</v>
      </c>
      <c r="W6" t="s">
        <v>40</v>
      </c>
      <c r="X6">
        <v>1.0</v>
      </c>
      <c r="Y6">
        <v>1.0</v>
      </c>
      <c r="AN6" t="s">
        <v>25</v>
      </c>
      <c r="AP6" t="s">
        <v>55</v>
      </c>
      <c r="AQ6" t="s">
        <v>24</v>
      </c>
      <c r="AS6">
        <v>1.0</v>
      </c>
      <c r="AV6">
        <v>1.0</v>
      </c>
      <c r="BQ6" t="s">
        <v>37</v>
      </c>
      <c r="BR6" t="s">
        <v>44</v>
      </c>
      <c r="BU6" t="s">
        <v>42</v>
      </c>
      <c r="CP6" t="s">
        <v>35</v>
      </c>
    </row>
    <row r="7" ht="15.75" customHeight="1">
      <c r="A7" s="8"/>
      <c r="B7" s="8"/>
      <c r="C7" s="8" t="s">
        <v>24</v>
      </c>
      <c r="D7" s="8">
        <v>38.0</v>
      </c>
      <c r="E7" s="8" t="s">
        <v>58</v>
      </c>
      <c r="F7" s="8"/>
      <c r="G7" s="8">
        <v>10.0</v>
      </c>
      <c r="H7" s="8" t="s">
        <v>55</v>
      </c>
      <c r="I7" s="8"/>
      <c r="J7" s="8"/>
      <c r="K7" s="8"/>
      <c r="L7" s="8"/>
      <c r="M7" s="8"/>
      <c r="N7" s="8"/>
      <c r="O7" s="8"/>
      <c r="S7" t="s">
        <v>56</v>
      </c>
      <c r="T7" t="s">
        <v>42</v>
      </c>
      <c r="U7" t="s">
        <v>38</v>
      </c>
      <c r="V7" t="s">
        <v>36</v>
      </c>
      <c r="W7" t="s">
        <v>40</v>
      </c>
      <c r="X7">
        <v>1.0</v>
      </c>
      <c r="Y7">
        <v>1.0</v>
      </c>
      <c r="AN7" t="s">
        <v>25</v>
      </c>
      <c r="AP7" t="s">
        <v>55</v>
      </c>
      <c r="AQ7" t="s">
        <v>24</v>
      </c>
      <c r="AS7">
        <v>1.0</v>
      </c>
      <c r="AV7">
        <v>1.0</v>
      </c>
      <c r="BQ7" t="s">
        <v>37</v>
      </c>
      <c r="BR7" t="s">
        <v>44</v>
      </c>
      <c r="BU7" t="s">
        <v>42</v>
      </c>
      <c r="CP7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