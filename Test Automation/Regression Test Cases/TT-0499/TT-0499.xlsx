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TGeneralPreferences" sheetId="4" r:id="rId6"/>
    <sheet state="visible" name="SetUIPreferencesTT" sheetId="5" r:id="rId7"/>
    <sheet state="visible" name="VerifyOrder" sheetId="6" r:id="rId8"/>
    <sheet state="visible" name="CreateLiveOrder" sheetId="7" r:id="rId9"/>
  </sheets>
  <definedNames/>
  <calcPr/>
</workbook>
</file>

<file path=xl/sharedStrings.xml><?xml version="1.0" encoding="utf-8"?>
<sst xmlns="http://schemas.openxmlformats.org/spreadsheetml/2006/main" count="49" uniqueCount="28">
  <si>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</si>
  <si>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</si>
  <si>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</si>
  <si>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</si>
  <si>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</si>
  <si>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</si>
  <si>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</si>
  <si>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</si>
  <si>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</si>
  <si>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</si>
  <si>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</si>
  <si>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</si>
  <si>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</si>
  <si>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SetTTGeneralPreferences</t>
  </si>
  <si>
    <t>Data Format</t>
  </si>
  <si>
    <t>Input Format</t>
  </si>
  <si>
    <t>None</t>
  </si>
  <si>
    <t>TradingTicket</t>
  </si>
  <si>
    <t>SetUIPreferencesTT</t>
  </si>
  <si>
    <t>Limit</t>
  </si>
  <si>
    <t>Good Till Date</t>
  </si>
  <si>
    <t>Blotter</t>
  </si>
  <si>
    <t>VerifyOrder</t>
  </si>
  <si>
    <t>AAPL</t>
  </si>
  <si>
    <t>Buy</t>
  </si>
  <si>
    <t>NEGATIVE</t>
  </si>
  <si>
    <t>Symbol</t>
  </si>
  <si>
    <t>CreateLiveOrder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</si>
</sst>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  <color rgb="FF1F1F1F"/>
      <name val="&quot;Google Sans&quot;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FFFFFF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  <xf borderId="0" fillId="6" fontId="14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IFERROR(__xludf.DUMMYFUNCTION("""COMPUTED_VALUE"""),"1abQG9opjIiMJB8svr0o-Eb_RJr16g0niK_nuaKS7qpc")</f>
        <v>1abQG9opjIiMJB8svr0o-Eb_RJr16g0niK_nuaKS7qpc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IFERROR(__xludf.DUMMYFUNCTION("""COMPUTED_VALUE"""),"Undefined")</f>
        <v>Undefined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IFERROR(__xludf.DUMMYFUNCTION("""COMPUTED_VALUE"""),"NavImpactingComponent")</f>
        <v>NavImpactingComponent</v>
      </c>
      <c r="C647" t="str">
        <f>IFERROR(__xludf.DUMMYFUNCTION("""COMPUTED_VALUE"""),"1h8uyOI4WaUZMlwJvQlp6cezgxjyJ2SLa2OEiG81xpGE")</f>
        <v>1h8uyOI4WaUZMlwJvQlp6cezgxjyJ2SLa2OEiG81xpGE</v>
      </c>
    </row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IFERROR(__xludf.DUMMYFUNCTION("""COMPUTED_VALUE"""),"SetAllocationPreferences")</f>
        <v>SetAllocationPreferences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IFERROR(__xludf.DUMMYFUNCTION("""COMPUTED_VALUE"""),"RestrictedSecuritiesList")</f>
        <v>RestrictedSecuritiesList</v>
      </c>
      <c r="C5" s="28" t="str">
        <f>IFERROR(__xludf.DUMMYFUNCTION("""COMPUTED_VALUE"""),"AllowedSecuritiesList")</f>
        <v>AllowedSecuritiesList</v>
      </c>
      <c r="D5" s="28" t="str">
        <f>IFERROR(__xludf.DUMMYFUNCTION("""COMPUTED_VALUE"""),"AllowAllUserToCancelReplaceRemove")</f>
        <v>AllowAllUserToCancelReplaceRemove</v>
      </c>
      <c r="E5" s="28" t="str">
        <f>IFERROR(__xludf.DUMMYFUNCTION("""COMPUTED_VALUE"""),"MasterUserPermission")</f>
        <v>MasterUserPermission</v>
      </c>
      <c r="F5" s="29" t="str">
        <f>IFERROR(__xludf.DUMMYFUNCTION("""COMPUTED_VALUE"""),"AllowAllUserToTransferTrade")</f>
        <v>AllowAllUserToTransferTrade</v>
      </c>
      <c r="G5" s="28" t="str">
        <f>IFERROR(__xludf.DUMMYFUNCTION("""COMPUTED_VALUE"""),"DefaultOrderType")</f>
        <v>DefaultOrderType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2"/>
      <c r="G6" s="32" t="s">
        <v>16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SetTTGeneralPreferences!$4:$4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IFERROR(__xludf.DUMMYFUNCTION("""COMPUTED_VALUE"""),"Broker")</f>
        <v>Broker</v>
      </c>
      <c r="C5" s="28" t="str">
        <f>IFERROR(__xludf.DUMMYFUNCTION("""COMPUTED_VALUE"""),"Venue")</f>
        <v>Venue</v>
      </c>
      <c r="D5" s="28" t="str">
        <f>IFERROR(__xludf.DUMMYFUNCTION("""COMPUTED_VALUE"""),"Order Type")</f>
        <v>Order Type</v>
      </c>
      <c r="E5" s="28" t="str">
        <f>IFERROR(__xludf.DUMMYFUNCTION("""COMPUTED_VALUE"""),"TIF")</f>
        <v>TIF</v>
      </c>
      <c r="F5" s="29" t="str">
        <f>IFERROR(__xludf.DUMMYFUNCTION("""COMPUTED_VALUE"""),"Handling Instruction")</f>
        <v>Handling Instruction</v>
      </c>
      <c r="G5" s="28" t="str">
        <f>IFERROR(__xludf.DUMMYFUNCTION("""COMPUTED_VALUE"""),"Execution Instruction")</f>
        <v>Execution Instruction</v>
      </c>
      <c r="H5" s="28" t="str">
        <f>IFERROR(__xludf.DUMMYFUNCTION("""COMPUTED_VALUE"""),"Strategy")</f>
        <v>Strategy</v>
      </c>
      <c r="I5" s="28" t="str">
        <f>IFERROR(__xludf.DUMMYFUNCTION("""COMPUTED_VALUE"""),"Account")</f>
        <v>Account</v>
      </c>
      <c r="J5" s="28" t="str">
        <f>IFERROR(__xludf.DUMMYFUNCTION("""COMPUTED_VALUE"""),"Settlement Currency")</f>
        <v>Settlement Currency</v>
      </c>
      <c r="K5" s="28" t="str">
        <f>IFERROR(__xludf.DUMMYFUNCTION("""COMPUTED_VALUE"""),"Trader")</f>
        <v>Trader</v>
      </c>
      <c r="L5" s="28" t="str">
        <f>IFERROR(__xludf.DUMMYFUNCTION("""COMPUTED_VALUE"""),"Default Quantity")</f>
        <v>Default Quantity</v>
      </c>
      <c r="M5" s="28" t="str">
        <f>IFERROR(__xludf.DUMMYFUNCTION("""COMPUTED_VALUE"""),"Apply Round Lots")</f>
        <v>Apply Round Lots</v>
      </c>
      <c r="N5" s="28" t="str">
        <f>IFERROR(__xludf.DUMMYFUNCTION("""COMPUTED_VALUE"""),"Quantity")</f>
        <v>Quantity</v>
      </c>
      <c r="O5" s="28" t="str">
        <f>IFERROR(__xludf.DUMMYFUNCTION("""COMPUTED_VALUE"""),"Increase On Quantity")</f>
        <v>Increase On Quantity</v>
      </c>
      <c r="P5" s="28" t="str">
        <f>IFERROR(__xludf.DUMMYFUNCTION("""COMPUTED_VALUE"""),"Increase On Stop")</f>
        <v>Increase On Stop</v>
      </c>
      <c r="Q5" s="28" t="str">
        <f>IFERROR(__xludf.DUMMYFUNCTION("""COMPUTED_VALUE"""),"Increase On Limit")</f>
        <v>Increase On Limit</v>
      </c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19</v>
      </c>
      <c r="E6" s="33" t="s">
        <v>20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SetUIPreferencesTT!$4:$4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4"/>
      <c r="F6" s="8"/>
      <c r="G6" s="8"/>
      <c r="H6" s="8"/>
      <c r="I6" s="8"/>
      <c r="J6" s="8"/>
      <c r="K6" s="8"/>
      <c r="L6" s="8"/>
      <c r="M6" s="8"/>
      <c r="N6" s="8"/>
      <c r="O6" s="8"/>
      <c r="AI6" s="35" t="s">
        <v>23</v>
      </c>
      <c r="AJ6" s="8" t="s">
        <v>24</v>
      </c>
      <c r="BB6" s="32" t="s">
        <v>25</v>
      </c>
      <c r="BC6" s="36" t="s">
        <v>26</v>
      </c>
      <c r="BD6" s="32" t="s">
        <v>23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 t="str">
        <f>IFERROR(__xludf.DUMMYFUNCTION("""COMPUTED_VALUE"""),"BBG Symbol Used")</f>
        <v>BBG Symbol Used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23</v>
      </c>
      <c r="C6" s="37" t="s">
        <v>24</v>
      </c>
      <c r="D6" s="38">
        <v>100.0</v>
      </c>
      <c r="E6" s="37"/>
      <c r="F6" s="37"/>
      <c r="G6" s="37"/>
      <c r="H6" s="37"/>
      <c r="I6" s="37"/>
      <c r="J6" s="39">
        <v>10.0</v>
      </c>
      <c r="K6" s="37"/>
      <c r="L6" s="37"/>
      <c r="M6" s="37"/>
      <c r="N6" s="37"/>
      <c r="O6" s="37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