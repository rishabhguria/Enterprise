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GetDataAllocation" sheetId="10" r:id="rId12"/>
    <sheet state="visible" name="CheckAllocatedTaxlots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<sst xmlns="http://schemas.openxmlformats.org/spreadsheetml/2006/main" count="125" uniqueCount="43">
  <si>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</si>
  <si>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</si>
  <si>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</si>
  <si>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</si>
  <si>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</si>
  <si>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</si>
  <si>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</si>
  <si>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</si>
  <si>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</si>
  <si>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</si>
  <si>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</si>
  <si>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</si>
  <si>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</si>
  <si>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</si>
  <si>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</si>
  <si>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</si>
  <si>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</si>
  <si>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</si>
  <si>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</si>
  <si>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IBM</t>
  </si>
  <si>
    <t>Buy</t>
  </si>
  <si>
    <t>Allocation2,Allocation3</t>
  </si>
  <si>
    <t>60,40</t>
  </si>
  <si>
    <t>Allocation</t>
  </si>
  <si>
    <t>AddCalculatedPreferences</t>
  </si>
  <si>
    <t>prf5</t>
  </si>
  <si>
    <t>SetAccountValueCalculatedPref</t>
  </si>
  <si>
    <t>Allocation2</t>
  </si>
  <si>
    <t>Allocation3</t>
  </si>
  <si>
    <t>SetDefaultRuleCalculatedPref</t>
  </si>
  <si>
    <t>Prorata</t>
  </si>
  <si>
    <t>GetDataAllocation</t>
  </si>
  <si>
    <t>Current</t>
  </si>
  <si>
    <t>CheckAllocatedTaxlots</t>
  </si>
  <si>
    <t>M</t>
  </si>
  <si>
    <t>Strategy Unallocated</t>
  </si>
  <si>
    <t>Open</t>
  </si>
  <si>
    <t>CheckAllocatedGroups</t>
  </si>
  <si>
    <t>Multiple</t>
  </si>
  <si>
    <t>IBM US EQUITY</t>
  </si>
  <si>
    <t>USD</t>
  </si>
  <si>
    <t>NYSE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</si>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</sst>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4" fontId="13" numFmtId="0" xfId="0" applyFont="1"/>
    <xf borderId="0" fillId="0" fontId="5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 t="str">
        <f>IFERROR(__xludf.DUMMYFUNCTION("""COMPUTED_VALUE"""),"UpdateFee")</f>
        <v>UpdateFee</v>
      </c>
      <c r="U4" s="25" t="str">
        <f>IFERROR(__xludf.DUMMYFUNCTION("""COMPUTED_VALUE"""),"RevertingSMSharesOutValue")</f>
        <v>RevertingSMSharesOutValue</v>
      </c>
      <c r="V4" s="25" t="str">
        <f>IFERROR(__xludf.DUMMYFUNCTION("""COMPUTED_VALUE"""),"SetTTUIAdminPreferences")</f>
        <v>SetTTUIAdminPreferences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IFERROR(__xludf.DUMMYFUNCTION("""COMPUTED_VALUE"""),"UpdateRoundLot")</f>
        <v>UpdateRoundLot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/>
      <c r="E6" s="31"/>
      <c r="F6" s="8"/>
      <c r="G6" s="8"/>
      <c r="H6" s="8"/>
      <c r="I6" s="8"/>
      <c r="J6" s="8"/>
      <c r="K6" s="8"/>
      <c r="L6" s="8"/>
      <c r="M6" s="8"/>
      <c r="N6" s="30" t="b">
        <v>1</v>
      </c>
      <c r="Q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19</v>
      </c>
      <c r="C6" s="34" t="s">
        <v>20</v>
      </c>
      <c r="D6" s="35">
        <v>1000.0</v>
      </c>
      <c r="E6" s="34"/>
      <c r="F6" s="34"/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21</v>
      </c>
      <c r="AL6" s="34" t="s">
        <v>22</v>
      </c>
      <c r="AM6" s="34"/>
      <c r="AN6" s="34"/>
      <c r="AO6" s="34"/>
      <c r="AP6" s="34"/>
      <c r="AQ6" s="34"/>
      <c r="AR6" s="33">
        <v>0.0</v>
      </c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25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25</v>
      </c>
      <c r="C6" s="34" t="s">
        <v>27</v>
      </c>
      <c r="D6" s="35">
        <v>80.0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 t="s">
        <v>25</v>
      </c>
      <c r="C7" s="34" t="s">
        <v>28</v>
      </c>
      <c r="D7" s="36">
        <v>20.0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11"/>
      <c r="C6" s="34"/>
      <c r="D6" s="11" t="s">
        <v>30</v>
      </c>
      <c r="E6" s="33" t="s">
        <v>21</v>
      </c>
      <c r="F6" s="34"/>
      <c r="G6" s="38" t="b">
        <v>0</v>
      </c>
      <c r="H6" s="33" t="s">
        <v>25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19</v>
      </c>
      <c r="C6" s="30" t="s">
        <v>20</v>
      </c>
      <c r="D6" s="30">
        <v>9.9999999E7</v>
      </c>
      <c r="E6" s="31"/>
      <c r="F6" s="30" t="s">
        <v>25</v>
      </c>
      <c r="G6" s="8"/>
      <c r="H6" s="8"/>
      <c r="I6" s="8"/>
      <c r="J6" s="30">
        <v>10.0</v>
      </c>
      <c r="K6" s="8"/>
      <c r="L6" s="8"/>
      <c r="M6" s="8"/>
      <c r="N6" s="8"/>
      <c r="O6" s="8"/>
      <c r="AR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32</v>
      </c>
      <c r="C6" s="8"/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>
        <v>6055.65</v>
      </c>
      <c r="C6" s="39">
        <v>6055.65</v>
      </c>
      <c r="D6" s="39">
        <v>6000.0</v>
      </c>
      <c r="E6" s="39">
        <v>6000.0</v>
      </c>
      <c r="F6" s="40" t="s">
        <v>34</v>
      </c>
      <c r="G6" s="8"/>
      <c r="H6" s="8"/>
      <c r="I6" s="8"/>
      <c r="J6" s="8"/>
      <c r="K6" s="8"/>
      <c r="L6" s="8"/>
      <c r="M6" s="8"/>
      <c r="N6" s="8"/>
      <c r="O6" s="40" t="s">
        <v>27</v>
      </c>
      <c r="P6" s="40" t="s">
        <v>35</v>
      </c>
      <c r="Q6" s="41">
        <v>60.0</v>
      </c>
      <c r="R6" s="41">
        <v>600.0</v>
      </c>
      <c r="S6" s="41">
        <v>0.0</v>
      </c>
      <c r="T6" s="41">
        <v>0.0</v>
      </c>
      <c r="U6" s="41">
        <v>0.0</v>
      </c>
      <c r="V6" s="41">
        <v>0.0</v>
      </c>
      <c r="W6" s="41">
        <v>1.05</v>
      </c>
      <c r="Y6" s="41">
        <v>54.0</v>
      </c>
      <c r="Z6" s="41">
        <v>0.6</v>
      </c>
      <c r="AA6" s="41">
        <v>0.0</v>
      </c>
      <c r="AB6" s="41">
        <v>0.0</v>
      </c>
      <c r="AC6" s="41">
        <v>0.0</v>
      </c>
      <c r="AD6" s="41">
        <v>0.0</v>
      </c>
      <c r="AE6" s="41">
        <v>0.0</v>
      </c>
      <c r="AF6" s="40" t="s">
        <v>36</v>
      </c>
      <c r="AG6" s="42"/>
    </row>
    <row r="7" ht="15.75" customHeight="1">
      <c r="A7" s="8"/>
      <c r="B7" s="39">
        <v>4037.1</v>
      </c>
      <c r="C7" s="39">
        <v>4037.1</v>
      </c>
      <c r="D7" s="39">
        <v>4000.0</v>
      </c>
      <c r="E7" s="39">
        <v>4000.0</v>
      </c>
      <c r="F7" s="40" t="s">
        <v>34</v>
      </c>
      <c r="G7" s="8"/>
      <c r="H7" s="8"/>
      <c r="I7" s="8"/>
      <c r="J7" s="8"/>
      <c r="K7" s="8"/>
      <c r="L7" s="8"/>
      <c r="M7" s="8"/>
      <c r="N7" s="8"/>
      <c r="O7" s="40" t="s">
        <v>28</v>
      </c>
      <c r="P7" s="40" t="s">
        <v>35</v>
      </c>
      <c r="Q7" s="41">
        <v>40.0</v>
      </c>
      <c r="R7" s="41">
        <v>400.0</v>
      </c>
      <c r="S7" s="41">
        <v>0.0</v>
      </c>
      <c r="T7" s="41">
        <v>0.0</v>
      </c>
      <c r="U7" s="41">
        <v>0.0</v>
      </c>
      <c r="V7" s="41">
        <v>0.0</v>
      </c>
      <c r="W7" s="41">
        <v>0.7</v>
      </c>
      <c r="Y7" s="41">
        <v>36.0</v>
      </c>
      <c r="Z7" s="41">
        <v>0.4</v>
      </c>
      <c r="AA7" s="41">
        <v>0.0</v>
      </c>
      <c r="AB7" s="41">
        <v>0.0</v>
      </c>
      <c r="AC7" s="41">
        <v>0.0</v>
      </c>
      <c r="AD7" s="41">
        <v>0.0</v>
      </c>
      <c r="AE7" s="41">
        <v>0.0</v>
      </c>
      <c r="AF7" s="40" t="s">
        <v>36</v>
      </c>
      <c r="AG7" s="42"/>
    </row>
    <row r="8" ht="15.75" customHeight="1">
      <c r="A8" s="8"/>
      <c r="B8" s="39">
        <v>6.0550499056225E8</v>
      </c>
      <c r="C8" s="39">
        <v>6.0550499056225E8</v>
      </c>
      <c r="D8" s="39">
        <v>5.9999999E8</v>
      </c>
      <c r="E8" s="39">
        <v>5.9999999E8</v>
      </c>
      <c r="F8" s="40" t="s">
        <v>34</v>
      </c>
      <c r="G8" s="8"/>
      <c r="H8" s="8"/>
      <c r="I8" s="8"/>
      <c r="J8" s="8"/>
      <c r="K8" s="8"/>
      <c r="L8" s="8"/>
      <c r="M8" s="8"/>
      <c r="N8" s="8"/>
      <c r="O8" s="40" t="s">
        <v>27</v>
      </c>
      <c r="P8" s="40" t="s">
        <v>35</v>
      </c>
      <c r="Q8" s="41">
        <v>60.0</v>
      </c>
      <c r="R8" s="39">
        <v>5.9999999E7</v>
      </c>
      <c r="S8" s="41">
        <v>0.0</v>
      </c>
      <c r="T8" s="41">
        <v>0.0</v>
      </c>
      <c r="U8" s="41">
        <v>0.0</v>
      </c>
      <c r="V8" s="41">
        <v>0.0</v>
      </c>
      <c r="W8" s="39">
        <v>104999.99825</v>
      </c>
      <c r="Y8" s="39">
        <v>5399999.964</v>
      </c>
      <c r="Z8" s="41">
        <v>0.599999996</v>
      </c>
      <c r="AA8" s="41">
        <v>0.0</v>
      </c>
      <c r="AB8" s="41">
        <v>0.0</v>
      </c>
      <c r="AC8" s="41">
        <v>0.0</v>
      </c>
      <c r="AD8" s="41">
        <v>0.0</v>
      </c>
      <c r="AE8" s="41">
        <v>0.0</v>
      </c>
      <c r="AF8" s="40" t="s">
        <v>36</v>
      </c>
      <c r="AG8" s="42"/>
    </row>
    <row r="9" ht="15.75" customHeight="1">
      <c r="A9" s="8"/>
      <c r="B9" s="39">
        <v>4.03670000436E8</v>
      </c>
      <c r="C9" s="39">
        <v>4.03670000436E8</v>
      </c>
      <c r="D9" s="39">
        <v>4.0E8</v>
      </c>
      <c r="E9" s="39">
        <v>4.0E8</v>
      </c>
      <c r="F9" s="40" t="s">
        <v>34</v>
      </c>
      <c r="G9" s="8"/>
      <c r="H9" s="8"/>
      <c r="I9" s="8"/>
      <c r="J9" s="8"/>
      <c r="K9" s="8"/>
      <c r="L9" s="8"/>
      <c r="M9" s="8"/>
      <c r="N9" s="8"/>
      <c r="O9" s="40" t="s">
        <v>28</v>
      </c>
      <c r="P9" s="40" t="s">
        <v>35</v>
      </c>
      <c r="Q9" s="41">
        <v>40.0</v>
      </c>
      <c r="R9" s="39">
        <v>4.0E7</v>
      </c>
      <c r="S9" s="41">
        <v>0.0</v>
      </c>
      <c r="T9" s="41">
        <v>0.0</v>
      </c>
      <c r="U9" s="41">
        <v>0.0</v>
      </c>
      <c r="V9" s="41">
        <v>0.0</v>
      </c>
      <c r="W9" s="39">
        <v>70000.0</v>
      </c>
      <c r="Y9" s="39">
        <v>3600000.036</v>
      </c>
      <c r="Z9" s="41">
        <v>0.400000004</v>
      </c>
      <c r="AA9" s="41">
        <v>0.0</v>
      </c>
      <c r="AB9" s="41">
        <v>0.0</v>
      </c>
      <c r="AC9" s="41">
        <v>0.0</v>
      </c>
      <c r="AD9" s="41">
        <v>0.0</v>
      </c>
      <c r="AE9" s="41">
        <v>0.0</v>
      </c>
      <c r="AF9" s="40" t="s">
        <v>36</v>
      </c>
      <c r="AG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38</v>
      </c>
      <c r="C6" s="8"/>
      <c r="D6" s="30"/>
      <c r="E6" s="39">
        <v>1000.0</v>
      </c>
      <c r="F6" s="8"/>
      <c r="G6" s="8"/>
      <c r="H6" s="41">
        <v>90.0</v>
      </c>
      <c r="I6" s="41">
        <v>0.0</v>
      </c>
      <c r="J6" s="8"/>
      <c r="K6" s="41">
        <v>10.0</v>
      </c>
      <c r="L6" s="41">
        <v>10.0</v>
      </c>
      <c r="M6" s="40" t="s">
        <v>39</v>
      </c>
      <c r="N6" s="8"/>
      <c r="O6" s="8"/>
      <c r="V6" s="40" t="s">
        <v>19</v>
      </c>
      <c r="Z6" s="40" t="s">
        <v>40</v>
      </c>
      <c r="AD6" s="40" t="s">
        <v>41</v>
      </c>
      <c r="AE6" s="39">
        <v>1000.0</v>
      </c>
      <c r="AH6" s="40" t="s">
        <v>34</v>
      </c>
      <c r="AI6" s="9">
        <v>1.0</v>
      </c>
      <c r="AT6" s="39">
        <v>10092.75</v>
      </c>
      <c r="AU6" s="39">
        <v>10092.75</v>
      </c>
      <c r="AY6" s="40" t="s">
        <v>42</v>
      </c>
      <c r="BE6" s="39">
        <v>10000.0</v>
      </c>
      <c r="BF6" s="39">
        <v>10000.0</v>
      </c>
      <c r="BJ6" s="39">
        <v>1000.0</v>
      </c>
      <c r="BO6" s="40" t="s">
        <v>20</v>
      </c>
      <c r="BT6" s="40" t="s">
        <v>19</v>
      </c>
    </row>
    <row r="7" ht="15.75" customHeight="1">
      <c r="A7" s="8"/>
      <c r="B7" s="40" t="s">
        <v>38</v>
      </c>
      <c r="C7" s="8"/>
      <c r="D7" s="8"/>
      <c r="E7" s="39">
        <v>9.9999999E7</v>
      </c>
      <c r="F7" s="8"/>
      <c r="G7" s="8"/>
      <c r="H7" s="39">
        <v>9000000.0</v>
      </c>
      <c r="I7" s="41">
        <v>0.0</v>
      </c>
      <c r="J7" s="8"/>
      <c r="K7" s="41">
        <v>10.0</v>
      </c>
      <c r="L7" s="41">
        <v>10.0</v>
      </c>
      <c r="M7" s="40" t="s">
        <v>39</v>
      </c>
      <c r="N7" s="8"/>
      <c r="O7" s="8"/>
      <c r="V7" s="40" t="s">
        <v>19</v>
      </c>
      <c r="Z7" s="40" t="s">
        <v>40</v>
      </c>
      <c r="AD7" s="40" t="s">
        <v>41</v>
      </c>
      <c r="AE7" s="39">
        <v>9.9999999E7</v>
      </c>
      <c r="AH7" s="40" t="s">
        <v>34</v>
      </c>
      <c r="AI7" s="9">
        <v>1.0</v>
      </c>
      <c r="AT7" s="9">
        <v>1.00917499099825E9</v>
      </c>
      <c r="AU7" s="9">
        <v>1.00917499099825E9</v>
      </c>
      <c r="AY7" s="40" t="s">
        <v>42</v>
      </c>
      <c r="BE7" s="39">
        <v>9.9999999E8</v>
      </c>
      <c r="BF7" s="39">
        <v>9.9999999E8</v>
      </c>
      <c r="BJ7" s="39">
        <v>9.9999999E7</v>
      </c>
      <c r="BO7" s="40" t="s">
        <v>20</v>
      </c>
      <c r="BT7" s="40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