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CreateStageOrder" sheetId="5" r:id="rId7"/>
    <sheet state="visible" name="EnableOrVerifyHotButton" sheetId="6" r:id="rId8"/>
    <sheet state="visible" name="CreateHotButtonOnBlotter" sheetId="7" r:id="rId9"/>
    <sheet state="visible" name="FillHBdetailsOnBlotter" sheetId="8" r:id="rId10"/>
    <sheet state="visible" name="CustomTabActions" sheetId="9" r:id="rId11"/>
    <sheet state="visible" name="EnableOrVerifyHotButton1" sheetId="10" r:id="rId12"/>
    <sheet state="visible" name="CustomOrderTT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VerifyOrder" sheetId="15" r:id="rId17"/>
    <sheet state="visible" name="CheckSymbolLevelAggregation" sheetId="16" r:id="rId18"/>
    <sheet state="visible" name="CustomTabActions1" sheetId="17" r:id="rId19"/>
    <sheet state="visible" name="VerifyExecutionType" sheetId="18" r:id="rId20"/>
    <sheet state="visible" name="OpenRTPNL" sheetId="19" r:id="rId21"/>
  </sheets>
  <definedNames/>
  <calcPr/>
</workbook>
</file>

<file path=xl/sharedStrings.xml><?xml version="1.0" encoding="utf-8"?>
<sst xmlns="http://schemas.openxmlformats.org/spreadsheetml/2006/main" count="307" uniqueCount="69">
  <si>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</si>
  <si>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</si>
  <si>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</si>
  <si>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</si>
  <si>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</si>
  <si>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</si>
  <si>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</si>
  <si>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</si>
  <si>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</si>
  <si>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</si>
  <si>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</si>
  <si>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</si>
  <si>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</si>
  <si>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</si>
  <si>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</si>
  <si>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</si>
  <si>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CustomTab</t>
  </si>
  <si>
    <t>Add Tab(Order)</t>
  </si>
  <si>
    <t>TradingTicket</t>
  </si>
  <si>
    <t>CreateStageOrder</t>
  </si>
  <si>
    <t>AAPL</t>
  </si>
  <si>
    <t>Buy</t>
  </si>
  <si>
    <t>Allocation1</t>
  </si>
  <si>
    <t>Day</t>
  </si>
  <si>
    <t>Market</t>
  </si>
  <si>
    <t>IBM</t>
  </si>
  <si>
    <t>EnableOrVerifyHotButton</t>
  </si>
  <si>
    <t>CreateHotButtonOnBlotter</t>
  </si>
  <si>
    <t>HB</t>
  </si>
  <si>
    <t>Send Order To Market</t>
  </si>
  <si>
    <t>Confirm on TT</t>
  </si>
  <si>
    <t>Next</t>
  </si>
  <si>
    <t>FillHBdetailsOnBlotter</t>
  </si>
  <si>
    <t>Quantity</t>
  </si>
  <si>
    <t>CustomTabActions</t>
  </si>
  <si>
    <t>Select</t>
  </si>
  <si>
    <t>Order</t>
  </si>
  <si>
    <t>New</t>
  </si>
  <si>
    <t>Custom</t>
  </si>
  <si>
    <t>Favorite</t>
  </si>
  <si>
    <t>CustomOrderTT</t>
  </si>
  <si>
    <t>Send</t>
  </si>
  <si>
    <t>Simulator</t>
  </si>
  <si>
    <t>SelectTrade</t>
  </si>
  <si>
    <t>AcknowledgeTrade</t>
  </si>
  <si>
    <t>ExecuteTrade</t>
  </si>
  <si>
    <t>VerifyOrder</t>
  </si>
  <si>
    <t/>
  </si>
  <si>
    <t>N.A.</t>
  </si>
  <si>
    <t>AAPL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</si>
  <si>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</si>
  <si>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</si>
  <si>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</si>
  <si>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</si>
  <si>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</si>
  <si>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</si>
  <si>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</si>
  <si>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</si>
  <si>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</si>
  <si>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</si>
  <si>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</si>
  <si>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Manual</t>
  </si>
  <si>
    <t>RTPNL</t>
  </si>
  <si>
    <t>CheckSymbolLevelAggregation</t>
  </si>
  <si>
    <t>APPLE</t>
  </si>
  <si>
    <t>VerifyExecutionType</t>
  </si>
  <si>
    <t>Live</t>
  </si>
  <si>
    <t>OpenRTPNL</t>
  </si>
  <si>
    <t>Nirvana,PM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</si>
</sst>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2"/>
      <c r="F6" s="13" t="s">
        <v>22</v>
      </c>
      <c r="G6" s="8"/>
      <c r="H6" s="13" t="s">
        <v>23</v>
      </c>
      <c r="I6" s="13" t="s">
        <v>24</v>
      </c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25</v>
      </c>
      <c r="C7" s="13" t="s">
        <v>21</v>
      </c>
      <c r="D7" s="13">
        <v>100.0</v>
      </c>
      <c r="E7" s="32"/>
      <c r="F7" s="13" t="s">
        <v>22</v>
      </c>
      <c r="G7" s="8"/>
      <c r="H7" s="13" t="s">
        <v>23</v>
      </c>
      <c r="I7" s="13" t="s">
        <v>24</v>
      </c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31" t="s">
        <v>29</v>
      </c>
      <c r="D6" s="13" t="s">
        <v>30</v>
      </c>
      <c r="E6" s="32"/>
      <c r="F6" s="13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33" t="b">
        <v>1</v>
      </c>
      <c r="L6" s="31" t="s">
        <v>31</v>
      </c>
      <c r="M6" s="31" t="s">
        <v>33</v>
      </c>
      <c r="N6" s="34">
        <v>100.0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35</v>
      </c>
      <c r="C6" s="31" t="s">
        <v>36</v>
      </c>
      <c r="D6" s="13" t="s">
        <v>16</v>
      </c>
      <c r="E6" s="31" t="s">
        <v>20</v>
      </c>
      <c r="F6" s="31" t="s">
        <v>21</v>
      </c>
      <c r="G6" s="31" t="s">
        <v>37</v>
      </c>
      <c r="H6" s="34">
        <v>100.0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13" t="b">
        <v>1</v>
      </c>
      <c r="F6" s="13" t="s">
        <v>39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>
        <v>2.0</v>
      </c>
      <c r="E6" s="13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8" t="s">
        <v>47</v>
      </c>
      <c r="B6" s="38"/>
      <c r="C6" s="8" t="s">
        <v>48</v>
      </c>
      <c r="D6" s="38">
        <v>2.0</v>
      </c>
      <c r="E6" s="8" t="s">
        <v>49</v>
      </c>
      <c r="F6" s="8">
        <v>0.0</v>
      </c>
      <c r="G6" s="8"/>
      <c r="H6" s="8" t="s">
        <v>50</v>
      </c>
      <c r="I6" s="8" t="s">
        <v>51</v>
      </c>
      <c r="J6" s="8" t="s">
        <v>20</v>
      </c>
      <c r="K6" s="8" t="s">
        <v>52</v>
      </c>
      <c r="L6" s="8" t="s">
        <v>53</v>
      </c>
      <c r="M6" s="8" t="s">
        <v>47</v>
      </c>
      <c r="N6" s="8" t="s">
        <v>47</v>
      </c>
      <c r="O6" s="8" t="s">
        <v>47</v>
      </c>
      <c r="P6" t="s">
        <v>47</v>
      </c>
      <c r="Q6" t="s">
        <v>47</v>
      </c>
      <c r="R6" t="s">
        <v>47</v>
      </c>
      <c r="S6">
        <v>0.0</v>
      </c>
      <c r="T6">
        <v>0.0</v>
      </c>
      <c r="U6" t="s">
        <v>54</v>
      </c>
      <c r="V6" t="s">
        <v>55</v>
      </c>
      <c r="X6">
        <v>0.0</v>
      </c>
      <c r="AA6" t="s">
        <v>56</v>
      </c>
      <c r="AB6">
        <v>100.0</v>
      </c>
      <c r="AD6">
        <v>1.0</v>
      </c>
      <c r="AF6" t="s">
        <v>57</v>
      </c>
      <c r="AG6">
        <v>2.0</v>
      </c>
      <c r="AH6" t="s">
        <v>58</v>
      </c>
      <c r="AI6" t="s">
        <v>20</v>
      </c>
      <c r="AJ6" t="s">
        <v>21</v>
      </c>
      <c r="AK6" t="s">
        <v>59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60</v>
      </c>
      <c r="AT6" t="s">
        <v>22</v>
      </c>
      <c r="AU6" t="s">
        <v>24</v>
      </c>
      <c r="AV6">
        <v>200.0</v>
      </c>
      <c r="AW6">
        <v>200.0</v>
      </c>
      <c r="AX6" t="s">
        <v>61</v>
      </c>
      <c r="AY6" t="s">
        <v>47</v>
      </c>
      <c r="BA6" t="s">
        <v>51</v>
      </c>
      <c r="BB6" t="s">
        <v>47</v>
      </c>
      <c r="BC6" t="s">
        <v>47</v>
      </c>
      <c r="BD6" t="s">
        <v>47</v>
      </c>
      <c r="BE6" t="s">
        <v>47</v>
      </c>
      <c r="BF6" t="s">
        <v>47</v>
      </c>
      <c r="BG6" t="s">
        <v>18</v>
      </c>
      <c r="BH6" t="s">
        <v>23</v>
      </c>
      <c r="BK6" t="s">
        <v>47</v>
      </c>
      <c r="BQ6" t="s">
        <v>47</v>
      </c>
      <c r="BR6" t="s">
        <v>47</v>
      </c>
      <c r="BS6" t="s">
        <v>47</v>
      </c>
      <c r="BT6" t="s">
        <v>47</v>
      </c>
      <c r="BU6" t="s">
        <v>47</v>
      </c>
      <c r="BV6" t="s">
        <v>47</v>
      </c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  <c r="CK6" t="s">
        <v>47</v>
      </c>
      <c r="CL6" t="s">
        <v>47</v>
      </c>
      <c r="CM6" t="s">
        <v>47</v>
      </c>
      <c r="CN6" t="s">
        <v>47</v>
      </c>
      <c r="CO6" t="s">
        <v>47</v>
      </c>
      <c r="CP6" t="s">
        <v>47</v>
      </c>
      <c r="CQ6" t="s">
        <v>47</v>
      </c>
      <c r="CR6" t="s">
        <v>47</v>
      </c>
      <c r="CS6" t="s">
        <v>47</v>
      </c>
      <c r="CT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EY6" t="s">
        <v>47</v>
      </c>
      <c r="EZ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  <c r="AMM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IFERROR(__xludf.DUMMYFUNCTION("""COMPUTED_VALUE"""),"Position")</f>
        <v>Position</v>
      </c>
      <c r="E5" s="28" t="str">
        <f>IFERROR(__xludf.DUMMYFUNCTION("""COMPUTED_VALUE"""),"Market Value")</f>
        <v>Market Value</v>
      </c>
      <c r="F5" s="29" t="str">
        <f>IFERROR(__xludf.DUMMYFUNCTION("""COMPUTED_VALUE"""),"Day P&amp;L")</f>
        <v>Day P&amp;L</v>
      </c>
      <c r="G5" s="28" t="str">
        <f>IFERROR(__xludf.DUMMYFUNCTION("""COMPUTED_VALUE"""),"Cost Basis P&amp;L")</f>
        <v>Cost Basis P&amp;L</v>
      </c>
      <c r="H5" s="28" t="str">
        <f>IFERROR(__xludf.DUMMYFUNCTION("""COMPUTED_VALUE"""),"Exposure")</f>
        <v>Exposure</v>
      </c>
      <c r="I5" s="28" t="str">
        <f>IFERROR(__xludf.DUMMYFUNCTION("""COMPUTED_VALUE"""),"% Gain/Loss Day")</f>
        <v>% Gain/Loss Day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IFERROR(__xludf.DUMMYFUNCTION("""COMPUTED_VALUE"""),"% Gain/Loss Cost")</f>
        <v>% Gain/Loss Cost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IFERROR(__xludf.DUMMYFUNCTION("""COMPUTED_VALUE"""),"% Net Market Value")</f>
        <v>% Net Market Value</v>
      </c>
      <c r="Q5" s="28" t="str">
        <f>IFERROR(__xludf.DUMMYFUNCTION("""COMPUTED_VALUE"""),"Testing Type")</f>
        <v>Testing Type</v>
      </c>
      <c r="R5" s="28" t="str">
        <f>IFERROR(__xludf.DUMMYFUNCTION("""COMPUTED_VALUE"""),"Testing Column")</f>
        <v>Testing Column</v>
      </c>
      <c r="S5" s="28" t="str">
        <f>IFERROR(__xludf.DUMMYFUNCTION("""COMPUTED_VALUE"""),"Testing Col Value")</f>
        <v>Testing Col Value</v>
      </c>
      <c r="T5" s="30" t="str">
        <f>IFERROR(__xludf.DUMMYFUNCTION("""COMPUTED_VALUE"""),"DuplicateCountOnUI")</f>
        <v>DuplicateCountOnUI</v>
      </c>
      <c r="U5" s="30" t="str">
        <f>IFERROR(__xludf.DUMMYFUNCTION("""COMPUTED_VALUE"""),"DuplicateRow")</f>
        <v>DuplicateRow</v>
      </c>
      <c r="V5" s="30" t="str">
        <f>IFERROR(__xludf.DUMMYFUNCTION("""COMPUTED_VALUE"""),"Bloomberg Symbol")</f>
        <v>Bloomberg Symbol</v>
      </c>
      <c r="W5" s="30" t="str">
        <f>IFERROR(__xludf.DUMMYFUNCTION("""COMPUTED_VALUE"""),"TabName")</f>
        <v>TabName</v>
      </c>
      <c r="X5" s="30" t="str">
        <f>IFERROR(__xludf.DUMMYFUNCTION("""COMPUTED_VALUE"""),"GridDataWidgetName")</f>
        <v>GridDataWidgetName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64</v>
      </c>
      <c r="D6" s="13">
        <v>100.0</v>
      </c>
      <c r="E6" s="13">
        <v>200.0</v>
      </c>
      <c r="F6" s="13">
        <v>0.0</v>
      </c>
      <c r="G6" s="13"/>
      <c r="H6" s="13">
        <v>200.0</v>
      </c>
      <c r="I6" s="13">
        <v>0.0</v>
      </c>
      <c r="J6" s="13"/>
      <c r="K6" s="13">
        <v>0.0</v>
      </c>
      <c r="L6" s="13">
        <v>0.0</v>
      </c>
      <c r="M6" s="13">
        <v>0.0</v>
      </c>
      <c r="N6" s="13">
        <v>200.0</v>
      </c>
      <c r="O6" s="13"/>
      <c r="V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35</v>
      </c>
      <c r="C6" s="31" t="s">
        <v>36</v>
      </c>
      <c r="D6" s="13" t="s">
        <v>16</v>
      </c>
      <c r="E6" s="40" t="s">
        <v>25</v>
      </c>
      <c r="F6" s="31" t="s">
        <v>21</v>
      </c>
      <c r="G6" s="31" t="s">
        <v>37</v>
      </c>
      <c r="H6" s="34">
        <v>100.0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IFERROR(__xludf.DUMMYFUNCTION("""COMPUTED_VALUE"""),"EnabledButtons")</f>
        <v>EnabledButtons</v>
      </c>
      <c r="C5" s="28" t="str">
        <f>IFERROR(__xludf.DUMMYFUNCTION("""COMPUTED_VALUE"""),"DisabledButtons")</f>
        <v>DisabledButtons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66</v>
      </c>
      <c r="C6" s="31" t="s">
        <v>61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68</v>
      </c>
      <c r="C6" s="31"/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