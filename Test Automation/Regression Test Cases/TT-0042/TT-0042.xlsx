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6" activeTab="9"/>
  </bookViews>
  <sheets>
    <sheet name="_Modules" sheetId="1" r:id="rId1"/>
    <sheet name="_Settings" sheetId="2" r:id="rId2"/>
    <sheet name="_MasterData" sheetId="3" r:id="rId3"/>
    <sheet name="SetDollarAmountPermission" sheetId="4" r:id="rId4"/>
    <sheet name="SetUIPreferencesTT" sheetId="5" r:id="rId5"/>
    <sheet name="CreateDoneAwayOrder" sheetId="6" r:id="rId6"/>
    <sheet name="VerifyOrder" sheetId="7" r:id="rId7"/>
    <sheet name="GetDataAllocation" sheetId="8" r:id="rId8"/>
    <sheet name="CheckAllocatedGroups" sheetId="9" r:id="rId9"/>
    <sheet name="CheckPortfolioManagement" sheetId="10" r:id="rId10"/>
  </sheets>
  <calcPr calcId="145621"/>
</workbook>
</file>

<file path=xl/calcChain.xml><?xml version="1.0" encoding="utf-8"?>
<calcChain xmlns="http://schemas.openxmlformats.org/spreadsheetml/2006/main">
  <c r="BK5" i="10" l="1"/>
  <c r="FB5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X4" i="10"/>
  <c r="P4" i="10"/>
  <c r="H4" i="10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W4" i="7"/>
  <c r="AO4" i="7"/>
  <c r="AG4" i="7"/>
  <c r="Y4" i="7"/>
  <c r="Q4" i="7"/>
  <c r="I4" i="7"/>
  <c r="AI5" i="6"/>
  <c r="AA5" i="6"/>
  <c r="S5" i="6"/>
  <c r="K5" i="6"/>
  <c r="C5" i="6"/>
  <c r="V4" i="6"/>
  <c r="N4" i="6"/>
  <c r="FA5" i="10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W4" i="10"/>
  <c r="O4" i="10"/>
  <c r="G4" i="10"/>
  <c r="CR5" i="9"/>
  <c r="CJ5" i="9"/>
  <c r="CB5" i="9"/>
  <c r="BT5" i="9"/>
  <c r="BL5" i="9"/>
  <c r="BD5" i="9"/>
  <c r="AV5" i="9"/>
  <c r="AN5" i="9"/>
  <c r="AF5" i="9"/>
  <c r="X5" i="9"/>
  <c r="P5" i="9"/>
  <c r="H5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AW5" i="7"/>
  <c r="AO5" i="7"/>
  <c r="AG5" i="7"/>
  <c r="Y5" i="7"/>
  <c r="Q5" i="7"/>
  <c r="I5" i="7"/>
  <c r="A5" i="7"/>
  <c r="AV4" i="7"/>
  <c r="AN4" i="7"/>
  <c r="AF4" i="7"/>
  <c r="X4" i="7"/>
  <c r="P4" i="7"/>
  <c r="H4" i="7"/>
  <c r="AP5" i="6"/>
  <c r="AH5" i="6"/>
  <c r="Z5" i="6"/>
  <c r="R5" i="6"/>
  <c r="J5" i="6"/>
  <c r="B5" i="6"/>
  <c r="U4" i="6"/>
  <c r="M4" i="6"/>
  <c r="E4" i="6"/>
  <c r="I5" i="5"/>
  <c r="A5" i="5"/>
  <c r="T4" i="5"/>
  <c r="L4" i="5"/>
  <c r="D4" i="5"/>
  <c r="J4" i="4"/>
  <c r="B4" i="4"/>
  <c r="B19" i="3"/>
  <c r="B17" i="3"/>
  <c r="B15" i="3"/>
  <c r="B13" i="3"/>
  <c r="B11" i="3"/>
  <c r="B9" i="3"/>
  <c r="B7" i="3"/>
  <c r="B5" i="3"/>
  <c r="A503" i="1"/>
  <c r="B500" i="1"/>
  <c r="C497" i="1"/>
  <c r="A495" i="1"/>
  <c r="B492" i="1"/>
  <c r="C489" i="1"/>
  <c r="A487" i="1"/>
  <c r="B484" i="1"/>
  <c r="C481" i="1"/>
  <c r="A479" i="1"/>
  <c r="B476" i="1"/>
  <c r="C473" i="1"/>
  <c r="EZ5" i="10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V4" i="10"/>
  <c r="N4" i="10"/>
  <c r="F4" i="10"/>
  <c r="CQ5" i="9"/>
  <c r="CI5" i="9"/>
  <c r="CA5" i="9"/>
  <c r="BS5" i="9"/>
  <c r="BK5" i="9"/>
  <c r="BC5" i="9"/>
  <c r="AU5" i="9"/>
  <c r="AM5" i="9"/>
  <c r="AE5" i="9"/>
  <c r="W5" i="9"/>
  <c r="O5" i="9"/>
  <c r="G5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AV5" i="7"/>
  <c r="AN5" i="7"/>
  <c r="AF5" i="7"/>
  <c r="X5" i="7"/>
  <c r="P5" i="7"/>
  <c r="H5" i="7"/>
  <c r="BC4" i="7"/>
  <c r="AU4" i="7"/>
  <c r="AM4" i="7"/>
  <c r="AE4" i="7"/>
  <c r="W4" i="7"/>
  <c r="O4" i="7"/>
  <c r="G4" i="7"/>
  <c r="AO5" i="6"/>
  <c r="AG5" i="6"/>
  <c r="Y5" i="6"/>
  <c r="Q5" i="6"/>
  <c r="I5" i="6"/>
  <c r="A5" i="6"/>
  <c r="T4" i="6"/>
  <c r="L4" i="6"/>
  <c r="D4" i="6"/>
  <c r="H5" i="5"/>
  <c r="AA4" i="5"/>
  <c r="S4" i="5"/>
  <c r="K4" i="5"/>
  <c r="C4" i="5"/>
  <c r="I4" i="4"/>
  <c r="A19" i="3"/>
  <c r="A17" i="3"/>
  <c r="A15" i="3"/>
  <c r="A13" i="3"/>
  <c r="A11" i="3"/>
  <c r="A9" i="3"/>
  <c r="A7" i="3"/>
  <c r="A5" i="3"/>
  <c r="C502" i="1"/>
  <c r="A500" i="1"/>
  <c r="B497" i="1"/>
  <c r="C494" i="1"/>
  <c r="A492" i="1"/>
  <c r="B489" i="1"/>
  <c r="C486" i="1"/>
  <c r="A484" i="1"/>
  <c r="B481" i="1"/>
  <c r="EY5" i="10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U4" i="10"/>
  <c r="M4" i="10"/>
  <c r="E4" i="10"/>
  <c r="CP5" i="9"/>
  <c r="CH5" i="9"/>
  <c r="BZ5" i="9"/>
  <c r="BR5" i="9"/>
  <c r="BJ5" i="9"/>
  <c r="BB5" i="9"/>
  <c r="AT5" i="9"/>
  <c r="AL5" i="9"/>
  <c r="AD5" i="9"/>
  <c r="V5" i="9"/>
  <c r="N5" i="9"/>
  <c r="F5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T4" i="10"/>
  <c r="L4" i="10"/>
  <c r="D4" i="10"/>
  <c r="CO5" i="9"/>
  <c r="CG5" i="9"/>
  <c r="BY5" i="9"/>
  <c r="BQ5" i="9"/>
  <c r="BI5" i="9"/>
  <c r="BA5" i="9"/>
  <c r="AS5" i="9"/>
  <c r="AK5" i="9"/>
  <c r="AC5" i="9"/>
  <c r="U5" i="9"/>
  <c r="M5" i="9"/>
  <c r="E5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AT5" i="7"/>
  <c r="AL5" i="7"/>
  <c r="AD5" i="7"/>
  <c r="V5" i="7"/>
  <c r="N5" i="7"/>
  <c r="F5" i="7"/>
  <c r="BA4" i="7"/>
  <c r="AS4" i="7"/>
  <c r="AK4" i="7"/>
  <c r="AC4" i="7"/>
  <c r="U4" i="7"/>
  <c r="M4" i="7"/>
  <c r="E4" i="7"/>
  <c r="AM5" i="6"/>
  <c r="AE5" i="6"/>
  <c r="W5" i="6"/>
  <c r="O5" i="6"/>
  <c r="G5" i="6"/>
  <c r="Z4" i="6"/>
  <c r="R4" i="6"/>
  <c r="J4" i="6"/>
  <c r="B4" i="6"/>
  <c r="F5" i="5"/>
  <c r="Y4" i="5"/>
  <c r="Q4" i="5"/>
  <c r="I4" i="5"/>
  <c r="G4" i="4"/>
  <c r="C20" i="3"/>
  <c r="C18" i="3"/>
  <c r="C16" i="3"/>
  <c r="C14" i="3"/>
  <c r="C12" i="3"/>
  <c r="C10" i="3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S4" i="10"/>
  <c r="K4" i="10"/>
  <c r="C4" i="10"/>
  <c r="CN5" i="9"/>
  <c r="CF5" i="9"/>
  <c r="BX5" i="9"/>
  <c r="BP5" i="9"/>
  <c r="BH5" i="9"/>
  <c r="AZ5" i="9"/>
  <c r="AR5" i="9"/>
  <c r="AJ5" i="9"/>
  <c r="AB5" i="9"/>
  <c r="T5" i="9"/>
  <c r="L5" i="9"/>
  <c r="D5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BA5" i="7"/>
  <c r="AS5" i="7"/>
  <c r="AK5" i="7"/>
  <c r="AC5" i="7"/>
  <c r="U5" i="7"/>
  <c r="M5" i="7"/>
  <c r="E5" i="7"/>
  <c r="AZ4" i="7"/>
  <c r="AR4" i="7"/>
  <c r="AJ4" i="7"/>
  <c r="AB4" i="7"/>
  <c r="T4" i="7"/>
  <c r="L4" i="7"/>
  <c r="D4" i="7"/>
  <c r="AL5" i="6"/>
  <c r="AD5" i="6"/>
  <c r="V5" i="6"/>
  <c r="N5" i="6"/>
  <c r="F5" i="6"/>
  <c r="Y4" i="6"/>
  <c r="Q4" i="6"/>
  <c r="I4" i="6"/>
  <c r="E5" i="5"/>
  <c r="X4" i="5"/>
  <c r="P4" i="5"/>
  <c r="H4" i="5"/>
  <c r="C5" i="4"/>
  <c r="F4" i="4"/>
  <c r="B20" i="3"/>
  <c r="B18" i="3"/>
  <c r="B16" i="3"/>
  <c r="B14" i="3"/>
  <c r="B12" i="3"/>
  <c r="B10" i="3"/>
  <c r="B8" i="3"/>
  <c r="B6" i="3"/>
  <c r="B4" i="3"/>
  <c r="C501" i="1"/>
  <c r="A499" i="1"/>
  <c r="B496" i="1"/>
  <c r="C493" i="1"/>
  <c r="A491" i="1"/>
  <c r="B488" i="1"/>
  <c r="C485" i="1"/>
  <c r="A483" i="1"/>
  <c r="B480" i="1"/>
  <c r="C477" i="1"/>
  <c r="A475" i="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Z4" i="10"/>
  <c r="R4" i="10"/>
  <c r="J4" i="10"/>
  <c r="B4" i="10"/>
  <c r="CM5" i="9"/>
  <c r="CE5" i="9"/>
  <c r="BW5" i="9"/>
  <c r="BO5" i="9"/>
  <c r="BG5" i="9"/>
  <c r="AY5" i="9"/>
  <c r="AQ5" i="9"/>
  <c r="AI5" i="9"/>
  <c r="AA5" i="9"/>
  <c r="S5" i="9"/>
  <c r="K5" i="9"/>
  <c r="C5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AZ5" i="7"/>
  <c r="AR5" i="7"/>
  <c r="AJ5" i="7"/>
  <c r="AB5" i="7"/>
  <c r="T5" i="7"/>
  <c r="L5" i="7"/>
  <c r="D5" i="7"/>
  <c r="AY4" i="7"/>
  <c r="AQ4" i="7"/>
  <c r="AI4" i="7"/>
  <c r="AA4" i="7"/>
  <c r="S4" i="7"/>
  <c r="K4" i="7"/>
  <c r="C4" i="7"/>
  <c r="AK5" i="6"/>
  <c r="AC5" i="6"/>
  <c r="U5" i="6"/>
  <c r="M5" i="6"/>
  <c r="E5" i="6"/>
  <c r="X4" i="6"/>
  <c r="P4" i="6"/>
  <c r="H4" i="6"/>
  <c r="L5" i="5"/>
  <c r="D5" i="5"/>
  <c r="W4" i="5"/>
  <c r="O4" i="5"/>
  <c r="G4" i="5"/>
  <c r="B5" i="4"/>
  <c r="E4" i="4"/>
  <c r="A20" i="3"/>
  <c r="A18" i="3"/>
  <c r="A16" i="3"/>
  <c r="A14" i="3"/>
  <c r="A12" i="3"/>
  <c r="A10" i="3"/>
  <c r="A8" i="3"/>
  <c r="A6" i="3"/>
  <c r="A4" i="3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EU5" i="10"/>
  <c r="EM5" i="10"/>
  <c r="EE5" i="10"/>
  <c r="DW5" i="10"/>
  <c r="DO5" i="10"/>
  <c r="DG5" i="10"/>
  <c r="CY5" i="10"/>
  <c r="CQ5" i="10"/>
  <c r="CI5" i="10"/>
  <c r="CA5" i="10"/>
  <c r="BS5" i="10"/>
  <c r="BC5" i="10"/>
  <c r="AU5" i="10"/>
  <c r="AM5" i="10"/>
  <c r="AE5" i="10"/>
  <c r="W5" i="10"/>
  <c r="O5" i="10"/>
  <c r="G5" i="10"/>
  <c r="Y4" i="10"/>
  <c r="Q4" i="10"/>
  <c r="I4" i="10"/>
  <c r="CL5" i="9"/>
  <c r="CD5" i="9"/>
  <c r="BV5" i="9"/>
  <c r="BN5" i="9"/>
  <c r="BF5" i="9"/>
  <c r="AX5" i="9"/>
  <c r="AP5" i="9"/>
  <c r="AH5" i="9"/>
  <c r="Z5" i="9"/>
  <c r="R5" i="9"/>
  <c r="J5" i="9"/>
  <c r="B5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M5" i="8"/>
  <c r="E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AY5" i="7"/>
  <c r="AQ5" i="7"/>
  <c r="AI5" i="7"/>
  <c r="AA5" i="7"/>
  <c r="S5" i="7"/>
  <c r="K5" i="7"/>
  <c r="C5" i="7"/>
  <c r="AX4" i="7"/>
  <c r="AP4" i="7"/>
  <c r="AH4" i="7"/>
  <c r="Z4" i="7"/>
  <c r="R4" i="7"/>
  <c r="J4" i="7"/>
  <c r="B4" i="7"/>
  <c r="AJ5" i="6"/>
  <c r="AB5" i="6"/>
  <c r="T5" i="6"/>
  <c r="L5" i="6"/>
  <c r="D5" i="6"/>
  <c r="W4" i="6"/>
  <c r="O4" i="6"/>
  <c r="G4" i="6"/>
  <c r="K5" i="5"/>
  <c r="C5" i="5"/>
  <c r="V4" i="5"/>
  <c r="N4" i="5"/>
  <c r="F4" i="5"/>
  <c r="A5" i="4"/>
  <c r="D4" i="4"/>
  <c r="D19" i="3"/>
  <c r="D17" i="3"/>
  <c r="D15" i="3"/>
  <c r="D13" i="3"/>
  <c r="D11" i="3"/>
  <c r="G4" i="9"/>
  <c r="CD4" i="8"/>
  <c r="R4" i="8"/>
  <c r="G5" i="7"/>
  <c r="AN5" i="6"/>
  <c r="F4" i="6"/>
  <c r="M4" i="5"/>
  <c r="C19" i="3"/>
  <c r="C11" i="3"/>
  <c r="D6" i="3"/>
  <c r="B502" i="1"/>
  <c r="A497" i="1"/>
  <c r="C491" i="1"/>
  <c r="B486" i="1"/>
  <c r="A481" i="1"/>
  <c r="C476" i="1"/>
  <c r="C472" i="1"/>
  <c r="C469" i="1"/>
  <c r="B466" i="1"/>
  <c r="B463" i="1"/>
  <c r="B460" i="1"/>
  <c r="B457" i="1"/>
  <c r="B454" i="1"/>
  <c r="B451" i="1"/>
  <c r="B448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Q5" i="8"/>
  <c r="BV4" i="8"/>
  <c r="J4" i="8"/>
  <c r="BB4" i="7"/>
  <c r="AF5" i="6"/>
  <c r="C4" i="6"/>
  <c r="J4" i="5"/>
  <c r="D18" i="3"/>
  <c r="D10" i="3"/>
  <c r="C6" i="3"/>
  <c r="A502" i="1"/>
  <c r="C496" i="1"/>
  <c r="B491" i="1"/>
  <c r="A486" i="1"/>
  <c r="C480" i="1"/>
  <c r="A476" i="1"/>
  <c r="B472" i="1"/>
  <c r="A469" i="1"/>
  <c r="A466" i="1"/>
  <c r="A463" i="1"/>
  <c r="A460" i="1"/>
  <c r="A457" i="1"/>
  <c r="A454" i="1"/>
  <c r="A451" i="1"/>
  <c r="C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I5" i="8"/>
  <c r="BN4" i="8"/>
  <c r="B4" i="8"/>
  <c r="AT4" i="7"/>
  <c r="X5" i="6"/>
  <c r="J5" i="5"/>
  <c r="E4" i="5"/>
  <c r="C17" i="3"/>
  <c r="D9" i="3"/>
  <c r="D5" i="3"/>
  <c r="A501" i="1"/>
  <c r="C495" i="1"/>
  <c r="B490" i="1"/>
  <c r="A485" i="1"/>
  <c r="C479" i="1"/>
  <c r="C475" i="1"/>
  <c r="C471" i="1"/>
  <c r="C468" i="1"/>
  <c r="C465" i="1"/>
  <c r="C462" i="1"/>
  <c r="C459" i="1"/>
  <c r="C456" i="1"/>
  <c r="C453" i="1"/>
  <c r="B450" i="1"/>
  <c r="B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A5" i="8"/>
  <c r="BF4" i="8"/>
  <c r="AU5" i="7"/>
  <c r="AL4" i="7"/>
  <c r="P5" i="6"/>
  <c r="G5" i="5"/>
  <c r="B4" i="5"/>
  <c r="D16" i="3"/>
  <c r="C9" i="3"/>
  <c r="C5" i="3"/>
  <c r="C500" i="1"/>
  <c r="B495" i="1"/>
  <c r="A490" i="1"/>
  <c r="C484" i="1"/>
  <c r="B479" i="1"/>
  <c r="B475" i="1"/>
  <c r="B471" i="1"/>
  <c r="B468" i="1"/>
  <c r="B465" i="1"/>
  <c r="B462" i="1"/>
  <c r="B459" i="1"/>
  <c r="B456" i="1"/>
  <c r="A453" i="1"/>
  <c r="A450" i="1"/>
  <c r="A447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DJ4" i="8"/>
  <c r="AX4" i="8"/>
  <c r="AM5" i="7"/>
  <c r="AD4" i="7"/>
  <c r="H5" i="6"/>
  <c r="B5" i="5"/>
  <c r="K4" i="4"/>
  <c r="C15" i="3"/>
  <c r="D8" i="3"/>
  <c r="D4" i="3"/>
  <c r="C499" i="1"/>
  <c r="B494" i="1"/>
  <c r="A489" i="1"/>
  <c r="C483" i="1"/>
  <c r="C478" i="1"/>
  <c r="B474" i="1"/>
  <c r="A471" i="1"/>
  <c r="A468" i="1"/>
  <c r="A465" i="1"/>
  <c r="A462" i="1"/>
  <c r="A459" i="1"/>
  <c r="C455" i="1"/>
  <c r="C452" i="1"/>
  <c r="C449" i="1"/>
  <c r="C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DB4" i="8"/>
  <c r="AP4" i="8"/>
  <c r="AE5" i="7"/>
  <c r="V4" i="7"/>
  <c r="AA4" i="6"/>
  <c r="Z4" i="5"/>
  <c r="H4" i="4"/>
  <c r="D14" i="3"/>
  <c r="C8" i="3"/>
  <c r="C4" i="3"/>
  <c r="B499" i="1"/>
  <c r="A494" i="1"/>
  <c r="C488" i="1"/>
  <c r="B483" i="1"/>
  <c r="B478" i="1"/>
  <c r="A474" i="1"/>
  <c r="C470" i="1"/>
  <c r="C467" i="1"/>
  <c r="C464" i="1"/>
  <c r="C461" i="1"/>
  <c r="B458" i="1"/>
  <c r="B455" i="1"/>
  <c r="B452" i="1"/>
  <c r="B449" i="1"/>
  <c r="B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CT4" i="8"/>
  <c r="AH4" i="8"/>
  <c r="W5" i="7"/>
  <c r="N4" i="7"/>
  <c r="S4" i="6"/>
  <c r="U4" i="5"/>
  <c r="C4" i="4"/>
  <c r="C13" i="3"/>
  <c r="D7" i="3"/>
  <c r="C503" i="1"/>
  <c r="B498" i="1"/>
  <c r="A493" i="1"/>
  <c r="C487" i="1"/>
  <c r="B482" i="1"/>
  <c r="A478" i="1"/>
  <c r="B473" i="1"/>
  <c r="B470" i="1"/>
  <c r="B467" i="1"/>
  <c r="B464" i="1"/>
  <c r="A461" i="1"/>
  <c r="A458" i="1"/>
  <c r="A455" i="1"/>
  <c r="A452" i="1"/>
  <c r="A449" i="1"/>
  <c r="A446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L4" i="8"/>
  <c r="Z4" i="8"/>
  <c r="O5" i="7"/>
  <c r="F4" i="7"/>
  <c r="K4" i="6"/>
  <c r="R4" i="5"/>
  <c r="D20" i="3"/>
  <c r="D12" i="3"/>
  <c r="C7" i="3"/>
  <c r="B503" i="1"/>
  <c r="A498" i="1"/>
  <c r="C492" i="1"/>
  <c r="B487" i="1"/>
  <c r="A482" i="1"/>
  <c r="A477" i="1"/>
  <c r="A473" i="1"/>
  <c r="A470" i="1"/>
  <c r="A467" i="1"/>
  <c r="C463" i="1"/>
  <c r="C460" i="1"/>
  <c r="C457" i="1"/>
  <c r="C454" i="1"/>
  <c r="C451" i="1"/>
  <c r="C448" i="1"/>
  <c r="C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J2" i="7" l="1"/>
  <c r="J2" i="9"/>
  <c r="J2" i="4"/>
  <c r="J2" i="8"/>
  <c r="J2" i="5"/>
  <c r="J2" i="6"/>
  <c r="J2" i="10"/>
</calcChain>
</file>

<file path=xl/sharedStrings.xml><?xml version="1.0" encoding="utf-8"?>
<sst xmlns="http://schemas.openxmlformats.org/spreadsheetml/2006/main" count="113" uniqueCount="45">
  <si>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</si>
  <si>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</si>
  <si>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</si>
  <si>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</si>
  <si>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</si>
  <si>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</si>
  <si>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</si>
  <si>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</si>
  <si>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</si>
  <si>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</si>
  <si>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</si>
  <si>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</si>
  <si>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</si>
  <si>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</si>
  <si>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</si>
  <si>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</si>
  <si>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</si>
  <si>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SetUIPreferencesTT</t>
  </si>
  <si>
    <t>$Amount</t>
  </si>
  <si>
    <t>CreateDoneAwayOrder</t>
  </si>
  <si>
    <t>MSFT</t>
  </si>
  <si>
    <t>Buy</t>
  </si>
  <si>
    <t>Allocation1</t>
  </si>
  <si>
    <t>Blotter</t>
  </si>
  <si>
    <t>VerifyOrder</t>
  </si>
  <si>
    <t>NASDAQ</t>
  </si>
  <si>
    <t>jpearce</t>
  </si>
  <si>
    <t>US</t>
  </si>
  <si>
    <t>USD</t>
  </si>
  <si>
    <t>NONE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</si>
  <si>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</si>
  <si>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</si>
  <si>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</si>
  <si>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</si>
  <si>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</si>
  <si>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</si>
  <si>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</si>
  <si>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</si>
  <si>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</si>
  <si>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</si>
  <si>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</si>
  <si>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</si>
  <si>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NewMF</t>
  </si>
  <si>
    <t>Long</t>
  </si>
  <si>
    <t>FIMAT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</si>
</sst>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7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Arial"/>
    </font>
    <font>
      <sz val="11"/>
      <name val="Calibri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164" fontId="14" fillId="0" borderId="0" xfId="0" applyNumberFormat="1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3" fontId="5" fillId="0" borderId="0" xfId="0" applyNumberFormat="1" applyFont="1" applyAlignment="1"/>
    <xf numFmtId="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4" t="s">
        <v>0</v>
      </c>
      <c r="B1" s="35"/>
      <c r="C1" s="35"/>
      <c r="D1" s="35"/>
      <c r="E1" s="35"/>
      <c r="F1" s="3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>
      <c r="A495" t="str">
        <f ca="1">IFERROR(__xludf.DUMMYFUNCTION("""COMPUTED_VALUE"""),"Dropcopy")</f>
        <v>Dropcopy</v>
      </c>
      <c r="B495" t="str">
        <f ca="1">IFERROR(__xludf.DUMMYFUNCTION("""COMPUTED_VALUE"""),"UploadDropcopyFile")</f>
        <v>UploadDropcopyFile</v>
      </c>
      <c r="C495" t="str">
        <f ca="1">IFERROR(__xludf.DUMMYFUNCTION("""COMPUTED_VALUE"""),"1W-fqHVGr66uN9zMhvO6QE-0fTnvoMIo31A_MC2VEFUY")</f>
        <v>1W-fqHVGr66uN9zMhvO6QE-0fTnvoMIo31A_MC2VEFUY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IFERROR(__xludf.DUMMYFUNCTION("""COMPUTED_VALUE"""),"StartTradeServer")</f>
        <v>StartTradeServer</v>
      </c>
      <c r="C496" t="str">
        <f ca="1">IFERROR(__xludf.DUMMYFUNCTION("""COMPUTED_VALUE"""),"1B9rnk-hL47W-7iUGju1P5wtQC8y0BGZIAhuxsistETQ")</f>
        <v>1B9rnk-hL47W-7iUGju1P5wtQC8y0BGZIAhuxsistETQ</v>
      </c>
    </row>
    <row r="497" spans="1:3" ht="15.75" customHeight="1">
      <c r="A497" t="str">
        <f ca="1">IFERROR(__xludf.DUMMYFUNCTION("""COMPUTED_VALUE"""),"TradeServer")</f>
        <v>TradeServer</v>
      </c>
      <c r="B497" t="str">
        <f ca="1">IFERROR(__xludf.DUMMYFUNCTION("""COMPUTED_VALUE"""),"CloseTradeServer ")</f>
        <v xml:space="preserve">CloseTradeServer </v>
      </c>
      <c r="C497" t="str">
        <f ca="1">IFERROR(__xludf.DUMMYFUNCTION("""COMPUTED_VALUE"""),"174Tprzh0aMAZa-Ckuaucg-4aWwJTc-gYly9QXAbePh0")</f>
        <v>174Tprzh0aMAZa-Ckuaucg-4aWwJTc-gYly9QXAbePh0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IFERROR(__xludf.DUMMYFUNCTION("""COMPUTED_VALUE"""),"GetExecutionReportOrders")</f>
        <v>GetExecutionReportOrders</v>
      </c>
      <c r="C498" t="str">
        <f ca="1">IFERROR(__xludf.DUMMYFUNCTION("""COMPUTED_VALUE"""),"1hQPEUlOvv9Vi1KsbHsN6z0TIt4-v9Ckko9Z170M5bto")</f>
        <v>1hQPEUlOvv9Vi1KsbHsN6z0TIt4-v9Ckko9Z170M5bto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IFERROR(__xludf.DUMMYFUNCTION("""COMPUTED_VALUE"""),"GetExecutionReportDetails")</f>
        <v>GetExecutionReportDetails</v>
      </c>
      <c r="C499" t="str">
        <f ca="1">IFERROR(__xludf.DUMMYFUNCTION("""COMPUTED_VALUE"""),"1aD9Si2VBbY68g9PUfKv624K3d2PbLqScMJakPjZ8hFs")</f>
        <v>1aD9Si2VBbY68g9PUfKv624K3d2PbLqScMJakPjZ8hFs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IFERROR(__xludf.DUMMYFUNCTION("""COMPUTED_VALUE"""),"ExportExecutionReportData")</f>
        <v>ExportExecutionReportData</v>
      </c>
      <c r="C500" t="str">
        <f ca="1">IFERROR(__xludf.DUMMYFUNCTION("""COMPUTED_VALUE"""),"1a6yh6QYOXKH0UbWUlB2RKwf87hvs13OSFnVJBRYCYpM")</f>
        <v>1a6yh6QYOXKH0UbWUlB2RKwf87hvs13OSFnVJBRYCYpM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IFERROR(__xludf.DUMMYFUNCTION("""COMPUTED_VALUE"""),"VerifyExecutionReport")</f>
        <v>VerifyExecutionReport</v>
      </c>
      <c r="C501" t="str">
        <f ca="1">IFERROR(__xludf.DUMMYFUNCTION("""COMPUTED_VALUE"""),"15sKQ6yRs5rA6j70FvZOyg9HBsLCsZF-psuPGXdEFJSg")</f>
        <v>15sKQ6yRs5rA6j70FvZOyg9HBsLCsZF-psuPGXdEFJSg</v>
      </c>
    </row>
    <row r="502" spans="1:3" ht="15.75" customHeight="1">
      <c r="A502" t="str">
        <f ca="1">IFERROR(__xludf.DUMMYFUNCTION("""COMPUTED_VALUE"""),"Blotter")</f>
        <v>Blotter</v>
      </c>
      <c r="B502" t="str">
        <f ca="1">IFERROR(__xludf.DUMMYFUNCTION("""COMPUTED_VALUE"""),"BlotterExecutionReportSnapshot")</f>
        <v>BlotterExecutionReportSnapshot</v>
      </c>
      <c r="C502" t="str">
        <f ca="1">IFERROR(__xludf.DUMMYFUNCTION("""COMPUTED_VALUE"""),"1O56bvbVFEtmCnv92OXcl9NqN7Zssjg6iXf_dOM4W0hs")</f>
        <v>1O56bvbVFEtmCnv92OXcl9NqN7Zssjg6iXf_dOM4W0hs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IFERROR(__xludf.DUMMYFUNCTION("""COMPUTED_VALUE"""),"SetDollarAmountPermission")</f>
        <v>SetDollarAmountPermission</v>
      </c>
      <c r="C503" t="str">
        <f ca="1">IFERROR(__xludf.DUMMYFUNCTION("""COMPUTED_VALUE"""),"19sxepfVnPP3DvqI8vW23p2yn2sob_Nn7_0R4WSGOgyc")</f>
        <v>19sxepfVnPP3DvqI8vW23p2yn2sob_Nn7_0R4WSGOgyc</v>
      </c>
    </row>
    <row r="504" spans="1:3" ht="15.75" customHeight="1"/>
    <row r="505" spans="1:3" ht="15.75" customHeight="1"/>
    <row r="506" spans="1:3" ht="15.75" customHeight="1"/>
    <row r="507" spans="1:3" ht="15.75" customHeight="1"/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7" t="s">
        <v>2</v>
      </c>
      <c r="B1" s="35"/>
      <c r="C1" s="3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4" t="s">
        <v>7</v>
      </c>
      <c r="B1" s="35"/>
      <c r="C1" s="35"/>
      <c r="D1" s="35"/>
      <c r="E1" s="35"/>
      <c r="F1" s="3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IFERROR(__xludf.DUMMYFUNCTION("""COMPUTED_VALUE"""),"TT")</f>
        <v>TT</v>
      </c>
      <c r="C5" s="23" t="str">
        <f ca="1">IFERROR(__xludf.DUMMYFUNCTION("""COMPUTED_VALUE"""),"PTT")</f>
        <v>PTT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9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IFERROR(__xludf.DUMMYFUNCTION("""COMPUTED_VALUE"""),"Broker")</f>
        <v>Broker</v>
      </c>
      <c r="C5" s="23" t="str">
        <f ca="1">IFERROR(__xludf.DUMMYFUNCTION("""COMPUTED_VALUE"""),"Venue")</f>
        <v>Venue</v>
      </c>
      <c r="D5" s="23" t="str">
        <f ca="1">IFERROR(__xludf.DUMMYFUNCTION("""COMPUTED_VALUE"""),"Order Type")</f>
        <v>Order Type</v>
      </c>
      <c r="E5" s="23" t="str">
        <f ca="1">IFERROR(__xludf.DUMMYFUNCTION("""COMPUTED_VALUE"""),"TIF")</f>
        <v>TIF</v>
      </c>
      <c r="F5" s="24" t="str">
        <f ca="1">IFERROR(__xludf.DUMMYFUNCTION("""COMPUTED_VALUE"""),"Handling Instruction")</f>
        <v>Handling Instruction</v>
      </c>
      <c r="G5" s="23" t="str">
        <f ca="1">IFERROR(__xludf.DUMMYFUNCTION("""COMPUTED_VALUE"""),"Execution Instruction")</f>
        <v>Execution Instruction</v>
      </c>
      <c r="H5" s="23" t="str">
        <f ca="1">IFERROR(__xludf.DUMMYFUNCTION("""COMPUTED_VALUE"""),"Strategy")</f>
        <v>Strategy</v>
      </c>
      <c r="I5" s="23" t="str">
        <f ca="1">IFERROR(__xludf.DUMMYFUNCTION("""COMPUTED_VALUE"""),"Account")</f>
        <v>Account</v>
      </c>
      <c r="J5" s="23" t="str">
        <f ca="1">IFERROR(__xludf.DUMMYFUNCTION("""COMPUTED_VALUE"""),"Settlement Currency")</f>
        <v>Settlement Currency</v>
      </c>
      <c r="K5" s="23" t="str">
        <f ca="1">IFERROR(__xludf.DUMMYFUNCTION("""COMPUTED_VALUE"""),"Trader")</f>
        <v>Trader</v>
      </c>
      <c r="L5" s="23" t="str">
        <f ca="1">IFERROR(__xludf.DUMMYFUNCTION("""COMPUTED_VALUE"""),"Default Quantity")</f>
        <v>Default Quantity</v>
      </c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/>
      <c r="E6" s="26"/>
      <c r="F6" s="5"/>
      <c r="G6" s="5"/>
      <c r="H6" s="5"/>
      <c r="I6" s="5"/>
      <c r="J6" s="5"/>
      <c r="K6" s="5"/>
      <c r="L6" s="9" t="s">
        <v>18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9" t="s">
        <v>21</v>
      </c>
      <c r="D6" s="9">
        <v>10000</v>
      </c>
      <c r="E6" s="9">
        <v>10000</v>
      </c>
      <c r="F6" s="9" t="s">
        <v>22</v>
      </c>
      <c r="G6" s="5"/>
      <c r="H6" s="5"/>
      <c r="I6" s="5"/>
      <c r="J6" s="9">
        <v>9.1199999999999992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9.1199999999999992</v>
      </c>
      <c r="E6" s="26"/>
      <c r="F6" s="9">
        <v>0</v>
      </c>
      <c r="G6" s="5"/>
      <c r="H6" s="9" t="s">
        <v>25</v>
      </c>
      <c r="I6" s="9" t="s">
        <v>26</v>
      </c>
      <c r="J6" s="9" t="s">
        <v>20</v>
      </c>
      <c r="K6" s="9" t="s">
        <v>27</v>
      </c>
      <c r="L6" s="5"/>
      <c r="M6" s="5"/>
      <c r="N6" s="5"/>
      <c r="O6" s="5"/>
      <c r="S6" s="6">
        <v>0</v>
      </c>
      <c r="T6" s="6">
        <v>0</v>
      </c>
      <c r="U6" s="6" t="s">
        <v>28</v>
      </c>
      <c r="V6" s="6" t="s">
        <v>29</v>
      </c>
      <c r="AB6" s="6">
        <v>1096</v>
      </c>
      <c r="AD6" s="6">
        <v>1</v>
      </c>
      <c r="AH6" s="6" t="s">
        <v>30</v>
      </c>
      <c r="AI6" s="6" t="s">
        <v>20</v>
      </c>
      <c r="AJ6" s="6" t="s">
        <v>21</v>
      </c>
      <c r="AK6" s="6" t="s">
        <v>31</v>
      </c>
      <c r="AL6" s="27">
        <v>1096</v>
      </c>
      <c r="AM6" s="27">
        <v>1096</v>
      </c>
      <c r="AN6" s="6">
        <v>100</v>
      </c>
      <c r="AO6" s="27">
        <v>1096</v>
      </c>
      <c r="AQ6" s="6">
        <v>9.1199999999999992</v>
      </c>
      <c r="AR6" s="6">
        <v>9.1199999999999992</v>
      </c>
      <c r="AS6" s="6" t="s">
        <v>32</v>
      </c>
      <c r="AT6" s="6" t="s">
        <v>22</v>
      </c>
      <c r="AU6" s="6" t="s">
        <v>33</v>
      </c>
      <c r="AV6" s="28">
        <v>9995.52</v>
      </c>
      <c r="AW6" s="28">
        <v>9995.52</v>
      </c>
      <c r="AY6" s="27">
        <v>1096</v>
      </c>
      <c r="AZ6" s="6">
        <v>0</v>
      </c>
      <c r="BA6" s="6" t="s">
        <v>26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36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22</v>
      </c>
      <c r="C6" s="5"/>
      <c r="D6" s="29">
        <v>0</v>
      </c>
      <c r="E6" s="29">
        <v>1096</v>
      </c>
      <c r="F6" s="5"/>
      <c r="G6" s="9" t="s">
        <v>30</v>
      </c>
      <c r="H6" s="29">
        <v>4</v>
      </c>
      <c r="I6" s="29">
        <v>5</v>
      </c>
      <c r="J6" s="5"/>
      <c r="K6" s="29">
        <v>9.1199999999999992</v>
      </c>
      <c r="L6" s="29">
        <v>9.1199999999999992</v>
      </c>
      <c r="M6" s="5"/>
      <c r="N6" s="5"/>
      <c r="O6" s="9" t="s">
        <v>32</v>
      </c>
      <c r="Q6" s="29">
        <v>3</v>
      </c>
      <c r="R6" s="29">
        <v>0</v>
      </c>
      <c r="S6" s="6" t="s">
        <v>38</v>
      </c>
      <c r="T6" s="29">
        <v>0</v>
      </c>
      <c r="U6" s="29">
        <v>0</v>
      </c>
      <c r="Z6" t="s">
        <v>28</v>
      </c>
      <c r="AB6" s="29">
        <v>1</v>
      </c>
      <c r="AD6" t="s">
        <v>25</v>
      </c>
      <c r="AE6" s="29">
        <v>1096</v>
      </c>
      <c r="AH6" t="s">
        <v>39</v>
      </c>
      <c r="AI6" s="29">
        <v>1</v>
      </c>
      <c r="AT6" s="29">
        <v>10009.525600000001</v>
      </c>
      <c r="AU6" s="29">
        <v>10009.525600000001</v>
      </c>
      <c r="AW6" s="29">
        <v>0</v>
      </c>
      <c r="AX6" s="29">
        <v>0</v>
      </c>
      <c r="AY6" s="6" t="s">
        <v>33</v>
      </c>
      <c r="AZ6" s="29">
        <v>0</v>
      </c>
      <c r="BC6" s="29">
        <v>0</v>
      </c>
      <c r="BE6" s="30">
        <v>9995.52</v>
      </c>
      <c r="BF6" s="30">
        <v>9995.52</v>
      </c>
      <c r="BJ6" s="29">
        <v>1096</v>
      </c>
      <c r="BK6" s="29">
        <v>0</v>
      </c>
      <c r="BM6" t="s">
        <v>28</v>
      </c>
      <c r="BO6" s="6" t="s">
        <v>21</v>
      </c>
      <c r="BP6" s="31">
        <v>0</v>
      </c>
      <c r="BQ6" s="29">
        <v>0</v>
      </c>
      <c r="BT6" s="6" t="s">
        <v>20</v>
      </c>
      <c r="BU6" s="29">
        <v>3</v>
      </c>
      <c r="BV6" s="29">
        <v>0</v>
      </c>
      <c r="BW6" s="29">
        <v>14.005599999999999</v>
      </c>
      <c r="BX6" s="29">
        <v>0</v>
      </c>
      <c r="CG6" s="29">
        <v>2</v>
      </c>
      <c r="CH6" t="s">
        <v>16</v>
      </c>
      <c r="CI6" t="s">
        <v>21</v>
      </c>
      <c r="CJ6" s="29">
        <v>0</v>
      </c>
      <c r="CK6" t="s">
        <v>27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L15" sqref="BL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40</v>
      </c>
      <c r="D3" s="2" t="s">
        <v>9</v>
      </c>
      <c r="E3" s="18" t="s">
        <v>41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9" t="s">
        <v>20</v>
      </c>
      <c r="D6" s="32">
        <v>1096</v>
      </c>
      <c r="E6" s="9" t="s">
        <v>22</v>
      </c>
      <c r="F6" s="9" t="s">
        <v>42</v>
      </c>
      <c r="G6" s="9">
        <v>9.1199999999999992</v>
      </c>
      <c r="H6" s="9" t="s">
        <v>43</v>
      </c>
      <c r="I6" s="9">
        <v>0</v>
      </c>
      <c r="J6" s="9">
        <v>0</v>
      </c>
      <c r="K6" s="9">
        <v>0</v>
      </c>
      <c r="L6" s="5"/>
      <c r="M6" s="5"/>
      <c r="N6" s="33">
        <v>-9995.52</v>
      </c>
      <c r="O6" s="5"/>
      <c r="Q6" s="33">
        <v>-9995.52</v>
      </c>
      <c r="R6" s="6" t="s">
        <v>44</v>
      </c>
      <c r="T6" s="6" t="s">
        <v>30</v>
      </c>
      <c r="U6" s="6" t="s">
        <v>27</v>
      </c>
      <c r="V6" s="6" t="s">
        <v>25</v>
      </c>
      <c r="W6" s="6" t="s">
        <v>28</v>
      </c>
      <c r="X6" s="6">
        <v>1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27">
        <v>1096</v>
      </c>
      <c r="AG6" s="6">
        <v>0</v>
      </c>
      <c r="AH6" s="6">
        <v>0</v>
      </c>
      <c r="AI6" s="6">
        <v>0</v>
      </c>
      <c r="AJ6" s="6">
        <v>0</v>
      </c>
      <c r="AK6" s="33">
        <v>-9995.52</v>
      </c>
      <c r="AL6" s="6">
        <v>1</v>
      </c>
      <c r="AM6" s="6">
        <v>1</v>
      </c>
      <c r="AN6" s="6" t="s">
        <v>21</v>
      </c>
      <c r="AP6" s="6" t="s">
        <v>43</v>
      </c>
      <c r="AQ6" s="6" t="s">
        <v>20</v>
      </c>
      <c r="AR6" s="6">
        <v>0</v>
      </c>
      <c r="AS6" s="6">
        <v>1</v>
      </c>
      <c r="AV6" s="6">
        <v>1</v>
      </c>
      <c r="AW6" s="33">
        <v>-9995.52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33">
        <v>-9995.52</v>
      </c>
      <c r="BE6" s="6" t="s">
        <v>30</v>
      </c>
      <c r="BJ6" s="6">
        <v>0</v>
      </c>
      <c r="BK6" s="6">
        <v>0</v>
      </c>
      <c r="BL6" s="6">
        <v>0</v>
      </c>
      <c r="BM6" s="6">
        <v>0</v>
      </c>
      <c r="BO6" s="33">
        <v>-9995.52</v>
      </c>
      <c r="BP6" s="6">
        <v>0</v>
      </c>
      <c r="BQ6" s="6" t="s">
        <v>26</v>
      </c>
      <c r="BR6" s="6" t="s">
        <v>32</v>
      </c>
      <c r="BS6" s="6">
        <v>0</v>
      </c>
      <c r="BT6" s="6">
        <v>0</v>
      </c>
      <c r="BU6" s="6" t="s">
        <v>30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3">
        <v>-9995.52</v>
      </c>
      <c r="CE6" s="6">
        <v>0</v>
      </c>
      <c r="CF6" s="6">
        <v>0</v>
      </c>
      <c r="CG6" s="33">
        <v>-9995.52</v>
      </c>
      <c r="CH6" s="6">
        <v>-100</v>
      </c>
      <c r="CI6" s="6">
        <v>0</v>
      </c>
      <c r="CJ6" s="6">
        <v>0</v>
      </c>
      <c r="CS6" s="6">
        <v>9.1199999999999992</v>
      </c>
      <c r="DA6" s="6">
        <v>0</v>
      </c>
      <c r="DB6" s="6">
        <v>0</v>
      </c>
      <c r="DD6" s="27">
        <v>1096</v>
      </c>
      <c r="DE6" s="6">
        <v>0</v>
      </c>
      <c r="DF6" s="6">
        <v>0</v>
      </c>
      <c r="DG6" s="6">
        <v>0</v>
      </c>
      <c r="DI6" s="6">
        <v>0</v>
      </c>
      <c r="DJ6" s="6" t="s">
        <v>21</v>
      </c>
      <c r="DK6" s="6">
        <v>0</v>
      </c>
      <c r="DL6" s="6">
        <v>0</v>
      </c>
      <c r="DM6" s="6">
        <v>1</v>
      </c>
      <c r="DN6" s="6">
        <v>0</v>
      </c>
      <c r="DP6" s="6" t="s">
        <v>43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43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  <c r="ES6" s="33">
        <v>-9995.52</v>
      </c>
      <c r="ET6" s="6">
        <v>0</v>
      </c>
      <c r="EU6" s="6">
        <v>0</v>
      </c>
      <c r="EV6" s="6" t="s">
        <v>43</v>
      </c>
      <c r="EW6" s="33">
        <v>-9995.52</v>
      </c>
    </row>
    <row r="7" spans="1:168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SetDollarAmountPermission</vt:lpstr>
      <vt:lpstr>SetUIPreferencesTT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2021-08-04T11:11:22Z</dcterms:modified>
</cp:coreProperties>
</file>