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GetDataClosing" sheetId="8" r:id="rId10"/>
    <sheet state="visible" name="SelectTradeUnexpiredUnsettled" sheetId="9" r:id="rId11"/>
    <sheet state="visible" name="SwapExpireAndRollover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<sst xmlns="http://schemas.openxmlformats.org/spreadsheetml/2006/main" count="85" uniqueCount="32">
  <si>
    <t>Modules Info</t>
  </si>
  <si>
    <t>Modules</t>
  </si>
  <si>
    <t>Master Data Info</t>
  </si>
  <si>
    <t>Settings</t>
  </si>
  <si>
    <t>Module</t>
  </si>
  <si>
    <t>Step</t>
  </si>
  <si>
    <t>Master Data Sheet</t>
  </si>
  <si>
    <t>Module Step Setting File</t>
  </si>
  <si>
    <t>1sG6uB28jAaiyaldDeMtbboQN41jJ2tAmE2rg6U9qH5o</t>
  </si>
  <si>
    <t>Master Data Settings File</t>
  </si>
  <si>
    <t>1hEhI9rg16D4Xvfk19pDaFUFF78jjfIG29BBaNg8kT0A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</si>
  <si>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</si>
  <si>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</si>
  <si>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</si>
  <si>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</si>
  <si>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</si>
  <si>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</si>
  <si>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</si>
  <si>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</si>
  <si>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</t>
  </si>
  <si>
    <t>GetDataAllocation</t>
  </si>
  <si>
    <t>Current</t>
  </si>
  <si>
    <t>SelectAllocatedGroup</t>
  </si>
  <si>
    <t>Equity</t>
  </si>
  <si>
    <t>BookOrUpdateSwap</t>
  </si>
  <si>
    <t>MSFT SWAP</t>
  </si>
  <si>
    <t>Closing</t>
  </si>
  <si>
    <t>GetDataClosing</t>
  </si>
  <si>
    <t>SelectTradeUnexpiredUnsettled</t>
  </si>
  <si>
    <t>SwapExpireAndRollover</t>
  </si>
  <si>
    <t>CheckAllocatedGroups</t>
  </si>
  <si>
    <t>EquitySwap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</si>
</sst>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1" fillId="2" fontId="8" numFmtId="0" xfId="0" applyAlignment="1" applyBorder="1" applyFont="1">
      <alignment horizontal="center" shrinkToFit="0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IFERROR(__xludf.DUMMYFUNCTION("""COMPUTED_VALUE"""),"1ASulLlGAl--JRs7NVIiQ-6Q2Y2P3o7Y40cokKmMg-UA")</f>
        <v>1ASulLlGAl--JRs7NVIiQ-6Q2Y2P3o7Y40cokKmMg-UA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IFERROR(__xludf.DUMMYFUNCTION("""COMPUTED_VALUE"""),"153rAtnJuNh4UK26GjSOxUSjAHcOxzWv7CRGvmhrIJRs")</f>
        <v>153rAtnJuNh4UK26GjSOxUSjAHcOxzWv7CRGvmhrIJRs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IFERROR(__xludf.DUMMYFUNCTION("""COMPUTED_VALUE"""),"14c4GsPTH5D3eyeeKaMiqJQXOT6OiyIKnC2Ey2f-mzXU")</f>
        <v>14c4GsPTH5D3eyeeKaMiqJQXOT6OiyIKnC2Ey2f-mzXU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IFERROR(__xludf.DUMMYFUNCTION("""COMPUTED_VALUE"""),"1FoqTScZHaIaLmwoImnVY7WWuCKEwJNYw8_jsXiT_wz4")</f>
        <v>1FoqTScZHaIaLmwoImnVY7WWuCKEwJNYw8_jsXiT_wz4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IFERROR(__xludf.DUMMYFUNCTION("""COMPUTED_VALUE"""),"1nx-Ntcckcf-w1Yr5yyOw4Vmcr4UsalakHe-CHaRihg0")</f>
        <v>1nx-Ntcckcf-w1Yr5yyOw4Vmcr4UsalakHe-CHaRihg0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IFERROR(__xludf.DUMMYFUNCTION("""COMPUTED_VALUE"""),"1aOr-_cYT21IfJctqcBB50iQOXfB0qUo9bBesL3tt_2o")</f>
        <v>1aOr-_cYT21IfJctqcBB50iQOXfB0qUo9bBesL3tt_2o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IFERROR(__xludf.DUMMYFUNCTION("""COMPUTED_VALUE"""),"1NSNUZ7aVjKq-fJWvjMKU9f1Hhbf0UmIY3RQLFu0_U94")</f>
        <v>1NSNUZ7aVjKq-fJWvjMKU9f1Hhbf0UmIY3RQLFu0_U94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IFERROR(__xludf.DUMMYFUNCTION("""COMPUTED_VALUE"""),"1qcpgHRQFZbpv-NnW8K-CvX_auKXD5UD0KzrBvuBL6yQ")</f>
        <v>1qcpgHRQFZbpv-NnW8K-CvX_auKXD5UD0KzrBvuBL6yQ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IFERROR(__xludf.DUMMYFUNCTION("""COMPUTED_VALUE"""),"1AcxAZQwu6HAEJMCMK3bk08quIeXstZWKnCNeDGuqkgc")</f>
        <v>1AcxAZQwu6HAEJMCMK3bk08quIeXstZWKnCNeDGuqkgc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IFERROR(__xludf.DUMMYFUNCTION("""COMPUTED_VALUE"""),"1VLF0uNJJlumCyBscfuDhTN1tOv-0IRCkYlwfDU8GczQ")</f>
        <v>1VLF0uNJJlumCyBscfuDhTN1tOv-0IRCkYlwfDU8GczQ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IFERROR(__xludf.DUMMYFUNCTION("""COMPUTED_VALUE"""),"1_8MIcc2OK_ojl_V4NIwMLs9H7qkQkwyq9sDf1PpIqc8")</f>
        <v>1_8MIcc2OK_ojl_V4NIwMLs9H7qkQkwyq9sDf1PpIqc8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IFERROR(__xludf.DUMMYFUNCTION("""COMPUTED_VALUE"""),"1tN1tbsnXiVRytGN-WCzTnGTmfRxY2nBklQk3AQSJo2c")</f>
        <v>1tN1tbsnXiVRytGN-WCzTnGTmfRxY2nBklQk3AQSJo2c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IFERROR(__xludf.DUMMYFUNCTION("""COMPUTED_VALUE"""),"1VRRuQCPazoSKAv27NBzQzv_Yw_Kgakw-yyKn6w1zhKU")</f>
        <v>1VRRuQCPazoSKAv27NBzQzv_Yw_Kgakw-yyKn6w1zhKU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IFERROR(__xludf.DUMMYFUNCTION("""COMPUTED_VALUE"""),"1fGo94nf55bWXddEMlTwX902cb1V6cWr9GHWYy_sZ8IU")</f>
        <v>1fGo94nf55bWXddEMlTwX902cb1V6cWr9GHWYy_sZ8IU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IFERROR(__xludf.DUMMYFUNCTION("""COMPUTED_VALUE"""),"1rOMKu0Ez7NdxjtZC05lRrPUSa0tkOQSvbOhxjuijMsU")</f>
        <v>1rOMKu0Ez7NdxjtZC05lRrPUSa0tkOQSvbOhxjuijMsU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IFERROR(__xludf.DUMMYFUNCTION("""COMPUTED_VALUE"""),"1yBi-hp0jcYIFB6ymnlQIlx-pUUkfcjJU7Ap0azBbNcE")</f>
        <v>1yBi-hp0jcYIFB6ymnlQIlx-pUUkfcjJU7Ap0azBbNcE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IFERROR(__xludf.DUMMYFUNCTION("""COMPUTED_VALUE"""),"1x5iUjYB72ZJ35IOvQ_JQkWHV-d1FlgKY3bIxxTpk-f0")</f>
        <v>1x5iUjYB72ZJ35IOvQ_JQkWHV-d1FlgKY3bIxxTpk-f0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IFERROR(__xludf.DUMMYFUNCTION("""COMPUTED_VALUE"""),"1Li5RKULV7Lc2MLczTkVbzq0oDYcFGfTlBUO9__NoODc")</f>
        <v>1Li5RKULV7Lc2MLczTkVbzq0oDYcFGfTlBUO9__NoODc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IFERROR(__xludf.DUMMYFUNCTION("""COMPUTED_VALUE"""),"1vnIE6mL0eHSchRF1qTlJ2JL_Ylu6hiC6uOXpzq7M0BQ")</f>
        <v>1vnIE6mL0eHSchRF1qTlJ2JL_Ylu6hiC6uOXpzq7M0BQ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IFERROR(__xludf.DUMMYFUNCTION("""COMPUTED_VALUE"""),"1KCMHfIqMprTfc21JY7-_BuJZCbNmjdI-pAMs1UtHRgM")</f>
        <v>1KCMHfIqMprTfc21JY7-_BuJZCbNmjdI-pAMs1UtHRgM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IFERROR(__xludf.DUMMYFUNCTION("""COMPUTED_VALUE"""),"1tRgcAtzRVDm6tX53uSpBOxZNBYm4sTcJiDaR4fxdfwY")</f>
        <v>1tRgcAtzRVDm6tX53uSpBOxZNBYm4sTcJiDaR4fxdfwY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IFERROR(__xludf.DUMMYFUNCTION("""COMPUTED_VALUE"""),"12DQ8VFmnoIi6USj-pAupggGf1Uakm-iIEO9IboOJPds")</f>
        <v>12DQ8VFmnoIi6USj-pAupggGf1Uakm-iIEO9IboOJPds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IFERROR(__xludf.DUMMYFUNCTION("""COMPUTED_VALUE"""),"1EinrxkfbLK2Tdj1nGXu4y1H2zmS6g6G85Hm0vYSOHlA")</f>
        <v>1EinrxkfbLK2Tdj1nGXu4y1H2zmS6g6G85Hm0vYSOHlA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IFERROR(__xludf.DUMMYFUNCTION("""COMPUTED_VALUE"""),"1qeUVChEAj0eKA7tNZsUWM4FcqW347Jcsk_tvw1-FP3s")</f>
        <v>1qeUVChEAj0eKA7tNZsUWM4FcqW347Jcsk_tvw1-FP3s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IFERROR(__xludf.DUMMYFUNCTION("""COMPUTED_VALUE"""),"1aVxYFzFjJM4FVvXjfioQc67hI5XgzzCTHLg8f7lbJhU")</f>
        <v>1aVxYFzFjJM4FVvXjfioQc67hI5XgzzCTHLg8f7lbJhU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IFERROR(__xludf.DUMMYFUNCTION("""COMPUTED_VALUE"""),"1Fe8M8KnrsIcnAobjXa43I9IzXKCnB39xCSYterKkeEc")</f>
        <v>1Fe8M8KnrsIcnAobjXa43I9IzXKCnB39xCSYterKkeEc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IFERROR(__xludf.DUMMYFUNCTION("""COMPUTED_VALUE"""),"1qJHd_QH5ht3ZzeFZbKiVeEOBmlpAshwV72N701B28uk")</f>
        <v>1qJHd_QH5ht3ZzeFZbKiVeEOBmlpAshwV72N701B28uk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15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4" t="s">
        <v>3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7</v>
      </c>
      <c r="B3" s="16" t="s">
        <v>8</v>
      </c>
      <c r="C3" s="8"/>
    </row>
    <row r="4" ht="15.75" customHeight="1">
      <c r="A4" s="10" t="s">
        <v>9</v>
      </c>
      <c r="B4" s="16" t="s">
        <v>10</v>
      </c>
      <c r="C4" s="8"/>
    </row>
    <row r="5" ht="15.75" customHeight="1">
      <c r="A5" s="17"/>
      <c r="B5" s="8"/>
      <c r="C5" s="8"/>
    </row>
    <row r="6" ht="15.75" customHeight="1">
      <c r="A6" s="17"/>
      <c r="B6" s="8"/>
      <c r="C6" s="8"/>
    </row>
    <row r="7" ht="15.75" customHeight="1">
      <c r="A7" s="17"/>
      <c r="B7" s="8"/>
      <c r="C7" s="8"/>
    </row>
    <row r="8" ht="15.75" customHeight="1">
      <c r="A8" s="17"/>
      <c r="B8" s="8"/>
      <c r="C8" s="8"/>
    </row>
    <row r="9" ht="15.75" customHeight="1">
      <c r="A9" s="17"/>
      <c r="B9" s="8"/>
      <c r="C9" s="8"/>
    </row>
    <row r="10" ht="15.75" customHeight="1">
      <c r="A10" s="17"/>
      <c r="B10" s="8"/>
      <c r="C10" s="8"/>
    </row>
    <row r="11" ht="15.75" customHeight="1">
      <c r="A11" s="17"/>
      <c r="B11" s="8"/>
      <c r="C11" s="8"/>
    </row>
    <row r="12" ht="15.75" customHeight="1">
      <c r="A12" s="17"/>
      <c r="B12" s="8"/>
      <c r="C12" s="8"/>
    </row>
    <row r="13" ht="15.75" customHeight="1">
      <c r="A13" s="17"/>
      <c r="B13" s="8"/>
      <c r="C13" s="8"/>
    </row>
    <row r="14" ht="15.75" customHeight="1">
      <c r="A14" s="17"/>
      <c r="B14" s="8"/>
      <c r="C14" s="8"/>
    </row>
    <row r="15" ht="15.75" customHeight="1">
      <c r="A15" s="17"/>
      <c r="B15" s="8"/>
      <c r="C15" s="8"/>
    </row>
    <row r="16" ht="15.75" customHeight="1">
      <c r="A16" s="17"/>
      <c r="B16" s="8"/>
      <c r="C16" s="8"/>
    </row>
    <row r="17" ht="15.75" customHeight="1">
      <c r="A17" s="17"/>
      <c r="B17" s="8"/>
      <c r="C17" s="8"/>
    </row>
    <row r="18" ht="15.75" customHeight="1">
      <c r="A18" s="17"/>
      <c r="B18" s="8"/>
      <c r="C18" s="8"/>
    </row>
    <row r="19" ht="15.75" customHeight="1">
      <c r="A19" s="17"/>
      <c r="B19" s="8"/>
      <c r="C19" s="8"/>
    </row>
    <row r="20" ht="15.75" customHeight="1">
      <c r="A20" s="17"/>
      <c r="B20" s="8"/>
      <c r="C20" s="8"/>
    </row>
    <row r="21" ht="15.75" customHeight="1">
      <c r="A21" s="17"/>
      <c r="B21" s="8"/>
      <c r="C21" s="8"/>
    </row>
    <row r="22" ht="15.75" customHeight="1">
      <c r="A22" s="17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0" t="s">
        <v>4</v>
      </c>
      <c r="B3" s="11" t="s">
        <v>5</v>
      </c>
      <c r="C3" s="11" t="s">
        <v>6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4</v>
      </c>
      <c r="C3" s="22" t="s">
        <v>12</v>
      </c>
      <c r="D3" s="5" t="s">
        <v>5</v>
      </c>
      <c r="E3" s="22" t="s">
        <v>13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16</v>
      </c>
      <c r="C6" s="31" t="s">
        <v>17</v>
      </c>
      <c r="D6" s="32">
        <v>1000.0</v>
      </c>
      <c r="E6" s="31"/>
      <c r="F6" s="31" t="s">
        <v>18</v>
      </c>
      <c r="G6" s="31"/>
      <c r="H6" s="31"/>
      <c r="I6" s="31"/>
      <c r="J6" s="32">
        <v>15.0</v>
      </c>
      <c r="K6" s="31"/>
      <c r="L6" s="31"/>
      <c r="M6" s="31"/>
      <c r="N6" s="33">
        <f>Today()</f>
        <v>43746</v>
      </c>
      <c r="O6" s="31"/>
      <c r="P6" s="31"/>
      <c r="Q6" s="31"/>
      <c r="R6" s="31"/>
      <c r="S6" s="31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</v>
      </c>
      <c r="C3" s="22" t="s">
        <v>19</v>
      </c>
      <c r="D3" s="5" t="s">
        <v>5</v>
      </c>
      <c r="E3" s="22" t="s">
        <v>20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IFERROR(__xludf.DUMMYFUNCTION("""COMPUTED_VALUE"""),"Allocate")</f>
        <v>Allocate</v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16" t="s">
        <v>21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4</v>
      </c>
      <c r="C3" s="22" t="s">
        <v>19</v>
      </c>
      <c r="D3" s="5" t="s">
        <v>5</v>
      </c>
      <c r="E3" s="22" t="s">
        <v>22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IFERROR(__xludf.DUMMYFUNCTION("""COMPUTED_VALUE"""),"Allocate")</f>
        <v>Allocate</v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4" t="s">
        <v>16</v>
      </c>
      <c r="C6" s="32">
        <v>1000.0</v>
      </c>
      <c r="D6" s="31"/>
      <c r="E6" s="34" t="s">
        <v>18</v>
      </c>
      <c r="F6" s="34" t="s">
        <v>17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 t="s">
        <v>23</v>
      </c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</v>
      </c>
      <c r="C3" s="22" t="s">
        <v>19</v>
      </c>
      <c r="D3" s="5" t="s">
        <v>5</v>
      </c>
      <c r="E3" s="22" t="s">
        <v>24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IFERROR(__xludf.DUMMYFUNCTION("""COMPUTED_VALUE"""),"Allocate")</f>
        <v>Allocate</v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5"/>
      <c r="B6" s="36"/>
      <c r="C6" s="32">
        <v>2.0</v>
      </c>
      <c r="D6" s="36">
        <v>2.0</v>
      </c>
      <c r="E6" s="37">
        <f>Today()+1</f>
        <v>43747</v>
      </c>
      <c r="F6" s="38">
        <v>365.0</v>
      </c>
      <c r="G6" s="31"/>
      <c r="H6" s="32">
        <v>15.0</v>
      </c>
      <c r="I6" s="34" t="s">
        <v>25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</v>
      </c>
      <c r="C3" s="22" t="s">
        <v>26</v>
      </c>
      <c r="D3" s="5" t="s">
        <v>5</v>
      </c>
      <c r="E3" s="22" t="s">
        <v>27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16" t="s">
        <v>21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</v>
      </c>
      <c r="C3" s="22" t="s">
        <v>26</v>
      </c>
      <c r="D3" s="5" t="s">
        <v>5</v>
      </c>
      <c r="E3" s="22" t="s">
        <v>28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IFERROR(__xludf.DUMMYFUNCTION("""COMPUTED_VALUE"""),"StrikePrice")</f>
        <v>StrikePrice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5"/>
      <c r="B6" s="39" t="s">
        <v>18</v>
      </c>
      <c r="C6" s="31"/>
      <c r="D6" s="40"/>
      <c r="E6" s="34" t="s">
        <v>23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41" t="s">
        <v>16</v>
      </c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</v>
      </c>
      <c r="C3" s="22" t="s">
        <v>26</v>
      </c>
      <c r="D3" s="5" t="s">
        <v>5</v>
      </c>
      <c r="E3" s="22" t="s">
        <v>29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IFERROR(__xludf.DUMMYFUNCTION("""COMPUTED_VALUE"""),"Closing Date")</f>
        <v>Closing Date</v>
      </c>
      <c r="C5" s="27" t="str">
        <f>IFERROR(__xludf.DUMMYFUNCTION("""COMPUTED_VALUE"""),"Closing Cost Basis")</f>
        <v>Closing Cost Basis</v>
      </c>
      <c r="D5" s="27" t="str">
        <f>IFERROR(__xludf.DUMMYFUNCTION("""COMPUTED_VALUE"""),"Notional Value")</f>
        <v>Notional Value</v>
      </c>
      <c r="E5" s="27" t="str">
        <f>IFERROR(__xludf.DUMMYFUNCTION("""COMPUTED_VALUE"""),"Interest Rate")</f>
        <v>Interest Rate</v>
      </c>
      <c r="F5" s="28" t="str">
        <f>IFERROR(__xludf.DUMMYFUNCTION("""COMPUTED_VALUE"""),"Spread(B.P)")</f>
        <v>Spread(B.P)</v>
      </c>
      <c r="G5" s="27" t="str">
        <f>IFERROR(__xludf.DUMMYFUNCTION("""COMPUTED_VALUE"""),"First Reset Date")</f>
        <v>First Reset Date</v>
      </c>
      <c r="H5" s="27" t="str">
        <f>IFERROR(__xludf.DUMMYFUNCTION("""COMPUTED_VALUE"""),"ShowDescription")</f>
        <v>ShowDescription</v>
      </c>
      <c r="I5" s="27" t="str">
        <f>IFERROR(__xludf.DUMMYFUNCTION("""COMPUTED_VALUE"""),"Day Count")</f>
        <v>Day Count</v>
      </c>
      <c r="J5" s="27" t="str">
        <f>IFERROR(__xludf.DUMMYFUNCTION("""COMPUTED_VALUE"""),"Original T.Date")</f>
        <v>Original T.Date</v>
      </c>
      <c r="K5" s="27" t="str">
        <f>IFERROR(__xludf.DUMMYFUNCTION("""COMPUTED_VALUE"""),"Original Cost Basis")</f>
        <v>Original Cost Basis</v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42">
        <f>Today()+1</f>
        <v>43747</v>
      </c>
      <c r="C6" s="16">
        <v>15.0</v>
      </c>
      <c r="D6" s="16">
        <v>15000.0</v>
      </c>
      <c r="E6" s="16">
        <v>2.0</v>
      </c>
      <c r="F6" s="16">
        <v>200.0</v>
      </c>
      <c r="G6" s="42">
        <f>Today()+1</f>
        <v>43747</v>
      </c>
      <c r="H6" s="16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SwapExpireAndRollover!$4:$4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</v>
      </c>
      <c r="C3" s="22" t="s">
        <v>19</v>
      </c>
      <c r="D3" s="5" t="s">
        <v>5</v>
      </c>
      <c r="E3" s="22" t="s">
        <v>30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IFERROR(__xludf.DUMMYFUNCTION("""COMPUTED_VALUE"""),"Allocate")</f>
        <v>Allocate</v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4" t="s">
        <v>18</v>
      </c>
      <c r="C6" s="31"/>
      <c r="D6" s="31"/>
      <c r="E6" s="32">
        <v>1000.0</v>
      </c>
      <c r="F6" s="31"/>
      <c r="G6" s="34" t="s">
        <v>31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43" t="s">
        <v>17</v>
      </c>
      <c r="BP6" s="30"/>
      <c r="BQ6" s="30"/>
      <c r="BR6" s="30"/>
      <c r="BS6" s="30"/>
      <c r="BT6" s="43" t="s">
        <v>16</v>
      </c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43"/>
      <c r="C7" s="30"/>
      <c r="D7" s="30"/>
      <c r="E7" s="44"/>
      <c r="F7" s="30"/>
      <c r="G7" s="43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43"/>
      <c r="BP7" s="30"/>
      <c r="BQ7" s="30"/>
      <c r="BR7" s="30"/>
      <c r="BS7" s="30"/>
      <c r="BT7" s="43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45"/>
      <c r="C8" s="8"/>
      <c r="D8" s="8"/>
      <c r="E8" s="16"/>
      <c r="F8" s="8"/>
      <c r="G8" s="16"/>
      <c r="H8" s="8"/>
      <c r="I8" s="8"/>
      <c r="J8" s="8"/>
      <c r="K8" s="8"/>
      <c r="L8" s="8"/>
      <c r="M8" s="8"/>
      <c r="N8" s="8"/>
      <c r="O8" s="8"/>
      <c r="BO8" s="46"/>
      <c r="BT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