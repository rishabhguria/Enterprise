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FetchAccountPositions1" sheetId="12" r:id="rId14"/>
    <sheet state="visible" name="RebalanceAcrossSecurities" sheetId="13" r:id="rId15"/>
    <sheet state="visible" name="SendtoStaging1" sheetId="14" r:id="rId16"/>
    <sheet state="visible" name="RebalanceAcrossSecurities1" sheetId="15" r:id="rId17"/>
    <sheet state="visible" name="ModifyRebalance" sheetId="16" r:id="rId18"/>
    <sheet state="visible" name="SendtoStaging2" sheetId="17" r:id="rId19"/>
    <sheet state="visible" name="VerifyOrder" sheetId="18" r:id="rId20"/>
  </sheets>
  <definedNames/>
  <calcPr/>
</workbook>
</file>

<file path=xl/sharedStrings.xml><?xml version="1.0" encoding="utf-8"?>
<sst xmlns="http://schemas.openxmlformats.org/spreadsheetml/2006/main" count="838" uniqueCount="57">
  <si>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</si>
  <si>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</si>
  <si>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</si>
  <si>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</si>
  <si>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</si>
  <si>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</si>
  <si>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</si>
  <si>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</si>
  <si>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</si>
  <si>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</si>
  <si>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</si>
  <si>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</si>
  <si>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</si>
  <si>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</si>
  <si>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</si>
  <si>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</si>
  <si>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</si>
  <si>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</si>
  <si>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MSFT</t>
  </si>
  <si>
    <t>PricingInput</t>
  </si>
  <si>
    <t>DailyValuation</t>
  </si>
  <si>
    <t>GetDailyCash</t>
  </si>
  <si>
    <t>UpdateMultipleDailyCash</t>
  </si>
  <si>
    <t>Allocation1</t>
  </si>
  <si>
    <t>USD</t>
  </si>
  <si>
    <t>Allocation2</t>
  </si>
  <si>
    <t>Rebalancer</t>
  </si>
  <si>
    <t>FetchAccountPositions</t>
  </si>
  <si>
    <t>AddCash</t>
  </si>
  <si>
    <t>RunRebalance</t>
  </si>
  <si>
    <t>SendtoStaging</t>
  </si>
  <si>
    <t>RebalanceAcrossSecurities</t>
  </si>
  <si>
    <t>BPS</t>
  </si>
  <si>
    <t>FRU-TC</t>
  </si>
  <si>
    <t>ModifyRebalance</t>
  </si>
  <si>
    <t>Yes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</si>
  <si>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</si>
  <si>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</si>
  <si>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</si>
  <si>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</si>
  <si>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</si>
  <si>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</si>
  <si>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</si>
  <si>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</si>
  <si>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NONE</t>
  </si>
  <si>
    <t>NewMF1</t>
  </si>
  <si>
    <t>M</t>
  </si>
  <si>
    <t>Equity</t>
  </si>
  <si>
    <t>New</t>
  </si>
  <si>
    <t>MS</t>
  </si>
  <si>
    <t>Market</t>
  </si>
  <si>
    <t>Manual</t>
  </si>
  <si>
    <t>FIX</t>
  </si>
  <si>
    <t>FRU CN EQUITY</t>
  </si>
  <si>
    <t>CAD</t>
  </si>
  <si>
    <t>NewMF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</si>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</sst>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>
      <c r="A849" t="str">
        <f>IFERROR(__xludf.DUMMYFUNCTION("""COMPUTED_VALUE"""),"Simulator")</f>
        <v>Simulator</v>
      </c>
      <c r="B849" t="str">
        <f>IFERROR(__xludf.DUMMYFUNCTION("""COMPUTED_VALUE"""),"SaveTradeData")</f>
        <v>SaveTradeData</v>
      </c>
      <c r="C849" t="str">
        <f>IFERROR(__xludf.DUMMYFUNCTION("""COMPUTED_VALUE"""),"1QHe0AIblQSvVdFFnG3QZlYyVQWaiS1Idy_TPgdNyIjI")</f>
        <v>1QHe0AIblQSvVdFFnG3QZlYyVQWaiS1Idy_TPgdNyIjI</v>
      </c>
    </row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150.0</v>
      </c>
      <c r="E7" s="8"/>
      <c r="F7" s="8"/>
      <c r="G7" s="8"/>
      <c r="H7" s="8"/>
      <c r="I7" s="8"/>
      <c r="J7" s="13">
        <v>5.0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45915</v>
      </c>
      <c r="C6" s="33">
        <f>TODAY()</f>
        <v>45916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25</v>
      </c>
      <c r="C7" s="13" t="s">
        <v>24</v>
      </c>
      <c r="D7" s="13">
        <v>10000.0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100000.0</v>
      </c>
      <c r="C6" s="13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23</v>
      </c>
      <c r="C6" s="34" t="s">
        <v>17</v>
      </c>
      <c r="D6" s="34" t="s">
        <v>16</v>
      </c>
      <c r="E6" s="35">
        <v>1000.0</v>
      </c>
      <c r="F6" s="35">
        <v>10.0</v>
      </c>
      <c r="G6" s="36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23</v>
      </c>
      <c r="C7" s="34" t="s">
        <v>17</v>
      </c>
      <c r="D7" s="34" t="s">
        <v>18</v>
      </c>
      <c r="E7" s="35">
        <v>1500.0</v>
      </c>
      <c r="F7" s="35">
        <v>5.0</v>
      </c>
      <c r="G7" s="36">
        <v>7500.0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 t="str">
        <f>IFERROR(__xludf.DUMMYFUNCTION("""COMPUTED_VALUE"""),"SetCashTarget")</f>
        <v>SetCashTarget</v>
      </c>
      <c r="N5" s="28" t="str">
        <f>IFERROR(__xludf.DUMMYFUNCTION("""COMPUTED_VALUE"""),"SetCashTarget%")</f>
        <v>SetCashTarget%</v>
      </c>
      <c r="O5" s="28" t="str">
        <f>IFERROR(__xludf.DUMMYFUNCTION("""COMPUTED_VALUE"""),"SellToRaiseCashAndSetCashTarget")</f>
        <v>SellToRaiseCashAndSetCashTarget</v>
      </c>
      <c r="P5" s="28" t="str">
        <f>IFERROR(__xludf.DUMMYFUNCTION("""COMPUTED_VALUE"""),"AllowNegCashAndSetCashTarget")</f>
        <v>AllowNegCashAndSetCashTarget</v>
      </c>
      <c r="Q5" s="28" t="str">
        <f>IFERROR(__xludf.DUMMYFUNCTION("""COMPUTED_VALUE"""),"DisableCT")</f>
        <v>DisableCT</v>
      </c>
      <c r="R5" s="28" t="str">
        <f>IFERROR(__xludf.DUMMYFUNCTION("""COMPUTED_VALUE"""),"AllowNegCashAndSellToRaise")</f>
        <v>AllowNegCashAndSellToRaise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2500.0</v>
      </c>
      <c r="E6" s="31"/>
      <c r="F6" s="8"/>
      <c r="G6" s="8"/>
      <c r="H6" s="8"/>
      <c r="I6" s="8"/>
      <c r="J6" s="13">
        <v>10.0</v>
      </c>
      <c r="K6" s="8"/>
      <c r="L6" s="13" t="s">
        <v>32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25</v>
      </c>
      <c r="C6" s="34" t="s">
        <v>17</v>
      </c>
      <c r="D6" s="34" t="s">
        <v>16</v>
      </c>
      <c r="E6" s="35">
        <v>250.0</v>
      </c>
      <c r="F6" s="35">
        <v>10.0</v>
      </c>
      <c r="G6" s="36">
        <v>2500.0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 t="str">
        <f>IFERROR(__xludf.DUMMYFUNCTION("""COMPUTED_VALUE"""),"SetCashTarget")</f>
        <v>SetCashTarget</v>
      </c>
      <c r="N5" s="28" t="str">
        <f>IFERROR(__xludf.DUMMYFUNCTION("""COMPUTED_VALUE"""),"SetCashTarget%")</f>
        <v>SetCashTarget%</v>
      </c>
      <c r="O5" s="28" t="str">
        <f>IFERROR(__xludf.DUMMYFUNCTION("""COMPUTED_VALUE"""),"SellToRaiseCashAndSetCashTarget")</f>
        <v>SellToRaiseCashAndSetCashTarget</v>
      </c>
      <c r="P5" s="28" t="str">
        <f>IFERROR(__xludf.DUMMYFUNCTION("""COMPUTED_VALUE"""),"AllowNegCashAndSetCashTarget")</f>
        <v>AllowNegCashAndSetCashTarget</v>
      </c>
      <c r="Q5" s="28" t="str">
        <f>IFERROR(__xludf.DUMMYFUNCTION("""COMPUTED_VALUE"""),"DisableCT")</f>
        <v>DisableCT</v>
      </c>
      <c r="R5" s="28" t="str">
        <f>IFERROR(__xludf.DUMMYFUNCTION("""COMPUTED_VALUE"""),"AllowNegCashAndSellToRaise")</f>
        <v>AllowNegCashAndSellToRaise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>
        <v>2500.0</v>
      </c>
      <c r="E6" s="31"/>
      <c r="F6" s="8"/>
      <c r="G6" s="8"/>
      <c r="H6" s="8"/>
      <c r="I6" s="8"/>
      <c r="J6" s="13">
        <v>10.0</v>
      </c>
      <c r="K6" s="13"/>
      <c r="L6" s="13" t="s">
        <v>32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IFERROR(__xludf.DUMMYFUNCTION("""COMPUTED_VALUE"""),"Modify Rebalance")</f>
        <v>Modify Rebalance</v>
      </c>
      <c r="C5" s="28" t="str">
        <f>IFERROR(__xludf.DUMMYFUNCTION("""COMPUTED_VALUE"""),"AllowNegCash")</f>
        <v>AllowNegCash</v>
      </c>
      <c r="D5" s="28" t="str">
        <f>IFERROR(__xludf.DUMMYFUNCTION("""COMPUTED_VALUE"""),"SellToRaiseCash")</f>
        <v>SellToRaiseCash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25</v>
      </c>
      <c r="C6" s="34" t="s">
        <v>17</v>
      </c>
      <c r="D6" s="34" t="s">
        <v>16</v>
      </c>
      <c r="E6" s="35">
        <v>250.0</v>
      </c>
      <c r="F6" s="35">
        <v>10.0</v>
      </c>
      <c r="G6" s="36">
        <v>2500.0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25</v>
      </c>
      <c r="C7" s="34" t="s">
        <v>17</v>
      </c>
      <c r="D7" s="34" t="s">
        <v>33</v>
      </c>
      <c r="E7" s="35">
        <v>250.0</v>
      </c>
      <c r="F7" s="35">
        <v>10.0</v>
      </c>
      <c r="G7" s="36">
        <v>2500.0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38</v>
      </c>
      <c r="B6" s="37"/>
      <c r="C6" s="8"/>
      <c r="D6" s="37">
        <v>10.0</v>
      </c>
      <c r="E6" s="8" t="s">
        <v>39</v>
      </c>
      <c r="F6" s="8"/>
      <c r="G6" s="8"/>
      <c r="H6" s="8" t="s">
        <v>40</v>
      </c>
      <c r="I6" s="8" t="s">
        <v>41</v>
      </c>
      <c r="J6" s="8" t="s">
        <v>16</v>
      </c>
      <c r="K6" s="8" t="s">
        <v>42</v>
      </c>
      <c r="L6" s="8" t="s">
        <v>43</v>
      </c>
      <c r="M6" s="8"/>
      <c r="N6" s="8"/>
      <c r="O6" s="8"/>
      <c r="U6" t="s">
        <v>24</v>
      </c>
      <c r="V6" t="s">
        <v>44</v>
      </c>
      <c r="AA6" t="s">
        <v>45</v>
      </c>
      <c r="AD6">
        <v>1.0</v>
      </c>
      <c r="AF6" t="s">
        <v>46</v>
      </c>
      <c r="AH6" t="s">
        <v>47</v>
      </c>
      <c r="AI6" t="s">
        <v>16</v>
      </c>
      <c r="AJ6" t="s">
        <v>17</v>
      </c>
      <c r="AK6" t="s">
        <v>48</v>
      </c>
      <c r="AL6">
        <v>250.0</v>
      </c>
      <c r="AP6">
        <v>250.0</v>
      </c>
      <c r="AQ6">
        <v>10.0</v>
      </c>
      <c r="AR6">
        <v>10.0</v>
      </c>
      <c r="AS6" t="s">
        <v>49</v>
      </c>
      <c r="AT6" t="s">
        <v>25</v>
      </c>
      <c r="AU6" t="s">
        <v>50</v>
      </c>
      <c r="AX6" t="s">
        <v>51</v>
      </c>
      <c r="AY6">
        <v>250.0</v>
      </c>
      <c r="AZ6">
        <v>250.0</v>
      </c>
      <c r="BA6" t="s">
        <v>41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52</v>
      </c>
      <c r="BH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</row>
    <row r="7" ht="15.75" customHeight="1">
      <c r="A7" s="8" t="s">
        <v>38</v>
      </c>
      <c r="B7" s="8"/>
      <c r="C7" s="8"/>
      <c r="D7" s="8">
        <v>10.0</v>
      </c>
      <c r="E7" s="8" t="s">
        <v>39</v>
      </c>
      <c r="F7" s="8"/>
      <c r="G7" s="8"/>
      <c r="H7" s="8" t="s">
        <v>40</v>
      </c>
      <c r="I7" s="8" t="s">
        <v>41</v>
      </c>
      <c r="J7" s="8" t="s">
        <v>16</v>
      </c>
      <c r="K7" s="8" t="s">
        <v>42</v>
      </c>
      <c r="L7" s="8" t="s">
        <v>43</v>
      </c>
      <c r="M7" s="8"/>
      <c r="N7" s="8"/>
      <c r="O7" s="8"/>
      <c r="U7" t="s">
        <v>24</v>
      </c>
      <c r="V7" t="s">
        <v>44</v>
      </c>
      <c r="AA7" t="s">
        <v>45</v>
      </c>
      <c r="AD7">
        <v>1.0</v>
      </c>
      <c r="AF7" t="s">
        <v>46</v>
      </c>
      <c r="AH7" t="s">
        <v>47</v>
      </c>
      <c r="AI7" t="s">
        <v>16</v>
      </c>
      <c r="AJ7" t="s">
        <v>17</v>
      </c>
      <c r="AK7" t="s">
        <v>48</v>
      </c>
      <c r="AL7">
        <v>250.0</v>
      </c>
      <c r="AP7">
        <v>250.0</v>
      </c>
      <c r="AQ7">
        <v>10.0</v>
      </c>
      <c r="AR7">
        <v>10.0</v>
      </c>
      <c r="AS7" t="s">
        <v>49</v>
      </c>
      <c r="AT7" t="s">
        <v>25</v>
      </c>
      <c r="AU7" t="s">
        <v>50</v>
      </c>
      <c r="AX7" t="s">
        <v>51</v>
      </c>
      <c r="AY7">
        <v>250.0</v>
      </c>
      <c r="AZ7">
        <v>250.0</v>
      </c>
      <c r="BA7" t="s">
        <v>41</v>
      </c>
      <c r="BB7" t="s">
        <v>38</v>
      </c>
      <c r="BC7" t="s">
        <v>38</v>
      </c>
      <c r="BD7" t="s">
        <v>38</v>
      </c>
      <c r="BE7" t="s">
        <v>38</v>
      </c>
      <c r="BF7" t="s">
        <v>38</v>
      </c>
      <c r="BG7" t="s">
        <v>52</v>
      </c>
      <c r="BH7" t="s">
        <v>38</v>
      </c>
      <c r="BK7" t="s">
        <v>38</v>
      </c>
      <c r="BL7" t="s">
        <v>38</v>
      </c>
      <c r="BM7" t="s">
        <v>38</v>
      </c>
      <c r="BN7" t="s">
        <v>38</v>
      </c>
      <c r="BO7" t="s">
        <v>38</v>
      </c>
      <c r="BP7" t="s">
        <v>38</v>
      </c>
      <c r="BQ7" t="s">
        <v>38</v>
      </c>
      <c r="BR7" t="s">
        <v>38</v>
      </c>
      <c r="BS7" t="s">
        <v>38</v>
      </c>
      <c r="BT7" t="s">
        <v>38</v>
      </c>
      <c r="BU7" t="s">
        <v>38</v>
      </c>
      <c r="BV7" t="s">
        <v>38</v>
      </c>
      <c r="BW7" t="s">
        <v>38</v>
      </c>
      <c r="BX7" t="s">
        <v>38</v>
      </c>
      <c r="BY7" t="s">
        <v>38</v>
      </c>
      <c r="BZ7" t="s">
        <v>38</v>
      </c>
      <c r="CA7" t="s">
        <v>38</v>
      </c>
      <c r="CB7" t="s">
        <v>38</v>
      </c>
      <c r="CC7" t="s">
        <v>38</v>
      </c>
      <c r="CD7" t="s">
        <v>38</v>
      </c>
      <c r="CE7" t="s">
        <v>38</v>
      </c>
      <c r="CF7" t="s">
        <v>38</v>
      </c>
      <c r="CG7" t="s">
        <v>38</v>
      </c>
      <c r="CH7" t="s">
        <v>38</v>
      </c>
      <c r="CI7" t="s">
        <v>38</v>
      </c>
      <c r="CJ7" t="s">
        <v>38</v>
      </c>
      <c r="CK7" t="s">
        <v>38</v>
      </c>
      <c r="CL7" t="s">
        <v>38</v>
      </c>
      <c r="CM7" t="s">
        <v>38</v>
      </c>
      <c r="CN7" t="s">
        <v>38</v>
      </c>
      <c r="CO7" t="s">
        <v>38</v>
      </c>
      <c r="CP7" t="s">
        <v>38</v>
      </c>
      <c r="CQ7" t="s">
        <v>38</v>
      </c>
      <c r="CR7" t="s">
        <v>38</v>
      </c>
      <c r="CS7" t="s">
        <v>38</v>
      </c>
      <c r="CT7" t="s">
        <v>38</v>
      </c>
      <c r="CU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EY7" t="s">
        <v>38</v>
      </c>
      <c r="EZ7" t="s">
        <v>38</v>
      </c>
      <c r="FA7" t="s">
        <v>38</v>
      </c>
      <c r="FB7" t="s">
        <v>38</v>
      </c>
      <c r="FC7" t="s">
        <v>38</v>
      </c>
      <c r="FD7" t="s">
        <v>38</v>
      </c>
      <c r="FE7" t="s">
        <v>38</v>
      </c>
      <c r="FF7" t="s">
        <v>38</v>
      </c>
      <c r="FG7" t="s">
        <v>38</v>
      </c>
      <c r="FH7" t="s">
        <v>38</v>
      </c>
      <c r="FI7" t="s">
        <v>38</v>
      </c>
      <c r="FJ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</row>
    <row r="8" ht="15.75" customHeight="1">
      <c r="A8" s="8" t="s">
        <v>38</v>
      </c>
      <c r="B8" s="8"/>
      <c r="C8" s="8"/>
      <c r="D8" s="8">
        <v>10.0</v>
      </c>
      <c r="E8" s="8" t="s">
        <v>53</v>
      </c>
      <c r="F8" s="8"/>
      <c r="G8" s="8"/>
      <c r="H8" s="8" t="s">
        <v>40</v>
      </c>
      <c r="I8" s="8" t="s">
        <v>41</v>
      </c>
      <c r="J8" s="8" t="s">
        <v>33</v>
      </c>
      <c r="K8" s="8" t="s">
        <v>42</v>
      </c>
      <c r="L8" s="8" t="s">
        <v>43</v>
      </c>
      <c r="M8" s="8"/>
      <c r="N8" s="8"/>
      <c r="O8" s="8"/>
      <c r="U8" t="s">
        <v>54</v>
      </c>
      <c r="V8" t="s">
        <v>44</v>
      </c>
      <c r="AA8" t="s">
        <v>45</v>
      </c>
      <c r="AD8">
        <v>1.0</v>
      </c>
      <c r="AF8" t="s">
        <v>46</v>
      </c>
      <c r="AH8" t="s">
        <v>47</v>
      </c>
      <c r="AI8" t="s">
        <v>33</v>
      </c>
      <c r="AJ8" t="s">
        <v>17</v>
      </c>
      <c r="AK8" t="s">
        <v>48</v>
      </c>
      <c r="AL8">
        <v>250.0</v>
      </c>
      <c r="AP8">
        <v>250.0</v>
      </c>
      <c r="AQ8">
        <v>10.0</v>
      </c>
      <c r="AR8">
        <v>10.0</v>
      </c>
      <c r="AS8" t="s">
        <v>49</v>
      </c>
      <c r="AT8" t="s">
        <v>25</v>
      </c>
      <c r="AU8" t="s">
        <v>50</v>
      </c>
      <c r="AX8" t="s">
        <v>51</v>
      </c>
      <c r="AY8">
        <v>250.0</v>
      </c>
      <c r="AZ8">
        <v>250.0</v>
      </c>
      <c r="BA8" t="s">
        <v>41</v>
      </c>
      <c r="BB8" t="s">
        <v>38</v>
      </c>
      <c r="BC8" t="s">
        <v>38</v>
      </c>
      <c r="BD8" t="s">
        <v>38</v>
      </c>
      <c r="BE8" t="s">
        <v>38</v>
      </c>
      <c r="BF8" t="s">
        <v>38</v>
      </c>
      <c r="BG8" t="s">
        <v>52</v>
      </c>
      <c r="BH8" t="s">
        <v>38</v>
      </c>
      <c r="BK8" t="s">
        <v>38</v>
      </c>
      <c r="BL8" t="s">
        <v>38</v>
      </c>
      <c r="BM8" t="s">
        <v>38</v>
      </c>
      <c r="BN8" t="s">
        <v>38</v>
      </c>
      <c r="BO8" t="s">
        <v>38</v>
      </c>
      <c r="BP8" t="s">
        <v>38</v>
      </c>
      <c r="BQ8" t="s">
        <v>38</v>
      </c>
      <c r="BR8" t="s">
        <v>38</v>
      </c>
      <c r="BS8" t="s">
        <v>38</v>
      </c>
      <c r="BT8" t="s">
        <v>38</v>
      </c>
      <c r="BU8" t="s">
        <v>38</v>
      </c>
      <c r="BV8" t="s">
        <v>38</v>
      </c>
      <c r="BW8" t="s">
        <v>38</v>
      </c>
      <c r="BX8" t="s">
        <v>38</v>
      </c>
      <c r="BY8" t="s">
        <v>38</v>
      </c>
      <c r="BZ8" t="s">
        <v>38</v>
      </c>
      <c r="CA8" t="s">
        <v>38</v>
      </c>
      <c r="CB8" t="s">
        <v>38</v>
      </c>
      <c r="CC8" t="s">
        <v>38</v>
      </c>
      <c r="CD8" t="s">
        <v>38</v>
      </c>
      <c r="CE8" t="s">
        <v>38</v>
      </c>
      <c r="CF8" t="s">
        <v>38</v>
      </c>
      <c r="CG8" t="s">
        <v>38</v>
      </c>
      <c r="CH8" t="s">
        <v>38</v>
      </c>
      <c r="CI8" t="s">
        <v>38</v>
      </c>
      <c r="CJ8" t="s">
        <v>38</v>
      </c>
      <c r="CK8" t="s">
        <v>38</v>
      </c>
      <c r="CL8" t="s">
        <v>38</v>
      </c>
      <c r="CM8" t="s">
        <v>38</v>
      </c>
      <c r="CN8" t="s">
        <v>38</v>
      </c>
      <c r="CO8" t="s">
        <v>38</v>
      </c>
      <c r="CP8" t="s">
        <v>38</v>
      </c>
      <c r="CQ8" t="s">
        <v>38</v>
      </c>
      <c r="CR8" t="s">
        <v>38</v>
      </c>
      <c r="CS8" t="s">
        <v>38</v>
      </c>
      <c r="CT8" t="s">
        <v>38</v>
      </c>
      <c r="CU8" t="s">
        <v>38</v>
      </c>
      <c r="CV8" t="s">
        <v>38</v>
      </c>
      <c r="CW8" t="s">
        <v>38</v>
      </c>
      <c r="CX8" t="s">
        <v>38</v>
      </c>
      <c r="CY8" t="s">
        <v>38</v>
      </c>
      <c r="CZ8" t="s">
        <v>38</v>
      </c>
      <c r="DA8" t="s">
        <v>38</v>
      </c>
      <c r="DB8" t="s">
        <v>38</v>
      </c>
      <c r="DC8" t="s">
        <v>38</v>
      </c>
      <c r="DD8" t="s">
        <v>38</v>
      </c>
      <c r="DE8" t="s">
        <v>38</v>
      </c>
      <c r="DF8" t="s">
        <v>38</v>
      </c>
      <c r="DG8" t="s">
        <v>38</v>
      </c>
      <c r="DH8" t="s">
        <v>38</v>
      </c>
      <c r="DI8" t="s">
        <v>38</v>
      </c>
      <c r="DJ8" t="s">
        <v>38</v>
      </c>
      <c r="DK8" t="s">
        <v>38</v>
      </c>
      <c r="DL8" t="s">
        <v>38</v>
      </c>
      <c r="DM8" t="s">
        <v>38</v>
      </c>
      <c r="DN8" t="s">
        <v>38</v>
      </c>
      <c r="DO8" t="s">
        <v>38</v>
      </c>
      <c r="DP8" t="s">
        <v>38</v>
      </c>
      <c r="DQ8" t="s">
        <v>38</v>
      </c>
      <c r="DR8" t="s">
        <v>38</v>
      </c>
      <c r="DS8" t="s">
        <v>38</v>
      </c>
      <c r="DT8" t="s">
        <v>38</v>
      </c>
      <c r="DU8" t="s">
        <v>38</v>
      </c>
      <c r="DV8" t="s">
        <v>38</v>
      </c>
      <c r="DW8" t="s">
        <v>38</v>
      </c>
      <c r="DX8" t="s">
        <v>38</v>
      </c>
      <c r="DY8" t="s">
        <v>38</v>
      </c>
      <c r="DZ8" t="s">
        <v>38</v>
      </c>
      <c r="EA8" t="s">
        <v>38</v>
      </c>
      <c r="EB8" t="s">
        <v>38</v>
      </c>
      <c r="EC8" t="s">
        <v>38</v>
      </c>
      <c r="ED8" t="s">
        <v>38</v>
      </c>
      <c r="EE8" t="s">
        <v>38</v>
      </c>
      <c r="EF8" t="s">
        <v>38</v>
      </c>
      <c r="EG8" t="s">
        <v>38</v>
      </c>
      <c r="EH8" t="s">
        <v>38</v>
      </c>
      <c r="EI8" t="s">
        <v>38</v>
      </c>
      <c r="EJ8" t="s">
        <v>38</v>
      </c>
      <c r="EK8" t="s">
        <v>38</v>
      </c>
      <c r="EL8" t="s">
        <v>38</v>
      </c>
      <c r="EM8" t="s">
        <v>38</v>
      </c>
      <c r="EN8" t="s">
        <v>38</v>
      </c>
      <c r="EO8" t="s">
        <v>38</v>
      </c>
      <c r="EP8" t="s">
        <v>38</v>
      </c>
      <c r="EQ8" t="s">
        <v>38</v>
      </c>
      <c r="ER8" t="s">
        <v>38</v>
      </c>
      <c r="ES8" t="s">
        <v>38</v>
      </c>
      <c r="ET8" t="s">
        <v>38</v>
      </c>
      <c r="EU8" t="s">
        <v>38</v>
      </c>
      <c r="EV8" t="s">
        <v>38</v>
      </c>
      <c r="EW8" t="s">
        <v>38</v>
      </c>
      <c r="EX8" t="s">
        <v>38</v>
      </c>
      <c r="EY8" t="s">
        <v>38</v>
      </c>
      <c r="EZ8" t="s">
        <v>38</v>
      </c>
      <c r="FA8" t="s">
        <v>38</v>
      </c>
      <c r="FB8" t="s">
        <v>38</v>
      </c>
      <c r="FC8" t="s">
        <v>38</v>
      </c>
      <c r="FD8" t="s">
        <v>38</v>
      </c>
      <c r="FE8" t="s">
        <v>38</v>
      </c>
      <c r="FF8" t="s">
        <v>38</v>
      </c>
      <c r="FG8" t="s">
        <v>38</v>
      </c>
      <c r="FH8" t="s">
        <v>38</v>
      </c>
      <c r="FI8" t="s">
        <v>38</v>
      </c>
      <c r="FJ8" t="s">
        <v>38</v>
      </c>
      <c r="FK8" t="s">
        <v>38</v>
      </c>
      <c r="FL8" t="s">
        <v>38</v>
      </c>
      <c r="FM8" t="s">
        <v>38</v>
      </c>
      <c r="FN8" t="s">
        <v>38</v>
      </c>
      <c r="FO8" t="s">
        <v>38</v>
      </c>
      <c r="FP8" t="s">
        <v>38</v>
      </c>
      <c r="FQ8" t="s">
        <v>38</v>
      </c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</row>
    <row r="9" ht="15.75" customHeight="1">
      <c r="A9" s="8" t="s">
        <v>38</v>
      </c>
      <c r="B9" s="8"/>
      <c r="C9" s="8"/>
      <c r="D9" s="8">
        <v>10.0</v>
      </c>
      <c r="E9" s="8" t="s">
        <v>39</v>
      </c>
      <c r="F9" s="8"/>
      <c r="G9" s="8"/>
      <c r="H9" s="8" t="s">
        <v>40</v>
      </c>
      <c r="I9" s="8" t="s">
        <v>41</v>
      </c>
      <c r="J9" s="8" t="s">
        <v>16</v>
      </c>
      <c r="K9" s="8" t="s">
        <v>42</v>
      </c>
      <c r="L9" s="8" t="s">
        <v>43</v>
      </c>
      <c r="M9" s="8"/>
      <c r="N9" s="8"/>
      <c r="O9" s="8"/>
      <c r="U9" t="s">
        <v>24</v>
      </c>
      <c r="V9" t="s">
        <v>44</v>
      </c>
      <c r="AA9" t="s">
        <v>55</v>
      </c>
      <c r="AD9">
        <v>1.0</v>
      </c>
      <c r="AF9" t="s">
        <v>46</v>
      </c>
      <c r="AH9" t="s">
        <v>47</v>
      </c>
      <c r="AI9" t="s">
        <v>16</v>
      </c>
      <c r="AJ9" t="s">
        <v>17</v>
      </c>
      <c r="AK9" t="s">
        <v>48</v>
      </c>
      <c r="AL9">
        <v>1000.0</v>
      </c>
      <c r="AP9">
        <v>1000.0</v>
      </c>
      <c r="AQ9">
        <v>10.0</v>
      </c>
      <c r="AR9">
        <v>10.0</v>
      </c>
      <c r="AS9" t="s">
        <v>49</v>
      </c>
      <c r="AT9" t="s">
        <v>23</v>
      </c>
      <c r="AU9" t="s">
        <v>50</v>
      </c>
      <c r="AX9" t="s">
        <v>51</v>
      </c>
      <c r="AY9">
        <v>1000.0</v>
      </c>
      <c r="AZ9">
        <v>1000.0</v>
      </c>
      <c r="BA9" t="s">
        <v>41</v>
      </c>
      <c r="BB9" t="s">
        <v>38</v>
      </c>
      <c r="BC9" t="s">
        <v>38</v>
      </c>
      <c r="BD9" t="s">
        <v>38</v>
      </c>
      <c r="BE9" t="s">
        <v>38</v>
      </c>
      <c r="BF9" t="s">
        <v>38</v>
      </c>
      <c r="BG9" t="s">
        <v>52</v>
      </c>
      <c r="BH9" t="s">
        <v>38</v>
      </c>
      <c r="BK9" t="s">
        <v>38</v>
      </c>
      <c r="BL9" t="s">
        <v>38</v>
      </c>
      <c r="BM9" t="s">
        <v>38</v>
      </c>
      <c r="BN9" t="s">
        <v>38</v>
      </c>
      <c r="BO9" t="s">
        <v>38</v>
      </c>
      <c r="BP9" t="s">
        <v>38</v>
      </c>
      <c r="BQ9" t="s">
        <v>38</v>
      </c>
      <c r="BR9" t="s">
        <v>38</v>
      </c>
      <c r="BS9" t="s">
        <v>38</v>
      </c>
      <c r="BT9" t="s">
        <v>38</v>
      </c>
      <c r="BU9" t="s">
        <v>38</v>
      </c>
      <c r="BV9" t="s">
        <v>38</v>
      </c>
      <c r="BW9" t="s">
        <v>38</v>
      </c>
      <c r="BX9" t="s">
        <v>38</v>
      </c>
      <c r="BY9" t="s">
        <v>38</v>
      </c>
      <c r="BZ9" t="s">
        <v>38</v>
      </c>
      <c r="CA9" t="s">
        <v>38</v>
      </c>
      <c r="CB9" t="s">
        <v>38</v>
      </c>
      <c r="CC9" t="s">
        <v>38</v>
      </c>
      <c r="CD9" t="s">
        <v>38</v>
      </c>
      <c r="CE9" t="s">
        <v>38</v>
      </c>
      <c r="CF9" t="s">
        <v>38</v>
      </c>
      <c r="CG9" t="s">
        <v>38</v>
      </c>
      <c r="CH9" t="s">
        <v>38</v>
      </c>
      <c r="CI9" t="s">
        <v>38</v>
      </c>
      <c r="CJ9" t="s">
        <v>38</v>
      </c>
      <c r="CK9" t="s">
        <v>38</v>
      </c>
      <c r="CL9" t="s">
        <v>38</v>
      </c>
      <c r="CM9" t="s">
        <v>38</v>
      </c>
      <c r="CN9" t="s">
        <v>38</v>
      </c>
      <c r="CO9" t="s">
        <v>38</v>
      </c>
      <c r="CP9" t="s">
        <v>38</v>
      </c>
      <c r="CQ9" t="s">
        <v>38</v>
      </c>
      <c r="CR9" t="s">
        <v>38</v>
      </c>
      <c r="CS9" t="s">
        <v>38</v>
      </c>
      <c r="CT9" t="s">
        <v>38</v>
      </c>
      <c r="CU9" t="s">
        <v>38</v>
      </c>
      <c r="CV9" t="s">
        <v>38</v>
      </c>
      <c r="CW9" t="s">
        <v>38</v>
      </c>
      <c r="CX9" t="s">
        <v>38</v>
      </c>
      <c r="CY9" t="s">
        <v>38</v>
      </c>
      <c r="CZ9" t="s">
        <v>38</v>
      </c>
      <c r="DA9" t="s">
        <v>38</v>
      </c>
      <c r="DB9" t="s">
        <v>38</v>
      </c>
      <c r="DC9" t="s">
        <v>38</v>
      </c>
      <c r="DD9" t="s">
        <v>38</v>
      </c>
      <c r="DE9" t="s">
        <v>38</v>
      </c>
      <c r="DF9" t="s">
        <v>38</v>
      </c>
      <c r="DG9" t="s">
        <v>38</v>
      </c>
      <c r="DH9" t="s">
        <v>38</v>
      </c>
      <c r="DI9" t="s">
        <v>38</v>
      </c>
      <c r="DJ9" t="s">
        <v>38</v>
      </c>
      <c r="DK9" t="s">
        <v>38</v>
      </c>
      <c r="DL9" t="s">
        <v>38</v>
      </c>
      <c r="DM9" t="s">
        <v>38</v>
      </c>
      <c r="DN9" t="s">
        <v>38</v>
      </c>
      <c r="DO9" t="s">
        <v>38</v>
      </c>
      <c r="DP9" t="s">
        <v>38</v>
      </c>
      <c r="DQ9" t="s">
        <v>38</v>
      </c>
      <c r="DR9" t="s">
        <v>38</v>
      </c>
      <c r="DS9" t="s">
        <v>38</v>
      </c>
      <c r="DT9" t="s">
        <v>38</v>
      </c>
      <c r="DU9" t="s">
        <v>38</v>
      </c>
      <c r="DV9" t="s">
        <v>38</v>
      </c>
      <c r="DW9" t="s">
        <v>38</v>
      </c>
      <c r="DX9" t="s">
        <v>38</v>
      </c>
      <c r="DY9" t="s">
        <v>38</v>
      </c>
      <c r="DZ9" t="s">
        <v>38</v>
      </c>
      <c r="EA9" t="s">
        <v>38</v>
      </c>
      <c r="EB9" t="s">
        <v>38</v>
      </c>
      <c r="EC9" t="s">
        <v>38</v>
      </c>
      <c r="ED9" t="s">
        <v>38</v>
      </c>
      <c r="EE9" t="s">
        <v>38</v>
      </c>
      <c r="EF9" t="s">
        <v>38</v>
      </c>
      <c r="EG9" t="s">
        <v>38</v>
      </c>
      <c r="EH9" t="s">
        <v>38</v>
      </c>
      <c r="EI9" t="s">
        <v>38</v>
      </c>
      <c r="EJ9" t="s">
        <v>38</v>
      </c>
      <c r="EK9" t="s">
        <v>38</v>
      </c>
      <c r="EL9" t="s">
        <v>38</v>
      </c>
      <c r="EM9" t="s">
        <v>38</v>
      </c>
      <c r="EN9" t="s">
        <v>38</v>
      </c>
      <c r="EO9" t="s">
        <v>38</v>
      </c>
      <c r="EP9" t="s">
        <v>38</v>
      </c>
      <c r="EQ9" t="s">
        <v>38</v>
      </c>
      <c r="ER9" t="s">
        <v>38</v>
      </c>
      <c r="ES9" t="s">
        <v>38</v>
      </c>
      <c r="ET9" t="s">
        <v>38</v>
      </c>
      <c r="EU9" t="s">
        <v>38</v>
      </c>
      <c r="EV9" t="s">
        <v>38</v>
      </c>
      <c r="EW9" t="s">
        <v>38</v>
      </c>
      <c r="EX9" t="s">
        <v>38</v>
      </c>
      <c r="EY9" t="s">
        <v>38</v>
      </c>
      <c r="EZ9" t="s">
        <v>38</v>
      </c>
      <c r="FA9" t="s">
        <v>38</v>
      </c>
      <c r="FB9" t="s">
        <v>38</v>
      </c>
      <c r="FC9" t="s">
        <v>38</v>
      </c>
      <c r="FD9" t="s">
        <v>38</v>
      </c>
      <c r="FE9" t="s">
        <v>38</v>
      </c>
      <c r="FF9" t="s">
        <v>38</v>
      </c>
      <c r="FG9" t="s">
        <v>38</v>
      </c>
      <c r="FH9" t="s">
        <v>38</v>
      </c>
      <c r="FI9" t="s">
        <v>38</v>
      </c>
      <c r="FJ9" t="s">
        <v>38</v>
      </c>
      <c r="FK9" t="s">
        <v>38</v>
      </c>
      <c r="FL9" t="s">
        <v>38</v>
      </c>
      <c r="FM9" t="s">
        <v>38</v>
      </c>
      <c r="FN9" t="s">
        <v>38</v>
      </c>
      <c r="FO9" t="s">
        <v>38</v>
      </c>
      <c r="FP9" t="s">
        <v>38</v>
      </c>
      <c r="FQ9" t="s">
        <v>38</v>
      </c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</row>
    <row r="10" ht="15.75" customHeight="1">
      <c r="A10" s="8" t="s">
        <v>38</v>
      </c>
      <c r="B10" s="8"/>
      <c r="C10" s="8"/>
      <c r="D10" s="8">
        <v>5.0</v>
      </c>
      <c r="E10" s="8" t="s">
        <v>56</v>
      </c>
      <c r="F10" s="8"/>
      <c r="G10" s="8"/>
      <c r="H10" s="8" t="s">
        <v>40</v>
      </c>
      <c r="I10" s="8" t="s">
        <v>41</v>
      </c>
      <c r="J10" s="8" t="s">
        <v>18</v>
      </c>
      <c r="K10" s="8" t="s">
        <v>42</v>
      </c>
      <c r="L10" s="8" t="s">
        <v>43</v>
      </c>
      <c r="M10" s="8"/>
      <c r="N10" s="8"/>
      <c r="O10" s="8"/>
      <c r="U10" t="s">
        <v>24</v>
      </c>
      <c r="V10" t="s">
        <v>44</v>
      </c>
      <c r="AA10" t="s">
        <v>55</v>
      </c>
      <c r="AD10">
        <v>1.0</v>
      </c>
      <c r="AF10" t="s">
        <v>46</v>
      </c>
      <c r="AH10" t="s">
        <v>47</v>
      </c>
      <c r="AI10" t="s">
        <v>18</v>
      </c>
      <c r="AJ10" t="s">
        <v>17</v>
      </c>
      <c r="AK10" t="s">
        <v>48</v>
      </c>
      <c r="AL10">
        <v>1500.0</v>
      </c>
      <c r="AP10">
        <v>1500.0</v>
      </c>
      <c r="AQ10">
        <v>5.0</v>
      </c>
      <c r="AR10">
        <v>5.0</v>
      </c>
      <c r="AS10" t="s">
        <v>49</v>
      </c>
      <c r="AT10" t="s">
        <v>23</v>
      </c>
      <c r="AU10" t="s">
        <v>50</v>
      </c>
      <c r="AX10" t="s">
        <v>51</v>
      </c>
      <c r="AY10">
        <v>1500.0</v>
      </c>
      <c r="AZ10">
        <v>1500.0</v>
      </c>
      <c r="BA10" t="s">
        <v>41</v>
      </c>
      <c r="BB10" t="s">
        <v>38</v>
      </c>
      <c r="BC10" t="s">
        <v>38</v>
      </c>
      <c r="BD10" t="s">
        <v>38</v>
      </c>
      <c r="BE10" t="s">
        <v>38</v>
      </c>
      <c r="BF10" t="s">
        <v>38</v>
      </c>
      <c r="BG10" t="s">
        <v>52</v>
      </c>
      <c r="BH10" t="s">
        <v>38</v>
      </c>
      <c r="BK10" t="s">
        <v>38</v>
      </c>
      <c r="BL10" t="s">
        <v>38</v>
      </c>
      <c r="BM10" t="s">
        <v>38</v>
      </c>
      <c r="BN10" t="s">
        <v>38</v>
      </c>
      <c r="BO10" t="s">
        <v>38</v>
      </c>
      <c r="BP10" t="s">
        <v>38</v>
      </c>
      <c r="BQ10" t="s">
        <v>38</v>
      </c>
      <c r="BR10" t="s">
        <v>38</v>
      </c>
      <c r="BS10" t="s">
        <v>38</v>
      </c>
      <c r="BT10" t="s">
        <v>38</v>
      </c>
      <c r="BU10" t="s">
        <v>38</v>
      </c>
      <c r="BV10" t="s">
        <v>38</v>
      </c>
      <c r="BW10" t="s">
        <v>38</v>
      </c>
      <c r="BX10" t="s">
        <v>38</v>
      </c>
      <c r="BY10" t="s">
        <v>38</v>
      </c>
      <c r="BZ10" t="s">
        <v>38</v>
      </c>
      <c r="CA10" t="s">
        <v>38</v>
      </c>
      <c r="CB10" t="s">
        <v>38</v>
      </c>
      <c r="CC10" t="s">
        <v>38</v>
      </c>
      <c r="CD10" t="s">
        <v>38</v>
      </c>
      <c r="CE10" t="s">
        <v>38</v>
      </c>
      <c r="CF10" t="s">
        <v>38</v>
      </c>
      <c r="CG10" t="s">
        <v>38</v>
      </c>
      <c r="CH10" t="s">
        <v>38</v>
      </c>
      <c r="CI10" t="s">
        <v>38</v>
      </c>
      <c r="CJ10" t="s">
        <v>38</v>
      </c>
      <c r="CK10" t="s">
        <v>38</v>
      </c>
      <c r="CL10" t="s">
        <v>38</v>
      </c>
      <c r="CM10" t="s">
        <v>38</v>
      </c>
      <c r="CN10" t="s">
        <v>38</v>
      </c>
      <c r="CO10" t="s">
        <v>38</v>
      </c>
      <c r="CP10" t="s">
        <v>38</v>
      </c>
      <c r="CQ10" t="s">
        <v>38</v>
      </c>
      <c r="CR10" t="s">
        <v>38</v>
      </c>
      <c r="CS10" t="s">
        <v>38</v>
      </c>
      <c r="CT10" t="s">
        <v>38</v>
      </c>
      <c r="CU10" t="s">
        <v>38</v>
      </c>
      <c r="CV10" t="s">
        <v>38</v>
      </c>
      <c r="CW10" t="s">
        <v>38</v>
      </c>
      <c r="CX10" t="s">
        <v>38</v>
      </c>
      <c r="CY10" t="s">
        <v>38</v>
      </c>
      <c r="CZ10" t="s">
        <v>38</v>
      </c>
      <c r="DA10" t="s">
        <v>38</v>
      </c>
      <c r="DB10" t="s">
        <v>38</v>
      </c>
      <c r="DC10" t="s">
        <v>38</v>
      </c>
      <c r="DD10" t="s">
        <v>38</v>
      </c>
      <c r="DE10" t="s">
        <v>38</v>
      </c>
      <c r="DF10" t="s">
        <v>38</v>
      </c>
      <c r="DG10" t="s">
        <v>38</v>
      </c>
      <c r="DH10" t="s">
        <v>38</v>
      </c>
      <c r="DI10" t="s">
        <v>38</v>
      </c>
      <c r="DJ10" t="s">
        <v>38</v>
      </c>
      <c r="DK10" t="s">
        <v>38</v>
      </c>
      <c r="DL10" t="s">
        <v>38</v>
      </c>
      <c r="DM10" t="s">
        <v>38</v>
      </c>
      <c r="DN10" t="s">
        <v>38</v>
      </c>
      <c r="DO10" t="s">
        <v>38</v>
      </c>
      <c r="DP10" t="s">
        <v>38</v>
      </c>
      <c r="DQ10" t="s">
        <v>38</v>
      </c>
      <c r="DR10" t="s">
        <v>38</v>
      </c>
      <c r="DS10" t="s">
        <v>38</v>
      </c>
      <c r="DT10" t="s">
        <v>38</v>
      </c>
      <c r="DU10" t="s">
        <v>38</v>
      </c>
      <c r="DV10" t="s">
        <v>38</v>
      </c>
      <c r="DW10" t="s">
        <v>38</v>
      </c>
      <c r="DX10" t="s">
        <v>38</v>
      </c>
      <c r="DY10" t="s">
        <v>38</v>
      </c>
      <c r="DZ10" t="s">
        <v>38</v>
      </c>
      <c r="EA10" t="s">
        <v>38</v>
      </c>
      <c r="EB10" t="s">
        <v>38</v>
      </c>
      <c r="EC10" t="s">
        <v>38</v>
      </c>
      <c r="ED10" t="s">
        <v>38</v>
      </c>
      <c r="EE10" t="s">
        <v>38</v>
      </c>
      <c r="EF10" t="s">
        <v>38</v>
      </c>
      <c r="EG10" t="s">
        <v>38</v>
      </c>
      <c r="EH10" t="s">
        <v>38</v>
      </c>
      <c r="EI10" t="s">
        <v>38</v>
      </c>
      <c r="EJ10" t="s">
        <v>38</v>
      </c>
      <c r="EK10" t="s">
        <v>38</v>
      </c>
      <c r="EL10" t="s">
        <v>38</v>
      </c>
      <c r="EM10" t="s">
        <v>38</v>
      </c>
      <c r="EN10" t="s">
        <v>38</v>
      </c>
      <c r="EO10" t="s">
        <v>38</v>
      </c>
      <c r="EP10" t="s">
        <v>38</v>
      </c>
      <c r="EQ10" t="s">
        <v>38</v>
      </c>
      <c r="ER10" t="s">
        <v>38</v>
      </c>
      <c r="ES10" t="s">
        <v>38</v>
      </c>
      <c r="ET10" t="s">
        <v>38</v>
      </c>
      <c r="EU10" t="s">
        <v>38</v>
      </c>
      <c r="EV10" t="s">
        <v>38</v>
      </c>
      <c r="EW10" t="s">
        <v>38</v>
      </c>
      <c r="EX10" t="s">
        <v>38</v>
      </c>
      <c r="EY10" t="s">
        <v>38</v>
      </c>
      <c r="EZ10" t="s">
        <v>38</v>
      </c>
      <c r="FA10" t="s">
        <v>38</v>
      </c>
      <c r="FB10" t="s">
        <v>38</v>
      </c>
      <c r="FC10" t="s">
        <v>38</v>
      </c>
      <c r="FD10" t="s">
        <v>38</v>
      </c>
      <c r="FE10" t="s">
        <v>38</v>
      </c>
      <c r="FF10" t="s">
        <v>38</v>
      </c>
      <c r="FG10" t="s">
        <v>38</v>
      </c>
      <c r="FH10" t="s">
        <v>38</v>
      </c>
      <c r="FI10" t="s">
        <v>38</v>
      </c>
      <c r="FJ10" t="s">
        <v>38</v>
      </c>
      <c r="FK10" t="s">
        <v>38</v>
      </c>
      <c r="FL10" t="s">
        <v>38</v>
      </c>
      <c r="FM10" t="s">
        <v>38</v>
      </c>
      <c r="FN10" t="s">
        <v>38</v>
      </c>
      <c r="FO10" t="s">
        <v>38</v>
      </c>
      <c r="FP10" t="s">
        <v>38</v>
      </c>
      <c r="FQ10" t="s">
        <v>38</v>
      </c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  <c r="AHW10" s="38"/>
      <c r="AHX10" s="38"/>
      <c r="AHY10" s="38"/>
      <c r="AHZ10" s="38"/>
      <c r="AIA10" s="38"/>
      <c r="AIB10" s="38"/>
      <c r="AIC10" s="38"/>
      <c r="AID10" s="38"/>
      <c r="AIE10" s="38"/>
      <c r="AIF10" s="38"/>
      <c r="AIG10" s="38"/>
      <c r="AIH10" s="38"/>
      <c r="AII10" s="38"/>
      <c r="AIJ10" s="38"/>
      <c r="AIK10" s="38"/>
      <c r="AIL10" s="38"/>
      <c r="AIM10" s="38"/>
      <c r="AIN10" s="38"/>
      <c r="AIO10" s="38"/>
      <c r="AIP10" s="38"/>
      <c r="AIQ10" s="38"/>
      <c r="AIR10" s="38"/>
      <c r="AIS10" s="38"/>
      <c r="AIT10" s="38"/>
      <c r="AIU10" s="38"/>
      <c r="AIV10" s="38"/>
      <c r="AIW10" s="38"/>
      <c r="AIX10" s="38"/>
      <c r="AIY10" s="38"/>
      <c r="AIZ10" s="38"/>
      <c r="AJA10" s="38"/>
      <c r="AJB10" s="38"/>
      <c r="AJC10" s="38"/>
      <c r="AJD10" s="38"/>
      <c r="AJE10" s="38"/>
      <c r="AJF10" s="38"/>
      <c r="AJG10" s="38"/>
      <c r="AJH10" s="38"/>
      <c r="AJI10" s="38"/>
      <c r="AJJ10" s="38"/>
      <c r="AJK10" s="38"/>
      <c r="AJL10" s="38"/>
      <c r="AJM10" s="38"/>
      <c r="AJN10" s="38"/>
      <c r="AJO10" s="38"/>
      <c r="AJP10" s="38"/>
      <c r="AJQ10" s="38"/>
      <c r="AJR10" s="38"/>
      <c r="AJS10" s="38"/>
      <c r="AJT10" s="38"/>
      <c r="AJU10" s="38"/>
      <c r="AJV10" s="38"/>
      <c r="AJW10" s="38"/>
      <c r="AJX10" s="38"/>
      <c r="AJY10" s="38"/>
      <c r="AJZ10" s="38"/>
      <c r="AKA10" s="38"/>
      <c r="AKB10" s="38"/>
      <c r="AKC10" s="38"/>
      <c r="AKD10" s="38"/>
      <c r="AKE10" s="38"/>
      <c r="AKF10" s="38"/>
      <c r="AKG10" s="38"/>
      <c r="AKH10" s="38"/>
      <c r="AKI10" s="38"/>
      <c r="AKJ10" s="38"/>
      <c r="AKK10" s="38"/>
      <c r="AKL10" s="38"/>
      <c r="AKM10" s="38"/>
      <c r="AKN10" s="38"/>
      <c r="AKO10" s="38"/>
      <c r="AKP10" s="38"/>
      <c r="AKQ10" s="38"/>
      <c r="AKR10" s="38"/>
      <c r="AKS10" s="38"/>
      <c r="AKT10" s="38"/>
      <c r="AKU10" s="38"/>
      <c r="AKV10" s="38"/>
      <c r="AKW10" s="38"/>
      <c r="AKX10" s="38"/>
      <c r="AKY10" s="38"/>
      <c r="AKZ10" s="38"/>
      <c r="ALA10" s="38"/>
      <c r="ALB10" s="38"/>
      <c r="ALC10" s="38"/>
      <c r="ALD10" s="38"/>
      <c r="ALE10" s="38"/>
      <c r="ALF10" s="38"/>
      <c r="ALG10" s="38"/>
      <c r="ALH10" s="38"/>
      <c r="ALI10" s="38"/>
      <c r="ALJ10" s="38"/>
      <c r="ALK10" s="38"/>
      <c r="ALL10" s="38"/>
      <c r="ALM10" s="38"/>
      <c r="ALN10" s="38"/>
      <c r="ALO10" s="38"/>
      <c r="ALP10" s="38"/>
      <c r="ALQ10" s="38"/>
      <c r="ALR10" s="38"/>
      <c r="ALS10" s="38"/>
      <c r="ALT10" s="38"/>
      <c r="ALU10" s="38"/>
      <c r="ALV10" s="38"/>
      <c r="ALW10" s="38"/>
      <c r="ALX10" s="38"/>
      <c r="ALY10" s="38"/>
      <c r="ALZ10" s="38"/>
      <c r="AMA10" s="38"/>
      <c r="AMB10" s="38"/>
      <c r="AMC10" s="38"/>
      <c r="AMD10" s="38"/>
      <c r="AME10" s="38"/>
      <c r="AMF10" s="38"/>
      <c r="AMG10" s="38"/>
      <c r="AMH10" s="38"/>
      <c r="AMI10" s="38"/>
      <c r="AMJ10" s="38"/>
      <c r="AMK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/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/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38"/>
      <c r="YU11" s="38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8"/>
      <c r="AAK11" s="38"/>
      <c r="AAL11" s="38"/>
      <c r="AAM11" s="38"/>
      <c r="AAN11" s="38"/>
      <c r="AAO11" s="38"/>
      <c r="AAP11" s="38"/>
      <c r="AAQ11" s="38"/>
      <c r="AAR11" s="38"/>
      <c r="AAS11" s="38"/>
      <c r="AAT11" s="38"/>
      <c r="AAU11" s="38"/>
      <c r="AAV11" s="38"/>
      <c r="AAW11" s="38"/>
      <c r="AAX11" s="38"/>
      <c r="AAY11" s="38"/>
      <c r="AAZ11" s="38"/>
      <c r="ABA11" s="38"/>
      <c r="ABB11" s="38"/>
      <c r="ABC11" s="38"/>
      <c r="ABD11" s="38"/>
      <c r="ABE11" s="38"/>
      <c r="ABF11" s="38"/>
      <c r="ABG11" s="38"/>
      <c r="ABH11" s="38"/>
      <c r="ABI11" s="38"/>
      <c r="ABJ11" s="38"/>
      <c r="ABK11" s="38"/>
      <c r="ABL11" s="38"/>
      <c r="ABM11" s="38"/>
      <c r="ABN11" s="38"/>
      <c r="ABO11" s="38"/>
      <c r="ABP11" s="38"/>
      <c r="ABQ11" s="38"/>
      <c r="ABR11" s="38"/>
      <c r="ABS11" s="38"/>
      <c r="ABT11" s="38"/>
      <c r="ABU11" s="38"/>
      <c r="ABV11" s="38"/>
      <c r="ABW11" s="38"/>
      <c r="ABX11" s="38"/>
      <c r="ABY11" s="38"/>
      <c r="ABZ11" s="38"/>
      <c r="ACA11" s="38"/>
      <c r="ACB11" s="38"/>
      <c r="ACC11" s="38"/>
      <c r="ACD11" s="38"/>
      <c r="ACE11" s="38"/>
      <c r="ACF11" s="38"/>
      <c r="ACG11" s="38"/>
      <c r="ACH11" s="38"/>
      <c r="ACI11" s="38"/>
      <c r="ACJ11" s="38"/>
      <c r="ACK11" s="38"/>
      <c r="ACL11" s="38"/>
      <c r="ACM11" s="38"/>
      <c r="ACN11" s="38"/>
      <c r="ACO11" s="38"/>
      <c r="ACP11" s="38"/>
      <c r="ACQ11" s="38"/>
      <c r="ACR11" s="38"/>
      <c r="ACS11" s="38"/>
      <c r="ACT11" s="38"/>
      <c r="ACU11" s="38"/>
      <c r="ACV11" s="38"/>
      <c r="ACW11" s="38"/>
      <c r="ACX11" s="38"/>
      <c r="ACY11" s="38"/>
      <c r="ACZ11" s="38"/>
      <c r="ADA11" s="38"/>
      <c r="ADB11" s="38"/>
      <c r="ADC11" s="38"/>
      <c r="ADD11" s="38"/>
      <c r="ADE11" s="38"/>
      <c r="ADF11" s="38"/>
      <c r="ADG11" s="38"/>
      <c r="ADH11" s="38"/>
      <c r="ADI11" s="38"/>
      <c r="ADJ11" s="38"/>
      <c r="ADK11" s="38"/>
      <c r="ADL11" s="38"/>
      <c r="ADM11" s="38"/>
      <c r="ADN11" s="38"/>
      <c r="ADO11" s="38"/>
      <c r="ADP11" s="38"/>
      <c r="ADQ11" s="38"/>
      <c r="ADR11" s="38"/>
      <c r="ADS11" s="38"/>
      <c r="ADT11" s="38"/>
      <c r="ADU11" s="38"/>
      <c r="ADV11" s="38"/>
      <c r="ADW11" s="38"/>
      <c r="ADX11" s="38"/>
      <c r="ADY11" s="38"/>
      <c r="ADZ11" s="38"/>
      <c r="AEA11" s="38"/>
      <c r="AEB11" s="38"/>
      <c r="AEC11" s="38"/>
      <c r="AED11" s="38"/>
      <c r="AEE11" s="38"/>
      <c r="AEF11" s="38"/>
      <c r="AEG11" s="38"/>
      <c r="AEH11" s="38"/>
      <c r="AEI11" s="38"/>
      <c r="AEJ11" s="38"/>
      <c r="AEK11" s="38"/>
      <c r="AEL11" s="38"/>
      <c r="AEM11" s="38"/>
      <c r="AEN11" s="38"/>
      <c r="AEO11" s="38"/>
      <c r="AEP11" s="38"/>
      <c r="AEQ11" s="38"/>
      <c r="AER11" s="38"/>
      <c r="AES11" s="38"/>
      <c r="AET11" s="38"/>
      <c r="AEU11" s="38"/>
      <c r="AEV11" s="38"/>
      <c r="AEW11" s="38"/>
      <c r="AEX11" s="38"/>
      <c r="AEY11" s="38"/>
      <c r="AEZ11" s="38"/>
      <c r="AFA11" s="38"/>
      <c r="AFB11" s="38"/>
      <c r="AFC11" s="38"/>
      <c r="AFD11" s="38"/>
      <c r="AFE11" s="38"/>
      <c r="AFF11" s="38"/>
      <c r="AFG11" s="38"/>
      <c r="AFH11" s="38"/>
      <c r="AFI11" s="38"/>
      <c r="AFJ11" s="38"/>
      <c r="AFK11" s="38"/>
      <c r="AFL11" s="38"/>
      <c r="AFM11" s="38"/>
      <c r="AFN11" s="38"/>
      <c r="AFO11" s="38"/>
      <c r="AFP11" s="38"/>
      <c r="AFQ11" s="38"/>
      <c r="AFR11" s="38"/>
      <c r="AFS11" s="38"/>
      <c r="AFT11" s="38"/>
      <c r="AFU11" s="38"/>
      <c r="AFV11" s="38"/>
      <c r="AFW11" s="38"/>
      <c r="AFX11" s="38"/>
      <c r="AFY11" s="38"/>
      <c r="AFZ11" s="38"/>
      <c r="AGA11" s="38"/>
      <c r="AGB11" s="38"/>
      <c r="AGC11" s="38"/>
      <c r="AGD11" s="38"/>
      <c r="AGE11" s="38"/>
      <c r="AGF11" s="38"/>
      <c r="AGG11" s="38"/>
      <c r="AGH11" s="38"/>
      <c r="AGI11" s="38"/>
      <c r="AGJ11" s="38"/>
      <c r="AGK11" s="38"/>
      <c r="AGL11" s="38"/>
      <c r="AGM11" s="38"/>
      <c r="AGN11" s="38"/>
      <c r="AGO11" s="38"/>
      <c r="AGP11" s="38"/>
      <c r="AGQ11" s="38"/>
      <c r="AGR11" s="38"/>
      <c r="AGS11" s="38"/>
      <c r="AGT11" s="38"/>
      <c r="AGU11" s="38"/>
      <c r="AGV11" s="38"/>
      <c r="AGW11" s="38"/>
      <c r="AGX11" s="38"/>
      <c r="AGY11" s="38"/>
      <c r="AGZ11" s="38"/>
      <c r="AHA11" s="38"/>
      <c r="AHB11" s="38"/>
      <c r="AHC11" s="38"/>
      <c r="AHD11" s="38"/>
      <c r="AHE11" s="38"/>
      <c r="AHF11" s="38"/>
      <c r="AHG11" s="38"/>
      <c r="AHH11" s="38"/>
      <c r="AHI11" s="38"/>
      <c r="AHJ11" s="38"/>
      <c r="AHK11" s="38"/>
      <c r="AHL11" s="38"/>
      <c r="AHM11" s="38"/>
      <c r="AHN11" s="38"/>
      <c r="AHO11" s="38"/>
      <c r="AHP11" s="38"/>
      <c r="AHQ11" s="38"/>
      <c r="AHR11" s="38"/>
      <c r="AHS11" s="38"/>
      <c r="AHT11" s="38"/>
      <c r="AHU11" s="38"/>
      <c r="AHV11" s="38"/>
      <c r="AHW11" s="38"/>
      <c r="AHX11" s="38"/>
      <c r="AHY11" s="38"/>
      <c r="AHZ11" s="38"/>
      <c r="AIA11" s="38"/>
      <c r="AIB11" s="38"/>
      <c r="AIC11" s="38"/>
      <c r="AID11" s="38"/>
      <c r="AIE11" s="38"/>
      <c r="AIF11" s="38"/>
      <c r="AIG11" s="38"/>
      <c r="AIH11" s="38"/>
      <c r="AII11" s="38"/>
      <c r="AIJ11" s="38"/>
      <c r="AIK11" s="38"/>
      <c r="AIL11" s="38"/>
      <c r="AIM11" s="38"/>
      <c r="AIN11" s="38"/>
      <c r="AIO11" s="38"/>
      <c r="AIP11" s="38"/>
      <c r="AIQ11" s="38"/>
      <c r="AIR11" s="38"/>
      <c r="AIS11" s="38"/>
      <c r="AIT11" s="38"/>
      <c r="AIU11" s="38"/>
      <c r="AIV11" s="38"/>
      <c r="AIW11" s="38"/>
      <c r="AIX11" s="38"/>
      <c r="AIY11" s="38"/>
      <c r="AIZ11" s="38"/>
      <c r="AJA11" s="38"/>
      <c r="AJB11" s="38"/>
      <c r="AJC11" s="38"/>
      <c r="AJD11" s="38"/>
      <c r="AJE11" s="38"/>
      <c r="AJF11" s="38"/>
      <c r="AJG11" s="38"/>
      <c r="AJH11" s="38"/>
      <c r="AJI11" s="38"/>
      <c r="AJJ11" s="38"/>
      <c r="AJK11" s="38"/>
      <c r="AJL11" s="38"/>
      <c r="AJM11" s="38"/>
      <c r="AJN11" s="38"/>
      <c r="AJO11" s="38"/>
      <c r="AJP11" s="38"/>
      <c r="AJQ11" s="38"/>
      <c r="AJR11" s="38"/>
      <c r="AJS11" s="38"/>
      <c r="AJT11" s="38"/>
      <c r="AJU11" s="38"/>
      <c r="AJV11" s="38"/>
      <c r="AJW11" s="38"/>
      <c r="AJX11" s="38"/>
      <c r="AJY11" s="38"/>
      <c r="AJZ11" s="38"/>
      <c r="AKA11" s="38"/>
      <c r="AKB11" s="38"/>
      <c r="AKC11" s="38"/>
      <c r="AKD11" s="38"/>
      <c r="AKE11" s="38"/>
      <c r="AKF11" s="38"/>
      <c r="AKG11" s="38"/>
      <c r="AKH11" s="38"/>
      <c r="AKI11" s="38"/>
      <c r="AKJ11" s="38"/>
      <c r="AKK11" s="38"/>
      <c r="AKL11" s="38"/>
      <c r="AKM11" s="38"/>
      <c r="AKN11" s="38"/>
      <c r="AKO11" s="38"/>
      <c r="AKP11" s="38"/>
      <c r="AKQ11" s="38"/>
      <c r="AKR11" s="38"/>
      <c r="AKS11" s="38"/>
      <c r="AKT11" s="38"/>
      <c r="AKU11" s="38"/>
      <c r="AKV11" s="38"/>
      <c r="AKW11" s="38"/>
      <c r="AKX11" s="38"/>
      <c r="AKY11" s="38"/>
      <c r="AKZ11" s="38"/>
      <c r="ALA11" s="38"/>
      <c r="ALB11" s="38"/>
      <c r="ALC11" s="38"/>
      <c r="ALD11" s="38"/>
      <c r="ALE11" s="38"/>
      <c r="ALF11" s="38"/>
      <c r="ALG11" s="38"/>
      <c r="ALH11" s="38"/>
      <c r="ALI11" s="38"/>
      <c r="ALJ11" s="38"/>
      <c r="ALK11" s="38"/>
      <c r="ALL11" s="38"/>
      <c r="ALM11" s="38"/>
      <c r="ALN11" s="38"/>
      <c r="ALO11" s="38"/>
      <c r="ALP11" s="38"/>
      <c r="ALQ11" s="38"/>
      <c r="ALR11" s="38"/>
      <c r="ALS11" s="38"/>
      <c r="ALT11" s="38"/>
      <c r="ALU11" s="38"/>
      <c r="ALV11" s="38"/>
      <c r="ALW11" s="38"/>
      <c r="ALX11" s="38"/>
      <c r="ALY11" s="38"/>
      <c r="ALZ11" s="38"/>
      <c r="AMA11" s="38"/>
      <c r="AMB11" s="38"/>
      <c r="AMC11" s="38"/>
      <c r="AMD11" s="38"/>
      <c r="AME11" s="38"/>
      <c r="AMF11" s="38"/>
      <c r="AMG11" s="38"/>
      <c r="AMH11" s="38"/>
      <c r="AMI11" s="38"/>
      <c r="AMJ11" s="38"/>
      <c r="AMK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