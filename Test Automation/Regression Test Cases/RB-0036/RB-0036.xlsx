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MasterData" sheetId="2" r:id="rId4"/>
    <sheet state="visible" name="_Settings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VerifyGridData" sheetId="9" r:id="rId11"/>
  </sheets>
  <definedNames/>
  <calcPr/>
</workbook>
</file>

<file path=xl/sharedStrings.xml><?xml version="1.0" encoding="utf-8"?>
<sst xmlns="http://schemas.openxmlformats.org/spreadsheetml/2006/main" count="86" uniqueCount="35">
  <si>
    <t>Settings</t>
  </si>
  <si>
    <t>Modules Info</t>
  </si>
  <si>
    <t>Master Data Info</t>
  </si>
  <si>
    <t>Modules</t>
  </si>
  <si>
    <t>Module</t>
  </si>
  <si>
    <t>Module Step Setting File</t>
  </si>
  <si>
    <t>1BICZ_GcMhh_S937ZinFvSYqvvKYtOYB2Bc4woEPpgPg</t>
  </si>
  <si>
    <t>Step</t>
  </si>
  <si>
    <t>Master Data Sheet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</si>
  <si>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</si>
  <si>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</si>
  <si>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</si>
  <si>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</si>
  <si>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</si>
  <si>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</si>
  <si>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</si>
  <si>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</si>
  <si>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</si>
  <si>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Allocation3</t>
  </si>
  <si>
    <t>AIG</t>
  </si>
  <si>
    <t>AXP</t>
  </si>
  <si>
    <t>IBM</t>
  </si>
  <si>
    <t>MSFT</t>
  </si>
  <si>
    <t>FB</t>
  </si>
  <si>
    <t>PricingInput</t>
  </si>
  <si>
    <t>Rebalancer</t>
  </si>
  <si>
    <t>FetchAccountPositions</t>
  </si>
  <si>
    <t>Allocation1</t>
  </si>
  <si>
    <t>Real-Time Positions</t>
  </si>
  <si>
    <t>AddCash</t>
  </si>
  <si>
    <t>Impact NAV</t>
  </si>
  <si>
    <t>TargetCashEqual%</t>
  </si>
  <si>
    <t>RunRebalance</t>
  </si>
  <si>
    <t>Nearest Round Off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</si>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</sst>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/>
    </border>
    <border>
      <right style="thin">
        <color rgb="FFD9D9D9"/>
      </right>
      <top/>
    </border>
    <border>
      <right style="thin">
        <color rgb="FFD9D9D9"/>
      </right>
      <bottom style="thin">
        <color rgb="FFD9D9D9"/>
      </bottom>
    </border>
    <border>
      <right/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4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10" fillId="0" fontId="5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11" fillId="0" fontId="5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6" fillId="0" fontId="13" numFmtId="0" xfId="0" applyAlignment="1" applyBorder="1" applyFont="1">
      <alignment horizontal="right" vertical="bottom"/>
    </xf>
    <xf borderId="8" fillId="0" fontId="4" numFmtId="0" xfId="0" applyAlignment="1" applyBorder="1" applyFont="1">
      <alignment readingOrder="0" vertical="bottom"/>
    </xf>
    <xf borderId="6" fillId="0" fontId="13" numFmtId="1" xfId="0" applyAlignment="1" applyBorder="1" applyFont="1" applyNumberFormat="1">
      <alignment horizontal="right" readingOrder="0" vertical="bottom"/>
    </xf>
    <xf borderId="7" fillId="0" fontId="4" numFmtId="0" xfId="0" applyAlignment="1" applyBorder="1" applyFont="1">
      <alignment readingOrder="0" vertical="bottom"/>
    </xf>
    <xf borderId="12" fillId="0" fontId="5" numFmtId="0" xfId="0" applyAlignment="1" applyBorder="1" applyFont="1">
      <alignment vertical="bottom"/>
    </xf>
    <xf borderId="9" fillId="0" fontId="13" numFmtId="0" xfId="0" applyAlignment="1" applyBorder="1" applyFont="1">
      <alignment horizontal="right" vertical="bottom"/>
    </xf>
    <xf borderId="5" fillId="0" fontId="4" numFmtId="0" xfId="0" applyAlignment="1" applyBorder="1" applyFont="1">
      <alignment readingOrder="0" vertical="bottom"/>
    </xf>
    <xf borderId="9" fillId="0" fontId="13" numFmtId="1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3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9" t="s">
        <v>4</v>
      </c>
      <c r="B3" s="11" t="s">
        <v>7</v>
      </c>
      <c r="C3" s="11" t="s">
        <v>8</v>
      </c>
      <c r="D3" s="12"/>
      <c r="E3" s="12"/>
      <c r="F3" s="12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7"/>
      <c r="B2" s="7"/>
      <c r="C2" s="7"/>
    </row>
    <row r="3" ht="15.75" customHeight="1">
      <c r="A3" s="8" t="s">
        <v>5</v>
      </c>
      <c r="B3" s="14" t="s">
        <v>6</v>
      </c>
      <c r="C3" s="7"/>
    </row>
    <row r="4" ht="15.75" customHeight="1">
      <c r="A4" s="9" t="s">
        <v>9</v>
      </c>
      <c r="B4" s="14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197.0</v>
      </c>
      <c r="E6" s="33">
        <v>197.0</v>
      </c>
      <c r="F6" s="34" t="s">
        <v>18</v>
      </c>
      <c r="G6" s="35"/>
      <c r="H6" s="35"/>
      <c r="I6" s="35"/>
      <c r="J6" s="36">
        <v>100.0</v>
      </c>
      <c r="K6" s="35"/>
      <c r="L6" s="7"/>
      <c r="M6" s="7"/>
      <c r="N6" s="7"/>
      <c r="O6" s="7"/>
    </row>
    <row r="7" ht="15.75" customHeight="1">
      <c r="A7" s="37"/>
      <c r="B7" s="34" t="s">
        <v>19</v>
      </c>
      <c r="C7" s="38" t="s">
        <v>17</v>
      </c>
      <c r="D7" s="39">
        <v>248.0</v>
      </c>
      <c r="E7" s="40">
        <v>248.0</v>
      </c>
      <c r="F7" s="34" t="s">
        <v>18</v>
      </c>
      <c r="G7" s="41"/>
      <c r="H7" s="41"/>
      <c r="I7" s="41"/>
      <c r="J7" s="42">
        <v>100.0</v>
      </c>
      <c r="K7" s="41"/>
      <c r="L7" s="7"/>
      <c r="M7" s="7"/>
      <c r="N7" s="7"/>
      <c r="O7" s="7"/>
    </row>
    <row r="8" ht="15.75" customHeight="1">
      <c r="A8" s="37"/>
      <c r="B8" s="34" t="s">
        <v>20</v>
      </c>
      <c r="C8" s="38" t="s">
        <v>17</v>
      </c>
      <c r="D8" s="39">
        <v>98.0</v>
      </c>
      <c r="E8" s="40">
        <v>98.0</v>
      </c>
      <c r="F8" s="34" t="s">
        <v>18</v>
      </c>
      <c r="G8" s="41"/>
      <c r="H8" s="41"/>
      <c r="I8" s="41"/>
      <c r="J8" s="42">
        <v>100.0</v>
      </c>
      <c r="K8" s="41"/>
      <c r="L8" s="7"/>
      <c r="M8" s="7"/>
      <c r="N8" s="7"/>
      <c r="O8" s="7"/>
    </row>
    <row r="9" ht="15.75" customHeight="1">
      <c r="A9" s="37"/>
      <c r="B9" s="34" t="s">
        <v>21</v>
      </c>
      <c r="C9" s="38" t="s">
        <v>17</v>
      </c>
      <c r="D9" s="39">
        <v>248.0</v>
      </c>
      <c r="E9" s="40">
        <v>248.0</v>
      </c>
      <c r="F9" s="34" t="s">
        <v>18</v>
      </c>
      <c r="G9" s="41"/>
      <c r="H9" s="41"/>
      <c r="I9" s="41"/>
      <c r="J9" s="42">
        <v>100.0</v>
      </c>
      <c r="K9" s="41"/>
      <c r="L9" s="7"/>
      <c r="M9" s="7"/>
      <c r="N9" s="7"/>
      <c r="O9" s="7"/>
    </row>
    <row r="10" ht="15.75" customHeight="1">
      <c r="A10" s="37"/>
      <c r="B10" s="34" t="s">
        <v>22</v>
      </c>
      <c r="C10" s="38" t="s">
        <v>17</v>
      </c>
      <c r="D10" s="39">
        <v>198.0</v>
      </c>
      <c r="E10" s="40">
        <v>198.0</v>
      </c>
      <c r="F10" s="34" t="s">
        <v>18</v>
      </c>
      <c r="G10" s="41"/>
      <c r="H10" s="41"/>
      <c r="I10" s="41"/>
      <c r="J10" s="42">
        <v>100.0</v>
      </c>
      <c r="K10" s="41"/>
      <c r="L10" s="7"/>
      <c r="M10" s="7"/>
      <c r="N10" s="7"/>
      <c r="O10" s="7"/>
    </row>
    <row r="11" ht="15.75" customHeight="1">
      <c r="A11" s="41"/>
      <c r="B11" s="41" t="s">
        <v>23</v>
      </c>
      <c r="C11" s="41" t="s">
        <v>17</v>
      </c>
      <c r="D11" s="42">
        <v>1.0</v>
      </c>
      <c r="E11" s="40">
        <v>1.0</v>
      </c>
      <c r="F11" s="34" t="s">
        <v>18</v>
      </c>
      <c r="G11" s="41"/>
      <c r="H11" s="41"/>
      <c r="I11" s="41"/>
      <c r="J11" s="42">
        <v>8.0</v>
      </c>
      <c r="K11" s="41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24</v>
      </c>
      <c r="D3" s="8" t="s">
        <v>7</v>
      </c>
      <c r="E3" s="21" t="s">
        <v>24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0" t="s">
        <v>16</v>
      </c>
      <c r="C6" s="14">
        <v>1.0</v>
      </c>
      <c r="D6" s="14"/>
      <c r="E6" s="4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4" t="s">
        <v>22</v>
      </c>
      <c r="C7" s="14">
        <v>1.0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4" t="s">
        <v>19</v>
      </c>
      <c r="C8" s="14">
        <v>1.0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4" t="s">
        <v>21</v>
      </c>
      <c r="C9" s="14">
        <v>1.0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34" t="s">
        <v>20</v>
      </c>
      <c r="C10" s="14">
        <v>1.0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25</v>
      </c>
      <c r="D3" s="8" t="s">
        <v>7</v>
      </c>
      <c r="E3" s="21" t="s">
        <v>26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27</v>
      </c>
      <c r="C6" s="45" t="s">
        <v>28</v>
      </c>
      <c r="D6" s="14"/>
      <c r="E6" s="4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25</v>
      </c>
      <c r="D3" s="8" t="s">
        <v>7</v>
      </c>
      <c r="E3" s="21" t="s">
        <v>29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IFERROR(__xludf.DUMMYFUNCTION("""COMPUTED_VALUE"""),"Cash Flow(USD)")</f>
        <v>Cash Flow(USD)</v>
      </c>
      <c r="C5" s="26" t="str">
        <f>IFERROR(__xludf.DUMMYFUNCTION("""COMPUTED_VALUE"""),"Cash Flow Impact on NAV")</f>
        <v>Cash Flow Impact on NAV</v>
      </c>
      <c r="D5" s="26" t="str">
        <f>IFERROR(__xludf.DUMMYFUNCTION("""COMPUTED_VALUE"""),"Select Model")</f>
        <v>Select Model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>
        <v>50000.0</v>
      </c>
      <c r="C6" s="14" t="s">
        <v>30</v>
      </c>
      <c r="D6" s="14" t="s">
        <v>31</v>
      </c>
      <c r="E6" s="4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25</v>
      </c>
      <c r="D3" s="8" t="s">
        <v>7</v>
      </c>
      <c r="E3" s="21" t="s">
        <v>32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33</v>
      </c>
      <c r="C6" s="7"/>
      <c r="D6" s="14"/>
      <c r="E6" s="4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2.14"/>
    <col customWidth="1" min="13" max="13" width="20.0"/>
    <col customWidth="1" min="14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25</v>
      </c>
      <c r="D3" s="8" t="s">
        <v>7</v>
      </c>
      <c r="E3" s="21" t="s">
        <v>34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8"/>
      <c r="B6" s="46"/>
      <c r="C6" s="47" t="s">
        <v>27</v>
      </c>
      <c r="D6" s="48"/>
      <c r="E6" s="35"/>
      <c r="F6" s="35"/>
      <c r="G6" s="49"/>
      <c r="H6" s="50"/>
      <c r="I6" s="35"/>
      <c r="J6" s="51"/>
      <c r="K6" s="52"/>
      <c r="L6" s="53"/>
      <c r="M6" s="35"/>
      <c r="N6" s="53"/>
      <c r="O6" s="53"/>
      <c r="P6" s="35"/>
      <c r="Q6" s="35"/>
      <c r="R6" s="53"/>
      <c r="S6" s="53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29"/>
      <c r="C7" s="47" t="s">
        <v>27</v>
      </c>
      <c r="D7" s="54"/>
      <c r="E7" s="41"/>
      <c r="F7" s="41"/>
      <c r="G7" s="37"/>
      <c r="H7" s="55"/>
      <c r="I7" s="41"/>
      <c r="J7" s="56"/>
      <c r="K7" s="57"/>
      <c r="L7" s="53"/>
      <c r="M7" s="41"/>
      <c r="N7" s="58"/>
      <c r="O7" s="58"/>
      <c r="P7" s="41"/>
      <c r="Q7" s="41"/>
      <c r="R7" s="58"/>
      <c r="S7" s="58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37"/>
      <c r="C8" s="47" t="s">
        <v>27</v>
      </c>
      <c r="D8" s="54"/>
      <c r="E8" s="41"/>
      <c r="F8" s="41"/>
      <c r="G8" s="37"/>
      <c r="H8" s="55"/>
      <c r="I8" s="41"/>
      <c r="J8" s="56"/>
      <c r="K8" s="57"/>
      <c r="L8" s="53"/>
      <c r="M8" s="41"/>
      <c r="N8" s="58"/>
      <c r="O8" s="58"/>
      <c r="P8" s="41"/>
      <c r="Q8" s="41"/>
      <c r="R8" s="58"/>
      <c r="S8" s="58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37"/>
      <c r="C9" s="47" t="s">
        <v>27</v>
      </c>
      <c r="D9" s="54"/>
      <c r="E9" s="41"/>
      <c r="F9" s="41"/>
      <c r="G9" s="37"/>
      <c r="H9" s="55"/>
      <c r="I9" s="41"/>
      <c r="J9" s="56"/>
      <c r="K9" s="57"/>
      <c r="L9" s="53"/>
      <c r="M9" s="41"/>
      <c r="N9" s="58"/>
      <c r="O9" s="58"/>
      <c r="P9" s="41"/>
      <c r="Q9" s="41"/>
      <c r="R9" s="58"/>
      <c r="S9" s="58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37"/>
      <c r="C10" s="47" t="s">
        <v>27</v>
      </c>
      <c r="D10" s="54"/>
      <c r="E10" s="41"/>
      <c r="F10" s="41"/>
      <c r="G10" s="37"/>
      <c r="H10" s="55"/>
      <c r="I10" s="41"/>
      <c r="J10" s="56"/>
      <c r="K10" s="57"/>
      <c r="L10" s="53"/>
      <c r="M10" s="41"/>
      <c r="N10" s="58"/>
      <c r="O10" s="58"/>
      <c r="P10" s="41"/>
      <c r="Q10" s="41"/>
      <c r="R10" s="58"/>
      <c r="S10" s="58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7"/>
      <c r="B11" s="7"/>
      <c r="C11" s="7"/>
      <c r="D11" s="59"/>
      <c r="E11" s="7"/>
      <c r="F11" s="7"/>
      <c r="G11" s="7"/>
      <c r="H11" s="7"/>
      <c r="I11" s="7"/>
      <c r="J11" s="7"/>
      <c r="K11" s="7"/>
      <c r="L11" s="53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