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FetchAccountPositions" sheetId="6" r:id="rId8"/>
    <sheet state="visible" name="RebalanceAcrossSecurities" sheetId="7" r:id="rId9"/>
    <sheet state="visible" name="RunRebalance" sheetId="8" r:id="rId10"/>
  </sheets>
  <definedNames/>
  <calcPr/>
</workbook>
</file>

<file path=xl/sharedStrings.xml><?xml version="1.0" encoding="utf-8"?>
<sst xmlns="http://schemas.openxmlformats.org/spreadsheetml/2006/main" count="57" uniqueCount="29">
  <si>
    <t>Modules Info</t>
  </si>
  <si>
    <t>Settings</t>
  </si>
  <si>
    <t>Master Data Info</t>
  </si>
  <si>
    <t>Module</t>
  </si>
  <si>
    <t>Modules</t>
  </si>
  <si>
    <t>Step</t>
  </si>
  <si>
    <t>Module Step Setting File</t>
  </si>
  <si>
    <t>Master Data Sheet</t>
  </si>
  <si>
    <t>1BICZ_GcMhh_S937ZinFvSYqvvKYtOYB2Bc4woEPpgPg</t>
  </si>
  <si>
    <t>Master Data Settings File</t>
  </si>
  <si>
    <t>1hEhI9rg16D4Xvfk19pDaFUFF78jjfIG29BBaNg8kT0A</t>
  </si>
  <si>
    <t>Data</t>
  </si>
  <si>
    <t>DailyValuation</t>
  </si>
  <si>
    <t>UpdateDailyCash</t>
  </si>
  <si>
    <t>Data Format</t>
  </si>
  <si>
    <t>GetDailyCash</t>
  </si>
  <si>
    <t>Input Format</t>
  </si>
  <si>
    <t>Allocation1</t>
  </si>
  <si>
    <t>USD</t>
  </si>
  <si>
    <t>Allocation3</t>
  </si>
  <si>
    <t>Rebalancer</t>
  </si>
  <si>
    <t>FetchAccountPositions</t>
  </si>
  <si>
    <t>RebalanceAcrossSecurities</t>
  </si>
  <si>
    <t>AIG</t>
  </si>
  <si>
    <t>Set</t>
  </si>
  <si>
    <t>Check</t>
  </si>
  <si>
    <t>Real-Time Positions</t>
  </si>
  <si>
    <t>RunRebalance</t>
  </si>
  <si>
    <t>Nearest Round 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</si>
</sst>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sz val="14.0"/>
      <color rgb="FFFFFFFF"/>
      <name val="Calibri"/>
    </font>
    <font/>
    <font>
      <b/>
      <sz val="14.0"/>
      <color rgb="FFFFFFFF"/>
      <name val="Calibri"/>
    </font>
    <font>
      <name val="Arial"/>
    </font>
    <font>
      <b/>
      <color rgb="FFFFFFFF"/>
      <name val="Calibri"/>
    </font>
    <font>
      <name val="Calibri"/>
    </font>
    <font>
      <b/>
      <color rgb="FFFFFFFF"/>
      <name val="Arial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  <top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1" fillId="2" fontId="3" numFmtId="0" xfId="0" applyAlignment="1" applyBorder="1" applyFont="1">
      <alignment horizontal="center" readingOrder="0" shrinkToFit="0" wrapText="0"/>
    </xf>
    <xf borderId="3" fillId="0" fontId="2" numFmtId="0" xfId="0" applyBorder="1" applyFont="1"/>
    <xf borderId="0" fillId="0" fontId="4" numFmtId="0" xfId="0" applyAlignment="1" applyFont="1">
      <alignment shrinkToFit="0" wrapText="0"/>
    </xf>
    <xf borderId="1" fillId="2" fontId="3" numFmtId="0" xfId="0" applyAlignment="1" applyBorder="1" applyFont="1">
      <alignment horizontal="center" shrinkToFit="0" wrapText="0"/>
    </xf>
    <xf borderId="4" fillId="3" fontId="5" numFmtId="0" xfId="0" applyAlignment="1" applyBorder="1" applyFill="1" applyFont="1">
      <alignment readingOrder="0" shrinkToFit="0" wrapText="0"/>
    </xf>
    <xf borderId="0" fillId="0" fontId="6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0" fillId="0" fontId="8" numFmtId="0" xfId="0" applyFont="1"/>
    <xf borderId="4" fillId="3" fontId="4" numFmtId="0" xfId="0" applyAlignment="1" applyBorder="1" applyFont="1">
      <alignment readingOrder="0" shrinkToFit="0" wrapText="0"/>
    </xf>
    <xf borderId="0" fillId="0" fontId="6" numFmtId="0" xfId="0" applyAlignment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4" fillId="3" fontId="9" numFmtId="0" xfId="0" applyAlignment="1" applyBorder="1" applyFont="1">
      <alignment shrinkToFit="0" wrapText="0"/>
    </xf>
    <xf borderId="0" fillId="2" fontId="3" numFmtId="0" xfId="0" applyAlignment="1" applyFont="1">
      <alignment horizontal="center" shrinkToFit="0" wrapText="0"/>
    </xf>
    <xf borderId="0" fillId="2" fontId="2" numFmtId="0" xfId="0" applyFont="1"/>
    <xf borderId="0" fillId="0" fontId="9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10" numFmtId="0" xfId="0" applyFont="1"/>
    <xf borderId="5" fillId="6" fontId="13" numFmtId="0" xfId="0" applyAlignment="1" applyBorder="1" applyFill="1" applyFont="1">
      <alignment vertical="bottom"/>
    </xf>
    <xf borderId="5" fillId="0" fontId="6" numFmtId="0" xfId="0" applyAlignment="1" applyBorder="1" applyFont="1">
      <alignment vertical="bottom"/>
    </xf>
    <xf borderId="5" fillId="0" fontId="6" numFmtId="0" xfId="0" applyAlignment="1" applyBorder="1" applyFont="1">
      <alignment horizontal="right" vertical="bottom"/>
    </xf>
    <xf borderId="0" fillId="0" fontId="6" numFmtId="0" xfId="0" applyAlignment="1" applyFont="1">
      <alignment readingOrder="0" shrinkToFit="0" wrapText="0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0" fillId="6" fontId="14" numFmtId="14" xfId="0" applyFont="1" applyNumberFormat="1"/>
    <xf borderId="0" fillId="0" fontId="2" numFmtId="0" xfId="0" applyAlignment="1" applyFont="1">
      <alignment readingOrder="0"/>
    </xf>
    <xf borderId="5" fillId="0" fontId="6" numFmtId="0" xfId="0" applyAlignment="1" applyBorder="1" applyFont="1">
      <alignment vertical="bottom"/>
    </xf>
    <xf borderId="5" fillId="0" fontId="6" numFmtId="0" xfId="0" applyAlignment="1" applyBorder="1" applyFont="1">
      <alignment horizontal="right" readingOrder="0" vertical="bottom"/>
    </xf>
    <xf borderId="5" fillId="0" fontId="4" numFmtId="0" xfId="0" applyAlignment="1" applyBorder="1" applyFont="1">
      <alignment vertical="bottom"/>
    </xf>
    <xf borderId="6" fillId="0" fontId="6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6" t="s">
        <v>0</v>
      </c>
      <c r="B1" s="2"/>
      <c r="C1" s="2"/>
      <c r="D1" s="2"/>
      <c r="E1" s="2"/>
      <c r="F1" s="4"/>
    </row>
    <row r="2" ht="15.75" customHeight="1">
      <c r="A2" s="5"/>
      <c r="B2" s="5"/>
      <c r="C2" s="5"/>
      <c r="D2" s="5"/>
      <c r="E2" s="5"/>
      <c r="F2" s="5"/>
    </row>
    <row r="3" ht="15.75" customHeight="1">
      <c r="A3" s="10" t="s">
        <v>4</v>
      </c>
      <c r="B3" s="13"/>
      <c r="C3" s="15"/>
      <c r="D3" s="15"/>
      <c r="E3" s="15"/>
      <c r="F3" s="15"/>
    </row>
    <row r="4" ht="15.75" customHeight="1">
      <c r="A4" s="8" t="str">
        <f>IFERROR(__xludf.DUMMYFUNCTION("IMPORTRANGE('_Settings'!B3,""Modules!A4:L1000"")"),"Allocation")</f>
        <v>Allocation</v>
      </c>
      <c r="B4" s="5" t="str">
        <f>IFERROR(__xludf.DUMMYFUNCTION("""COMPUTED_VALUE"""),"Allocate")</f>
        <v>Allocate</v>
      </c>
      <c r="C4" s="5" t="str">
        <f>IFERROR(__xludf.DUMMYFUNCTION("""COMPUTED_VALUE"""),"1g8wLprruaWRC_5pQcovqkv8ZCiMt5fspCOACibdkz7g")</f>
        <v>1g8wLprruaWRC_5pQcovqkv8ZCiMt5fspCOACibdkz7g</v>
      </c>
      <c r="D4" s="5" t="str">
        <f>IFERROR(__xludf.DUMMYFUNCTION("""COMPUTED_VALUE"""),"")</f>
        <v/>
      </c>
      <c r="E4" s="5" t="str">
        <f>IFERROR(__xludf.DUMMYFUNCTION("""COMPUTED_VALUE"""),"")</f>
        <v/>
      </c>
      <c r="F4" s="5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8" t="str">
        <f>IFERROR(__xludf.DUMMYFUNCTION("""COMPUTED_VALUE"""),"Allocation")</f>
        <v>Allocation</v>
      </c>
      <c r="B5" s="5" t="str">
        <f>IFERROR(__xludf.DUMMYFUNCTION("""COMPUTED_VALUE"""),"CheckAllocatedGroups")</f>
        <v>CheckAllocatedGroups</v>
      </c>
      <c r="C5" s="5" t="str">
        <f>IFERROR(__xludf.DUMMYFUNCTION("""COMPUTED_VALUE"""),"1aecq-HMDoDkIInONjPC11z5TBFHyJhv4ro66e2ZOphg")</f>
        <v>1aecq-HMDoDkIInONjPC11z5TBFHyJhv4ro66e2ZOphg</v>
      </c>
      <c r="D5" s="5" t="str">
        <f>IFERROR(__xludf.DUMMYFUNCTION("""COMPUTED_VALUE"""),"")</f>
        <v/>
      </c>
      <c r="E5" s="5" t="str">
        <f>IFERROR(__xludf.DUMMYFUNCTION("""COMPUTED_VALUE"""),"")</f>
        <v/>
      </c>
      <c r="F5" s="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5" t="str">
        <f>IFERROR(__xludf.DUMMYFUNCTION("""COMPUTED_VALUE"""),"Allocation")</f>
        <v>Allocation</v>
      </c>
      <c r="B6" s="5" t="str">
        <f>IFERROR(__xludf.DUMMYFUNCTION("""COMPUTED_VALUE"""),"Unallocate")</f>
        <v>Unallocate</v>
      </c>
      <c r="C6" s="5" t="str">
        <f>IFERROR(__xludf.DUMMYFUNCTION("""COMPUTED_VALUE"""),"1eDZq-_vllq4jwvwpk9qGnwQUhlb-sFvyFKPBriT2dA0")</f>
        <v>1eDZq-_vllq4jwvwpk9qGnwQUhlb-sFvyFKPBriT2dA0</v>
      </c>
      <c r="D6" s="5" t="str">
        <f>IFERROR(__xludf.DUMMYFUNCTION("""COMPUTED_VALUE"""),"")</f>
        <v/>
      </c>
      <c r="E6" s="5" t="str">
        <f>IFERROR(__xludf.DUMMYFUNCTION("""COMPUTED_VALUE"""),"")</f>
        <v/>
      </c>
      <c r="F6" s="5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5" t="str">
        <f>IFERROR(__xludf.DUMMYFUNCTION("""COMPUTED_VALUE"""),"Allocation")</f>
        <v>Allocation</v>
      </c>
      <c r="B7" s="5" t="str">
        <f>IFERROR(__xludf.DUMMYFUNCTION("""COMPUTED_VALUE"""),"GetDataAllocation")</f>
        <v>GetDataAllocation</v>
      </c>
      <c r="C7" s="5" t="str">
        <f>IFERROR(__xludf.DUMMYFUNCTION("""COMPUTED_VALUE"""),"1FBTO3wCB7odq-jpQMbYHgSrAL5-rFO2_kp9Kr2iXqXE")</f>
        <v>1FBTO3wCB7odq-jpQMbYHgSrAL5-rFO2_kp9Kr2iXqXE</v>
      </c>
      <c r="D7" s="5" t="str">
        <f>IFERROR(__xludf.DUMMYFUNCTION("""COMPUTED_VALUE"""),"")</f>
        <v/>
      </c>
      <c r="E7" s="5" t="str">
        <f>IFERROR(__xludf.DUMMYFUNCTION("""COMPUTED_VALUE"""),"")</f>
        <v/>
      </c>
      <c r="F7" s="5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5" t="str">
        <f>IFERROR(__xludf.DUMMYFUNCTION("""COMPUTED_VALUE"""),"Allocation")</f>
        <v>Allocation</v>
      </c>
      <c r="B8" s="5" t="str">
        <f>IFERROR(__xludf.DUMMYFUNCTION("""COMPUTED_VALUE"""),"SelectAllocatedGroup")</f>
        <v>SelectAllocatedGroup</v>
      </c>
      <c r="C8" s="5" t="str">
        <f>IFERROR(__xludf.DUMMYFUNCTION("""COMPUTED_VALUE"""),"1G0ZkXDrIDX_loGmAyLs_Shy8hExtTELtFXERbX-HdPo")</f>
        <v>1G0ZkXDrIDX_loGmAyLs_Shy8hExtTELtFXERbX-HdPo</v>
      </c>
      <c r="D8" s="5" t="str">
        <f>IFERROR(__xludf.DUMMYFUNCTION("""COMPUTED_VALUE"""),"")</f>
        <v/>
      </c>
      <c r="E8" s="5" t="str">
        <f>IFERROR(__xludf.DUMMYFUNCTION("""COMPUTED_VALUE"""),"")</f>
        <v/>
      </c>
      <c r="F8" s="5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5" t="str">
        <f>IFERROR(__xludf.DUMMYFUNCTION("""COMPUTED_VALUE"""),"Allocation")</f>
        <v>Allocation</v>
      </c>
      <c r="B9" s="5" t="str">
        <f>IFERROR(__xludf.DUMMYFUNCTION("""COMPUTED_VALUE"""),"EditTradesAllocated")</f>
        <v>EditTradesAllocated</v>
      </c>
      <c r="C9" s="5" t="str">
        <f>IFERROR(__xludf.DUMMYFUNCTION("""COMPUTED_VALUE"""),"1YgVZ1jEVgjUF1Dp8FAj_W_zLEZCyqvNMlWJIg0Tmkq4")</f>
        <v>1YgVZ1jEVgjUF1Dp8FAj_W_zLEZCyqvNMlWJIg0Tmkq4</v>
      </c>
      <c r="D9" s="5" t="str">
        <f>IFERROR(__xludf.DUMMYFUNCTION("""COMPUTED_VALUE"""),"")</f>
        <v/>
      </c>
      <c r="E9" s="5" t="str">
        <f>IFERROR(__xludf.DUMMYFUNCTION("""COMPUTED_VALUE"""),"")</f>
        <v/>
      </c>
      <c r="F9" s="5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5" t="str">
        <f>IFERROR(__xludf.DUMMYFUNCTION("""COMPUTED_VALUE"""),"Allocation")</f>
        <v>Allocation</v>
      </c>
      <c r="B10" s="5" t="str">
        <f>IFERROR(__xludf.DUMMYFUNCTION("""COMPUTED_VALUE"""),"EditTradesUnallocated")</f>
        <v>EditTradesUnallocated</v>
      </c>
      <c r="C10" s="5" t="str">
        <f>IFERROR(__xludf.DUMMYFUNCTION("""COMPUTED_VALUE"""),"1MyB61T39MDAUyQqCUJLATzUT2f5UlE8nFq4ltWy_DJ4")</f>
        <v>1MyB61T39MDAUyQqCUJLATzUT2f5UlE8nFq4ltWy_DJ4</v>
      </c>
      <c r="D10" s="5" t="str">
        <f>IFERROR(__xludf.DUMMYFUNCTION("""COMPUTED_VALUE"""),"")</f>
        <v/>
      </c>
      <c r="E10" s="5" t="str">
        <f>IFERROR(__xludf.DUMMYFUNCTION("""COMPUTED_VALUE"""),"")</f>
        <v/>
      </c>
      <c r="F10" s="5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5" t="str">
        <f>IFERROR(__xludf.DUMMYFUNCTION("""COMPUTED_VALUE"""),"Allocation")</f>
        <v>Allocation</v>
      </c>
      <c r="B11" s="5" t="str">
        <f>IFERROR(__xludf.DUMMYFUNCTION("""COMPUTED_VALUE"""),"Reallocate")</f>
        <v>Reallocate</v>
      </c>
      <c r="C11" s="5" t="str">
        <f>IFERROR(__xludf.DUMMYFUNCTION("""COMPUTED_VALUE"""),"undefined")</f>
        <v>undefined</v>
      </c>
      <c r="D11" s="5" t="str">
        <f>IFERROR(__xludf.DUMMYFUNCTION("""COMPUTED_VALUE"""),"")</f>
        <v/>
      </c>
      <c r="E11" s="5" t="str">
        <f>IFERROR(__xludf.DUMMYFUNCTION("""COMPUTED_VALUE"""),"")</f>
        <v/>
      </c>
      <c r="F11" s="5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5" t="str">
        <f>IFERROR(__xludf.DUMMYFUNCTION("""COMPUTED_VALUE"""),"Blotter")</f>
        <v>Blotter</v>
      </c>
      <c r="B12" s="5" t="str">
        <f>IFERROR(__xludf.DUMMYFUNCTION("""COMPUTED_VALUE"""),"ReplaceFillsOnBlotter")</f>
        <v>ReplaceFillsOnBlotter</v>
      </c>
      <c r="C12" s="5" t="str">
        <f>IFERROR(__xludf.DUMMYFUNCTION("""COMPUTED_VALUE"""),"undefined")</f>
        <v>undefined</v>
      </c>
      <c r="D12" s="5" t="str">
        <f>IFERROR(__xludf.DUMMYFUNCTION("""COMPUTED_VALUE"""),"")</f>
        <v/>
      </c>
      <c r="E12" s="5" t="str">
        <f>IFERROR(__xludf.DUMMYFUNCTION("""COMPUTED_VALUE"""),"")</f>
        <v/>
      </c>
      <c r="F12" s="5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5" t="str">
        <f>IFERROR(__xludf.DUMMYFUNCTION("""COMPUTED_VALUE"""),"Blotter")</f>
        <v>Blotter</v>
      </c>
      <c r="B13" s="5" t="str">
        <f>IFERROR(__xludf.DUMMYFUNCTION("""COMPUTED_VALUE"""),"CheckBlotter")</f>
        <v>CheckBlotter</v>
      </c>
      <c r="C13" s="5" t="str">
        <f>IFERROR(__xludf.DUMMYFUNCTION("""COMPUTED_VALUE"""),"16qheLbvgC92hKxalWDlpWfHBMyDDVqHERUCc7bQiO2A")</f>
        <v>16qheLbvgC92hKxalWDlpWfHBMyDDVqHERUCc7bQiO2A</v>
      </c>
      <c r="D13" s="5" t="str">
        <f>IFERROR(__xludf.DUMMYFUNCTION("""COMPUTED_VALUE"""),"")</f>
        <v/>
      </c>
      <c r="E13" s="5" t="str">
        <f>IFERROR(__xludf.DUMMYFUNCTION("""COMPUTED_VALUE"""),"")</f>
        <v/>
      </c>
      <c r="F13" s="5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5" t="str">
        <f>IFERROR(__xludf.DUMMYFUNCTION("""COMPUTED_VALUE"""),"GeneralLedger")</f>
        <v>GeneralLedger</v>
      </c>
      <c r="B14" s="5" t="str">
        <f>IFERROR(__xludf.DUMMYFUNCTION("""COMPUTED_VALUE"""),"GetDataCash")</f>
        <v>GetDataCash</v>
      </c>
      <c r="C14" s="5" t="str">
        <f>IFERROR(__xludf.DUMMYFUNCTION("""COMPUTED_VALUE"""),"1zLd3ju-mV8f6PZiQUYLU-cAgAUwLwyoIAKuu0WgG2zI")</f>
        <v>1zLd3ju-mV8f6PZiQUYLU-cAgAUwLwyoIAKuu0WgG2zI</v>
      </c>
      <c r="D14" s="5" t="str">
        <f>IFERROR(__xludf.DUMMYFUNCTION("""COMPUTED_VALUE"""),"")</f>
        <v/>
      </c>
      <c r="E14" s="5" t="str">
        <f>IFERROR(__xludf.DUMMYFUNCTION("""COMPUTED_VALUE"""),"")</f>
        <v/>
      </c>
      <c r="F14" s="5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5" t="str">
        <f>IFERROR(__xludf.DUMMYFUNCTION("""COMPUTED_VALUE"""),"GeneralLedger")</f>
        <v>GeneralLedger</v>
      </c>
      <c r="B15" s="5" t="str">
        <f>IFERROR(__xludf.DUMMYFUNCTION("""COMPUTED_VALUE"""),"EnterCashDividends")</f>
        <v>EnterCashDividends</v>
      </c>
      <c r="C15" s="5" t="str">
        <f>IFERROR(__xludf.DUMMYFUNCTION("""COMPUTED_VALUE"""),"1sjDsI5FIL_l_G6osMJQ7e8auBgYd3R3JDaKWKV_8Og0")</f>
        <v>1sjDsI5FIL_l_G6osMJQ7e8auBgYd3R3JDaKWKV_8Og0</v>
      </c>
      <c r="D15" s="5" t="str">
        <f>IFERROR(__xludf.DUMMYFUNCTION("""COMPUTED_VALUE"""),"")</f>
        <v/>
      </c>
      <c r="E15" s="5" t="str">
        <f>IFERROR(__xludf.DUMMYFUNCTION("""COMPUTED_VALUE"""),"")</f>
        <v/>
      </c>
      <c r="F15" s="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5" t="str">
        <f>IFERROR(__xludf.DUMMYFUNCTION("""COMPUTED_VALUE"""),"GeneralLedger")</f>
        <v>GeneralLedger</v>
      </c>
      <c r="B16" s="5" t="str">
        <f>IFERROR(__xludf.DUMMYFUNCTION("""COMPUTED_VALUE"""),"EnterNonTradingTransaction")</f>
        <v>EnterNonTradingTransaction</v>
      </c>
      <c r="C16" s="5" t="str">
        <f>IFERROR(__xludf.DUMMYFUNCTION("""COMPUTED_VALUE"""),"1xn1P_Z-3N4d2BC1SUPly2HiVZazly5ZQcS18BfaTyho")</f>
        <v>1xn1P_Z-3N4d2BC1SUPly2HiVZazly5ZQcS18BfaTyho</v>
      </c>
      <c r="D16" s="5" t="str">
        <f>IFERROR(__xludf.DUMMYFUNCTION("""COMPUTED_VALUE"""),"")</f>
        <v/>
      </c>
      <c r="E16" s="5" t="str">
        <f>IFERROR(__xludf.DUMMYFUNCTION("""COMPUTED_VALUE"""),"")</f>
        <v/>
      </c>
      <c r="F16" s="5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5" t="str">
        <f>IFERROR(__xludf.DUMMYFUNCTION("""COMPUTED_VALUE"""),"GeneralLedger")</f>
        <v>GeneralLedger</v>
      </c>
      <c r="B17" s="5" t="str">
        <f>IFERROR(__xludf.DUMMYFUNCTION("""COMPUTED_VALUE"""),"VerifyCash")</f>
        <v>VerifyCash</v>
      </c>
      <c r="C17" s="5" t="str">
        <f>IFERROR(__xludf.DUMMYFUNCTION("""COMPUTED_VALUE"""),"1vlvYPsiFAWjsnFrbkGn_fAvkwF00V3e7htalalU6QN4")</f>
        <v>1vlvYPsiFAWjsnFrbkGn_fAvkwF00V3e7htalalU6QN4</v>
      </c>
      <c r="D17" s="5" t="str">
        <f>IFERROR(__xludf.DUMMYFUNCTION("""COMPUTED_VALUE"""),"")</f>
        <v/>
      </c>
      <c r="E17" s="5" t="str">
        <f>IFERROR(__xludf.DUMMYFUNCTION("""COMPUTED_VALUE"""),"")</f>
        <v/>
      </c>
      <c r="F17" s="5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5" t="str">
        <f>IFERROR(__xludf.DUMMYFUNCTION("""COMPUTED_VALUE"""),"GeneralLedger")</f>
        <v>GeneralLedger</v>
      </c>
      <c r="B18" s="5" t="str">
        <f>IFERROR(__xludf.DUMMYFUNCTION("""COMPUTED_VALUE"""),"VerifyActivity")</f>
        <v>VerifyActivity</v>
      </c>
      <c r="C18" s="5" t="str">
        <f>IFERROR(__xludf.DUMMYFUNCTION("""COMPUTED_VALUE"""),"1o2rCg2FuoAOT5Pl8i4iFP_TwpPm0UB1dd49GbpkytfM")</f>
        <v>1o2rCg2FuoAOT5Pl8i4iFP_TwpPm0UB1dd49GbpkytfM</v>
      </c>
      <c r="D18" s="5" t="str">
        <f>IFERROR(__xludf.DUMMYFUNCTION("""COMPUTED_VALUE"""),"")</f>
        <v/>
      </c>
      <c r="E18" s="5" t="str">
        <f>IFERROR(__xludf.DUMMYFUNCTION("""COMPUTED_VALUE"""),"")</f>
        <v/>
      </c>
      <c r="F18" s="5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5" t="str">
        <f>IFERROR(__xludf.DUMMYFUNCTION("""COMPUTED_VALUE"""),"GeneralLedger")</f>
        <v>GeneralLedger</v>
      </c>
      <c r="B19" s="5" t="str">
        <f>IFERROR(__xludf.DUMMYFUNCTION("""COMPUTED_VALUE"""),"VerifyTradingTransaction")</f>
        <v>VerifyTradingTransaction</v>
      </c>
      <c r="C19" s="5" t="str">
        <f>IFERROR(__xludf.DUMMYFUNCTION("""COMPUTED_VALUE"""),"1_v2niCJ9VGNvgEBpvz030BFqEISSUhYRHyWcAJAn_Eg")</f>
        <v>1_v2niCJ9VGNvgEBpvz030BFqEISSUhYRHyWcAJAn_Eg</v>
      </c>
      <c r="D19" s="5" t="str">
        <f>IFERROR(__xludf.DUMMYFUNCTION("""COMPUTED_VALUE"""),"")</f>
        <v/>
      </c>
      <c r="E19" s="5" t="str">
        <f>IFERROR(__xludf.DUMMYFUNCTION("""COMPUTED_VALUE"""),"")</f>
        <v/>
      </c>
      <c r="F19" s="5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5" t="str">
        <f>IFERROR(__xludf.DUMMYFUNCTION("""COMPUTED_VALUE"""),"GeneralLedger")</f>
        <v>GeneralLedger</v>
      </c>
      <c r="B20" s="5" t="str">
        <f>IFERROR(__xludf.DUMMYFUNCTION("""COMPUTED_VALUE"""),"VerifyRevaluationData")</f>
        <v>VerifyRevaluationData</v>
      </c>
      <c r="C20" s="5" t="str">
        <f>IFERROR(__xludf.DUMMYFUNCTION("""COMPUTED_VALUE"""),"1hsRs1-LY0akTrMe91ArnbLtk6GUy_bKxVwMYCaiMs-8")</f>
        <v>1hsRs1-LY0akTrMe91ArnbLtk6GUy_bKxVwMYCaiMs-8</v>
      </c>
      <c r="D20" s="5" t="str">
        <f>IFERROR(__xludf.DUMMYFUNCTION("""COMPUTED_VALUE"""),"")</f>
        <v/>
      </c>
      <c r="E20" s="5" t="str">
        <f>IFERROR(__xludf.DUMMYFUNCTION("""COMPUTED_VALUE"""),"")</f>
        <v/>
      </c>
      <c r="F20" s="5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5" t="str">
        <f>IFERROR(__xludf.DUMMYFUNCTION("""COMPUTED_VALUE"""),"CorporateAction")</f>
        <v>CorporateAction</v>
      </c>
      <c r="B21" s="5" t="str">
        <f>IFERROR(__xludf.DUMMYFUNCTION("""COMPUTED_VALUE"""),"CorporateAction")</f>
        <v>CorporateAction</v>
      </c>
      <c r="C21" s="5" t="str">
        <f>IFERROR(__xludf.DUMMYFUNCTION("""COMPUTED_VALUE"""),"14rwUHTx4auE_hf60WN-tNOx3atNg7QGvErWNwVQIRqE")</f>
        <v>14rwUHTx4auE_hf60WN-tNOx3atNg7QGvErWNwVQIRqE</v>
      </c>
      <c r="D21" s="5" t="str">
        <f>IFERROR(__xludf.DUMMYFUNCTION("""COMPUTED_VALUE"""),"")</f>
        <v/>
      </c>
      <c r="E21" s="5" t="str">
        <f>IFERROR(__xludf.DUMMYFUNCTION("""COMPUTED_VALUE"""),"")</f>
        <v/>
      </c>
      <c r="F21" s="5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5" t="str">
        <f>IFERROR(__xludf.DUMMYFUNCTION("""COMPUTED_VALUE"""),"CreateTransaction")</f>
        <v>CreateTransaction</v>
      </c>
      <c r="B22" s="5" t="str">
        <f>IFERROR(__xludf.DUMMYFUNCTION("""COMPUTED_VALUE"""),"CreateTransaction")</f>
        <v>CreateTransaction</v>
      </c>
      <c r="C22" s="5" t="str">
        <f>IFERROR(__xludf.DUMMYFUNCTION("""COMPUTED_VALUE"""),"1amshi8Ns36lsDpccBK0y_9bL_pQ2rHdGNYypcgzceUg")</f>
        <v>1amshi8Ns36lsDpccBK0y_9bL_pQ2rHdGNYypcgzceUg</v>
      </c>
      <c r="D22" s="5" t="str">
        <f>IFERROR(__xludf.DUMMYFUNCTION("""COMPUTED_VALUE"""),"")</f>
        <v/>
      </c>
      <c r="E22" s="5" t="str">
        <f>IFERROR(__xludf.DUMMYFUNCTION("""COMPUTED_VALUE"""),"")</f>
        <v/>
      </c>
      <c r="F22" s="5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5" t="str">
        <f>IFERROR(__xludf.DUMMYFUNCTION("""COMPUTED_VALUE"""),"DailyValuation")</f>
        <v>DailyValuation</v>
      </c>
      <c r="B23" s="5" t="str">
        <f>IFERROR(__xludf.DUMMYFUNCTION("""COMPUTED_VALUE"""),"UpdateBeta")</f>
        <v>UpdateBeta</v>
      </c>
      <c r="C23" s="5" t="str">
        <f>IFERROR(__xludf.DUMMYFUNCTION("""COMPUTED_VALUE"""),"1YKttwHsdIskNDoo0Sl7HF2DWikROW-KA05qfT3GLIyI")</f>
        <v>1YKttwHsdIskNDoo0Sl7HF2DWikROW-KA05qfT3GLIyI</v>
      </c>
      <c r="D23" s="5" t="str">
        <f>IFERROR(__xludf.DUMMYFUNCTION("""COMPUTED_VALUE"""),"")</f>
        <v/>
      </c>
      <c r="E23" s="5" t="str">
        <f>IFERROR(__xludf.DUMMYFUNCTION("""COMPUTED_VALUE"""),"")</f>
        <v/>
      </c>
      <c r="F23" s="5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5" t="str">
        <f>IFERROR(__xludf.DUMMYFUNCTION("""COMPUTED_VALUE"""),"DailyValuation")</f>
        <v>DailyValuation</v>
      </c>
      <c r="B24" s="5" t="str">
        <f>IFERROR(__xludf.DUMMYFUNCTION("""COMPUTED_VALUE"""),"UpdateDailyCash")</f>
        <v>UpdateDailyCash</v>
      </c>
      <c r="C24" s="5" t="str">
        <f>IFERROR(__xludf.DUMMYFUNCTION("""COMPUTED_VALUE"""),"1YJ2rTp-OqQTGjubvs_cBC6fl0l94pyHI2eaLJzbddS4")</f>
        <v>1YJ2rTp-OqQTGjubvs_cBC6fl0l94pyHI2eaLJzbddS4</v>
      </c>
      <c r="D24" s="5" t="str">
        <f>IFERROR(__xludf.DUMMYFUNCTION("""COMPUTED_VALUE"""),"")</f>
        <v/>
      </c>
      <c r="E24" s="5" t="str">
        <f>IFERROR(__xludf.DUMMYFUNCTION("""COMPUTED_VALUE"""),"")</f>
        <v/>
      </c>
      <c r="F24" s="5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5" t="str">
        <f>IFERROR(__xludf.DUMMYFUNCTION("""COMPUTED_VALUE"""),"DailyValuation")</f>
        <v>DailyValuation</v>
      </c>
      <c r="B25" s="5" t="str">
        <f>IFERROR(__xludf.DUMMYFUNCTION("""COMPUTED_VALUE"""),"UpdateForexConversion")</f>
        <v>UpdateForexConversion</v>
      </c>
      <c r="C25" s="5" t="str">
        <f>IFERROR(__xludf.DUMMYFUNCTION("""COMPUTED_VALUE"""),"1mLyEfNTVFd65cnE6GfgCRD6TdpKg1BgqNIDjHCFzyO4")</f>
        <v>1mLyEfNTVFd65cnE6GfgCRD6TdpKg1BgqNIDjHCFzyO4</v>
      </c>
      <c r="D25" s="5" t="str">
        <f>IFERROR(__xludf.DUMMYFUNCTION("""COMPUTED_VALUE"""),"")</f>
        <v/>
      </c>
      <c r="E25" s="5" t="str">
        <f>IFERROR(__xludf.DUMMYFUNCTION("""COMPUTED_VALUE"""),"")</f>
        <v/>
      </c>
      <c r="F25" s="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5" t="str">
        <f>IFERROR(__xludf.DUMMYFUNCTION("""COMPUTED_VALUE"""),"DailyValuation")</f>
        <v>DailyValuation</v>
      </c>
      <c r="B26" s="5" t="str">
        <f>IFERROR(__xludf.DUMMYFUNCTION("""COMPUTED_VALUE"""),"UpdateMarkPrice")</f>
        <v>UpdateMarkPrice</v>
      </c>
      <c r="C26" s="5" t="str">
        <f>IFERROR(__xludf.DUMMYFUNCTION("""COMPUTED_VALUE"""),"1M8d9TyOhMnA65NSIYvS6dR68SH5RL6oKahd6uz7yp6c")</f>
        <v>1M8d9TyOhMnA65NSIYvS6dR68SH5RL6oKahd6uz7yp6c</v>
      </c>
      <c r="D26" s="5" t="str">
        <f>IFERROR(__xludf.DUMMYFUNCTION("""COMPUTED_VALUE"""),"")</f>
        <v/>
      </c>
      <c r="E26" s="5" t="str">
        <f>IFERROR(__xludf.DUMMYFUNCTION("""COMPUTED_VALUE"""),"")</f>
        <v/>
      </c>
      <c r="F26" s="5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5" t="str">
        <f>IFERROR(__xludf.DUMMYFUNCTION("""COMPUTED_VALUE"""),"Import")</f>
        <v>Import</v>
      </c>
      <c r="B27" s="5" t="str">
        <f>IFERROR(__xludf.DUMMYFUNCTION("""COMPUTED_VALUE"""),"Import")</f>
        <v>Import</v>
      </c>
      <c r="C27" s="5" t="str">
        <f>IFERROR(__xludf.DUMMYFUNCTION("""COMPUTED_VALUE"""),"1Q5uOVYo1NMRks6hQRJuV8XWMPb6VFEAbSzpgP1dot1I")</f>
        <v>1Q5uOVYo1NMRks6hQRJuV8XWMPb6VFEAbSzpgP1dot1I</v>
      </c>
      <c r="D27" s="5" t="str">
        <f>IFERROR(__xludf.DUMMYFUNCTION("""COMPUTED_VALUE"""),"")</f>
        <v/>
      </c>
      <c r="E27" s="5" t="str">
        <f>IFERROR(__xludf.DUMMYFUNCTION("""COMPUTED_VALUE"""),"")</f>
        <v/>
      </c>
      <c r="F27" s="5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5" t="str">
        <f>IFERROR(__xludf.DUMMYFUNCTION("""COMPUTED_VALUE"""),"PortfolioManagement")</f>
        <v>PortfolioManagement</v>
      </c>
      <c r="B28" s="5" t="str">
        <f>IFERROR(__xludf.DUMMYFUNCTION("""COMPUTED_VALUE"""),"CheckDashboardPM")</f>
        <v>CheckDashboardPM</v>
      </c>
      <c r="C28" s="5" t="str">
        <f>IFERROR(__xludf.DUMMYFUNCTION("""COMPUTED_VALUE"""),"1iqfUyYqyebXIeNBGljH7-T8whBcywTlkBBU3dBZV06s")</f>
        <v>1iqfUyYqyebXIeNBGljH7-T8whBcywTlkBBU3dBZV06s</v>
      </c>
      <c r="D28" s="5" t="str">
        <f>IFERROR(__xludf.DUMMYFUNCTION("""COMPUTED_VALUE"""),"")</f>
        <v/>
      </c>
      <c r="E28" s="5" t="str">
        <f>IFERROR(__xludf.DUMMYFUNCTION("""COMPUTED_VALUE"""),"")</f>
        <v/>
      </c>
      <c r="F28" s="5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5" t="str">
        <f>IFERROR(__xludf.DUMMYFUNCTION("""COMPUTED_VALUE"""),"PortfolioManagement")</f>
        <v>PortfolioManagement</v>
      </c>
      <c r="B29" s="5" t="str">
        <f>IFERROR(__xludf.DUMMYFUNCTION("""COMPUTED_VALUE"""),"CheckPortfolioManagement")</f>
        <v>CheckPortfolioManagement</v>
      </c>
      <c r="C29" s="5" t="str">
        <f>IFERROR(__xludf.DUMMYFUNCTION("""COMPUTED_VALUE"""),"1u0XMlZJy_Slp7uXMwirinW7StOOdTcWD-D8V07sO0VA")</f>
        <v>1u0XMlZJy_Slp7uXMwirinW7StOOdTcWD-D8V07sO0VA</v>
      </c>
      <c r="D29" s="5" t="str">
        <f>IFERROR(__xludf.DUMMYFUNCTION("""COMPUTED_VALUE"""),"")</f>
        <v/>
      </c>
      <c r="E29" s="5" t="str">
        <f>IFERROR(__xludf.DUMMYFUNCTION("""COMPUTED_VALUE"""),"")</f>
        <v/>
      </c>
      <c r="F29" s="5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5" t="str">
        <f>IFERROR(__xludf.DUMMYFUNCTION("""COMPUTED_VALUE"""),"PricingInput")</f>
        <v>PricingInput</v>
      </c>
      <c r="B30" s="5" t="str">
        <f>IFERROR(__xludf.DUMMYFUNCTION("""COMPUTED_VALUE"""),"PricingInput")</f>
        <v>PricingInput</v>
      </c>
      <c r="C30" s="5" t="str">
        <f>IFERROR(__xludf.DUMMYFUNCTION("""COMPUTED_VALUE"""),"1mh3Z5PifhJ3yzX8TPeoc3H3nteNiA0V2tWFse0rVChE")</f>
        <v>1mh3Z5PifhJ3yzX8TPeoc3H3nteNiA0V2tWFse0rVChE</v>
      </c>
      <c r="D30" s="5" t="str">
        <f>IFERROR(__xludf.DUMMYFUNCTION("""COMPUTED_VALUE"""),"")</f>
        <v/>
      </c>
      <c r="E30" s="5" t="str">
        <f>IFERROR(__xludf.DUMMYFUNCTION("""COMPUTED_VALUE"""),"")</f>
        <v/>
      </c>
      <c r="F30" s="5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5" t="str">
        <f>IFERROR(__xludf.DUMMYFUNCTION("""COMPUTED_VALUE"""),"PricingInput")</f>
        <v>PricingInput</v>
      </c>
      <c r="B31" s="5" t="str">
        <f>IFERROR(__xludf.DUMMYFUNCTION("""COMPUTED_VALUE"""),"UpdateSharesOutstanding")</f>
        <v>UpdateSharesOutstanding</v>
      </c>
      <c r="C31" s="5" t="str">
        <f>IFERROR(__xludf.DUMMYFUNCTION("""COMPUTED_VALUE"""),"1vmZ6v1OyZ8SSi8bqqjK3ap3KtM_yPA_SEcIQgYiRInY")</f>
        <v>1vmZ6v1OyZ8SSi8bqqjK3ap3KtM_yPA_SEcIQgYiRInY</v>
      </c>
      <c r="D31" s="5" t="str">
        <f>IFERROR(__xludf.DUMMYFUNCTION("""COMPUTED_VALUE"""),"")</f>
        <v/>
      </c>
      <c r="E31" s="5" t="str">
        <f>IFERROR(__xludf.DUMMYFUNCTION("""COMPUTED_VALUE"""),"")</f>
        <v/>
      </c>
      <c r="F31" s="5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5" t="str">
        <f>IFERROR(__xludf.DUMMYFUNCTION("""COMPUTED_VALUE"""),"SymbolLookup")</f>
        <v>SymbolLookup</v>
      </c>
      <c r="B32" s="5" t="str">
        <f>IFERROR(__xludf.DUMMYFUNCTION("""COMPUTED_VALUE"""),"VerifySymbolLookUp")</f>
        <v>VerifySymbolLookUp</v>
      </c>
      <c r="C32" s="5" t="str">
        <f>IFERROR(__xludf.DUMMYFUNCTION("""COMPUTED_VALUE"""),"1OiI1Pi_JAFOFi8ByMaD3_qqEXSv6yQMo_u6aGTozbl8")</f>
        <v>1OiI1Pi_JAFOFi8ByMaD3_qqEXSv6yQMo_u6aGTozbl8</v>
      </c>
      <c r="D32" s="5" t="str">
        <f>IFERROR(__xludf.DUMMYFUNCTION("""COMPUTED_VALUE"""),"")</f>
        <v/>
      </c>
      <c r="E32" s="5" t="str">
        <f>IFERROR(__xludf.DUMMYFUNCTION("""COMPUTED_VALUE"""),"")</f>
        <v/>
      </c>
      <c r="F32" s="5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5" t="str">
        <f>IFERROR(__xludf.DUMMYFUNCTION("""COMPUTED_VALUE"""),"SymbolLookup")</f>
        <v>SymbolLookup</v>
      </c>
      <c r="B33" s="5" t="str">
        <f>IFERROR(__xludf.DUMMYFUNCTION("""COMPUTED_VALUE"""),"SymbolLookupFromTT")</f>
        <v>SymbolLookupFromTT</v>
      </c>
      <c r="C33" s="5" t="str">
        <f>IFERROR(__xludf.DUMMYFUNCTION("""COMPUTED_VALUE"""),"1ubfvE9sHq5KpJ9NazeH96CrVMJqAuol5Ya9GPjxWrgI")</f>
        <v>1ubfvE9sHq5KpJ9NazeH96CrVMJqAuol5Ya9GPjxWrgI</v>
      </c>
      <c r="D33" s="5" t="str">
        <f>IFERROR(__xludf.DUMMYFUNCTION("""COMPUTED_VALUE"""),"")</f>
        <v/>
      </c>
      <c r="E33" s="5" t="str">
        <f>IFERROR(__xludf.DUMMYFUNCTION("""COMPUTED_VALUE"""),"")</f>
        <v/>
      </c>
      <c r="F33" s="5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6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IFERROR(__xludf.DUMMYFUNCTION("""COMPUTED_VALUE"""),"ThirdPartyWork")</f>
        <v>ThirdPartyWork</v>
      </c>
      <c r="C351" t="str">
        <f>IFERROR(__xludf.DUMMYFUNCTION("""COMPUTED_VALUE"""),"undefined")</f>
        <v>undefined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IFERROR(__xludf.DUMMYFUNCTION("""COMPUTED_VALUE"""),"Automation")</f>
        <v>Automation</v>
      </c>
      <c r="C352" t="str">
        <f>IFERROR(__xludf.DUMMYFUNCTION("""COMPUTED_VALUE"""),"undefined")</f>
        <v>undefined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IFERROR(__xludf.DUMMYFUNCTION("""COMPUTED_VALUE"""),"ThirdPartyManagerFunction")</f>
        <v>ThirdPartyManagerFunction</v>
      </c>
      <c r="C353" t="str">
        <f>IFERROR(__xludf.DUMMYFUNCTION("""COMPUTED_VALUE"""),"undefined")</f>
        <v>undefined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IFERROR(__xludf.DUMMYFUNCTION("""COMPUTED_VALUE"""),"OpeningManager")</f>
        <v>OpeningManager</v>
      </c>
      <c r="C354" t="str">
        <f>IFERROR(__xludf.DUMMYFUNCTION("""COMPUTED_VALUE"""),"1F3VrDP9gZVgnN47cnexOSvCPCOWrB5TnPdoVFblX-Hs")</f>
        <v>1F3VrDP9gZVgnN47cnexOSvCPCOWrB5TnPdoVFblX-Hs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IFERROR(__xludf.DUMMYFUNCTION("""COMPUTED_VALUE"""),"SelectFromThirdPartyGrid")</f>
        <v>SelectFromThirdPartyGrid</v>
      </c>
      <c r="C355" t="str">
        <f>IFERROR(__xludf.DUMMYFUNCTION("""COMPUTED_VALUE"""),"1_LSKrymEkIuBeyHqfZI1upyAoiYQgw0S0J0RO7IgiBw")</f>
        <v>1_LSKrymEkIuBeyHqfZI1upyAoiYQgw0S0J0RO7IgiBw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IFERROR(__xludf.DUMMYFUNCTION("""COMPUTED_VALUE"""),"SelectThirdPartyJob")</f>
        <v>SelectThirdPartyJob</v>
      </c>
      <c r="C356" t="str">
        <f>IFERROR(__xludf.DUMMYFUNCTION("""COMPUTED_VALUE"""),"1Q9anI2VDWuslEj_JKPuWlj_ER5paw0uxtF2p1N3mqOA")</f>
        <v>1Q9anI2VDWuslEj_JKPuWlj_ER5paw0uxtF2p1N3mqOA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IFERROR(__xludf.DUMMYFUNCTION("""COMPUTED_VALUE"""),"GenerateAllThirdPartyData")</f>
        <v>GenerateAllThirdPartyData</v>
      </c>
      <c r="C357" t="str">
        <f>IFERROR(__xludf.DUMMYFUNCTION("""COMPUTED_VALUE"""),"1N_tr8KIMlLRSTf8xjI6E_DCsfagISlV95aJSkQKRavk")</f>
        <v>1N_tr8KIMlLRSTf8xjI6E_DCsfagISlV95aJSkQKRavk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IFERROR(__xludf.DUMMYFUNCTION("""COMPUTED_VALUE"""),"SendAllThirdPartyData")</f>
        <v>SendAllThirdPartyData</v>
      </c>
      <c r="C358" t="str">
        <f>IFERROR(__xludf.DUMMYFUNCTION("""COMPUTED_VALUE"""),"1JLfoMbfAcKX8sKuY5GBrk9VURM7QOEybGoh99ESKb-4")</f>
        <v>1JLfoMbfAcKX8sKuY5GBrk9VURM7QOEybGoh99ESKb-4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IFERROR(__xludf.DUMMYFUNCTION("""COMPUTED_VALUE"""),"ThirdParty")</f>
        <v>ThirdParty</v>
      </c>
      <c r="B359" t="str">
        <f>IFERROR(__xludf.DUMMYFUNCTION("""COMPUTED_VALUE"""),"VerifyThirdPartyView")</f>
        <v>VerifyThirdPartyView</v>
      </c>
      <c r="C359" t="str">
        <f>IFERROR(__xludf.DUMMYFUNCTION("""COMPUTED_VALUE"""),"1OPgUZqNYhV3KEPmPCahj5p6WvTvcu6yt-IilVEoYdck")</f>
        <v>1OPgUZqNYhV3KEPmPCahj5p6WvTvcu6yt-IilVEoYdck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IFERROR(__xludf.DUMMYFUNCTION("""COMPUTED_VALUE"""),"CheckCompliance")</f>
        <v>CheckCompliance</v>
      </c>
      <c r="C360" t="str">
        <f>IFERROR(__xludf.DUMMYFUNCTION("""COMPUTED_VALUE"""),"1rHjLXpZjBLQM6QWnpXPgAllc-YEEgN3ft01yzOc3Z_k")</f>
        <v>1rHjLXpZjBLQM6QWnpXPgAllc-YEEgN3ft01yzOc3Z_k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IFERROR(__xludf.DUMMYFUNCTION("""COMPUTED_VALUE"""),"1o2I6wY7Q2ZhQmtkXdRpqlxQVJ8IApk0IcIxM0anIe4E")</f>
        <v>1o2I6wY7Q2ZhQmtkXdRpqlxQVJ8IApk0IcIxM0anIe4E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IFERROR(__xludf.DUMMYFUNCTION("""COMPUTED_VALUE"""),"VerifyAccountSymbolDivisorWindow")</f>
        <v>VerifyAccountSymbolDivisorWindow</v>
      </c>
      <c r="C362" t="str">
        <f>IFERROR(__xludf.DUMMYFUNCTION("""COMPUTED_VALUE"""),"1ADKVvtlUcDE2a_GFsrcnF3qLRtLLDQ1rEJbzQws78i8")</f>
        <v>1ADKVvtlUcDE2a_GFsrcnF3qLRtLLDQ1rEJbzQws78i8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IFERROR(__xludf.DUMMYFUNCTION("""COMPUTED_VALUE"""),"VerifyAggregationAccountSymbolWithNav")</f>
        <v>VerifyAggregationAccountSymbolWithNav</v>
      </c>
      <c r="C363" t="str">
        <f>IFERROR(__xludf.DUMMYFUNCTION("""COMPUTED_VALUE"""),"1lnfZcSlUOa9o7gHKbVZNk25z7jkFzrWO3HCg1iRDEhg")</f>
        <v>1lnfZcSlUOa9o7gHKbVZNk25z7jkFzrWO3HCg1iRDEhg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IFERROR(__xludf.DUMMYFUNCTION("""COMPUTED_VALUE"""),"VerifyAggregationAccountWithNav")</f>
        <v>VerifyAggregationAccountWithNav</v>
      </c>
      <c r="C364" t="str">
        <f>IFERROR(__xludf.DUMMYFUNCTION("""COMPUTED_VALUE"""),"1bVQ8hXYcI8QA4dwbvx9VW307agnDiO6msA8_55Z9Ho4")</f>
        <v>1bVQ8hXYcI8QA4dwbvx9VW307agnDiO6msA8_55Z9Ho4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IFERROR(__xludf.DUMMYFUNCTION("""COMPUTED_VALUE"""),"VerifyAggregationMasterFundSymbolWithNav")</f>
        <v>VerifyAggregationMasterFundSymbolWithNav</v>
      </c>
      <c r="C365" t="str">
        <f>IFERROR(__xludf.DUMMYFUNCTION("""COMPUTED_VALUE"""),"149nnw4Cwl1HHouYCXdqP9R7Mx98I_xiisiVCYk7UJkk")</f>
        <v>149nnw4Cwl1HHouYCXdqP9R7Mx98I_xiisiVCYk7UJkk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IFERROR(__xludf.DUMMYFUNCTION("""COMPUTED_VALUE"""),"VerifyAggregationMasterFundUnderlyingSymbolWithNav")</f>
        <v>VerifyAggregationMasterFundUnderlyingSymbolWithNav</v>
      </c>
      <c r="C366" t="str">
        <f>IFERROR(__xludf.DUMMYFUNCTION("""COMPUTED_VALUE"""),"14DzH-ZDYwWbCfXuBzG8v04Qb1mQp1of2O6GLQXcWMsQ")</f>
        <v>14DzH-ZDYwWbCfXuBzG8v04Qb1mQp1of2O6GLQXcWMsQ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IFERROR(__xludf.DUMMYFUNCTION("""COMPUTED_VALUE"""),"VerifyAggregationMasterFundWithNav")</f>
        <v>VerifyAggregationMasterFundWithNav</v>
      </c>
      <c r="C367" t="str">
        <f>IFERROR(__xludf.DUMMYFUNCTION("""COMPUTED_VALUE"""),"1zsjoqOkIN3nYkIIxRHJMhmyX6J_C62DE3Oo2y7BGdVs")</f>
        <v>1zsjoqOkIN3nYkIIxRHJMhmyX6J_C62DE3Oo2y7BGdVs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IFERROR(__xludf.DUMMYFUNCTION("""COMPUTED_VALUE"""),"VerifyAggregationSectorWithNav")</f>
        <v>VerifyAggregationSectorWithNav</v>
      </c>
      <c r="C368" t="str">
        <f>IFERROR(__xludf.DUMMYFUNCTION("""COMPUTED_VALUE"""),"1PwtsUw7M1uKb7OUFflhtzsANVeSCTOQuOmvDpORnIho")</f>
        <v>1PwtsUw7M1uKb7OUFflhtzsANVeSCTOQuOmvDpORnIho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IFERROR(__xludf.DUMMYFUNCTION("""COMPUTED_VALUE"""),"VerifyAggregationUnderlyingSymbolWithNav")</f>
        <v>VerifyAggregationUnderlyingSymbolWithNav</v>
      </c>
      <c r="C369" t="str">
        <f>IFERROR(__xludf.DUMMYFUNCTION("""COMPUTED_VALUE"""),"176-KXks3ZB5ZHuKBMwUMw29_Cv2044sZyo8Km9DSXhY")</f>
        <v>176-KXks3ZB5ZHuKBMwUMw29_Cv2044sZyo8Km9DSXhY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IFERROR(__xludf.DUMMYFUNCTION("""COMPUTED_VALUE"""),"VerifyAuecWindow")</f>
        <v>VerifyAuecWindow</v>
      </c>
      <c r="C370" t="str">
        <f>IFERROR(__xludf.DUMMYFUNCTION("""COMPUTED_VALUE"""),"16b_2-FgoStwuBkNr_JjCAyklRXIuqbbe3yokDxprokc")</f>
        <v>16b_2-FgoStwuBkNr_JjCAyklRXIuqbbe3yokDxprokc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IFERROR(__xludf.DUMMYFUNCTION("""COMPUTED_VALUE"""),"VerifyBetaWindow")</f>
        <v>VerifyBetaWindow</v>
      </c>
      <c r="C371" t="str">
        <f>IFERROR(__xludf.DUMMYFUNCTION("""COMPUTED_VALUE"""),"1fbKcjC8gLwYcrNAXPL4_1obtoTCCX0MmPEKkR5s582U")</f>
        <v>1fbKcjC8gLwYcrNAXPL4_1obtoTCCX0MmPEKkR5s582U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IFERROR(__xludf.DUMMYFUNCTION("""COMPUTED_VALUE"""),"VerifyCustomSymbolDataWindow")</f>
        <v>VerifyCustomSymbolDataWindow</v>
      </c>
      <c r="C372" t="str">
        <f>IFERROR(__xludf.DUMMYFUNCTION("""COMPUTED_VALUE"""),"1-ro_FbZAIVOSxzuukFA-JqauiFzAp2zzPW1nR5HDbNQ")</f>
        <v>1-ro_FbZAIVOSxzuukFA-JqauiFzAp2zzPW1nR5HDbNQ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IFERROR(__xludf.DUMMYFUNCTION("""COMPUTED_VALUE"""),"VerifyDayEndCashAccountWindow")</f>
        <v>VerifyDayEndCashAccountWindow</v>
      </c>
      <c r="C373" t="str">
        <f>IFERROR(__xludf.DUMMYFUNCTION("""COMPUTED_VALUE"""),"14hibcKhSsVy9-wON6kpUuT3WpnX2wo9pBQzmPi8qLL0")</f>
        <v>14hibcKhSsVy9-wON6kpUuT3WpnX2wo9pBQzmPi8qLL0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IFERROR(__xludf.DUMMYFUNCTION("""COMPUTED_VALUE"""),"VerifyDbNavWindow")</f>
        <v>VerifyDbNavWindow</v>
      </c>
      <c r="C374" t="str">
        <f>IFERROR(__xludf.DUMMYFUNCTION("""COMPUTED_VALUE"""),"18-WlIts2DAJ-WJbsdY1Rpj5dOSmW5uYCwetKlx26fnQ")</f>
        <v>18-WlIts2DAJ-WJbsdY1Rpj5dOSmW5uYCwetKlx26fnQ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IFERROR(__xludf.DUMMYFUNCTION("""COMPUTED_VALUE"""),"VerifyGlobalDivisorWindow")</f>
        <v>VerifyGlobalDivisorWindow</v>
      </c>
      <c r="C375" t="str">
        <f>IFERROR(__xludf.DUMMYFUNCTION("""COMPUTED_VALUE"""),"1z5ONnrNdd3WVB7RZIGa-yHhn0U7mw19K0moh5ObmK-I")</f>
        <v>1z5ONnrNdd3WVB7RZIGa-yHhn0U7mw19K0moh5ObmK-I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IFERROR(__xludf.DUMMYFUNCTION("""COMPUTED_VALUE"""),"VerifyPmCalculationPreferenceWindow")</f>
        <v>VerifyPmCalculationPreferenceWindow</v>
      </c>
      <c r="C376" t="str">
        <f>IFERROR(__xludf.DUMMYFUNCTION("""COMPUTED_VALUE"""),"1yse7cNfakHdRjfRrq1SQW0Yxxopg67W_juGAkOyqHPk")</f>
        <v>1yse7cNfakHdRjfRrq1SQW0Yxxopg67W_juGAkOyqHPk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IFERROR(__xludf.DUMMYFUNCTION("""COMPUTED_VALUE"""),"VerifyRowCalculationBaseWindow")</f>
        <v>VerifyRowCalculationBaseWindow</v>
      </c>
      <c r="C377" t="str">
        <f>IFERROR(__xludf.DUMMYFUNCTION("""COMPUTED_VALUE"""),"16bZAwMHOfN8bD2TadtVor3HvDM0dtF51XYU1iRUEXpQ")</f>
        <v>16bZAwMHOfN8bD2TadtVor3HvDM0dtF51XYU1iRUEXpQ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IFERROR(__xludf.DUMMYFUNCTION("""COMPUTED_VALUE"""),"VerifySecurityWindow")</f>
        <v>VerifySecurityWindow</v>
      </c>
      <c r="C378" t="str">
        <f>IFERROR(__xludf.DUMMYFUNCTION("""COMPUTED_VALUE"""),"1xeK-JWq8oHwAbmnGt_N4qn9Nt8F9XHo5-Mtr0t_7pRw")</f>
        <v>1xeK-JWq8oHwAbmnGt_N4qn9Nt8F9XHo5-Mtr0t_7pRw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IFERROR(__xludf.DUMMYFUNCTION("""COMPUTED_VALUE"""),"VerifySymbolDataWindow")</f>
        <v>VerifySymbolDataWindow</v>
      </c>
      <c r="C379" t="str">
        <f>IFERROR(__xludf.DUMMYFUNCTION("""COMPUTED_VALUE"""),"13iKSNjdwzv3DKe_1fcHZJ8GUk5s-HKAGG5PE6MY-smA")</f>
        <v>13iKSNjdwzv3DKe_1fcHZJ8GUk5s-HKAGG5PE6MY-smA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IFERROR(__xludf.DUMMYFUNCTION("""COMPUTED_VALUE"""),"VerifySymbolDivisorWindow")</f>
        <v>VerifySymbolDivisorWindow</v>
      </c>
      <c r="C380" t="str">
        <f>IFERROR(__xludf.DUMMYFUNCTION("""COMPUTED_VALUE"""),"1uyHz1cQUHCK-GcBufMehtS9i6BspKa5HVCLnf4pfGuk")</f>
        <v>1uyHz1cQUHCK-GcBufMehtS9i6BspKa5HVCLnf4pfGuk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IFERROR(__xludf.DUMMYFUNCTION("""COMPUTED_VALUE"""),"VerifyTaxlotWindow")</f>
        <v>VerifyTaxlotWindow</v>
      </c>
      <c r="C381" t="str">
        <f>IFERROR(__xludf.DUMMYFUNCTION("""COMPUTED_VALUE"""),"1LmfcHeXwbnPa-An0b_OD4pDLm7pUlzSX41G5QZ2Uons")</f>
        <v>1LmfcHeXwbnPa-An0b_OD4pDLm7pUlzSX41G5QZ2Uons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IFERROR(__xludf.DUMMYFUNCTION("""COMPUTED_VALUE"""),"RestartEsper")</f>
        <v>RestartEsper</v>
      </c>
      <c r="C382" t="str">
        <f>IFERROR(__xludf.DUMMYFUNCTION("""COMPUTED_VALUE"""),"undefined")</f>
        <v>undefined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IFERROR(__xludf.DUMMYFUNCTION("""COMPUTED_VALUE"""),"VerifyAccountNavPreferenceWindow")</f>
        <v>VerifyAccountNavPreferenceWindow</v>
      </c>
      <c r="C383" t="str">
        <f>IFERROR(__xludf.DUMMYFUNCTION("""COMPUTED_VALUE"""),"1PbpS5QGNvwJE_YSvMrjHxbUPPQhcUDrQHC4N9KHYjWY")</f>
        <v>1PbpS5QGNvwJE_YSvMrjHxbUPPQhcUDrQHC4N9KHYjWY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VerifyAggregationAccountUnderlyingSymbolWithNav")</f>
        <v> VerifyAggregationAccountUnderlyingSymbolWithNav</v>
      </c>
      <c r="C384" t="str">
        <f>IFERROR(__xludf.DUMMYFUNCTION("""COMPUTED_VALUE"""),"1e43aiziZ9lVzR6j8eABeYJVnCkgU34OcPRcWujsT2Sk")</f>
        <v>1e43aiziZ9lVzR6j8eABeYJVnCkgU34OcPRcWujsT2Sk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IFERROR(__xludf.DUMMYFUNCTION("""COMPUTED_VALUE"""),"VerifyAggregationAssetWithNav")</f>
        <v>VerifyAggregationAssetWithNav</v>
      </c>
      <c r="C385" t="str">
        <f>IFERROR(__xludf.DUMMYFUNCTION("""COMPUTED_VALUE"""),"1etvN2Ze8TA6NI_8xSaOdqLwhWnk9NXKUUDhi-_NctcY")</f>
        <v>1etvN2Ze8TA6NI_8xSaOdqLwhWnk9NXKUUDhi-_NctcY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IFERROR(__xludf.DUMMYFUNCTION("""COMPUTED_VALUE"""),"VerifyAggregationSymbolWithNav")</f>
        <v>VerifyAggregationSymbolWithNav</v>
      </c>
      <c r="C386" t="str">
        <f>IFERROR(__xludf.DUMMYFUNCTION("""COMPUTED_VALUE"""),"13XyCHzB6LhftZ5UNht5K7e3dan_fGbii_TnOOGLwDg0")</f>
        <v>13XyCHzB6LhftZ5UNht5K7e3dan_fGbii_TnOOGLwDg0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IFERROR(__xludf.DUMMYFUNCTION("""COMPUTED_VALUE"""),"VerifyAggregationSubSectorWithNav")</f>
        <v>VerifyAggregationSubSectorWithNav</v>
      </c>
      <c r="C387" t="str">
        <f>IFERROR(__xludf.DUMMYFUNCTION("""COMPUTED_VALUE"""),"1DBHQwTuKH0lzdeBCel_4raYQn6PkkFTYydpCHbsB4Qk")</f>
        <v>1DBHQwTuKH0lzdeBCel_4raYQn6PkkFTYydpCHbsB4Qk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IFERROR(__xludf.DUMMYFUNCTION("""COMPUTED_VALUE"""),"VerifyAggregationGlobalWithNav")</f>
        <v>VerifyAggregationGlobalWithNav</v>
      </c>
      <c r="C388" t="str">
        <f>IFERROR(__xludf.DUMMYFUNCTION("""COMPUTED_VALUE"""),"1XVSAkmIoWI-AC0BHXwWO3TqCkz2uOlJFE5eM6W0_Cew")</f>
        <v>1XVSAkmIoWI-AC0BHXwWO3TqCkz2uOlJFE5eM6W0_Cew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IFERROR(__xludf.DUMMYFUNCTION("""COMPUTED_VALUE"""),"Compliance")</f>
        <v>Compliance</v>
      </c>
      <c r="B389" t="str">
        <f>IFERROR(__xludf.DUMMYFUNCTION("""COMPUTED_VALUE""")," VerifyAggregationGlobalWithNav")</f>
        <v> VerifyAggregationGlobalWithNav</v>
      </c>
      <c r="C389" t="str">
        <f>IFERROR(__xludf.DUMMYFUNCTION("""COMPUTED_VALUE"""),"1XVSAkmIoWI-AC0BHXwWO3TqCkz2uOlJFE5eM6W0_Cew")</f>
        <v>1XVSAkmIoWI-AC0BHXwWO3TqCkz2uOlJFE5eM6W0_Cew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IFERROR(__xludf.DUMMYFUNCTION("""COMPUTED_VALUE"""),"Compliance")</f>
        <v>Compliance</v>
      </c>
      <c r="B390" t="str">
        <f>IFERROR(__xludf.DUMMYFUNCTION("""COMPUTED_VALUE"""),"VerifyGlobalDivisorWindow")</f>
        <v>VerifyGlobalDivisorWindow</v>
      </c>
      <c r="C390" t="str">
        <f>IFERROR(__xludf.DUMMYFUNCTION("""COMPUTED_VALUE"""),"1z5ONnrNdd3WVB7RZIGa-yHhn0U7mw19K0moh5ObmK-I")</f>
        <v>1z5ONnrNdd3WVB7RZIGa-yHhn0U7mw19K0moh5ObmK-I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IFERROR(__xludf.DUMMYFUNCTION("""COMPUTED_VALUE"""),"Compliance")</f>
        <v>Compliance</v>
      </c>
      <c r="B391" t="str">
        <f>IFERROR(__xludf.DUMMYFUNCTION("""COMPUTED_VALUE""")," VerifyAccrualForAccountWindow")</f>
        <v> VerifyAccrualForAccountWindow</v>
      </c>
      <c r="C391" t="str">
        <f>IFERROR(__xludf.DUMMYFUNCTION("""COMPUTED_VALUE"""),"1zKkT3mW6MMJ2tPzzT2fHVQT6vyc0mePzllndBlUl5IM")</f>
        <v>1zKkT3mW6MMJ2tPzzT2fHVQT6vyc0mePzllndBlUl5IM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IFERROR(__xludf.DUMMYFUNCTION("""COMPUTED_VALUE"""),"Compliance")</f>
        <v>Compliance</v>
      </c>
      <c r="B392" t="str">
        <f>IFERROR(__xludf.DUMMYFUNCTION("""COMPUTED_VALUE"""),"VerifyGlobalDivisorWindow")</f>
        <v>VerifyGlobalDivisorWindow</v>
      </c>
      <c r="C392" t="str">
        <f>IFERROR(__xludf.DUMMYFUNCTION("""COMPUTED_VALUE"""),"1z5ONnrNdd3WVB7RZIGa-yHhn0U7mw19K0moh5ObmK-I")</f>
        <v>1z5ONnrNdd3WVB7RZIGa-yHhn0U7mw19K0moh5ObmK-I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IFERROR(__xludf.DUMMYFUNCTION("""COMPUTED_VALUE"""),"Compliance")</f>
        <v>Compliance</v>
      </c>
      <c r="B393" t="str">
        <f>IFERROR(__xludf.DUMMYFUNCTION("""COMPUTED_VALUE"""),"VerifyMasterFundDivisorWindow")</f>
        <v>VerifyMasterFundDivisorWindow</v>
      </c>
      <c r="C393" t="str">
        <f>IFERROR(__xludf.DUMMYFUNCTION("""COMPUTED_VALUE"""),"13rWeedH_MlhhxYACJeLeckVtBWejh246MGPN4QQpmMM")</f>
        <v>13rWeedH_MlhhxYACJeLeckVtBWejh246MGPN4QQpmMM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IFERROR(__xludf.DUMMYFUNCTION("""COMPUTED_VALUE"""),"Compliance")</f>
        <v>Compliance</v>
      </c>
      <c r="B394" t="str">
        <f>IFERROR(__xludf.DUMMYFUNCTION("""COMPUTED_VALUE"""),"VerifyMasterFundSymbolDivisorWindow")</f>
        <v>VerifyMasterFundSymbolDivisorWindow</v>
      </c>
      <c r="C394" t="str">
        <f>IFERROR(__xludf.DUMMYFUNCTION("""COMPUTED_VALUE"""),"1YPctyrs3yMgf0X1_jVz3LRORCo4B4cNqbyc_K0FujO0")</f>
        <v>1YPctyrs3yMgf0X1_jVz3LRORCo4B4cNqbyc_K0FujO0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IFERROR(__xludf.DUMMYFUNCTION("""COMPUTED_VALUE"""),"FetchAccountPositions")</f>
        <v>FetchAccountPositions</v>
      </c>
      <c r="C395" t="str">
        <f>IFERROR(__xludf.DUMMYFUNCTION("""COMPUTED_VALUE"""),"1BeNn_44h4ClIE46em_ho4qgzGnXy_GxtYTH3cBmtKPk")</f>
        <v>1BeNn_44h4ClIE46em_ho4qgzGnXy_GxtYTH3cBmtKPk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IFERROR(__xludf.DUMMYFUNCTION("""COMPUTED_VALUE"""),"Rebalancer")</f>
        <v>Rebalancer</v>
      </c>
      <c r="B396" t="str">
        <f>IFERROR(__xludf.DUMMYFUNCTION("""COMPUTED_VALUE"""),"AddCash")</f>
        <v>AddCash</v>
      </c>
      <c r="C396" t="str">
        <f>IFERROR(__xludf.DUMMYFUNCTION("""COMPUTED_VALUE"""),"1jkLpZFgLuRokIigwbjW9_Z47rlvj-YDlRcP_c4XkP_k")</f>
        <v>1jkLpZFgLuRokIigwbjW9_Z47rlvj-YDlRcP_c4XkP_k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IFERROR(__xludf.DUMMYFUNCTION("""COMPUTED_VALUE"""),"VerifyGridData")</f>
        <v>VerifyGridData</v>
      </c>
      <c r="C397" t="str">
        <f>IFERROR(__xludf.DUMMYFUNCTION("""COMPUTED_VALUE"""),"1mspGsgTjI-yT8NsZKZn8moOE-Vp0hoNdUziI1pFBq0I")</f>
        <v>1mspGsgTjI-yT8NsZKZn8moOE-Vp0hoNdUziI1pFBq0I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IFERROR(__xludf.DUMMYFUNCTION("""COMPUTED_VALUE"""),"RunRebalance")</f>
        <v>RunRebalance</v>
      </c>
      <c r="C398" t="str">
        <f>IFERROR(__xludf.DUMMYFUNCTION("""COMPUTED_VALUE"""),"1B2L3J6YUrDWz8rRtdvv0lYDQvnH8nYkmqQm12ZwK7jc")</f>
        <v>1B2L3J6YUrDWz8rRtdvv0lYDQvnH8nYkmqQm12ZwK7jc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IFERROR(__xludf.DUMMYFUNCTION("""COMPUTED_VALUE"""),"SelectTrade")</f>
        <v>SelectTrade</v>
      </c>
      <c r="C399" t="str">
        <f>IFERROR(__xludf.DUMMYFUNCTION("""COMPUTED_VALUE"""),"1FTTZIzpIKJz6P-IPbrA5EPTxiMe2ARbyGfgsnMXlct4")</f>
        <v>1FTTZIzpIKJz6P-IPbrA5EPTxiMe2ARbyGfgsnMXlct4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IFERROR(__xludf.DUMMYFUNCTION("""COMPUTED_VALUE"""),"AcknowledgeTrade")</f>
        <v>AcknowledgeTrade</v>
      </c>
      <c r="C400" t="str">
        <f>IFERROR(__xludf.DUMMYFUNCTION("""COMPUTED_VALUE"""),"1sQAsvIkAT3oSRlv0P4ERgM6O-p9EGHnCNRCfZZ6EKPM")</f>
        <v>1sQAsvIkAT3oSRlv0P4ERgM6O-p9EGHnCNRCfZZ6EKPM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IFERROR(__xludf.DUMMYFUNCTION("""COMPUTED_VALUE"""),"RejectTrade")</f>
        <v>RejectTrade</v>
      </c>
      <c r="C401" t="str">
        <f>IFERROR(__xludf.DUMMYFUNCTION("""COMPUTED_VALUE"""),"18DR7gQzurIoB_fivnSt8QoqUWcLVRpZQSDr37UqoXKU")</f>
        <v>18DR7gQzurIoB_fivnSt8QoqUWcLVRpZQSDr37UqoXKU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IFERROR(__xludf.DUMMYFUNCTION("""COMPUTED_VALUE"""),"ExecuteTrade")</f>
        <v>ExecuteTrade</v>
      </c>
      <c r="C402" t="str">
        <f>IFERROR(__xludf.DUMMYFUNCTION("""COMPUTED_VALUE"""),"1pp_DAI1bHvMNnrEvw8O7TeJWebgUjt3FSsdgjVWeJkE")</f>
        <v>1pp_DAI1bHvMNnrEvw8O7TeJWebgUjt3FSsdgjVWeJkE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IFERROR(__xludf.DUMMYFUNCTION("""COMPUTED_VALUE"""),"CancelTrade")</f>
        <v>CancelTrade</v>
      </c>
      <c r="C403" t="str">
        <f>IFERROR(__xludf.DUMMYFUNCTION("""COMPUTED_VALUE"""),"1hX7-3j5InwEYhwGhZXePVHcW-9vxINkOET671xdWGsc")</f>
        <v>1hX7-3j5InwEYhwGhZXePVHcW-9vxINkOET671xdWGsc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IFERROR(__xludf.DUMMYFUNCTION("""COMPUTED_VALUE"""),"OpenLiveTT")</f>
        <v>OpenLiveTT</v>
      </c>
      <c r="C404" t="str">
        <f>IFERROR(__xludf.DUMMYFUNCTION("""COMPUTED_VALUE"""),"1q3BIdA-Gau2cX2cBnlgy7eas26rbuZEdQMfROhYvOgI")</f>
        <v>1q3BIdA-Gau2cX2cBnlgy7eas26rbuZEdQMfROhYvOgI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IFERROR(__xludf.DUMMYFUNCTION("""COMPUTED_VALUE"""),"TradingTicket")</f>
        <v>TradingTicket</v>
      </c>
      <c r="B405" t="str">
        <f>IFERROR(__xludf.DUMMYFUNCTION("""COMPUTED_VALUE"""),"CreateLiveOrder")</f>
        <v>CreateLiveOrder</v>
      </c>
      <c r="C405" t="str">
        <f>IFERROR(__xludf.DUMMYFUNCTION("""COMPUTED_VALUE"""),"115Bw2-ohdF1ilHcVpmgJ2DX9SJjX1zI-6SvF3CpCjm8")</f>
        <v>115Bw2-ohdF1ilHcVpmgJ2DX9SJjX1zI-6SvF3CpCjm8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IFERROR(__xludf.DUMMYFUNCTION("""COMPUTED_VALUE"""),"Simulator")</f>
        <v>Simulator</v>
      </c>
      <c r="B406" t="str">
        <f>IFERROR(__xludf.DUMMYFUNCTION("""COMPUTED_VALUE"""),"SetManualResponse ")</f>
        <v>SetManualResponse </v>
      </c>
      <c r="C406" t="str">
        <f>IFERROR(__xludf.DUMMYFUNCTION("""COMPUTED_VALUE"""),"10qeNhV85AQPMToOqHZlhzdXyNnDNjiueFxVwGUI_MO4")</f>
        <v>10qeNhV85AQPMToOqHZlhzdXyNnDNjiueFxVwGUI_MO4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IFERROR(__xludf.DUMMYFUNCTION("""COMPUTED_VALUE"""),"Simulator")</f>
        <v>Simulator</v>
      </c>
      <c r="B407" t="str">
        <f>IFERROR(__xludf.DUMMYFUNCTION("""COMPUTED_VALUE"""),"ClearUI")</f>
        <v>ClearUI</v>
      </c>
      <c r="C407" t="str">
        <f>IFERROR(__xludf.DUMMYFUNCTION("""COMPUTED_VALUE"""),"1LO0lVmw42vb8rN4FBdD2nZspNUXqgQCerd4ip5U8His")</f>
        <v>1LO0lVmw42vb8rN4FBdD2nZspNUXqgQCerd4ip5U8His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IFERROR(__xludf.DUMMYFUNCTION("""COMPUTED_VALUE"""),"RebalanceAcrossSecurities")</f>
        <v>RebalanceAcrossSecurities</v>
      </c>
      <c r="C408" t="str">
        <f>IFERROR(__xludf.DUMMYFUNCTION("""COMPUTED_VALUE"""),"1C-pSRr2mYlstlgFOXGSaoMyr-7ZKnUyCiCZMgNR75C0")</f>
        <v>1C-pSRr2mYlstlgFOXGSaoMyr-7ZKnUyCiCZMgNR75C0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1</v>
      </c>
      <c r="B1" s="2"/>
      <c r="C1" s="4"/>
    </row>
    <row r="2" ht="15.75" customHeight="1">
      <c r="A2" s="8"/>
      <c r="B2" s="8"/>
      <c r="C2" s="8"/>
    </row>
    <row r="3" ht="15.75" customHeight="1">
      <c r="A3" s="10" t="s">
        <v>6</v>
      </c>
      <c r="B3" s="14" t="s">
        <v>8</v>
      </c>
      <c r="C3" s="8"/>
    </row>
    <row r="4" ht="15.75" customHeight="1">
      <c r="A4" s="7" t="s">
        <v>9</v>
      </c>
      <c r="B4" s="14" t="s">
        <v>10</v>
      </c>
      <c r="C4" s="8"/>
    </row>
    <row r="5" ht="15.75" customHeight="1">
      <c r="A5" s="16"/>
      <c r="B5" s="8"/>
      <c r="C5" s="8"/>
    </row>
    <row r="6" ht="15.75" customHeight="1">
      <c r="A6" s="16"/>
      <c r="B6" s="8"/>
      <c r="C6" s="8"/>
    </row>
    <row r="7" ht="15.75" customHeight="1">
      <c r="A7" s="16"/>
      <c r="B7" s="8"/>
      <c r="C7" s="8"/>
    </row>
    <row r="8" ht="15.75" customHeight="1">
      <c r="A8" s="16"/>
      <c r="B8" s="8"/>
      <c r="C8" s="8"/>
    </row>
    <row r="9" ht="15.75" customHeight="1">
      <c r="A9" s="16"/>
      <c r="B9" s="8"/>
      <c r="C9" s="8"/>
    </row>
    <row r="10" ht="15.75" customHeight="1">
      <c r="A10" s="16"/>
      <c r="B10" s="8"/>
      <c r="C10" s="8"/>
    </row>
    <row r="11" ht="15.75" customHeight="1">
      <c r="A11" s="16"/>
      <c r="B11" s="8"/>
      <c r="C11" s="8"/>
    </row>
    <row r="12" ht="15.75" customHeight="1">
      <c r="A12" s="16"/>
      <c r="B12" s="8"/>
      <c r="C12" s="8"/>
    </row>
    <row r="13" ht="15.75" customHeight="1">
      <c r="A13" s="16"/>
      <c r="B13" s="8"/>
      <c r="C13" s="8"/>
    </row>
    <row r="14" ht="15.75" customHeight="1">
      <c r="A14" s="16"/>
      <c r="B14" s="8"/>
      <c r="C14" s="8"/>
    </row>
    <row r="15" ht="15.75" customHeight="1">
      <c r="A15" s="16"/>
      <c r="B15" s="8"/>
      <c r="C15" s="8"/>
    </row>
    <row r="16" ht="15.75" customHeight="1">
      <c r="A16" s="16"/>
      <c r="B16" s="8"/>
      <c r="C16" s="8"/>
    </row>
    <row r="17" ht="15.75" customHeight="1">
      <c r="A17" s="16"/>
      <c r="B17" s="8"/>
      <c r="C17" s="8"/>
    </row>
    <row r="18" ht="15.75" customHeight="1">
      <c r="A18" s="16"/>
      <c r="B18" s="8"/>
      <c r="C18" s="8"/>
    </row>
    <row r="19" ht="15.75" customHeight="1">
      <c r="A19" s="16"/>
      <c r="B19" s="8"/>
      <c r="C19" s="8"/>
    </row>
    <row r="20" ht="15.75" customHeight="1">
      <c r="A20" s="16"/>
      <c r="B20" s="8"/>
      <c r="C20" s="8"/>
    </row>
    <row r="21" ht="15.75" customHeight="1">
      <c r="A21" s="16"/>
      <c r="B21" s="8"/>
      <c r="C21" s="8"/>
    </row>
    <row r="22" ht="15.75" customHeight="1">
      <c r="A22" s="16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3" t="s">
        <v>2</v>
      </c>
      <c r="B1" s="2"/>
      <c r="C1" s="2"/>
      <c r="D1" s="2"/>
      <c r="E1" s="2"/>
      <c r="F1" s="4"/>
    </row>
    <row r="2">
      <c r="A2" s="5"/>
      <c r="B2" s="5"/>
      <c r="C2" s="5"/>
      <c r="D2" s="5"/>
      <c r="E2" s="5"/>
      <c r="F2" s="5"/>
    </row>
    <row r="3">
      <c r="A3" s="7" t="s">
        <v>3</v>
      </c>
      <c r="B3" s="9" t="s">
        <v>5</v>
      </c>
      <c r="C3" s="9" t="s">
        <v>7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6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0" t="s">
        <v>3</v>
      </c>
      <c r="C3" s="21" t="s">
        <v>12</v>
      </c>
      <c r="D3" s="10" t="s">
        <v>5</v>
      </c>
      <c r="E3" s="21" t="s">
        <v>15</v>
      </c>
      <c r="F3" s="10" t="s">
        <v>14</v>
      </c>
      <c r="G3" s="16" t="s">
        <v>16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From")</f>
        <v>Copy From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35">
        <f t="shared" ref="B6:C6" si="1">Today()-1</f>
        <v>43641</v>
      </c>
      <c r="C6" s="35">
        <f t="shared" si="1"/>
        <v>43641</v>
      </c>
      <c r="D6" s="14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6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0" t="s">
        <v>3</v>
      </c>
      <c r="C3" s="21" t="s">
        <v>12</v>
      </c>
      <c r="D3" s="10" t="s">
        <v>5</v>
      </c>
      <c r="E3" s="21" t="s">
        <v>13</v>
      </c>
      <c r="F3" s="10" t="s">
        <v>14</v>
      </c>
      <c r="G3" s="16" t="s">
        <v>16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IFERROR(__xludf.DUMMYFUNCTION("""COMPUTED_VALUE"""),"Local Currency")</f>
        <v>Local Currency</v>
      </c>
      <c r="D5" s="26" t="str">
        <f>IFERROR(__xludf.DUMMYFUNCTION("""COMPUTED_VALUE"""),"Cash Value Local")</f>
        <v>Cash Value Local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29" t="s">
        <v>17</v>
      </c>
      <c r="C6" s="30" t="s">
        <v>18</v>
      </c>
      <c r="D6" s="31">
        <v>3000.0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19</v>
      </c>
      <c r="C7" s="33" t="s">
        <v>18</v>
      </c>
      <c r="D7" s="34">
        <v>2000.0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6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0" t="s">
        <v>3</v>
      </c>
      <c r="C3" s="21" t="s">
        <v>20</v>
      </c>
      <c r="D3" s="10" t="s">
        <v>5</v>
      </c>
      <c r="E3" s="21" t="s">
        <v>21</v>
      </c>
      <c r="F3" s="10" t="s">
        <v>14</v>
      </c>
      <c r="G3" s="16" t="s">
        <v>16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IFERROR(__xludf.DUMMYFUNCTION("IF(C3="""","""",Transpose(IMPORTRANGE('_Settings'!$B$3,C3&amp;""!A4:A1000"")))"),"FetchAccountPositions")</f>
        <v>FetchAccountPositions</v>
      </c>
      <c r="C4" s="23" t="str">
        <f>IFERROR(__xludf.DUMMYFUNCTION("""COMPUTED_VALUE"""),"AddCash")</f>
        <v>AddCash</v>
      </c>
      <c r="D4" s="23" t="str">
        <f>IFERROR(__xludf.DUMMYFUNCTION("""COMPUTED_VALUE"""),"VerifyGridData")</f>
        <v>VerifyGridData</v>
      </c>
      <c r="E4" s="23" t="str">
        <f>IFERROR(__xludf.DUMMYFUNCTION("""COMPUTED_VALUE"""),"RunRebalance")</f>
        <v>RunRebalance</v>
      </c>
      <c r="F4" s="23" t="str">
        <f>IFERROR(__xludf.DUMMYFUNCTION("""COMPUTED_VALUE"""),"RebalanceAcrossSecurities")</f>
        <v>RebalanceAcrossSecurities</v>
      </c>
      <c r="G4" s="23" t="str">
        <f>IFERROR(__xludf.DUMMYFUNCTION("""COMPUTED_VALUE"""),"")</f>
        <v/>
      </c>
      <c r="H4" s="23" t="str">
        <f>IFERROR(__xludf.DUMMYFUNCTION("""COMPUTED_VALUE"""),"")</f>
        <v/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IFERROR(__xludf.DUMMYFUNCTION("""COMPUTED_VALUE"""),"Account/Groups")</f>
        <v>Account/Groups</v>
      </c>
      <c r="C5" s="26" t="str">
        <f>IFERROR(__xludf.DUMMYFUNCTION("""COMPUTED_VALUE"""),"Account Positions")</f>
        <v>Account Positions</v>
      </c>
      <c r="D5" s="26" t="str">
        <f>IFERROR(__xludf.DUMMYFUNCTION("""COMPUTED_VALUE"""),"Calculation Level")</f>
        <v>Calculation Level</v>
      </c>
      <c r="E5" s="26" t="str">
        <f>IFERROR(__xludf.DUMMYFUNCTION("""COMPUTED_VALUE"""),"Refresh")</f>
        <v>Refresh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37" t="s">
        <v>17</v>
      </c>
      <c r="C6" s="40" t="s">
        <v>26</v>
      </c>
      <c r="D6" s="14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6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0" t="s">
        <v>3</v>
      </c>
      <c r="C3" s="21" t="s">
        <v>20</v>
      </c>
      <c r="D3" s="10" t="s">
        <v>5</v>
      </c>
      <c r="E3" s="21" t="s">
        <v>22</v>
      </c>
      <c r="F3" s="10" t="s">
        <v>14</v>
      </c>
      <c r="G3" s="16" t="s">
        <v>16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IFERROR(__xludf.DUMMYFUNCTION("IF(C3="""","""",Transpose(IMPORTRANGE('_Settings'!$B$3,C3&amp;""!A4:A1000"")))"),"FetchAccountPositions")</f>
        <v>FetchAccountPositions</v>
      </c>
      <c r="C4" s="23" t="str">
        <f>IFERROR(__xludf.DUMMYFUNCTION("""COMPUTED_VALUE"""),"AddCash")</f>
        <v>AddCash</v>
      </c>
      <c r="D4" s="23" t="str">
        <f>IFERROR(__xludf.DUMMYFUNCTION("""COMPUTED_VALUE"""),"VerifyGridData")</f>
        <v>VerifyGridData</v>
      </c>
      <c r="E4" s="23" t="str">
        <f>IFERROR(__xludf.DUMMYFUNCTION("""COMPUTED_VALUE"""),"RunRebalance")</f>
        <v>RunRebalance</v>
      </c>
      <c r="F4" s="23" t="str">
        <f>IFERROR(__xludf.DUMMYFUNCTION("""COMPUTED_VALUE"""),"RebalanceAcrossSecurities")</f>
        <v>RebalanceAcrossSecurities</v>
      </c>
      <c r="G4" s="23" t="str">
        <f>IFERROR(__xludf.DUMMYFUNCTION("""COMPUTED_VALUE"""),"")</f>
        <v/>
      </c>
      <c r="H4" s="23" t="str">
        <f>IFERROR(__xludf.DUMMYFUNCTION("""COMPUTED_VALUE"""),"")</f>
        <v/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IFERROR(__xludf.DUMMYFUNCTION("""COMPUTED_VALUE"""),"Ticker")</f>
        <v>Ticker</v>
      </c>
      <c r="C5" s="26" t="str">
        <f>IFERROR(__xludf.DUMMYFUNCTION("""COMPUTED_VALUE"""),"Set/Inc/Dec")</f>
        <v>Set/Inc/Dec</v>
      </c>
      <c r="D5" s="26" t="str">
        <f>IFERROR(__xludf.DUMMYFUNCTION("""COMPUTED_VALUE"""),"Target%")</f>
        <v>Target%</v>
      </c>
      <c r="E5" s="26" t="str">
        <f>IFERROR(__xludf.DUMMYFUNCTION("""COMPUTED_VALUE"""),"Account/Group")</f>
        <v>Account/Group</v>
      </c>
      <c r="F5" s="27" t="str">
        <f>IFERROR(__xludf.DUMMYFUNCTION("""COMPUTED_VALUE"""),"ReinvestCash")</f>
        <v>ReinvestCash</v>
      </c>
      <c r="G5" s="26" t="str">
        <f>IFERROR(__xludf.DUMMYFUNCTION("""COMPUTED_VALUE"""),"SellToRaiseCash")</f>
        <v>SellToRaiseCash</v>
      </c>
      <c r="H5" s="26" t="str">
        <f>IFERROR(__xludf.DUMMYFUNCTION("""COMPUTED_VALUE"""),"AllowNegCash")</f>
        <v>AllowNegCash</v>
      </c>
      <c r="I5" s="26" t="str">
        <f>IFERROR(__xludf.DUMMYFUNCTION("""COMPUTED_VALUE"""),"NoShortning")</f>
        <v>NoShortning</v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37" t="s">
        <v>23</v>
      </c>
      <c r="C6" s="30" t="s">
        <v>24</v>
      </c>
      <c r="D6" s="38">
        <v>-30.0</v>
      </c>
      <c r="E6" s="30" t="s">
        <v>17</v>
      </c>
      <c r="F6" s="39"/>
      <c r="H6" s="8"/>
      <c r="I6" s="30" t="s">
        <v>25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6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0" t="s">
        <v>3</v>
      </c>
      <c r="C3" s="21" t="s">
        <v>20</v>
      </c>
      <c r="D3" s="10" t="s">
        <v>5</v>
      </c>
      <c r="E3" s="21" t="s">
        <v>27</v>
      </c>
      <c r="F3" s="10" t="s">
        <v>14</v>
      </c>
      <c r="G3" s="16" t="s">
        <v>16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IFERROR(__xludf.DUMMYFUNCTION("IF(C3="""","""",Transpose(IMPORTRANGE('_Settings'!$B$3,C3&amp;""!A4:A1000"")))"),"FetchAccountPositions")</f>
        <v>FetchAccountPositions</v>
      </c>
      <c r="C4" s="23" t="str">
        <f>IFERROR(__xludf.DUMMYFUNCTION("""COMPUTED_VALUE"""),"AddCash")</f>
        <v>AddCash</v>
      </c>
      <c r="D4" s="23" t="str">
        <f>IFERROR(__xludf.DUMMYFUNCTION("""COMPUTED_VALUE"""),"VerifyGridData")</f>
        <v>VerifyGridData</v>
      </c>
      <c r="E4" s="23" t="str">
        <f>IFERROR(__xludf.DUMMYFUNCTION("""COMPUTED_VALUE"""),"RunRebalance")</f>
        <v>RunRebalance</v>
      </c>
      <c r="F4" s="23" t="str">
        <f>IFERROR(__xludf.DUMMYFUNCTION("""COMPUTED_VALUE"""),"RebalanceAcrossSecurities")</f>
        <v>RebalanceAcrossSecurities</v>
      </c>
      <c r="G4" s="23" t="str">
        <f>IFERROR(__xludf.DUMMYFUNCTION("""COMPUTED_VALUE"""),"")</f>
        <v/>
      </c>
      <c r="H4" s="23" t="str">
        <f>IFERROR(__xludf.DUMMYFUNCTION("""COMPUTED_VALUE"""),"")</f>
        <v/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IFERROR(__xludf.DUMMYFUNCTION("""COMPUTED_VALUE"""),"Rounding Type")</f>
        <v>Rounding Type</v>
      </c>
      <c r="C5" s="26" t="str">
        <f>IFERROR(__xludf.DUMMYFUNCTION("""COMPUTED_VALUE"""),"")</f>
        <v/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14" t="s">
        <v>28</v>
      </c>
      <c r="C6" s="8"/>
      <c r="D6" s="14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