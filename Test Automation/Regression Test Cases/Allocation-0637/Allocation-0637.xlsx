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GetDataAllocation" sheetId="6" r:id="rId8"/>
    <sheet state="visible" name="CheckAllocatedGroups" sheetId="7" r:id="rId9"/>
    <sheet state="visible" name="CheckUnallocatedGroups" sheetId="8" r:id="rId10"/>
  </sheets>
  <definedNames/>
  <calcPr/>
</workbook>
</file>

<file path=xl/sharedStrings.xml><?xml version="1.0" encoding="utf-8"?>
<sst xmlns="http://schemas.openxmlformats.org/spreadsheetml/2006/main" count="78" uniqueCount="33">
  <si>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</si>
  <si>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</si>
  <si>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</si>
  <si>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</si>
  <si>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</si>
  <si>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</si>
  <si>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</si>
  <si>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</si>
  <si>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</si>
  <si>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</si>
  <si>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</si>
  <si>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</si>
  <si>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</si>
  <si>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</si>
  <si>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</si>
  <si>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</si>
  <si>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</si>
  <si>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</si>
  <si>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MSFT</t>
  </si>
  <si>
    <t>Buy</t>
  </si>
  <si>
    <t>Allocation1</t>
  </si>
  <si>
    <t>S1</t>
  </si>
  <si>
    <t>Sell</t>
  </si>
  <si>
    <t>S2</t>
  </si>
  <si>
    <t>GetDataAllocation</t>
  </si>
  <si>
    <t>Historical</t>
  </si>
  <si>
    <t>1/1/1800</t>
  </si>
  <si>
    <t>CheckAllocatedGroups</t>
  </si>
  <si>
    <t>Equity</t>
  </si>
  <si>
    <t>MS</t>
  </si>
  <si>
    <t>M</t>
  </si>
  <si>
    <t>Market</t>
  </si>
  <si>
    <t>CheckUnallocatedGroups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</si>
</sst>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6" fontId="13" numFmtId="164" xfId="0" applyAlignment="1" applyFill="1" applyFont="1" applyNumberForma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IFERROR(__xludf.DUMMYFUNCTION("""COMPUTED_VALUE"""),"CreateModelPortfolio")</f>
        <v>CreateModelPortfolio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18</v>
      </c>
      <c r="C6" s="33" t="s">
        <v>19</v>
      </c>
      <c r="D6" s="34">
        <v>100.0</v>
      </c>
      <c r="E6" s="35"/>
      <c r="F6" s="36" t="s">
        <v>20</v>
      </c>
      <c r="G6" s="35"/>
      <c r="H6" s="35"/>
      <c r="I6" s="35"/>
      <c r="J6" s="37">
        <v>10.0</v>
      </c>
      <c r="K6" s="35"/>
      <c r="L6" s="35"/>
      <c r="M6" s="33" t="s">
        <v>21</v>
      </c>
      <c r="N6" s="38">
        <v>42352.0</v>
      </c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3" t="s">
        <v>18</v>
      </c>
      <c r="C7" s="33" t="s">
        <v>22</v>
      </c>
      <c r="D7" s="37">
        <v>100.0</v>
      </c>
      <c r="E7" s="35"/>
      <c r="F7" s="36" t="s">
        <v>20</v>
      </c>
      <c r="G7" s="35"/>
      <c r="H7" s="35"/>
      <c r="I7" s="35"/>
      <c r="J7" s="37">
        <v>10.0</v>
      </c>
      <c r="K7" s="35"/>
      <c r="L7" s="35"/>
      <c r="M7" s="33" t="s">
        <v>21</v>
      </c>
      <c r="N7" s="38">
        <v>42352.0</v>
      </c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3" t="s">
        <v>18</v>
      </c>
      <c r="C8" s="33" t="s">
        <v>22</v>
      </c>
      <c r="D8" s="37">
        <v>100.0</v>
      </c>
      <c r="E8" s="35"/>
      <c r="F8" s="36" t="s">
        <v>20</v>
      </c>
      <c r="G8" s="35"/>
      <c r="H8" s="35"/>
      <c r="I8" s="35"/>
      <c r="J8" s="37">
        <v>10.0</v>
      </c>
      <c r="K8" s="35"/>
      <c r="L8" s="35"/>
      <c r="M8" s="33" t="s">
        <v>23</v>
      </c>
      <c r="N8" s="38">
        <v>42352.0</v>
      </c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25</v>
      </c>
      <c r="C6" s="39" t="s">
        <v>26</v>
      </c>
      <c r="D6" s="40">
        <f>TODAY()</f>
        <v>45617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6" t="s">
        <v>20</v>
      </c>
      <c r="C6" s="35"/>
      <c r="D6" s="31"/>
      <c r="E6" s="37">
        <v>100.0</v>
      </c>
      <c r="F6" s="35"/>
      <c r="G6" s="33" t="s">
        <v>28</v>
      </c>
      <c r="H6" s="35"/>
      <c r="I6" s="35"/>
      <c r="J6" s="35"/>
      <c r="K6" s="37">
        <v>10.0</v>
      </c>
      <c r="L6" s="37">
        <v>10.0</v>
      </c>
      <c r="M6" s="35"/>
      <c r="N6" s="35"/>
      <c r="O6" s="33" t="s">
        <v>29</v>
      </c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1">
        <v>100.0</v>
      </c>
      <c r="AF6" s="35"/>
      <c r="AG6" s="35"/>
      <c r="AH6" s="35" t="s">
        <v>30</v>
      </c>
      <c r="AI6" s="41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 t="s">
        <v>31</v>
      </c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1">
        <v>100.0</v>
      </c>
      <c r="BK6" s="35"/>
      <c r="BL6" s="35"/>
      <c r="BM6" s="35"/>
      <c r="BN6" s="35"/>
      <c r="BO6" s="35" t="s">
        <v>19</v>
      </c>
      <c r="BP6" s="35"/>
      <c r="BQ6" s="35"/>
      <c r="BR6" s="35"/>
      <c r="BS6" s="35" t="s">
        <v>21</v>
      </c>
      <c r="BT6" s="35" t="s">
        <v>18</v>
      </c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 t="s">
        <v>20</v>
      </c>
      <c r="C7" s="35"/>
      <c r="D7" s="35"/>
      <c r="E7" s="37">
        <v>100.0</v>
      </c>
      <c r="F7" s="35"/>
      <c r="G7" s="33" t="s">
        <v>28</v>
      </c>
      <c r="H7" s="35"/>
      <c r="I7" s="35"/>
      <c r="J7" s="35"/>
      <c r="K7" s="37">
        <v>10.0</v>
      </c>
      <c r="L7" s="37">
        <v>10.0</v>
      </c>
      <c r="M7" s="35"/>
      <c r="N7" s="35"/>
      <c r="O7" s="33" t="s">
        <v>29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41">
        <v>100.0</v>
      </c>
      <c r="AF7" s="35"/>
      <c r="AG7" s="35"/>
      <c r="AH7" s="35" t="s">
        <v>30</v>
      </c>
      <c r="AI7" s="41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 t="s">
        <v>31</v>
      </c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41">
        <v>100.0</v>
      </c>
      <c r="BK7" s="35"/>
      <c r="BL7" s="35"/>
      <c r="BM7" s="35"/>
      <c r="BN7" s="35"/>
      <c r="BO7" s="35" t="s">
        <v>22</v>
      </c>
      <c r="BP7" s="35"/>
      <c r="BQ7" s="35"/>
      <c r="BR7" s="35"/>
      <c r="BS7" s="35" t="s">
        <v>21</v>
      </c>
      <c r="BT7" s="35" t="s">
        <v>18</v>
      </c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1"/>
      <c r="C6" s="35"/>
      <c r="D6" s="31"/>
      <c r="E6" s="35"/>
      <c r="F6" s="33"/>
      <c r="G6" s="35"/>
      <c r="H6" s="35"/>
      <c r="I6" s="35"/>
      <c r="J6" s="37"/>
      <c r="K6" s="37"/>
      <c r="L6" s="36"/>
      <c r="M6" s="35"/>
      <c r="N6" s="33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42">
        <v>100.0</v>
      </c>
      <c r="AF6" s="35"/>
      <c r="AG6" s="35"/>
      <c r="AH6" s="41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42">
        <v>100.0</v>
      </c>
      <c r="BK6" s="35"/>
      <c r="BL6" s="35"/>
      <c r="BM6" s="35"/>
      <c r="BN6" s="35"/>
      <c r="BO6" s="43" t="s">
        <v>22</v>
      </c>
      <c r="BP6" s="35"/>
      <c r="BQ6" s="35"/>
      <c r="BR6" s="35"/>
      <c r="BS6" s="43" t="s">
        <v>18</v>
      </c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41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CheckUnallocatedGroups!$4:$4</formula1>
    </dataValidation>
  </dataValidations>
  <drawing r:id="rId1"/>
</worksheet>
</file>