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ustomOrderTT" sheetId="5" r:id="rId7"/>
    <sheet state="visible" name="PricingInput" sheetId="6" r:id="rId8"/>
    <sheet state="visible" name="CustomOrderTT1" sheetId="7" r:id="rId9"/>
    <sheet state="visible" name="VerifyBlotter" sheetId="8" r:id="rId10"/>
    <sheet state="visible" name="SetUIPreferencesTT" sheetId="9" r:id="rId11"/>
  </sheets>
  <definedNames/>
  <calcPr/>
</workbook>
</file>

<file path=xl/sharedStrings.xml><?xml version="1.0" encoding="utf-8"?>
<sst xmlns="http://schemas.openxmlformats.org/spreadsheetml/2006/main" count="836" uniqueCount="111">
  <si>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</si>
  <si>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</si>
  <si>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</si>
  <si>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</si>
  <si>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</si>
  <si>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</si>
  <si>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</si>
  <si>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</si>
  <si>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</si>
  <si>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</si>
  <si>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</si>
  <si>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</si>
  <si>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</si>
  <si>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</si>
  <si>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</si>
  <si>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</si>
  <si>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O:AAPL 13N715.00</t>
  </si>
  <si>
    <t>TradingTicket</t>
  </si>
  <si>
    <t>CreateDoneAwayOrder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</si>
  <si>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</si>
  <si>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</si>
  <si>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</si>
  <si>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</si>
  <si>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</si>
  <si>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</si>
  <si>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</si>
  <si>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</si>
  <si>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</si>
  <si>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</si>
  <si>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</si>
  <si>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</si>
  <si>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</si>
  <si>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</si>
  <si>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</si>
  <si>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</si>
  <si>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</si>
  <si>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</si>
  <si>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</si>
  <si>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</si>
  <si>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</si>
  <si>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</si>
  <si>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</si>
  <si>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</si>
  <si>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</si>
  <si>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</si>
  <si>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</si>
  <si>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</si>
  <si>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</si>
  <si>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</si>
  <si>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</si>
  <si>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</si>
  <si>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</si>
  <si>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</si>
  <si>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</si>
  <si>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</si>
  <si>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</si>
  <si>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DoneAway</t>
  </si>
  <si>
    <t>PricingInput</t>
  </si>
  <si>
    <t>CustomOrderTT</t>
  </si>
  <si>
    <t>AMT</t>
  </si>
  <si>
    <t>Yes</t>
  </si>
  <si>
    <t>Blotter</t>
  </si>
  <si>
    <t>VerifyOrder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</si>
  <si>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</si>
  <si>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</si>
  <si>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</si>
  <si>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</si>
  <si>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</si>
  <si>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</si>
  <si>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</si>
  <si>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</si>
  <si>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</si>
  <si>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</si>
  <si>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</si>
  <si>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</si>
  <si>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</si>
  <si>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</si>
  <si>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</si>
  <si>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</si>
  <si>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</si>
  <si>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</si>
  <si>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</si>
  <si>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</si>
  <si>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</si>
  <si>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</si>
  <si>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</si>
  <si>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</si>
  <si>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</si>
  <si>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</si>
  <si>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</si>
  <si>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</si>
  <si>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</si>
  <si>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</si>
  <si>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</si>
  <si>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</si>
  <si>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</si>
  <si>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</si>
  <si>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</si>
  <si>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Underlying Symbol</t>
  </si>
  <si>
    <t>FX Rate</t>
  </si>
  <si>
    <t>Internal Comments</t>
  </si>
  <si>
    <t>Transaction Source</t>
  </si>
  <si>
    <t>Borrow Rate(%)</t>
  </si>
  <si>
    <t/>
  </si>
  <si>
    <t>Filled</t>
  </si>
  <si>
    <t>Buy to Open</t>
  </si>
  <si>
    <t>EquityOption</t>
  </si>
  <si>
    <t>jpearce</t>
  </si>
  <si>
    <t>MS</t>
  </si>
  <si>
    <t>NASDAQ</t>
  </si>
  <si>
    <t>SetUIPreferencesTT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</si>
</sst>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FFFFFF"/>
      <name val="Arial"/>
    </font>
    <font>
      <sz val="11.0"/>
      <name val="Calibri"/>
    </font>
    <font>
      <sz val="11.0"/>
      <color rgb="FFFFFFF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5" fillId="6" fontId="15" numFmtId="4" xfId="0" applyAlignment="1" applyBorder="1" applyFill="1" applyFont="1" applyNumberFormat="1">
      <alignment horizontal="right" vertical="bottom"/>
    </xf>
    <xf borderId="5" fillId="6" fontId="15" numFmtId="0" xfId="0" applyAlignment="1" applyBorder="1" applyFont="1">
      <alignment readingOrder="0" shrinkToFit="0" vertical="bottom" wrapText="0"/>
    </xf>
    <xf borderId="0" fillId="0" fontId="2" numFmtId="164" xfId="0" applyFont="1" applyNumberFormat="1"/>
    <xf borderId="5" fillId="7" fontId="15" numFmtId="0" xfId="0" applyAlignment="1" applyBorder="1" applyFill="1" applyFont="1">
      <alignment horizontal="right" vertical="bottom"/>
    </xf>
    <xf borderId="5" fillId="7" fontId="15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>
        <v>20.0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2"/>
      <c r="B5" s="33" t="s">
        <v>19</v>
      </c>
      <c r="C5" s="33" t="s">
        <v>20</v>
      </c>
      <c r="D5" s="33" t="s">
        <v>21</v>
      </c>
      <c r="E5" s="33" t="s">
        <v>22</v>
      </c>
      <c r="F5" s="34" t="s">
        <v>23</v>
      </c>
      <c r="G5" s="33" t="s">
        <v>24</v>
      </c>
      <c r="H5" s="33" t="s">
        <v>25</v>
      </c>
      <c r="I5" s="33" t="s">
        <v>26</v>
      </c>
      <c r="J5" s="33" t="s">
        <v>27</v>
      </c>
      <c r="K5" s="33" t="s">
        <v>28</v>
      </c>
      <c r="L5" s="33" t="s">
        <v>29</v>
      </c>
      <c r="M5" s="33" t="s">
        <v>30</v>
      </c>
      <c r="N5" s="33" t="s">
        <v>31</v>
      </c>
      <c r="O5" s="33" t="s">
        <v>32</v>
      </c>
      <c r="P5" s="33" t="s">
        <v>33</v>
      </c>
      <c r="Q5" s="33" t="s">
        <v>34</v>
      </c>
      <c r="R5" s="33" t="s">
        <v>35</v>
      </c>
      <c r="S5" s="33" t="s">
        <v>36</v>
      </c>
      <c r="T5" s="35" t="s">
        <v>37</v>
      </c>
      <c r="U5" s="35" t="s">
        <v>38</v>
      </c>
      <c r="V5" s="35" t="s">
        <v>39</v>
      </c>
      <c r="W5" s="35" t="s">
        <v>40</v>
      </c>
      <c r="X5" s="35" t="s">
        <v>41</v>
      </c>
      <c r="Y5" s="35" t="s">
        <v>42</v>
      </c>
      <c r="Z5" s="35" t="s">
        <v>43</v>
      </c>
      <c r="AA5" s="35" t="s">
        <v>44</v>
      </c>
      <c r="AB5" s="35" t="s">
        <v>45</v>
      </c>
      <c r="AC5" s="35" t="s">
        <v>46</v>
      </c>
      <c r="AD5" s="35" t="s">
        <v>47</v>
      </c>
      <c r="AE5" s="35" t="s">
        <v>48</v>
      </c>
      <c r="AF5" s="35" t="s">
        <v>49</v>
      </c>
      <c r="AG5" s="35" t="s">
        <v>50</v>
      </c>
      <c r="AH5" s="35" t="s">
        <v>51</v>
      </c>
      <c r="AI5" s="35" t="s">
        <v>52</v>
      </c>
      <c r="AJ5" s="35" t="s">
        <v>53</v>
      </c>
      <c r="AK5" s="35" t="s">
        <v>54</v>
      </c>
      <c r="AL5" s="35" t="s">
        <v>55</v>
      </c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2"/>
      <c r="B6" s="30" t="s">
        <v>16</v>
      </c>
      <c r="C6" s="12">
        <v>100.0</v>
      </c>
      <c r="D6" s="12">
        <v>150.0</v>
      </c>
      <c r="E6" s="12" t="s">
        <v>56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12">
        <v>150.0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2"/>
      <c r="B5" s="33" t="s">
        <v>19</v>
      </c>
      <c r="C5" s="33" t="s">
        <v>20</v>
      </c>
      <c r="D5" s="33" t="s">
        <v>21</v>
      </c>
      <c r="E5" s="33" t="s">
        <v>22</v>
      </c>
      <c r="F5" s="34" t="s">
        <v>23</v>
      </c>
      <c r="G5" s="33" t="s">
        <v>24</v>
      </c>
      <c r="H5" s="33" t="s">
        <v>25</v>
      </c>
      <c r="I5" s="33" t="s">
        <v>26</v>
      </c>
      <c r="J5" s="33" t="s">
        <v>27</v>
      </c>
      <c r="K5" s="33" t="s">
        <v>28</v>
      </c>
      <c r="L5" s="33" t="s">
        <v>29</v>
      </c>
      <c r="M5" s="33" t="s">
        <v>30</v>
      </c>
      <c r="N5" s="33" t="s">
        <v>31</v>
      </c>
      <c r="O5" s="33" t="s">
        <v>32</v>
      </c>
      <c r="P5" s="33" t="s">
        <v>33</v>
      </c>
      <c r="Q5" s="33" t="s">
        <v>34</v>
      </c>
      <c r="R5" s="33" t="s">
        <v>35</v>
      </c>
      <c r="S5" s="33" t="s">
        <v>36</v>
      </c>
      <c r="T5" s="35" t="s">
        <v>37</v>
      </c>
      <c r="U5" s="35" t="s">
        <v>38</v>
      </c>
      <c r="V5" s="35" t="s">
        <v>39</v>
      </c>
      <c r="W5" s="35" t="s">
        <v>40</v>
      </c>
      <c r="X5" s="35" t="s">
        <v>41</v>
      </c>
      <c r="Y5" s="35" t="s">
        <v>42</v>
      </c>
      <c r="Z5" s="35" t="s">
        <v>43</v>
      </c>
      <c r="AA5" s="35" t="s">
        <v>44</v>
      </c>
      <c r="AB5" s="35" t="s">
        <v>45</v>
      </c>
      <c r="AC5" s="35" t="s">
        <v>46</v>
      </c>
      <c r="AD5" s="35" t="s">
        <v>47</v>
      </c>
      <c r="AE5" s="35" t="s">
        <v>48</v>
      </c>
      <c r="AF5" s="35" t="s">
        <v>49</v>
      </c>
      <c r="AG5" s="35" t="s">
        <v>50</v>
      </c>
      <c r="AH5" s="35" t="s">
        <v>51</v>
      </c>
      <c r="AI5" s="35" t="s">
        <v>52</v>
      </c>
      <c r="AJ5" s="35" t="s">
        <v>53</v>
      </c>
      <c r="AK5" s="35" t="s">
        <v>54</v>
      </c>
      <c r="AL5" s="35" t="s">
        <v>55</v>
      </c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 ht="15.75" customHeight="1">
      <c r="A6" s="12"/>
      <c r="B6" s="30" t="s">
        <v>16</v>
      </c>
      <c r="C6" s="12">
        <v>2000.0</v>
      </c>
      <c r="D6" s="12">
        <v>5.0</v>
      </c>
      <c r="E6" s="12" t="s">
        <v>56</v>
      </c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59</v>
      </c>
    </row>
    <row r="7" ht="15.75" customHeight="1">
      <c r="A7" s="8"/>
      <c r="B7" s="30" t="s">
        <v>16</v>
      </c>
      <c r="C7" s="12">
        <v>2000.0</v>
      </c>
      <c r="D7" s="12">
        <v>7.0</v>
      </c>
      <c r="E7" s="12" t="s">
        <v>56</v>
      </c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59</v>
      </c>
      <c r="AK7" s="9" t="s">
        <v>60</v>
      </c>
    </row>
    <row r="8" ht="15.75" customHeight="1">
      <c r="A8" s="8"/>
      <c r="B8" s="30" t="s">
        <v>16</v>
      </c>
      <c r="C8" s="12">
        <v>2000.0</v>
      </c>
      <c r="D8" s="12">
        <v>10.0</v>
      </c>
      <c r="E8" s="12" t="s">
        <v>56</v>
      </c>
      <c r="F8" s="8"/>
      <c r="G8" s="8"/>
      <c r="H8" s="8"/>
      <c r="I8" s="8"/>
      <c r="J8" s="8"/>
      <c r="K8" s="8"/>
      <c r="L8" s="8"/>
      <c r="M8" s="8"/>
      <c r="N8" s="8"/>
      <c r="O8" s="8"/>
      <c r="AH8" s="9" t="s">
        <v>59</v>
      </c>
      <c r="AL8" s="9" t="s">
        <v>60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36"/>
      <c r="B5" s="37" t="s">
        <v>63</v>
      </c>
      <c r="C5" s="37" t="s">
        <v>64</v>
      </c>
      <c r="D5" s="37" t="s">
        <v>65</v>
      </c>
      <c r="E5" s="37" t="s">
        <v>66</v>
      </c>
      <c r="F5" s="38" t="s">
        <v>67</v>
      </c>
      <c r="G5" s="37" t="s">
        <v>68</v>
      </c>
      <c r="H5" s="37" t="s">
        <v>69</v>
      </c>
      <c r="I5" s="37" t="s">
        <v>70</v>
      </c>
      <c r="J5" s="37" t="s">
        <v>71</v>
      </c>
      <c r="K5" s="37" t="s">
        <v>72</v>
      </c>
      <c r="L5" s="37" t="s">
        <v>73</v>
      </c>
      <c r="M5" s="37" t="s">
        <v>74</v>
      </c>
      <c r="N5" s="37" t="s">
        <v>75</v>
      </c>
      <c r="O5" s="37" t="s">
        <v>76</v>
      </c>
      <c r="P5" s="37" t="s">
        <v>77</v>
      </c>
      <c r="Q5" s="37" t="s">
        <v>78</v>
      </c>
      <c r="R5" s="37" t="s">
        <v>79</v>
      </c>
      <c r="S5" s="37" t="s">
        <v>80</v>
      </c>
      <c r="T5" s="37" t="s">
        <v>81</v>
      </c>
      <c r="U5" s="37" t="s">
        <v>33</v>
      </c>
      <c r="V5" s="37" t="s">
        <v>82</v>
      </c>
      <c r="W5" s="37" t="s">
        <v>83</v>
      </c>
      <c r="X5" s="37" t="s">
        <v>84</v>
      </c>
      <c r="Y5" s="37" t="s">
        <v>85</v>
      </c>
      <c r="Z5" s="37" t="s">
        <v>86</v>
      </c>
      <c r="AA5" s="37" t="s">
        <v>39</v>
      </c>
      <c r="AB5" s="37" t="s">
        <v>19</v>
      </c>
      <c r="AC5" s="37" t="s">
        <v>87</v>
      </c>
      <c r="AD5" s="37" t="s">
        <v>88</v>
      </c>
      <c r="AE5" s="37" t="s">
        <v>89</v>
      </c>
      <c r="AF5" s="37" t="s">
        <v>90</v>
      </c>
      <c r="AG5" s="37" t="s">
        <v>91</v>
      </c>
      <c r="AH5" s="37" t="s">
        <v>92</v>
      </c>
      <c r="AI5" s="37" t="s">
        <v>93</v>
      </c>
      <c r="AJ5" s="37" t="s">
        <v>94</v>
      </c>
      <c r="AK5" s="37" t="s">
        <v>44</v>
      </c>
      <c r="AL5" s="37" t="s">
        <v>47</v>
      </c>
      <c r="AM5" s="37" t="s">
        <v>95</v>
      </c>
      <c r="AN5" s="37" t="s">
        <v>96</v>
      </c>
      <c r="AO5" s="37" t="s">
        <v>97</v>
      </c>
      <c r="AP5" s="37" t="s">
        <v>98</v>
      </c>
      <c r="AQ5" s="37" t="s">
        <v>99</v>
      </c>
      <c r="AR5" s="37" t="s">
        <v>100</v>
      </c>
      <c r="AS5" s="37" t="s">
        <v>101</v>
      </c>
      <c r="AT5" s="37" t="s">
        <v>102</v>
      </c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</row>
    <row r="6" ht="15.75" customHeight="1">
      <c r="A6" s="39" t="s">
        <v>103</v>
      </c>
      <c r="B6" s="39" t="s">
        <v>103</v>
      </c>
      <c r="C6" s="8" t="s">
        <v>103</v>
      </c>
      <c r="D6" s="39" t="s">
        <v>103</v>
      </c>
      <c r="E6" s="8"/>
      <c r="F6" s="8" t="s">
        <v>104</v>
      </c>
      <c r="G6" s="8" t="s">
        <v>103</v>
      </c>
      <c r="H6" s="8" t="s">
        <v>103</v>
      </c>
      <c r="I6" s="8"/>
      <c r="J6" s="8"/>
      <c r="K6" s="8" t="s">
        <v>103</v>
      </c>
      <c r="L6" s="8" t="s">
        <v>103</v>
      </c>
      <c r="M6" s="8" t="s">
        <v>103</v>
      </c>
      <c r="N6" s="8"/>
      <c r="O6" s="8"/>
      <c r="R6" t="s">
        <v>103</v>
      </c>
      <c r="S6" t="s">
        <v>103</v>
      </c>
      <c r="T6" t="s">
        <v>103</v>
      </c>
      <c r="X6" t="s">
        <v>103</v>
      </c>
      <c r="Y6" t="s">
        <v>103</v>
      </c>
      <c r="Z6" t="s">
        <v>105</v>
      </c>
      <c r="AA6" t="s">
        <v>103</v>
      </c>
      <c r="AB6" t="s">
        <v>16</v>
      </c>
      <c r="AC6" s="40">
        <v>100.0</v>
      </c>
      <c r="AD6" t="s">
        <v>103</v>
      </c>
      <c r="AE6" t="s">
        <v>103</v>
      </c>
      <c r="AF6" t="s">
        <v>106</v>
      </c>
      <c r="AG6" t="s">
        <v>103</v>
      </c>
      <c r="AH6" t="s">
        <v>103</v>
      </c>
      <c r="AI6" s="41" t="s">
        <v>107</v>
      </c>
      <c r="AJ6" s="41" t="s">
        <v>107</v>
      </c>
      <c r="AK6" t="s">
        <v>108</v>
      </c>
      <c r="AL6" t="s">
        <v>109</v>
      </c>
      <c r="AM6" t="s">
        <v>103</v>
      </c>
      <c r="AN6" t="s">
        <v>103</v>
      </c>
      <c r="AO6" t="s">
        <v>103</v>
      </c>
      <c r="AP6" t="s">
        <v>103</v>
      </c>
      <c r="AQ6" t="s">
        <v>103</v>
      </c>
      <c r="AR6" t="s">
        <v>103</v>
      </c>
      <c r="AS6" t="s">
        <v>17</v>
      </c>
      <c r="AT6" t="s">
        <v>103</v>
      </c>
      <c r="AU6" t="s">
        <v>103</v>
      </c>
      <c r="AV6" t="s">
        <v>103</v>
      </c>
      <c r="AW6" t="s">
        <v>103</v>
      </c>
      <c r="AX6" t="s">
        <v>103</v>
      </c>
      <c r="AY6" t="s">
        <v>103</v>
      </c>
      <c r="AZ6" t="s">
        <v>103</v>
      </c>
      <c r="BA6" t="s">
        <v>103</v>
      </c>
      <c r="BB6" t="s">
        <v>103</v>
      </c>
      <c r="BC6" t="s">
        <v>103</v>
      </c>
      <c r="BD6" t="s">
        <v>103</v>
      </c>
      <c r="BE6" t="s">
        <v>103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 t="s">
        <v>103</v>
      </c>
      <c r="BM6" t="s">
        <v>103</v>
      </c>
      <c r="BN6" t="s">
        <v>103</v>
      </c>
      <c r="BO6" t="s">
        <v>103</v>
      </c>
      <c r="BP6" t="s">
        <v>103</v>
      </c>
      <c r="BQ6" t="s">
        <v>103</v>
      </c>
      <c r="BR6" t="s">
        <v>103</v>
      </c>
      <c r="BS6" t="s">
        <v>103</v>
      </c>
      <c r="BT6" t="s">
        <v>103</v>
      </c>
      <c r="BU6" t="s">
        <v>103</v>
      </c>
      <c r="BV6" t="s">
        <v>103</v>
      </c>
      <c r="BW6" t="s">
        <v>103</v>
      </c>
      <c r="BX6" t="s">
        <v>103</v>
      </c>
      <c r="BY6" t="s">
        <v>103</v>
      </c>
      <c r="BZ6" t="s">
        <v>103</v>
      </c>
      <c r="CA6" t="s">
        <v>103</v>
      </c>
      <c r="CB6" t="s">
        <v>103</v>
      </c>
      <c r="CC6" t="s">
        <v>103</v>
      </c>
      <c r="CD6" t="s">
        <v>103</v>
      </c>
      <c r="CE6" t="s">
        <v>103</v>
      </c>
      <c r="CF6" t="s">
        <v>103</v>
      </c>
      <c r="CG6" t="s">
        <v>103</v>
      </c>
      <c r="CH6" t="s">
        <v>103</v>
      </c>
      <c r="CI6" t="s">
        <v>103</v>
      </c>
      <c r="CJ6" t="s">
        <v>103</v>
      </c>
      <c r="CK6" t="s">
        <v>103</v>
      </c>
      <c r="CL6" t="s">
        <v>103</v>
      </c>
      <c r="CM6" t="s">
        <v>103</v>
      </c>
      <c r="CN6" t="s">
        <v>103</v>
      </c>
      <c r="CO6" t="s">
        <v>103</v>
      </c>
      <c r="CP6" t="s">
        <v>103</v>
      </c>
      <c r="CQ6" t="s">
        <v>103</v>
      </c>
      <c r="CR6" t="s">
        <v>103</v>
      </c>
      <c r="CS6" t="s">
        <v>103</v>
      </c>
      <c r="CT6" t="s">
        <v>103</v>
      </c>
      <c r="CU6" t="s">
        <v>103</v>
      </c>
      <c r="CV6" t="s">
        <v>103</v>
      </c>
      <c r="CW6" t="s">
        <v>103</v>
      </c>
      <c r="CX6" t="s">
        <v>103</v>
      </c>
      <c r="CY6" t="s">
        <v>103</v>
      </c>
      <c r="CZ6" t="s">
        <v>103</v>
      </c>
      <c r="DA6" t="s">
        <v>103</v>
      </c>
      <c r="DB6" t="s">
        <v>103</v>
      </c>
      <c r="DC6" t="s">
        <v>103</v>
      </c>
      <c r="DD6" t="s">
        <v>103</v>
      </c>
      <c r="DE6" t="s">
        <v>103</v>
      </c>
      <c r="DF6" t="s">
        <v>103</v>
      </c>
      <c r="DG6" t="s">
        <v>103</v>
      </c>
      <c r="DH6" t="s">
        <v>103</v>
      </c>
      <c r="DI6" t="s">
        <v>103</v>
      </c>
      <c r="DJ6" t="s">
        <v>103</v>
      </c>
      <c r="DK6" t="s">
        <v>103</v>
      </c>
      <c r="DL6" t="s">
        <v>103</v>
      </c>
      <c r="DM6" t="s">
        <v>103</v>
      </c>
      <c r="DN6" t="s">
        <v>103</v>
      </c>
      <c r="DO6" t="s">
        <v>103</v>
      </c>
      <c r="DP6" t="s">
        <v>103</v>
      </c>
      <c r="DQ6" t="s">
        <v>103</v>
      </c>
      <c r="DR6" t="s">
        <v>103</v>
      </c>
      <c r="DS6" t="s">
        <v>103</v>
      </c>
      <c r="DT6" t="s">
        <v>103</v>
      </c>
      <c r="DU6" t="s">
        <v>103</v>
      </c>
      <c r="DV6" t="s">
        <v>103</v>
      </c>
      <c r="DW6" t="s">
        <v>103</v>
      </c>
      <c r="DX6" t="s">
        <v>103</v>
      </c>
      <c r="DY6" t="s">
        <v>103</v>
      </c>
      <c r="DZ6" t="s">
        <v>103</v>
      </c>
      <c r="EA6" t="s">
        <v>103</v>
      </c>
      <c r="EB6" t="s">
        <v>103</v>
      </c>
      <c r="EC6" t="s">
        <v>103</v>
      </c>
      <c r="ED6" t="s">
        <v>103</v>
      </c>
      <c r="EE6" t="s">
        <v>103</v>
      </c>
      <c r="EF6" t="s">
        <v>103</v>
      </c>
      <c r="EG6" t="s">
        <v>103</v>
      </c>
      <c r="EH6" t="s">
        <v>103</v>
      </c>
      <c r="EI6" t="s">
        <v>103</v>
      </c>
      <c r="EJ6" t="s">
        <v>103</v>
      </c>
      <c r="EK6" t="s">
        <v>103</v>
      </c>
      <c r="EL6" t="s">
        <v>103</v>
      </c>
      <c r="EM6" t="s">
        <v>103</v>
      </c>
      <c r="EN6" t="s">
        <v>103</v>
      </c>
      <c r="EO6" t="s">
        <v>103</v>
      </c>
      <c r="EP6" t="s">
        <v>103</v>
      </c>
      <c r="EQ6" t="s">
        <v>103</v>
      </c>
      <c r="ER6" t="s">
        <v>103</v>
      </c>
      <c r="ES6" t="s">
        <v>103</v>
      </c>
      <c r="ET6" t="s">
        <v>103</v>
      </c>
      <c r="EU6" t="s">
        <v>103</v>
      </c>
      <c r="EV6" t="s">
        <v>103</v>
      </c>
      <c r="EW6" t="s">
        <v>103</v>
      </c>
      <c r="EX6" t="s">
        <v>103</v>
      </c>
      <c r="EY6" t="s">
        <v>103</v>
      </c>
      <c r="EZ6" t="s">
        <v>103</v>
      </c>
      <c r="FA6" t="s">
        <v>103</v>
      </c>
      <c r="FB6" t="s">
        <v>103</v>
      </c>
      <c r="FC6" t="s">
        <v>103</v>
      </c>
      <c r="FD6" t="s">
        <v>103</v>
      </c>
      <c r="FE6" t="s">
        <v>103</v>
      </c>
      <c r="FF6" t="s">
        <v>103</v>
      </c>
      <c r="FG6" t="s">
        <v>103</v>
      </c>
      <c r="FH6" t="s">
        <v>103</v>
      </c>
      <c r="FI6" t="s">
        <v>103</v>
      </c>
      <c r="FJ6" t="s">
        <v>103</v>
      </c>
      <c r="FK6" t="s">
        <v>103</v>
      </c>
      <c r="FL6" t="s">
        <v>103</v>
      </c>
      <c r="FM6" t="s">
        <v>103</v>
      </c>
      <c r="FN6" t="s">
        <v>103</v>
      </c>
      <c r="FO6" t="s">
        <v>103</v>
      </c>
      <c r="FP6" t="s">
        <v>103</v>
      </c>
      <c r="FQ6" t="s">
        <v>103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103</v>
      </c>
      <c r="B7" s="8" t="s">
        <v>103</v>
      </c>
      <c r="C7" s="8" t="s">
        <v>103</v>
      </c>
      <c r="D7" s="8" t="s">
        <v>103</v>
      </c>
      <c r="E7" s="8"/>
      <c r="F7" s="8" t="s">
        <v>104</v>
      </c>
      <c r="G7" s="8" t="s">
        <v>103</v>
      </c>
      <c r="H7" s="8" t="s">
        <v>103</v>
      </c>
      <c r="I7" s="8"/>
      <c r="J7" s="8"/>
      <c r="K7" s="8" t="s">
        <v>103</v>
      </c>
      <c r="L7" s="8" t="s">
        <v>103</v>
      </c>
      <c r="M7" s="8" t="s">
        <v>103</v>
      </c>
      <c r="N7" s="8"/>
      <c r="O7" s="8"/>
      <c r="R7" t="s">
        <v>103</v>
      </c>
      <c r="S7" t="s">
        <v>103</v>
      </c>
      <c r="T7" t="s">
        <v>103</v>
      </c>
      <c r="X7" t="s">
        <v>103</v>
      </c>
      <c r="Y7" t="s">
        <v>103</v>
      </c>
      <c r="Z7" t="s">
        <v>105</v>
      </c>
      <c r="AA7" t="s">
        <v>103</v>
      </c>
      <c r="AB7" t="s">
        <v>16</v>
      </c>
      <c r="AC7" s="43">
        <v>4.0</v>
      </c>
      <c r="AD7" t="s">
        <v>103</v>
      </c>
      <c r="AE7" t="s">
        <v>103</v>
      </c>
      <c r="AF7" t="s">
        <v>106</v>
      </c>
      <c r="AG7" t="s">
        <v>103</v>
      </c>
      <c r="AH7" t="s">
        <v>103</v>
      </c>
      <c r="AI7" s="44" t="s">
        <v>107</v>
      </c>
      <c r="AJ7" s="44" t="s">
        <v>107</v>
      </c>
      <c r="AK7" t="s">
        <v>108</v>
      </c>
      <c r="AL7" t="s">
        <v>109</v>
      </c>
      <c r="AM7" t="s">
        <v>103</v>
      </c>
      <c r="AN7" t="s">
        <v>103</v>
      </c>
      <c r="AO7" t="s">
        <v>103</v>
      </c>
      <c r="AP7" t="s">
        <v>103</v>
      </c>
      <c r="AQ7" t="s">
        <v>103</v>
      </c>
      <c r="AR7" t="s">
        <v>103</v>
      </c>
      <c r="AS7" t="s">
        <v>17</v>
      </c>
      <c r="AT7" t="s">
        <v>103</v>
      </c>
      <c r="AU7" t="s">
        <v>103</v>
      </c>
      <c r="AV7" t="s">
        <v>103</v>
      </c>
      <c r="AW7" t="s">
        <v>103</v>
      </c>
      <c r="AX7" t="s">
        <v>103</v>
      </c>
      <c r="AY7" t="s">
        <v>103</v>
      </c>
      <c r="AZ7" t="s">
        <v>103</v>
      </c>
      <c r="BA7" t="s">
        <v>103</v>
      </c>
      <c r="BB7" t="s">
        <v>103</v>
      </c>
      <c r="BC7" t="s">
        <v>103</v>
      </c>
      <c r="BD7" t="s">
        <v>103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 t="s">
        <v>103</v>
      </c>
      <c r="BO7" t="s">
        <v>103</v>
      </c>
      <c r="BP7" t="s">
        <v>103</v>
      </c>
      <c r="BQ7" t="s">
        <v>103</v>
      </c>
      <c r="BR7" t="s">
        <v>103</v>
      </c>
      <c r="BS7" t="s">
        <v>103</v>
      </c>
      <c r="BT7" t="s">
        <v>103</v>
      </c>
      <c r="BU7" t="s">
        <v>103</v>
      </c>
      <c r="BV7" t="s">
        <v>103</v>
      </c>
      <c r="BW7" t="s">
        <v>103</v>
      </c>
      <c r="BX7" t="s">
        <v>103</v>
      </c>
      <c r="BY7" t="s">
        <v>103</v>
      </c>
      <c r="BZ7" t="s">
        <v>103</v>
      </c>
      <c r="CA7" t="s">
        <v>103</v>
      </c>
      <c r="CB7" t="s">
        <v>103</v>
      </c>
      <c r="CC7" t="s">
        <v>103</v>
      </c>
      <c r="CD7" t="s">
        <v>103</v>
      </c>
      <c r="CE7" t="s">
        <v>103</v>
      </c>
      <c r="CF7" t="s">
        <v>103</v>
      </c>
      <c r="CG7" t="s">
        <v>103</v>
      </c>
      <c r="CH7" t="s">
        <v>103</v>
      </c>
      <c r="CI7" t="s">
        <v>103</v>
      </c>
      <c r="CJ7" t="s">
        <v>103</v>
      </c>
      <c r="CK7" t="s">
        <v>103</v>
      </c>
      <c r="CL7" t="s">
        <v>103</v>
      </c>
      <c r="CM7" t="s">
        <v>103</v>
      </c>
      <c r="CN7" t="s">
        <v>103</v>
      </c>
      <c r="CO7" t="s">
        <v>103</v>
      </c>
      <c r="CP7" t="s">
        <v>103</v>
      </c>
      <c r="CQ7" t="s">
        <v>103</v>
      </c>
      <c r="CR7" t="s">
        <v>103</v>
      </c>
      <c r="CS7" t="s">
        <v>103</v>
      </c>
      <c r="CT7" t="s">
        <v>103</v>
      </c>
      <c r="CU7" t="s">
        <v>103</v>
      </c>
      <c r="CV7" t="s">
        <v>103</v>
      </c>
      <c r="CW7" t="s">
        <v>103</v>
      </c>
      <c r="CX7" t="s">
        <v>103</v>
      </c>
      <c r="CY7" t="s">
        <v>103</v>
      </c>
      <c r="CZ7" t="s">
        <v>103</v>
      </c>
      <c r="DA7" t="s">
        <v>103</v>
      </c>
      <c r="DB7" t="s">
        <v>103</v>
      </c>
      <c r="DC7" t="s">
        <v>103</v>
      </c>
      <c r="DD7" t="s">
        <v>103</v>
      </c>
      <c r="DE7" t="s">
        <v>103</v>
      </c>
      <c r="DF7" t="s">
        <v>103</v>
      </c>
      <c r="DG7" t="s">
        <v>103</v>
      </c>
      <c r="DH7" t="s">
        <v>103</v>
      </c>
      <c r="DI7" t="s">
        <v>103</v>
      </c>
      <c r="DJ7" t="s">
        <v>103</v>
      </c>
      <c r="DK7" t="s">
        <v>103</v>
      </c>
      <c r="DL7" t="s">
        <v>103</v>
      </c>
      <c r="DM7" t="s">
        <v>103</v>
      </c>
      <c r="DN7" t="s">
        <v>103</v>
      </c>
      <c r="DO7" t="s">
        <v>103</v>
      </c>
      <c r="DP7" t="s">
        <v>103</v>
      </c>
      <c r="DQ7" t="s">
        <v>103</v>
      </c>
      <c r="DR7" t="s">
        <v>103</v>
      </c>
      <c r="DS7" t="s">
        <v>103</v>
      </c>
      <c r="DT7" t="s">
        <v>103</v>
      </c>
      <c r="DU7" t="s">
        <v>103</v>
      </c>
      <c r="DV7" t="s">
        <v>103</v>
      </c>
      <c r="DW7" t="s">
        <v>103</v>
      </c>
      <c r="DX7" t="s">
        <v>103</v>
      </c>
      <c r="DY7" t="s">
        <v>103</v>
      </c>
      <c r="DZ7" t="s">
        <v>103</v>
      </c>
      <c r="EA7" t="s">
        <v>103</v>
      </c>
      <c r="EB7" t="s">
        <v>103</v>
      </c>
      <c r="EC7" t="s">
        <v>103</v>
      </c>
      <c r="ED7" t="s">
        <v>103</v>
      </c>
      <c r="EE7" t="s">
        <v>103</v>
      </c>
      <c r="EF7" t="s">
        <v>103</v>
      </c>
      <c r="EG7" t="s">
        <v>103</v>
      </c>
      <c r="EH7" t="s">
        <v>103</v>
      </c>
      <c r="EI7" t="s">
        <v>103</v>
      </c>
      <c r="EJ7" t="s">
        <v>103</v>
      </c>
      <c r="EK7" t="s">
        <v>103</v>
      </c>
      <c r="EL7" t="s">
        <v>103</v>
      </c>
      <c r="EM7" t="s">
        <v>103</v>
      </c>
      <c r="EN7" t="s">
        <v>103</v>
      </c>
      <c r="EO7" t="s">
        <v>103</v>
      </c>
      <c r="EP7" t="s">
        <v>103</v>
      </c>
      <c r="EQ7" t="s">
        <v>103</v>
      </c>
      <c r="ER7" t="s">
        <v>103</v>
      </c>
      <c r="ES7" t="s">
        <v>103</v>
      </c>
      <c r="ET7" t="s">
        <v>103</v>
      </c>
      <c r="EU7" t="s">
        <v>103</v>
      </c>
      <c r="EV7" t="s">
        <v>103</v>
      </c>
      <c r="EW7" t="s">
        <v>103</v>
      </c>
      <c r="EX7" t="s">
        <v>103</v>
      </c>
      <c r="EY7" t="s">
        <v>103</v>
      </c>
      <c r="EZ7" t="s">
        <v>103</v>
      </c>
      <c r="FA7" t="s">
        <v>103</v>
      </c>
      <c r="FB7" t="s">
        <v>103</v>
      </c>
      <c r="FC7" t="s">
        <v>103</v>
      </c>
      <c r="FD7" t="s">
        <v>103</v>
      </c>
      <c r="FE7" t="s">
        <v>103</v>
      </c>
      <c r="FF7" t="s">
        <v>103</v>
      </c>
      <c r="FG7" t="s">
        <v>103</v>
      </c>
      <c r="FH7" t="s">
        <v>103</v>
      </c>
      <c r="FI7" t="s">
        <v>103</v>
      </c>
      <c r="FJ7" t="s">
        <v>103</v>
      </c>
      <c r="FK7" t="s">
        <v>103</v>
      </c>
      <c r="FL7" t="s">
        <v>103</v>
      </c>
      <c r="FM7" t="s">
        <v>103</v>
      </c>
      <c r="FN7" t="s">
        <v>103</v>
      </c>
      <c r="FO7" t="s">
        <v>103</v>
      </c>
      <c r="FP7" t="s">
        <v>103</v>
      </c>
      <c r="FQ7" t="s">
        <v>103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 t="s">
        <v>103</v>
      </c>
      <c r="B8" s="8" t="s">
        <v>103</v>
      </c>
      <c r="C8" s="8" t="s">
        <v>103</v>
      </c>
      <c r="D8" s="8" t="s">
        <v>103</v>
      </c>
      <c r="E8" s="8"/>
      <c r="F8" s="8" t="s">
        <v>104</v>
      </c>
      <c r="G8" s="8" t="s">
        <v>103</v>
      </c>
      <c r="H8" s="8" t="s">
        <v>103</v>
      </c>
      <c r="I8" s="8"/>
      <c r="J8" s="8"/>
      <c r="K8" s="8" t="s">
        <v>103</v>
      </c>
      <c r="L8" s="8" t="s">
        <v>103</v>
      </c>
      <c r="M8" s="8" t="s">
        <v>103</v>
      </c>
      <c r="N8" s="8"/>
      <c r="O8" s="8"/>
      <c r="R8" t="s">
        <v>103</v>
      </c>
      <c r="S8" t="s">
        <v>103</v>
      </c>
      <c r="T8" t="s">
        <v>103</v>
      </c>
      <c r="X8" t="s">
        <v>103</v>
      </c>
      <c r="Y8" t="s">
        <v>103</v>
      </c>
      <c r="Z8" t="s">
        <v>105</v>
      </c>
      <c r="AA8" t="s">
        <v>103</v>
      </c>
      <c r="AB8" t="s">
        <v>16</v>
      </c>
      <c r="AC8" s="45">
        <v>2.0</v>
      </c>
      <c r="AD8" t="s">
        <v>103</v>
      </c>
      <c r="AE8" t="s">
        <v>103</v>
      </c>
      <c r="AF8" t="s">
        <v>106</v>
      </c>
      <c r="AG8" t="s">
        <v>103</v>
      </c>
      <c r="AH8" t="s">
        <v>103</v>
      </c>
      <c r="AI8" s="41" t="s">
        <v>107</v>
      </c>
      <c r="AJ8" s="41" t="s">
        <v>107</v>
      </c>
      <c r="AK8" t="s">
        <v>108</v>
      </c>
      <c r="AL8" t="s">
        <v>109</v>
      </c>
      <c r="AM8" t="s">
        <v>103</v>
      </c>
      <c r="AN8" t="s">
        <v>103</v>
      </c>
      <c r="AO8" t="s">
        <v>103</v>
      </c>
      <c r="AP8" t="s">
        <v>103</v>
      </c>
      <c r="AQ8" t="s">
        <v>103</v>
      </c>
      <c r="AR8" t="s">
        <v>103</v>
      </c>
      <c r="AS8" t="s">
        <v>17</v>
      </c>
      <c r="AT8" t="s">
        <v>103</v>
      </c>
      <c r="AU8" t="s">
        <v>103</v>
      </c>
      <c r="AV8" t="s">
        <v>103</v>
      </c>
      <c r="AW8" t="s">
        <v>103</v>
      </c>
      <c r="AX8" t="s">
        <v>103</v>
      </c>
      <c r="AY8" t="s">
        <v>103</v>
      </c>
      <c r="AZ8" t="s">
        <v>103</v>
      </c>
      <c r="BA8" t="s">
        <v>103</v>
      </c>
      <c r="BB8" t="s">
        <v>103</v>
      </c>
      <c r="BC8" t="s">
        <v>103</v>
      </c>
      <c r="BD8" t="s">
        <v>103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 t="s">
        <v>103</v>
      </c>
      <c r="BN8" t="s">
        <v>103</v>
      </c>
      <c r="BO8" t="s">
        <v>103</v>
      </c>
      <c r="BP8" t="s">
        <v>103</v>
      </c>
      <c r="BQ8" t="s">
        <v>103</v>
      </c>
      <c r="BR8" t="s">
        <v>103</v>
      </c>
      <c r="BS8" t="s">
        <v>103</v>
      </c>
      <c r="BT8" t="s">
        <v>103</v>
      </c>
      <c r="BU8" t="s">
        <v>103</v>
      </c>
      <c r="BV8" t="s">
        <v>103</v>
      </c>
      <c r="BW8" t="s">
        <v>103</v>
      </c>
      <c r="BX8" t="s">
        <v>103</v>
      </c>
      <c r="BY8" t="s">
        <v>103</v>
      </c>
      <c r="BZ8" t="s">
        <v>103</v>
      </c>
      <c r="CA8" t="s">
        <v>103</v>
      </c>
      <c r="CB8" t="s">
        <v>103</v>
      </c>
      <c r="CC8" t="s">
        <v>103</v>
      </c>
      <c r="CD8" t="s">
        <v>103</v>
      </c>
      <c r="CE8" t="s">
        <v>103</v>
      </c>
      <c r="CF8" t="s">
        <v>103</v>
      </c>
      <c r="CG8" t="s">
        <v>103</v>
      </c>
      <c r="CH8" t="s">
        <v>103</v>
      </c>
      <c r="CI8" t="s">
        <v>103</v>
      </c>
      <c r="CJ8" t="s">
        <v>103</v>
      </c>
      <c r="CK8" t="s">
        <v>103</v>
      </c>
      <c r="CL8" t="s">
        <v>103</v>
      </c>
      <c r="CM8" t="s">
        <v>103</v>
      </c>
      <c r="CN8" t="s">
        <v>103</v>
      </c>
      <c r="CO8" t="s">
        <v>103</v>
      </c>
      <c r="CP8" t="s">
        <v>103</v>
      </c>
      <c r="CQ8" t="s">
        <v>103</v>
      </c>
      <c r="CR8" t="s">
        <v>103</v>
      </c>
      <c r="CS8" t="s">
        <v>103</v>
      </c>
      <c r="CT8" t="s">
        <v>103</v>
      </c>
      <c r="CU8" t="s">
        <v>103</v>
      </c>
      <c r="CV8" t="s">
        <v>103</v>
      </c>
      <c r="CW8" t="s">
        <v>103</v>
      </c>
      <c r="CX8" t="s">
        <v>103</v>
      </c>
      <c r="CY8" t="s">
        <v>103</v>
      </c>
      <c r="CZ8" t="s">
        <v>103</v>
      </c>
      <c r="DA8" t="s">
        <v>103</v>
      </c>
      <c r="DB8" t="s">
        <v>103</v>
      </c>
      <c r="DC8" t="s">
        <v>103</v>
      </c>
      <c r="DD8" t="s">
        <v>103</v>
      </c>
      <c r="DE8" t="s">
        <v>103</v>
      </c>
      <c r="DF8" t="s">
        <v>103</v>
      </c>
      <c r="DG8" t="s">
        <v>103</v>
      </c>
      <c r="DH8" t="s">
        <v>103</v>
      </c>
      <c r="DI8" t="s">
        <v>103</v>
      </c>
      <c r="DJ8" t="s">
        <v>103</v>
      </c>
      <c r="DK8" t="s">
        <v>103</v>
      </c>
      <c r="DL8" t="s">
        <v>103</v>
      </c>
      <c r="DM8" t="s">
        <v>103</v>
      </c>
      <c r="DN8" t="s">
        <v>103</v>
      </c>
      <c r="DO8" t="s">
        <v>103</v>
      </c>
      <c r="DP8" t="s">
        <v>103</v>
      </c>
      <c r="DQ8" t="s">
        <v>103</v>
      </c>
      <c r="DR8" t="s">
        <v>103</v>
      </c>
      <c r="DS8" t="s">
        <v>103</v>
      </c>
      <c r="DT8" t="s">
        <v>103</v>
      </c>
      <c r="DU8" t="s">
        <v>103</v>
      </c>
      <c r="DV8" t="s">
        <v>103</v>
      </c>
      <c r="DW8" t="s">
        <v>103</v>
      </c>
      <c r="DX8" t="s">
        <v>103</v>
      </c>
      <c r="DY8" t="s">
        <v>103</v>
      </c>
      <c r="DZ8" t="s">
        <v>103</v>
      </c>
      <c r="EA8" t="s">
        <v>103</v>
      </c>
      <c r="EB8" t="s">
        <v>103</v>
      </c>
      <c r="EC8" t="s">
        <v>103</v>
      </c>
      <c r="ED8" t="s">
        <v>103</v>
      </c>
      <c r="EE8" t="s">
        <v>103</v>
      </c>
      <c r="EF8" t="s">
        <v>103</v>
      </c>
      <c r="EG8" t="s">
        <v>103</v>
      </c>
      <c r="EH8" t="s">
        <v>103</v>
      </c>
      <c r="EI8" t="s">
        <v>103</v>
      </c>
      <c r="EJ8" t="s">
        <v>103</v>
      </c>
      <c r="EK8" t="s">
        <v>103</v>
      </c>
      <c r="EL8" t="s">
        <v>103</v>
      </c>
      <c r="EM8" t="s">
        <v>103</v>
      </c>
      <c r="EN8" t="s">
        <v>103</v>
      </c>
      <c r="EO8" t="s">
        <v>103</v>
      </c>
      <c r="EP8" t="s">
        <v>103</v>
      </c>
      <c r="EQ8" t="s">
        <v>103</v>
      </c>
      <c r="ER8" t="s">
        <v>103</v>
      </c>
      <c r="ES8" t="s">
        <v>103</v>
      </c>
      <c r="ET8" t="s">
        <v>103</v>
      </c>
      <c r="EU8" t="s">
        <v>103</v>
      </c>
      <c r="EV8" t="s">
        <v>103</v>
      </c>
      <c r="EW8" t="s">
        <v>103</v>
      </c>
      <c r="EX8" t="s">
        <v>103</v>
      </c>
      <c r="EY8" t="s">
        <v>103</v>
      </c>
      <c r="EZ8" t="s">
        <v>103</v>
      </c>
      <c r="FA8" t="s">
        <v>103</v>
      </c>
      <c r="FB8" t="s">
        <v>103</v>
      </c>
      <c r="FC8" t="s">
        <v>103</v>
      </c>
      <c r="FD8" t="s">
        <v>103</v>
      </c>
      <c r="FE8" t="s">
        <v>103</v>
      </c>
      <c r="FF8" t="s">
        <v>103</v>
      </c>
      <c r="FG8" t="s">
        <v>103</v>
      </c>
      <c r="FH8" t="s">
        <v>103</v>
      </c>
      <c r="FI8" t="s">
        <v>103</v>
      </c>
      <c r="FJ8" t="s">
        <v>103</v>
      </c>
      <c r="FK8" t="s">
        <v>103</v>
      </c>
      <c r="FL8" t="s">
        <v>103</v>
      </c>
      <c r="FM8" t="s">
        <v>103</v>
      </c>
      <c r="FN8" t="s">
        <v>103</v>
      </c>
      <c r="FO8" t="s">
        <v>103</v>
      </c>
      <c r="FP8" t="s">
        <v>103</v>
      </c>
      <c r="FQ8" t="s">
        <v>103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8" t="s">
        <v>103</v>
      </c>
      <c r="B9" s="8" t="s">
        <v>103</v>
      </c>
      <c r="C9" s="8" t="s">
        <v>103</v>
      </c>
      <c r="D9" s="8" t="s">
        <v>103</v>
      </c>
      <c r="E9" s="8"/>
      <c r="F9" s="8" t="s">
        <v>104</v>
      </c>
      <c r="G9" s="8" t="s">
        <v>103</v>
      </c>
      <c r="H9" s="8" t="s">
        <v>103</v>
      </c>
      <c r="I9" s="8"/>
      <c r="J9" s="8"/>
      <c r="K9" s="8" t="s">
        <v>103</v>
      </c>
      <c r="L9" s="8" t="s">
        <v>103</v>
      </c>
      <c r="M9" s="8" t="s">
        <v>103</v>
      </c>
      <c r="N9" s="8"/>
      <c r="O9" s="8"/>
      <c r="R9" t="s">
        <v>103</v>
      </c>
      <c r="S9" t="s">
        <v>103</v>
      </c>
      <c r="T9" t="s">
        <v>103</v>
      </c>
      <c r="X9" t="s">
        <v>103</v>
      </c>
      <c r="Y9" t="s">
        <v>103</v>
      </c>
      <c r="Z9" t="s">
        <v>105</v>
      </c>
      <c r="AA9" t="s">
        <v>103</v>
      </c>
      <c r="AB9" t="s">
        <v>16</v>
      </c>
      <c r="AC9" s="43">
        <v>1.0</v>
      </c>
      <c r="AD9" t="s">
        <v>103</v>
      </c>
      <c r="AE9" t="s">
        <v>103</v>
      </c>
      <c r="AF9" t="s">
        <v>106</v>
      </c>
      <c r="AG9" t="s">
        <v>103</v>
      </c>
      <c r="AH9" t="s">
        <v>103</v>
      </c>
      <c r="AI9" s="41" t="s">
        <v>107</v>
      </c>
      <c r="AJ9" s="41" t="s">
        <v>107</v>
      </c>
      <c r="AK9" t="s">
        <v>108</v>
      </c>
      <c r="AL9" t="s">
        <v>109</v>
      </c>
      <c r="AM9" t="s">
        <v>103</v>
      </c>
      <c r="AN9" t="s">
        <v>103</v>
      </c>
      <c r="AO9" t="s">
        <v>103</v>
      </c>
      <c r="AP9" t="s">
        <v>103</v>
      </c>
      <c r="AQ9" t="s">
        <v>103</v>
      </c>
      <c r="AR9" t="s">
        <v>103</v>
      </c>
      <c r="AS9" t="s">
        <v>17</v>
      </c>
      <c r="AT9" t="s">
        <v>103</v>
      </c>
      <c r="AU9" t="s">
        <v>103</v>
      </c>
      <c r="AV9" t="s">
        <v>103</v>
      </c>
      <c r="AW9" t="s">
        <v>103</v>
      </c>
      <c r="AX9" t="s">
        <v>103</v>
      </c>
      <c r="AY9" t="s">
        <v>103</v>
      </c>
      <c r="AZ9" t="s">
        <v>103</v>
      </c>
      <c r="BA9" t="s">
        <v>103</v>
      </c>
      <c r="BB9" t="s">
        <v>103</v>
      </c>
      <c r="BC9" t="s">
        <v>103</v>
      </c>
      <c r="BD9" t="s">
        <v>103</v>
      </c>
      <c r="BE9" t="s">
        <v>103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 t="s">
        <v>103</v>
      </c>
      <c r="BM9" t="s">
        <v>103</v>
      </c>
      <c r="BN9" t="s">
        <v>103</v>
      </c>
      <c r="BO9" t="s">
        <v>103</v>
      </c>
      <c r="BP9" t="s">
        <v>103</v>
      </c>
      <c r="BQ9" t="s">
        <v>103</v>
      </c>
      <c r="BR9" t="s">
        <v>103</v>
      </c>
      <c r="BS9" t="s">
        <v>103</v>
      </c>
      <c r="BT9" t="s">
        <v>103</v>
      </c>
      <c r="BU9" t="s">
        <v>103</v>
      </c>
      <c r="BV9" t="s">
        <v>103</v>
      </c>
      <c r="BW9" t="s">
        <v>103</v>
      </c>
      <c r="BX9" t="s">
        <v>103</v>
      </c>
      <c r="BY9" t="s">
        <v>103</v>
      </c>
      <c r="BZ9" t="s">
        <v>103</v>
      </c>
      <c r="CA9" t="s">
        <v>103</v>
      </c>
      <c r="CB9" t="s">
        <v>103</v>
      </c>
      <c r="CC9" t="s">
        <v>103</v>
      </c>
      <c r="CD9" t="s">
        <v>103</v>
      </c>
      <c r="CE9" t="s">
        <v>103</v>
      </c>
      <c r="CF9" t="s">
        <v>103</v>
      </c>
      <c r="CG9" t="s">
        <v>103</v>
      </c>
      <c r="CH9" t="s">
        <v>103</v>
      </c>
      <c r="CI9" t="s">
        <v>103</v>
      </c>
      <c r="CJ9" t="s">
        <v>103</v>
      </c>
      <c r="CK9" t="s">
        <v>103</v>
      </c>
      <c r="CL9" t="s">
        <v>103</v>
      </c>
      <c r="CM9" t="s">
        <v>103</v>
      </c>
      <c r="CN9" t="s">
        <v>103</v>
      </c>
      <c r="CO9" t="s">
        <v>103</v>
      </c>
      <c r="CP9" t="s">
        <v>103</v>
      </c>
      <c r="CQ9" t="s">
        <v>103</v>
      </c>
      <c r="CR9" t="s">
        <v>103</v>
      </c>
      <c r="CS9" t="s">
        <v>103</v>
      </c>
      <c r="CT9" t="s">
        <v>103</v>
      </c>
      <c r="CU9" t="s">
        <v>103</v>
      </c>
      <c r="CV9" t="s">
        <v>103</v>
      </c>
      <c r="CW9" t="s">
        <v>103</v>
      </c>
      <c r="CX9" t="s">
        <v>103</v>
      </c>
      <c r="CY9" t="s">
        <v>103</v>
      </c>
      <c r="CZ9" t="s">
        <v>103</v>
      </c>
      <c r="DA9" t="s">
        <v>103</v>
      </c>
      <c r="DB9" t="s">
        <v>103</v>
      </c>
      <c r="DC9" t="s">
        <v>103</v>
      </c>
      <c r="DD9" t="s">
        <v>103</v>
      </c>
      <c r="DE9" t="s">
        <v>103</v>
      </c>
      <c r="DF9" t="s">
        <v>103</v>
      </c>
      <c r="DG9" t="s">
        <v>103</v>
      </c>
      <c r="DH9" t="s">
        <v>103</v>
      </c>
      <c r="DI9" t="s">
        <v>103</v>
      </c>
      <c r="DJ9" t="s">
        <v>103</v>
      </c>
      <c r="DK9" t="s">
        <v>103</v>
      </c>
      <c r="DL9" t="s">
        <v>103</v>
      </c>
      <c r="DM9" t="s">
        <v>103</v>
      </c>
      <c r="DN9" t="s">
        <v>103</v>
      </c>
      <c r="DO9" t="s">
        <v>103</v>
      </c>
      <c r="DP9" t="s">
        <v>103</v>
      </c>
      <c r="DQ9" t="s">
        <v>103</v>
      </c>
      <c r="DR9" t="s">
        <v>103</v>
      </c>
      <c r="DS9" t="s">
        <v>103</v>
      </c>
      <c r="DT9" t="s">
        <v>103</v>
      </c>
      <c r="DU9" t="s">
        <v>103</v>
      </c>
      <c r="DV9" t="s">
        <v>103</v>
      </c>
      <c r="DW9" t="s">
        <v>103</v>
      </c>
      <c r="DX9" t="s">
        <v>103</v>
      </c>
      <c r="DY9" t="s">
        <v>103</v>
      </c>
      <c r="DZ9" t="s">
        <v>103</v>
      </c>
      <c r="EA9" t="s">
        <v>103</v>
      </c>
      <c r="EB9" t="s">
        <v>103</v>
      </c>
      <c r="EC9" t="s">
        <v>103</v>
      </c>
      <c r="ED9" t="s">
        <v>103</v>
      </c>
      <c r="EE9" t="s">
        <v>103</v>
      </c>
      <c r="EF9" t="s">
        <v>103</v>
      </c>
      <c r="EG9" t="s">
        <v>103</v>
      </c>
      <c r="EH9" t="s">
        <v>103</v>
      </c>
      <c r="EI9" t="s">
        <v>103</v>
      </c>
      <c r="EJ9" t="s">
        <v>103</v>
      </c>
      <c r="EK9" t="s">
        <v>103</v>
      </c>
      <c r="EL9" t="s">
        <v>103</v>
      </c>
      <c r="EM9" t="s">
        <v>103</v>
      </c>
      <c r="EN9" t="s">
        <v>103</v>
      </c>
      <c r="EO9" t="s">
        <v>103</v>
      </c>
      <c r="EP9" t="s">
        <v>103</v>
      </c>
      <c r="EQ9" t="s">
        <v>103</v>
      </c>
      <c r="ER9" t="s">
        <v>103</v>
      </c>
      <c r="ES9" t="s">
        <v>103</v>
      </c>
      <c r="ET9" t="s">
        <v>103</v>
      </c>
      <c r="EU9" t="s">
        <v>103</v>
      </c>
      <c r="EV9" t="s">
        <v>103</v>
      </c>
      <c r="EW9" t="s">
        <v>103</v>
      </c>
      <c r="EX9" t="s">
        <v>103</v>
      </c>
      <c r="EY9" t="s">
        <v>103</v>
      </c>
      <c r="EZ9" t="s">
        <v>103</v>
      </c>
      <c r="FA9" t="s">
        <v>103</v>
      </c>
      <c r="FB9" t="s">
        <v>103</v>
      </c>
      <c r="FC9" t="s">
        <v>103</v>
      </c>
      <c r="FD9" t="s">
        <v>103</v>
      </c>
      <c r="FE9" t="s">
        <v>103</v>
      </c>
      <c r="FF9" t="s">
        <v>103</v>
      </c>
      <c r="FG9" t="s">
        <v>103</v>
      </c>
      <c r="FH9" t="s">
        <v>103</v>
      </c>
      <c r="FI9" t="s">
        <v>103</v>
      </c>
      <c r="FJ9" t="s">
        <v>103</v>
      </c>
      <c r="FK9" t="s">
        <v>103</v>
      </c>
      <c r="FL9" t="s">
        <v>103</v>
      </c>
      <c r="FM9" t="s">
        <v>103</v>
      </c>
      <c r="FN9" t="s">
        <v>103</v>
      </c>
      <c r="FO9" t="s">
        <v>103</v>
      </c>
      <c r="FP9" t="s">
        <v>103</v>
      </c>
      <c r="FQ9" t="s">
        <v>103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 t="str">
        <f>IFERROR(__xludf.DUMMYFUNCTION("""COMPUTED_VALUE"""),"Venue")</f>
        <v>Venue</v>
      </c>
      <c r="D5" s="27" t="str">
        <f>IFERROR(__xludf.DUMMYFUNCTION("""COMPUTED_VALUE"""),"Order Type")</f>
        <v>Order Type</v>
      </c>
      <c r="E5" s="27" t="str">
        <f>IFERROR(__xludf.DUMMYFUNCTION("""COMPUTED_VALUE"""),"TIF")</f>
        <v>TIF</v>
      </c>
      <c r="F5" s="28" t="str">
        <f>IFERROR(__xludf.DUMMYFUNCTION("""COMPUTED_VALUE"""),"Handling Instruction")</f>
        <v>Handling Instruction</v>
      </c>
      <c r="G5" s="27" t="str">
        <f>IFERROR(__xludf.DUMMYFUNCTION("""COMPUTED_VALUE"""),"Execution Instruction")</f>
        <v>Execution Instruction</v>
      </c>
      <c r="H5" s="27" t="str">
        <f>IFERROR(__xludf.DUMMYFUNCTION("""COMPUTED_VALUE"""),"Strategy")</f>
        <v>Strategy</v>
      </c>
      <c r="I5" s="27" t="str">
        <f>IFERROR(__xludf.DUMMYFUNCTION("""COMPUTED_VALUE"""),"Account")</f>
        <v>Account</v>
      </c>
      <c r="J5" s="27" t="str">
        <f>IFERROR(__xludf.DUMMYFUNCTION("""COMPUTED_VALUE"""),"Settlement Currency")</f>
        <v>Settlement Currency</v>
      </c>
      <c r="K5" s="27" t="str">
        <f>IFERROR(__xludf.DUMMYFUNCTION("""COMPUTED_VALUE"""),"Trader")</f>
        <v>Trader</v>
      </c>
      <c r="L5" s="27" t="str">
        <f>IFERROR(__xludf.DUMMYFUNCTION("""COMPUTED_VALUE"""),"Default Quantity")</f>
        <v>Default Quantity</v>
      </c>
      <c r="M5" s="27" t="str">
        <f>IFERROR(__xludf.DUMMYFUNCTION("""COMPUTED_VALUE"""),"Apply Round Lots")</f>
        <v>Apply Round Lots</v>
      </c>
      <c r="N5" s="27" t="str">
        <f>IFERROR(__xludf.DUMMYFUNCTION("""COMPUTED_VALUE"""),"Quantity")</f>
        <v>Quantity</v>
      </c>
      <c r="O5" s="27" t="str">
        <f>IFERROR(__xludf.DUMMYFUNCTION("""COMPUTED_VALUE"""),"Increase On Quantity")</f>
        <v>Increase On Quantity</v>
      </c>
      <c r="P5" s="27" t="str">
        <f>IFERROR(__xludf.DUMMYFUNCTION("""COMPUTED_VALUE"""),"Increase On Stop")</f>
        <v>Increase On Stop</v>
      </c>
      <c r="Q5" s="27" t="str">
        <f>IFERROR(__xludf.DUMMYFUNCTION("""COMPUTED_VALUE"""),"Increase On Limit")</f>
        <v>Increase On Limit</v>
      </c>
      <c r="R5" s="27" t="str">
        <f>IFERROR(__xludf.DUMMYFUNCTION("""COMPUTED_VALUE"""),"Broker_Enable?")</f>
        <v>Broker_Enable?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/>
      <c r="F6" s="8"/>
      <c r="G6" s="8"/>
      <c r="H6" s="8"/>
      <c r="I6" s="8"/>
      <c r="J6" s="8"/>
      <c r="K6" s="8"/>
      <c r="L6" s="8"/>
      <c r="M6" s="12" t="s">
        <v>60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SetUIPreferencesTT!$4:$4</formula1>
    </dataValidation>
  </dataValidations>
  <drawing r:id="rId1"/>
</worksheet>
</file>