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OnOrderGrid" sheetId="5" r:id="rId7"/>
    <sheet state="visible" name="SelectTradeSubOrderBlotter" sheetId="6" r:id="rId8"/>
    <sheet state="visible" name="RemoveManualExecution" sheetId="7" r:id="rId9"/>
    <sheet state="visible" name="CreateDoneAwayOrder1" sheetId="8" r:id="rId10"/>
    <sheet state="visible" name="OpenRTPNL" sheetId="9" r:id="rId11"/>
    <sheet state="visible" name="CheckRealTimeSymAccountMonitor" sheetId="10" r:id="rId12"/>
    <sheet state="visible" name="VerifyComplianceOrder" sheetId="11" r:id="rId13"/>
  </sheets>
  <definedNames/>
  <calcPr/>
</workbook>
</file>

<file path=xl/sharedStrings.xml><?xml version="1.0" encoding="utf-8"?>
<sst xmlns="http://schemas.openxmlformats.org/spreadsheetml/2006/main" count="132" uniqueCount="52">
  <si>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</si>
  <si>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</si>
  <si>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</si>
  <si>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</si>
  <si>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</si>
  <si>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</si>
  <si>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</si>
  <si>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</si>
  <si>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</si>
  <si>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</si>
  <si>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</si>
  <si>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</si>
  <si>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</si>
  <si>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</si>
  <si>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</si>
  <si>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</si>
  <si>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</si>
  <si>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</si>
  <si>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Yes</t>
  </si>
  <si>
    <t>Blotter</t>
  </si>
  <si>
    <t>SelectTradeOnOrderGrid</t>
  </si>
  <si>
    <t>SelectTradeSubOrderBlotter</t>
  </si>
  <si>
    <t>RemoveManualExecution</t>
  </si>
  <si>
    <t>Sell</t>
  </si>
  <si>
    <t>RTPNL</t>
  </si>
  <si>
    <t>OpenRTPNL</t>
  </si>
  <si>
    <t>Nirvana,PM</t>
  </si>
  <si>
    <t>SummaryDashboard</t>
  </si>
  <si>
    <t>CheckRealTimeSymAccountMonitor</t>
  </si>
  <si>
    <t>msft</t>
  </si>
  <si>
    <t>buy</t>
  </si>
  <si>
    <t>VerifyComplianceOrder</t>
  </si>
  <si>
    <t>Soft</t>
  </si>
  <si>
    <t>Order Side Check</t>
  </si>
  <si>
    <t>Pre-Trade Alerts For OrderSide Violation on Account-Symbol Level</t>
  </si>
  <si>
    <t>Allocation1-AAPL</t>
  </si>
  <si>
    <t>Order Side: Sell, Symbol: AAPL, Account: Allocation1, Quantity before trade: 50,200.00, Order quantity: -55,000.00, Quantity if trade is executed: -4,800.00</t>
  </si>
  <si>
    <t>DoneAway</t>
  </si>
  <si>
    <t>MasterFund-Aj</t>
  </si>
  <si>
    <t>Enter Summary</t>
  </si>
  <si>
    <t>NewMF-AAPL</t>
  </si>
  <si>
    <t>Multiple</t>
  </si>
  <si>
    <t>quantity: -4,800.00, selectedFeedPrice: 0.00, dayPnLBase: 109,720.00, dayPnLLocal: 109,720.00, costBasisPnLBase: 109,720.00, costBasisPnLLocal: 109,720.00, netMarketValueBase: 0.00, netMarketValueLocal: 0.00, grossMarketValueBase: 0.00, grossMarketValueLocal: 0.00, MasterFundName: NewMF, Symbol: AAPL</t>
  </si>
  <si>
    <t>Account-sym-AJ</t>
  </si>
  <si>
    <t>quantity: -4,800.00, selectedFeedPrice: 0.00, dayPnLBase: 109,720.00, dayPnLLocal: 109,720.00, costBasisPnLBase: 109,720.00, costBasisPnLLocal: 109,720.00, netMarketValueBase: 0.00, netMarketValueLocal: 0.00, grossExposureBase: 0.00, grossExposureLocal: 0.00, AccountShortName: Allocation1, Symbol: AAPL</t>
  </si>
  <si>
    <t>Symbol-Aj</t>
  </si>
  <si>
    <t>quantity: -4,800.00, selectedFeedPrice: 0.00, dayPnLBase: 109,720.00, dayPnLLocal: 109,720.00, costBasisPnLBase: 109,720.00, costBasisPnLLocal: 109,720.00, netMarketValueBase: 0.00, netMarketValueLocal: 0.00, grossMarketValueBase: 0.00, grossMarketValueLocal: 0.00, Symbol: AAPL</t>
  </si>
  <si>
    <t>Trade level-AJ</t>
  </si>
  <si>
    <t>quantity: 55,000.00, avgPrice: 2.00, selectedFeedPrice: 0.00, dayPnLBase: 110,000.00, dayPnLLocal: 110,000.00, costBasisPnLBase: 110,000.00, costBasisPnLLocal: 110,000.00, netMarketValueBase: -0.00, netMarketValueLocal: -0.00, grossExposureBase: 0.00, grossExposureLocal: 0.00, Symbol: AAPL</t>
  </si>
  <si>
    <t>Restricted List-Aj</t>
  </si>
  <si>
    <t>N/A</t>
  </si>
  <si>
    <t>symbol: 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</si>
</sst>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9" t="s">
        <v>17</v>
      </c>
      <c r="D6" s="13">
        <v>100.0</v>
      </c>
      <c r="E6" s="13">
        <v>70.0</v>
      </c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Q6" s="9" t="s">
        <v>18</v>
      </c>
    </row>
    <row r="7" ht="15.75" customHeight="1">
      <c r="A7" s="8"/>
      <c r="B7" s="13" t="s">
        <v>16</v>
      </c>
      <c r="C7" s="9" t="s">
        <v>17</v>
      </c>
      <c r="D7" s="13">
        <v>100.0</v>
      </c>
      <c r="E7" s="13">
        <v>70.0</v>
      </c>
      <c r="F7" s="8"/>
      <c r="G7" s="8"/>
      <c r="H7" s="8"/>
      <c r="I7" s="8"/>
      <c r="J7" s="13">
        <v>2.0</v>
      </c>
      <c r="K7" s="8"/>
      <c r="L7" s="8"/>
      <c r="M7" s="8"/>
      <c r="N7" s="8"/>
      <c r="O7" s="8"/>
      <c r="AQ7" s="9" t="s">
        <v>18</v>
      </c>
    </row>
    <row r="8" ht="15.75" customHeight="1">
      <c r="A8" s="8"/>
      <c r="B8" s="13" t="s">
        <v>16</v>
      </c>
      <c r="C8" s="9" t="s">
        <v>17</v>
      </c>
      <c r="D8" s="13">
        <v>50000.0</v>
      </c>
      <c r="E8" s="13">
        <v>100.0</v>
      </c>
      <c r="F8" s="8"/>
      <c r="G8" s="8"/>
      <c r="H8" s="8"/>
      <c r="I8" s="8"/>
      <c r="J8" s="13">
        <v>2.0</v>
      </c>
      <c r="K8" s="8"/>
      <c r="L8" s="8"/>
      <c r="M8" s="8"/>
      <c r="N8" s="8"/>
      <c r="O8" s="8"/>
      <c r="AQ8" s="9" t="s">
        <v>18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8"/>
      <c r="H6" s="13">
        <v>50000.0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IFERROR(__xludf.DUMMYFUNCTION("""COMPUTED_VALUE"""),"CheckBox")</f>
        <v>CheckBox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16</v>
      </c>
      <c r="K6" s="8"/>
      <c r="L6" s="8"/>
      <c r="M6" s="8"/>
      <c r="N6" s="8"/>
      <c r="O6" s="8"/>
      <c r="AI6" s="9" t="s">
        <v>16</v>
      </c>
      <c r="AJ6" s="9" t="s">
        <v>17</v>
      </c>
      <c r="AL6" s="9">
        <v>50000.0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SelectTradeSubOrderBlotter!$4:$4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16</v>
      </c>
      <c r="K6" s="8"/>
      <c r="L6" s="8"/>
      <c r="M6" s="8"/>
      <c r="N6" s="8"/>
      <c r="O6" s="8"/>
      <c r="AI6" s="9" t="s">
        <v>16</v>
      </c>
      <c r="AJ6" s="9" t="s">
        <v>17</v>
      </c>
      <c r="AL6" s="9">
        <v>50000.0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RemoveManualExecution!$4:$4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23</v>
      </c>
      <c r="D6" s="13">
        <v>55000.0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 t="str">
        <f>IFERROR(__xludf.DUMMYFUNCTION("""COMPUTED_VALUE"""),"Description")</f>
        <v>Description</v>
      </c>
      <c r="E5" s="28" t="str">
        <f>IFERROR(__xludf.DUMMYFUNCTION("""COMPUTED_VALUE"""),"Save?")</f>
        <v>Save?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26</v>
      </c>
      <c r="C6" s="34" t="s">
        <v>27</v>
      </c>
      <c r="D6" s="32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IFERROR(__xludf.DUMMYFUNCTION("""COMPUTED_VALUE"""),"Security Name")</f>
        <v>Security Name</v>
      </c>
      <c r="D5" s="28" t="str">
        <f>IFERROR(__xludf.DUMMYFUNCTION("""COMPUTED_VALUE"""),"Fund")</f>
        <v>Fund</v>
      </c>
      <c r="E5" s="28" t="str">
        <f>IFERROR(__xludf.DUMMYFUNCTION("""COMPUTED_VALUE"""),"Account")</f>
        <v>Account</v>
      </c>
      <c r="F5" s="29" t="str">
        <f>IFERROR(__xludf.DUMMYFUNCTION("""COMPUTED_VALUE"""),"Asset Class")</f>
        <v>Asset Class</v>
      </c>
      <c r="G5" s="28" t="str">
        <f>IFERROR(__xludf.DUMMYFUNCTION("""COMPUTED_VALUE"""),"Position")</f>
        <v>Position</v>
      </c>
      <c r="H5" s="28" t="str">
        <f>IFERROR(__xludf.DUMMYFUNCTION("""COMPUTED_VALUE"""),"Position Side")</f>
        <v>Position Side</v>
      </c>
      <c r="I5" s="28" t="str">
        <f>IFERROR(__xludf.DUMMYFUNCTION("""COMPUTED_VALUE"""),"Px Selected Feed (Local)")</f>
        <v>Px Selected Feed (Local)</v>
      </c>
      <c r="J5" s="28" t="str">
        <f>IFERROR(__xludf.DUMMYFUNCTION("""COMPUTED_VALUE"""),"Px Selected Feed (Base)")</f>
        <v>Px Selected Feed (Base)</v>
      </c>
      <c r="K5" s="28" t="str">
        <f>IFERROR(__xludf.DUMMYFUNCTION("""COMPUTED_VALUE"""),"Market Value (Base)")</f>
        <v>Market Value (Base)</v>
      </c>
      <c r="L5" s="28" t="str">
        <f>IFERROR(__xludf.DUMMYFUNCTION("""COMPUTED_VALUE"""),"% Net Market Value (Base)")</f>
        <v>% Net Market Value (Base)</v>
      </c>
      <c r="M5" s="28" t="str">
        <f>IFERROR(__xludf.DUMMYFUNCTION("""COMPUTED_VALUE"""),"Cost Basis P&amp;L (Base)")</f>
        <v>Cost Basis P&amp;L (Base)</v>
      </c>
      <c r="N5" s="28" t="str">
        <f>IFERROR(__xludf.DUMMYFUNCTION("""COMPUTED_VALUE"""),"% Gain/Loss Cost")</f>
        <v>% Gain/Loss Cost</v>
      </c>
      <c r="O5" s="28" t="str">
        <f>IFERROR(__xludf.DUMMYFUNCTION("""COMPUTED_VALUE"""),"Day P&amp;L (Base)")</f>
        <v>Day P&amp;L (Base)</v>
      </c>
      <c r="P5" s="28" t="str">
        <f>IFERROR(__xludf.DUMMYFUNCTION("""COMPUTED_VALUE"""),"% Gain/Loss Day")</f>
        <v>% Gain/Loss Day</v>
      </c>
      <c r="Q5" s="28" t="str">
        <f>IFERROR(__xludf.DUMMYFUNCTION("""COMPUTED_VALUE"""),"Exposure (Base)")</f>
        <v>Exposure (Base)</v>
      </c>
      <c r="R5" s="28" t="str">
        <f>IFERROR(__xludf.DUMMYFUNCTION("""COMPUTED_VALUE"""),"% Exposure (Base)")</f>
        <v>% Exposure (Base)</v>
      </c>
      <c r="S5" s="28" t="str">
        <f>IFERROR(__xludf.DUMMYFUNCTION("""COMPUTED_VALUE"""),"Live Feed Provider Ticker")</f>
        <v>Live Feed Provider Ticker</v>
      </c>
      <c r="T5" s="30" t="str">
        <f>IFERROR(__xludf.DUMMYFUNCTION("""COMPUTED_VALUE"""),"Testing Type")</f>
        <v>Testing Type</v>
      </c>
      <c r="U5" s="30" t="str">
        <f>IFERROR(__xludf.DUMMYFUNCTION("""COMPUTED_VALUE"""),"Testing Column")</f>
        <v>Testing Column</v>
      </c>
      <c r="V5" s="30" t="str">
        <f>IFERROR(__xludf.DUMMYFUNCTION("""COMPUTED_VALUE"""),"Testing Col Value")</f>
        <v>Testing Col Value</v>
      </c>
      <c r="W5" s="30" t="str">
        <f>IFERROR(__xludf.DUMMYFUNCTION("""COMPUTED_VALUE"""),"DuplicateCountOnUI")</f>
        <v>DuplicateCountOnUI</v>
      </c>
      <c r="X5" s="30" t="str">
        <f>IFERROR(__xludf.DUMMYFUNCTION("""COMPUTED_VALUE"""),"DuplicateRow")</f>
        <v>DuplicateRow</v>
      </c>
      <c r="Y5" s="30" t="str">
        <f>IFERROR(__xludf.DUMMYFUNCTION("""COMPUTED_VALUE"""),"TabName")</f>
        <v>TabName</v>
      </c>
      <c r="Z5" s="30" t="str">
        <f>IFERROR(__xludf.DUMMYFUNCTION("""COMPUTED_VALUE"""),"GridDataWidgetName")</f>
        <v>GridDataWidgetName</v>
      </c>
      <c r="AA5" s="30" t="str">
        <f>IFERROR(__xludf.DUMMYFUNCTION("""COMPUTED_VALUE"""),"Bloomberg Symbol")</f>
        <v>Bloomberg Symbol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 t="s">
        <v>30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CheckRealTimeSymAccountMonitor!$4:$4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33</v>
      </c>
      <c r="D6" s="13" t="s">
        <v>34</v>
      </c>
      <c r="E6" s="13" t="s">
        <v>35</v>
      </c>
      <c r="F6" s="13">
        <v>50200.0</v>
      </c>
      <c r="G6" s="13">
        <v>-4800.0</v>
      </c>
      <c r="H6" s="13" t="s">
        <v>36</v>
      </c>
      <c r="I6" s="8"/>
      <c r="J6" s="8"/>
      <c r="K6" s="13" t="s">
        <v>18</v>
      </c>
      <c r="L6" s="8"/>
      <c r="M6" s="13" t="s">
        <v>37</v>
      </c>
      <c r="N6" s="8"/>
      <c r="O6" s="8"/>
    </row>
    <row r="7" ht="15.75" customHeight="1">
      <c r="A7" s="8"/>
      <c r="B7" s="33" t="s">
        <v>32</v>
      </c>
      <c r="C7" s="33" t="s">
        <v>38</v>
      </c>
      <c r="D7" s="33" t="s">
        <v>39</v>
      </c>
      <c r="E7" s="33" t="s">
        <v>40</v>
      </c>
      <c r="F7" s="33" t="s">
        <v>41</v>
      </c>
      <c r="G7" s="33" t="s">
        <v>41</v>
      </c>
      <c r="H7" s="33" t="s">
        <v>42</v>
      </c>
      <c r="I7" s="35"/>
      <c r="J7" s="35"/>
      <c r="K7" s="8"/>
      <c r="L7" s="8"/>
      <c r="M7" s="8"/>
      <c r="N7" s="8"/>
      <c r="O7" s="8"/>
    </row>
    <row r="8" ht="15.75" customHeight="1">
      <c r="A8" s="8"/>
      <c r="B8" s="33" t="s">
        <v>32</v>
      </c>
      <c r="C8" s="33" t="s">
        <v>43</v>
      </c>
      <c r="D8" s="33" t="s">
        <v>39</v>
      </c>
      <c r="E8" s="33" t="s">
        <v>35</v>
      </c>
      <c r="F8" s="33" t="s">
        <v>41</v>
      </c>
      <c r="G8" s="33" t="s">
        <v>41</v>
      </c>
      <c r="H8" s="33" t="s">
        <v>44</v>
      </c>
      <c r="I8" s="35"/>
      <c r="J8" s="35"/>
      <c r="K8" s="8"/>
      <c r="L8" s="8"/>
      <c r="M8" s="8"/>
      <c r="N8" s="8"/>
      <c r="O8" s="8"/>
    </row>
    <row r="9" ht="15.75" customHeight="1">
      <c r="A9" s="8"/>
      <c r="B9" s="33" t="s">
        <v>32</v>
      </c>
      <c r="C9" s="33" t="s">
        <v>45</v>
      </c>
      <c r="D9" s="33" t="s">
        <v>39</v>
      </c>
      <c r="E9" s="33" t="s">
        <v>16</v>
      </c>
      <c r="F9" s="33" t="s">
        <v>41</v>
      </c>
      <c r="G9" s="33" t="s">
        <v>41</v>
      </c>
      <c r="H9" s="33" t="s">
        <v>46</v>
      </c>
      <c r="I9" s="35"/>
      <c r="J9" s="35"/>
      <c r="K9" s="8"/>
      <c r="L9" s="8"/>
      <c r="M9" s="8"/>
      <c r="N9" s="8"/>
      <c r="O9" s="8"/>
    </row>
    <row r="10" ht="15.75" customHeight="1">
      <c r="A10" s="8"/>
      <c r="B10" s="33" t="s">
        <v>32</v>
      </c>
      <c r="C10" s="33" t="s">
        <v>47</v>
      </c>
      <c r="D10" s="33" t="s">
        <v>39</v>
      </c>
      <c r="E10" s="33" t="s">
        <v>16</v>
      </c>
      <c r="F10" s="33" t="s">
        <v>41</v>
      </c>
      <c r="G10" s="33" t="s">
        <v>41</v>
      </c>
      <c r="H10" s="33" t="s">
        <v>48</v>
      </c>
      <c r="I10" s="35"/>
      <c r="J10" s="35"/>
      <c r="K10" s="8"/>
      <c r="L10" s="8"/>
      <c r="M10" s="8"/>
      <c r="N10" s="8"/>
      <c r="O10" s="8"/>
    </row>
    <row r="11" ht="15.75" customHeight="1">
      <c r="A11" s="8"/>
      <c r="B11" s="33" t="s">
        <v>32</v>
      </c>
      <c r="C11" s="33" t="s">
        <v>49</v>
      </c>
      <c r="D11" s="33" t="s">
        <v>39</v>
      </c>
      <c r="E11" s="33" t="s">
        <v>16</v>
      </c>
      <c r="F11" s="33" t="s">
        <v>50</v>
      </c>
      <c r="G11" s="33" t="s">
        <v>50</v>
      </c>
      <c r="H11" s="33" t="s">
        <v>51</v>
      </c>
      <c r="I11" s="35"/>
      <c r="J11" s="35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