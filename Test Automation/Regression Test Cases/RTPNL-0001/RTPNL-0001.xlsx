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eckSummaryDashboard" sheetId="4" r:id="rId6"/>
    <sheet state="visible" name="CheckFundLevelAggregation" sheetId="5" r:id="rId7"/>
    <sheet state="visible" name="CheckAccountLevelAggregation" sheetId="6" r:id="rId8"/>
    <sheet state="visible" name="CheckSymbolLevelAggregation" sheetId="7" r:id="rId9"/>
    <sheet state="visible" name="CheckRealTimeSymbolFundMonitor" sheetId="8" r:id="rId10"/>
    <sheet state="visible" name="CheckRealTimeSymAccountMonitor" sheetId="9" r:id="rId11"/>
    <sheet state="visible" name="GetDailyCash" sheetId="10" r:id="rId12"/>
    <sheet state="visible" name="UpdateMultipleDailyCash" sheetId="11" r:id="rId13"/>
    <sheet state="visible" name="PricingInput" sheetId="12" r:id="rId14"/>
    <sheet state="visible" name="CreateDoneAwayOrder" sheetId="13" r:id="rId15"/>
    <sheet state="visible" name="CreateDoneAwayOrder1" sheetId="14" r:id="rId16"/>
    <sheet state="visible" name="OpenRTPNL" sheetId="15" r:id="rId17"/>
  </sheets>
  <definedNames/>
  <calcPr/>
</workbook>
</file>

<file path=xl/sharedStrings.xml><?xml version="1.0" encoding="utf-8"?>
<sst xmlns="http://schemas.openxmlformats.org/spreadsheetml/2006/main" count="111" uniqueCount="37">
  <si>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</si>
  <si>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</si>
  <si>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</si>
  <si>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</si>
  <si>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</si>
  <si>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</si>
  <si>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</si>
  <si>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</si>
  <si>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</si>
  <si>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</si>
  <si>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</si>
  <si>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</si>
  <si>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</si>
  <si>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CheckSummaryDashboard</t>
  </si>
  <si>
    <t>Data Format</t>
  </si>
  <si>
    <t>Input Format</t>
  </si>
  <si>
    <t>CheckFundLevelAggregation</t>
  </si>
  <si>
    <t>CheckAccountLevelAggregation</t>
  </si>
  <si>
    <t>msft</t>
  </si>
  <si>
    <t>buy</t>
  </si>
  <si>
    <t>CheckSymbolLevelAggregation</t>
  </si>
  <si>
    <t>CheckRealTimeSymbolFundMonitor</t>
  </si>
  <si>
    <t>CheckRealTimeSymAccountMonitor</t>
  </si>
  <si>
    <t>DailyValuation</t>
  </si>
  <si>
    <t>UpdateDailyCash</t>
  </si>
  <si>
    <t>UpdateMultipleDailyCash</t>
  </si>
  <si>
    <t>Allocation1</t>
  </si>
  <si>
    <t>USD</t>
  </si>
  <si>
    <t>Allocation2</t>
  </si>
  <si>
    <t>PricingInput</t>
  </si>
  <si>
    <t>TradingTicket</t>
  </si>
  <si>
    <t>CreateDoneAwayOrder</t>
  </si>
  <si>
    <t>AAPL</t>
  </si>
  <si>
    <t>Buy</t>
  </si>
  <si>
    <t>OpenRTPNL</t>
  </si>
  <si>
    <t>Nirvana,PM</t>
  </si>
  <si>
    <t>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</si>
</sst>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readingOrder="0"/>
    </xf>
    <xf borderId="5" fillId="0" fontId="5" numFmtId="164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</row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IFERROR(__xludf.DUMMYFUNCTION("""COMPUTED_VALUE"""),"P&amp;L")</f>
        <v>P&amp;L</v>
      </c>
      <c r="C5" s="28" t="str">
        <f>IFERROR(__xludf.DUMMYFUNCTION("""COMPUTED_VALUE"""),"% Gain/Loss Cost")</f>
        <v>% Gain/Loss Cost</v>
      </c>
      <c r="D5" s="28" t="str">
        <f>IFERROR(__xludf.DUMMYFUNCTION("""COMPUTED_VALUE"""),"Day P&amp;L")</f>
        <v>Day P&amp;L</v>
      </c>
      <c r="E5" s="28" t="str">
        <f>IFERROR(__xludf.DUMMYFUNCTION("""COMPUTED_VALUE"""),"% Gain/Loss Day")</f>
        <v>% Gain/Loss Day</v>
      </c>
      <c r="F5" s="29" t="str">
        <f>IFERROR(__xludf.DUMMYFUNCTION("""COMPUTED_VALUE"""),"Exposure")</f>
        <v>Exposure</v>
      </c>
      <c r="G5" s="28" t="str">
        <f>IFERROR(__xludf.DUMMYFUNCTION("""COMPUTED_VALUE"""),"% Exposure")</f>
        <v>% Exposure</v>
      </c>
      <c r="H5" s="28" t="str">
        <f>IFERROR(__xludf.DUMMYFUNCTION("""COMPUTED_VALUE"""),"Long Exposure")</f>
        <v>Long Exposure</v>
      </c>
      <c r="I5" s="28" t="str">
        <f>IFERROR(__xludf.DUMMYFUNCTION("""COMPUTED_VALUE"""),"% Long Exposure")</f>
        <v>% Long Exposure</v>
      </c>
      <c r="J5" s="28" t="str">
        <f>IFERROR(__xludf.DUMMYFUNCTION("""COMPUTED_VALUE"""),"Short Exposure")</f>
        <v>Short Exposure</v>
      </c>
      <c r="K5" s="28" t="str">
        <f>IFERROR(__xludf.DUMMYFUNCTION("""COMPUTED_VALUE"""),"% Short Exposure")</f>
        <v>% Short Exposure</v>
      </c>
      <c r="L5" s="28" t="str">
        <f>IFERROR(__xludf.DUMMYFUNCTION("""COMPUTED_VALUE"""),"Market Value")</f>
        <v>Market Value</v>
      </c>
      <c r="M5" s="28" t="str">
        <f>IFERROR(__xludf.DUMMYFUNCTION("""COMPUTED_VALUE"""),"% Net Market Value")</f>
        <v>% Net Market Value</v>
      </c>
      <c r="N5" s="28" t="str">
        <f>IFERROR(__xludf.DUMMYFUNCTION("""COMPUTED_VALUE"""),"NAV")</f>
        <v>NAV</v>
      </c>
      <c r="O5" s="28" t="str">
        <f>IFERROR(__xludf.DUMMYFUNCTION("""COMPUTED_VALUE"""),"Cash")</f>
        <v>Cash</v>
      </c>
      <c r="P5" s="28" t="str">
        <f>IFERROR(__xludf.DUMMYFUNCTION("""COMPUTED_VALUE"""),"Accruals")</f>
        <v>Accruals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CheckSummaryDashboard!$4:$4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IFERROR(__xludf.DUMMYFUNCTION("""COMPUTED_VALUE"""),"Fund")</f>
        <v>Fund</v>
      </c>
      <c r="C5" s="28" t="str">
        <f>IFERROR(__xludf.DUMMYFUNCTION("""COMPUTED_VALUE"""),"Market Value")</f>
        <v>Market Value</v>
      </c>
      <c r="D5" s="28" t="str">
        <f>IFERROR(__xludf.DUMMYFUNCTION("""COMPUTED_VALUE"""),"P&amp;L")</f>
        <v>P&amp;L</v>
      </c>
      <c r="E5" s="28" t="str">
        <f>IFERROR(__xludf.DUMMYFUNCTION("""COMPUTED_VALUE"""),"Day P&amp;L")</f>
        <v>Day P&amp;L</v>
      </c>
      <c r="F5" s="29" t="str">
        <f>IFERROR(__xludf.DUMMYFUNCTION("""COMPUTED_VALUE"""),"Exposure")</f>
        <v>Exposure</v>
      </c>
      <c r="G5" s="28" t="str">
        <f>IFERROR(__xludf.DUMMYFUNCTION("""COMPUTED_VALUE"""),"% Gain/Loss Day")</f>
        <v>% Gain/Loss Day</v>
      </c>
      <c r="H5" s="28" t="str">
        <f>IFERROR(__xludf.DUMMYFUNCTION("""COMPUTED_VALUE"""),"% Gain/Loss Cost")</f>
        <v>% Gain/Loss Cost</v>
      </c>
      <c r="I5" s="28" t="str">
        <f>IFERROR(__xludf.DUMMYFUNCTION("""COMPUTED_VALUE"""),"% Market Value")</f>
        <v>% Market Value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IFERROR(__xludf.DUMMYFUNCTION("""COMPUTED_VALUE"""),"Long Exposure")</f>
        <v>Long Exposure</v>
      </c>
      <c r="N5" s="28" t="str">
        <f>IFERROR(__xludf.DUMMYFUNCTION("""COMPUTED_VALUE"""),"% Long Exposure")</f>
        <v>% Long Exposure</v>
      </c>
      <c r="O5" s="28" t="str">
        <f>IFERROR(__xludf.DUMMYFUNCTION("""COMPUTED_VALUE"""),"Accruals")</f>
        <v>Accruals</v>
      </c>
      <c r="P5" s="28" t="str">
        <f>IFERROR(__xludf.DUMMYFUNCTION("""COMPUTED_VALUE"""),"Cash")</f>
        <v>Cash</v>
      </c>
      <c r="Q5" s="28" t="str">
        <f>IFERROR(__xludf.DUMMYFUNCTION("""COMPUTED_VALUE"""),"NAV")</f>
        <v>NAV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3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3"/>
      <c r="D10" s="8"/>
      <c r="E10" s="13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13"/>
      <c r="D12" s="8"/>
      <c r="E12" s="13"/>
      <c r="F12" s="8"/>
      <c r="G12" s="8"/>
      <c r="H12" s="8"/>
      <c r="I12" s="13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13"/>
      <c r="D15" s="8"/>
      <c r="E15" s="13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13"/>
      <c r="D16" s="8"/>
      <c r="E16" s="13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13"/>
      <c r="D19" s="8"/>
      <c r="E19" s="13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13"/>
      <c r="D20" s="8"/>
      <c r="E20" s="13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13"/>
      <c r="D23" s="8"/>
      <c r="E23" s="13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13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13"/>
      <c r="E27" s="13"/>
    </row>
    <row r="28" ht="15.75" customHeight="1">
      <c r="C28" s="13"/>
      <c r="E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19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19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IFERROR(__xludf.DUMMYFUNCTION("""COMPUTED_VALUE"""),"Asset Class")</f>
        <v>Asset Class</v>
      </c>
      <c r="F5" s="29" t="str">
        <f>IFERROR(__xludf.DUMMYFUNCTION("""COMPUTED_VALUE"""),"Position")</f>
        <v>Position</v>
      </c>
      <c r="G5" s="28" t="str">
        <f>IFERROR(__xludf.DUMMYFUNCTION("""COMPUTED_VALUE"""),"Position Side")</f>
        <v>Position Side</v>
      </c>
      <c r="H5" s="28" t="str">
        <f>IFERROR(__xludf.DUMMYFUNCTION("""COMPUTED_VALUE"""),"Px Selected Feed (Local)")</f>
        <v>Px Selected Feed (Local)</v>
      </c>
      <c r="I5" s="28" t="str">
        <f>IFERROR(__xludf.DUMMYFUNCTION("""COMPUTED_VALUE"""),"Px Selected Feed (Base)")</f>
        <v>Px Selected Feed (Base)</v>
      </c>
      <c r="J5" s="28" t="str">
        <f>IFERROR(__xludf.DUMMYFUNCTION("""COMPUTED_VALUE"""),"Market Value (Base)")</f>
        <v>Market Value (Base)</v>
      </c>
      <c r="K5" s="28" t="str">
        <f>IFERROR(__xludf.DUMMYFUNCTION("""COMPUTED_VALUE"""),"% Net Market Value (Base)")</f>
        <v>% Net Market Value (Base)</v>
      </c>
      <c r="L5" s="28" t="str">
        <f>IFERROR(__xludf.DUMMYFUNCTION("""COMPUTED_VALUE"""),"Cost Basis P&amp;L (Base)")</f>
        <v>Cost Basis P&amp;L (Base)</v>
      </c>
      <c r="M5" s="28" t="str">
        <f>IFERROR(__xludf.DUMMYFUNCTION("""COMPUTED_VALUE"""),"% Gain/Loss Cost")</f>
        <v>% Gain/Loss Cost</v>
      </c>
      <c r="N5" s="28" t="str">
        <f>IFERROR(__xludf.DUMMYFUNCTION("""COMPUTED_VALUE"""),"Day P&amp;L (Base)")</f>
        <v>Day P&amp;L (Base)</v>
      </c>
      <c r="O5" s="28" t="str">
        <f>IFERROR(__xludf.DUMMYFUNCTION("""COMPUTED_VALUE"""),"% Gain/Loss Day")</f>
        <v>% Gain/Loss Day</v>
      </c>
      <c r="P5" s="28" t="str">
        <f>IFERROR(__xludf.DUMMYFUNCTION("""COMPUTED_VALUE"""),"Exposure (Base)")</f>
        <v>Exposure (Base)</v>
      </c>
      <c r="Q5" s="28" t="str">
        <f>IFERROR(__xludf.DUMMYFUNCTION("""COMPUTED_VALUE"""),"% Exposure (Base)")</f>
        <v>% Exposure (Base)</v>
      </c>
      <c r="R5" s="28" t="str">
        <f>IFERROR(__xludf.DUMMYFUNCTION("""COMPUTED_VALUE"""),"Live Feed Provider Ticker")</f>
        <v>Live Feed Provider Ticker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>today()-1</f>
        <v>45431</v>
      </c>
      <c r="C6" s="34">
        <f>today()</f>
        <v>45432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26</v>
      </c>
      <c r="C6" s="37" t="s">
        <v>27</v>
      </c>
      <c r="D6" s="38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7" t="s">
        <v>27</v>
      </c>
      <c r="D7" s="38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32</v>
      </c>
      <c r="C6" s="40" t="s">
        <v>33</v>
      </c>
      <c r="D6" s="41">
        <v>100.0</v>
      </c>
      <c r="E6" s="41">
        <v>100.0</v>
      </c>
      <c r="F6" s="40" t="s">
        <v>26</v>
      </c>
      <c r="G6" s="35"/>
      <c r="H6" s="35"/>
      <c r="I6" s="35"/>
      <c r="J6" s="41">
        <v>10.0</v>
      </c>
      <c r="K6" s="35"/>
      <c r="L6" s="35"/>
      <c r="M6" s="35"/>
      <c r="N6" s="42">
        <f>today()</f>
        <v>45432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32</v>
      </c>
      <c r="C6" s="40" t="s">
        <v>33</v>
      </c>
      <c r="D6" s="41">
        <v>100.0</v>
      </c>
      <c r="E6" s="41">
        <v>100.0</v>
      </c>
      <c r="F6" s="43" t="s">
        <v>28</v>
      </c>
      <c r="G6" s="35"/>
      <c r="H6" s="35"/>
      <c r="I6" s="35"/>
      <c r="J6" s="41">
        <v>10.0</v>
      </c>
      <c r="K6" s="35"/>
      <c r="L6" s="35"/>
      <c r="M6" s="35"/>
      <c r="N6" s="42">
        <f>today()</f>
        <v>45432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2" t="s">
        <v>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