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CreateStageOrder" sheetId="8" r:id="rId10"/>
    <sheet state="visible" name="GetDataAllocation" sheetId="9" r:id="rId11"/>
    <sheet state="visible" name="SelectAllocatedGroup" sheetId="10" r:id="rId12"/>
    <sheet state="visible" name="BookOrUpdateSwap" sheetId="11" r:id="rId13"/>
    <sheet state="visible" name="PricingInput" sheetId="12" r:id="rId14"/>
    <sheet state="visible" name="GetMarkPriceData" sheetId="13" r:id="rId15"/>
    <sheet state="visible" name="UpdateMarkPrice" sheetId="14" r:id="rId16"/>
    <sheet state="visible" name="GetForexConversion" sheetId="15" r:id="rId17"/>
    <sheet state="visible" name="UpdateForexConversion" sheetId="16" r:id="rId18"/>
    <sheet state="visible" name="GetCashTransaction" sheetId="17" r:id="rId19"/>
    <sheet state="visible" name="AddCashTransaction" sheetId="18" r:id="rId20"/>
    <sheet state="visible" name="GetAccountBalance" sheetId="19" r:id="rId21"/>
    <sheet state="visible" name="FetchAccountPositions" sheetId="20" r:id="rId22"/>
    <sheet state="visible" name="AddCash" sheetId="21" r:id="rId23"/>
    <sheet state="visible" name="RunRebalance" sheetId="22" r:id="rId24"/>
    <sheet state="visible" name="CheckBasketCompliance" sheetId="23" r:id="rId25"/>
    <sheet state="visible" name="SendToStagingExport" sheetId="24" r:id="rId26"/>
    <sheet state="visible" name="FetchAccountPositions1" sheetId="25" r:id="rId27"/>
    <sheet state="visible" name="CheckBasketCompliance1" sheetId="26" r:id="rId28"/>
    <sheet state="visible" name="SendToStagingExport1" sheetId="27" r:id="rId29"/>
    <sheet state="visible" name="SetComplianceAlert" sheetId="28" r:id="rId30"/>
  </sheets>
  <definedNames/>
  <calcPr/>
</workbook>
</file>

<file path=xl/sharedStrings.xml><?xml version="1.0" encoding="utf-8"?>
<sst xmlns="http://schemas.openxmlformats.org/spreadsheetml/2006/main" count="624" uniqueCount="135">
  <si>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</si>
  <si>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</si>
  <si>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</si>
  <si>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</si>
  <si>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</si>
  <si>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</si>
  <si>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</si>
  <si>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</si>
  <si>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</si>
  <si>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</si>
  <si>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</si>
  <si>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</si>
  <si>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</si>
  <si>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</si>
  <si>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</si>
  <si>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</si>
  <si>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</si>
  <si>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</si>
  <si>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DailyValuation</t>
  </si>
  <si>
    <t>GetDailyCash</t>
  </si>
  <si>
    <t>UpdateMultipleDailyCash</t>
  </si>
  <si>
    <t>Allocation1</t>
  </si>
  <si>
    <t>USD</t>
  </si>
  <si>
    <t>Allocation3</t>
  </si>
  <si>
    <t>TradingTicket</t>
  </si>
  <si>
    <t>CreateDoneAwayOrder</t>
  </si>
  <si>
    <t>AVO-TC</t>
  </si>
  <si>
    <t>Buy</t>
  </si>
  <si>
    <t>Allocation2</t>
  </si>
  <si>
    <t>Yes</t>
  </si>
  <si>
    <t>AAPL</t>
  </si>
  <si>
    <t>FRU-TC</t>
  </si>
  <si>
    <t>MSFT</t>
  </si>
  <si>
    <t>DBLSX</t>
  </si>
  <si>
    <t>O:COP 14O62.50</t>
  </si>
  <si>
    <t>ES U2</t>
  </si>
  <si>
    <t>CreateStageOrder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</si>
  <si>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</si>
  <si>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</si>
  <si>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</si>
  <si>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</si>
  <si>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</si>
  <si>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</si>
  <si>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</si>
  <si>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GetMarkPriceData</t>
  </si>
  <si>
    <t>UpdateMarkPrice</t>
  </si>
  <si>
    <t>GetForexConversion</t>
  </si>
  <si>
    <t>UpdateForexConversion</t>
  </si>
  <si>
    <t>CAD</t>
  </si>
  <si>
    <t>CAD AO-FX</t>
  </si>
  <si>
    <t>GeneralLedger</t>
  </si>
  <si>
    <t>GetCashTransaction</t>
  </si>
  <si>
    <t>AddCashTransaction</t>
  </si>
  <si>
    <t>DividendIncome</t>
  </si>
  <si>
    <t>GetAccountBalance</t>
  </si>
  <si>
    <t>Rebalancer</t>
  </si>
  <si>
    <t>FetchAccountPositions</t>
  </si>
  <si>
    <t>NewMF</t>
  </si>
  <si>
    <t>Previous Day's Positions</t>
  </si>
  <si>
    <t>Account</t>
  </si>
  <si>
    <t>Positions</t>
  </si>
  <si>
    <t>AddCash</t>
  </si>
  <si>
    <t>No Impact</t>
  </si>
  <si>
    <t>None</t>
  </si>
  <si>
    <t>Allocation1,Allocation3</t>
  </si>
  <si>
    <t>200000|100000</t>
  </si>
  <si>
    <t>RunRebalance</t>
  </si>
  <si>
    <t>Nearest Round Off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</si>
  <si>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</si>
  <si>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</si>
  <si>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</si>
  <si>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</si>
  <si>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</si>
  <si>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193.00, avgPrice: 10.00, selectedFeedPrice: 10.00, netMarketValueBase: 1,608.3333, netExposureLocal: 1,930.00, Symbol: FRU-TC</t>
  </si>
  <si>
    <t>quantity: 193.00, avgPrice: 10.00, selectedFeedPrice: 10.00, netMarketValueBase: 1,930.00, netExposureLocal: 1,930.00, Symbol: DBLSX</t>
  </si>
  <si>
    <t>quantity: 193.00, avgPrice: 10.00, selectedFeedPrice: 10.00, netMarketValueBase: 1,930.00, netExposureLocal: 1,930.00, Symbol: MSFT</t>
  </si>
  <si>
    <t>quantity: 193.00, avgPrice: 10.00, selectedFeedPrice: 10.00, netMarketValueBase: 1,930.00, netExposureLocal: 1,930.00, Symbol: AAPL</t>
  </si>
  <si>
    <t>quantity: 193.00, avgPrice: 10.00, selectedFeedPrice: 10.00, netMarketValueBase: 19.30, netExposureLocal: 19.30, Symbol: 123456789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</si>
  <si>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</si>
  <si>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</si>
  <si>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</si>
  <si>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393.00, dayPnLBase: 0.00, dayPnLLocal: 0.00, netMarketValueBase: 3,930.00, netMarketValueLocal: 3,930.00, selectedFeedPrice: 10.00, accountNav: 407,486.6667, AccountShortName: Allocation1, Symbol: AAPL</t>
  </si>
  <si>
    <t>Allocation1-FRU-TC</t>
  </si>
  <si>
    <t>quantity: 393.00, dayPnLBase: -0.00, dayPnLLocal: 0.00, netMarketValueBase: 3,275.00, netMarketValueLocal: 3,930.00, selectedFeedPrice: 10.00, accountNav: 407,486.6667, AccountShortName: Allocation1, Symbol: FRU-TC</t>
  </si>
  <si>
    <t>Allocation1-DBLSX</t>
  </si>
  <si>
    <t>quantity: 393.00, dayPnLBase: 0.00, dayPnLLocal: 0.00, netMarketValueBase: 3,930.00, netMarketValueLocal: 3,930.00, selectedFeedPrice: 10.00, accountNav: 407,486.6667, AccountShortName: Allocation1, Symbol: DBLSX</t>
  </si>
  <si>
    <t>Allocation1-123456789</t>
  </si>
  <si>
    <t>quantity: 393.00, dayPnLBase: 0.00, dayPnLLocal: 0.00, netMarketValueBase: 39.30, netMarketValueLocal: 39.30, selectedFeedPrice: 10.00, accountNav: 407,486.6667, AccountShortName: Allocation1, Symbol: 123456789</t>
  </si>
  <si>
    <t>Allocation1-MSFT</t>
  </si>
  <si>
    <t>quantity: 393.00, dayPnLBase: 0.00, dayPnLLocal: 0.00, netMarketValueBase: 3,730.00, netMarketValueLocal: 3,730.00, selectedFeedPrice: 10.00, accountNav: 407,486.6667, AccountShortName: Allocation1, Symbol: MSFT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</si>
  <si>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</si>
  <si>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</si>
  <si>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</si>
  <si>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393.00, dayPnLBase: 0.00, dayPnLLocal: 0.00, netMarketValueBase: 3,930.00, netMarketValueLocal: 3,930.00, selectedFeedPrice: 10.00, masterFundNav: 508,286.6667, MasterFundName: NewMF, Symbol: AAPL</t>
  </si>
  <si>
    <t>NewMF-FRU-TC</t>
  </si>
  <si>
    <t>quantity: 393.00, dayPnLBase: -0.00, dayPnLLocal: 0.00, netMarketValueBase: 3,275.00, netMarketValueLocal: 3,930.00, selectedFeedPrice: 10.00, masterFundNav: 508,286.6667, MasterFundName: NewMF, Symbol: FRU-TC</t>
  </si>
  <si>
    <t>NewMF-DBLSX</t>
  </si>
  <si>
    <t>quantity: 393.00, dayPnLBase: 0.00, dayPnLLocal: 0.00, netMarketValueBase: 3,930.00, netMarketValueLocal: 3,930.00, selectedFeedPrice: 10.00, masterFundNav: 508,286.6667, MasterFundName: NewMF, Symbol: DBLSX</t>
  </si>
  <si>
    <t>NewMF-123456789</t>
  </si>
  <si>
    <t>quantity: 393.00, dayPnLBase: 0.00, dayPnLLocal: 0.00, netMarketValueBase: 39.30, netMarketValueLocal: 39.30, selectedFeedPrice: 10.00, masterFundNav: 508,286.6667, MasterFundName: NewMF, Symbol: 123456789</t>
  </si>
  <si>
    <t>NewMF-MSFT</t>
  </si>
  <si>
    <t>quantity: 393.00, dayPnLBase: 0.00, dayPnLLocal: 0.00, netMarketValueBase: 3,730.00, netMarketValueLocal: 3,730.00, selectedFeedPrice: 10.00, masterFundNav: 508,286.6667, MasterFundName: NewMF, Symbol: MSFT</t>
  </si>
  <si>
    <t>Symbol3</t>
  </si>
  <si>
    <t>If Quantity not equals to -123, Selected Feed Price not equals to -123, Net Market Value Base not equals to -123, Net Market Value Local not equals to -123, Then block the trade.</t>
  </si>
  <si>
    <t>quantity: 393.00, selectedFeedPrice: 10.00, netMarketValueBase: 3,930.00, netMarketValueLocal: 3,930.00, Symbol: AAPL</t>
  </si>
  <si>
    <t>quantity: 393.00, selectedFeedPrice: 10.00, netMarketValueBase: 3,275.00, netMarketValueLocal: 3,930.00, Symbol: FRU-TC</t>
  </si>
  <si>
    <t>quantity: 393.00, selectedFeedPrice: 10.00, netMarketValueBase: 3,930.00, netMarketValueLocal: 3,930.00, Symbol: DBLSX</t>
  </si>
  <si>
    <t>quantity: 393.00, selectedFeedPrice: 10.00, netMarketValueBase: 39.30, netMarketValueLocal: 39.30, Symbol: 123456789</t>
  </si>
  <si>
    <t>quantity: 393.00, selectedFeedPrice: 10.00, netMarketValueBase: 3,730.00, netMarketValueLocal: 3,730.00, Symbol: MSFT</t>
  </si>
  <si>
    <t>SendToStagingExport</t>
  </si>
  <si>
    <t>No</t>
  </si>
  <si>
    <t>Real-Time Positions</t>
  </si>
  <si>
    <t>quantity: 186.00, avgPrice: 20.00, selectedFeedPrice: 20.00, netMarketValueBase: 37.20, netExposureLocal: 37.20, Symbol: 123456789</t>
  </si>
  <si>
    <t>quantity: 186.00, avgPrice: 20.00, selectedFeedPrice: 20.00, netMarketValueBase: 3,720.00, netExposureLocal: 3,720.00, Symbol: MSFT</t>
  </si>
  <si>
    <t>quantity: 186.00, avgPrice: 20.00, selectedFeedPrice: 20.00, netMarketValueBase: 3,100.00, netExposureLocal: 3,720.00, Symbol: FRU-TC</t>
  </si>
  <si>
    <t>quantity: 186.00, avgPrice: 20.00, selectedFeedPrice: 20.00, netMarketValueBase: 3,720.00, netExposureLocal: 3,720.00, Symbol: DBLSX</t>
  </si>
  <si>
    <t>quantity: 486.00, dayPnLBase: 1,000.00, dayPnLLocal: 1,000.00, netMarketValueBase: 9,720.00, netMarketValueLocal: 9,720.00, selectedFeedPrice: 20.00, accountNav: 665,173.3333, AccountShortName: Allocation1, Symbol: AAPL</t>
  </si>
  <si>
    <t>quantity: 486.00, dayPnLBase: 10.00, dayPnLLocal: 10.00, netMarketValueBase: 97.20, netMarketValueLocal: 97.20, selectedFeedPrice: 20.00, accountNav: 665,173.3333, AccountShortName: Allocation1, Symbol: 123456789</t>
  </si>
  <si>
    <t>quantity: 486.00, dayPnLBase: 1,000.00, dayPnLLocal: 1,000.00, netMarketValueBase: 9,720.00, netMarketValueLocal: 9,720.00, selectedFeedPrice: 20.00, accountNav: 665,173.3333, AccountShortName: Allocation1, Symbol: DBLSX</t>
  </si>
  <si>
    <t>quantity: 486.00, dayPnLBase: 1,000.00, dayPnLLocal: 1,000.00, netMarketValueBase: 9,520.00, netMarketValueLocal: 9,520.00, selectedFeedPrice: 20.00, accountNav: 665,173.3333, AccountShortName: Allocation1, Symbol: MSFT</t>
  </si>
  <si>
    <t>quantity: 486.00, dayPnLBase: 833.3333, dayPnLLocal: 1,000.00, netMarketValueBase: 8,100.00, netMarketValueLocal: 9,720.00, selectedFeedPrice: 20.00, accountNav: 665,173.3333, AccountShortName: Allocation1, Symbol: FRU-TC</t>
  </si>
  <si>
    <t>Allocation3-AAPL</t>
  </si>
  <si>
    <t>quantity: 198.00, dayPnLBase: 1,800.00, dayPnLLocal: 1,800.00, netMarketValueBase: 3,960.00, netMarketValueLocal: 3,960.00, selectedFeedPrice: 20.00, accountNav: 101,800.00, AccountShortName: Allocation3, Symbol: AAPL</t>
  </si>
  <si>
    <t>quantity: 486.00, dayPnLBase: 10.00, dayPnLLocal: 10.00, netMarketValueBase: 97.20, netMarketValueLocal: 97.20, selectedFeedPrice: 20.00, masterFundNav: 766,973.3333, MasterFundName: NewMF, Symbol: 123456789</t>
  </si>
  <si>
    <t>quantity: 486.00, dayPnLBase: 1,000.00, dayPnLLocal: 1,000.00, netMarketValueBase: 9,720.00, netMarketValueLocal: 9,720.00, selectedFeedPrice: 20.00, masterFundNav: 766,973.3333, MasterFundName: NewMF, Symbol: DBLSX</t>
  </si>
  <si>
    <t>quantity: 486.00, dayPnLBase: 1,000.00, dayPnLLocal: 1,000.00, netMarketValueBase: 9,520.00, netMarketValueLocal: 9,520.00, selectedFeedPrice: 20.00, masterFundNav: 766,973.3333, MasterFundName: NewMF, Symbol: MSFT</t>
  </si>
  <si>
    <t>quantity: 486.00, dayPnLBase: 833.3333, dayPnLLocal: 1,000.00, netMarketValueBase: 8,100.00, netMarketValueLocal: 9,720.00, selectedFeedPrice: 20.00, masterFundNav: 766,973.3333, MasterFundName: NewMF, Symbol: FRU-TC</t>
  </si>
  <si>
    <t>quantity: 684.00, dayPnLBase: 2,800.00, dayPnLLocal: 2,800.00, netMarketValueBase: 13,680.00, netMarketValueLocal: 13,680.00, selectedFeedPrice: 20.00, masterFundNav: 766,973.3333, MasterFundName: NewMF, Symbol: AAPL</t>
  </si>
  <si>
    <t>quantity: 684.00, selectedFeedPrice: 20.00, netMarketValueBase: 13,680.00, netMarketValueLocal: 13,680.00, Symbol: AAPL</t>
  </si>
  <si>
    <t>quantity: 486.00, selectedFeedPrice: 20.00, netMarketValueBase: 97.20, netMarketValueLocal: 97.20, Symbol: 123456789</t>
  </si>
  <si>
    <t>quantity: 486.00, selectedFeedPrice: 20.00, netMarketValueBase: 9,720.00, netMarketValueLocal: 9,720.00, Symbol: DBLSX</t>
  </si>
  <si>
    <t>quantity: 486.00, selectedFeedPrice: 20.00, netMarketValueBase: 9,520.00, netMarketValueLocal: 9,520.00, Symbol: MSFT</t>
  </si>
  <si>
    <t>quantity: 486.00, selectedFeedPrice: 20.00, netMarketValueBase: 8,100.00, netMarketValueLocal: 9,720.00, Symbol: FRU-TC</t>
  </si>
  <si>
    <t>Admin</t>
  </si>
  <si>
    <t>SetComplianceAlert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</si>
</sst>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202124"/>
      <name val="Roboto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vertical="bottom"/>
    </xf>
    <xf borderId="6" fillId="0" fontId="5" numFmtId="0" xfId="0" applyAlignment="1" applyBorder="1" applyFont="1">
      <alignment horizontal="center"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7" fillId="6" fontId="14" numFmtId="16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6" fontId="14" numFmtId="1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horizontal="right" vertical="bottom"/>
    </xf>
    <xf borderId="9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0" fillId="0" fontId="3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16</v>
      </c>
      <c r="C6" s="31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17</v>
      </c>
      <c r="C7" s="33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4">
        <f t="shared" ref="B6:C6" si="1">today()-1</f>
        <v>45853</v>
      </c>
      <c r="C6" s="35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6" t="s">
        <v>21</v>
      </c>
      <c r="C6" s="37" t="s">
        <v>22</v>
      </c>
      <c r="D6" s="38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23</v>
      </c>
      <c r="C7" s="39" t="s">
        <v>22</v>
      </c>
      <c r="D7" s="40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26</v>
      </c>
      <c r="C6" s="42" t="s">
        <v>27</v>
      </c>
      <c r="D6" s="43">
        <v>100.0</v>
      </c>
      <c r="E6" s="44"/>
      <c r="F6" s="42" t="s">
        <v>28</v>
      </c>
      <c r="G6" s="44"/>
      <c r="H6" s="44"/>
      <c r="I6" s="44"/>
      <c r="J6" s="43">
        <v>10.0</v>
      </c>
      <c r="K6" s="44"/>
      <c r="L6" s="44"/>
      <c r="M6" s="44"/>
      <c r="N6" s="45">
        <f>TODAY()-28</f>
        <v>45826</v>
      </c>
      <c r="O6" s="44"/>
      <c r="P6" s="44"/>
      <c r="Q6" s="44"/>
      <c r="R6" s="44"/>
      <c r="S6" s="44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 t="s">
        <v>29</v>
      </c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6"/>
      <c r="B7" s="47" t="s">
        <v>30</v>
      </c>
      <c r="C7" s="47" t="s">
        <v>27</v>
      </c>
      <c r="D7" s="48">
        <v>100.0</v>
      </c>
      <c r="E7" s="47"/>
      <c r="F7" s="47" t="s">
        <v>21</v>
      </c>
      <c r="G7" s="47"/>
      <c r="H7" s="47"/>
      <c r="I7" s="47"/>
      <c r="J7" s="48">
        <v>2.0</v>
      </c>
      <c r="K7" s="47"/>
      <c r="L7" s="47"/>
      <c r="M7" s="47"/>
      <c r="N7" s="49">
        <f t="shared" ref="N7:N20" si="1">TODAY()-1</f>
        <v>45853</v>
      </c>
      <c r="O7" s="47"/>
      <c r="P7" s="47"/>
      <c r="Q7" s="47"/>
      <c r="R7" s="47"/>
      <c r="S7" s="47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 t="s">
        <v>29</v>
      </c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6"/>
      <c r="B8" s="47" t="s">
        <v>31</v>
      </c>
      <c r="C8" s="47" t="s">
        <v>27</v>
      </c>
      <c r="D8" s="48">
        <v>100.0</v>
      </c>
      <c r="E8" s="47"/>
      <c r="F8" s="47" t="s">
        <v>21</v>
      </c>
      <c r="G8" s="47"/>
      <c r="H8" s="47"/>
      <c r="I8" s="47"/>
      <c r="J8" s="48">
        <v>2.0</v>
      </c>
      <c r="K8" s="47"/>
      <c r="L8" s="47"/>
      <c r="M8" s="47"/>
      <c r="N8" s="49">
        <f t="shared" si="1"/>
        <v>45853</v>
      </c>
      <c r="O8" s="47"/>
      <c r="P8" s="47"/>
      <c r="Q8" s="47"/>
      <c r="R8" s="47"/>
      <c r="S8" s="47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 t="s">
        <v>29</v>
      </c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6"/>
      <c r="B9" s="47" t="s">
        <v>32</v>
      </c>
      <c r="C9" s="47" t="s">
        <v>27</v>
      </c>
      <c r="D9" s="48">
        <v>100.0</v>
      </c>
      <c r="E9" s="47"/>
      <c r="F9" s="47" t="s">
        <v>21</v>
      </c>
      <c r="G9" s="47"/>
      <c r="H9" s="47"/>
      <c r="I9" s="47"/>
      <c r="J9" s="48">
        <v>2.0</v>
      </c>
      <c r="K9" s="47"/>
      <c r="L9" s="47"/>
      <c r="M9" s="47"/>
      <c r="N9" s="49">
        <f t="shared" si="1"/>
        <v>45853</v>
      </c>
      <c r="O9" s="47"/>
      <c r="P9" s="47"/>
      <c r="Q9" s="47"/>
      <c r="R9" s="47"/>
      <c r="S9" s="47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 t="s">
        <v>29</v>
      </c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6"/>
      <c r="B10" s="47" t="s">
        <v>33</v>
      </c>
      <c r="C10" s="47" t="s">
        <v>27</v>
      </c>
      <c r="D10" s="48">
        <v>100.0</v>
      </c>
      <c r="E10" s="47"/>
      <c r="F10" s="47" t="s">
        <v>21</v>
      </c>
      <c r="G10" s="47"/>
      <c r="H10" s="47"/>
      <c r="I10" s="47"/>
      <c r="J10" s="48">
        <v>2.0</v>
      </c>
      <c r="K10" s="47"/>
      <c r="L10" s="47"/>
      <c r="M10" s="47"/>
      <c r="N10" s="49">
        <f t="shared" si="1"/>
        <v>45853</v>
      </c>
      <c r="O10" s="47"/>
      <c r="P10" s="47"/>
      <c r="Q10" s="47"/>
      <c r="R10" s="47"/>
      <c r="S10" s="47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 t="s">
        <v>29</v>
      </c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6"/>
      <c r="B11" s="47" t="s">
        <v>34</v>
      </c>
      <c r="C11" s="47" t="s">
        <v>27</v>
      </c>
      <c r="D11" s="48">
        <v>100.0</v>
      </c>
      <c r="E11" s="47"/>
      <c r="F11" s="47" t="s">
        <v>21</v>
      </c>
      <c r="G11" s="47"/>
      <c r="H11" s="47"/>
      <c r="I11" s="47"/>
      <c r="J11" s="48">
        <v>2.0</v>
      </c>
      <c r="K11" s="47"/>
      <c r="L11" s="47"/>
      <c r="M11" s="47"/>
      <c r="N11" s="49">
        <f t="shared" si="1"/>
        <v>45853</v>
      </c>
      <c r="O11" s="47"/>
      <c r="P11" s="47"/>
      <c r="Q11" s="47"/>
      <c r="R11" s="47"/>
      <c r="S11" s="47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 t="s">
        <v>29</v>
      </c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6"/>
      <c r="B12" s="47" t="s">
        <v>35</v>
      </c>
      <c r="C12" s="47" t="s">
        <v>27</v>
      </c>
      <c r="D12" s="48">
        <v>100.0</v>
      </c>
      <c r="E12" s="47"/>
      <c r="F12" s="47" t="s">
        <v>21</v>
      </c>
      <c r="G12" s="47"/>
      <c r="H12" s="47"/>
      <c r="I12" s="47"/>
      <c r="J12" s="48">
        <v>2.0</v>
      </c>
      <c r="K12" s="47"/>
      <c r="L12" s="47"/>
      <c r="M12" s="47"/>
      <c r="N12" s="49">
        <f t="shared" si="1"/>
        <v>45853</v>
      </c>
      <c r="O12" s="47"/>
      <c r="P12" s="47"/>
      <c r="Q12" s="47"/>
      <c r="R12" s="47"/>
      <c r="S12" s="47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 t="s">
        <v>29</v>
      </c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46"/>
      <c r="B13" s="50">
        <v>1.23456789E8</v>
      </c>
      <c r="C13" s="47" t="s">
        <v>27</v>
      </c>
      <c r="D13" s="48">
        <v>100.0</v>
      </c>
      <c r="E13" s="47"/>
      <c r="F13" s="47" t="s">
        <v>21</v>
      </c>
      <c r="G13" s="47"/>
      <c r="H13" s="47"/>
      <c r="I13" s="47"/>
      <c r="J13" s="48">
        <v>2.0</v>
      </c>
      <c r="K13" s="47"/>
      <c r="L13" s="47"/>
      <c r="M13" s="47"/>
      <c r="N13" s="49">
        <f t="shared" si="1"/>
        <v>45853</v>
      </c>
      <c r="O13" s="47"/>
      <c r="P13" s="47"/>
      <c r="Q13" s="47"/>
      <c r="R13" s="47"/>
      <c r="S13" s="47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 t="s">
        <v>29</v>
      </c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46"/>
      <c r="B14" s="47" t="s">
        <v>30</v>
      </c>
      <c r="C14" s="47" t="s">
        <v>27</v>
      </c>
      <c r="D14" s="48">
        <v>100.0</v>
      </c>
      <c r="E14" s="50">
        <v>0.0</v>
      </c>
      <c r="F14" s="47" t="s">
        <v>21</v>
      </c>
      <c r="G14" s="47"/>
      <c r="H14" s="47"/>
      <c r="I14" s="47"/>
      <c r="J14" s="48">
        <v>2.0</v>
      </c>
      <c r="K14" s="47"/>
      <c r="L14" s="47"/>
      <c r="M14" s="47"/>
      <c r="N14" s="49">
        <f t="shared" si="1"/>
        <v>45853</v>
      </c>
      <c r="O14" s="47"/>
      <c r="P14" s="47"/>
      <c r="Q14" s="47"/>
      <c r="R14" s="47"/>
      <c r="S14" s="47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 t="s">
        <v>29</v>
      </c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</row>
    <row r="15" ht="15.75" customHeight="1">
      <c r="A15" s="46"/>
      <c r="B15" s="47" t="s">
        <v>31</v>
      </c>
      <c r="C15" s="47" t="s">
        <v>27</v>
      </c>
      <c r="D15" s="48">
        <v>100.0</v>
      </c>
      <c r="E15" s="50">
        <v>0.0</v>
      </c>
      <c r="F15" s="47" t="s">
        <v>21</v>
      </c>
      <c r="G15" s="47"/>
      <c r="H15" s="47"/>
      <c r="I15" s="47"/>
      <c r="J15" s="48">
        <v>2.0</v>
      </c>
      <c r="K15" s="47"/>
      <c r="L15" s="47"/>
      <c r="M15" s="47"/>
      <c r="N15" s="49">
        <f t="shared" si="1"/>
        <v>45853</v>
      </c>
      <c r="O15" s="47"/>
      <c r="P15" s="47"/>
      <c r="Q15" s="47"/>
      <c r="R15" s="47"/>
      <c r="S15" s="47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 t="s">
        <v>29</v>
      </c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</row>
    <row r="16" ht="15.75" customHeight="1">
      <c r="A16" s="46"/>
      <c r="B16" s="47" t="s">
        <v>32</v>
      </c>
      <c r="C16" s="47" t="s">
        <v>27</v>
      </c>
      <c r="D16" s="48">
        <v>100.0</v>
      </c>
      <c r="E16" s="50">
        <v>0.0</v>
      </c>
      <c r="F16" s="47" t="s">
        <v>21</v>
      </c>
      <c r="G16" s="47"/>
      <c r="H16" s="47"/>
      <c r="I16" s="47"/>
      <c r="J16" s="48">
        <v>2.0</v>
      </c>
      <c r="K16" s="47"/>
      <c r="L16" s="47"/>
      <c r="M16" s="47"/>
      <c r="N16" s="49">
        <f t="shared" si="1"/>
        <v>45853</v>
      </c>
      <c r="O16" s="47"/>
      <c r="P16" s="47"/>
      <c r="Q16" s="47"/>
      <c r="R16" s="47"/>
      <c r="S16" s="47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 t="s">
        <v>29</v>
      </c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</row>
    <row r="17" ht="15.75" customHeight="1">
      <c r="A17" s="46"/>
      <c r="B17" s="47" t="s">
        <v>33</v>
      </c>
      <c r="C17" s="47" t="s">
        <v>27</v>
      </c>
      <c r="D17" s="48">
        <v>100.0</v>
      </c>
      <c r="E17" s="50">
        <v>0.0</v>
      </c>
      <c r="F17" s="47" t="s">
        <v>21</v>
      </c>
      <c r="G17" s="47"/>
      <c r="H17" s="47"/>
      <c r="I17" s="47"/>
      <c r="J17" s="48">
        <v>2.0</v>
      </c>
      <c r="K17" s="47"/>
      <c r="L17" s="47"/>
      <c r="M17" s="47"/>
      <c r="N17" s="49">
        <f t="shared" si="1"/>
        <v>45853</v>
      </c>
      <c r="O17" s="47"/>
      <c r="P17" s="47"/>
      <c r="Q17" s="47"/>
      <c r="R17" s="47"/>
      <c r="S17" s="47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 t="s">
        <v>29</v>
      </c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</row>
    <row r="18" ht="15.75" customHeight="1">
      <c r="A18" s="46"/>
      <c r="B18" s="47" t="s">
        <v>34</v>
      </c>
      <c r="C18" s="47" t="s">
        <v>27</v>
      </c>
      <c r="D18" s="48">
        <v>100.0</v>
      </c>
      <c r="E18" s="50">
        <v>0.0</v>
      </c>
      <c r="F18" s="47" t="s">
        <v>21</v>
      </c>
      <c r="G18" s="47"/>
      <c r="H18" s="47"/>
      <c r="I18" s="47"/>
      <c r="J18" s="48">
        <v>2.0</v>
      </c>
      <c r="K18" s="47"/>
      <c r="L18" s="47"/>
      <c r="M18" s="47"/>
      <c r="N18" s="49">
        <f t="shared" si="1"/>
        <v>45853</v>
      </c>
      <c r="O18" s="47"/>
      <c r="P18" s="47"/>
      <c r="Q18" s="47"/>
      <c r="R18" s="47"/>
      <c r="S18" s="47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 t="s">
        <v>29</v>
      </c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</row>
    <row r="19" ht="15.75" customHeight="1">
      <c r="A19" s="46"/>
      <c r="B19" s="47" t="s">
        <v>35</v>
      </c>
      <c r="C19" s="47" t="s">
        <v>27</v>
      </c>
      <c r="D19" s="48">
        <v>100.0</v>
      </c>
      <c r="E19" s="50">
        <v>0.0</v>
      </c>
      <c r="F19" s="47" t="s">
        <v>21</v>
      </c>
      <c r="G19" s="47"/>
      <c r="H19" s="47"/>
      <c r="I19" s="47"/>
      <c r="J19" s="48">
        <v>2.0</v>
      </c>
      <c r="K19" s="47"/>
      <c r="L19" s="47"/>
      <c r="M19" s="47"/>
      <c r="N19" s="49">
        <f t="shared" si="1"/>
        <v>45853</v>
      </c>
      <c r="O19" s="47"/>
      <c r="P19" s="47"/>
      <c r="Q19" s="47"/>
      <c r="R19" s="47"/>
      <c r="S19" s="47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 t="s">
        <v>29</v>
      </c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</row>
    <row r="20" ht="15.75" customHeight="1">
      <c r="A20" s="46"/>
      <c r="B20" s="50">
        <v>1.23456789E8</v>
      </c>
      <c r="C20" s="47" t="s">
        <v>27</v>
      </c>
      <c r="D20" s="48">
        <v>100.0</v>
      </c>
      <c r="E20" s="50">
        <v>0.0</v>
      </c>
      <c r="F20" s="47" t="s">
        <v>21</v>
      </c>
      <c r="G20" s="47"/>
      <c r="H20" s="47"/>
      <c r="I20" s="47"/>
      <c r="J20" s="48">
        <v>2.0</v>
      </c>
      <c r="K20" s="47"/>
      <c r="L20" s="47"/>
      <c r="M20" s="47"/>
      <c r="N20" s="49">
        <f t="shared" si="1"/>
        <v>45853</v>
      </c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 t="s">
        <v>29</v>
      </c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</row>
    <row r="21" ht="15.75" customHeight="1">
      <c r="A21" s="46"/>
      <c r="B21" s="51" t="s">
        <v>30</v>
      </c>
      <c r="C21" s="51" t="s">
        <v>27</v>
      </c>
      <c r="D21" s="48">
        <v>100.0</v>
      </c>
      <c r="E21" s="47"/>
      <c r="F21" s="51" t="s">
        <v>23</v>
      </c>
      <c r="G21" s="47"/>
      <c r="H21" s="47"/>
      <c r="I21" s="47"/>
      <c r="J21" s="48">
        <v>2.0</v>
      </c>
      <c r="K21" s="47"/>
      <c r="L21" s="47"/>
      <c r="M21" s="47"/>
      <c r="N21" s="47"/>
      <c r="O21" s="47"/>
      <c r="P21" s="47"/>
      <c r="Q21" s="47"/>
      <c r="R21" s="47"/>
      <c r="S21" s="47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 t="s">
        <v>29</v>
      </c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52" t="s">
        <v>30</v>
      </c>
      <c r="C6" s="52" t="s">
        <v>27</v>
      </c>
      <c r="D6" s="38">
        <v>100.0</v>
      </c>
      <c r="E6" s="52"/>
      <c r="F6" s="52" t="s">
        <v>21</v>
      </c>
      <c r="G6" s="52"/>
      <c r="H6" s="52"/>
      <c r="I6" s="52"/>
      <c r="J6" s="38">
        <v>2.0</v>
      </c>
      <c r="K6" s="52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6"/>
      <c r="B7" s="47" t="s">
        <v>31</v>
      </c>
      <c r="C7" s="47" t="s">
        <v>27</v>
      </c>
      <c r="D7" s="48">
        <v>100.0</v>
      </c>
      <c r="E7" s="47"/>
      <c r="F7" s="47" t="s">
        <v>21</v>
      </c>
      <c r="G7" s="47"/>
      <c r="H7" s="47"/>
      <c r="I7" s="47"/>
      <c r="J7" s="48">
        <v>2.0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6"/>
      <c r="B8" s="47" t="s">
        <v>32</v>
      </c>
      <c r="C8" s="47" t="s">
        <v>27</v>
      </c>
      <c r="D8" s="48">
        <v>100.0</v>
      </c>
      <c r="E8" s="47"/>
      <c r="F8" s="47" t="s">
        <v>21</v>
      </c>
      <c r="G8" s="47"/>
      <c r="H8" s="47"/>
      <c r="I8" s="47"/>
      <c r="J8" s="48">
        <v>2.0</v>
      </c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6"/>
      <c r="B9" s="47" t="s">
        <v>33</v>
      </c>
      <c r="C9" s="47" t="s">
        <v>27</v>
      </c>
      <c r="D9" s="48">
        <v>100.0</v>
      </c>
      <c r="E9" s="47"/>
      <c r="F9" s="47" t="s">
        <v>21</v>
      </c>
      <c r="G9" s="47"/>
      <c r="H9" s="47"/>
      <c r="I9" s="47"/>
      <c r="J9" s="48">
        <v>2.0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6"/>
      <c r="B10" s="47" t="s">
        <v>34</v>
      </c>
      <c r="C10" s="47" t="s">
        <v>27</v>
      </c>
      <c r="D10" s="48">
        <v>100.0</v>
      </c>
      <c r="E10" s="47"/>
      <c r="F10" s="47" t="s">
        <v>21</v>
      </c>
      <c r="G10" s="47"/>
      <c r="H10" s="47"/>
      <c r="I10" s="47"/>
      <c r="J10" s="48">
        <v>2.0</v>
      </c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6"/>
      <c r="B11" s="47" t="s">
        <v>35</v>
      </c>
      <c r="C11" s="47" t="s">
        <v>27</v>
      </c>
      <c r="D11" s="48">
        <v>100.0</v>
      </c>
      <c r="E11" s="47"/>
      <c r="F11" s="47" t="s">
        <v>21</v>
      </c>
      <c r="G11" s="47"/>
      <c r="H11" s="47"/>
      <c r="I11" s="47"/>
      <c r="J11" s="48">
        <v>2.0</v>
      </c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6"/>
      <c r="B12" s="50">
        <v>1.23456789E8</v>
      </c>
      <c r="C12" s="47" t="s">
        <v>27</v>
      </c>
      <c r="D12" s="48">
        <v>100.0</v>
      </c>
      <c r="E12" s="47"/>
      <c r="F12" s="47" t="s">
        <v>21</v>
      </c>
      <c r="G12" s="47"/>
      <c r="H12" s="47"/>
      <c r="I12" s="47"/>
      <c r="J12" s="48">
        <v>2.0</v>
      </c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3" t="s">
        <v>39</v>
      </c>
      <c r="C6" s="35">
        <f>today()-1</f>
        <v>45853</v>
      </c>
      <c r="D6" s="35">
        <f>today()</f>
        <v>45854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7" t="s">
        <v>32</v>
      </c>
      <c r="C6" s="38">
        <v>100.0</v>
      </c>
      <c r="D6" s="52"/>
      <c r="E6" s="52" t="s">
        <v>21</v>
      </c>
      <c r="F6" s="52" t="s">
        <v>27</v>
      </c>
      <c r="G6" s="52"/>
      <c r="H6" s="38">
        <v>2.0</v>
      </c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52"/>
      <c r="C6" s="38">
        <v>0.0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3" t="s">
        <v>30</v>
      </c>
      <c r="C6" s="38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4" t="s">
        <v>31</v>
      </c>
      <c r="C7" s="40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4" t="s">
        <v>32</v>
      </c>
      <c r="C8" s="40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4" t="s">
        <v>33</v>
      </c>
      <c r="C9" s="40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4" t="s">
        <v>34</v>
      </c>
      <c r="C10" s="40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4" t="s">
        <v>35</v>
      </c>
      <c r="C11" s="40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5">
        <v>1.23456789E8</v>
      </c>
      <c r="C12" s="40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43</v>
      </c>
      <c r="C13" s="40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4">
        <f t="shared" ref="B6:C6" si="1">today()-1</f>
        <v>45853</v>
      </c>
      <c r="C6" s="35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0">
        <v>1.23456789E8</v>
      </c>
      <c r="C6" s="4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30</v>
      </c>
      <c r="C7" s="48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4" t="s">
        <v>31</v>
      </c>
      <c r="C8" s="40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4" t="s">
        <v>32</v>
      </c>
      <c r="C9" s="40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4" t="s">
        <v>33</v>
      </c>
      <c r="C10" s="40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4" t="s">
        <v>34</v>
      </c>
      <c r="C11" s="40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4" t="s">
        <v>35</v>
      </c>
      <c r="C12" s="40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43</v>
      </c>
      <c r="C13" s="40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4">
        <f t="shared" ref="B6:C6" si="1">today()-1</f>
        <v>45853</v>
      </c>
      <c r="C6" s="35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6" t="s">
        <v>22</v>
      </c>
      <c r="C6" s="37" t="s">
        <v>48</v>
      </c>
      <c r="D6" s="52" t="s">
        <v>49</v>
      </c>
      <c r="E6" s="38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3"/>
      <c r="B6" s="52" t="s">
        <v>21</v>
      </c>
      <c r="C6" s="52"/>
      <c r="D6" s="35">
        <f>today()-3</f>
        <v>45851</v>
      </c>
      <c r="E6" s="35">
        <f>today()</f>
        <v>45854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52"/>
      <c r="C6" s="52" t="s">
        <v>53</v>
      </c>
      <c r="D6" s="52" t="s">
        <v>30</v>
      </c>
      <c r="E6" s="52"/>
      <c r="F6" s="52" t="s">
        <v>21</v>
      </c>
      <c r="G6" s="52" t="s">
        <v>22</v>
      </c>
      <c r="H6" s="57">
        <v>100000.0</v>
      </c>
      <c r="I6" s="58">
        <f>today()-2</f>
        <v>45852</v>
      </c>
      <c r="J6" s="58">
        <f>today()+8</f>
        <v>45862</v>
      </c>
      <c r="K6" s="58"/>
      <c r="L6" s="58"/>
      <c r="M6" s="52"/>
      <c r="N6" s="52"/>
      <c r="O6" s="52"/>
      <c r="P6" s="52"/>
      <c r="Q6" s="52"/>
      <c r="R6" s="52"/>
      <c r="S6" s="52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3"/>
      <c r="B6" s="52"/>
      <c r="C6" s="52" t="s">
        <v>21</v>
      </c>
      <c r="D6" s="35">
        <f>today()</f>
        <v>45854</v>
      </c>
      <c r="E6" s="31" t="b">
        <v>1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52" t="s">
        <v>57</v>
      </c>
      <c r="C6" s="52" t="s">
        <v>58</v>
      </c>
      <c r="D6" s="52" t="s">
        <v>59</v>
      </c>
      <c r="E6" s="52" t="s">
        <v>60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6"/>
      <c r="C6" s="12" t="s">
        <v>62</v>
      </c>
      <c r="D6" s="52" t="s">
        <v>63</v>
      </c>
      <c r="E6" s="33" t="b">
        <v>1</v>
      </c>
      <c r="F6" s="39" t="s">
        <v>57</v>
      </c>
      <c r="G6" s="39" t="s">
        <v>64</v>
      </c>
      <c r="H6" s="41" t="s">
        <v>65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12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67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9" t="s">
        <v>69</v>
      </c>
      <c r="C6" s="12" t="s">
        <v>70</v>
      </c>
      <c r="D6" s="12" t="s">
        <v>71</v>
      </c>
      <c r="E6" s="12" t="s">
        <v>31</v>
      </c>
      <c r="F6" s="12" t="s">
        <v>72</v>
      </c>
      <c r="G6" s="12" t="s">
        <v>72</v>
      </c>
      <c r="H6" s="12" t="s">
        <v>73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69</v>
      </c>
      <c r="C7" s="12" t="s">
        <v>70</v>
      </c>
      <c r="D7" s="12" t="s">
        <v>71</v>
      </c>
      <c r="E7" s="12" t="s">
        <v>33</v>
      </c>
      <c r="F7" s="12" t="s">
        <v>72</v>
      </c>
      <c r="G7" s="12" t="s">
        <v>72</v>
      </c>
      <c r="H7" s="12" t="s">
        <v>74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69</v>
      </c>
      <c r="C8" s="12" t="s">
        <v>70</v>
      </c>
      <c r="D8" s="12" t="s">
        <v>71</v>
      </c>
      <c r="E8" s="12" t="s">
        <v>32</v>
      </c>
      <c r="F8" s="12" t="s">
        <v>72</v>
      </c>
      <c r="G8" s="12" t="s">
        <v>72</v>
      </c>
      <c r="H8" s="12" t="s">
        <v>75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69</v>
      </c>
      <c r="C9" s="12" t="s">
        <v>70</v>
      </c>
      <c r="D9" s="12" t="s">
        <v>71</v>
      </c>
      <c r="E9" s="12" t="s">
        <v>30</v>
      </c>
      <c r="F9" s="12" t="s">
        <v>72</v>
      </c>
      <c r="G9" s="12" t="s">
        <v>72</v>
      </c>
      <c r="H9" s="12" t="s">
        <v>76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69</v>
      </c>
      <c r="C10" s="12" t="s">
        <v>70</v>
      </c>
      <c r="D10" s="12" t="s">
        <v>71</v>
      </c>
      <c r="E10" s="12">
        <v>1.23456789E8</v>
      </c>
      <c r="F10" s="12" t="s">
        <v>72</v>
      </c>
      <c r="G10" s="12" t="s">
        <v>72</v>
      </c>
      <c r="H10" s="12" t="s">
        <v>77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69</v>
      </c>
      <c r="C11" s="12" t="s">
        <v>78</v>
      </c>
      <c r="D11" s="12" t="s">
        <v>79</v>
      </c>
      <c r="E11" s="12" t="s">
        <v>80</v>
      </c>
      <c r="F11" s="12" t="s">
        <v>72</v>
      </c>
      <c r="G11" s="12" t="s">
        <v>72</v>
      </c>
      <c r="H11" s="12" t="s">
        <v>81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69</v>
      </c>
      <c r="C12" s="12" t="s">
        <v>78</v>
      </c>
      <c r="D12" s="12" t="s">
        <v>79</v>
      </c>
      <c r="E12" s="12" t="s">
        <v>82</v>
      </c>
      <c r="F12" s="12" t="s">
        <v>72</v>
      </c>
      <c r="G12" s="12" t="s">
        <v>72</v>
      </c>
      <c r="H12" s="12" t="s">
        <v>83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69</v>
      </c>
      <c r="C13" s="12" t="s">
        <v>78</v>
      </c>
      <c r="D13" s="12" t="s">
        <v>79</v>
      </c>
      <c r="E13" s="12" t="s">
        <v>84</v>
      </c>
      <c r="F13" s="12" t="s">
        <v>72</v>
      </c>
      <c r="G13" s="12" t="s">
        <v>72</v>
      </c>
      <c r="H13" s="12" t="s">
        <v>85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69</v>
      </c>
      <c r="C14" s="12" t="s">
        <v>78</v>
      </c>
      <c r="D14" s="12" t="s">
        <v>79</v>
      </c>
      <c r="E14" s="12" t="s">
        <v>86</v>
      </c>
      <c r="F14" s="12" t="s">
        <v>72</v>
      </c>
      <c r="G14" s="12" t="s">
        <v>72</v>
      </c>
      <c r="H14" s="12" t="s">
        <v>87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69</v>
      </c>
      <c r="C15" s="12" t="s">
        <v>78</v>
      </c>
      <c r="D15" s="12" t="s">
        <v>79</v>
      </c>
      <c r="E15" s="12" t="s">
        <v>88</v>
      </c>
      <c r="F15" s="12" t="s">
        <v>72</v>
      </c>
      <c r="G15" s="12" t="s">
        <v>72</v>
      </c>
      <c r="H15" s="12" t="s">
        <v>89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 t="s">
        <v>69</v>
      </c>
      <c r="C16" s="12" t="s">
        <v>90</v>
      </c>
      <c r="D16" s="12" t="s">
        <v>91</v>
      </c>
      <c r="E16" s="12" t="s">
        <v>92</v>
      </c>
      <c r="F16" s="12" t="s">
        <v>72</v>
      </c>
      <c r="G16" s="12" t="s">
        <v>72</v>
      </c>
      <c r="H16" s="12" t="s">
        <v>93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 t="s">
        <v>69</v>
      </c>
      <c r="C17" s="12" t="s">
        <v>90</v>
      </c>
      <c r="D17" s="12" t="s">
        <v>91</v>
      </c>
      <c r="E17" s="12" t="s">
        <v>94</v>
      </c>
      <c r="F17" s="12" t="s">
        <v>72</v>
      </c>
      <c r="G17" s="12" t="s">
        <v>72</v>
      </c>
      <c r="H17" s="12" t="s">
        <v>95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 t="s">
        <v>69</v>
      </c>
      <c r="C18" s="12" t="s">
        <v>90</v>
      </c>
      <c r="D18" s="12" t="s">
        <v>91</v>
      </c>
      <c r="E18" s="12" t="s">
        <v>96</v>
      </c>
      <c r="F18" s="12" t="s">
        <v>72</v>
      </c>
      <c r="G18" s="12" t="s">
        <v>72</v>
      </c>
      <c r="H18" s="12" t="s">
        <v>97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 t="s">
        <v>69</v>
      </c>
      <c r="C19" s="12" t="s">
        <v>90</v>
      </c>
      <c r="D19" s="12" t="s">
        <v>91</v>
      </c>
      <c r="E19" s="12" t="s">
        <v>98</v>
      </c>
      <c r="F19" s="12" t="s">
        <v>72</v>
      </c>
      <c r="G19" s="12" t="s">
        <v>72</v>
      </c>
      <c r="H19" s="12" t="s">
        <v>99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 t="s">
        <v>69</v>
      </c>
      <c r="C20" s="12" t="s">
        <v>90</v>
      </c>
      <c r="D20" s="12" t="s">
        <v>91</v>
      </c>
      <c r="E20" s="12" t="s">
        <v>100</v>
      </c>
      <c r="F20" s="12" t="s">
        <v>72</v>
      </c>
      <c r="G20" s="12" t="s">
        <v>72</v>
      </c>
      <c r="H20" s="12" t="s">
        <v>101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2" t="s">
        <v>69</v>
      </c>
      <c r="C21" s="12" t="s">
        <v>102</v>
      </c>
      <c r="D21" s="12" t="s">
        <v>103</v>
      </c>
      <c r="E21" s="12" t="s">
        <v>30</v>
      </c>
      <c r="F21" s="12" t="s">
        <v>72</v>
      </c>
      <c r="G21" s="12" t="s">
        <v>72</v>
      </c>
      <c r="H21" s="12" t="s">
        <v>104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2" t="s">
        <v>69</v>
      </c>
      <c r="C22" s="12" t="s">
        <v>102</v>
      </c>
      <c r="D22" s="12" t="s">
        <v>103</v>
      </c>
      <c r="E22" s="12" t="s">
        <v>31</v>
      </c>
      <c r="F22" s="12" t="s">
        <v>72</v>
      </c>
      <c r="G22" s="12" t="s">
        <v>72</v>
      </c>
      <c r="H22" s="12" t="s">
        <v>105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2" t="s">
        <v>69</v>
      </c>
      <c r="C23" s="12" t="s">
        <v>102</v>
      </c>
      <c r="D23" s="12" t="s">
        <v>103</v>
      </c>
      <c r="E23" s="12" t="s">
        <v>33</v>
      </c>
      <c r="F23" s="12" t="s">
        <v>72</v>
      </c>
      <c r="G23" s="12" t="s">
        <v>72</v>
      </c>
      <c r="H23" s="12" t="s">
        <v>106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2" t="s">
        <v>69</v>
      </c>
      <c r="C24" s="12" t="s">
        <v>102</v>
      </c>
      <c r="D24" s="12" t="s">
        <v>103</v>
      </c>
      <c r="E24" s="12">
        <v>1.23456789E8</v>
      </c>
      <c r="F24" s="12" t="s">
        <v>72</v>
      </c>
      <c r="G24" s="12" t="s">
        <v>72</v>
      </c>
      <c r="H24" s="12" t="s">
        <v>107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2" t="s">
        <v>69</v>
      </c>
      <c r="C25" s="12" t="s">
        <v>102</v>
      </c>
      <c r="D25" s="12" t="s">
        <v>103</v>
      </c>
      <c r="E25" s="12" t="s">
        <v>32</v>
      </c>
      <c r="F25" s="12" t="s">
        <v>72</v>
      </c>
      <c r="G25" s="12" t="s">
        <v>72</v>
      </c>
      <c r="H25" s="12" t="s">
        <v>108</v>
      </c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109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IFERROR(__xludf.DUMMYFUNCTION("""COMPUTED_VALUE"""),"AllowTrade")</f>
        <v>AllowTrade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21</v>
      </c>
      <c r="C6" s="12" t="s">
        <v>27</v>
      </c>
      <c r="D6" s="12">
        <v>1.23456789E8</v>
      </c>
      <c r="E6" s="12">
        <v>193.0</v>
      </c>
      <c r="F6" s="12">
        <v>10.0</v>
      </c>
      <c r="G6" s="60">
        <v>19.0</v>
      </c>
      <c r="H6" s="8"/>
      <c r="I6" s="12" t="s">
        <v>110</v>
      </c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27</v>
      </c>
      <c r="D7" s="12" t="s">
        <v>30</v>
      </c>
      <c r="E7" s="12">
        <v>193.0</v>
      </c>
      <c r="F7" s="12">
        <v>10.0</v>
      </c>
      <c r="G7" s="60">
        <v>1930.0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21</v>
      </c>
      <c r="C8" s="12" t="s">
        <v>27</v>
      </c>
      <c r="D8" s="12" t="s">
        <v>33</v>
      </c>
      <c r="E8" s="12">
        <v>193.0</v>
      </c>
      <c r="F8" s="12">
        <v>10.0</v>
      </c>
      <c r="G8" s="60">
        <v>1930.0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27</v>
      </c>
      <c r="D9" s="12" t="s">
        <v>31</v>
      </c>
      <c r="E9" s="12">
        <v>193.0</v>
      </c>
      <c r="F9" s="12">
        <v>10.0</v>
      </c>
      <c r="G9" s="60">
        <v>1608.0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21</v>
      </c>
      <c r="C10" s="12" t="s">
        <v>27</v>
      </c>
      <c r="D10" s="12" t="s">
        <v>32</v>
      </c>
      <c r="E10" s="12">
        <v>193.0</v>
      </c>
      <c r="F10" s="12">
        <v>10.0</v>
      </c>
      <c r="G10" s="60">
        <v>1930.0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2" t="s">
        <v>57</v>
      </c>
      <c r="C6" s="52" t="s">
        <v>111</v>
      </c>
      <c r="D6" s="52" t="s">
        <v>59</v>
      </c>
      <c r="E6" s="52" t="s">
        <v>60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9" t="s">
        <v>69</v>
      </c>
      <c r="C6" s="9" t="s">
        <v>70</v>
      </c>
      <c r="D6" s="9" t="s">
        <v>71</v>
      </c>
      <c r="E6" s="9">
        <v>1.23456789E8</v>
      </c>
      <c r="F6" s="9" t="s">
        <v>72</v>
      </c>
      <c r="G6" s="9" t="s">
        <v>72</v>
      </c>
      <c r="H6" s="9" t="s">
        <v>112</v>
      </c>
    </row>
    <row r="7" ht="15.75" customHeight="1">
      <c r="B7" s="9" t="s">
        <v>69</v>
      </c>
      <c r="C7" s="9" t="s">
        <v>70</v>
      </c>
      <c r="D7" s="9" t="s">
        <v>71</v>
      </c>
      <c r="E7" s="9" t="s">
        <v>32</v>
      </c>
      <c r="F7" s="9" t="s">
        <v>72</v>
      </c>
      <c r="G7" s="9" t="s">
        <v>72</v>
      </c>
      <c r="H7" s="9" t="s">
        <v>113</v>
      </c>
    </row>
    <row r="8" ht="15.75" customHeight="1">
      <c r="B8" s="9" t="s">
        <v>69</v>
      </c>
      <c r="C8" s="9" t="s">
        <v>70</v>
      </c>
      <c r="D8" s="9" t="s">
        <v>71</v>
      </c>
      <c r="E8" s="9" t="s">
        <v>31</v>
      </c>
      <c r="F8" s="9" t="s">
        <v>72</v>
      </c>
      <c r="G8" s="9" t="s">
        <v>72</v>
      </c>
      <c r="H8" s="9" t="s">
        <v>114</v>
      </c>
    </row>
    <row r="9" ht="15.75" customHeight="1">
      <c r="B9" s="9" t="s">
        <v>69</v>
      </c>
      <c r="C9" s="9" t="s">
        <v>70</v>
      </c>
      <c r="D9" s="9" t="s">
        <v>71</v>
      </c>
      <c r="E9" s="9" t="s">
        <v>33</v>
      </c>
      <c r="F9" s="9" t="s">
        <v>72</v>
      </c>
      <c r="G9" s="9" t="s">
        <v>72</v>
      </c>
      <c r="H9" s="9" t="s">
        <v>115</v>
      </c>
    </row>
    <row r="10" ht="15.75" customHeight="1">
      <c r="B10" s="9" t="s">
        <v>69</v>
      </c>
      <c r="C10" s="9" t="s">
        <v>78</v>
      </c>
      <c r="D10" s="9" t="s">
        <v>79</v>
      </c>
      <c r="E10" s="9" t="s">
        <v>80</v>
      </c>
      <c r="F10" s="9" t="s">
        <v>72</v>
      </c>
      <c r="G10" s="9" t="s">
        <v>72</v>
      </c>
      <c r="H10" s="9" t="s">
        <v>116</v>
      </c>
    </row>
    <row r="11" ht="15.75" customHeight="1">
      <c r="B11" s="9" t="s">
        <v>69</v>
      </c>
      <c r="C11" s="9" t="s">
        <v>78</v>
      </c>
      <c r="D11" s="9" t="s">
        <v>79</v>
      </c>
      <c r="E11" s="9" t="s">
        <v>86</v>
      </c>
      <c r="F11" s="9" t="s">
        <v>72</v>
      </c>
      <c r="G11" s="9" t="s">
        <v>72</v>
      </c>
      <c r="H11" s="9" t="s">
        <v>117</v>
      </c>
    </row>
    <row r="12" ht="15.75" customHeight="1">
      <c r="B12" s="9" t="s">
        <v>69</v>
      </c>
      <c r="C12" s="9" t="s">
        <v>78</v>
      </c>
      <c r="D12" s="9" t="s">
        <v>79</v>
      </c>
      <c r="E12" s="9" t="s">
        <v>84</v>
      </c>
      <c r="F12" s="9" t="s">
        <v>72</v>
      </c>
      <c r="G12" s="9" t="s">
        <v>72</v>
      </c>
      <c r="H12" s="9" t="s">
        <v>118</v>
      </c>
    </row>
    <row r="13" ht="15.75" customHeight="1">
      <c r="B13" s="9" t="s">
        <v>69</v>
      </c>
      <c r="C13" s="9" t="s">
        <v>78</v>
      </c>
      <c r="D13" s="9" t="s">
        <v>79</v>
      </c>
      <c r="E13" s="9" t="s">
        <v>88</v>
      </c>
      <c r="F13" s="9" t="s">
        <v>72</v>
      </c>
      <c r="G13" s="9" t="s">
        <v>72</v>
      </c>
      <c r="H13" s="9" t="s">
        <v>119</v>
      </c>
    </row>
    <row r="14" ht="15.75" customHeight="1">
      <c r="B14" s="9" t="s">
        <v>69</v>
      </c>
      <c r="C14" s="9" t="s">
        <v>78</v>
      </c>
      <c r="D14" s="9" t="s">
        <v>79</v>
      </c>
      <c r="E14" s="9" t="s">
        <v>82</v>
      </c>
      <c r="F14" s="9" t="s">
        <v>72</v>
      </c>
      <c r="G14" s="9" t="s">
        <v>72</v>
      </c>
      <c r="H14" s="9" t="s">
        <v>120</v>
      </c>
    </row>
    <row r="15" ht="15.75" customHeight="1">
      <c r="B15" s="9" t="s">
        <v>69</v>
      </c>
      <c r="C15" s="9" t="s">
        <v>78</v>
      </c>
      <c r="D15" s="9" t="s">
        <v>79</v>
      </c>
      <c r="E15" s="9" t="s">
        <v>121</v>
      </c>
      <c r="F15" s="9" t="s">
        <v>72</v>
      </c>
      <c r="G15" s="9" t="s">
        <v>72</v>
      </c>
      <c r="H15" s="9" t="s">
        <v>122</v>
      </c>
    </row>
    <row r="16" ht="15.75" customHeight="1">
      <c r="B16" s="9" t="s">
        <v>69</v>
      </c>
      <c r="C16" s="9" t="s">
        <v>90</v>
      </c>
      <c r="D16" s="9" t="s">
        <v>91</v>
      </c>
      <c r="E16" s="9" t="s">
        <v>98</v>
      </c>
      <c r="F16" s="9" t="s">
        <v>72</v>
      </c>
      <c r="G16" s="9" t="s">
        <v>72</v>
      </c>
      <c r="H16" s="9" t="s">
        <v>123</v>
      </c>
    </row>
    <row r="17" ht="15.75" customHeight="1">
      <c r="B17" s="9" t="s">
        <v>69</v>
      </c>
      <c r="C17" s="9" t="s">
        <v>90</v>
      </c>
      <c r="D17" s="9" t="s">
        <v>91</v>
      </c>
      <c r="E17" s="9" t="s">
        <v>96</v>
      </c>
      <c r="F17" s="9" t="s">
        <v>72</v>
      </c>
      <c r="G17" s="9" t="s">
        <v>72</v>
      </c>
      <c r="H17" s="9" t="s">
        <v>124</v>
      </c>
    </row>
    <row r="18" ht="15.75" customHeight="1">
      <c r="B18" s="9" t="s">
        <v>69</v>
      </c>
      <c r="C18" s="9" t="s">
        <v>90</v>
      </c>
      <c r="D18" s="9" t="s">
        <v>91</v>
      </c>
      <c r="E18" s="9" t="s">
        <v>100</v>
      </c>
      <c r="F18" s="9" t="s">
        <v>72</v>
      </c>
      <c r="G18" s="9" t="s">
        <v>72</v>
      </c>
      <c r="H18" s="9" t="s">
        <v>125</v>
      </c>
    </row>
    <row r="19" ht="15.75" customHeight="1">
      <c r="B19" s="9" t="s">
        <v>69</v>
      </c>
      <c r="C19" s="9" t="s">
        <v>90</v>
      </c>
      <c r="D19" s="9" t="s">
        <v>91</v>
      </c>
      <c r="E19" s="9" t="s">
        <v>94</v>
      </c>
      <c r="F19" s="9" t="s">
        <v>72</v>
      </c>
      <c r="G19" s="9" t="s">
        <v>72</v>
      </c>
      <c r="H19" s="9" t="s">
        <v>126</v>
      </c>
    </row>
    <row r="20" ht="15.75" customHeight="1">
      <c r="B20" s="9" t="s">
        <v>69</v>
      </c>
      <c r="C20" s="9" t="s">
        <v>90</v>
      </c>
      <c r="D20" s="9" t="s">
        <v>91</v>
      </c>
      <c r="E20" s="9" t="s">
        <v>92</v>
      </c>
      <c r="F20" s="9" t="s">
        <v>72</v>
      </c>
      <c r="G20" s="9" t="s">
        <v>72</v>
      </c>
      <c r="H20" s="9" t="s">
        <v>127</v>
      </c>
    </row>
    <row r="21" ht="15.75" customHeight="1">
      <c r="B21" s="9" t="s">
        <v>69</v>
      </c>
      <c r="C21" s="9" t="s">
        <v>102</v>
      </c>
      <c r="D21" s="9" t="s">
        <v>103</v>
      </c>
      <c r="E21" s="9" t="s">
        <v>30</v>
      </c>
      <c r="F21" s="9" t="s">
        <v>72</v>
      </c>
      <c r="G21" s="9" t="s">
        <v>72</v>
      </c>
      <c r="H21" s="9" t="s">
        <v>128</v>
      </c>
    </row>
    <row r="22" ht="15.75" customHeight="1">
      <c r="B22" s="9" t="s">
        <v>69</v>
      </c>
      <c r="C22" s="9" t="s">
        <v>102</v>
      </c>
      <c r="D22" s="9" t="s">
        <v>103</v>
      </c>
      <c r="E22" s="9">
        <v>1.23456789E8</v>
      </c>
      <c r="F22" s="9" t="s">
        <v>72</v>
      </c>
      <c r="G22" s="9" t="s">
        <v>72</v>
      </c>
      <c r="H22" s="9" t="s">
        <v>129</v>
      </c>
    </row>
    <row r="23" ht="15.75" customHeight="1">
      <c r="B23" s="9" t="s">
        <v>69</v>
      </c>
      <c r="C23" s="9" t="s">
        <v>102</v>
      </c>
      <c r="D23" s="9" t="s">
        <v>103</v>
      </c>
      <c r="E23" s="9" t="s">
        <v>33</v>
      </c>
      <c r="F23" s="9" t="s">
        <v>72</v>
      </c>
      <c r="G23" s="9" t="s">
        <v>72</v>
      </c>
      <c r="H23" s="9" t="s">
        <v>130</v>
      </c>
    </row>
    <row r="24" ht="15.75" customHeight="1">
      <c r="B24" s="9" t="s">
        <v>69</v>
      </c>
      <c r="C24" s="9" t="s">
        <v>102</v>
      </c>
      <c r="D24" s="9" t="s">
        <v>103</v>
      </c>
      <c r="E24" s="9" t="s">
        <v>32</v>
      </c>
      <c r="F24" s="9" t="s">
        <v>72</v>
      </c>
      <c r="G24" s="9" t="s">
        <v>72</v>
      </c>
      <c r="H24" s="9" t="s">
        <v>131</v>
      </c>
    </row>
    <row r="25" ht="15.75" customHeight="1">
      <c r="B25" s="9" t="s">
        <v>69</v>
      </c>
      <c r="C25" s="9" t="s">
        <v>102</v>
      </c>
      <c r="D25" s="9" t="s">
        <v>103</v>
      </c>
      <c r="E25" s="9" t="s">
        <v>31</v>
      </c>
      <c r="F25" s="9" t="s">
        <v>72</v>
      </c>
      <c r="G25" s="9" t="s">
        <v>72</v>
      </c>
      <c r="H25" s="9" t="s">
        <v>132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109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IFERROR(__xludf.DUMMYFUNCTION("""COMPUTED_VALUE"""),"AllowTrade")</f>
        <v>AllowTrade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21</v>
      </c>
      <c r="C6" s="12" t="s">
        <v>27</v>
      </c>
      <c r="D6" s="12" t="s">
        <v>30</v>
      </c>
      <c r="E6" s="12">
        <v>186.0</v>
      </c>
      <c r="F6" s="12">
        <v>20.0</v>
      </c>
      <c r="G6" s="60">
        <v>3720.0</v>
      </c>
      <c r="H6" s="8"/>
      <c r="I6" s="12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27</v>
      </c>
      <c r="D7" s="12" t="s">
        <v>31</v>
      </c>
      <c r="E7" s="12">
        <v>186.0</v>
      </c>
      <c r="F7" s="12">
        <v>20.0</v>
      </c>
      <c r="G7" s="60">
        <v>3100.0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21</v>
      </c>
      <c r="C8" s="12" t="s">
        <v>27</v>
      </c>
      <c r="D8" s="12" t="s">
        <v>33</v>
      </c>
      <c r="E8" s="12">
        <v>186.0</v>
      </c>
      <c r="F8" s="12">
        <v>20.0</v>
      </c>
      <c r="G8" s="60">
        <v>3720.0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27</v>
      </c>
      <c r="D9" s="12">
        <v>1.23456789E8</v>
      </c>
      <c r="E9" s="12">
        <v>186.0</v>
      </c>
      <c r="F9" s="12">
        <v>20.0</v>
      </c>
      <c r="G9" s="60">
        <v>37.0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21</v>
      </c>
      <c r="C10" s="12" t="s">
        <v>27</v>
      </c>
      <c r="D10" s="12" t="s">
        <v>32</v>
      </c>
      <c r="E10" s="12">
        <v>186.0</v>
      </c>
      <c r="F10" s="12">
        <v>20.0</v>
      </c>
      <c r="G10" s="60">
        <v>3720.0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23</v>
      </c>
      <c r="C11" s="12" t="s">
        <v>27</v>
      </c>
      <c r="D11" s="12" t="s">
        <v>30</v>
      </c>
      <c r="E11" s="12">
        <v>98.0</v>
      </c>
      <c r="F11" s="12">
        <v>20.0</v>
      </c>
      <c r="G11" s="60">
        <v>1960.0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133</v>
      </c>
      <c r="D3" s="5" t="s">
        <v>9</v>
      </c>
      <c r="E3" s="22" t="s">
        <v>134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2" t="b">
        <v>1</v>
      </c>
      <c r="E6" s="1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