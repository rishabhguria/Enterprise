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EditOrder" sheetId="6" r:id="rId8"/>
    <sheet state="visible" name="VerifyCustomAllocationonTT" sheetId="7" r:id="rId9"/>
    <sheet state="visible" name="TradeNewSubOrder" sheetId="8" r:id="rId10"/>
    <sheet state="visible" name="SelectTradeOnOrderGrid" sheetId="9" r:id="rId11"/>
    <sheet state="visible" name="ReloadOrderFromSubOrder" sheetId="10" r:id="rId12"/>
    <sheet state="visible" name="ReplaceSubOrder" sheetId="11" r:id="rId13"/>
    <sheet state="visible" name="CreateReplaceOrder" sheetId="12" r:id="rId14"/>
    <sheet state="visible" name="VerifyCustomAllocationonTT1" sheetId="13" r:id="rId15"/>
  </sheets>
  <definedNames/>
  <calcPr/>
</workbook>
</file>

<file path=xl/sharedStrings.xml><?xml version="1.0" encoding="utf-8"?>
<sst xmlns="http://schemas.openxmlformats.org/spreadsheetml/2006/main" count="111" uniqueCount="36">
  <si>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</si>
  <si>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</si>
  <si>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</si>
  <si>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</si>
  <si>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</si>
  <si>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</si>
  <si>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</si>
  <si>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</si>
  <si>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</si>
  <si>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</si>
  <si>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</si>
  <si>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</si>
  <si>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</si>
  <si>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</si>
  <si>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</si>
  <si>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</si>
  <si>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</si>
  <si>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</si>
  <si>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Allocation1,Allocation2</t>
  </si>
  <si>
    <t>50,50</t>
  </si>
  <si>
    <t>CreateStageOrder</t>
  </si>
  <si>
    <t>IBM</t>
  </si>
  <si>
    <t>Blotter</t>
  </si>
  <si>
    <t>EditOrder</t>
  </si>
  <si>
    <t>Equity</t>
  </si>
  <si>
    <t>Filled</t>
  </si>
  <si>
    <t>MS</t>
  </si>
  <si>
    <t>VerifyCustomAllocationonTT</t>
  </si>
  <si>
    <t>Allocation1</t>
  </si>
  <si>
    <t>Allocation2</t>
  </si>
  <si>
    <t>TradeNewSubOrder</t>
  </si>
  <si>
    <t>New</t>
  </si>
  <si>
    <t>SelectTradeOnOrderGrid</t>
  </si>
  <si>
    <t>ReloadOrderFromSubOrder</t>
  </si>
  <si>
    <t>ReplaceSubOrder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</si>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</sst>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/>
      <c r="F6" s="34"/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18</v>
      </c>
      <c r="AL6" s="34" t="s">
        <v>19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21</v>
      </c>
      <c r="C6" s="32" t="s">
        <v>17</v>
      </c>
      <c r="D6" s="33">
        <v>100.0</v>
      </c>
      <c r="E6" s="34"/>
      <c r="F6" s="34"/>
      <c r="G6" s="34"/>
      <c r="H6" s="34"/>
      <c r="I6" s="34"/>
      <c r="J6" s="35">
        <v>2.0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 t="s">
        <v>18</v>
      </c>
      <c r="AL6" s="34" t="s">
        <v>19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 t="s">
        <v>24</v>
      </c>
      <c r="AI6" s="34" t="s">
        <v>16</v>
      </c>
      <c r="AJ6" s="34" t="s">
        <v>17</v>
      </c>
      <c r="AK6" s="34" t="s">
        <v>25</v>
      </c>
      <c r="AL6" s="36">
        <v>100.0</v>
      </c>
      <c r="AM6" s="34"/>
      <c r="AN6" s="34"/>
      <c r="AO6" s="34"/>
      <c r="AP6" s="34"/>
      <c r="AQ6" s="36">
        <v>2.0</v>
      </c>
      <c r="AR6" s="36">
        <v>2.0</v>
      </c>
      <c r="AS6" s="34" t="s">
        <v>26</v>
      </c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IFERROR(__xludf.DUMMYFUNCTION("""COMPUTED_VALUE"""),"Current Quantity")</f>
        <v>Current Quantity</v>
      </c>
      <c r="D5" s="27" t="str">
        <f>IFERROR(__xludf.DUMMYFUNCTION("""COMPUTED_VALUE"""),"Current %")</f>
        <v>Current %</v>
      </c>
      <c r="E5" s="27" t="str">
        <f>IFERROR(__xludf.DUMMYFUNCTION("""COMPUTED_VALUE"""),"Allocated Quantity")</f>
        <v>Allocated Quantity</v>
      </c>
      <c r="F5" s="28" t="str">
        <f>IFERROR(__xludf.DUMMYFUNCTION("""COMPUTED_VALUE"""),"Allocation %")</f>
        <v>Allocation %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5">
        <v>50.0</v>
      </c>
      <c r="D6" s="33">
        <v>50.0</v>
      </c>
      <c r="E6" s="35">
        <v>50.0</v>
      </c>
      <c r="F6" s="35">
        <v>50.0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29</v>
      </c>
      <c r="C7" s="35">
        <v>50.0</v>
      </c>
      <c r="D7" s="35">
        <v>50.0</v>
      </c>
      <c r="E7" s="35">
        <v>50.0</v>
      </c>
      <c r="F7" s="35">
        <v>50.0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VerifyCustomAllocationonTT!$4:$4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 t="s">
        <v>21</v>
      </c>
      <c r="AJ6" s="34" t="s">
        <v>17</v>
      </c>
      <c r="AK6" s="34" t="s">
        <v>31</v>
      </c>
      <c r="AL6" s="36">
        <v>100.0</v>
      </c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1" t="s">
        <v>16</v>
      </c>
      <c r="E6" s="34"/>
      <c r="F6" s="32" t="s">
        <v>17</v>
      </c>
      <c r="G6" s="32" t="s">
        <v>25</v>
      </c>
      <c r="H6" s="35">
        <v>100.0</v>
      </c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1" t="s">
        <v>16</v>
      </c>
      <c r="E6" s="34"/>
      <c r="F6" s="32" t="s">
        <v>17</v>
      </c>
      <c r="G6" s="32" t="s">
        <v>25</v>
      </c>
      <c r="H6" s="35">
        <v>100.0</v>
      </c>
      <c r="I6" s="35">
        <v>100.0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4"/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 t="s">
        <v>16</v>
      </c>
      <c r="AK6" s="34" t="s">
        <v>17</v>
      </c>
      <c r="AL6" s="34" t="s">
        <v>25</v>
      </c>
      <c r="AM6" s="36">
        <v>100.0</v>
      </c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>
      <c r="B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IFERROR(__xludf.DUMMYFUNCTION("""COMPUTED_VALUE"""),"Current Quantity")</f>
        <v>Current Quantity</v>
      </c>
      <c r="D5" s="27" t="str">
        <f>IFERROR(__xludf.DUMMYFUNCTION("""COMPUTED_VALUE"""),"Current %")</f>
        <v>Current %</v>
      </c>
      <c r="E5" s="27" t="str">
        <f>IFERROR(__xludf.DUMMYFUNCTION("""COMPUTED_VALUE"""),"Allocated Quantity")</f>
        <v>Allocated Quantity</v>
      </c>
      <c r="F5" s="28" t="str">
        <f>IFERROR(__xludf.DUMMYFUNCTION("""COMPUTED_VALUE"""),"Allocation %")</f>
        <v>Allocation %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28</v>
      </c>
      <c r="C6" s="35">
        <v>0.0</v>
      </c>
      <c r="D6" s="33">
        <v>0.0</v>
      </c>
      <c r="E6" s="35">
        <v>50.0</v>
      </c>
      <c r="F6" s="35">
        <v>50.0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2" t="s">
        <v>29</v>
      </c>
      <c r="C7" s="35">
        <v>0.0</v>
      </c>
      <c r="D7" s="35">
        <v>0.0</v>
      </c>
      <c r="E7" s="35">
        <v>50.0</v>
      </c>
      <c r="F7" s="35">
        <v>50.0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VerifyCustomAllocationonTT1!$4:$4</formula1>
    </dataValidation>
  </dataValidations>
  <drawing r:id="rId1"/>
</worksheet>
</file>