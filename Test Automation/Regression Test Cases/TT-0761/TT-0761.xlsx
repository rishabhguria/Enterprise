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lgoBroker" sheetId="4" r:id="rId6"/>
    <sheet state="visible" name="CreateStageOrder" sheetId="5" r:id="rId7"/>
    <sheet state="visible" name="TradeNewSubOrder" sheetId="6" r:id="rId8"/>
    <sheet state="visible" name="CustomOrderTT" sheetId="7" r:id="rId9"/>
    <sheet state="visible" name="CustomOrderTT1" sheetId="8" r:id="rId10"/>
    <sheet state="visible" name="BrokerConnectionThroughTUI" sheetId="9" r:id="rId11"/>
    <sheet state="visible" name="BrokerConnectionThroughTUI1" sheetId="10" r:id="rId12"/>
    <sheet state="visible" name="CreateTradeWithAlgoBroker" sheetId="11" r:id="rId13"/>
  </sheets>
  <definedNames/>
  <calcPr/>
</workbook>
</file>

<file path=xl/sharedStrings.xml><?xml version="1.0" encoding="utf-8"?>
<sst xmlns="http://schemas.openxmlformats.org/spreadsheetml/2006/main" count="87" uniqueCount="36">
  <si>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</si>
  <si>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</si>
  <si>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</si>
  <si>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</si>
  <si>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</si>
  <si>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</si>
  <si>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</si>
  <si>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</si>
  <si>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</si>
  <si>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</si>
  <si>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</si>
  <si>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</si>
  <si>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</si>
  <si>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SetAlgoBroker</t>
  </si>
  <si>
    <t>Data Format</t>
  </si>
  <si>
    <t>Input Format</t>
  </si>
  <si>
    <t>msft</t>
  </si>
  <si>
    <t>buy</t>
  </si>
  <si>
    <t>TradingTicket</t>
  </si>
  <si>
    <t>CreateStageOrder</t>
  </si>
  <si>
    <t>AAPL</t>
  </si>
  <si>
    <t>Buy</t>
  </si>
  <si>
    <t>Blotter</t>
  </si>
  <si>
    <t>TradeNewSubOrder</t>
  </si>
  <si>
    <t>New</t>
  </si>
  <si>
    <t>CustomOrderTT</t>
  </si>
  <si>
    <t>MS</t>
  </si>
  <si>
    <t>Algo</t>
  </si>
  <si>
    <t>GS</t>
  </si>
  <si>
    <t>TradeServer</t>
  </si>
  <si>
    <t>BrokerConnectionThroughTUI</t>
  </si>
  <si>
    <t>Disconnect</t>
  </si>
  <si>
    <t>Connect</t>
  </si>
  <si>
    <t>CreateTradeWithAlgoBroker</t>
  </si>
  <si>
    <t>DoneAway</t>
  </si>
  <si>
    <t>PERIMETER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</si>
</sst>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IFERROR(__xludf.DUMMYFUNCTION("""COMPUTED_VALUE"""),"IsAlgoBroker")</f>
        <v>IsAlgoBroker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 t="s">
        <v>17</v>
      </c>
      <c r="E6" s="30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SetAlgoBroker!$4:$4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21</v>
      </c>
      <c r="D6" s="12">
        <v>10.0</v>
      </c>
      <c r="E6" s="30"/>
      <c r="F6" s="8"/>
      <c r="G6" s="8"/>
      <c r="H6" s="8"/>
      <c r="I6" s="8"/>
      <c r="J6" s="12">
        <v>5.0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12" t="s">
        <v>20</v>
      </c>
      <c r="K6" s="8"/>
      <c r="L6" s="8"/>
      <c r="M6" s="8"/>
      <c r="N6" s="8"/>
      <c r="O6" s="8"/>
      <c r="AI6" s="9" t="s">
        <v>20</v>
      </c>
      <c r="AJ6" s="9" t="s">
        <v>21</v>
      </c>
      <c r="AK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>
        <v>10.0</v>
      </c>
      <c r="D6" s="12">
        <v>5.0</v>
      </c>
      <c r="E6" s="30"/>
      <c r="F6" s="8"/>
      <c r="G6" s="12" t="b">
        <v>1</v>
      </c>
      <c r="H6" s="8"/>
      <c r="I6" s="8"/>
      <c r="J6" s="8"/>
      <c r="K6" s="8"/>
      <c r="L6" s="8"/>
      <c r="M6" s="8"/>
      <c r="N6" s="8"/>
      <c r="O6" s="8"/>
      <c r="AA6" s="9" t="s">
        <v>26</v>
      </c>
      <c r="AD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12" t="b">
        <v>1</v>
      </c>
      <c r="H6" s="8"/>
      <c r="I6" s="8"/>
      <c r="J6" s="8"/>
      <c r="K6" s="8"/>
      <c r="L6" s="8"/>
      <c r="M6" s="8"/>
      <c r="N6" s="8"/>
      <c r="O6" s="8"/>
      <c r="AA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IFERROR(__xludf.DUMMYFUNCTION("IF(C3="""","""",Transpose(IMPORTRANGE('_Settings'!$B$3,C3&amp;""!A4:A1000"")))"),"RestartServer")</f>
        <v>RestartServer</v>
      </c>
      <c r="C4" s="24" t="str">
        <f>IFERROR(__xludf.DUMMYFUNCTION("""COMPUTED_VALUE"""),"UpdateServerConfig")</f>
        <v>UpdateServerConfig</v>
      </c>
      <c r="D4" s="24" t="str">
        <f>IFERROR(__xludf.DUMMYFUNCTION("""COMPUTED_VALUE"""),"StartTradeServer")</f>
        <v>StartTradeServer</v>
      </c>
      <c r="E4" s="24" t="str">
        <f>IFERROR(__xludf.DUMMYFUNCTION("""COMPUTED_VALUE"""),"CloseTradeServer")</f>
        <v>CloseTradeServer</v>
      </c>
      <c r="F4" s="24" t="str">
        <f>IFERROR(__xludf.DUMMYFUNCTION("""COMPUTED_VALUE"""),"ConnectToSimAutoMan")</f>
        <v>ConnectToSimAutoMan</v>
      </c>
      <c r="G4" s="24" t="str">
        <f>IFERROR(__xludf.DUMMYFUNCTION("""COMPUTED_VALUE"""),"BrokerConnectionThroughTUI")</f>
        <v>BrokerConnectionThroughTUI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IFERROR(__xludf.DUMMYFUNCTION("""COMPUTED_VALUE"""),"Connect/Disconnect")</f>
        <v>Connect/Disconnect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 t="s">
        <v>31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BrokerConnectionThroughTUI!$4:$4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IFERROR(__xludf.DUMMYFUNCTION("IF(C3="""","""",Transpose(IMPORTRANGE('_Settings'!$B$3,C3&amp;""!A4:A1000"")))"),"RestartServer")</f>
        <v>RestartServer</v>
      </c>
      <c r="C4" s="24" t="str">
        <f>IFERROR(__xludf.DUMMYFUNCTION("""COMPUTED_VALUE"""),"UpdateServerConfig")</f>
        <v>UpdateServerConfig</v>
      </c>
      <c r="D4" s="24" t="str">
        <f>IFERROR(__xludf.DUMMYFUNCTION("""COMPUTED_VALUE"""),"StartTradeServer")</f>
        <v>StartTradeServer</v>
      </c>
      <c r="E4" s="24" t="str">
        <f>IFERROR(__xludf.DUMMYFUNCTION("""COMPUTED_VALUE"""),"CloseTradeServer")</f>
        <v>CloseTradeServer</v>
      </c>
      <c r="F4" s="24" t="str">
        <f>IFERROR(__xludf.DUMMYFUNCTION("""COMPUTED_VALUE"""),"ConnectToSimAutoMan")</f>
        <v>ConnectToSimAutoMan</v>
      </c>
      <c r="G4" s="24" t="str">
        <f>IFERROR(__xludf.DUMMYFUNCTION("""COMPUTED_VALUE"""),"BrokerConnectionThroughTUI")</f>
        <v>BrokerConnectionThroughTUI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IFERROR(__xludf.DUMMYFUNCTION("""COMPUTED_VALUE"""),"Connect/Disconnect")</f>
        <v>Connect/Disconnect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 t="s">
        <v>32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BrokerConnectionThroughTUI1!$4:$4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IFERROR(__xludf.DUMMYFUNCTION("""COMPUTED_VALUE"""),"TargetQuantityIn")</f>
        <v>TargetQuantityIn</v>
      </c>
      <c r="E5" s="27" t="str">
        <f>IFERROR(__xludf.DUMMYFUNCTION("""COMPUTED_VALUE"""),"Price")</f>
        <v>Price</v>
      </c>
      <c r="F5" s="28" t="str">
        <f>IFERROR(__xludf.DUMMYFUNCTION("""COMPUTED_VALUE"""),"Order type button")</f>
        <v>Order type button</v>
      </c>
      <c r="G5" s="27" t="str">
        <f>IFERROR(__xludf.DUMMYFUNCTION("""COMPUTED_VALUE"""),"Order Side")</f>
        <v>Order Side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IFERROR(__xludf.DUMMYFUNCTION("""COMPUTED_VALUE"""),"Stop")</f>
        <v>Stop</v>
      </c>
      <c r="K5" s="27" t="str">
        <f>IFERROR(__xludf.DUMMYFUNCTION("""COMPUTED_VALUE"""),"Limit")</f>
        <v>Limit</v>
      </c>
      <c r="L5" s="27" t="str">
        <f>IFERROR(__xludf.DUMMYFUNCTION("""COMPUTED_VALUE"""),"Broker")</f>
        <v>Broker</v>
      </c>
      <c r="M5" s="27" t="str">
        <f>IFERROR(__xludf.DUMMYFUNCTION("""COMPUTED_VALUE"""),"Venue")</f>
        <v>Venue</v>
      </c>
      <c r="N5" s="27" t="str">
        <f>IFERROR(__xludf.DUMMYFUNCTION("""COMPUTED_VALUE"""),"AllocationMethod")</f>
        <v>AllocationMethod</v>
      </c>
      <c r="O5" s="27" t="str">
        <f>IFERROR(__xludf.DUMMYFUNCTION("""COMPUTED_VALUE"""),"Account")</f>
        <v>Account</v>
      </c>
      <c r="P5" s="27" t="str">
        <f>IFERROR(__xludf.DUMMYFUNCTION("""COMPUTED_VALUE"""),"Account %")</f>
        <v>Account %</v>
      </c>
      <c r="Q5" s="27" t="str">
        <f>IFERROR(__xludf.DUMMYFUNCTION("""COMPUTED_VALUE"""),"AlgoType")</f>
        <v>AlgoType</v>
      </c>
      <c r="R5" s="27" t="str">
        <f>IFERROR(__xludf.DUMMYFUNCTION("""COMPUTED_VALUE"""),"Start time")</f>
        <v>Start time</v>
      </c>
      <c r="S5" s="27" t="str">
        <f>IFERROR(__xludf.DUMMYFUNCTION("""COMPUTED_VALUE"""),"End time")</f>
        <v>End time</v>
      </c>
      <c r="T5" s="29" t="str">
        <f>IFERROR(__xludf.DUMMYFUNCTION("""COMPUTED_VALUE"""),"EndTimeCheckBox")</f>
        <v>EndTimeCheckBox</v>
      </c>
      <c r="U5" s="29" t="str">
        <f>IFERROR(__xludf.DUMMYFUNCTION("""COMPUTED_VALUE"""),"Style")</f>
        <v>Style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12">
        <v>5.0</v>
      </c>
      <c r="F6" s="12" t="s">
        <v>34</v>
      </c>
      <c r="G6" s="12" t="s">
        <v>21</v>
      </c>
      <c r="H6" s="8"/>
      <c r="I6" s="8"/>
      <c r="J6" s="8"/>
      <c r="K6" s="8"/>
      <c r="L6" s="12" t="s">
        <v>26</v>
      </c>
      <c r="M6" s="12" t="s">
        <v>27</v>
      </c>
      <c r="N6" s="8"/>
      <c r="O6" s="8"/>
      <c r="Q6" s="9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CreateTradeWithAlgoBroker!$4:$4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