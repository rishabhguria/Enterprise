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reateOrderPTT" sheetId="8" r:id="rId10"/>
    <sheet state="visible" name="CreateOrderPTT1" sheetId="9" r:id="rId11"/>
    <sheet state="visible" name="CreateOrderPTT2" sheetId="10" r:id="rId12"/>
    <sheet state="visible" name="VerifyOrder" sheetId="11" r:id="rId13"/>
    <sheet state="visible" name="MergeOrder" sheetId="12" r:id="rId14"/>
    <sheet state="visible" name="MergeOrder1" sheetId="13" r:id="rId15"/>
    <sheet state="visible" name="VerifyMergeOrder" sheetId="14" r:id="rId16"/>
    <sheet state="visible" name="TradeNewSubOrder" sheetId="15" r:id="rId17"/>
    <sheet state="visible" name="CreateNewSubOrder" sheetId="16" r:id="rId18"/>
    <sheet state="visible" name="TradeNewSubOrder1" sheetId="17" r:id="rId19"/>
    <sheet state="visible" name="CreateNewSubOrder1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<sst xmlns="http://schemas.openxmlformats.org/spreadsheetml/2006/main" count="207" uniqueCount="47">
  <si>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</si>
  <si>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</si>
  <si>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</si>
  <si>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</si>
  <si>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</si>
  <si>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</si>
  <si>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</si>
  <si>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</si>
  <si>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</si>
  <si>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</si>
  <si>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</si>
  <si>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</si>
  <si>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</si>
  <si>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</si>
  <si>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</si>
  <si>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</si>
  <si>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</si>
  <si>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Allocation2</t>
  </si>
  <si>
    <t>USD</t>
  </si>
  <si>
    <t>Allocation1</t>
  </si>
  <si>
    <t>Allocation3</t>
  </si>
  <si>
    <t>TradingTicket</t>
  </si>
  <si>
    <t>CreateDoneAwayOrder</t>
  </si>
  <si>
    <t>AAPL</t>
  </si>
  <si>
    <t>FB</t>
  </si>
  <si>
    <t>Buy</t>
  </si>
  <si>
    <t>PricingInput</t>
  </si>
  <si>
    <t>PTT</t>
  </si>
  <si>
    <t>CreateOrderPTT</t>
  </si>
  <si>
    <t>Increase</t>
  </si>
  <si>
    <t>Blotter</t>
  </si>
  <si>
    <t>VerifyOrder</t>
  </si>
  <si>
    <t>Manual</t>
  </si>
  <si>
    <t>MergeOrder</t>
  </si>
  <si>
    <t>Yes</t>
  </si>
  <si>
    <t>VerifyMergeOrder</t>
  </si>
  <si>
    <t>New</t>
  </si>
  <si>
    <t>MS</t>
  </si>
  <si>
    <t>Market</t>
  </si>
  <si>
    <t>NASDAQ</t>
  </si>
  <si>
    <t>Multiple</t>
  </si>
  <si>
    <t>TradeNewSubOrder</t>
  </si>
  <si>
    <t>CreateNewSubOrder</t>
  </si>
  <si>
    <t>GS</t>
  </si>
  <si>
    <t>Drops</t>
  </si>
  <si>
    <t>GCCAP1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</si>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</sst>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45852</v>
      </c>
      <c r="C6" s="32">
        <f>TODAY()</f>
        <v>45853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3" t="s">
        <v>18</v>
      </c>
      <c r="D6" s="35">
        <v>100000.0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6">
        <v>100000.0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20</v>
      </c>
      <c r="C8" s="33" t="s">
        <v>18</v>
      </c>
      <c r="D8" s="36">
        <v>100000.0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23</v>
      </c>
      <c r="C6" s="33"/>
      <c r="D6" s="35">
        <v>100.0</v>
      </c>
      <c r="E6" s="33"/>
      <c r="F6" s="34" t="s">
        <v>17</v>
      </c>
      <c r="G6" s="33"/>
      <c r="H6" s="33"/>
      <c r="I6" s="33"/>
      <c r="J6" s="36">
        <v>2.0</v>
      </c>
      <c r="K6" s="33"/>
      <c r="L6" s="33"/>
      <c r="M6" s="33"/>
      <c r="N6" s="32">
        <f t="shared" ref="N6:N7" si="1">TODAY()-1</f>
        <v>45852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24</v>
      </c>
      <c r="C7" s="37" t="s">
        <v>25</v>
      </c>
      <c r="D7" s="36">
        <v>100.0</v>
      </c>
      <c r="E7" s="33"/>
      <c r="F7" s="33"/>
      <c r="G7" s="33"/>
      <c r="H7" s="33"/>
      <c r="I7" s="33"/>
      <c r="J7" s="36">
        <v>10.0</v>
      </c>
      <c r="K7" s="33"/>
      <c r="L7" s="33"/>
      <c r="M7" s="33"/>
      <c r="N7" s="32">
        <f t="shared" si="1"/>
        <v>45852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23</v>
      </c>
      <c r="C6" s="36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31" t="s">
        <v>24</v>
      </c>
      <c r="C7" s="36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23</v>
      </c>
      <c r="C6" s="33" t="s">
        <v>29</v>
      </c>
      <c r="D6" s="31"/>
      <c r="E6" s="36">
        <v>10.0</v>
      </c>
      <c r="F6" s="33"/>
      <c r="G6" s="33"/>
      <c r="H6" s="33"/>
      <c r="I6" s="34" t="s">
        <v>17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7" t="s">
        <v>29</v>
      </c>
      <c r="D6" s="31"/>
      <c r="E6" s="36">
        <v>10.0</v>
      </c>
      <c r="F6" s="33"/>
      <c r="G6" s="33"/>
      <c r="H6" s="33"/>
      <c r="I6" s="37" t="s">
        <v>19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 t="str">
        <f>IFERROR(__xludf.DUMMYFUNCTION("""COMPUTED_VALUE"""),"Use Custodian Broker")</f>
        <v>Use Custodian Broker</v>
      </c>
      <c r="P5" s="28" t="str">
        <f>IFERROR(__xludf.DUMMYFUNCTION("""COMPUTED_VALUE"""),"Broker")</f>
        <v>Broker</v>
      </c>
      <c r="Q5" s="28" t="str">
        <f>IFERROR(__xludf.DUMMYFUNCTION("""COMPUTED_VALUE"""),"Venue")</f>
        <v>Venue</v>
      </c>
      <c r="R5" s="28" t="str">
        <f>IFERROR(__xludf.DUMMYFUNCTION("""COMPUTED_VALUE"""),"TIF")</f>
        <v>TIF</v>
      </c>
      <c r="S5" s="28" t="str">
        <f>IFERROR(__xludf.DUMMYFUNCTION("""COMPUTED_VALUE"""),"Order Type")</f>
        <v>Order Type</v>
      </c>
      <c r="T5" s="30" t="str">
        <f>IFERROR(__xludf.DUMMYFUNCTION("""COMPUTED_VALUE"""),"Stop")</f>
        <v>Stop</v>
      </c>
      <c r="U5" s="30" t="str">
        <f>IFERROR(__xludf.DUMMYFUNCTION("""COMPUTED_VALUE"""),"Limit")</f>
        <v>Limit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7" t="s">
        <v>29</v>
      </c>
      <c r="D6" s="31"/>
      <c r="E6" s="36">
        <v>10.0</v>
      </c>
      <c r="F6" s="33"/>
      <c r="G6" s="33"/>
      <c r="H6" s="33"/>
      <c r="I6" s="37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23</v>
      </c>
      <c r="AJ6" s="33" t="s">
        <v>25</v>
      </c>
      <c r="AK6" s="33"/>
      <c r="AL6" s="39">
        <v>5010.0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 t="s">
        <v>32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4" t="s">
        <v>23</v>
      </c>
      <c r="AJ7" s="33" t="s">
        <v>25</v>
      </c>
      <c r="AK7" s="33"/>
      <c r="AL7" s="39">
        <v>5010.0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 t="s">
        <v>32</v>
      </c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 t="s">
        <v>24</v>
      </c>
      <c r="AJ8" s="33" t="s">
        <v>25</v>
      </c>
      <c r="AK8" s="33"/>
      <c r="AL8" s="39">
        <v>5010.0</v>
      </c>
      <c r="AM8" s="33"/>
      <c r="AN8" s="33"/>
      <c r="AO8" s="33"/>
      <c r="AP8" s="33"/>
      <c r="AQ8" s="33"/>
      <c r="AR8" s="33"/>
      <c r="AS8" s="33"/>
      <c r="AT8" s="33" t="s">
        <v>19</v>
      </c>
      <c r="AU8" s="33"/>
      <c r="AV8" s="33"/>
      <c r="AW8" s="33"/>
      <c r="AX8" s="33" t="s">
        <v>32</v>
      </c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 t="s">
        <v>24</v>
      </c>
      <c r="AJ9" s="33" t="s">
        <v>25</v>
      </c>
      <c r="AK9" s="33"/>
      <c r="AL9" s="39">
        <v>5000.0</v>
      </c>
      <c r="AM9" s="33"/>
      <c r="AN9" s="33"/>
      <c r="AO9" s="33"/>
      <c r="AP9" s="33"/>
      <c r="AQ9" s="33"/>
      <c r="AR9" s="33"/>
      <c r="AS9" s="33"/>
      <c r="AT9" s="33" t="s">
        <v>20</v>
      </c>
      <c r="AU9" s="33"/>
      <c r="AV9" s="33"/>
      <c r="AW9" s="33"/>
      <c r="AX9" s="33" t="s">
        <v>32</v>
      </c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0" t="s">
        <v>23</v>
      </c>
      <c r="E6" s="33"/>
      <c r="F6" s="37" t="s">
        <v>25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34</v>
      </c>
      <c r="BB6" s="33"/>
      <c r="BC6" s="41" t="b">
        <v>0</v>
      </c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0" t="s">
        <v>23</v>
      </c>
      <c r="E7" s="33"/>
      <c r="F7" s="37" t="s">
        <v>25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41" t="b">
        <v>0</v>
      </c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8" t="s">
        <v>24</v>
      </c>
      <c r="E6" s="33"/>
      <c r="F6" s="37" t="s">
        <v>25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19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34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7" t="s">
        <v>24</v>
      </c>
      <c r="E7" s="33"/>
      <c r="F7" s="37" t="s">
        <v>25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 t="s">
        <v>20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9">
        <v>1.0</v>
      </c>
      <c r="AE6" s="33"/>
      <c r="AF6" s="33"/>
      <c r="AG6" s="33"/>
      <c r="AH6" s="33"/>
      <c r="AI6" s="34" t="s">
        <v>23</v>
      </c>
      <c r="AJ6" s="33" t="s">
        <v>25</v>
      </c>
      <c r="AK6" s="33" t="s">
        <v>36</v>
      </c>
      <c r="AL6" s="39">
        <v>10020.0</v>
      </c>
      <c r="AM6" s="33"/>
      <c r="AN6" s="33"/>
      <c r="AO6" s="33"/>
      <c r="AP6" s="33"/>
      <c r="AQ6" s="33"/>
      <c r="AR6" s="33"/>
      <c r="AS6" s="33" t="s">
        <v>37</v>
      </c>
      <c r="AT6" s="33"/>
      <c r="AU6" s="33" t="s">
        <v>38</v>
      </c>
      <c r="AV6" s="33"/>
      <c r="AW6" s="33"/>
      <c r="AX6" s="33" t="s">
        <v>32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7" t="s">
        <v>39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9">
        <v>1.0</v>
      </c>
      <c r="AE7" s="33"/>
      <c r="AF7" s="33"/>
      <c r="AG7" s="33"/>
      <c r="AH7" s="33"/>
      <c r="AI7" s="33" t="s">
        <v>24</v>
      </c>
      <c r="AJ7" s="33" t="s">
        <v>25</v>
      </c>
      <c r="AK7" s="33" t="s">
        <v>36</v>
      </c>
      <c r="AL7" s="39">
        <v>10010.0</v>
      </c>
      <c r="AM7" s="33"/>
      <c r="AN7" s="33"/>
      <c r="AO7" s="33"/>
      <c r="AP7" s="33"/>
      <c r="AQ7" s="33"/>
      <c r="AR7" s="33"/>
      <c r="AS7" s="33" t="s">
        <v>37</v>
      </c>
      <c r="AT7" s="33" t="s">
        <v>40</v>
      </c>
      <c r="AU7" s="33" t="s">
        <v>38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4" t="s">
        <v>23</v>
      </c>
      <c r="AJ6" s="33" t="s">
        <v>25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37" t="s">
        <v>25</v>
      </c>
      <c r="D6" s="31"/>
      <c r="E6" s="33"/>
      <c r="F6" s="33"/>
      <c r="G6" s="37" t="s">
        <v>43</v>
      </c>
      <c r="H6" s="33"/>
      <c r="I6" s="33"/>
      <c r="J6" s="36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44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9">
        <v>1.0</v>
      </c>
      <c r="AE6" s="33"/>
      <c r="AF6" s="33"/>
      <c r="AG6" s="33"/>
      <c r="AH6" s="33"/>
      <c r="AI6" s="33" t="s">
        <v>24</v>
      </c>
      <c r="AJ6" s="33" t="s">
        <v>25</v>
      </c>
      <c r="AK6" s="33"/>
      <c r="AL6" s="39">
        <v>10010.0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7" t="s">
        <v>25</v>
      </c>
      <c r="D6" s="31"/>
      <c r="E6" s="33"/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 t="s">
        <v>45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9">
        <v>1.0</v>
      </c>
      <c r="AE6" s="33"/>
      <c r="AF6" s="33"/>
      <c r="AG6" s="33"/>
      <c r="AH6" s="33"/>
      <c r="AI6" s="34" t="s">
        <v>23</v>
      </c>
      <c r="AJ6" s="33" t="s">
        <v>25</v>
      </c>
      <c r="AK6" s="33" t="s">
        <v>46</v>
      </c>
      <c r="AL6" s="39">
        <v>10020.0</v>
      </c>
      <c r="AM6" s="33"/>
      <c r="AN6" s="33"/>
      <c r="AO6" s="33"/>
      <c r="AP6" s="33"/>
      <c r="AQ6" s="33"/>
      <c r="AR6" s="33"/>
      <c r="AS6" s="33" t="s">
        <v>43</v>
      </c>
      <c r="AT6" s="33"/>
      <c r="AU6" s="33" t="s">
        <v>38</v>
      </c>
      <c r="AV6" s="33"/>
      <c r="AW6" s="33"/>
      <c r="AX6" s="33" t="s">
        <v>32</v>
      </c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7" t="s">
        <v>39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9">
        <v>1.0</v>
      </c>
      <c r="AE7" s="33"/>
      <c r="AF7" s="33"/>
      <c r="AG7" s="33"/>
      <c r="AH7" s="33"/>
      <c r="AI7" s="33" t="s">
        <v>24</v>
      </c>
      <c r="AJ7" s="33" t="s">
        <v>25</v>
      </c>
      <c r="AK7" s="33" t="s">
        <v>46</v>
      </c>
      <c r="AL7" s="39">
        <v>10010.0</v>
      </c>
      <c r="AM7" s="33"/>
      <c r="AN7" s="33"/>
      <c r="AO7" s="33"/>
      <c r="AP7" s="33"/>
      <c r="AQ7" s="33"/>
      <c r="AR7" s="33"/>
      <c r="AS7" s="33" t="s">
        <v>37</v>
      </c>
      <c r="AT7" s="33" t="s">
        <v>40</v>
      </c>
      <c r="AU7" s="33" t="s">
        <v>38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