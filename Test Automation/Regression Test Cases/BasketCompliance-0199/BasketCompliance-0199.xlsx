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GetDailyCash" sheetId="9" r:id="rId11"/>
    <sheet state="visible" name="UpdateMultipleDailyCash" sheetId="10" r:id="rId12"/>
    <sheet state="visible" name="FetchAccountPositions" sheetId="11" r:id="rId13"/>
    <sheet state="visible" name="AddCash" sheetId="12" r:id="rId14"/>
    <sheet state="visible" name="RunRebalance" sheetId="13" r:id="rId15"/>
    <sheet state="visible" name="CheckBasketCompliance" sheetId="14" r:id="rId16"/>
    <sheet state="visible" name="SelectTradeOnOrderGrid" sheetId="15" r:id="rId17"/>
    <sheet state="visible" name="EditOrder" sheetId="16" r:id="rId18"/>
    <sheet state="visible" name="CreateComplianceOrder" sheetId="17" r:id="rId19"/>
    <sheet state="visible" name="VerifyComplianceOrder" sheetId="18" r:id="rId20"/>
    <sheet state="visible" name="SendToStagingExport" sheetId="19" r:id="rId21"/>
  </sheets>
  <definedNames/>
  <calcPr/>
</workbook>
</file>

<file path=xl/sharedStrings.xml><?xml version="1.0" encoding="utf-8"?>
<sst xmlns="http://schemas.openxmlformats.org/spreadsheetml/2006/main" count="347" uniqueCount="85">
  <si>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</si>
  <si>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</si>
  <si>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</si>
  <si>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</si>
  <si>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</si>
  <si>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</si>
  <si>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</si>
  <si>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</si>
  <si>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</si>
  <si>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</si>
  <si>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</si>
  <si>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</si>
  <si>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</si>
  <si>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</si>
  <si>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</si>
  <si>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</si>
  <si>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</si>
  <si>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</si>
  <si>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</si>
  <si>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</si>
  <si>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O:COP 14O62.50</t>
  </si>
  <si>
    <t>Buy to Open</t>
  </si>
  <si>
    <t>ES U2</t>
  </si>
  <si>
    <t>Allocation3</t>
  </si>
  <si>
    <t>FRU-TC</t>
  </si>
  <si>
    <t>DBLSX</t>
  </si>
  <si>
    <t>CreateStageOrder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</si>
  <si>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</si>
  <si>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</si>
  <si>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</si>
  <si>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</si>
  <si>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</si>
  <si>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</si>
  <si>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</si>
  <si>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</si>
  <si>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</si>
  <si>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</si>
  <si>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</si>
  <si>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</si>
  <si>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NewMF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</si>
  <si>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</si>
  <si>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</si>
  <si>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</si>
  <si>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</si>
  <si>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</si>
  <si>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</si>
  <si>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</si>
  <si>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Rule_GEM</t>
  </si>
  <si>
    <t>Enter Summary</t>
  </si>
  <si>
    <t>NewMF-DBLSX</t>
  </si>
  <si>
    <t>Multiple</t>
  </si>
  <si>
    <t>percentGrossExposureMasterFund: 4.0085, masterFundNav: 226,019.9967, MasterFundName: NewMF, Symbol: DBLSX</t>
  </si>
  <si>
    <t>Rule_NEM</t>
  </si>
  <si>
    <t>percentNetExposureMasterFund: 4.0085, MasterFundName: NewMF, Symbol: DBLSX</t>
  </si>
  <si>
    <t>Rule_GMV</t>
  </si>
  <si>
    <t>percentGrossMarketValueMasterFund: 4.0085, MasterFundName: NewMF, Symbol: DBLSX</t>
  </si>
  <si>
    <t>Rule_NVM</t>
  </si>
  <si>
    <t>percentNetMarketValueMasterFund: 4.0085, MasterFundName: NewMF, Symbol: DBLSX</t>
  </si>
  <si>
    <t>NewMF-123456789</t>
  </si>
  <si>
    <t>percentGrossExposureMasterFund: 0.0401, masterFundNav: 226,019.9967, MasterFundName: NewMF, Symbol: 123456789</t>
  </si>
  <si>
    <t>percentNetExposureMasterFund: 0.0401, MasterFundName: NewMF, Symbol: 123456789</t>
  </si>
  <si>
    <t>percentGrossMarketValueMasterFund: 0.0401, MasterFundName: NewMF, Symbol: 123456789</t>
  </si>
  <si>
    <t>percentNetMarketValueMasterFund: 0.0401, MasterFundName: NewMF, Symbol: 123456789</t>
  </si>
  <si>
    <t>NewMF-FRU-TC</t>
  </si>
  <si>
    <t>percentGrossExposureMasterFund: 4.0085, masterFundNav: 226,019.9967, MasterFundName: NewMF, Symbol: FRU-TC</t>
  </si>
  <si>
    <t>percentNetExposureMasterFund: 4.0085, MasterFundName: NewMF, Symbol: FRU-TC</t>
  </si>
  <si>
    <t>percentGrossMarketValueMasterFund: 4.0085, MasterFundName: NewMF, Symbol: FRU-TC</t>
  </si>
  <si>
    <t>percentNetMarketValueMasterFund: 4.0085, MasterFundName: NewMF, Symbol: FRU-TC</t>
  </si>
  <si>
    <t>NewMF-IBM</t>
  </si>
  <si>
    <t>percentGrossExposureMasterFund: 10.3796, masterFundNav: 226,019.9967, MasterFundName: NewMF, Symbol: IBM</t>
  </si>
  <si>
    <t>percentNetExposureMasterFund: 10.3796, MasterFundName: NewMF, Symbol: IBM</t>
  </si>
  <si>
    <t>percentGrossMarketValueMasterFund: 10.3796, MasterFundName: NewMF, Symbol: IBM</t>
  </si>
  <si>
    <t>percentNetMarketValueMasterFund: 10.3796, MasterFundName: NewMF, Symbol: IBM</t>
  </si>
  <si>
    <t>Blotter</t>
  </si>
  <si>
    <t>SelectTradeOnOrderGrid</t>
  </si>
  <si>
    <t>New</t>
  </si>
  <si>
    <t>EditOrder</t>
  </si>
  <si>
    <t>CreateComplianceOrder</t>
  </si>
  <si>
    <t>Replace</t>
  </si>
  <si>
    <t>VerifyComplianceOrder</t>
  </si>
  <si>
    <t>percentGrossExposureMasterFund: 5.3093, masterFundNav: 226,019.9967, MasterFundName: NewMF, Symbol: FRU-TC</t>
  </si>
  <si>
    <t>percentNetExposureMasterFund: 5.3093, MasterFundName: NewMF, Symbol: FRU-TC</t>
  </si>
  <si>
    <t>percentGrossMarketValueMasterFund: 5.3093, MasterFundName: NewMF, Symbol: FRU-TC</t>
  </si>
  <si>
    <t>percentNetMarketValueMasterFund: 5.3093, MasterFundName: NewMF, Symbol: FRU-TC</t>
  </si>
  <si>
    <t>SendToStagingExport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</si>
</sst>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3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9" fillId="0" fontId="3" numFmtId="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6" fontId="14" numFmtId="4" xfId="0" applyAlignment="1" applyFont="1" applyNumberFormat="1">
      <alignment horizontal="right" vertical="bottom"/>
    </xf>
    <xf borderId="0" fillId="6" fontId="3" numFmtId="0" xfId="0" applyAlignment="1" applyFont="1">
      <alignment vertical="bottom"/>
    </xf>
    <xf borderId="9" fillId="0" fontId="5" numFmtId="0" xfId="0" applyAlignment="1" applyBorder="1" applyFont="1">
      <alignment horizontal="right" vertical="bottom"/>
    </xf>
    <xf borderId="10" fillId="0" fontId="5" numFmtId="0" xfId="0" applyAlignment="1" applyBorder="1" applyFont="1">
      <alignment shrinkToFit="0" vertical="bottom" wrapText="0"/>
    </xf>
    <xf borderId="11" fillId="7" fontId="15" numFmtId="0" xfId="0" applyAlignment="1" applyBorder="1" applyFill="1" applyFont="1">
      <alignment horizontal="left" readingOrder="0" shrinkToFit="0" vertical="top" wrapText="0"/>
    </xf>
    <xf borderId="11" fillId="8" fontId="16" numFmtId="0" xfId="0" applyAlignment="1" applyBorder="1" applyFill="1" applyFont="1">
      <alignment horizontal="left" readingOrder="0" shrinkToFit="0" vertical="top" wrapText="0"/>
    </xf>
    <xf borderId="11" fillId="8" fontId="16" numFmtId="0" xfId="0" applyAlignment="1" applyBorder="1" applyFont="1">
      <alignment horizontal="left" shrinkToFit="0" vertical="top" wrapText="0"/>
    </xf>
    <xf borderId="11" fillId="9" fontId="16" numFmtId="0" xfId="0" applyAlignment="1" applyBorder="1" applyFill="1" applyFont="1">
      <alignment horizontal="left" readingOrder="0" shrinkToFit="0" vertical="top" wrapText="0"/>
    </xf>
    <xf borderId="11" fillId="9" fontId="16" numFmtId="0" xfId="0" applyAlignment="1" applyBorder="1" applyFont="1">
      <alignment horizontal="left" shrinkToFit="0" vertical="top" wrapText="0"/>
    </xf>
    <xf borderId="0" fillId="0" fontId="3" numFmtId="0" xfId="0" applyAlignment="1" applyFont="1">
      <alignment horizontal="right" vertical="bottom"/>
    </xf>
    <xf borderId="0" fillId="0" fontId="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17</v>
      </c>
      <c r="D7" s="33">
        <v>100.0</v>
      </c>
      <c r="E7" s="33">
        <v>0.0</v>
      </c>
      <c r="F7" s="31" t="s">
        <v>18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19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4"/>
      <c r="B8" s="35" t="s">
        <v>20</v>
      </c>
      <c r="C8" s="31" t="s">
        <v>21</v>
      </c>
      <c r="D8" s="33">
        <v>10.0</v>
      </c>
      <c r="E8" s="31"/>
      <c r="F8" s="31" t="s">
        <v>18</v>
      </c>
      <c r="G8" s="31"/>
      <c r="H8" s="31"/>
      <c r="I8" s="31"/>
      <c r="J8" s="33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19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4"/>
      <c r="B9" s="35" t="s">
        <v>20</v>
      </c>
      <c r="C9" s="36" t="s">
        <v>21</v>
      </c>
      <c r="D9" s="37">
        <v>10.0</v>
      </c>
      <c r="E9" s="37">
        <v>0.0</v>
      </c>
      <c r="F9" s="38" t="s">
        <v>18</v>
      </c>
      <c r="G9" s="38"/>
      <c r="H9" s="38"/>
      <c r="I9" s="38"/>
      <c r="J9" s="33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19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4"/>
      <c r="B10" s="35" t="s">
        <v>22</v>
      </c>
      <c r="C10" s="35" t="s">
        <v>17</v>
      </c>
      <c r="D10" s="39">
        <v>100.0</v>
      </c>
      <c r="E10" s="35"/>
      <c r="F10" s="35" t="s">
        <v>23</v>
      </c>
      <c r="G10" s="35"/>
      <c r="H10" s="35"/>
      <c r="I10" s="35"/>
      <c r="J10" s="33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19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4"/>
      <c r="B11" s="35" t="s">
        <v>22</v>
      </c>
      <c r="C11" s="35" t="s">
        <v>17</v>
      </c>
      <c r="D11" s="39">
        <v>100.0</v>
      </c>
      <c r="E11" s="40">
        <v>0.0</v>
      </c>
      <c r="F11" s="35" t="s">
        <v>23</v>
      </c>
      <c r="G11" s="35"/>
      <c r="H11" s="35"/>
      <c r="I11" s="35"/>
      <c r="J11" s="33">
        <v>10.0</v>
      </c>
      <c r="K11" s="38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19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5"/>
      <c r="B12" s="40">
        <v>1.23456789E8</v>
      </c>
      <c r="C12" s="35" t="s">
        <v>17</v>
      </c>
      <c r="D12" s="39">
        <v>100.0</v>
      </c>
      <c r="E12" s="35"/>
      <c r="F12" s="35" t="s">
        <v>23</v>
      </c>
      <c r="G12" s="35"/>
      <c r="H12" s="35"/>
      <c r="I12" s="35"/>
      <c r="J12" s="33">
        <v>10.0</v>
      </c>
      <c r="K12" s="3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19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41"/>
      <c r="B13" s="40">
        <v>1.23456789E8</v>
      </c>
      <c r="C13" s="35" t="s">
        <v>17</v>
      </c>
      <c r="D13" s="39">
        <v>100.0</v>
      </c>
      <c r="E13" s="40">
        <v>0.0</v>
      </c>
      <c r="F13" s="35" t="s">
        <v>23</v>
      </c>
      <c r="G13" s="35"/>
      <c r="H13" s="35"/>
      <c r="I13" s="35"/>
      <c r="J13" s="33">
        <v>10.0</v>
      </c>
      <c r="K13" s="3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19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4"/>
      <c r="B14" s="35" t="s">
        <v>24</v>
      </c>
      <c r="C14" s="35" t="s">
        <v>17</v>
      </c>
      <c r="D14" s="39">
        <v>100.0</v>
      </c>
      <c r="E14" s="35"/>
      <c r="F14" s="35" t="s">
        <v>23</v>
      </c>
      <c r="G14" s="35"/>
      <c r="H14" s="35"/>
      <c r="I14" s="35"/>
      <c r="J14" s="33">
        <v>10.0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19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4"/>
      <c r="B15" s="35" t="s">
        <v>24</v>
      </c>
      <c r="C15" s="35" t="s">
        <v>17</v>
      </c>
      <c r="D15" s="39">
        <v>100.0</v>
      </c>
      <c r="E15" s="40">
        <v>0.0</v>
      </c>
      <c r="F15" s="35" t="s">
        <v>23</v>
      </c>
      <c r="G15" s="35"/>
      <c r="H15" s="35"/>
      <c r="I15" s="35"/>
      <c r="J15" s="33">
        <v>10.0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19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4"/>
      <c r="B16" s="35" t="s">
        <v>25</v>
      </c>
      <c r="C16" s="35" t="s">
        <v>17</v>
      </c>
      <c r="D16" s="39">
        <v>100.0</v>
      </c>
      <c r="E16" s="35"/>
      <c r="F16" s="35" t="s">
        <v>23</v>
      </c>
      <c r="G16" s="35"/>
      <c r="H16" s="35"/>
      <c r="I16" s="35"/>
      <c r="J16" s="33">
        <v>10.0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19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4"/>
      <c r="B17" s="35" t="s">
        <v>25</v>
      </c>
      <c r="C17" s="35" t="s">
        <v>17</v>
      </c>
      <c r="D17" s="39">
        <v>100.0</v>
      </c>
      <c r="E17" s="40">
        <v>0.0</v>
      </c>
      <c r="F17" s="35" t="s">
        <v>23</v>
      </c>
      <c r="G17" s="35"/>
      <c r="H17" s="35"/>
      <c r="I17" s="35"/>
      <c r="J17" s="33">
        <v>10.0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19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4"/>
      <c r="B7" s="35" t="s">
        <v>20</v>
      </c>
      <c r="C7" s="31" t="s">
        <v>21</v>
      </c>
      <c r="D7" s="33">
        <v>10.0</v>
      </c>
      <c r="E7" s="31"/>
      <c r="F7" s="31" t="s">
        <v>18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19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4"/>
      <c r="B8" s="35" t="s">
        <v>22</v>
      </c>
      <c r="C8" s="35" t="s">
        <v>17</v>
      </c>
      <c r="D8" s="39">
        <v>100.0</v>
      </c>
      <c r="E8" s="35"/>
      <c r="F8" s="35" t="s">
        <v>23</v>
      </c>
      <c r="G8" s="35"/>
      <c r="H8" s="35"/>
      <c r="I8" s="35"/>
      <c r="J8" s="33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19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5"/>
      <c r="B9" s="40">
        <v>1.23456789E8</v>
      </c>
      <c r="C9" s="35" t="s">
        <v>17</v>
      </c>
      <c r="D9" s="39">
        <v>100.0</v>
      </c>
      <c r="E9" s="35"/>
      <c r="F9" s="35" t="s">
        <v>23</v>
      </c>
      <c r="G9" s="35"/>
      <c r="H9" s="35"/>
      <c r="I9" s="35"/>
      <c r="J9" s="33">
        <v>10.0</v>
      </c>
      <c r="K9" s="35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19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4"/>
      <c r="B10" s="35" t="s">
        <v>24</v>
      </c>
      <c r="C10" s="35" t="s">
        <v>17</v>
      </c>
      <c r="D10" s="39">
        <v>100.0</v>
      </c>
      <c r="E10" s="35"/>
      <c r="F10" s="35" t="s">
        <v>23</v>
      </c>
      <c r="G10" s="35"/>
      <c r="H10" s="35"/>
      <c r="I10" s="35"/>
      <c r="J10" s="33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19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4"/>
      <c r="B11" s="35" t="s">
        <v>25</v>
      </c>
      <c r="C11" s="35" t="s">
        <v>17</v>
      </c>
      <c r="D11" s="39">
        <v>100.0</v>
      </c>
      <c r="E11" s="35"/>
      <c r="F11" s="35" t="s">
        <v>23</v>
      </c>
      <c r="G11" s="35"/>
      <c r="H11" s="35"/>
      <c r="I11" s="35"/>
      <c r="J11" s="33">
        <v>10.0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19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16</v>
      </c>
      <c r="C6" s="43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4"/>
      <c r="B7" s="35" t="s">
        <v>24</v>
      </c>
      <c r="C7" s="33">
        <v>24.0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4"/>
      <c r="B8" s="35" t="s">
        <v>25</v>
      </c>
      <c r="C8" s="33">
        <v>20.0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4"/>
      <c r="B9" s="35" t="s">
        <v>20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4"/>
      <c r="B10" s="35" t="s">
        <v>22</v>
      </c>
      <c r="C10" s="33">
        <v>20.0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4"/>
      <c r="B11" s="40">
        <v>1.23456789E8</v>
      </c>
      <c r="C11" s="33">
        <v>20.0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4" t="s">
        <v>28</v>
      </c>
      <c r="C12" s="33">
        <v>20.0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>
        <f t="shared" ref="B6:C6" si="1">today()-1</f>
        <v>45257</v>
      </c>
      <c r="C6" s="46">
        <f t="shared" si="1"/>
        <v>45257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48" t="s">
        <v>32</v>
      </c>
      <c r="C6" s="49" t="s">
        <v>33</v>
      </c>
      <c r="D6" s="50" t="s">
        <v>34</v>
      </c>
      <c r="E6" s="43">
        <v>1.2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>
        <f t="shared" ref="B6:C6" si="1">today()-1</f>
        <v>45257</v>
      </c>
      <c r="C6" s="46">
        <f t="shared" si="1"/>
        <v>45257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2" t="s">
        <v>18</v>
      </c>
      <c r="C6" s="49" t="s">
        <v>32</v>
      </c>
      <c r="D6" s="53">
        <v>11000.0</v>
      </c>
      <c r="E6" s="5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54" t="s">
        <v>23</v>
      </c>
      <c r="C7" s="55" t="s">
        <v>32</v>
      </c>
      <c r="D7" s="56">
        <v>51843.33</v>
      </c>
      <c r="E7" s="57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0" t="s">
        <v>39</v>
      </c>
      <c r="C6" s="51"/>
      <c r="D6" s="50"/>
      <c r="E6" s="5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58">
        <v>100000.0</v>
      </c>
      <c r="C6" s="51" t="s">
        <v>41</v>
      </c>
      <c r="D6" s="50" t="s">
        <v>42</v>
      </c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9" t="s">
        <v>44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60" t="s">
        <v>46</v>
      </c>
      <c r="C6" s="61" t="s">
        <v>47</v>
      </c>
      <c r="D6" s="61" t="s">
        <v>48</v>
      </c>
      <c r="E6" s="61" t="s">
        <v>49</v>
      </c>
      <c r="F6" s="61" t="s">
        <v>50</v>
      </c>
      <c r="G6" s="61" t="s">
        <v>50</v>
      </c>
      <c r="H6" s="61" t="s">
        <v>51</v>
      </c>
      <c r="I6" s="62"/>
      <c r="J6" s="8"/>
      <c r="K6" s="8"/>
      <c r="L6" s="8"/>
      <c r="M6" s="8"/>
      <c r="N6" s="8"/>
      <c r="O6" s="8"/>
    </row>
    <row r="7" ht="15.75" customHeight="1">
      <c r="A7" s="8"/>
      <c r="B7" s="60" t="s">
        <v>46</v>
      </c>
      <c r="C7" s="63" t="s">
        <v>52</v>
      </c>
      <c r="D7" s="63" t="s">
        <v>48</v>
      </c>
      <c r="E7" s="63" t="s">
        <v>49</v>
      </c>
      <c r="F7" s="63">
        <v>-10.0</v>
      </c>
      <c r="G7" s="63">
        <v>4.01</v>
      </c>
      <c r="H7" s="63" t="s">
        <v>53</v>
      </c>
      <c r="I7" s="64"/>
      <c r="J7" s="8"/>
      <c r="K7" s="8"/>
      <c r="L7" s="8"/>
      <c r="M7" s="8"/>
      <c r="N7" s="8"/>
      <c r="O7" s="8"/>
    </row>
    <row r="8" ht="15.75" customHeight="1">
      <c r="A8" s="8"/>
      <c r="B8" s="60" t="s">
        <v>46</v>
      </c>
      <c r="C8" s="61" t="s">
        <v>54</v>
      </c>
      <c r="D8" s="61" t="s">
        <v>48</v>
      </c>
      <c r="E8" s="61" t="s">
        <v>49</v>
      </c>
      <c r="F8" s="61">
        <v>-10.0</v>
      </c>
      <c r="G8" s="61">
        <v>4.01</v>
      </c>
      <c r="H8" s="61" t="s">
        <v>55</v>
      </c>
      <c r="I8" s="62"/>
      <c r="J8" s="8"/>
      <c r="K8" s="8"/>
      <c r="L8" s="8"/>
      <c r="M8" s="8"/>
      <c r="N8" s="8"/>
      <c r="O8" s="8"/>
    </row>
    <row r="9" ht="15.75" customHeight="1">
      <c r="A9" s="8"/>
      <c r="B9" s="60" t="s">
        <v>46</v>
      </c>
      <c r="C9" s="63" t="s">
        <v>56</v>
      </c>
      <c r="D9" s="63" t="s">
        <v>48</v>
      </c>
      <c r="E9" s="63" t="s">
        <v>49</v>
      </c>
      <c r="F9" s="63">
        <v>-10.0</v>
      </c>
      <c r="G9" s="63">
        <v>4.01</v>
      </c>
      <c r="H9" s="63" t="s">
        <v>57</v>
      </c>
      <c r="I9" s="64"/>
      <c r="J9" s="8"/>
      <c r="K9" s="8"/>
      <c r="L9" s="8"/>
      <c r="M9" s="8"/>
      <c r="N9" s="8"/>
      <c r="O9" s="8"/>
    </row>
    <row r="10" ht="15.75" customHeight="1">
      <c r="A10" s="8"/>
      <c r="B10" s="60" t="s">
        <v>46</v>
      </c>
      <c r="C10" s="61" t="s">
        <v>47</v>
      </c>
      <c r="D10" s="61" t="s">
        <v>48</v>
      </c>
      <c r="E10" s="61" t="s">
        <v>58</v>
      </c>
      <c r="F10" s="61" t="s">
        <v>50</v>
      </c>
      <c r="G10" s="61" t="s">
        <v>50</v>
      </c>
      <c r="H10" s="61" t="s">
        <v>59</v>
      </c>
      <c r="I10" s="62"/>
      <c r="J10" s="8"/>
      <c r="K10" s="8"/>
      <c r="L10" s="8"/>
      <c r="M10" s="8"/>
      <c r="N10" s="8"/>
      <c r="O10" s="8"/>
    </row>
    <row r="11" ht="15.75" customHeight="1">
      <c r="A11" s="8"/>
      <c r="B11" s="60" t="s">
        <v>46</v>
      </c>
      <c r="C11" s="63" t="s">
        <v>52</v>
      </c>
      <c r="D11" s="63" t="s">
        <v>48</v>
      </c>
      <c r="E11" s="63" t="s">
        <v>58</v>
      </c>
      <c r="F11" s="63">
        <v>-10.0</v>
      </c>
      <c r="G11" s="63">
        <v>0.04</v>
      </c>
      <c r="H11" s="63" t="s">
        <v>60</v>
      </c>
      <c r="I11" s="64"/>
      <c r="J11" s="8"/>
      <c r="K11" s="8"/>
      <c r="L11" s="8"/>
      <c r="M11" s="8"/>
      <c r="N11" s="8"/>
      <c r="O11" s="8"/>
    </row>
    <row r="12" ht="15.75" customHeight="1">
      <c r="A12" s="8"/>
      <c r="B12" s="60" t="s">
        <v>46</v>
      </c>
      <c r="C12" s="61" t="s">
        <v>54</v>
      </c>
      <c r="D12" s="61" t="s">
        <v>48</v>
      </c>
      <c r="E12" s="61" t="s">
        <v>58</v>
      </c>
      <c r="F12" s="61">
        <v>-10.0</v>
      </c>
      <c r="G12" s="61">
        <v>0.04</v>
      </c>
      <c r="H12" s="61" t="s">
        <v>61</v>
      </c>
      <c r="I12" s="62"/>
      <c r="J12" s="8"/>
      <c r="K12" s="8"/>
      <c r="L12" s="8"/>
      <c r="M12" s="8"/>
      <c r="N12" s="8"/>
      <c r="O12" s="8"/>
    </row>
    <row r="13" ht="15.75" customHeight="1">
      <c r="A13" s="8"/>
      <c r="B13" s="60" t="s">
        <v>46</v>
      </c>
      <c r="C13" s="63" t="s">
        <v>56</v>
      </c>
      <c r="D13" s="63" t="s">
        <v>48</v>
      </c>
      <c r="E13" s="63" t="s">
        <v>58</v>
      </c>
      <c r="F13" s="63">
        <v>-10.0</v>
      </c>
      <c r="G13" s="63">
        <v>0.04</v>
      </c>
      <c r="H13" s="63" t="s">
        <v>62</v>
      </c>
      <c r="I13" s="64"/>
      <c r="J13" s="8"/>
      <c r="K13" s="8"/>
      <c r="L13" s="8"/>
      <c r="M13" s="8"/>
      <c r="N13" s="8"/>
      <c r="O13" s="8"/>
    </row>
    <row r="14" ht="15.75" customHeight="1">
      <c r="A14" s="8"/>
      <c r="B14" s="60" t="s">
        <v>46</v>
      </c>
      <c r="C14" s="61" t="s">
        <v>47</v>
      </c>
      <c r="D14" s="61" t="s">
        <v>48</v>
      </c>
      <c r="E14" s="61" t="s">
        <v>63</v>
      </c>
      <c r="F14" s="61" t="s">
        <v>50</v>
      </c>
      <c r="G14" s="61" t="s">
        <v>50</v>
      </c>
      <c r="H14" s="61" t="s">
        <v>64</v>
      </c>
      <c r="I14" s="62"/>
      <c r="J14" s="8"/>
      <c r="K14" s="8"/>
      <c r="L14" s="8"/>
      <c r="M14" s="8"/>
      <c r="N14" s="8"/>
      <c r="O14" s="8"/>
    </row>
    <row r="15" ht="15.75" customHeight="1">
      <c r="A15" s="8"/>
      <c r="B15" s="60" t="s">
        <v>46</v>
      </c>
      <c r="C15" s="63" t="s">
        <v>52</v>
      </c>
      <c r="D15" s="63" t="s">
        <v>48</v>
      </c>
      <c r="E15" s="63" t="s">
        <v>63</v>
      </c>
      <c r="F15" s="63">
        <v>-10.0</v>
      </c>
      <c r="G15" s="63">
        <v>4.01</v>
      </c>
      <c r="H15" s="63" t="s">
        <v>65</v>
      </c>
      <c r="I15" s="64"/>
      <c r="J15" s="8"/>
      <c r="K15" s="8"/>
      <c r="L15" s="8"/>
      <c r="M15" s="8"/>
      <c r="N15" s="8"/>
      <c r="O15" s="8"/>
    </row>
    <row r="16" ht="15.75" customHeight="1">
      <c r="A16" s="8"/>
      <c r="B16" s="60" t="s">
        <v>46</v>
      </c>
      <c r="C16" s="61" t="s">
        <v>54</v>
      </c>
      <c r="D16" s="61" t="s">
        <v>48</v>
      </c>
      <c r="E16" s="61" t="s">
        <v>63</v>
      </c>
      <c r="F16" s="61">
        <v>-10.0</v>
      </c>
      <c r="G16" s="61">
        <v>4.01</v>
      </c>
      <c r="H16" s="61" t="s">
        <v>66</v>
      </c>
      <c r="I16" s="62"/>
      <c r="J16" s="8"/>
      <c r="K16" s="8"/>
      <c r="L16" s="8"/>
      <c r="M16" s="8"/>
      <c r="N16" s="8"/>
      <c r="O16" s="8"/>
    </row>
    <row r="17" ht="15.75" customHeight="1">
      <c r="A17" s="8"/>
      <c r="B17" s="60" t="s">
        <v>46</v>
      </c>
      <c r="C17" s="63" t="s">
        <v>56</v>
      </c>
      <c r="D17" s="63" t="s">
        <v>48</v>
      </c>
      <c r="E17" s="63" t="s">
        <v>63</v>
      </c>
      <c r="F17" s="63">
        <v>-10.0</v>
      </c>
      <c r="G17" s="63">
        <v>4.01</v>
      </c>
      <c r="H17" s="63" t="s">
        <v>67</v>
      </c>
      <c r="I17" s="64"/>
      <c r="J17" s="8"/>
      <c r="K17" s="8"/>
      <c r="L17" s="8"/>
      <c r="M17" s="8"/>
      <c r="N17" s="8"/>
      <c r="O17" s="8"/>
    </row>
    <row r="18" ht="15.75" customHeight="1">
      <c r="A18" s="8"/>
      <c r="B18" s="60" t="s">
        <v>46</v>
      </c>
      <c r="C18" s="61" t="s">
        <v>47</v>
      </c>
      <c r="D18" s="61" t="s">
        <v>48</v>
      </c>
      <c r="E18" s="61" t="s">
        <v>68</v>
      </c>
      <c r="F18" s="61" t="s">
        <v>50</v>
      </c>
      <c r="G18" s="61" t="s">
        <v>50</v>
      </c>
      <c r="H18" s="61" t="s">
        <v>69</v>
      </c>
      <c r="I18" s="62"/>
      <c r="J18" s="8"/>
      <c r="K18" s="8"/>
      <c r="L18" s="8"/>
      <c r="M18" s="8"/>
      <c r="N18" s="8"/>
      <c r="O18" s="8"/>
    </row>
    <row r="19" ht="15.75" customHeight="1">
      <c r="A19" s="8"/>
      <c r="B19" s="60" t="s">
        <v>46</v>
      </c>
      <c r="C19" s="63" t="s">
        <v>52</v>
      </c>
      <c r="D19" s="63" t="s">
        <v>48</v>
      </c>
      <c r="E19" s="63" t="s">
        <v>68</v>
      </c>
      <c r="F19" s="63">
        <v>-10.0</v>
      </c>
      <c r="G19" s="63">
        <v>10.38</v>
      </c>
      <c r="H19" s="63" t="s">
        <v>70</v>
      </c>
      <c r="I19" s="64"/>
      <c r="J19" s="8"/>
      <c r="K19" s="8"/>
      <c r="L19" s="8"/>
      <c r="M19" s="8"/>
      <c r="N19" s="8"/>
      <c r="O19" s="8"/>
    </row>
    <row r="20" ht="15.75" customHeight="1">
      <c r="A20" s="8"/>
      <c r="B20" s="60" t="s">
        <v>46</v>
      </c>
      <c r="C20" s="61" t="s">
        <v>54</v>
      </c>
      <c r="D20" s="61" t="s">
        <v>48</v>
      </c>
      <c r="E20" s="61" t="s">
        <v>68</v>
      </c>
      <c r="F20" s="61">
        <v>-10.0</v>
      </c>
      <c r="G20" s="61">
        <v>10.38</v>
      </c>
      <c r="H20" s="61" t="s">
        <v>71</v>
      </c>
      <c r="I20" s="62"/>
      <c r="J20" s="8"/>
      <c r="K20" s="8"/>
      <c r="L20" s="8"/>
      <c r="M20" s="8"/>
      <c r="N20" s="8"/>
      <c r="O20" s="8"/>
    </row>
    <row r="21" ht="15.75" customHeight="1">
      <c r="A21" s="8"/>
      <c r="B21" s="60" t="s">
        <v>46</v>
      </c>
      <c r="C21" s="63" t="s">
        <v>56</v>
      </c>
      <c r="D21" s="63" t="s">
        <v>48</v>
      </c>
      <c r="E21" s="63" t="s">
        <v>68</v>
      </c>
      <c r="F21" s="63">
        <v>-10.0</v>
      </c>
      <c r="G21" s="63">
        <v>10.38</v>
      </c>
      <c r="H21" s="63" t="s">
        <v>72</v>
      </c>
      <c r="I21" s="64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 t="s">
        <v>24</v>
      </c>
      <c r="E6" s="31"/>
      <c r="F6" s="44" t="s">
        <v>17</v>
      </c>
      <c r="G6" s="44" t="s">
        <v>75</v>
      </c>
      <c r="H6" s="33">
        <v>153.0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24</v>
      </c>
      <c r="AJ6" s="31" t="s">
        <v>17</v>
      </c>
      <c r="AK6" s="31" t="s">
        <v>75</v>
      </c>
      <c r="AL6" s="65">
        <v>153.0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24</v>
      </c>
      <c r="C6" s="31" t="s">
        <v>17</v>
      </c>
      <c r="D6" s="32">
        <v>1000.0</v>
      </c>
      <c r="E6" s="31"/>
      <c r="F6" s="31" t="s">
        <v>23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 t="s">
        <v>78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60" t="s">
        <v>46</v>
      </c>
      <c r="C6" s="63" t="s">
        <v>47</v>
      </c>
      <c r="D6" s="63" t="s">
        <v>48</v>
      </c>
      <c r="E6" s="63" t="s">
        <v>63</v>
      </c>
      <c r="F6" s="63" t="s">
        <v>50</v>
      </c>
      <c r="G6" s="63" t="s">
        <v>50</v>
      </c>
      <c r="H6" s="63" t="s">
        <v>80</v>
      </c>
      <c r="I6" s="64"/>
      <c r="J6" s="8"/>
      <c r="K6" s="12" t="s">
        <v>19</v>
      </c>
      <c r="L6" s="8"/>
      <c r="M6" s="12" t="s">
        <v>78</v>
      </c>
      <c r="N6" s="8"/>
      <c r="O6" s="8"/>
    </row>
    <row r="7" ht="15.75" customHeight="1">
      <c r="A7" s="8"/>
      <c r="B7" s="60" t="s">
        <v>46</v>
      </c>
      <c r="C7" s="61" t="s">
        <v>52</v>
      </c>
      <c r="D7" s="61" t="s">
        <v>48</v>
      </c>
      <c r="E7" s="61" t="s">
        <v>63</v>
      </c>
      <c r="F7" s="61">
        <v>-10.0</v>
      </c>
      <c r="G7" s="61">
        <v>5.31</v>
      </c>
      <c r="H7" s="61" t="s">
        <v>81</v>
      </c>
      <c r="I7" s="62"/>
      <c r="J7" s="8"/>
      <c r="K7" s="8"/>
      <c r="L7" s="8"/>
      <c r="M7" s="8"/>
      <c r="N7" s="8"/>
      <c r="O7" s="8"/>
    </row>
    <row r="8" ht="15.75" customHeight="1">
      <c r="A8" s="8"/>
      <c r="B8" s="60" t="s">
        <v>46</v>
      </c>
      <c r="C8" s="63" t="s">
        <v>54</v>
      </c>
      <c r="D8" s="63" t="s">
        <v>48</v>
      </c>
      <c r="E8" s="63" t="s">
        <v>63</v>
      </c>
      <c r="F8" s="63">
        <v>-10.0</v>
      </c>
      <c r="G8" s="63">
        <v>5.31</v>
      </c>
      <c r="H8" s="63" t="s">
        <v>82</v>
      </c>
      <c r="I8" s="64"/>
      <c r="J8" s="8"/>
      <c r="K8" s="8"/>
      <c r="L8" s="8"/>
      <c r="M8" s="8"/>
      <c r="N8" s="8"/>
      <c r="O8" s="8"/>
    </row>
    <row r="9" ht="15.75" customHeight="1">
      <c r="A9" s="8"/>
      <c r="B9" s="60" t="s">
        <v>46</v>
      </c>
      <c r="C9" s="61" t="s">
        <v>56</v>
      </c>
      <c r="D9" s="61" t="s">
        <v>48</v>
      </c>
      <c r="E9" s="61" t="s">
        <v>63</v>
      </c>
      <c r="F9" s="61">
        <v>-10.0</v>
      </c>
      <c r="G9" s="61">
        <v>5.31</v>
      </c>
      <c r="H9" s="61" t="s">
        <v>83</v>
      </c>
      <c r="I9" s="62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IFERROR(__xludf.DUMMYFUNCTION("""COMPUTED_VALUE"""),"AllowTrade")</f>
        <v>AllowTrade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1" t="s">
        <v>17</v>
      </c>
      <c r="D6" s="32">
        <v>1.23456789E8</v>
      </c>
      <c r="E6" s="33">
        <v>153.0</v>
      </c>
      <c r="F6" s="33">
        <v>20.0</v>
      </c>
      <c r="G6" s="33">
        <v>31.0</v>
      </c>
      <c r="H6" s="31"/>
      <c r="I6" s="31" t="s">
        <v>19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23</v>
      </c>
      <c r="C7" s="31" t="s">
        <v>17</v>
      </c>
      <c r="D7" s="31" t="s">
        <v>25</v>
      </c>
      <c r="E7" s="33">
        <v>153.0</v>
      </c>
      <c r="F7" s="33">
        <v>20.0</v>
      </c>
      <c r="G7" s="66">
        <v>3060.0</v>
      </c>
      <c r="H7" s="31"/>
      <c r="I7" s="31" t="s">
        <v>19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23</v>
      </c>
      <c r="C8" s="31" t="s">
        <v>17</v>
      </c>
      <c r="D8" s="31" t="s">
        <v>24</v>
      </c>
      <c r="E8" s="33">
        <v>153.0</v>
      </c>
      <c r="F8" s="33">
        <v>24.0</v>
      </c>
      <c r="G8" s="66">
        <v>3060.0</v>
      </c>
      <c r="H8" s="31"/>
      <c r="I8" s="31" t="s">
        <v>19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1" t="s">
        <v>18</v>
      </c>
      <c r="C9" s="31" t="s">
        <v>17</v>
      </c>
      <c r="D9" s="31" t="s">
        <v>16</v>
      </c>
      <c r="E9" s="33">
        <v>873.0</v>
      </c>
      <c r="F9" s="33">
        <v>20.0</v>
      </c>
      <c r="G9" s="66">
        <v>17460.0</v>
      </c>
      <c r="H9" s="31"/>
      <c r="I9" s="31" t="s">
        <v>19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