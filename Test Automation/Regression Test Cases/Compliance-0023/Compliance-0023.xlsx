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SelectTrade1" sheetId="11" r:id="rId13"/>
    <sheet state="visible" name="AcknowledgeTrade1" sheetId="12" r:id="rId14"/>
    <sheet state="visible" name="VerifyRowCalculationBaseWindow1" sheetId="13" r:id="rId15"/>
    <sheet state="visible" name="VerifyAggAccountSymbolWithNav1" sheetId="14" r:id="rId16"/>
    <sheet state="visible" name="VerifySymbolDivisorWindow1" sheetId="15" r:id="rId17"/>
    <sheet state="visible" name="VerifyTaxlotWindow1" sheetId="16" r:id="rId18"/>
    <sheet state="visible" name="SelectTradeOnOrderGrid1" sheetId="17" r:id="rId19"/>
    <sheet state="visible" name="ReplaceSubOrder1" sheetId="18" r:id="rId20"/>
    <sheet state="visible" name="CreateReplaceOrder1" sheetId="19" r:id="rId21"/>
    <sheet state="visible" name="VerifyAggAccountSymbolWithNav2" sheetId="20" r:id="rId22"/>
    <sheet state="visible" name="VerifyRowCalculationBaseWindow2" sheetId="21" r:id="rId23"/>
    <sheet state="visible" name="VerifySymbolDivisorWindow2" sheetId="22" r:id="rId24"/>
    <sheet state="visible" name="VerifyTaxlotWindow2" sheetId="23" r:id="rId25"/>
    <sheet state="visible" name="VerifyOrder" sheetId="24" r:id="rId26"/>
    <sheet state="visible" name="SelectTradeOnOrderGrid2" sheetId="25" r:id="rId27"/>
    <sheet state="visible" name="VerifySubOrder" sheetId="26" r:id="rId28"/>
    <sheet state="visible" name="EnableDisableModule1" sheetId="27" r:id="rId29"/>
  </sheets>
  <definedNames/>
  <calcPr/>
</workbook>
</file>

<file path=xl/sharedStrings.xml><?xml version="1.0" encoding="utf-8"?>
<sst xmlns="http://schemas.openxmlformats.org/spreadsheetml/2006/main" count="300" uniqueCount="50">
  <si>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</si>
  <si>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</si>
  <si>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</si>
  <si>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</si>
  <si>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</si>
  <si>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</si>
  <si>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</si>
  <si>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</si>
  <si>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</si>
  <si>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</si>
  <si>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</si>
  <si>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</si>
  <si>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</si>
  <si>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</si>
  <si>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</si>
  <si>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</si>
  <si>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</si>
  <si>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</si>
  <si>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</si>
  <si>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</si>
  <si>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</si>
  <si>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</si>
  <si>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</si>
  <si>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</si>
  <si>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</si>
  <si>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</si>
  <si>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</si>
  <si>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</si>
  <si>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</si>
  <si>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</si>
  <si>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</si>
  <si>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</si>
  <si>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</si>
  <si>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</si>
  <si>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</si>
  <si>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</si>
  <si>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</si>
  <si>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</si>
  <si>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VerifyRowCalculationBaseWindow</t>
  </si>
  <si>
    <t>InTradeMarket</t>
  </si>
  <si>
    <t>Allocation1</t>
  </si>
  <si>
    <t>Allocation2</t>
  </si>
  <si>
    <t>VerifyAggAccountSymbolWithNav</t>
  </si>
  <si>
    <t>Post</t>
  </si>
  <si>
    <t>Account-Symbol</t>
  </si>
  <si>
    <t>VerifySymbolDivisorWindow</t>
  </si>
  <si>
    <t>VerifyTaxlotWindow</t>
  </si>
  <si>
    <t>VerifyOrder</t>
  </si>
  <si>
    <t>VerifySubOrder</t>
  </si>
  <si>
    <t>PendingReplace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</si>
</sst>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7" fontId="5" numFmtId="0" xfId="0" applyAlignment="1" applyBorder="1" applyFill="1" applyFont="1">
      <alignment vertical="bottom"/>
    </xf>
    <xf borderId="5" fillId="7" fontId="5" numFmtId="0" xfId="0" applyAlignment="1" applyBorder="1" applyFont="1">
      <alignment horizontal="right" vertical="bottom"/>
    </xf>
    <xf borderId="5" fillId="7" fontId="3" numFmtId="0" xfId="0" applyAlignment="1" applyBorder="1" applyFont="1">
      <alignment vertical="bottom"/>
    </xf>
    <xf borderId="0" fillId="7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8" fontId="5" numFmtId="0" xfId="0" applyAlignment="1" applyBorder="1" applyFill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3" numFmtId="0" xfId="0" applyAlignment="1" applyFont="1">
      <alignment horizontal="center" readingOrder="0" vertical="top"/>
    </xf>
    <xf borderId="0" fillId="2" fontId="5" numFmtId="0" xfId="0" applyFont="1"/>
    <xf borderId="0" fillId="0" fontId="5" numFmtId="0" xfId="0" applyFont="1"/>
    <xf borderId="0" fillId="3" fontId="7" numFmtId="0" xfId="0" applyFont="1"/>
    <xf borderId="0" fillId="4" fontId="11" numFmtId="0" xfId="0" applyFont="1"/>
    <xf borderId="0" fillId="5" fontId="7" numFmtId="0" xfId="0" applyFont="1"/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7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44432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250.0</v>
      </c>
      <c r="AC6" s="40"/>
      <c r="AD6" s="48">
        <v>250.0</v>
      </c>
      <c r="AE6" s="40"/>
      <c r="AF6" s="40"/>
      <c r="AG6" s="48">
        <v>25.0</v>
      </c>
      <c r="AH6" s="48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9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250.0</v>
      </c>
      <c r="AC7" s="40"/>
      <c r="AD7" s="48">
        <v>250.0</v>
      </c>
      <c r="AE7" s="40"/>
      <c r="AF7" s="40"/>
      <c r="AG7" s="48">
        <v>25.0</v>
      </c>
      <c r="AH7" s="48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9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50" t="s">
        <v>43</v>
      </c>
      <c r="C6" s="36"/>
      <c r="D6" s="50" t="s">
        <v>44</v>
      </c>
      <c r="E6" s="51" t="s">
        <v>41</v>
      </c>
      <c r="F6" s="51" t="s">
        <v>41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36"/>
      <c r="AJ6" s="36"/>
      <c r="AK6" s="36"/>
      <c r="AL6" s="36"/>
      <c r="AM6" s="36"/>
      <c r="AN6" s="40"/>
      <c r="AO6" s="40"/>
      <c r="AP6" s="40"/>
      <c r="AQ6" s="52">
        <v>0.0</v>
      </c>
      <c r="AR6" s="52">
        <v>0.0</v>
      </c>
      <c r="AS6" s="52">
        <v>25.0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43</v>
      </c>
      <c r="C7" s="36"/>
      <c r="D7" s="36" t="s">
        <v>44</v>
      </c>
      <c r="E7" s="44" t="s">
        <v>40</v>
      </c>
      <c r="F7" s="44" t="s">
        <v>40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36"/>
      <c r="AJ7" s="36"/>
      <c r="AK7" s="36"/>
      <c r="AL7" s="36"/>
      <c r="AM7" s="36"/>
      <c r="AN7" s="40"/>
      <c r="AO7" s="40"/>
      <c r="AP7" s="40"/>
      <c r="AQ7" s="52">
        <v>0.0</v>
      </c>
      <c r="AR7" s="52">
        <v>0.0</v>
      </c>
      <c r="AS7" s="52">
        <v>25.0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3" t="s">
        <v>21</v>
      </c>
      <c r="D6" s="35"/>
      <c r="E6" s="36"/>
      <c r="F6" s="53" t="s">
        <v>39</v>
      </c>
      <c r="G6" s="53"/>
      <c r="H6" s="53" t="s">
        <v>21</v>
      </c>
      <c r="I6" s="38">
        <v>25.0</v>
      </c>
      <c r="J6" s="54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3" t="s">
        <v>21</v>
      </c>
      <c r="D7" s="36"/>
      <c r="E7" s="36"/>
      <c r="F7" s="53" t="s">
        <v>39</v>
      </c>
      <c r="G7" s="53"/>
      <c r="H7" s="53" t="s">
        <v>21</v>
      </c>
      <c r="I7" s="38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54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55">
        <v>30.0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/>
      <c r="D6" s="54">
        <v>30.0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6"/>
      <c r="BU1" s="56"/>
      <c r="BV1" s="56"/>
      <c r="BW1" s="56"/>
      <c r="BX1" s="56"/>
      <c r="BY1" s="56"/>
      <c r="BZ1" s="56"/>
      <c r="CA1" s="56"/>
      <c r="CB1" s="56"/>
      <c r="CC1" s="56"/>
      <c r="CD1" s="56"/>
      <c r="CE1" s="56"/>
      <c r="CF1" s="56"/>
      <c r="CG1" s="56"/>
      <c r="CH1" s="56"/>
      <c r="CI1" s="56"/>
      <c r="CJ1" s="56"/>
      <c r="CK1" s="56"/>
      <c r="CL1" s="56"/>
      <c r="CM1" s="56"/>
      <c r="CN1" s="56"/>
      <c r="CO1" s="56"/>
      <c r="CP1" s="56"/>
      <c r="CQ1" s="56"/>
      <c r="CR1" s="56"/>
      <c r="CS1" s="56"/>
      <c r="CT1" s="56"/>
      <c r="CU1" s="56"/>
      <c r="CV1" s="56"/>
      <c r="CW1" s="56"/>
      <c r="CX1" s="56"/>
      <c r="CY1" s="56"/>
      <c r="CZ1" s="56"/>
      <c r="DA1" s="56"/>
      <c r="DB1" s="56"/>
      <c r="DC1" s="56"/>
      <c r="DD1" s="56"/>
      <c r="DE1" s="56"/>
      <c r="DF1" s="56"/>
      <c r="DG1" s="56"/>
      <c r="DH1" s="56"/>
      <c r="DI1" s="56"/>
      <c r="DJ1" s="56"/>
      <c r="DK1" s="56"/>
      <c r="DL1" s="56"/>
      <c r="DM1" s="56"/>
      <c r="DN1" s="56"/>
      <c r="DO1" s="56"/>
      <c r="DP1" s="56"/>
      <c r="DQ1" s="56"/>
      <c r="DR1" s="56"/>
      <c r="DS1" s="56"/>
      <c r="DT1" s="56"/>
      <c r="DU1" s="56"/>
      <c r="DV1" s="56"/>
      <c r="DW1" s="56"/>
      <c r="DX1" s="56"/>
      <c r="DY1" s="56"/>
      <c r="DZ1" s="56"/>
      <c r="EA1" s="56"/>
      <c r="EB1" s="56"/>
      <c r="EC1" s="56"/>
      <c r="ED1" s="56"/>
      <c r="EE1" s="56"/>
      <c r="EF1" s="56"/>
      <c r="EG1" s="56"/>
      <c r="EH1" s="56"/>
      <c r="EI1" s="56"/>
      <c r="EJ1" s="56"/>
      <c r="EK1" s="56"/>
      <c r="EL1" s="56"/>
      <c r="EM1" s="56"/>
      <c r="EN1" s="56"/>
      <c r="EO1" s="56"/>
      <c r="EP1" s="56"/>
      <c r="EQ1" s="56"/>
      <c r="ER1" s="56"/>
      <c r="ES1" s="56"/>
      <c r="ET1" s="56"/>
      <c r="EU1" s="56"/>
      <c r="EV1" s="56"/>
      <c r="EW1" s="56"/>
      <c r="EX1" s="56"/>
      <c r="EY1" s="56"/>
      <c r="EZ1" s="56"/>
      <c r="FA1" s="56"/>
      <c r="FB1" s="56"/>
      <c r="FC1" s="56"/>
      <c r="FD1" s="56"/>
      <c r="FE1" s="56"/>
      <c r="FF1" s="56"/>
      <c r="FG1" s="56"/>
      <c r="FH1" s="56"/>
      <c r="FI1" s="56"/>
      <c r="FJ1" s="56"/>
      <c r="FK1" s="56"/>
      <c r="FL1" s="56"/>
      <c r="FM1" s="56"/>
      <c r="FN1" s="56"/>
      <c r="FO1" s="56"/>
      <c r="FP1" s="56"/>
      <c r="FQ1" s="56"/>
      <c r="FR1" s="56"/>
      <c r="FS1" s="56"/>
      <c r="FT1" s="56"/>
      <c r="FU1" s="56"/>
      <c r="FV1" s="56"/>
      <c r="FW1" s="56"/>
      <c r="FX1" s="56"/>
      <c r="FY1" s="56"/>
      <c r="FZ1" s="56"/>
      <c r="GA1" s="56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  <c r="BT3" s="58"/>
      <c r="BU3" s="58"/>
      <c r="BV3" s="58"/>
      <c r="BW3" s="58"/>
      <c r="BX3" s="58"/>
      <c r="BY3" s="58"/>
      <c r="BZ3" s="58"/>
      <c r="CA3" s="58"/>
      <c r="CB3" s="58"/>
      <c r="CC3" s="58"/>
      <c r="CD3" s="58"/>
      <c r="CE3" s="58"/>
      <c r="CF3" s="58"/>
      <c r="CG3" s="58"/>
      <c r="CH3" s="58"/>
      <c r="CI3" s="58"/>
      <c r="CJ3" s="58"/>
      <c r="CK3" s="58"/>
      <c r="CL3" s="58"/>
      <c r="CM3" s="58"/>
      <c r="CN3" s="58"/>
      <c r="CO3" s="58"/>
      <c r="CP3" s="58"/>
      <c r="CQ3" s="58"/>
      <c r="CR3" s="58"/>
      <c r="CS3" s="58"/>
      <c r="CT3" s="58"/>
      <c r="CU3" s="58"/>
      <c r="CV3" s="58"/>
      <c r="CW3" s="58"/>
      <c r="CX3" s="58"/>
      <c r="CY3" s="58"/>
      <c r="CZ3" s="58"/>
      <c r="DA3" s="58"/>
      <c r="DB3" s="58"/>
      <c r="DC3" s="58"/>
      <c r="DD3" s="58"/>
      <c r="DE3" s="58"/>
      <c r="DF3" s="58"/>
      <c r="DG3" s="58"/>
      <c r="DH3" s="58"/>
      <c r="DI3" s="58"/>
      <c r="DJ3" s="58"/>
      <c r="DK3" s="58"/>
      <c r="DL3" s="58"/>
      <c r="DM3" s="58"/>
      <c r="DN3" s="58"/>
      <c r="DO3" s="58"/>
      <c r="DP3" s="58"/>
      <c r="DQ3" s="58"/>
      <c r="DR3" s="58"/>
      <c r="DS3" s="58"/>
      <c r="DT3" s="58"/>
      <c r="DU3" s="58"/>
      <c r="DV3" s="58"/>
      <c r="DW3" s="58"/>
      <c r="DX3" s="58"/>
      <c r="DY3" s="58"/>
      <c r="DZ3" s="58"/>
      <c r="EA3" s="58"/>
      <c r="EB3" s="58"/>
      <c r="EC3" s="58"/>
      <c r="ED3" s="58"/>
      <c r="EE3" s="58"/>
      <c r="EF3" s="58"/>
      <c r="EG3" s="58"/>
      <c r="EH3" s="58"/>
      <c r="EI3" s="58"/>
      <c r="EJ3" s="58"/>
      <c r="EK3" s="58"/>
      <c r="EL3" s="58"/>
      <c r="EM3" s="58"/>
      <c r="EN3" s="58"/>
      <c r="EO3" s="58"/>
      <c r="EP3" s="58"/>
      <c r="EQ3" s="58"/>
      <c r="ER3" s="58"/>
      <c r="ES3" s="58"/>
      <c r="ET3" s="58"/>
      <c r="EU3" s="58"/>
      <c r="EV3" s="58"/>
      <c r="EW3" s="58"/>
      <c r="EX3" s="58"/>
      <c r="EY3" s="58"/>
      <c r="EZ3" s="58"/>
      <c r="FA3" s="58"/>
      <c r="FB3" s="58"/>
      <c r="FC3" s="58"/>
      <c r="FD3" s="58"/>
      <c r="FE3" s="58"/>
      <c r="FF3" s="58"/>
      <c r="FG3" s="58"/>
      <c r="FH3" s="58"/>
      <c r="FI3" s="58"/>
      <c r="FJ3" s="58"/>
      <c r="FK3" s="58"/>
      <c r="FL3" s="58"/>
      <c r="FM3" s="58"/>
      <c r="FN3" s="58"/>
      <c r="FO3" s="58"/>
      <c r="FP3" s="58"/>
      <c r="FQ3" s="58"/>
      <c r="FR3" s="58"/>
      <c r="FS3" s="58"/>
      <c r="FT3" s="58"/>
      <c r="FU3" s="58"/>
      <c r="FV3" s="58"/>
      <c r="FW3" s="58"/>
      <c r="FX3" s="58"/>
      <c r="FY3" s="58"/>
      <c r="FZ3" s="58"/>
      <c r="GA3" s="58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59" t="str">
        <f>IFERROR(__xludf.DUMMYFUNCTION("""COMPUTED_VALUE"""),"VerifyDbNavWindow")</f>
        <v>VerifyDbNavWindow</v>
      </c>
      <c r="Q4" s="59" t="str">
        <f>IFERROR(__xludf.DUMMYFUNCTION("""COMPUTED_VALUE"""),"VerifyGlobalDivisorWindow")</f>
        <v>VerifyGlobalDivisorWindow</v>
      </c>
      <c r="R4" s="59" t="str">
        <f>IFERROR(__xludf.DUMMYFUNCTION("""COMPUTED_VALUE"""),"VerifyPmCalculationPreferenceWindow")</f>
        <v>VerifyPmCalculationPreferenceWindow</v>
      </c>
      <c r="S4" s="59" t="str">
        <f>IFERROR(__xludf.DUMMYFUNCTION("""COMPUTED_VALUE"""),"VerifyRowCalculationBaseWindow")</f>
        <v>VerifyRowCalculationBaseWindow</v>
      </c>
      <c r="T4" s="59" t="str">
        <f>IFERROR(__xludf.DUMMYFUNCTION("""COMPUTED_VALUE"""),"VerifySecurityWindow")</f>
        <v>VerifySecurityWindow</v>
      </c>
      <c r="U4" s="59" t="str">
        <f>IFERROR(__xludf.DUMMYFUNCTION("""COMPUTED_VALUE"""),"VerifySymbolDataWindow")</f>
        <v>VerifySymbolDataWindow</v>
      </c>
      <c r="V4" s="59" t="str">
        <f>IFERROR(__xludf.DUMMYFUNCTION("""COMPUTED_VALUE"""),"VerifySymbolDivisorWindow")</f>
        <v>VerifySymbolDivisorWindow</v>
      </c>
      <c r="W4" s="59" t="str">
        <f>IFERROR(__xludf.DUMMYFUNCTION("""COMPUTED_VALUE"""),"VerifyTaxlotWindow")</f>
        <v>VerifyTaxlotWindow</v>
      </c>
      <c r="X4" s="59" t="str">
        <f>IFERROR(__xludf.DUMMYFUNCTION("""COMPUTED_VALUE"""),"RestartEsper")</f>
        <v>RestartEsper</v>
      </c>
      <c r="Y4" s="59" t="str">
        <f>IFERROR(__xludf.DUMMYFUNCTION("""COMPUTED_VALUE"""),"VerifyAccountNavPreferenceWindow")</f>
        <v>VerifyAccountNavPreferenceWindow</v>
      </c>
      <c r="Z4" s="59" t="str">
        <f>IFERROR(__xludf.DUMMYFUNCTION("""COMPUTED_VALUE"""),"VerifyAggregationAccountUnderlyingSymbolWithNav")</f>
        <v>VerifyAggregationAccountUnderlyingSymbolWithNav</v>
      </c>
      <c r="AA4" s="59" t="str">
        <f>IFERROR(__xludf.DUMMYFUNCTION("""COMPUTED_VALUE"""),"VerifyAggregationAssetWithNav")</f>
        <v>VerifyAggregationAssetWithNav</v>
      </c>
      <c r="AB4" s="59" t="str">
        <f>IFERROR(__xludf.DUMMYFUNCTION("""COMPUTED_VALUE"""),"VerifyAggregationSymbolWithNav")</f>
        <v>VerifyAggregationSymbolWithNav</v>
      </c>
      <c r="AC4" s="59" t="str">
        <f>IFERROR(__xludf.DUMMYFUNCTION("""COMPUTED_VALUE"""),"VerifyAggregationSubSectorWithNav")</f>
        <v>VerifyAggregationSubSectorWithNav</v>
      </c>
      <c r="AD4" s="59" t="str">
        <f>IFERROR(__xludf.DUMMYFUNCTION("""COMPUTED_VALUE"""),"VerifyAggregationGlobalWithNav")</f>
        <v>VerifyAggregationGlobalWithNav</v>
      </c>
      <c r="AE4" s="59" t="str">
        <f>IFERROR(__xludf.DUMMYFUNCTION("""COMPUTED_VALUE"""),"VerifyAggregationGlobalWithNav")</f>
        <v>VerifyAggregationGlobalWithNav</v>
      </c>
      <c r="AF4" s="59" t="str">
        <f>IFERROR(__xludf.DUMMYFUNCTION("""COMPUTED_VALUE"""),"VerifyGlobalDivisorWindow")</f>
        <v>VerifyGlobalDivisorWindow</v>
      </c>
      <c r="AG4" s="59" t="str">
        <f>IFERROR(__xludf.DUMMYFUNCTION("""COMPUTED_VALUE"""),"VerifyAccrualForAccountWindow")</f>
        <v>VerifyAccrualForAccountWindow</v>
      </c>
      <c r="AH4" s="59" t="str">
        <f>IFERROR(__xludf.DUMMYFUNCTION("""COMPUTED_VALUE"""),"VerifyGlobalDivisorWindow")</f>
        <v>VerifyGlobalDivisorWindow</v>
      </c>
      <c r="AI4" s="59" t="str">
        <f>IFERROR(__xludf.DUMMYFUNCTION("""COMPUTED_VALUE"""),"VerifyMasterFundDivisorWindow")</f>
        <v>VerifyMasterFundDivisorWindow</v>
      </c>
      <c r="AJ4" s="59" t="str">
        <f>IFERROR(__xludf.DUMMYFUNCTION("""COMPUTED_VALUE"""),"VerifyMasterFundSymbolDivisorWindow")</f>
        <v>VerifyMasterFundSymbolDivisorWindow</v>
      </c>
      <c r="AK4" s="59" t="str">
        <f>IFERROR(__xludf.DUMMYFUNCTION("""COMPUTED_VALUE"""),"VerifyAggAccountSymbolWithNav")</f>
        <v>VerifyAggAccountSymbolWithNav</v>
      </c>
      <c r="AL4" s="59"/>
      <c r="AM4" s="59"/>
      <c r="AN4" s="59"/>
      <c r="AO4" s="59"/>
      <c r="AP4" s="59"/>
      <c r="AQ4" s="59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E4" s="59"/>
      <c r="DF4" s="59"/>
      <c r="DG4" s="59"/>
      <c r="DH4" s="59"/>
      <c r="DI4" s="59"/>
      <c r="DJ4" s="59"/>
      <c r="DK4" s="59"/>
      <c r="DL4" s="59"/>
      <c r="DM4" s="59"/>
      <c r="DN4" s="59"/>
      <c r="DO4" s="59"/>
      <c r="DP4" s="59"/>
      <c r="DQ4" s="59"/>
      <c r="DR4" s="59"/>
      <c r="DS4" s="59"/>
      <c r="DT4" s="59"/>
      <c r="DU4" s="59"/>
      <c r="DV4" s="59"/>
      <c r="DW4" s="59"/>
      <c r="DX4" s="59"/>
      <c r="DY4" s="59"/>
      <c r="DZ4" s="59"/>
      <c r="EA4" s="59"/>
      <c r="EB4" s="59"/>
      <c r="EC4" s="59"/>
      <c r="ED4" s="59"/>
      <c r="EE4" s="59"/>
      <c r="EF4" s="59"/>
      <c r="EG4" s="59"/>
      <c r="EH4" s="59"/>
      <c r="EI4" s="59"/>
      <c r="EJ4" s="59"/>
      <c r="EK4" s="59"/>
      <c r="EL4" s="59"/>
      <c r="EM4" s="59"/>
      <c r="EN4" s="59"/>
      <c r="EO4" s="59"/>
      <c r="EP4" s="59"/>
      <c r="EQ4" s="59"/>
      <c r="ER4" s="59"/>
      <c r="ES4" s="59"/>
      <c r="ET4" s="59"/>
      <c r="EU4" s="59"/>
      <c r="EV4" s="59"/>
      <c r="EW4" s="59"/>
      <c r="EX4" s="59"/>
      <c r="EY4" s="59"/>
      <c r="EZ4" s="59"/>
      <c r="FA4" s="59"/>
      <c r="FB4" s="59"/>
      <c r="FC4" s="59"/>
      <c r="FD4" s="59"/>
      <c r="FE4" s="59"/>
      <c r="FF4" s="59"/>
      <c r="FG4" s="59"/>
      <c r="FH4" s="59"/>
      <c r="FI4" s="59"/>
      <c r="FJ4" s="59"/>
      <c r="FK4" s="59"/>
      <c r="FL4" s="59"/>
      <c r="FM4" s="59"/>
      <c r="FN4" s="59"/>
      <c r="FO4" s="59"/>
      <c r="FP4" s="59"/>
      <c r="FQ4" s="59"/>
      <c r="FR4" s="59"/>
      <c r="FS4" s="59"/>
      <c r="FT4" s="59"/>
      <c r="FU4" s="59"/>
      <c r="FV4" s="59"/>
      <c r="FW4" s="59"/>
      <c r="FX4" s="59"/>
      <c r="FY4" s="59"/>
      <c r="FZ4" s="59"/>
      <c r="GA4" s="59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60" t="str">
        <f>IFERROR(__xludf.DUMMYFUNCTION("""COMPUTED_VALUE"""),"masterFundId")</f>
        <v>masterFundId</v>
      </c>
      <c r="U5" s="60" t="str">
        <f>IFERROR(__xludf.DUMMYFUNCTION("""COMPUTED_VALUE"""),"masterFundName")</f>
        <v>masterFundName</v>
      </c>
      <c r="V5" s="60" t="str">
        <f>IFERROR(__xludf.DUMMYFUNCTION("""COMPUTED_VALUE"""),"putOrCall")</f>
        <v>putOrCall</v>
      </c>
      <c r="W5" s="60" t="str">
        <f>IFERROR(__xludf.DUMMYFUNCTION("""COMPUTED_VALUE"""),"strikePrice")</f>
        <v>strikePrice</v>
      </c>
      <c r="X5" s="60" t="str">
        <f>IFERROR(__xludf.DUMMYFUNCTION("""COMPUTED_VALUE"""),"riskCurrency")</f>
        <v>riskCurrency</v>
      </c>
      <c r="Y5" s="60" t="str">
        <f>IFERROR(__xludf.DUMMYFUNCTION("""COMPUTED_VALUE"""),"issuer")</f>
        <v>issuer</v>
      </c>
      <c r="Z5" s="60" t="str">
        <f>IFERROR(__xludf.DUMMYFUNCTION("""COMPUTED_VALUE"""),"countryOfRisk")</f>
        <v>countryOfRisk</v>
      </c>
      <c r="AA5" s="60" t="str">
        <f>IFERROR(__xludf.DUMMYFUNCTION("""COMPUTED_VALUE"""),"region")</f>
        <v>region</v>
      </c>
      <c r="AB5" s="60" t="str">
        <f>IFERROR(__xludf.DUMMYFUNCTION("""COMPUTED_VALUE"""),"analyst")</f>
        <v>analyst</v>
      </c>
      <c r="AC5" s="60" t="str">
        <f>IFERROR(__xludf.DUMMYFUNCTION("""COMPUTED_VALUE"""),"ucitsEligibleTag")</f>
        <v>ucitsEligibleTag</v>
      </c>
      <c r="AD5" s="60" t="str">
        <f>IFERROR(__xludf.DUMMYFUNCTION("""COMPUTED_VALUE"""),"liquidTag")</f>
        <v>liquidTag</v>
      </c>
      <c r="AE5" s="60" t="str">
        <f>IFERROR(__xludf.DUMMYFUNCTION("""COMPUTED_VALUE"""),"marketCap")</f>
        <v>marketCap</v>
      </c>
      <c r="AF5" s="60" t="str">
        <f>IFERROR(__xludf.DUMMYFUNCTION("""COMPUTED_VALUE"""),"customUDA1")</f>
        <v>customUDA1</v>
      </c>
      <c r="AG5" s="60" t="str">
        <f>IFERROR(__xludf.DUMMYFUNCTION("""COMPUTED_VALUE"""),"customUDA2")</f>
        <v>customUDA2</v>
      </c>
      <c r="AH5" s="60" t="str">
        <f>IFERROR(__xludf.DUMMYFUNCTION("""COMPUTED_VALUE"""),"customUDA3")</f>
        <v>customUDA3</v>
      </c>
      <c r="AI5" s="60" t="str">
        <f>IFERROR(__xludf.DUMMYFUNCTION("""COMPUTED_VALUE"""),"customUDA4")</f>
        <v>customUDA4</v>
      </c>
      <c r="AJ5" s="60" t="str">
        <f>IFERROR(__xludf.DUMMYFUNCTION("""COMPUTED_VALUE"""),"customUDA5")</f>
        <v>customUDA5</v>
      </c>
      <c r="AK5" s="60" t="str">
        <f>IFERROR(__xludf.DUMMYFUNCTION("""COMPUTED_VALUE"""),"customUDA6")</f>
        <v>customUDA6</v>
      </c>
      <c r="AL5" s="60" t="str">
        <f>IFERROR(__xludf.DUMMYFUNCTION("""COMPUTED_VALUE"""),"customUDA7")</f>
        <v>customUDA7</v>
      </c>
      <c r="AM5" s="60" t="str">
        <f>IFERROR(__xludf.DUMMYFUNCTION("""COMPUTED_VALUE"""),"todayAbsTradeQuantity")</f>
        <v>todayAbsTradeQuantity</v>
      </c>
      <c r="AN5" s="60" t="str">
        <f>IFERROR(__xludf.DUMMYFUNCTION("""COMPUTED_VALUE"""),"todayLongTradeQuantity")</f>
        <v>todayLongTradeQuantity</v>
      </c>
      <c r="AO5" s="60" t="str">
        <f>IFERROR(__xludf.DUMMYFUNCTION("""COMPUTED_VALUE"""),"todayShortTradeQuantity")</f>
        <v>todayShortTradeQuantity</v>
      </c>
      <c r="AP5" s="60" t="str">
        <f>IFERROR(__xludf.DUMMYFUNCTION("""COMPUTED_VALUE"""),"todayNetNotionalBase")</f>
        <v>todayNetNotionalBase</v>
      </c>
      <c r="AQ5" s="60" t="str">
        <f>IFERROR(__xludf.DUMMYFUNCTION("""COMPUTED_VALUE"""),"todayLongNotionalBase")</f>
        <v>todayLongNotionalBase</v>
      </c>
      <c r="AR5" s="60" t="str">
        <f>IFERROR(__xludf.DUMMYFUNCTION("""COMPUTED_VALUE"""),"todayShortNotionalBase")</f>
        <v>todayShortNotionalBase</v>
      </c>
      <c r="AS5" s="60" t="str">
        <f>IFERROR(__xludf.DUMMYFUNCTION("""COMPUTED_VALUE"""),"quantity")</f>
        <v>quantity</v>
      </c>
      <c r="AT5" s="60" t="str">
        <f>IFERROR(__xludf.DUMMYFUNCTION("""COMPUTED_VALUE"""),"netMarketValueLocal")</f>
        <v>netMarketValueLocal</v>
      </c>
      <c r="AU5" s="60" t="str">
        <f>IFERROR(__xludf.DUMMYFUNCTION("""COMPUTED_VALUE"""),"yesterdayMarketValueLocal")</f>
        <v>yesterdayMarketValueLocal</v>
      </c>
      <c r="AV5" s="60" t="str">
        <f>IFERROR(__xludf.DUMMYFUNCTION("""COMPUTED_VALUE"""),"grossMarketValueLocal")</f>
        <v>grossMarketValueLocal</v>
      </c>
      <c r="AW5" s="60" t="str">
        <f>IFERROR(__xludf.DUMMYFUNCTION("""COMPUTED_VALUE"""),"notionalLocal")</f>
        <v>notionalLocal</v>
      </c>
      <c r="AX5" s="60" t="str">
        <f>IFERROR(__xludf.DUMMYFUNCTION("""COMPUTED_VALUE"""),"equityHaircutLocal")</f>
        <v>equityHaircutLocal</v>
      </c>
      <c r="AY5" s="60" t="str">
        <f>IFERROR(__xludf.DUMMYFUNCTION("""COMPUTED_VALUE"""),"indexHaircutLocal")</f>
        <v>indexHaircutLocal</v>
      </c>
      <c r="AZ5" s="60" t="str">
        <f>IFERROR(__xludf.DUMMYFUNCTION("""COMPUTED_VALUE"""),"equityHaircutBase")</f>
        <v>equityHaircutBase</v>
      </c>
      <c r="BA5" s="60" t="str">
        <f>IFERROR(__xludf.DUMMYFUNCTION("""COMPUTED_VALUE"""),"indexHaircutBase")</f>
        <v>indexHaircutBase</v>
      </c>
      <c r="BB5" s="60" t="str">
        <f>IFERROR(__xludf.DUMMYFUNCTION("""COMPUTED_VALUE"""),"cashImpactLocal")</f>
        <v>cashImpactLocal</v>
      </c>
      <c r="BC5" s="60" t="str">
        <f>IFERROR(__xludf.DUMMYFUNCTION("""COMPUTED_VALUE"""),"cashInflowLocal")</f>
        <v>cashInflowLocal</v>
      </c>
      <c r="BD5" s="60" t="str">
        <f>IFERROR(__xludf.DUMMYFUNCTION("""COMPUTED_VALUE"""),"cashOutflowLocal")</f>
        <v>cashOutflowLocal</v>
      </c>
      <c r="BE5" s="60" t="str">
        <f>IFERROR(__xludf.DUMMYFUNCTION("""COMPUTED_VALUE"""),"costBasisPnLLocal")</f>
        <v>costBasisPnLLocal</v>
      </c>
      <c r="BF5" s="60" t="str">
        <f>IFERROR(__xludf.DUMMYFUNCTION("""COMPUTED_VALUE"""),"dayPnLLocal")</f>
        <v>dayPnLLocal</v>
      </c>
      <c r="BG5" s="60" t="str">
        <f>IFERROR(__xludf.DUMMYFUNCTION("""COMPUTED_VALUE"""),"netExposureLocal")</f>
        <v>netExposureLocal</v>
      </c>
      <c r="BH5" s="60" t="str">
        <f>IFERROR(__xludf.DUMMYFUNCTION("""COMPUTED_VALUE"""),"grossExposureLocal")</f>
        <v>grossExposureLocal</v>
      </c>
      <c r="BI5" s="60" t="str">
        <f>IFERROR(__xludf.DUMMYFUNCTION("""COMPUTED_VALUE"""),"betaAdjustedExposureLocal")</f>
        <v>betaAdjustedExposureLocal</v>
      </c>
      <c r="BJ5" s="60" t="str">
        <f>IFERROR(__xludf.DUMMYFUNCTION("""COMPUTED_VALUE"""),"deltaAdjPosition")</f>
        <v>deltaAdjPosition</v>
      </c>
      <c r="BK5" s="60" t="str">
        <f>IFERROR(__xludf.DUMMYFUNCTION("""COMPUTED_VALUE"""),"liquidationPnlLocal")</f>
        <v>liquidationPnlLocal</v>
      </c>
      <c r="BL5" s="60" t="str">
        <f>IFERROR(__xludf.DUMMYFUNCTION("""COMPUTED_VALUE"""),"liquidationPnlBase")</f>
        <v>liquidationPnlBase</v>
      </c>
      <c r="BM5" s="60" t="str">
        <f>IFERROR(__xludf.DUMMYFUNCTION("""COMPUTED_VALUE"""),"underlyingValueForOptionsLocal")</f>
        <v>underlyingValueForOptionsLocal</v>
      </c>
      <c r="BN5" s="60" t="str">
        <f>IFERROR(__xludf.DUMMYFUNCTION("""COMPUTED_VALUE"""),"notionalBase")</f>
        <v>notionalBase</v>
      </c>
      <c r="BO5" s="60" t="str">
        <f>IFERROR(__xludf.DUMMYFUNCTION("""COMPUTED_VALUE"""),"cashImpactBase")</f>
        <v>cashImpactBase</v>
      </c>
      <c r="BP5" s="60" t="str">
        <f>IFERROR(__xludf.DUMMYFUNCTION("""COMPUTED_VALUE"""),"cashInflowBase")</f>
        <v>cashInflowBase</v>
      </c>
      <c r="BQ5" s="60" t="str">
        <f>IFERROR(__xludf.DUMMYFUNCTION("""COMPUTED_VALUE"""),"cashOutflowBase")</f>
        <v>cashOutflowBase</v>
      </c>
      <c r="BR5" s="60" t="str">
        <f>IFERROR(__xludf.DUMMYFUNCTION("""COMPUTED_VALUE"""),"netMarketValueBase")</f>
        <v>netMarketValueBase</v>
      </c>
      <c r="BS5" s="60" t="str">
        <f>IFERROR(__xludf.DUMMYFUNCTION("""COMPUTED_VALUE"""),"yesterdayMarketValueBase")</f>
        <v>yesterdayMarketValueBase</v>
      </c>
      <c r="BT5" s="60" t="str">
        <f>IFERROR(__xludf.DUMMYFUNCTION("""COMPUTED_VALUE"""),"grossMarketValueBase")</f>
        <v>grossMarketValueBase</v>
      </c>
      <c r="BU5" s="60" t="str">
        <f>IFERROR(__xludf.DUMMYFUNCTION("""COMPUTED_VALUE"""),"costBasisPnLBase")</f>
        <v>costBasisPnLBase</v>
      </c>
      <c r="BV5" s="60" t="str">
        <f>IFERROR(__xludf.DUMMYFUNCTION("""COMPUTED_VALUE"""),"dayPnLBase")</f>
        <v>dayPnLBase</v>
      </c>
      <c r="BW5" s="60" t="str">
        <f>IFERROR(__xludf.DUMMYFUNCTION("""COMPUTED_VALUE"""),"netExposureBase")</f>
        <v>netExposureBase</v>
      </c>
      <c r="BX5" s="60" t="str">
        <f>IFERROR(__xludf.DUMMYFUNCTION("""COMPUTED_VALUE"""),"grossExposureBase")</f>
        <v>grossExposureBase</v>
      </c>
      <c r="BY5" s="60" t="str">
        <f>IFERROR(__xludf.DUMMYFUNCTION("""COMPUTED_VALUE"""),"betaAdjustedExposureBase")</f>
        <v>betaAdjustedExposureBase</v>
      </c>
      <c r="BZ5" s="60" t="str">
        <f>IFERROR(__xludf.DUMMYFUNCTION("""COMPUTED_VALUE"""),"underlyingValueForOptionsBase")</f>
        <v>underlyingValueForOptionsBase</v>
      </c>
      <c r="CA5" s="60" t="str">
        <f>IFERROR(__xludf.DUMMYFUNCTION("""COMPUTED_VALUE"""),"currentFxRate")</f>
        <v>currentFxRate</v>
      </c>
      <c r="CB5" s="60" t="str">
        <f>IFERROR(__xludf.DUMMYFUNCTION("""COMPUTED_VALUE"""),"yesterdayFxRate")</f>
        <v>yesterdayFxRate</v>
      </c>
      <c r="CC5" s="60" t="str">
        <f>IFERROR(__xludf.DUMMYFUNCTION("""COMPUTED_VALUE"""),"fxConversionMethod")</f>
        <v>fxConversionMethod</v>
      </c>
      <c r="CD5" s="60" t="str">
        <f>IFERROR(__xludf.DUMMYFUNCTION("""COMPUTED_VALUE"""),"askPrice")</f>
        <v>askPrice</v>
      </c>
      <c r="CE5" s="60" t="str">
        <f>IFERROR(__xludf.DUMMYFUNCTION("""COMPUTED_VALUE"""),"bidPrice")</f>
        <v>bidPrice</v>
      </c>
      <c r="CF5" s="60" t="str">
        <f>IFERROR(__xludf.DUMMYFUNCTION("""COMPUTED_VALUE"""),"lowPrice")</f>
        <v>lowPrice</v>
      </c>
      <c r="CG5" s="60" t="str">
        <f>IFERROR(__xludf.DUMMYFUNCTION("""COMPUTED_VALUE"""),"highPrice")</f>
        <v>highPrice</v>
      </c>
      <c r="CH5" s="60" t="str">
        <f>IFERROR(__xludf.DUMMYFUNCTION("""COMPUTED_VALUE"""),"openPrice")</f>
        <v>openPrice</v>
      </c>
      <c r="CI5" s="60" t="str">
        <f>IFERROR(__xludf.DUMMYFUNCTION("""COMPUTED_VALUE"""),"closePrice")</f>
        <v>closePrice</v>
      </c>
      <c r="CJ5" s="60" t="str">
        <f>IFERROR(__xludf.DUMMYFUNCTION("""COMPUTED_VALUE"""),"lastPrice")</f>
        <v>lastPrice</v>
      </c>
      <c r="CK5" s="60" t="str">
        <f>IFERROR(__xludf.DUMMYFUNCTION("""COMPUTED_VALUE"""),"markPrice")</f>
        <v>markPrice</v>
      </c>
      <c r="CL5" s="60" t="str">
        <f>IFERROR(__xludf.DUMMYFUNCTION("""COMPUTED_VALUE"""),"delta")</f>
        <v>delta</v>
      </c>
      <c r="CM5" s="60" t="str">
        <f>IFERROR(__xludf.DUMMYFUNCTION("""COMPUTED_VALUE"""),"leveragedFactor")</f>
        <v>leveragedFactor</v>
      </c>
      <c r="CN5" s="60" t="str">
        <f>IFERROR(__xludf.DUMMYFUNCTION("""COMPUTED_VALUE"""),"beta5YearMonthly")</f>
        <v>beta5YearMonthly</v>
      </c>
      <c r="CO5" s="60" t="str">
        <f>IFERROR(__xludf.DUMMYFUNCTION("""COMPUTED_VALUE"""),"selectedFeedPrice")</f>
        <v>selectedFeedPrice</v>
      </c>
      <c r="CP5" s="60" t="str">
        <f>IFERROR(__xludf.DUMMYFUNCTION("""COMPUTED_VALUE"""),"openInterest")</f>
        <v>openInterest</v>
      </c>
      <c r="CQ5" s="60" t="str">
        <f>IFERROR(__xludf.DUMMYFUNCTION("""COMPUTED_VALUE"""),"underlyingPrice")</f>
        <v>underlyingPrice</v>
      </c>
      <c r="CR5" s="60" t="str">
        <f>IFERROR(__xludf.DUMMYFUNCTION("""COMPUTED_VALUE"""),"avgVolume20Days")</f>
        <v>avgVolume20Days</v>
      </c>
      <c r="CS5" s="60" t="str">
        <f>IFERROR(__xludf.DUMMYFUNCTION("""COMPUTED_VALUE"""),"percentAvgVolume")</f>
        <v>percentAvgVolume</v>
      </c>
      <c r="CT5" s="60" t="str">
        <f>IFERROR(__xludf.DUMMYFUNCTION("""COMPUTED_VALUE"""),"sharesOutstanding")</f>
        <v>sharesOutstanding</v>
      </c>
      <c r="CU5" s="60" t="str">
        <f>IFERROR(__xludf.DUMMYFUNCTION("""COMPUTED_VALUE"""),"underlyingSharesOutstanding")</f>
        <v>underlyingSharesOutstanding</v>
      </c>
      <c r="CV5" s="60" t="str">
        <f>IFERROR(__xludf.DUMMYFUNCTION("""COMPUTED_VALUE"""),"marketCapitalization")</f>
        <v>marketCapitalization</v>
      </c>
      <c r="CW5" s="60" t="str">
        <f>IFERROR(__xludf.DUMMYFUNCTION("""COMPUTED_VALUE"""),"underlyingMarketCapitalization")</f>
        <v>underlyingMarketCapitalization</v>
      </c>
      <c r="CX5" s="60" t="str">
        <f>IFERROR(__xludf.DUMMYFUNCTION("""COMPUTED_VALUE"""),"avgVolume")</f>
        <v>avgVolume</v>
      </c>
      <c r="CY5" s="60" t="str">
        <f>IFERROR(__xludf.DUMMYFUNCTION("""COMPUTED_VALUE"""),"businessDaysToExpire")</f>
        <v>businessDaysToExpire</v>
      </c>
      <c r="CZ5" s="60" t="str">
        <f>IFERROR(__xludf.DUMMYFUNCTION("""COMPUTED_VALUE"""),"actualDaysToExpire")</f>
        <v>actualDaysToExpire</v>
      </c>
      <c r="DA5" s="60" t="str">
        <f>IFERROR(__xludf.DUMMYFUNCTION("""COMPUTED_VALUE"""),"equivalent")</f>
        <v>equivalent</v>
      </c>
      <c r="DB5" s="60" t="str">
        <f>IFERROR(__xludf.DUMMYFUNCTION("""COMPUTED_VALUE"""),"multiplier")</f>
        <v>multiplier</v>
      </c>
      <c r="DC5" s="60" t="str">
        <f>IFERROR(__xludf.DUMMYFUNCTION("""COMPUTED_VALUE"""),"dayInterestBase")</f>
        <v>dayInterestBase</v>
      </c>
      <c r="DD5" s="60" t="str">
        <f>IFERROR(__xludf.DUMMYFUNCTION("""COMPUTED_VALUE"""),"totalInterestBase")</f>
        <v>totalInterestBase</v>
      </c>
      <c r="DE5" s="60" t="str">
        <f>IFERROR(__xludf.DUMMYFUNCTION("""COMPUTED_VALUE"""),"dayInterestLocal")</f>
        <v>dayInterestLocal</v>
      </c>
      <c r="DF5" s="60" t="str">
        <f>IFERROR(__xludf.DUMMYFUNCTION("""COMPUTED_VALUE"""),"totalInterestLocal")</f>
        <v>totalInterestLocal</v>
      </c>
      <c r="DG5" s="60" t="str">
        <f>IFERROR(__xludf.DUMMYFUNCTION("""COMPUTED_VALUE"""),"defaultPositionSide")</f>
        <v>defaultPositionSide</v>
      </c>
      <c r="DH5" s="60" t="str">
        <f>IFERROR(__xludf.DUMMYFUNCTION("""COMPUTED_VALUE"""),"exposurePositionSide")</f>
        <v>exposurePositionSide</v>
      </c>
      <c r="DI5" s="60" t="str">
        <f>IFERROR(__xludf.DUMMYFUNCTION("""COMPUTED_VALUE"""),"longNotionalBase")</f>
        <v>longNotionalBase</v>
      </c>
      <c r="DJ5" s="60" t="str">
        <f>IFERROR(__xludf.DUMMYFUNCTION("""COMPUTED_VALUE"""),"shortNotionalBase")</f>
        <v>shortNotionalBase</v>
      </c>
      <c r="DK5" s="60" t="str">
        <f>IFERROR(__xludf.DUMMYFUNCTION("""COMPUTED_VALUE"""),"shortMarketValueBase")</f>
        <v>shortMarketValueBase</v>
      </c>
      <c r="DL5" s="60" t="str">
        <f>IFERROR(__xludf.DUMMYFUNCTION("""COMPUTED_VALUE"""),"longMarketValueBase")</f>
        <v>longMarketValueBase</v>
      </c>
      <c r="DM5" s="60" t="str">
        <f>IFERROR(__xludf.DUMMYFUNCTION("""COMPUTED_VALUE"""),"shortExposureBase")</f>
        <v>shortExposureBase</v>
      </c>
      <c r="DN5" s="60" t="str">
        <f>IFERROR(__xludf.DUMMYFUNCTION("""COMPUTED_VALUE"""),"longExposureBase")</f>
        <v>longExposureBase</v>
      </c>
      <c r="DO5" s="60" t="str">
        <f>IFERROR(__xludf.DUMMYFUNCTION("""COMPUTED_VALUE"""),"globalNav")</f>
        <v>globalNav</v>
      </c>
      <c r="DP5" s="60" t="str">
        <f>IFERROR(__xludf.DUMMYFUNCTION("""COMPUTED_VALUE"""),"startOfDayNavGlobal")</f>
        <v>startOfDayNavGlobal</v>
      </c>
      <c r="DQ5" s="60" t="str">
        <f>IFERROR(__xludf.DUMMYFUNCTION("""COMPUTED_VALUE"""),"grossMarketValueBaseGlobal")</f>
        <v>grossMarketValueBaseGlobal</v>
      </c>
      <c r="DR5" s="60" t="str">
        <f>IFERROR(__xludf.DUMMYFUNCTION("""COMPUTED_VALUE"""),"grossExposureBaseGlobal")</f>
        <v>grossExposureBaseGlobal</v>
      </c>
      <c r="DS5" s="60" t="str">
        <f>IFERROR(__xludf.DUMMYFUNCTION("""COMPUTED_VALUE"""),"netExposureBaseGlobal")</f>
        <v>netExposureBaseGlobal</v>
      </c>
      <c r="DT5" s="60" t="str">
        <f>IFERROR(__xludf.DUMMYFUNCTION("""COMPUTED_VALUE"""),"accountNav")</f>
        <v>accountNav</v>
      </c>
      <c r="DU5" s="60" t="str">
        <f>IFERROR(__xludf.DUMMYFUNCTION("""COMPUTED_VALUE"""),"accountNRA")</f>
        <v>accountNRA</v>
      </c>
      <c r="DV5" s="60" t="str">
        <f>IFERROR(__xludf.DUMMYFUNCTION("""COMPUTED_VALUE"""),"startOfDayNavAccount")</f>
        <v>startOfDayNavAccount</v>
      </c>
      <c r="DW5" s="60" t="str">
        <f>IFERROR(__xludf.DUMMYFUNCTION("""COMPUTED_VALUE"""),"grossMarketValueBaseAccount")</f>
        <v>grossMarketValueBaseAccount</v>
      </c>
      <c r="DX5" s="60" t="str">
        <f>IFERROR(__xludf.DUMMYFUNCTION("""COMPUTED_VALUE"""),"grossExposureBaseAccount")</f>
        <v>grossExposureBaseAccount</v>
      </c>
      <c r="DY5" s="60" t="str">
        <f>IFERROR(__xludf.DUMMYFUNCTION("""COMPUTED_VALUE"""),"netExposureBaseAccount")</f>
        <v>netExposureBaseAccount</v>
      </c>
      <c r="DZ5" s="60" t="str">
        <f>IFERROR(__xludf.DUMMYFUNCTION("""COMPUTED_VALUE"""),"currentCash")</f>
        <v>currentCash</v>
      </c>
      <c r="EA5" s="60" t="str">
        <f>IFERROR(__xludf.DUMMYFUNCTION("""COMPUTED_VALUE"""),"accrual")</f>
        <v>accrual</v>
      </c>
      <c r="EB5" s="60" t="str">
        <f>IFERROR(__xludf.DUMMYFUNCTION("""COMPUTED_VALUE"""),"masterFundNav")</f>
        <v>masterFundNav</v>
      </c>
      <c r="EC5" s="60" t="str">
        <f>IFERROR(__xludf.DUMMYFUNCTION("""COMPUTED_VALUE"""),"startOfDayNavMasterFund")</f>
        <v>startOfDayNavMasterFund</v>
      </c>
      <c r="ED5" s="60" t="str">
        <f>IFERROR(__xludf.DUMMYFUNCTION("""COMPUTED_VALUE"""),"grossMarketValueBaseMasterFund")</f>
        <v>grossMarketValueBaseMasterFund</v>
      </c>
      <c r="EE5" s="60" t="str">
        <f>IFERROR(__xludf.DUMMYFUNCTION("""COMPUTED_VALUE"""),"grossExposureBaseMasterFund")</f>
        <v>grossExposureBaseMasterFund</v>
      </c>
      <c r="EF5" s="60" t="str">
        <f>IFERROR(__xludf.DUMMYFUNCTION("""COMPUTED_VALUE"""),"netExposureBaseMasterFund")</f>
        <v>netExposureBaseMasterFund</v>
      </c>
      <c r="EG5" s="60" t="str">
        <f>IFERROR(__xludf.DUMMYFUNCTION("""COMPUTED_VALUE"""),"percentNetMarketValueAccount")</f>
        <v>percentNetMarketValueAccount</v>
      </c>
      <c r="EH5" s="60" t="str">
        <f>IFERROR(__xludf.DUMMYFUNCTION("""COMPUTED_VALUE"""),"percentLongExposureAccount")</f>
        <v>percentLongExposureAccount</v>
      </c>
      <c r="EI5" s="60" t="str">
        <f>IFERROR(__xludf.DUMMYFUNCTION("""COMPUTED_VALUE"""),"percentShortExposureAccount")</f>
        <v>percentShortExposureAccount</v>
      </c>
      <c r="EJ5" s="60" t="str">
        <f>IFERROR(__xludf.DUMMYFUNCTION("""COMPUTED_VALUE"""),"percentNetExposureAccount")</f>
        <v>percentNetExposureAccount</v>
      </c>
      <c r="EK5" s="60" t="str">
        <f>IFERROR(__xludf.DUMMYFUNCTION("""COMPUTED_VALUE"""),"percentBetaAdjustedExposureAccount")</f>
        <v>percentBetaAdjustedExposureAccount</v>
      </c>
      <c r="EL5" s="60" t="str">
        <f>IFERROR(__xludf.DUMMYFUNCTION("""COMPUTED_VALUE"""),"percentGrossExposureAccount")</f>
        <v>percentGrossExposureAccount</v>
      </c>
      <c r="EM5" s="60" t="str">
        <f>IFERROR(__xludf.DUMMYFUNCTION("""COMPUTED_VALUE"""),"percentLongMarketValueAccount")</f>
        <v>percentLongMarketValueAccount</v>
      </c>
      <c r="EN5" s="60" t="str">
        <f>IFERROR(__xludf.DUMMYFUNCTION("""COMPUTED_VALUE"""),"percentShortMarketValueAccount")</f>
        <v>percentShortMarketValueAccount</v>
      </c>
      <c r="EO5" s="60" t="str">
        <f>IFERROR(__xludf.DUMMYFUNCTION("""COMPUTED_VALUE"""),"percentGrossMarketValueAccount")</f>
        <v>percentGrossMarketValueAccount</v>
      </c>
      <c r="EP5" s="60" t="str">
        <f>IFERROR(__xludf.DUMMYFUNCTION("""COMPUTED_VALUE"""),"percentLongNotionalAccount")</f>
        <v>percentLongNotionalAccount</v>
      </c>
      <c r="EQ5" s="60" t="str">
        <f>IFERROR(__xludf.DUMMYFUNCTION("""COMPUTED_VALUE"""),"percentShortNotionalAccount")</f>
        <v>percentShortNotionalAccount</v>
      </c>
      <c r="ER5" s="60" t="str">
        <f>IFERROR(__xludf.DUMMYFUNCTION("""COMPUTED_VALUE"""),"percentNetNotionalAccount")</f>
        <v>percentNetNotionalAccount</v>
      </c>
      <c r="ES5" s="60" t="str">
        <f>IFERROR(__xludf.DUMMYFUNCTION("""COMPUTED_VALUE"""),"pnlContributionAccount")</f>
        <v>pnlContributionAccount</v>
      </c>
      <c r="ET5" s="60" t="str">
        <f>IFERROR(__xludf.DUMMYFUNCTION("""COMPUTED_VALUE"""),"percentCostBasisPnlAccount")</f>
        <v>percentCostBasisPnlAccount</v>
      </c>
      <c r="EU5" s="60" t="str">
        <f>IFERROR(__xludf.DUMMYFUNCTION("""COMPUTED_VALUE"""),"dayReturnAccount")</f>
        <v>dayReturnAccount</v>
      </c>
      <c r="EV5" s="60" t="str">
        <f>IFERROR(__xludf.DUMMYFUNCTION("""COMPUTED_VALUE"""),"percentNetMarketValueMasterFund")</f>
        <v>percentNetMarketValueMasterFund</v>
      </c>
      <c r="EW5" s="60" t="str">
        <f>IFERROR(__xludf.DUMMYFUNCTION("""COMPUTED_VALUE"""),"percentLongExposureMasterFund")</f>
        <v>percentLongExposureMasterFund</v>
      </c>
      <c r="EX5" s="60" t="str">
        <f>IFERROR(__xludf.DUMMYFUNCTION("""COMPUTED_VALUE"""),"percentShortExposureMasterFund")</f>
        <v>percentShortExposureMasterFund</v>
      </c>
      <c r="EY5" s="60" t="str">
        <f>IFERROR(__xludf.DUMMYFUNCTION("""COMPUTED_VALUE"""),"percentNetExposureMasterFund")</f>
        <v>percentNetExposureMasterFund</v>
      </c>
      <c r="EZ5" s="60" t="str">
        <f>IFERROR(__xludf.DUMMYFUNCTION("""COMPUTED_VALUE"""),"percentBetaAdjustedExposureMasterFund")</f>
        <v>percentBetaAdjustedExposureMasterFund</v>
      </c>
      <c r="FA5" s="60" t="str">
        <f>IFERROR(__xludf.DUMMYFUNCTION("""COMPUTED_VALUE"""),"percentGrossExposureMasterFund")</f>
        <v>percentGrossExposureMasterFund</v>
      </c>
      <c r="FB5" s="60" t="str">
        <f>IFERROR(__xludf.DUMMYFUNCTION("""COMPUTED_VALUE"""),"percentLongMarketValueMasterFund")</f>
        <v>percentLongMarketValueMasterFund</v>
      </c>
      <c r="FC5" s="60" t="str">
        <f>IFERROR(__xludf.DUMMYFUNCTION("""COMPUTED_VALUE"""),"percentShortMarketValueMasterFund")</f>
        <v>percentShortMarketValueMasterFund</v>
      </c>
      <c r="FD5" s="60" t="str">
        <f>IFERROR(__xludf.DUMMYFUNCTION("""COMPUTED_VALUE"""),"percentGrossMarketValueMasterFund")</f>
        <v>percentGrossMarketValueMasterFund</v>
      </c>
      <c r="FE5" s="60" t="str">
        <f>IFERROR(__xludf.DUMMYFUNCTION("""COMPUTED_VALUE"""),"percentLongNotionalMasterFund")</f>
        <v>percentLongNotionalMasterFund</v>
      </c>
      <c r="FF5" s="60" t="str">
        <f>IFERROR(__xludf.DUMMYFUNCTION("""COMPUTED_VALUE"""),"percentShortNotionalMasterFund")</f>
        <v>percentShortNotionalMasterFund</v>
      </c>
      <c r="FG5" s="60" t="str">
        <f>IFERROR(__xludf.DUMMYFUNCTION("""COMPUTED_VALUE"""),"percentNetNotionalMasterFund")</f>
        <v>percentNetNotionalMasterFund</v>
      </c>
      <c r="FH5" s="60" t="str">
        <f>IFERROR(__xludf.DUMMYFUNCTION("""COMPUTED_VALUE"""),"pnlContributionMasterFund")</f>
        <v>pnlContributionMasterFund</v>
      </c>
      <c r="FI5" s="60" t="str">
        <f>IFERROR(__xludf.DUMMYFUNCTION("""COMPUTED_VALUE"""),"percentCostBasisPnlMasterFund")</f>
        <v>percentCostBasisPnlMasterFund</v>
      </c>
      <c r="FJ5" s="60" t="str">
        <f>IFERROR(__xludf.DUMMYFUNCTION("""COMPUTED_VALUE"""),"dayReturnMasterFund")</f>
        <v>dayReturnMasterFund</v>
      </c>
      <c r="FK5" s="60" t="str">
        <f>IFERROR(__xludf.DUMMYFUNCTION("""COMPUTED_VALUE"""),"percentNetMarketValueGlobal")</f>
        <v>percentNetMarketValueGlobal</v>
      </c>
      <c r="FL5" s="60" t="str">
        <f>IFERROR(__xludf.DUMMYFUNCTION("""COMPUTED_VALUE"""),"percentLongExposureGlobal")</f>
        <v>percentLongExposureGlobal</v>
      </c>
      <c r="FM5" s="60" t="str">
        <f>IFERROR(__xludf.DUMMYFUNCTION("""COMPUTED_VALUE"""),"percentShortExposureGlobal")</f>
        <v>percentShortExposureGlobal</v>
      </c>
      <c r="FN5" s="60" t="str">
        <f>IFERROR(__xludf.DUMMYFUNCTION("""COMPUTED_VALUE"""),"percentNetExposureGlobal")</f>
        <v>percentNetExposureGlobal</v>
      </c>
      <c r="FO5" s="60" t="str">
        <f>IFERROR(__xludf.DUMMYFUNCTION("""COMPUTED_VALUE"""),"percentBetaAdjustedExposureGlobal")</f>
        <v>percentBetaAdjustedExposureGlobal</v>
      </c>
      <c r="FP5" s="60" t="str">
        <f>IFERROR(__xludf.DUMMYFUNCTION("""COMPUTED_VALUE"""),"percentGrossExposureGlobal")</f>
        <v>percentGrossExposureGlobal</v>
      </c>
      <c r="FQ5" s="60" t="str">
        <f>IFERROR(__xludf.DUMMYFUNCTION("""COMPUTED_VALUE"""),"percentLongMarketValueGlobal")</f>
        <v>percentLongMarketValueGlobal</v>
      </c>
      <c r="FR5" s="60" t="str">
        <f>IFERROR(__xludf.DUMMYFUNCTION("""COMPUTED_VALUE"""),"percentShortMarketValueGlobal")</f>
        <v>percentShortMarketValueGlobal</v>
      </c>
      <c r="FS5" s="60" t="str">
        <f>IFERROR(__xludf.DUMMYFUNCTION("""COMPUTED_VALUE"""),"percentGrossMarketValueGlobal")</f>
        <v>percentGrossMarketValueGlobal</v>
      </c>
      <c r="FT5" s="60" t="str">
        <f>IFERROR(__xludf.DUMMYFUNCTION("""COMPUTED_VALUE"""),"percentLongNotionalGlobal")</f>
        <v>percentLongNotionalGlobal</v>
      </c>
      <c r="FU5" s="60" t="str">
        <f>IFERROR(__xludf.DUMMYFUNCTION("""COMPUTED_VALUE"""),"percentShortNotionalGlobal")</f>
        <v>percentShortNotionalGlobal</v>
      </c>
      <c r="FV5" s="60" t="str">
        <f>IFERROR(__xludf.DUMMYFUNCTION("""COMPUTED_VALUE"""),"percentNetNotionalGlobal")</f>
        <v>percentNetNotionalGlobal</v>
      </c>
      <c r="FW5" s="60" t="str">
        <f>IFERROR(__xludf.DUMMYFUNCTION("""COMPUTED_VALUE"""),"pnlContributionGlobal")</f>
        <v>pnlContributionGlobal</v>
      </c>
      <c r="FX5" s="60" t="str">
        <f>IFERROR(__xludf.DUMMYFUNCTION("""COMPUTED_VALUE"""),"percentCostBasisPnlGlobal")</f>
        <v>percentCostBasisPnlGlobal</v>
      </c>
      <c r="FY5" s="60" t="str">
        <f>IFERROR(__xludf.DUMMYFUNCTION("""COMPUTED_VALUE"""),"dayReturnGlobal")</f>
        <v>dayReturnGlobal</v>
      </c>
      <c r="FZ5" s="60" t="str">
        <f>IFERROR(__xludf.DUMMYFUNCTION("""COMPUTED_VALUE"""),"longDebitBalance")</f>
        <v>longDebitBalance</v>
      </c>
      <c r="GA5" s="60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50"/>
      <c r="B6" s="50" t="s">
        <v>43</v>
      </c>
      <c r="C6" s="53"/>
      <c r="D6" s="50" t="s">
        <v>44</v>
      </c>
      <c r="E6" s="51" t="s">
        <v>41</v>
      </c>
      <c r="F6" s="51" t="s">
        <v>41</v>
      </c>
      <c r="G6" s="53" t="s">
        <v>21</v>
      </c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53"/>
      <c r="AJ6" s="53"/>
      <c r="AK6" s="53"/>
      <c r="AL6" s="53"/>
      <c r="AM6" s="53"/>
      <c r="AN6" s="61"/>
      <c r="AO6" s="61"/>
      <c r="AP6" s="61"/>
      <c r="AQ6" s="52">
        <v>0.0</v>
      </c>
      <c r="AR6" s="52">
        <v>0.0</v>
      </c>
      <c r="AS6" s="52">
        <v>25.0</v>
      </c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53"/>
      <c r="B7" s="53" t="s">
        <v>43</v>
      </c>
      <c r="C7" s="53"/>
      <c r="D7" s="53" t="s">
        <v>44</v>
      </c>
      <c r="E7" s="44" t="s">
        <v>40</v>
      </c>
      <c r="F7" s="44" t="s">
        <v>40</v>
      </c>
      <c r="G7" s="53" t="s">
        <v>21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53"/>
      <c r="AJ7" s="53"/>
      <c r="AK7" s="53"/>
      <c r="AL7" s="53"/>
      <c r="AM7" s="53"/>
      <c r="AN7" s="61"/>
      <c r="AO7" s="61"/>
      <c r="AP7" s="61"/>
      <c r="AQ7" s="52">
        <v>0.0</v>
      </c>
      <c r="AR7" s="52">
        <v>0.0</v>
      </c>
      <c r="AS7" s="52">
        <v>25.0</v>
      </c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  <c r="BV7" s="61"/>
      <c r="BW7" s="61"/>
      <c r="BX7" s="61"/>
      <c r="BY7" s="61"/>
      <c r="BZ7" s="61"/>
      <c r="CA7" s="61"/>
      <c r="CB7" s="61"/>
      <c r="CC7" s="61"/>
      <c r="CD7" s="61"/>
      <c r="CE7" s="61"/>
      <c r="CF7" s="61"/>
      <c r="CG7" s="61"/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1"/>
      <c r="CS7" s="61"/>
      <c r="CT7" s="61"/>
      <c r="CU7" s="61"/>
      <c r="CV7" s="61"/>
      <c r="CW7" s="61"/>
      <c r="CX7" s="61"/>
      <c r="CY7" s="61"/>
      <c r="CZ7" s="61"/>
      <c r="DA7" s="61"/>
      <c r="DB7" s="61"/>
      <c r="DC7" s="61"/>
      <c r="DD7" s="61"/>
      <c r="DE7" s="61"/>
      <c r="DF7" s="61"/>
      <c r="DG7" s="61"/>
      <c r="DH7" s="61"/>
      <c r="DI7" s="61"/>
      <c r="DJ7" s="61"/>
      <c r="DK7" s="61"/>
      <c r="DL7" s="61"/>
      <c r="DM7" s="61"/>
      <c r="DN7" s="61"/>
      <c r="DO7" s="61"/>
      <c r="DP7" s="61"/>
      <c r="DQ7" s="61"/>
      <c r="DR7" s="61"/>
      <c r="DS7" s="61"/>
      <c r="DT7" s="61"/>
      <c r="DU7" s="61"/>
      <c r="DV7" s="61"/>
      <c r="DW7" s="61"/>
      <c r="DX7" s="61"/>
      <c r="DY7" s="61"/>
      <c r="DZ7" s="61"/>
      <c r="EA7" s="61"/>
      <c r="EB7" s="61"/>
      <c r="EC7" s="61"/>
      <c r="ED7" s="61"/>
      <c r="EE7" s="61"/>
      <c r="EF7" s="61"/>
      <c r="EG7" s="61"/>
      <c r="EH7" s="61"/>
      <c r="EI7" s="61"/>
      <c r="EJ7" s="61"/>
      <c r="EK7" s="61"/>
      <c r="EL7" s="61"/>
      <c r="EM7" s="61"/>
      <c r="EN7" s="61"/>
      <c r="EO7" s="61"/>
      <c r="EP7" s="61"/>
      <c r="EQ7" s="61"/>
      <c r="ER7" s="61"/>
      <c r="ES7" s="61"/>
      <c r="ET7" s="61"/>
      <c r="EU7" s="61"/>
      <c r="EV7" s="61"/>
      <c r="EW7" s="61"/>
      <c r="EX7" s="61"/>
      <c r="EY7" s="61"/>
      <c r="EZ7" s="61"/>
      <c r="FA7" s="61"/>
      <c r="FB7" s="61"/>
      <c r="FC7" s="61"/>
      <c r="FD7" s="61"/>
      <c r="FE7" s="61"/>
      <c r="FF7" s="61"/>
      <c r="FG7" s="61"/>
      <c r="FH7" s="61"/>
      <c r="FI7" s="61"/>
      <c r="FJ7" s="61"/>
      <c r="FK7" s="61"/>
      <c r="FL7" s="61"/>
      <c r="FM7" s="61"/>
      <c r="FN7" s="61"/>
      <c r="FO7" s="61"/>
      <c r="FP7" s="61"/>
      <c r="FQ7" s="61"/>
      <c r="FR7" s="61"/>
      <c r="FS7" s="61"/>
      <c r="FT7" s="61"/>
      <c r="FU7" s="61"/>
      <c r="FV7" s="61"/>
      <c r="FW7" s="61"/>
      <c r="FX7" s="61"/>
      <c r="FY7" s="61"/>
      <c r="FZ7" s="61"/>
      <c r="GA7" s="61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6"/>
      <c r="H6" s="44" t="s">
        <v>21</v>
      </c>
      <c r="I6" s="45">
        <v>0.0</v>
      </c>
      <c r="J6" s="45">
        <v>25.0</v>
      </c>
      <c r="K6" s="45">
        <v>25.0</v>
      </c>
      <c r="L6" s="45">
        <v>25.0</v>
      </c>
      <c r="M6" s="44" t="s">
        <v>39</v>
      </c>
      <c r="N6" s="46"/>
      <c r="O6" s="44" t="s">
        <v>22</v>
      </c>
      <c r="P6" s="46"/>
      <c r="Q6" s="46" t="s">
        <v>21</v>
      </c>
      <c r="R6" s="46"/>
      <c r="S6" s="46"/>
      <c r="T6" s="47" t="s">
        <v>40</v>
      </c>
      <c r="U6" s="47" t="s">
        <v>40</v>
      </c>
      <c r="V6" s="40"/>
      <c r="W6" s="40"/>
      <c r="X6" s="40"/>
      <c r="Y6" s="40"/>
      <c r="Z6" s="40"/>
      <c r="AA6" s="40"/>
      <c r="AB6" s="48">
        <v>250.0</v>
      </c>
      <c r="AC6" s="40"/>
      <c r="AD6" s="48">
        <v>250.0</v>
      </c>
      <c r="AE6" s="40"/>
      <c r="AF6" s="40"/>
      <c r="AG6" s="48">
        <v>25.0</v>
      </c>
      <c r="AH6" s="48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62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36"/>
      <c r="D7" s="36"/>
      <c r="E7" s="36"/>
      <c r="F7" s="36"/>
      <c r="G7" s="36"/>
      <c r="H7" s="44" t="s">
        <v>21</v>
      </c>
      <c r="I7" s="45">
        <v>0.0</v>
      </c>
      <c r="J7" s="45">
        <v>25.0</v>
      </c>
      <c r="K7" s="45">
        <v>25.0</v>
      </c>
      <c r="L7" s="45">
        <v>25.0</v>
      </c>
      <c r="M7" s="44" t="s">
        <v>39</v>
      </c>
      <c r="N7" s="46"/>
      <c r="O7" s="44" t="s">
        <v>22</v>
      </c>
      <c r="P7" s="46"/>
      <c r="Q7" s="46" t="s">
        <v>21</v>
      </c>
      <c r="R7" s="46"/>
      <c r="S7" s="46"/>
      <c r="T7" s="47" t="s">
        <v>41</v>
      </c>
      <c r="U7" s="47" t="s">
        <v>41</v>
      </c>
      <c r="V7" s="40"/>
      <c r="W7" s="40"/>
      <c r="X7" s="40"/>
      <c r="Y7" s="40"/>
      <c r="Z7" s="40"/>
      <c r="AA7" s="40"/>
      <c r="AB7" s="48">
        <v>250.0</v>
      </c>
      <c r="AC7" s="40"/>
      <c r="AD7" s="48">
        <v>250.0</v>
      </c>
      <c r="AE7" s="40"/>
      <c r="AF7" s="40"/>
      <c r="AG7" s="48">
        <v>25.0</v>
      </c>
      <c r="AH7" s="48">
        <v>250.0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62">
        <v>10.0</v>
      </c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8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53" t="s">
        <v>21</v>
      </c>
      <c r="D6" s="35"/>
      <c r="E6" s="36"/>
      <c r="F6" s="53" t="s">
        <v>39</v>
      </c>
      <c r="G6" s="53"/>
      <c r="H6" s="53" t="s">
        <v>21</v>
      </c>
      <c r="I6" s="38">
        <v>25.0</v>
      </c>
      <c r="J6" s="54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3" t="s">
        <v>21</v>
      </c>
      <c r="D7" s="36"/>
      <c r="E7" s="36"/>
      <c r="F7" s="53" t="s">
        <v>39</v>
      </c>
      <c r="G7" s="53"/>
      <c r="H7" s="53" t="s">
        <v>21</v>
      </c>
      <c r="I7" s="38">
        <v>25.0</v>
      </c>
      <c r="J7" s="54">
        <v>10.0</v>
      </c>
      <c r="K7" s="36"/>
      <c r="L7" s="36"/>
      <c r="M7" s="36"/>
      <c r="N7" s="36"/>
      <c r="O7" s="36"/>
      <c r="P7" s="36"/>
      <c r="Q7" s="36"/>
      <c r="R7" s="36"/>
      <c r="S7" s="36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8">
        <v>50.0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8" t="s">
        <v>31</v>
      </c>
      <c r="AL6" s="49">
        <v>100.0</v>
      </c>
      <c r="AM6" s="49"/>
      <c r="AN6" s="49"/>
      <c r="AO6" s="49"/>
      <c r="AP6" s="49">
        <v>50.0</v>
      </c>
      <c r="AQ6" s="49">
        <v>0.0</v>
      </c>
      <c r="AR6" s="49">
        <v>0.0</v>
      </c>
      <c r="AS6" s="40" t="s">
        <v>32</v>
      </c>
      <c r="AT6" s="40" t="s">
        <v>33</v>
      </c>
      <c r="AU6" s="40" t="s">
        <v>34</v>
      </c>
      <c r="AV6" s="49">
        <v>0.0</v>
      </c>
      <c r="AW6" s="49">
        <v>0.0</v>
      </c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 t="s">
        <v>21</v>
      </c>
      <c r="E6" s="36"/>
      <c r="F6" s="36" t="s">
        <v>22</v>
      </c>
      <c r="G6" s="63" t="s">
        <v>31</v>
      </c>
      <c r="H6" s="41">
        <v>100.0</v>
      </c>
      <c r="I6" s="41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0" customHeight="1">
      <c r="A6" s="48"/>
      <c r="B6" s="35"/>
      <c r="C6" s="36"/>
      <c r="D6" s="35"/>
      <c r="E6" s="36"/>
      <c r="F6" s="36"/>
      <c r="G6" s="38">
        <v>50.0</v>
      </c>
      <c r="H6" s="36"/>
      <c r="I6" s="36"/>
      <c r="J6" s="53" t="s">
        <v>21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 t="s">
        <v>21</v>
      </c>
      <c r="AJ6" s="40" t="s">
        <v>22</v>
      </c>
      <c r="AK6" s="48" t="s">
        <v>49</v>
      </c>
      <c r="AL6" s="62">
        <v>30.0</v>
      </c>
      <c r="AM6" s="40"/>
      <c r="AN6" s="40"/>
      <c r="AO6" s="49">
        <v>0.0</v>
      </c>
      <c r="AP6" s="49">
        <v>0.0</v>
      </c>
      <c r="AQ6" s="40"/>
      <c r="AR6" s="40"/>
      <c r="AS6" s="40"/>
      <c r="AT6" s="40"/>
      <c r="AU6" s="40"/>
      <c r="AV6" s="40"/>
      <c r="AW6" s="40"/>
      <c r="AX6" s="62">
        <v>30.0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