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SetUIPreferencesTT" sheetId="5" r:id="rId7"/>
    <sheet state="visible" name="CustomOrderTT" sheetId="6" r:id="rId8"/>
    <sheet state="visible" name="VerifyOrder" sheetId="7" r:id="rId9"/>
    <sheet state="visible" name="SetUIPreferencesTT1" sheetId="8" r:id="rId10"/>
    <sheet state="visible" name="CustomOrderTT1" sheetId="9" r:id="rId11"/>
    <sheet state="visible" name="VerifyOrder1" sheetId="10" r:id="rId12"/>
  </sheets>
  <definedNames/>
  <calcPr/>
</workbook>
</file>

<file path=xl/sharedStrings.xml><?xml version="1.0" encoding="utf-8"?>
<sst xmlns="http://schemas.openxmlformats.org/spreadsheetml/2006/main" count="89" uniqueCount="33">
  <si>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</si>
  <si>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</si>
  <si>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</si>
  <si>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</si>
  <si>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</si>
  <si>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</si>
  <si>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</si>
  <si>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</si>
  <si>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</si>
  <si>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</si>
  <si>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</si>
  <si>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</si>
  <si>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</si>
  <si>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</si>
  <si>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</si>
  <si>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</si>
  <si>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</si>
  <si>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SetUIPreferencesTT</t>
  </si>
  <si>
    <t>Market</t>
  </si>
  <si>
    <t>GTC</t>
  </si>
  <si>
    <t>CustomOrderTT</t>
  </si>
  <si>
    <t>AAPL</t>
  </si>
  <si>
    <t>CreateOrder</t>
  </si>
  <si>
    <t>Good Till Date</t>
  </si>
  <si>
    <t>MS</t>
  </si>
  <si>
    <t>Blotter</t>
  </si>
  <si>
    <t>VerifyOrder</t>
  </si>
  <si>
    <t>Buy</t>
  </si>
  <si>
    <t>New</t>
  </si>
  <si>
    <t>Allocation1</t>
  </si>
  <si>
    <t>Day</t>
  </si>
  <si>
    <t>MSFT</t>
  </si>
  <si>
    <t>Good TIll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</si>
</sst>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IFERROR(__xludf.DUMMYFUNCTION("""COMPUTED_VALUE"""),"RestrictedSecuritiesList")</f>
        <v>RestrictedSecuritiesList</v>
      </c>
      <c r="C5" s="27" t="str">
        <f>IFERROR(__xludf.DUMMYFUNCTION("""COMPUTED_VALUE"""),"AllowedSecuritiesList")</f>
        <v>AllowedSecuritiesList</v>
      </c>
      <c r="D5" s="27" t="str">
        <f>IFERROR(__xludf.DUMMYFUNCTION("""COMPUTED_VALUE"""),"AllowAllUserToCancelReplaceRemove")</f>
        <v>AllowAllUserToCancelReplaceRemove</v>
      </c>
      <c r="E5" s="27" t="str">
        <f>IFERROR(__xludf.DUMMYFUNCTION("""COMPUTED_VALUE"""),"MasterUserPermission")</f>
        <v>MasterUserPermission</v>
      </c>
      <c r="F5" s="28" t="str">
        <f>IFERROR(__xludf.DUMMYFUNCTION("""COMPUTED_VALUE"""),"AllowAllUserToTransferTrade")</f>
        <v>AllowAllUserToTransferTrade</v>
      </c>
      <c r="G5" s="27" t="str">
        <f>IFERROR(__xludf.DUMMYFUNCTION("""COMPUTED_VALUE"""),"DefaultOrderType")</f>
        <v>DefaultOrderType</v>
      </c>
      <c r="H5" s="27" t="str">
        <f>IFERROR(__xludf.DUMMYFUNCTION("""COMPUTED_VALUE"""),"AllowAllUserToGenerateSubs")</f>
        <v>AllowAllUserToGenerateSubs</v>
      </c>
      <c r="I5" s="27" t="str">
        <f>IFERROR(__xludf.DUMMYFUNCTION("""COMPUTED_VALUE"""),"LimitPriceRulesForStageOrdersOnly")</f>
        <v>LimitPriceRulesForStageOrdersOnly</v>
      </c>
      <c r="J5" s="27" t="str">
        <f>IFERROR(__xludf.DUMMYFUNCTION("""COMPUTED_VALUE"""),"LimitRulesForSubOrders")</f>
        <v>LimitRulesForSubOrders</v>
      </c>
      <c r="K5" s="27" t="str">
        <f>IFERROR(__xludf.DUMMYFUNCTION("""COMPUTED_VALUE"""),"LimitRulesForOrdersExceptStagedAndSubOrders")</f>
        <v>LimitRulesForOrdersExceptStagedAndSubOrders</v>
      </c>
      <c r="L5" s="27" t="str">
        <f>IFERROR(__xludf.DUMMYFUNCTION("""COMPUTED_VALUE"""),"LimitPriceRules")</f>
        <v>LimitPriceRules</v>
      </c>
      <c r="M5" s="27" t="str">
        <f>IFERROR(__xludf.DUMMYFUNCTION("""COMPUTED_VALUE"""),"CancelReplaceRemoveRules")</f>
        <v>CancelReplaceRemoveRules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2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 t="str">
        <f>IFERROR(__xludf.DUMMYFUNCTION("""COMPUTED_VALUE"""),"Broker_Enable?")</f>
        <v>Broker_Enable?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18</v>
      </c>
      <c r="E6" s="12" t="s">
        <v>19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21</v>
      </c>
      <c r="C6" s="34">
        <v>100.0</v>
      </c>
      <c r="D6" s="35">
        <v>1.0</v>
      </c>
      <c r="E6" s="36" t="s">
        <v>22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 t="s">
        <v>23</v>
      </c>
      <c r="V6" s="31"/>
      <c r="W6" s="31"/>
      <c r="X6" s="31"/>
      <c r="Y6" s="37">
        <f>today()+2</f>
        <v>45742</v>
      </c>
      <c r="Z6" s="31"/>
      <c r="AA6" s="31" t="s">
        <v>24</v>
      </c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5">
        <v>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21</v>
      </c>
      <c r="AJ6" s="31" t="s">
        <v>27</v>
      </c>
      <c r="AK6" s="31" t="s">
        <v>28</v>
      </c>
      <c r="AL6" s="38">
        <v>100.0</v>
      </c>
      <c r="AM6" s="31"/>
      <c r="AN6" s="31"/>
      <c r="AO6" s="31"/>
      <c r="AP6" s="31"/>
      <c r="AQ6" s="31"/>
      <c r="AR6" s="38">
        <v>0.0</v>
      </c>
      <c r="AS6" s="31" t="s">
        <v>24</v>
      </c>
      <c r="AT6" s="31" t="s">
        <v>29</v>
      </c>
      <c r="AU6" s="39" t="s">
        <v>18</v>
      </c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 t="s">
        <v>16</v>
      </c>
      <c r="BH6" s="31" t="s">
        <v>23</v>
      </c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 t="str">
        <f>IFERROR(__xludf.DUMMYFUNCTION("""COMPUTED_VALUE"""),"Broker_Enable?")</f>
        <v>Broker_Enable?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30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SetUIPreferencesTT1!$4:$4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31</v>
      </c>
      <c r="C6" s="34">
        <v>100.0</v>
      </c>
      <c r="D6" s="35">
        <v>1.0</v>
      </c>
      <c r="E6" s="36" t="s">
        <v>22</v>
      </c>
      <c r="F6" s="31"/>
      <c r="G6" s="31"/>
      <c r="H6" s="31"/>
      <c r="I6" s="36" t="s">
        <v>29</v>
      </c>
      <c r="J6" s="36" t="s">
        <v>27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 t="s">
        <v>23</v>
      </c>
      <c r="V6" s="31"/>
      <c r="W6" s="31"/>
      <c r="X6" s="31"/>
      <c r="Y6" s="37">
        <f>today()+2</f>
        <v>45742</v>
      </c>
      <c r="Z6" s="31"/>
      <c r="AA6" s="31" t="s">
        <v>24</v>
      </c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5">
        <v>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31</v>
      </c>
      <c r="AJ6" s="31" t="s">
        <v>27</v>
      </c>
      <c r="AK6" s="31" t="s">
        <v>28</v>
      </c>
      <c r="AL6" s="38">
        <v>100.0</v>
      </c>
      <c r="AM6" s="31"/>
      <c r="AN6" s="31"/>
      <c r="AO6" s="31"/>
      <c r="AP6" s="31"/>
      <c r="AQ6" s="31"/>
      <c r="AR6" s="38">
        <v>0.0</v>
      </c>
      <c r="AS6" s="31" t="s">
        <v>24</v>
      </c>
      <c r="AT6" s="31" t="s">
        <v>29</v>
      </c>
      <c r="AU6" s="39" t="s">
        <v>18</v>
      </c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 t="s">
        <v>16</v>
      </c>
      <c r="BH6" s="31" t="s">
        <v>32</v>
      </c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