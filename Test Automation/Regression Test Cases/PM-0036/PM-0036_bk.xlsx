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yEndCash" sheetId="10" r:id="rId12"/>
    <sheet state="visible" name="CreateDoneAwayOrder1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<sst xmlns="http://schemas.openxmlformats.org/spreadsheetml/2006/main" count="347" uniqueCount="61">
  <si>
    <t>Settings</t>
  </si>
  <si>
    <t>Module Step Setting File</t>
  </si>
  <si>
    <t>1sG6uB28jAaiyaldDeMtbboQN41jJ2tAmE2rg6U9qH5o</t>
  </si>
  <si>
    <t>Master Data Settings File</t>
  </si>
  <si>
    <t>1hEhI9rg16D4Xvfk19pDaFUFF78jjfIG29BBaNg8kT0A</t>
  </si>
  <si>
    <t>Modules Info</t>
  </si>
  <si>
    <t>Master Data Info</t>
  </si>
  <si>
    <t>Modules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</si>
  <si>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</si>
  <si>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</si>
  <si>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</si>
  <si>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</si>
  <si>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</si>
  <si>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</si>
  <si>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</si>
  <si>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</si>
  <si>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DailyValuation</t>
  </si>
  <si>
    <t>GetMarkPriceData</t>
  </si>
  <si>
    <t>EI060572</t>
  </si>
  <si>
    <t>Buy</t>
  </si>
  <si>
    <t>Allocation1</t>
  </si>
  <si>
    <t>Flat Amount</t>
  </si>
  <si>
    <t>EP009370</t>
  </si>
  <si>
    <t>UpdateMarkPrice</t>
  </si>
  <si>
    <t>GetForexConversion</t>
  </si>
  <si>
    <t>UpdateForexConversion</t>
  </si>
  <si>
    <t>AUD</t>
  </si>
  <si>
    <t>USD</t>
  </si>
  <si>
    <t>AUD AO-FX</t>
  </si>
  <si>
    <t>PricingInput</t>
  </si>
  <si>
    <t>GeneralLedger</t>
  </si>
  <si>
    <t>GetDayEndCash</t>
  </si>
  <si>
    <t>NewMF</t>
  </si>
  <si>
    <t>PortfolioManagement</t>
  </si>
  <si>
    <t>CheckPortfolioManagement</t>
  </si>
  <si>
    <t>Sell</t>
  </si>
  <si>
    <t>Allocation2</t>
  </si>
  <si>
    <t>Long</t>
  </si>
  <si>
    <t>CPAAU 5.25 12/11/16</t>
  </si>
  <si>
    <t>FIMAT</t>
  </si>
  <si>
    <t>Strategy Unallocated</t>
  </si>
  <si>
    <t>FixedIncome</t>
  </si>
  <si>
    <t>EmergingDebt</t>
  </si>
  <si>
    <t>OTC</t>
  </si>
  <si>
    <t/>
  </si>
  <si>
    <t>CPAAU</t>
  </si>
  <si>
    <t>BrokerNotes</t>
  </si>
  <si>
    <t>DefaultNotes</t>
  </si>
  <si>
    <t>Undefined</t>
  </si>
  <si>
    <t>jpearce</t>
  </si>
  <si>
    <t>MS</t>
  </si>
  <si>
    <t>XS0470187815</t>
  </si>
  <si>
    <t>User Defined</t>
  </si>
  <si>
    <t>Default</t>
  </si>
  <si>
    <t>unique</t>
  </si>
  <si>
    <t>DRL 4.75 12/31/49</t>
  </si>
  <si>
    <t>DRL</t>
  </si>
  <si>
    <t>US25811P5061</t>
  </si>
  <si>
    <t>UK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</si>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</sst>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1" fillId="2" fontId="6" numFmtId="0" xfId="0" applyAlignment="1" applyBorder="1" applyFont="1">
      <alignment horizontal="center"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7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7" numFmtId="0" xfId="0" applyAlignment="1" applyFont="1">
      <alignment horizontal="right" vertical="bottom"/>
    </xf>
    <xf borderId="0" fillId="0" fontId="3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0" fontId="3" numFmtId="14" xfId="0" applyAlignment="1" applyFont="1" applyNumberFormat="1">
      <alignment readingOrder="0" shrinkToFit="0" wrapText="0"/>
    </xf>
    <xf borderId="0" fillId="0" fontId="7" numFmtId="0" xfId="0" applyAlignment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0" fillId="2" fontId="6" numFmtId="4" xfId="0" applyAlignment="1" applyFont="1" applyNumberFormat="1">
      <alignment horizontal="center" shrinkToFit="0" wrapText="0"/>
    </xf>
    <xf borderId="1" fillId="2" fontId="6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3" numFmtId="4" xfId="0" applyAlignment="1" applyFont="1" applyNumberFormat="1">
      <alignment shrinkToFit="0" wrapText="0"/>
    </xf>
    <xf borderId="0" fillId="0" fontId="5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5" numFmtId="4" xfId="0" applyAlignment="1" applyBorder="1" applyFont="1" applyNumberFormat="1">
      <alignment readingOrder="0" shrinkToFit="0" wrapText="0"/>
    </xf>
    <xf borderId="4" fillId="3" fontId="5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6" fontId="13" numFmtId="0" xfId="0" applyAlignment="1" applyFont="1">
      <alignment horizontal="right" readingOrder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3" numFmtId="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horizontal="center" vertical="bottom"/>
    </xf>
    <xf borderId="0" fillId="0" fontId="14" numFmtId="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5</v>
      </c>
      <c r="B1" s="2"/>
      <c r="C1" s="2"/>
      <c r="D1" s="2"/>
      <c r="E1" s="2"/>
      <c r="F1" s="3"/>
    </row>
    <row r="2" ht="15.75" customHeight="1">
      <c r="A2" s="10"/>
      <c r="B2" s="10"/>
      <c r="C2" s="10"/>
      <c r="D2" s="10"/>
      <c r="E2" s="10"/>
      <c r="F2" s="10"/>
    </row>
    <row r="3" ht="15.75" customHeight="1">
      <c r="A3" s="5" t="s">
        <v>7</v>
      </c>
      <c r="B3" s="12"/>
      <c r="C3" s="16"/>
      <c r="D3" s="16"/>
      <c r="E3" s="16"/>
      <c r="F3" s="16"/>
    </row>
    <row r="4" ht="15.75" customHeight="1">
      <c r="A4" s="4" t="str">
        <f>IFERROR(__xludf.DUMMYFUNCTION("IMPORTRANGE('_Settings'!B3,""Modules!A4:L1000"")"),"Allocation")</f>
        <v>Allocation</v>
      </c>
      <c r="B4" s="10" t="str">
        <f>IFERROR(__xludf.DUMMYFUNCTION("""COMPUTED_VALUE"""),"Allocate")</f>
        <v>Allocate</v>
      </c>
      <c r="C4" s="10" t="str">
        <f>IFERROR(__xludf.DUMMYFUNCTION("""COMPUTED_VALUE"""),"Undefined")</f>
        <v>Undefined</v>
      </c>
      <c r="D4" s="10" t="str">
        <f>IFERROR(__xludf.DUMMYFUNCTION("""COMPUTED_VALUE"""),"")</f>
        <v/>
      </c>
      <c r="E4" s="10" t="str">
        <f>IFERROR(__xludf.DUMMYFUNCTION("""COMPUTED_VALUE"""),"")</f>
        <v/>
      </c>
      <c r="F4" s="10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0" t="str">
        <f>IFERROR(__xludf.DUMMYFUNCTION("""COMPUTED_VALUE"""),"CheckAllocatedGroups")</f>
        <v>CheckAllocatedGroups</v>
      </c>
      <c r="C5" s="10" t="str">
        <f>IFERROR(__xludf.DUMMYFUNCTION("""COMPUTED_VALUE"""),"1ASulLlGAl--JRs7NVIiQ-6Q2Y2P3o7Y40cokKmMg-UA")</f>
        <v>1ASulLlGAl--JRs7NVIiQ-6Q2Y2P3o7Y40cokKmMg-UA</v>
      </c>
      <c r="D5" s="10" t="str">
        <f>IFERROR(__xludf.DUMMYFUNCTION("""COMPUTED_VALUE"""),"")</f>
        <v/>
      </c>
      <c r="E5" s="10" t="str">
        <f>IFERROR(__xludf.DUMMYFUNCTION("""COMPUTED_VALUE"""),"")</f>
        <v/>
      </c>
      <c r="F5" s="10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0" t="str">
        <f>IFERROR(__xludf.DUMMYFUNCTION("""COMPUTED_VALUE"""),"Allocation")</f>
        <v>Allocation</v>
      </c>
      <c r="B6" s="10" t="str">
        <f>IFERROR(__xludf.DUMMYFUNCTION("""COMPUTED_VALUE"""),"Unallocate")</f>
        <v>Unallocate</v>
      </c>
      <c r="C6" s="10" t="str">
        <f>IFERROR(__xludf.DUMMYFUNCTION("""COMPUTED_VALUE"""),"153rAtnJuNh4UK26GjSOxUSjAHcOxzWv7CRGvmhrIJRs")</f>
        <v>153rAtnJuNh4UK26GjSOxUSjAHcOxzWv7CRGvmhrIJRs</v>
      </c>
      <c r="D6" s="10" t="str">
        <f>IFERROR(__xludf.DUMMYFUNCTION("""COMPUTED_VALUE"""),"")</f>
        <v/>
      </c>
      <c r="E6" s="10" t="str">
        <f>IFERROR(__xludf.DUMMYFUNCTION("""COMPUTED_VALUE"""),"")</f>
        <v/>
      </c>
      <c r="F6" s="10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0" t="str">
        <f>IFERROR(__xludf.DUMMYFUNCTION("""COMPUTED_VALUE"""),"Allocation")</f>
        <v>Allocation</v>
      </c>
      <c r="B7" s="10" t="str">
        <f>IFERROR(__xludf.DUMMYFUNCTION("""COMPUTED_VALUE"""),"GetDataAllocation")</f>
        <v>GetDataAllocation</v>
      </c>
      <c r="C7" s="10" t="str">
        <f>IFERROR(__xludf.DUMMYFUNCTION("""COMPUTED_VALUE"""),"14c4GsPTH5D3eyeeKaMiqJQXOT6OiyIKnC2Ey2f-mzXU")</f>
        <v>14c4GsPTH5D3eyeeKaMiqJQXOT6OiyIKnC2Ey2f-mzXU</v>
      </c>
      <c r="D7" s="10" t="str">
        <f>IFERROR(__xludf.DUMMYFUNCTION("""COMPUTED_VALUE"""),"")</f>
        <v/>
      </c>
      <c r="E7" s="10" t="str">
        <f>IFERROR(__xludf.DUMMYFUNCTION("""COMPUTED_VALUE"""),"")</f>
        <v/>
      </c>
      <c r="F7" s="10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0" t="str">
        <f>IFERROR(__xludf.DUMMYFUNCTION("""COMPUTED_VALUE"""),"Allocation")</f>
        <v>Allocation</v>
      </c>
      <c r="B8" s="10" t="str">
        <f>IFERROR(__xludf.DUMMYFUNCTION("""COMPUTED_VALUE"""),"SelectAllocatedGroup")</f>
        <v>SelectAllocatedGroup</v>
      </c>
      <c r="C8" s="10" t="str">
        <f>IFERROR(__xludf.DUMMYFUNCTION("""COMPUTED_VALUE"""),"1FoqTScZHaIaLmwoImnVY7WWuCKEwJNYw8_jsXiT_wz4")</f>
        <v>1FoqTScZHaIaLmwoImnVY7WWuCKEwJNYw8_jsXiT_wz4</v>
      </c>
      <c r="D8" s="10" t="str">
        <f>IFERROR(__xludf.DUMMYFUNCTION("""COMPUTED_VALUE"""),"")</f>
        <v/>
      </c>
      <c r="E8" s="10" t="str">
        <f>IFERROR(__xludf.DUMMYFUNCTION("""COMPUTED_VALUE"""),"")</f>
        <v/>
      </c>
      <c r="F8" s="10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0" t="str">
        <f>IFERROR(__xludf.DUMMYFUNCTION("""COMPUTED_VALUE"""),"Allocation")</f>
        <v>Allocation</v>
      </c>
      <c r="B9" s="10" t="str">
        <f>IFERROR(__xludf.DUMMYFUNCTION("""COMPUTED_VALUE"""),"EditTradesAllocated")</f>
        <v>EditTradesAllocated</v>
      </c>
      <c r="C9" s="10" t="str">
        <f>IFERROR(__xludf.DUMMYFUNCTION("""COMPUTED_VALUE"""),"1nx-Ntcckcf-w1Yr5yyOw4Vmcr4UsalakHe-CHaRihg0")</f>
        <v>1nx-Ntcckcf-w1Yr5yyOw4Vmcr4UsalakHe-CHaRihg0</v>
      </c>
      <c r="D9" s="10" t="str">
        <f>IFERROR(__xludf.DUMMYFUNCTION("""COMPUTED_VALUE"""),"")</f>
        <v/>
      </c>
      <c r="E9" s="10" t="str">
        <f>IFERROR(__xludf.DUMMYFUNCTION("""COMPUTED_VALUE"""),"")</f>
        <v/>
      </c>
      <c r="F9" s="10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0" t="str">
        <f>IFERROR(__xludf.DUMMYFUNCTION("""COMPUTED_VALUE"""),"Allocation")</f>
        <v>Allocation</v>
      </c>
      <c r="B10" s="10" t="str">
        <f>IFERROR(__xludf.DUMMYFUNCTION("""COMPUTED_VALUE"""),"EditTradesUnallocated")</f>
        <v>EditTradesUnallocated</v>
      </c>
      <c r="C10" s="10" t="str">
        <f>IFERROR(__xludf.DUMMYFUNCTION("""COMPUTED_VALUE"""),"1aOr-_cYT21IfJctqcBB50iQOXfB0qUo9bBesL3tt_2o")</f>
        <v>1aOr-_cYT21IfJctqcBB50iQOXfB0qUo9bBesL3tt_2o</v>
      </c>
      <c r="D10" s="10" t="str">
        <f>IFERROR(__xludf.DUMMYFUNCTION("""COMPUTED_VALUE"""),"")</f>
        <v/>
      </c>
      <c r="E10" s="10" t="str">
        <f>IFERROR(__xludf.DUMMYFUNCTION("""COMPUTED_VALUE"""),"")</f>
        <v/>
      </c>
      <c r="F10" s="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0" t="str">
        <f>IFERROR(__xludf.DUMMYFUNCTION("""COMPUTED_VALUE"""),"Allocation")</f>
        <v>Allocation</v>
      </c>
      <c r="B11" s="10" t="str">
        <f>IFERROR(__xludf.DUMMYFUNCTION("""COMPUTED_VALUE"""),"Reallocate")</f>
        <v>Reallocate</v>
      </c>
      <c r="C11" s="10" t="str">
        <f>IFERROR(__xludf.DUMMYFUNCTION("""COMPUTED_VALUE"""),"Undefined")</f>
        <v>Undefined</v>
      </c>
      <c r="D11" s="10" t="str">
        <f>IFERROR(__xludf.DUMMYFUNCTION("""COMPUTED_VALUE"""),"")</f>
        <v/>
      </c>
      <c r="E11" s="10" t="str">
        <f>IFERROR(__xludf.DUMMYFUNCTION("""COMPUTED_VALUE"""),"")</f>
        <v/>
      </c>
      <c r="F11" s="10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0" t="str">
        <f>IFERROR(__xludf.DUMMYFUNCTION("""COMPUTED_VALUE"""),"Blotter")</f>
        <v>Blotter</v>
      </c>
      <c r="B12" s="10" t="str">
        <f>IFERROR(__xludf.DUMMYFUNCTION("""COMPUTED_VALUE"""),"ReplaceFillsOnBlotter")</f>
        <v>ReplaceFillsOnBlotter</v>
      </c>
      <c r="C12" s="10" t="str">
        <f>IFERROR(__xludf.DUMMYFUNCTION("""COMPUTED_VALUE"""),"Undefined")</f>
        <v>Undefined</v>
      </c>
      <c r="D12" s="10" t="str">
        <f>IFERROR(__xludf.DUMMYFUNCTION("""COMPUTED_VALUE"""),"")</f>
        <v/>
      </c>
      <c r="E12" s="10" t="str">
        <f>IFERROR(__xludf.DUMMYFUNCTION("""COMPUTED_VALUE"""),"")</f>
        <v/>
      </c>
      <c r="F12" s="10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0" t="str">
        <f>IFERROR(__xludf.DUMMYFUNCTION("""COMPUTED_VALUE"""),"Blotter")</f>
        <v>Blotter</v>
      </c>
      <c r="B13" s="10" t="str">
        <f>IFERROR(__xludf.DUMMYFUNCTION("""COMPUTED_VALUE"""),"CheckBlotter")</f>
        <v>CheckBlotter</v>
      </c>
      <c r="C13" s="10" t="str">
        <f>IFERROR(__xludf.DUMMYFUNCTION("""COMPUTED_VALUE"""),"1NSNUZ7aVjKq-fJWvjMKU9f1Hhbf0UmIY3RQLFu0_U94")</f>
        <v>1NSNUZ7aVjKq-fJWvjMKU9f1Hhbf0UmIY3RQLFu0_U94</v>
      </c>
      <c r="D13" s="10" t="str">
        <f>IFERROR(__xludf.DUMMYFUNCTION("""COMPUTED_VALUE"""),"")</f>
        <v/>
      </c>
      <c r="E13" s="10" t="str">
        <f>IFERROR(__xludf.DUMMYFUNCTION("""COMPUTED_VALUE"""),"")</f>
        <v/>
      </c>
      <c r="F13" s="10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0" t="str">
        <f>IFERROR(__xludf.DUMMYFUNCTION("""COMPUTED_VALUE"""),"GeneralLedger")</f>
        <v>GeneralLedger</v>
      </c>
      <c r="B14" s="10" t="str">
        <f>IFERROR(__xludf.DUMMYFUNCTION("""COMPUTED_VALUE"""),"GetDataCash")</f>
        <v>GetDataCash</v>
      </c>
      <c r="C14" s="10" t="str">
        <f>IFERROR(__xludf.DUMMYFUNCTION("""COMPUTED_VALUE"""),"1qcpgHRQFZbpv-NnW8K-CvX_auKXD5UD0KzrBvuBL6yQ")</f>
        <v>1qcpgHRQFZbpv-NnW8K-CvX_auKXD5UD0KzrBvuBL6yQ</v>
      </c>
      <c r="D14" s="10" t="str">
        <f>IFERROR(__xludf.DUMMYFUNCTION("""COMPUTED_VALUE"""),"")</f>
        <v/>
      </c>
      <c r="E14" s="10" t="str">
        <f>IFERROR(__xludf.DUMMYFUNCTION("""COMPUTED_VALUE"""),"")</f>
        <v/>
      </c>
      <c r="F14" s="10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0" t="str">
        <f>IFERROR(__xludf.DUMMYFUNCTION("""COMPUTED_VALUE"""),"GeneralLedger")</f>
        <v>GeneralLedger</v>
      </c>
      <c r="B15" s="10" t="str">
        <f>IFERROR(__xludf.DUMMYFUNCTION("""COMPUTED_VALUE"""),"EnterCashDividends")</f>
        <v>EnterCashDividends</v>
      </c>
      <c r="C15" s="10" t="str">
        <f>IFERROR(__xludf.DUMMYFUNCTION("""COMPUTED_VALUE"""),"1AcxAZQwu6HAEJMCMK3bk08quIeXstZWKnCNeDGuqkgc")</f>
        <v>1AcxAZQwu6HAEJMCMK3bk08quIeXstZWKnCNeDGuqkgc</v>
      </c>
      <c r="D15" s="10" t="str">
        <f>IFERROR(__xludf.DUMMYFUNCTION("""COMPUTED_VALUE"""),"")</f>
        <v/>
      </c>
      <c r="E15" s="10" t="str">
        <f>IFERROR(__xludf.DUMMYFUNCTION("""COMPUTED_VALUE"""),"")</f>
        <v/>
      </c>
      <c r="F15" s="10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0" t="str">
        <f>IFERROR(__xludf.DUMMYFUNCTION("""COMPUTED_VALUE"""),"GeneralLedger")</f>
        <v>GeneralLedger</v>
      </c>
      <c r="B16" s="10" t="str">
        <f>IFERROR(__xludf.DUMMYFUNCTION("""COMPUTED_VALUE"""),"EnterNonTradingTransaction")</f>
        <v>EnterNonTradingTransaction</v>
      </c>
      <c r="C16" s="10" t="str">
        <f>IFERROR(__xludf.DUMMYFUNCTION("""COMPUTED_VALUE"""),"1VLF0uNJJlumCyBscfuDhTN1tOv-0IRCkYlwfDU8GczQ")</f>
        <v>1VLF0uNJJlumCyBscfuDhTN1tOv-0IRCkYlwfDU8GczQ</v>
      </c>
      <c r="D16" s="10" t="str">
        <f>IFERROR(__xludf.DUMMYFUNCTION("""COMPUTED_VALUE"""),"")</f>
        <v/>
      </c>
      <c r="E16" s="10" t="str">
        <f>IFERROR(__xludf.DUMMYFUNCTION("""COMPUTED_VALUE"""),"")</f>
        <v/>
      </c>
      <c r="F16" s="10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0" t="str">
        <f>IFERROR(__xludf.DUMMYFUNCTION("""COMPUTED_VALUE"""),"GeneralLedger")</f>
        <v>GeneralLedger</v>
      </c>
      <c r="B17" s="10" t="str">
        <f>IFERROR(__xludf.DUMMYFUNCTION("""COMPUTED_VALUE"""),"VerifyCash")</f>
        <v>VerifyCash</v>
      </c>
      <c r="C17" s="10" t="str">
        <f>IFERROR(__xludf.DUMMYFUNCTION("""COMPUTED_VALUE"""),"1_8MIcc2OK_ojl_V4NIwMLs9H7qkQkwyq9sDf1PpIqc8")</f>
        <v>1_8MIcc2OK_ojl_V4NIwMLs9H7qkQkwyq9sDf1PpIqc8</v>
      </c>
      <c r="D17" s="10" t="str">
        <f>IFERROR(__xludf.DUMMYFUNCTION("""COMPUTED_VALUE"""),"")</f>
        <v/>
      </c>
      <c r="E17" s="10" t="str">
        <f>IFERROR(__xludf.DUMMYFUNCTION("""COMPUTED_VALUE"""),"")</f>
        <v/>
      </c>
      <c r="F17" s="10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0" t="str">
        <f>IFERROR(__xludf.DUMMYFUNCTION("""COMPUTED_VALUE"""),"GeneralLedger")</f>
        <v>GeneralLedger</v>
      </c>
      <c r="B18" s="10" t="str">
        <f>IFERROR(__xludf.DUMMYFUNCTION("""COMPUTED_VALUE"""),"VerifyActivity")</f>
        <v>VerifyActivity</v>
      </c>
      <c r="C18" s="10" t="str">
        <f>IFERROR(__xludf.DUMMYFUNCTION("""COMPUTED_VALUE"""),"1tN1tbsnXiVRytGN-WCzTnGTmfRxY2nBklQk3AQSJo2c")</f>
        <v>1tN1tbsnXiVRytGN-WCzTnGTmfRxY2nBklQk3AQSJo2c</v>
      </c>
      <c r="D18" s="10" t="str">
        <f>IFERROR(__xludf.DUMMYFUNCTION("""COMPUTED_VALUE"""),"")</f>
        <v/>
      </c>
      <c r="E18" s="10" t="str">
        <f>IFERROR(__xludf.DUMMYFUNCTION("""COMPUTED_VALUE"""),"")</f>
        <v/>
      </c>
      <c r="F18" s="10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0" t="str">
        <f>IFERROR(__xludf.DUMMYFUNCTION("""COMPUTED_VALUE"""),"GeneralLedger")</f>
        <v>GeneralLedger</v>
      </c>
      <c r="B19" s="10" t="str">
        <f>IFERROR(__xludf.DUMMYFUNCTION("""COMPUTED_VALUE"""),"VerifyTradingTransaction")</f>
        <v>VerifyTradingTransaction</v>
      </c>
      <c r="C19" s="10" t="str">
        <f>IFERROR(__xludf.DUMMYFUNCTION("""COMPUTED_VALUE"""),"1VRRuQCPazoSKAv27NBzQzv_Yw_Kgakw-yyKn6w1zhKU")</f>
        <v>1VRRuQCPazoSKAv27NBzQzv_Yw_Kgakw-yyKn6w1zhKU</v>
      </c>
      <c r="D19" s="10" t="str">
        <f>IFERROR(__xludf.DUMMYFUNCTION("""COMPUTED_VALUE"""),"")</f>
        <v/>
      </c>
      <c r="E19" s="10" t="str">
        <f>IFERROR(__xludf.DUMMYFUNCTION("""COMPUTED_VALUE"""),"")</f>
        <v/>
      </c>
      <c r="F19" s="10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0" t="str">
        <f>IFERROR(__xludf.DUMMYFUNCTION("""COMPUTED_VALUE"""),"GeneralLedger")</f>
        <v>GeneralLedger</v>
      </c>
      <c r="B20" s="10" t="str">
        <f>IFERROR(__xludf.DUMMYFUNCTION("""COMPUTED_VALUE"""),"VerifyRevaluationData")</f>
        <v>VerifyRevaluationData</v>
      </c>
      <c r="C20" s="10" t="str">
        <f>IFERROR(__xludf.DUMMYFUNCTION("""COMPUTED_VALUE"""),"1fGo94nf55bWXddEMlTwX902cb1V6cWr9GHWYy_sZ8IU")</f>
        <v>1fGo94nf55bWXddEMlTwX902cb1V6cWr9GHWYy_sZ8IU</v>
      </c>
      <c r="D20" s="10" t="str">
        <f>IFERROR(__xludf.DUMMYFUNCTION("""COMPUTED_VALUE"""),"")</f>
        <v/>
      </c>
      <c r="E20" s="10" t="str">
        <f>IFERROR(__xludf.DUMMYFUNCTION("""COMPUTED_VALUE"""),"")</f>
        <v/>
      </c>
      <c r="F20" s="1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0" t="str">
        <f>IFERROR(__xludf.DUMMYFUNCTION("""COMPUTED_VALUE"""),"CorporateAction")</f>
        <v>CorporateAction</v>
      </c>
      <c r="B21" s="10" t="str">
        <f>IFERROR(__xludf.DUMMYFUNCTION("""COMPUTED_VALUE"""),"CorporateAction")</f>
        <v>CorporateAction</v>
      </c>
      <c r="C21" s="10" t="str">
        <f>IFERROR(__xludf.DUMMYFUNCTION("""COMPUTED_VALUE"""),"1rOMKu0Ez7NdxjtZC05lRrPUSa0tkOQSvbOhxjuijMsU")</f>
        <v>1rOMKu0Ez7NdxjtZC05lRrPUSa0tkOQSvbOhxjuijMsU</v>
      </c>
      <c r="D21" s="10" t="str">
        <f>IFERROR(__xludf.DUMMYFUNCTION("""COMPUTED_VALUE"""),"")</f>
        <v/>
      </c>
      <c r="E21" s="10" t="str">
        <f>IFERROR(__xludf.DUMMYFUNCTION("""COMPUTED_VALUE"""),"")</f>
        <v/>
      </c>
      <c r="F21" s="10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0" t="str">
        <f>IFERROR(__xludf.DUMMYFUNCTION("""COMPUTED_VALUE"""),"CreateTransaction")</f>
        <v>CreateTransaction</v>
      </c>
      <c r="B22" s="10" t="str">
        <f>IFERROR(__xludf.DUMMYFUNCTION("""COMPUTED_VALUE"""),"CreateTransaction")</f>
        <v>CreateTransaction</v>
      </c>
      <c r="C22" s="10" t="str">
        <f>IFERROR(__xludf.DUMMYFUNCTION("""COMPUTED_VALUE"""),"1yBi-hp0jcYIFB6ymnlQIlx-pUUkfcjJU7Ap0azBbNcE")</f>
        <v>1yBi-hp0jcYIFB6ymnlQIlx-pUUkfcjJU7Ap0azBbNcE</v>
      </c>
      <c r="D22" s="10" t="str">
        <f>IFERROR(__xludf.DUMMYFUNCTION("""COMPUTED_VALUE"""),"")</f>
        <v/>
      </c>
      <c r="E22" s="10" t="str">
        <f>IFERROR(__xludf.DUMMYFUNCTION("""COMPUTED_VALUE"""),"")</f>
        <v/>
      </c>
      <c r="F22" s="10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0" t="str">
        <f>IFERROR(__xludf.DUMMYFUNCTION("""COMPUTED_VALUE"""),"DailyValuation")</f>
        <v>DailyValuation</v>
      </c>
      <c r="B23" s="10" t="str">
        <f>IFERROR(__xludf.DUMMYFUNCTION("""COMPUTED_VALUE"""),"UpdateBeta")</f>
        <v>UpdateBeta</v>
      </c>
      <c r="C23" s="10" t="str">
        <f>IFERROR(__xludf.DUMMYFUNCTION("""COMPUTED_VALUE"""),"1x5iUjYB72ZJ35IOvQ_JQkWHV-d1FlgKY3bIxxTpk-f0")</f>
        <v>1x5iUjYB72ZJ35IOvQ_JQkWHV-d1FlgKY3bIxxTpk-f0</v>
      </c>
      <c r="D23" s="10" t="str">
        <f>IFERROR(__xludf.DUMMYFUNCTION("""COMPUTED_VALUE"""),"")</f>
        <v/>
      </c>
      <c r="E23" s="10" t="str">
        <f>IFERROR(__xludf.DUMMYFUNCTION("""COMPUTED_VALUE"""),"")</f>
        <v/>
      </c>
      <c r="F23" s="10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0" t="str">
        <f>IFERROR(__xludf.DUMMYFUNCTION("""COMPUTED_VALUE"""),"DailyValuation")</f>
        <v>DailyValuation</v>
      </c>
      <c r="B24" s="10" t="str">
        <f>IFERROR(__xludf.DUMMYFUNCTION("""COMPUTED_VALUE"""),"UpdateDailyCash")</f>
        <v>UpdateDailyCash</v>
      </c>
      <c r="C24" s="10" t="str">
        <f>IFERROR(__xludf.DUMMYFUNCTION("""COMPUTED_VALUE"""),"1Li5RKULV7Lc2MLczTkVbzq0oDYcFGfTlBUO9__NoODc")</f>
        <v>1Li5RKULV7Lc2MLczTkVbzq0oDYcFGfTlBUO9__NoODc</v>
      </c>
      <c r="D24" s="10" t="str">
        <f>IFERROR(__xludf.DUMMYFUNCTION("""COMPUTED_VALUE"""),"")</f>
        <v/>
      </c>
      <c r="E24" s="10" t="str">
        <f>IFERROR(__xludf.DUMMYFUNCTION("""COMPUTED_VALUE"""),"")</f>
        <v/>
      </c>
      <c r="F24" s="10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0" t="str">
        <f>IFERROR(__xludf.DUMMYFUNCTION("""COMPUTED_VALUE"""),"DailyValuation")</f>
        <v>DailyValuation</v>
      </c>
      <c r="B25" s="10" t="str">
        <f>IFERROR(__xludf.DUMMYFUNCTION("""COMPUTED_VALUE"""),"UpdateForexConversion")</f>
        <v>UpdateForexConversion</v>
      </c>
      <c r="C25" s="10" t="str">
        <f>IFERROR(__xludf.DUMMYFUNCTION("""COMPUTED_VALUE"""),"1vnIE6mL0eHSchRF1qTlJ2JL_Ylu6hiC6uOXpzq7M0BQ")</f>
        <v>1vnIE6mL0eHSchRF1qTlJ2JL_Ylu6hiC6uOXpzq7M0BQ</v>
      </c>
      <c r="D25" s="10" t="str">
        <f>IFERROR(__xludf.DUMMYFUNCTION("""COMPUTED_VALUE"""),"")</f>
        <v/>
      </c>
      <c r="E25" s="10" t="str">
        <f>IFERROR(__xludf.DUMMYFUNCTION("""COMPUTED_VALUE"""),"")</f>
        <v/>
      </c>
      <c r="F25" s="10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0" t="str">
        <f>IFERROR(__xludf.DUMMYFUNCTION("""COMPUTED_VALUE"""),"DailyValuation")</f>
        <v>DailyValuation</v>
      </c>
      <c r="B26" s="10" t="str">
        <f>IFERROR(__xludf.DUMMYFUNCTION("""COMPUTED_VALUE"""),"UpdateMarkPrice")</f>
        <v>UpdateMarkPrice</v>
      </c>
      <c r="C26" s="10" t="str">
        <f>IFERROR(__xludf.DUMMYFUNCTION("""COMPUTED_VALUE"""),"1KCMHfIqMprTfc21JY7-_BuJZCbNmjdI-pAMs1UtHRgM")</f>
        <v>1KCMHfIqMprTfc21JY7-_BuJZCbNmjdI-pAMs1UtHRgM</v>
      </c>
      <c r="D26" s="10" t="str">
        <f>IFERROR(__xludf.DUMMYFUNCTION("""COMPUTED_VALUE"""),"")</f>
        <v/>
      </c>
      <c r="E26" s="10" t="str">
        <f>IFERROR(__xludf.DUMMYFUNCTION("""COMPUTED_VALUE"""),"")</f>
        <v/>
      </c>
      <c r="F26" s="10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0" t="str">
        <f>IFERROR(__xludf.DUMMYFUNCTION("""COMPUTED_VALUE"""),"Import")</f>
        <v>Import</v>
      </c>
      <c r="B27" s="10" t="str">
        <f>IFERROR(__xludf.DUMMYFUNCTION("""COMPUTED_VALUE"""),"Import")</f>
        <v>Import</v>
      </c>
      <c r="C27" s="10" t="str">
        <f>IFERROR(__xludf.DUMMYFUNCTION("""COMPUTED_VALUE"""),"1tRgcAtzRVDm6tX53uSpBOxZNBYm4sTcJiDaR4fxdfwY")</f>
        <v>1tRgcAtzRVDm6tX53uSpBOxZNBYm4sTcJiDaR4fxdfwY</v>
      </c>
      <c r="D27" s="10" t="str">
        <f>IFERROR(__xludf.DUMMYFUNCTION("""COMPUTED_VALUE"""),"")</f>
        <v/>
      </c>
      <c r="E27" s="10" t="str">
        <f>IFERROR(__xludf.DUMMYFUNCTION("""COMPUTED_VALUE"""),"")</f>
        <v/>
      </c>
      <c r="F27" s="10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0" t="str">
        <f>IFERROR(__xludf.DUMMYFUNCTION("""COMPUTED_VALUE"""),"PortfolioManagement")</f>
        <v>PortfolioManagement</v>
      </c>
      <c r="B28" s="10" t="str">
        <f>IFERROR(__xludf.DUMMYFUNCTION("""COMPUTED_VALUE"""),"CheckDashboardPM")</f>
        <v>CheckDashboardPM</v>
      </c>
      <c r="C28" s="10" t="str">
        <f>IFERROR(__xludf.DUMMYFUNCTION("""COMPUTED_VALUE"""),"12DQ8VFmnoIi6USj-pAupggGf1Uakm-iIEO9IboOJPds")</f>
        <v>12DQ8VFmnoIi6USj-pAupggGf1Uakm-iIEO9IboOJPds</v>
      </c>
      <c r="D28" s="10" t="str">
        <f>IFERROR(__xludf.DUMMYFUNCTION("""COMPUTED_VALUE"""),"")</f>
        <v/>
      </c>
      <c r="E28" s="10" t="str">
        <f>IFERROR(__xludf.DUMMYFUNCTION("""COMPUTED_VALUE"""),"")</f>
        <v/>
      </c>
      <c r="F28" s="10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0" t="str">
        <f>IFERROR(__xludf.DUMMYFUNCTION("""COMPUTED_VALUE"""),"PortfolioManagement")</f>
        <v>PortfolioManagement</v>
      </c>
      <c r="B29" s="10" t="str">
        <f>IFERROR(__xludf.DUMMYFUNCTION("""COMPUTED_VALUE"""),"CheckPortfolioManagement")</f>
        <v>CheckPortfolioManagement</v>
      </c>
      <c r="C29" s="10" t="str">
        <f>IFERROR(__xludf.DUMMYFUNCTION("""COMPUTED_VALUE"""),"1EinrxkfbLK2Tdj1nGXu4y1H2zmS6g6G85Hm0vYSOHlA")</f>
        <v>1EinrxkfbLK2Tdj1nGXu4y1H2zmS6g6G85Hm0vYSOHlA</v>
      </c>
      <c r="D29" s="10" t="str">
        <f>IFERROR(__xludf.DUMMYFUNCTION("""COMPUTED_VALUE"""),"")</f>
        <v/>
      </c>
      <c r="E29" s="10" t="str">
        <f>IFERROR(__xludf.DUMMYFUNCTION("""COMPUTED_VALUE"""),"")</f>
        <v/>
      </c>
      <c r="F29" s="10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0" t="str">
        <f>IFERROR(__xludf.DUMMYFUNCTION("""COMPUTED_VALUE"""),"PricingInput")</f>
        <v>PricingInput</v>
      </c>
      <c r="B30" s="10" t="str">
        <f>IFERROR(__xludf.DUMMYFUNCTION("""COMPUTED_VALUE"""),"PricingInput")</f>
        <v>PricingInput</v>
      </c>
      <c r="C30" s="10" t="str">
        <f>IFERROR(__xludf.DUMMYFUNCTION("""COMPUTED_VALUE"""),"1qeUVChEAj0eKA7tNZsUWM4FcqW347Jcsk_tvw1-FP3s")</f>
        <v>1qeUVChEAj0eKA7tNZsUWM4FcqW347Jcsk_tvw1-FP3s</v>
      </c>
      <c r="D30" s="10" t="str">
        <f>IFERROR(__xludf.DUMMYFUNCTION("""COMPUTED_VALUE"""),"")</f>
        <v/>
      </c>
      <c r="E30" s="10" t="str">
        <f>IFERROR(__xludf.DUMMYFUNCTION("""COMPUTED_VALUE"""),"")</f>
        <v/>
      </c>
      <c r="F30" s="1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0" t="str">
        <f>IFERROR(__xludf.DUMMYFUNCTION("""COMPUTED_VALUE"""),"PricingInput")</f>
        <v>PricingInput</v>
      </c>
      <c r="B31" s="10" t="str">
        <f>IFERROR(__xludf.DUMMYFUNCTION("""COMPUTED_VALUE"""),"UpdateSharesOutstanding")</f>
        <v>UpdateSharesOutstanding</v>
      </c>
      <c r="C31" s="10" t="str">
        <f>IFERROR(__xludf.DUMMYFUNCTION("""COMPUTED_VALUE"""),"1aVxYFzFjJM4FVvXjfioQc67hI5XgzzCTHLg8f7lbJhU")</f>
        <v>1aVxYFzFjJM4FVvXjfioQc67hI5XgzzCTHLg8f7lbJhU</v>
      </c>
      <c r="D31" s="10" t="str">
        <f>IFERROR(__xludf.DUMMYFUNCTION("""COMPUTED_VALUE"""),"")</f>
        <v/>
      </c>
      <c r="E31" s="10" t="str">
        <f>IFERROR(__xludf.DUMMYFUNCTION("""COMPUTED_VALUE"""),"")</f>
        <v/>
      </c>
      <c r="F31" s="10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0" t="str">
        <f>IFERROR(__xludf.DUMMYFUNCTION("""COMPUTED_VALUE"""),"SymbolLookup")</f>
        <v>SymbolLookup</v>
      </c>
      <c r="B32" s="10" t="str">
        <f>IFERROR(__xludf.DUMMYFUNCTION("""COMPUTED_VALUE"""),"VerifySymbolLookUp")</f>
        <v>VerifySymbolLookUp</v>
      </c>
      <c r="C32" s="10" t="str">
        <f>IFERROR(__xludf.DUMMYFUNCTION("""COMPUTED_VALUE"""),"1Fe8M8KnrsIcnAobjXa43I9IzXKCnB39xCSYterKkeEc")</f>
        <v>1Fe8M8KnrsIcnAobjXa43I9IzXKCnB39xCSYterKkeEc</v>
      </c>
      <c r="D32" s="10" t="str">
        <f>IFERROR(__xludf.DUMMYFUNCTION("""COMPUTED_VALUE"""),"")</f>
        <v/>
      </c>
      <c r="E32" s="10" t="str">
        <f>IFERROR(__xludf.DUMMYFUNCTION("""COMPUTED_VALUE"""),"")</f>
        <v/>
      </c>
      <c r="F32" s="10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0" t="str">
        <f>IFERROR(__xludf.DUMMYFUNCTION("""COMPUTED_VALUE"""),"SymbolLookup")</f>
        <v>SymbolLookup</v>
      </c>
      <c r="B33" s="10" t="str">
        <f>IFERROR(__xludf.DUMMYFUNCTION("""COMPUTED_VALUE"""),"SymbolLookupFromTT")</f>
        <v>SymbolLookupFromTT</v>
      </c>
      <c r="C33" s="10" t="str">
        <f>IFERROR(__xludf.DUMMYFUNCTION("""COMPUTED_VALUE"""),"1qJHd_QH5ht3ZzeFZbKiVeEOBmlpAshwV72N701B28uk")</f>
        <v>1qJHd_QH5ht3ZzeFZbKiVeEOBmlpAshwV72N701B28uk</v>
      </c>
      <c r="D33" s="10" t="str">
        <f>IFERROR(__xludf.DUMMYFUNCTION("""COMPUTED_VALUE"""),"")</f>
        <v/>
      </c>
      <c r="E33" s="10" t="str">
        <f>IFERROR(__xludf.DUMMYFUNCTION("""COMPUTED_VALUE"""),"")</f>
        <v/>
      </c>
      <c r="F33" s="10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5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IFERROR(__xludf.DUMMYFUNCTION("""COMPUTED_VALUE"""),"Blotter")</f>
        <v>Blotter</v>
      </c>
      <c r="B369" t="str">
        <f>IFERROR(__xludf.DUMMYFUNCTION("""COMPUTED_VALUE"""),"VerifyViewAllocationDetails")</f>
        <v>VerifyViewAllocationDetails</v>
      </c>
      <c r="C369" t="str">
        <f>IFERROR(__xludf.DUMMYFUNCTION("""COMPUTED_VALUE"""),"1reP0LPUrGMeoA9ELrOqgVjEvRIhJcAliyLaecGmIRSw")</f>
        <v>1reP0LPUrGMeoA9ELrOqgVjEvRIhJcAliyLaecGmIRSw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1" t="s">
        <v>6</v>
      </c>
      <c r="B1" s="2"/>
      <c r="C1" s="2"/>
      <c r="D1" s="2"/>
      <c r="E1" s="2"/>
      <c r="F1" s="3"/>
    </row>
    <row r="2">
      <c r="A2" s="10"/>
      <c r="B2" s="10"/>
      <c r="C2" s="10"/>
      <c r="D2" s="10"/>
      <c r="E2" s="10"/>
      <c r="F2" s="10"/>
    </row>
    <row r="3">
      <c r="A3" s="7" t="s">
        <v>8</v>
      </c>
      <c r="B3" s="13" t="s">
        <v>9</v>
      </c>
      <c r="C3" s="13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 t="s">
        <v>18</v>
      </c>
      <c r="C6" s="30" t="s">
        <v>19</v>
      </c>
      <c r="D6" s="31">
        <v>100000.0</v>
      </c>
      <c r="E6" s="32"/>
      <c r="F6" s="30" t="s">
        <v>20</v>
      </c>
      <c r="G6" s="4"/>
      <c r="H6" s="4"/>
      <c r="I6" s="4"/>
      <c r="J6" s="33">
        <v>5.0</v>
      </c>
      <c r="K6" s="4"/>
      <c r="L6" s="4"/>
      <c r="M6" s="4"/>
      <c r="N6" s="34">
        <f t="shared" ref="N6:N7" si="1">today()-1</f>
        <v>43752</v>
      </c>
      <c r="O6" s="6">
        <v>0.625</v>
      </c>
      <c r="R6" s="35" t="s">
        <v>21</v>
      </c>
      <c r="S6" s="33">
        <v>20.0</v>
      </c>
    </row>
    <row r="7" ht="15.75" customHeight="1">
      <c r="A7" s="4"/>
      <c r="B7" s="30" t="s">
        <v>22</v>
      </c>
      <c r="C7" s="36" t="s">
        <v>19</v>
      </c>
      <c r="D7" s="33">
        <v>100000.0</v>
      </c>
      <c r="E7" s="4"/>
      <c r="F7" s="30" t="s">
        <v>20</v>
      </c>
      <c r="G7" s="4"/>
      <c r="H7" s="4"/>
      <c r="I7" s="4"/>
      <c r="J7" s="33">
        <v>8.0</v>
      </c>
      <c r="K7" s="4"/>
      <c r="L7" s="4"/>
      <c r="M7" s="4"/>
      <c r="N7" s="34">
        <f t="shared" si="1"/>
        <v>43752</v>
      </c>
      <c r="O7" s="4"/>
      <c r="R7" s="35" t="s">
        <v>21</v>
      </c>
      <c r="S7" s="33">
        <v>26.0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16</v>
      </c>
      <c r="D3" s="5" t="s">
        <v>9</v>
      </c>
      <c r="E3" s="21" t="s">
        <v>17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9">
        <f>today()-1</f>
        <v>43752</v>
      </c>
      <c r="C6" s="34">
        <f>today()</f>
        <v>43753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16</v>
      </c>
      <c r="D3" s="5" t="s">
        <v>9</v>
      </c>
      <c r="E3" s="21" t="s">
        <v>23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7" t="s">
        <v>18</v>
      </c>
      <c r="C6" s="33">
        <v>6.0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8" t="s">
        <v>22</v>
      </c>
      <c r="C7" s="33">
        <v>7.0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16</v>
      </c>
      <c r="D3" s="5" t="s">
        <v>9</v>
      </c>
      <c r="E3" s="21" t="s">
        <v>24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9">
        <f t="shared" ref="B6:C6" si="1">today()-1</f>
        <v>43752</v>
      </c>
      <c r="C6" s="34">
        <f t="shared" si="1"/>
        <v>43752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16</v>
      </c>
      <c r="D3" s="5" t="s">
        <v>9</v>
      </c>
      <c r="E3" s="21" t="s">
        <v>25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0"/>
      <c r="B6" s="41" t="s">
        <v>26</v>
      </c>
      <c r="C6" s="42" t="s">
        <v>27</v>
      </c>
      <c r="D6" s="41" t="s">
        <v>28</v>
      </c>
      <c r="E6" s="43">
        <v>0.626</v>
      </c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29</v>
      </c>
      <c r="D3" s="5" t="s">
        <v>9</v>
      </c>
      <c r="E3" s="21" t="s">
        <v>29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7" t="s">
        <v>18</v>
      </c>
      <c r="C6" s="33">
        <v>7.0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8" t="s">
        <v>22</v>
      </c>
      <c r="C7" s="33">
        <v>8.0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30</v>
      </c>
      <c r="D3" s="5" t="s">
        <v>9</v>
      </c>
      <c r="E3" s="21" t="s">
        <v>31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32</v>
      </c>
      <c r="C6" s="6" t="s">
        <v>20</v>
      </c>
      <c r="D6" s="39">
        <f t="shared" ref="D6:E6" si="1">today()-1</f>
        <v>43752</v>
      </c>
      <c r="E6" s="39">
        <f t="shared" si="1"/>
        <v>43752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8</v>
      </c>
      <c r="C3" s="21" t="s">
        <v>12</v>
      </c>
      <c r="D3" s="5" t="s">
        <v>9</v>
      </c>
      <c r="E3" s="21" t="s">
        <v>13</v>
      </c>
      <c r="F3" s="5" t="s">
        <v>14</v>
      </c>
      <c r="G3" s="8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 t="s">
        <v>18</v>
      </c>
      <c r="C6" s="36" t="s">
        <v>35</v>
      </c>
      <c r="D6" s="31">
        <v>100000.0</v>
      </c>
      <c r="E6" s="32"/>
      <c r="F6" s="30" t="s">
        <v>36</v>
      </c>
      <c r="G6" s="4"/>
      <c r="H6" s="4"/>
      <c r="I6" s="4"/>
      <c r="J6" s="33">
        <v>7.0</v>
      </c>
      <c r="K6" s="4"/>
      <c r="L6" s="4"/>
      <c r="M6" s="4"/>
      <c r="N6" s="34">
        <f t="shared" ref="N6:N7" si="1">today()</f>
        <v>43753</v>
      </c>
      <c r="O6" s="57">
        <v>0.625</v>
      </c>
      <c r="R6" s="35" t="s">
        <v>21</v>
      </c>
      <c r="S6" s="33">
        <v>12.0</v>
      </c>
    </row>
    <row r="7" ht="15.75" customHeight="1">
      <c r="A7" s="4"/>
      <c r="B7" s="30" t="s">
        <v>22</v>
      </c>
      <c r="C7" s="30" t="s">
        <v>35</v>
      </c>
      <c r="D7" s="33">
        <v>100000.0</v>
      </c>
      <c r="E7" s="4"/>
      <c r="F7" s="30" t="s">
        <v>36</v>
      </c>
      <c r="G7" s="4"/>
      <c r="H7" s="4"/>
      <c r="I7" s="4"/>
      <c r="J7" s="33">
        <v>9.0</v>
      </c>
      <c r="K7" s="4"/>
      <c r="L7" s="4"/>
      <c r="M7" s="4"/>
      <c r="N7" s="34">
        <f t="shared" si="1"/>
        <v>43753</v>
      </c>
      <c r="O7" s="4"/>
      <c r="R7" s="35" t="s">
        <v>21</v>
      </c>
      <c r="S7" s="33">
        <v>5.0</v>
      </c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45"/>
      <c r="B1" s="46" t="s">
        <v>11</v>
      </c>
      <c r="C1" s="2"/>
      <c r="D1" s="2"/>
      <c r="E1" s="2"/>
      <c r="F1" s="2"/>
      <c r="G1" s="2"/>
      <c r="H1" s="3"/>
      <c r="I1" s="45"/>
      <c r="J1" s="45"/>
      <c r="K1" s="45"/>
      <c r="L1" s="45"/>
      <c r="M1" s="45"/>
      <c r="N1" s="45"/>
      <c r="O1" s="45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</row>
    <row r="2" ht="15.75" customHeight="1">
      <c r="A2" s="48"/>
      <c r="B2" s="48"/>
      <c r="C2" s="48"/>
      <c r="D2" s="48"/>
      <c r="E2" s="48"/>
      <c r="F2" s="48"/>
      <c r="G2" s="48"/>
      <c r="H2" s="48"/>
      <c r="I2" s="48"/>
      <c r="J2" s="49" t="str">
        <f> VLOOKUP($E$3,'_MasterData'!B4:D1000,3,FALSE)</f>
        <v>#N/A</v>
      </c>
      <c r="K2" s="49"/>
      <c r="L2" s="48"/>
      <c r="M2" s="48"/>
      <c r="N2" s="48"/>
      <c r="O2" s="48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  <c r="DL2" s="50"/>
      <c r="DM2" s="50"/>
      <c r="DN2" s="50"/>
      <c r="DO2" s="50"/>
      <c r="DP2" s="50"/>
      <c r="DQ2" s="50"/>
      <c r="DR2" s="50"/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</row>
    <row r="3" ht="15.75" customHeight="1">
      <c r="A3" s="51"/>
      <c r="B3" s="52" t="s">
        <v>8</v>
      </c>
      <c r="C3" s="53" t="s">
        <v>33</v>
      </c>
      <c r="D3" s="52" t="s">
        <v>9</v>
      </c>
      <c r="E3" s="53" t="s">
        <v>34</v>
      </c>
      <c r="F3" s="52" t="s">
        <v>14</v>
      </c>
      <c r="G3" s="54" t="s">
        <v>15</v>
      </c>
      <c r="H3" s="52"/>
      <c r="I3" s="51"/>
      <c r="J3" s="51"/>
      <c r="K3" s="51"/>
      <c r="L3" s="51"/>
      <c r="M3" s="51"/>
      <c r="N3" s="51"/>
      <c r="O3" s="51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  <c r="CP3" s="55"/>
      <c r="CQ3" s="55"/>
      <c r="CR3" s="55"/>
      <c r="CS3" s="55"/>
      <c r="CT3" s="55"/>
      <c r="CU3" s="55"/>
      <c r="CV3" s="55"/>
      <c r="CW3" s="55"/>
      <c r="CX3" s="55"/>
      <c r="CY3" s="55"/>
      <c r="CZ3" s="55"/>
      <c r="DA3" s="55"/>
      <c r="DB3" s="55"/>
      <c r="DC3" s="55"/>
      <c r="DD3" s="55"/>
      <c r="DE3" s="55"/>
      <c r="DF3" s="55"/>
      <c r="DG3" s="55"/>
      <c r="DH3" s="55"/>
      <c r="DI3" s="55"/>
      <c r="DJ3" s="55"/>
      <c r="DK3" s="55"/>
      <c r="DL3" s="55"/>
      <c r="DM3" s="55"/>
      <c r="DN3" s="55"/>
      <c r="DO3" s="55"/>
      <c r="DP3" s="55"/>
      <c r="DQ3" s="55"/>
      <c r="DR3" s="55"/>
      <c r="DS3" s="55"/>
      <c r="DT3" s="55"/>
      <c r="DU3" s="55"/>
      <c r="DV3" s="55"/>
      <c r="DW3" s="55"/>
      <c r="DX3" s="55"/>
      <c r="DY3" s="55"/>
      <c r="DZ3" s="55"/>
      <c r="EA3" s="55"/>
      <c r="EB3" s="55"/>
      <c r="EC3" s="55"/>
      <c r="ED3" s="55"/>
      <c r="EE3" s="55"/>
      <c r="EF3" s="55"/>
      <c r="EG3" s="55"/>
      <c r="EH3" s="55"/>
      <c r="EI3" s="55"/>
      <c r="EJ3" s="55"/>
      <c r="EK3" s="55"/>
      <c r="EL3" s="55"/>
      <c r="EM3" s="55"/>
      <c r="EN3" s="55"/>
      <c r="EO3" s="55"/>
      <c r="EP3" s="55"/>
      <c r="EQ3" s="55"/>
      <c r="ER3" s="55"/>
      <c r="ES3" s="55"/>
      <c r="ET3" s="55"/>
      <c r="EU3" s="55"/>
      <c r="EV3" s="55"/>
      <c r="EW3" s="55"/>
      <c r="EX3" s="55"/>
      <c r="EY3" s="55"/>
      <c r="EZ3" s="55"/>
      <c r="FA3" s="55"/>
      <c r="FB3" s="55"/>
      <c r="FC3" s="55"/>
      <c r="FD3" s="55"/>
      <c r="FE3" s="55"/>
      <c r="FF3" s="55"/>
      <c r="FG3" s="55"/>
      <c r="FH3" s="55"/>
      <c r="FI3" s="55"/>
      <c r="FJ3" s="55"/>
    </row>
    <row r="4" ht="15.75" customHeight="1">
      <c r="A4" s="56"/>
      <c r="B4" s="56" t="str">
        <f>IFERROR(__xludf.DUMMYFUNCTION("IF(C3="""","""",Transpose(IMPORTRANGE('_Settings'!$B$3,C3&amp;""!A4:A1000"")))"),"CheckDashboardPM")</f>
        <v>CheckDashboardPM</v>
      </c>
      <c r="C4" s="56" t="str">
        <f>IFERROR(__xludf.DUMMYFUNCTION("""COMPUTED_VALUE"""),"CheckPortfolioManagement")</f>
        <v>CheckPortfolioManagement</v>
      </c>
      <c r="D4" s="56" t="str">
        <f>IFERROR(__xludf.DUMMYFUNCTION("""COMPUTED_VALUE"""),"OpenPSTFromPM")</f>
        <v>OpenPSTFromPM</v>
      </c>
      <c r="E4" s="56" t="str">
        <f>IFERROR(__xludf.DUMMYFUNCTION("""COMPUTED_VALUE"""),"ClosePM")</f>
        <v>ClosePM</v>
      </c>
      <c r="F4" s="56" t="str">
        <f>IFERROR(__xludf.DUMMYFUNCTION("""COMPUTED_VALUE"""),"FilterPM")</f>
        <v>FilterPM</v>
      </c>
      <c r="G4" s="56" t="str">
        <f>IFERROR(__xludf.DUMMYFUNCTION("""COMPUTED_VALUE"""),"GroupRowPM")</f>
        <v>GroupRowPM</v>
      </c>
      <c r="H4" s="56" t="str">
        <f>IFERROR(__xludf.DUMMYFUNCTION("""COMPUTED_VALUE"""),"CheckDashboardWithPM")</f>
        <v>CheckDashboardWithPM</v>
      </c>
      <c r="I4" s="56" t="str">
        <f>IFERROR(__xludf.DUMMYFUNCTION("""COMPUTED_VALUE"""),"RemoveFilterPM")</f>
        <v>RemoveFilterPM</v>
      </c>
      <c r="J4" s="56" t="str">
        <f>IFERROR(__xludf.DUMMYFUNCTION("""COMPUTED_VALUE"""),"CheckSummaryRowsPM")</f>
        <v>CheckSummaryRowsPM</v>
      </c>
      <c r="K4" s="56" t="str">
        <f>IFERROR(__xludf.DUMMYFUNCTION("""COMPUTED_VALUE"""),"OpenPTTFromPM")</f>
        <v>OpenPTTFromPM</v>
      </c>
      <c r="L4" s="56" t="str">
        <f>IFERROR(__xludf.DUMMYFUNCTION("""COMPUTED_VALUE"""),"OpenCreateTransactionFromPM")</f>
        <v>OpenCreateTransactionFromPM</v>
      </c>
      <c r="M4" s="56" t="str">
        <f>IFERROR(__xludf.DUMMYFUNCTION("""COMPUTED_VALUE"""),"OpenClosingFromPM")</f>
        <v>OpenClosingFromPM</v>
      </c>
      <c r="N4" s="56" t="str">
        <f>IFERROR(__xludf.DUMMYFUNCTION("""COMPUTED_VALUE"""),"OpenCorporateActionFromPM")</f>
        <v>OpenCorporateActionFromPM</v>
      </c>
      <c r="O4" s="56" t="str">
        <f>IFERROR(__xludf.DUMMYFUNCTION("""COMPUTED_VALUE"""),"OpenDailyValuationFromPM")</f>
        <v>OpenDailyValuationFromPM</v>
      </c>
      <c r="P4" s="58" t="str">
        <f>IFERROR(__xludf.DUMMYFUNCTION("""COMPUTED_VALUE"""),"ClosePositionFromPM")</f>
        <v>ClosePositionFromPM</v>
      </c>
      <c r="Q4" s="58" t="str">
        <f>IFERROR(__xludf.DUMMYFUNCTION("""COMPUTED_VALUE"""),"ShowSummaryToolFromPM")</f>
        <v>ShowSummaryToolFromPM</v>
      </c>
      <c r="R4" s="58" t="str">
        <f>IFERROR(__xludf.DUMMYFUNCTION("""COMPUTED_VALUE"""),"HideSummaryToolFromPM")</f>
        <v>HideSummaryToolFromPM</v>
      </c>
      <c r="S4" s="58" t="str">
        <f>IFERROR(__xludf.DUMMYFUNCTION("""COMPUTED_VALUE"""),"CloseAccountPositionFromPM")</f>
        <v>CloseAccountPositionFromPM</v>
      </c>
      <c r="T4" s="58" t="str">
        <f>IFERROR(__xludf.DUMMYFUNCTION("""COMPUTED_VALUE"""),"CloseSelectedTaxlotsFromPM")</f>
        <v>CloseSelectedTaxlotsFromPM</v>
      </c>
      <c r="U4" s="58" t="str">
        <f>IFERROR(__xludf.DUMMYFUNCTION("""COMPUTED_VALUE"""),"ExpandCollapsePM")</f>
        <v>ExpandCollapsePM</v>
      </c>
      <c r="V4" s="58" t="str">
        <f>IFERROR(__xludf.DUMMYFUNCTION("""COMPUTED_VALUE"""),"AddCustomViewPM")</f>
        <v>AddCustomViewPM</v>
      </c>
      <c r="W4" s="58" t="str">
        <f>IFERROR(__xludf.DUMMYFUNCTION("""COMPUTED_VALUE"""),"AddCustomViewRightClickPM")</f>
        <v>AddCustomViewRightClickPM</v>
      </c>
      <c r="X4" s="58" t="str">
        <f>IFERROR(__xludf.DUMMYFUNCTION("""COMPUTED_VALUE"""),"RenameCustomViewPM")</f>
        <v>RenameCustomViewPM</v>
      </c>
      <c r="Y4" s="58" t="str">
        <f>IFERROR(__xludf.DUMMYFUNCTION("""COMPUTED_VALUE"""),"DeleteCustomViewPM")</f>
        <v>DeleteCustomViewPM</v>
      </c>
      <c r="Z4" s="58" t="str">
        <f>IFERROR(__xludf.DUMMYFUNCTION("""COMPUTED_VALUE"""),"")</f>
        <v/>
      </c>
      <c r="AA4" s="58" t="str">
        <f>IFERROR(__xludf.DUMMYFUNCTION("""COMPUTED_VALUE"""),"")</f>
        <v/>
      </c>
      <c r="AB4" s="58" t="str">
        <f>IFERROR(__xludf.DUMMYFUNCTION("""COMPUTED_VALUE"""),"")</f>
        <v/>
      </c>
      <c r="AC4" s="58" t="str">
        <f>IFERROR(__xludf.DUMMYFUNCTION("""COMPUTED_VALUE"""),"")</f>
        <v/>
      </c>
      <c r="AD4" s="58" t="str">
        <f>IFERROR(__xludf.DUMMYFUNCTION("""COMPUTED_VALUE"""),"")</f>
        <v/>
      </c>
      <c r="AE4" s="58" t="str">
        <f>IFERROR(__xludf.DUMMYFUNCTION("""COMPUTED_VALUE"""),"")</f>
        <v/>
      </c>
      <c r="AF4" s="58" t="str">
        <f>IFERROR(__xludf.DUMMYFUNCTION("""COMPUTED_VALUE"""),"")</f>
        <v/>
      </c>
      <c r="AG4" s="58" t="str">
        <f>IFERROR(__xludf.DUMMYFUNCTION("""COMPUTED_VALUE"""),"")</f>
        <v/>
      </c>
      <c r="AH4" s="58" t="str">
        <f>IFERROR(__xludf.DUMMYFUNCTION("""COMPUTED_VALUE"""),"")</f>
        <v/>
      </c>
      <c r="AI4" s="58" t="str">
        <f>IFERROR(__xludf.DUMMYFUNCTION("""COMPUTED_VALUE"""),"")</f>
        <v/>
      </c>
      <c r="AJ4" s="58" t="str">
        <f>IFERROR(__xludf.DUMMYFUNCTION("""COMPUTED_VALUE"""),"")</f>
        <v/>
      </c>
      <c r="AK4" s="58" t="str">
        <f>IFERROR(__xludf.DUMMYFUNCTION("""COMPUTED_VALUE"""),"")</f>
        <v/>
      </c>
      <c r="AL4" s="58" t="str">
        <f>IFERROR(__xludf.DUMMYFUNCTION("""COMPUTED_VALUE"""),"")</f>
        <v/>
      </c>
      <c r="AM4" s="58" t="str">
        <f>IFERROR(__xludf.DUMMYFUNCTION("""COMPUTED_VALUE"""),"")</f>
        <v/>
      </c>
      <c r="AN4" s="58" t="str">
        <f>IFERROR(__xludf.DUMMYFUNCTION("""COMPUTED_VALUE"""),"")</f>
        <v/>
      </c>
      <c r="AO4" s="58" t="str">
        <f>IFERROR(__xludf.DUMMYFUNCTION("""COMPUTED_VALUE"""),"")</f>
        <v/>
      </c>
      <c r="AP4" s="58" t="str">
        <f>IFERROR(__xludf.DUMMYFUNCTION("""COMPUTED_VALUE"""),"")</f>
        <v/>
      </c>
      <c r="AQ4" s="58" t="str">
        <f>IFERROR(__xludf.DUMMYFUNCTION("""COMPUTED_VALUE"""),"")</f>
        <v/>
      </c>
      <c r="AR4" s="58" t="str">
        <f>IFERROR(__xludf.DUMMYFUNCTION("""COMPUTED_VALUE"""),"")</f>
        <v/>
      </c>
      <c r="AS4" s="58" t="str">
        <f>IFERROR(__xludf.DUMMYFUNCTION("""COMPUTED_VALUE"""),"")</f>
        <v/>
      </c>
      <c r="AT4" s="58" t="str">
        <f>IFERROR(__xludf.DUMMYFUNCTION("""COMPUTED_VALUE"""),"")</f>
        <v/>
      </c>
      <c r="AU4" s="58" t="str">
        <f>IFERROR(__xludf.DUMMYFUNCTION("""COMPUTED_VALUE"""),"")</f>
        <v/>
      </c>
      <c r="AV4" s="58" t="str">
        <f>IFERROR(__xludf.DUMMYFUNCTION("""COMPUTED_VALUE"""),"")</f>
        <v/>
      </c>
      <c r="AW4" s="58" t="str">
        <f>IFERROR(__xludf.DUMMYFUNCTION("""COMPUTED_VALUE"""),"")</f>
        <v/>
      </c>
      <c r="AX4" s="58" t="str">
        <f>IFERROR(__xludf.DUMMYFUNCTION("""COMPUTED_VALUE"""),"")</f>
        <v/>
      </c>
      <c r="AY4" s="58" t="str">
        <f>IFERROR(__xludf.DUMMYFUNCTION("""COMPUTED_VALUE"""),"")</f>
        <v/>
      </c>
      <c r="AZ4" s="58" t="str">
        <f>IFERROR(__xludf.DUMMYFUNCTION("""COMPUTED_VALUE"""),"")</f>
        <v/>
      </c>
      <c r="BA4" s="58" t="str">
        <f>IFERROR(__xludf.DUMMYFUNCTION("""COMPUTED_VALUE"""),"")</f>
        <v/>
      </c>
      <c r="BB4" s="58" t="str">
        <f>IFERROR(__xludf.DUMMYFUNCTION("""COMPUTED_VALUE"""),"")</f>
        <v/>
      </c>
      <c r="BC4" s="58" t="str">
        <f>IFERROR(__xludf.DUMMYFUNCTION("""COMPUTED_VALUE"""),"")</f>
        <v/>
      </c>
      <c r="BD4" s="58" t="str">
        <f>IFERROR(__xludf.DUMMYFUNCTION("""COMPUTED_VALUE"""),"")</f>
        <v/>
      </c>
      <c r="BE4" s="58" t="str">
        <f>IFERROR(__xludf.DUMMYFUNCTION("""COMPUTED_VALUE"""),"")</f>
        <v/>
      </c>
      <c r="BF4" s="58" t="str">
        <f>IFERROR(__xludf.DUMMYFUNCTION("""COMPUTED_VALUE"""),"")</f>
        <v/>
      </c>
      <c r="BG4" s="58" t="str">
        <f>IFERROR(__xludf.DUMMYFUNCTION("""COMPUTED_VALUE"""),"")</f>
        <v/>
      </c>
      <c r="BH4" s="58" t="str">
        <f>IFERROR(__xludf.DUMMYFUNCTION("""COMPUTED_VALUE"""),"")</f>
        <v/>
      </c>
      <c r="BI4" s="58" t="str">
        <f>IFERROR(__xludf.DUMMYFUNCTION("""COMPUTED_VALUE"""),"")</f>
        <v/>
      </c>
      <c r="BJ4" s="58" t="str">
        <f>IFERROR(__xludf.DUMMYFUNCTION("""COMPUTED_VALUE"""),"")</f>
        <v/>
      </c>
      <c r="BK4" s="58" t="str">
        <f>IFERROR(__xludf.DUMMYFUNCTION("""COMPUTED_VALUE"""),"")</f>
        <v/>
      </c>
      <c r="BL4" s="58" t="str">
        <f>IFERROR(__xludf.DUMMYFUNCTION("""COMPUTED_VALUE"""),"")</f>
        <v/>
      </c>
      <c r="BM4" s="58" t="str">
        <f>IFERROR(__xludf.DUMMYFUNCTION("""COMPUTED_VALUE"""),"")</f>
        <v/>
      </c>
      <c r="BN4" s="58" t="str">
        <f>IFERROR(__xludf.DUMMYFUNCTION("""COMPUTED_VALUE"""),"")</f>
        <v/>
      </c>
      <c r="BO4" s="58" t="str">
        <f>IFERROR(__xludf.DUMMYFUNCTION("""COMPUTED_VALUE"""),"")</f>
        <v/>
      </c>
      <c r="BP4" s="58" t="str">
        <f>IFERROR(__xludf.DUMMYFUNCTION("""COMPUTED_VALUE"""),"")</f>
        <v/>
      </c>
      <c r="BQ4" s="58" t="str">
        <f>IFERROR(__xludf.DUMMYFUNCTION("""COMPUTED_VALUE"""),"")</f>
        <v/>
      </c>
      <c r="BR4" s="58" t="str">
        <f>IFERROR(__xludf.DUMMYFUNCTION("""COMPUTED_VALUE"""),"")</f>
        <v/>
      </c>
      <c r="BS4" s="58" t="str">
        <f>IFERROR(__xludf.DUMMYFUNCTION("""COMPUTED_VALUE"""),"")</f>
        <v/>
      </c>
      <c r="BT4" s="58" t="str">
        <f>IFERROR(__xludf.DUMMYFUNCTION("""COMPUTED_VALUE"""),"")</f>
        <v/>
      </c>
      <c r="BU4" s="58" t="str">
        <f>IFERROR(__xludf.DUMMYFUNCTION("""COMPUTED_VALUE"""),"")</f>
        <v/>
      </c>
      <c r="BV4" s="58" t="str">
        <f>IFERROR(__xludf.DUMMYFUNCTION("""COMPUTED_VALUE"""),"")</f>
        <v/>
      </c>
      <c r="BW4" s="58" t="str">
        <f>IFERROR(__xludf.DUMMYFUNCTION("""COMPUTED_VALUE"""),"")</f>
        <v/>
      </c>
      <c r="BX4" s="58" t="str">
        <f>IFERROR(__xludf.DUMMYFUNCTION("""COMPUTED_VALUE"""),"")</f>
        <v/>
      </c>
      <c r="BY4" s="58" t="str">
        <f>IFERROR(__xludf.DUMMYFUNCTION("""COMPUTED_VALUE"""),"")</f>
        <v/>
      </c>
      <c r="BZ4" s="58" t="str">
        <f>IFERROR(__xludf.DUMMYFUNCTION("""COMPUTED_VALUE"""),"")</f>
        <v/>
      </c>
      <c r="CA4" s="58" t="str">
        <f>IFERROR(__xludf.DUMMYFUNCTION("""COMPUTED_VALUE"""),"")</f>
        <v/>
      </c>
      <c r="CB4" s="58" t="str">
        <f>IFERROR(__xludf.DUMMYFUNCTION("""COMPUTED_VALUE"""),"")</f>
        <v/>
      </c>
      <c r="CC4" s="58" t="str">
        <f>IFERROR(__xludf.DUMMYFUNCTION("""COMPUTED_VALUE"""),"")</f>
        <v/>
      </c>
      <c r="CD4" s="58" t="str">
        <f>IFERROR(__xludf.DUMMYFUNCTION("""COMPUTED_VALUE"""),"")</f>
        <v/>
      </c>
      <c r="CE4" s="58" t="str">
        <f>IFERROR(__xludf.DUMMYFUNCTION("""COMPUTED_VALUE"""),"")</f>
        <v/>
      </c>
      <c r="CF4" s="58" t="str">
        <f>IFERROR(__xludf.DUMMYFUNCTION("""COMPUTED_VALUE"""),"")</f>
        <v/>
      </c>
      <c r="CG4" s="58" t="str">
        <f>IFERROR(__xludf.DUMMYFUNCTION("""COMPUTED_VALUE"""),"")</f>
        <v/>
      </c>
      <c r="CH4" s="58" t="str">
        <f>IFERROR(__xludf.DUMMYFUNCTION("""COMPUTED_VALUE"""),"")</f>
        <v/>
      </c>
      <c r="CI4" s="58" t="str">
        <f>IFERROR(__xludf.DUMMYFUNCTION("""COMPUTED_VALUE"""),"")</f>
        <v/>
      </c>
      <c r="CJ4" s="58" t="str">
        <f>IFERROR(__xludf.DUMMYFUNCTION("""COMPUTED_VALUE"""),"")</f>
        <v/>
      </c>
      <c r="CK4" s="58" t="str">
        <f>IFERROR(__xludf.DUMMYFUNCTION("""COMPUTED_VALUE"""),"")</f>
        <v/>
      </c>
      <c r="CL4" s="58" t="str">
        <f>IFERROR(__xludf.DUMMYFUNCTION("""COMPUTED_VALUE"""),"")</f>
        <v/>
      </c>
      <c r="CM4" s="58" t="str">
        <f>IFERROR(__xludf.DUMMYFUNCTION("""COMPUTED_VALUE"""),"")</f>
        <v/>
      </c>
      <c r="CN4" s="58" t="str">
        <f>IFERROR(__xludf.DUMMYFUNCTION("""COMPUTED_VALUE"""),"")</f>
        <v/>
      </c>
      <c r="CO4" s="58" t="str">
        <f>IFERROR(__xludf.DUMMYFUNCTION("""COMPUTED_VALUE"""),"")</f>
        <v/>
      </c>
      <c r="CP4" s="58" t="str">
        <f>IFERROR(__xludf.DUMMYFUNCTION("""COMPUTED_VALUE"""),"")</f>
        <v/>
      </c>
      <c r="CQ4" s="58" t="str">
        <f>IFERROR(__xludf.DUMMYFUNCTION("""COMPUTED_VALUE"""),"")</f>
        <v/>
      </c>
      <c r="CR4" s="58" t="str">
        <f>IFERROR(__xludf.DUMMYFUNCTION("""COMPUTED_VALUE"""),"")</f>
        <v/>
      </c>
      <c r="CS4" s="58" t="str">
        <f>IFERROR(__xludf.DUMMYFUNCTION("""COMPUTED_VALUE"""),"")</f>
        <v/>
      </c>
      <c r="CT4" s="58" t="str">
        <f>IFERROR(__xludf.DUMMYFUNCTION("""COMPUTED_VALUE"""),"")</f>
        <v/>
      </c>
      <c r="CU4" s="58" t="str">
        <f>IFERROR(__xludf.DUMMYFUNCTION("""COMPUTED_VALUE"""),"")</f>
        <v/>
      </c>
      <c r="CV4" s="58" t="str">
        <f>IFERROR(__xludf.DUMMYFUNCTION("""COMPUTED_VALUE"""),"")</f>
        <v/>
      </c>
      <c r="CW4" s="58" t="str">
        <f>IFERROR(__xludf.DUMMYFUNCTION("""COMPUTED_VALUE"""),"")</f>
        <v/>
      </c>
      <c r="CX4" s="58" t="str">
        <f>IFERROR(__xludf.DUMMYFUNCTION("""COMPUTED_VALUE"""),"")</f>
        <v/>
      </c>
      <c r="CY4" s="58" t="str">
        <f>IFERROR(__xludf.DUMMYFUNCTION("""COMPUTED_VALUE"""),"")</f>
        <v/>
      </c>
      <c r="CZ4" s="58" t="str">
        <f>IFERROR(__xludf.DUMMYFUNCTION("""COMPUTED_VALUE"""),"")</f>
        <v/>
      </c>
      <c r="DA4" s="58" t="str">
        <f>IFERROR(__xludf.DUMMYFUNCTION("""COMPUTED_VALUE"""),"")</f>
        <v/>
      </c>
      <c r="DB4" s="58" t="str">
        <f>IFERROR(__xludf.DUMMYFUNCTION("""COMPUTED_VALUE"""),"")</f>
        <v/>
      </c>
      <c r="DC4" s="58" t="str">
        <f>IFERROR(__xludf.DUMMYFUNCTION("""COMPUTED_VALUE"""),"")</f>
        <v/>
      </c>
      <c r="DD4" s="58" t="str">
        <f>IFERROR(__xludf.DUMMYFUNCTION("""COMPUTED_VALUE"""),"")</f>
        <v/>
      </c>
      <c r="DE4" s="58" t="str">
        <f>IFERROR(__xludf.DUMMYFUNCTION("""COMPUTED_VALUE"""),"")</f>
        <v/>
      </c>
      <c r="DF4" s="58" t="str">
        <f>IFERROR(__xludf.DUMMYFUNCTION("""COMPUTED_VALUE"""),"")</f>
        <v/>
      </c>
      <c r="DG4" s="58" t="str">
        <f>IFERROR(__xludf.DUMMYFUNCTION("""COMPUTED_VALUE"""),"")</f>
        <v/>
      </c>
      <c r="DH4" s="58" t="str">
        <f>IFERROR(__xludf.DUMMYFUNCTION("""COMPUTED_VALUE"""),"")</f>
        <v/>
      </c>
      <c r="DI4" s="58" t="str">
        <f>IFERROR(__xludf.DUMMYFUNCTION("""COMPUTED_VALUE"""),"")</f>
        <v/>
      </c>
      <c r="DJ4" s="58" t="str">
        <f>IFERROR(__xludf.DUMMYFUNCTION("""COMPUTED_VALUE"""),"")</f>
        <v/>
      </c>
      <c r="DK4" s="58" t="str">
        <f>IFERROR(__xludf.DUMMYFUNCTION("""COMPUTED_VALUE"""),"")</f>
        <v/>
      </c>
      <c r="DL4" s="58" t="str">
        <f>IFERROR(__xludf.DUMMYFUNCTION("""COMPUTED_VALUE"""),"")</f>
        <v/>
      </c>
      <c r="DM4" s="58" t="str">
        <f>IFERROR(__xludf.DUMMYFUNCTION("""COMPUTED_VALUE"""),"")</f>
        <v/>
      </c>
      <c r="DN4" s="58" t="str">
        <f>IFERROR(__xludf.DUMMYFUNCTION("""COMPUTED_VALUE"""),"")</f>
        <v/>
      </c>
      <c r="DO4" s="58" t="str">
        <f>IFERROR(__xludf.DUMMYFUNCTION("""COMPUTED_VALUE"""),"")</f>
        <v/>
      </c>
      <c r="DP4" s="58" t="str">
        <f>IFERROR(__xludf.DUMMYFUNCTION("""COMPUTED_VALUE"""),"")</f>
        <v/>
      </c>
      <c r="DQ4" s="58" t="str">
        <f>IFERROR(__xludf.DUMMYFUNCTION("""COMPUTED_VALUE"""),"")</f>
        <v/>
      </c>
      <c r="DR4" s="58" t="str">
        <f>IFERROR(__xludf.DUMMYFUNCTION("""COMPUTED_VALUE"""),"")</f>
        <v/>
      </c>
      <c r="DS4" s="58" t="str">
        <f>IFERROR(__xludf.DUMMYFUNCTION("""COMPUTED_VALUE"""),"")</f>
        <v/>
      </c>
      <c r="DT4" s="58" t="str">
        <f>IFERROR(__xludf.DUMMYFUNCTION("""COMPUTED_VALUE"""),"")</f>
        <v/>
      </c>
      <c r="DU4" s="58" t="str">
        <f>IFERROR(__xludf.DUMMYFUNCTION("""COMPUTED_VALUE"""),"")</f>
        <v/>
      </c>
      <c r="DV4" s="58" t="str">
        <f>IFERROR(__xludf.DUMMYFUNCTION("""COMPUTED_VALUE"""),"")</f>
        <v/>
      </c>
      <c r="DW4" s="58" t="str">
        <f>IFERROR(__xludf.DUMMYFUNCTION("""COMPUTED_VALUE"""),"")</f>
        <v/>
      </c>
      <c r="DX4" s="58" t="str">
        <f>IFERROR(__xludf.DUMMYFUNCTION("""COMPUTED_VALUE"""),"")</f>
        <v/>
      </c>
      <c r="DY4" s="58" t="str">
        <f>IFERROR(__xludf.DUMMYFUNCTION("""COMPUTED_VALUE"""),"")</f>
        <v/>
      </c>
      <c r="DZ4" s="58" t="str">
        <f>IFERROR(__xludf.DUMMYFUNCTION("""COMPUTED_VALUE"""),"")</f>
        <v/>
      </c>
      <c r="EA4" s="58" t="str">
        <f>IFERROR(__xludf.DUMMYFUNCTION("""COMPUTED_VALUE"""),"")</f>
        <v/>
      </c>
      <c r="EB4" s="58" t="str">
        <f>IFERROR(__xludf.DUMMYFUNCTION("""COMPUTED_VALUE"""),"")</f>
        <v/>
      </c>
      <c r="EC4" s="58" t="str">
        <f>IFERROR(__xludf.DUMMYFUNCTION("""COMPUTED_VALUE"""),"")</f>
        <v/>
      </c>
      <c r="ED4" s="58" t="str">
        <f>IFERROR(__xludf.DUMMYFUNCTION("""COMPUTED_VALUE"""),"")</f>
        <v/>
      </c>
      <c r="EE4" s="58" t="str">
        <f>IFERROR(__xludf.DUMMYFUNCTION("""COMPUTED_VALUE"""),"")</f>
        <v/>
      </c>
      <c r="EF4" s="58" t="str">
        <f>IFERROR(__xludf.DUMMYFUNCTION("""COMPUTED_VALUE"""),"")</f>
        <v/>
      </c>
      <c r="EG4" s="58" t="str">
        <f>IFERROR(__xludf.DUMMYFUNCTION("""COMPUTED_VALUE"""),"")</f>
        <v/>
      </c>
      <c r="EH4" s="58" t="str">
        <f>IFERROR(__xludf.DUMMYFUNCTION("""COMPUTED_VALUE"""),"")</f>
        <v/>
      </c>
      <c r="EI4" s="58" t="str">
        <f>IFERROR(__xludf.DUMMYFUNCTION("""COMPUTED_VALUE"""),"")</f>
        <v/>
      </c>
      <c r="EJ4" s="58" t="str">
        <f>IFERROR(__xludf.DUMMYFUNCTION("""COMPUTED_VALUE"""),"")</f>
        <v/>
      </c>
      <c r="EK4" s="58" t="str">
        <f>IFERROR(__xludf.DUMMYFUNCTION("""COMPUTED_VALUE"""),"")</f>
        <v/>
      </c>
      <c r="EL4" s="58" t="str">
        <f>IFERROR(__xludf.DUMMYFUNCTION("""COMPUTED_VALUE"""),"")</f>
        <v/>
      </c>
      <c r="EM4" s="58" t="str">
        <f>IFERROR(__xludf.DUMMYFUNCTION("""COMPUTED_VALUE"""),"")</f>
        <v/>
      </c>
      <c r="EN4" s="58" t="str">
        <f>IFERROR(__xludf.DUMMYFUNCTION("""COMPUTED_VALUE"""),"")</f>
        <v/>
      </c>
      <c r="EO4" s="58" t="str">
        <f>IFERROR(__xludf.DUMMYFUNCTION("""COMPUTED_VALUE"""),"")</f>
        <v/>
      </c>
      <c r="EP4" s="58" t="str">
        <f>IFERROR(__xludf.DUMMYFUNCTION("""COMPUTED_VALUE"""),"")</f>
        <v/>
      </c>
      <c r="EQ4" s="58" t="str">
        <f>IFERROR(__xludf.DUMMYFUNCTION("""COMPUTED_VALUE"""),"")</f>
        <v/>
      </c>
      <c r="ER4" s="58" t="str">
        <f>IFERROR(__xludf.DUMMYFUNCTION("""COMPUTED_VALUE"""),"")</f>
        <v/>
      </c>
      <c r="ES4" s="58" t="str">
        <f>IFERROR(__xludf.DUMMYFUNCTION("""COMPUTED_VALUE"""),"")</f>
        <v/>
      </c>
      <c r="ET4" s="58" t="str">
        <f>IFERROR(__xludf.DUMMYFUNCTION("""COMPUTED_VALUE"""),"")</f>
        <v/>
      </c>
      <c r="EU4" s="58" t="str">
        <f>IFERROR(__xludf.DUMMYFUNCTION("""COMPUTED_VALUE"""),"")</f>
        <v/>
      </c>
      <c r="EV4" s="58" t="str">
        <f>IFERROR(__xludf.DUMMYFUNCTION("""COMPUTED_VALUE"""),"")</f>
        <v/>
      </c>
      <c r="EW4" s="58" t="str">
        <f>IFERROR(__xludf.DUMMYFUNCTION("""COMPUTED_VALUE"""),"")</f>
        <v/>
      </c>
      <c r="EX4" s="58" t="str">
        <f>IFERROR(__xludf.DUMMYFUNCTION("""COMPUTED_VALUE"""),"")</f>
        <v/>
      </c>
      <c r="EY4" s="58" t="str">
        <f>IFERROR(__xludf.DUMMYFUNCTION("""COMPUTED_VALUE"""),"")</f>
        <v/>
      </c>
      <c r="EZ4" s="58" t="str">
        <f>IFERROR(__xludf.DUMMYFUNCTION("""COMPUTED_VALUE"""),"")</f>
        <v/>
      </c>
      <c r="FA4" s="58" t="str">
        <f>IFERROR(__xludf.DUMMYFUNCTION("""COMPUTED_VALUE"""),"")</f>
        <v/>
      </c>
      <c r="FB4" s="58" t="str">
        <f>IFERROR(__xludf.DUMMYFUNCTION("""COMPUTED_VALUE"""),"")</f>
        <v/>
      </c>
      <c r="FC4" s="58" t="str">
        <f>IFERROR(__xludf.DUMMYFUNCTION("""COMPUTED_VALUE"""),"")</f>
        <v/>
      </c>
      <c r="FD4" s="58" t="str">
        <f>IFERROR(__xludf.DUMMYFUNCTION("""COMPUTED_VALUE"""),"")</f>
        <v/>
      </c>
      <c r="FE4" s="58" t="str">
        <f>IFERROR(__xludf.DUMMYFUNCTION("""COMPUTED_VALUE"""),"")</f>
        <v/>
      </c>
      <c r="FF4" s="58" t="str">
        <f>IFERROR(__xludf.DUMMYFUNCTION("""COMPUTED_VALUE"""),"")</f>
        <v/>
      </c>
      <c r="FG4" s="58" t="str">
        <f>IFERROR(__xludf.DUMMYFUNCTION("""COMPUTED_VALUE"""),"")</f>
        <v/>
      </c>
      <c r="FH4" s="58" t="str">
        <f>IFERROR(__xludf.DUMMYFUNCTION("""COMPUTED_VALUE"""),"")</f>
        <v/>
      </c>
      <c r="FI4" s="58" t="str">
        <f>IFERROR(__xludf.DUMMYFUNCTION("""COMPUTED_VALUE"""),"")</f>
        <v/>
      </c>
      <c r="FJ4" s="58" t="str">
        <f>IFERROR(__xludf.DUMMYFUNCTION("""COMPUTED_VALUE"""),"")</f>
        <v/>
      </c>
    </row>
    <row r="5" ht="15.75" customHeight="1">
      <c r="A5" s="59" t="str">
        <f>IFERROR(__xludf.DUMMYFUNCTION("TRANSPOSE(IMPORTRANGE(VLOOKUP($E$3,IMPORTRANGE('_Settings'!$B$3,$C$3&amp;""!A4:B1000""),2,FALSE),$G$3&amp;""!A4:A1000""))"),"")</f>
        <v/>
      </c>
      <c r="B5" s="60" t="str">
        <f>IFERROR(__xludf.DUMMYFUNCTION("""COMPUTED_VALUE"""),"Trade Date")</f>
        <v>Trade Date</v>
      </c>
      <c r="C5" s="60" t="str">
        <f>IFERROR(__xludf.DUMMYFUNCTION("""COMPUTED_VALUE"""),"Symbol")</f>
        <v>Symbol</v>
      </c>
      <c r="D5" s="60" t="str">
        <f>IFERROR(__xludf.DUMMYFUNCTION("""COMPUTED_VALUE"""),"Position")</f>
        <v>Position</v>
      </c>
      <c r="E5" s="60" t="str">
        <f>IFERROR(__xludf.DUMMYFUNCTION("""COMPUTED_VALUE"""),"Account")</f>
        <v>Account</v>
      </c>
      <c r="F5" s="61" t="str">
        <f>IFERROR(__xludf.DUMMYFUNCTION("""COMPUTED_VALUE"""),"MasterFund")</f>
        <v>MasterFund</v>
      </c>
      <c r="G5" s="60" t="str">
        <f>IFERROR(__xludf.DUMMYFUNCTION("""COMPUTED_VALUE"""),"Cost Basis")</f>
        <v>Cost Basis</v>
      </c>
      <c r="H5" s="60" t="str">
        <f>IFERROR(__xludf.DUMMYFUNCTION("""COMPUTED_VALUE"""),"Position Side")</f>
        <v>Position Side</v>
      </c>
      <c r="I5" s="60" t="str">
        <f>IFERROR(__xludf.DUMMYFUNCTION("""COMPUTED_VALUE"""),"Market Value (Base)")</f>
        <v>Market Value (Base)</v>
      </c>
      <c r="J5" s="60" t="str">
        <f>IFERROR(__xludf.DUMMYFUNCTION("""COMPUTED_VALUE"""),"% Day P&amp;L (Gross MV)")</f>
        <v>% Day P&amp;L (Gross MV)</v>
      </c>
      <c r="K5" s="60" t="str">
        <f>IFERROR(__xludf.DUMMYFUNCTION("""COMPUTED_VALUE"""),"Net Exposure (Base)")</f>
        <v>Net Exposure (Base)</v>
      </c>
      <c r="L5" s="60" t="str">
        <f>IFERROR(__xludf.DUMMYFUNCTION("""COMPUTED_VALUE"""),"Beta Adj. Gross Exposure (Base)")</f>
        <v>Beta Adj. Gross Exposure (Base)</v>
      </c>
      <c r="M5" s="60" t="str">
        <f>IFERROR(__xludf.DUMMYFUNCTION("""COMPUTED_VALUE"""),"Beta Adj. Gross Exposure (Underlying) (Base)")</f>
        <v>Beta Adj. Gross Exposure (Underlying) (Base)</v>
      </c>
      <c r="N5" s="60" t="str">
        <f>IFERROR(__xludf.DUMMYFUNCTION("""COMPUTED_VALUE"""),"Day P&amp;L (Base)")</f>
        <v>Day P&amp;L (Base)</v>
      </c>
      <c r="O5" s="60" t="str">
        <f>IFERROR(__xludf.DUMMYFUNCTION("""COMPUTED_VALUE"""),"Security Name")</f>
        <v>Security Name</v>
      </c>
      <c r="P5" s="60" t="str">
        <f>IFERROR(__xludf.DUMMYFUNCTION("""COMPUTED_VALUE"""),"Closing Mark")</f>
        <v>Closing Mark</v>
      </c>
      <c r="Q5" s="60" t="str">
        <f>IFERROR(__xludf.DUMMYFUNCTION("""COMPUTED_VALUE"""),"Cost Basis P&amp;L (Base)")</f>
        <v>Cost Basis P&amp;L (Base)</v>
      </c>
      <c r="R5" s="60" t="str">
        <f>IFERROR(__xludf.DUMMYFUNCTION("""COMPUTED_VALUE"""),"Prime Broker")</f>
        <v>Prime Broker</v>
      </c>
      <c r="S5" s="60" t="str">
        <f>IFERROR(__xludf.DUMMYFUNCTION("""COMPUTED_VALUE"""),"Strategy")</f>
        <v>Strategy</v>
      </c>
      <c r="T5" s="62" t="str">
        <f>IFERROR(__xludf.DUMMYFUNCTION("""COMPUTED_VALUE"""),"Asset Class")</f>
        <v>Asset Class</v>
      </c>
      <c r="U5" s="62" t="str">
        <f>IFERROR(__xludf.DUMMYFUNCTION("""COMPUTED_VALUE"""),"Underlying")</f>
        <v>Underlying</v>
      </c>
      <c r="V5" s="62" t="str">
        <f>IFERROR(__xludf.DUMMYFUNCTION("""COMPUTED_VALUE"""),"Exchange")</f>
        <v>Exchange</v>
      </c>
      <c r="W5" s="62" t="str">
        <f>IFERROR(__xludf.DUMMYFUNCTION("""COMPUTED_VALUE"""),"Trade Currency")</f>
        <v>Trade Currency</v>
      </c>
      <c r="X5" s="62" t="str">
        <f>IFERROR(__xludf.DUMMYFUNCTION("""COMPUTED_VALUE"""),"Multiplier")</f>
        <v>Multiplier</v>
      </c>
      <c r="Y5" s="62" t="str">
        <f>IFERROR(__xludf.DUMMYFUNCTION("""COMPUTED_VALUE"""),"FX Rate")</f>
        <v>FX Rate</v>
      </c>
      <c r="Z5" s="62" t="str">
        <f>IFERROR(__xludf.DUMMYFUNCTION("""COMPUTED_VALUE"""),"Vs Currency")</f>
        <v>Vs Currency</v>
      </c>
      <c r="AA5" s="62" t="str">
        <f>IFERROR(__xludf.DUMMYFUNCTION("""COMPUTED_VALUE"""),"Lead Currency")</f>
        <v>Lead Currency</v>
      </c>
      <c r="AB5" s="62" t="str">
        <f>IFERROR(__xludf.DUMMYFUNCTION("""COMPUTED_VALUE"""),"Dividend Yield (%)")</f>
        <v>Dividend Yield (%)</v>
      </c>
      <c r="AC5" s="62" t="str">
        <f>IFERROR(__xludf.DUMMYFUNCTION("""COMPUTED_VALUE"""),"% Change")</f>
        <v>% Change</v>
      </c>
      <c r="AD5" s="62" t="str">
        <f>IFERROR(__xludf.DUMMYFUNCTION("""COMPUTED_VALUE"""),"Net Exposure (Local)")</f>
        <v>Net Exposure (Local)</v>
      </c>
      <c r="AE5" s="62" t="str">
        <f>IFERROR(__xludf.DUMMYFUNCTION("""COMPUTED_VALUE"""),"Exposure (Local)")</f>
        <v>Exposure (Local)</v>
      </c>
      <c r="AF5" s="62" t="str">
        <f>IFERROR(__xludf.DUMMYFUNCTION("""COMPUTED_VALUE"""),"Delta Adj. Position")</f>
        <v>Delta Adj. Position</v>
      </c>
      <c r="AG5" s="62" t="str">
        <f>IFERROR(__xludf.DUMMYFUNCTION("""COMPUTED_VALUE"""),"Exposure (Base)")</f>
        <v>Exposure (Base)</v>
      </c>
      <c r="AH5" s="62" t="str">
        <f>IFERROR(__xludf.DUMMYFUNCTION("""COMPUTED_VALUE"""),"Beta Adj. Exposure (Local)")</f>
        <v>Beta Adj. Exposure (Local)</v>
      </c>
      <c r="AI5" s="62" t="str">
        <f>IFERROR(__xludf.DUMMYFUNCTION("""COMPUTED_VALUE"""),"Beta Adj. Exposure (Base)")</f>
        <v>Beta Adj. Exposure (Base)</v>
      </c>
      <c r="AJ5" s="62" t="str">
        <f>IFERROR(__xludf.DUMMYFUNCTION("""COMPUTED_VALUE"""),"Exposure (BP)(Base)")</f>
        <v>Exposure (BP)(Base)</v>
      </c>
      <c r="AK5" s="62" t="str">
        <f>IFERROR(__xludf.DUMMYFUNCTION("""COMPUTED_VALUE"""),"Day P&amp;L (Local)")</f>
        <v>Day P&amp;L (Local)</v>
      </c>
      <c r="AL5" s="62" t="str">
        <f>IFERROR(__xludf.DUMMYFUNCTION("""COMPUTED_VALUE"""),"Delta")</f>
        <v>Delta</v>
      </c>
      <c r="AM5" s="62" t="str">
        <f>IFERROR(__xludf.DUMMYFUNCTION("""COMPUTED_VALUE"""),"Leveraged Factor")</f>
        <v>Leveraged Factor</v>
      </c>
      <c r="AN5" s="62" t="str">
        <f>IFERROR(__xludf.DUMMYFUNCTION("""COMPUTED_VALUE"""),"Order Side")</f>
        <v>Order Side</v>
      </c>
      <c r="AO5" s="62" t="str">
        <f>IFERROR(__xludf.DUMMYFUNCTION("""COMPUTED_VALUE"""),"Master Strategy")</f>
        <v>Master Strategy</v>
      </c>
      <c r="AP5" s="62" t="str">
        <f>IFERROR(__xludf.DUMMYFUNCTION("""COMPUTED_VALUE"""),"Transaction Side")</f>
        <v>Transaction Side</v>
      </c>
      <c r="AQ5" s="62" t="str">
        <f>IFERROR(__xludf.DUMMYFUNCTION("""COMPUTED_VALUE"""),"Underlying Symbol")</f>
        <v>Underlying Symbol</v>
      </c>
      <c r="AR5" s="62" t="str">
        <f>IFERROR(__xludf.DUMMYFUNCTION("""COMPUTED_VALUE"""),"Underlying Price")</f>
        <v>Underlying Price</v>
      </c>
      <c r="AS5" s="62" t="str">
        <f>IFERROR(__xludf.DUMMYFUNCTION("""COMPUTED_VALUE"""),"Side Multiplier")</f>
        <v>Side Multiplier</v>
      </c>
      <c r="AT5" s="62" t="str">
        <f>IFERROR(__xludf.DUMMYFUNCTION("""COMPUTED_VALUE"""),"Description")</f>
        <v>Description</v>
      </c>
      <c r="AU5" s="62" t="str">
        <f>IFERROR(__xludf.DUMMYFUNCTION("""COMPUTED_VALUE"""),"Internal Comments")</f>
        <v>Internal Comments</v>
      </c>
      <c r="AV5" s="62" t="str">
        <f>IFERROR(__xludf.DUMMYFUNCTION("""COMPUTED_VALUE"""),"FX Rate On Trade Date")</f>
        <v>FX Rate On Trade Date</v>
      </c>
      <c r="AW5" s="62" t="str">
        <f>IFERROR(__xludf.DUMMYFUNCTION("""COMPUTED_VALUE"""),"Cost Basis P&amp;L (Local)")</f>
        <v>Cost Basis P&amp;L (Local)</v>
      </c>
      <c r="AX5" s="62" t="str">
        <f>IFERROR(__xludf.DUMMYFUNCTION("""COMPUTED_VALUE"""),"Day Interest")</f>
        <v>Day Interest</v>
      </c>
      <c r="AY5" s="62" t="str">
        <f>IFERROR(__xludf.DUMMYFUNCTION("""COMPUTED_VALUE"""),"Total Interest")</f>
        <v>Total Interest</v>
      </c>
      <c r="AZ5" s="62" t="str">
        <f>IFERROR(__xludf.DUMMYFUNCTION("""COMPUTED_VALUE"""),"Market Value (Local)")</f>
        <v>Market Value (Local)</v>
      </c>
      <c r="BA5" s="62" t="str">
        <f>IFERROR(__xludf.DUMMYFUNCTION("""COMPUTED_VALUE"""),"% Gain/Loss Day")</f>
        <v>% Gain/Loss Day</v>
      </c>
      <c r="BB5" s="62" t="str">
        <f>IFERROR(__xludf.DUMMYFUNCTION("""COMPUTED_VALUE"""),"Update Time (Last Price)")</f>
        <v>Update Time (Last Price)</v>
      </c>
      <c r="BC5" s="62" t="str">
        <f>IFERROR(__xludf.DUMMYFUNCTION("""COMPUTED_VALUE"""),"Beta")</f>
        <v>Beta</v>
      </c>
      <c r="BD5" s="62" t="str">
        <f>IFERROR(__xludf.DUMMYFUNCTION("""COMPUTED_VALUE"""),"Cash Impact (Local)")</f>
        <v>Cash Impact (Local)</v>
      </c>
      <c r="BE5" s="62" t="str">
        <f>IFERROR(__xludf.DUMMYFUNCTION("""COMPUTED_VALUE"""),"User Asset")</f>
        <v>User Asset</v>
      </c>
      <c r="BF5" s="62" t="str">
        <f>IFERROR(__xludf.DUMMYFUNCTION("""COMPUTED_VALUE"""),"Security Type")</f>
        <v>Security Type</v>
      </c>
      <c r="BG5" s="62" t="str">
        <f>IFERROR(__xludf.DUMMYFUNCTION("""COMPUTED_VALUE"""),"Sector")</f>
        <v>Sector</v>
      </c>
      <c r="BH5" s="62" t="str">
        <f>IFERROR(__xludf.DUMMYFUNCTION("""COMPUTED_VALUE"""),"Sub Sector")</f>
        <v>Sub Sector</v>
      </c>
      <c r="BI5" s="62" t="str">
        <f>IFERROR(__xludf.DUMMYFUNCTION("""COMPUTED_VALUE"""),"Country")</f>
        <v>Country</v>
      </c>
      <c r="BJ5" s="62" t="str">
        <f>IFERROR(__xludf.DUMMYFUNCTION("""COMPUTED_VALUE"""),"Market Cap")</f>
        <v>Market Cap</v>
      </c>
      <c r="BK5" s="62" t="str">
        <f>IFERROR(__xludf.DUMMYFUNCTION("""COMPUTED_VALUE"""),"Shares Outstanding")</f>
        <v>Shares Outstanding</v>
      </c>
      <c r="BL5" s="62" t="str">
        <f>IFERROR(__xludf.DUMMYFUNCTION("""COMPUTED_VALUE"""),"Avg Volume 20 Day")</f>
        <v>Avg Volume 20 Day</v>
      </c>
      <c r="BM5" s="62" t="str">
        <f>IFERROR(__xludf.DUMMYFUNCTION("""COMPUTED_VALUE"""),"% Avg Volume (Delta Adj.)")</f>
        <v>% Avg Volume (Delta Adj.)</v>
      </c>
      <c r="BN5" s="62" t="str">
        <f>IFERROR(__xludf.DUMMYFUNCTION("""COMPUTED_VALUE"""),"Ex Dividend Date")</f>
        <v>Ex Dividend Date</v>
      </c>
      <c r="BO5" s="62" t="str">
        <f>IFERROR(__xludf.DUMMYFUNCTION("""COMPUTED_VALUE"""),"Cash Impact (Base)")</f>
        <v>Cash Impact (Base)</v>
      </c>
      <c r="BP5" s="62" t="str">
        <f>IFERROR(__xludf.DUMMYFUNCTION("""COMPUTED_VALUE"""),"Volatility (%)")</f>
        <v>Volatility (%)</v>
      </c>
      <c r="BQ5" s="62" t="str">
        <f>IFERROR(__xludf.DUMMYFUNCTION("""COMPUTED_VALUE"""),"User")</f>
        <v>User</v>
      </c>
      <c r="BR5" s="62" t="str">
        <f>IFERROR(__xludf.DUMMYFUNCTION("""COMPUTED_VALUE"""),"Broker")</f>
        <v>Broker</v>
      </c>
      <c r="BS5" s="62" t="str">
        <f>IFERROR(__xludf.DUMMYFUNCTION("""COMPUTED_VALUE"""),"Earned Dividend (Local)")</f>
        <v>Earned Dividend (Local)</v>
      </c>
      <c r="BT5" s="62" t="str">
        <f>IFERROR(__xludf.DUMMYFUNCTION("""COMPUTED_VALUE"""),"Earned Dividend (Base)")</f>
        <v>Earned Dividend (Base)</v>
      </c>
      <c r="BU5" s="62" t="str">
        <f>IFERROR(__xludf.DUMMYFUNCTION("""COMPUTED_VALUE"""),"Put/Call")</f>
        <v>Put/Call</v>
      </c>
      <c r="BV5" s="62" t="str">
        <f>IFERROR(__xludf.DUMMYFUNCTION("""COMPUTED_VALUE"""),"Expiration Date")</f>
        <v>Expiration Date</v>
      </c>
      <c r="BW5" s="62" t="str">
        <f>IFERROR(__xludf.DUMMYFUNCTION("""COMPUTED_VALUE"""),"Strike Price")</f>
        <v>Strike Price</v>
      </c>
      <c r="BX5" s="62" t="str">
        <f>IFERROR(__xludf.DUMMYFUNCTION("""COMPUTED_VALUE"""),"Gross Exposure (Base)")</f>
        <v>Gross Exposure (Base)</v>
      </c>
      <c r="BY5" s="62" t="str">
        <f>IFERROR(__xludf.DUMMYFUNCTION("""COMPUTED_VALUE"""),"Gross Market Value (Base)")</f>
        <v>Gross Market Value (Base)</v>
      </c>
      <c r="BZ5" s="62" t="str">
        <f>IFERROR(__xludf.DUMMYFUNCTION("""COMPUTED_VALUE"""),"Px Selected Feed (Local)")</f>
        <v>Px Selected Feed (Local)</v>
      </c>
      <c r="CA5" s="62" t="str">
        <f>IFERROR(__xludf.DUMMYFUNCTION("""COMPUTED_VALUE"""),"Px Selected Feed (Base)")</f>
        <v>Px Selected Feed (Base)</v>
      </c>
      <c r="CB5" s="62" t="str">
        <f>IFERROR(__xludf.DUMMYFUNCTION("""COMPUTED_VALUE"""),"Settlement Date")</f>
        <v>Settlement Date</v>
      </c>
      <c r="CC5" s="62" t="str">
        <f>IFERROR(__xludf.DUMMYFUNCTION("""COMPUTED_VALUE"""),"% Avg Volume")</f>
        <v>% Avg Volume</v>
      </c>
      <c r="CD5" s="62" t="str">
        <f>IFERROR(__xludf.DUMMYFUNCTION("""COMPUTED_VALUE"""),"Day P&amp;L (Base)(Price Gain)")</f>
        <v>Day P&amp;L (Base)(Price Gain)</v>
      </c>
      <c r="CE5" s="62" t="str">
        <f>IFERROR(__xludf.DUMMYFUNCTION("""COMPUTED_VALUE"""),"Day P&amp;L (Base)(FX Gain)")</f>
        <v>Day P&amp;L (Base)(FX Gain)</v>
      </c>
      <c r="CF5" s="62" t="str">
        <f>IFERROR(__xludf.DUMMYFUNCTION("""COMPUTED_VALUE"""),"Cost Basis P&amp;L (Base)(FX Gain)")</f>
        <v>Cost Basis P&amp;L (Base)(FX Gain)</v>
      </c>
      <c r="CG5" s="62" t="str">
        <f>IFERROR(__xludf.DUMMYFUNCTION("""COMPUTED_VALUE"""),"Cost Basis P&amp;L (Base)(Price Gain)")</f>
        <v>Cost Basis P&amp;L (Base)(Price Gain)</v>
      </c>
      <c r="CH5" s="62" t="str">
        <f>IFERROR(__xludf.DUMMYFUNCTION("""COMPUTED_VALUE"""),"% Gain/Loss Cost")</f>
        <v>% Gain/Loss Cost</v>
      </c>
      <c r="CI5" s="62" t="str">
        <f>IFERROR(__xludf.DUMMYFUNCTION("""COMPUTED_VALUE"""),"Underlying Value (Options)")</f>
        <v>Underlying Value (Options)</v>
      </c>
      <c r="CJ5" s="62" t="str">
        <f>IFERROR(__xludf.DUMMYFUNCTION("""COMPUTED_VALUE"""),"Avg Volume 20 Day (Underlying Symbol)")</f>
        <v>Avg Volume 20 Day (Underlying Symbol)</v>
      </c>
      <c r="CK5" s="62" t="str">
        <f>IFERROR(__xludf.DUMMYFUNCTION("""COMPUTED_VALUE"""),"IsStaleData")</f>
        <v>IsStaleData</v>
      </c>
      <c r="CL5" s="62" t="str">
        <f>IFERROR(__xludf.DUMMYFUNCTION("""COMPUTED_VALUE"""),"IDCO")</f>
        <v>IDCO</v>
      </c>
      <c r="CM5" s="62" t="str">
        <f>IFERROR(__xludf.DUMMYFUNCTION("""COMPUTED_VALUE"""),"OSI")</f>
        <v>OSI</v>
      </c>
      <c r="CN5" s="62" t="str">
        <f>IFERROR(__xludf.DUMMYFUNCTION("""COMPUTED_VALUE"""),"SEDOL")</f>
        <v>SEDOL</v>
      </c>
      <c r="CO5" s="62" t="str">
        <f>IFERROR(__xludf.DUMMYFUNCTION("""COMPUTED_VALUE"""),"CUSIP")</f>
        <v>CUSIP</v>
      </c>
      <c r="CP5" s="62" t="str">
        <f>IFERROR(__xludf.DUMMYFUNCTION("""COMPUTED_VALUE"""),"Bloomberg")</f>
        <v>Bloomberg</v>
      </c>
      <c r="CQ5" s="62" t="str">
        <f>IFERROR(__xludf.DUMMYFUNCTION("""COMPUTED_VALUE"""),"ISIN")</f>
        <v>ISIN</v>
      </c>
      <c r="CR5" s="62" t="str">
        <f>IFERROR(__xludf.DUMMYFUNCTION("""COMPUTED_VALUE"""),"Start Trade Date")</f>
        <v>Start Trade Date</v>
      </c>
      <c r="CS5" s="62" t="str">
        <f>IFERROR(__xludf.DUMMYFUNCTION("""COMPUTED_VALUE"""),"Cost Basis (Break Even)")</f>
        <v>Cost Basis (Break Even)</v>
      </c>
      <c r="CT5" s="62" t="str">
        <f>IFERROR(__xludf.DUMMYFUNCTION("""COMPUTED_VALUE"""),"Trade Attribute 3")</f>
        <v>Trade Attribute 3</v>
      </c>
      <c r="CU5" s="62" t="str">
        <f>IFERROR(__xludf.DUMMYFUNCTION("""COMPUTED_VALUE"""),"Trade Attribute 4")</f>
        <v>Trade Attribute 4</v>
      </c>
      <c r="CV5" s="62" t="str">
        <f>IFERROR(__xludf.DUMMYFUNCTION("""COMPUTED_VALUE"""),"Trade Attribute 5")</f>
        <v>Trade Attribute 5</v>
      </c>
      <c r="CW5" s="62" t="str">
        <f>IFERROR(__xludf.DUMMYFUNCTION("""COMPUTED_VALUE"""),"Trade Attribute 6")</f>
        <v>Trade Attribute 6</v>
      </c>
      <c r="CX5" s="62" t="str">
        <f>IFERROR(__xludf.DUMMYFUNCTION("""COMPUTED_VALUE"""),"Proxy Symbol")</f>
        <v>Proxy Symbol</v>
      </c>
      <c r="CY5" s="62" t="str">
        <f>IFERROR(__xludf.DUMMYFUNCTION("""COMPUTED_VALUE"""),"Pricing Source")</f>
        <v>Pricing Source</v>
      </c>
      <c r="CZ5" s="62" t="str">
        <f>IFERROR(__xludf.DUMMYFUNCTION("""COMPUTED_VALUE"""),"Delta Source")</f>
        <v>Delta Source</v>
      </c>
      <c r="DA5" s="62" t="str">
        <f>IFERROR(__xludf.DUMMYFUNCTION("""COMPUTED_VALUE"""),"Gross Exposure (Local)")</f>
        <v>Gross Exposure (Local)</v>
      </c>
      <c r="DB5" s="62" t="str">
        <f>IFERROR(__xludf.DUMMYFUNCTION("""COMPUTED_VALUE"""),"% Day P&amp;L (Net MV)")</f>
        <v>% Day P&amp;L (Net MV)</v>
      </c>
      <c r="DC5" s="62" t="str">
        <f>IFERROR(__xludf.DUMMYFUNCTION("""COMPUTED_VALUE"""),"Expiration Month")</f>
        <v>Expiration Month</v>
      </c>
      <c r="DD5" s="62" t="str">
        <f>IFERROR(__xludf.DUMMYFUNCTION("""COMPUTED_VALUE"""),"Delta Adj. Position (LME)")</f>
        <v>Delta Adj. Position (LME)</v>
      </c>
      <c r="DE5" s="62" t="str">
        <f>IFERROR(__xludf.DUMMYFUNCTION("""COMPUTED_VALUE"""),"Premium")</f>
        <v>Premium</v>
      </c>
      <c r="DF5" s="62" t="str">
        <f>IFERROR(__xludf.DUMMYFUNCTION("""COMPUTED_VALUE"""),"Premium $")</f>
        <v>Premium $</v>
      </c>
      <c r="DG5" s="62" t="str">
        <f>IFERROR(__xludf.DUMMYFUNCTION("""COMPUTED_VALUE"""),"Forward Points")</f>
        <v>Forward Points</v>
      </c>
      <c r="DH5" s="62" t="str">
        <f>IFERROR(__xludf.DUMMYFUNCTION("""COMPUTED_VALUE"""),"Closing Mark (Underlying)")</f>
        <v>Closing Mark (Underlying)</v>
      </c>
      <c r="DI5" s="62" t="str">
        <f>IFERROR(__xludf.DUMMYFUNCTION("""COMPUTED_VALUE"""),"% Change (Underlying Price)")</f>
        <v>% Change (Underlying Price)</v>
      </c>
      <c r="DJ5" s="62" t="str">
        <f>IFERROR(__xludf.DUMMYFUNCTION("""COMPUTED_VALUE"""),"Transaction Type")</f>
        <v>Transaction Type</v>
      </c>
      <c r="DK5" s="62" t="str">
        <f>IFERROR(__xludf.DUMMYFUNCTION("""COMPUTED_VALUE"""),"Closing Market Value (Local)")</f>
        <v>Closing Market Value (Local)</v>
      </c>
      <c r="DL5" s="62" t="str">
        <f>IFERROR(__xludf.DUMMYFUNCTION("""COMPUTED_VALUE"""),"Closing Market Value (Base)")</f>
        <v>Closing Market Value (Base)</v>
      </c>
      <c r="DM5" s="62" t="str">
        <f>IFERROR(__xludf.DUMMYFUNCTION("""COMPUTED_VALUE"""),"Closing FX Rate")</f>
        <v>Closing FX Rate</v>
      </c>
      <c r="DN5" s="62" t="str">
        <f>IFERROR(__xludf.DUMMYFUNCTION("""COMPUTED_VALUE"""),"Change In Underlying Price")</f>
        <v>Change In Underlying Price</v>
      </c>
      <c r="DO5" s="62" t="str">
        <f>IFERROR(__xludf.DUMMYFUNCTION("""COMPUTED_VALUE"""),"RIC")</f>
        <v>RIC</v>
      </c>
      <c r="DP5" s="62" t="str">
        <f>IFERROR(__xludf.DUMMYFUNCTION("""COMPUTED_VALUE"""),"Position Side Exposure (Boxed)")</f>
        <v>Position Side Exposure (Boxed)</v>
      </c>
      <c r="DQ5" s="62" t="str">
        <f>IFERROR(__xludf.DUMMYFUNCTION("""COMPUTED_VALUE"""),"Analyst")</f>
        <v>Analyst</v>
      </c>
      <c r="DR5" s="62" t="str">
        <f>IFERROR(__xludf.DUMMYFUNCTION("""COMPUTED_VALUE"""),"Country Of Risk")</f>
        <v>Country Of Risk</v>
      </c>
      <c r="DS5" s="62" t="str">
        <f>IFERROR(__xludf.DUMMYFUNCTION("""COMPUTED_VALUE"""),"Custom UDA1")</f>
        <v>Custom UDA1</v>
      </c>
      <c r="DT5" s="62" t="str">
        <f>IFERROR(__xludf.DUMMYFUNCTION("""COMPUTED_VALUE"""),"Custom UDA2")</f>
        <v>Custom UDA2</v>
      </c>
      <c r="DU5" s="62" t="str">
        <f>IFERROR(__xludf.DUMMYFUNCTION("""COMPUTED_VALUE"""),"Custom UDA3")</f>
        <v>Custom UDA3</v>
      </c>
      <c r="DV5" s="62" t="str">
        <f>IFERROR(__xludf.DUMMYFUNCTION("""COMPUTED_VALUE"""),"Custom UDA4")</f>
        <v>Custom UDA4</v>
      </c>
      <c r="DW5" s="62" t="str">
        <f>IFERROR(__xludf.DUMMYFUNCTION("""COMPUTED_VALUE"""),"Custom UDA5")</f>
        <v>Custom UDA5</v>
      </c>
      <c r="DX5" s="62" t="str">
        <f>IFERROR(__xludf.DUMMYFUNCTION("""COMPUTED_VALUE"""),"Custom UDA6")</f>
        <v>Custom UDA6</v>
      </c>
      <c r="DY5" s="62" t="str">
        <f>IFERROR(__xludf.DUMMYFUNCTION("""COMPUTED_VALUE"""),"Custom UDA7")</f>
        <v>Custom UDA7</v>
      </c>
      <c r="DZ5" s="62" t="str">
        <f>IFERROR(__xludf.DUMMYFUNCTION("""COMPUTED_VALUE"""),"Issuer")</f>
        <v>Issuer</v>
      </c>
      <c r="EA5" s="62" t="str">
        <f>IFERROR(__xludf.DUMMYFUNCTION("""COMPUTED_VALUE"""),"Liquid Tag")</f>
        <v>Liquid Tag</v>
      </c>
      <c r="EB5" s="62" t="str">
        <f>IFERROR(__xludf.DUMMYFUNCTION("""COMPUTED_VALUE"""),"Market Cap UDA")</f>
        <v>Market Cap UDA</v>
      </c>
      <c r="EC5" s="62" t="str">
        <f>IFERROR(__xludf.DUMMYFUNCTION("""COMPUTED_VALUE"""),"Region")</f>
        <v>Region</v>
      </c>
      <c r="ED5" s="62" t="str">
        <f>IFERROR(__xludf.DUMMYFUNCTION("""COMPUTED_VALUE"""),"Risk Currency")</f>
        <v>Risk Currency</v>
      </c>
      <c r="EE5" s="62" t="str">
        <f>IFERROR(__xludf.DUMMYFUNCTION("""COMPUTED_VALUE"""),"UCITS Eligible Tag")</f>
        <v>UCITS Eligible Tag</v>
      </c>
      <c r="EF5" s="62" t="str">
        <f>IFERROR(__xludf.DUMMYFUNCTION("""COMPUTED_VALUE"""),"FX Rate (Display)")</f>
        <v>FX Rate (Display)</v>
      </c>
      <c r="EG5" s="62" t="str">
        <f>IFERROR(__xludf.DUMMYFUNCTION("""COMPUTED_VALUE"""),"% Net Exposure (Base)")</f>
        <v>% Net Exposure (Base)</v>
      </c>
      <c r="EH5" s="62" t="str">
        <f>IFERROR(__xludf.DUMMYFUNCTION("""COMPUTED_VALUE"""),"% Gross Exposure (Base)")</f>
        <v>% Gross Exposure (Base)</v>
      </c>
      <c r="EI5" s="62" t="str">
        <f>IFERROR(__xludf.DUMMYFUNCTION("""COMPUTED_VALUE"""),"% Exposure (Base)")</f>
        <v>% Exposure (Base)</v>
      </c>
      <c r="EJ5" s="62" t="str">
        <f>IFERROR(__xludf.DUMMYFUNCTION("""COMPUTED_VALUE"""),"% Gross Exposure (Underlying) (Base)")</f>
        <v>% Gross Exposure (Underlying) (Base)</v>
      </c>
      <c r="EK5" s="62" t="str">
        <f>IFERROR(__xludf.DUMMYFUNCTION("""COMPUTED_VALUE"""),"% Beta Adj. Gross Exposure (Base)")</f>
        <v>% Beta Adj. Gross Exposure (Base)</v>
      </c>
      <c r="EL5" s="62" t="str">
        <f>IFERROR(__xludf.DUMMYFUNCTION("""COMPUTED_VALUE"""),"Position Side Exposure (Underlying)")</f>
        <v>Position Side Exposure (Underlying)</v>
      </c>
      <c r="EM5" s="62" t="str">
        <f>IFERROR(__xludf.DUMMYFUNCTION("""COMPUTED_VALUE"""),"Gross Exposure (Underlying) (Base)")</f>
        <v>Gross Exposure (Underlying) (Base)</v>
      </c>
      <c r="EN5" s="62" t="str">
        <f>IFERROR(__xludf.DUMMYFUNCTION("""COMPUTED_VALUE"""),"Gross Exposure (Underlying)")</f>
        <v>Gross Exposure (Underlying)</v>
      </c>
      <c r="EO5" s="62" t="str">
        <f>IFERROR(__xludf.DUMMYFUNCTION("""COMPUTED_VALUE"""),"Day Return")</f>
        <v>Day Return</v>
      </c>
      <c r="EP5" s="62" t="str">
        <f>IFERROR(__xludf.DUMMYFUNCTION("""COMPUTED_VALUE"""),"Start of Day NAV")</f>
        <v>Start of Day NAV</v>
      </c>
      <c r="EQ5" s="62" t="str">
        <f>IFERROR(__xludf.DUMMYFUNCTION("""COMPUTED_VALUE"""),"% Gross Market Value (Base)")</f>
        <v>% Gross Market Value (Base)</v>
      </c>
      <c r="ER5" s="62" t="str">
        <f>IFERROR(__xludf.DUMMYFUNCTION("""COMPUTED_VALUE"""),"Beta Adj. Gross Exposure (Underlying) (Local)")</f>
        <v>Beta Adj. Gross Exposure (Underlying) (Local)</v>
      </c>
      <c r="ES5" s="62" t="str">
        <f>IFERROR(__xludf.DUMMYFUNCTION("""COMPUTED_VALUE"""),"NAV")</f>
        <v>NAV</v>
      </c>
      <c r="ET5" s="62" t="str">
        <f>IFERROR(__xludf.DUMMYFUNCTION("""COMPUTED_VALUE"""),"% P&amp;L Contribution")</f>
        <v>% P&amp;L Contribution</v>
      </c>
      <c r="EU5" s="62" t="str">
        <f>IFERROR(__xludf.DUMMYFUNCTION("""COMPUTED_VALUE"""),"% Net Market Value (Base)")</f>
        <v>% Net Market Value (Base)</v>
      </c>
      <c r="EV5" s="62" t="str">
        <f>IFERROR(__xludf.DUMMYFUNCTION("""COMPUTED_VALUE"""),"Position Side Exposure")</f>
        <v>Position Side Exposure</v>
      </c>
      <c r="EW5" s="62" t="str">
        <f>IFERROR(__xludf.DUMMYFUNCTION("""COMPUTED_VALUE"""),"NAV (Touch)")</f>
        <v>NAV (Touch)</v>
      </c>
      <c r="EX5" s="62" t="str">
        <f>IFERROR(__xludf.DUMMYFUNCTION("""COMPUTED_VALUE"""),"IgnorePropertyChangeEvents")</f>
        <v>IgnorePropertyChangeEvents</v>
      </c>
      <c r="EY5" s="62" t="str">
        <f>IFERROR(__xludf.DUMMYFUNCTION("""COMPUTED_VALUE"""),"Trade Attribute 1")</f>
        <v>Trade Attribute 1</v>
      </c>
      <c r="EZ5" s="62" t="str">
        <f>IFERROR(__xludf.DUMMYFUNCTION("""COMPUTED_VALUE"""),"Trade Attribute 2")</f>
        <v>Trade Attribute 2</v>
      </c>
      <c r="FA5" s="62" t="str">
        <f>IFERROR(__xludf.DUMMYFUNCTION("""COMPUTED_VALUE"""),"")</f>
        <v/>
      </c>
      <c r="FB5" s="62" t="str">
        <f>IFERROR(__xludf.DUMMYFUNCTION("""COMPUTED_VALUE"""),"")</f>
        <v/>
      </c>
      <c r="FC5" s="62" t="str">
        <f>IFERROR(__xludf.DUMMYFUNCTION("""COMPUTED_VALUE"""),"")</f>
        <v/>
      </c>
      <c r="FD5" s="62" t="str">
        <f>IFERROR(__xludf.DUMMYFUNCTION("""COMPUTED_VALUE"""),"")</f>
        <v/>
      </c>
      <c r="FE5" s="62" t="str">
        <f>IFERROR(__xludf.DUMMYFUNCTION("""COMPUTED_VALUE"""),"")</f>
        <v/>
      </c>
      <c r="FF5" s="62" t="str">
        <f>IFERROR(__xludf.DUMMYFUNCTION("""COMPUTED_VALUE"""),"")</f>
        <v/>
      </c>
      <c r="FG5" s="62" t="str">
        <f>IFERROR(__xludf.DUMMYFUNCTION("""COMPUTED_VALUE"""),"")</f>
        <v/>
      </c>
      <c r="FH5" s="62" t="str">
        <f>IFERROR(__xludf.DUMMYFUNCTION("""COMPUTED_VALUE"""),"")</f>
        <v/>
      </c>
      <c r="FI5" s="62" t="str">
        <f>IFERROR(__xludf.DUMMYFUNCTION("""COMPUTED_VALUE"""),"")</f>
        <v/>
      </c>
      <c r="FJ5" s="62" t="str">
        <f>IFERROR(__xludf.DUMMYFUNCTION("""COMPUTED_VALUE"""),"")</f>
        <v/>
      </c>
    </row>
    <row r="6" ht="15.75" customHeight="1">
      <c r="A6" s="63"/>
      <c r="B6" s="63"/>
      <c r="C6" s="64" t="s">
        <v>18</v>
      </c>
      <c r="D6" s="65">
        <v>100000.0</v>
      </c>
      <c r="E6" s="64" t="s">
        <v>20</v>
      </c>
      <c r="F6" s="64" t="s">
        <v>32</v>
      </c>
      <c r="G6" s="65">
        <v>5.0</v>
      </c>
      <c r="H6" s="64" t="s">
        <v>37</v>
      </c>
      <c r="I6" s="66">
        <v>4513460.0</v>
      </c>
      <c r="J6" s="67">
        <v>14.29</v>
      </c>
      <c r="K6" s="66">
        <v>4513460.0</v>
      </c>
      <c r="L6" s="66">
        <v>4513460.0</v>
      </c>
      <c r="M6" s="66">
        <v>0.0</v>
      </c>
      <c r="N6" s="67">
        <v>644780.0</v>
      </c>
      <c r="O6" s="64" t="s">
        <v>38</v>
      </c>
      <c r="P6" s="65">
        <v>6.0</v>
      </c>
      <c r="Q6" s="66">
        <v>1294710.0</v>
      </c>
      <c r="R6" s="64" t="s">
        <v>39</v>
      </c>
      <c r="S6" s="64" t="s">
        <v>40</v>
      </c>
      <c r="T6" s="64" t="s">
        <v>41</v>
      </c>
      <c r="U6" s="64" t="s">
        <v>42</v>
      </c>
      <c r="V6" s="64" t="s">
        <v>43</v>
      </c>
      <c r="W6" s="64" t="s">
        <v>26</v>
      </c>
      <c r="X6" s="65">
        <v>10.3</v>
      </c>
      <c r="Y6" s="68">
        <v>0.63</v>
      </c>
      <c r="Z6" s="64" t="s">
        <v>44</v>
      </c>
      <c r="AA6" s="64" t="s">
        <v>44</v>
      </c>
      <c r="AB6" s="66">
        <v>0.0</v>
      </c>
      <c r="AC6" s="67">
        <v>16.67</v>
      </c>
      <c r="AD6" s="66">
        <v>7210000.0</v>
      </c>
      <c r="AE6" s="66">
        <v>7210000.0</v>
      </c>
      <c r="AF6" s="66">
        <v>1030000.0</v>
      </c>
      <c r="AG6" s="66">
        <v>4513460.0</v>
      </c>
      <c r="AH6" s="66">
        <v>7210000.0</v>
      </c>
      <c r="AI6" s="66">
        <v>4513460.0</v>
      </c>
      <c r="AJ6" s="67">
        <v>6680.42</v>
      </c>
      <c r="AK6" s="66">
        <v>1030000.0</v>
      </c>
      <c r="AL6" s="65"/>
      <c r="AM6" s="65"/>
      <c r="AN6" s="64" t="s">
        <v>19</v>
      </c>
      <c r="AO6" s="64" t="s">
        <v>44</v>
      </c>
      <c r="AP6" s="64" t="s">
        <v>37</v>
      </c>
      <c r="AQ6" s="64" t="s">
        <v>45</v>
      </c>
      <c r="AR6" s="65">
        <v>7.0</v>
      </c>
      <c r="AS6" s="65">
        <v>1.0</v>
      </c>
      <c r="AT6" s="64" t="s">
        <v>46</v>
      </c>
      <c r="AU6" s="64" t="s">
        <v>47</v>
      </c>
      <c r="AV6" s="65"/>
      <c r="AW6" s="66">
        <v>2060000.0</v>
      </c>
      <c r="AX6" s="66">
        <v>0.0</v>
      </c>
      <c r="AY6" s="66">
        <v>0.0</v>
      </c>
      <c r="AZ6" s="66">
        <v>7210000.0</v>
      </c>
      <c r="BA6" s="67">
        <v>20.03</v>
      </c>
      <c r="BB6" s="64"/>
      <c r="BC6" s="65"/>
      <c r="BD6" s="66">
        <v>0.0</v>
      </c>
      <c r="BE6" s="64" t="s">
        <v>41</v>
      </c>
      <c r="BF6" s="64" t="s">
        <v>48</v>
      </c>
      <c r="BG6" s="64" t="s">
        <v>48</v>
      </c>
      <c r="BH6" s="64" t="s">
        <v>48</v>
      </c>
      <c r="BI6" s="64" t="s">
        <v>48</v>
      </c>
      <c r="BJ6" s="65">
        <v>0.0</v>
      </c>
      <c r="BK6" s="65">
        <v>0.0</v>
      </c>
      <c r="BL6" s="65">
        <v>0.0</v>
      </c>
      <c r="BM6" s="65">
        <v>0.0</v>
      </c>
      <c r="BN6" s="64"/>
      <c r="BO6" s="65"/>
      <c r="BP6" s="65">
        <v>0.0</v>
      </c>
      <c r="BQ6" s="64" t="s">
        <v>49</v>
      </c>
      <c r="BR6" s="64" t="s">
        <v>50</v>
      </c>
      <c r="BS6" s="65"/>
      <c r="BT6" s="65">
        <v>0.0</v>
      </c>
      <c r="BU6" s="64" t="s">
        <v>41</v>
      </c>
      <c r="BV6" s="64"/>
      <c r="BW6" s="65"/>
      <c r="BX6" s="66">
        <v>4513460.0</v>
      </c>
      <c r="BY6" s="66">
        <v>4513460.0</v>
      </c>
      <c r="BZ6" s="65">
        <v>7.0</v>
      </c>
      <c r="CA6" s="68">
        <v>4.38</v>
      </c>
      <c r="CB6" s="64"/>
      <c r="CC6" s="65">
        <v>0.0</v>
      </c>
      <c r="CD6" s="66">
        <v>644780.0</v>
      </c>
      <c r="CE6" s="66">
        <v>0.0</v>
      </c>
      <c r="CF6" s="67">
        <v>5150.0</v>
      </c>
      <c r="CG6" s="66">
        <v>1289560.0</v>
      </c>
      <c r="CH6" s="67">
        <v>40.22</v>
      </c>
      <c r="CI6" s="65"/>
      <c r="CJ6" s="65"/>
      <c r="CK6" s="69" t="b">
        <v>0</v>
      </c>
      <c r="CL6" s="64" t="s">
        <v>44</v>
      </c>
      <c r="CM6" s="64" t="s">
        <v>44</v>
      </c>
      <c r="CN6" s="64" t="s">
        <v>44</v>
      </c>
      <c r="CO6" s="64" t="s">
        <v>18</v>
      </c>
      <c r="CP6" s="64" t="s">
        <v>18</v>
      </c>
      <c r="CQ6" s="64" t="s">
        <v>51</v>
      </c>
      <c r="CR6" s="65"/>
      <c r="CS6" s="65">
        <v>5.0</v>
      </c>
      <c r="CT6" s="64" t="s">
        <v>44</v>
      </c>
      <c r="CU6" s="64" t="s">
        <v>44</v>
      </c>
      <c r="CV6" s="64" t="s">
        <v>44</v>
      </c>
      <c r="CW6" s="64" t="s">
        <v>44</v>
      </c>
      <c r="CX6" s="64" t="s">
        <v>44</v>
      </c>
      <c r="CY6" s="64" t="s">
        <v>52</v>
      </c>
      <c r="CZ6" s="64" t="s">
        <v>53</v>
      </c>
      <c r="DA6" s="66">
        <v>7210000.0</v>
      </c>
      <c r="DB6" s="67">
        <v>14.29</v>
      </c>
      <c r="DC6" s="65"/>
      <c r="DD6" s="65"/>
      <c r="DE6" s="65"/>
      <c r="DF6" s="65"/>
      <c r="DG6" s="65"/>
      <c r="DH6" s="65">
        <v>6.0</v>
      </c>
      <c r="DI6" s="68"/>
      <c r="DJ6" s="64" t="s">
        <v>19</v>
      </c>
      <c r="DK6" s="65"/>
      <c r="DL6" s="65"/>
      <c r="DM6" s="68"/>
      <c r="DN6" s="65"/>
      <c r="DO6" s="64" t="s">
        <v>44</v>
      </c>
      <c r="DP6" s="64" t="s">
        <v>37</v>
      </c>
      <c r="DQ6" s="64" t="s">
        <v>54</v>
      </c>
      <c r="DR6" s="64" t="s">
        <v>54</v>
      </c>
      <c r="DS6" s="64" t="s">
        <v>54</v>
      </c>
      <c r="DT6" s="64" t="s">
        <v>54</v>
      </c>
      <c r="DU6" s="64" t="s">
        <v>54</v>
      </c>
      <c r="DV6" s="64" t="s">
        <v>54</v>
      </c>
      <c r="DW6" s="64" t="s">
        <v>54</v>
      </c>
      <c r="DX6" s="64" t="s">
        <v>54</v>
      </c>
      <c r="DY6" s="64" t="s">
        <v>54</v>
      </c>
      <c r="DZ6" s="64" t="s">
        <v>38</v>
      </c>
      <c r="EA6" s="64" t="s">
        <v>54</v>
      </c>
      <c r="EB6" s="64" t="s">
        <v>54</v>
      </c>
      <c r="EC6" s="64" t="s">
        <v>54</v>
      </c>
      <c r="ED6" s="64" t="s">
        <v>26</v>
      </c>
      <c r="EE6" s="64" t="s">
        <v>54</v>
      </c>
      <c r="EF6" s="68"/>
      <c r="EG6" s="67">
        <v>66.8</v>
      </c>
      <c r="EH6" s="67">
        <v>66.8</v>
      </c>
      <c r="EI6" s="67">
        <v>66.8</v>
      </c>
      <c r="EJ6" s="66">
        <v>0.0</v>
      </c>
      <c r="EK6" s="66">
        <v>0.0</v>
      </c>
      <c r="EL6" s="64" t="s">
        <v>37</v>
      </c>
      <c r="EM6" s="66">
        <v>0.0</v>
      </c>
      <c r="EN6" s="66">
        <v>0.0</v>
      </c>
      <c r="EO6" s="67">
        <v>11.48</v>
      </c>
      <c r="EP6" s="66">
        <v>5618680.0</v>
      </c>
      <c r="EQ6" s="68"/>
      <c r="ER6" s="65"/>
      <c r="ES6" s="67">
        <v>6756250.0</v>
      </c>
      <c r="ET6" s="67">
        <v>9.54</v>
      </c>
      <c r="EU6" s="67">
        <v>66.8</v>
      </c>
      <c r="EV6" s="64" t="s">
        <v>37</v>
      </c>
      <c r="EW6" s="66">
        <v>6513460.0</v>
      </c>
      <c r="EX6" s="69" t="b">
        <v>0</v>
      </c>
      <c r="EY6" s="64" t="s">
        <v>44</v>
      </c>
      <c r="EZ6" s="64" t="s">
        <v>44</v>
      </c>
      <c r="FA6" s="50"/>
      <c r="FB6" s="50"/>
      <c r="FC6" s="50"/>
      <c r="FD6" s="50"/>
      <c r="FE6" s="50"/>
      <c r="FF6" s="50"/>
      <c r="FG6" s="50"/>
      <c r="FH6" s="50"/>
      <c r="FI6" s="50"/>
      <c r="FJ6" s="50"/>
    </row>
    <row r="7" ht="15.75" customHeight="1">
      <c r="A7" s="48"/>
      <c r="B7" s="48"/>
      <c r="C7" s="64" t="s">
        <v>22</v>
      </c>
      <c r="D7" s="65">
        <v>100000.0</v>
      </c>
      <c r="E7" s="64" t="s">
        <v>20</v>
      </c>
      <c r="F7" s="64" t="s">
        <v>32</v>
      </c>
      <c r="G7" s="65">
        <v>8.0</v>
      </c>
      <c r="H7" s="64" t="s">
        <v>37</v>
      </c>
      <c r="I7" s="66">
        <v>2000000.0</v>
      </c>
      <c r="J7" s="66">
        <v>12.5</v>
      </c>
      <c r="K7" s="66">
        <v>2000000.0</v>
      </c>
      <c r="L7" s="66">
        <v>2000000.0</v>
      </c>
      <c r="M7" s="66">
        <v>0.0</v>
      </c>
      <c r="N7" s="66">
        <v>250000.0</v>
      </c>
      <c r="O7" s="64" t="s">
        <v>55</v>
      </c>
      <c r="P7" s="65">
        <v>7.0</v>
      </c>
      <c r="Q7" s="66">
        <v>0.0</v>
      </c>
      <c r="R7" s="64" t="s">
        <v>39</v>
      </c>
      <c r="S7" s="64" t="s">
        <v>40</v>
      </c>
      <c r="T7" s="64" t="s">
        <v>41</v>
      </c>
      <c r="U7" s="64" t="s">
        <v>42</v>
      </c>
      <c r="V7" s="64" t="s">
        <v>43</v>
      </c>
      <c r="W7" s="64" t="s">
        <v>27</v>
      </c>
      <c r="X7" s="65">
        <v>2.5</v>
      </c>
      <c r="Y7" s="65">
        <v>1.0</v>
      </c>
      <c r="Z7" s="64" t="s">
        <v>44</v>
      </c>
      <c r="AA7" s="64" t="s">
        <v>44</v>
      </c>
      <c r="AB7" s="66">
        <v>0.0</v>
      </c>
      <c r="AC7" s="67">
        <v>14.29</v>
      </c>
      <c r="AD7" s="66">
        <v>2000000.0</v>
      </c>
      <c r="AE7" s="66">
        <v>2000000.0</v>
      </c>
      <c r="AF7" s="66">
        <v>250000.0</v>
      </c>
      <c r="AG7" s="66">
        <v>2000000.0</v>
      </c>
      <c r="AH7" s="66">
        <v>2000000.0</v>
      </c>
      <c r="AI7" s="66">
        <v>2000000.0</v>
      </c>
      <c r="AJ7" s="67">
        <v>2960.22</v>
      </c>
      <c r="AK7" s="66">
        <v>250000.0</v>
      </c>
      <c r="AL7" s="65"/>
      <c r="AM7" s="65"/>
      <c r="AN7" s="64" t="s">
        <v>19</v>
      </c>
      <c r="AO7" s="64" t="s">
        <v>44</v>
      </c>
      <c r="AP7" s="64" t="s">
        <v>37</v>
      </c>
      <c r="AQ7" s="64" t="s">
        <v>56</v>
      </c>
      <c r="AR7" s="65">
        <v>8.0</v>
      </c>
      <c r="AS7" s="65">
        <v>1.0</v>
      </c>
      <c r="AT7" s="64" t="s">
        <v>46</v>
      </c>
      <c r="AU7" s="64" t="s">
        <v>47</v>
      </c>
      <c r="AV7" s="65"/>
      <c r="AW7" s="66">
        <v>0.0</v>
      </c>
      <c r="AX7" s="66">
        <v>0.0</v>
      </c>
      <c r="AY7" s="66">
        <v>0.0</v>
      </c>
      <c r="AZ7" s="66">
        <v>2000000.0</v>
      </c>
      <c r="BA7" s="66">
        <v>12.5</v>
      </c>
      <c r="BB7" s="64"/>
      <c r="BC7" s="65"/>
      <c r="BD7" s="66">
        <v>0.0</v>
      </c>
      <c r="BE7" s="64" t="s">
        <v>41</v>
      </c>
      <c r="BF7" s="64" t="s">
        <v>48</v>
      </c>
      <c r="BG7" s="64" t="s">
        <v>48</v>
      </c>
      <c r="BH7" s="64" t="s">
        <v>48</v>
      </c>
      <c r="BI7" s="64" t="s">
        <v>48</v>
      </c>
      <c r="BJ7" s="65">
        <v>0.0</v>
      </c>
      <c r="BK7" s="65">
        <v>0.0</v>
      </c>
      <c r="BL7" s="65">
        <v>0.0</v>
      </c>
      <c r="BM7" s="65">
        <v>0.0</v>
      </c>
      <c r="BN7" s="64"/>
      <c r="BO7" s="65"/>
      <c r="BP7" s="65">
        <v>0.0</v>
      </c>
      <c r="BQ7" s="64" t="s">
        <v>49</v>
      </c>
      <c r="BR7" s="64" t="s">
        <v>50</v>
      </c>
      <c r="BS7" s="65"/>
      <c r="BT7" s="65">
        <v>0.0</v>
      </c>
      <c r="BU7" s="64" t="s">
        <v>41</v>
      </c>
      <c r="BV7" s="64"/>
      <c r="BW7" s="65"/>
      <c r="BX7" s="66">
        <v>2000000.0</v>
      </c>
      <c r="BY7" s="66">
        <v>2000000.0</v>
      </c>
      <c r="BZ7" s="65">
        <v>8.0</v>
      </c>
      <c r="CA7" s="65">
        <v>8.0</v>
      </c>
      <c r="CB7" s="64"/>
      <c r="CC7" s="65">
        <v>0.0</v>
      </c>
      <c r="CD7" s="66">
        <v>250000.0</v>
      </c>
      <c r="CE7" s="66">
        <v>0.0</v>
      </c>
      <c r="CF7" s="66">
        <v>0.0</v>
      </c>
      <c r="CG7" s="66">
        <v>0.0</v>
      </c>
      <c r="CH7" s="66">
        <v>0.0</v>
      </c>
      <c r="CI7" s="65"/>
      <c r="CJ7" s="65"/>
      <c r="CK7" s="69" t="b">
        <v>0</v>
      </c>
      <c r="CL7" s="64" t="s">
        <v>44</v>
      </c>
      <c r="CM7" s="64" t="s">
        <v>44</v>
      </c>
      <c r="CN7" s="64" t="s">
        <v>44</v>
      </c>
      <c r="CO7" s="64" t="s">
        <v>44</v>
      </c>
      <c r="CP7" s="64" t="s">
        <v>22</v>
      </c>
      <c r="CQ7" s="64" t="s">
        <v>57</v>
      </c>
      <c r="CR7" s="65"/>
      <c r="CS7" s="65">
        <v>8.0</v>
      </c>
      <c r="CT7" s="64" t="s">
        <v>44</v>
      </c>
      <c r="CU7" s="64" t="s">
        <v>44</v>
      </c>
      <c r="CV7" s="64" t="s">
        <v>44</v>
      </c>
      <c r="CW7" s="64" t="s">
        <v>44</v>
      </c>
      <c r="CX7" s="64" t="s">
        <v>44</v>
      </c>
      <c r="CY7" s="64" t="s">
        <v>52</v>
      </c>
      <c r="CZ7" s="64" t="s">
        <v>53</v>
      </c>
      <c r="DA7" s="66">
        <v>2000000.0</v>
      </c>
      <c r="DB7" s="66">
        <v>12.5</v>
      </c>
      <c r="DC7" s="65"/>
      <c r="DD7" s="65"/>
      <c r="DE7" s="65"/>
      <c r="DF7" s="65"/>
      <c r="DG7" s="65"/>
      <c r="DH7" s="65">
        <v>7.0</v>
      </c>
      <c r="DI7" s="68"/>
      <c r="DJ7" s="64" t="s">
        <v>19</v>
      </c>
      <c r="DK7" s="65"/>
      <c r="DL7" s="65"/>
      <c r="DM7" s="65"/>
      <c r="DN7" s="65"/>
      <c r="DO7" s="64" t="s">
        <v>44</v>
      </c>
      <c r="DP7" s="64" t="s">
        <v>37</v>
      </c>
      <c r="DQ7" s="64" t="s">
        <v>48</v>
      </c>
      <c r="DR7" s="64" t="s">
        <v>58</v>
      </c>
      <c r="DS7" s="64" t="s">
        <v>48</v>
      </c>
      <c r="DT7" s="64" t="s">
        <v>48</v>
      </c>
      <c r="DU7" s="64" t="s">
        <v>48</v>
      </c>
      <c r="DV7" s="64" t="s">
        <v>48</v>
      </c>
      <c r="DW7" s="64" t="s">
        <v>48</v>
      </c>
      <c r="DX7" s="64" t="s">
        <v>48</v>
      </c>
      <c r="DY7" s="64" t="s">
        <v>48</v>
      </c>
      <c r="DZ7" s="64" t="s">
        <v>55</v>
      </c>
      <c r="EA7" s="64" t="s">
        <v>59</v>
      </c>
      <c r="EB7" s="64" t="s">
        <v>48</v>
      </c>
      <c r="EC7" s="64" t="s">
        <v>48</v>
      </c>
      <c r="ED7" s="64" t="s">
        <v>27</v>
      </c>
      <c r="EE7" s="64" t="s">
        <v>59</v>
      </c>
      <c r="EF7" s="65"/>
      <c r="EG7" s="67">
        <v>29.6</v>
      </c>
      <c r="EH7" s="67">
        <v>29.6</v>
      </c>
      <c r="EI7" s="67">
        <v>29.6</v>
      </c>
      <c r="EJ7" s="66">
        <v>0.0</v>
      </c>
      <c r="EK7" s="66">
        <v>0.0</v>
      </c>
      <c r="EL7" s="64" t="s">
        <v>37</v>
      </c>
      <c r="EM7" s="66">
        <v>0.0</v>
      </c>
      <c r="EN7" s="66">
        <v>0.0</v>
      </c>
      <c r="EO7" s="67">
        <v>4.45</v>
      </c>
      <c r="EP7" s="66">
        <v>5618680.0</v>
      </c>
      <c r="EQ7" s="68"/>
      <c r="ER7" s="65"/>
      <c r="ES7" s="67">
        <v>6756250.0</v>
      </c>
      <c r="ET7" s="67">
        <v>3.7</v>
      </c>
      <c r="EU7" s="67">
        <v>29.6</v>
      </c>
      <c r="EV7" s="64" t="s">
        <v>37</v>
      </c>
      <c r="EW7" s="66">
        <v>6513460.0</v>
      </c>
      <c r="EX7" s="69" t="b">
        <v>0</v>
      </c>
      <c r="EY7" s="64" t="s">
        <v>44</v>
      </c>
      <c r="EZ7" s="64" t="s">
        <v>44</v>
      </c>
      <c r="FA7" s="50"/>
      <c r="FB7" s="50"/>
      <c r="FC7" s="50"/>
      <c r="FD7" s="50"/>
      <c r="FE7" s="50"/>
      <c r="FF7" s="50"/>
      <c r="FG7" s="50"/>
      <c r="FH7" s="50"/>
      <c r="FI7" s="50"/>
      <c r="FJ7" s="50"/>
    </row>
    <row r="8" ht="15.75" customHeight="1">
      <c r="A8" s="48"/>
      <c r="B8" s="48"/>
      <c r="C8" s="64" t="s">
        <v>18</v>
      </c>
      <c r="D8" s="65">
        <v>-100000.0</v>
      </c>
      <c r="E8" s="64" t="s">
        <v>36</v>
      </c>
      <c r="F8" s="64" t="s">
        <v>60</v>
      </c>
      <c r="G8" s="65">
        <v>7.0</v>
      </c>
      <c r="H8" s="64" t="s">
        <v>37</v>
      </c>
      <c r="I8" s="66">
        <v>-4513460.0</v>
      </c>
      <c r="J8" s="66">
        <v>0.0</v>
      </c>
      <c r="K8" s="66">
        <v>-4513460.0</v>
      </c>
      <c r="L8" s="66">
        <v>4513460.0</v>
      </c>
      <c r="M8" s="66">
        <v>0.0</v>
      </c>
      <c r="N8" s="66">
        <v>0.0</v>
      </c>
      <c r="O8" s="64" t="s">
        <v>38</v>
      </c>
      <c r="P8" s="65">
        <v>6.0</v>
      </c>
      <c r="Q8" s="67">
        <v>-7210.0</v>
      </c>
      <c r="R8" s="64" t="s">
        <v>50</v>
      </c>
      <c r="S8" s="64" t="s">
        <v>40</v>
      </c>
      <c r="T8" s="64" t="s">
        <v>41</v>
      </c>
      <c r="U8" s="64" t="s">
        <v>42</v>
      </c>
      <c r="V8" s="64" t="s">
        <v>43</v>
      </c>
      <c r="W8" s="64" t="s">
        <v>26</v>
      </c>
      <c r="X8" s="65">
        <v>10.3</v>
      </c>
      <c r="Y8" s="68">
        <v>0.63</v>
      </c>
      <c r="Z8" s="64" t="s">
        <v>44</v>
      </c>
      <c r="AA8" s="64" t="s">
        <v>44</v>
      </c>
      <c r="AB8" s="66">
        <v>0.0</v>
      </c>
      <c r="AC8" s="67">
        <v>16.67</v>
      </c>
      <c r="AD8" s="66">
        <v>-7210000.0</v>
      </c>
      <c r="AE8" s="66">
        <v>-7210000.0</v>
      </c>
      <c r="AF8" s="66">
        <v>-1030000.0</v>
      </c>
      <c r="AG8" s="66">
        <v>-4513460.0</v>
      </c>
      <c r="AH8" s="66">
        <v>-7210000.0</v>
      </c>
      <c r="AI8" s="66">
        <v>-4513460.0</v>
      </c>
      <c r="AJ8" s="67">
        <v>-6680.42</v>
      </c>
      <c r="AK8" s="66">
        <v>0.0</v>
      </c>
      <c r="AL8" s="65"/>
      <c r="AM8" s="65"/>
      <c r="AN8" s="64" t="s">
        <v>35</v>
      </c>
      <c r="AO8" s="64" t="s">
        <v>44</v>
      </c>
      <c r="AP8" s="64" t="s">
        <v>37</v>
      </c>
      <c r="AQ8" s="64" t="s">
        <v>45</v>
      </c>
      <c r="AR8" s="65">
        <v>7.0</v>
      </c>
      <c r="AS8" s="65">
        <v>-1.0</v>
      </c>
      <c r="AT8" s="64" t="s">
        <v>46</v>
      </c>
      <c r="AU8" s="64" t="s">
        <v>47</v>
      </c>
      <c r="AV8" s="65"/>
      <c r="AW8" s="66">
        <v>0.0</v>
      </c>
      <c r="AX8" s="66">
        <v>0.0</v>
      </c>
      <c r="AY8" s="66">
        <v>0.0</v>
      </c>
      <c r="AZ8" s="66">
        <v>-7210000.0</v>
      </c>
      <c r="BA8" s="66">
        <v>0.0</v>
      </c>
      <c r="BB8" s="64"/>
      <c r="BC8" s="65"/>
      <c r="BD8" s="66">
        <v>7210000.0</v>
      </c>
      <c r="BE8" s="64" t="s">
        <v>41</v>
      </c>
      <c r="BF8" s="64" t="s">
        <v>48</v>
      </c>
      <c r="BG8" s="64" t="s">
        <v>48</v>
      </c>
      <c r="BH8" s="64" t="s">
        <v>48</v>
      </c>
      <c r="BI8" s="64" t="s">
        <v>48</v>
      </c>
      <c r="BJ8" s="65">
        <v>0.0</v>
      </c>
      <c r="BK8" s="65">
        <v>0.0</v>
      </c>
      <c r="BL8" s="65">
        <v>0.0</v>
      </c>
      <c r="BM8" s="65">
        <v>0.0</v>
      </c>
      <c r="BN8" s="64"/>
      <c r="BO8" s="65"/>
      <c r="BP8" s="65">
        <v>0.0</v>
      </c>
      <c r="BQ8" s="64" t="s">
        <v>49</v>
      </c>
      <c r="BR8" s="64" t="s">
        <v>50</v>
      </c>
      <c r="BS8" s="65"/>
      <c r="BT8" s="65">
        <v>0.0</v>
      </c>
      <c r="BU8" s="64" t="s">
        <v>41</v>
      </c>
      <c r="BV8" s="64"/>
      <c r="BW8" s="65"/>
      <c r="BX8" s="66">
        <v>4513460.0</v>
      </c>
      <c r="BY8" s="66">
        <v>4513460.0</v>
      </c>
      <c r="BZ8" s="65">
        <v>7.0</v>
      </c>
      <c r="CA8" s="68">
        <v>4.38</v>
      </c>
      <c r="CB8" s="64"/>
      <c r="CC8" s="65">
        <v>0.0</v>
      </c>
      <c r="CD8" s="66">
        <v>0.0</v>
      </c>
      <c r="CE8" s="67">
        <v>-7210.0</v>
      </c>
      <c r="CF8" s="67">
        <v>-7210.0</v>
      </c>
      <c r="CG8" s="66">
        <v>0.0</v>
      </c>
      <c r="CH8" s="67">
        <v>-0.16</v>
      </c>
      <c r="CI8" s="65"/>
      <c r="CJ8" s="65"/>
      <c r="CK8" s="69" t="b">
        <v>0</v>
      </c>
      <c r="CL8" s="64" t="s">
        <v>44</v>
      </c>
      <c r="CM8" s="64" t="s">
        <v>44</v>
      </c>
      <c r="CN8" s="64" t="s">
        <v>44</v>
      </c>
      <c r="CO8" s="64" t="s">
        <v>18</v>
      </c>
      <c r="CP8" s="64" t="s">
        <v>18</v>
      </c>
      <c r="CQ8" s="64" t="s">
        <v>51</v>
      </c>
      <c r="CR8" s="65"/>
      <c r="CS8" s="65">
        <v>7.0</v>
      </c>
      <c r="CT8" s="64" t="s">
        <v>44</v>
      </c>
      <c r="CU8" s="64" t="s">
        <v>44</v>
      </c>
      <c r="CV8" s="64" t="s">
        <v>44</v>
      </c>
      <c r="CW8" s="64" t="s">
        <v>44</v>
      </c>
      <c r="CX8" s="64" t="s">
        <v>44</v>
      </c>
      <c r="CY8" s="64" t="s">
        <v>52</v>
      </c>
      <c r="CZ8" s="64" t="s">
        <v>53</v>
      </c>
      <c r="DA8" s="66">
        <v>7210000.0</v>
      </c>
      <c r="DB8" s="66">
        <v>0.0</v>
      </c>
      <c r="DC8" s="65"/>
      <c r="DD8" s="65"/>
      <c r="DE8" s="65"/>
      <c r="DF8" s="65"/>
      <c r="DG8" s="65"/>
      <c r="DH8" s="65">
        <v>6.0</v>
      </c>
      <c r="DI8" s="68"/>
      <c r="DJ8" s="64" t="s">
        <v>35</v>
      </c>
      <c r="DK8" s="65"/>
      <c r="DL8" s="65"/>
      <c r="DM8" s="68"/>
      <c r="DN8" s="65"/>
      <c r="DO8" s="64" t="s">
        <v>44</v>
      </c>
      <c r="DP8" s="64" t="s">
        <v>37</v>
      </c>
      <c r="DQ8" s="64" t="s">
        <v>54</v>
      </c>
      <c r="DR8" s="64" t="s">
        <v>54</v>
      </c>
      <c r="DS8" s="64" t="s">
        <v>54</v>
      </c>
      <c r="DT8" s="64" t="s">
        <v>54</v>
      </c>
      <c r="DU8" s="64" t="s">
        <v>54</v>
      </c>
      <c r="DV8" s="64" t="s">
        <v>54</v>
      </c>
      <c r="DW8" s="64" t="s">
        <v>54</v>
      </c>
      <c r="DX8" s="64" t="s">
        <v>54</v>
      </c>
      <c r="DY8" s="64" t="s">
        <v>54</v>
      </c>
      <c r="DZ8" s="64" t="s">
        <v>38</v>
      </c>
      <c r="EA8" s="64" t="s">
        <v>54</v>
      </c>
      <c r="EB8" s="64" t="s">
        <v>54</v>
      </c>
      <c r="EC8" s="64" t="s">
        <v>54</v>
      </c>
      <c r="ED8" s="64" t="s">
        <v>26</v>
      </c>
      <c r="EE8" s="64" t="s">
        <v>54</v>
      </c>
      <c r="EF8" s="68"/>
      <c r="EG8" s="67">
        <v>-66.8</v>
      </c>
      <c r="EH8" s="67">
        <v>66.8</v>
      </c>
      <c r="EI8" s="67">
        <v>-66.8</v>
      </c>
      <c r="EJ8" s="66">
        <v>0.0</v>
      </c>
      <c r="EK8" s="66">
        <v>0.0</v>
      </c>
      <c r="EL8" s="64" t="s">
        <v>37</v>
      </c>
      <c r="EM8" s="66">
        <v>0.0</v>
      </c>
      <c r="EN8" s="66">
        <v>0.0</v>
      </c>
      <c r="EO8" s="66">
        <v>0.0</v>
      </c>
      <c r="EP8" s="66">
        <v>5618680.0</v>
      </c>
      <c r="EQ8" s="68"/>
      <c r="ER8" s="65"/>
      <c r="ES8" s="67">
        <v>6756250.0</v>
      </c>
      <c r="ET8" s="66">
        <v>0.0</v>
      </c>
      <c r="EU8" s="67">
        <v>-66.8</v>
      </c>
      <c r="EV8" s="64" t="s">
        <v>37</v>
      </c>
      <c r="EW8" s="67">
        <v>242790.0</v>
      </c>
      <c r="EX8" s="69" t="b">
        <v>0</v>
      </c>
      <c r="EY8" s="64" t="s">
        <v>44</v>
      </c>
      <c r="EZ8" s="64" t="s">
        <v>44</v>
      </c>
      <c r="FA8" s="50"/>
      <c r="FB8" s="50"/>
      <c r="FC8" s="50"/>
      <c r="FD8" s="50"/>
      <c r="FE8" s="50"/>
      <c r="FF8" s="50"/>
      <c r="FG8" s="50"/>
      <c r="FH8" s="50"/>
      <c r="FI8" s="50"/>
      <c r="FJ8" s="50"/>
    </row>
    <row r="9" ht="15.75" customHeight="1">
      <c r="A9" s="48"/>
      <c r="B9" s="48"/>
      <c r="C9" s="70" t="s">
        <v>22</v>
      </c>
      <c r="D9" s="65">
        <v>-100000.0</v>
      </c>
      <c r="E9" s="64" t="s">
        <v>36</v>
      </c>
      <c r="F9" s="64" t="s">
        <v>60</v>
      </c>
      <c r="G9" s="65">
        <v>9.0</v>
      </c>
      <c r="H9" s="64" t="s">
        <v>37</v>
      </c>
      <c r="I9" s="66">
        <v>-2000000.0</v>
      </c>
      <c r="J9" s="66">
        <v>12.5</v>
      </c>
      <c r="K9" s="66">
        <v>-2000000.0</v>
      </c>
      <c r="L9" s="66">
        <v>2000000.0</v>
      </c>
      <c r="M9" s="66">
        <v>0.0</v>
      </c>
      <c r="N9" s="66">
        <v>250000.0</v>
      </c>
      <c r="O9" s="64" t="s">
        <v>55</v>
      </c>
      <c r="P9" s="65">
        <v>7.0</v>
      </c>
      <c r="Q9" s="66">
        <v>250000.0</v>
      </c>
      <c r="R9" s="64" t="s">
        <v>50</v>
      </c>
      <c r="S9" s="64" t="s">
        <v>40</v>
      </c>
      <c r="T9" s="64" t="s">
        <v>41</v>
      </c>
      <c r="U9" s="64" t="s">
        <v>42</v>
      </c>
      <c r="V9" s="64" t="s">
        <v>43</v>
      </c>
      <c r="W9" s="64" t="s">
        <v>27</v>
      </c>
      <c r="X9" s="65">
        <v>2.5</v>
      </c>
      <c r="Y9" s="65">
        <v>1.0</v>
      </c>
      <c r="Z9" s="64" t="s">
        <v>44</v>
      </c>
      <c r="AA9" s="64" t="s">
        <v>44</v>
      </c>
      <c r="AB9" s="66">
        <v>0.0</v>
      </c>
      <c r="AC9" s="67">
        <v>14.29</v>
      </c>
      <c r="AD9" s="66">
        <v>-2000000.0</v>
      </c>
      <c r="AE9" s="66">
        <v>-2000000.0</v>
      </c>
      <c r="AF9" s="66">
        <v>-250000.0</v>
      </c>
      <c r="AG9" s="66">
        <v>-2000000.0</v>
      </c>
      <c r="AH9" s="66">
        <v>-2000000.0</v>
      </c>
      <c r="AI9" s="66">
        <v>-2000000.0</v>
      </c>
      <c r="AJ9" s="67">
        <v>-2960.22</v>
      </c>
      <c r="AK9" s="66">
        <v>250000.0</v>
      </c>
      <c r="AL9" s="65"/>
      <c r="AM9" s="65"/>
      <c r="AN9" s="64" t="s">
        <v>35</v>
      </c>
      <c r="AO9" s="64" t="s">
        <v>44</v>
      </c>
      <c r="AP9" s="64" t="s">
        <v>37</v>
      </c>
      <c r="AQ9" s="64" t="s">
        <v>56</v>
      </c>
      <c r="AR9" s="65">
        <v>8.0</v>
      </c>
      <c r="AS9" s="65">
        <v>-1.0</v>
      </c>
      <c r="AT9" s="64" t="s">
        <v>46</v>
      </c>
      <c r="AU9" s="64" t="s">
        <v>47</v>
      </c>
      <c r="AV9" s="65"/>
      <c r="AW9" s="66">
        <v>250000.0</v>
      </c>
      <c r="AX9" s="66">
        <v>0.0</v>
      </c>
      <c r="AY9" s="66">
        <v>0.0</v>
      </c>
      <c r="AZ9" s="66">
        <v>-2000000.0</v>
      </c>
      <c r="BA9" s="67">
        <v>11.11</v>
      </c>
      <c r="BB9" s="64"/>
      <c r="BC9" s="65"/>
      <c r="BD9" s="66">
        <v>2250000.0</v>
      </c>
      <c r="BE9" s="64" t="s">
        <v>41</v>
      </c>
      <c r="BF9" s="64" t="s">
        <v>48</v>
      </c>
      <c r="BG9" s="64" t="s">
        <v>48</v>
      </c>
      <c r="BH9" s="64" t="s">
        <v>48</v>
      </c>
      <c r="BI9" s="64" t="s">
        <v>48</v>
      </c>
      <c r="BJ9" s="65">
        <v>0.0</v>
      </c>
      <c r="BK9" s="65">
        <v>0.0</v>
      </c>
      <c r="BL9" s="65">
        <v>0.0</v>
      </c>
      <c r="BM9" s="65">
        <v>0.0</v>
      </c>
      <c r="BN9" s="64"/>
      <c r="BO9" s="65"/>
      <c r="BP9" s="65">
        <v>0.0</v>
      </c>
      <c r="BQ9" s="64" t="s">
        <v>49</v>
      </c>
      <c r="BR9" s="64" t="s">
        <v>50</v>
      </c>
      <c r="BS9" s="65"/>
      <c r="BT9" s="65">
        <v>0.0</v>
      </c>
      <c r="BU9" s="64" t="s">
        <v>41</v>
      </c>
      <c r="BV9" s="64"/>
      <c r="BW9" s="65"/>
      <c r="BX9" s="66">
        <v>2000000.0</v>
      </c>
      <c r="BY9" s="66">
        <v>2000000.0</v>
      </c>
      <c r="BZ9" s="65">
        <v>8.0</v>
      </c>
      <c r="CA9" s="65">
        <v>8.0</v>
      </c>
      <c r="CB9" s="64"/>
      <c r="CC9" s="65">
        <v>0.0</v>
      </c>
      <c r="CD9" s="66">
        <v>250000.0</v>
      </c>
      <c r="CE9" s="66">
        <v>0.0</v>
      </c>
      <c r="CF9" s="66">
        <v>0.0</v>
      </c>
      <c r="CG9" s="66">
        <v>250000.0</v>
      </c>
      <c r="CH9" s="67">
        <v>11.11</v>
      </c>
      <c r="CI9" s="65"/>
      <c r="CJ9" s="65"/>
      <c r="CK9" s="69" t="b">
        <v>0</v>
      </c>
      <c r="CL9" s="64" t="s">
        <v>44</v>
      </c>
      <c r="CM9" s="64" t="s">
        <v>44</v>
      </c>
      <c r="CN9" s="64" t="s">
        <v>44</v>
      </c>
      <c r="CO9" s="64" t="s">
        <v>44</v>
      </c>
      <c r="CP9" s="64" t="s">
        <v>22</v>
      </c>
      <c r="CQ9" s="64" t="s">
        <v>57</v>
      </c>
      <c r="CR9" s="65"/>
      <c r="CS9" s="65">
        <v>9.0</v>
      </c>
      <c r="CT9" s="64" t="s">
        <v>44</v>
      </c>
      <c r="CU9" s="64" t="s">
        <v>44</v>
      </c>
      <c r="CV9" s="64" t="s">
        <v>44</v>
      </c>
      <c r="CW9" s="64" t="s">
        <v>44</v>
      </c>
      <c r="CX9" s="64" t="s">
        <v>44</v>
      </c>
      <c r="CY9" s="64" t="s">
        <v>52</v>
      </c>
      <c r="CZ9" s="64" t="s">
        <v>53</v>
      </c>
      <c r="DA9" s="66">
        <v>2000000.0</v>
      </c>
      <c r="DB9" s="66">
        <v>-12.5</v>
      </c>
      <c r="DC9" s="65"/>
      <c r="DD9" s="65"/>
      <c r="DE9" s="65"/>
      <c r="DF9" s="65"/>
      <c r="DG9" s="65"/>
      <c r="DH9" s="65">
        <v>7.0</v>
      </c>
      <c r="DI9" s="68"/>
      <c r="DJ9" s="64" t="s">
        <v>35</v>
      </c>
      <c r="DK9" s="65"/>
      <c r="DL9" s="65"/>
      <c r="DM9" s="65"/>
      <c r="DN9" s="65"/>
      <c r="DO9" s="64" t="s">
        <v>44</v>
      </c>
      <c r="DP9" s="64" t="s">
        <v>37</v>
      </c>
      <c r="DQ9" s="64" t="s">
        <v>48</v>
      </c>
      <c r="DR9" s="64" t="s">
        <v>58</v>
      </c>
      <c r="DS9" s="64" t="s">
        <v>48</v>
      </c>
      <c r="DT9" s="64" t="s">
        <v>48</v>
      </c>
      <c r="DU9" s="64" t="s">
        <v>48</v>
      </c>
      <c r="DV9" s="64" t="s">
        <v>48</v>
      </c>
      <c r="DW9" s="64" t="s">
        <v>48</v>
      </c>
      <c r="DX9" s="64" t="s">
        <v>48</v>
      </c>
      <c r="DY9" s="64" t="s">
        <v>48</v>
      </c>
      <c r="DZ9" s="64" t="s">
        <v>55</v>
      </c>
      <c r="EA9" s="64" t="s">
        <v>59</v>
      </c>
      <c r="EB9" s="64" t="s">
        <v>48</v>
      </c>
      <c r="EC9" s="64" t="s">
        <v>48</v>
      </c>
      <c r="ED9" s="64" t="s">
        <v>27</v>
      </c>
      <c r="EE9" s="64" t="s">
        <v>59</v>
      </c>
      <c r="EF9" s="65"/>
      <c r="EG9" s="67">
        <v>-29.6</v>
      </c>
      <c r="EH9" s="67">
        <v>29.6</v>
      </c>
      <c r="EI9" s="67">
        <v>-29.6</v>
      </c>
      <c r="EJ9" s="66">
        <v>0.0</v>
      </c>
      <c r="EK9" s="66">
        <v>0.0</v>
      </c>
      <c r="EL9" s="64" t="s">
        <v>37</v>
      </c>
      <c r="EM9" s="66">
        <v>0.0</v>
      </c>
      <c r="EN9" s="66">
        <v>0.0</v>
      </c>
      <c r="EO9" s="67">
        <v>4.45</v>
      </c>
      <c r="EP9" s="66">
        <v>5618680.0</v>
      </c>
      <c r="EQ9" s="68"/>
      <c r="ER9" s="65"/>
      <c r="ES9" s="67">
        <v>6756250.0</v>
      </c>
      <c r="ET9" s="67">
        <v>3.7</v>
      </c>
      <c r="EU9" s="67">
        <v>-29.6</v>
      </c>
      <c r="EV9" s="64" t="s">
        <v>37</v>
      </c>
      <c r="EW9" s="67">
        <v>242790.0</v>
      </c>
      <c r="EX9" s="69" t="b">
        <v>0</v>
      </c>
      <c r="EY9" s="64" t="s">
        <v>44</v>
      </c>
      <c r="EZ9" s="64" t="s">
        <v>44</v>
      </c>
      <c r="FA9" s="50"/>
      <c r="FB9" s="50"/>
      <c r="FC9" s="50"/>
      <c r="FD9" s="50"/>
      <c r="FE9" s="50"/>
      <c r="FF9" s="50"/>
      <c r="FG9" s="50"/>
      <c r="FH9" s="50"/>
      <c r="FI9" s="50"/>
      <c r="FJ9" s="50"/>
    </row>
    <row r="10" ht="15.7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</row>
    <row r="11" ht="15.75" customHeight="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</row>
    <row r="12" ht="15.7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</row>
    <row r="13" ht="15.75" customHeight="1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ht="15.75" customHeight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ht="15.7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ht="15.75" customHeight="1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ht="15.7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ht="15.75" customHeight="1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ht="15.75" customHeight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ht="1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ht="15.7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ht="15.75" customHeight="1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</row>
    <row r="25" ht="15.75" customHeight="1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</row>
    <row r="26" ht="15.75" customHeight="1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0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0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0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0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0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0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0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0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50"/>
      <c r="EU33" s="50"/>
      <c r="EV33" s="50"/>
      <c r="EW33" s="50"/>
      <c r="EX33" s="50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0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0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0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0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0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0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0"/>
      <c r="EU39" s="50"/>
      <c r="EV39" s="50"/>
      <c r="EW39" s="50"/>
      <c r="EX39" s="50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0"/>
      <c r="EX40" s="50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0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0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0"/>
      <c r="FD42" s="50"/>
      <c r="FE42" s="50"/>
      <c r="FF42" s="50"/>
      <c r="FG42" s="50"/>
      <c r="FH42" s="50"/>
      <c r="FI42" s="50"/>
      <c r="FJ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0"/>
      <c r="EI43" s="50"/>
      <c r="EJ43" s="50"/>
      <c r="EK43" s="50"/>
      <c r="EL43" s="50"/>
      <c r="EM43" s="50"/>
      <c r="EN43" s="50"/>
      <c r="EO43" s="50"/>
      <c r="EP43" s="50"/>
      <c r="EQ43" s="50"/>
      <c r="ER43" s="50"/>
      <c r="ES43" s="50"/>
      <c r="ET43" s="50"/>
      <c r="EU43" s="50"/>
      <c r="EV43" s="50"/>
      <c r="EW43" s="50"/>
      <c r="EX43" s="50"/>
      <c r="EY43" s="50"/>
      <c r="EZ43" s="50"/>
      <c r="FA43" s="50"/>
      <c r="FB43" s="50"/>
      <c r="FC43" s="50"/>
      <c r="FD43" s="50"/>
      <c r="FE43" s="50"/>
      <c r="FF43" s="50"/>
      <c r="FG43" s="50"/>
      <c r="FH43" s="50"/>
      <c r="FI43" s="50"/>
      <c r="FJ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BW44" s="50"/>
      <c r="BX44" s="50"/>
      <c r="BY44" s="50"/>
      <c r="BZ44" s="50"/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  <c r="DD44" s="50"/>
      <c r="DE44" s="50"/>
      <c r="DF44" s="50"/>
      <c r="DG44" s="50"/>
      <c r="DH44" s="50"/>
      <c r="DI44" s="50"/>
      <c r="DJ44" s="50"/>
      <c r="DK44" s="50"/>
      <c r="DL44" s="50"/>
      <c r="DM44" s="50"/>
      <c r="DN44" s="50"/>
      <c r="DO44" s="50"/>
      <c r="DP44" s="50"/>
      <c r="DQ44" s="50"/>
      <c r="DR44" s="50"/>
      <c r="DS44" s="50"/>
      <c r="DT44" s="50"/>
      <c r="DU44" s="50"/>
      <c r="DV44" s="50"/>
      <c r="DW44" s="50"/>
      <c r="DX44" s="50"/>
      <c r="DY44" s="50"/>
      <c r="DZ44" s="50"/>
      <c r="EA44" s="50"/>
      <c r="EB44" s="50"/>
      <c r="EC44" s="50"/>
      <c r="ED44" s="50"/>
      <c r="EE44" s="50"/>
      <c r="EF44" s="50"/>
      <c r="EG44" s="50"/>
      <c r="EH44" s="50"/>
      <c r="EI44" s="50"/>
      <c r="EJ44" s="50"/>
      <c r="EK44" s="50"/>
      <c r="EL44" s="50"/>
      <c r="EM44" s="50"/>
      <c r="EN44" s="50"/>
      <c r="EO44" s="50"/>
      <c r="EP44" s="50"/>
      <c r="EQ44" s="50"/>
      <c r="ER44" s="50"/>
      <c r="ES44" s="50"/>
      <c r="ET44" s="50"/>
      <c r="EU44" s="50"/>
      <c r="EV44" s="50"/>
      <c r="EW44" s="50"/>
      <c r="EX44" s="50"/>
      <c r="EY44" s="50"/>
      <c r="EZ44" s="50"/>
      <c r="FA44" s="50"/>
      <c r="FB44" s="50"/>
      <c r="FC44" s="50"/>
      <c r="FD44" s="50"/>
      <c r="FE44" s="50"/>
      <c r="FF44" s="50"/>
      <c r="FG44" s="50"/>
      <c r="FH44" s="50"/>
      <c r="FI44" s="50"/>
      <c r="FJ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0"/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  <c r="DD45" s="50"/>
      <c r="DE45" s="50"/>
      <c r="DF45" s="50"/>
      <c r="DG45" s="50"/>
      <c r="DH45" s="50"/>
      <c r="DI45" s="50"/>
      <c r="DJ45" s="50"/>
      <c r="DK45" s="50"/>
      <c r="DL45" s="50"/>
      <c r="DM45" s="50"/>
      <c r="DN45" s="50"/>
      <c r="DO45" s="50"/>
      <c r="DP45" s="50"/>
      <c r="DQ45" s="50"/>
      <c r="DR45" s="50"/>
      <c r="DS45" s="50"/>
      <c r="DT45" s="50"/>
      <c r="DU45" s="50"/>
      <c r="DV45" s="50"/>
      <c r="DW45" s="50"/>
      <c r="DX45" s="50"/>
      <c r="DY45" s="50"/>
      <c r="DZ45" s="50"/>
      <c r="EA45" s="50"/>
      <c r="EB45" s="50"/>
      <c r="EC45" s="50"/>
      <c r="ED45" s="50"/>
      <c r="EE45" s="50"/>
      <c r="EF45" s="50"/>
      <c r="EG45" s="50"/>
      <c r="EH45" s="50"/>
      <c r="EI45" s="50"/>
      <c r="EJ45" s="50"/>
      <c r="EK45" s="50"/>
      <c r="EL45" s="50"/>
      <c r="EM45" s="50"/>
      <c r="EN45" s="50"/>
      <c r="EO45" s="50"/>
      <c r="EP45" s="50"/>
      <c r="EQ45" s="50"/>
      <c r="ER45" s="50"/>
      <c r="ES45" s="50"/>
      <c r="ET45" s="50"/>
      <c r="EU45" s="50"/>
      <c r="EV45" s="50"/>
      <c r="EW45" s="50"/>
      <c r="EX45" s="50"/>
      <c r="EY45" s="50"/>
      <c r="EZ45" s="50"/>
      <c r="FA45" s="50"/>
      <c r="FB45" s="50"/>
      <c r="FC45" s="50"/>
      <c r="FD45" s="50"/>
      <c r="FE45" s="50"/>
      <c r="FF45" s="50"/>
      <c r="FG45" s="50"/>
      <c r="FH45" s="50"/>
      <c r="FI45" s="50"/>
      <c r="FJ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50"/>
      <c r="BQ46" s="50"/>
      <c r="BR46" s="50"/>
      <c r="BS46" s="50"/>
      <c r="BT46" s="50"/>
      <c r="BU46" s="50"/>
      <c r="BV46" s="50"/>
      <c r="BW46" s="50"/>
      <c r="BX46" s="50"/>
      <c r="BY46" s="50"/>
      <c r="BZ46" s="50"/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  <c r="DD46" s="50"/>
      <c r="DE46" s="50"/>
      <c r="DF46" s="50"/>
      <c r="DG46" s="50"/>
      <c r="DH46" s="50"/>
      <c r="DI46" s="50"/>
      <c r="DJ46" s="50"/>
      <c r="DK46" s="50"/>
      <c r="DL46" s="50"/>
      <c r="DM46" s="50"/>
      <c r="DN46" s="50"/>
      <c r="DO46" s="50"/>
      <c r="DP46" s="50"/>
      <c r="DQ46" s="50"/>
      <c r="DR46" s="50"/>
      <c r="DS46" s="50"/>
      <c r="DT46" s="50"/>
      <c r="DU46" s="50"/>
      <c r="DV46" s="50"/>
      <c r="DW46" s="50"/>
      <c r="DX46" s="50"/>
      <c r="DY46" s="50"/>
      <c r="DZ46" s="50"/>
      <c r="EA46" s="50"/>
      <c r="EB46" s="50"/>
      <c r="EC46" s="50"/>
      <c r="ED46" s="50"/>
      <c r="EE46" s="50"/>
      <c r="EF46" s="50"/>
      <c r="EG46" s="50"/>
      <c r="EH46" s="50"/>
      <c r="EI46" s="50"/>
      <c r="EJ46" s="50"/>
      <c r="EK46" s="50"/>
      <c r="EL46" s="50"/>
      <c r="EM46" s="50"/>
      <c r="EN46" s="50"/>
      <c r="EO46" s="50"/>
      <c r="EP46" s="50"/>
      <c r="EQ46" s="50"/>
      <c r="ER46" s="50"/>
      <c r="ES46" s="50"/>
      <c r="ET46" s="50"/>
      <c r="EU46" s="50"/>
      <c r="EV46" s="50"/>
      <c r="EW46" s="50"/>
      <c r="EX46" s="50"/>
      <c r="EY46" s="50"/>
      <c r="EZ46" s="50"/>
      <c r="FA46" s="50"/>
      <c r="FB46" s="50"/>
      <c r="FC46" s="50"/>
      <c r="FD46" s="50"/>
      <c r="FE46" s="50"/>
      <c r="FF46" s="50"/>
      <c r="FG46" s="50"/>
      <c r="FH46" s="50"/>
      <c r="FI46" s="50"/>
      <c r="FJ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50"/>
      <c r="BQ47" s="50"/>
      <c r="BR47" s="50"/>
      <c r="BS47" s="50"/>
      <c r="BT47" s="50"/>
      <c r="BU47" s="50"/>
      <c r="BV47" s="50"/>
      <c r="BW47" s="50"/>
      <c r="BX47" s="50"/>
      <c r="BY47" s="50"/>
      <c r="BZ47" s="50"/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  <c r="DD47" s="50"/>
      <c r="DE47" s="50"/>
      <c r="DF47" s="50"/>
      <c r="DG47" s="50"/>
      <c r="DH47" s="50"/>
      <c r="DI47" s="50"/>
      <c r="DJ47" s="50"/>
      <c r="DK47" s="50"/>
      <c r="DL47" s="50"/>
      <c r="DM47" s="50"/>
      <c r="DN47" s="50"/>
      <c r="DO47" s="50"/>
      <c r="DP47" s="50"/>
      <c r="DQ47" s="50"/>
      <c r="DR47" s="50"/>
      <c r="DS47" s="50"/>
      <c r="DT47" s="50"/>
      <c r="DU47" s="50"/>
      <c r="DV47" s="50"/>
      <c r="DW47" s="50"/>
      <c r="DX47" s="50"/>
      <c r="DY47" s="50"/>
      <c r="DZ47" s="50"/>
      <c r="EA47" s="50"/>
      <c r="EB47" s="50"/>
      <c r="EC47" s="50"/>
      <c r="ED47" s="50"/>
      <c r="EE47" s="50"/>
      <c r="EF47" s="50"/>
      <c r="EG47" s="50"/>
      <c r="EH47" s="50"/>
      <c r="EI47" s="50"/>
      <c r="EJ47" s="50"/>
      <c r="EK47" s="50"/>
      <c r="EL47" s="50"/>
      <c r="EM47" s="50"/>
      <c r="EN47" s="50"/>
      <c r="EO47" s="50"/>
      <c r="EP47" s="50"/>
      <c r="EQ47" s="50"/>
      <c r="ER47" s="50"/>
      <c r="ES47" s="50"/>
      <c r="ET47" s="50"/>
      <c r="EU47" s="50"/>
      <c r="EV47" s="50"/>
      <c r="EW47" s="50"/>
      <c r="EX47" s="50"/>
      <c r="EY47" s="50"/>
      <c r="EZ47" s="50"/>
      <c r="FA47" s="50"/>
      <c r="FB47" s="50"/>
      <c r="FC47" s="50"/>
      <c r="FD47" s="50"/>
      <c r="FE47" s="50"/>
      <c r="FF47" s="50"/>
      <c r="FG47" s="50"/>
      <c r="FH47" s="50"/>
      <c r="FI47" s="50"/>
      <c r="FJ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0"/>
      <c r="EI48" s="50"/>
      <c r="EJ48" s="50"/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50"/>
      <c r="EX48" s="50"/>
      <c r="EY48" s="50"/>
      <c r="EZ48" s="50"/>
      <c r="FA48" s="50"/>
      <c r="FB48" s="50"/>
      <c r="FC48" s="50"/>
      <c r="FD48" s="50"/>
      <c r="FE48" s="50"/>
      <c r="FF48" s="50"/>
      <c r="FG48" s="50"/>
      <c r="FH48" s="50"/>
      <c r="FI48" s="50"/>
      <c r="FJ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50"/>
      <c r="BQ49" s="50"/>
      <c r="BR49" s="50"/>
      <c r="BS49" s="50"/>
      <c r="BT49" s="50"/>
      <c r="BU49" s="50"/>
      <c r="BV49" s="50"/>
      <c r="BW49" s="50"/>
      <c r="BX49" s="50"/>
      <c r="BY49" s="50"/>
      <c r="BZ49" s="50"/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  <c r="FJ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50"/>
      <c r="BQ51" s="50"/>
      <c r="BR51" s="50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0"/>
      <c r="DH51" s="50"/>
      <c r="DI51" s="50"/>
      <c r="DJ51" s="50"/>
      <c r="DK51" s="50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/>
      <c r="DX51" s="50"/>
      <c r="DY51" s="50"/>
      <c r="DZ51" s="50"/>
      <c r="EA51" s="50"/>
      <c r="EB51" s="50"/>
      <c r="EC51" s="50"/>
      <c r="ED51" s="50"/>
      <c r="EE51" s="50"/>
      <c r="EF51" s="50"/>
      <c r="EG51" s="50"/>
      <c r="EH51" s="50"/>
      <c r="EI51" s="50"/>
      <c r="EJ51" s="50"/>
      <c r="EK51" s="50"/>
      <c r="EL51" s="50"/>
      <c r="EM51" s="50"/>
      <c r="EN51" s="50"/>
      <c r="EO51" s="50"/>
      <c r="EP51" s="50"/>
      <c r="EQ51" s="50"/>
      <c r="ER51" s="50"/>
      <c r="ES51" s="50"/>
      <c r="ET51" s="50"/>
      <c r="EU51" s="50"/>
      <c r="EV51" s="50"/>
      <c r="EW51" s="50"/>
      <c r="EX51" s="50"/>
      <c r="EY51" s="50"/>
      <c r="EZ51" s="50"/>
      <c r="FA51" s="50"/>
      <c r="FB51" s="50"/>
      <c r="FC51" s="50"/>
      <c r="FD51" s="50"/>
      <c r="FE51" s="50"/>
      <c r="FF51" s="50"/>
      <c r="FG51" s="50"/>
      <c r="FH51" s="50"/>
      <c r="FI51" s="50"/>
      <c r="FJ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50"/>
      <c r="BQ52" s="50"/>
      <c r="BR52" s="50"/>
      <c r="BS52" s="50"/>
      <c r="BT52" s="50"/>
      <c r="BU52" s="50"/>
      <c r="BV52" s="50"/>
      <c r="BW52" s="50"/>
      <c r="BX52" s="50"/>
      <c r="BY52" s="50"/>
      <c r="BZ52" s="50"/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  <c r="DD52" s="50"/>
      <c r="DE52" s="50"/>
      <c r="DF52" s="50"/>
      <c r="DG52" s="50"/>
      <c r="DH52" s="50"/>
      <c r="DI52" s="50"/>
      <c r="DJ52" s="50"/>
      <c r="DK52" s="50"/>
      <c r="DL52" s="50"/>
      <c r="DM52" s="50"/>
      <c r="DN52" s="50"/>
      <c r="DO52" s="50"/>
      <c r="DP52" s="50"/>
      <c r="DQ52" s="50"/>
      <c r="DR52" s="50"/>
      <c r="DS52" s="50"/>
      <c r="DT52" s="50"/>
      <c r="DU52" s="50"/>
      <c r="DV52" s="50"/>
      <c r="DW52" s="50"/>
      <c r="DX52" s="50"/>
      <c r="DY52" s="50"/>
      <c r="DZ52" s="50"/>
      <c r="EA52" s="50"/>
      <c r="EB52" s="50"/>
      <c r="EC52" s="50"/>
      <c r="ED52" s="50"/>
      <c r="EE52" s="50"/>
      <c r="EF52" s="50"/>
      <c r="EG52" s="50"/>
      <c r="EH52" s="50"/>
      <c r="EI52" s="50"/>
      <c r="EJ52" s="50"/>
      <c r="EK52" s="50"/>
      <c r="EL52" s="50"/>
      <c r="EM52" s="50"/>
      <c r="EN52" s="50"/>
      <c r="EO52" s="50"/>
      <c r="EP52" s="50"/>
      <c r="EQ52" s="50"/>
      <c r="ER52" s="50"/>
      <c r="ES52" s="50"/>
      <c r="ET52" s="50"/>
      <c r="EU52" s="50"/>
      <c r="EV52" s="50"/>
      <c r="EW52" s="50"/>
      <c r="EX52" s="50"/>
      <c r="EY52" s="50"/>
      <c r="EZ52" s="50"/>
      <c r="FA52" s="50"/>
      <c r="FB52" s="50"/>
      <c r="FC52" s="50"/>
      <c r="FD52" s="50"/>
      <c r="FE52" s="50"/>
      <c r="FF52" s="50"/>
      <c r="FG52" s="50"/>
      <c r="FH52" s="50"/>
      <c r="FI52" s="50"/>
      <c r="FJ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50"/>
      <c r="BQ53" s="50"/>
      <c r="BR53" s="50"/>
      <c r="BS53" s="50"/>
      <c r="BT53" s="50"/>
      <c r="BU53" s="50"/>
      <c r="BV53" s="50"/>
      <c r="BW53" s="50"/>
      <c r="BX53" s="50"/>
      <c r="BY53" s="50"/>
      <c r="BZ53" s="50"/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  <c r="DD53" s="50"/>
      <c r="DE53" s="50"/>
      <c r="DF53" s="50"/>
      <c r="DG53" s="50"/>
      <c r="DH53" s="50"/>
      <c r="DI53" s="50"/>
      <c r="DJ53" s="50"/>
      <c r="DK53" s="50"/>
      <c r="DL53" s="50"/>
      <c r="DM53" s="50"/>
      <c r="DN53" s="50"/>
      <c r="DO53" s="50"/>
      <c r="DP53" s="50"/>
      <c r="DQ53" s="50"/>
      <c r="DR53" s="50"/>
      <c r="DS53" s="50"/>
      <c r="DT53" s="50"/>
      <c r="DU53" s="50"/>
      <c r="DV53" s="50"/>
      <c r="DW53" s="50"/>
      <c r="DX53" s="50"/>
      <c r="DY53" s="50"/>
      <c r="DZ53" s="50"/>
      <c r="EA53" s="50"/>
      <c r="EB53" s="50"/>
      <c r="EC53" s="50"/>
      <c r="ED53" s="50"/>
      <c r="EE53" s="50"/>
      <c r="EF53" s="50"/>
      <c r="EG53" s="50"/>
      <c r="EH53" s="50"/>
      <c r="EI53" s="50"/>
      <c r="EJ53" s="50"/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50"/>
      <c r="EX53" s="50"/>
      <c r="EY53" s="50"/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0"/>
      <c r="EI55" s="50"/>
      <c r="EJ55" s="50"/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50"/>
      <c r="EX55" s="50"/>
      <c r="EY55" s="50"/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BW56" s="50"/>
      <c r="BX56" s="50"/>
      <c r="BY56" s="50"/>
      <c r="BZ56" s="50"/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  <c r="DD56" s="50"/>
      <c r="DE56" s="50"/>
      <c r="DF56" s="50"/>
      <c r="DG56" s="50"/>
      <c r="DH56" s="50"/>
      <c r="DI56" s="50"/>
      <c r="DJ56" s="50"/>
      <c r="DK56" s="50"/>
      <c r="DL56" s="50"/>
      <c r="DM56" s="50"/>
      <c r="DN56" s="50"/>
      <c r="DO56" s="50"/>
      <c r="DP56" s="50"/>
      <c r="DQ56" s="50"/>
      <c r="DR56" s="50"/>
      <c r="DS56" s="50"/>
      <c r="DT56" s="50"/>
      <c r="DU56" s="50"/>
      <c r="DV56" s="50"/>
      <c r="DW56" s="50"/>
      <c r="DX56" s="50"/>
      <c r="DY56" s="50"/>
      <c r="DZ56" s="50"/>
      <c r="EA56" s="50"/>
      <c r="EB56" s="50"/>
      <c r="EC56" s="50"/>
      <c r="ED56" s="50"/>
      <c r="EE56" s="50"/>
      <c r="EF56" s="50"/>
      <c r="EG56" s="50"/>
      <c r="EH56" s="50"/>
      <c r="EI56" s="50"/>
      <c r="EJ56" s="50"/>
      <c r="EK56" s="50"/>
      <c r="EL56" s="50"/>
      <c r="EM56" s="50"/>
      <c r="EN56" s="50"/>
      <c r="EO56" s="50"/>
      <c r="EP56" s="50"/>
      <c r="EQ56" s="50"/>
      <c r="ER56" s="50"/>
      <c r="ES56" s="50"/>
      <c r="ET56" s="50"/>
      <c r="EU56" s="50"/>
      <c r="EV56" s="50"/>
      <c r="EW56" s="50"/>
      <c r="EX56" s="50"/>
      <c r="EY56" s="50"/>
      <c r="EZ56" s="50"/>
      <c r="FA56" s="50"/>
      <c r="FB56" s="50"/>
      <c r="FC56" s="50"/>
      <c r="FD56" s="50"/>
      <c r="FE56" s="50"/>
      <c r="FF56" s="50"/>
      <c r="FG56" s="50"/>
      <c r="FH56" s="50"/>
      <c r="FI56" s="50"/>
      <c r="FJ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50"/>
      <c r="BW58" s="50"/>
      <c r="BX58" s="50"/>
      <c r="BY58" s="50"/>
      <c r="BZ58" s="50"/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  <c r="DD58" s="50"/>
      <c r="DE58" s="50"/>
      <c r="DF58" s="50"/>
      <c r="DG58" s="50"/>
      <c r="DH58" s="50"/>
      <c r="DI58" s="50"/>
      <c r="DJ58" s="50"/>
      <c r="DK58" s="50"/>
      <c r="DL58" s="50"/>
      <c r="DM58" s="50"/>
      <c r="DN58" s="50"/>
      <c r="DO58" s="50"/>
      <c r="DP58" s="50"/>
      <c r="DQ58" s="50"/>
      <c r="DR58" s="50"/>
      <c r="DS58" s="50"/>
      <c r="DT58" s="50"/>
      <c r="DU58" s="50"/>
      <c r="DV58" s="50"/>
      <c r="DW58" s="50"/>
      <c r="DX58" s="50"/>
      <c r="DY58" s="50"/>
      <c r="DZ58" s="50"/>
      <c r="EA58" s="50"/>
      <c r="EB58" s="50"/>
      <c r="EC58" s="50"/>
      <c r="ED58" s="50"/>
      <c r="EE58" s="50"/>
      <c r="EF58" s="50"/>
      <c r="EG58" s="50"/>
      <c r="EH58" s="50"/>
      <c r="EI58" s="50"/>
      <c r="EJ58" s="50"/>
      <c r="EK58" s="50"/>
      <c r="EL58" s="50"/>
      <c r="EM58" s="50"/>
      <c r="EN58" s="50"/>
      <c r="EO58" s="50"/>
      <c r="EP58" s="50"/>
      <c r="EQ58" s="50"/>
      <c r="ER58" s="50"/>
      <c r="ES58" s="50"/>
      <c r="ET58" s="50"/>
      <c r="EU58" s="50"/>
      <c r="EV58" s="50"/>
      <c r="EW58" s="50"/>
      <c r="EX58" s="50"/>
      <c r="EY58" s="50"/>
      <c r="EZ58" s="50"/>
      <c r="FA58" s="50"/>
      <c r="FB58" s="50"/>
      <c r="FC58" s="50"/>
      <c r="FD58" s="50"/>
      <c r="FE58" s="50"/>
      <c r="FF58" s="50"/>
      <c r="FG58" s="50"/>
      <c r="FH58" s="50"/>
      <c r="FI58" s="50"/>
      <c r="FJ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  <c r="DD59" s="50"/>
      <c r="DE59" s="50"/>
      <c r="DF59" s="50"/>
      <c r="DG59" s="50"/>
      <c r="DH59" s="50"/>
      <c r="DI59" s="50"/>
      <c r="DJ59" s="50"/>
      <c r="DK59" s="50"/>
      <c r="DL59" s="50"/>
      <c r="DM59" s="50"/>
      <c r="DN59" s="50"/>
      <c r="DO59" s="50"/>
      <c r="DP59" s="50"/>
      <c r="DQ59" s="50"/>
      <c r="DR59" s="50"/>
      <c r="DS59" s="50"/>
      <c r="DT59" s="50"/>
      <c r="DU59" s="50"/>
      <c r="DV59" s="50"/>
      <c r="DW59" s="50"/>
      <c r="DX59" s="50"/>
      <c r="DY59" s="50"/>
      <c r="DZ59" s="50"/>
      <c r="EA59" s="50"/>
      <c r="EB59" s="50"/>
      <c r="EC59" s="50"/>
      <c r="ED59" s="50"/>
      <c r="EE59" s="50"/>
      <c r="EF59" s="50"/>
      <c r="EG59" s="50"/>
      <c r="EH59" s="50"/>
      <c r="EI59" s="50"/>
      <c r="EJ59" s="50"/>
      <c r="EK59" s="50"/>
      <c r="EL59" s="50"/>
      <c r="EM59" s="50"/>
      <c r="EN59" s="50"/>
      <c r="EO59" s="50"/>
      <c r="EP59" s="50"/>
      <c r="EQ59" s="50"/>
      <c r="ER59" s="50"/>
      <c r="ES59" s="50"/>
      <c r="ET59" s="50"/>
      <c r="EU59" s="50"/>
      <c r="EV59" s="50"/>
      <c r="EW59" s="50"/>
      <c r="EX59" s="50"/>
      <c r="EY59" s="50"/>
      <c r="EZ59" s="50"/>
      <c r="FA59" s="50"/>
      <c r="FB59" s="50"/>
      <c r="FC59" s="50"/>
      <c r="FD59" s="50"/>
      <c r="FE59" s="50"/>
      <c r="FF59" s="50"/>
      <c r="FG59" s="50"/>
      <c r="FH59" s="50"/>
      <c r="FI59" s="50"/>
      <c r="FJ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  <c r="DD60" s="50"/>
      <c r="DE60" s="50"/>
      <c r="DF60" s="50"/>
      <c r="DG60" s="50"/>
      <c r="DH60" s="50"/>
      <c r="DI60" s="50"/>
      <c r="DJ60" s="50"/>
      <c r="DK60" s="50"/>
      <c r="DL60" s="50"/>
      <c r="DM60" s="50"/>
      <c r="DN60" s="50"/>
      <c r="DO60" s="50"/>
      <c r="DP60" s="50"/>
      <c r="DQ60" s="50"/>
      <c r="DR60" s="50"/>
      <c r="DS60" s="50"/>
      <c r="DT60" s="50"/>
      <c r="DU60" s="50"/>
      <c r="DV60" s="50"/>
      <c r="DW60" s="50"/>
      <c r="DX60" s="50"/>
      <c r="DY60" s="50"/>
      <c r="DZ60" s="50"/>
      <c r="EA60" s="50"/>
      <c r="EB60" s="50"/>
      <c r="EC60" s="50"/>
      <c r="ED60" s="50"/>
      <c r="EE60" s="50"/>
      <c r="EF60" s="50"/>
      <c r="EG60" s="50"/>
      <c r="EH60" s="50"/>
      <c r="EI60" s="50"/>
      <c r="EJ60" s="50"/>
      <c r="EK60" s="50"/>
      <c r="EL60" s="50"/>
      <c r="EM60" s="50"/>
      <c r="EN60" s="50"/>
      <c r="EO60" s="50"/>
      <c r="EP60" s="50"/>
      <c r="EQ60" s="50"/>
      <c r="ER60" s="50"/>
      <c r="ES60" s="50"/>
      <c r="ET60" s="50"/>
      <c r="EU60" s="50"/>
      <c r="EV60" s="50"/>
      <c r="EW60" s="50"/>
      <c r="EX60" s="50"/>
      <c r="EY60" s="50"/>
      <c r="EZ60" s="50"/>
      <c r="FA60" s="50"/>
      <c r="FB60" s="50"/>
      <c r="FC60" s="50"/>
      <c r="FD60" s="50"/>
      <c r="FE60" s="50"/>
      <c r="FF60" s="50"/>
      <c r="FG60" s="50"/>
      <c r="FH60" s="50"/>
      <c r="FI60" s="50"/>
      <c r="FJ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  <c r="DD61" s="50"/>
      <c r="DE61" s="50"/>
      <c r="DF61" s="50"/>
      <c r="DG61" s="50"/>
      <c r="DH61" s="50"/>
      <c r="DI61" s="50"/>
      <c r="DJ61" s="50"/>
      <c r="DK61" s="50"/>
      <c r="DL61" s="50"/>
      <c r="DM61" s="50"/>
      <c r="DN61" s="50"/>
      <c r="DO61" s="50"/>
      <c r="DP61" s="50"/>
      <c r="DQ61" s="50"/>
      <c r="DR61" s="50"/>
      <c r="DS61" s="50"/>
      <c r="DT61" s="50"/>
      <c r="DU61" s="50"/>
      <c r="DV61" s="50"/>
      <c r="DW61" s="50"/>
      <c r="DX61" s="50"/>
      <c r="DY61" s="50"/>
      <c r="DZ61" s="50"/>
      <c r="EA61" s="50"/>
      <c r="EB61" s="50"/>
      <c r="EC61" s="50"/>
      <c r="ED61" s="50"/>
      <c r="EE61" s="50"/>
      <c r="EF61" s="50"/>
      <c r="EG61" s="50"/>
      <c r="EH61" s="50"/>
      <c r="EI61" s="50"/>
      <c r="EJ61" s="50"/>
      <c r="EK61" s="50"/>
      <c r="EL61" s="50"/>
      <c r="EM61" s="50"/>
      <c r="EN61" s="50"/>
      <c r="EO61" s="50"/>
      <c r="EP61" s="50"/>
      <c r="EQ61" s="50"/>
      <c r="ER61" s="50"/>
      <c r="ES61" s="50"/>
      <c r="ET61" s="50"/>
      <c r="EU61" s="50"/>
      <c r="EV61" s="50"/>
      <c r="EW61" s="50"/>
      <c r="EX61" s="50"/>
      <c r="EY61" s="50"/>
      <c r="EZ61" s="50"/>
      <c r="FA61" s="50"/>
      <c r="FB61" s="50"/>
      <c r="FC61" s="50"/>
      <c r="FD61" s="50"/>
      <c r="FE61" s="50"/>
      <c r="FF61" s="50"/>
      <c r="FG61" s="50"/>
      <c r="FH61" s="50"/>
      <c r="FI61" s="50"/>
      <c r="FJ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50"/>
      <c r="BQ62" s="50"/>
      <c r="BR62" s="50"/>
      <c r="BS62" s="50"/>
      <c r="BT62" s="50"/>
      <c r="BU62" s="50"/>
      <c r="BV62" s="50"/>
      <c r="BW62" s="50"/>
      <c r="BX62" s="50"/>
      <c r="BY62" s="50"/>
      <c r="BZ62" s="50"/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  <c r="DD62" s="50"/>
      <c r="DE62" s="50"/>
      <c r="DF62" s="50"/>
      <c r="DG62" s="50"/>
      <c r="DH62" s="50"/>
      <c r="DI62" s="50"/>
      <c r="DJ62" s="50"/>
      <c r="DK62" s="50"/>
      <c r="DL62" s="50"/>
      <c r="DM62" s="50"/>
      <c r="DN62" s="50"/>
      <c r="DO62" s="50"/>
      <c r="DP62" s="50"/>
      <c r="DQ62" s="50"/>
      <c r="DR62" s="50"/>
      <c r="DS62" s="50"/>
      <c r="DT62" s="50"/>
      <c r="DU62" s="50"/>
      <c r="DV62" s="50"/>
      <c r="DW62" s="50"/>
      <c r="DX62" s="50"/>
      <c r="DY62" s="50"/>
      <c r="DZ62" s="50"/>
      <c r="EA62" s="50"/>
      <c r="EB62" s="50"/>
      <c r="EC62" s="50"/>
      <c r="ED62" s="50"/>
      <c r="EE62" s="50"/>
      <c r="EF62" s="50"/>
      <c r="EG62" s="50"/>
      <c r="EH62" s="50"/>
      <c r="EI62" s="50"/>
      <c r="EJ62" s="50"/>
      <c r="EK62" s="50"/>
      <c r="EL62" s="50"/>
      <c r="EM62" s="50"/>
      <c r="EN62" s="50"/>
      <c r="EO62" s="50"/>
      <c r="EP62" s="50"/>
      <c r="EQ62" s="50"/>
      <c r="ER62" s="50"/>
      <c r="ES62" s="50"/>
      <c r="ET62" s="50"/>
      <c r="EU62" s="50"/>
      <c r="EV62" s="50"/>
      <c r="EW62" s="50"/>
      <c r="EX62" s="50"/>
      <c r="EY62" s="50"/>
      <c r="EZ62" s="50"/>
      <c r="FA62" s="50"/>
      <c r="FB62" s="50"/>
      <c r="FC62" s="50"/>
      <c r="FD62" s="50"/>
      <c r="FE62" s="50"/>
      <c r="FF62" s="50"/>
      <c r="FG62" s="50"/>
      <c r="FH62" s="50"/>
      <c r="FI62" s="50"/>
      <c r="FJ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50"/>
      <c r="BV63" s="50"/>
      <c r="BW63" s="50"/>
      <c r="BX63" s="50"/>
      <c r="BY63" s="50"/>
      <c r="BZ63" s="50"/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  <c r="DD63" s="50"/>
      <c r="DE63" s="50"/>
      <c r="DF63" s="50"/>
      <c r="DG63" s="50"/>
      <c r="DH63" s="50"/>
      <c r="DI63" s="50"/>
      <c r="DJ63" s="50"/>
      <c r="DK63" s="50"/>
      <c r="DL63" s="50"/>
      <c r="DM63" s="50"/>
      <c r="DN63" s="50"/>
      <c r="DO63" s="50"/>
      <c r="DP63" s="50"/>
      <c r="DQ63" s="50"/>
      <c r="DR63" s="50"/>
      <c r="DS63" s="50"/>
      <c r="DT63" s="50"/>
      <c r="DU63" s="50"/>
      <c r="DV63" s="50"/>
      <c r="DW63" s="50"/>
      <c r="DX63" s="50"/>
      <c r="DY63" s="50"/>
      <c r="DZ63" s="50"/>
      <c r="EA63" s="50"/>
      <c r="EB63" s="50"/>
      <c r="EC63" s="50"/>
      <c r="ED63" s="50"/>
      <c r="EE63" s="50"/>
      <c r="EF63" s="50"/>
      <c r="EG63" s="50"/>
      <c r="EH63" s="50"/>
      <c r="EI63" s="50"/>
      <c r="EJ63" s="50"/>
      <c r="EK63" s="50"/>
      <c r="EL63" s="50"/>
      <c r="EM63" s="50"/>
      <c r="EN63" s="50"/>
      <c r="EO63" s="50"/>
      <c r="EP63" s="50"/>
      <c r="EQ63" s="50"/>
      <c r="ER63" s="50"/>
      <c r="ES63" s="50"/>
      <c r="ET63" s="50"/>
      <c r="EU63" s="50"/>
      <c r="EV63" s="50"/>
      <c r="EW63" s="50"/>
      <c r="EX63" s="50"/>
      <c r="EY63" s="50"/>
      <c r="EZ63" s="50"/>
      <c r="FA63" s="50"/>
      <c r="FB63" s="50"/>
      <c r="FC63" s="50"/>
      <c r="FD63" s="50"/>
      <c r="FE63" s="50"/>
      <c r="FF63" s="50"/>
      <c r="FG63" s="50"/>
      <c r="FH63" s="50"/>
      <c r="FI63" s="50"/>
      <c r="FJ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50"/>
      <c r="BQ64" s="50"/>
      <c r="BR64" s="50"/>
      <c r="BS64" s="50"/>
      <c r="BT64" s="50"/>
      <c r="BU64" s="50"/>
      <c r="BV64" s="50"/>
      <c r="BW64" s="50"/>
      <c r="BX64" s="50"/>
      <c r="BY64" s="50"/>
      <c r="BZ64" s="50"/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  <c r="DD64" s="50"/>
      <c r="DE64" s="50"/>
      <c r="DF64" s="50"/>
      <c r="DG64" s="50"/>
      <c r="DH64" s="50"/>
      <c r="DI64" s="50"/>
      <c r="DJ64" s="50"/>
      <c r="DK64" s="50"/>
      <c r="DL64" s="50"/>
      <c r="DM64" s="50"/>
      <c r="DN64" s="50"/>
      <c r="DO64" s="50"/>
      <c r="DP64" s="50"/>
      <c r="DQ64" s="50"/>
      <c r="DR64" s="50"/>
      <c r="DS64" s="50"/>
      <c r="DT64" s="50"/>
      <c r="DU64" s="50"/>
      <c r="DV64" s="50"/>
      <c r="DW64" s="50"/>
      <c r="DX64" s="50"/>
      <c r="DY64" s="50"/>
      <c r="DZ64" s="50"/>
      <c r="EA64" s="50"/>
      <c r="EB64" s="50"/>
      <c r="EC64" s="50"/>
      <c r="ED64" s="50"/>
      <c r="EE64" s="50"/>
      <c r="EF64" s="50"/>
      <c r="EG64" s="50"/>
      <c r="EH64" s="50"/>
      <c r="EI64" s="50"/>
      <c r="EJ64" s="50"/>
      <c r="EK64" s="50"/>
      <c r="EL64" s="50"/>
      <c r="EM64" s="50"/>
      <c r="EN64" s="50"/>
      <c r="EO64" s="50"/>
      <c r="EP64" s="50"/>
      <c r="EQ64" s="50"/>
      <c r="ER64" s="50"/>
      <c r="ES64" s="50"/>
      <c r="ET64" s="50"/>
      <c r="EU64" s="50"/>
      <c r="EV64" s="50"/>
      <c r="EW64" s="50"/>
      <c r="EX64" s="50"/>
      <c r="EY64" s="50"/>
      <c r="EZ64" s="50"/>
      <c r="FA64" s="50"/>
      <c r="FB64" s="50"/>
      <c r="FC64" s="50"/>
      <c r="FD64" s="50"/>
      <c r="FE64" s="50"/>
      <c r="FF64" s="50"/>
      <c r="FG64" s="50"/>
      <c r="FH64" s="50"/>
      <c r="FI64" s="50"/>
      <c r="FJ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50"/>
      <c r="BQ65" s="50"/>
      <c r="BR65" s="50"/>
      <c r="BS65" s="50"/>
      <c r="BT65" s="50"/>
      <c r="BU65" s="50"/>
      <c r="BV65" s="50"/>
      <c r="BW65" s="50"/>
      <c r="BX65" s="50"/>
      <c r="BY65" s="50"/>
      <c r="BZ65" s="50"/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  <c r="DD65" s="50"/>
      <c r="DE65" s="50"/>
      <c r="DF65" s="50"/>
      <c r="DG65" s="50"/>
      <c r="DH65" s="50"/>
      <c r="DI65" s="50"/>
      <c r="DJ65" s="50"/>
      <c r="DK65" s="50"/>
      <c r="DL65" s="50"/>
      <c r="DM65" s="50"/>
      <c r="DN65" s="50"/>
      <c r="DO65" s="50"/>
      <c r="DP65" s="50"/>
      <c r="DQ65" s="50"/>
      <c r="DR65" s="50"/>
      <c r="DS65" s="50"/>
      <c r="DT65" s="50"/>
      <c r="DU65" s="50"/>
      <c r="DV65" s="50"/>
      <c r="DW65" s="50"/>
      <c r="DX65" s="50"/>
      <c r="DY65" s="50"/>
      <c r="DZ65" s="50"/>
      <c r="EA65" s="50"/>
      <c r="EB65" s="50"/>
      <c r="EC65" s="50"/>
      <c r="ED65" s="50"/>
      <c r="EE65" s="50"/>
      <c r="EF65" s="50"/>
      <c r="EG65" s="50"/>
      <c r="EH65" s="50"/>
      <c r="EI65" s="50"/>
      <c r="EJ65" s="50"/>
      <c r="EK65" s="50"/>
      <c r="EL65" s="50"/>
      <c r="EM65" s="50"/>
      <c r="EN65" s="50"/>
      <c r="EO65" s="50"/>
      <c r="EP65" s="50"/>
      <c r="EQ65" s="50"/>
      <c r="ER65" s="50"/>
      <c r="ES65" s="50"/>
      <c r="ET65" s="50"/>
      <c r="EU65" s="50"/>
      <c r="EV65" s="50"/>
      <c r="EW65" s="50"/>
      <c r="EX65" s="50"/>
      <c r="EY65" s="50"/>
      <c r="EZ65" s="50"/>
      <c r="FA65" s="50"/>
      <c r="FB65" s="50"/>
      <c r="FC65" s="50"/>
      <c r="FD65" s="50"/>
      <c r="FE65" s="50"/>
      <c r="FF65" s="50"/>
      <c r="FG65" s="50"/>
      <c r="FH65" s="50"/>
      <c r="FI65" s="50"/>
      <c r="FJ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50"/>
      <c r="BQ66" s="50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50"/>
      <c r="DY66" s="50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50"/>
      <c r="FD66" s="50"/>
      <c r="FE66" s="50"/>
      <c r="FF66" s="50"/>
      <c r="FG66" s="50"/>
      <c r="FH66" s="50"/>
      <c r="FI66" s="50"/>
      <c r="FJ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0"/>
      <c r="EZ67" s="50"/>
      <c r="FA67" s="50"/>
      <c r="FB67" s="50"/>
      <c r="FC67" s="50"/>
      <c r="FD67" s="50"/>
      <c r="FE67" s="50"/>
      <c r="FF67" s="50"/>
      <c r="FG67" s="50"/>
      <c r="FH67" s="50"/>
      <c r="FI67" s="50"/>
      <c r="FJ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50"/>
      <c r="BQ68" s="50"/>
      <c r="BR68" s="50"/>
      <c r="BS68" s="50"/>
      <c r="BT68" s="50"/>
      <c r="BU68" s="50"/>
      <c r="BV68" s="50"/>
      <c r="BW68" s="50"/>
      <c r="BX68" s="50"/>
      <c r="BY68" s="50"/>
      <c r="BZ68" s="50"/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  <c r="DD68" s="50"/>
      <c r="DE68" s="50"/>
      <c r="DF68" s="50"/>
      <c r="DG68" s="50"/>
      <c r="DH68" s="50"/>
      <c r="DI68" s="50"/>
      <c r="DJ68" s="50"/>
      <c r="DK68" s="50"/>
      <c r="DL68" s="50"/>
      <c r="DM68" s="50"/>
      <c r="DN68" s="50"/>
      <c r="DO68" s="50"/>
      <c r="DP68" s="50"/>
      <c r="DQ68" s="50"/>
      <c r="DR68" s="50"/>
      <c r="DS68" s="50"/>
      <c r="DT68" s="50"/>
      <c r="DU68" s="50"/>
      <c r="DV68" s="50"/>
      <c r="DW68" s="50"/>
      <c r="DX68" s="50"/>
      <c r="DY68" s="50"/>
      <c r="DZ68" s="50"/>
      <c r="EA68" s="50"/>
      <c r="EB68" s="50"/>
      <c r="EC68" s="50"/>
      <c r="ED68" s="50"/>
      <c r="EE68" s="50"/>
      <c r="EF68" s="50"/>
      <c r="EG68" s="50"/>
      <c r="EH68" s="50"/>
      <c r="EI68" s="50"/>
      <c r="EJ68" s="50"/>
      <c r="EK68" s="50"/>
      <c r="EL68" s="50"/>
      <c r="EM68" s="50"/>
      <c r="EN68" s="50"/>
      <c r="EO68" s="50"/>
      <c r="EP68" s="50"/>
      <c r="EQ68" s="50"/>
      <c r="ER68" s="50"/>
      <c r="ES68" s="50"/>
      <c r="ET68" s="50"/>
      <c r="EU68" s="50"/>
      <c r="EV68" s="50"/>
      <c r="EW68" s="50"/>
      <c r="EX68" s="50"/>
      <c r="EY68" s="50"/>
      <c r="EZ68" s="50"/>
      <c r="FA68" s="50"/>
      <c r="FB68" s="50"/>
      <c r="FC68" s="50"/>
      <c r="FD68" s="50"/>
      <c r="FE68" s="50"/>
      <c r="FF68" s="50"/>
      <c r="FG68" s="50"/>
      <c r="FH68" s="50"/>
      <c r="FI68" s="50"/>
      <c r="FJ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50"/>
      <c r="BQ69" s="50"/>
      <c r="BR69" s="50"/>
      <c r="BS69" s="50"/>
      <c r="BT69" s="50"/>
      <c r="BU69" s="50"/>
      <c r="BV69" s="50"/>
      <c r="BW69" s="50"/>
      <c r="BX69" s="50"/>
      <c r="BY69" s="50"/>
      <c r="BZ69" s="50"/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  <c r="DD69" s="50"/>
      <c r="DE69" s="50"/>
      <c r="DF69" s="50"/>
      <c r="DG69" s="50"/>
      <c r="DH69" s="50"/>
      <c r="DI69" s="50"/>
      <c r="DJ69" s="50"/>
      <c r="DK69" s="50"/>
      <c r="DL69" s="50"/>
      <c r="DM69" s="50"/>
      <c r="DN69" s="50"/>
      <c r="DO69" s="50"/>
      <c r="DP69" s="50"/>
      <c r="DQ69" s="50"/>
      <c r="DR69" s="50"/>
      <c r="DS69" s="50"/>
      <c r="DT69" s="50"/>
      <c r="DU69" s="50"/>
      <c r="DV69" s="50"/>
      <c r="DW69" s="50"/>
      <c r="DX69" s="50"/>
      <c r="DY69" s="50"/>
      <c r="DZ69" s="50"/>
      <c r="EA69" s="50"/>
      <c r="EB69" s="50"/>
      <c r="EC69" s="50"/>
      <c r="ED69" s="50"/>
      <c r="EE69" s="50"/>
      <c r="EF69" s="50"/>
      <c r="EG69" s="50"/>
      <c r="EH69" s="50"/>
      <c r="EI69" s="50"/>
      <c r="EJ69" s="50"/>
      <c r="EK69" s="50"/>
      <c r="EL69" s="50"/>
      <c r="EM69" s="50"/>
      <c r="EN69" s="50"/>
      <c r="EO69" s="50"/>
      <c r="EP69" s="50"/>
      <c r="EQ69" s="50"/>
      <c r="ER69" s="50"/>
      <c r="ES69" s="50"/>
      <c r="ET69" s="50"/>
      <c r="EU69" s="50"/>
      <c r="EV69" s="50"/>
      <c r="EW69" s="50"/>
      <c r="EX69" s="50"/>
      <c r="EY69" s="50"/>
      <c r="EZ69" s="50"/>
      <c r="FA69" s="50"/>
      <c r="FB69" s="50"/>
      <c r="FC69" s="50"/>
      <c r="FD69" s="50"/>
      <c r="FE69" s="50"/>
      <c r="FF69" s="50"/>
      <c r="FG69" s="50"/>
      <c r="FH69" s="50"/>
      <c r="FI69" s="50"/>
      <c r="FJ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50"/>
      <c r="BQ70" s="50"/>
      <c r="BR70" s="50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  <c r="DD70" s="50"/>
      <c r="DE70" s="50"/>
      <c r="DF70" s="50"/>
      <c r="DG70" s="50"/>
      <c r="DH70" s="50"/>
      <c r="DI70" s="50"/>
      <c r="DJ70" s="50"/>
      <c r="DK70" s="50"/>
      <c r="DL70" s="50"/>
      <c r="DM70" s="50"/>
      <c r="DN70" s="50"/>
      <c r="DO70" s="50"/>
      <c r="DP70" s="50"/>
      <c r="DQ70" s="50"/>
      <c r="DR70" s="50"/>
      <c r="DS70" s="50"/>
      <c r="DT70" s="50"/>
      <c r="DU70" s="50"/>
      <c r="DV70" s="50"/>
      <c r="DW70" s="50"/>
      <c r="DX70" s="50"/>
      <c r="DY70" s="50"/>
      <c r="DZ70" s="50"/>
      <c r="EA70" s="50"/>
      <c r="EB70" s="50"/>
      <c r="EC70" s="50"/>
      <c r="ED70" s="50"/>
      <c r="EE70" s="50"/>
      <c r="EF70" s="50"/>
      <c r="EG70" s="50"/>
      <c r="EH70" s="50"/>
      <c r="EI70" s="50"/>
      <c r="EJ70" s="50"/>
      <c r="EK70" s="50"/>
      <c r="EL70" s="50"/>
      <c r="EM70" s="50"/>
      <c r="EN70" s="50"/>
      <c r="EO70" s="50"/>
      <c r="EP70" s="50"/>
      <c r="EQ70" s="50"/>
      <c r="ER70" s="50"/>
      <c r="ES70" s="50"/>
      <c r="ET70" s="50"/>
      <c r="EU70" s="50"/>
      <c r="EV70" s="50"/>
      <c r="EW70" s="50"/>
      <c r="EX70" s="50"/>
      <c r="EY70" s="50"/>
      <c r="EZ70" s="50"/>
      <c r="FA70" s="50"/>
      <c r="FB70" s="50"/>
      <c r="FC70" s="50"/>
      <c r="FD70" s="50"/>
      <c r="FE70" s="50"/>
      <c r="FF70" s="50"/>
      <c r="FG70" s="50"/>
      <c r="FH70" s="50"/>
      <c r="FI70" s="50"/>
      <c r="FJ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50"/>
      <c r="BQ71" s="50"/>
      <c r="BR71" s="50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  <c r="DD71" s="50"/>
      <c r="DE71" s="50"/>
      <c r="DF71" s="50"/>
      <c r="DG71" s="50"/>
      <c r="DH71" s="50"/>
      <c r="DI71" s="50"/>
      <c r="DJ71" s="50"/>
      <c r="DK71" s="50"/>
      <c r="DL71" s="50"/>
      <c r="DM71" s="50"/>
      <c r="DN71" s="50"/>
      <c r="DO71" s="50"/>
      <c r="DP71" s="50"/>
      <c r="DQ71" s="50"/>
      <c r="DR71" s="50"/>
      <c r="DS71" s="50"/>
      <c r="DT71" s="50"/>
      <c r="DU71" s="50"/>
      <c r="DV71" s="50"/>
      <c r="DW71" s="50"/>
      <c r="DX71" s="50"/>
      <c r="DY71" s="50"/>
      <c r="DZ71" s="50"/>
      <c r="EA71" s="50"/>
      <c r="EB71" s="50"/>
      <c r="EC71" s="50"/>
      <c r="ED71" s="50"/>
      <c r="EE71" s="50"/>
      <c r="EF71" s="50"/>
      <c r="EG71" s="50"/>
      <c r="EH71" s="50"/>
      <c r="EI71" s="50"/>
      <c r="EJ71" s="50"/>
      <c r="EK71" s="50"/>
      <c r="EL71" s="50"/>
      <c r="EM71" s="50"/>
      <c r="EN71" s="50"/>
      <c r="EO71" s="50"/>
      <c r="EP71" s="50"/>
      <c r="EQ71" s="50"/>
      <c r="ER71" s="50"/>
      <c r="ES71" s="50"/>
      <c r="ET71" s="50"/>
      <c r="EU71" s="50"/>
      <c r="EV71" s="50"/>
      <c r="EW71" s="50"/>
      <c r="EX71" s="50"/>
      <c r="EY71" s="50"/>
      <c r="EZ71" s="50"/>
      <c r="FA71" s="50"/>
      <c r="FB71" s="50"/>
      <c r="FC71" s="50"/>
      <c r="FD71" s="50"/>
      <c r="FE71" s="50"/>
      <c r="FF71" s="50"/>
      <c r="FG71" s="50"/>
      <c r="FH71" s="50"/>
      <c r="FI71" s="50"/>
      <c r="FJ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  <c r="DD72" s="50"/>
      <c r="DE72" s="50"/>
      <c r="DF72" s="50"/>
      <c r="DG72" s="50"/>
      <c r="DH72" s="50"/>
      <c r="DI72" s="50"/>
      <c r="DJ72" s="50"/>
      <c r="DK72" s="50"/>
      <c r="DL72" s="50"/>
      <c r="DM72" s="50"/>
      <c r="DN72" s="50"/>
      <c r="DO72" s="50"/>
      <c r="DP72" s="50"/>
      <c r="DQ72" s="50"/>
      <c r="DR72" s="50"/>
      <c r="DS72" s="50"/>
      <c r="DT72" s="50"/>
      <c r="DU72" s="50"/>
      <c r="DV72" s="50"/>
      <c r="DW72" s="50"/>
      <c r="DX72" s="50"/>
      <c r="DY72" s="50"/>
      <c r="DZ72" s="50"/>
      <c r="EA72" s="50"/>
      <c r="EB72" s="50"/>
      <c r="EC72" s="50"/>
      <c r="ED72" s="50"/>
      <c r="EE72" s="50"/>
      <c r="EF72" s="50"/>
      <c r="EG72" s="50"/>
      <c r="EH72" s="50"/>
      <c r="EI72" s="50"/>
      <c r="EJ72" s="50"/>
      <c r="EK72" s="50"/>
      <c r="EL72" s="50"/>
      <c r="EM72" s="50"/>
      <c r="EN72" s="50"/>
      <c r="EO72" s="50"/>
      <c r="EP72" s="50"/>
      <c r="EQ72" s="50"/>
      <c r="ER72" s="50"/>
      <c r="ES72" s="50"/>
      <c r="ET72" s="50"/>
      <c r="EU72" s="50"/>
      <c r="EV72" s="50"/>
      <c r="EW72" s="50"/>
      <c r="EX72" s="50"/>
      <c r="EY72" s="50"/>
      <c r="EZ72" s="50"/>
      <c r="FA72" s="50"/>
      <c r="FB72" s="50"/>
      <c r="FC72" s="50"/>
      <c r="FD72" s="50"/>
      <c r="FE72" s="50"/>
      <c r="FF72" s="50"/>
      <c r="FG72" s="50"/>
      <c r="FH72" s="50"/>
      <c r="FI72" s="50"/>
      <c r="FJ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50"/>
      <c r="BQ73" s="50"/>
      <c r="BR73" s="50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  <c r="DD73" s="50"/>
      <c r="DE73" s="50"/>
      <c r="DF73" s="50"/>
      <c r="DG73" s="50"/>
      <c r="DH73" s="50"/>
      <c r="DI73" s="50"/>
      <c r="DJ73" s="50"/>
      <c r="DK73" s="50"/>
      <c r="DL73" s="50"/>
      <c r="DM73" s="50"/>
      <c r="DN73" s="50"/>
      <c r="DO73" s="50"/>
      <c r="DP73" s="50"/>
      <c r="DQ73" s="50"/>
      <c r="DR73" s="50"/>
      <c r="DS73" s="50"/>
      <c r="DT73" s="50"/>
      <c r="DU73" s="50"/>
      <c r="DV73" s="50"/>
      <c r="DW73" s="50"/>
      <c r="DX73" s="50"/>
      <c r="DY73" s="50"/>
      <c r="DZ73" s="50"/>
      <c r="EA73" s="50"/>
      <c r="EB73" s="50"/>
      <c r="EC73" s="50"/>
      <c r="ED73" s="50"/>
      <c r="EE73" s="50"/>
      <c r="EF73" s="50"/>
      <c r="EG73" s="50"/>
      <c r="EH73" s="50"/>
      <c r="EI73" s="50"/>
      <c r="EJ73" s="50"/>
      <c r="EK73" s="50"/>
      <c r="EL73" s="50"/>
      <c r="EM73" s="50"/>
      <c r="EN73" s="50"/>
      <c r="EO73" s="50"/>
      <c r="EP73" s="50"/>
      <c r="EQ73" s="50"/>
      <c r="ER73" s="50"/>
      <c r="ES73" s="50"/>
      <c r="ET73" s="50"/>
      <c r="EU73" s="50"/>
      <c r="EV73" s="50"/>
      <c r="EW73" s="50"/>
      <c r="EX73" s="50"/>
      <c r="EY73" s="50"/>
      <c r="EZ73" s="50"/>
      <c r="FA73" s="50"/>
      <c r="FB73" s="50"/>
      <c r="FC73" s="50"/>
      <c r="FD73" s="50"/>
      <c r="FE73" s="50"/>
      <c r="FF73" s="50"/>
      <c r="FG73" s="50"/>
      <c r="FH73" s="50"/>
      <c r="FI73" s="50"/>
      <c r="FJ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0"/>
      <c r="EI74" s="50"/>
      <c r="EJ74" s="50"/>
      <c r="EK74" s="50"/>
      <c r="EL74" s="50"/>
      <c r="EM74" s="50"/>
      <c r="EN74" s="50"/>
      <c r="EO74" s="50"/>
      <c r="EP74" s="50"/>
      <c r="EQ74" s="50"/>
      <c r="ER74" s="50"/>
      <c r="ES74" s="50"/>
      <c r="ET74" s="50"/>
      <c r="EU74" s="50"/>
      <c r="EV74" s="50"/>
      <c r="EW74" s="50"/>
      <c r="EX74" s="50"/>
      <c r="EY74" s="50"/>
      <c r="EZ74" s="50"/>
      <c r="FA74" s="50"/>
      <c r="FB74" s="50"/>
      <c r="FC74" s="50"/>
      <c r="FD74" s="50"/>
      <c r="FE74" s="50"/>
      <c r="FF74" s="50"/>
      <c r="FG74" s="50"/>
      <c r="FH74" s="50"/>
      <c r="FI74" s="50"/>
      <c r="FJ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  <c r="DD75" s="50"/>
      <c r="DE75" s="50"/>
      <c r="DF75" s="50"/>
      <c r="DG75" s="50"/>
      <c r="DH75" s="50"/>
      <c r="DI75" s="50"/>
      <c r="DJ75" s="50"/>
      <c r="DK75" s="50"/>
      <c r="DL75" s="50"/>
      <c r="DM75" s="50"/>
      <c r="DN75" s="50"/>
      <c r="DO75" s="50"/>
      <c r="DP75" s="50"/>
      <c r="DQ75" s="50"/>
      <c r="DR75" s="50"/>
      <c r="DS75" s="50"/>
      <c r="DT75" s="50"/>
      <c r="DU75" s="50"/>
      <c r="DV75" s="50"/>
      <c r="DW75" s="50"/>
      <c r="DX75" s="50"/>
      <c r="DY75" s="50"/>
      <c r="DZ75" s="50"/>
      <c r="EA75" s="50"/>
      <c r="EB75" s="50"/>
      <c r="EC75" s="50"/>
      <c r="ED75" s="50"/>
      <c r="EE75" s="50"/>
      <c r="EF75" s="50"/>
      <c r="EG75" s="50"/>
      <c r="EH75" s="50"/>
      <c r="EI75" s="50"/>
      <c r="EJ75" s="50"/>
      <c r="EK75" s="50"/>
      <c r="EL75" s="50"/>
      <c r="EM75" s="50"/>
      <c r="EN75" s="50"/>
      <c r="EO75" s="50"/>
      <c r="EP75" s="50"/>
      <c r="EQ75" s="50"/>
      <c r="ER75" s="50"/>
      <c r="ES75" s="50"/>
      <c r="ET75" s="50"/>
      <c r="EU75" s="50"/>
      <c r="EV75" s="50"/>
      <c r="EW75" s="50"/>
      <c r="EX75" s="50"/>
      <c r="EY75" s="50"/>
      <c r="EZ75" s="50"/>
      <c r="FA75" s="50"/>
      <c r="FB75" s="50"/>
      <c r="FC75" s="50"/>
      <c r="FD75" s="50"/>
      <c r="FE75" s="50"/>
      <c r="FF75" s="50"/>
      <c r="FG75" s="50"/>
      <c r="FH75" s="50"/>
      <c r="FI75" s="50"/>
      <c r="FJ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50"/>
      <c r="BQ76" s="50"/>
      <c r="BR76" s="50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  <c r="DD76" s="50"/>
      <c r="DE76" s="50"/>
      <c r="DF76" s="50"/>
      <c r="DG76" s="50"/>
      <c r="DH76" s="50"/>
      <c r="DI76" s="50"/>
      <c r="DJ76" s="50"/>
      <c r="DK76" s="50"/>
      <c r="DL76" s="50"/>
      <c r="DM76" s="50"/>
      <c r="DN76" s="50"/>
      <c r="DO76" s="50"/>
      <c r="DP76" s="50"/>
      <c r="DQ76" s="50"/>
      <c r="DR76" s="50"/>
      <c r="DS76" s="50"/>
      <c r="DT76" s="50"/>
      <c r="DU76" s="50"/>
      <c r="DV76" s="50"/>
      <c r="DW76" s="50"/>
      <c r="DX76" s="50"/>
      <c r="DY76" s="50"/>
      <c r="DZ76" s="50"/>
      <c r="EA76" s="50"/>
      <c r="EB76" s="50"/>
      <c r="EC76" s="50"/>
      <c r="ED76" s="50"/>
      <c r="EE76" s="50"/>
      <c r="EF76" s="50"/>
      <c r="EG76" s="50"/>
      <c r="EH76" s="50"/>
      <c r="EI76" s="50"/>
      <c r="EJ76" s="50"/>
      <c r="EK76" s="50"/>
      <c r="EL76" s="50"/>
      <c r="EM76" s="50"/>
      <c r="EN76" s="50"/>
      <c r="EO76" s="50"/>
      <c r="EP76" s="50"/>
      <c r="EQ76" s="50"/>
      <c r="ER76" s="50"/>
      <c r="ES76" s="50"/>
      <c r="ET76" s="50"/>
      <c r="EU76" s="50"/>
      <c r="EV76" s="50"/>
      <c r="EW76" s="50"/>
      <c r="EX76" s="50"/>
      <c r="EY76" s="50"/>
      <c r="EZ76" s="50"/>
      <c r="FA76" s="50"/>
      <c r="FB76" s="50"/>
      <c r="FC76" s="50"/>
      <c r="FD76" s="50"/>
      <c r="FE76" s="50"/>
      <c r="FF76" s="50"/>
      <c r="FG76" s="50"/>
      <c r="FH76" s="50"/>
      <c r="FI76" s="50"/>
      <c r="FJ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  <c r="DD77" s="50"/>
      <c r="DE77" s="50"/>
      <c r="DF77" s="50"/>
      <c r="DG77" s="50"/>
      <c r="DH77" s="50"/>
      <c r="DI77" s="50"/>
      <c r="DJ77" s="50"/>
      <c r="DK77" s="50"/>
      <c r="DL77" s="50"/>
      <c r="DM77" s="50"/>
      <c r="DN77" s="50"/>
      <c r="DO77" s="50"/>
      <c r="DP77" s="50"/>
      <c r="DQ77" s="50"/>
      <c r="DR77" s="50"/>
      <c r="DS77" s="50"/>
      <c r="DT77" s="50"/>
      <c r="DU77" s="50"/>
      <c r="DV77" s="50"/>
      <c r="DW77" s="50"/>
      <c r="DX77" s="50"/>
      <c r="DY77" s="50"/>
      <c r="DZ77" s="50"/>
      <c r="EA77" s="50"/>
      <c r="EB77" s="50"/>
      <c r="EC77" s="50"/>
      <c r="ED77" s="50"/>
      <c r="EE77" s="50"/>
      <c r="EF77" s="50"/>
      <c r="EG77" s="50"/>
      <c r="EH77" s="50"/>
      <c r="EI77" s="50"/>
      <c r="EJ77" s="50"/>
      <c r="EK77" s="50"/>
      <c r="EL77" s="50"/>
      <c r="EM77" s="50"/>
      <c r="EN77" s="50"/>
      <c r="EO77" s="50"/>
      <c r="EP77" s="50"/>
      <c r="EQ77" s="50"/>
      <c r="ER77" s="50"/>
      <c r="ES77" s="50"/>
      <c r="ET77" s="50"/>
      <c r="EU77" s="50"/>
      <c r="EV77" s="50"/>
      <c r="EW77" s="50"/>
      <c r="EX77" s="50"/>
      <c r="EY77" s="50"/>
      <c r="EZ77" s="50"/>
      <c r="FA77" s="50"/>
      <c r="FB77" s="50"/>
      <c r="FC77" s="50"/>
      <c r="FD77" s="50"/>
      <c r="FE77" s="50"/>
      <c r="FF77" s="50"/>
      <c r="FG77" s="50"/>
      <c r="FH77" s="50"/>
      <c r="FI77" s="50"/>
      <c r="FJ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50"/>
      <c r="EA78" s="50"/>
      <c r="EB78" s="50"/>
      <c r="EC78" s="50"/>
      <c r="ED78" s="50"/>
      <c r="EE78" s="50"/>
      <c r="EF78" s="50"/>
      <c r="EG78" s="50"/>
      <c r="EH78" s="50"/>
      <c r="EI78" s="50"/>
      <c r="EJ78" s="50"/>
      <c r="EK78" s="50"/>
      <c r="EL78" s="50"/>
      <c r="EM78" s="50"/>
      <c r="EN78" s="50"/>
      <c r="EO78" s="50"/>
      <c r="EP78" s="50"/>
      <c r="EQ78" s="50"/>
      <c r="ER78" s="50"/>
      <c r="ES78" s="50"/>
      <c r="ET78" s="50"/>
      <c r="EU78" s="50"/>
      <c r="EV78" s="50"/>
      <c r="EW78" s="50"/>
      <c r="EX78" s="50"/>
      <c r="EY78" s="50"/>
      <c r="EZ78" s="50"/>
      <c r="FA78" s="50"/>
      <c r="FB78" s="50"/>
      <c r="FC78" s="50"/>
      <c r="FD78" s="50"/>
      <c r="FE78" s="50"/>
      <c r="FF78" s="50"/>
      <c r="FG78" s="50"/>
      <c r="FH78" s="50"/>
      <c r="FI78" s="50"/>
      <c r="FJ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50"/>
      <c r="BQ79" s="50"/>
      <c r="BR79" s="50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  <c r="DD79" s="50"/>
      <c r="DE79" s="50"/>
      <c r="DF79" s="50"/>
      <c r="DG79" s="50"/>
      <c r="DH79" s="50"/>
      <c r="DI79" s="50"/>
      <c r="DJ79" s="50"/>
      <c r="DK79" s="50"/>
      <c r="DL79" s="50"/>
      <c r="DM79" s="50"/>
      <c r="DN79" s="50"/>
      <c r="DO79" s="50"/>
      <c r="DP79" s="50"/>
      <c r="DQ79" s="50"/>
      <c r="DR79" s="50"/>
      <c r="DS79" s="50"/>
      <c r="DT79" s="50"/>
      <c r="DU79" s="50"/>
      <c r="DV79" s="50"/>
      <c r="DW79" s="50"/>
      <c r="DX79" s="50"/>
      <c r="DY79" s="50"/>
      <c r="DZ79" s="50"/>
      <c r="EA79" s="50"/>
      <c r="EB79" s="50"/>
      <c r="EC79" s="50"/>
      <c r="ED79" s="50"/>
      <c r="EE79" s="50"/>
      <c r="EF79" s="50"/>
      <c r="EG79" s="50"/>
      <c r="EH79" s="50"/>
      <c r="EI79" s="50"/>
      <c r="EJ79" s="50"/>
      <c r="EK79" s="50"/>
      <c r="EL79" s="50"/>
      <c r="EM79" s="50"/>
      <c r="EN79" s="50"/>
      <c r="EO79" s="50"/>
      <c r="EP79" s="50"/>
      <c r="EQ79" s="50"/>
      <c r="ER79" s="50"/>
      <c r="ES79" s="50"/>
      <c r="ET79" s="50"/>
      <c r="EU79" s="50"/>
      <c r="EV79" s="50"/>
      <c r="EW79" s="50"/>
      <c r="EX79" s="50"/>
      <c r="EY79" s="50"/>
      <c r="EZ79" s="50"/>
      <c r="FA79" s="50"/>
      <c r="FB79" s="50"/>
      <c r="FC79" s="50"/>
      <c r="FD79" s="50"/>
      <c r="FE79" s="50"/>
      <c r="FF79" s="50"/>
      <c r="FG79" s="50"/>
      <c r="FH79" s="50"/>
      <c r="FI79" s="50"/>
      <c r="FJ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50"/>
      <c r="BQ80" s="50"/>
      <c r="BR80" s="50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  <c r="DE80" s="50"/>
      <c r="DF80" s="50"/>
      <c r="DG80" s="50"/>
      <c r="DH80" s="50"/>
      <c r="DI80" s="50"/>
      <c r="DJ80" s="50"/>
      <c r="DK80" s="50"/>
      <c r="DL80" s="50"/>
      <c r="DM80" s="50"/>
      <c r="DN80" s="50"/>
      <c r="DO80" s="50"/>
      <c r="DP80" s="50"/>
      <c r="DQ80" s="50"/>
      <c r="DR80" s="50"/>
      <c r="DS80" s="50"/>
      <c r="DT80" s="50"/>
      <c r="DU80" s="50"/>
      <c r="DV80" s="50"/>
      <c r="DW80" s="50"/>
      <c r="DX80" s="50"/>
      <c r="DY80" s="50"/>
      <c r="DZ80" s="50"/>
      <c r="EA80" s="50"/>
      <c r="EB80" s="50"/>
      <c r="EC80" s="50"/>
      <c r="ED80" s="50"/>
      <c r="EE80" s="50"/>
      <c r="EF80" s="50"/>
      <c r="EG80" s="50"/>
      <c r="EH80" s="50"/>
      <c r="EI80" s="50"/>
      <c r="EJ80" s="50"/>
      <c r="EK80" s="50"/>
      <c r="EL80" s="50"/>
      <c r="EM80" s="50"/>
      <c r="EN80" s="50"/>
      <c r="EO80" s="50"/>
      <c r="EP80" s="50"/>
      <c r="EQ80" s="50"/>
      <c r="ER80" s="50"/>
      <c r="ES80" s="50"/>
      <c r="ET80" s="50"/>
      <c r="EU80" s="50"/>
      <c r="EV80" s="50"/>
      <c r="EW80" s="50"/>
      <c r="EX80" s="50"/>
      <c r="EY80" s="50"/>
      <c r="EZ80" s="50"/>
      <c r="FA80" s="50"/>
      <c r="FB80" s="50"/>
      <c r="FC80" s="50"/>
      <c r="FD80" s="50"/>
      <c r="FE80" s="50"/>
      <c r="FF80" s="50"/>
      <c r="FG80" s="50"/>
      <c r="FH80" s="50"/>
      <c r="FI80" s="50"/>
      <c r="FJ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50"/>
      <c r="BQ81" s="50"/>
      <c r="BR81" s="50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  <c r="DD81" s="50"/>
      <c r="DE81" s="50"/>
      <c r="DF81" s="50"/>
      <c r="DG81" s="50"/>
      <c r="DH81" s="50"/>
      <c r="DI81" s="50"/>
      <c r="DJ81" s="50"/>
      <c r="DK81" s="50"/>
      <c r="DL81" s="50"/>
      <c r="DM81" s="50"/>
      <c r="DN81" s="50"/>
      <c r="DO81" s="50"/>
      <c r="DP81" s="50"/>
      <c r="DQ81" s="50"/>
      <c r="DR81" s="50"/>
      <c r="DS81" s="50"/>
      <c r="DT81" s="50"/>
      <c r="DU81" s="50"/>
      <c r="DV81" s="50"/>
      <c r="DW81" s="50"/>
      <c r="DX81" s="50"/>
      <c r="DY81" s="50"/>
      <c r="DZ81" s="50"/>
      <c r="EA81" s="50"/>
      <c r="EB81" s="50"/>
      <c r="EC81" s="50"/>
      <c r="ED81" s="50"/>
      <c r="EE81" s="50"/>
      <c r="EF81" s="50"/>
      <c r="EG81" s="50"/>
      <c r="EH81" s="50"/>
      <c r="EI81" s="50"/>
      <c r="EJ81" s="50"/>
      <c r="EK81" s="50"/>
      <c r="EL81" s="50"/>
      <c r="EM81" s="50"/>
      <c r="EN81" s="50"/>
      <c r="EO81" s="50"/>
      <c r="EP81" s="50"/>
      <c r="EQ81" s="50"/>
      <c r="ER81" s="50"/>
      <c r="ES81" s="50"/>
      <c r="ET81" s="50"/>
      <c r="EU81" s="50"/>
      <c r="EV81" s="50"/>
      <c r="EW81" s="50"/>
      <c r="EX81" s="50"/>
      <c r="EY81" s="50"/>
      <c r="EZ81" s="50"/>
      <c r="FA81" s="50"/>
      <c r="FB81" s="50"/>
      <c r="FC81" s="50"/>
      <c r="FD81" s="50"/>
      <c r="FE81" s="50"/>
      <c r="FF81" s="50"/>
      <c r="FG81" s="50"/>
      <c r="FH81" s="50"/>
      <c r="FI81" s="50"/>
      <c r="FJ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0"/>
      <c r="EI82" s="50"/>
      <c r="EJ82" s="50"/>
      <c r="EK82" s="50"/>
      <c r="EL82" s="50"/>
      <c r="EM82" s="50"/>
      <c r="EN82" s="50"/>
      <c r="EO82" s="50"/>
      <c r="EP82" s="50"/>
      <c r="EQ82" s="50"/>
      <c r="ER82" s="50"/>
      <c r="ES82" s="50"/>
      <c r="ET82" s="50"/>
      <c r="EU82" s="50"/>
      <c r="EV82" s="50"/>
      <c r="EW82" s="50"/>
      <c r="EX82" s="50"/>
      <c r="EY82" s="50"/>
      <c r="EZ82" s="50"/>
      <c r="FA82" s="50"/>
      <c r="FB82" s="50"/>
      <c r="FC82" s="50"/>
      <c r="FD82" s="50"/>
      <c r="FE82" s="50"/>
      <c r="FF82" s="50"/>
      <c r="FG82" s="50"/>
      <c r="FH82" s="50"/>
      <c r="FI82" s="50"/>
      <c r="FJ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50"/>
      <c r="BQ83" s="50"/>
      <c r="BR83" s="50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  <c r="DD83" s="50"/>
      <c r="DE83" s="50"/>
      <c r="DF83" s="50"/>
      <c r="DG83" s="50"/>
      <c r="DH83" s="50"/>
      <c r="DI83" s="50"/>
      <c r="DJ83" s="50"/>
      <c r="DK83" s="50"/>
      <c r="DL83" s="50"/>
      <c r="DM83" s="50"/>
      <c r="DN83" s="50"/>
      <c r="DO83" s="50"/>
      <c r="DP83" s="50"/>
      <c r="DQ83" s="50"/>
      <c r="DR83" s="50"/>
      <c r="DS83" s="50"/>
      <c r="DT83" s="50"/>
      <c r="DU83" s="50"/>
      <c r="DV83" s="50"/>
      <c r="DW83" s="50"/>
      <c r="DX83" s="50"/>
      <c r="DY83" s="50"/>
      <c r="DZ83" s="50"/>
      <c r="EA83" s="50"/>
      <c r="EB83" s="50"/>
      <c r="EC83" s="50"/>
      <c r="ED83" s="50"/>
      <c r="EE83" s="50"/>
      <c r="EF83" s="50"/>
      <c r="EG83" s="50"/>
      <c r="EH83" s="50"/>
      <c r="EI83" s="50"/>
      <c r="EJ83" s="50"/>
      <c r="EK83" s="50"/>
      <c r="EL83" s="50"/>
      <c r="EM83" s="50"/>
      <c r="EN83" s="50"/>
      <c r="EO83" s="50"/>
      <c r="EP83" s="50"/>
      <c r="EQ83" s="50"/>
      <c r="ER83" s="50"/>
      <c r="ES83" s="50"/>
      <c r="ET83" s="50"/>
      <c r="EU83" s="50"/>
      <c r="EV83" s="50"/>
      <c r="EW83" s="50"/>
      <c r="EX83" s="50"/>
      <c r="EY83" s="50"/>
      <c r="EZ83" s="50"/>
      <c r="FA83" s="50"/>
      <c r="FB83" s="50"/>
      <c r="FC83" s="50"/>
      <c r="FD83" s="50"/>
      <c r="FE83" s="50"/>
      <c r="FF83" s="50"/>
      <c r="FG83" s="50"/>
      <c r="FH83" s="50"/>
      <c r="FI83" s="50"/>
      <c r="FJ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0"/>
      <c r="FD84" s="50"/>
      <c r="FE84" s="50"/>
      <c r="FF84" s="50"/>
      <c r="FG84" s="50"/>
      <c r="FH84" s="50"/>
      <c r="FI84" s="50"/>
      <c r="FJ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  <c r="DE85" s="50"/>
      <c r="DF85" s="50"/>
      <c r="DG85" s="50"/>
      <c r="DH85" s="50"/>
      <c r="DI85" s="50"/>
      <c r="DJ85" s="50"/>
      <c r="DK85" s="50"/>
      <c r="DL85" s="50"/>
      <c r="DM85" s="50"/>
      <c r="DN85" s="50"/>
      <c r="DO85" s="50"/>
      <c r="DP85" s="50"/>
      <c r="DQ85" s="50"/>
      <c r="DR85" s="50"/>
      <c r="DS85" s="50"/>
      <c r="DT85" s="50"/>
      <c r="DU85" s="50"/>
      <c r="DV85" s="50"/>
      <c r="DW85" s="50"/>
      <c r="DX85" s="50"/>
      <c r="DY85" s="50"/>
      <c r="DZ85" s="50"/>
      <c r="EA85" s="50"/>
      <c r="EB85" s="50"/>
      <c r="EC85" s="50"/>
      <c r="ED85" s="50"/>
      <c r="EE85" s="50"/>
      <c r="EF85" s="50"/>
      <c r="EG85" s="50"/>
      <c r="EH85" s="50"/>
      <c r="EI85" s="50"/>
      <c r="EJ85" s="50"/>
      <c r="EK85" s="50"/>
      <c r="EL85" s="50"/>
      <c r="EM85" s="50"/>
      <c r="EN85" s="50"/>
      <c r="EO85" s="50"/>
      <c r="EP85" s="50"/>
      <c r="EQ85" s="50"/>
      <c r="ER85" s="50"/>
      <c r="ES85" s="50"/>
      <c r="ET85" s="50"/>
      <c r="EU85" s="50"/>
      <c r="EV85" s="50"/>
      <c r="EW85" s="50"/>
      <c r="EX85" s="50"/>
      <c r="EY85" s="50"/>
      <c r="EZ85" s="50"/>
      <c r="FA85" s="50"/>
      <c r="FB85" s="50"/>
      <c r="FC85" s="50"/>
      <c r="FD85" s="50"/>
      <c r="FE85" s="50"/>
      <c r="FF85" s="50"/>
      <c r="FG85" s="50"/>
      <c r="FH85" s="50"/>
      <c r="FI85" s="50"/>
      <c r="FJ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