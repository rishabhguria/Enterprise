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StageOrder" sheetId="4" r:id="rId6"/>
    <sheet state="visible" name="CreateNewSubOrder" sheetId="5" r:id="rId7"/>
    <sheet state="visible" name="VerifyOrder" sheetId="6" r:id="rId8"/>
    <sheet state="visible" name="TradeNewSubOrder" sheetId="7" r:id="rId9"/>
  </sheets>
  <definedNames/>
  <calcPr/>
</workbook>
</file>

<file path=xl/sharedStrings.xml><?xml version="1.0" encoding="utf-8"?>
<sst xmlns="http://schemas.openxmlformats.org/spreadsheetml/2006/main" count="184" uniqueCount="39">
  <si>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</si>
  <si>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</si>
  <si>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</si>
  <si>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</si>
  <si>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</si>
  <si>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</si>
  <si>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</si>
  <si>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</si>
  <si>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</si>
  <si>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</si>
  <si>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</si>
  <si>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</si>
  <si>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</si>
  <si>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CreateStageOrder</t>
  </si>
  <si>
    <t>Data Format</t>
  </si>
  <si>
    <t>Input Format</t>
  </si>
  <si>
    <t>AAPL</t>
  </si>
  <si>
    <t>Buy</t>
  </si>
  <si>
    <t>CreateNewSubOrder</t>
  </si>
  <si>
    <t>Blotter</t>
  </si>
  <si>
    <t>VerifyOrder</t>
  </si>
  <si>
    <t/>
  </si>
  <si>
    <t>AAPL US EQUITY</t>
  </si>
  <si>
    <t>NASDAQ</t>
  </si>
  <si>
    <t>jpearce</t>
  </si>
  <si>
    <t>US</t>
  </si>
  <si>
    <t>GCCAP1</t>
  </si>
  <si>
    <t>USD</t>
  </si>
  <si>
    <t>NewMF</t>
  </si>
  <si>
    <t>DefaultNotes</t>
  </si>
  <si>
    <t>M</t>
  </si>
  <si>
    <t>Equity</t>
  </si>
  <si>
    <t>Filled</t>
  </si>
  <si>
    <t>MS</t>
  </si>
  <si>
    <t>Allocation1</t>
  </si>
  <si>
    <t>Market</t>
  </si>
  <si>
    <t>Manual</t>
  </si>
  <si>
    <t>TradeNewSubOrder</t>
  </si>
  <si>
    <t>New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</si>
</sst>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shrinkToFit="0" wrapText="0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IFERROR(__xludf.DUMMYFUNCTION("""COMPUTED_VALUE"""),"1POjj1zjXLEqeN6JF24QjN0-KOauAggBwl69xOVrb_Mc")</f>
        <v>1POjj1zjXLEqeN6JF24QjN0-KOauAggBwl69xOVrb_Mc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IFERROR(__xludf.DUMMYFUNCTION("""COMPUTED_VALUE"""),"Blotter")</f>
        <v>Blotter</v>
      </c>
      <c r="B663" t="str">
        <f>IFERROR(__xludf.DUMMYFUNCTION("""COMPUTED_VALUE"""),"EditOrderForMTT")</f>
        <v>EditOrderForMTT</v>
      </c>
      <c r="C663" t="str">
        <f>IFERROR(__xludf.DUMMYFUNCTION("""COMPUTED_VALUE"""),"1qWfM-5I-ku-5EHZAkn8eS-IZo3tx5B4_gWM6t3Q6Ioo")</f>
        <v>1qWfM-5I-ku-5EHZAkn8eS-IZo3tx5B4_gWM6t3Q6Ioo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IFERROR(__xludf.DUMMYFUNCTION("""COMPUTED_VALUE"""),"SaveLayoutPM")</f>
        <v>SaveLayoutPM</v>
      </c>
      <c r="C665" t="str">
        <f>IFERROR(__xludf.DUMMYFUNCTION("""COMPUTED_VALUE"""),"18bINF8LvIWUr1rFpe1vpLTKdPT6dJi-B14KFcAVwyfQ")</f>
        <v>18bINF8LvIWUr1rFpe1vpLTKdPT6dJi-B14KFcAVwyfQ</v>
      </c>
    </row>
    <row r="666" ht="15.75" customHeight="1">
      <c r="A666" t="str">
        <f>IFERROR(__xludf.DUMMYFUNCTION("""COMPUTED_VALUE"""),"PortfolioManagement")</f>
        <v>PortfolioManagement</v>
      </c>
      <c r="B666" t="str">
        <f>IFERROR(__xludf.DUMMYFUNCTION("""COMPUTED_VALUE"""),"OpenCustomView")</f>
        <v>OpenCustomView</v>
      </c>
      <c r="C666" t="str">
        <f>IFERROR(__xludf.DUMMYFUNCTION("""COMPUTED_VALUE"""),"1aiFAc6kqib929pQs2Ufmf6eB0G6tPhDoqY6caFUaSUk")</f>
        <v>1aiFAc6kqib929pQs2Ufmf6eB0G6tPhDoqY6caFUaSUk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IFERROR(__xludf.DUMMYFUNCTION("""COMPUTED_VALUE"""),"VerifyCustomTabs")</f>
        <v>VerifyCustomTabs</v>
      </c>
      <c r="C667" t="str">
        <f>IFERROR(__xludf.DUMMYFUNCTION("""COMPUTED_VALUE"""),"1s7r1b7iwigom4v0m_RFb-ufZk23d2CqFi99gb-mX0YY")</f>
        <v>1s7r1b7iwigom4v0m_RFb-ufZk23d2CqFi99gb-mX0YY</v>
      </c>
    </row>
    <row r="668" ht="15.75" customHeight="1">
      <c r="A668" t="str">
        <f>IFERROR(__xludf.DUMMYFUNCTION("""COMPUTED_VALUE"""),"Blotter")</f>
        <v>Blotter</v>
      </c>
      <c r="B668" t="str">
        <f>IFERROR(__xludf.DUMMYFUNCTION("""COMPUTED_VALUE"""),"SelectCheckBoxOnCustomTab")</f>
        <v>SelectCheckBoxOnCustomTab</v>
      </c>
      <c r="C668" t="str">
        <f>IFERROR(__xludf.DUMMYFUNCTION("""COMPUTED_VALUE"""),"1W7_hWkxbVlSNSzD2alHZ5u1n0B8MxwrlBkeZiMYqHMY")</f>
        <v>1W7_hWkxbVlSNSzD2alHZ5u1n0B8MxwrlBkeZiMYqHMY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IFERROR(__xludf.DUMMYFUNCTION("""COMPUTED_VALUE"""),"Rebalancer")</f>
        <v>Rebalancer</v>
      </c>
      <c r="B670" t="str">
        <f>IFERROR(__xludf.DUMMYFUNCTION("""COMPUTED_VALUE"""),"VerifyBuySellList")</f>
        <v>VerifyBuySellList</v>
      </c>
      <c r="C670" t="str">
        <f>IFERROR(__xludf.DUMMYFUNCTION("""COMPUTED_VALUE"""),"1O2u9vu9lB8RTOcsD20GdbXlSWEbt310TUvIkuLxRuBg")</f>
        <v>1O2u9vu9lB8RTOcsD20GdbXlSWEbt310TUvIkuLxRuBg</v>
      </c>
    </row>
    <row r="671" ht="15.75" customHeight="1">
      <c r="A671" t="str">
        <f>IFERROR(__xludf.DUMMYFUNCTION("""COMPUTED_VALUE"""),"Admin")</f>
        <v>Admin</v>
      </c>
      <c r="B671" t="str">
        <f>IFERROR(__xludf.DUMMYFUNCTION("""COMPUTED_VALUE"""),"SetPreTradeCompliancePermission")</f>
        <v>SetPreTradeCompliancePermission</v>
      </c>
      <c r="C671" t="str">
        <f>IFERROR(__xludf.DUMMYFUNCTION("""COMPUTED_VALUE"""),"1ewjQxQzAYWPb_Xt7eg-BDaW0JVta4cevciiv9vOUvg0")</f>
        <v>1ewjQxQzAYWPb_Xt7eg-BDaW0JVta4cevciiv9vOUvg0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IFERROR(__xludf.DUMMYFUNCTION("""COMPUTED_VALUE"""),"UploadStageOrder")</f>
        <v>UploadStageOrder</v>
      </c>
      <c r="C672" t="str">
        <f>IFERROR(__xludf.DUMMYFUNCTION("""COMPUTED_VALUE"""),"1lK9zUhBpffXk_Fyp8pfWJfS2RpqtAwa9zGPb9Vlkb7Q")</f>
        <v>1lK9zUhBpffXk_Fyp8pfWJfS2RpqtAwa9zGPb9Vlkb7Q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IFERROR(__xludf.DUMMYFUNCTION("""COMPUTED_VALUE"""),"RefreshBlotter")</f>
        <v>RefreshBlotter</v>
      </c>
      <c r="C673" t="str">
        <f>IFERROR(__xludf.DUMMYFUNCTION("""COMPUTED_VALUE"""),"Undefined")</f>
        <v>Undefined</v>
      </c>
    </row>
    <row r="674" ht="15.75" customHeight="1">
      <c r="A674" t="str">
        <f>IFERROR(__xludf.DUMMYFUNCTION("""COMPUTED_VALUE"""),"Blotter")</f>
        <v>Blotter</v>
      </c>
      <c r="B674" t="str">
        <f>IFERROR(__xludf.DUMMYFUNCTION("""COMPUTED_VALUE"""),"CancelFromSummary")</f>
        <v>CancelFromSummary</v>
      </c>
      <c r="C674" t="str">
        <f>IFERROR(__xludf.DUMMYFUNCTION("""COMPUTED_VALUE"""),"1jSLVysCdd7TUYKjG07aOiq3UU-oAUNbdPg35uHeWwhk")</f>
        <v>1jSLVysCdd7TUYKjG07aOiq3UU-oAUNbdPg35uHeWwhk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IFERROR(__xludf.DUMMYFUNCTION("""COMPUTED_VALUE"""),"OpenTaxlotDetails")</f>
        <v>OpenTaxlotDetails</v>
      </c>
      <c r="C675" t="str">
        <f>IFERROR(__xludf.DUMMYFUNCTION("""COMPUTED_VALUE"""),"183AzyWH5HmQPGs1axkOpXRel-i1zs9GjyySy7q1x--0")</f>
        <v>183AzyWH5HmQPGs1axkOpXRel-i1zs9GjyySy7q1x--0</v>
      </c>
    </row>
    <row r="676" ht="15.75" customHeight="1">
      <c r="A676" t="str">
        <f>IFERROR(__xludf.DUMMYFUNCTION("""COMPUTED_VALUE"""),"PortfolioManagement")</f>
        <v>PortfolioManagement</v>
      </c>
      <c r="B676" t="str">
        <f>IFERROR(__xludf.DUMMYFUNCTION("""COMPUTED_VALUE"""),"CheckTaxlotDetails")</f>
        <v>CheckTaxlotDetails</v>
      </c>
      <c r="C676" t="str">
        <f>IFERROR(__xludf.DUMMYFUNCTION("""COMPUTED_VALUE"""),"1u7Vyi2HvA8tXNgHY_2MzmzcCg8vrtuLRURK0hFpMTXk")</f>
        <v>1u7Vyi2HvA8tXNgHY_2MzmzcCg8vrtuLRURK0hFpMTXk</v>
      </c>
    </row>
    <row r="677" ht="15.75" customHeight="1">
      <c r="A677" t="str">
        <f>IFERROR(__xludf.DUMMYFUNCTION("""COMPUTED_VALUE"""),"Blotter")</f>
        <v>Blotter</v>
      </c>
      <c r="B677" t="str">
        <f>IFERROR(__xludf.DUMMYFUNCTION("""COMPUTED_VALUE"""),"VerifyAuditTrail")</f>
        <v>VerifyAuditTrail</v>
      </c>
      <c r="C677" t="str">
        <f>IFERROR(__xludf.DUMMYFUNCTION("""COMPUTED_VALUE"""),"1SsF4E82QKwgB26ZoKXUhkX5AaUZdZC5n2EeHmwKGduU")</f>
        <v>1SsF4E82QKwgB26ZoKXUhkX5AaUZdZC5n2EeHmwKGduU</v>
      </c>
    </row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IFERROR(__xludf.DUMMYFUNCTION("""COMPUTED_VALUE"""),"Master Funds")</f>
        <v>Master Funds</v>
      </c>
      <c r="AS5" s="30" t="str">
        <f>IFERROR(__xludf.DUMMYFUNCTION("""COMPUTED_VALUE"""),"Rate(%)")</f>
        <v>Rate(%)</v>
      </c>
      <c r="AT5" s="30" t="str">
        <f>IFERROR(__xludf.DUMMYFUNCTION("""COMPUTED_VALUE"""),"BorrowerID")</f>
        <v>BorrowerID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100.0</v>
      </c>
      <c r="E6" s="31"/>
      <c r="F6" s="8"/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IFERROR(__xludf.DUMMYFUNCTION("""COMPUTED_VALUE"""),"PopUpQuantity")</f>
        <v>PopUpQuantity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IFERROR(__xludf.DUMMYFUNCTION("""COMPUTED_VALUE"""),"SharesOutstandingPopUp")</f>
        <v>SharesOutstandingPopUp</v>
      </c>
      <c r="AS5" s="30" t="str">
        <f>IFERROR(__xludf.DUMMYFUNCTION("""COMPUTED_VALUE"""),"AllowTrade")</f>
        <v>AllowTrade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CreateNewSubOrder!$4:$4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 t="str">
        <f>IFERROR(__xludf.DUMMYFUNCTION("""COMPUTED_VALUE"""),"MandatoryColumn")</f>
        <v>MandatoryColumn</v>
      </c>
      <c r="BL5" s="30" t="str">
        <f>IFERROR(__xludf.DUMMYFUNCTION("""COMPUTED_VALUE"""),"Rebalancer File Name")</f>
        <v>Rebalancer File Name</v>
      </c>
      <c r="BM5" s="30" t="str">
        <f>IFERROR(__xludf.DUMMYFUNCTION("""COMPUTED_VALUE"""),"Borrower ID")</f>
        <v>Borrower ID</v>
      </c>
      <c r="BN5" s="30" t="str">
        <f>IFERROR(__xludf.DUMMYFUNCTION("""COMPUTED_VALUE"""),"Borrow Rate(%)")</f>
        <v>Borrow Rate(%)</v>
      </c>
      <c r="BO5" s="30" t="str">
        <f>IFERROR(__xludf.DUMMYFUNCTION("""COMPUTED_VALUE"""),"Borrow Broker")</f>
        <v>Borrow Broker</v>
      </c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2" t="s">
        <v>21</v>
      </c>
      <c r="B6" s="32"/>
      <c r="C6" s="8"/>
      <c r="D6" s="32"/>
      <c r="E6" s="8" t="s">
        <v>22</v>
      </c>
      <c r="F6" s="8"/>
      <c r="G6" s="8"/>
      <c r="H6" s="8" t="s">
        <v>23</v>
      </c>
      <c r="I6" s="8" t="s">
        <v>24</v>
      </c>
      <c r="J6" s="8" t="s">
        <v>16</v>
      </c>
      <c r="K6" s="8" t="s">
        <v>25</v>
      </c>
      <c r="L6" s="8" t="s">
        <v>26</v>
      </c>
      <c r="M6" s="8"/>
      <c r="N6" s="8"/>
      <c r="O6" s="8"/>
      <c r="U6" t="s">
        <v>27</v>
      </c>
      <c r="AA6" t="s">
        <v>28</v>
      </c>
      <c r="AC6" t="s">
        <v>29</v>
      </c>
      <c r="AD6">
        <v>1.0</v>
      </c>
      <c r="AF6" t="s">
        <v>30</v>
      </c>
      <c r="AH6" t="s">
        <v>31</v>
      </c>
      <c r="AI6" t="s">
        <v>16</v>
      </c>
      <c r="AJ6" t="s">
        <v>17</v>
      </c>
      <c r="AK6" t="s">
        <v>32</v>
      </c>
      <c r="AL6">
        <v>100.0</v>
      </c>
      <c r="AM6">
        <v>100.0</v>
      </c>
      <c r="AN6">
        <v>100.0</v>
      </c>
      <c r="AO6">
        <v>100.0</v>
      </c>
      <c r="AS6" t="s">
        <v>33</v>
      </c>
      <c r="AT6" t="s">
        <v>34</v>
      </c>
      <c r="AU6" t="s">
        <v>35</v>
      </c>
      <c r="AX6" t="s">
        <v>36</v>
      </c>
      <c r="BA6" t="s">
        <v>24</v>
      </c>
      <c r="BB6" t="s">
        <v>21</v>
      </c>
      <c r="BC6" t="s">
        <v>21</v>
      </c>
      <c r="BD6" t="s">
        <v>21</v>
      </c>
      <c r="BE6" t="s">
        <v>21</v>
      </c>
      <c r="BF6" t="s">
        <v>21</v>
      </c>
      <c r="BG6" s="9" t="s">
        <v>12</v>
      </c>
      <c r="BH6" t="s">
        <v>21</v>
      </c>
      <c r="BK6" t="s">
        <v>21</v>
      </c>
      <c r="BL6" t="s">
        <v>21</v>
      </c>
      <c r="BM6" t="s">
        <v>21</v>
      </c>
      <c r="BN6" t="s">
        <v>21</v>
      </c>
      <c r="BO6" t="s">
        <v>21</v>
      </c>
      <c r="BP6" t="s">
        <v>21</v>
      </c>
      <c r="BQ6" t="s">
        <v>21</v>
      </c>
      <c r="BR6" t="s">
        <v>21</v>
      </c>
      <c r="BS6" t="s">
        <v>21</v>
      </c>
      <c r="BT6" t="s">
        <v>21</v>
      </c>
      <c r="BU6" t="s">
        <v>21</v>
      </c>
      <c r="BV6" t="s">
        <v>21</v>
      </c>
      <c r="BW6" t="s">
        <v>21</v>
      </c>
      <c r="BX6" t="s">
        <v>21</v>
      </c>
      <c r="BY6" t="s">
        <v>21</v>
      </c>
      <c r="BZ6" t="s">
        <v>21</v>
      </c>
      <c r="CA6" t="s">
        <v>21</v>
      </c>
      <c r="CB6" t="s">
        <v>21</v>
      </c>
      <c r="CC6" t="s">
        <v>21</v>
      </c>
      <c r="CD6" t="s">
        <v>21</v>
      </c>
      <c r="CE6" t="s">
        <v>21</v>
      </c>
      <c r="CF6" t="s">
        <v>21</v>
      </c>
      <c r="CG6" t="s">
        <v>21</v>
      </c>
      <c r="CH6" t="s">
        <v>21</v>
      </c>
      <c r="CI6" t="s">
        <v>21</v>
      </c>
      <c r="CJ6" t="s">
        <v>21</v>
      </c>
      <c r="CK6" t="s">
        <v>21</v>
      </c>
      <c r="CL6" t="s">
        <v>21</v>
      </c>
      <c r="CM6" t="s">
        <v>21</v>
      </c>
      <c r="CN6" t="s">
        <v>21</v>
      </c>
      <c r="CO6" t="s">
        <v>21</v>
      </c>
      <c r="CP6" t="s">
        <v>21</v>
      </c>
      <c r="CQ6" t="s">
        <v>21</v>
      </c>
      <c r="CR6" t="s">
        <v>21</v>
      </c>
      <c r="CS6" t="s">
        <v>21</v>
      </c>
      <c r="CT6" t="s">
        <v>21</v>
      </c>
      <c r="CU6" t="s">
        <v>21</v>
      </c>
      <c r="CV6" t="s">
        <v>21</v>
      </c>
      <c r="CW6" t="s">
        <v>21</v>
      </c>
      <c r="CX6" t="s">
        <v>21</v>
      </c>
      <c r="CY6" t="s">
        <v>21</v>
      </c>
      <c r="CZ6" t="s">
        <v>21</v>
      </c>
      <c r="DA6" t="s">
        <v>21</v>
      </c>
      <c r="DB6" t="s">
        <v>21</v>
      </c>
      <c r="DC6" t="s">
        <v>21</v>
      </c>
      <c r="DD6" t="s">
        <v>21</v>
      </c>
      <c r="DE6" t="s">
        <v>21</v>
      </c>
      <c r="DF6" t="s">
        <v>21</v>
      </c>
      <c r="DG6" t="s">
        <v>21</v>
      </c>
      <c r="DH6" t="s">
        <v>21</v>
      </c>
      <c r="DI6" t="s">
        <v>21</v>
      </c>
      <c r="DJ6" t="s">
        <v>21</v>
      </c>
      <c r="DK6" t="s">
        <v>21</v>
      </c>
      <c r="DL6" t="s">
        <v>21</v>
      </c>
      <c r="DM6" t="s">
        <v>21</v>
      </c>
      <c r="DN6" t="s">
        <v>21</v>
      </c>
      <c r="DO6" t="s">
        <v>21</v>
      </c>
      <c r="DP6" t="s">
        <v>21</v>
      </c>
      <c r="DQ6" t="s">
        <v>21</v>
      </c>
      <c r="DR6" t="s">
        <v>21</v>
      </c>
      <c r="DS6" t="s">
        <v>21</v>
      </c>
      <c r="DT6" t="s">
        <v>21</v>
      </c>
      <c r="DU6" t="s">
        <v>21</v>
      </c>
      <c r="DV6" t="s">
        <v>21</v>
      </c>
      <c r="DW6" t="s">
        <v>21</v>
      </c>
      <c r="DX6" t="s">
        <v>21</v>
      </c>
      <c r="DY6" t="s">
        <v>21</v>
      </c>
      <c r="DZ6" t="s">
        <v>21</v>
      </c>
      <c r="EA6" t="s">
        <v>21</v>
      </c>
      <c r="EB6" t="s">
        <v>21</v>
      </c>
      <c r="EC6" t="s">
        <v>21</v>
      </c>
      <c r="ED6" t="s">
        <v>21</v>
      </c>
      <c r="EE6" t="s">
        <v>21</v>
      </c>
      <c r="EF6" t="s">
        <v>21</v>
      </c>
      <c r="EG6" t="s">
        <v>21</v>
      </c>
      <c r="EH6" t="s">
        <v>21</v>
      </c>
      <c r="EI6" t="s">
        <v>21</v>
      </c>
      <c r="EJ6" t="s">
        <v>21</v>
      </c>
      <c r="EK6" t="s">
        <v>21</v>
      </c>
      <c r="EL6" t="s">
        <v>21</v>
      </c>
      <c r="EM6" t="s">
        <v>21</v>
      </c>
      <c r="EN6" t="s">
        <v>21</v>
      </c>
      <c r="EO6" t="s">
        <v>21</v>
      </c>
      <c r="EP6" t="s">
        <v>21</v>
      </c>
      <c r="EQ6" t="s">
        <v>21</v>
      </c>
      <c r="ER6" t="s">
        <v>21</v>
      </c>
      <c r="ES6" t="s">
        <v>21</v>
      </c>
      <c r="ET6" t="s">
        <v>21</v>
      </c>
      <c r="EU6" t="s">
        <v>21</v>
      </c>
      <c r="EV6" t="s">
        <v>21</v>
      </c>
      <c r="EW6" t="s">
        <v>21</v>
      </c>
      <c r="EX6" t="s">
        <v>21</v>
      </c>
      <c r="EY6" t="s">
        <v>21</v>
      </c>
      <c r="EZ6" t="s">
        <v>21</v>
      </c>
      <c r="FA6" t="s">
        <v>21</v>
      </c>
      <c r="FB6" t="s">
        <v>21</v>
      </c>
      <c r="FC6" t="s">
        <v>21</v>
      </c>
      <c r="FD6" t="s">
        <v>21</v>
      </c>
      <c r="FE6" t="s">
        <v>21</v>
      </c>
      <c r="FF6" t="s">
        <v>21</v>
      </c>
      <c r="FG6" t="s">
        <v>21</v>
      </c>
      <c r="FH6" t="s">
        <v>21</v>
      </c>
      <c r="FI6" t="s">
        <v>21</v>
      </c>
      <c r="FJ6" t="s">
        <v>21</v>
      </c>
      <c r="FK6" t="s">
        <v>21</v>
      </c>
      <c r="FL6" t="s">
        <v>21</v>
      </c>
      <c r="FM6" t="s">
        <v>21</v>
      </c>
      <c r="FN6" t="s">
        <v>21</v>
      </c>
      <c r="FO6" t="s">
        <v>21</v>
      </c>
      <c r="FP6" t="s">
        <v>21</v>
      </c>
      <c r="FQ6" t="s">
        <v>21</v>
      </c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17</v>
      </c>
      <c r="AK6" s="9" t="s">
        <v>38</v>
      </c>
      <c r="AL6" s="9">
        <v>100.0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