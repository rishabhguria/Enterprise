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GeneralPreference" sheetId="4" r:id="rId7"/>
    <sheet state="visible" name="RestartReleasesAndServices" sheetId="5" r:id="rId8"/>
    <sheet state="visible" name="SetCompliancePermission" sheetId="6" r:id="rId9"/>
    <sheet state="visible" name="CreateLiveOrder" sheetId="7" r:id="rId10"/>
    <sheet state="visible" name="LoginClient" sheetId="8" r:id="rId11"/>
    <sheet state="visible" name="ApproveorRejectpendingapproval" sheetId="9" r:id="rId12"/>
    <sheet state="visible" name="LoginClient1" sheetId="10" r:id="rId13"/>
    <sheet state="visible" name="SelectTradeWorkingSubsBlotter" sheetId="11" r:id="rId14"/>
    <sheet state="visible" name="ReplaceWorkingSubs" sheetId="12" r:id="rId15"/>
    <sheet state="visible" name="CreateReplaceOrder" sheetId="13" r:id="rId16"/>
    <sheet state="visible" name="VerifyComplianceOrder" sheetId="14" r:id="rId17"/>
    <sheet state="visible" name="AcknowledgeTrade" sheetId="15" r:id="rId18"/>
    <sheet state="visible" name="VerifyAlertHistory" sheetId="16" r:id="rId19"/>
    <sheet state="visible" name="GetDataFromAuditTrail" sheetId="17" r:id="rId20"/>
    <sheet state="visible" name="VerifyAuditTrail" sheetId="18" r:id="rId21"/>
    <sheet state="visible" name="VerifySubOrder" sheetId="19" r:id="rId22"/>
  </sheets>
  <definedNames/>
  <calcPr/>
  <extLst>
    <ext uri="GoogleSheetsCustomDataVersion2">
      <go:sheetsCustomData xmlns:go="http://customooxmlschemas.google.com/" r:id="rId23" roundtripDataChecksum="CaJ+9cucOok2OL/gpRLtxnYppX5Zw/ylijNcynNcWi0="/>
    </ext>
  </extLst>
</workbook>
</file>

<file path=xl/sharedStrings.xml><?xml version="1.0" encoding="utf-8"?>
<sst xmlns="http://schemas.openxmlformats.org/spreadsheetml/2006/main" count="181" uniqueCount="67">
  <si>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</si>
  <si>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</si>
  <si>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</si>
  <si>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</si>
  <si>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</si>
  <si>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</si>
  <si>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</si>
  <si>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</si>
  <si>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</si>
  <si>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</si>
  <si>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</si>
  <si>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</si>
  <si>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</si>
  <si>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</si>
  <si>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</si>
  <si>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</si>
  <si>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</si>
  <si>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Compliance</t>
  </si>
  <si>
    <t>RestartReleasesAndServices</t>
  </si>
  <si>
    <t>Admin</t>
  </si>
  <si>
    <t>SetCompliancePermission</t>
  </si>
  <si>
    <t>TradeQuantity-123</t>
  </si>
  <si>
    <t>REQUIRES APPROVAL</t>
  </si>
  <si>
    <t>17</t>
  </si>
  <si>
    <t>CreateLiveOrder</t>
  </si>
  <si>
    <t>IBM</t>
  </si>
  <si>
    <t>Buy</t>
  </si>
  <si>
    <t>Allocation1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</si>
  <si>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</si>
  <si>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</si>
  <si>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</si>
  <si>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</si>
  <si>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</si>
  <si>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</si>
  <si>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</si>
  <si>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</si>
  <si>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</si>
  <si>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SelectTradeWorkingSubsBlotter</t>
  </si>
  <si>
    <t>New</t>
  </si>
  <si>
    <t>ReplaceWorkingSubs</t>
  </si>
  <si>
    <t>CreateReplaceOrder</t>
  </si>
  <si>
    <t>VerifyComplianceOrder</t>
  </si>
  <si>
    <t>Requires Approval</t>
  </si>
  <si>
    <t>Enter Summary</t>
  </si>
  <si>
    <t>quantity: 50.00, Symbol: IBM</t>
  </si>
  <si>
    <t>Compliance Officer - Please Approve</t>
  </si>
  <si>
    <t>Replace</t>
  </si>
  <si>
    <t>Simulator</t>
  </si>
  <si>
    <t>AcknowledgeTrade</t>
  </si>
  <si>
    <t>VerifyAlertHistory</t>
  </si>
  <si>
    <t>PreTrade</t>
  </si>
  <si>
    <t>Trade</t>
  </si>
  <si>
    <t>Trade passed as rule is overriden by user (jgulbra</t>
  </si>
  <si>
    <t>If Quantity not equals to -123, Then block the trade.</t>
  </si>
  <si>
    <t>AuditTrail</t>
  </si>
  <si>
    <t>GetDataFromAuditTrail</t>
  </si>
  <si>
    <t>VerifyAuditTrail</t>
  </si>
  <si>
    <t>New Live Order Created</t>
  </si>
  <si>
    <t>Live order with quantity 100</t>
  </si>
  <si>
    <t>jpearce</t>
  </si>
  <si>
    <t>VerifySubOrder</t>
  </si>
  <si>
    <t>NASDAQ</t>
  </si>
  <si>
    <t>USD</t>
  </si>
  <si>
    <t>M</t>
  </si>
  <si>
    <t>Equity</t>
  </si>
  <si>
    <t>Replaced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</si>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</sst>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:ss"/>
  </numFmts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64" xfId="0" applyAlignment="1" applyFont="1" applyNumberFormat="1">
      <alignment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8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IFERROR(__xludf.DUMMYFUNCTION("""COMPUTED_VALUE"""),"DefaultSymbology")</f>
        <v>DefaultSymbology</v>
      </c>
      <c r="C5" s="21" t="str">
        <f>IFERROR(__xludf.DUMMYFUNCTION("""COMPUTED_VALUE"""),"DefaultOptionType")</f>
        <v>DefaultOptionType</v>
      </c>
      <c r="D5" s="21" t="str">
        <f>IFERROR(__xludf.DUMMYFUNCTION("""COMPUTED_VALUE"""),"DefaultNotes")</f>
        <v>DefaultNotes</v>
      </c>
      <c r="E5" s="21" t="str">
        <f>IFERROR(__xludf.DUMMYFUNCTION("""COMPUTED_VALUE"""),"DefaultBrokerNotes")</f>
        <v>DefaultBrokerNotes</v>
      </c>
      <c r="F5" s="21" t="str">
        <f>IFERROR(__xludf.DUMMYFUNCTION("""COMPUTED_VALUE"""),"KeepTradingTicketOpenAfterTrade")</f>
        <v>KeepTradingTicketOpenAfterTrade</v>
      </c>
      <c r="G5" s="21" t="str">
        <f>IFERROR(__xludf.DUMMYFUNCTION("""COMPUTED_VALUE"""),"ShowOptionDetails")</f>
        <v>ShowOptionDetails</v>
      </c>
      <c r="H5" s="21" t="str">
        <f>IFERROR(__xludf.DUMMYFUNCTION("""COMPUTED_VALUE"""),"Use Custodian Broker")</f>
        <v>Use Custodian Broker</v>
      </c>
      <c r="I5" s="21" t="str">
        <f>IFERROR(__xludf.DUMMYFUNCTION("""COMPUTED_VALUE"""),"Button_Status")</f>
        <v>Button_Status</v>
      </c>
      <c r="J5" s="21" t="str">
        <f>IFERROR(__xludf.DUMMYFUNCTION("""COMPUTED_VALUE"""),"ClearColumnValue")</f>
        <v>ClearColumnValue</v>
      </c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7" t="s">
        <v>16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</v>
      </c>
      <c r="D3" s="4" t="s">
        <v>9</v>
      </c>
      <c r="E3" s="10" t="s">
        <v>18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</row>
    <row r="4" ht="15.75" customHeight="1">
      <c r="A4" s="18"/>
      <c r="B4" s="18" t="str">
        <f>IFERROR(__xludf.DUMMYFUNCTION("IF(C3="""","""",Transpose(IMPORTRANGE('_Settings'!$B$3,C3&amp;""!A4:A1000"")))"),"CheckCompliance")</f>
        <v>CheckCompliance</v>
      </c>
      <c r="C4" s="18" t="str">
        <f>IFERROR(__xludf.DUMMYFUNCTION("""COMPUTED_VALUE"""),"VerifyAccountDivisorWindow")</f>
        <v>VerifyAccountDivisorWindow</v>
      </c>
      <c r="D4" s="18" t="str">
        <f>IFERROR(__xludf.DUMMYFUNCTION("""COMPUTED_VALUE"""),"VerifyAccountSymbolDivisorWindow")</f>
        <v>VerifyAccountSymbolDivisorWindow</v>
      </c>
      <c r="E4" s="18" t="str">
        <f>IFERROR(__xludf.DUMMYFUNCTION("""COMPUTED_VALUE"""),"VerifyAggregationAccountSymbolWithNav")</f>
        <v>VerifyAggregationAccountSymbolWithNav</v>
      </c>
      <c r="F4" s="18" t="str">
        <f>IFERROR(__xludf.DUMMYFUNCTION("""COMPUTED_VALUE"""),"VerifyAggregationAccountWithNav")</f>
        <v>VerifyAggregationAccountWithNav</v>
      </c>
      <c r="G4" s="18" t="str">
        <f>IFERROR(__xludf.DUMMYFUNCTION("""COMPUTED_VALUE"""),"VerifyAggregationMasterFundSymbolWithNav")</f>
        <v>VerifyAggregationMasterFundSymbolWithNav</v>
      </c>
      <c r="H4" s="18" t="str">
        <f>IFERROR(__xludf.DUMMYFUNCTION("""COMPUTED_VALUE"""),"VerifyAggregationMasterFundUnderlyingSymbolWithNav")</f>
        <v>VerifyAggregationMasterFundUnderlyingSymbolWithNav</v>
      </c>
      <c r="I4" s="18" t="str">
        <f>IFERROR(__xludf.DUMMYFUNCTION("""COMPUTED_VALUE"""),"VerifyAggregationMasterFundWithNav")</f>
        <v>VerifyAggregationMasterFundWithNav</v>
      </c>
      <c r="J4" s="18" t="str">
        <f>IFERROR(__xludf.DUMMYFUNCTION("""COMPUTED_VALUE"""),"VerifyAggregationSectorWithNav")</f>
        <v>VerifyAggregationSectorWithNav</v>
      </c>
      <c r="K4" s="18" t="str">
        <f>IFERROR(__xludf.DUMMYFUNCTION("""COMPUTED_VALUE"""),"VerifyAggregationUnderlyingSymbolWithNav")</f>
        <v>VerifyAggregationUnderlyingSymbolWithNav</v>
      </c>
      <c r="L4" s="18" t="str">
        <f>IFERROR(__xludf.DUMMYFUNCTION("""COMPUTED_VALUE"""),"VerifyAuecWindow")</f>
        <v>VerifyAuecWindow</v>
      </c>
      <c r="M4" s="18" t="str">
        <f>IFERROR(__xludf.DUMMYFUNCTION("""COMPUTED_VALUE"""),"VerifyBetaWindow")</f>
        <v>VerifyBetaWindow</v>
      </c>
      <c r="N4" s="18" t="str">
        <f>IFERROR(__xludf.DUMMYFUNCTION("""COMPUTED_VALUE"""),"VerifyCustomSymbolDataWindow")</f>
        <v>VerifyCustomSymbolDataWindow</v>
      </c>
      <c r="O4" s="18" t="str">
        <f>IFERROR(__xludf.DUMMYFUNCTION("""COMPUTED_VALUE"""),"VerifyDayEndCashAccountWindow")</f>
        <v>VerifyDayEndCashAccountWindow</v>
      </c>
      <c r="P4" s="19" t="str">
        <f>IFERROR(__xludf.DUMMYFUNCTION("""COMPUTED_VALUE"""),"VerifyDbNavWindow")</f>
        <v>VerifyDbNavWindow</v>
      </c>
      <c r="Q4" s="19" t="str">
        <f>IFERROR(__xludf.DUMMYFUNCTION("""COMPUTED_VALUE"""),"VerifyGlobalDivisorWindow")</f>
        <v>VerifyGlobalDivisorWindow</v>
      </c>
      <c r="R4" s="19" t="str">
        <f>IFERROR(__xludf.DUMMYFUNCTION("""COMPUTED_VALUE"""),"VerifyPmCalculationPreferenceWindow")</f>
        <v>VerifyPmCalculationPreferenceWindow</v>
      </c>
      <c r="S4" s="19" t="str">
        <f>IFERROR(__xludf.DUMMYFUNCTION("""COMPUTED_VALUE"""),"VerifyRowCalculationBaseWindow")</f>
        <v>VerifyRowCalculationBaseWindow</v>
      </c>
      <c r="T4" s="19" t="str">
        <f>IFERROR(__xludf.DUMMYFUNCTION("""COMPUTED_VALUE"""),"VerifySecurityWindow")</f>
        <v>VerifySecurityWindow</v>
      </c>
      <c r="U4" s="19" t="str">
        <f>IFERROR(__xludf.DUMMYFUNCTION("""COMPUTED_VALUE"""),"VerifySymbolDataWindow")</f>
        <v>VerifySymbolDataWindow</v>
      </c>
      <c r="V4" s="19" t="str">
        <f>IFERROR(__xludf.DUMMYFUNCTION("""COMPUTED_VALUE"""),"VerifySymbolDivisorWindow")</f>
        <v>VerifySymbolDivisorWindow</v>
      </c>
      <c r="W4" s="19" t="str">
        <f>IFERROR(__xludf.DUMMYFUNCTION("""COMPUTED_VALUE"""),"VerifyTaxlotWindow")</f>
        <v>VerifyTaxlotWindow</v>
      </c>
      <c r="X4" s="19" t="str">
        <f>IFERROR(__xludf.DUMMYFUNCTION("""COMPUTED_VALUE"""),"RestartEsper")</f>
        <v>RestartEsper</v>
      </c>
      <c r="Y4" s="19" t="str">
        <f>IFERROR(__xludf.DUMMYFUNCTION("""COMPUTED_VALUE"""),"VerifyAccountNavPreferenceWindow")</f>
        <v>VerifyAccountNavPreferenceWindow</v>
      </c>
      <c r="Z4" s="19" t="str">
        <f>IFERROR(__xludf.DUMMYFUNCTION("""COMPUTED_VALUE"""),"VerifyAggregationAccountUnderlyingSymbolWithNav")</f>
        <v>VerifyAggregationAccountUnderlyingSymbolWithNav</v>
      </c>
      <c r="AA4" s="19" t="str">
        <f>IFERROR(__xludf.DUMMYFUNCTION("""COMPUTED_VALUE"""),"VerifyAggregationAssetWithNav")</f>
        <v>VerifyAggregationAssetWithNav</v>
      </c>
      <c r="AB4" s="19" t="str">
        <f>IFERROR(__xludf.DUMMYFUNCTION("""COMPUTED_VALUE"""),"VerifyAggregationSymbolWithNav")</f>
        <v>VerifyAggregationSymbolWithNav</v>
      </c>
      <c r="AC4" s="19" t="str">
        <f>IFERROR(__xludf.DUMMYFUNCTION("""COMPUTED_VALUE"""),"VerifyAggregationSubSectorWithNav")</f>
        <v>VerifyAggregationSubSectorWithNav</v>
      </c>
      <c r="AD4" s="19" t="str">
        <f>IFERROR(__xludf.DUMMYFUNCTION("""COMPUTED_VALUE"""),"VerifyAggregationGlobalWithNav")</f>
        <v>VerifyAggregationGlobalWithNav</v>
      </c>
      <c r="AE4" s="19" t="str">
        <f>IFERROR(__xludf.DUMMYFUNCTION("""COMPUTED_VALUE"""),"VerifyAggregationGlobalWithNav")</f>
        <v>VerifyAggregationGlobalWithNav</v>
      </c>
      <c r="AF4" s="19" t="str">
        <f>IFERROR(__xludf.DUMMYFUNCTION("""COMPUTED_VALUE"""),"VerifyGlobalDivisorWindow")</f>
        <v>VerifyGlobalDivisorWindow</v>
      </c>
      <c r="AG4" s="19" t="str">
        <f>IFERROR(__xludf.DUMMYFUNCTION("""COMPUTED_VALUE"""),"VerifyAccrualForAccountWindow")</f>
        <v>VerifyAccrualForAccountWindow</v>
      </c>
      <c r="AH4" s="19" t="str">
        <f>IFERROR(__xludf.DUMMYFUNCTION("""COMPUTED_VALUE"""),"VerifyGlobalDivisorWindow")</f>
        <v>VerifyGlobalDivisorWindow</v>
      </c>
      <c r="AI4" s="19" t="str">
        <f>IFERROR(__xludf.DUMMYFUNCTION("""COMPUTED_VALUE"""),"VerifyMasterFundDivisorWindow")</f>
        <v>VerifyMasterFundDivisorWindow</v>
      </c>
      <c r="AJ4" s="19" t="str">
        <f>IFERROR(__xludf.DUMMYFUNCTION("""COMPUTED_VALUE"""),"VerifyMasterFundSymbolDivisorWindow")</f>
        <v>VerifyMasterFundSymbolDivisorWindow</v>
      </c>
      <c r="AK4" s="19" t="str">
        <f>IFERROR(__xludf.DUMMYFUNCTION("""COMPUTED_VALUE"""),"RestartRuleMediator")</f>
        <v>RestartRuleMediator</v>
      </c>
      <c r="AL4" s="19" t="str">
        <f>IFERROR(__xludf.DUMMYFUNCTION("""COMPUTED_VALUE"""),"VerifyAggAccountSymbolWithNav")</f>
        <v>VerifyAggAccountSymbolWithNav</v>
      </c>
      <c r="AM4" s="19" t="str">
        <f>IFERROR(__xludf.DUMMYFUNCTION("""COMPUTED_VALUE"""),"ApproveorRejectpendingapproval")</f>
        <v>ApproveorRejectpendingapproval</v>
      </c>
      <c r="AN4" s="19" t="str">
        <f>IFERROR(__xludf.DUMMYFUNCTION("""COMPUTED_VALUE"""),"VerifyAlertHistory")</f>
        <v>VerifyAlertHistory</v>
      </c>
      <c r="AO4" s="19" t="str">
        <f>IFERROR(__xludf.DUMMYFUNCTION("""COMPUTED_VALUE"""),"EditInterceptorFile")</f>
        <v>EditInterceptorFile</v>
      </c>
      <c r="AP4" s="19" t="str">
        <f>IFERROR(__xludf.DUMMYFUNCTION("""COMPUTED_VALUE"""),"ReplaceInterceptorFile")</f>
        <v>ReplaceInterceptorFile</v>
      </c>
      <c r="AQ4" s="19" t="str">
        <f>IFERROR(__xludf.DUMMYFUNCTION("""COMPUTED_VALUE"""),"RestartReleasesAndServices")</f>
        <v>RestartReleasesAndServices</v>
      </c>
      <c r="AR4" s="19" t="str">
        <f>IFERROR(__xludf.DUMMYFUNCTION("""COMPUTED_VALUE"""),"GetEmail")</f>
        <v>GetEmail</v>
      </c>
      <c r="AS4" s="19" t="str">
        <f>IFERROR(__xludf.DUMMYFUNCTION("""COMPUTED_VALUE"""),"EnableDisableRule")</f>
        <v>EnableDisableRule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IFERROR(__xludf.DUMMYFUNCTION("""COMPUTED_VALUE"""),"Restart Basket")</f>
        <v>Restart Basket</v>
      </c>
      <c r="C5" s="21" t="str">
        <f>IFERROR(__xludf.DUMMYFUNCTION("""COMPUTED_VALUE"""),"DontShutSimulator")</f>
        <v>DontShutSimulator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</row>
    <row r="6" ht="15.75" customHeight="1">
      <c r="A6" s="6"/>
      <c r="B6" s="6"/>
      <c r="C6" s="6" t="b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ht="15.75" customHeight="1">
      <c r="A4" s="18"/>
      <c r="B4" s="18" t="str">
        <f>IFERROR(__xludf.DUMMYFUNCTION("IF(C3="""","""",Transpose(IMPORTRANGE('_Settings'!$B$3,C3&amp;""!A4:A1000"")))"),"SetTTUIPreferences")</f>
        <v>SetTTUIPreferences</v>
      </c>
      <c r="C4" s="18" t="str">
        <f>IFERROR(__xludf.DUMMYFUNCTION("""COMPUTED_VALUE"""),"TTPermissionLevel")</f>
        <v>TTPermissionLevel</v>
      </c>
      <c r="D4" s="18" t="str">
        <f>IFERROR(__xludf.DUMMYFUNCTION("""COMPUTED_VALUE"""),"SetCheckSide")</f>
        <v>SetCheckSide</v>
      </c>
      <c r="E4" s="18" t="str">
        <f>IFERROR(__xludf.DUMMYFUNCTION("""COMPUTED_VALUE"""),"SetRollover")</f>
        <v>SetRollover</v>
      </c>
      <c r="F4" s="18" t="str">
        <f>IFERROR(__xludf.DUMMYFUNCTION("""COMPUTED_VALUE"""),"SetActive")</f>
        <v>SetActive</v>
      </c>
      <c r="G4" s="18" t="str">
        <f>IFERROR(__xludf.DUMMYFUNCTION("""COMPUTED_VALUE"""),"SetThirdPartyFormat")</f>
        <v>SetThirdPartyFormat</v>
      </c>
      <c r="H4" s="18" t="str">
        <f>IFERROR(__xludf.DUMMYFUNCTION("""COMPUTED_VALUE"""),"UpdateRoundLot")</f>
        <v>UpdateRoundLot</v>
      </c>
      <c r="I4" s="18" t="str">
        <f>IFERROR(__xludf.DUMMYFUNCTION("""COMPUTED_VALUE"""),"SetTradingComplianceRules")</f>
        <v>SetTradingComplianceRules</v>
      </c>
      <c r="J4" s="18" t="str">
        <f>IFERROR(__xludf.DUMMYFUNCTION("""COMPUTED_VALUE"""),"EnableBreakdownRealizedPNL")</f>
        <v>EnableBreakdownRealizedPNL</v>
      </c>
      <c r="K4" s="18" t="str">
        <f>IFERROR(__xludf.DUMMYFUNCTION("""COMPUTED_VALUE"""),"SetTTGeneralPreferences")</f>
        <v>SetTTGeneralPreferences</v>
      </c>
      <c r="L4" s="18" t="str">
        <f>IFERROR(__xludf.DUMMYFUNCTION("""COMPUTED_VALUE"""),"SetDollarAmountPermission")</f>
        <v>SetDollarAmountPermission</v>
      </c>
      <c r="M4" s="18" t="str">
        <f>IFERROR(__xludf.DUMMYFUNCTION("""COMPUTED_VALUE"""),"EnableDisableModule")</f>
        <v>EnableDisableModule</v>
      </c>
      <c r="N4" s="18" t="str">
        <f>IFERROR(__xludf.DUMMYFUNCTION("""COMPUTED_VALUE"""),"IsImportOverrideOnShortLocate")</f>
        <v>IsImportOverrideOnShortLocate</v>
      </c>
      <c r="O4" s="18" t="str">
        <f>IFERROR(__xludf.DUMMYFUNCTION("""COMPUTED_VALUE"""),"SetShortLocateStructures")</f>
        <v>SetShortLocateStructures</v>
      </c>
      <c r="P4" s="19" t="str">
        <f>IFERROR(__xludf.DUMMYFUNCTION("""COMPUTED_VALUE"""),"SetComplianceAlert")</f>
        <v>SetComplianceAlert</v>
      </c>
      <c r="Q4" s="19" t="str">
        <f>IFERROR(__xludf.DUMMYFUNCTION("""COMPUTED_VALUE"""),"UpdateExpirationDate")</f>
        <v>UpdateExpirationDate</v>
      </c>
      <c r="R4" s="19" t="str">
        <f>IFERROR(__xludf.DUMMYFUNCTION("""COMPUTED_VALUE"""),"RenameMasterStrategy")</f>
        <v>RenameMasterStrategy</v>
      </c>
      <c r="S4" s="19" t="str">
        <f>IFERROR(__xludf.DUMMYFUNCTION("""COMPUTED_VALUE"""),"SetTTUIAdminPreferences")</f>
        <v>SetTTUIAdminPreferences</v>
      </c>
      <c r="T4" s="19" t="str">
        <f>IFERROR(__xludf.DUMMYFUNCTION("""COMPUTED_VALUE"""),"UpdateSecFee")</f>
        <v>UpdateSecFee</v>
      </c>
      <c r="U4" s="19" t="str">
        <f>IFERROR(__xludf.DUMMYFUNCTION("""COMPUTED_VALUE"""),"UpdateFee")</f>
        <v>UpdateFee</v>
      </c>
      <c r="V4" s="19" t="str">
        <f>IFERROR(__xludf.DUMMYFUNCTION("""COMPUTED_VALUE"""),"RevertingSMSharesOutValue")</f>
        <v>RevertingSMSharesOutValue</v>
      </c>
      <c r="W4" s="19" t="str">
        <f>IFERROR(__xludf.DUMMYFUNCTION("""COMPUTED_VALUE"""),"RestartSQL")</f>
        <v>RestartSQL</v>
      </c>
      <c r="X4" s="19" t="str">
        <f>IFERROR(__xludf.DUMMYFUNCTION("""COMPUTED_VALUE"""),"TradeAuditCleanUp")</f>
        <v>TradeAuditCleanUp</v>
      </c>
      <c r="Y4" s="19" t="str">
        <f>IFERROR(__xludf.DUMMYFUNCTION("""COMPUTED_VALUE"""),"DeleteSymbolFromSM")</f>
        <v>DeleteSymbolFromSM</v>
      </c>
      <c r="Z4" s="19" t="str">
        <f>IFERROR(__xludf.DUMMYFUNCTION("""COMPUTED_VALUE"""),"SetCompliancePermission")</f>
        <v>SetCompliancePermission</v>
      </c>
      <c r="AA4" s="19" t="str">
        <f>IFERROR(__xludf.DUMMYFUNCTION("""COMPUTED_VALUE"""),"SetMasterFundOnTT")</f>
        <v>SetMasterFundOnTT</v>
      </c>
      <c r="AB4" s="19" t="str">
        <f>IFERROR(__xludf.DUMMYFUNCTION("""COMPUTED_VALUE"""),"SetMarketDataProvider")</f>
        <v>SetMarketDataProvider</v>
      </c>
      <c r="AC4" s="19" t="str">
        <f>IFERROR(__xludf.DUMMYFUNCTION("""COMPUTED_VALUE"""),"SetAllocationPreferences")</f>
        <v>SetAllocationPreferences</v>
      </c>
      <c r="AD4" s="19" t="str">
        <f>IFERROR(__xludf.DUMMYFUNCTION("""COMPUTED_VALUE"""),"SetRegularCompliancePermission")</f>
        <v>SetRegularCompliancePermission</v>
      </c>
      <c r="AE4" s="19" t="str">
        <f>IFERROR(__xludf.DUMMYFUNCTION("""COMPUTED_VALUE"""),"SetCommissionRule")</f>
        <v>SetCommissionRule</v>
      </c>
      <c r="AF4" s="19" t="str">
        <f>IFERROR(__xludf.DUMMYFUNCTION("""COMPUTED_VALUE"""),"SetPreTradeCompliancePermission")</f>
        <v>SetPreTradeCompliancePermission</v>
      </c>
      <c r="AG4" s="19" t="str">
        <f>IFERROR(__xludf.DUMMYFUNCTION("""COMPUTED_VALUE"""),"SetAuecExecutingBroker")</f>
        <v>SetAuecExecutingBroker</v>
      </c>
      <c r="AH4" s="19" t="str">
        <f>IFERROR(__xludf.DUMMYFUNCTION("""COMPUTED_VALUE"""),"SetAlgoBroker")</f>
        <v>SetAlgoBroker</v>
      </c>
      <c r="AI4" s="19" t="str">
        <f>IFERROR(__xludf.DUMMYFUNCTION("""COMPUTED_VALUE"""),"EnableAutoGroupingAllocation")</f>
        <v>EnableAutoGroupingAllocation</v>
      </c>
      <c r="AJ4" s="19" t="str">
        <f>IFERROR(__xludf.DUMMYFUNCTION("""COMPUTED_VALUE"""),"ConfigUpdater")</f>
        <v>ConfigUpdater</v>
      </c>
      <c r="AK4" s="19" t="str">
        <f>IFERROR(__xludf.DUMMYFUNCTION("""COMPUTED_VALUE"""),"AccountPermission")</f>
        <v>AccountPermission</v>
      </c>
      <c r="AL4" s="19" t="str">
        <f>IFERROR(__xludf.DUMMYFUNCTION("""COMPUTED_VALUE"""),"BasketPermission")</f>
        <v>BasketPermission</v>
      </c>
      <c r="AM4" s="19" t="str">
        <f>IFERROR(__xludf.DUMMYFUNCTION("""COMPUTED_VALUE"""),"ChangeDate")</f>
        <v>ChangeDate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IFERROR(__xludf.DUMMYFUNCTION("""COMPUTED_VALUE"""),"Rule Name")</f>
        <v>Rule Name</v>
      </c>
      <c r="C5" s="21" t="str">
        <f>IFERROR(__xludf.DUMMYFUNCTION("""COMPUTED_VALUE"""),"Alert Type Permission")</f>
        <v>Alert Type Permission</v>
      </c>
      <c r="D5" s="21" t="str">
        <f>IFERROR(__xludf.DUMMYFUNCTION("""COMPUTED_VALUE"""),"UserID")</f>
        <v>UserID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</row>
    <row r="6" ht="15.75" customHeight="1">
      <c r="A6" s="6"/>
      <c r="B6" s="23" t="s">
        <v>21</v>
      </c>
      <c r="C6" s="23" t="s">
        <v>22</v>
      </c>
      <c r="D6" s="23" t="s">
        <v>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24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IFERROR(__xludf.DUMMYFUNCTION("""COMPUTED_VALUE"""),"EditOrder")</f>
        <v>EditOrder</v>
      </c>
      <c r="AO5" s="22" t="str">
        <f>IFERROR(__xludf.DUMMYFUNCTION("""COMPUTED_VALUE"""),"AllowTrade")</f>
        <v>AllowTrade</v>
      </c>
      <c r="AP5" s="22" t="str">
        <f>IFERROR(__xludf.DUMMYFUNCTION("""COMPUTED_VALUE"""),"SharesOutstandingPopUpQty")</f>
        <v>SharesOutstandingPopUpQty</v>
      </c>
      <c r="AQ5" s="22" t="str">
        <f>IFERROR(__xludf.DUMMYFUNCTION("""COMPUTED_VALUE"""),"SharesOutstandingPopUp")</f>
        <v>SharesOutstandingPopUp</v>
      </c>
      <c r="AR5" s="22" t="str">
        <f>IFERROR(__xludf.DUMMYFUNCTION("""COMPUTED_VALUE"""),"ResAllowedListPopUp")</f>
        <v>ResAllowedListPopUp</v>
      </c>
      <c r="AS5" s="22" t="str">
        <f>IFERROR(__xludf.DUMMYFUNCTION("""COMPUTED_VALUE"""),"ChkBoxBookAsSwap")</f>
        <v>ChkBoxBookAsSwap</v>
      </c>
      <c r="AT5" s="22" t="str">
        <f>IFERROR(__xludf.DUMMYFUNCTION("""COMPUTED_VALUE"""),"Interest Rate")</f>
        <v>Interest Rate</v>
      </c>
      <c r="AU5" s="22" t="str">
        <f>IFERROR(__xludf.DUMMYFUNCTION("""COMPUTED_VALUE"""),"OrderPendingNewPopup")</f>
        <v>OrderPendingNewPopup</v>
      </c>
      <c r="AV5" s="22" t="str">
        <f>IFERROR(__xludf.DUMMYFUNCTION("""COMPUTED_VALUE"""),"Master Funds")</f>
        <v>Master Funds</v>
      </c>
      <c r="AW5" s="22" t="str">
        <f>IFERROR(__xludf.DUMMYFUNCTION("""COMPUTED_VALUE"""),"Allow Duplicate Trade")</f>
        <v>Allow Duplicate Trade</v>
      </c>
      <c r="AX5" s="22" t="str">
        <f>IFERROR(__xludf.DUMMYFUNCTION("""COMPUTED_VALUE"""),"TRVAccountName")</f>
        <v>TRVAccountName</v>
      </c>
      <c r="AY5" s="22" t="str">
        <f>IFERROR(__xludf.DUMMYFUNCTION("""COMPUTED_VALUE"""),"TRVTradeQuantity")</f>
        <v>TRVTradeQuantity</v>
      </c>
      <c r="AZ5" s="22" t="str">
        <f>IFERROR(__xludf.DUMMYFUNCTION("""COMPUTED_VALUE"""),"TRVCurrentPosition")</f>
        <v>TRVCurrentPosition</v>
      </c>
      <c r="BA5" s="22" t="str">
        <f>IFERROR(__xludf.DUMMYFUNCTION("""COMPUTED_VALUE"""),"TRVNav")</f>
        <v>TRVNav</v>
      </c>
      <c r="BB5" s="22" t="str">
        <f>IFERROR(__xludf.DUMMYFUNCTION("""COMPUTED_VALUE"""),"SendClickOnNO")</f>
        <v>SendClickOnNO</v>
      </c>
      <c r="BC5" s="22" t="str">
        <f>IFERROR(__xludf.DUMMYFUNCTION("""COMPUTED_VALUE"""),"PendingApprovalPopUp")</f>
        <v>PendingApprovalPopUp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25</v>
      </c>
      <c r="C6" s="6" t="s">
        <v>26</v>
      </c>
      <c r="D6" s="6">
        <v>100.0</v>
      </c>
      <c r="E6" s="6"/>
      <c r="F6" s="6" t="s">
        <v>27</v>
      </c>
      <c r="G6" s="6"/>
      <c r="H6" s="6"/>
      <c r="I6" s="6"/>
      <c r="J6" s="6">
        <v>2.0</v>
      </c>
      <c r="K6" s="6"/>
      <c r="L6" s="6"/>
      <c r="M6" s="6"/>
      <c r="N6" s="6"/>
      <c r="O6" s="6"/>
      <c r="AO6" s="8" t="s">
        <v>28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29</v>
      </c>
      <c r="D3" s="4" t="s">
        <v>9</v>
      </c>
      <c r="E3" s="10" t="s">
        <v>30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IFERROR(__xludf.DUMMYFUNCTION("IF(C3="""","""",Transpose(IMPORTRANGE('_Settings'!$B$3,C3&amp;""!A4:A1000"")))"),"RestartClient")</f>
        <v>RestartClient</v>
      </c>
      <c r="C4" s="18" t="str">
        <f>IFERROR(__xludf.DUMMYFUNCTION("""COMPUTED_VALUE"""),"UpdateClientConfig")</f>
        <v>UpdateClientConfig</v>
      </c>
      <c r="D4" s="18" t="str">
        <f>IFERROR(__xludf.DUMMYFUNCTION("""COMPUTED_VALUE"""),"PranaClient")</f>
        <v>PranaClient</v>
      </c>
      <c r="E4" s="18" t="str">
        <f>IFERROR(__xludf.DUMMYFUNCTION("""COMPUTED_VALUE"""),"CompareXML")</f>
        <v>CompareXML</v>
      </c>
      <c r="F4" s="18" t="str">
        <f>IFERROR(__xludf.DUMMYFUNCTION("""COMPUTED_VALUE"""),"LoginClient")</f>
        <v>LoginClient</v>
      </c>
      <c r="G4" s="18" t="str">
        <f>IFERROR(__xludf.DUMMYFUNCTION("""COMPUTED_VALUE"""),"DbPicker")</f>
        <v>DbPicker</v>
      </c>
      <c r="H4" s="18" t="str">
        <f>IFERROR(__xludf.DUMMYFUNCTION("""COMPUTED_VALUE"""),"RunPortfolio")</f>
        <v>RunPortfolio</v>
      </c>
      <c r="I4" s="18" t="str">
        <f>IFERROR(__xludf.DUMMYFUNCTION("""COMPUTED_VALUE"""),"MoveFile")</f>
        <v>MoveFile</v>
      </c>
      <c r="J4" s="18" t="str">
        <f>IFERROR(__xludf.DUMMYFUNCTION("""COMPUTED_VALUE"""),"UpdateLiveExcelSheetForRTPNL")</f>
        <v>UpdateLiveExcelSheetForRTPNL</v>
      </c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IFERROR(__xludf.DUMMYFUNCTION("""COMPUTED_VALUE"""),"LoginUserName")</f>
        <v>LoginUserName</v>
      </c>
      <c r="C5" s="21" t="str">
        <f>IFERROR(__xludf.DUMMYFUNCTION("""COMPUTED_VALUE"""),"LoginPassword")</f>
        <v>LoginPassword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15.75" customHeight="1">
      <c r="A6" s="6"/>
      <c r="B6" s="6" t="s">
        <v>31</v>
      </c>
      <c r="C6" s="6" t="s">
        <v>32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</v>
      </c>
      <c r="D3" s="4" t="s">
        <v>9</v>
      </c>
      <c r="E3" s="10" t="s">
        <v>33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</row>
    <row r="4" ht="15.75" customHeight="1">
      <c r="A4" s="18"/>
      <c r="B4" s="18" t="str">
        <f>IFERROR(__xludf.DUMMYFUNCTION("IF(C3="""","""",Transpose(IMPORTRANGE('_Settings'!$B$3,C3&amp;""!A4:A1000"")))"),"CheckCompliance")</f>
        <v>CheckCompliance</v>
      </c>
      <c r="C4" s="18" t="str">
        <f>IFERROR(__xludf.DUMMYFUNCTION("""COMPUTED_VALUE"""),"VerifyAccountDivisorWindow")</f>
        <v>VerifyAccountDivisorWindow</v>
      </c>
      <c r="D4" s="18" t="str">
        <f>IFERROR(__xludf.DUMMYFUNCTION("""COMPUTED_VALUE"""),"VerifyAccountSymbolDivisorWindow")</f>
        <v>VerifyAccountSymbolDivisorWindow</v>
      </c>
      <c r="E4" s="18" t="str">
        <f>IFERROR(__xludf.DUMMYFUNCTION("""COMPUTED_VALUE"""),"VerifyAggregationAccountSymbolWithNav")</f>
        <v>VerifyAggregationAccountSymbolWithNav</v>
      </c>
      <c r="F4" s="18" t="str">
        <f>IFERROR(__xludf.DUMMYFUNCTION("""COMPUTED_VALUE"""),"VerifyAggregationAccountWithNav")</f>
        <v>VerifyAggregationAccountWithNav</v>
      </c>
      <c r="G4" s="18" t="str">
        <f>IFERROR(__xludf.DUMMYFUNCTION("""COMPUTED_VALUE"""),"VerifyAggregationMasterFundSymbolWithNav")</f>
        <v>VerifyAggregationMasterFundSymbolWithNav</v>
      </c>
      <c r="H4" s="18" t="str">
        <f>IFERROR(__xludf.DUMMYFUNCTION("""COMPUTED_VALUE"""),"VerifyAggregationMasterFundUnderlyingSymbolWithNav")</f>
        <v>VerifyAggregationMasterFundUnderlyingSymbolWithNav</v>
      </c>
      <c r="I4" s="18" t="str">
        <f>IFERROR(__xludf.DUMMYFUNCTION("""COMPUTED_VALUE"""),"VerifyAggregationMasterFundWithNav")</f>
        <v>VerifyAggregationMasterFundWithNav</v>
      </c>
      <c r="J4" s="18" t="str">
        <f>IFERROR(__xludf.DUMMYFUNCTION("""COMPUTED_VALUE"""),"VerifyAggregationSectorWithNav")</f>
        <v>VerifyAggregationSectorWithNav</v>
      </c>
      <c r="K4" s="18" t="str">
        <f>IFERROR(__xludf.DUMMYFUNCTION("""COMPUTED_VALUE"""),"VerifyAggregationUnderlyingSymbolWithNav")</f>
        <v>VerifyAggregationUnderlyingSymbolWithNav</v>
      </c>
      <c r="L4" s="18" t="str">
        <f>IFERROR(__xludf.DUMMYFUNCTION("""COMPUTED_VALUE"""),"VerifyAuecWindow")</f>
        <v>VerifyAuecWindow</v>
      </c>
      <c r="M4" s="18" t="str">
        <f>IFERROR(__xludf.DUMMYFUNCTION("""COMPUTED_VALUE"""),"VerifyBetaWindow")</f>
        <v>VerifyBetaWindow</v>
      </c>
      <c r="N4" s="18" t="str">
        <f>IFERROR(__xludf.DUMMYFUNCTION("""COMPUTED_VALUE"""),"VerifyCustomSymbolDataWindow")</f>
        <v>VerifyCustomSymbolDataWindow</v>
      </c>
      <c r="O4" s="18" t="str">
        <f>IFERROR(__xludf.DUMMYFUNCTION("""COMPUTED_VALUE"""),"VerifyDayEndCashAccountWindow")</f>
        <v>VerifyDayEndCashAccountWindow</v>
      </c>
      <c r="P4" s="19" t="str">
        <f>IFERROR(__xludf.DUMMYFUNCTION("""COMPUTED_VALUE"""),"VerifyDbNavWindow")</f>
        <v>VerifyDbNavWindow</v>
      </c>
      <c r="Q4" s="19" t="str">
        <f>IFERROR(__xludf.DUMMYFUNCTION("""COMPUTED_VALUE"""),"VerifyGlobalDivisorWindow")</f>
        <v>VerifyGlobalDivisorWindow</v>
      </c>
      <c r="R4" s="19" t="str">
        <f>IFERROR(__xludf.DUMMYFUNCTION("""COMPUTED_VALUE"""),"VerifyPmCalculationPreferenceWindow")</f>
        <v>VerifyPmCalculationPreferenceWindow</v>
      </c>
      <c r="S4" s="19" t="str">
        <f>IFERROR(__xludf.DUMMYFUNCTION("""COMPUTED_VALUE"""),"VerifyRowCalculationBaseWindow")</f>
        <v>VerifyRowCalculationBaseWindow</v>
      </c>
      <c r="T4" s="19" t="str">
        <f>IFERROR(__xludf.DUMMYFUNCTION("""COMPUTED_VALUE"""),"VerifySecurityWindow")</f>
        <v>VerifySecurityWindow</v>
      </c>
      <c r="U4" s="19" t="str">
        <f>IFERROR(__xludf.DUMMYFUNCTION("""COMPUTED_VALUE"""),"VerifySymbolDataWindow")</f>
        <v>VerifySymbolDataWindow</v>
      </c>
      <c r="V4" s="19" t="str">
        <f>IFERROR(__xludf.DUMMYFUNCTION("""COMPUTED_VALUE"""),"VerifySymbolDivisorWindow")</f>
        <v>VerifySymbolDivisorWindow</v>
      </c>
      <c r="W4" s="19" t="str">
        <f>IFERROR(__xludf.DUMMYFUNCTION("""COMPUTED_VALUE"""),"VerifyTaxlotWindow")</f>
        <v>VerifyTaxlotWindow</v>
      </c>
      <c r="X4" s="19" t="str">
        <f>IFERROR(__xludf.DUMMYFUNCTION("""COMPUTED_VALUE"""),"RestartEsper")</f>
        <v>RestartEsper</v>
      </c>
      <c r="Y4" s="19" t="str">
        <f>IFERROR(__xludf.DUMMYFUNCTION("""COMPUTED_VALUE"""),"VerifyAccountNavPreferenceWindow")</f>
        <v>VerifyAccountNavPreferenceWindow</v>
      </c>
      <c r="Z4" s="19" t="str">
        <f>IFERROR(__xludf.DUMMYFUNCTION("""COMPUTED_VALUE"""),"VerifyAggregationAccountUnderlyingSymbolWithNav")</f>
        <v>VerifyAggregationAccountUnderlyingSymbolWithNav</v>
      </c>
      <c r="AA4" s="19" t="str">
        <f>IFERROR(__xludf.DUMMYFUNCTION("""COMPUTED_VALUE"""),"VerifyAggregationAssetWithNav")</f>
        <v>VerifyAggregationAssetWithNav</v>
      </c>
      <c r="AB4" s="19" t="str">
        <f>IFERROR(__xludf.DUMMYFUNCTION("""COMPUTED_VALUE"""),"VerifyAggregationSymbolWithNav")</f>
        <v>VerifyAggregationSymbolWithNav</v>
      </c>
      <c r="AC4" s="19" t="str">
        <f>IFERROR(__xludf.DUMMYFUNCTION("""COMPUTED_VALUE"""),"VerifyAggregationSubSectorWithNav")</f>
        <v>VerifyAggregationSubSectorWithNav</v>
      </c>
      <c r="AD4" s="19" t="str">
        <f>IFERROR(__xludf.DUMMYFUNCTION("""COMPUTED_VALUE"""),"VerifyAggregationGlobalWithNav")</f>
        <v>VerifyAggregationGlobalWithNav</v>
      </c>
      <c r="AE4" s="19" t="str">
        <f>IFERROR(__xludf.DUMMYFUNCTION("""COMPUTED_VALUE"""),"VerifyAggregationGlobalWithNav")</f>
        <v>VerifyAggregationGlobalWithNav</v>
      </c>
      <c r="AF4" s="19" t="str">
        <f>IFERROR(__xludf.DUMMYFUNCTION("""COMPUTED_VALUE"""),"VerifyGlobalDivisorWindow")</f>
        <v>VerifyGlobalDivisorWindow</v>
      </c>
      <c r="AG4" s="19" t="str">
        <f>IFERROR(__xludf.DUMMYFUNCTION("""COMPUTED_VALUE"""),"VerifyAccrualForAccountWindow")</f>
        <v>VerifyAccrualForAccountWindow</v>
      </c>
      <c r="AH4" s="19" t="str">
        <f>IFERROR(__xludf.DUMMYFUNCTION("""COMPUTED_VALUE"""),"VerifyGlobalDivisorWindow")</f>
        <v>VerifyGlobalDivisorWindow</v>
      </c>
      <c r="AI4" s="19" t="str">
        <f>IFERROR(__xludf.DUMMYFUNCTION("""COMPUTED_VALUE"""),"VerifyMasterFundDivisorWindow")</f>
        <v>VerifyMasterFundDivisorWindow</v>
      </c>
      <c r="AJ4" s="19" t="str">
        <f>IFERROR(__xludf.DUMMYFUNCTION("""COMPUTED_VALUE"""),"VerifyMasterFundSymbolDivisorWindow")</f>
        <v>VerifyMasterFundSymbolDivisorWindow</v>
      </c>
      <c r="AK4" s="19" t="str">
        <f>IFERROR(__xludf.DUMMYFUNCTION("""COMPUTED_VALUE"""),"RestartRuleMediator")</f>
        <v>RestartRuleMediator</v>
      </c>
      <c r="AL4" s="19" t="str">
        <f>IFERROR(__xludf.DUMMYFUNCTION("""COMPUTED_VALUE"""),"VerifyAggAccountSymbolWithNav")</f>
        <v>VerifyAggAccountSymbolWithNav</v>
      </c>
      <c r="AM4" s="19" t="str">
        <f>IFERROR(__xludf.DUMMYFUNCTION("""COMPUTED_VALUE"""),"ApproveorRejectpendingapproval")</f>
        <v>ApproveorRejectpendingapproval</v>
      </c>
      <c r="AN4" s="19" t="str">
        <f>IFERROR(__xludf.DUMMYFUNCTION("""COMPUTED_VALUE"""),"VerifyAlertHistory")</f>
        <v>VerifyAlertHistory</v>
      </c>
      <c r="AO4" s="19" t="str">
        <f>IFERROR(__xludf.DUMMYFUNCTION("""COMPUTED_VALUE"""),"EditInterceptorFile")</f>
        <v>EditInterceptorFile</v>
      </c>
      <c r="AP4" s="19" t="str">
        <f>IFERROR(__xludf.DUMMYFUNCTION("""COMPUTED_VALUE"""),"ReplaceInterceptorFile")</f>
        <v>ReplaceInterceptorFile</v>
      </c>
      <c r="AQ4" s="19" t="str">
        <f>IFERROR(__xludf.DUMMYFUNCTION("""COMPUTED_VALUE"""),"RestartReleasesAndServices")</f>
        <v>RestartReleasesAndServices</v>
      </c>
      <c r="AR4" s="19" t="str">
        <f>IFERROR(__xludf.DUMMYFUNCTION("""COMPUTED_VALUE"""),"GetEmail")</f>
        <v>GetEmail</v>
      </c>
      <c r="AS4" s="19" t="str">
        <f>IFERROR(__xludf.DUMMYFUNCTION("""COMPUTED_VALUE"""),"EnableDisableRule")</f>
        <v>EnableDisableRule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IFERROR(__xludf.DUMMYFUNCTION("""COMPUTED_VALUE"""),"Trade Date")</f>
        <v>Trade Date</v>
      </c>
      <c r="C5" s="21" t="str">
        <f>IFERROR(__xludf.DUMMYFUNCTION("""COMPUTED_VALUE"""),"Symbols")</f>
        <v>Symbols</v>
      </c>
      <c r="D5" s="21" t="str">
        <f>IFERROR(__xludf.DUMMYFUNCTION("""COMPUTED_VALUE"""),"Trade Origination")</f>
        <v>Trade Origination</v>
      </c>
      <c r="E5" s="21" t="str">
        <f>IFERROR(__xludf.DUMMYFUNCTION("""COMPUTED_VALUE"""),"Trader")</f>
        <v>Trader</v>
      </c>
      <c r="F5" s="21" t="str">
        <f>IFERROR(__xludf.DUMMYFUNCTION("""COMPUTED_VALUE"""),"Trade Details")</f>
        <v>Trade Details</v>
      </c>
      <c r="G5" s="21" t="str">
        <f>IFERROR(__xludf.DUMMYFUNCTION("""COMPUTED_VALUE"""),"Trade Notes")</f>
        <v>Trade Notes</v>
      </c>
      <c r="H5" s="21" t="str">
        <f>IFERROR(__xludf.DUMMYFUNCTION("""COMPUTED_VALUE"""),"Compliance Officer Notes")</f>
        <v>Compliance Officer Notes</v>
      </c>
      <c r="I5" s="21" t="str">
        <f>IFERROR(__xludf.DUMMYFUNCTION("""COMPUTED_VALUE"""),"User Name")</f>
        <v>User Name</v>
      </c>
      <c r="J5" s="21" t="str">
        <f>IFERROR(__xludf.DUMMYFUNCTION("""COMPUTED_VALUE"""),"Trade Price")</f>
        <v>Trade Price</v>
      </c>
      <c r="K5" s="21" t="str">
        <f>IFERROR(__xludf.DUMMYFUNCTION("""COMPUTED_VALUE"""),"Basket Name")</f>
        <v>Basket Name</v>
      </c>
      <c r="L5" s="21" t="str">
        <f>IFERROR(__xludf.DUMMYFUNCTION("""COMPUTED_VALUE"""),"Quantity")</f>
        <v>Quantity</v>
      </c>
      <c r="M5" s="21" t="str">
        <f>IFERROR(__xludf.DUMMYFUNCTION("""COMPUTED_VALUE"""),"Broker")</f>
        <v>Broker</v>
      </c>
      <c r="N5" s="21" t="str">
        <f>IFERROR(__xludf.DUMMYFUNCTION("""COMPUTED_VALUE"""),"Status")</f>
        <v>Status</v>
      </c>
      <c r="O5" s="21" t="str">
        <f>IFERROR(__xludf.DUMMYFUNCTION("""COMPUTED_VALUE"""),"Order Side")</f>
        <v>Order Side</v>
      </c>
      <c r="P5" s="21" t="str">
        <f>IFERROR(__xludf.DUMMYFUNCTION("""COMPUTED_VALUE"""),"ApproveorRejectAll")</f>
        <v>ApproveorRejectAll</v>
      </c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</row>
    <row r="6" ht="15.75" customHeight="1">
      <c r="A6" s="6"/>
      <c r="B6" s="6"/>
      <c r="C6" s="6" t="s">
        <v>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 t="s">
        <v>26</v>
      </c>
      <c r="P6" s="8" t="s">
        <v>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29</v>
      </c>
      <c r="D3" s="4" t="s">
        <v>9</v>
      </c>
      <c r="E3" s="10" t="s">
        <v>30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IFERROR(__xludf.DUMMYFUNCTION("IF(C3="""","""",Transpose(IMPORTRANGE('_Settings'!$B$3,C3&amp;""!A4:A1000"")))"),"RestartClient")</f>
        <v>RestartClient</v>
      </c>
      <c r="C4" s="18" t="str">
        <f>IFERROR(__xludf.DUMMYFUNCTION("""COMPUTED_VALUE"""),"UpdateClientConfig")</f>
        <v>UpdateClientConfig</v>
      </c>
      <c r="D4" s="18" t="str">
        <f>IFERROR(__xludf.DUMMYFUNCTION("""COMPUTED_VALUE"""),"PranaClient")</f>
        <v>PranaClient</v>
      </c>
      <c r="E4" s="18" t="str">
        <f>IFERROR(__xludf.DUMMYFUNCTION("""COMPUTED_VALUE"""),"CompareXML")</f>
        <v>CompareXML</v>
      </c>
      <c r="F4" s="18" t="str">
        <f>IFERROR(__xludf.DUMMYFUNCTION("""COMPUTED_VALUE"""),"LoginClient")</f>
        <v>LoginClient</v>
      </c>
      <c r="G4" s="18" t="str">
        <f>IFERROR(__xludf.DUMMYFUNCTION("""COMPUTED_VALUE"""),"DbPicker")</f>
        <v>DbPicker</v>
      </c>
      <c r="H4" s="18" t="str">
        <f>IFERROR(__xludf.DUMMYFUNCTION("""COMPUTED_VALUE"""),"RunPortfolio")</f>
        <v>RunPortfolio</v>
      </c>
      <c r="I4" s="18" t="str">
        <f>IFERROR(__xludf.DUMMYFUNCTION("""COMPUTED_VALUE"""),"MoveFile")</f>
        <v>MoveFile</v>
      </c>
      <c r="J4" s="18" t="str">
        <f>IFERROR(__xludf.DUMMYFUNCTION("""COMPUTED_VALUE"""),"UpdateLiveExcelSheetForRTPNL")</f>
        <v>UpdateLiveExcelSheetForRTPNL</v>
      </c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IFERROR(__xludf.DUMMYFUNCTION("""COMPUTED_VALUE"""),"LoginUserName")</f>
        <v>LoginUserName</v>
      </c>
      <c r="C5" s="21" t="str">
        <f>IFERROR(__xludf.DUMMYFUNCTION("""COMPUTED_VALUE"""),"LoginPassword")</f>
        <v>LoginPassword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15.75" customHeight="1">
      <c r="A6" s="6"/>
      <c r="B6" s="6" t="s">
        <v>35</v>
      </c>
      <c r="C6" s="6" t="s">
        <v>32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37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 t="str">
        <f>IFERROR(__xludf.DUMMYFUNCTION("""COMPUTED_VALUE"""),"ManageHotButton")</f>
        <v>ManageHotButton</v>
      </c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IFERROR(__xludf.DUMMYFUNCTION("""COMPUTED_VALUE"""),"User")</f>
        <v>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1")</f>
        <v>Trade Attribute 1</v>
      </c>
      <c r="N5" s="21" t="str">
        <f>IFERROR(__xludf.DUMMYFUNCTION("""COMPUTED_VALUE"""),"Trade Attribute 2")</f>
        <v>Trade Attribute 2</v>
      </c>
      <c r="O5" s="21" t="str">
        <f>IFERROR(__xludf.DUMMYFUNCTION("""COMPUTED_VALUE"""),"Trade Attribute 3")</f>
        <v>Trade Attribute 3</v>
      </c>
      <c r="P5" s="21" t="str">
        <f>IFERROR(__xludf.DUMMYFUNCTION("""COMPUTED_VALUE"""),"Trade Attribute 4")</f>
        <v>Trade Attribute 4</v>
      </c>
      <c r="Q5" s="21" t="str">
        <f>IFERROR(__xludf.DUMMYFUNCTION("""COMPUTED_VALUE"""),"Trade Attribute 5")</f>
        <v>Trade Attribute 5</v>
      </c>
      <c r="R5" s="21" t="str">
        <f>IFERROR(__xludf.DUMMYFUNCTION("""COMPUTED_VALUE"""),"Trade Attribute 6")</f>
        <v>Trade Attribute 6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IFERROR(__xludf.DUMMYFUNCTION("""COMPUTED_VALUE"""),"Quantity")</f>
        <v>Quantity</v>
      </c>
      <c r="AM5" s="22" t="str">
        <f>IFERROR(__xludf.DUMMYFUNCTION("""COMPUTED_VALUE"""),"Executed Qty")</f>
        <v>Executed Qty</v>
      </c>
      <c r="AN5" s="22" t="str">
        <f>IFERROR(__xludf.DUMMYFUNCTION("""COMPUTED_VALUE"""),"% Executed")</f>
        <v>% Executed</v>
      </c>
      <c r="AO5" s="22" t="str">
        <f>IFERROR(__xludf.DUMMYFUNCTION("""COMPUTED_VALUE"""),"Day Executed Qty")</f>
        <v>Day Executed Qty</v>
      </c>
      <c r="AP5" s="22" t="str">
        <f>IFERROR(__xludf.DUMMYFUNCTION("""COMPUTED_VALUE"""),"Remaining Qty")</f>
        <v>Remaining Qty</v>
      </c>
      <c r="AQ5" s="22" t="str">
        <f>IFERROR(__xludf.DUMMYFUNCTION("""COMPUTED_VALUE"""),"Last Fill Price (Local)")</f>
        <v>Last Fill Price (Local)</v>
      </c>
      <c r="AR5" s="22" t="str">
        <f>IFERROR(__xludf.DUMMYFUNCTION("""COMPUTED_VALUE"""),"Avg Fill Price (Local)")</f>
        <v>Avg Fill Price (Local)</v>
      </c>
      <c r="AS5" s="22" t="str">
        <f>IFERROR(__xludf.DUMMYFUNCTION("""COMPUTED_VALUE"""),"Broker")</f>
        <v>Broker</v>
      </c>
      <c r="AT5" s="22" t="str">
        <f>IFERROR(__xludf.DUMMYFUNCTION("""COMPUTED_VALUE"""),"Account")</f>
        <v>Account</v>
      </c>
      <c r="AU5" s="22" t="str">
        <f>IFERROR(__xludf.DUMMYFUNCTION("""COMPUTED_VALUE"""),"Order Type")</f>
        <v>Order Type</v>
      </c>
      <c r="AV5" s="22" t="str">
        <f>IFERROR(__xludf.DUMMYFUNCTION("""COMPUTED_VALUE"""),"Principal Amount (Local)")</f>
        <v>Principal Amount (Local)</v>
      </c>
      <c r="AW5" s="22" t="str">
        <f>IFERROR(__xludf.DUMMYFUNCTION("""COMPUTED_VALUE"""),"Principal Amount (Base)")</f>
        <v>Principal Amount (Base)</v>
      </c>
      <c r="AX5" s="22" t="str">
        <f>IFERROR(__xludf.DUMMYFUNCTION("""COMPUTED_VALUE"""),"Allocation Scheme Name")</f>
        <v>Allocation Scheme Name</v>
      </c>
      <c r="AY5" s="22" t="str">
        <f>IFERROR(__xludf.DUMMYFUNCTION("""COMPUTED_VALUE"""),"Status (With Rollover)")</f>
        <v>Status (With Rollover)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6" t="s">
        <v>25</v>
      </c>
      <c r="AJ6" s="6" t="s">
        <v>26</v>
      </c>
      <c r="AK6" s="6" t="s">
        <v>38</v>
      </c>
      <c r="AL6" s="8">
        <v>100.0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SelectTradeWorkingSubsBlotter!$4:$4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39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 t="str">
        <f>IFERROR(__xludf.DUMMYFUNCTION("""COMPUTED_VALUE"""),"ManageHotButton")</f>
        <v>ManageHotButton</v>
      </c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IFERROR(__xludf.DUMMYFUNCTION("""COMPUTED_VALUE"""),"Avg Fill Price (Base)")</f>
        <v>Avg Fill Price (Base)</v>
      </c>
      <c r="C5" s="21" t="str">
        <f>IFERROR(__xludf.DUMMYFUNCTION("""COMPUTED_VALUE"""),"Transaction Time")</f>
        <v>Transaction Time</v>
      </c>
      <c r="D5" s="21" t="str">
        <f>IFERROR(__xludf.DUMMYFUNCTION("""COMPUTED_VALUE"""),"Symbol")</f>
        <v>Symbol</v>
      </c>
      <c r="E5" s="21" t="str">
        <f>IFERROR(__xludf.DUMMYFUNCTION("""COMPUTED_VALUE"""),"Algo")</f>
        <v>Algo</v>
      </c>
      <c r="F5" s="21" t="str">
        <f>IFERROR(__xludf.DUMMYFUNCTION("""COMPUTED_VALUE"""),"Side")</f>
        <v>Side</v>
      </c>
      <c r="G5" s="21" t="str">
        <f>IFERROR(__xludf.DUMMYFUNCTION("""COMPUTED_VALUE"""),"Status")</f>
        <v>Status</v>
      </c>
      <c r="H5" s="21" t="str">
        <f>IFERROR(__xludf.DUMMYFUNCTION("""COMPUTED_VALUE"""),"Quantity")</f>
        <v>Quantity</v>
      </c>
      <c r="I5" s="21" t="str">
        <f>IFERROR(__xludf.DUMMYFUNCTION("""COMPUTED_VALUE"""),"Executed Qty")</f>
        <v>Executed Qty</v>
      </c>
      <c r="J5" s="21" t="str">
        <f>IFERROR(__xludf.DUMMYFUNCTION("""COMPUTED_VALUE"""),"Limit Price")</f>
        <v>Limit Price</v>
      </c>
      <c r="K5" s="21" t="str">
        <f>IFERROR(__xludf.DUMMYFUNCTION("""COMPUTED_VALUE"""),"Last Fill Price (Local)")</f>
        <v>Last Fill Price (Local)</v>
      </c>
      <c r="L5" s="21" t="str">
        <f>IFERROR(__xludf.DUMMYFUNCTION("""COMPUTED_VALUE"""),"Stop Price")</f>
        <v>Stop Price</v>
      </c>
      <c r="M5" s="21" t="str">
        <f>IFERROR(__xludf.DUMMYFUNCTION("""COMPUTED_VALUE"""),"Avg Fill Price (Local)")</f>
        <v>Avg Fill Price (Local)</v>
      </c>
      <c r="N5" s="21" t="str">
        <f>IFERROR(__xludf.DUMMYFUNCTION("""COMPUTED_VALUE"""),"Broker")</f>
        <v>Broker</v>
      </c>
      <c r="O5" s="21" t="str">
        <f>IFERROR(__xludf.DUMMYFUNCTION("""COMPUTED_VALUE"""),"Account")</f>
        <v>Account</v>
      </c>
      <c r="P5" s="21" t="str">
        <f>IFERROR(__xludf.DUMMYFUNCTION("""COMPUTED_VALUE"""),"OrderID")</f>
        <v>OrderID</v>
      </c>
      <c r="Q5" s="21" t="str">
        <f>IFERROR(__xludf.DUMMYFUNCTION("""COMPUTED_VALUE"""),"Order Type")</f>
        <v>Order Type</v>
      </c>
      <c r="R5" s="21" t="str">
        <f>IFERROR(__xludf.DUMMYFUNCTION("""COMPUTED_VALUE"""),"Principal Amount (Local)")</f>
        <v>Principal Amount (Local)</v>
      </c>
      <c r="S5" s="21" t="str">
        <f>IFERROR(__xludf.DUMMYFUNCTION("""COMPUTED_VALUE"""),"Principal Amount (Base)")</f>
        <v>Principal Amount (Base)</v>
      </c>
      <c r="T5" s="22" t="str">
        <f>IFERROR(__xludf.DUMMYFUNCTION("""COMPUTED_VALUE"""),"Peg")</f>
        <v>Peg</v>
      </c>
      <c r="U5" s="22" t="str">
        <f>IFERROR(__xludf.DUMMYFUNCTION("""COMPUTED_VALUE"""),"ParentClOrderID")</f>
        <v>ParentClOrderID</v>
      </c>
      <c r="V5" s="22" t="str">
        <f>IFERROR(__xludf.DUMMYFUNCTION("""COMPUTED_VALUE"""),"Strike Price")</f>
        <v>Strike Price</v>
      </c>
      <c r="W5" s="22" t="str">
        <f>IFERROR(__xludf.DUMMYFUNCTION("""COMPUTED_VALUE"""),"Last Shares")</f>
        <v>Last Shares</v>
      </c>
      <c r="X5" s="22" t="str">
        <f>IFERROR(__xludf.DUMMYFUNCTION("""COMPUTED_VALUE"""),"Working Qty")</f>
        <v>Working Qty</v>
      </c>
      <c r="Y5" s="22" t="str">
        <f>IFERROR(__xludf.DUMMYFUNCTION("""COMPUTED_VALUE"""),"Bloomberg Symbol")</f>
        <v>Bloomberg Symbol</v>
      </c>
      <c r="Z5" s="22" t="str">
        <f>IFERROR(__xludf.DUMMYFUNCTION("""COMPUTED_VALUE"""),"Imported File Name")</f>
        <v>Imported File Name</v>
      </c>
      <c r="AA5" s="22" t="str">
        <f>IFERROR(__xludf.DUMMYFUNCTION("""COMPUTED_VALUE"""),"Master Fund")</f>
        <v>Master Fund</v>
      </c>
      <c r="AB5" s="22" t="str">
        <f>IFERROR(__xludf.DUMMYFUNCTION("""COMPUTED_VALUE"""),"Asset Class")</f>
        <v>Asset Class</v>
      </c>
      <c r="AC5" s="22" t="str">
        <f>IFERROR(__xludf.DUMMYFUNCTION("""COMPUTED_VALUE"""),"Underlying Country")</f>
        <v>Underlying Country</v>
      </c>
      <c r="AD5" s="22" t="str">
        <f>IFERROR(__xludf.DUMMYFUNCTION("""COMPUTED_VALUE"""),"Trader")</f>
        <v>Trader</v>
      </c>
      <c r="AE5" s="22" t="str">
        <f>IFERROR(__xludf.DUMMYFUNCTION("""COMPUTED_VALUE"""),"User")</f>
        <v>User</v>
      </c>
      <c r="AF5" s="22" t="str">
        <f>IFERROR(__xludf.DUMMYFUNCTION("""COMPUTED_VALUE"""),"Venue")</f>
        <v>Venue</v>
      </c>
      <c r="AG5" s="22" t="str">
        <f>IFERROR(__xludf.DUMMYFUNCTION("""COMPUTED_VALUE"""),"Settlement Currency")</f>
        <v>Settlement Currency</v>
      </c>
      <c r="AH5" s="22" t="str">
        <f>IFERROR(__xludf.DUMMYFUNCTION("""COMPUTED_VALUE"""),"FX Conversion Operator")</f>
        <v>FX Conversion Operator</v>
      </c>
      <c r="AI5" s="22" t="str">
        <f>IFERROR(__xludf.DUMMYFUNCTION("""COMPUTED_VALUE"""),"Process Date")</f>
        <v>Process Date</v>
      </c>
      <c r="AJ5" s="22" t="str">
        <f>IFERROR(__xludf.DUMMYFUNCTION("""COMPUTED_VALUE"""),"Underlying Symbol")</f>
        <v>Underlying Symbol</v>
      </c>
      <c r="AK5" s="22" t="str">
        <f>IFERROR(__xludf.DUMMYFUNCTION("""COMPUTED_VALUE"""),"Put/Call")</f>
        <v>Put/Call</v>
      </c>
      <c r="AL5" s="22" t="str">
        <f>IFERROR(__xludf.DUMMYFUNCTION("""COMPUTED_VALUE"""),"FX Rate")</f>
        <v>FX Rate</v>
      </c>
      <c r="AM5" s="22" t="str">
        <f>IFERROR(__xludf.DUMMYFUNCTION("""COMPUTED_VALUE"""),"Trade Attribute 1")</f>
        <v>Trade Attribute 1</v>
      </c>
      <c r="AN5" s="22" t="str">
        <f>IFERROR(__xludf.DUMMYFUNCTION("""COMPUTED_VALUE"""),"Trade Attribute 2")</f>
        <v>Trade Attribute 2</v>
      </c>
      <c r="AO5" s="22" t="str">
        <f>IFERROR(__xludf.DUMMYFUNCTION("""COMPUTED_VALUE"""),"Trade Attribute 3")</f>
        <v>Trade Attribute 3</v>
      </c>
      <c r="AP5" s="22" t="str">
        <f>IFERROR(__xludf.DUMMYFUNCTION("""COMPUTED_VALUE"""),"Trade Attribute 4")</f>
        <v>Trade Attribute 4</v>
      </c>
      <c r="AQ5" s="22" t="str">
        <f>IFERROR(__xludf.DUMMYFUNCTION("""COMPUTED_VALUE"""),"Trade Attribute 5")</f>
        <v>Trade Attribute 5</v>
      </c>
      <c r="AR5" s="22" t="str">
        <f>IFERROR(__xludf.DUMMYFUNCTION("""COMPUTED_VALUE"""),"Trade Attribute 6")</f>
        <v>Trade Attribute 6</v>
      </c>
      <c r="AS5" s="22" t="str">
        <f>IFERROR(__xludf.DUMMYFUNCTION("""COMPUTED_VALUE"""),"Internal Comments")</f>
        <v>Internal Comments</v>
      </c>
      <c r="AT5" s="22" t="str">
        <f>IFERROR(__xludf.DUMMYFUNCTION("""COMPUTED_VALUE"""),"Allocation Scheme Name")</f>
        <v>Allocation Scheme Name</v>
      </c>
      <c r="AU5" s="22" t="str">
        <f>IFERROR(__xludf.DUMMYFUNCTION("""COMPUTED_VALUE"""),"Status (With Rollover)")</f>
        <v>Status (With Rollover)</v>
      </c>
      <c r="AV5" s="22" t="str">
        <f>IFERROR(__xludf.DUMMYFUNCTION("""COMPUTED_VALUE"""),"Source")</f>
        <v>Source</v>
      </c>
      <c r="AW5" s="22" t="str">
        <f>IFERROR(__xludf.DUMMYFUNCTION("""COMPUTED_VALUE"""),"Strategy")</f>
        <v>Strategy</v>
      </c>
      <c r="AX5" s="22" t="str">
        <f>IFERROR(__xludf.DUMMYFUNCTION("""COMPUTED_VALUE"""),"Unexecuted Qty")</f>
        <v>Unexecuted Qty</v>
      </c>
      <c r="AY5" s="22" t="str">
        <f>IFERROR(__xludf.DUMMYFUNCTION("""COMPUTED_VALUE"""),"Allocation Status")</f>
        <v>Allocation Status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</row>
    <row r="6" ht="15.75" customHeight="1">
      <c r="A6" s="6"/>
      <c r="B6" s="6"/>
      <c r="C6" s="6"/>
      <c r="D6" s="6" t="s">
        <v>25</v>
      </c>
      <c r="F6" s="6" t="s">
        <v>26</v>
      </c>
      <c r="G6" s="6" t="s">
        <v>38</v>
      </c>
      <c r="H6" s="8">
        <v>100.0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IFERROR(__xludf.DUMMYFUNCTION("""COMPUTED_VALUE"""),"MasterFund")</f>
        <v>MasterFund</v>
      </c>
      <c r="AO5" s="22" t="str">
        <f>IFERROR(__xludf.DUMMYFUNCTION("""COMPUTED_VALUE"""),"AllowTrade")</f>
        <v>AllowTrade</v>
      </c>
      <c r="AP5" s="22" t="str">
        <f>IFERROR(__xludf.DUMMYFUNCTION("""COMPUTED_VALUE"""),"SharesOutstandingPopUp")</f>
        <v>SharesOutstandingPopUp</v>
      </c>
      <c r="AQ5" s="22" t="str">
        <f>IFERROR(__xludf.DUMMYFUNCTION("""COMPUTED_VALUE"""),"Interest Rate")</f>
        <v>Interest Rate</v>
      </c>
      <c r="AR5" s="22" t="str">
        <f>IFERROR(__xludf.DUMMYFUNCTION("""COMPUTED_VALUE"""),"SelectAlgoStrategy")</f>
        <v>SelectAlgoStrategy</v>
      </c>
      <c r="AS5" s="22" t="str">
        <f>IFERROR(__xludf.DUMMYFUNCTION("""COMPUTED_VALUE"""),"ClearOldCA")</f>
        <v>ClearOldCA</v>
      </c>
      <c r="AT5" s="22" t="str">
        <f>IFERROR(__xludf.DUMMYFUNCTION("""COMPUTED_VALUE"""),"TRVAccountName")</f>
        <v>TRVAccountName</v>
      </c>
      <c r="AU5" s="22" t="str">
        <f>IFERROR(__xludf.DUMMYFUNCTION("""COMPUTED_VALUE"""),"TRVTradeQuantity")</f>
        <v>TRVTradeQuantity</v>
      </c>
      <c r="AV5" s="22" t="str">
        <f>IFERROR(__xludf.DUMMYFUNCTION("""COMPUTED_VALUE"""),"TRVCurrentPosition")</f>
        <v>TRVCurrentPosition</v>
      </c>
      <c r="AW5" s="22" t="str">
        <f>IFERROR(__xludf.DUMMYFUNCTION("""COMPUTED_VALUE"""),"TRVNav")</f>
        <v>TRVNav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25</v>
      </c>
      <c r="C6" s="6" t="s">
        <v>26</v>
      </c>
      <c r="D6" s="8">
        <v>50.0</v>
      </c>
      <c r="F6" s="6"/>
      <c r="G6" s="6"/>
      <c r="H6" s="6"/>
      <c r="I6" s="6"/>
      <c r="J6" s="6">
        <v>2.0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41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IFERROR(__xludf.DUMMYFUNCTION("""COMPUTED_VALUE"""),"Alert Type")</f>
        <v>Alert Type</v>
      </c>
      <c r="C5" s="21" t="str">
        <f>IFERROR(__xludf.DUMMYFUNCTION("""COMPUTED_VALUE"""),"Rule Name")</f>
        <v>Rule Name</v>
      </c>
      <c r="D5" s="21" t="str">
        <f>IFERROR(__xludf.DUMMYFUNCTION("""COMPUTED_VALUE"""),"Description of Rule")</f>
        <v>Description of Rule</v>
      </c>
      <c r="E5" s="21" t="str">
        <f>IFERROR(__xludf.DUMMYFUNCTION("""COMPUTED_VALUE"""),"Dimensions")</f>
        <v>Dimensions</v>
      </c>
      <c r="F5" s="21" t="str">
        <f>IFERROR(__xludf.DUMMYFUNCTION("""COMPUTED_VALUE"""),"Threshold")</f>
        <v>Threshold</v>
      </c>
      <c r="G5" s="21" t="str">
        <f>IFERROR(__xludf.DUMMYFUNCTION("""COMPUTED_VALUE"""),"Actual Result")</f>
        <v>Actual Result</v>
      </c>
      <c r="H5" s="21" t="str">
        <f>IFERROR(__xludf.DUMMYFUNCTION("""COMPUTED_VALUE"""),"Comments")</f>
        <v>Comments</v>
      </c>
      <c r="I5" s="21" t="str">
        <f>IFERROR(__xludf.DUMMYFUNCTION("""COMPUTED_VALUE"""),"User Notes")</f>
        <v>User Notes</v>
      </c>
      <c r="J5" s="21" t="str">
        <f>IFERROR(__xludf.DUMMYFUNCTION("""COMPUTED_VALUE"""),"Write UserNote")</f>
        <v>Write UserNote</v>
      </c>
      <c r="K5" s="21" t="str">
        <f>IFERROR(__xludf.DUMMYFUNCTION("""COMPUTED_VALUE"""),"AllowTrade")</f>
        <v>AllowTrade</v>
      </c>
      <c r="L5" s="21" t="str">
        <f>IFERROR(__xludf.DUMMYFUNCTION("""COMPUTED_VALUE"""),"ClickonMultiple")</f>
        <v>ClickonMultiple</v>
      </c>
      <c r="M5" s="21" t="str">
        <f>IFERROR(__xludf.DUMMYFUNCTION("""COMPUTED_VALUE"""),"Trade")</f>
        <v>Trade</v>
      </c>
      <c r="N5" s="21" t="str">
        <f>IFERROR(__xludf.DUMMYFUNCTION("""COMPUTED_VALUE"""),"PendingApprovalPopUp")</f>
        <v>PendingApprovalPopUp</v>
      </c>
      <c r="O5" s="21" t="str">
        <f>IFERROR(__xludf.DUMMYFUNCTION("""COMPUTED_VALUE"""),"VerifyExportState")</f>
        <v>VerifyExportState</v>
      </c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42</v>
      </c>
      <c r="C6" s="6" t="s">
        <v>21</v>
      </c>
      <c r="D6" s="6" t="s">
        <v>43</v>
      </c>
      <c r="E6" s="6" t="s">
        <v>25</v>
      </c>
      <c r="F6" s="6">
        <v>-123.0</v>
      </c>
      <c r="G6" s="6">
        <v>50.0</v>
      </c>
      <c r="H6" s="6" t="s">
        <v>44</v>
      </c>
      <c r="I6" s="6" t="s">
        <v>45</v>
      </c>
      <c r="J6" s="6"/>
      <c r="K6" s="6" t="s">
        <v>28</v>
      </c>
      <c r="L6" s="6"/>
      <c r="M6" s="6" t="s">
        <v>46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7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47</v>
      </c>
      <c r="D3" s="4" t="s">
        <v>9</v>
      </c>
      <c r="E3" s="10" t="s">
        <v>48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 t="str">
        <f>IFERROR(__xludf.DUMMYFUNCTION("""COMPUTED_VALUE"""),"NewAcknowledgeTrade")</f>
        <v>NewAcknowledgeTrade</v>
      </c>
      <c r="P4" s="19" t="str">
        <f>IFERROR(__xludf.DUMMYFUNCTION("""COMPUTED_VALUE"""),"VerifyRowAllFixLogs")</f>
        <v>VerifyRowAllFixLogs</v>
      </c>
      <c r="Q4" s="19" t="str">
        <f>IFERROR(__xludf.DUMMYFUNCTION("""COMPUTED_VALUE"""),"ClearAllFixLogs")</f>
        <v>ClearAllFixLogs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IFERROR(__xludf.DUMMYFUNCTION("""COMPUTED_VALUE"""),"Side")</f>
        <v>Side</v>
      </c>
      <c r="C5" s="21" t="str">
        <f>IFERROR(__xludf.DUMMYFUNCTION("""COMPUTED_VALUE"""),"Symbol")</f>
        <v>Symbol</v>
      </c>
      <c r="D5" s="21" t="str">
        <f>IFERROR(__xludf.DUMMYFUNCTION("""COMPUTED_VALUE"""),"Order Type")</f>
        <v>Order Type</v>
      </c>
      <c r="E5" s="21" t="str">
        <f>IFERROR(__xludf.DUMMYFUNCTION("""COMPUTED_VALUE"""),"Price")</f>
        <v>Price</v>
      </c>
      <c r="F5" s="21" t="str">
        <f>IFERROR(__xludf.DUMMYFUNCTION("""COMPUTED_VALUE"""),"AvgPrice")</f>
        <v>AvgPrice</v>
      </c>
      <c r="G5" s="21" t="str">
        <f>IFERROR(__xludf.DUMMYFUNCTION("""COMPUTED_VALUE"""),"Quantity")</f>
        <v>Quantity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ht="15.75" customHeight="1">
      <c r="A6" s="6"/>
      <c r="B6" s="6"/>
      <c r="C6" s="6" t="s">
        <v>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</v>
      </c>
      <c r="D3" s="4" t="s">
        <v>9</v>
      </c>
      <c r="E3" s="10" t="s">
        <v>49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</row>
    <row r="4" ht="15.75" customHeight="1">
      <c r="A4" s="18"/>
      <c r="B4" s="18" t="str">
        <f>IFERROR(__xludf.DUMMYFUNCTION("IF(C3="""","""",Transpose(IMPORTRANGE('_Settings'!$B$3,C3&amp;""!A4:A1000"")))"),"CheckCompliance")</f>
        <v>CheckCompliance</v>
      </c>
      <c r="C4" s="18" t="str">
        <f>IFERROR(__xludf.DUMMYFUNCTION("""COMPUTED_VALUE"""),"VerifyAccountDivisorWindow")</f>
        <v>VerifyAccountDivisorWindow</v>
      </c>
      <c r="D4" s="18" t="str">
        <f>IFERROR(__xludf.DUMMYFUNCTION("""COMPUTED_VALUE"""),"VerifyAccountSymbolDivisorWindow")</f>
        <v>VerifyAccountSymbolDivisorWindow</v>
      </c>
      <c r="E4" s="18" t="str">
        <f>IFERROR(__xludf.DUMMYFUNCTION("""COMPUTED_VALUE"""),"VerifyAggregationAccountSymbolWithNav")</f>
        <v>VerifyAggregationAccountSymbolWithNav</v>
      </c>
      <c r="F4" s="18" t="str">
        <f>IFERROR(__xludf.DUMMYFUNCTION("""COMPUTED_VALUE"""),"VerifyAggregationAccountWithNav")</f>
        <v>VerifyAggregationAccountWithNav</v>
      </c>
      <c r="G4" s="18" t="str">
        <f>IFERROR(__xludf.DUMMYFUNCTION("""COMPUTED_VALUE"""),"VerifyAggregationMasterFundSymbolWithNav")</f>
        <v>VerifyAggregationMasterFundSymbolWithNav</v>
      </c>
      <c r="H4" s="18" t="str">
        <f>IFERROR(__xludf.DUMMYFUNCTION("""COMPUTED_VALUE"""),"VerifyAggregationMasterFundUnderlyingSymbolWithNav")</f>
        <v>VerifyAggregationMasterFundUnderlyingSymbolWithNav</v>
      </c>
      <c r="I4" s="18" t="str">
        <f>IFERROR(__xludf.DUMMYFUNCTION("""COMPUTED_VALUE"""),"VerifyAggregationMasterFundWithNav")</f>
        <v>VerifyAggregationMasterFundWithNav</v>
      </c>
      <c r="J4" s="18" t="str">
        <f>IFERROR(__xludf.DUMMYFUNCTION("""COMPUTED_VALUE"""),"VerifyAggregationSectorWithNav")</f>
        <v>VerifyAggregationSectorWithNav</v>
      </c>
      <c r="K4" s="18" t="str">
        <f>IFERROR(__xludf.DUMMYFUNCTION("""COMPUTED_VALUE"""),"VerifyAggregationUnderlyingSymbolWithNav")</f>
        <v>VerifyAggregationUnderlyingSymbolWithNav</v>
      </c>
      <c r="L4" s="18" t="str">
        <f>IFERROR(__xludf.DUMMYFUNCTION("""COMPUTED_VALUE"""),"VerifyAuecWindow")</f>
        <v>VerifyAuecWindow</v>
      </c>
      <c r="M4" s="18" t="str">
        <f>IFERROR(__xludf.DUMMYFUNCTION("""COMPUTED_VALUE"""),"VerifyBetaWindow")</f>
        <v>VerifyBetaWindow</v>
      </c>
      <c r="N4" s="18" t="str">
        <f>IFERROR(__xludf.DUMMYFUNCTION("""COMPUTED_VALUE"""),"VerifyCustomSymbolDataWindow")</f>
        <v>VerifyCustomSymbolDataWindow</v>
      </c>
      <c r="O4" s="18" t="str">
        <f>IFERROR(__xludf.DUMMYFUNCTION("""COMPUTED_VALUE"""),"VerifyDayEndCashAccountWindow")</f>
        <v>VerifyDayEndCashAccountWindow</v>
      </c>
      <c r="P4" s="19" t="str">
        <f>IFERROR(__xludf.DUMMYFUNCTION("""COMPUTED_VALUE"""),"VerifyDbNavWindow")</f>
        <v>VerifyDbNavWindow</v>
      </c>
      <c r="Q4" s="19" t="str">
        <f>IFERROR(__xludf.DUMMYFUNCTION("""COMPUTED_VALUE"""),"VerifyGlobalDivisorWindow")</f>
        <v>VerifyGlobalDivisorWindow</v>
      </c>
      <c r="R4" s="19" t="str">
        <f>IFERROR(__xludf.DUMMYFUNCTION("""COMPUTED_VALUE"""),"VerifyPmCalculationPreferenceWindow")</f>
        <v>VerifyPmCalculationPreferenceWindow</v>
      </c>
      <c r="S4" s="19" t="str">
        <f>IFERROR(__xludf.DUMMYFUNCTION("""COMPUTED_VALUE"""),"VerifyRowCalculationBaseWindow")</f>
        <v>VerifyRowCalculationBaseWindow</v>
      </c>
      <c r="T4" s="19" t="str">
        <f>IFERROR(__xludf.DUMMYFUNCTION("""COMPUTED_VALUE"""),"VerifySecurityWindow")</f>
        <v>VerifySecurityWindow</v>
      </c>
      <c r="U4" s="19" t="str">
        <f>IFERROR(__xludf.DUMMYFUNCTION("""COMPUTED_VALUE"""),"VerifySymbolDataWindow")</f>
        <v>VerifySymbolDataWindow</v>
      </c>
      <c r="V4" s="19" t="str">
        <f>IFERROR(__xludf.DUMMYFUNCTION("""COMPUTED_VALUE"""),"VerifySymbolDivisorWindow")</f>
        <v>VerifySymbolDivisorWindow</v>
      </c>
      <c r="W4" s="19" t="str">
        <f>IFERROR(__xludf.DUMMYFUNCTION("""COMPUTED_VALUE"""),"VerifyTaxlotWindow")</f>
        <v>VerifyTaxlotWindow</v>
      </c>
      <c r="X4" s="19" t="str">
        <f>IFERROR(__xludf.DUMMYFUNCTION("""COMPUTED_VALUE"""),"RestartEsper")</f>
        <v>RestartEsper</v>
      </c>
      <c r="Y4" s="19" t="str">
        <f>IFERROR(__xludf.DUMMYFUNCTION("""COMPUTED_VALUE"""),"VerifyAccountNavPreferenceWindow")</f>
        <v>VerifyAccountNavPreferenceWindow</v>
      </c>
      <c r="Z4" s="19" t="str">
        <f>IFERROR(__xludf.DUMMYFUNCTION("""COMPUTED_VALUE"""),"VerifyAggregationAccountUnderlyingSymbolWithNav")</f>
        <v>VerifyAggregationAccountUnderlyingSymbolWithNav</v>
      </c>
      <c r="AA4" s="19" t="str">
        <f>IFERROR(__xludf.DUMMYFUNCTION("""COMPUTED_VALUE"""),"VerifyAggregationAssetWithNav")</f>
        <v>VerifyAggregationAssetWithNav</v>
      </c>
      <c r="AB4" s="19" t="str">
        <f>IFERROR(__xludf.DUMMYFUNCTION("""COMPUTED_VALUE"""),"VerifyAggregationSymbolWithNav")</f>
        <v>VerifyAggregationSymbolWithNav</v>
      </c>
      <c r="AC4" s="19" t="str">
        <f>IFERROR(__xludf.DUMMYFUNCTION("""COMPUTED_VALUE"""),"VerifyAggregationSubSectorWithNav")</f>
        <v>VerifyAggregationSubSectorWithNav</v>
      </c>
      <c r="AD4" s="19" t="str">
        <f>IFERROR(__xludf.DUMMYFUNCTION("""COMPUTED_VALUE"""),"VerifyAggregationGlobalWithNav")</f>
        <v>VerifyAggregationGlobalWithNav</v>
      </c>
      <c r="AE4" s="19" t="str">
        <f>IFERROR(__xludf.DUMMYFUNCTION("""COMPUTED_VALUE"""),"VerifyAggregationGlobalWithNav")</f>
        <v>VerifyAggregationGlobalWithNav</v>
      </c>
      <c r="AF4" s="19" t="str">
        <f>IFERROR(__xludf.DUMMYFUNCTION("""COMPUTED_VALUE"""),"VerifyGlobalDivisorWindow")</f>
        <v>VerifyGlobalDivisorWindow</v>
      </c>
      <c r="AG4" s="19" t="str">
        <f>IFERROR(__xludf.DUMMYFUNCTION("""COMPUTED_VALUE"""),"VerifyAccrualForAccountWindow")</f>
        <v>VerifyAccrualForAccountWindow</v>
      </c>
      <c r="AH4" s="19" t="str">
        <f>IFERROR(__xludf.DUMMYFUNCTION("""COMPUTED_VALUE"""),"VerifyGlobalDivisorWindow")</f>
        <v>VerifyGlobalDivisorWindow</v>
      </c>
      <c r="AI4" s="19" t="str">
        <f>IFERROR(__xludf.DUMMYFUNCTION("""COMPUTED_VALUE"""),"VerifyMasterFundDivisorWindow")</f>
        <v>VerifyMasterFundDivisorWindow</v>
      </c>
      <c r="AJ4" s="19" t="str">
        <f>IFERROR(__xludf.DUMMYFUNCTION("""COMPUTED_VALUE"""),"VerifyMasterFundSymbolDivisorWindow")</f>
        <v>VerifyMasterFundSymbolDivisorWindow</v>
      </c>
      <c r="AK4" s="19" t="str">
        <f>IFERROR(__xludf.DUMMYFUNCTION("""COMPUTED_VALUE"""),"RestartRuleMediator")</f>
        <v>RestartRuleMediator</v>
      </c>
      <c r="AL4" s="19" t="str">
        <f>IFERROR(__xludf.DUMMYFUNCTION("""COMPUTED_VALUE"""),"VerifyAggAccountSymbolWithNav")</f>
        <v>VerifyAggAccountSymbolWithNav</v>
      </c>
      <c r="AM4" s="19" t="str">
        <f>IFERROR(__xludf.DUMMYFUNCTION("""COMPUTED_VALUE"""),"ApproveorRejectpendingapproval")</f>
        <v>ApproveorRejectpendingapproval</v>
      </c>
      <c r="AN4" s="19" t="str">
        <f>IFERROR(__xludf.DUMMYFUNCTION("""COMPUTED_VALUE"""),"VerifyAlertHistory")</f>
        <v>VerifyAlertHistory</v>
      </c>
      <c r="AO4" s="19" t="str">
        <f>IFERROR(__xludf.DUMMYFUNCTION("""COMPUTED_VALUE"""),"EditInterceptorFile")</f>
        <v>EditInterceptorFile</v>
      </c>
      <c r="AP4" s="19" t="str">
        <f>IFERROR(__xludf.DUMMYFUNCTION("""COMPUTED_VALUE"""),"ReplaceInterceptorFile")</f>
        <v>ReplaceInterceptorFile</v>
      </c>
      <c r="AQ4" s="19" t="str">
        <f>IFERROR(__xludf.DUMMYFUNCTION("""COMPUTED_VALUE"""),"RestartReleasesAndServices")</f>
        <v>RestartReleasesAndServices</v>
      </c>
      <c r="AR4" s="19" t="str">
        <f>IFERROR(__xludf.DUMMYFUNCTION("""COMPUTED_VALUE"""),"GetEmail")</f>
        <v>GetEmail</v>
      </c>
      <c r="AS4" s="19" t="str">
        <f>IFERROR(__xludf.DUMMYFUNCTION("""COMPUTED_VALUE"""),"EnableDisableRule")</f>
        <v>EnableDisableRule</v>
      </c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IFERROR(__xludf.DUMMYFUNCTION("""COMPUTED_VALUE"""),"Name")</f>
        <v>Name</v>
      </c>
      <c r="C5" s="21" t="str">
        <f>IFERROR(__xludf.DUMMYFUNCTION("""COMPUTED_VALUE"""),"User Name")</f>
        <v>User Name</v>
      </c>
      <c r="D5" s="21" t="str">
        <f>IFERROR(__xludf.DUMMYFUNCTION("""COMPUTED_VALUE"""),"Rule Type")</f>
        <v>Rule Type</v>
      </c>
      <c r="E5" s="21" t="str">
        <f>IFERROR(__xludf.DUMMYFUNCTION("""COMPUTED_VALUE"""),"Summary")</f>
        <v>Summary</v>
      </c>
      <c r="F5" s="21" t="str">
        <f>IFERROR(__xludf.DUMMYFUNCTION("""COMPUTED_VALUE"""),"Compression Level")</f>
        <v>Compression Level</v>
      </c>
      <c r="G5" s="21" t="str">
        <f>IFERROR(__xludf.DUMMYFUNCTION("""COMPUTED_VALUE"""),"Parameters")</f>
        <v>Parameters</v>
      </c>
      <c r="H5" s="21" t="str">
        <f>IFERROR(__xludf.DUMMYFUNCTION("""COMPUTED_VALUE"""),"Validation Time")</f>
        <v>Validation Time</v>
      </c>
      <c r="I5" s="21" t="str">
        <f>IFERROR(__xludf.DUMMYFUNCTION("""COMPUTED_VALUE"""),"OrderId")</f>
        <v>OrderId</v>
      </c>
      <c r="J5" s="21" t="str">
        <f>IFERROR(__xludf.DUMMYFUNCTION("""COMPUTED_VALUE"""),"Status")</f>
        <v>Status</v>
      </c>
      <c r="K5" s="21" t="str">
        <f>IFERROR(__xludf.DUMMYFUNCTION("""COMPUTED_VALUE"""),"Description")</f>
        <v>Description</v>
      </c>
      <c r="L5" s="21" t="str">
        <f>IFERROR(__xludf.DUMMYFUNCTION("""COMPUTED_VALUE"""),"Dimension")</f>
        <v>Dimension</v>
      </c>
      <c r="M5" s="21" t="str">
        <f>IFERROR(__xludf.DUMMYFUNCTION("""COMPUTED_VALUE"""),"Rule Deleted")</f>
        <v>Rule Deleted</v>
      </c>
      <c r="N5" s="21" t="str">
        <f>IFERROR(__xludf.DUMMYFUNCTION("""COMPUTED_VALUE"""),"PreTrade Type")</f>
        <v>PreTrade Type</v>
      </c>
      <c r="O5" s="21" t="str">
        <f>IFERROR(__xludf.DUMMYFUNCTION("""COMPUTED_VALUE"""),"Compliance Officer Notes")</f>
        <v>Compliance Officer Notes</v>
      </c>
      <c r="P5" s="21" t="str">
        <f>IFERROR(__xludf.DUMMYFUNCTION("""COMPUTED_VALUE"""),"User Notes")</f>
        <v>User Notes</v>
      </c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</row>
    <row r="6" ht="15.75" customHeight="1">
      <c r="A6" s="6"/>
      <c r="B6" s="6" t="s">
        <v>21</v>
      </c>
      <c r="C6" s="6" t="s">
        <v>35</v>
      </c>
      <c r="D6" s="6" t="s">
        <v>50</v>
      </c>
      <c r="E6" s="6" t="s">
        <v>43</v>
      </c>
      <c r="F6" s="6" t="s">
        <v>51</v>
      </c>
      <c r="G6" s="6" t="s">
        <v>44</v>
      </c>
      <c r="H6" s="24"/>
      <c r="I6" s="6"/>
      <c r="J6" s="6" t="s">
        <v>52</v>
      </c>
      <c r="K6" s="6" t="s">
        <v>53</v>
      </c>
      <c r="L6" s="6" t="s">
        <v>25</v>
      </c>
      <c r="M6" s="6"/>
      <c r="N6" s="6" t="s">
        <v>51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54</v>
      </c>
      <c r="D3" s="4" t="s">
        <v>9</v>
      </c>
      <c r="E3" s="10" t="s">
        <v>55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IFERROR(__xludf.DUMMYFUNCTION("IF(C3="""","""",Transpose(IMPORTRANGE('_Settings'!$B$3,C3&amp;""!A4:A1000"")))"),"GetDataFromAuditTrail")</f>
        <v>GetDataFromAuditTrail</v>
      </c>
      <c r="C4" s="18" t="str">
        <f>IFERROR(__xludf.DUMMYFUNCTION("""COMPUTED_VALUE"""),"VerifyAuditTrail")</f>
        <v>VerifyAuditTrail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IFERROR(__xludf.DUMMYFUNCTION("""COMPUTED_VALUE"""),"FromDate")</f>
        <v>FromDate</v>
      </c>
      <c r="C5" s="21" t="str">
        <f>IFERROR(__xludf.DUMMYFUNCTION("""COMPUTED_VALUE"""),"ToDate")</f>
        <v>ToDate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15.75" customHeight="1">
      <c r="A6" s="6"/>
      <c r="B6" s="25">
        <f t="shared" ref="B6:C6" si="1">today()</f>
        <v>45854</v>
      </c>
      <c r="C6" s="25">
        <f t="shared" si="1"/>
        <v>45854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54</v>
      </c>
      <c r="D3" s="4" t="s">
        <v>9</v>
      </c>
      <c r="E3" s="10" t="s">
        <v>56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ht="15.75" customHeight="1">
      <c r="A4" s="18"/>
      <c r="B4" s="18" t="str">
        <f>IFERROR(__xludf.DUMMYFUNCTION("IF(C3="""","""",Transpose(IMPORTRANGE('_Settings'!$B$3,C3&amp;""!A4:A1000"")))"),"GetDataFromAuditTrail")</f>
        <v>GetDataFromAuditTrail</v>
      </c>
      <c r="C4" s="18" t="str">
        <f>IFERROR(__xludf.DUMMYFUNCTION("""COMPUTED_VALUE"""),"VerifyAuditTrail")</f>
        <v>VerifyAuditTrail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IFERROR(__xludf.DUMMYFUNCTION("""COMPUTED_VALUE"""),"Action Time (UTC)")</f>
        <v>Action Time (UTC)</v>
      </c>
      <c r="C5" s="21" t="str">
        <f>IFERROR(__xludf.DUMMYFUNCTION("""COMPUTED_VALUE"""),"Symbol")</f>
        <v>Symbol</v>
      </c>
      <c r="D5" s="21" t="str">
        <f>IFERROR(__xludf.DUMMYFUNCTION("""COMPUTED_VALUE"""),"Order Side")</f>
        <v>Order Side</v>
      </c>
      <c r="E5" s="21" t="str">
        <f>IFERROR(__xludf.DUMMYFUNCTION("""COMPUTED_VALUE"""),"Account Name")</f>
        <v>Account Name</v>
      </c>
      <c r="F5" s="21" t="str">
        <f>IFERROR(__xludf.DUMMYFUNCTION("""COMPUTED_VALUE"""),"Action")</f>
        <v>Action</v>
      </c>
      <c r="G5" s="21" t="str">
        <f>IFERROR(__xludf.DUMMYFUNCTION("""COMPUTED_VALUE"""),"Original Value")</f>
        <v>Original Value</v>
      </c>
      <c r="H5" s="21" t="str">
        <f>IFERROR(__xludf.DUMMYFUNCTION("""COMPUTED_VALUE"""),"New Value")</f>
        <v>New Value</v>
      </c>
      <c r="I5" s="21" t="str">
        <f>IFERROR(__xludf.DUMMYFUNCTION("""COMPUTED_VALUE"""),"Comment")</f>
        <v>Comment</v>
      </c>
      <c r="J5" s="21" t="str">
        <f>IFERROR(__xludf.DUMMYFUNCTION("""COMPUTED_VALUE"""),"Company User")</f>
        <v>Company User</v>
      </c>
      <c r="K5" s="21" t="str">
        <f>IFERROR(__xludf.DUMMYFUNCTION("""COMPUTED_VALUE"""),"TaxlotId")</f>
        <v>TaxlotId</v>
      </c>
      <c r="L5" s="21" t="str">
        <f>IFERROR(__xludf.DUMMYFUNCTION("""COMPUTED_VALUE"""),"GroupId")</f>
        <v>GroupId</v>
      </c>
      <c r="M5" s="21" t="str">
        <f>IFERROR(__xludf.DUMMYFUNCTION("""COMPUTED_VALUE"""),"Action Time")</f>
        <v>Action Time</v>
      </c>
      <c r="N5" s="21" t="str">
        <f>IFERROR(__xludf.DUMMYFUNCTION("""COMPUTED_VALUE"""),"ParentOrderId")</f>
        <v>ParentOrderId</v>
      </c>
      <c r="O5" s="21" t="str">
        <f>IFERROR(__xludf.DUMMYFUNCTION("""COMPUTED_VALUE"""),"OrderId")</f>
        <v>OrderId</v>
      </c>
      <c r="P5" s="21" t="str">
        <f>IFERROR(__xludf.DUMMYFUNCTION("""COMPUTED_VALUE"""),"Source")</f>
        <v>Source</v>
      </c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ht="15.75" customHeight="1">
      <c r="A6" s="6"/>
      <c r="B6" s="6"/>
      <c r="C6" s="26" t="s">
        <v>25</v>
      </c>
      <c r="D6" s="26" t="s">
        <v>26</v>
      </c>
      <c r="E6" s="26" t="s">
        <v>27</v>
      </c>
      <c r="F6" s="26" t="s">
        <v>57</v>
      </c>
      <c r="G6" s="6"/>
      <c r="H6" s="6"/>
      <c r="I6" s="26" t="s">
        <v>58</v>
      </c>
      <c r="J6" s="26" t="s">
        <v>59</v>
      </c>
      <c r="K6" s="6"/>
      <c r="L6" s="6"/>
      <c r="M6" s="27"/>
      <c r="N6" s="28"/>
      <c r="O6" s="26"/>
      <c r="P6" s="29" t="s">
        <v>51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60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 t="str">
        <f>IFERROR(__xludf.DUMMYFUNCTION("""COMPUTED_VALUE"""),"ManageHotButton")</f>
        <v>ManageHotButton</v>
      </c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2")</f>
        <v>Trade Attribute 2</v>
      </c>
      <c r="R5" s="21" t="str">
        <f>IFERROR(__xludf.DUMMYFUNCTION("""COMPUTED_VALUE"""),"Trade Attribute 1")</f>
        <v>Trade Attribute 1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IFERROR(__xludf.DUMMYFUNCTION("""COMPUTED_VALUE"""),"Quantity")</f>
        <v>Quantity</v>
      </c>
      <c r="AM5" s="22" t="str">
        <f>IFERROR(__xludf.DUMMYFUNCTION("""COMPUTED_VALUE"""),"Executed Qty")</f>
        <v>Executed Qty</v>
      </c>
      <c r="AN5" s="22" t="str">
        <f>IFERROR(__xludf.DUMMYFUNCTION("""COMPUTED_VALUE"""),"Day Executed Qty")</f>
        <v>Day Executed Qty</v>
      </c>
      <c r="AO5" s="22" t="str">
        <f>IFERROR(__xludf.DUMMYFUNCTION("""COMPUTED_VALUE"""),"Last Fill Price (Local)")</f>
        <v>Last Fill Price (Local)</v>
      </c>
      <c r="AP5" s="22" t="str">
        <f>IFERROR(__xludf.DUMMYFUNCTION("""COMPUTED_VALUE"""),"Avg Fill Price (Local)")</f>
        <v>Avg Fill Price (Local)</v>
      </c>
      <c r="AQ5" s="22" t="str">
        <f>IFERROR(__xludf.DUMMYFUNCTION("""COMPUTED_VALUE"""),"Broker")</f>
        <v>Broker</v>
      </c>
      <c r="AR5" s="22" t="str">
        <f>IFERROR(__xludf.DUMMYFUNCTION("""COMPUTED_VALUE"""),"Account")</f>
        <v>Account</v>
      </c>
      <c r="AS5" s="22" t="str">
        <f>IFERROR(__xludf.DUMMYFUNCTION("""COMPUTED_VALUE"""),"Order Type")</f>
        <v>Order Type</v>
      </c>
      <c r="AT5" s="22" t="str">
        <f>IFERROR(__xludf.DUMMYFUNCTION("""COMPUTED_VALUE"""),"Principal Amount (Local)")</f>
        <v>Principal Amount (Local)</v>
      </c>
      <c r="AU5" s="22" t="str">
        <f>IFERROR(__xludf.DUMMYFUNCTION("""COMPUTED_VALUE"""),"Principal Amount (Base)")</f>
        <v>Principal Amount (Base)</v>
      </c>
      <c r="AV5" s="22" t="str">
        <f>IFERROR(__xludf.DUMMYFUNCTION("""COMPUTED_VALUE"""),"Allocation Scheme Name")</f>
        <v>Allocation Scheme Name</v>
      </c>
      <c r="AW5" s="22" t="str">
        <f>IFERROR(__xludf.DUMMYFUNCTION("""COMPUTED_VALUE"""),"Status (With Rollover)")</f>
        <v>Status (With Rollover)</v>
      </c>
      <c r="AX5" s="22" t="str">
        <f>IFERROR(__xludf.DUMMYFUNCTION("""COMPUTED_VALUE"""),"Unexecuted Qty")</f>
        <v>Unexecuted Qty</v>
      </c>
      <c r="AY5" s="22" t="str">
        <f>IFERROR(__xludf.DUMMYFUNCTION("""COMPUTED_VALUE"""),"Strategy")</f>
        <v>Strategy</v>
      </c>
      <c r="AZ5" s="22" t="str">
        <f>IFERROR(__xludf.DUMMYFUNCTION("""COMPUTED_VALUE"""),"Actual User")</f>
        <v>Actual User</v>
      </c>
      <c r="BA5" s="22" t="str">
        <f>IFERROR(__xludf.DUMMYFUNCTION("""COMPUTED_VALUE"""),"% Completed")</f>
        <v>% Completed</v>
      </c>
      <c r="BB5" s="22" t="str">
        <f>IFERROR(__xludf.DUMMYFUNCTION("""COMPUTED_VALUE"""),"MandatoryColumn")</f>
        <v>MandatoryColumn</v>
      </c>
      <c r="BC5" s="22" t="str">
        <f>IFERROR(__xludf.DUMMYFUNCTION("""COMPUTED_VALUE"""),"Expiry Date")</f>
        <v>Expiry Date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</row>
    <row r="6" ht="15.75" customHeight="1">
      <c r="A6" s="6"/>
      <c r="B6" s="6"/>
      <c r="C6" s="6"/>
      <c r="D6" s="6"/>
      <c r="E6" s="6"/>
      <c r="F6" s="6"/>
      <c r="G6" s="6"/>
      <c r="H6" s="6" t="s">
        <v>61</v>
      </c>
      <c r="I6" s="6"/>
      <c r="J6" s="6"/>
      <c r="K6" s="6"/>
      <c r="L6" s="6"/>
      <c r="M6" s="6"/>
      <c r="N6" s="6"/>
      <c r="O6" s="6"/>
      <c r="U6" s="8" t="s">
        <v>62</v>
      </c>
      <c r="AD6" s="8">
        <v>1.0</v>
      </c>
      <c r="AF6" s="8" t="s">
        <v>63</v>
      </c>
      <c r="AH6" s="8" t="s">
        <v>64</v>
      </c>
      <c r="AI6" s="8" t="s">
        <v>25</v>
      </c>
      <c r="AJ6" s="8" t="s">
        <v>26</v>
      </c>
      <c r="AK6" s="8" t="s">
        <v>65</v>
      </c>
      <c r="AL6" s="8">
        <v>50.0</v>
      </c>
      <c r="AQ6" s="8" t="s">
        <v>66</v>
      </c>
      <c r="AR6" s="8" t="s">
        <v>27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