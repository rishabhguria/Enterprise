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AddSymbolToWatchlist" sheetId="6" r:id="rId8"/>
    <sheet state="visible" name="TradeFromWatchlist" sheetId="7" r:id="rId9"/>
    <sheet state="visible" name="TradePTT" sheetId="8" r:id="rId10"/>
    <sheet state="visible" name="SelectTrade" sheetId="9" r:id="rId11"/>
    <sheet state="visible" name="CreateLiveOrder" sheetId="10" r:id="rId12"/>
    <sheet state="visible" name="ExecuteTrade" sheetId="11" r:id="rId13"/>
    <sheet state="visible" name="AcknowledgeTrade" sheetId="12" r:id="rId14"/>
    <sheet state="visible" name="VerifyOrder" sheetId="13" r:id="rId15"/>
  </sheets>
  <definedNames/>
  <calcPr/>
</workbook>
</file>

<file path=xl/sharedStrings.xml><?xml version="1.0" encoding="utf-8"?>
<sst xmlns="http://schemas.openxmlformats.org/spreadsheetml/2006/main" count="106" uniqueCount="38">
  <si>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</si>
  <si>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</si>
  <si>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</si>
  <si>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</si>
  <si>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</si>
  <si>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</si>
  <si>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</si>
  <si>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</si>
  <si>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</si>
  <si>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</si>
  <si>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</si>
  <si>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</si>
  <si>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</si>
  <si>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</si>
  <si>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</si>
  <si>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</si>
  <si>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</si>
  <si>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</si>
  <si>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</si>
  <si>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PricingInput</t>
  </si>
  <si>
    <t>Watchlist</t>
  </si>
  <si>
    <t>AddSymbolToWatchlist</t>
  </si>
  <si>
    <t>TradeFromWatchlist</t>
  </si>
  <si>
    <t>Adjust</t>
  </si>
  <si>
    <t>PTT</t>
  </si>
  <si>
    <t>TradePTT</t>
  </si>
  <si>
    <t>Increase</t>
  </si>
  <si>
    <t>Percentage</t>
  </si>
  <si>
    <t>Simulator</t>
  </si>
  <si>
    <t>SelectTrade</t>
  </si>
  <si>
    <t>CreateLiveOrder</t>
  </si>
  <si>
    <t>MS</t>
  </si>
  <si>
    <t>Market</t>
  </si>
  <si>
    <t>ExecuteTrade</t>
  </si>
  <si>
    <t>AcknowledgeTrade</t>
  </si>
  <si>
    <t>Blotter</t>
  </si>
  <si>
    <t>VerifyOrder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</si>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</sst>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100.0</v>
      </c>
      <c r="E6" s="32"/>
      <c r="F6" s="32" t="s">
        <v>18</v>
      </c>
      <c r="G6" s="32"/>
      <c r="H6" s="32"/>
      <c r="I6" s="32"/>
      <c r="J6" s="34">
        <v>2.0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4">
        <v>10.0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IFERROR(__xludf.DUMMYFUNCTION("IF(C3="""","""",Transpose(IMPORTRANGE('_Settings'!$B$3,C3&amp;""!A4:A1000"")))"),"VerifySymbolsOnWatchlist")</f>
        <v>VerifySymbolsOnWatchlist</v>
      </c>
      <c r="C4" s="25" t="str">
        <f>IFERROR(__xludf.DUMMYFUNCTION("""COMPUTED_VALUE"""),"DeleteSymbolFromWatchlist")</f>
        <v>DeleteSymbolFromWatchlist</v>
      </c>
      <c r="D4" s="25" t="str">
        <f>IFERROR(__xludf.DUMMYFUNCTION("""COMPUTED_VALUE"""),"MultiTradeFromWatchlist")</f>
        <v>MultiTradeFromWatchlist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IFERROR(__xludf.DUMMYFUNCTION("""COMPUTED_VALUE"""),"AddSymbolToWatchlist")</f>
        <v>AddSymbolToWatchlist</v>
      </c>
      <c r="G4" s="25" t="str">
        <f>IFERROR(__xludf.DUMMYFUNCTION("""COMPUTED_VALUE"""),"DeleteTabOnWatchlist")</f>
        <v>DeleteTabOnWatchlist</v>
      </c>
      <c r="H4" s="25" t="str">
        <f>IFERROR(__xludf.DUMMYFUNCTION("""COMPUTED_VALUE"""),"AddTabOnWatchlist")</f>
        <v>AddTabOnWatchlist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AddSymbolToWatchlist!$4:$4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IFERROR(__xludf.DUMMYFUNCTION("IF(C3="""","""",Transpose(IMPORTRANGE('_Settings'!$B$3,C3&amp;""!A4:A1000"")))"),"VerifySymbolsOnWatchlist")</f>
        <v>VerifySymbolsOnWatchlist</v>
      </c>
      <c r="C4" s="25" t="str">
        <f>IFERROR(__xludf.DUMMYFUNCTION("""COMPUTED_VALUE"""),"DeleteSymbolFromWatchlist")</f>
        <v>DeleteSymbolFromWatchlist</v>
      </c>
      <c r="D4" s="25" t="str">
        <f>IFERROR(__xludf.DUMMYFUNCTION("""COMPUTED_VALUE"""),"MultiTradeFromWatchlist")</f>
        <v>MultiTradeFromWatchlist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IFERROR(__xludf.DUMMYFUNCTION("""COMPUTED_VALUE"""),"AddSymbolToWatchlist")</f>
        <v>AddSymbolToWatchlist</v>
      </c>
      <c r="G4" s="25" t="str">
        <f>IFERROR(__xludf.DUMMYFUNCTION("""COMPUTED_VALUE"""),"DeleteTabOnWatchlist")</f>
        <v>DeleteTabOnWatchlist</v>
      </c>
      <c r="H4" s="25" t="str">
        <f>IFERROR(__xludf.DUMMYFUNCTION("""COMPUTED_VALUE"""),"AddTabOnWatchlist")</f>
        <v>AddTabOnWatchlist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23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TradeFromWatchlist!$4:$4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IFERROR(__xludf.DUMMYFUNCTION("""COMPUTED_VALUE"""),"MTT POP UP?")</f>
        <v>MTT POP UP?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26</v>
      </c>
      <c r="D6" s="31" t="s">
        <v>27</v>
      </c>
      <c r="E6" s="34">
        <v>10.0</v>
      </c>
      <c r="F6" s="32"/>
      <c r="G6" s="32"/>
      <c r="H6" s="32"/>
      <c r="I6" s="32" t="s">
        <v>18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8.0</v>
      </c>
      <c r="E6" s="35"/>
      <c r="F6" s="8"/>
      <c r="G6" s="13" t="s">
        <v>31</v>
      </c>
      <c r="H6" s="8"/>
      <c r="I6" s="13" t="s">
        <v>32</v>
      </c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8.0</v>
      </c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37</v>
      </c>
      <c r="AL6" s="9">
        <v>8.0</v>
      </c>
      <c r="AM6" s="9">
        <v>8.0</v>
      </c>
      <c r="AS6" s="9" t="s">
        <v>31</v>
      </c>
      <c r="AT6" s="9" t="s">
        <v>18</v>
      </c>
      <c r="AU6" s="9" t="s">
        <v>32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