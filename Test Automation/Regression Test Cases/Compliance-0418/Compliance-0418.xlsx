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ComplianceAlert" sheetId="5" r:id="rId7"/>
    <sheet state="visible" name="RestartReleasesAndServices" sheetId="6" r:id="rId8"/>
    <sheet state="visible" name="CreateComplianceOrder" sheetId="7" r:id="rId9"/>
    <sheet state="visible" name="VerifyComplianceOrder" sheetId="8" r:id="rId10"/>
    <sheet state="visible" name="SelectTradeOnOrderGrid" sheetId="9" r:id="rId11"/>
    <sheet state="visible" name="RightClickAndClickOperations" sheetId="10" r:id="rId12"/>
    <sheet state="visible" name="CreateComplianceOrder1" sheetId="11" r:id="rId13"/>
    <sheet state="visible" name="VerifyComplianceOrder1" sheetId="12" r:id="rId14"/>
    <sheet state="visible" name="SelectTradeOnOrderGrid1" sheetId="13" r:id="rId15"/>
  </sheets>
  <definedNames/>
  <calcPr/>
</workbook>
</file>

<file path=xl/sharedStrings.xml><?xml version="1.0" encoding="utf-8"?>
<sst xmlns="http://schemas.openxmlformats.org/spreadsheetml/2006/main" count="114" uniqueCount="43">
  <si>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</si>
  <si>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</si>
  <si>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</si>
  <si>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</si>
  <si>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</si>
  <si>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</si>
  <si>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</si>
  <si>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</si>
  <si>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</si>
  <si>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</si>
  <si>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</si>
  <si>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</si>
  <si>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</si>
  <si>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</si>
  <si>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</si>
  <si>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</si>
  <si>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</si>
  <si>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</si>
  <si>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SetComplianceAlert</t>
  </si>
  <si>
    <t>Compliance</t>
  </si>
  <si>
    <t>RestartReleasesAndServices</t>
  </si>
  <si>
    <t>No</t>
  </si>
  <si>
    <t>TradingTicket</t>
  </si>
  <si>
    <t>CreateComplianceOrder</t>
  </si>
  <si>
    <t>AAPL</t>
  </si>
  <si>
    <t>Buy</t>
  </si>
  <si>
    <t>Allocation1</t>
  </si>
  <si>
    <t>Send</t>
  </si>
  <si>
    <t>VerifyComplianceOrder</t>
  </si>
  <si>
    <t>Requires Approval</t>
  </si>
  <si>
    <t>Enter Summary</t>
  </si>
  <si>
    <t>quantity: 100.00, Symbol: AAPL</t>
  </si>
  <si>
    <t>Compliance Officer - Please Approve</t>
  </si>
  <si>
    <t>Blotter</t>
  </si>
  <si>
    <t>SelectTradeOnOrderGrid</t>
  </si>
  <si>
    <t>New</t>
  </si>
  <si>
    <t>Unknown</t>
  </si>
  <si>
    <t>RightClickAndClickOperations</t>
  </si>
  <si>
    <t>Trade (New Sub)</t>
  </si>
  <si>
    <t>OrderBlotterGrid</t>
  </si>
  <si>
    <t>DoneAway</t>
  </si>
  <si>
    <t>quantity: 101.00, Symbol: AAPL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</si>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</sst>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1</v>
      </c>
      <c r="F6" s="13" t="b">
        <v>1</v>
      </c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100.0</v>
      </c>
      <c r="E6" s="31"/>
      <c r="F6" s="13" t="s">
        <v>26</v>
      </c>
      <c r="G6" s="8"/>
      <c r="H6" s="8"/>
      <c r="I6" s="8"/>
      <c r="J6" s="13">
        <v>12.0</v>
      </c>
      <c r="K6" s="8"/>
      <c r="L6" s="8"/>
      <c r="M6" s="8"/>
      <c r="N6" s="8"/>
      <c r="O6" s="8"/>
      <c r="AX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16</v>
      </c>
      <c r="D6" s="13" t="s">
        <v>30</v>
      </c>
      <c r="E6" s="13" t="s">
        <v>24</v>
      </c>
      <c r="F6" s="13">
        <v>-123.0</v>
      </c>
      <c r="G6" s="13">
        <v>100.0</v>
      </c>
      <c r="H6" s="13" t="s">
        <v>31</v>
      </c>
      <c r="I6" s="13" t="s">
        <v>32</v>
      </c>
      <c r="J6" s="8"/>
      <c r="K6" s="13" t="s">
        <v>27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24</v>
      </c>
      <c r="F6" s="13" t="s">
        <v>25</v>
      </c>
      <c r="G6" s="13" t="s">
        <v>35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IFERROR(__xludf.DUMMYFUNCTION("IF(C3="""","""",Transpose(IMPORTRANGE('_Settings'!$B$3,C3&amp;""!A4:A1000"")))"),"RightClickAndClickOperations")</f>
        <v>RightClickAndClickOperations</v>
      </c>
      <c r="C4" s="25" t="str">
        <f>IFERROR(__xludf.DUMMYFUNCTION("""COMPUTED_VALUE"""),"CheckModStatus")</f>
        <v>CheckModStatus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IFERROR(__xludf.DUMMYFUNCTION("""COMPUTED_VALUE"""),"GridName")</f>
        <v>GridName</v>
      </c>
      <c r="D5" s="28" t="str">
        <f>IFERROR(__xludf.DUMMYFUNCTION("""COMPUTED_VALUE"""),"PopUpsParentNames")</f>
        <v>PopUpsParentNames</v>
      </c>
      <c r="E5" s="28" t="str">
        <f>IFERROR(__xludf.DUMMYFUNCTION("""COMPUTED_VALUE"""),"SecondaryActions")</f>
        <v>SecondaryActions</v>
      </c>
      <c r="F5" s="29" t="str">
        <f>IFERROR(__xludf.DUMMYFUNCTION("""COMPUTED_VALUE"""),"Popups Text(empty AutomationID)")</f>
        <v>Popups Text(empty AutomationID)</v>
      </c>
      <c r="G5" s="28" t="str">
        <f>IFERROR(__xludf.DUMMYFUNCTION("""COMPUTED_VALUE"""),"Expected Popups(AutomationID)")</f>
        <v>Expected Popups(AutomationID)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39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RightClickAndClickOperations!$4:$4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101.0</v>
      </c>
      <c r="E6" s="31"/>
      <c r="F6" s="13" t="s">
        <v>26</v>
      </c>
      <c r="G6" s="8"/>
      <c r="H6" s="8"/>
      <c r="I6" s="8"/>
      <c r="J6" s="13">
        <v>12.0</v>
      </c>
      <c r="K6" s="8"/>
      <c r="L6" s="8"/>
      <c r="M6" s="8"/>
      <c r="N6" s="8"/>
      <c r="O6" s="8"/>
      <c r="AX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16</v>
      </c>
      <c r="D6" s="13" t="s">
        <v>30</v>
      </c>
      <c r="E6" s="13" t="s">
        <v>24</v>
      </c>
      <c r="F6" s="13">
        <v>-123.0</v>
      </c>
      <c r="G6" s="13">
        <v>101.0</v>
      </c>
      <c r="H6" s="13" t="s">
        <v>41</v>
      </c>
      <c r="I6" s="13" t="s">
        <v>32</v>
      </c>
      <c r="J6" s="8"/>
      <c r="K6" s="13" t="s">
        <v>27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12.0</v>
      </c>
      <c r="C6" s="8"/>
      <c r="D6" s="13" t="s">
        <v>24</v>
      </c>
      <c r="F6" s="13" t="s">
        <v>25</v>
      </c>
      <c r="G6" s="13" t="s">
        <v>42</v>
      </c>
      <c r="H6" s="13">
        <v>101.0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