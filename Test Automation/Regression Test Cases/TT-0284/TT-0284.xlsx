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TradingComplianceRul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AddCalculatedPreferences1" sheetId="9" r:id="rId11"/>
    <sheet state="visible" name="SetDefaultRuleCalculatedPref1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ilyCash" sheetId="15" r:id="rId17"/>
    <sheet state="visible" name="UpdateMultipleDailyCash" sheetId="16" r:id="rId18"/>
    <sheet state="visible" name="PricingInput" sheetId="17" r:id="rId19"/>
  </sheets>
  <definedNames/>
  <calcPr/>
</workbook>
</file>

<file path=xl/sharedStrings.xml><?xml version="1.0" encoding="utf-8"?>
<sst xmlns="http://schemas.openxmlformats.org/spreadsheetml/2006/main" count="152" uniqueCount="48">
  <si>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</si>
  <si>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</si>
  <si>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</si>
  <si>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</si>
  <si>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</si>
  <si>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</si>
  <si>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</si>
  <si>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</si>
  <si>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</si>
  <si>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</si>
  <si>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</si>
  <si>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</si>
  <si>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</si>
  <si>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</si>
  <si>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</si>
  <si>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</si>
  <si>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</si>
  <si>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</si>
  <si>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</si>
  <si>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</si>
  <si>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</si>
  <si>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</si>
  <si>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Admin</t>
  </si>
  <si>
    <t>SetTradingComplianceRules</t>
  </si>
  <si>
    <t>Allocation</t>
  </si>
  <si>
    <t>AddCalculatedPreferences</t>
  </si>
  <si>
    <t>PrefStrategy</t>
  </si>
  <si>
    <t>SetAccountValueCalculatedPref</t>
  </si>
  <si>
    <t>SetDefaultRuleCalculatedPref</t>
  </si>
  <si>
    <t>Trade Quantity</t>
  </si>
  <si>
    <t>Current Preference</t>
  </si>
  <si>
    <t>PrefStrategy1</t>
  </si>
  <si>
    <t>Leveling</t>
  </si>
  <si>
    <t>Allocation1,Allocation4</t>
  </si>
  <si>
    <t>Sell</t>
  </si>
  <si>
    <t>Blotter</t>
  </si>
  <si>
    <t>SelectTradeOnOrderGrid</t>
  </si>
  <si>
    <t>Filled</t>
  </si>
  <si>
    <t>MS</t>
  </si>
  <si>
    <t>Market</t>
  </si>
  <si>
    <t>ReplaceSubOrder</t>
  </si>
  <si>
    <t>NASDAQ</t>
  </si>
  <si>
    <t>CreateReplaceOrder</t>
  </si>
  <si>
    <t>DailyValuation</t>
  </si>
  <si>
    <t>GetDailyCash</t>
  </si>
  <si>
    <t>UpdateMultipleDailyCash</t>
  </si>
  <si>
    <t>USD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</si>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</sst>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6" fontId="14" numFmtId="14" xfId="0" applyFill="1" applyFont="1" applyNumberFormat="1"/>
    <xf borderId="0" fillId="0" fontId="5" numFmtId="164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300.0</v>
      </c>
      <c r="E6" s="34"/>
      <c r="F6" s="31" t="s">
        <v>18</v>
      </c>
      <c r="G6" s="31"/>
      <c r="H6" s="31"/>
      <c r="I6" s="31"/>
      <c r="J6" s="34">
        <v>10.0</v>
      </c>
      <c r="K6" s="31"/>
      <c r="L6" s="31"/>
      <c r="M6" s="31"/>
      <c r="N6" s="35">
        <f t="shared" ref="N6:N9" si="1">TODAY()-2</f>
        <v>44996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1" t="s">
        <v>17</v>
      </c>
      <c r="D7" s="33">
        <v>200.0</v>
      </c>
      <c r="E7" s="34"/>
      <c r="F7" s="32" t="s">
        <v>19</v>
      </c>
      <c r="G7" s="31"/>
      <c r="H7" s="31"/>
      <c r="I7" s="31"/>
      <c r="J7" s="34">
        <v>10.0</v>
      </c>
      <c r="K7" s="31"/>
      <c r="L7" s="31"/>
      <c r="M7" s="31"/>
      <c r="N7" s="36">
        <f t="shared" si="1"/>
        <v>44996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16</v>
      </c>
      <c r="C8" s="31" t="s">
        <v>17</v>
      </c>
      <c r="D8" s="33">
        <v>100.0</v>
      </c>
      <c r="E8" s="34"/>
      <c r="F8" s="32" t="s">
        <v>20</v>
      </c>
      <c r="G8" s="31"/>
      <c r="H8" s="31"/>
      <c r="I8" s="31"/>
      <c r="J8" s="34">
        <v>10.0</v>
      </c>
      <c r="K8" s="31"/>
      <c r="L8" s="31"/>
      <c r="M8" s="31"/>
      <c r="N8" s="36">
        <f t="shared" si="1"/>
        <v>44996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16</v>
      </c>
      <c r="C9" s="31" t="s">
        <v>17</v>
      </c>
      <c r="D9" s="33">
        <v>400.0</v>
      </c>
      <c r="E9" s="34"/>
      <c r="F9" s="32" t="s">
        <v>21</v>
      </c>
      <c r="G9" s="31"/>
      <c r="H9" s="31"/>
      <c r="I9" s="31"/>
      <c r="J9" s="34">
        <v>10.0</v>
      </c>
      <c r="K9" s="31"/>
      <c r="L9" s="31"/>
      <c r="M9" s="31"/>
      <c r="N9" s="36">
        <f t="shared" si="1"/>
        <v>44996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13" t="b">
        <v>1</v>
      </c>
      <c r="E6" s="8"/>
      <c r="F6" s="8"/>
      <c r="G6" s="8"/>
      <c r="H6" s="13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20</v>
      </c>
      <c r="D6" s="13">
        <v>80.0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19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8"/>
      <c r="D6" s="13" t="s">
        <v>30</v>
      </c>
      <c r="E6" s="8"/>
      <c r="F6" s="8"/>
      <c r="G6" s="13" t="b">
        <v>0</v>
      </c>
      <c r="H6" s="13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32</v>
      </c>
      <c r="E6" s="13" t="s">
        <v>33</v>
      </c>
      <c r="F6" s="8"/>
      <c r="G6" s="13" t="b">
        <v>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34</v>
      </c>
      <c r="D6" s="33">
        <v>1000.0</v>
      </c>
      <c r="E6" s="34"/>
      <c r="F6" s="13" t="s">
        <v>31</v>
      </c>
      <c r="G6" s="31"/>
      <c r="H6" s="31"/>
      <c r="I6" s="31"/>
      <c r="J6" s="33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 t="s">
        <v>16</v>
      </c>
      <c r="E6" s="8"/>
      <c r="F6" s="13" t="s">
        <v>34</v>
      </c>
      <c r="G6" s="13" t="s">
        <v>37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38</v>
      </c>
      <c r="T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41</v>
      </c>
      <c r="I6" s="8"/>
      <c r="J6" s="8"/>
      <c r="K6" s="8"/>
      <c r="L6" s="8"/>
      <c r="M6" s="8"/>
      <c r="N6" s="8"/>
      <c r="O6" s="8"/>
      <c r="AE6" s="9">
        <v>1.0</v>
      </c>
      <c r="AJ6" s="9" t="s">
        <v>16</v>
      </c>
      <c r="AK6" s="13" t="s">
        <v>34</v>
      </c>
      <c r="AL6" s="9" t="s">
        <v>37</v>
      </c>
      <c r="AM6" s="9">
        <v>1000.0</v>
      </c>
      <c r="AN6" s="9">
        <v>1000.0</v>
      </c>
      <c r="A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8"/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44997</v>
      </c>
      <c r="C6" s="37">
        <f t="shared" si="1"/>
        <v>44997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46</v>
      </c>
      <c r="D6" s="38">
        <v>9997000.0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46</v>
      </c>
      <c r="D7" s="33">
        <v>7996000.0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