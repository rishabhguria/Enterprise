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heckPortfolioManagement" sheetId="5" r:id="rId7"/>
    <sheet state="visible" name="GroupRowPM" sheetId="6" r:id="rId8"/>
    <sheet state="visible" name="ClosePositionFromPM" sheetId="7" r:id="rId9"/>
    <sheet state="visible" name="CreateDoneAwayOrder1" sheetId="8" r:id="rId10"/>
    <sheet state="visible" name="GetDataClosing" sheetId="9" r:id="rId11"/>
    <sheet state="visible" name="VerifyLongPositionsGrid" sheetId="10" r:id="rId12"/>
    <sheet state="visible" name="VerifyShortPositionsGrid" sheetId="11" r:id="rId13"/>
    <sheet state="visible" name="AutomaticClosing" sheetId="12" r:id="rId14"/>
    <sheet state="visible" name="VerifyClosedTrades" sheetId="13" r:id="rId15"/>
    <sheet state="visible" name="VerifyWorkingSubs" sheetId="14" r:id="rId16"/>
    <sheet state="visible" name="GetDataAllocation" sheetId="15" r:id="rId17"/>
    <sheet state="visible" name="CheckAllocatedGroups" sheetId="16" r:id="rId18"/>
    <sheet state="visible" name="CheckPortfolioManagement1" sheetId="17" r:id="rId19"/>
  </sheets>
  <definedNames/>
  <calcPr/>
</workbook>
</file>

<file path=xl/sharedStrings.xml><?xml version="1.0" encoding="utf-8"?>
<sst xmlns="http://schemas.openxmlformats.org/spreadsheetml/2006/main" count="235" uniqueCount="51">
  <si>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</si>
  <si>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</si>
  <si>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</si>
  <si>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</si>
  <si>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</si>
  <si>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</si>
  <si>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</si>
  <si>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</si>
  <si>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</si>
  <si>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</si>
  <si>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</si>
  <si>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</si>
  <si>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</si>
  <si>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</si>
  <si>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</si>
  <si>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</si>
  <si>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EDV-TC</t>
  </si>
  <si>
    <t>Sell</t>
  </si>
  <si>
    <t>Allocation1</t>
  </si>
  <si>
    <t>MS</t>
  </si>
  <si>
    <t>Allocation2</t>
  </si>
  <si>
    <t>PortfolioManagement</t>
  </si>
  <si>
    <t>CheckPortfolioManagement</t>
  </si>
  <si>
    <t>Equity</t>
  </si>
  <si>
    <t>US</t>
  </si>
  <si>
    <t>Long</t>
  </si>
  <si>
    <t>GroupRowPM</t>
  </si>
  <si>
    <t>Symbol</t>
  </si>
  <si>
    <t>ClosePositionFromPM</t>
  </si>
  <si>
    <t>Buy to Close</t>
  </si>
  <si>
    <t>Closing</t>
  </si>
  <si>
    <t>GetDataClosing</t>
  </si>
  <si>
    <t>Current</t>
  </si>
  <si>
    <t>VerifyLongPositionsGrid</t>
  </si>
  <si>
    <t>VerifyShortPositionsGrid</t>
  </si>
  <si>
    <t>AutomaticClosing</t>
  </si>
  <si>
    <t>FIFO</t>
  </si>
  <si>
    <t>None</t>
  </si>
  <si>
    <t>Default</t>
  </si>
  <si>
    <t>VerifyClosedTrades</t>
  </si>
  <si>
    <t>Blotter</t>
  </si>
  <si>
    <t>VerifyWorkingSubs</t>
  </si>
  <si>
    <t xml:space="preserve">Sell </t>
  </si>
  <si>
    <t>Filled</t>
  </si>
  <si>
    <t>Multiple</t>
  </si>
  <si>
    <t>Allocation</t>
  </si>
  <si>
    <t>GetDataAllocation</t>
  </si>
  <si>
    <t>CheckAllocatedGroups</t>
  </si>
  <si>
    <t>Closed</t>
  </si>
  <si>
    <t>Market</t>
  </si>
  <si>
    <t>Short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</si>
</sst>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#,###,###,###,##0.00#############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5" fillId="0" fontId="5" numFmtId="3" xfId="0" applyAlignment="1" applyBorder="1" applyFont="1" applyNumberFormat="1">
      <alignment horizontal="right" readingOrder="0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3" xfId="0" applyAlignment="1" applyFont="1" applyNumberForma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3" xfId="0" applyAlignment="1" applyFont="1" applyNumberForma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readingOrder="0" vertical="bottom"/>
    </xf>
    <xf borderId="5" fillId="0" fontId="5" numFmtId="3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5" fillId="0" fontId="5" numFmtId="4" xfId="0" applyAlignment="1" applyBorder="1" applyFont="1" applyNumberForma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5" numFmtId="3" xfId="0" applyAlignment="1" applyFont="1" applyNumberForma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5" numFmtId="4" xfId="0" applyAlignment="1" applyFont="1" applyNumberFormat="1">
      <alignment horizontal="right" vertical="bottom"/>
    </xf>
    <xf borderId="5" fillId="0" fontId="5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vertical="bottom"/>
    </xf>
    <xf borderId="5" fillId="0" fontId="13" numFmtId="164" xfId="0" applyAlignment="1" applyBorder="1" applyFont="1" applyNumberFormat="1">
      <alignment horizontal="right" vertical="bottom"/>
    </xf>
    <xf borderId="5" fillId="0" fontId="13" numFmtId="0" xfId="0" applyAlignment="1" applyBorder="1" applyFont="1">
      <alignment vertical="bottom"/>
    </xf>
    <xf borderId="0" fillId="0" fontId="13" numFmtId="164" xfId="0" applyAlignment="1" applyFont="1" applyNumberFormat="1">
      <alignment horizontal="right" vertical="bottom"/>
    </xf>
    <xf borderId="0" fillId="0" fontId="1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IFERROR(__xludf.DUMMYFUNCTION("""COMPUTED_VALUE"""),"1nPYQhQ-Gpxk7lgLy_GqUcKiz5fcJpQhrTV5bJyY03qc")</f>
        <v>1nPYQhQ-Gpxk7lgLy_GqUcKiz5fcJpQhrTV5bJyY03qc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IFERROR(__xludf.DUMMYFUNCTION("""COMPUTED_VALUE"""),"Borrow Quantity")</f>
        <v>Borrow Quantity</v>
      </c>
      <c r="AQ5" s="29" t="str">
        <f>IFERROR(__xludf.DUMMYFUNCTION("""COMPUTED_VALUE"""),"ShortLocate")</f>
        <v>ShortLocate</v>
      </c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3">
        <v>50000.0</v>
      </c>
      <c r="E6" s="34">
        <v>50000.0</v>
      </c>
      <c r="F6" s="35" t="s">
        <v>18</v>
      </c>
      <c r="G6" s="35" t="s">
        <v>19</v>
      </c>
      <c r="H6" s="35"/>
      <c r="I6" s="35"/>
      <c r="J6" s="34">
        <v>10.0</v>
      </c>
      <c r="K6" s="35"/>
      <c r="L6" s="35"/>
      <c r="M6" s="35"/>
      <c r="N6" s="35"/>
      <c r="O6" s="35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7" t="s">
        <v>16</v>
      </c>
      <c r="C7" s="38" t="s">
        <v>17</v>
      </c>
      <c r="D7" s="39">
        <v>50000.0</v>
      </c>
      <c r="E7" s="39">
        <v>50000.0</v>
      </c>
      <c r="F7" s="37" t="s">
        <v>20</v>
      </c>
      <c r="G7" s="37" t="s">
        <v>19</v>
      </c>
      <c r="H7" s="37"/>
      <c r="I7" s="37"/>
      <c r="J7" s="39">
        <v>11.0</v>
      </c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Outstanding")</f>
        <v>Shares Outstanding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/>
      <c r="FD5" s="29"/>
      <c r="FE5" s="29"/>
      <c r="FF5" s="29"/>
      <c r="FG5" s="29"/>
      <c r="FH5" s="29"/>
      <c r="FI5" s="29"/>
      <c r="FJ5" s="29"/>
      <c r="FK5" s="29"/>
      <c r="FL5" s="29"/>
    </row>
    <row r="6" ht="15.75" customHeight="1">
      <c r="A6" s="30"/>
      <c r="B6" s="31"/>
      <c r="C6" s="35" t="s">
        <v>16</v>
      </c>
      <c r="D6" s="40">
        <v>-50000.0</v>
      </c>
      <c r="E6" s="35" t="s">
        <v>18</v>
      </c>
      <c r="F6" s="36"/>
      <c r="G6" s="34">
        <v>10.0</v>
      </c>
      <c r="H6" s="36"/>
      <c r="I6" s="36"/>
      <c r="J6" s="36"/>
      <c r="K6" s="34">
        <v>0.0</v>
      </c>
      <c r="L6" s="36"/>
      <c r="M6" s="36"/>
      <c r="N6" s="34">
        <v>0.0</v>
      </c>
      <c r="O6" s="36"/>
      <c r="P6" s="36"/>
      <c r="Q6" s="41">
        <v>0.0</v>
      </c>
      <c r="R6" s="36"/>
      <c r="S6" s="36"/>
      <c r="T6" s="37" t="s">
        <v>23</v>
      </c>
      <c r="U6" s="37" t="s">
        <v>24</v>
      </c>
      <c r="V6" s="37"/>
      <c r="W6" s="37"/>
      <c r="X6" s="37"/>
      <c r="Y6" s="37"/>
      <c r="Z6" s="37"/>
      <c r="AA6" s="37"/>
      <c r="AB6" s="42">
        <v>0.0</v>
      </c>
      <c r="AC6" s="37"/>
      <c r="AD6" s="42">
        <v>0.0</v>
      </c>
      <c r="AE6" s="42">
        <v>0.0</v>
      </c>
      <c r="AF6" s="40">
        <v>-50000.0</v>
      </c>
      <c r="AG6" s="42">
        <v>0.0</v>
      </c>
      <c r="AH6" s="42">
        <v>0.0</v>
      </c>
      <c r="AI6" s="42">
        <v>0.0</v>
      </c>
      <c r="AJ6" s="42">
        <v>0.0</v>
      </c>
      <c r="AK6" s="43">
        <v>500000.0</v>
      </c>
      <c r="AL6" s="42">
        <v>1.0</v>
      </c>
      <c r="AM6" s="37"/>
      <c r="AN6" s="44" t="s">
        <v>17</v>
      </c>
      <c r="AO6" s="37"/>
      <c r="AP6" s="37" t="s">
        <v>25</v>
      </c>
      <c r="AQ6" s="37" t="s">
        <v>16</v>
      </c>
      <c r="AR6" s="37"/>
      <c r="AS6" s="37"/>
      <c r="AT6" s="37"/>
      <c r="AU6" s="37"/>
      <c r="AV6" s="37"/>
      <c r="AW6" s="37"/>
      <c r="AX6" s="42">
        <v>0.0</v>
      </c>
      <c r="AY6" s="42">
        <v>0.0</v>
      </c>
      <c r="AZ6" s="42">
        <v>0.0</v>
      </c>
      <c r="BA6" s="37"/>
      <c r="BB6" s="37"/>
      <c r="BC6" s="37"/>
      <c r="BD6" s="43">
        <v>500000.0</v>
      </c>
      <c r="BE6" s="37"/>
      <c r="BF6" s="37"/>
      <c r="BG6" s="37"/>
      <c r="BH6" s="37"/>
      <c r="BI6" s="37"/>
      <c r="BJ6" s="42">
        <v>0.0</v>
      </c>
      <c r="BK6" s="42">
        <v>0.0</v>
      </c>
      <c r="BL6" s="42">
        <v>0.0</v>
      </c>
      <c r="BM6" s="42">
        <v>0.0</v>
      </c>
      <c r="BN6" s="37"/>
      <c r="BO6" s="42">
        <v>0.0</v>
      </c>
      <c r="BP6" s="42">
        <v>0.0</v>
      </c>
      <c r="BQ6" s="37"/>
      <c r="BR6" s="37" t="s">
        <v>19</v>
      </c>
      <c r="BS6" s="42">
        <v>0.0</v>
      </c>
      <c r="BT6" s="42">
        <v>0.0</v>
      </c>
      <c r="BU6" s="37"/>
      <c r="BV6" s="37"/>
      <c r="BW6" s="42">
        <v>0.0</v>
      </c>
      <c r="BX6" s="42">
        <v>0.0</v>
      </c>
      <c r="BY6" s="42">
        <v>0.0</v>
      </c>
      <c r="BZ6" s="42">
        <v>0.0</v>
      </c>
      <c r="CA6" s="42">
        <v>0.0</v>
      </c>
      <c r="CB6" s="37"/>
      <c r="CC6" s="42">
        <v>0.0</v>
      </c>
      <c r="CD6" s="42">
        <v>0.0</v>
      </c>
      <c r="CE6" s="42">
        <v>0.0</v>
      </c>
      <c r="CF6" s="42">
        <v>0.0</v>
      </c>
      <c r="CG6" s="42">
        <v>0.0</v>
      </c>
      <c r="CH6" s="42">
        <v>0.0</v>
      </c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42">
        <v>0.0</v>
      </c>
      <c r="DF6" s="42">
        <v>0.0</v>
      </c>
      <c r="DG6" s="42">
        <v>0.0</v>
      </c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42">
        <v>0.0</v>
      </c>
      <c r="EH6" s="42">
        <v>0.0</v>
      </c>
      <c r="EI6" s="42">
        <v>0.0</v>
      </c>
      <c r="EJ6" s="42">
        <v>0.0</v>
      </c>
      <c r="EK6" s="42">
        <v>0.0</v>
      </c>
      <c r="EL6" s="37"/>
      <c r="EM6" s="42">
        <v>0.0</v>
      </c>
      <c r="EN6" s="42">
        <v>0.0</v>
      </c>
      <c r="EO6" s="42">
        <v>0.0</v>
      </c>
      <c r="EP6" s="37"/>
      <c r="EQ6" s="37"/>
      <c r="ER6" s="37"/>
      <c r="ES6" s="37"/>
      <c r="ET6" s="37"/>
      <c r="EU6" s="37"/>
      <c r="EV6" s="37"/>
      <c r="EW6" s="37"/>
      <c r="EX6" s="37"/>
      <c r="EY6" s="37"/>
      <c r="EZ6" s="37"/>
      <c r="FA6" s="37"/>
      <c r="FB6" s="37"/>
      <c r="FC6" s="37"/>
      <c r="FD6" s="37"/>
      <c r="FE6" s="37"/>
      <c r="FF6" s="37"/>
      <c r="FG6" s="37"/>
      <c r="FH6" s="37"/>
      <c r="FI6" s="37"/>
      <c r="FJ6" s="37"/>
      <c r="FK6" s="37"/>
      <c r="FL6" s="37"/>
    </row>
    <row r="7" ht="15.75" customHeight="1">
      <c r="A7" s="37"/>
      <c r="B7" s="37"/>
      <c r="C7" s="45" t="s">
        <v>16</v>
      </c>
      <c r="D7" s="46">
        <v>-50000.0</v>
      </c>
      <c r="E7" s="45" t="s">
        <v>20</v>
      </c>
      <c r="F7" s="37"/>
      <c r="G7" s="39">
        <v>11.0</v>
      </c>
      <c r="H7" s="37"/>
      <c r="I7" s="37"/>
      <c r="J7" s="37"/>
      <c r="K7" s="39">
        <v>0.0</v>
      </c>
      <c r="L7" s="37"/>
      <c r="M7" s="37"/>
      <c r="N7" s="39">
        <v>0.0</v>
      </c>
      <c r="O7" s="37"/>
      <c r="P7" s="37"/>
      <c r="Q7" s="42">
        <v>0.0</v>
      </c>
      <c r="R7" s="37"/>
      <c r="S7" s="37"/>
      <c r="T7" s="37" t="s">
        <v>23</v>
      </c>
      <c r="U7" s="37" t="s">
        <v>24</v>
      </c>
      <c r="V7" s="37"/>
      <c r="W7" s="37"/>
      <c r="X7" s="37"/>
      <c r="Y7" s="37"/>
      <c r="Z7" s="37"/>
      <c r="AA7" s="37"/>
      <c r="AB7" s="42">
        <v>0.0</v>
      </c>
      <c r="AC7" s="37"/>
      <c r="AD7" s="42">
        <v>0.0</v>
      </c>
      <c r="AE7" s="42">
        <v>0.0</v>
      </c>
      <c r="AF7" s="46">
        <v>-50000.0</v>
      </c>
      <c r="AG7" s="42">
        <v>0.0</v>
      </c>
      <c r="AH7" s="42">
        <v>0.0</v>
      </c>
      <c r="AI7" s="42">
        <v>0.0</v>
      </c>
      <c r="AJ7" s="42">
        <v>0.0</v>
      </c>
      <c r="AK7" s="43">
        <v>550000.0</v>
      </c>
      <c r="AL7" s="42">
        <v>1.0</v>
      </c>
      <c r="AM7" s="37"/>
      <c r="AN7" s="44" t="s">
        <v>17</v>
      </c>
      <c r="AO7" s="37"/>
      <c r="AP7" s="37" t="s">
        <v>25</v>
      </c>
      <c r="AQ7" s="37" t="s">
        <v>16</v>
      </c>
      <c r="AR7" s="37"/>
      <c r="AS7" s="37"/>
      <c r="AT7" s="37"/>
      <c r="AU7" s="37"/>
      <c r="AV7" s="37"/>
      <c r="AW7" s="37"/>
      <c r="AX7" s="42">
        <v>0.0</v>
      </c>
      <c r="AY7" s="42">
        <v>0.0</v>
      </c>
      <c r="AZ7" s="42">
        <v>0.0</v>
      </c>
      <c r="BA7" s="37"/>
      <c r="BB7" s="37"/>
      <c r="BC7" s="37"/>
      <c r="BD7" s="43">
        <v>550000.0</v>
      </c>
      <c r="BE7" s="37"/>
      <c r="BF7" s="37"/>
      <c r="BG7" s="37"/>
      <c r="BH7" s="37"/>
      <c r="BI7" s="37"/>
      <c r="BJ7" s="42">
        <v>0.0</v>
      </c>
      <c r="BK7" s="42">
        <v>0.0</v>
      </c>
      <c r="BL7" s="42">
        <v>0.0</v>
      </c>
      <c r="BM7" s="42">
        <v>0.0</v>
      </c>
      <c r="BN7" s="37"/>
      <c r="BO7" s="42">
        <v>0.0</v>
      </c>
      <c r="BP7" s="42">
        <v>0.0</v>
      </c>
      <c r="BQ7" s="37"/>
      <c r="BR7" s="37" t="s">
        <v>19</v>
      </c>
      <c r="BS7" s="42">
        <v>0.0</v>
      </c>
      <c r="BT7" s="42">
        <v>0.0</v>
      </c>
      <c r="BU7" s="37"/>
      <c r="BV7" s="37"/>
      <c r="BW7" s="42">
        <v>0.0</v>
      </c>
      <c r="BX7" s="42">
        <v>0.0</v>
      </c>
      <c r="BY7" s="42">
        <v>0.0</v>
      </c>
      <c r="BZ7" s="42">
        <v>0.0</v>
      </c>
      <c r="CA7" s="42">
        <v>0.0</v>
      </c>
      <c r="CB7" s="37"/>
      <c r="CC7" s="42">
        <v>0.0</v>
      </c>
      <c r="CD7" s="42">
        <v>0.0</v>
      </c>
      <c r="CE7" s="42">
        <v>0.0</v>
      </c>
      <c r="CF7" s="42">
        <v>0.0</v>
      </c>
      <c r="CG7" s="42">
        <v>0.0</v>
      </c>
      <c r="CH7" s="42">
        <v>0.0</v>
      </c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42">
        <v>0.0</v>
      </c>
      <c r="DF7" s="42">
        <v>0.0</v>
      </c>
      <c r="DG7" s="42">
        <v>0.0</v>
      </c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42">
        <v>0.0</v>
      </c>
      <c r="EH7" s="42">
        <v>0.0</v>
      </c>
      <c r="EI7" s="42">
        <v>0.0</v>
      </c>
      <c r="EJ7" s="42">
        <v>0.0</v>
      </c>
      <c r="EK7" s="42">
        <v>0.0</v>
      </c>
      <c r="EL7" s="37"/>
      <c r="EM7" s="42">
        <v>0.0</v>
      </c>
      <c r="EN7" s="42">
        <v>0.0</v>
      </c>
      <c r="EO7" s="42">
        <v>0.0</v>
      </c>
      <c r="EP7" s="37"/>
      <c r="EQ7" s="37"/>
      <c r="ER7" s="37"/>
      <c r="ES7" s="37"/>
      <c r="ET7" s="37"/>
      <c r="EU7" s="37"/>
      <c r="EV7" s="37"/>
      <c r="EW7" s="37"/>
      <c r="EX7" s="37"/>
      <c r="EY7" s="37"/>
      <c r="EZ7" s="37"/>
      <c r="FA7" s="37"/>
      <c r="FB7" s="37"/>
      <c r="FC7" s="37"/>
      <c r="FD7" s="37"/>
      <c r="FE7" s="37"/>
      <c r="FF7" s="37"/>
      <c r="FG7" s="37"/>
      <c r="FH7" s="37"/>
      <c r="FI7" s="37"/>
      <c r="FJ7" s="37"/>
      <c r="FK7" s="37"/>
      <c r="FL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IFERROR(__xludf.DUMMYFUNCTION("""COMPUTED_VALUE"""),"ColumnName")</f>
        <v>ColumnName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27</v>
      </c>
      <c r="C6" s="8"/>
      <c r="D6" s="11"/>
      <c r="E6" s="4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GroupRowPM!$4:$4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IFERROR(__xludf.DUMMYFUNCTION("""COMPUTED_VALUE"""),"Symbol")</f>
        <v>Symbol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18</v>
      </c>
      <c r="C6" s="36" t="s">
        <v>16</v>
      </c>
      <c r="D6" s="3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ClosePositionFromPM!$4:$4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IFERROR(__xludf.DUMMYFUNCTION("""COMPUTED_VALUE"""),"Borrow Quantity")</f>
        <v>Borrow Quantity</v>
      </c>
      <c r="AQ5" s="29" t="str">
        <f>IFERROR(__xludf.DUMMYFUNCTION("""COMPUTED_VALUE"""),"ShortLocate")</f>
        <v>ShortLocate</v>
      </c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48" t="s">
        <v>29</v>
      </c>
      <c r="D6" s="33">
        <v>100000.0</v>
      </c>
      <c r="E6" s="36"/>
      <c r="F6" s="36"/>
      <c r="G6" s="36" t="s">
        <v>19</v>
      </c>
      <c r="H6" s="36"/>
      <c r="I6" s="36"/>
      <c r="J6" s="34">
        <v>20.0</v>
      </c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32</v>
      </c>
      <c r="C6" s="8"/>
      <c r="D6" s="11"/>
      <c r="E6" s="4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8" t="s">
        <v>20</v>
      </c>
      <c r="C6" s="36" t="s">
        <v>23</v>
      </c>
      <c r="D6" s="31"/>
      <c r="E6" s="36"/>
      <c r="F6" s="36"/>
      <c r="G6" s="36"/>
      <c r="H6" s="49">
        <v>1000000.0</v>
      </c>
      <c r="I6" s="50">
        <v>20.0</v>
      </c>
      <c r="J6" s="36"/>
      <c r="K6" s="36"/>
      <c r="L6" s="36"/>
      <c r="M6" s="51">
        <v>50000.0</v>
      </c>
      <c r="N6" s="36"/>
      <c r="O6" s="36"/>
      <c r="P6" s="48" t="s">
        <v>29</v>
      </c>
      <c r="Q6" s="36"/>
      <c r="R6" s="36" t="s">
        <v>16</v>
      </c>
      <c r="S6" s="36"/>
      <c r="T6" s="37"/>
      <c r="U6" s="37"/>
      <c r="V6" s="37"/>
      <c r="W6" s="37"/>
      <c r="X6" s="52">
        <v>20.0</v>
      </c>
      <c r="Y6" s="44">
        <v>0.0</v>
      </c>
      <c r="Z6" s="44">
        <v>0.0</v>
      </c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44" t="s">
        <v>18</v>
      </c>
      <c r="C7" s="37" t="s">
        <v>23</v>
      </c>
      <c r="D7" s="37"/>
      <c r="E7" s="37"/>
      <c r="F7" s="37"/>
      <c r="G7" s="37"/>
      <c r="H7" s="53">
        <v>1000000.0</v>
      </c>
      <c r="I7" s="54">
        <v>20.0</v>
      </c>
      <c r="J7" s="37"/>
      <c r="K7" s="37"/>
      <c r="L7" s="37"/>
      <c r="M7" s="55">
        <v>50000.0</v>
      </c>
      <c r="N7" s="37"/>
      <c r="O7" s="37"/>
      <c r="P7" s="44" t="s">
        <v>29</v>
      </c>
      <c r="Q7" s="37"/>
      <c r="R7" s="37" t="s">
        <v>16</v>
      </c>
      <c r="S7" s="37"/>
      <c r="T7" s="37"/>
      <c r="U7" s="37"/>
      <c r="V7" s="37"/>
      <c r="W7" s="37"/>
      <c r="X7" s="52">
        <v>20.0</v>
      </c>
      <c r="Y7" s="44">
        <v>0.0</v>
      </c>
      <c r="Z7" s="44">
        <v>0.0</v>
      </c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37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18</v>
      </c>
      <c r="C6" s="36" t="s">
        <v>23</v>
      </c>
      <c r="D6" s="31"/>
      <c r="E6" s="36"/>
      <c r="F6" s="36"/>
      <c r="G6" s="36"/>
      <c r="H6" s="51">
        <v>500000.0</v>
      </c>
      <c r="I6" s="34">
        <v>10.0</v>
      </c>
      <c r="J6" s="36"/>
      <c r="K6" s="36"/>
      <c r="L6" s="36"/>
      <c r="M6" s="51">
        <v>50000.0</v>
      </c>
      <c r="N6" s="36"/>
      <c r="O6" s="36"/>
      <c r="P6" s="48" t="s">
        <v>17</v>
      </c>
      <c r="Q6" s="36"/>
      <c r="R6" s="36" t="s">
        <v>16</v>
      </c>
      <c r="S6" s="36"/>
      <c r="T6" s="37"/>
      <c r="U6" s="37"/>
      <c r="V6" s="37"/>
      <c r="W6" s="37"/>
      <c r="X6" s="42">
        <v>10.0</v>
      </c>
      <c r="Y6" s="44">
        <v>0.0</v>
      </c>
      <c r="Z6" s="44">
        <v>0.0</v>
      </c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7" t="s">
        <v>20</v>
      </c>
      <c r="C7" s="37" t="s">
        <v>23</v>
      </c>
      <c r="D7" s="37"/>
      <c r="E7" s="37"/>
      <c r="F7" s="37"/>
      <c r="G7" s="37"/>
      <c r="H7" s="53">
        <v>550000.0</v>
      </c>
      <c r="I7" s="39">
        <v>11.0</v>
      </c>
      <c r="J7" s="37"/>
      <c r="K7" s="37"/>
      <c r="L7" s="37"/>
      <c r="M7" s="55">
        <v>50000.0</v>
      </c>
      <c r="N7" s="37"/>
      <c r="O7" s="37"/>
      <c r="P7" s="44" t="s">
        <v>17</v>
      </c>
      <c r="Q7" s="37"/>
      <c r="R7" s="37" t="s">
        <v>16</v>
      </c>
      <c r="S7" s="37"/>
      <c r="T7" s="37"/>
      <c r="U7" s="37"/>
      <c r="V7" s="37"/>
      <c r="W7" s="37"/>
      <c r="X7" s="42">
        <v>11.0</v>
      </c>
      <c r="Y7" s="44">
        <v>0.0</v>
      </c>
      <c r="Z7" s="44">
        <v>0.0</v>
      </c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1zwv-aZp-DRCpq8bqLR0XRiyt0av-GAm0ORqbhnV-FKI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 ")</f>
        <v>CloseSSw/BuyBTO </v>
      </c>
      <c r="C5" s="27" t="str">
        <f>IFERROR(__xludf.DUMMYFUNCTION("""COMPUTED_VALUE"""),"AutoCloseStrategy")</f>
        <v>AutoCloseStrategy</v>
      </c>
      <c r="D5" s="27" t="str">
        <f>IFERROR(__xludf.DUMMYFUNCTION("""COMPUTED_VALUE"""),"Algorithm")</f>
        <v>Algorithm</v>
      </c>
      <c r="E5" s="27" t="str">
        <f>IFERROR(__xludf.DUMMYFUNCTION("""COMPUTED_VALUE"""),"SecondarySortCriteria")</f>
        <v>SecondarySortCriteria</v>
      </c>
      <c r="F5" s="28" t="str">
        <f>IFERROR(__xludf.DUMMYFUNCTION("""COMPUTED_VALUE"""),"ClosingField")</f>
        <v>ClosingField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56" t="b">
        <v>1</v>
      </c>
      <c r="C6" s="57" t="b">
        <v>1</v>
      </c>
      <c r="D6" s="31" t="s">
        <v>36</v>
      </c>
      <c r="E6" s="36" t="s">
        <v>37</v>
      </c>
      <c r="F6" s="36" t="s">
        <v>38</v>
      </c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AutomaticClosing!$4:$4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 ID")</f>
        <v>Taxlot ID</v>
      </c>
      <c r="C5" s="27" t="str">
        <f>IFERROR(__xludf.DUMMYFUNCTION("""COMPUTED_VALUE"""),"Closing Date")</f>
        <v>Closing Date</v>
      </c>
      <c r="D5" s="27" t="str">
        <f>IFERROR(__xludf.DUMMYFUNCTION("""COMPUTED_VALUE"""),"Account")</f>
        <v>Account</v>
      </c>
      <c r="E5" s="27" t="str">
        <f>IFERROR(__xludf.DUMMYFUNCTION("""COMPUTED_VALUE"""),"Strategy")</f>
        <v>Strategy</v>
      </c>
      <c r="F5" s="28" t="str">
        <f>IFERROR(__xludf.DUMMYFUNCTION("""COMPUTED_VALUE"""),"Position Type")</f>
        <v>Position Type</v>
      </c>
      <c r="G5" s="27" t="str">
        <f>IFERROR(__xludf.DUMMYFUNCTION("""COMPUTED_VALUE"""),"Asset Class")</f>
        <v>Asset Class</v>
      </c>
      <c r="H5" s="27" t="str">
        <f>IFERROR(__xludf.DUMMYFUNCTION("""COMPUTED_VALUE"""),"Symbol")</f>
        <v>Symbol</v>
      </c>
      <c r="I5" s="27" t="str">
        <f>IFERROR(__xludf.DUMMYFUNCTION("""COMPUTED_VALUE"""),"Qty Closed")</f>
        <v>Qty Closed</v>
      </c>
      <c r="J5" s="27" t="str">
        <f>IFERROR(__xludf.DUMMYFUNCTION("""COMPUTED_VALUE"""),"Opening Price")</f>
        <v>Opening Price</v>
      </c>
      <c r="K5" s="27" t="str">
        <f>IFERROR(__xludf.DUMMYFUNCTION("""COMPUTED_VALUE"""),"Closing Price")</f>
        <v>Closing Price</v>
      </c>
      <c r="L5" s="27" t="str">
        <f>IFERROR(__xludf.DUMMYFUNCTION("""COMPUTED_VALUE"""),"ClosingTotalCommissionandFees")</f>
        <v>ClosingTotalCommissionandFees</v>
      </c>
      <c r="M5" s="27" t="str">
        <f>IFERROR(__xludf.DUMMYFUNCTION("""COMPUTED_VALUE"""),"Realized PNL(C.B.)")</f>
        <v>Realized PNL(C.B.)</v>
      </c>
      <c r="N5" s="27" t="str">
        <f>IFERROR(__xludf.DUMMYFUNCTION("""COMPUTED_VALUE"""),"Exchange")</f>
        <v>Exchange</v>
      </c>
      <c r="O5" s="27" t="str">
        <f>IFERROR(__xludf.DUMMYFUNCTION("""COMPUTED_VALUE"""),"Opening Side")</f>
        <v>Opening Side</v>
      </c>
      <c r="P5" s="27" t="str">
        <f>IFERROR(__xludf.DUMMYFUNCTION("""COMPUTED_VALUE"""),"Opening Fees &amp; Commission")</f>
        <v>Opening Fees &amp; Commission</v>
      </c>
      <c r="Q5" s="27" t="str">
        <f>IFERROR(__xludf.DUMMYFUNCTION("""COMPUTED_VALUE"""),"Closing Side")</f>
        <v>Closing Side</v>
      </c>
      <c r="R5" s="27" t="str">
        <f>IFERROR(__xludf.DUMMYFUNCTION("""COMPUTED_VALUE"""),"Closing Method")</f>
        <v>Closing Method</v>
      </c>
      <c r="S5" s="27" t="str">
        <f>IFERROR(__xludf.DUMMYFUNCTION("""COMPUTED_VALUE"""),"ClosingID")</f>
        <v>ClosingID</v>
      </c>
      <c r="T5" s="29" t="str">
        <f>IFERROR(__xludf.DUMMYFUNCTION("""COMPUTED_VALUE"""),"Original Purchase Date")</f>
        <v>Original Purchase Date</v>
      </c>
      <c r="U5" s="29" t="str">
        <f>IFERROR(__xludf.DUMMYFUNCTION("""COMPUTED_VALUE"""),"Description")</f>
        <v>Description</v>
      </c>
      <c r="V5" s="29" t="str">
        <f>IFERROR(__xludf.DUMMYFUNCTION("""COMPUTED_VALUE"""),"AccountID")</f>
        <v>AccountID</v>
      </c>
      <c r="W5" s="29" t="str">
        <f>IFERROR(__xludf.DUMMYFUNCTION("""COMPUTED_VALUE"""),"IsExpired_Settled")</f>
        <v>IsExpired_Settled</v>
      </c>
      <c r="X5" s="29" t="str">
        <f>IFERROR(__xludf.DUMMYFUNCTION("""COMPUTED_VALUE"""),"Underlying")</f>
        <v>Underlying</v>
      </c>
      <c r="Y5" s="29" t="str">
        <f>IFERROR(__xludf.DUMMYFUNCTION("""COMPUTED_VALUE"""),"CurrencyID")</f>
        <v>CurrencyID</v>
      </c>
      <c r="Z5" s="29" t="str">
        <f>IFERROR(__xludf.DUMMYFUNCTION("""COMPUTED_VALUE"""),"Currency")</f>
        <v>Currency</v>
      </c>
      <c r="AA5" s="29" t="str">
        <f>IFERROR(__xludf.DUMMYFUNCTION("""COMPUTED_VALUE"""),"AUECID")</f>
        <v>AUECID</v>
      </c>
      <c r="AB5" s="29" t="str">
        <f>IFERROR(__xludf.DUMMYFUNCTION("""COMPUTED_VALUE"""),"NotionalValue")</f>
        <v>NotionalValue</v>
      </c>
      <c r="AC5" s="29" t="str">
        <f>IFERROR(__xludf.DUMMYFUNCTION("""COMPUTED_VALUE"""),"Multiplier")</f>
        <v>Multiplier</v>
      </c>
      <c r="AD5" s="29" t="str">
        <f>IFERROR(__xludf.DUMMYFUNCTION("""COMPUTED_VALUE"""),"TimeOfSaveUTC")</f>
        <v>TimeOfSaveUTC</v>
      </c>
      <c r="AE5" s="29" t="str">
        <f>IFERROR(__xludf.DUMMYFUNCTION("""COMPUTED_VALUE"""),"Closing Position Type")</f>
        <v>Closing Position Type</v>
      </c>
      <c r="AF5" s="29" t="str">
        <f>IFERROR(__xludf.DUMMYFUNCTION("""COMPUTED_VALUE"""),"Closing Mode")</f>
        <v>Closing Mode</v>
      </c>
      <c r="AG5" s="29" t="str">
        <f>IFERROR(__xludf.DUMMYFUNCTION("""COMPUTED_VALUE"""),"StrategyID")</f>
        <v>StrategyID</v>
      </c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6"/>
      <c r="D6" s="31" t="s">
        <v>18</v>
      </c>
      <c r="E6" s="36"/>
      <c r="F6" s="36"/>
      <c r="G6" s="36"/>
      <c r="H6" s="36" t="s">
        <v>16</v>
      </c>
      <c r="I6" s="49">
        <v>50000.0</v>
      </c>
      <c r="J6" s="34">
        <v>10.0</v>
      </c>
      <c r="K6" s="34">
        <v>20.0</v>
      </c>
      <c r="L6" s="34">
        <v>0.0</v>
      </c>
      <c r="M6" s="36"/>
      <c r="N6" s="36"/>
      <c r="O6" s="36"/>
      <c r="P6" s="41">
        <v>0.0</v>
      </c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7"/>
      <c r="C7" s="37"/>
      <c r="D7" s="45" t="s">
        <v>20</v>
      </c>
      <c r="E7" s="37"/>
      <c r="F7" s="45"/>
      <c r="G7" s="36"/>
      <c r="H7" s="36" t="s">
        <v>16</v>
      </c>
      <c r="I7" s="49">
        <v>50000.0</v>
      </c>
      <c r="J7" s="39">
        <v>11.0</v>
      </c>
      <c r="K7" s="39">
        <v>20.0</v>
      </c>
      <c r="L7" s="39">
        <v>0.0</v>
      </c>
      <c r="M7" s="37"/>
      <c r="N7" s="37"/>
      <c r="O7" s="37"/>
      <c r="P7" s="42">
        <v>0.0</v>
      </c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VerifyClosedTrades!$4:$4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IFERROR(__xludf.DUMMYFUNCTION("""COMPUTED_VALUE"""),"User")</f>
        <v>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48" t="s">
        <v>42</v>
      </c>
      <c r="D6" s="49">
        <v>50000.0</v>
      </c>
      <c r="E6" s="49">
        <v>50000.0</v>
      </c>
      <c r="F6" s="36"/>
      <c r="G6" s="36" t="s">
        <v>43</v>
      </c>
      <c r="H6" s="49">
        <v>50000.0</v>
      </c>
      <c r="I6" s="34">
        <v>10.0</v>
      </c>
      <c r="J6" s="34">
        <v>10.0</v>
      </c>
      <c r="K6" s="36" t="s">
        <v>19</v>
      </c>
      <c r="L6" s="36" t="s">
        <v>18</v>
      </c>
      <c r="M6" s="36"/>
      <c r="N6" s="36"/>
      <c r="O6" s="34">
        <v>0.0</v>
      </c>
      <c r="P6" s="36"/>
      <c r="Q6" s="36"/>
      <c r="R6" s="36"/>
      <c r="S6" s="36"/>
      <c r="T6" s="37"/>
      <c r="U6" s="37"/>
      <c r="V6" s="37"/>
      <c r="W6" s="37" t="s">
        <v>23</v>
      </c>
      <c r="X6" s="37"/>
      <c r="Y6" s="37"/>
      <c r="Z6" s="37"/>
      <c r="AA6" s="37"/>
      <c r="AB6" s="37"/>
      <c r="AC6" s="42">
        <v>0.0</v>
      </c>
      <c r="AD6" s="43">
        <v>-500000.0</v>
      </c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6"/>
      <c r="B7" s="36" t="s">
        <v>16</v>
      </c>
      <c r="C7" s="48" t="s">
        <v>42</v>
      </c>
      <c r="D7" s="53">
        <v>50000.0</v>
      </c>
      <c r="E7" s="53">
        <v>50000.0</v>
      </c>
      <c r="F7" s="37"/>
      <c r="G7" s="37" t="s">
        <v>43</v>
      </c>
      <c r="H7" s="53">
        <v>50000.0</v>
      </c>
      <c r="I7" s="39">
        <v>11.0</v>
      </c>
      <c r="J7" s="39">
        <v>11.0</v>
      </c>
      <c r="K7" s="37" t="s">
        <v>19</v>
      </c>
      <c r="L7" s="37" t="s">
        <v>20</v>
      </c>
      <c r="M7" s="37"/>
      <c r="N7" s="37"/>
      <c r="O7" s="39">
        <v>0.0</v>
      </c>
      <c r="P7" s="37"/>
      <c r="Q7" s="37"/>
      <c r="R7" s="37"/>
      <c r="S7" s="37"/>
      <c r="T7" s="37"/>
      <c r="U7" s="37"/>
      <c r="V7" s="37"/>
      <c r="W7" s="37" t="s">
        <v>23</v>
      </c>
      <c r="X7" s="37"/>
      <c r="Y7" s="37"/>
      <c r="Z7" s="37"/>
      <c r="AA7" s="37"/>
      <c r="AB7" s="37"/>
      <c r="AC7" s="42">
        <v>0.0</v>
      </c>
      <c r="AD7" s="43">
        <v>-550000.0</v>
      </c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37" t="s">
        <v>16</v>
      </c>
      <c r="C8" s="44" t="s">
        <v>29</v>
      </c>
      <c r="D8" s="53">
        <v>100000.0</v>
      </c>
      <c r="E8" s="53">
        <v>100000.0</v>
      </c>
      <c r="F8" s="37"/>
      <c r="G8" s="37" t="s">
        <v>43</v>
      </c>
      <c r="H8" s="53">
        <v>100000.0</v>
      </c>
      <c r="I8" s="39">
        <v>20.0</v>
      </c>
      <c r="J8" s="39">
        <v>20.0</v>
      </c>
      <c r="K8" s="37" t="s">
        <v>19</v>
      </c>
      <c r="L8" s="37" t="s">
        <v>44</v>
      </c>
      <c r="M8" s="37"/>
      <c r="N8" s="37"/>
      <c r="O8" s="39">
        <v>0.0</v>
      </c>
      <c r="P8" s="37"/>
      <c r="Q8" s="37"/>
      <c r="R8" s="37"/>
      <c r="S8" s="37"/>
      <c r="T8" s="37"/>
      <c r="U8" s="37"/>
      <c r="V8" s="37"/>
      <c r="W8" s="37" t="s">
        <v>23</v>
      </c>
      <c r="X8" s="37"/>
      <c r="Y8" s="37"/>
      <c r="Z8" s="37"/>
      <c r="AA8" s="37"/>
      <c r="AB8" s="37"/>
      <c r="AC8" s="42">
        <v>0.0</v>
      </c>
      <c r="AD8" s="43">
        <v>2000000.0</v>
      </c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32</v>
      </c>
      <c r="C6" s="8"/>
      <c r="D6" s="11"/>
      <c r="E6" s="4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18</v>
      </c>
      <c r="C6" s="36"/>
      <c r="D6" s="31"/>
      <c r="E6" s="58">
        <v>50000.0</v>
      </c>
      <c r="F6" s="36"/>
      <c r="G6" s="36" t="s">
        <v>23</v>
      </c>
      <c r="H6" s="34">
        <v>0.0</v>
      </c>
      <c r="I6" s="34">
        <v>0.0</v>
      </c>
      <c r="J6" s="36"/>
      <c r="K6" s="34">
        <v>0.0</v>
      </c>
      <c r="L6" s="34">
        <v>10.0</v>
      </c>
      <c r="M6" s="36"/>
      <c r="N6" s="36"/>
      <c r="O6" s="36" t="s">
        <v>19</v>
      </c>
      <c r="P6" s="36"/>
      <c r="Q6" s="36"/>
      <c r="R6" s="41">
        <v>0.0</v>
      </c>
      <c r="S6" s="59" t="s">
        <v>48</v>
      </c>
      <c r="T6" s="42">
        <v>0.0</v>
      </c>
      <c r="U6" s="37"/>
      <c r="V6" s="37"/>
      <c r="W6" s="37"/>
      <c r="X6" s="37"/>
      <c r="Y6" s="37"/>
      <c r="Z6" s="37"/>
      <c r="AA6" s="37"/>
      <c r="AB6" s="37"/>
      <c r="AC6" s="37"/>
      <c r="AD6" s="37"/>
      <c r="AE6" s="60">
        <v>50000.0</v>
      </c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42">
        <v>0.0</v>
      </c>
      <c r="AU6" s="60">
        <v>500000.0</v>
      </c>
      <c r="AV6" s="37"/>
      <c r="AW6" s="42">
        <v>0.0</v>
      </c>
      <c r="AX6" s="37"/>
      <c r="AY6" s="37" t="s">
        <v>49</v>
      </c>
      <c r="AZ6" s="42">
        <v>0.0</v>
      </c>
      <c r="BA6" s="37"/>
      <c r="BB6" s="37"/>
      <c r="BC6" s="42">
        <v>0.0</v>
      </c>
      <c r="BD6" s="37"/>
      <c r="BE6" s="42">
        <v>0.0</v>
      </c>
      <c r="BF6" s="60">
        <v>500000.0</v>
      </c>
      <c r="BG6" s="37"/>
      <c r="BH6" s="37"/>
      <c r="BI6" s="37"/>
      <c r="BJ6" s="60">
        <v>50000.0</v>
      </c>
      <c r="BK6" s="42">
        <v>0.0</v>
      </c>
      <c r="BL6" s="37"/>
      <c r="BM6" s="37"/>
      <c r="BN6" s="37"/>
      <c r="BO6" s="44" t="s">
        <v>17</v>
      </c>
      <c r="BP6" s="37"/>
      <c r="BQ6" s="37"/>
      <c r="BR6" s="37"/>
      <c r="BS6" s="37"/>
      <c r="BT6" s="37" t="s">
        <v>16</v>
      </c>
      <c r="BU6" s="37"/>
      <c r="BV6" s="37"/>
      <c r="BW6" s="42">
        <v>0.0</v>
      </c>
      <c r="BX6" s="37"/>
      <c r="BY6" s="37"/>
      <c r="BZ6" s="37"/>
      <c r="CA6" s="37"/>
      <c r="CB6" s="37"/>
      <c r="CC6" s="37"/>
      <c r="CD6" s="37"/>
      <c r="CE6" s="37"/>
      <c r="CF6" s="37"/>
      <c r="CG6" s="42">
        <v>0.0</v>
      </c>
      <c r="CH6" s="37"/>
      <c r="CI6" s="37"/>
      <c r="CJ6" s="42">
        <v>0.0</v>
      </c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7" t="s">
        <v>20</v>
      </c>
      <c r="C7" s="37"/>
      <c r="D7" s="37"/>
      <c r="E7" s="60">
        <v>50000.0</v>
      </c>
      <c r="F7" s="37"/>
      <c r="G7" s="37" t="s">
        <v>23</v>
      </c>
      <c r="H7" s="39">
        <v>0.0</v>
      </c>
      <c r="I7" s="39">
        <v>0.0</v>
      </c>
      <c r="J7" s="37"/>
      <c r="K7" s="39">
        <v>0.0</v>
      </c>
      <c r="L7" s="39">
        <v>11.0</v>
      </c>
      <c r="M7" s="37"/>
      <c r="N7" s="37"/>
      <c r="O7" s="37" t="s">
        <v>19</v>
      </c>
      <c r="P7" s="37"/>
      <c r="Q7" s="37"/>
      <c r="R7" s="42">
        <v>0.0</v>
      </c>
      <c r="S7" s="61" t="s">
        <v>48</v>
      </c>
      <c r="T7" s="42">
        <v>0.0</v>
      </c>
      <c r="U7" s="37"/>
      <c r="V7" s="37"/>
      <c r="W7" s="37"/>
      <c r="X7" s="37"/>
      <c r="Y7" s="37"/>
      <c r="Z7" s="37"/>
      <c r="AA7" s="37"/>
      <c r="AB7" s="37"/>
      <c r="AC7" s="37"/>
      <c r="AD7" s="37"/>
      <c r="AE7" s="60">
        <v>50000.0</v>
      </c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42">
        <v>0.0</v>
      </c>
      <c r="AU7" s="60">
        <v>550000.0</v>
      </c>
      <c r="AV7" s="37"/>
      <c r="AW7" s="42">
        <v>0.0</v>
      </c>
      <c r="AX7" s="37"/>
      <c r="AY7" s="37" t="s">
        <v>49</v>
      </c>
      <c r="AZ7" s="42">
        <v>0.0</v>
      </c>
      <c r="BA7" s="37"/>
      <c r="BB7" s="37"/>
      <c r="BC7" s="42">
        <v>0.0</v>
      </c>
      <c r="BD7" s="37"/>
      <c r="BE7" s="42">
        <v>0.0</v>
      </c>
      <c r="BF7" s="60">
        <v>550000.0</v>
      </c>
      <c r="BG7" s="37"/>
      <c r="BH7" s="37"/>
      <c r="BI7" s="37"/>
      <c r="BJ7" s="60">
        <v>50000.0</v>
      </c>
      <c r="BK7" s="42">
        <v>0.0</v>
      </c>
      <c r="BL7" s="37"/>
      <c r="BM7" s="37"/>
      <c r="BN7" s="37"/>
      <c r="BO7" s="44" t="s">
        <v>17</v>
      </c>
      <c r="BP7" s="37"/>
      <c r="BQ7" s="37"/>
      <c r="BR7" s="37"/>
      <c r="BS7" s="37"/>
      <c r="BT7" s="37" t="s">
        <v>16</v>
      </c>
      <c r="BU7" s="37"/>
      <c r="BV7" s="37"/>
      <c r="BW7" s="42">
        <v>0.0</v>
      </c>
      <c r="BX7" s="37"/>
      <c r="BY7" s="37"/>
      <c r="BZ7" s="37"/>
      <c r="CA7" s="37"/>
      <c r="CB7" s="37"/>
      <c r="CC7" s="37"/>
      <c r="CD7" s="37"/>
      <c r="CE7" s="37"/>
      <c r="CF7" s="37"/>
      <c r="CG7" s="42">
        <v>0.0</v>
      </c>
      <c r="CH7" s="37"/>
      <c r="CI7" s="37"/>
      <c r="CJ7" s="42">
        <v>0.0</v>
      </c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37" t="s">
        <v>44</v>
      </c>
      <c r="C8" s="37"/>
      <c r="D8" s="37"/>
      <c r="E8" s="60">
        <v>100000.0</v>
      </c>
      <c r="F8" s="37"/>
      <c r="G8" s="37" t="s">
        <v>23</v>
      </c>
      <c r="H8" s="39">
        <v>0.0</v>
      </c>
      <c r="I8" s="39">
        <v>0.0</v>
      </c>
      <c r="J8" s="37"/>
      <c r="K8" s="39">
        <v>0.0</v>
      </c>
      <c r="L8" s="39">
        <v>20.0</v>
      </c>
      <c r="M8" s="37"/>
      <c r="N8" s="37"/>
      <c r="O8" s="37" t="s">
        <v>19</v>
      </c>
      <c r="P8" s="37"/>
      <c r="Q8" s="37"/>
      <c r="R8" s="42">
        <v>0.0</v>
      </c>
      <c r="S8" s="61" t="s">
        <v>48</v>
      </c>
      <c r="T8" s="42">
        <v>0.0</v>
      </c>
      <c r="U8" s="37"/>
      <c r="V8" s="37"/>
      <c r="W8" s="37"/>
      <c r="X8" s="37"/>
      <c r="Y8" s="37"/>
      <c r="Z8" s="37"/>
      <c r="AA8" s="37"/>
      <c r="AB8" s="37"/>
      <c r="AC8" s="37"/>
      <c r="AD8" s="37"/>
      <c r="AE8" s="60">
        <v>100000.0</v>
      </c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42">
        <v>0.0</v>
      </c>
      <c r="AU8" s="60">
        <v>2000000.0</v>
      </c>
      <c r="AV8" s="37"/>
      <c r="AW8" s="42">
        <v>0.0</v>
      </c>
      <c r="AX8" s="37"/>
      <c r="AY8" s="37" t="s">
        <v>49</v>
      </c>
      <c r="AZ8" s="42">
        <v>0.0</v>
      </c>
      <c r="BA8" s="37"/>
      <c r="BB8" s="37"/>
      <c r="BC8" s="42">
        <v>0.0</v>
      </c>
      <c r="BD8" s="37"/>
      <c r="BE8" s="42">
        <v>0.0</v>
      </c>
      <c r="BF8" s="60">
        <v>2000000.0</v>
      </c>
      <c r="BG8" s="37"/>
      <c r="BH8" s="37"/>
      <c r="BI8" s="37"/>
      <c r="BJ8" s="60">
        <v>100000.0</v>
      </c>
      <c r="BK8" s="42">
        <v>0.0</v>
      </c>
      <c r="BL8" s="37"/>
      <c r="BM8" s="37"/>
      <c r="BN8" s="37"/>
      <c r="BO8" s="44" t="s">
        <v>29</v>
      </c>
      <c r="BP8" s="37"/>
      <c r="BQ8" s="37"/>
      <c r="BR8" s="37"/>
      <c r="BS8" s="37"/>
      <c r="BT8" s="37" t="s">
        <v>16</v>
      </c>
      <c r="BU8" s="37"/>
      <c r="BV8" s="37"/>
      <c r="BW8" s="42">
        <v>0.0</v>
      </c>
      <c r="BX8" s="37"/>
      <c r="BY8" s="37"/>
      <c r="BZ8" s="37"/>
      <c r="CA8" s="37"/>
      <c r="CB8" s="37"/>
      <c r="CC8" s="37"/>
      <c r="CD8" s="37"/>
      <c r="CE8" s="37"/>
      <c r="CF8" s="37"/>
      <c r="CG8" s="42">
        <v>0.0</v>
      </c>
      <c r="CH8" s="37"/>
      <c r="CI8" s="37"/>
      <c r="CJ8" s="42">
        <v>0.0</v>
      </c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Outstanding")</f>
        <v>Shares Outstanding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/>
      <c r="FD5" s="29"/>
      <c r="FE5" s="29"/>
      <c r="FF5" s="29"/>
      <c r="FG5" s="29"/>
      <c r="FH5" s="29"/>
      <c r="FI5" s="29"/>
      <c r="FJ5" s="29"/>
      <c r="FK5" s="29"/>
      <c r="FL5" s="29"/>
    </row>
    <row r="6" ht="15.75" customHeight="1">
      <c r="A6" s="30"/>
      <c r="B6" s="31"/>
      <c r="C6" s="35" t="s">
        <v>16</v>
      </c>
      <c r="D6" s="40">
        <v>-50000.0</v>
      </c>
      <c r="E6" s="35" t="s">
        <v>18</v>
      </c>
      <c r="F6" s="36"/>
      <c r="G6" s="34">
        <v>10.0</v>
      </c>
      <c r="H6" s="36"/>
      <c r="I6" s="36"/>
      <c r="J6" s="36"/>
      <c r="K6" s="34">
        <v>0.0</v>
      </c>
      <c r="L6" s="36"/>
      <c r="M6" s="36"/>
      <c r="N6" s="34">
        <v>0.0</v>
      </c>
      <c r="O6" s="36"/>
      <c r="P6" s="36"/>
      <c r="Q6" s="41">
        <v>0.0</v>
      </c>
      <c r="R6" s="36"/>
      <c r="S6" s="36"/>
      <c r="T6" s="37" t="s">
        <v>23</v>
      </c>
      <c r="U6" s="37" t="s">
        <v>24</v>
      </c>
      <c r="V6" s="37"/>
      <c r="W6" s="37"/>
      <c r="X6" s="37"/>
      <c r="Y6" s="37"/>
      <c r="Z6" s="37"/>
      <c r="AA6" s="37"/>
      <c r="AB6" s="42">
        <v>0.0</v>
      </c>
      <c r="AC6" s="37"/>
      <c r="AD6" s="42">
        <v>0.0</v>
      </c>
      <c r="AE6" s="42">
        <v>0.0</v>
      </c>
      <c r="AF6" s="40">
        <v>-50000.0</v>
      </c>
      <c r="AG6" s="42">
        <v>0.0</v>
      </c>
      <c r="AH6" s="42">
        <v>0.0</v>
      </c>
      <c r="AI6" s="42">
        <v>0.0</v>
      </c>
      <c r="AJ6" s="42">
        <v>0.0</v>
      </c>
      <c r="AK6" s="43">
        <v>500000.0</v>
      </c>
      <c r="AL6" s="42">
        <v>1.0</v>
      </c>
      <c r="AM6" s="37"/>
      <c r="AN6" s="44" t="s">
        <v>17</v>
      </c>
      <c r="AO6" s="37"/>
      <c r="AP6" s="37" t="s">
        <v>25</v>
      </c>
      <c r="AQ6" s="37" t="s">
        <v>16</v>
      </c>
      <c r="AR6" s="37"/>
      <c r="AS6" s="37"/>
      <c r="AT6" s="37"/>
      <c r="AU6" s="37"/>
      <c r="AV6" s="37"/>
      <c r="AW6" s="37"/>
      <c r="AX6" s="42">
        <v>0.0</v>
      </c>
      <c r="AY6" s="42">
        <v>0.0</v>
      </c>
      <c r="AZ6" s="42">
        <v>0.0</v>
      </c>
      <c r="BA6" s="37"/>
      <c r="BB6" s="37"/>
      <c r="BC6" s="37"/>
      <c r="BD6" s="43">
        <v>500000.0</v>
      </c>
      <c r="BE6" s="37"/>
      <c r="BF6" s="37"/>
      <c r="BG6" s="37"/>
      <c r="BH6" s="37"/>
      <c r="BI6" s="37"/>
      <c r="BJ6" s="42">
        <v>0.0</v>
      </c>
      <c r="BK6" s="42">
        <v>0.0</v>
      </c>
      <c r="BL6" s="42">
        <v>0.0</v>
      </c>
      <c r="BM6" s="42">
        <v>0.0</v>
      </c>
      <c r="BN6" s="37"/>
      <c r="BO6" s="42">
        <v>0.0</v>
      </c>
      <c r="BP6" s="42">
        <v>0.0</v>
      </c>
      <c r="BQ6" s="37"/>
      <c r="BR6" s="37" t="s">
        <v>19</v>
      </c>
      <c r="BS6" s="42">
        <v>0.0</v>
      </c>
      <c r="BT6" s="42">
        <v>0.0</v>
      </c>
      <c r="BU6" s="37"/>
      <c r="BV6" s="37"/>
      <c r="BW6" s="42">
        <v>0.0</v>
      </c>
      <c r="BX6" s="42">
        <v>0.0</v>
      </c>
      <c r="BY6" s="42">
        <v>0.0</v>
      </c>
      <c r="BZ6" s="42">
        <v>0.0</v>
      </c>
      <c r="CA6" s="42">
        <v>0.0</v>
      </c>
      <c r="CB6" s="37"/>
      <c r="CC6" s="42">
        <v>0.0</v>
      </c>
      <c r="CD6" s="42">
        <v>0.0</v>
      </c>
      <c r="CE6" s="42">
        <v>0.0</v>
      </c>
      <c r="CF6" s="42">
        <v>0.0</v>
      </c>
      <c r="CG6" s="42">
        <v>0.0</v>
      </c>
      <c r="CH6" s="42">
        <v>0.0</v>
      </c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42">
        <v>0.0</v>
      </c>
      <c r="DF6" s="42">
        <v>0.0</v>
      </c>
      <c r="DG6" s="42">
        <v>0.0</v>
      </c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42">
        <v>0.0</v>
      </c>
      <c r="EH6" s="42">
        <v>0.0</v>
      </c>
      <c r="EI6" s="42">
        <v>0.0</v>
      </c>
      <c r="EJ6" s="42">
        <v>0.0</v>
      </c>
      <c r="EK6" s="42">
        <v>0.0</v>
      </c>
      <c r="EL6" s="37"/>
      <c r="EM6" s="42">
        <v>0.0</v>
      </c>
      <c r="EN6" s="42">
        <v>0.0</v>
      </c>
      <c r="EO6" s="42">
        <v>0.0</v>
      </c>
      <c r="EP6" s="37"/>
      <c r="EQ6" s="37"/>
      <c r="ER6" s="37"/>
      <c r="ES6" s="37"/>
      <c r="ET6" s="37"/>
      <c r="EU6" s="37"/>
      <c r="EV6" s="37"/>
      <c r="EW6" s="37"/>
      <c r="EX6" s="37"/>
      <c r="EY6" s="37"/>
      <c r="EZ6" s="37"/>
      <c r="FA6" s="37"/>
      <c r="FB6" s="37"/>
      <c r="FC6" s="37"/>
      <c r="FD6" s="37"/>
      <c r="FE6" s="37"/>
      <c r="FF6" s="37"/>
      <c r="FG6" s="37"/>
      <c r="FH6" s="37"/>
      <c r="FI6" s="37"/>
      <c r="FJ6" s="37"/>
      <c r="FK6" s="37"/>
      <c r="FL6" s="37"/>
    </row>
    <row r="7" ht="15.75" customHeight="1">
      <c r="A7" s="37"/>
      <c r="B7" s="37"/>
      <c r="C7" s="45" t="s">
        <v>16</v>
      </c>
      <c r="D7" s="46">
        <v>-50000.0</v>
      </c>
      <c r="E7" s="45" t="s">
        <v>20</v>
      </c>
      <c r="F7" s="37"/>
      <c r="G7" s="39">
        <v>11.0</v>
      </c>
      <c r="H7" s="37"/>
      <c r="I7" s="37"/>
      <c r="J7" s="37"/>
      <c r="K7" s="39">
        <v>0.0</v>
      </c>
      <c r="L7" s="37"/>
      <c r="M7" s="37"/>
      <c r="N7" s="39">
        <v>0.0</v>
      </c>
      <c r="O7" s="37"/>
      <c r="P7" s="37"/>
      <c r="Q7" s="42">
        <v>0.0</v>
      </c>
      <c r="R7" s="37"/>
      <c r="S7" s="37"/>
      <c r="T7" s="37" t="s">
        <v>23</v>
      </c>
      <c r="U7" s="37" t="s">
        <v>24</v>
      </c>
      <c r="V7" s="37"/>
      <c r="W7" s="37"/>
      <c r="X7" s="37"/>
      <c r="Y7" s="37"/>
      <c r="Z7" s="37"/>
      <c r="AA7" s="37"/>
      <c r="AB7" s="42">
        <v>0.0</v>
      </c>
      <c r="AC7" s="37"/>
      <c r="AD7" s="42">
        <v>0.0</v>
      </c>
      <c r="AE7" s="42">
        <v>0.0</v>
      </c>
      <c r="AF7" s="46">
        <v>-50000.0</v>
      </c>
      <c r="AG7" s="42">
        <v>0.0</v>
      </c>
      <c r="AH7" s="42">
        <v>0.0</v>
      </c>
      <c r="AI7" s="42">
        <v>0.0</v>
      </c>
      <c r="AJ7" s="42">
        <v>0.0</v>
      </c>
      <c r="AK7" s="43">
        <v>550000.0</v>
      </c>
      <c r="AL7" s="42">
        <v>1.0</v>
      </c>
      <c r="AM7" s="37"/>
      <c r="AN7" s="44" t="s">
        <v>17</v>
      </c>
      <c r="AO7" s="37"/>
      <c r="AP7" s="37" t="s">
        <v>25</v>
      </c>
      <c r="AQ7" s="37" t="s">
        <v>16</v>
      </c>
      <c r="AR7" s="37"/>
      <c r="AS7" s="37"/>
      <c r="AT7" s="37"/>
      <c r="AU7" s="37"/>
      <c r="AV7" s="37"/>
      <c r="AW7" s="37"/>
      <c r="AX7" s="42">
        <v>0.0</v>
      </c>
      <c r="AY7" s="42">
        <v>0.0</v>
      </c>
      <c r="AZ7" s="42">
        <v>0.0</v>
      </c>
      <c r="BA7" s="37"/>
      <c r="BB7" s="37"/>
      <c r="BC7" s="37"/>
      <c r="BD7" s="43">
        <v>550000.0</v>
      </c>
      <c r="BE7" s="37"/>
      <c r="BF7" s="37"/>
      <c r="BG7" s="37"/>
      <c r="BH7" s="37"/>
      <c r="BI7" s="37"/>
      <c r="BJ7" s="42">
        <v>0.0</v>
      </c>
      <c r="BK7" s="42">
        <v>0.0</v>
      </c>
      <c r="BL7" s="42">
        <v>0.0</v>
      </c>
      <c r="BM7" s="42">
        <v>0.0</v>
      </c>
      <c r="BN7" s="37"/>
      <c r="BO7" s="42">
        <v>0.0</v>
      </c>
      <c r="BP7" s="42">
        <v>0.0</v>
      </c>
      <c r="BQ7" s="37"/>
      <c r="BR7" s="37" t="s">
        <v>19</v>
      </c>
      <c r="BS7" s="42">
        <v>0.0</v>
      </c>
      <c r="BT7" s="42">
        <v>0.0</v>
      </c>
      <c r="BU7" s="37"/>
      <c r="BV7" s="37"/>
      <c r="BW7" s="42">
        <v>0.0</v>
      </c>
      <c r="BX7" s="42">
        <v>0.0</v>
      </c>
      <c r="BY7" s="42">
        <v>0.0</v>
      </c>
      <c r="BZ7" s="42">
        <v>0.0</v>
      </c>
      <c r="CA7" s="42">
        <v>0.0</v>
      </c>
      <c r="CB7" s="37"/>
      <c r="CC7" s="42">
        <v>0.0</v>
      </c>
      <c r="CD7" s="42">
        <v>0.0</v>
      </c>
      <c r="CE7" s="42">
        <v>0.0</v>
      </c>
      <c r="CF7" s="42">
        <v>0.0</v>
      </c>
      <c r="CG7" s="42">
        <v>0.0</v>
      </c>
      <c r="CH7" s="42">
        <v>0.0</v>
      </c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42">
        <v>0.0</v>
      </c>
      <c r="DF7" s="42">
        <v>0.0</v>
      </c>
      <c r="DG7" s="42">
        <v>0.0</v>
      </c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42">
        <v>0.0</v>
      </c>
      <c r="EH7" s="42">
        <v>0.0</v>
      </c>
      <c r="EI7" s="42">
        <v>0.0</v>
      </c>
      <c r="EJ7" s="42">
        <v>0.0</v>
      </c>
      <c r="EK7" s="42">
        <v>0.0</v>
      </c>
      <c r="EL7" s="37"/>
      <c r="EM7" s="42">
        <v>0.0</v>
      </c>
      <c r="EN7" s="42">
        <v>0.0</v>
      </c>
      <c r="EO7" s="42">
        <v>0.0</v>
      </c>
      <c r="EP7" s="37"/>
      <c r="EQ7" s="37"/>
      <c r="ER7" s="37"/>
      <c r="ES7" s="37"/>
      <c r="ET7" s="37"/>
      <c r="EU7" s="37"/>
      <c r="EV7" s="37"/>
      <c r="EW7" s="37"/>
      <c r="EX7" s="37"/>
      <c r="EY7" s="37"/>
      <c r="EZ7" s="37"/>
      <c r="FA7" s="37"/>
      <c r="FB7" s="37"/>
      <c r="FC7" s="37"/>
      <c r="FD7" s="37"/>
      <c r="FE7" s="37"/>
      <c r="FF7" s="37"/>
      <c r="FG7" s="37"/>
      <c r="FH7" s="37"/>
      <c r="FI7" s="37"/>
      <c r="FJ7" s="37"/>
      <c r="FK7" s="37"/>
      <c r="FL7" s="37"/>
    </row>
    <row r="8" ht="15.75" customHeight="1">
      <c r="A8" s="37"/>
      <c r="B8" s="37"/>
      <c r="C8" s="37" t="s">
        <v>16</v>
      </c>
      <c r="D8" s="46">
        <v>50000.0</v>
      </c>
      <c r="E8" s="37" t="s">
        <v>18</v>
      </c>
      <c r="F8" s="37"/>
      <c r="G8" s="39">
        <v>20.0</v>
      </c>
      <c r="H8" s="37"/>
      <c r="I8" s="37"/>
      <c r="J8" s="37"/>
      <c r="K8" s="39">
        <v>0.0</v>
      </c>
      <c r="L8" s="37"/>
      <c r="M8" s="37"/>
      <c r="N8" s="39">
        <v>0.0</v>
      </c>
      <c r="O8" s="37"/>
      <c r="P8" s="37"/>
      <c r="Q8" s="42">
        <v>0.0</v>
      </c>
      <c r="R8" s="37"/>
      <c r="S8" s="37"/>
      <c r="T8" s="37" t="s">
        <v>23</v>
      </c>
      <c r="U8" s="37" t="s">
        <v>24</v>
      </c>
      <c r="V8" s="37"/>
      <c r="W8" s="37"/>
      <c r="X8" s="37"/>
      <c r="Y8" s="37"/>
      <c r="Z8" s="37"/>
      <c r="AA8" s="37"/>
      <c r="AB8" s="42">
        <v>0.0</v>
      </c>
      <c r="AC8" s="37"/>
      <c r="AD8" s="42">
        <v>0.0</v>
      </c>
      <c r="AE8" s="42">
        <v>0.0</v>
      </c>
      <c r="AF8" s="46">
        <v>50000.0</v>
      </c>
      <c r="AG8" s="42">
        <v>0.0</v>
      </c>
      <c r="AH8" s="42">
        <v>0.0</v>
      </c>
      <c r="AI8" s="42">
        <v>0.0</v>
      </c>
      <c r="AJ8" s="42">
        <v>0.0</v>
      </c>
      <c r="AK8" s="43">
        <v>-1000000.0</v>
      </c>
      <c r="AL8" s="42">
        <v>1.0</v>
      </c>
      <c r="AM8" s="37"/>
      <c r="AN8" s="44" t="s">
        <v>29</v>
      </c>
      <c r="AO8" s="37"/>
      <c r="AP8" s="44" t="s">
        <v>50</v>
      </c>
      <c r="AQ8" s="37" t="s">
        <v>16</v>
      </c>
      <c r="AR8" s="37"/>
      <c r="AS8" s="37"/>
      <c r="AT8" s="37"/>
      <c r="AU8" s="37"/>
      <c r="AV8" s="37"/>
      <c r="AW8" s="37"/>
      <c r="AX8" s="42">
        <v>0.0</v>
      </c>
      <c r="AY8" s="42">
        <v>0.0</v>
      </c>
      <c r="AZ8" s="42">
        <v>0.0</v>
      </c>
      <c r="BA8" s="37"/>
      <c r="BB8" s="37"/>
      <c r="BC8" s="37"/>
      <c r="BD8" s="43">
        <v>-1000000.0</v>
      </c>
      <c r="BE8" s="37"/>
      <c r="BF8" s="37"/>
      <c r="BG8" s="37"/>
      <c r="BH8" s="37"/>
      <c r="BI8" s="37"/>
      <c r="BJ8" s="42">
        <v>0.0</v>
      </c>
      <c r="BK8" s="42">
        <v>0.0</v>
      </c>
      <c r="BL8" s="42">
        <v>0.0</v>
      </c>
      <c r="BM8" s="42">
        <v>0.0</v>
      </c>
      <c r="BN8" s="37"/>
      <c r="BO8" s="42">
        <v>0.0</v>
      </c>
      <c r="BP8" s="42">
        <v>0.0</v>
      </c>
      <c r="BQ8" s="37"/>
      <c r="BR8" s="37" t="s">
        <v>19</v>
      </c>
      <c r="BS8" s="42">
        <v>0.0</v>
      </c>
      <c r="BT8" s="42">
        <v>0.0</v>
      </c>
      <c r="BU8" s="37"/>
      <c r="BV8" s="37"/>
      <c r="BW8" s="42">
        <v>0.0</v>
      </c>
      <c r="BX8" s="42">
        <v>0.0</v>
      </c>
      <c r="BY8" s="42">
        <v>0.0</v>
      </c>
      <c r="BZ8" s="42">
        <v>0.0</v>
      </c>
      <c r="CA8" s="42">
        <v>0.0</v>
      </c>
      <c r="CB8" s="37"/>
      <c r="CC8" s="42">
        <v>0.0</v>
      </c>
      <c r="CD8" s="42">
        <v>0.0</v>
      </c>
      <c r="CE8" s="42">
        <v>0.0</v>
      </c>
      <c r="CF8" s="42">
        <v>0.0</v>
      </c>
      <c r="CG8" s="42">
        <v>0.0</v>
      </c>
      <c r="CH8" s="42">
        <v>0.0</v>
      </c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42">
        <v>0.0</v>
      </c>
      <c r="DF8" s="42">
        <v>0.0</v>
      </c>
      <c r="DG8" s="42">
        <v>0.0</v>
      </c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42">
        <v>0.0</v>
      </c>
      <c r="EH8" s="42">
        <v>0.0</v>
      </c>
      <c r="EI8" s="42">
        <v>0.0</v>
      </c>
      <c r="EJ8" s="42">
        <v>0.0</v>
      </c>
      <c r="EK8" s="42">
        <v>0.0</v>
      </c>
      <c r="EL8" s="37"/>
      <c r="EM8" s="42">
        <v>0.0</v>
      </c>
      <c r="EN8" s="42">
        <v>0.0</v>
      </c>
      <c r="EO8" s="42">
        <v>0.0</v>
      </c>
      <c r="EP8" s="37"/>
      <c r="EQ8" s="37"/>
      <c r="ER8" s="37"/>
      <c r="ES8" s="37"/>
      <c r="ET8" s="37"/>
      <c r="EU8" s="37"/>
      <c r="EV8" s="37"/>
      <c r="EW8" s="37"/>
      <c r="EX8" s="37"/>
      <c r="EY8" s="37"/>
      <c r="EZ8" s="37"/>
      <c r="FA8" s="37"/>
      <c r="FB8" s="37"/>
      <c r="FC8" s="37"/>
      <c r="FD8" s="37"/>
      <c r="FE8" s="37"/>
      <c r="FF8" s="37"/>
      <c r="FG8" s="37"/>
      <c r="FH8" s="37"/>
      <c r="FI8" s="37"/>
      <c r="FJ8" s="37"/>
      <c r="FK8" s="37"/>
      <c r="FL8" s="37"/>
    </row>
    <row r="9" ht="15.75" customHeight="1">
      <c r="A9" s="37"/>
      <c r="B9" s="37"/>
      <c r="C9" s="37" t="s">
        <v>16</v>
      </c>
      <c r="D9" s="46">
        <v>50000.0</v>
      </c>
      <c r="E9" s="37" t="s">
        <v>20</v>
      </c>
      <c r="F9" s="37"/>
      <c r="G9" s="39">
        <v>20.0</v>
      </c>
      <c r="H9" s="37"/>
      <c r="I9" s="37"/>
      <c r="J9" s="37"/>
      <c r="K9" s="39">
        <v>0.0</v>
      </c>
      <c r="L9" s="37"/>
      <c r="M9" s="37"/>
      <c r="N9" s="39">
        <v>0.0</v>
      </c>
      <c r="O9" s="37"/>
      <c r="P9" s="37"/>
      <c r="Q9" s="42">
        <v>0.0</v>
      </c>
      <c r="R9" s="37"/>
      <c r="S9" s="37"/>
      <c r="T9" s="37" t="s">
        <v>23</v>
      </c>
      <c r="U9" s="37" t="s">
        <v>24</v>
      </c>
      <c r="V9" s="37"/>
      <c r="W9" s="37"/>
      <c r="X9" s="37"/>
      <c r="Y9" s="37"/>
      <c r="Z9" s="37"/>
      <c r="AA9" s="37"/>
      <c r="AB9" s="42">
        <v>0.0</v>
      </c>
      <c r="AC9" s="37"/>
      <c r="AD9" s="42">
        <v>0.0</v>
      </c>
      <c r="AE9" s="42">
        <v>0.0</v>
      </c>
      <c r="AF9" s="46">
        <v>50000.0</v>
      </c>
      <c r="AG9" s="42">
        <v>0.0</v>
      </c>
      <c r="AH9" s="42">
        <v>0.0</v>
      </c>
      <c r="AI9" s="42">
        <v>0.0</v>
      </c>
      <c r="AJ9" s="42">
        <v>0.0</v>
      </c>
      <c r="AK9" s="43">
        <v>-1000000.0</v>
      </c>
      <c r="AL9" s="42">
        <v>1.0</v>
      </c>
      <c r="AM9" s="37"/>
      <c r="AN9" s="44" t="s">
        <v>29</v>
      </c>
      <c r="AO9" s="37"/>
      <c r="AP9" s="44" t="s">
        <v>50</v>
      </c>
      <c r="AQ9" s="37" t="s">
        <v>16</v>
      </c>
      <c r="AR9" s="37"/>
      <c r="AS9" s="37"/>
      <c r="AT9" s="37"/>
      <c r="AU9" s="37"/>
      <c r="AV9" s="37"/>
      <c r="AW9" s="37"/>
      <c r="AX9" s="42">
        <v>0.0</v>
      </c>
      <c r="AY9" s="42">
        <v>0.0</v>
      </c>
      <c r="AZ9" s="42">
        <v>0.0</v>
      </c>
      <c r="BA9" s="37"/>
      <c r="BB9" s="37"/>
      <c r="BC9" s="37"/>
      <c r="BD9" s="43">
        <v>-1000000.0</v>
      </c>
      <c r="BE9" s="37"/>
      <c r="BF9" s="37"/>
      <c r="BG9" s="37"/>
      <c r="BH9" s="37"/>
      <c r="BI9" s="37"/>
      <c r="BJ9" s="42">
        <v>0.0</v>
      </c>
      <c r="BK9" s="42">
        <v>0.0</v>
      </c>
      <c r="BL9" s="42">
        <v>0.0</v>
      </c>
      <c r="BM9" s="42">
        <v>0.0</v>
      </c>
      <c r="BN9" s="37"/>
      <c r="BO9" s="42">
        <v>0.0</v>
      </c>
      <c r="BP9" s="42">
        <v>0.0</v>
      </c>
      <c r="BQ9" s="37"/>
      <c r="BR9" s="37" t="s">
        <v>19</v>
      </c>
      <c r="BS9" s="42">
        <v>0.0</v>
      </c>
      <c r="BT9" s="42">
        <v>0.0</v>
      </c>
      <c r="BU9" s="37"/>
      <c r="BV9" s="37"/>
      <c r="BW9" s="42">
        <v>0.0</v>
      </c>
      <c r="BX9" s="42">
        <v>0.0</v>
      </c>
      <c r="BY9" s="42">
        <v>0.0</v>
      </c>
      <c r="BZ9" s="42">
        <v>0.0</v>
      </c>
      <c r="CA9" s="42">
        <v>0.0</v>
      </c>
      <c r="CB9" s="37"/>
      <c r="CC9" s="42">
        <v>0.0</v>
      </c>
      <c r="CD9" s="42">
        <v>0.0</v>
      </c>
      <c r="CE9" s="42">
        <v>0.0</v>
      </c>
      <c r="CF9" s="42">
        <v>0.0</v>
      </c>
      <c r="CG9" s="42">
        <v>0.0</v>
      </c>
      <c r="CH9" s="42">
        <v>0.0</v>
      </c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42">
        <v>0.0</v>
      </c>
      <c r="DF9" s="42">
        <v>0.0</v>
      </c>
      <c r="DG9" s="42">
        <v>0.0</v>
      </c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42">
        <v>0.0</v>
      </c>
      <c r="EH9" s="42">
        <v>0.0</v>
      </c>
      <c r="EI9" s="42">
        <v>0.0</v>
      </c>
      <c r="EJ9" s="42">
        <v>0.0</v>
      </c>
      <c r="EK9" s="42">
        <v>0.0</v>
      </c>
      <c r="EL9" s="37"/>
      <c r="EM9" s="42">
        <v>0.0</v>
      </c>
      <c r="EN9" s="42">
        <v>0.0</v>
      </c>
      <c r="EO9" s="42">
        <v>0.0</v>
      </c>
      <c r="EP9" s="37"/>
      <c r="EQ9" s="37"/>
      <c r="ER9" s="37"/>
      <c r="ES9" s="37"/>
      <c r="ET9" s="37"/>
      <c r="EU9" s="37"/>
      <c r="EV9" s="37"/>
      <c r="EW9" s="37"/>
      <c r="EX9" s="37"/>
      <c r="EY9" s="37"/>
      <c r="EZ9" s="37"/>
      <c r="FA9" s="37"/>
      <c r="FB9" s="37"/>
      <c r="FC9" s="37"/>
      <c r="FD9" s="37"/>
      <c r="FE9" s="37"/>
      <c r="FF9" s="37"/>
      <c r="FG9" s="37"/>
      <c r="FH9" s="37"/>
      <c r="FI9" s="37"/>
      <c r="FJ9" s="37"/>
      <c r="FK9" s="37"/>
      <c r="FL9" s="37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AF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AF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