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ThirdPartyFileFormat" sheetId="4" r:id="rId6"/>
    <sheet state="visible" name="CreateDoneAwayOrder" sheetId="5" r:id="rId7"/>
    <sheet state="visible" name="ThirdPartyGenerate" sheetId="6" r:id="rId8"/>
    <sheet state="visible" name="VerifyThirdPartyGenerate" sheetId="7" r:id="rId9"/>
    <sheet state="visible" name="GetDataAllocation" sheetId="8" r:id="rId10"/>
    <sheet state="visible" name="Unallocate" sheetId="9" r:id="rId11"/>
    <sheet state="visible" name="ViewThirdParty" sheetId="10" r:id="rId12"/>
    <sheet state="visible" name="VerifyThirdPartyView" sheetId="11" r:id="rId13"/>
    <sheet state="visible" name="ThirdPartySend" sheetId="12" r:id="rId14"/>
    <sheet state="visible" name="VerifyThirdPartySend" sheetId="13" r:id="rId15"/>
  </sheets>
  <definedNames/>
  <calcPr/>
</workbook>
</file>

<file path=xl/sharedStrings.xml><?xml version="1.0" encoding="utf-8"?>
<sst xmlns="http://schemas.openxmlformats.org/spreadsheetml/2006/main" count="138" uniqueCount="44">
  <si>
    <t>Modules Info</t>
  </si>
  <si>
    <t>Modules</t>
  </si>
  <si>
    <t>Settings</t>
  </si>
  <si>
    <t>Module Step Setting File</t>
  </si>
  <si>
    <t>1ZBhhwCZZ7YBa_8ozolALMmSWBwR-xkU-u3SXd0e5wQY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</si>
  <si>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</si>
  <si>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</si>
  <si>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</si>
  <si>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</si>
  <si>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</si>
  <si>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</si>
  <si>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</si>
  <si>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</si>
  <si>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UpdateThirdPartyFileFormat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</si>
  <si>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</si>
  <si>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</si>
  <si>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</si>
  <si>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</si>
  <si>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</si>
  <si>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</si>
  <si>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</si>
  <si>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MS</t>
  </si>
  <si>
    <t>MSFT</t>
  </si>
  <si>
    <t>ThirdParty</t>
  </si>
  <si>
    <t>ThirdPartyGenerate</t>
  </si>
  <si>
    <t>PB.ISOX.Test</t>
  </si>
  <si>
    <t>ISOX</t>
  </si>
  <si>
    <t>Test</t>
  </si>
  <si>
    <t>PrimeBrokerClearer</t>
  </si>
  <si>
    <t>View</t>
  </si>
  <si>
    <t>Generate</t>
  </si>
  <si>
    <t xml:space="preserve">Send </t>
  </si>
  <si>
    <t>VerifyThirdPartyGenerate</t>
  </si>
  <si>
    <t>Allocated</t>
  </si>
  <si>
    <t>Allocation</t>
  </si>
  <si>
    <t>GetDataAllocation</t>
  </si>
  <si>
    <t>Current</t>
  </si>
  <si>
    <t>Unallocate</t>
  </si>
  <si>
    <t>ViewThirdParty</t>
  </si>
  <si>
    <t>VerifyThirdPartyView</t>
  </si>
  <si>
    <t>Sent</t>
  </si>
  <si>
    <t>Deleted</t>
  </si>
  <si>
    <t>ThirdPartySend</t>
  </si>
  <si>
    <t>VerifyThirdPartySend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</si>
</sst>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63238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horizontal="left"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6" fontId="14" numFmtId="14" xfId="0" applyAlignment="1" applyBorder="1" applyFill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IFERROR(__xludf.DUMMYFUNCTION("""COMPUTED_VALUE"""),"UpdateThirdPartyFileFormat")</f>
        <v>UpdateThirdPartyFileFormat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IFERROR(__xludf.DUMMYFUNCTION("""COMPUTED_VALUE"""),"ExportOnly")</f>
        <v>ExportOnly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UpdateThirdPartyFileFormat!$4:$4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 t="str">
        <f>IFERROR(__xludf.DUMMYFUNCTION("""COMPUTED_VALUE"""),"SharesOutstandingPopUpQty")</f>
        <v>SharesOutstandingPopUpQty</v>
      </c>
      <c r="AT5" s="30" t="str">
        <f>IFERROR(__xludf.DUMMYFUNCTION("""COMPUTED_VALUE"""),"SharesOutstandingPopUp")</f>
        <v>SharesOutstandingPopUp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4" t="s">
        <v>19</v>
      </c>
      <c r="D6" s="35">
        <v>100.0</v>
      </c>
      <c r="E6" s="34"/>
      <c r="F6" s="34" t="s">
        <v>20</v>
      </c>
      <c r="G6" s="34" t="s">
        <v>21</v>
      </c>
      <c r="H6" s="34"/>
      <c r="I6" s="34"/>
      <c r="J6" s="36">
        <v>10.0</v>
      </c>
      <c r="K6" s="34"/>
      <c r="L6" s="34"/>
      <c r="M6" s="34"/>
      <c r="N6" s="37">
        <f>today()</f>
        <v>44473</v>
      </c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9" t="s">
        <v>22</v>
      </c>
      <c r="C7" s="39" t="s">
        <v>19</v>
      </c>
      <c r="D7" s="40">
        <v>100.0</v>
      </c>
      <c r="E7" s="38"/>
      <c r="F7" s="39" t="s">
        <v>20</v>
      </c>
      <c r="G7" s="39" t="s">
        <v>21</v>
      </c>
      <c r="H7" s="38"/>
      <c r="I7" s="38"/>
      <c r="J7" s="40">
        <v>20.0</v>
      </c>
      <c r="K7" s="38"/>
      <c r="L7" s="38"/>
      <c r="M7" s="38"/>
      <c r="N7" s="41">
        <f>TODAY()</f>
        <v>44473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IFERROR(__xludf.DUMMYFUNCTION("""COMPUTED_VALUE"""),"Job Name")</f>
        <v>Job Name</v>
      </c>
      <c r="C5" s="28" t="str">
        <f>IFERROR(__xludf.DUMMYFUNCTION("""COMPUTED_VALUE"""),"Party Name")</f>
        <v>Party Name</v>
      </c>
      <c r="D5" s="28" t="str">
        <f>IFERROR(__xludf.DUMMYFUNCTION("""COMPUTED_VALUE"""),"File Format")</f>
        <v>File Format</v>
      </c>
      <c r="E5" s="28" t="str">
        <f>IFERROR(__xludf.DUMMYFUNCTION("""COMPUTED_VALUE"""),"Third Party Type")</f>
        <v>Third Party Type</v>
      </c>
      <c r="F5" s="29" t="str">
        <f>IFERROR(__xludf.DUMMYFUNCTION("""COMPUTED_VALUE"""),"View")</f>
        <v>View</v>
      </c>
      <c r="G5" s="28" t="str">
        <f>IFERROR(__xludf.DUMMYFUNCTION("""COMPUTED_VALUE"""),"Generate")</f>
        <v>Generate</v>
      </c>
      <c r="H5" s="28" t="str">
        <f>IFERROR(__xludf.DUMMYFUNCTION("""COMPUTED_VALUE"""),"Send")</f>
        <v>Send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25</v>
      </c>
      <c r="C6" s="34" t="s">
        <v>26</v>
      </c>
      <c r="D6" s="33" t="s">
        <v>27</v>
      </c>
      <c r="E6" s="34" t="s">
        <v>28</v>
      </c>
      <c r="F6" s="34" t="s">
        <v>29</v>
      </c>
      <c r="G6" s="34" t="s">
        <v>30</v>
      </c>
      <c r="H6" s="34" t="s">
        <v>31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ThirdPartyGenerate!$4:$4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IFERROR(__xludf.DUMMYFUNCTION("""COMPUTED_VALUE"""),"Symbol")</f>
        <v>Symbol</v>
      </c>
      <c r="D5" s="28" t="str">
        <f>IFERROR(__xludf.DUMMYFUNCTION("""COMPUTED_VALUE"""),"Side")</f>
        <v>Side</v>
      </c>
      <c r="E5" s="28" t="str">
        <f>IFERROR(__xludf.DUMMYFUNCTION("""COMPUTED_VALUE"""),"AveragePrice")</f>
        <v>AveragePrice</v>
      </c>
      <c r="F5" s="29" t="str">
        <f>IFERROR(__xludf.DUMMYFUNCTION("""COMPUTED_VALUE"""),"TradeDate")</f>
        <v>TradeDate</v>
      </c>
      <c r="G5" s="28" t="str">
        <f>IFERROR(__xludf.DUMMYFUNCTION("""COMPUTED_VALUE"""),"Quantity")</f>
        <v>Quantity</v>
      </c>
      <c r="H5" s="28" t="str">
        <f>IFERROR(__xludf.DUMMYFUNCTION("""COMPUTED_VALUE"""),"State")</f>
        <v>State</v>
      </c>
      <c r="I5" s="28" t="str">
        <f>IFERROR(__xludf.DUMMYFUNCTION("""COMPUTED_VALUE"""),"Currency")</f>
        <v>Currency</v>
      </c>
      <c r="J5" s="28" t="str">
        <f>IFERROR(__xludf.DUMMYFUNCTION("""COMPUTED_VALUE"""),"Commission")</f>
        <v>Commission</v>
      </c>
      <c r="K5" s="28" t="str">
        <f>IFERROR(__xludf.DUMMYFUNCTION("""COMPUTED_VALUE"""),"NetAmount")</f>
        <v>NetAmount</v>
      </c>
      <c r="L5" s="28" t="str">
        <f>IFERROR(__xludf.DUMMYFUNCTION("""COMPUTED_VALUE"""),"AssetName")</f>
        <v>AssetName</v>
      </c>
      <c r="M5" s="28" t="str">
        <f>IFERROR(__xludf.DUMMYFUNCTION("""COMPUTED_VALUE"""),"FXRate")</f>
        <v>FXRate</v>
      </c>
      <c r="N5" s="28" t="str">
        <f>IFERROR(__xludf.DUMMYFUNCTION("""COMPUTED_VALUE"""),"Broker")</f>
        <v>Broker</v>
      </c>
      <c r="O5" s="28" t="str">
        <f>IFERROR(__xludf.DUMMYFUNCTION("""COMPUTED_VALUE"""),"TradeAttribute1")</f>
        <v>TradeAttribute1</v>
      </c>
      <c r="P5" s="28" t="str">
        <f>IFERROR(__xludf.DUMMYFUNCTION("""COMPUTED_VALUE"""),"TradeAttribute2")</f>
        <v>TradeAttribute2</v>
      </c>
      <c r="Q5" s="28" t="str">
        <f>IFERROR(__xludf.DUMMYFUNCTION("""COMPUTED_VALUE"""),"TradeAttribute3")</f>
        <v>TradeAttribute3</v>
      </c>
      <c r="R5" s="28" t="str">
        <f>IFERROR(__xludf.DUMMYFUNCTION("""COMPUTED_VALUE"""),"TradeAttribute4")</f>
        <v>TradeAttribute4</v>
      </c>
      <c r="S5" s="28" t="str">
        <f>IFERROR(__xludf.DUMMYFUNCTION("""COMPUTED_VALUE"""),"TradeAttribute5")</f>
        <v>TradeAttribute5</v>
      </c>
      <c r="T5" s="30" t="str">
        <f>IFERROR(__xludf.DUMMYFUNCTION("""COMPUTED_VALUE"""),"TradeAttribute6")</f>
        <v>TradeAttribute6</v>
      </c>
      <c r="U5" s="30" t="str">
        <f>IFERROR(__xludf.DUMMYFUNCTION("""COMPUTED_VALUE"""),"IsAnOrder")</f>
        <v>IsAnOrder</v>
      </c>
      <c r="V5" s="30" t="str">
        <f>IFERROR(__xludf.DUMMYFUNCTION("""COMPUTED_VALUE"""),"MessageType")</f>
        <v>MessageType</v>
      </c>
      <c r="W5" s="30" t="str">
        <f>IFERROR(__xludf.DUMMYFUNCTION("""COMPUTED_VALUE"""),"ExecutionType")</f>
        <v>ExecutionType</v>
      </c>
      <c r="X5" s="30" t="str">
        <f>IFERROR(__xludf.DUMMYFUNCTION("""COMPUTED_VALUE"""),"Price")</f>
        <v>Price</v>
      </c>
      <c r="Y5" s="30" t="str">
        <f>IFERROR(__xludf.DUMMYFUNCTION("""COMPUTED_VALUE"""),"PortfolioName")</f>
        <v>PortfolioName</v>
      </c>
      <c r="Z5" s="30" t="str">
        <f>IFERROR(__xludf.DUMMYFUNCTION("""COMPUTED_VALUE"""),"Security")</f>
        <v>Security</v>
      </c>
      <c r="AA5" s="30" t="str">
        <f>IFERROR(__xludf.DUMMYFUNCTION("""COMPUTED_VALUE"""),"Sedol")</f>
        <v>Sedol</v>
      </c>
      <c r="AB5" s="30" t="str">
        <f>IFERROR(__xludf.DUMMYFUNCTION("""COMPUTED_VALUE"""),"Cusip")</f>
        <v>Cusip</v>
      </c>
      <c r="AC5" s="30" t="str">
        <f>IFERROR(__xludf.DUMMYFUNCTION("""COMPUTED_VALUE"""),"ISIN")</f>
        <v>ISIN</v>
      </c>
      <c r="AD5" s="30" t="str">
        <f>IFERROR(__xludf.DUMMYFUNCTION("""COMPUTED_VALUE"""),"SecurityName")</f>
        <v>SecurityName</v>
      </c>
      <c r="AE5" s="30" t="str">
        <f>IFERROR(__xludf.DUMMYFUNCTION("""COMPUTED_VALUE"""),"Position")</f>
        <v>Position</v>
      </c>
      <c r="AF5" s="30" t="str">
        <f>IFERROR(__xludf.DUMMYFUNCTION("""COMPUTED_VALUE"""),"Weight")</f>
        <v>Weight</v>
      </c>
      <c r="AG5" s="30" t="str">
        <f>IFERROR(__xludf.DUMMYFUNCTION("""COMPUTED_VALUE"""),"MktPx")</f>
        <v>MktPx</v>
      </c>
      <c r="AH5" s="30" t="str">
        <f>IFERROR(__xludf.DUMMYFUNCTION("""COMPUTED_VALUE"""),"CostPrice")</f>
        <v>CostPrice</v>
      </c>
      <c r="AI5" s="30" t="str">
        <f>IFERROR(__xludf.DUMMYFUNCTION("""COMPUTED_VALUE"""),"AsOfDate")</f>
        <v>AsOfDate</v>
      </c>
      <c r="AJ5" s="30" t="str">
        <f>IFERROR(__xludf.DUMMYFUNCTION("""COMPUTED_VALUE"""),"NewClassification")</f>
        <v>NewClassification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20</v>
      </c>
      <c r="C6" s="34" t="s">
        <v>18</v>
      </c>
      <c r="D6" s="33" t="s">
        <v>19</v>
      </c>
      <c r="E6" s="36">
        <v>10.0</v>
      </c>
      <c r="F6" s="42">
        <f t="shared" ref="F6:F7" si="1">today()</f>
        <v>44473</v>
      </c>
      <c r="G6" s="36">
        <v>100.0</v>
      </c>
      <c r="H6" s="34" t="s">
        <v>33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9" t="s">
        <v>20</v>
      </c>
      <c r="C7" s="39" t="s">
        <v>22</v>
      </c>
      <c r="D7" s="39" t="s">
        <v>19</v>
      </c>
      <c r="E7" s="40">
        <v>20.0</v>
      </c>
      <c r="F7" s="41">
        <f t="shared" si="1"/>
        <v>44473</v>
      </c>
      <c r="G7" s="40">
        <v>100.0</v>
      </c>
      <c r="H7" s="39" t="s">
        <v>33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VerifyThirdPartyGenerate!$4:$4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IFERROR(__xludf.DUMMYFUNCTION("""COMPUTED_VALUE"""),"AllocationAuditTrail")</f>
        <v>AllocationAuditTrail</v>
      </c>
      <c r="DS4" s="26" t="str">
        <f>IFERROR(__xludf.DUMMYFUNCTION("""COMPUTED_VALUE"""),"GetAuditTrailData")</f>
        <v>GetAuditTrailData</v>
      </c>
      <c r="DT4" s="26" t="str">
        <f>IFERROR(__xludf.DUMMYFUNCTION("""COMPUTED_VALUE"""),"CheckAuditTrailData")</f>
        <v>CheckAuditTrailData</v>
      </c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36</v>
      </c>
      <c r="C6" s="34"/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IFERROR(__xludf.DUMMYFUNCTION("""COMPUTED_VALUE"""),"AllocationAuditTrail")</f>
        <v>AllocationAuditTrail</v>
      </c>
      <c r="DS4" s="26" t="str">
        <f>IFERROR(__xludf.DUMMYFUNCTION("""COMPUTED_VALUE"""),"GetAuditTrailData")</f>
        <v>GetAuditTrailData</v>
      </c>
      <c r="DT4" s="26" t="str">
        <f>IFERROR(__xludf.DUMMYFUNCTION("""COMPUTED_VALUE"""),"CheckAuditTrailData")</f>
        <v>CheckAuditTrailData</v>
      </c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 Base)")</f>
        <v>Avg Price( 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6">
        <v>100.0</v>
      </c>
      <c r="D6" s="37">
        <f>today()</f>
        <v>44473</v>
      </c>
      <c r="E6" s="34" t="s">
        <v>20</v>
      </c>
      <c r="F6" s="34" t="s">
        <v>19</v>
      </c>
      <c r="G6" s="34"/>
      <c r="H6" s="34"/>
      <c r="I6" s="34"/>
      <c r="J6" s="34"/>
      <c r="K6" s="36">
        <v>10.0</v>
      </c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IFERROR(__xludf.DUMMYFUNCTION("""COMPUTED_VALUE"""),"Job Name")</f>
        <v>Job Name</v>
      </c>
      <c r="C5" s="28" t="str">
        <f>IFERROR(__xludf.DUMMYFUNCTION("""COMPUTED_VALUE"""),"Party Name")</f>
        <v>Party Name</v>
      </c>
      <c r="D5" s="28" t="str">
        <f>IFERROR(__xludf.DUMMYFUNCTION("""COMPUTED_VALUE"""),"File Format")</f>
        <v>File Format</v>
      </c>
      <c r="E5" s="28" t="str">
        <f>IFERROR(__xludf.DUMMYFUNCTION("""COMPUTED_VALUE"""),"Third Party Type")</f>
        <v>Third Party Type</v>
      </c>
      <c r="F5" s="29" t="str">
        <f>IFERROR(__xludf.DUMMYFUNCTION("""COMPUTED_VALUE"""),"View")</f>
        <v>View</v>
      </c>
      <c r="G5" s="28" t="str">
        <f>IFERROR(__xludf.DUMMYFUNCTION("""COMPUTED_VALUE"""),"Generate")</f>
        <v>Generate</v>
      </c>
      <c r="H5" s="28" t="str">
        <f>IFERROR(__xludf.DUMMYFUNCTION("""COMPUTED_VALUE"""),"Send")</f>
        <v>Send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25</v>
      </c>
      <c r="C6" s="34" t="s">
        <v>26</v>
      </c>
      <c r="D6" s="33" t="s">
        <v>27</v>
      </c>
      <c r="E6" s="34" t="s">
        <v>28</v>
      </c>
      <c r="F6" s="34" t="s">
        <v>29</v>
      </c>
      <c r="G6" s="34" t="s">
        <v>30</v>
      </c>
      <c r="H6" s="34" t="s">
        <v>31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ViewThirdParty!$4:$4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IFERROR(__xludf.DUMMYFUNCTION("""COMPUTED_VALUE"""),"Symbol")</f>
        <v>Symbol</v>
      </c>
      <c r="D5" s="28" t="str">
        <f>IFERROR(__xludf.DUMMYFUNCTION("""COMPUTED_VALUE"""),"Side")</f>
        <v>Side</v>
      </c>
      <c r="E5" s="28" t="str">
        <f>IFERROR(__xludf.DUMMYFUNCTION("""COMPUTED_VALUE"""),"AveragePrice")</f>
        <v>AveragePrice</v>
      </c>
      <c r="F5" s="29" t="str">
        <f>IFERROR(__xludf.DUMMYFUNCTION("""COMPUTED_VALUE"""),"TradeDate")</f>
        <v>TradeDate</v>
      </c>
      <c r="G5" s="28" t="str">
        <f>IFERROR(__xludf.DUMMYFUNCTION("""COMPUTED_VALUE"""),"Quantity")</f>
        <v>Quantity</v>
      </c>
      <c r="H5" s="28" t="str">
        <f>IFERROR(__xludf.DUMMYFUNCTION("""COMPUTED_VALUE"""),"State")</f>
        <v>State</v>
      </c>
      <c r="I5" s="28" t="str">
        <f>IFERROR(__xludf.DUMMYFUNCTION("""COMPUTED_VALUE"""),"Currency")</f>
        <v>Currency</v>
      </c>
      <c r="J5" s="28" t="str">
        <f>IFERROR(__xludf.DUMMYFUNCTION("""COMPUTED_VALUE"""),"Commission")</f>
        <v>Commission</v>
      </c>
      <c r="K5" s="28" t="str">
        <f>IFERROR(__xludf.DUMMYFUNCTION("""COMPUTED_VALUE"""),"NetAmount")</f>
        <v>NetAmount</v>
      </c>
      <c r="L5" s="28" t="str">
        <f>IFERROR(__xludf.DUMMYFUNCTION("""COMPUTED_VALUE"""),"AssetName")</f>
        <v>AssetName</v>
      </c>
      <c r="M5" s="28" t="str">
        <f>IFERROR(__xludf.DUMMYFUNCTION("""COMPUTED_VALUE"""),"FXRate")</f>
        <v>FXRate</v>
      </c>
      <c r="N5" s="28" t="str">
        <f>IFERROR(__xludf.DUMMYFUNCTION("""COMPUTED_VALUE"""),"Broker")</f>
        <v>Broker</v>
      </c>
      <c r="O5" s="28" t="str">
        <f>IFERROR(__xludf.DUMMYFUNCTION("""COMPUTED_VALUE"""),"TradeAttribute1")</f>
        <v>TradeAttribute1</v>
      </c>
      <c r="P5" s="28" t="str">
        <f>IFERROR(__xludf.DUMMYFUNCTION("""COMPUTED_VALUE"""),"TradeAttribute2")</f>
        <v>TradeAttribute2</v>
      </c>
      <c r="Q5" s="28" t="str">
        <f>IFERROR(__xludf.DUMMYFUNCTION("""COMPUTED_VALUE"""),"TradeAttribute3")</f>
        <v>TradeAttribute3</v>
      </c>
      <c r="R5" s="28" t="str">
        <f>IFERROR(__xludf.DUMMYFUNCTION("""COMPUTED_VALUE"""),"TradeAttribute4")</f>
        <v>TradeAttribute4</v>
      </c>
      <c r="S5" s="28" t="str">
        <f>IFERROR(__xludf.DUMMYFUNCTION("""COMPUTED_VALUE"""),"TradeAttribute5")</f>
        <v>TradeAttribute5</v>
      </c>
      <c r="T5" s="30" t="str">
        <f>IFERROR(__xludf.DUMMYFUNCTION("""COMPUTED_VALUE"""),"TradeAttribute6")</f>
        <v>TradeAttribute6</v>
      </c>
      <c r="U5" s="30" t="str">
        <f>IFERROR(__xludf.DUMMYFUNCTION("""COMPUTED_VALUE"""),"IsAnOrder")</f>
        <v>IsAnOrder</v>
      </c>
      <c r="V5" s="30" t="str">
        <f>IFERROR(__xludf.DUMMYFUNCTION("""COMPUTED_VALUE"""),"MessageType")</f>
        <v>MessageType</v>
      </c>
      <c r="W5" s="30" t="str">
        <f>IFERROR(__xludf.DUMMYFUNCTION("""COMPUTED_VALUE"""),"ExecutionType")</f>
        <v>ExecutionType</v>
      </c>
      <c r="X5" s="30" t="str">
        <f>IFERROR(__xludf.DUMMYFUNCTION("""COMPUTED_VALUE"""),"Price")</f>
        <v>Price</v>
      </c>
      <c r="Y5" s="30" t="str">
        <f>IFERROR(__xludf.DUMMYFUNCTION("""COMPUTED_VALUE"""),"PortfolioName")</f>
        <v>PortfolioName</v>
      </c>
      <c r="Z5" s="30" t="str">
        <f>IFERROR(__xludf.DUMMYFUNCTION("""COMPUTED_VALUE"""),"Security")</f>
        <v>Security</v>
      </c>
      <c r="AA5" s="30" t="str">
        <f>IFERROR(__xludf.DUMMYFUNCTION("""COMPUTED_VALUE"""),"Sedol")</f>
        <v>Sedol</v>
      </c>
      <c r="AB5" s="30" t="str">
        <f>IFERROR(__xludf.DUMMYFUNCTION("""COMPUTED_VALUE"""),"Cusip")</f>
        <v>Cusip</v>
      </c>
      <c r="AC5" s="30" t="str">
        <f>IFERROR(__xludf.DUMMYFUNCTION("""COMPUTED_VALUE"""),"ISIN")</f>
        <v>ISIN</v>
      </c>
      <c r="AD5" s="30" t="str">
        <f>IFERROR(__xludf.DUMMYFUNCTION("""COMPUTED_VALUE"""),"SecurityName")</f>
        <v>SecurityName</v>
      </c>
      <c r="AE5" s="30" t="str">
        <f>IFERROR(__xludf.DUMMYFUNCTION("""COMPUTED_VALUE"""),"Position")</f>
        <v>Position</v>
      </c>
      <c r="AF5" s="30" t="str">
        <f>IFERROR(__xludf.DUMMYFUNCTION("""COMPUTED_VALUE"""),"Weight")</f>
        <v>Weight</v>
      </c>
      <c r="AG5" s="30" t="str">
        <f>IFERROR(__xludf.DUMMYFUNCTION("""COMPUTED_VALUE"""),"MktPx")</f>
        <v>MktPx</v>
      </c>
      <c r="AH5" s="30" t="str">
        <f>IFERROR(__xludf.DUMMYFUNCTION("""COMPUTED_VALUE"""),"CostPrice")</f>
        <v>CostPrice</v>
      </c>
      <c r="AI5" s="30" t="str">
        <f>IFERROR(__xludf.DUMMYFUNCTION("""COMPUTED_VALUE"""),"AsOfDate")</f>
        <v>AsOfDate</v>
      </c>
      <c r="AJ5" s="30" t="str">
        <f>IFERROR(__xludf.DUMMYFUNCTION("""COMPUTED_VALUE"""),"NewClassification")</f>
        <v>NewClassification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20</v>
      </c>
      <c r="C6" s="34" t="s">
        <v>22</v>
      </c>
      <c r="D6" s="33" t="s">
        <v>19</v>
      </c>
      <c r="E6" s="36">
        <v>20.0</v>
      </c>
      <c r="F6" s="42">
        <f t="shared" ref="F6:F7" si="1">today()</f>
        <v>44473</v>
      </c>
      <c r="G6" s="36">
        <v>100.0</v>
      </c>
      <c r="H6" s="43" t="s">
        <v>40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3"/>
      <c r="B7" s="33" t="s">
        <v>20</v>
      </c>
      <c r="C7" s="43" t="s">
        <v>18</v>
      </c>
      <c r="D7" s="33" t="s">
        <v>19</v>
      </c>
      <c r="E7" s="44">
        <v>10.0</v>
      </c>
      <c r="F7" s="42">
        <f t="shared" si="1"/>
        <v>44473</v>
      </c>
      <c r="G7" s="36">
        <v>100.0</v>
      </c>
      <c r="H7" s="43" t="s">
        <v>41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VerifyThirdPartyView!$4:$4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IFERROR(__xludf.DUMMYFUNCTION("""COMPUTED_VALUE"""),"Job Name")</f>
        <v>Job Name</v>
      </c>
      <c r="C5" s="28" t="str">
        <f>IFERROR(__xludf.DUMMYFUNCTION("""COMPUTED_VALUE"""),"Party Name")</f>
        <v>Party Name</v>
      </c>
      <c r="D5" s="28" t="str">
        <f>IFERROR(__xludf.DUMMYFUNCTION("""COMPUTED_VALUE"""),"File Format")</f>
        <v>File Format</v>
      </c>
      <c r="E5" s="28" t="str">
        <f>IFERROR(__xludf.DUMMYFUNCTION("""COMPUTED_VALUE"""),"Third Party Type")</f>
        <v>Third Party Type</v>
      </c>
      <c r="F5" s="29" t="str">
        <f>IFERROR(__xludf.DUMMYFUNCTION("""COMPUTED_VALUE"""),"View")</f>
        <v>View</v>
      </c>
      <c r="G5" s="28" t="str">
        <f>IFERROR(__xludf.DUMMYFUNCTION("""COMPUTED_VALUE"""),"Generate")</f>
        <v>Generate</v>
      </c>
      <c r="H5" s="28" t="str">
        <f>IFERROR(__xludf.DUMMYFUNCTION("""COMPUTED_VALUE"""),"Send")</f>
        <v>Send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25</v>
      </c>
      <c r="C6" s="34" t="s">
        <v>26</v>
      </c>
      <c r="D6" s="33" t="s">
        <v>27</v>
      </c>
      <c r="E6" s="34" t="s">
        <v>28</v>
      </c>
      <c r="F6" s="34" t="s">
        <v>29</v>
      </c>
      <c r="G6" s="34" t="s">
        <v>30</v>
      </c>
      <c r="H6" s="34" t="s">
        <v>31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ThirdPartySend!$4:$4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IFERROR(__xludf.DUMMYFUNCTION("""COMPUTED_VALUE"""),"Symbol")</f>
        <v>Symbol</v>
      </c>
      <c r="D5" s="28" t="str">
        <f>IFERROR(__xludf.DUMMYFUNCTION("""COMPUTED_VALUE"""),"Side")</f>
        <v>Side</v>
      </c>
      <c r="E5" s="28" t="str">
        <f>IFERROR(__xludf.DUMMYFUNCTION("""COMPUTED_VALUE"""),"AveragePrice")</f>
        <v>AveragePrice</v>
      </c>
      <c r="F5" s="29" t="str">
        <f>IFERROR(__xludf.DUMMYFUNCTION("""COMPUTED_VALUE"""),"TradeDate")</f>
        <v>TradeDate</v>
      </c>
      <c r="G5" s="28" t="str">
        <f>IFERROR(__xludf.DUMMYFUNCTION("""COMPUTED_VALUE"""),"Quantity")</f>
        <v>Quantity</v>
      </c>
      <c r="H5" s="28" t="str">
        <f>IFERROR(__xludf.DUMMYFUNCTION("""COMPUTED_VALUE"""),"State")</f>
        <v>State</v>
      </c>
      <c r="I5" s="28" t="str">
        <f>IFERROR(__xludf.DUMMYFUNCTION("""COMPUTED_VALUE"""),"Currency")</f>
        <v>Currency</v>
      </c>
      <c r="J5" s="28" t="str">
        <f>IFERROR(__xludf.DUMMYFUNCTION("""COMPUTED_VALUE"""),"Commission")</f>
        <v>Commission</v>
      </c>
      <c r="K5" s="28" t="str">
        <f>IFERROR(__xludf.DUMMYFUNCTION("""COMPUTED_VALUE"""),"NetAmount")</f>
        <v>NetAmount</v>
      </c>
      <c r="L5" s="28" t="str">
        <f>IFERROR(__xludf.DUMMYFUNCTION("""COMPUTED_VALUE"""),"AssetName")</f>
        <v>AssetName</v>
      </c>
      <c r="M5" s="28" t="str">
        <f>IFERROR(__xludf.DUMMYFUNCTION("""COMPUTED_VALUE"""),"FXRate")</f>
        <v>FXRate</v>
      </c>
      <c r="N5" s="28" t="str">
        <f>IFERROR(__xludf.DUMMYFUNCTION("""COMPUTED_VALUE"""),"Broker")</f>
        <v>Broker</v>
      </c>
      <c r="O5" s="28" t="str">
        <f>IFERROR(__xludf.DUMMYFUNCTION("""COMPUTED_VALUE"""),"TradeAttribute1")</f>
        <v>TradeAttribute1</v>
      </c>
      <c r="P5" s="28" t="str">
        <f>IFERROR(__xludf.DUMMYFUNCTION("""COMPUTED_VALUE"""),"TradeAttribute2")</f>
        <v>TradeAttribute2</v>
      </c>
      <c r="Q5" s="28" t="str">
        <f>IFERROR(__xludf.DUMMYFUNCTION("""COMPUTED_VALUE"""),"TradeAttribute3")</f>
        <v>TradeAttribute3</v>
      </c>
      <c r="R5" s="28" t="str">
        <f>IFERROR(__xludf.DUMMYFUNCTION("""COMPUTED_VALUE"""),"TradeAttribute4")</f>
        <v>TradeAttribute4</v>
      </c>
      <c r="S5" s="28" t="str">
        <f>IFERROR(__xludf.DUMMYFUNCTION("""COMPUTED_VALUE"""),"TradeAttribute5")</f>
        <v>TradeAttribute5</v>
      </c>
      <c r="T5" s="30" t="str">
        <f>IFERROR(__xludf.DUMMYFUNCTION("""COMPUTED_VALUE"""),"TradeAttribute6")</f>
        <v>TradeAttribute6</v>
      </c>
      <c r="U5" s="30" t="str">
        <f>IFERROR(__xludf.DUMMYFUNCTION("""COMPUTED_VALUE"""),"IsAnOrder")</f>
        <v>IsAnOrder</v>
      </c>
      <c r="V5" s="30" t="str">
        <f>IFERROR(__xludf.DUMMYFUNCTION("""COMPUTED_VALUE"""),"MessageType")</f>
        <v>MessageType</v>
      </c>
      <c r="W5" s="30" t="str">
        <f>IFERROR(__xludf.DUMMYFUNCTION("""COMPUTED_VALUE"""),"ExecutionType")</f>
        <v>ExecutionType</v>
      </c>
      <c r="X5" s="30" t="str">
        <f>IFERROR(__xludf.DUMMYFUNCTION("""COMPUTED_VALUE"""),"Price")</f>
        <v>Price</v>
      </c>
      <c r="Y5" s="30" t="str">
        <f>IFERROR(__xludf.DUMMYFUNCTION("""COMPUTED_VALUE"""),"PortfolioName")</f>
        <v>PortfolioName</v>
      </c>
      <c r="Z5" s="30" t="str">
        <f>IFERROR(__xludf.DUMMYFUNCTION("""COMPUTED_VALUE"""),"Security")</f>
        <v>Security</v>
      </c>
      <c r="AA5" s="30" t="str">
        <f>IFERROR(__xludf.DUMMYFUNCTION("""COMPUTED_VALUE"""),"Sedol")</f>
        <v>Sedol</v>
      </c>
      <c r="AB5" s="30" t="str">
        <f>IFERROR(__xludf.DUMMYFUNCTION("""COMPUTED_VALUE"""),"Cusip")</f>
        <v>Cusip</v>
      </c>
      <c r="AC5" s="30" t="str">
        <f>IFERROR(__xludf.DUMMYFUNCTION("""COMPUTED_VALUE"""),"ISIN")</f>
        <v>ISIN</v>
      </c>
      <c r="AD5" s="30" t="str">
        <f>IFERROR(__xludf.DUMMYFUNCTION("""COMPUTED_VALUE"""),"SecurityName")</f>
        <v>SecurityName</v>
      </c>
      <c r="AE5" s="30" t="str">
        <f>IFERROR(__xludf.DUMMYFUNCTION("""COMPUTED_VALUE"""),"Position")</f>
        <v>Position</v>
      </c>
      <c r="AF5" s="30" t="str">
        <f>IFERROR(__xludf.DUMMYFUNCTION("""COMPUTED_VALUE"""),"Weight")</f>
        <v>Weight</v>
      </c>
      <c r="AG5" s="30" t="str">
        <f>IFERROR(__xludf.DUMMYFUNCTION("""COMPUTED_VALUE"""),"MktPx")</f>
        <v>MktPx</v>
      </c>
      <c r="AH5" s="30" t="str">
        <f>IFERROR(__xludf.DUMMYFUNCTION("""COMPUTED_VALUE"""),"CostPrice")</f>
        <v>CostPrice</v>
      </c>
      <c r="AI5" s="30" t="str">
        <f>IFERROR(__xludf.DUMMYFUNCTION("""COMPUTED_VALUE"""),"AsOfDate")</f>
        <v>AsOfDate</v>
      </c>
      <c r="AJ5" s="30" t="str">
        <f>IFERROR(__xludf.DUMMYFUNCTION("""COMPUTED_VALUE"""),"NewClassification")</f>
        <v>NewClassification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20</v>
      </c>
      <c r="C6" s="34" t="s">
        <v>22</v>
      </c>
      <c r="D6" s="33" t="s">
        <v>19</v>
      </c>
      <c r="E6" s="36">
        <v>20.0</v>
      </c>
      <c r="F6" s="42">
        <f t="shared" ref="F6:F7" si="1">today()</f>
        <v>44473</v>
      </c>
      <c r="G6" s="36">
        <v>100.0</v>
      </c>
      <c r="H6" s="43" t="s">
        <v>40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3"/>
      <c r="B7" s="33" t="s">
        <v>20</v>
      </c>
      <c r="C7" s="43" t="s">
        <v>18</v>
      </c>
      <c r="D7" s="33" t="s">
        <v>19</v>
      </c>
      <c r="E7" s="44">
        <v>10.0</v>
      </c>
      <c r="F7" s="42">
        <f t="shared" si="1"/>
        <v>44473</v>
      </c>
      <c r="G7" s="36">
        <v>100.0</v>
      </c>
      <c r="H7" s="43" t="s">
        <v>41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VerifyThirdPartySend!$4:$4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