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DisableCheckside" sheetId="4" r:id="rId6"/>
    <sheet state="visible" name="CreateDoneAwayOrder" sheetId="5" r:id="rId7"/>
    <sheet state="visible" name="GetDataAllocation" sheetId="6" r:id="rId8"/>
    <sheet state="visible" name="CheckAllocatedGroups" sheetId="7" r:id="rId9"/>
    <sheet state="visible" name="CheckUnallocatedGroups" sheetId="8" r:id="rId10"/>
  </sheets>
  <definedNames/>
  <calcPr/>
</workbook>
</file>

<file path=xl/sharedStrings.xml><?xml version="1.0" encoding="utf-8"?>
<sst xmlns="http://schemas.openxmlformats.org/spreadsheetml/2006/main" count="76" uniqueCount="40">
  <si>
    <t>Settings</t>
  </si>
  <si>
    <t>Master Data Info</t>
  </si>
  <si>
    <t>Modules Info</t>
  </si>
  <si>
    <t>Module Step Setting File</t>
  </si>
  <si>
    <t>Modules</t>
  </si>
  <si>
    <t>Module</t>
  </si>
  <si>
    <t>1BICZ_GcMhh_S937ZinFvSYqvvKYtOYB2Bc4woEPpgPg</t>
  </si>
  <si>
    <t>Step</t>
  </si>
  <si>
    <t>Master Data Settings File</t>
  </si>
  <si>
    <t>1Nt_rf5DtgjbN9Ag4AMMlUkZYROxKZLH5m54YOl7tRT0</t>
  </si>
  <si>
    <t>Master Data Sheet</t>
  </si>
  <si>
    <t>Data</t>
  </si>
  <si>
    <t>Allocation</t>
  </si>
  <si>
    <t>DisableCheckside</t>
  </si>
  <si>
    <t>Data Format</t>
  </si>
  <si>
    <t>Input Format</t>
  </si>
  <si>
    <t>FX</t>
  </si>
  <si>
    <t>GS</t>
  </si>
  <si>
    <t>FXForward</t>
  </si>
  <si>
    <t>Lakeshore</t>
  </si>
  <si>
    <t>FXOption</t>
  </si>
  <si>
    <t>MSCOS</t>
  </si>
  <si>
    <t>Indices</t>
  </si>
  <si>
    <t>PrivateEquity</t>
  </si>
  <si>
    <t>TradingTicket</t>
  </si>
  <si>
    <t>CreateDoneAwayOrder</t>
  </si>
  <si>
    <t>MSFT</t>
  </si>
  <si>
    <t>Sell</t>
  </si>
  <si>
    <t>Allocation1</t>
  </si>
  <si>
    <t>Wolverine</t>
  </si>
  <si>
    <t>Market</t>
  </si>
  <si>
    <t>Auto</t>
  </si>
  <si>
    <t>Sell short</t>
  </si>
  <si>
    <t>Allocation2</t>
  </si>
  <si>
    <t>GetDataAllocation</t>
  </si>
  <si>
    <t>Historical</t>
  </si>
  <si>
    <t>1/1/1800</t>
  </si>
  <si>
    <t>CheckAllocatedGroups</t>
  </si>
  <si>
    <t>Equity</t>
  </si>
  <si>
    <t>CheckUnallocatedGroups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</si>
</sst>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readingOrder="0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4" fillId="3" fontId="5" numFmtId="0" xfId="0" applyAlignment="1" applyBorder="1" applyFont="1">
      <alignment readingOrder="0" shrinkToFit="0" wrapText="0"/>
    </xf>
    <xf borderId="0" fillId="0" fontId="9" numFmtId="0" xfId="0" applyFont="1"/>
    <xf borderId="4" fillId="3" fontId="5" numFmtId="0" xfId="0" applyAlignment="1" applyBorder="1" applyFont="1">
      <alignment shrinkToFit="0" wrapText="0"/>
    </xf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readingOrder="0"/>
    </xf>
    <xf borderId="0" fillId="0" fontId="4" numFmtId="164" xfId="0" applyAlignment="1" applyFont="1" applyNumberForma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readingOrder="0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2</v>
      </c>
      <c r="B1" s="4"/>
      <c r="C1" s="4"/>
      <c r="D1" s="4"/>
      <c r="E1" s="4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4</v>
      </c>
      <c r="B3" s="14"/>
      <c r="C3" s="16"/>
      <c r="D3" s="16"/>
      <c r="E3" s="16"/>
      <c r="F3" s="16"/>
    </row>
    <row r="4" ht="15.75" customHeight="1">
      <c r="A4" s="6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IFERROR(__xludf.DUMMYFUNCTION("""COMPUTED_VALUE"""),"1g8wLprruaWRC_5pQcovqkv8ZCiMt5fspCOACibdkz7g")</f>
        <v>1g8wLprruaWRC_5pQcovqkv8ZCiMt5fspCOACibdkz7g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IFERROR(__xludf.DUMMYFUNCTION("""COMPUTED_VALUE"""),"1aecq-HMDoDkIInONjPC11z5TBFHyJhv4ro66e2ZOphg")</f>
        <v>1aecq-HMDoDkIInONjPC11z5TBFHyJhv4ro66e2ZOphg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IFERROR(__xludf.DUMMYFUNCTION("""COMPUTED_VALUE"""),"1eDZq-_vllq4jwvwpk9qGnwQUhlb-sFvyFKPBriT2dA0")</f>
        <v>1eDZq-_vllq4jwvwpk9qGnwQUhlb-sFvyFKPBriT2dA0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IFERROR(__xludf.DUMMYFUNCTION("""COMPUTED_VALUE"""),"1FBTO3wCB7odq-jpQMbYHgSrAL5-rFO2_kp9Kr2iXqXE")</f>
        <v>1FBTO3wCB7odq-jpQMbYHgSrAL5-rFO2_kp9Kr2iXqXE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IFERROR(__xludf.DUMMYFUNCTION("""COMPUTED_VALUE"""),"1G0ZkXDrIDX_loGmAyLs_Shy8hExtTELtFXERbX-HdPo")</f>
        <v>1G0ZkXDrIDX_loGmAyLs_Shy8hExtTELtFXERbX-HdPo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IFERROR(__xludf.DUMMYFUNCTION("""COMPUTED_VALUE"""),"1YgVZ1jEVgjUF1Dp8FAj_W_zLEZCyqvNMlWJIg0Tmkq4")</f>
        <v>1YgVZ1jEVgjUF1Dp8FAj_W_zLEZCyqvNMlWJIg0Tmkq4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IFERROR(__xludf.DUMMYFUNCTION("""COMPUTED_VALUE"""),"1MyB61T39MDAUyQqCUJLATzUT2f5UlE8nFq4ltWy_DJ4")</f>
        <v>1MyB61T39MDAUyQqCUJLATzUT2f5UlE8nFq4ltWy_DJ4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IFERROR(__xludf.DUMMYFUNCTION("""COMPUTED_VALUE"""),"16qheLbvgC92hKxalWDlpWfHBMyDDVqHERUCc7bQiO2A")</f>
        <v>16qheLbvgC92hKxalWDlpWfHBMyDDVqHERUCc7bQiO2A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IFERROR(__xludf.DUMMYFUNCTION("""COMPUTED_VALUE"""),"1zLd3ju-mV8f6PZiQUYLU-cAgAUwLwyoIAKuu0WgG2zI")</f>
        <v>1zLd3ju-mV8f6PZiQUYLU-cAgAUwLwyoIAKuu0WgG2zI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IFERROR(__xludf.DUMMYFUNCTION("""COMPUTED_VALUE"""),"1sjDsI5FIL_l_G6osMJQ7e8auBgYd3R3JDaKWKV_8Og0")</f>
        <v>1sjDsI5FIL_l_G6osMJQ7e8auBgYd3R3JDaKWKV_8Og0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IFERROR(__xludf.DUMMYFUNCTION("""COMPUTED_VALUE"""),"1xn1P_Z-3N4d2BC1SUPly2HiVZazly5ZQcS18BfaTyho")</f>
        <v>1xn1P_Z-3N4d2BC1SUPly2HiVZazly5ZQcS18BfaTyho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IFERROR(__xludf.DUMMYFUNCTION("""COMPUTED_VALUE"""),"1vlvYPsiFAWjsnFrbkGn_fAvkwF00V3e7htalalU6QN4")</f>
        <v>1vlvYPsiFAWjsnFrbkGn_fAvkwF00V3e7htalalU6QN4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IFERROR(__xludf.DUMMYFUNCTION("""COMPUTED_VALUE"""),"1o2rCg2FuoAOT5Pl8i4iFP_TwpPm0UB1dd49GbpkytfM")</f>
        <v>1o2rCg2FuoAOT5Pl8i4iFP_TwpPm0UB1dd49GbpkytfM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IFERROR(__xludf.DUMMYFUNCTION("""COMPUTED_VALUE"""),"1_v2niCJ9VGNvgEBpvz030BFqEISSUhYRHyWcAJAn_Eg")</f>
        <v>1_v2niCJ9VGNvgEBpvz030BFqEISSUhYRHyWcAJAn_Eg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IFERROR(__xludf.DUMMYFUNCTION("""COMPUTED_VALUE"""),"1hsRs1-LY0akTrMe91ArnbLtk6GUy_bKxVwMYCaiMs-8")</f>
        <v>1hsRs1-LY0akTrMe91ArnbLtk6GUy_bKxVwMYCaiMs-8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IFERROR(__xludf.DUMMYFUNCTION("""COMPUTED_VALUE"""),"14rwUHTx4auE_hf60WN-tNOx3atNg7QGvErWNwVQIRqE")</f>
        <v>14rwUHTx4auE_hf60WN-tNOx3atNg7QGvErWNwVQIRqE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IFERROR(__xludf.DUMMYFUNCTION("""COMPUTED_VALUE"""),"1amshi8Ns36lsDpccBK0y_9bL_pQ2rHdGNYypcgzceUg")</f>
        <v>1amshi8Ns36lsDpccBK0y_9bL_pQ2rHdGNYypcgzceUg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IFERROR(__xludf.DUMMYFUNCTION("""COMPUTED_VALUE"""),"1YKttwHsdIskNDoo0Sl7HF2DWikROW-KA05qfT3GLIyI")</f>
        <v>1YKttwHsdIskNDoo0Sl7HF2DWikROW-KA05qfT3GLIyI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IFERROR(__xludf.DUMMYFUNCTION("""COMPUTED_VALUE"""),"1YJ2rTp-OqQTGjubvs_cBC6fl0l94pyHI2eaLJzbddS4")</f>
        <v>1YJ2rTp-OqQTGjubvs_cBC6fl0l94pyHI2eaLJzbddS4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IFERROR(__xludf.DUMMYFUNCTION("""COMPUTED_VALUE"""),"1mLyEfNTVFd65cnE6GfgCRD6TdpKg1BgqNIDjHCFzyO4")</f>
        <v>1mLyEfNTVFd65cnE6GfgCRD6TdpKg1BgqNIDjHCFzyO4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IFERROR(__xludf.DUMMYFUNCTION("""COMPUTED_VALUE"""),"1M8d9TyOhMnA65NSIYvS6dR68SH5RL6oKahd6uz7yp6c")</f>
        <v>1M8d9TyOhMnA65NSIYvS6dR68SH5RL6oKahd6uz7yp6c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IFERROR(__xludf.DUMMYFUNCTION("""COMPUTED_VALUE"""),"1Q5uOVYo1NMRks6hQRJuV8XWMPb6VFEAbSzpgP1dot1I")</f>
        <v>1Q5uOVYo1NMRks6hQRJuV8XWMPb6VFEAbSzpgP1dot1I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IFERROR(__xludf.DUMMYFUNCTION("""COMPUTED_VALUE"""),"1iqfUyYqyebXIeNBGljH7-T8whBcywTlkBBU3dBZV06s")</f>
        <v>1iqfUyYqyebXIeNBGljH7-T8whBcywTlkBBU3dBZV06s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IFERROR(__xludf.DUMMYFUNCTION("""COMPUTED_VALUE"""),"1u0XMlZJy_Slp7uXMwirinW7StOOdTcWD-D8V07sO0VA")</f>
        <v>1u0XMlZJy_Slp7uXMwirinW7StOOdTcWD-D8V07sO0VA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IFERROR(__xludf.DUMMYFUNCTION("""COMPUTED_VALUE"""),"1mh3Z5PifhJ3yzX8TPeoc3H3nteNiA0V2tWFse0rVChE")</f>
        <v>1mh3Z5PifhJ3yzX8TPeoc3H3nteNiA0V2tWFse0rVChE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IFERROR(__xludf.DUMMYFUNCTION("""COMPUTED_VALUE"""),"1vmZ6v1OyZ8SSi8bqqjK3ap3KtM_yPA_SEcIQgYiRInY")</f>
        <v>1vmZ6v1OyZ8SSi8bqqjK3ap3KtM_yPA_SEcIQgYiRInY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IFERROR(__xludf.DUMMYFUNCTION("""COMPUTED_VALUE"""),"1OiI1Pi_JAFOFi8ByMaD3_qqEXSv6yQMo_u6aGTozbl8")</f>
        <v>1OiI1Pi_JAFOFi8ByMaD3_qqEXSv6yQMo_u6aGTozbl8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IFERROR(__xludf.DUMMYFUNCTION("""COMPUTED_VALUE"""),"1ubfvE9sHq5KpJ9NazeH96CrVMJqAuol5Ya9GPjxWrgI")</f>
        <v>1ubfvE9sHq5KpJ9NazeH96CrVMJqAuol5Ya9GPjxWrgI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2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0</v>
      </c>
      <c r="B1" s="4"/>
      <c r="C1" s="5"/>
    </row>
    <row r="2" ht="15.75" customHeight="1">
      <c r="A2" s="6"/>
      <c r="B2" s="6"/>
      <c r="C2" s="6"/>
    </row>
    <row r="3" ht="15.75" customHeight="1">
      <c r="A3" s="8" t="s">
        <v>3</v>
      </c>
      <c r="B3" s="10" t="s">
        <v>6</v>
      </c>
      <c r="C3" s="6"/>
    </row>
    <row r="4" ht="15.75" customHeight="1">
      <c r="A4" s="9" t="s">
        <v>8</v>
      </c>
      <c r="B4" s="10" t="s">
        <v>9</v>
      </c>
      <c r="C4" s="6"/>
    </row>
    <row r="5" ht="15.75" customHeight="1">
      <c r="A5" s="12"/>
      <c r="B5" s="6"/>
      <c r="C5" s="6"/>
    </row>
    <row r="6" ht="15.75" customHeight="1">
      <c r="A6" s="12"/>
      <c r="B6" s="6"/>
      <c r="C6" s="6"/>
    </row>
    <row r="7" ht="15.75" customHeight="1">
      <c r="A7" s="12"/>
      <c r="B7" s="6"/>
      <c r="C7" s="6"/>
    </row>
    <row r="8" ht="15.75" customHeight="1">
      <c r="A8" s="12"/>
      <c r="B8" s="6"/>
      <c r="C8" s="6"/>
    </row>
    <row r="9" ht="15.75" customHeight="1">
      <c r="A9" s="12"/>
      <c r="B9" s="6"/>
      <c r="C9" s="6"/>
    </row>
    <row r="10" ht="15.75" customHeight="1">
      <c r="A10" s="12"/>
      <c r="B10" s="6"/>
      <c r="C10" s="6"/>
    </row>
    <row r="11" ht="15.75" customHeight="1">
      <c r="A11" s="12"/>
      <c r="B11" s="6"/>
      <c r="C11" s="6"/>
    </row>
    <row r="12" ht="15.75" customHeight="1">
      <c r="A12" s="12"/>
      <c r="B12" s="6"/>
      <c r="C12" s="6"/>
    </row>
    <row r="13" ht="15.75" customHeight="1">
      <c r="A13" s="12"/>
      <c r="B13" s="6"/>
      <c r="C13" s="6"/>
    </row>
    <row r="14" ht="15.75" customHeight="1">
      <c r="A14" s="12"/>
      <c r="B14" s="6"/>
      <c r="C14" s="6"/>
    </row>
    <row r="15" ht="15.75" customHeight="1">
      <c r="A15" s="12"/>
      <c r="B15" s="6"/>
      <c r="C15" s="6"/>
    </row>
    <row r="16" ht="15.75" customHeight="1">
      <c r="A16" s="12"/>
      <c r="B16" s="6"/>
      <c r="C16" s="6"/>
    </row>
    <row r="17" ht="15.75" customHeight="1">
      <c r="A17" s="12"/>
      <c r="B17" s="6"/>
      <c r="C17" s="6"/>
    </row>
    <row r="18" ht="15.75" customHeight="1">
      <c r="A18" s="12"/>
      <c r="B18" s="6"/>
      <c r="C18" s="6"/>
    </row>
    <row r="19" ht="15.75" customHeight="1">
      <c r="A19" s="12"/>
      <c r="B19" s="6"/>
      <c r="C19" s="6"/>
    </row>
    <row r="20" ht="15.75" customHeight="1">
      <c r="A20" s="12"/>
      <c r="B20" s="6"/>
      <c r="C20" s="6"/>
    </row>
    <row r="21" ht="15.75" customHeight="1">
      <c r="A21" s="12"/>
      <c r="B21" s="6"/>
      <c r="C21" s="6"/>
    </row>
    <row r="22" ht="15.75" customHeight="1">
      <c r="A22" s="12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1</v>
      </c>
      <c r="B1" s="4"/>
      <c r="C1" s="4"/>
      <c r="D1" s="4"/>
      <c r="E1" s="4"/>
      <c r="F1" s="5"/>
    </row>
    <row r="2">
      <c r="A2" s="7"/>
      <c r="B2" s="7"/>
      <c r="C2" s="7"/>
      <c r="D2" s="7"/>
      <c r="E2" s="7"/>
      <c r="F2" s="7"/>
    </row>
    <row r="3">
      <c r="A3" s="9" t="s">
        <v>5</v>
      </c>
      <c r="B3" s="11" t="s">
        <v>7</v>
      </c>
      <c r="C3" s="11" t="s">
        <v>10</v>
      </c>
      <c r="D3" s="13"/>
      <c r="E3" s="13"/>
      <c r="F3" s="13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13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IFERROR(__xludf.DUMMYFUNCTION("""COMPUTED_VALUE"""),"Asset")</f>
        <v>Asset</v>
      </c>
      <c r="C5" s="26" t="str">
        <f>IFERROR(__xludf.DUMMYFUNCTION("""COMPUTED_VALUE"""),"Account Name")</f>
        <v>Account Name</v>
      </c>
      <c r="D5" s="26" t="str">
        <f>IFERROR(__xludf.DUMMYFUNCTION("""COMPUTED_VALUE"""),"Broker")</f>
        <v>Broker</v>
      </c>
      <c r="E5" s="26" t="str">
        <f>IFERROR(__xludf.DUMMYFUNCTION("""COMPUTED_VALUE"""),"ValidateCheckSide")</f>
        <v>ValidateCheckSide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10" t="s">
        <v>16</v>
      </c>
      <c r="C6" s="6"/>
      <c r="D6" s="10" t="s">
        <v>17</v>
      </c>
      <c r="E6" s="10" t="b">
        <v>1</v>
      </c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10" t="s">
        <v>18</v>
      </c>
      <c r="C7" s="6"/>
      <c r="D7" s="10" t="s">
        <v>19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10" t="s">
        <v>20</v>
      </c>
      <c r="C8" s="6"/>
      <c r="D8" s="10" t="s">
        <v>21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10" t="s">
        <v>22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10" t="s">
        <v>23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DisableCheckside!$4:$4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1b5S4Xpp4fgZ1ez6cK92QFnVBylqz8jhwxdAyEvwDqUI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24</v>
      </c>
      <c r="D3" s="8" t="s">
        <v>7</v>
      </c>
      <c r="E3" s="21" t="s">
        <v>25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10" t="s">
        <v>26</v>
      </c>
      <c r="C6" s="10" t="s">
        <v>27</v>
      </c>
      <c r="D6" s="10">
        <v>100.0</v>
      </c>
      <c r="E6" s="10">
        <v>100.0</v>
      </c>
      <c r="F6" s="10" t="s">
        <v>28</v>
      </c>
      <c r="G6" s="10" t="s">
        <v>29</v>
      </c>
      <c r="H6" s="6"/>
      <c r="I6" s="10" t="s">
        <v>30</v>
      </c>
      <c r="J6" s="10">
        <v>10.0</v>
      </c>
      <c r="K6" s="6"/>
      <c r="L6" s="6"/>
      <c r="M6" s="6"/>
      <c r="N6" s="30">
        <v>42352.0</v>
      </c>
      <c r="O6" s="6"/>
      <c r="AB6" s="29" t="s">
        <v>31</v>
      </c>
    </row>
    <row r="7" ht="15.75" customHeight="1">
      <c r="A7" s="6"/>
      <c r="B7" s="10" t="s">
        <v>26</v>
      </c>
      <c r="C7" s="10" t="s">
        <v>32</v>
      </c>
      <c r="D7" s="10">
        <v>100.0</v>
      </c>
      <c r="E7" s="10">
        <v>100.0</v>
      </c>
      <c r="F7" s="10" t="s">
        <v>33</v>
      </c>
      <c r="G7" s="10" t="s">
        <v>19</v>
      </c>
      <c r="H7" s="6"/>
      <c r="I7" s="10" t="s">
        <v>30</v>
      </c>
      <c r="J7" s="10">
        <v>11.0</v>
      </c>
      <c r="K7" s="6"/>
      <c r="L7" s="6"/>
      <c r="M7" s="6"/>
      <c r="N7" s="30">
        <v>42352.0</v>
      </c>
      <c r="O7" s="6"/>
      <c r="AB7" s="29" t="s">
        <v>31</v>
      </c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34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10" t="s">
        <v>35</v>
      </c>
      <c r="C6" s="30" t="s">
        <v>36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37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IFERROR(__xludf.DUMMYFUNCTION("""COMPUTED_VALUE"""),"Client")</f>
        <v>Client</v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  <c r="EY5" s="28" t="str">
        <f>IFERROR(__xludf.DUMMYFUNCTION("""COMPUTED_VALUE"""),"")</f>
        <v/>
      </c>
    </row>
    <row r="6" ht="15.75" customHeight="1">
      <c r="A6" s="6"/>
      <c r="B6" s="6"/>
      <c r="C6" s="6"/>
      <c r="D6" s="6"/>
      <c r="E6" s="6"/>
      <c r="F6" s="6"/>
      <c r="G6" s="10" t="s">
        <v>38</v>
      </c>
      <c r="H6" s="6"/>
      <c r="I6" s="6"/>
      <c r="J6" s="6"/>
      <c r="K6" s="10">
        <v>11.0</v>
      </c>
      <c r="L6" s="10">
        <v>11.0</v>
      </c>
      <c r="M6" s="6"/>
      <c r="N6" s="6"/>
      <c r="O6" s="10" t="s">
        <v>19</v>
      </c>
      <c r="AE6" s="29">
        <v>100.0</v>
      </c>
      <c r="AT6" s="29">
        <v>1085.999</v>
      </c>
      <c r="AU6" s="29">
        <v>1085.999</v>
      </c>
      <c r="BE6" s="29">
        <v>1100.0</v>
      </c>
      <c r="BF6" s="29">
        <v>1100.0</v>
      </c>
      <c r="BO6" s="31" t="s">
        <v>32</v>
      </c>
      <c r="BT6" s="31" t="s">
        <v>26</v>
      </c>
      <c r="CE6" s="32">
        <v>42352.0</v>
      </c>
      <c r="CO6" s="29" t="s">
        <v>31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7"/>
      <c r="B1" s="3" t="s">
        <v>11</v>
      </c>
      <c r="C1" s="4"/>
      <c r="D1" s="4"/>
      <c r="E1" s="4"/>
      <c r="F1" s="4"/>
      <c r="G1" s="4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1c7aP-E18Fb8lEVGiXac03BLoNVdUNRzodD2Xjn-9pzU</v>
      </c>
      <c r="K2" s="19"/>
      <c r="L2" s="6"/>
      <c r="M2" s="6"/>
      <c r="N2" s="6"/>
      <c r="O2" s="6"/>
    </row>
    <row r="3" ht="15.75" customHeight="1">
      <c r="A3" s="20"/>
      <c r="B3" s="8" t="s">
        <v>5</v>
      </c>
      <c r="C3" s="21" t="s">
        <v>12</v>
      </c>
      <c r="D3" s="8" t="s">
        <v>7</v>
      </c>
      <c r="E3" s="21" t="s">
        <v>39</v>
      </c>
      <c r="F3" s="8" t="s">
        <v>14</v>
      </c>
      <c r="G3" s="12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IFERROR(__xludf.DUMMYFUNCTION("""COMPUTED_VALUE"""),"Accrual Basis")</f>
        <v>Accrual Basis</v>
      </c>
      <c r="C5" s="26" t="str">
        <f>IFERROR(__xludf.DUMMYFUNCTION("""COMPUTED_VALUE"""),"Accrued Interest")</f>
        <v>Accrued Interest</v>
      </c>
      <c r="D5" s="26" t="str">
        <f>IFERROR(__xludf.DUMMYFUNCTION("""COMPUTED_VALUE"""),"Allocated Qty")</f>
        <v>Allocated Qty</v>
      </c>
      <c r="E5" s="26" t="str">
        <f>IFERROR(__xludf.DUMMYFUNCTION("""COMPUTED_VALUE"""),"Allocation Scheme Name")</f>
        <v>Allocation Scheme Name</v>
      </c>
      <c r="F5" s="27" t="str">
        <f>IFERROR(__xludf.DUMMYFUNCTION("""COMPUTED_VALUE"""),"Asset Category")</f>
        <v>Asset Category</v>
      </c>
      <c r="G5" s="26" t="str">
        <f>IFERROR(__xludf.DUMMYFUNCTION("""COMPUTED_VALUE"""),"AUEC Fee1")</f>
        <v>AUEC Fee1</v>
      </c>
      <c r="H5" s="26" t="str">
        <f>IFERROR(__xludf.DUMMYFUNCTION("""COMPUTED_VALUE"""),"AUEC Fee2")</f>
        <v>AUEC Fee2</v>
      </c>
      <c r="I5" s="26" t="str">
        <f>IFERROR(__xludf.DUMMYFUNCTION("""COMPUTED_VALUE"""),"AUECID")</f>
        <v>AUECID</v>
      </c>
      <c r="J5" s="26" t="str">
        <f>IFERROR(__xludf.DUMMYFUNCTION("""COMPUTED_VALUE"""),"Avg Price(Base)")</f>
        <v>Avg Price(Base)</v>
      </c>
      <c r="K5" s="26" t="str">
        <f>IFERROR(__xludf.DUMMYFUNCTION("""COMPUTED_VALUE"""),"Avg Price(Local)")</f>
        <v>Avg Price(Local)</v>
      </c>
      <c r="L5" s="26" t="str">
        <f>IFERROR(__xludf.DUMMYFUNCTION("""COMPUTED_VALUE"""),"Bloomberg")</f>
        <v>Bloomberg</v>
      </c>
      <c r="M5" s="26" t="str">
        <f>IFERROR(__xludf.DUMMYFUNCTION("""COMPUTED_VALUE"""),"Bond Type")</f>
        <v>Bond Type</v>
      </c>
      <c r="N5" s="26" t="str">
        <f>IFERROR(__xludf.DUMMYFUNCTION("""COMPUTED_VALUE"""),"Broker")</f>
        <v>Broker</v>
      </c>
      <c r="O5" s="26" t="str">
        <f>IFERROR(__xludf.DUMMYFUNCTION("""COMPUTED_VALUE"""),"Change Comment")</f>
        <v>Change Comment</v>
      </c>
      <c r="P5" s="26" t="str">
        <f>IFERROR(__xludf.DUMMYFUNCTION("""COMPUTED_VALUE"""),"Change Type")</f>
        <v>Change Type</v>
      </c>
      <c r="Q5" s="26" t="str">
        <f>IFERROR(__xludf.DUMMYFUNCTION("""COMPUTED_VALUE"""),"Clearing Broker Fee")</f>
        <v>Clearing Broker Fee</v>
      </c>
      <c r="R5" s="26" t="str">
        <f>IFERROR(__xludf.DUMMYFUNCTION("""COMPUTED_VALUE"""),"Closing Method")</f>
        <v>Closing Method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IFERROR(__xludf.DUMMYFUNCTION("""COMPUTED_VALUE"""),"Execution Time")</f>
        <v>Execution Time</v>
      </c>
      <c r="AG5" s="28" t="str">
        <f>IFERROR(__xludf.DUMMYFUNCTION("""COMPUTED_VALUE"""),"FX Conversion Operator")</f>
        <v>FX Conversion Operator</v>
      </c>
      <c r="AH5" s="28" t="str">
        <f>IFERROR(__xludf.DUMMYFUNCTION("""COMPUTED_VALUE"""),"FX Rate")</f>
        <v>FX Rate</v>
      </c>
      <c r="AI5" s="28" t="str">
        <f>IFERROR(__xludf.DUMMYFUNCTION("""COMPUTED_VALUE"""),"Group Status")</f>
        <v>Group Status</v>
      </c>
      <c r="AJ5" s="28" t="str">
        <f>IFERROR(__xludf.DUMMYFUNCTION("""COMPUTED_VALUE"""),"GroupID")</f>
        <v>GroupID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 Group")</f>
        <v>IsManual 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IFERROR(__xludf.DUMMYFUNCTION("""COMPUTED_VALUE"""),"Symbol")</f>
        <v>Symbol</v>
      </c>
      <c r="BT5" s="28" t="str">
        <f>IFERROR(__xludf.DUMMYFUNCTION("""COMPUTED_VALUE"""),"Tax On Commissions")</f>
        <v>Tax On Commissions</v>
      </c>
      <c r="BU5" s="28" t="str">
        <f>IFERROR(__xludf.DUMMYFUNCTION("""COMPUTED_VALUE"""),"Total Commission")</f>
        <v>Total Commission</v>
      </c>
      <c r="BV5" s="28" t="str">
        <f>IFERROR(__xludf.DUMMYFUNCTION("""COMPUTED_VALUE"""),"Total Commission And Fee")</f>
        <v>Total Commission And Fee</v>
      </c>
      <c r="BW5" s="28" t="str">
        <f>IFERROR(__xludf.DUMMYFUNCTION("""COMPUTED_VALUE"""),"Total Commission Per Share")</f>
        <v>Total Commission Per Share</v>
      </c>
      <c r="BX5" s="28" t="str">
        <f>IFERROR(__xludf.DUMMYFUNCTION("""COMPUTED_VALUE"""),"Trade Attribute 1")</f>
        <v>Trade Attribute 1</v>
      </c>
      <c r="BY5" s="28" t="str">
        <f>IFERROR(__xludf.DUMMYFUNCTION("""COMPUTED_VALUE"""),"Trade Attribute 2")</f>
        <v>Trade Attribute 2</v>
      </c>
      <c r="BZ5" s="28" t="str">
        <f>IFERROR(__xludf.DUMMYFUNCTION("""COMPUTED_VALUE"""),"Trade Attribute 3")</f>
        <v>Trade Attribute 3</v>
      </c>
      <c r="CA5" s="28" t="str">
        <f>IFERROR(__xludf.DUMMYFUNCTION("""COMPUTED_VALUE"""),"Trade Attribute 4")</f>
        <v>Trade Attribute 4</v>
      </c>
      <c r="CB5" s="28" t="str">
        <f>IFERROR(__xludf.DUMMYFUNCTION("""COMPUTED_VALUE"""),"Trade Attribute 5")</f>
        <v>Trade Attribute 5</v>
      </c>
      <c r="CC5" s="28" t="str">
        <f>IFERROR(__xludf.DUMMYFUNCTION("""COMPUTED_VALUE"""),"Trade Attribute 6")</f>
        <v>Trade Attribute 6</v>
      </c>
      <c r="CD5" s="28" t="str">
        <f>IFERROR(__xludf.DUMMYFUNCTION("""COMPUTED_VALUE"""),"Trade Date")</f>
        <v>Trade Date</v>
      </c>
      <c r="CE5" s="28" t="str">
        <f>IFERROR(__xludf.DUMMYFUNCTION("""COMPUTED_VALUE"""),"Trading Account")</f>
        <v>Trading Account</v>
      </c>
      <c r="CF5" s="28" t="str">
        <f>IFERROR(__xludf.DUMMYFUNCTION("""COMPUTED_VALUE"""),"Transaction Levy")</f>
        <v>Transaction Levy</v>
      </c>
      <c r="CG5" s="28" t="str">
        <f>IFERROR(__xludf.DUMMYFUNCTION("""COMPUTED_VALUE"""),"Transaction Source")</f>
        <v>Transaction Source</v>
      </c>
      <c r="CH5" s="28" t="str">
        <f>IFERROR(__xludf.DUMMYFUNCTION("""COMPUTED_VALUE"""),"Transaction Type")</f>
        <v>Transaction Type</v>
      </c>
      <c r="CI5" s="28" t="str">
        <f>IFERROR(__xludf.DUMMYFUNCTION("""COMPUTED_VALUE"""),"UnAllocatedQty")</f>
        <v>UnAllocatedQty</v>
      </c>
      <c r="CJ5" s="28" t="str">
        <f>IFERROR(__xludf.DUMMYFUNCTION("""COMPUTED_VALUE"""),"Underlying")</f>
        <v>Underlying</v>
      </c>
      <c r="CK5" s="28" t="str">
        <f>IFERROR(__xludf.DUMMYFUNCTION("""COMPUTED_VALUE"""),"Underlying Delta")</f>
        <v>Underlying Delta</v>
      </c>
      <c r="CL5" s="28" t="str">
        <f>IFERROR(__xludf.DUMMYFUNCTION("""COMPUTED_VALUE"""),"Underlying Symbol")</f>
        <v>Underlying Symbol</v>
      </c>
      <c r="CM5" s="28" t="str">
        <f>IFERROR(__xludf.DUMMYFUNCTION("""COMPUTED_VALUE"""),"User")</f>
        <v>User</v>
      </c>
      <c r="CN5" s="28" t="str">
        <f>IFERROR(__xludf.DUMMYFUNCTION("""COMPUTED_VALUE"""),"Venue")</f>
        <v>Venue</v>
      </c>
      <c r="CO5" s="28" t="str">
        <f>IFERROR(__xludf.DUMMYFUNCTION("""COMPUTED_VALUE"""),"Closing Date")</f>
        <v>Closing Date</v>
      </c>
      <c r="CP5" s="28" t="str">
        <f>IFERROR(__xludf.DUMMYFUNCTION("""COMPUTED_VALUE"""),"Expiration Date")</f>
        <v>Expiration Date</v>
      </c>
      <c r="CQ5" s="28" t="str">
        <f>IFERROR(__xludf.DUMMYFUNCTION("""COMPUTED_VALUE"""),"MasterFund")</f>
        <v>MasterFund</v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  <c r="EY5" s="28" t="str">
        <f>IFERROR(__xludf.DUMMYFUNCTION("""COMPUTED_VALUE"""),"")</f>
        <v/>
      </c>
    </row>
    <row r="6" ht="15.75" customHeight="1">
      <c r="A6" s="6"/>
      <c r="B6" s="6"/>
      <c r="C6" s="6"/>
      <c r="D6" s="6"/>
      <c r="E6" s="6"/>
      <c r="F6" s="10" t="s">
        <v>38</v>
      </c>
      <c r="G6" s="6"/>
      <c r="H6" s="6"/>
      <c r="I6" s="6"/>
      <c r="J6" s="10">
        <v>10.0</v>
      </c>
      <c r="K6" s="10">
        <v>10.0</v>
      </c>
      <c r="L6" s="6"/>
      <c r="M6" s="6"/>
      <c r="N6" s="6"/>
      <c r="O6" s="6"/>
      <c r="AE6" s="29">
        <v>100.0</v>
      </c>
      <c r="AT6" s="33">
        <v>985.9994</v>
      </c>
      <c r="AU6" s="33">
        <v>985.9994</v>
      </c>
      <c r="BE6" s="29">
        <v>1000.0</v>
      </c>
      <c r="BF6" s="29">
        <v>1000.0</v>
      </c>
      <c r="BJ6" s="29">
        <v>100.0</v>
      </c>
      <c r="BO6" s="29" t="s">
        <v>27</v>
      </c>
      <c r="BS6" s="29" t="s">
        <v>26</v>
      </c>
      <c r="CD6" s="32">
        <v>42352.0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