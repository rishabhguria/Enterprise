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VerifySubOrder" sheetId="6" r:id="rId8"/>
    <sheet state="visible" name="VerifyWorkingSubs" sheetId="7" r:id="rId9"/>
    <sheet state="visible" name="GetDataAllocation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<sst xmlns="http://schemas.openxmlformats.org/spreadsheetml/2006/main" count="106" uniqueCount="37">
  <si>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</si>
  <si>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</si>
  <si>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</si>
  <si>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</si>
  <si>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</si>
  <si>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</si>
  <si>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</si>
  <si>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</si>
  <si>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</si>
  <si>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</si>
  <si>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</si>
  <si>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</si>
  <si>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</si>
  <si>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</si>
  <si>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</si>
  <si>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</si>
  <si>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</si>
  <si>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</si>
  <si>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</si>
  <si>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</si>
  <si>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Blotter</t>
  </si>
  <si>
    <t>VerifyOrder</t>
  </si>
  <si>
    <t>Equity</t>
  </si>
  <si>
    <t>PartiallyFilled</t>
  </si>
  <si>
    <t>Market</t>
  </si>
  <si>
    <t>VerifySubOrder</t>
  </si>
  <si>
    <t>VerifyWorkingSubs</t>
  </si>
  <si>
    <t>Allocation</t>
  </si>
  <si>
    <t>GetDataAllocation</t>
  </si>
  <si>
    <t>Current</t>
  </si>
  <si>
    <t>CheckAllocatedGroups</t>
  </si>
  <si>
    <t>Open</t>
  </si>
  <si>
    <t>APPLE</t>
  </si>
  <si>
    <t>PortfolioManagement</t>
  </si>
  <si>
    <t>CheckPortfolioManagement</t>
  </si>
  <si>
    <t>Long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</si>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</sst>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3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500.0</v>
      </c>
      <c r="F6" s="11" t="s">
        <v>18</v>
      </c>
      <c r="G6" s="11" t="s">
        <v>19</v>
      </c>
      <c r="H6" s="8"/>
      <c r="I6" s="8"/>
      <c r="J6" s="11">
        <v>800.0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800.0</v>
      </c>
      <c r="E6" s="30"/>
      <c r="F6" s="8"/>
      <c r="G6" s="11">
        <v>500.0</v>
      </c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23</v>
      </c>
      <c r="AL6" s="9">
        <v>1000.0</v>
      </c>
      <c r="AM6" s="9">
        <v>500.0</v>
      </c>
      <c r="AN6" s="9">
        <v>50.0</v>
      </c>
      <c r="AO6" s="9">
        <v>500.0</v>
      </c>
      <c r="AQ6" s="9">
        <v>800.0</v>
      </c>
      <c r="AR6" s="9">
        <v>800.0</v>
      </c>
      <c r="AS6" s="9" t="s">
        <v>19</v>
      </c>
      <c r="AT6" s="9" t="s">
        <v>18</v>
      </c>
      <c r="AU6" s="9" t="s">
        <v>24</v>
      </c>
      <c r="AV6" s="31">
        <v>400000.0</v>
      </c>
      <c r="AW6" s="31">
        <v>400000.0</v>
      </c>
      <c r="AY6" s="9">
        <v>1000.0</v>
      </c>
      <c r="AZ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800.0</v>
      </c>
      <c r="E6" s="30"/>
      <c r="F6" s="8"/>
      <c r="G6" s="11">
        <v>500.0</v>
      </c>
      <c r="H6" s="8"/>
      <c r="I6" s="8"/>
      <c r="J6" s="11" t="s">
        <v>16</v>
      </c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23</v>
      </c>
      <c r="AL6" s="9">
        <v>1000.0</v>
      </c>
      <c r="AM6" s="9">
        <v>500.0</v>
      </c>
      <c r="AO6" s="9">
        <v>800.0</v>
      </c>
      <c r="AP6" s="9">
        <v>800.0</v>
      </c>
      <c r="AQ6" s="9" t="s">
        <v>19</v>
      </c>
      <c r="AR6" s="9" t="s">
        <v>18</v>
      </c>
      <c r="AS6" s="9" t="s">
        <v>24</v>
      </c>
      <c r="AT6" s="31">
        <v>400000.0</v>
      </c>
      <c r="AU6" s="31">
        <v>400000.0</v>
      </c>
      <c r="AX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500.0</v>
      </c>
      <c r="F6" s="11">
        <v>500.0</v>
      </c>
      <c r="G6" s="11" t="s">
        <v>23</v>
      </c>
      <c r="H6" s="8"/>
      <c r="I6" s="11">
        <v>800.0</v>
      </c>
      <c r="J6" s="11">
        <v>800.0</v>
      </c>
      <c r="K6" s="11" t="s">
        <v>19</v>
      </c>
      <c r="L6" s="11" t="s">
        <v>18</v>
      </c>
      <c r="M6" s="11" t="s">
        <v>24</v>
      </c>
      <c r="N6" s="8"/>
      <c r="O6" s="11">
        <v>800.0</v>
      </c>
      <c r="W6" s="9" t="s">
        <v>22</v>
      </c>
      <c r="Y6" s="9">
        <v>1.0</v>
      </c>
      <c r="AC6" s="31">
        <v>400000.0</v>
      </c>
      <c r="AD6" s="31">
        <v>400000.0</v>
      </c>
      <c r="AW6" s="9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29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8"/>
      <c r="D6" s="11">
        <v>0.0</v>
      </c>
      <c r="E6" s="11">
        <v>500.0</v>
      </c>
      <c r="F6" s="8"/>
      <c r="G6" s="11" t="s">
        <v>22</v>
      </c>
      <c r="H6" s="11">
        <v>4.0</v>
      </c>
      <c r="I6" s="11">
        <v>5.0</v>
      </c>
      <c r="J6" s="8"/>
      <c r="K6" s="11">
        <v>800.0</v>
      </c>
      <c r="L6" s="11">
        <v>800.0</v>
      </c>
      <c r="M6" s="8"/>
      <c r="N6" s="8"/>
      <c r="O6" s="11" t="s">
        <v>19</v>
      </c>
      <c r="R6" s="9">
        <v>0.0</v>
      </c>
      <c r="S6" s="9" t="s">
        <v>31</v>
      </c>
      <c r="T6" s="9">
        <v>0.0</v>
      </c>
      <c r="U6" s="9">
        <v>0.0</v>
      </c>
      <c r="V6" s="9" t="s">
        <v>32</v>
      </c>
      <c r="AE6" s="9">
        <v>500.0</v>
      </c>
      <c r="AI6" s="9">
        <v>1.0</v>
      </c>
      <c r="AT6" s="32">
        <v>400014.22</v>
      </c>
      <c r="AU6" s="32">
        <v>400014.22</v>
      </c>
      <c r="AW6" s="9">
        <v>0.0</v>
      </c>
      <c r="AX6" s="9">
        <v>0.0</v>
      </c>
      <c r="AY6" s="9" t="s">
        <v>24</v>
      </c>
      <c r="AZ6" s="9">
        <v>0.0</v>
      </c>
      <c r="BC6" s="9">
        <v>0.0</v>
      </c>
      <c r="BE6" s="31">
        <v>400000.0</v>
      </c>
      <c r="BF6" s="31">
        <v>400000.0</v>
      </c>
      <c r="BJ6" s="31">
        <v>1000.0</v>
      </c>
      <c r="BO6" s="9" t="s">
        <v>17</v>
      </c>
      <c r="BT6" s="9" t="s">
        <v>16</v>
      </c>
      <c r="BV6" s="9">
        <v>0.0</v>
      </c>
      <c r="CI6" s="9" t="s">
        <v>17</v>
      </c>
      <c r="CJ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7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IFERROR(__xludf.DUMMYFUNCTION("""COMPUTED_VALUE"""),"OpenCreateTransactionFromPM")</f>
        <v>OpenCreateTransactionFromPM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  <c r="EY4" s="25" t="str">
        <f>IFERROR(__xludf.DUMMYFUNCTION("""COMPUTED_VALUE"""),"")</f>
        <v/>
      </c>
      <c r="EZ4" s="25" t="str">
        <f>IFERROR(__xludf.DUMMYFUNCTION("""COMPUTED_VALUE"""),"")</f>
        <v/>
      </c>
      <c r="FA4" s="25" t="str">
        <f>IFERROR(__xludf.DUMMYFUNCTION("""COMPUTED_VALUE"""),"")</f>
        <v/>
      </c>
      <c r="FB4" s="25" t="str">
        <f>IFERROR(__xludf.DUMMYFUNCTION("""COMPUTED_VALUE"""),"")</f>
        <v/>
      </c>
      <c r="FC4" s="25" t="str">
        <f>IFERROR(__xludf.DUMMYFUNCTION("""COMPUTED_VALUE"""),"")</f>
        <v/>
      </c>
      <c r="FD4" s="25" t="str">
        <f>IFERROR(__xludf.DUMMYFUNCTION("""COMPUTED_VALUE"""),"")</f>
        <v/>
      </c>
      <c r="FE4" s="25" t="str">
        <f>IFERROR(__xludf.DUMMYFUNCTION("""COMPUTED_VALUE"""),"")</f>
        <v/>
      </c>
      <c r="FF4" s="25" t="str">
        <f>IFERROR(__xludf.DUMMYFUNCTION("""COMPUTED_VALUE"""),"")</f>
        <v/>
      </c>
      <c r="FG4" s="25" t="str">
        <f>IFERROR(__xludf.DUMMYFUNCTION("""COMPUTED_VALUE"""),"")</f>
        <v/>
      </c>
      <c r="FH4" s="25" t="str">
        <f>IFERROR(__xludf.DUMMYFUNCTION("""COMPUTED_VALUE"""),"")</f>
        <v/>
      </c>
      <c r="FI4" s="25" t="str">
        <f>IFERROR(__xludf.DUMMYFUNCTION("""COMPUTED_VALUE"""),"")</f>
        <v/>
      </c>
      <c r="FJ4" s="25" t="str">
        <f>IFERROR(__xludf.DUMMYFUNCTION("""COMPUTED_VALUE"""),"")</f>
        <v/>
      </c>
      <c r="FK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IFERROR(__xludf.DUMMYFUNCTION("""COMPUTED_VALUE"""),"")</f>
        <v/>
      </c>
      <c r="FC5" s="29" t="str">
        <f>IFERROR(__xludf.DUMMYFUNCTION("""COMPUTED_VALUE"""),"")</f>
        <v/>
      </c>
      <c r="FD5" s="29" t="str">
        <f>IFERROR(__xludf.DUMMYFUNCTION("""COMPUTED_VALUE"""),"")</f>
        <v/>
      </c>
      <c r="FE5" s="29" t="str">
        <f>IFERROR(__xludf.DUMMYFUNCTION("""COMPUTED_VALUE"""),"")</f>
        <v/>
      </c>
      <c r="FF5" s="29" t="str">
        <f>IFERROR(__xludf.DUMMYFUNCTION("""COMPUTED_VALUE"""),"")</f>
        <v/>
      </c>
      <c r="FG5" s="29" t="str">
        <f>IFERROR(__xludf.DUMMYFUNCTION("""COMPUTED_VALUE"""),"")</f>
        <v/>
      </c>
      <c r="FH5" s="29" t="str">
        <f>IFERROR(__xludf.DUMMYFUNCTION("""COMPUTED_VALUE"""),"")</f>
        <v/>
      </c>
      <c r="FI5" s="29" t="str">
        <f>IFERROR(__xludf.DUMMYFUNCTION("""COMPUTED_VALUE"""),"")</f>
        <v/>
      </c>
      <c r="FJ5" s="29" t="str">
        <f>IFERROR(__xludf.DUMMYFUNCTION("""COMPUTED_VALUE"""),"")</f>
        <v/>
      </c>
      <c r="FK5" s="29" t="str">
        <f>IFERROR(__xludf.DUMMYFUNCTION("""COMPUTED_VALUE"""),"")</f>
        <v/>
      </c>
    </row>
    <row r="6" ht="15.75" customHeight="1">
      <c r="A6" s="11"/>
      <c r="B6" s="11"/>
      <c r="C6" s="11" t="s">
        <v>16</v>
      </c>
      <c r="D6" s="11">
        <v>500.0</v>
      </c>
      <c r="E6" s="11" t="s">
        <v>18</v>
      </c>
      <c r="F6" s="8"/>
      <c r="G6" s="11">
        <v>800.0</v>
      </c>
      <c r="H6" s="11" t="s">
        <v>35</v>
      </c>
      <c r="I6" s="11">
        <v>0.0</v>
      </c>
      <c r="J6" s="8"/>
      <c r="K6" s="8"/>
      <c r="L6" s="8"/>
      <c r="M6" s="8"/>
      <c r="N6" s="33">
        <v>-400000.0</v>
      </c>
      <c r="O6" s="8"/>
      <c r="Q6" s="31">
        <v>-400000.0</v>
      </c>
      <c r="T6" s="9" t="s">
        <v>22</v>
      </c>
      <c r="U6" s="9" t="s">
        <v>36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500.0</v>
      </c>
      <c r="AG6" s="9">
        <v>0.0</v>
      </c>
      <c r="AH6" s="9">
        <v>0.0</v>
      </c>
      <c r="AI6" s="9">
        <v>0.0</v>
      </c>
      <c r="AJ6" s="9">
        <v>0.0</v>
      </c>
      <c r="AK6" s="33">
        <v>-400000.0</v>
      </c>
      <c r="AN6" s="9" t="s">
        <v>17</v>
      </c>
      <c r="AP6" s="9" t="s">
        <v>35</v>
      </c>
      <c r="AV6" s="9">
        <v>1.0</v>
      </c>
      <c r="AW6" s="31">
        <v>-400000.0</v>
      </c>
      <c r="AX6" s="9">
        <v>0.0</v>
      </c>
      <c r="AY6" s="9">
        <v>0.0</v>
      </c>
      <c r="AZ6" s="9">
        <v>0.0</v>
      </c>
      <c r="BA6" s="33">
        <v>-100.0</v>
      </c>
      <c r="BD6" s="33">
        <v>-400000.0</v>
      </c>
      <c r="BJ6" s="9">
        <v>0.0</v>
      </c>
      <c r="BK6" s="9">
        <v>0.0</v>
      </c>
      <c r="BL6" s="9">
        <v>0.0</v>
      </c>
      <c r="BM6" s="9">
        <v>0.0</v>
      </c>
      <c r="BO6" s="33">
        <v>-400000.0</v>
      </c>
      <c r="BP6" s="9">
        <v>0.0</v>
      </c>
      <c r="BR6" s="9" t="s">
        <v>19</v>
      </c>
      <c r="BS6" s="9">
        <v>0.0</v>
      </c>
      <c r="BT6" s="9">
        <v>0.0</v>
      </c>
      <c r="BU6" s="9" t="s">
        <v>22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33">
        <v>-400000.0</v>
      </c>
      <c r="CE6" s="9">
        <v>0.0</v>
      </c>
      <c r="CF6" s="9">
        <v>0.0</v>
      </c>
      <c r="CG6" s="31">
        <v>-400000.0</v>
      </c>
      <c r="CH6" s="9">
        <v>-100.0</v>
      </c>
      <c r="CI6" s="9">
        <v>0.0</v>
      </c>
      <c r="CJ6" s="9">
        <v>0.0</v>
      </c>
      <c r="DE6" s="9">
        <v>0.0</v>
      </c>
      <c r="DF6" s="9">
        <v>0.0</v>
      </c>
      <c r="DG6" s="9">
        <v>0.0</v>
      </c>
      <c r="DJ6" s="9" t="s">
        <v>17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