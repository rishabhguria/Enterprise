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SetGeneralPreferences" sheetId="5" r:id="rId7"/>
    <sheet state="visible" name="CreateDoneAwayOrder" sheetId="6" r:id="rId8"/>
    <sheet state="visible" name="AddMFPreferences" sheetId="7" r:id="rId9"/>
    <sheet state="visible" name="SetMFPrefFundDistribution" sheetId="8" r:id="rId10"/>
    <sheet state="visible" name="SetMFPrefAccountValues" sheetId="9" r:id="rId11"/>
    <sheet state="visible" name="SetMFPrefAccountValues1" sheetId="10" r:id="rId12"/>
    <sheet state="visible" name="GetDailyCash" sheetId="11" r:id="rId13"/>
    <sheet state="visible" name="UpdateMultipleDailyCash" sheetId="12" r:id="rId14"/>
    <sheet state="visible" name="CalculatePTT" sheetId="13" r:id="rId15"/>
    <sheet state="visible" name="VerifyPTT" sheetId="14" r:id="rId16"/>
    <sheet state="visible" name="CalculatePTT2" sheetId="15" r:id="rId17"/>
    <sheet state="visible" name="VerifyPTT2" sheetId="16" r:id="rId18"/>
  </sheets>
  <definedNames/>
  <calcPr/>
</workbook>
</file>

<file path=xl/sharedStrings.xml><?xml version="1.0" encoding="utf-8"?>
<sst xmlns="http://schemas.openxmlformats.org/spreadsheetml/2006/main" count="161" uniqueCount="46">
  <si>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</si>
  <si>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</si>
  <si>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</si>
  <si>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</si>
  <si>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</si>
  <si>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</si>
  <si>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</si>
  <si>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</si>
  <si>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</si>
  <si>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</si>
  <si>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</si>
  <si>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</si>
  <si>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</si>
  <si>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</si>
  <si>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</si>
  <si>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</si>
  <si>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Allocation</t>
  </si>
  <si>
    <t>SetGeneralPreferences</t>
  </si>
  <si>
    <t>TradingTicket</t>
  </si>
  <si>
    <t>CreateDoneAwayOrder</t>
  </si>
  <si>
    <t>AAPL</t>
  </si>
  <si>
    <t>Sell short</t>
  </si>
  <si>
    <t>Allocation1</t>
  </si>
  <si>
    <t>Allocation2</t>
  </si>
  <si>
    <t>AddMFPreferences</t>
  </si>
  <si>
    <t>PrefMF</t>
  </si>
  <si>
    <t>SetMFPrefFundDistribution</t>
  </si>
  <si>
    <t>NewMF</t>
  </si>
  <si>
    <t>NewMF1</t>
  </si>
  <si>
    <t>SetMFPrefAccountValues</t>
  </si>
  <si>
    <t>Allocation3</t>
  </si>
  <si>
    <t>Allocation4</t>
  </si>
  <si>
    <t>DailyValuation</t>
  </si>
  <si>
    <t>GetDailyCash</t>
  </si>
  <si>
    <t>UpdateMultipleDailyCash</t>
  </si>
  <si>
    <t>USD</t>
  </si>
  <si>
    <t>PTT</t>
  </si>
  <si>
    <t>CalculatePTT</t>
  </si>
  <si>
    <t>Increase</t>
  </si>
  <si>
    <t>Amt</t>
  </si>
  <si>
    <t>No</t>
  </si>
  <si>
    <t>Allocation Preference</t>
  </si>
  <si>
    <t>VerifyPTT</t>
  </si>
  <si>
    <t>Buy</t>
  </si>
  <si>
    <t>GOOG</t>
  </si>
  <si>
    <t>Decrease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</si>
</sst>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IFERROR(__xludf.DUMMYFUNCTION("""COMPUTED_VALUE"""),"OperationsonClosing")</f>
        <v>OperationsonClosing</v>
      </c>
      <c r="C972" t="str">
        <f>IFERROR(__xludf.DUMMYFUNCTION("""COMPUTED_VALUE"""),"11EX1Ln-BQAtx9NTd9zfcaia52FGNdZENDW2kwMCJ21HQ")</f>
        <v>11EX1Ln-BQAtx9NTd9zfcaia52FGNdZENDW2kwMCJ21HQ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IFERROR(__xludf.DUMMYFUNCTION("""COMPUTED_VALUE"""),"GetClosingData")</f>
        <v>GetClosingData</v>
      </c>
      <c r="C973" t="str">
        <f>IFERROR(__xludf.DUMMYFUNCTION("""COMPUTED_VALUE"""),"11EX1Ln-BQAtx9NTd9zfcaia52FGNdZENDW2kwMCJ20HQ")</f>
        <v>11EX1Ln-BQAtx9NTd9zfcaia52FGNdZENDW2kwMCJ20HQ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IFERROR(__xludf.DUMMYFUNCTION("""COMPUTED_VALUE"""),"WizardOptions")</f>
        <v>WizardOptions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IFERROR(__xludf.DUMMYFUNCTION("""COMPUTED_VALUE"""),"Closing")</f>
        <v>Closing</v>
      </c>
      <c r="B975" t="str">
        <f>IFERROR(__xludf.DUMMYFUNCTION("""COMPUTED_VALUE"""),"ActionOnClosingWiz")</f>
        <v>ActionOnClosingWiz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IFERROR(__xludf.DUMMYFUNCTION("""COMPUTED_VALUE"""),"Allocation")</f>
        <v>Allocation</v>
      </c>
      <c r="B976" t="str">
        <f>IFERROR(__xludf.DUMMYFUNCTION("""COMPUTED_VALUE"""),"VerifyAttRenaming")</f>
        <v>VerifyAttRenaming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IFERROR(__xludf.DUMMYFUNCTION("""COMPUTED_VALUE"""),"NavLock")</f>
        <v>NavLock</v>
      </c>
      <c r="B977" t="str">
        <f>IFERROR(__xludf.DUMMYFUNCTION("""COMPUTED_VALUE"""),"DeleteRowNavLock")</f>
        <v>DeleteRowNavLock</v>
      </c>
      <c r="C977" t="str">
        <f>IFERROR(__xludf.DUMMYFUNCTION("""COMPUTED_VALUE"""),"11EX1Ln-BQAtx9NTd9zfcaia52FGNdZENDW2kwMCJ21HQ")</f>
        <v>11EX1Ln-BQAtx9NTd9zfcaia52FGNdZENDW2kwMCJ21HQ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IFERROR(__xludf.DUMMYFUNCTION("""COMPUTED_VALUE"""),"VerifyLongPositionsGrid")</f>
        <v>VerifyLongPositionsGrid</v>
      </c>
      <c r="C978" t="str">
        <f>IFERROR(__xludf.DUMMYFUNCTION("""COMPUTED_VALUE"""),"11EX1Ln-BQAtx9NTd9zfcaia52FGNdZENDW2kwMCJ14HQ")</f>
        <v>11EX1Ln-BQAtx9NTd9zfcaia52FGNdZENDW2kwMCJ14HQ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IFERROR(__xludf.DUMMYFUNCTION("""COMPUTED_VALUE"""),"VerifyShortPositionsGrid")</f>
        <v>VerifyShortPositionsGrid</v>
      </c>
      <c r="C979" t="str">
        <f>IFERROR(__xludf.DUMMYFUNCTION("""COMPUTED_VALUE"""),"11EX1Ln-BQAtx9NTd9zfcaia52FGNdZENDW2kwMCJ15HQ")</f>
        <v>11EX1Ln-BQAtx9NTd9zfcaia52FGNdZENDW2kwMCJ15HQ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IFERROR(__xludf.DUMMYFUNCTION("""COMPUTED_VALUE"""),"VerifyClosedTrades")</f>
        <v>VerifyClosedTrades</v>
      </c>
      <c r="C980" t="str">
        <f>IFERROR(__xludf.DUMMYFUNCTION("""COMPUTED_VALUE"""),"11EX1Ln-BQAtx9NTd9zfcaia52FGNdZENDW2kwMCJ16HQ")</f>
        <v>11EX1Ln-BQAtx9NTd9zfcaia52FGNdZENDW2kwMCJ16HQ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IFERROR(__xludf.DUMMYFUNCTION("""COMPUTED_VALUE"""),"CloseAmendOprtn")</f>
        <v>CloseAmendOprtn</v>
      </c>
      <c r="C981" t="str">
        <f>IFERROR(__xludf.DUMMYFUNCTION("""COMPUTED_VALUE"""),"11EX1Ln-BQAtx9NTd9zfcaia52FGNdZENDW2kwMCJ17HQ")</f>
        <v>11EX1Ln-BQAtx9NTd9zfcaia52FGNdZENDW2kwMCJ17HQ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IFERROR(__xludf.DUMMYFUNCTION("""COMPUTED_VALUE"""),"ExpSettlOprtn")</f>
        <v>ExpSettlOprtn</v>
      </c>
      <c r="C982" t="str">
        <f>IFERROR(__xludf.DUMMYFUNCTION("""COMPUTED_VALUE"""),"11EX1Ln-BQAtx9NTd9zfcaia52FGNdZENDW2kwMCJ18HQ")</f>
        <v>11EX1Ln-BQAtx9NTd9zfcaia52FGNdZENDW2kwMCJ18HQ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IFERROR(__xludf.DUMMYFUNCTION("""COMPUTED_VALUE"""),"ActionOnExpGrid")</f>
        <v>ActionOnExpGrid</v>
      </c>
      <c r="C983" t="str">
        <f>IFERROR(__xludf.DUMMYFUNCTION("""COMPUTED_VALUE"""),"11EX1Ln-BQAtx9NTd9zfcaia52FGNdZENDW2kwMCJ19HQ")</f>
        <v>11EX1Ln-BQAtx9NTd9zfcaia52FGNdZENDW2kwMCJ19HQ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IFERROR(__xludf.DUMMYFUNCTION("""COMPUTED_VALUE"""),"ActiononIncorrectQty")</f>
        <v>ActiononIncorrectQty</v>
      </c>
      <c r="C984" t="str">
        <f>IFERROR(__xludf.DUMMYFUNCTION("""COMPUTED_VALUE"""),"11EX1Ln-BQAtx9NTd9zfcaia52FGNdZENDW2kwMCJ20HQ")</f>
        <v>11EX1Ln-BQAtx9NTd9zfcaia52FGNdZENDW2kwMCJ20HQ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IFERROR(__xludf.DUMMYFUNCTION("""COMPUTED_VALUE"""),"VerifyIncorrectQty")</f>
        <v>VerifyIncorrectQty</v>
      </c>
      <c r="C985" t="str">
        <f>IFERROR(__xludf.DUMMYFUNCTION("""COMPUTED_VALUE"""),"11EX1Ln-BQAtx9NTd9zfcaia52FGNdZENDW2kwMCJ21HQ")</f>
        <v>11EX1Ln-BQAtx9NTd9zfcaia52FGNdZENDW2kwMCJ21HQ</v>
      </c>
    </row>
    <row r="986" ht="15.75" customHeight="1">
      <c r="A986" t="str">
        <f>IFERROR(__xludf.DUMMYFUNCTION("""COMPUTED_VALUE"""),"Closing")</f>
        <v>Closing</v>
      </c>
      <c r="B986" t="str">
        <f>IFERROR(__xludf.DUMMYFUNCTION("""COMPUTED_VALUE"""),"VerifyOpenTrades")</f>
        <v>VerifyOpenTrades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IFERROR(__xludf.DUMMYFUNCTION("""COMPUTED_VALUE"""),"EditCTGrid")</f>
        <v>EditCTGrid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IFERROR(__xludf.DUMMYFUNCTION("""COMPUTED_VALUE"""),"CreateTransaction")</f>
        <v>CreateTransaction</v>
      </c>
      <c r="B988" t="str">
        <f>IFERROR(__xludf.DUMMYFUNCTION("""COMPUTED_VALUE"""),"ActionOnCT")</f>
        <v>ActionOnCT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IFERROR(__xludf.DUMMYFUNCTION("""COMPUTED_VALUE"""),"Unknown")</f>
        <v>Unknown</v>
      </c>
      <c r="B989" t="str">
        <f>IFERROR(__xludf.DUMMYFUNCTION("""COMPUTED_VALUE"""),"OpenColumnChooser")</f>
        <v>OpenColumnChooser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IFERROR(__xludf.DUMMYFUNCTION("""COMPUTED_VALUE"""),"Closing")</f>
        <v>Closing</v>
      </c>
      <c r="B990" t="str">
        <f>IFERROR(__xludf.DUMMYFUNCTION("""COMPUTED_VALUE"""),"UnExpUnsettOperation")</f>
        <v>UnExpUnsettOperation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IFERROR(__xludf.DUMMYFUNCTION("""COMPUTED_VALUE"""),"NavLock")</f>
        <v>NavLock</v>
      </c>
      <c r="B991" t="str">
        <f>IFERROR(__xludf.DUMMYFUNCTION("""COMPUTED_VALUE"""),"ActiononNavLock")</f>
        <v>ActiononNavLock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IFERROR(__xludf.DUMMYFUNCTION("""COMPUTED_VALUE"""),"Allocation")</f>
        <v>Allocation</v>
      </c>
      <c r="B992" t="str">
        <f>IFERROR(__xludf.DUMMYFUNCTION("""COMPUTED_VALUE"""),"ActiononFixPref")</f>
        <v>ActiononFixPref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IFERROR(__xludf.DUMMYFUNCTION("""COMPUTED_VALUE"""),"Blotter")</f>
        <v>Blotter</v>
      </c>
      <c r="B993" t="str">
        <f>IFERROR(__xludf.DUMMYFUNCTION("""COMPUTED_VALUE"""),"SelectWorkSubsOnBlotter")</f>
        <v>SelectWorkSubsOnBlotter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IFERROR(__xludf.DUMMYFUNCTION("""COMPUTED_VALUE"""),"Closing")</f>
        <v>Closing</v>
      </c>
      <c r="B994" t="str">
        <f>IFERROR(__xludf.DUMMYFUNCTION("""COMPUTED_VALUE"""),"VerifyAccountUnexpired")</f>
        <v>VerifyAccountUnexpired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IFERROR(__xludf.DUMMYFUNCTION("""COMPUTED_VALUE"""),"PM")</f>
        <v>PM</v>
      </c>
      <c r="B995" t="str">
        <f>IFERROR(__xludf.DUMMYFUNCTION("""COMPUTED_VALUE"""),"ToolBarActiononPM")</f>
        <v>ToolBarActiononPM</v>
      </c>
      <c r="C995" t="str">
        <f>IFERROR(__xludf.DUMMYFUNCTION("""COMPUTED_VALUE"""),"11EX1Ln-BQAtx9NTd9zfcaia52FGNdZENDW2kwMCJ20HQ")</f>
        <v>11EX1Ln-BQAtx9NTd9zfcaia52FGNdZENDW2kwMCJ20HQ</v>
      </c>
    </row>
    <row r="996" ht="15.75" customHeight="1">
      <c r="A996" t="str">
        <f>IFERROR(__xludf.DUMMYFUNCTION("""COMPUTED_VALUE"""),"Allocation")</f>
        <v>Allocation</v>
      </c>
      <c r="B996" t="str">
        <f>IFERROR(__xludf.DUMMYFUNCTION("""COMPUTED_VALUE"""),"EditAttRenaming")</f>
        <v>EditAttRenaming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IFERROR(__xludf.DUMMYFUNCTION("""COMPUTED_VALUE"""),"TT")</f>
        <v>TT</v>
      </c>
      <c r="C5" s="27" t="str">
        <f>IFERROR(__xludf.DUMMYFUNCTION("""COMPUTED_VALUE"""),"PTT")</f>
        <v>PTT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>
        <v>100.0</v>
      </c>
      <c r="E6" s="30"/>
      <c r="F6" s="12" t="s">
        <v>22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12" t="s">
        <v>20</v>
      </c>
      <c r="C7" s="12" t="s">
        <v>21</v>
      </c>
      <c r="D7" s="12">
        <v>100.0</v>
      </c>
      <c r="E7" s="8"/>
      <c r="F7" s="12" t="s">
        <v>23</v>
      </c>
      <c r="G7" s="8"/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IFERROR(__xludf.DUMMYFUNCTION("""COMPUTED_VALUE"""),"MasterFundName")</f>
        <v>MasterFundName</v>
      </c>
      <c r="D5" s="27" t="str">
        <f>IFERROR(__xludf.DUMMYFUNCTION("""COMPUTED_VALUE"""),"TargetPercentage")</f>
        <v>TargetPercentage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27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25</v>
      </c>
      <c r="C7" s="12" t="s">
        <v>28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27</v>
      </c>
      <c r="D6" s="12" t="s">
        <v>22</v>
      </c>
      <c r="E6" s="12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25</v>
      </c>
      <c r="C7" s="12" t="s">
        <v>27</v>
      </c>
      <c r="D7" s="12" t="s">
        <v>30</v>
      </c>
      <c r="E7" s="12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28</v>
      </c>
      <c r="D6" s="12" t="s">
        <v>23</v>
      </c>
      <c r="E6" s="12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25</v>
      </c>
      <c r="C7" s="12" t="s">
        <v>28</v>
      </c>
      <c r="D7" s="12" t="s">
        <v>31</v>
      </c>
      <c r="E7" s="12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 t="shared" ref="B6:C6" si="1">TODAY()</f>
        <v>45849</v>
      </c>
      <c r="C6" s="32">
        <f t="shared" si="1"/>
        <v>45849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35</v>
      </c>
      <c r="D6" s="12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23</v>
      </c>
      <c r="C7" s="12" t="s">
        <v>35</v>
      </c>
      <c r="D7" s="12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30</v>
      </c>
      <c r="C8" s="12" t="s">
        <v>35</v>
      </c>
      <c r="D8" s="12">
        <v>10000.0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31</v>
      </c>
      <c r="C9" s="12" t="s">
        <v>35</v>
      </c>
      <c r="D9" s="12">
        <v>10000.0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20</v>
      </c>
      <c r="C6" s="34" t="s">
        <v>38</v>
      </c>
      <c r="D6" s="35" t="s">
        <v>39</v>
      </c>
      <c r="E6" s="36">
        <v>100000.0</v>
      </c>
      <c r="F6" s="36">
        <v>2.0</v>
      </c>
      <c r="G6" s="35" t="s">
        <v>40</v>
      </c>
      <c r="H6" s="35" t="s">
        <v>41</v>
      </c>
      <c r="I6" s="12" t="s">
        <v>25</v>
      </c>
      <c r="J6" s="8"/>
      <c r="K6" s="8"/>
      <c r="L6" s="8"/>
      <c r="M6" s="8"/>
      <c r="N6" s="8"/>
      <c r="O6" s="8"/>
    </row>
    <row r="7" ht="15.75" customHeight="1">
      <c r="A7" s="8"/>
      <c r="B7" s="37"/>
      <c r="C7" s="37"/>
      <c r="E7" s="37"/>
      <c r="F7" s="37"/>
      <c r="G7" s="37"/>
      <c r="H7" s="37"/>
      <c r="I7" s="37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22</v>
      </c>
      <c r="C6" s="38">
        <v>200.0</v>
      </c>
      <c r="D6" s="12"/>
      <c r="E6" s="30"/>
      <c r="F6" s="8"/>
      <c r="G6" s="8"/>
      <c r="H6" s="8"/>
      <c r="I6" s="12">
        <v>12400.0</v>
      </c>
      <c r="J6" s="12">
        <v>-12500.0</v>
      </c>
      <c r="K6" s="8"/>
      <c r="L6" s="12">
        <v>50.0</v>
      </c>
      <c r="M6" s="8"/>
      <c r="N6" s="8"/>
      <c r="O6" s="8"/>
      <c r="R6" s="12" t="s">
        <v>21</v>
      </c>
    </row>
    <row r="7" ht="15.75" customHeight="1">
      <c r="A7" s="8"/>
      <c r="B7" s="35" t="s">
        <v>30</v>
      </c>
      <c r="C7" s="38">
        <v>0.0</v>
      </c>
      <c r="D7" s="8"/>
      <c r="E7" s="8"/>
      <c r="F7" s="8"/>
      <c r="G7" s="8"/>
      <c r="H7" s="8"/>
      <c r="I7" s="12">
        <v>12500.0</v>
      </c>
      <c r="J7" s="12">
        <v>12500.0</v>
      </c>
      <c r="K7" s="8"/>
      <c r="L7" s="12">
        <v>50.0</v>
      </c>
      <c r="M7" s="8"/>
      <c r="N7" s="8"/>
      <c r="O7" s="8"/>
      <c r="R7" s="9" t="s">
        <v>43</v>
      </c>
    </row>
    <row r="8" ht="15.75" customHeight="1">
      <c r="A8" s="8"/>
      <c r="B8" s="35" t="s">
        <v>23</v>
      </c>
      <c r="C8" s="38">
        <v>200.0</v>
      </c>
      <c r="D8" s="8"/>
      <c r="E8" s="8"/>
      <c r="F8" s="8"/>
      <c r="G8" s="8"/>
      <c r="H8" s="8"/>
      <c r="I8" s="12">
        <v>12400.0</v>
      </c>
      <c r="J8" s="12">
        <v>-12500.0</v>
      </c>
      <c r="K8" s="8"/>
      <c r="L8" s="12">
        <v>50.0</v>
      </c>
      <c r="M8" s="8"/>
      <c r="N8" s="8"/>
      <c r="O8" s="8"/>
      <c r="R8" s="12" t="s">
        <v>21</v>
      </c>
    </row>
    <row r="9" ht="15.75" customHeight="1">
      <c r="A9" s="8"/>
      <c r="B9" s="35" t="s">
        <v>31</v>
      </c>
      <c r="C9" s="38">
        <v>0.0</v>
      </c>
      <c r="D9" s="8"/>
      <c r="E9" s="8"/>
      <c r="F9" s="8"/>
      <c r="G9" s="8"/>
      <c r="H9" s="8"/>
      <c r="I9" s="12">
        <v>12500.0</v>
      </c>
      <c r="J9" s="12">
        <v>12500.0</v>
      </c>
      <c r="K9" s="8"/>
      <c r="L9" s="12">
        <v>50.0</v>
      </c>
      <c r="M9" s="8"/>
      <c r="N9" s="8"/>
      <c r="O9" s="8"/>
      <c r="R9" s="9" t="s">
        <v>43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44</v>
      </c>
      <c r="C6" s="34" t="s">
        <v>45</v>
      </c>
      <c r="D6" s="35" t="s">
        <v>39</v>
      </c>
      <c r="E6" s="36">
        <v>100000.0</v>
      </c>
      <c r="F6" s="36">
        <v>2.0</v>
      </c>
      <c r="G6" s="35" t="s">
        <v>40</v>
      </c>
      <c r="H6" s="35" t="s">
        <v>41</v>
      </c>
      <c r="I6" s="12" t="s">
        <v>25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22</v>
      </c>
      <c r="C6" s="38">
        <v>200.0</v>
      </c>
      <c r="D6" s="12"/>
      <c r="E6" s="30"/>
      <c r="F6" s="8"/>
      <c r="G6" s="8"/>
      <c r="H6" s="8"/>
      <c r="I6" s="12">
        <v>12500.0</v>
      </c>
      <c r="J6" s="12">
        <v>-12500.0</v>
      </c>
      <c r="K6" s="8"/>
      <c r="L6" s="12">
        <v>25.0</v>
      </c>
      <c r="M6" s="8"/>
      <c r="N6" s="8"/>
      <c r="O6" s="8"/>
      <c r="R6" s="12" t="s">
        <v>21</v>
      </c>
    </row>
    <row r="7" ht="15.75" customHeight="1">
      <c r="A7" s="8"/>
      <c r="B7" s="35" t="s">
        <v>30</v>
      </c>
      <c r="C7" s="38">
        <v>0.0</v>
      </c>
      <c r="D7" s="8"/>
      <c r="E7" s="8"/>
      <c r="F7" s="8"/>
      <c r="G7" s="8"/>
      <c r="H7" s="8"/>
      <c r="I7" s="12">
        <v>12500.0</v>
      </c>
      <c r="J7" s="12">
        <v>-12500.0</v>
      </c>
      <c r="K7" s="8"/>
      <c r="L7" s="12">
        <v>25.0</v>
      </c>
      <c r="M7" s="8"/>
      <c r="N7" s="8"/>
      <c r="O7" s="8"/>
      <c r="R7" s="12" t="s">
        <v>21</v>
      </c>
    </row>
    <row r="8" ht="15.75" customHeight="1">
      <c r="A8" s="8"/>
      <c r="B8" s="35" t="s">
        <v>23</v>
      </c>
      <c r="C8" s="38">
        <v>200.0</v>
      </c>
      <c r="D8" s="8"/>
      <c r="E8" s="8"/>
      <c r="F8" s="8"/>
      <c r="G8" s="8"/>
      <c r="H8" s="8"/>
      <c r="I8" s="12">
        <v>12500.0</v>
      </c>
      <c r="J8" s="12">
        <v>-12500.0</v>
      </c>
      <c r="K8" s="8"/>
      <c r="L8" s="12">
        <v>25.0</v>
      </c>
      <c r="M8" s="8"/>
      <c r="N8" s="8"/>
      <c r="O8" s="8"/>
      <c r="R8" s="12" t="s">
        <v>21</v>
      </c>
    </row>
    <row r="9" ht="15.75" customHeight="1">
      <c r="A9" s="8"/>
      <c r="B9" s="35" t="s">
        <v>31</v>
      </c>
      <c r="C9" s="38">
        <v>0.0</v>
      </c>
      <c r="D9" s="8"/>
      <c r="E9" s="8"/>
      <c r="F9" s="8"/>
      <c r="G9" s="8"/>
      <c r="H9" s="8"/>
      <c r="I9" s="12">
        <v>12500.0</v>
      </c>
      <c r="J9" s="12">
        <v>-12500.0</v>
      </c>
      <c r="K9" s="8"/>
      <c r="L9" s="12">
        <v>25.0</v>
      </c>
      <c r="M9" s="8"/>
      <c r="N9" s="8"/>
      <c r="O9" s="8"/>
      <c r="R9" s="12" t="s">
        <v>21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VerifyPTT2!$4:$4</formula1>
    </dataValidation>
  </dataValidations>
  <drawing r:id="rId1"/>
</worksheet>
</file>