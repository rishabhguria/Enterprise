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ManualClosing" sheetId="6" r:id="rId8"/>
    <sheet state="visible" name="VerifyClosedTrades" sheetId="7" r:id="rId9"/>
    <sheet state="visible" name="SetClosingPreference2" sheetId="8" r:id="rId10"/>
  </sheets>
  <definedNames/>
  <calcPr/>
</workbook>
</file>

<file path=xl/sharedStrings.xml><?xml version="1.0" encoding="utf-8"?>
<sst xmlns="http://schemas.openxmlformats.org/spreadsheetml/2006/main" count="66" uniqueCount="30">
  <si>
    <t>Settings</t>
  </si>
  <si>
    <t>Modules Info</t>
  </si>
  <si>
    <t>Master Data Info</t>
  </si>
  <si>
    <t>Modules</t>
  </si>
  <si>
    <t>Module Step Setting File</t>
  </si>
  <si>
    <t>Module</t>
  </si>
  <si>
    <t>Step</t>
  </si>
  <si>
    <t>1BICZ_GcMhh_S937ZinFvSYqvvKYtOYB2Bc4woEPpgPg</t>
  </si>
  <si>
    <t>Master Data Settings File</t>
  </si>
  <si>
    <t>1hEhI9rg16D4Xvfk19pDaFUFF78jjfIG29BBaNg8kT0A</t>
  </si>
  <si>
    <t>Master Data Sheet</t>
  </si>
  <si>
    <t>Data</t>
  </si>
  <si>
    <t>Closing</t>
  </si>
  <si>
    <t>SetClosingPreference</t>
  </si>
  <si>
    <t>Data Format</t>
  </si>
  <si>
    <t>Input Format</t>
  </si>
  <si>
    <t>Automatic</t>
  </si>
  <si>
    <t>TradingTicket</t>
  </si>
  <si>
    <t>CreateDoneAwayOrder</t>
  </si>
  <si>
    <t>MSFT</t>
  </si>
  <si>
    <t>Buy</t>
  </si>
  <si>
    <t>Allocation1</t>
  </si>
  <si>
    <t>Market</t>
  </si>
  <si>
    <t>S1</t>
  </si>
  <si>
    <t>Sell</t>
  </si>
  <si>
    <t>S2</t>
  </si>
  <si>
    <t>ManualClosing</t>
  </si>
  <si>
    <t>Equity</t>
  </si>
  <si>
    <t>VerifyClosedTrades</t>
  </si>
  <si>
    <t>-Select-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</si>
</sst>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1" fillId="2" fontId="3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4" numFmtId="14" xfId="0" applyAlignment="1" applyBorder="1" applyFont="1" applyNumberForma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3</v>
      </c>
      <c r="B3" s="9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IFERROR(__xludf.DUMMYFUNCTION("""COMPUTED_VALUE"""),"Rebalancer")</f>
        <v>Rebalancer</v>
      </c>
      <c r="B409" t="str">
        <f>IFERROR(__xludf.DUMMYFUNCTION("""COMPUTED_VALUE"""),"ClearCalculations")</f>
        <v>ClearCalculations</v>
      </c>
      <c r="C409" t="str">
        <f>IFERROR(__xludf.DUMMYFUNCTION("""COMPUTED_VALUE"""),"1pQy7yDMWL8pTAYmkyQd-37O6NjL8-HJsxUSDe_0vr3Y")</f>
        <v>1pQy7yDMWL8pTAYmkyQd-37O6NjL8-HJsxUSDe_0vr3Y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IFERROR(__xludf.DUMMYFUNCTION("""COMPUTED_VALUE"""),"Rebalancer")</f>
        <v>Rebalancer</v>
      </c>
      <c r="B410" t="str">
        <f>IFERROR(__xludf.DUMMYFUNCTION("""COMPUTED_VALUE"""),"ModifyRebalance")</f>
        <v>ModifyRebalance</v>
      </c>
      <c r="C410" t="str">
        <f>IFERROR(__xludf.DUMMYFUNCTION("""COMPUTED_VALUE"""),"1PL-GKbx6oOTs--yRdzkUeclt9Wvb6f5jt4XN1oEGIZk")</f>
        <v>1PL-GKbx6oOTs--yRdzkUeclt9Wvb6f5jt4XN1oEGIZk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4"/>
    </row>
    <row r="2" ht="15.75" customHeight="1">
      <c r="A2" s="6"/>
      <c r="B2" s="6"/>
      <c r="C2" s="6"/>
    </row>
    <row r="3" ht="15.75" customHeight="1">
      <c r="A3" s="7" t="s">
        <v>4</v>
      </c>
      <c r="B3" s="12" t="s">
        <v>7</v>
      </c>
      <c r="C3" s="6"/>
    </row>
    <row r="4" ht="15.75" customHeight="1">
      <c r="A4" s="10" t="s">
        <v>8</v>
      </c>
      <c r="B4" s="12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2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10" t="s">
        <v>5</v>
      </c>
      <c r="B3" s="13" t="s">
        <v>6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5</v>
      </c>
      <c r="C3" s="21" t="s">
        <v>12</v>
      </c>
      <c r="D3" s="7" t="s">
        <v>6</v>
      </c>
      <c r="E3" s="21" t="s">
        <v>13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IFERROR(__xludf.DUMMYFUNCTION("""COMPUTED_VALUE"""),"Method")</f>
        <v>Method</v>
      </c>
      <c r="C5" s="26" t="str">
        <f>IFERROR(__xludf.DUMMYFUNCTION("""COMPUTED_VALUE"""),"Global Algorithm")</f>
        <v>Global Algorithm</v>
      </c>
      <c r="D5" s="26" t="str">
        <f>IFERROR(__xludf.DUMMYFUNCTION("""COMPUTED_VALUE"""),"Secondary Sort Criteria")</f>
        <v>Secondary Sort Criteria</v>
      </c>
      <c r="E5" s="26" t="str">
        <f>IFERROR(__xludf.DUMMYFUNCTION("""COMPUTED_VALUE"""),"Override Global Algorithm")</f>
        <v>Override Global Algorithm</v>
      </c>
      <c r="F5" s="27" t="str">
        <f>IFERROR(__xludf.DUMMYFUNCTION("""COMPUTED_VALUE"""),"Can close Sell Short with Buy and Buy to Open")</f>
        <v>Can close Sell Short with Buy and Buy to Open</v>
      </c>
      <c r="G5" s="26" t="str">
        <f>IFERROR(__xludf.DUMMYFUNCTION("""COMPUTED_VALUE"""),"Can close Sell with Buy to Close")</f>
        <v>Can close Sell with Buy to Close</v>
      </c>
      <c r="H5" s="26" t="str">
        <f>IFERROR(__xludf.DUMMYFUNCTION("""COMPUTED_VALUE"""),"Fetch Data Automatically")</f>
        <v>Fetch Data Automatically</v>
      </c>
      <c r="I5" s="26" t="str">
        <f>IFERROR(__xludf.DUMMYFUNCTION("""COMPUTED_VALUE"""),"Auto Close Stategy")</f>
        <v>Auto Close Stategy</v>
      </c>
      <c r="J5" s="26" t="str">
        <f>IFERROR(__xludf.DUMMYFUNCTION("""COMPUTED_VALUE"""),"Exercise/Assign CheckSide Validation")</f>
        <v>Exercise/Assign CheckSide Validation</v>
      </c>
      <c r="K5" s="26" t="str">
        <f>IFERROR(__xludf.DUMMYFUNCTION("""COMPUTED_VALUE"""),"Long Term Tax Rate (%)")</f>
        <v>Long Term Tax Rate (%)</v>
      </c>
      <c r="L5" s="26" t="str">
        <f>IFERROR(__xludf.DUMMYFUNCTION("""COMPUTED_VALUE"""),"Short Term Tax Rate (%)")</f>
        <v>Short Term Tax Rate (%)</v>
      </c>
      <c r="M5" s="26" t="str">
        <f>IFERROR(__xludf.DUMMYFUNCTION("""COMPUTED_VALUE"""),"Quantity round off digits")</f>
        <v>Quantity round off digits</v>
      </c>
      <c r="N5" s="26" t="str">
        <f>IFERROR(__xludf.DUMMYFUNCTION("""COMPUTED_VALUE"""),"Price round off digits")</f>
        <v>Price round off digits</v>
      </c>
      <c r="O5" s="26" t="str">
        <f>IFERROR(__xludf.DUMMYFUNCTION("""COMPUTED_VALUE"""),"Closing Field")</f>
        <v>Closing Field</v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16</v>
      </c>
      <c r="C6" s="6"/>
      <c r="D6" s="12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5</v>
      </c>
      <c r="C3" s="21" t="s">
        <v>17</v>
      </c>
      <c r="D3" s="7" t="s">
        <v>6</v>
      </c>
      <c r="E3" s="21" t="s">
        <v>18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19</v>
      </c>
      <c r="C6" s="33" t="s">
        <v>20</v>
      </c>
      <c r="D6" s="34">
        <v>120.0</v>
      </c>
      <c r="E6" s="33"/>
      <c r="F6" s="33" t="s">
        <v>21</v>
      </c>
      <c r="G6" s="33"/>
      <c r="H6" s="33"/>
      <c r="I6" s="33" t="s">
        <v>22</v>
      </c>
      <c r="J6" s="35">
        <v>12.0</v>
      </c>
      <c r="K6" s="33"/>
      <c r="L6" s="33"/>
      <c r="M6" s="33" t="s">
        <v>23</v>
      </c>
      <c r="N6" s="36">
        <f t="shared" ref="N6:N7" si="1">TODAY()</f>
        <v>43668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19</v>
      </c>
      <c r="C7" s="37" t="s">
        <v>24</v>
      </c>
      <c r="D7" s="38">
        <v>120.0</v>
      </c>
      <c r="E7" s="37"/>
      <c r="F7" s="37" t="s">
        <v>21</v>
      </c>
      <c r="G7" s="37"/>
      <c r="H7" s="37"/>
      <c r="I7" s="37" t="s">
        <v>22</v>
      </c>
      <c r="J7" s="38">
        <v>12.0</v>
      </c>
      <c r="K7" s="37"/>
      <c r="L7" s="37"/>
      <c r="M7" s="37" t="s">
        <v>25</v>
      </c>
      <c r="N7" s="39">
        <f t="shared" si="1"/>
        <v>43668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5</v>
      </c>
      <c r="C3" s="21" t="s">
        <v>12</v>
      </c>
      <c r="D3" s="7" t="s">
        <v>6</v>
      </c>
      <c r="E3" s="21" t="s">
        <v>26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40" t="b">
        <v>0</v>
      </c>
      <c r="C6" s="41" t="b">
        <v>1</v>
      </c>
      <c r="D6" s="32" t="s">
        <v>21</v>
      </c>
      <c r="E6" s="33" t="s">
        <v>27</v>
      </c>
      <c r="F6" s="33"/>
      <c r="G6" s="33"/>
      <c r="H6" s="33"/>
      <c r="I6" s="42"/>
      <c r="J6" s="33"/>
      <c r="K6" s="35">
        <v>12.0</v>
      </c>
      <c r="L6" s="33"/>
      <c r="M6" s="33"/>
      <c r="N6" s="33"/>
      <c r="O6" s="35">
        <v>120.0</v>
      </c>
      <c r="P6" s="33"/>
      <c r="Q6" s="33"/>
      <c r="R6" s="33"/>
      <c r="S6" s="33"/>
      <c r="T6" s="37"/>
      <c r="U6" s="37"/>
      <c r="V6" s="37" t="s">
        <v>20</v>
      </c>
      <c r="W6" s="37"/>
      <c r="X6" s="37" t="s">
        <v>19</v>
      </c>
      <c r="Y6" s="37"/>
      <c r="Z6" s="37"/>
      <c r="AA6" s="37"/>
      <c r="AB6" s="37"/>
      <c r="AC6" s="37"/>
      <c r="AD6" s="37"/>
      <c r="AE6" s="37" t="s">
        <v>21</v>
      </c>
      <c r="AF6" s="37" t="s">
        <v>27</v>
      </c>
      <c r="AG6" s="37"/>
      <c r="AH6" s="37"/>
      <c r="AI6" s="37"/>
      <c r="AJ6" s="37"/>
      <c r="AK6" s="37"/>
      <c r="AL6" s="43">
        <v>12.0</v>
      </c>
      <c r="AM6" s="37"/>
      <c r="AN6" s="37"/>
      <c r="AO6" s="37"/>
      <c r="AP6" s="43">
        <v>120.0</v>
      </c>
      <c r="AQ6" s="37"/>
      <c r="AR6" s="37"/>
      <c r="AS6" s="37"/>
      <c r="AT6" s="37"/>
      <c r="AU6" s="37"/>
      <c r="AV6" s="37"/>
      <c r="AW6" s="37" t="s">
        <v>24</v>
      </c>
      <c r="AX6" s="37"/>
      <c r="AY6" s="37" t="s">
        <v>19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5</v>
      </c>
      <c r="C3" s="21" t="s">
        <v>12</v>
      </c>
      <c r="D3" s="7" t="s">
        <v>6</v>
      </c>
      <c r="E3" s="21" t="s">
        <v>28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6"/>
      <c r="D6" s="12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5</v>
      </c>
      <c r="C3" s="21" t="s">
        <v>12</v>
      </c>
      <c r="D3" s="7" t="s">
        <v>6</v>
      </c>
      <c r="E3" s="21" t="s">
        <v>13</v>
      </c>
      <c r="F3" s="7" t="s">
        <v>14</v>
      </c>
      <c r="G3" s="14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IFERROR(__xludf.DUMMYFUNCTION("""COMPUTED_VALUE"""),"Method")</f>
        <v>Method</v>
      </c>
      <c r="C5" s="26" t="str">
        <f>IFERROR(__xludf.DUMMYFUNCTION("""COMPUTED_VALUE"""),"Global Algorithm")</f>
        <v>Global Algorithm</v>
      </c>
      <c r="D5" s="26" t="str">
        <f>IFERROR(__xludf.DUMMYFUNCTION("""COMPUTED_VALUE"""),"Secondary Sort Criteria")</f>
        <v>Secondary Sort Criteria</v>
      </c>
      <c r="E5" s="26" t="str">
        <f>IFERROR(__xludf.DUMMYFUNCTION("""COMPUTED_VALUE"""),"Override Global Algorithm")</f>
        <v>Override Global Algorithm</v>
      </c>
      <c r="F5" s="27" t="str">
        <f>IFERROR(__xludf.DUMMYFUNCTION("""COMPUTED_VALUE"""),"Can close Sell Short with Buy and Buy to Open")</f>
        <v>Can close Sell Short with Buy and Buy to Open</v>
      </c>
      <c r="G5" s="26" t="str">
        <f>IFERROR(__xludf.DUMMYFUNCTION("""COMPUTED_VALUE"""),"Can close Sell with Buy to Close")</f>
        <v>Can close Sell with Buy to Close</v>
      </c>
      <c r="H5" s="26" t="str">
        <f>IFERROR(__xludf.DUMMYFUNCTION("""COMPUTED_VALUE"""),"Fetch Data Automatically")</f>
        <v>Fetch Data Automatically</v>
      </c>
      <c r="I5" s="26" t="str">
        <f>IFERROR(__xludf.DUMMYFUNCTION("""COMPUTED_VALUE"""),"Auto Close Stategy")</f>
        <v>Auto Close Stategy</v>
      </c>
      <c r="J5" s="26" t="str">
        <f>IFERROR(__xludf.DUMMYFUNCTION("""COMPUTED_VALUE"""),"Exercise/Assign CheckSide Validation")</f>
        <v>Exercise/Assign CheckSide Validation</v>
      </c>
      <c r="K5" s="26" t="str">
        <f>IFERROR(__xludf.DUMMYFUNCTION("""COMPUTED_VALUE"""),"Long Term Tax Rate (%)")</f>
        <v>Long Term Tax Rate (%)</v>
      </c>
      <c r="L5" s="26" t="str">
        <f>IFERROR(__xludf.DUMMYFUNCTION("""COMPUTED_VALUE"""),"Short Term Tax Rate (%)")</f>
        <v>Short Term Tax Rate (%)</v>
      </c>
      <c r="M5" s="26" t="str">
        <f>IFERROR(__xludf.DUMMYFUNCTION("""COMPUTED_VALUE"""),"Quantity round off digits")</f>
        <v>Quantity round off digits</v>
      </c>
      <c r="N5" s="26" t="str">
        <f>IFERROR(__xludf.DUMMYFUNCTION("""COMPUTED_VALUE"""),"Price round off digits")</f>
        <v>Price round off digits</v>
      </c>
      <c r="O5" s="26" t="str">
        <f>IFERROR(__xludf.DUMMYFUNCTION("""COMPUTED_VALUE"""),"Closing Field")</f>
        <v>Closing Field</v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29</v>
      </c>
      <c r="C6" s="6"/>
      <c r="D6" s="12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