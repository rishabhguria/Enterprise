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RunPortfolio" sheetId="4" r:id="rId6"/>
    <sheet name="RebalancePreference" sheetId="5" r:id="rId7"/>
    <sheet name="FetchAccountPositions" sheetId="6" r:id="rId8"/>
    <sheet name="AddCash" sheetId="7" r:id="rId9"/>
    <sheet name="RebalanceAcrossSecurities" sheetId="8" r:id="rId10"/>
    <sheet name="ModifyRebalance" sheetId="9" r:id="rId11"/>
    <sheet name="RunRebalance" sheetId="10" r:id="rId12"/>
    <sheet name="SendtoStaging" sheetId="11" r:id="rId13"/>
    <sheet name="RunRebalance1" sheetId="12" r:id="rId14"/>
    <sheet name="SendtoStaging1" sheetId="13" r:id="rId15"/>
    <sheet name="RunRebalance2" sheetId="14" r:id="rId16"/>
    <sheet name="SendtoStaging2" sheetId="15" r:id="rId17"/>
    <sheet name="TradeNewSubOrder" sheetId="16" r:id="rId18"/>
    <sheet name="CreateNewSubLiveOrder" sheetId="17" r:id="rId19"/>
    <sheet name="SelectTrade" sheetId="18" r:id="rId20"/>
    <sheet name="AcknowledgeTrade" sheetId="19" r:id="rId21"/>
    <sheet name="ExecuteTrade" sheetId="20" r:id="rId22"/>
    <sheet name="CheckAllocatedGroups" sheetId="21" r:id="rId23"/>
  </sheets>
  <calcPr fullCalcOnLoad="1"/>
</workbook>
</file>

<file path=xl/sharedStrings.xml><?xml version="1.0" encoding="utf-8"?>
<sst xmlns="http://schemas.openxmlformats.org/spreadsheetml/2006/main" count="183" uniqueCount="183">
  <si>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</si>
  <si>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</si>
  <si>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</si>
  <si>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</si>
  <si>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</si>
  <si>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</si>
  <si>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</si>
  <si>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</si>
  <si>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</si>
  <si>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</si>
  <si>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</si>
  <si>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</si>
  <si>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</si>
  <si>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</si>
  <si>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</si>
  <si>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</si>
  <si>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</si>
  <si>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Portfolio3_1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</si>
  <si>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</si>
  <si>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</si>
  <si>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</si>
  <si>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</si>
  <si>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</si>
  <si>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AddCash</t>
  </si>
  <si>
    <t>Impact NAV</t>
  </si>
  <si>
    <t>Target Cash-33</t>
  </si>
  <si>
    <t>RebalanceAcrossSecurities</t>
  </si>
  <si>
    <t>BMW-XET</t>
  </si>
  <si>
    <t>Increase</t>
  </si>
  <si>
    <t>Percentage</t>
  </si>
  <si>
    <t>ModifyRebalance</t>
  </si>
  <si>
    <t>Yes</t>
  </si>
  <si>
    <t>RunRebalance</t>
  </si>
  <si>
    <t>Round Up</t>
  </si>
  <si>
    <t>SendtoStaging</t>
  </si>
  <si>
    <t>Buy</t>
  </si>
  <si>
    <t>SAP</t>
  </si>
  <si>
    <t>KO</t>
  </si>
  <si>
    <t>TSLA</t>
  </si>
  <si>
    <t>FRA-FRA</t>
  </si>
  <si>
    <t>0303-HKG</t>
  </si>
  <si>
    <t>Nearest Round Off</t>
  </si>
  <si>
    <t>Round Down</t>
  </si>
  <si>
    <t>Blotter</t>
  </si>
  <si>
    <t>TradeNewSubOrder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</si>
  <si>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</si>
  <si>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</si>
  <si>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</si>
  <si>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</si>
  <si>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</si>
  <si>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</si>
  <si>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</si>
  <si>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</si>
  <si>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</si>
  <si>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</si>
  <si>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</si>
  <si>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</si>
  <si>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</si>
  <si>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</si>
  <si>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</si>
  <si>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</si>
  <si>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</si>
  <si>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</si>
  <si>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</si>
  <si>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</si>
  <si>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</si>
  <si>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</si>
  <si>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</si>
  <si>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</si>
  <si>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</si>
  <si>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</si>
  <si>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</si>
  <si>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</si>
  <si>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</si>
  <si>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</si>
  <si>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</si>
  <si>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</si>
  <si>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</si>
  <si>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</si>
  <si>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</si>
  <si>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</si>
  <si>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</si>
  <si>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</si>
  <si>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</si>
  <si>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</si>
  <si>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</si>
  <si>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</si>
  <si>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</si>
  <si>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</si>
  <si>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</si>
  <si>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</si>
  <si>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</si>
  <si>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</si>
  <si>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</si>
  <si>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</si>
  <si>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</si>
  <si>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</si>
  <si>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</si>
  <si>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</si>
  <si>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</si>
  <si>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</si>
  <si>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</si>
  <si>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</si>
  <si>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</si>
  <si>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</si>
  <si>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</si>
  <si>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</si>
  <si>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</si>
  <si>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</si>
  <si>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</si>
  <si>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</si>
  <si>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</si>
  <si>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</si>
  <si>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</si>
  <si>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</si>
  <si>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</si>
  <si>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</si>
  <si>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</si>
  <si>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</si>
  <si>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</si>
  <si>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</si>
  <si>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</si>
  <si>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</si>
  <si>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</si>
  <si>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</si>
  <si>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</si>
  <si>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</si>
  <si>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</si>
  <si>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</si>
  <si>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</si>
  <si>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</si>
  <si>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</si>
  <si>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</si>
  <si>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</si>
  <si>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</si>
  <si>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</si>
  <si>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</si>
  <si>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</si>
  <si>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</si>
  <si>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</si>
  <si>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</si>
  <si>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</si>
  <si>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</si>
  <si>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</si>
  <si>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</si>
  <si>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</si>
  <si>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</si>
  <si>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</si>
  <si>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</si>
  <si>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</si>
  <si>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</si>
  <si>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</si>
  <si>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</si>
  <si>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</si>
  <si>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Master Fund</t>
  </si>
  <si>
    <t>MandatoryColumn</t>
  </si>
  <si>
    <t>Testing Type</t>
  </si>
  <si>
    <t>Testing Column</t>
  </si>
  <si>
    <t>Testing Col Value</t>
  </si>
  <si>
    <t>DuplicateRow</t>
  </si>
  <si>
    <t>DuplicateCountOnUI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</si>
  <si>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</si>
  <si>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</si>
  <si>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</si>
  <si>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</si>
  <si>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</si>
  <si>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</si>
  <si>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</si>
  <si>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</si>
  <si>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</si>
  <si>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</si>
  <si>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</si>
  <si>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</si>
  <si>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None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</si>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</sst>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center"/>
    </xf>
    <xf fontId="13" applyFont="1" fillId="0" applyFill="1" borderId="0" applyBorder="1" xfId="0"/>
    <xf fontId="13" applyFont="1" fillId="0" applyFill="1" borderId="0" applyBorder="1" xfId="0">
      <alignment horizontal="right"/>
    </xf>
    <xf numFmtId="3" applyNumberFormat="1" fontId="13" applyFont="1" fillId="0" applyFill="1" borderId="0" applyBorder="1" xfId="0">
      <alignment horizontal="right"/>
    </xf>
    <xf fontId="5" applyFont="1" fillId="0" applyFill="1" borderId="0" applyBorder="1" xfId="0"/>
    <xf fontId="13" applyFont="1" fillId="0" applyFill="1" borderId="0" applyBorder="1" xfId="0"/>
    <xf fontId="10" applyFont="1" fillId="5" applyFill="1" borderId="0" applyBorder="1" xfId="0"/>
    <xf fontId="5" applyFont="1" fillId="0" applyFill="1" borderId="0" applyBorder="1" xfId="0"/>
    <xf numFmtId="164" applyNumberFormat="1" fontId="2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100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IFERROR(__xludf.DUMMYFUNCTION("""COMPUTED_VALUE"""),"1RWrzEP7tKvSTkC1z87RsjU_EZslvD2btXJuTWRIwRLU")</f>
        <v>1RWrzEP7tKvSTkC1z87RsjU_EZslvD2btXJuTWRIwRLU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IFERROR(__xludf.DUMMYFUNCTION("""COMPUTED_VALUE"""),"1XzjmPmpB7IMcyzPSsbgmFfzjE_zIKdjrk0mUoMFhNZc")</f>
        <v>1XzjmPmpB7IMcyzPSsbgmFfzjE_zIKdjrk0mUoMFhNZc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>
      <c r="A874" s="0" t="str">
        <f>IFERROR(__xludf.DUMMYFUNCTION("""COMPUTED_VALUE"""),"Blotter")</f>
        <v>Blotter</v>
      </c>
      <c r="B874" s="0" t="str">
        <f>IFERROR(__xludf.DUMMYFUNCTION("""COMPUTED_VALUE"""),"ActionOnFloatingWindow")</f>
        <v>ActionOnFloatingWindow</v>
      </c>
      <c r="C874" s="0" t="str">
        <f>IFERROR(__xludf.DUMMYFUNCTION("""COMPUTED_VALUE"""),"1tFNUPT3PXgCKRnnehGwo6OF7EhLu13UJ8Elfq83HArE")</f>
        <v>1tFNUPT3PXgCKRnnehGwo6OF7EhLu13UJ8Elfq83HArE</v>
      </c>
    </row>
    <row r="875" ht="15.75" customHeight="1">
      <c r="A875" s="0" t="str">
        <f>IFERROR(__xludf.DUMMYFUNCTION("""COMPUTED_VALUE"""),"PTT")</f>
        <v>PTT</v>
      </c>
      <c r="B875" s="0" t="str">
        <f>IFERROR(__xludf.DUMMYFUNCTION("""COMPUTED_VALUE"""),"PTTDashBoard")</f>
        <v>PTTDashBoard</v>
      </c>
      <c r="C875" s="0" t="str">
        <f>IFERROR(__xludf.DUMMYFUNCTION("""COMPUTED_VALUE"""),"1DUwxSUq_47EK60XmK3LOdCXa1fkWqWJE9bLuGS3ccv412")</f>
        <v>1DUwxSUq_47EK60XmK3LOdCXa1fkWqWJE9bLuGS3ccv412</v>
      </c>
    </row>
    <row r="876" ht="15.75" customHeight="1">
      <c r="A876" s="0" t="str">
        <f>IFERROR(__xludf.DUMMYFUNCTION("""COMPUTED_VALUE"""),"OpenFin")</f>
        <v>OpenFin</v>
      </c>
      <c r="B876" s="0" t="str">
        <f>IFERROR(__xludf.DUMMYFUNCTION("""COMPUTED_VALUE"""),"LockUnlockModule")</f>
        <v>LockUnlockModule</v>
      </c>
      <c r="C876" s="0" t="str">
        <f>IFERROR(__xludf.DUMMYFUNCTION("""COMPUTED_VALUE"""),"179D0kPRO8f_KLxd7hs6seM9XGxpL-u1rhIhNgFVePsQ")</f>
        <v>179D0kPRO8f_KLxd7hs6seM9XGxpL-u1rhIhNgFVePsQ</v>
      </c>
    </row>
    <row r="877" ht="15.75" customHeight="1">
      <c r="A877" s="0" t="str">
        <f>IFERROR(__xludf.DUMMYFUNCTION("""COMPUTED_VALUE"""),"OpenFin")</f>
        <v>OpenFin</v>
      </c>
      <c r="B877" s="0" t="str">
        <f>IFERROR(__xludf.DUMMYFUNCTION("""COMPUTED_VALUE"""),"OpenModuleFromDock")</f>
        <v>OpenModuleFromDock</v>
      </c>
      <c r="C877" s="0" t="str">
        <f>IFERROR(__xludf.DUMMYFUNCTION("""COMPUTED_VALUE"""),"1IdmD7l42pWNjFNVt_7UwbOO7y5tDxaXr7tE60c9ETLw")</f>
        <v>1IdmD7l42pWNjFNVt_7UwbOO7y5tDxaXr7tE60c9ETLw</v>
      </c>
    </row>
    <row r="878" ht="15.75" customHeight="1">
      <c r="A878" s="0" t="str">
        <f>IFERROR(__xludf.DUMMYFUNCTION("""COMPUTED_VALUE"""),"Rebalancer")</f>
        <v>Rebalancer</v>
      </c>
      <c r="B878" s="0" t="str">
        <f>IFERROR(__xludf.DUMMYFUNCTION("""COMPUTED_VALUE"""),"VerifyCFI")</f>
        <v>VerifyCFI</v>
      </c>
      <c r="C878" s="0" t="str">
        <f>IFERROR(__xludf.DUMMYFUNCTION("""COMPUTED_VALUE"""),"1DUwxSUq_47EK60XmK3LOdCXa1fkWqWJE9bLuGS3ccv412")</f>
        <v>1DUwxSUq_47EK60XmK3LOdCXa1fkWqWJE9bLuGS3ccv412</v>
      </c>
    </row>
    <row r="879" ht="15.75" customHeight="1">
      <c r="A879" s="0" t="str">
        <f>IFERROR(__xludf.DUMMYFUNCTION("""COMPUTED_VALUE"""),"Blotter")</f>
        <v>Blotter</v>
      </c>
      <c r="B879" s="0" t="str">
        <f>IFERROR(__xludf.DUMMYFUNCTION("""COMPUTED_VALUE"""),"EnableOrVerifyHotButton")</f>
        <v>EnableOrVerifyHotButton</v>
      </c>
      <c r="C879" s="0" t="str">
        <f>IFERROR(__xludf.DUMMYFUNCTION("""COMPUTED_VALUE"""),"1wa8x9d9kPOHEp49mT2DEW0cyjjOClvAgixk1H2w-Tos")</f>
        <v>1wa8x9d9kPOHEp49mT2DEW0cyjjOClvAgixk1H2w-Tos</v>
      </c>
    </row>
    <row r="880" ht="15.75" customHeight="1">
      <c r="A880" s="0" t="str">
        <f>IFERROR(__xludf.DUMMYFUNCTION("""COMPUTED_VALUE"""),"TradeServer")</f>
        <v>TradeServer</v>
      </c>
      <c r="B880" s="0" t="str">
        <f>IFERROR(__xludf.DUMMYFUNCTION("""COMPUTED_VALUE"""),"RestartServerOnly")</f>
        <v>RestartServerOnly</v>
      </c>
      <c r="C880" s="0" t="str">
        <f>IFERROR(__xludf.DUMMYFUNCTION("""COMPUTED_VALUE"""),"Undefined")</f>
        <v>Undefined</v>
      </c>
    </row>
    <row r="881" ht="15.75" customHeight="1">
      <c r="A881" s="0" t="str">
        <f>IFERROR(__xludf.DUMMYFUNCTION("""COMPUTED_VALUE"""),"Rebalancer")</f>
        <v>Rebalancer</v>
      </c>
      <c r="B881" s="0" t="str">
        <f>IFERROR(__xludf.DUMMYFUNCTION("""COMPUTED_VALUE"""),"ActionOnCFI")</f>
        <v>ActionOnCFI</v>
      </c>
      <c r="C881" s="0" t="str">
        <f>IFERROR(__xludf.DUMMYFUNCTION("""COMPUTED_VALUE"""),"1DUwxSUq_47EK60XmK3LOdCXa1fkWqWJE9bLuGS3ccv412")</f>
        <v>1DUwxSUq_47EK60XmK3LOdCXa1fkWqWJE9bLuGS3ccv412</v>
      </c>
    </row>
    <row r="882" ht="15.75" customHeight="1">
      <c r="A882" s="0" t="str">
        <f>IFERROR(__xludf.DUMMYFUNCTION("""COMPUTED_VALUE"""),"Rebalancer")</f>
        <v>Rebalancer</v>
      </c>
      <c r="B882" s="0" t="str">
        <f>IFERROR(__xludf.DUMMYFUNCTION("""COMPUTED_VALUE"""),"VerifyCFI")</f>
        <v>VerifyCFI</v>
      </c>
      <c r="C882" s="0" t="str">
        <f>IFERROR(__xludf.DUMMYFUNCTION("""COMPUTED_VALUE"""),"1DUwxSUq_47EK60XmK3LOdCXa1fkWqWJE9bLuGS3ccv412")</f>
        <v>1DUwxSUq_47EK60XmK3LOdCXa1fkWqWJE9bLuGS3ccv412</v>
      </c>
    </row>
    <row r="883" ht="15.75" customHeight="1">
      <c r="A883" s="0" t="str">
        <f>IFERROR(__xludf.DUMMYFUNCTION("""COMPUTED_VALUE"""),"Rebalancer")</f>
        <v>Rebalancer</v>
      </c>
      <c r="B883" s="0" t="str">
        <f>IFERROR(__xludf.DUMMYFUNCTION("""COMPUTED_VALUE"""),"VerifyDelRASGrid")</f>
        <v>VerifyDelRASGrid</v>
      </c>
      <c r="C883" s="0" t="str">
        <f>IFERROR(__xludf.DUMMYFUNCTION("""COMPUTED_VALUE"""),"1DUwxSUq_47EK60XmK3LOdCXa1fkWqWJE9bLuGS3ccv412")</f>
        <v>1DUwxSUq_47EK60XmK3LOdCXa1fkWqWJE9bLuGS3ccv412</v>
      </c>
    </row>
    <row r="884" ht="15.75" customHeight="1">
      <c r="A884" s="0" t="str">
        <f>IFERROR(__xludf.DUMMYFUNCTION("""COMPUTED_VALUE"""),"Allocation")</f>
        <v>Allocation</v>
      </c>
      <c r="B884" s="0" t="str">
        <f>IFERROR(__xludf.DUMMYFUNCTION("""COMPUTED_VALUE"""),"ActionOnUPW")</f>
        <v>ActionOnUPW</v>
      </c>
      <c r="C884" s="0" t="str">
        <f>IFERROR(__xludf.DUMMYFUNCTION("""COMPUTED_VALUE"""),"1DUwxSUq_47EK60XmK3LOdCXa1fkWqWJE9bLuGS3ccv413")</f>
        <v>1DUwxSUq_47EK60XmK3LOdCXa1fkWqWJE9bLuGS3ccv413</v>
      </c>
    </row>
    <row r="885" ht="15.75" customHeight="1">
      <c r="A885" s="0" t="str">
        <f>IFERROR(__xludf.DUMMYFUNCTION("""COMPUTED_VALUE"""),"Allocation")</f>
        <v>Allocation</v>
      </c>
      <c r="B885" s="0" t="str">
        <f>IFERROR(__xludf.DUMMYFUNCTION("""COMPUTED_VALUE"""),"DefaultRuleUPW")</f>
        <v>DefaultRuleUPW</v>
      </c>
      <c r="C885" s="0" t="str">
        <f>IFERROR(__xludf.DUMMYFUNCTION("""COMPUTED_VALUE"""),"1DUwxSUq_47EK60XmK3LOdCXa1fkWqWJE9bLuGS3ccv414")</f>
        <v>1DUwxSUq_47EK60XmK3LOdCXa1fkWqWJE9bLuGS3ccv414</v>
      </c>
    </row>
    <row r="886" ht="15.75" customHeight="1">
      <c r="A886" s="0" t="str">
        <f>IFERROR(__xludf.DUMMYFUNCTION("""COMPUTED_VALUE"""),"Allocation")</f>
        <v>Allocation</v>
      </c>
      <c r="B886" s="0" t="str">
        <f>IFERROR(__xludf.DUMMYFUNCTION("""COMPUTED_VALUE"""),"AccountStrategyUPW")</f>
        <v>AccountStrategyUPW</v>
      </c>
      <c r="C886" s="0" t="str">
        <f>IFERROR(__xludf.DUMMYFUNCTION("""COMPUTED_VALUE"""),"1DUwxSUq_47EK60XmK3LOdCXa1fkWqWJE9bLuGS3ccv415")</f>
        <v>1DUwxSUq_47EK60XmK3LOdCXa1fkWqWJE9bLuGS3ccv415</v>
      </c>
    </row>
    <row r="887" ht="15.75" customHeight="1">
      <c r="A887" s="0" t="str">
        <f>IFERROR(__xludf.DUMMYFUNCTION("""COMPUTED_VALUE"""),"Allocation")</f>
        <v>Allocation</v>
      </c>
      <c r="B887" s="0" t="str">
        <f>IFERROR(__xludf.DUMMYFUNCTION("""COMPUTED_VALUE"""),"ActionOnCalPref")</f>
        <v>ActionOnCalPref</v>
      </c>
      <c r="C887" s="0" t="str">
        <f>IFERROR(__xludf.DUMMYFUNCTION("""COMPUTED_VALUE"""),"1DUwxSUq_47EK60XmK3LOdCXa1fkWqWJE9bLuGS3ccv416")</f>
        <v>1DUwxSUq_47EK60XmK3LOdCXa1fkWqWJE9bLuGS3ccv416</v>
      </c>
    </row>
    <row r="888" ht="15.75" customHeight="1">
      <c r="A888" s="0" t="str">
        <f>IFERROR(__xludf.DUMMYFUNCTION("""COMPUTED_VALUE"""),"Allocation")</f>
        <v>Allocation</v>
      </c>
      <c r="B888" s="0" t="str">
        <f>IFERROR(__xludf.DUMMYFUNCTION("""COMPUTED_VALUE"""),"SetMFDefaultRule")</f>
        <v>SetMFDefaultRule</v>
      </c>
      <c r="C888" s="0" t="str">
        <f>IFERROR(__xludf.DUMMYFUNCTION("""COMPUTED_VALUE"""),"1DUwxSUq_47EK60XmK3LOdCXa1fkWqWJE9bLuGS3ccv417")</f>
        <v>1DUwxSUq_47EK60XmK3LOdCXa1fkWqWJE9bLuGS3ccv417</v>
      </c>
    </row>
    <row r="889" ht="15.75" customHeight="1">
      <c r="A889" s="0" t="str">
        <f>IFERROR(__xludf.DUMMYFUNCTION("""COMPUTED_VALUE"""),"Allocation")</f>
        <v>Allocation</v>
      </c>
      <c r="B889" s="0" t="str">
        <f>IFERROR(__xludf.DUMMYFUNCTION("""COMPUTED_VALUE"""),"ActionOnPrefWindow")</f>
        <v>ActionOnPrefWindow</v>
      </c>
      <c r="C889" s="0" t="str">
        <f>IFERROR(__xludf.DUMMYFUNCTION("""COMPUTED_VALUE"""),"1DUwxSUq_47EK60XmK3LOdCXa1fkWqWJE9bLuGS3ccv418")</f>
        <v>1DUwxSUq_47EK60XmK3LOdCXa1fkWqWJE9bLuGS3ccv418</v>
      </c>
    </row>
    <row r="890" ht="15.75" customHeight="1">
      <c r="A890" s="0" t="str">
        <f>IFERROR(__xludf.DUMMYFUNCTION("""COMPUTED_VALUE"""),"Allocation")</f>
        <v>Allocation</v>
      </c>
      <c r="B890" s="0" t="str">
        <f>IFERROR(__xludf.DUMMYFUNCTION("""COMPUTED_VALUE"""),"GetFixedPrefScheme")</f>
        <v>GetFixedPrefScheme</v>
      </c>
      <c r="C890" s="0" t="str">
        <f>IFERROR(__xludf.DUMMYFUNCTION("""COMPUTED_VALUE"""),"1DUwxSUq_47EK60XmK3LOdCXa1fkWqWJE9bLuGS3ccv419")</f>
        <v>1DUwxSUq_47EK60XmK3LOdCXa1fkWqWJE9bLuGS3ccv419</v>
      </c>
    </row>
    <row r="891" ht="15.75" customHeight="1">
      <c r="A891" s="0" t="str">
        <f>IFERROR(__xludf.DUMMYFUNCTION("""COMPUTED_VALUE"""),"Allocation")</f>
        <v>Allocation</v>
      </c>
      <c r="B891" s="0" t="str">
        <f>IFERROR(__xludf.DUMMYFUNCTION("""COMPUTED_VALUE"""),"VerifyFixedPref")</f>
        <v>VerifyFixedPref</v>
      </c>
      <c r="C891" s="0" t="str">
        <f>IFERROR(__xludf.DUMMYFUNCTION("""COMPUTED_VALUE"""),"1DUwxSUq_47EK60XmK3LOdCXa1fkWqWJE9bLuGS3ccv420")</f>
        <v>1DUwxSUq_47EK60XmK3LOdCXa1fkWqWJE9bLuGS3ccv420</v>
      </c>
    </row>
    <row r="892" ht="15.75" customHeight="1">
      <c r="A892" s="0" t="str">
        <f>IFERROR(__xludf.DUMMYFUNCTION("""COMPUTED_VALUE"""),"Allocation")</f>
        <v>Allocation</v>
      </c>
      <c r="B892" s="0" t="str">
        <f>IFERROR(__xludf.DUMMYFUNCTION("""COMPUTED_VALUE"""),"ActionOnToolBar")</f>
        <v>ActionOnToolBar</v>
      </c>
      <c r="C892" s="0" t="str">
        <f>IFERROR(__xludf.DUMMYFUNCTION("""COMPUTED_VALUE"""),"1DUwxSUq_47EK60XmK3LOdCXa1fkWqWJE9bLuGS3ccv421")</f>
        <v>1DUwxSUq_47EK60XmK3LOdCXa1fkWqWJE9bLuGS3ccv421</v>
      </c>
    </row>
    <row r="893" ht="15.75" customHeight="1">
      <c r="A893" s="0" t="str">
        <f>IFERROR(__xludf.DUMMYFUNCTION("""COMPUTED_VALUE"""),"Rebalancer")</f>
        <v>Rebalancer</v>
      </c>
      <c r="B893" s="0" t="str">
        <f>IFERROR(__xludf.DUMMYFUNCTION("""COMPUTED_VALUE"""),"VerifyCustomGroupModel")</f>
        <v>VerifyCustomGroupModel</v>
      </c>
      <c r="C893" s="0" t="str">
        <f>IFERROR(__xludf.DUMMYFUNCTION("""COMPUTED_VALUE"""),"1DUwxSUq_47EK60XmK3LOdCXa1fkWqWJE9bLuGS3ccv422")</f>
        <v>1DUwxSUq_47EK60XmK3LOdCXa1fkWqWJE9bLuGS3ccv422</v>
      </c>
    </row>
    <row r="894" ht="15.75" customHeight="1">
      <c r="A894" s="0" t="str">
        <f>IFERROR(__xludf.DUMMYFUNCTION("""COMPUTED_VALUE"""),"Blotter")</f>
        <v>Blotter</v>
      </c>
      <c r="B894" s="0" t="str">
        <f>IFERROR(__xludf.DUMMYFUNCTION("""COMPUTED_VALUE"""),"VerifyFilterUiRC")</f>
        <v>VerifyFilterUiRC</v>
      </c>
      <c r="C894" s="0" t="str">
        <f>IFERROR(__xludf.DUMMYFUNCTION("""COMPUTED_VALUE"""),"1QQZEZqPXfPnxfNID2a3__xw8RnEAn77igg5Q32S3Sm0")</f>
        <v>1QQZEZqPXfPnxfNID2a3__xw8RnEAn77igg5Q32S3Sm0</v>
      </c>
    </row>
    <row r="895" ht="15.75" customHeight="1">
      <c r="A895" s="0" t="str">
        <f>IFERROR(__xludf.DUMMYFUNCTION("""COMPUTED_VALUE"""),"TradingTicket")</f>
        <v>TradingTicket</v>
      </c>
      <c r="B895" s="0" t="str">
        <f>IFERROR(__xludf.DUMMYFUNCTION("""COMPUTED_VALUE"""),"SymbolSuggestionVerify")</f>
        <v>SymbolSuggestionVerify</v>
      </c>
      <c r="C895" s="0" t="str">
        <f>IFERROR(__xludf.DUMMYFUNCTION("""COMPUTED_VALUE"""),"14aTeLjmUbS-nhaQwjtZAMGxdQ5DS6UsBjE5OTWN-LQU")</f>
        <v>14aTeLjmUbS-nhaQwjtZAMGxdQ5DS6UsBjE5OTWN-LQU</v>
      </c>
    </row>
    <row r="896" ht="15.75" customHeight="1">
      <c r="A896" s="0" t="str">
        <f>IFERROR(__xludf.DUMMYFUNCTION("""COMPUTED_VALUE"""),"PreferencesMain")</f>
        <v>PreferencesMain</v>
      </c>
      <c r="B896" s="0" t="str">
        <f>IFERROR(__xludf.DUMMYFUNCTION("""COMPUTED_VALUE"""),"UpdatePTTPref")</f>
        <v>UpdatePTTPref</v>
      </c>
      <c r="C896" s="0" t="str">
        <f>IFERROR(__xludf.DUMMYFUNCTION("""COMPUTED_VALUE"""),"14aTeLjmUbS-nhaQwjtZAMGxdQ5DS6UsBjE5OTWN-LQU")</f>
        <v>14aTeLjmUbS-nhaQwjtZAMGxdQ5DS6UsBjE5OTWN-LQU</v>
      </c>
    </row>
    <row r="897" ht="15.75" customHeight="1">
      <c r="A897" s="0" t="str">
        <f>IFERROR(__xludf.DUMMYFUNCTION("""COMPUTED_VALUE"""),"PreferencesMain")</f>
        <v>PreferencesMain</v>
      </c>
      <c r="B897" s="0" t="str">
        <f>IFERROR(__xludf.DUMMYFUNCTION("""COMPUTED_VALUE"""),"ActionOnPreferencesMain")</f>
        <v>ActionOnPreferencesMain</v>
      </c>
      <c r="C897" s="0" t="str">
        <f>IFERROR(__xludf.DUMMYFUNCTION("""COMPUTED_VALUE"""),"14aTeLjmUbS-nhaQwjtZAMGxdQ5DS6UsBjE5OTWN-LQU")</f>
        <v>14aTeLjmUbS-nhaQwjtZAMGxdQ5DS6UsBjE5OTWN-LQU</v>
      </c>
    </row>
    <row r="898" ht="15.75" customHeight="1">
      <c r="A898" s="0" t="str">
        <f>IFERROR(__xludf.DUMMYFUNCTION("""COMPUTED_VALUE"""),"PreferencesMain")</f>
        <v>PreferencesMain</v>
      </c>
      <c r="B898" s="0" t="str">
        <f>IFERROR(__xludf.DUMMYFUNCTION("""COMPUTED_VALUE"""),"VerifyUpdategrdAccountFactor")</f>
        <v>VerifyUpdategrdAccountFactor</v>
      </c>
      <c r="C898" s="0" t="str">
        <f>IFERROR(__xludf.DUMMYFUNCTION("""COMPUTED_VALUE"""),"14aTeLjmUbS-nhaQwjtZAMGxdQ5DS6UsBjE5OTWN-LQU")</f>
        <v>14aTeLjmUbS-nhaQwjtZAMGxdQ5DS6UsBjE5OTWN-LQU</v>
      </c>
    </row>
    <row r="899" ht="15.75" customHeight="1">
      <c r="A899" s="0" t="str">
        <f>IFERROR(__xludf.DUMMYFUNCTION("""COMPUTED_VALUE"""),"PreferencesMain")</f>
        <v>PreferencesMain</v>
      </c>
      <c r="B899" s="0" t="str">
        <f>IFERROR(__xludf.DUMMYFUNCTION("""COMPUTED_VALUE"""),"VerifyUpdategrdMFA")</f>
        <v>VerifyUpdategrdMFA</v>
      </c>
      <c r="C899" s="0" t="str">
        <f>IFERROR(__xludf.DUMMYFUNCTION("""COMPUTED_VALUE"""),"14aTeLjmUbS-nhaQwjtZAMGxdQ5DS6UsBjE5OTWN-LQU")</f>
        <v>14aTeLjmUbS-nhaQwjtZAMGxdQ5DS6UsBjE5OTWN-LQU</v>
      </c>
    </row>
    <row r="900" ht="15.75" customHeight="1">
      <c r="A900" s="0" t="str">
        <f>IFERROR(__xludf.DUMMYFUNCTION("""COMPUTED_VALUE"""),"PreferencesMain")</f>
        <v>PreferencesMain</v>
      </c>
      <c r="B900" s="0" t="str">
        <f>IFERROR(__xludf.DUMMYFUNCTION("""COMPUTED_VALUE"""),"SwitchTabMFA")</f>
        <v>SwitchTabMFA</v>
      </c>
      <c r="C900" s="0" t="str">
        <f>IFERROR(__xludf.DUMMYFUNCTION("""COMPUTED_VALUE"""),"14aTeLjmUbS-nhaQwjtZAMGxdQ5DS6UsBjE5OTWN-LQU")</f>
        <v>14aTeLjmUbS-nhaQwjtZAMGxdQ5DS6UsBjE5OTWN-LQU</v>
      </c>
    </row>
    <row r="901" ht="15.75" customHeight="1">
      <c r="A901" s="0" t="str">
        <f>IFERROR(__xludf.DUMMYFUNCTION("""COMPUTED_VALUE"""),"PreferencesMain")</f>
        <v>PreferencesMain</v>
      </c>
      <c r="B901" s="0" t="str">
        <f>IFERROR(__xludf.DUMMYFUNCTION("""COMPUTED_VALUE"""),"UpdateBlotterPref")</f>
        <v>UpdateBlotterPref</v>
      </c>
      <c r="C901" s="0" t="str">
        <f>IFERROR(__xludf.DUMMYFUNCTION("""COMPUTED_VALUE"""),"14aTeLjmUbS-nhaQwjtZAMGxdQ5DS6UsBjE5OTWN-LQU")</f>
        <v>14aTeLjmUbS-nhaQwjtZAMGxdQ5DS6UsBjE5OTWN-LQU</v>
      </c>
    </row>
    <row r="902" ht="15.75" customHeight="1">
      <c r="A902" s="0" t="str">
        <f>IFERROR(__xludf.DUMMYFUNCTION("""COMPUTED_VALUE"""),"PreferencesMain")</f>
        <v>PreferencesMain</v>
      </c>
      <c r="B902" s="0" t="str">
        <f>IFERROR(__xludf.DUMMYFUNCTION("""COMPUTED_VALUE"""),"UpdatePMPref")</f>
        <v>UpdatePMPref</v>
      </c>
      <c r="C902" s="0" t="str">
        <f>IFERROR(__xludf.DUMMYFUNCTION("""COMPUTED_VALUE"""),"14aTeLjmUbS-nhaQwjtZAMGxdQ5DS6UsBjE5OTWN-LQU")</f>
        <v>14aTeLjmUbS-nhaQwjtZAMGxdQ5DS6UsBjE5OTWN-LQU</v>
      </c>
    </row>
    <row r="903" ht="15.75" customHeight="1">
      <c r="A903" s="0" t="str">
        <f>IFERROR(__xludf.DUMMYFUNCTION("""COMPUTED_VALUE"""),"PreferencesMain")</f>
        <v>PreferencesMain</v>
      </c>
      <c r="B903" s="0" t="str">
        <f>IFERROR(__xludf.DUMMYFUNCTION("""COMPUTED_VALUE"""),"UpdateGenPref")</f>
        <v>UpdateGenPref</v>
      </c>
      <c r="C903" s="0" t="str">
        <f>IFERROR(__xludf.DUMMYFUNCTION("""COMPUTED_VALUE"""),"14aTeLjmUbS-nhaQwjtZAMGxdQ5DS6UsBjE5OTWN-LQU")</f>
        <v>14aTeLjmUbS-nhaQwjtZAMGxdQ5DS6UsBjE5OTWN-LQU</v>
      </c>
    </row>
    <row r="904" ht="15.75" customHeight="1">
      <c r="A904" s="0" t="str">
        <f>IFERROR(__xludf.DUMMYFUNCTION("""COMPUTED_VALUE"""),"PreferencesMain")</f>
        <v>PreferencesMain</v>
      </c>
      <c r="B904" s="0" t="str">
        <f>IFERROR(__xludf.DUMMYFUNCTION("""COMPUTED_VALUE"""),"VerifyUpdateAssetSide")</f>
        <v>VerifyUpdateAssetSide</v>
      </c>
      <c r="C904" s="0" t="str">
        <f>IFERROR(__xludf.DUMMYFUNCTION("""COMPUTED_VALUE"""),"14aTeLjmUbS-nhaQwjtZAMGxdQ5DS6UsBjE5OTWN-LQU")</f>
        <v>14aTeLjmUbS-nhaQwjtZAMGxdQ5DS6UsBjE5OTWN-LQU</v>
      </c>
    </row>
    <row r="905" ht="15.75" customHeight="1">
      <c r="A905" s="0" t="str">
        <f>IFERROR(__xludf.DUMMYFUNCTION("""COMPUTED_VALUE"""),"PreferencesMain")</f>
        <v>PreferencesMain</v>
      </c>
      <c r="B905" s="0" t="str">
        <f>IFERROR(__xludf.DUMMYFUNCTION("""COMPUTED_VALUE"""),"SwicthTabPref")</f>
        <v>SwicthTabPref</v>
      </c>
      <c r="C905" s="0" t="str">
        <f>IFERROR(__xludf.DUMMYFUNCTION("""COMPUTED_VALUE"""),"14aTeLjmUbS-nhaQwjtZAMGxdQ5DS6UsBjE5OTWN-LQU")</f>
        <v>14aTeLjmUbS-nhaQwjtZAMGxdQ5DS6UsBjE5OTWN-LQU</v>
      </c>
    </row>
    <row r="906" ht="15.75" customHeight="1">
      <c r="A906" s="0" t="str">
        <f>IFERROR(__xludf.DUMMYFUNCTION("""COMPUTED_VALUE"""),"PreferencesMain")</f>
        <v>PreferencesMain</v>
      </c>
      <c r="B906" s="0" t="str">
        <f>IFERROR(__xludf.DUMMYFUNCTION("""COMPUTED_VALUE"""),"TTDefaultSelection")</f>
        <v>TTDefaultSelection</v>
      </c>
      <c r="C906" s="0" t="str">
        <f>IFERROR(__xludf.DUMMYFUNCTION("""COMPUTED_VALUE"""),"14aTeLjmUbS-nhaQwjtZAMGxdQ5DS6UsBjE5OTWN-LQU")</f>
        <v>14aTeLjmUbS-nhaQwjtZAMGxdQ5DS6UsBjE5OTWN-LQU</v>
      </c>
    </row>
    <row r="907" ht="15.75" customHeight="1">
      <c r="A907" s="0" t="str">
        <f>IFERROR(__xludf.DUMMYFUNCTION("""COMPUTED_VALUE"""),"PreferencesMain")</f>
        <v>PreferencesMain</v>
      </c>
      <c r="B907" s="0" t="str">
        <f>IFERROR(__xludf.DUMMYFUNCTION("""COMPUTED_VALUE"""),"TTNumSelection")</f>
        <v>TTNumSelection</v>
      </c>
      <c r="C907" s="0" t="str">
        <f>IFERROR(__xludf.DUMMYFUNCTION("""COMPUTED_VALUE"""),"14aTeLjmUbS-nhaQwjtZAMGxdQ5DS6UsBjE5OTWN-LQU")</f>
        <v>14aTeLjmUbS-nhaQwjtZAMGxdQ5DS6UsBjE5OTWN-LQU</v>
      </c>
    </row>
    <row r="908" ht="15.75" customHeight="1">
      <c r="A908" s="0" t="str">
        <f>IFERROR(__xludf.DUMMYFUNCTION("""COMPUTED_VALUE"""),"PreferencesMain")</f>
        <v>PreferencesMain</v>
      </c>
      <c r="B908" s="0" t="str">
        <f>IFERROR(__xludf.DUMMYFUNCTION("""COMPUTED_VALUE"""),"TTConfirmationPopUps")</f>
        <v>TTConfirmationPopUps</v>
      </c>
      <c r="C908" s="0" t="str">
        <f>IFERROR(__xludf.DUMMYFUNCTION("""COMPUTED_VALUE"""),"14aTeLjmUbS-nhaQwjtZAMGxdQ5DS6UsBjE5OTWN-LQU")</f>
        <v>14aTeLjmUbS-nhaQwjtZAMGxdQ5DS6UsBjE5OTWN-LQU</v>
      </c>
    </row>
    <row r="909" ht="15.75" customHeight="1">
      <c r="A909" s="0" t="str">
        <f>IFERROR(__xludf.DUMMYFUNCTION("""COMPUTED_VALUE"""),"PreferencesMain")</f>
        <v>PreferencesMain</v>
      </c>
      <c r="B909" s="0" t="str">
        <f>IFERROR(__xludf.DUMMYFUNCTION("""COMPUTED_VALUE"""),"VerifyUpdateBrokerPref")</f>
        <v>VerifyUpdateBrokerPref</v>
      </c>
      <c r="C909" s="0" t="str">
        <f>IFERROR(__xludf.DUMMYFUNCTION("""COMPUTED_VALUE"""),"14aTeLjmUbS-nhaQwjtZAMGxdQ5DS6UsBjE5OTWN-LQU")</f>
        <v>14aTeLjmUbS-nhaQwjtZAMGxdQ5DS6UsBjE5OTWN-LQU</v>
      </c>
    </row>
    <row r="910" ht="15.75" customHeight="1">
      <c r="A910" s="0" t="str">
        <f>IFERROR(__xludf.DUMMYFUNCTION("""COMPUTED_VALUE"""),"PreferencesMain")</f>
        <v>PreferencesMain</v>
      </c>
      <c r="B910" s="0" t="str">
        <f>IFERROR(__xludf.DUMMYFUNCTION("""COMPUTED_VALUE"""),"TTGeneralPref")</f>
        <v>TTGeneralPref</v>
      </c>
      <c r="C910" s="0" t="str">
        <f>IFERROR(__xludf.DUMMYFUNCTION("""COMPUTED_VALUE"""),"14aTeLjmUbS-nhaQwjtZAMGxdQ5DS6UsBjE5OTWN-LQU")</f>
        <v>14aTeLjmUbS-nhaQwjtZAMGxdQ5DS6UsBjE5OTWN-LQU</v>
      </c>
    </row>
    <row r="911" ht="15.75" customHeight="1">
      <c r="A911" s="0" t="str">
        <f>IFERROR(__xludf.DUMMYFUNCTION("""COMPUTED_VALUE"""),"PreferencesMain")</f>
        <v>PreferencesMain</v>
      </c>
      <c r="B911" s="0" t="str">
        <f>IFERROR(__xludf.DUMMYFUNCTION("""COMPUTED_VALUE"""),"UpdateClosingPref")</f>
        <v>UpdateClosingPref</v>
      </c>
      <c r="C911" s="0" t="str">
        <f>IFERROR(__xludf.DUMMYFUNCTION("""COMPUTED_VALUE"""),"14aTeLjmUbS-nhaQwjtZAMGxdQ5DS6UsBjE5OTWN-LQU")</f>
        <v>14aTeLjmUbS-nhaQwjtZAMGxdQ5DS6UsBjE5OTWN-LQU</v>
      </c>
    </row>
    <row r="912" ht="15.75" customHeight="1">
      <c r="A912" s="0" t="str">
        <f>IFERROR(__xludf.DUMMYFUNCTION("""COMPUTED_VALUE"""),"Allocation")</f>
        <v>Allocation</v>
      </c>
      <c r="B912" s="0" t="str">
        <f>IFERROR(__xludf.DUMMYFUNCTION("""COMPUTED_VALUE"""),"VerifyEditAttRenaming")</f>
        <v>VerifyEditAttRenaming</v>
      </c>
      <c r="C912" s="0" t="str">
        <f>IFERROR(__xludf.DUMMYFUNCTION("""COMPUTED_VALUE"""),"14aTeLjmUbS-nhaQwjtZAMGxdQ5DS6UsBjE5OTWN-LQU")</f>
        <v>14aTeLjmUbS-nhaQwjtZAMGxdQ5DS6UsBjE5OTWN-LQU</v>
      </c>
    </row>
    <row r="913" ht="15.75" customHeight="1">
      <c r="A913" s="0" t="str">
        <f>IFERROR(__xludf.DUMMYFUNCTION("""COMPUTED_VALUE"""),"Rebalancer")</f>
        <v>Rebalancer</v>
      </c>
      <c r="B913" s="0" t="str">
        <f>IFERROR(__xludf.DUMMYFUNCTION("""COMPUTED_VALUE"""),"VerifyTradeList")</f>
        <v>VerifyTradeList</v>
      </c>
      <c r="C913" s="0" t="str">
        <f>IFERROR(__xludf.DUMMYFUNCTION("""COMPUTED_VALUE"""),"14aTeLjmUbS-nhaQwjtZAMGxdQ5DS6UsBjE5OTWN-LQU")</f>
        <v>14aTeLjmUbS-nhaQwjtZAMGxdQ5DS6UsBjE5OTWN-LQU</v>
      </c>
    </row>
    <row r="914" ht="15.75" customHeight="1">
      <c r="A914" s="0" t="str">
        <f>IFERROR(__xludf.DUMMYFUNCTION("""COMPUTED_VALUE"""),"TradingTicket")</f>
        <v>TradingTicket</v>
      </c>
      <c r="B914" s="0" t="str">
        <f>IFERROR(__xludf.DUMMYFUNCTION("""COMPUTED_VALUE"""),"TTMainControls")</f>
        <v>TTMainControls</v>
      </c>
      <c r="C914" s="0" t="str">
        <f>IFERROR(__xludf.DUMMYFUNCTION("""COMPUTED_VALUE"""),"1DUwxSUq_47EK60XmK3LOdCXa1fkWqWJE9bLuGS3ccv412")</f>
        <v>1DUwxSUq_47EK60XmK3LOdCXa1fkWqWJE9bLuGS3ccv412</v>
      </c>
    </row>
    <row r="915" ht="15.75" customHeight="1">
      <c r="A915" s="0" t="str">
        <f>IFERROR(__xludf.DUMMYFUNCTION("""COMPUTED_VALUE"""),"TradingTicket")</f>
        <v>TradingTicket</v>
      </c>
      <c r="B915" s="0" t="str">
        <f>IFERROR(__xludf.DUMMYFUNCTION("""COMPUTED_VALUE"""),"VerifySymStrip")</f>
        <v>VerifySymStrip</v>
      </c>
      <c r="C915" s="0" t="str">
        <f>IFERROR(__xludf.DUMMYFUNCTION("""COMPUTED_VALUE"""),"1DUwxSUq_47EK60XmK3LOdCXa1fkWqWJE9bLuGS3ccv412")</f>
        <v>1DUwxSUq_47EK60XmK3LOdCXa1fkWqWJE9bLuGS3ccv412</v>
      </c>
    </row>
    <row r="916" ht="15.75" customHeight="1">
      <c r="A916" s="0" t="str">
        <f>IFERROR(__xludf.DUMMYFUNCTION("""COMPUTED_VALUE"""),"TradingTicket")</f>
        <v>TradingTicket</v>
      </c>
      <c r="B916" s="0" t="str">
        <f>IFERROR(__xludf.DUMMYFUNCTION("""COMPUTED_VALUE"""),"TTBottomTab")</f>
        <v>TTBottomTab</v>
      </c>
      <c r="C916" s="0" t="str">
        <f>IFERROR(__xludf.DUMMYFUNCTION("""COMPUTED_VALUE"""),"1DUwxSUq_47EK60XmK3LOdCXa1fkWqWJE9bLuGS3ccv412")</f>
        <v>1DUwxSUq_47EK60XmK3LOdCXa1fkWqWJE9bLuGS3ccv412</v>
      </c>
    </row>
    <row r="917" ht="15.75" customHeight="1">
      <c r="A917" s="0" t="str">
        <f>IFERROR(__xludf.DUMMYFUNCTION("""COMPUTED_VALUE"""),"TradingTicket")</f>
        <v>TradingTicket</v>
      </c>
      <c r="B917" s="0" t="str">
        <f>IFERROR(__xludf.DUMMYFUNCTION("""COMPUTED_VALUE"""),"TTBottomSwap")</f>
        <v>TTBottomSwap</v>
      </c>
      <c r="C917" s="0" t="str">
        <f>IFERROR(__xludf.DUMMYFUNCTION("""COMPUTED_VALUE"""),"1DUwxSUq_47EK60XmK3LOdCXa1fkWqWJE9bLuGS3ccv412")</f>
        <v>1DUwxSUq_47EK60XmK3LOdCXa1fkWqWJE9bLuGS3ccv412</v>
      </c>
    </row>
    <row r="918" ht="15.75" customHeight="1">
      <c r="A918" s="0" t="str">
        <f>IFERROR(__xludf.DUMMYFUNCTION("""COMPUTED_VALUE"""),"Blotter")</f>
        <v>Blotter</v>
      </c>
      <c r="B918" s="0" t="str">
        <f>IFERROR(__xludf.DUMMYFUNCTION("""COMPUTED_VALUE"""),"CreateHotButtonOnBlotter")</f>
        <v>CreateHotButtonOnBlotter</v>
      </c>
      <c r="C918" s="0" t="str">
        <f>IFERROR(__xludf.DUMMYFUNCTION("""COMPUTED_VALUE"""),"1Yu7Fb6AjhUP8b-KuRJvgAwq8TykNK6BDh9F0Xpf12Ek")</f>
        <v>1Yu7Fb6AjhUP8b-KuRJvgAwq8TykNK6BDh9F0Xpf12Ek</v>
      </c>
    </row>
    <row r="919" ht="15.75" customHeight="1">
      <c r="A919" s="0" t="str">
        <f>IFERROR(__xludf.DUMMYFUNCTION("""COMPUTED_VALUE"""),"Blotter")</f>
        <v>Blotter</v>
      </c>
      <c r="B919" s="0" t="str">
        <f>IFERROR(__xludf.DUMMYFUNCTION("""COMPUTED_VALUE"""),"FillHBdetailsOnBlotter")</f>
        <v>FillHBdetailsOnBlotter</v>
      </c>
      <c r="C919" s="0" t="str">
        <f>IFERROR(__xludf.DUMMYFUNCTION("""COMPUTED_VALUE"""),"13Isj5c5k8kObxI-GBT6Ir9VBOz_46lzhwVxXXVP8jQU")</f>
        <v>13Isj5c5k8kObxI-GBT6Ir9VBOz_46lzhwVxXXVP8jQU</v>
      </c>
    </row>
    <row r="920" ht="15.75" customHeight="1">
      <c r="A920" s="0" t="str">
        <f>IFERROR(__xludf.DUMMYFUNCTION("""COMPUTED_VALUE"""),"TradingTicket")</f>
        <v>TradingTicket</v>
      </c>
      <c r="B920" s="0" t="str">
        <f>IFERROR(__xludf.DUMMYFUNCTION("""COMPUTED_VALUE"""),"EditAuecWindow")</f>
        <v>EditAuecWindow</v>
      </c>
      <c r="C920" s="0" t="str">
        <f>IFERROR(__xludf.DUMMYFUNCTION("""COMPUTED_VALUE"""),"1ottlNphVbp0AC-UFd-HlDpCLwOA2yWO1pN6eR3ML7vA")</f>
        <v>1ottlNphVbp0AC-UFd-HlDpCLwOA2yWO1pN6eR3ML7vA</v>
      </c>
    </row>
    <row r="921" ht="15.75" customHeight="1">
      <c r="A921" s="0" t="str">
        <f>IFERROR(__xludf.DUMMYFUNCTION("""COMPUTED_VALUE"""),"TradingTicket")</f>
        <v>TradingTicket</v>
      </c>
      <c r="B921" s="0" t="str">
        <f>IFERROR(__xludf.DUMMYFUNCTION("""COMPUTED_VALUE"""),"VerifyBrokerSummary")</f>
        <v>VerifyBrokerSummary</v>
      </c>
      <c r="C921" s="0" t="str">
        <f>IFERROR(__xludf.DUMMYFUNCTION("""COMPUTED_VALUE"""),"11hMxlfIQYwM8vPN2h--IGp7O02EDFbvJ4CSvjSfGsMY")</f>
        <v>11hMxlfIQYwM8vPN2h--IGp7O02EDFbvJ4CSvjSfGsMY</v>
      </c>
    </row>
    <row r="922" ht="15.75" customHeight="1">
      <c r="A922" s="0" t="str">
        <f>IFERROR(__xludf.DUMMYFUNCTION("""COMPUTED_VALUE"""),"QTT")</f>
        <v>QTT</v>
      </c>
      <c r="B922" s="0" t="str">
        <f>IFERROR(__xludf.DUMMYFUNCTION("""COMPUTED_VALUE"""),"EditAuecWindowQTT")</f>
        <v>EditAuecWindowQTT</v>
      </c>
      <c r="C922" s="0" t="str">
        <f>IFERROR(__xludf.DUMMYFUNCTION("""COMPUTED_VALUE"""),"1oI_WY3xKQgSjp5JN67BMHtm3zazX5ZiMATISa2ssGB0")</f>
        <v>1oI_WY3xKQgSjp5JN67BMHtm3zazX5ZiMATISa2ssGB0</v>
      </c>
    </row>
    <row r="923" ht="15.75" customHeight="1">
      <c r="A923" s="0" t="str">
        <f>IFERROR(__xludf.DUMMYFUNCTION("""COMPUTED_VALUE"""),"QTT")</f>
        <v>QTT</v>
      </c>
      <c r="B923" s="0" t="str">
        <f>IFERROR(__xludf.DUMMYFUNCTION("""COMPUTED_VALUE"""),"VerifyBrokerSummaryQTT")</f>
        <v>VerifyBrokerSummaryQTT</v>
      </c>
      <c r="C923" s="0" t="str">
        <f>IFERROR(__xludf.DUMMYFUNCTION("""COMPUTED_VALUE"""),"1O6-eqYsZqtvYR6DOH7UM2_Jwpq9pB9uyZvgh5vEhVAI")</f>
        <v>1O6-eqYsZqtvYR6DOH7UM2_Jwpq9pB9uyZvgh5vEhVAI</v>
      </c>
    </row>
    <row r="924" ht="15.75" customHeight="1">
      <c r="A924" s="0" t="str">
        <f>IFERROR(__xludf.DUMMYFUNCTION("""COMPUTED_VALUE"""),"QTT")</f>
        <v>QTT</v>
      </c>
      <c r="B924" s="0" t="str">
        <f>IFERROR(__xludf.DUMMYFUNCTION("""COMPUTED_VALUE"""),"SaveQTThotKey")</f>
        <v>SaveQTThotKey</v>
      </c>
      <c r="C924" s="0" t="str">
        <f>IFERROR(__xludf.DUMMYFUNCTION("""COMPUTED_VALUE"""),"Undefined")</f>
        <v>Undefined</v>
      </c>
    </row>
    <row r="925" ht="15.75" customHeight="1">
      <c r="A925" s="0" t="str">
        <f>IFERROR(__xludf.DUMMYFUNCTION("""COMPUTED_VALUE"""),"Blotter")</f>
        <v>Blotter</v>
      </c>
      <c r="B925" s="0" t="str">
        <f>IFERROR(__xludf.DUMMYFUNCTION("""COMPUTED_VALUE"""),"BlotterColumnChooser")</f>
        <v>BlotterColumnChooser</v>
      </c>
      <c r="C925" s="0" t="str">
        <f>IFERROR(__xludf.DUMMYFUNCTION("""COMPUTED_VALUE"""),"12428TbyucuJDD3KuN7QG-GyRYI3gcoyDNKTQ2UpgGMQ")</f>
        <v>12428TbyucuJDD3KuN7QG-GyRYI3gcoyDNKTQ2UpgGMQ</v>
      </c>
    </row>
    <row r="926" ht="15.75" customHeight="1">
      <c r="A926" s="0" t="str">
        <f>IFERROR(__xludf.DUMMYFUNCTION("""COMPUTED_VALUE"""),"RTPNL")</f>
        <v>RTPNL</v>
      </c>
      <c r="B926" s="0" t="str">
        <f>IFERROR(__xludf.DUMMYFUNCTION("""COMPUTED_VALUE"""),"CreateGroupingWidget")</f>
        <v>CreateGroupingWidget</v>
      </c>
      <c r="C926" s="0" t="str">
        <f>IFERROR(__xludf.DUMMYFUNCTION("""COMPUTED_VALUE"""),"1ctXhgvJgrqqe8ees0907Up0TKq9pCEhinMlZnRGqKdY")</f>
        <v>1ctXhgvJgrqqe8ees0907Up0TKq9pCEhinMlZnRGqKdY</v>
      </c>
    </row>
    <row r="927" ht="15.75" customHeight="1">
      <c r="A927" s="0" t="str">
        <f>IFERROR(__xludf.DUMMYFUNCTION("""COMPUTED_VALUE"""),"RTPNL")</f>
        <v>RTPNL</v>
      </c>
      <c r="B927" s="0" t="str">
        <f>IFERROR(__xludf.DUMMYFUNCTION("""COMPUTED_VALUE"""),"CheckGroupingWidget")</f>
        <v>CheckGroupingWidget</v>
      </c>
      <c r="C927" s="0" t="str">
        <f>IFERROR(__xludf.DUMMYFUNCTION("""COMPUTED_VALUE"""),"16mimyUFzQ0Ojogh0t4Evjy-tjzAJ67xgIrWeTNmBdw0")</f>
        <v>16mimyUFzQ0Ojogh0t4Evjy-tjzAJ67xgIrWeTNmBdw0</v>
      </c>
    </row>
    <row r="928" ht="15.75" customHeight="1">
      <c r="A928" s="0" t="str">
        <f>IFERROR(__xludf.DUMMYFUNCTION("""COMPUTED_VALUE"""),"TradingTicket")</f>
        <v>TradingTicket</v>
      </c>
      <c r="B928" s="0" t="str">
        <f>IFERROR(__xludf.DUMMYFUNCTION("""COMPUTED_VALUE"""),"QTTHamburg")</f>
        <v>QTTHamburg</v>
      </c>
      <c r="C928" s="0" t="str">
        <f>IFERROR(__xludf.DUMMYFUNCTION("""COMPUTED_VALUE"""),"1pdXDcLRWAl2b2L88lHCntj01OLBjVHaNAdGG8OHa4hA")</f>
        <v>1pdXDcLRWAl2b2L88lHCntj01OLBjVHaNAdGG8OHa4hA</v>
      </c>
    </row>
    <row r="929" ht="15.75" customHeight="1">
      <c r="A929" s="0" t="str">
        <f>IFERROR(__xludf.DUMMYFUNCTION("""COMPUTED_VALUE"""),"RTPNL")</f>
        <v>RTPNL</v>
      </c>
      <c r="B929" s="0" t="str">
        <f>IFERROR(__xludf.DUMMYFUNCTION("""COMPUTED_VALUE"""),"VerifyL1L2PanelRTPNL")</f>
        <v>VerifyL1L2PanelRTPNL</v>
      </c>
      <c r="C929" s="0" t="str">
        <f>IFERROR(__xludf.DUMMYFUNCTION("""COMPUTED_VALUE"""),"1cQo_rX9O9XHFILj0ICV1GAU_RdtTKYlclT20jg9G7hg")</f>
        <v>1cQo_rX9O9XHFILj0ICV1GAU_RdtTKYlclT20jg9G7hg</v>
      </c>
    </row>
    <row r="930" ht="15.75" customHeight="1">
      <c r="A930" s="0" t="str">
        <f>IFERROR(__xludf.DUMMYFUNCTION("""COMPUTED_VALUE"""),"Blotter")</f>
        <v>Blotter</v>
      </c>
      <c r="B930" s="0" t="str">
        <f>IFERROR(__xludf.DUMMYFUNCTION("""COMPUTED_VALUE"""),"CaptureHotButtonDetails")</f>
        <v>CaptureHotButtonDetails</v>
      </c>
      <c r="C930" s="0" t="str">
        <f>IFERROR(__xludf.DUMMYFUNCTION("""COMPUTED_VALUE"""),"16Dail-EoPWyIhwRzxyvr-EY1IE8jJTUQDarvGnXioxI")</f>
        <v>16Dail-EoPWyIhwRzxyvr-EY1IE8jJTUQDarvGnXioxI</v>
      </c>
    </row>
    <row r="931" ht="15.75" customHeight="1">
      <c r="A931" s="0" t="str">
        <f>IFERROR(__xludf.DUMMYFUNCTION("""COMPUTED_VALUE"""),"SymbolLookup")</f>
        <v>SymbolLookup</v>
      </c>
      <c r="B931" s="0" t="str">
        <f>IFERROR(__xludf.DUMMYFUNCTION("""COMPUTED_VALUE"""),"EditSMGrid")</f>
        <v>EditSMGrid</v>
      </c>
      <c r="C931" s="0" t="str">
        <f>IFERROR(__xludf.DUMMYFUNCTION("""COMPUTED_VALUE"""),"14aTeLjmUbS-nhaQwjtZAMGxdQ5DS6UsBjE5OTWN-LQU")</f>
        <v>14aTeLjmUbS-nhaQwjtZAMGxdQ5DS6UsBjE5OTWN-LQU</v>
      </c>
    </row>
    <row r="932" ht="15.75" customHeight="1">
      <c r="A932" s="0" t="str">
        <f>IFERROR(__xludf.DUMMYFUNCTION("""COMPUTED_VALUE"""),"QTT")</f>
        <v>QTT</v>
      </c>
      <c r="B932" s="0" t="str">
        <f>IFERROR(__xludf.DUMMYFUNCTION("""COMPUTED_VALUE"""),"EditQuickPreference")</f>
        <v>EditQuickPreference</v>
      </c>
      <c r="C932" s="0" t="str">
        <f>IFERROR(__xludf.DUMMYFUNCTION("""COMPUTED_VALUE"""),"133vNW3loXmIKhcuaiCwGIGXOULCttZuJZtPfA4s37vw")</f>
        <v>133vNW3loXmIKhcuaiCwGIGXOULCttZuJZtPfA4s37vw</v>
      </c>
    </row>
    <row r="933" ht="15.75" customHeight="1">
      <c r="A933" s="0" t="str">
        <f>IFERROR(__xludf.DUMMYFUNCTION("""COMPUTED_VALUE"""),"Blotter")</f>
        <v>Blotter</v>
      </c>
      <c r="B933" s="0" t="str">
        <f>IFERROR(__xludf.DUMMYFUNCTION("""COMPUTED_VALUE"""),"RightClickActionVerification")</f>
        <v>RightClickActionVerification</v>
      </c>
      <c r="C933" s="0" t="str">
        <f>IFERROR(__xludf.DUMMYFUNCTION("""COMPUTED_VALUE"""),"11EX1Ln-BQAtx9NTd9zfcaia52FGNdZENDW2kwMCJ8HQ")</f>
        <v>11EX1Ln-BQAtx9NTd9zfcaia52FGNdZENDW2kwMCJ8HQ</v>
      </c>
    </row>
    <row r="934" ht="15.75" customHeight="1">
      <c r="A934" s="0" t="str">
        <f>IFERROR(__xludf.DUMMYFUNCTION("""COMPUTED_VALUE"""),"SymbolLookup")</f>
        <v>SymbolLookup</v>
      </c>
      <c r="B934" s="0" t="str">
        <f>IFERROR(__xludf.DUMMYFUNCTION("""COMPUTED_VALUE"""),"PageOneDetails")</f>
        <v>PageOneDetails</v>
      </c>
      <c r="C934" s="0" t="str">
        <f>IFERROR(__xludf.DUMMYFUNCTION("""COMPUTED_VALUE"""),"11EX1Ln-BQAtx9NTd9zfcaia52FGNdZENDW2kwMCJ8HQ")</f>
        <v>11EX1Ln-BQAtx9NTd9zfcaia52FGNdZENDW2kwMCJ8HQ</v>
      </c>
    </row>
    <row r="935" ht="15.75" customHeight="1">
      <c r="A935" s="0" t="str">
        <f>IFERROR(__xludf.DUMMYFUNCTION("""COMPUTED_VALUE"""),"SymbolLookup")</f>
        <v>SymbolLookup</v>
      </c>
      <c r="B935" s="0" t="str">
        <f>IFERROR(__xludf.DUMMYFUNCTION("""COMPUTED_VALUE"""),"ActionOnSI")</f>
        <v>ActionOnSI</v>
      </c>
      <c r="C935" s="0" t="str">
        <f>IFERROR(__xludf.DUMMYFUNCTION("""COMPUTED_VALUE"""),"11EX1Ln-BQAtx9NTd9zfcaia52FGNdZENDW2kwMCJ8HQ")</f>
        <v>11EX1Ln-BQAtx9NTd9zfcaia52FGNdZENDW2kwMCJ8HQ</v>
      </c>
    </row>
    <row r="936" ht="15.75" customHeight="1">
      <c r="A936" s="0" t="str">
        <f>IFERROR(__xludf.DUMMYFUNCTION("""COMPUTED_VALUE"""),"SymbolLookup")</f>
        <v>SymbolLookup</v>
      </c>
      <c r="B936" s="0" t="str">
        <f>IFERROR(__xludf.DUMMYFUNCTION("""COMPUTED_VALUE"""),"PageTwoDetails")</f>
        <v>PageTwoDetails</v>
      </c>
      <c r="C936" s="0" t="str">
        <f>IFERROR(__xludf.DUMMYFUNCTION("""COMPUTED_VALUE"""),"11EX1Ln-BQAtx9NTd9zfcaia52FGNdZENDW2kwMCJ8HQ")</f>
        <v>11EX1Ln-BQAtx9NTd9zfcaia52FGNdZENDW2kwMCJ8HQ</v>
      </c>
    </row>
    <row r="937" ht="15.75" customHeight="1">
      <c r="A937" s="0" t="str">
        <f>IFERROR(__xludf.DUMMYFUNCTION("""COMPUTED_VALUE"""),"SymbolLookup")</f>
        <v>SymbolLookup</v>
      </c>
      <c r="B937" s="0" t="str">
        <f>IFERROR(__xludf.DUMMYFUNCTION("""COMPUTED_VALUE"""),"ActiononSMPane")</f>
        <v>ActiononSMPane</v>
      </c>
      <c r="C937" s="0" t="str">
        <f>IFERROR(__xludf.DUMMYFUNCTION("""COMPUTED_VALUE"""),"11EX1Ln-BQAtx9NTd9zfcaia52FGNdZENDW2kwMCJ8HQ")</f>
        <v>11EX1Ln-BQAtx9NTd9zfcaia52FGNdZENDW2kwMCJ8HQ</v>
      </c>
    </row>
    <row r="938" ht="15.75" customHeight="1">
      <c r="A938" s="0" t="str">
        <f>IFERROR(__xludf.DUMMYFUNCTION("""COMPUTED_VALUE"""),"SymbolLookup")</f>
        <v>SymbolLookup</v>
      </c>
      <c r="B938" s="0" t="str">
        <f>IFERROR(__xludf.DUMMYFUNCTION("""COMPUTED_VALUE"""),"PageThreeDetails")</f>
        <v>PageThreeDetails</v>
      </c>
      <c r="C938" s="0" t="str">
        <f>IFERROR(__xludf.DUMMYFUNCTION("""COMPUTED_VALUE"""),"11EX1Ln-BQAtx9NTd9zfcaia52FGNdZENDW2kwMCJ8HQ")</f>
        <v>11EX1Ln-BQAtx9NTd9zfcaia52FGNdZENDW2kwMCJ8HQ</v>
      </c>
    </row>
    <row r="939" ht="15.75" customHeight="1">
      <c r="A939" s="0" t="str">
        <f>IFERROR(__xludf.DUMMYFUNCTION("""COMPUTED_VALUE"""),"SymbolLookup")</f>
        <v>SymbolLookup</v>
      </c>
      <c r="B939" s="0" t="str">
        <f>IFERROR(__xludf.DUMMYFUNCTION("""COMPUTED_VALUE"""),"VerifySMGrid")</f>
        <v>VerifySMGrid</v>
      </c>
      <c r="C939" s="0" t="str">
        <f>IFERROR(__xludf.DUMMYFUNCTION("""COMPUTED_VALUE"""),"11EX1Ln-BQAtx9NTd9zfcaia52FGNdZENDW2kwMCJ8HQ")</f>
        <v>11EX1Ln-BQAtx9NTd9zfcaia52FGNdZENDW2kwMCJ8HQ</v>
      </c>
    </row>
    <row r="940" ht="15.75" customHeight="1">
      <c r="A940" s="0" t="str">
        <f>IFERROR(__xludf.DUMMYFUNCTION("""COMPUTED_VALUE"""),"SymbolLookup")</f>
        <v>SymbolLookup</v>
      </c>
      <c r="B940" s="0" t="str">
        <f>IFERROR(__xludf.DUMMYFUNCTION("""COMPUTED_VALUE"""),"PageFourDetails")</f>
        <v>PageFourDetails</v>
      </c>
      <c r="C940" s="0" t="str">
        <f>IFERROR(__xludf.DUMMYFUNCTION("""COMPUTED_VALUE"""),"11EX1Ln-BQAtx9NTd9zfcaia52FGNdZENDW2kwMCJ8HQ")</f>
        <v>11EX1Ln-BQAtx9NTd9zfcaia52FGNdZENDW2kwMCJ8HQ</v>
      </c>
    </row>
    <row r="941" ht="15.75" customHeight="1">
      <c r="A941" s="0" t="str">
        <f>IFERROR(__xludf.DUMMYFUNCTION("""COMPUTED_VALUE"""),"Admin")</f>
        <v>Admin</v>
      </c>
      <c r="B941" s="0" t="str">
        <f>IFERROR(__xludf.DUMMYFUNCTION("""COMPUTED_VALUE"""),"ChangeDate")</f>
        <v>ChangeDate</v>
      </c>
      <c r="C941" s="0" t="str">
        <f>IFERROR(__xludf.DUMMYFUNCTION("""COMPUTED_VALUE"""),"1P5fd0ftHTs8WR6XF70cltzN5BPur7V01OcYEMpPEMVE")</f>
        <v>1P5fd0ftHTs8WR6XF70cltzN5BPur7V01OcYEMpPEMVE</v>
      </c>
    </row>
    <row r="942" ht="15.75" customHeight="1">
      <c r="A942" s="0" t="str">
        <f>IFERROR(__xludf.DUMMYFUNCTION("""COMPUTED_VALUE"""),"Simulator")</f>
        <v>Simulator</v>
      </c>
      <c r="B942" s="0" t="str">
        <f>IFERROR(__xludf.DUMMYFUNCTION("""COMPUTED_VALUE"""),"NewAcknowledgeTrade")</f>
        <v>NewAcknowledgeTrade</v>
      </c>
      <c r="C942" s="0" t="str">
        <f>IFERROR(__xludf.DUMMYFUNCTION("""COMPUTED_VALUE"""),"1H8R-FdslnMhiBZjAanQN5V9z26E47VjoaeJWQdGZ2pU")</f>
        <v>1H8R-FdslnMhiBZjAanQN5V9z26E47VjoaeJWQdGZ2pU</v>
      </c>
    </row>
    <row r="943" ht="15.75" customHeight="1">
      <c r="A943" s="0" t="str">
        <f>IFERROR(__xludf.DUMMYFUNCTION("""COMPUTED_VALUE"""),"Allocation")</f>
        <v>Allocation</v>
      </c>
      <c r="B943" s="0" t="str">
        <f>IFERROR(__xludf.DUMMYFUNCTION("""COMPUTED_VALUE"""),"ActionOnToolBar")</f>
        <v>ActionOnToolBar</v>
      </c>
      <c r="C943" s="0" t="str">
        <f>IFERROR(__xludf.DUMMYFUNCTION("""COMPUTED_VALUE"""),"11EX1Ln-BQAtx9NTd9zfcaia52FGNdZENDW2kwMCJ8HQ")</f>
        <v>11EX1Ln-BQAtx9NTd9zfcaia52FGNdZENDW2kwMCJ8HQ</v>
      </c>
    </row>
    <row r="944" ht="15.75" customHeight="1">
      <c r="A944" s="0" t="str">
        <f>IFERROR(__xludf.DUMMYFUNCTION("""COMPUTED_VALUE"""),"Allocation")</f>
        <v>Allocation</v>
      </c>
      <c r="B944" s="0" t="str">
        <f>IFERROR(__xludf.DUMMYFUNCTION("""COMPUTED_VALUE"""),"AutoGrpRules")</f>
        <v>AutoGrpRules</v>
      </c>
      <c r="C944" s="0" t="str">
        <f>IFERROR(__xludf.DUMMYFUNCTION("""COMPUTED_VALUE"""),"11EX1Ln-BQAtx9NTd9zfcaia52FGNdZENDW2kwMCJ8HQ")</f>
        <v>11EX1Ln-BQAtx9NTd9zfcaia52FGNdZENDW2kwMCJ8HQ</v>
      </c>
    </row>
    <row r="945" ht="15.75" customHeight="1">
      <c r="A945" s="0" t="str">
        <f>IFERROR(__xludf.DUMMYFUNCTION("""COMPUTED_VALUE"""),"Allocation")</f>
        <v>Allocation</v>
      </c>
      <c r="B945" s="0" t="str">
        <f>IFERROR(__xludf.DUMMYFUNCTION("""COMPUTED_VALUE"""),"VerifyToggleStateTA")</f>
        <v>VerifyToggleStateTA</v>
      </c>
      <c r="C945" s="0" t="str">
        <f>IFERROR(__xludf.DUMMYFUNCTION("""COMPUTED_VALUE"""),"11EX1Ln-BQAtx9NTd9zfcaia52FGNdZENDW2kwMCJ8HQ")</f>
        <v>11EX1Ln-BQAtx9NTd9zfcaia52FGNdZENDW2kwMCJ8HQ</v>
      </c>
    </row>
    <row r="946" ht="15.75" customHeight="1">
      <c r="A946" s="0" t="str">
        <f>IFERROR(__xludf.DUMMYFUNCTION("""COMPUTED_VALUE"""),"Expnl")</f>
        <v>Expnl</v>
      </c>
      <c r="B946" s="0" t="str">
        <f>IFERROR(__xludf.DUMMYFUNCTION("""COMPUTED_VALUE"""),"RefreshExpnlUi")</f>
        <v>RefreshExpnlUi</v>
      </c>
      <c r="C946" s="0" t="str">
        <f>IFERROR(__xludf.DUMMYFUNCTION("""COMPUTED_VALUE"""),"Undefined")</f>
        <v>Undefined</v>
      </c>
    </row>
    <row r="947" ht="15.75" customHeight="1">
      <c r="A947" s="0" t="str">
        <f>IFERROR(__xludf.DUMMYFUNCTION("""COMPUTED_VALUE"""),"Allocation")</f>
        <v>Allocation</v>
      </c>
      <c r="B947" s="0" t="str">
        <f>IFERROR(__xludf.DUMMYFUNCTION("""COMPUTED_VALUE"""),"ActiononAGP")</f>
        <v>ActiononAGP</v>
      </c>
      <c r="C947" s="0" t="str">
        <f>IFERROR(__xludf.DUMMYFUNCTION("""COMPUTED_VALUE"""),"11EX1Ln-BQAtx9NTd9zfcaia52FGNdZENDW2kwMCJ8HQ")</f>
        <v>11EX1Ln-BQAtx9NTd9zfcaia52FGNdZENDW2kwMCJ8HQ</v>
      </c>
    </row>
    <row r="948" ht="15.75" customHeight="1">
      <c r="A948" s="0" t="str">
        <f>IFERROR(__xludf.DUMMYFUNCTION("""COMPUTED_VALUE"""),"Allocation")</f>
        <v>Allocation</v>
      </c>
      <c r="B948" s="0" t="str">
        <f>IFERROR(__xludf.DUMMYFUNCTION("""COMPUTED_VALUE"""),"AttBulkChng")</f>
        <v>AttBulkChng</v>
      </c>
      <c r="C948" s="0" t="str">
        <f>IFERROR(__xludf.DUMMYFUNCTION("""COMPUTED_VALUE"""),"11EX1Ln-BQAtx9NTd9zfcaia52FGNdZENDW2kwMCJ8HQ")</f>
        <v>11EX1Ln-BQAtx9NTd9zfcaia52FGNdZENDW2kwMCJ8HQ</v>
      </c>
    </row>
    <row r="949" ht="15.75" customHeight="1">
      <c r="A949" s="0" t="str">
        <f>IFERROR(__xludf.DUMMYFUNCTION("""COMPUTED_VALUE"""),"Allocation")</f>
        <v>Allocation</v>
      </c>
      <c r="B949" s="0" t="str">
        <f>IFERROR(__xludf.DUMMYFUNCTION("""COMPUTED_VALUE"""),"AttBulkChngTwo")</f>
        <v>AttBulkChngTwo</v>
      </c>
      <c r="C949" s="0" t="str">
        <f>IFERROR(__xludf.DUMMYFUNCTION("""COMPUTED_VALUE"""),"11EX1Ln-BQAtx9NTd9zfcaia52FGNdZENDW2kwMCJ8HQ")</f>
        <v>11EX1Ln-BQAtx9NTd9zfcaia52FGNdZENDW2kwMCJ8HQ</v>
      </c>
    </row>
    <row r="950" ht="15.75" customHeight="1">
      <c r="A950" s="0" t="str">
        <f>IFERROR(__xludf.DUMMYFUNCTION("""COMPUTED_VALUE"""),"Login")</f>
        <v>Login</v>
      </c>
      <c r="B950" s="0" t="str">
        <f>IFERROR(__xludf.DUMMYFUNCTION("""COMPUTED_VALUE"""),"Login")</f>
        <v>Login</v>
      </c>
      <c r="C950" s="0" t="str">
        <f>IFERROR(__xludf.DUMMYFUNCTION("""COMPUTED_VALUE"""),"1uy63r2XjpUIBlAUk-lXKJTr-PpvpP6wxvLlLDzoM-Ic")</f>
        <v>1uy63r2XjpUIBlAUk-lXKJTr-PpvpP6wxvLlLDzoM-Ic</v>
      </c>
    </row>
    <row r="951" ht="15.75" customHeight="1">
      <c r="A951" s="0" t="str">
        <f>IFERROR(__xludf.DUMMYFUNCTION("""COMPUTED_VALUE"""),"Simulator")</f>
        <v>Simulator</v>
      </c>
      <c r="B951" s="0" t="str">
        <f>IFERROR(__xludf.DUMMYFUNCTION("""COMPUTED_VALUE"""),"VerifyRowAllFixLogs")</f>
        <v>VerifyRowAllFixLogs</v>
      </c>
      <c r="C951" s="0" t="str">
        <f>IFERROR(__xludf.DUMMYFUNCTION("""COMPUTED_VALUE"""),"1_W_DB1rnbV-zXf1aqv8VkPNpTGPIckmD7s5z0ncm4ho")</f>
        <v>1_W_DB1rnbV-zXf1aqv8VkPNpTGPIckmD7s5z0ncm4ho</v>
      </c>
    </row>
    <row r="952" ht="15.75" customHeight="1">
      <c r="A952" s="0" t="str">
        <f>IFERROR(__xludf.DUMMYFUNCTION("""COMPUTED_VALUE"""),"Blotter")</f>
        <v>Blotter</v>
      </c>
      <c r="B952" s="0" t="str">
        <f>IFERROR(__xludf.DUMMYFUNCTION("""COMPUTED_VALUE"""),"ManageHotButton")</f>
        <v>ManageHotButton</v>
      </c>
      <c r="C952" s="0" t="str">
        <f>IFERROR(__xludf.DUMMYFUNCTION("""COMPUTED_VALUE"""),"1kQpkPRi_1u4R3VazjhiilbOI8OkiiHRY2wfgByau1YY")</f>
        <v>1kQpkPRi_1u4R3VazjhiilbOI8OkiiHRY2wfgByau1YY</v>
      </c>
    </row>
    <row r="953" ht="15.75" customHeight="1">
      <c r="A953" s="0" t="str">
        <f>IFERROR(__xludf.DUMMYFUNCTION("""COMPUTED_VALUE"""),"Simulator")</f>
        <v>Simulator</v>
      </c>
      <c r="B953" s="0" t="str">
        <f>IFERROR(__xludf.DUMMYFUNCTION("""COMPUTED_VALUE"""),"ClearAllFixLogs")</f>
        <v>ClearAllFixLogs</v>
      </c>
    </row>
    <row r="954" ht="15.75" customHeight="1">
      <c r="A954" s="0" t="str">
        <f>IFERROR(__xludf.DUMMYFUNCTION("""COMPUTED_VALUE"""),"PranaClient")</f>
        <v>PranaClient</v>
      </c>
      <c r="B954" s="0" t="str">
        <f>IFERROR(__xludf.DUMMYFUNCTION("""COMPUTED_VALUE"""),"UpdateLiveExcelSheetForRTPNL")</f>
        <v>UpdateLiveExcelSheetForRTPNL</v>
      </c>
    </row>
    <row r="955" ht="15.75" customHeight="1">
      <c r="A955" s="0" t="str">
        <f>IFERROR(__xludf.DUMMYFUNCTION("""COMPUTED_VALUE"""),"OpenFin")</f>
        <v>OpenFin</v>
      </c>
      <c r="B955" s="0" t="str">
        <f>IFERROR(__xludf.DUMMYFUNCTION("""COMPUTED_VALUE"""),"SavePageRTPNL")</f>
        <v>SavePageRTPNL</v>
      </c>
      <c r="C955" s="0" t="str">
        <f>IFERROR(__xludf.DUMMYFUNCTION("""COMPUTED_VALUE"""),"1YqhSG4yXo70SfhUq3fYD9CKf-eg44IFJ37IZh4WLI84")</f>
        <v>1YqhSG4yXo70SfhUq3fYD9CKf-eg44IFJ37IZh4WLI84</v>
      </c>
    </row>
    <row r="956" ht="15.75" customHeight="1">
      <c r="A956" s="0" t="str">
        <f>IFERROR(__xludf.DUMMYFUNCTION("""COMPUTED_VALUE"""),"RTPNL")</f>
        <v>RTPNL</v>
      </c>
      <c r="B956" s="0" t="str">
        <f>IFERROR(__xludf.DUMMYFUNCTION("""COMPUTED_VALUE"""),"VerifyGridThroughLiveExcel")</f>
        <v>VerifyGridThroughLiveExcel</v>
      </c>
      <c r="C956" s="0" t="str">
        <f>IFERROR(__xludf.DUMMYFUNCTION("""COMPUTED_VALUE"""),"1cCUw9lchUCKgHeNcwCDXybCOZXIeN4O0zRhkTZCVDUg")</f>
        <v>1cCUw9lchUCKgHeNcwCDXybCOZXIeN4O0zRhkTZCVDUg</v>
      </c>
    </row>
    <row r="957" ht="15.75" customHeight="1">
      <c r="A957" s="0" t="str">
        <f>IFERROR(__xludf.DUMMYFUNCTION("""COMPUTED_VALUE"""),"OpenFin")</f>
        <v>OpenFin</v>
      </c>
      <c r="B957" s="0" t="str">
        <f>IFERROR(__xludf.DUMMYFUNCTION("""COMPUTED_VALUE"""),"VerifyToastMessage")</f>
        <v>VerifyToastMessage</v>
      </c>
      <c r="C957" s="0" t="str">
        <f>IFERROR(__xludf.DUMMYFUNCTION("""COMPUTED_VALUE"""),"1DYn70fZ-UJ9bocMMWUWIW2IVfXlF5TRVuLedi7Y_LNk")</f>
        <v>1DYn70fZ-UJ9bocMMWUWIW2IVfXlF5TRVuLedi7Y_LNk</v>
      </c>
    </row>
    <row r="958" ht="15.75" customHeight="1">
      <c r="A958" s="0" t="str">
        <f>IFERROR(__xludf.DUMMYFUNCTION("""COMPUTED_VALUE"""),"NavLock")</f>
        <v>NavLock</v>
      </c>
      <c r="B958" s="0" t="str">
        <f>IFERROR(__xludf.DUMMYFUNCTION("""COMPUTED_VALUE"""),"VerifyNavLockGrid")</f>
        <v>VerifyNavLockGrid</v>
      </c>
      <c r="C958" s="0" t="str">
        <f>IFERROR(__xludf.DUMMYFUNCTION("""COMPUTED_VALUE"""),"11EX1Ln-BQAtx9NTd9zfcaia52FGNdZENDW2kwMCJ8HQ")</f>
        <v>11EX1Ln-BQAtx9NTd9zfcaia52FGNdZENDW2kwMCJ8HQ</v>
      </c>
    </row>
    <row r="959" ht="15.75" customHeight="1">
      <c r="A959" s="0" t="str">
        <f>IFERROR(__xludf.DUMMYFUNCTION("""COMPUTED_VALUE"""),"RTPNL")</f>
        <v>RTPNL</v>
      </c>
      <c r="B959" s="0" t="str">
        <f>IFERROR(__xludf.DUMMYFUNCTION("""COMPUTED_VALUE"""),"ApplyColumnFilter")</f>
        <v>ApplyColumnFilter</v>
      </c>
      <c r="C959" s="0" t="str">
        <f>IFERROR(__xludf.DUMMYFUNCTION("""COMPUTED_VALUE"""),"1N9Nn6t5kuoUpj5sQRZwukYuXz8skh2F7E53j1Um1W1A")</f>
        <v>1N9Nn6t5kuoUpj5sQRZwukYuXz8skh2F7E53j1Um1W1A</v>
      </c>
    </row>
    <row r="960" ht="15.75" customHeight="1">
      <c r="A960" s="0" t="str">
        <f>IFERROR(__xludf.DUMMYFUNCTION("""COMPUTED_VALUE"""),"Closing")</f>
        <v>Closing</v>
      </c>
      <c r="B960" s="0" t="str">
        <f>IFERROR(__xludf.DUMMYFUNCTION("""COMPUTED_VALUE"""),"GetClosingData")</f>
        <v>GetClosingData</v>
      </c>
      <c r="C960" s="0" t="str">
        <f>IFERROR(__xludf.DUMMYFUNCTION("""COMPUTED_VALUE"""),"11EX1Ln-BQAtx9NTd9zfcaia52FGNdZENDW2kwMCJ9HQ")</f>
        <v>11EX1Ln-BQAtx9NTd9zfcaia52FGNdZENDW2kwMCJ9HQ</v>
      </c>
    </row>
    <row r="961" ht="15.75" customHeight="1">
      <c r="A961" s="0" t="str">
        <f>IFERROR(__xludf.DUMMYFUNCTION("""COMPUTED_VALUE"""),"Closing")</f>
        <v>Closing</v>
      </c>
      <c r="B961" s="0" t="str">
        <f>IFERROR(__xludf.DUMMYFUNCTION("""COMPUTED_VALUE"""),"CloseAmendOprtn")</f>
        <v>CloseAmendOprtn</v>
      </c>
      <c r="C961" s="0" t="str">
        <f>IFERROR(__xludf.DUMMYFUNCTION("""COMPUTED_VALUE"""),"11EX1Ln-BQAtx9NTd9zfcaia52FGNdZENDW2kwMCJ10HQ")</f>
        <v>11EX1Ln-BQAtx9NTd9zfcaia52FGNdZENDW2kwMCJ10HQ</v>
      </c>
    </row>
    <row r="962" ht="15.75" customHeight="1">
      <c r="A962" s="0" t="str">
        <f>IFERROR(__xludf.DUMMYFUNCTION("""COMPUTED_VALUE"""),"Closing")</f>
        <v>Closing</v>
      </c>
      <c r="B962" s="0" t="str">
        <f>IFERROR(__xludf.DUMMYFUNCTION("""COMPUTED_VALUE"""),"ExpSettlOprtn")</f>
        <v>ExpSettlOprtn</v>
      </c>
      <c r="C962" s="0" t="str">
        <f>IFERROR(__xludf.DUMMYFUNCTION("""COMPUTED_VALUE"""),"11EX1Ln-BQAtx9NTd9zfcaia52FGNdZENDW2kwMCJ11HQ")</f>
        <v>11EX1Ln-BQAtx9NTd9zfcaia52FGNdZENDW2kwMCJ11HQ</v>
      </c>
    </row>
    <row r="963" ht="15.75" customHeight="1">
      <c r="A963" s="0" t="str">
        <f>IFERROR(__xludf.DUMMYFUNCTION("""COMPUTED_VALUE"""),"Closing")</f>
        <v>Closing</v>
      </c>
      <c r="B963" s="0" t="str">
        <f>IFERROR(__xludf.DUMMYFUNCTION("""COMPUTED_VALUE"""),"CloseOrderOprtn")</f>
        <v>CloseOrderOprtn</v>
      </c>
      <c r="C963" s="0" t="str">
        <f>IFERROR(__xludf.DUMMYFUNCTION("""COMPUTED_VALUE"""),"11EX1Ln-BQAtx9NTd9zfcaia52FGNdZENDW2kwMCJ12HQ")</f>
        <v>11EX1Ln-BQAtx9NTd9zfcaia52FGNdZENDW2kwMCJ12HQ</v>
      </c>
    </row>
    <row r="964" ht="15.75" customHeight="1">
      <c r="A964" s="0" t="str">
        <f>IFERROR(__xludf.DUMMYFUNCTION("""COMPUTED_VALUE"""),"Closing")</f>
        <v>Closing</v>
      </c>
      <c r="B964" s="0" t="str">
        <f>IFERROR(__xludf.DUMMYFUNCTION("""COMPUTED_VALUE"""),"SelectgrdCloseTrades")</f>
        <v>SelectgrdCloseTrades</v>
      </c>
      <c r="C964" s="0" t="str">
        <f>IFERROR(__xludf.DUMMYFUNCTION("""COMPUTED_VALUE"""),"11EX1Ln-BQAtx9NTd9zfcaia52FGNdZENDW2kwMCJ13HQ")</f>
        <v>11EX1Ln-BQAtx9NTd9zfcaia52FGNdZENDW2kwMCJ13HQ</v>
      </c>
    </row>
    <row r="965" ht="15.75" customHeight="1">
      <c r="A965" s="0" t="str">
        <f>IFERROR(__xludf.DUMMYFUNCTION("""COMPUTED_VALUE"""),"Closing")</f>
        <v>Closing</v>
      </c>
      <c r="B965" s="0" t="str">
        <f>IFERROR(__xludf.DUMMYFUNCTION("""COMPUTED_VALUE"""),"SelectgrdLongTrades")</f>
        <v>SelectgrdLongTrades</v>
      </c>
      <c r="C965" s="0" t="str">
        <f>IFERROR(__xludf.DUMMYFUNCTION("""COMPUTED_VALUE"""),"11EX1Ln-BQAtx9NTd9zfcaia52FGNdZENDW2kwMCJ14HQ")</f>
        <v>11EX1Ln-BQAtx9NTd9zfcaia52FGNdZENDW2kwMCJ14HQ</v>
      </c>
    </row>
    <row r="966" ht="15.75" customHeight="1">
      <c r="A966" s="0" t="str">
        <f>IFERROR(__xludf.DUMMYFUNCTION("""COMPUTED_VALUE"""),"Closing")</f>
        <v>Closing</v>
      </c>
      <c r="B966" s="0" t="str">
        <f>IFERROR(__xludf.DUMMYFUNCTION("""COMPUTED_VALUE"""),"SelectgrdShortTrades")</f>
        <v>SelectgrdShortTrades</v>
      </c>
      <c r="C966" s="0" t="str">
        <f>IFERROR(__xludf.DUMMYFUNCTION("""COMPUTED_VALUE"""),"11EX1Ln-BQAtx9NTd9zfcaia52FGNdZENDW2kwMCJ15HQ")</f>
        <v>11EX1Ln-BQAtx9NTd9zfcaia52FGNdZENDW2kwMCJ15HQ</v>
      </c>
    </row>
    <row r="967" ht="15.75" customHeight="1">
      <c r="A967" s="0" t="str">
        <f>IFERROR(__xludf.DUMMYFUNCTION("""COMPUTED_VALUE"""),"Closing")</f>
        <v>Closing</v>
      </c>
      <c r="B967" s="0" t="str">
        <f>IFERROR(__xludf.DUMMYFUNCTION("""COMPUTED_VALUE"""),"SelectgrdNetPositionTrades")</f>
        <v>SelectgrdNetPositionTrades</v>
      </c>
      <c r="C967" s="0" t="str">
        <f>IFERROR(__xludf.DUMMYFUNCTION("""COMPUTED_VALUE"""),"11EX1Ln-BQAtx9NTd9zfcaia52FGNdZENDW2kwMCJ16HQ")</f>
        <v>11EX1Ln-BQAtx9NTd9zfcaia52FGNdZENDW2kwMCJ16HQ</v>
      </c>
    </row>
    <row r="968" ht="15.75" customHeight="1">
      <c r="A968" s="0" t="str">
        <f>IFERROR(__xludf.DUMMYFUNCTION("""COMPUTED_VALUE"""),"Closing")</f>
        <v>Closing</v>
      </c>
      <c r="B968" s="0" t="str">
        <f>IFERROR(__xludf.DUMMYFUNCTION("""COMPUTED_VALUE"""),"SelectgrdUnexpiredTrades")</f>
        <v>SelectgrdUnexpiredTrades</v>
      </c>
      <c r="C968" s="0" t="str">
        <f>IFERROR(__xludf.DUMMYFUNCTION("""COMPUTED_VALUE"""),"11EX1Ln-BQAtx9NTd9zfcaia52FGNdZENDW2kwMCJ17HQ")</f>
        <v>11EX1Ln-BQAtx9NTd9zfcaia52FGNdZENDW2kwMCJ17HQ</v>
      </c>
    </row>
    <row r="969" ht="15.75" customHeight="1">
      <c r="A969" s="0" t="str">
        <f>IFERROR(__xludf.DUMMYFUNCTION("""COMPUTED_VALUE"""),"Closing")</f>
        <v>Closing</v>
      </c>
      <c r="B969" s="0" t="str">
        <f>IFERROR(__xludf.DUMMYFUNCTION("""COMPUTED_VALUE"""),"SelectgrdCPTrades")</f>
        <v>SelectgrdCPTrades</v>
      </c>
      <c r="C969" s="0" t="str">
        <f>IFERROR(__xludf.DUMMYFUNCTION("""COMPUTED_VALUE"""),"11EX1Ln-BQAtx9NTd9zfcaia52FGNdZENDW2kwMCJ18HQ")</f>
        <v>11EX1Ln-BQAtx9NTd9zfcaia52FGNdZENDW2kwMCJ18HQ</v>
      </c>
    </row>
    <row r="970" ht="15.75" customHeight="1">
      <c r="A970" s="0" t="str">
        <f>IFERROR(__xludf.DUMMYFUNCTION("""COMPUTED_VALUE"""),"Closing")</f>
        <v>Closing</v>
      </c>
      <c r="B970" s="0" t="str">
        <f>IFERROR(__xludf.DUMMYFUNCTION("""COMPUTED_VALUE"""),"SelectgrdExpiredTrades")</f>
        <v>SelectgrdExpiredTrades</v>
      </c>
      <c r="C970" s="0" t="str">
        <f>IFERROR(__xludf.DUMMYFUNCTION("""COMPUTED_VALUE"""),"11EX1Ln-BQAtx9NTd9zfcaia52FGNdZENDW2kwMCJ19HQ")</f>
        <v>11EX1Ln-BQAtx9NTd9zfcaia52FGNdZENDW2kwMCJ19HQ</v>
      </c>
    </row>
    <row r="971" ht="15.75" customHeight="1">
      <c r="A971" s="0" t="str">
        <f>IFERROR(__xludf.DUMMYFUNCTION("""COMPUTED_VALUE"""),"Closing")</f>
        <v>Closing</v>
      </c>
      <c r="B971" s="0" t="str">
        <f>IFERROR(__xludf.DUMMYFUNCTION("""COMPUTED_VALUE"""),"SelectgrdOpenTrades")</f>
        <v>SelectgrdOpenTrades</v>
      </c>
      <c r="C971" s="0" t="str">
        <f>IFERROR(__xludf.DUMMYFUNCTION("""COMPUTED_VALUE"""),"11EX1Ln-BQAtx9NTd9zfcaia52FGNdZENDW2kwMCJ20HQ")</f>
        <v>11EX1Ln-BQAtx9NTd9zfcaia52FGNdZENDW2kwMCJ20HQ</v>
      </c>
    </row>
    <row r="972" ht="15.75" customHeight="1">
      <c r="A972" s="0" t="str">
        <f>IFERROR(__xludf.DUMMYFUNCTION("""COMPUTED_VALUE"""),"Closing")</f>
        <v>Closing</v>
      </c>
      <c r="B972" s="0" t="str">
        <f>IFERROR(__xludf.DUMMYFUNCTION("""COMPUTED_VALUE"""),"GetClosingData")</f>
        <v>GetClosingData</v>
      </c>
      <c r="C972" s="0" t="str">
        <f>IFERROR(__xludf.DUMMYFUNCTION("""COMPUTED_VALUE"""),"11EX1Ln-BQAtx9NTd9zfcaia52FGNdZENDW2kwMCJ20HQ")</f>
        <v>11EX1Ln-BQAtx9NTd9zfcaia52FGNdZENDW2kwMCJ20HQ</v>
      </c>
    </row>
    <row r="973" ht="15.75" customHeight="1">
      <c r="A973" s="0" t="str">
        <f>IFERROR(__xludf.DUMMYFUNCTION("""COMPUTED_VALUE"""),"Closing")</f>
        <v>Closing</v>
      </c>
      <c r="B973" s="0" t="str">
        <f>IFERROR(__xludf.DUMMYFUNCTION("""COMPUTED_VALUE"""),"WizardOptions")</f>
        <v>WizardOptions</v>
      </c>
      <c r="C973" s="0" t="str">
        <f>IFERROR(__xludf.DUMMYFUNCTION("""COMPUTED_VALUE"""),"11EX1Ln-BQAtx9NTd9zfcaia52FGNdZENDW2kwMCJ21HQ")</f>
        <v>11EX1Ln-BQAtx9NTd9zfcaia52FGNdZENDW2kwMCJ21HQ</v>
      </c>
    </row>
    <row r="974" ht="15.75" customHeight="1">
      <c r="A974" s="0" t="str">
        <f>IFERROR(__xludf.DUMMYFUNCTION("""COMPUTED_VALUE"""),"Closing")</f>
        <v>Closing</v>
      </c>
      <c r="B974" s="0" t="str">
        <f>IFERROR(__xludf.DUMMYFUNCTION("""COMPUTED_VALUE"""),"ActionOnClosingWiz")</f>
        <v>ActionOnClosingWiz</v>
      </c>
      <c r="C974" s="0" t="str">
        <f>IFERROR(__xludf.DUMMYFUNCTION("""COMPUTED_VALUE"""),"11EX1Ln-BQAtx9NTd9zfcaia52FGNdZENDW2kwMCJ21HQ")</f>
        <v>11EX1Ln-BQAtx9NTd9zfcaia52FGNdZENDW2kwMCJ21HQ</v>
      </c>
    </row>
    <row r="975" ht="15.75" customHeight="1">
      <c r="A975" s="0" t="str">
        <f>IFERROR(__xludf.DUMMYFUNCTION("""COMPUTED_VALUE"""),"Allocation")</f>
        <v>Allocation</v>
      </c>
      <c r="B975" s="0" t="str">
        <f>IFERROR(__xludf.DUMMYFUNCTION("""COMPUTED_VALUE"""),"VerifyAttRenaming")</f>
        <v>VerifyAttRenaming</v>
      </c>
      <c r="C975" s="0" t="str">
        <f>IFERROR(__xludf.DUMMYFUNCTION("""COMPUTED_VALUE"""),"11EX1Ln-BQAtx9NTd9zfcaia52FGNdZENDW2kwMCJ21HQ")</f>
        <v>11EX1Ln-BQAtx9NTd9zfcaia52FGNdZENDW2kwMCJ21HQ</v>
      </c>
    </row>
    <row r="976" ht="15.75" customHeight="1">
      <c r="A976" s="0" t="str">
        <f>IFERROR(__xludf.DUMMYFUNCTION("""COMPUTED_VALUE"""),"NavLock")</f>
        <v>NavLock</v>
      </c>
      <c r="B976" s="0" t="str">
        <f>IFERROR(__xludf.DUMMYFUNCTION("""COMPUTED_VALUE"""),"DeleteRowNavLock")</f>
        <v>DeleteRowNavLock</v>
      </c>
      <c r="C976" s="0" t="str">
        <f>IFERROR(__xludf.DUMMYFUNCTION("""COMPUTED_VALUE"""),"11EX1Ln-BQAtx9NTd9zfcaia52FGNdZENDW2kwMCJ21HQ")</f>
        <v>11EX1Ln-BQAtx9NTd9zfcaia52FGNdZENDW2kwMCJ21HQ</v>
      </c>
    </row>
    <row r="977" ht="15.75" customHeight="1">
      <c r="A977" s="0" t="str">
        <f>IFERROR(__xludf.DUMMYFUNCTION("""COMPUTED_VALUE"""),"Closing")</f>
        <v>Closing</v>
      </c>
      <c r="B977" s="0" t="str">
        <f>IFERROR(__xludf.DUMMYFUNCTION("""COMPUTED_VALUE"""),"VerifyLongPositionsGrid")</f>
        <v>VerifyLongPositionsGrid</v>
      </c>
      <c r="C977" s="0" t="str">
        <f>IFERROR(__xludf.DUMMYFUNCTION("""COMPUTED_VALUE"""),"11EX1Ln-BQAtx9NTd9zfcaia52FGNdZENDW2kwMCJ14HQ")</f>
        <v>11EX1Ln-BQAtx9NTd9zfcaia52FGNdZENDW2kwMCJ14HQ</v>
      </c>
    </row>
    <row r="978" ht="15.75" customHeight="1">
      <c r="A978" s="0" t="str">
        <f>IFERROR(__xludf.DUMMYFUNCTION("""COMPUTED_VALUE"""),"Closing")</f>
        <v>Closing</v>
      </c>
      <c r="B978" s="0" t="str">
        <f>IFERROR(__xludf.DUMMYFUNCTION("""COMPUTED_VALUE"""),"VerifyShortPositionsGrid")</f>
        <v>VerifyShortPositionsGrid</v>
      </c>
      <c r="C978" s="0" t="str">
        <f>IFERROR(__xludf.DUMMYFUNCTION("""COMPUTED_VALUE"""),"11EX1Ln-BQAtx9NTd9zfcaia52FGNdZENDW2kwMCJ15HQ")</f>
        <v>11EX1Ln-BQAtx9NTd9zfcaia52FGNdZENDW2kwMCJ15HQ</v>
      </c>
    </row>
    <row r="979" ht="15.75" customHeight="1">
      <c r="A979" s="0" t="str">
        <f>IFERROR(__xludf.DUMMYFUNCTION("""COMPUTED_VALUE"""),"Closing")</f>
        <v>Closing</v>
      </c>
      <c r="B979" s="0" t="str">
        <f>IFERROR(__xludf.DUMMYFUNCTION("""COMPUTED_VALUE"""),"VerifyClosedTrades")</f>
        <v>VerifyClosedTrades</v>
      </c>
      <c r="C979" s="0" t="str">
        <f>IFERROR(__xludf.DUMMYFUNCTION("""COMPUTED_VALUE"""),"11EX1Ln-BQAtx9NTd9zfcaia52FGNdZENDW2kwMCJ16HQ")</f>
        <v>11EX1Ln-BQAtx9NTd9zfcaia52FGNdZENDW2kwMCJ16HQ</v>
      </c>
    </row>
    <row r="980" ht="15.75" customHeight="1">
      <c r="A980" s="0" t="str">
        <f>IFERROR(__xludf.DUMMYFUNCTION("""COMPUTED_VALUE"""),"Closing")</f>
        <v>Closing</v>
      </c>
      <c r="B980" s="0" t="str">
        <f>IFERROR(__xludf.DUMMYFUNCTION("""COMPUTED_VALUE"""),"CloseAmendOprtn")</f>
        <v>CloseAmendOprtn</v>
      </c>
      <c r="C980" s="0" t="str">
        <f>IFERROR(__xludf.DUMMYFUNCTION("""COMPUTED_VALUE"""),"11EX1Ln-BQAtx9NTd9zfcaia52FGNdZENDW2kwMCJ17HQ")</f>
        <v>11EX1Ln-BQAtx9NTd9zfcaia52FGNdZENDW2kwMCJ17HQ</v>
      </c>
    </row>
    <row r="981" ht="15.75" customHeight="1">
      <c r="A981" s="0" t="str">
        <f>IFERROR(__xludf.DUMMYFUNCTION("""COMPUTED_VALUE"""),"Closing")</f>
        <v>Closing</v>
      </c>
      <c r="B981" s="0" t="str">
        <f>IFERROR(__xludf.DUMMYFUNCTION("""COMPUTED_VALUE"""),"ExpSettlOprtn")</f>
        <v>ExpSettlOprtn</v>
      </c>
      <c r="C981" s="0" t="str">
        <f>IFERROR(__xludf.DUMMYFUNCTION("""COMPUTED_VALUE"""),"11EX1Ln-BQAtx9NTd9zfcaia52FGNdZENDW2kwMCJ18HQ")</f>
        <v>11EX1Ln-BQAtx9NTd9zfcaia52FGNdZENDW2kwMCJ18HQ</v>
      </c>
    </row>
    <row r="982" ht="15.75" customHeight="1">
      <c r="A982" s="0" t="str">
        <f>IFERROR(__xludf.DUMMYFUNCTION("""COMPUTED_VALUE"""),"Closing")</f>
        <v>Closing</v>
      </c>
      <c r="B982" s="0" t="str">
        <f>IFERROR(__xludf.DUMMYFUNCTION("""COMPUTED_VALUE"""),"ActionOnExpGrid")</f>
        <v>ActionOnExpGrid</v>
      </c>
      <c r="C982" s="0" t="str">
        <f>IFERROR(__xludf.DUMMYFUNCTION("""COMPUTED_VALUE"""),"11EX1Ln-BQAtx9NTd9zfcaia52FGNdZENDW2kwMCJ19HQ")</f>
        <v>11EX1Ln-BQAtx9NTd9zfcaia52FGNdZENDW2kwMCJ19HQ</v>
      </c>
    </row>
    <row r="983" ht="15.75" customHeight="1">
      <c r="A983" s="0" t="str">
        <f>IFERROR(__xludf.DUMMYFUNCTION("""COMPUTED_VALUE"""),"Closing")</f>
        <v>Closing</v>
      </c>
      <c r="B983" s="0" t="str">
        <f>IFERROR(__xludf.DUMMYFUNCTION("""COMPUTED_VALUE"""),"ActiononIncorrectQty")</f>
        <v>ActiononIncorrectQty</v>
      </c>
      <c r="C983" s="0" t="str">
        <f>IFERROR(__xludf.DUMMYFUNCTION("""COMPUTED_VALUE"""),"11EX1Ln-BQAtx9NTd9zfcaia52FGNdZENDW2kwMCJ20HQ")</f>
        <v>11EX1Ln-BQAtx9NTd9zfcaia52FGNdZENDW2kwMCJ20HQ</v>
      </c>
    </row>
    <row r="984" ht="15.75" customHeight="1">
      <c r="A984" s="0" t="str">
        <f>IFERROR(__xludf.DUMMYFUNCTION("""COMPUTED_VALUE"""),"Closing")</f>
        <v>Closing</v>
      </c>
      <c r="B984" s="0" t="str">
        <f>IFERROR(__xludf.DUMMYFUNCTION("""COMPUTED_VALUE"""),"VerifyIncorrectQty")</f>
        <v>VerifyIncorrectQty</v>
      </c>
      <c r="C984" s="0" t="str">
        <f>IFERROR(__xludf.DUMMYFUNCTION("""COMPUTED_VALUE"""),"11EX1Ln-BQAtx9NTd9zfcaia52FGNdZENDW2kwMCJ21HQ")</f>
        <v>11EX1Ln-BQAtx9NTd9zfcaia52FGNdZENDW2kwMCJ21HQ</v>
      </c>
    </row>
    <row r="985" ht="15.75" customHeight="1">
      <c r="A985" s="0" t="str">
        <f>IFERROR(__xludf.DUMMYFUNCTION("""COMPUTED_VALUE"""),"Closing")</f>
        <v>Closing</v>
      </c>
      <c r="B985" s="0" t="str">
        <f>IFERROR(__xludf.DUMMYFUNCTION("""COMPUTED_VALUE"""),"VerifyOpenTrades")</f>
        <v>VerifyOpenTrades</v>
      </c>
      <c r="C985" s="0" t="str">
        <f>IFERROR(__xludf.DUMMYFUNCTION("""COMPUTED_VALUE"""),"11EX1Ln-BQAtx9NTd9zfcaia52FGNdZENDW2kwMCJ20HQ")</f>
        <v>11EX1Ln-BQAtx9NTd9zfcaia52FGNdZENDW2kwMCJ20HQ</v>
      </c>
    </row>
    <row r="986" ht="15.75" customHeight="1">
      <c r="A986" s="0" t="str">
        <f>IFERROR(__xludf.DUMMYFUNCTION("""COMPUTED_VALUE"""),"CreateTransaction")</f>
        <v>CreateTransaction</v>
      </c>
      <c r="B986" s="0" t="str">
        <f>IFERROR(__xludf.DUMMYFUNCTION("""COMPUTED_VALUE"""),"EditCTGrid")</f>
        <v>EditCTGrid</v>
      </c>
      <c r="C986" s="0" t="str">
        <f>IFERROR(__xludf.DUMMYFUNCTION("""COMPUTED_VALUE"""),"11EX1Ln-BQAtx9NTd9zfcaia52FGNdZENDW2kwMCJ20HQ")</f>
        <v>11EX1Ln-BQAtx9NTd9zfcaia52FGNdZENDW2kwMCJ20HQ</v>
      </c>
    </row>
    <row r="987" ht="15.75" customHeight="1">
      <c r="A987" s="0" t="str">
        <f>IFERROR(__xludf.DUMMYFUNCTION("""COMPUTED_VALUE"""),"CreateTransaction")</f>
        <v>CreateTransaction</v>
      </c>
      <c r="B987" s="0" t="str">
        <f>IFERROR(__xludf.DUMMYFUNCTION("""COMPUTED_VALUE"""),"ActionOnCT")</f>
        <v>ActionOnCT</v>
      </c>
      <c r="C987" s="0" t="str">
        <f>IFERROR(__xludf.DUMMYFUNCTION("""COMPUTED_VALUE"""),"11EX1Ln-BQAtx9NTd9zfcaia52FGNdZENDW2kwMCJ20HQ")</f>
        <v>11EX1Ln-BQAtx9NTd9zfcaia52FGNdZENDW2kwMCJ20HQ</v>
      </c>
    </row>
    <row r="988" ht="15.75" customHeight="1">
      <c r="A988" s="0" t="str">
        <f>IFERROR(__xludf.DUMMYFUNCTION("""COMPUTED_VALUE"""),"Unknown")</f>
        <v>Unknown</v>
      </c>
      <c r="B988" s="0" t="str">
        <f>IFERROR(__xludf.DUMMYFUNCTION("""COMPUTED_VALUE"""),"OpenColumnChooser")</f>
        <v>OpenColumnChooser</v>
      </c>
      <c r="C988" s="0" t="str">
        <f>IFERROR(__xludf.DUMMYFUNCTION("""COMPUTED_VALUE"""),"11EX1Ln-BQAtx9NTd9zfcaia52FGNdZENDW2kwMCJ20HQ")</f>
        <v>11EX1Ln-BQAtx9NTd9zfcaia52FGNdZENDW2kwMCJ20HQ</v>
      </c>
    </row>
    <row r="989" ht="15.75" customHeight="1">
      <c r="A989" s="0" t="str">
        <f>IFERROR(__xludf.DUMMYFUNCTION("""COMPUTED_VALUE"""),"Closing")</f>
        <v>Closing</v>
      </c>
      <c r="B989" s="0" t="str">
        <f>IFERROR(__xludf.DUMMYFUNCTION("""COMPUTED_VALUE"""),"UnExpUnsettOperation")</f>
        <v>UnExpUnsettOperation</v>
      </c>
      <c r="C989" s="0" t="str">
        <f>IFERROR(__xludf.DUMMYFUNCTION("""COMPUTED_VALUE"""),"11EX1Ln-BQAtx9NTd9zfcaia52FGNdZENDW2kwMCJ20HQ")</f>
        <v>11EX1Ln-BQAtx9NTd9zfcaia52FGNdZENDW2kwMCJ20HQ</v>
      </c>
    </row>
    <row r="990" ht="15.75" customHeight="1">
      <c r="A990" s="0" t="str">
        <f>IFERROR(__xludf.DUMMYFUNCTION("""COMPUTED_VALUE"""),"NavLock")</f>
        <v>NavLock</v>
      </c>
      <c r="B990" s="0" t="str">
        <f>IFERROR(__xludf.DUMMYFUNCTION("""COMPUTED_VALUE"""),"ActiononNavLock")</f>
        <v>ActiononNavLock</v>
      </c>
      <c r="C990" s="0" t="str">
        <f>IFERROR(__xludf.DUMMYFUNCTION("""COMPUTED_VALUE"""),"11EX1Ln-BQAtx9NTd9zfcaia52FGNdZENDW2kwMCJ20HQ")</f>
        <v>11EX1Ln-BQAtx9NTd9zfcaia52FGNdZENDW2kwMCJ20HQ</v>
      </c>
    </row>
    <row r="991" ht="15.75" customHeight="1">
      <c r="A991" s="0" t="str">
        <f>IFERROR(__xludf.DUMMYFUNCTION("""COMPUTED_VALUE"""),"Allocation")</f>
        <v>Allocation</v>
      </c>
      <c r="B991" s="0" t="str">
        <f>IFERROR(__xludf.DUMMYFUNCTION("""COMPUTED_VALUE"""),"ActiononFixPref")</f>
        <v>ActiononFixPref</v>
      </c>
      <c r="C991" s="0" t="str">
        <f>IFERROR(__xludf.DUMMYFUNCTION("""COMPUTED_VALUE"""),"11EX1Ln-BQAtx9NTd9zfcaia52FGNdZENDW2kwMCJ20HQ")</f>
        <v>11EX1Ln-BQAtx9NTd9zfcaia52FGNdZENDW2kwMCJ20HQ</v>
      </c>
    </row>
    <row r="992" ht="15.75" customHeight="1">
      <c r="A992" s="0" t="str">
        <f>IFERROR(__xludf.DUMMYFUNCTION("""COMPUTED_VALUE"""),"Blotter")</f>
        <v>Blotter</v>
      </c>
      <c r="B992" s="0" t="str">
        <f>IFERROR(__xludf.DUMMYFUNCTION("""COMPUTED_VALUE"""),"SelectWorkSubsOnBlotter")</f>
        <v>SelectWorkSubsOnBlotter</v>
      </c>
      <c r="C992" s="0" t="str">
        <f>IFERROR(__xludf.DUMMYFUNCTION("""COMPUTED_VALUE"""),"11EX1Ln-BQAtx9NTd9zfcaia52FGNdZENDW2kwMCJ20HQ")</f>
        <v>11EX1Ln-BQAtx9NTd9zfcaia52FGNdZENDW2kwMCJ20HQ</v>
      </c>
    </row>
    <row r="993" ht="15.75" customHeight="1">
      <c r="A993" s="0" t="str">
        <f>IFERROR(__xludf.DUMMYFUNCTION("""COMPUTED_VALUE"""),"Closing")</f>
        <v>Closing</v>
      </c>
      <c r="B993" s="0" t="str">
        <f>IFERROR(__xludf.DUMMYFUNCTION("""COMPUTED_VALUE"""),"VerifyAccountUnexpired")</f>
        <v>VerifyAccountUnexpired</v>
      </c>
      <c r="C993" s="0" t="str">
        <f>IFERROR(__xludf.DUMMYFUNCTION("""COMPUTED_VALUE"""),"11EX1Ln-BQAtx9NTd9zfcaia52FGNdZENDW2kwMCJ20HQ")</f>
        <v>11EX1Ln-BQAtx9NTd9zfcaia52FGNdZENDW2kwMCJ20HQ</v>
      </c>
    </row>
    <row r="994" ht="15.75" customHeight="1">
      <c r="A994" s="0" t="str">
        <f>IFERROR(__xludf.DUMMYFUNCTION("""COMPUTED_VALUE"""),"PortfolioManagement")</f>
        <v>PortfolioManagement</v>
      </c>
      <c r="B994" s="0" t="str">
        <f>IFERROR(__xludf.DUMMYFUNCTION("""COMPUTED_VALUE"""),"ToolBarActiononPM")</f>
        <v>ToolBarActiononPM</v>
      </c>
      <c r="C994" s="0" t="str">
        <f>IFERROR(__xludf.DUMMYFUNCTION("""COMPUTED_VALUE"""),"11EX1Ln-BQAtx9NTd9zfcaia52FGNdZENDW2kwMCJ20HQ")</f>
        <v>11EX1Ln-BQAtx9NTd9zfcaia52FGNdZENDW2kwMCJ20HQ</v>
      </c>
    </row>
    <row r="995" ht="15.75" customHeight="1">
      <c r="A995" s="0" t="str">
        <f>IFERROR(__xludf.DUMMYFUNCTION("""COMPUTED_VALUE"""),"Allocation")</f>
        <v>Allocation</v>
      </c>
      <c r="B995" s="0" t="str">
        <f>IFERROR(__xludf.DUMMYFUNCTION("""COMPUTED_VALUE"""),"EditAttRenaming")</f>
        <v>EditAttRenaming</v>
      </c>
      <c r="C995" s="0" t="str">
        <f>IFERROR(__xludf.DUMMYFUNCTION("""COMPUTED_VALUE"""),"14aTeLjmUbS-nhaQwjtZAMGxdQ5DS6UsBjE5OTWN-LQU")</f>
        <v>14aTeLjmUbS-nhaQwjtZAMGxdQ5DS6UsBjE5OTWN-LQU</v>
      </c>
    </row>
    <row r="996" ht="15.75" customHeight="1">
      <c r="A996" s="0" t="str">
        <f>IFERROR(__xludf.DUMMYFUNCTION("""COMPUTED_VALUE"""),"Unknown")</f>
        <v>Unknown</v>
      </c>
      <c r="B996" s="0" t="str">
        <f>IFERROR(__xludf.DUMMYFUNCTION("""COMPUTED_VALUE"""),"ActiononColumnChooser")</f>
        <v>ActiononColumnChooser</v>
      </c>
      <c r="C996" s="0" t="str">
        <f>IFERROR(__xludf.DUMMYFUNCTION("""COMPUTED_VALUE"""),"14aTeLjmUbS-nhaQwjtZAMGxdQ5DS6UsBjE5OTWN-LQU")</f>
        <v>14aTeLjmUbS-nhaQwjtZAMGxdQ5DS6UsBjE5OTWN-LQU</v>
      </c>
    </row>
    <row r="997" ht="15.75" customHeight="1">
      <c r="A997" s="0" t="str">
        <f>IFERROR(__xludf.DUMMYFUNCTION("""COMPUTED_VALUE"""),"Unknown")</f>
        <v>Unknown</v>
      </c>
      <c r="B997" s="0" t="str">
        <f>IFERROR(__xludf.DUMMYFUNCTION("""COMPUTED_VALUE"""),"VerifyColumnChooser")</f>
        <v>VerifyColumnChooser</v>
      </c>
      <c r="C997" s="0" t="str">
        <f>IFERROR(__xludf.DUMMYFUNCTION("""COMPUTED_VALUE"""),"14aTeLjmUbS-nhaQwjtZAMGxdQ5DS6UsBjE5OTWN-LQU")</f>
        <v>14aTeLjmUbS-nhaQwjtZAMGxdQ5DS6UsBjE5OTWN-LQU</v>
      </c>
    </row>
    <row r="998" ht="15.75" customHeight="1">
      <c r="A998" s="0" t="str">
        <f>IFERROR(__xludf.DUMMYFUNCTION("""COMPUTED_VALUE"""),"Unknown")</f>
        <v>Unknown</v>
      </c>
      <c r="B998" s="0" t="str">
        <f>IFERROR(__xludf.DUMMYFUNCTION("""COMPUTED_VALUE"""),"EditColumnChooser")</f>
        <v>EditColumnChooser</v>
      </c>
      <c r="C998" s="0" t="str">
        <f>IFERROR(__xludf.DUMMYFUNCTION("""COMPUTED_VALUE"""),"14aTeLjmUbS-nhaQwjtZAMGxdQ5DS6UsBjE5OTWN-LQU")</f>
        <v>14aTeLjmUbS-nhaQwjtZAMGxdQ5DS6UsBjE5OTWN-LQU</v>
      </c>
    </row>
    <row r="999" ht="15.75" customHeight="1">
      <c r="A999" s="0" t="str">
        <f>IFERROR(__xludf.DUMMYFUNCTION("""COMPUTED_VALUE"""),"Unknown")</f>
        <v>Unknown</v>
      </c>
      <c r="B999" s="0" t="str">
        <f>IFERROR(__xludf.DUMMYFUNCTION("""COMPUTED_VALUE"""),"OpenColumnChooser")</f>
        <v>OpenColumnChooser</v>
      </c>
      <c r="C999" s="0" t="str">
        <f>IFERROR(__xludf.DUMMYFUNCTION("""COMPUTED_VALUE"""),"14aTeLjmUbS-nhaQwjtZAMGxdQ5DS6UsBjE5OTWN-LQU")</f>
        <v>14aTeLjmUbS-nhaQwjtZAMGxdQ5DS6UsBjE5OTWN-LQU</v>
      </c>
    </row>
    <row r="1000" ht="15.75" customHeight="1">
      <c r="A1000" s="0" t="str">
        <f>IFERROR(__xludf.DUMMYFUNCTION("""COMPUTED_VALUE"""),"TradingTicket")</f>
        <v>TradingTicket</v>
      </c>
      <c r="B1000" s="0" t="str">
        <f>IFERROR(__xludf.DUMMYFUNCTION("""COMPUTED_VALUE"""),"UpdateTTCA")</f>
        <v>UpdateTTCA</v>
      </c>
      <c r="C1000" s="0" t="str">
        <f>IFERROR(__xludf.DUMMYFUNCTION("""COMPUTED_VALUE"""),"14aTeLjmUbS-nhaQwjtZAMGxdQ5DS6UsBjE5OTWN-LQU")</f>
        <v>14aTeLjmUbS-nhaQwjtZAMGxdQ5DS6UsBjE5OTWN-LQU</v>
      </c>
    </row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24</v>
      </c>
      <c r="D6" s="32" t="s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6" t="s">
        <v>28</v>
      </c>
      <c r="D6" s="37">
        <v>1</v>
      </c>
      <c r="E6" s="33"/>
      <c r="F6" s="33"/>
      <c r="G6" s="33"/>
      <c r="H6" s="33"/>
      <c r="I6" s="33"/>
      <c r="J6" s="38">
        <v>10</v>
      </c>
      <c r="K6" s="33"/>
      <c r="L6" s="36" t="s">
        <v>29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9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35</v>
      </c>
      <c r="D6" s="40" t="s">
        <v>36</v>
      </c>
      <c r="E6" s="41">
        <v>1000</v>
      </c>
      <c r="F6" s="41">
        <v>10</v>
      </c>
      <c r="G6" s="42">
        <v>10000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35</v>
      </c>
      <c r="D7" s="40" t="s">
        <v>37</v>
      </c>
      <c r="E7" s="41">
        <v>500</v>
      </c>
      <c r="F7" s="41">
        <v>20</v>
      </c>
      <c r="G7" s="42">
        <v>10000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35</v>
      </c>
      <c r="D8" s="40" t="s">
        <v>38</v>
      </c>
      <c r="E8" s="41">
        <v>16</v>
      </c>
      <c r="F8" s="41">
        <v>824.46</v>
      </c>
      <c r="G8" s="42">
        <v>13191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35</v>
      </c>
      <c r="D9" s="40" t="s">
        <v>39</v>
      </c>
      <c r="E9" s="41">
        <v>281</v>
      </c>
      <c r="F9" s="41">
        <v>25</v>
      </c>
      <c r="G9" s="42">
        <v>7517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35</v>
      </c>
      <c r="D10" s="40" t="s">
        <v>40</v>
      </c>
      <c r="E10" s="41">
        <v>7851</v>
      </c>
      <c r="F10" s="41">
        <v>10</v>
      </c>
      <c r="G10" s="42">
        <v>10001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35</v>
      </c>
      <c r="D11" s="40" t="s">
        <v>27</v>
      </c>
      <c r="E11" s="41">
        <v>50</v>
      </c>
      <c r="F11" s="41">
        <v>10</v>
      </c>
      <c r="G11" s="41">
        <v>500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41</v>
      </c>
      <c r="C6" s="33"/>
      <c r="D6" s="39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35</v>
      </c>
      <c r="D6" s="40" t="s">
        <v>40</v>
      </c>
      <c r="E6" s="41">
        <v>7850</v>
      </c>
      <c r="F6" s="41">
        <v>10</v>
      </c>
      <c r="G6" s="42">
        <v>10000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35</v>
      </c>
      <c r="D7" s="40" t="s">
        <v>27</v>
      </c>
      <c r="E7" s="41">
        <v>50</v>
      </c>
      <c r="F7" s="41">
        <v>10</v>
      </c>
      <c r="G7" s="41">
        <v>500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35</v>
      </c>
      <c r="D8" s="40" t="s">
        <v>39</v>
      </c>
      <c r="E8" s="41">
        <v>280</v>
      </c>
      <c r="F8" s="41">
        <v>25</v>
      </c>
      <c r="G8" s="42">
        <v>7490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35</v>
      </c>
      <c r="D9" s="40" t="s">
        <v>37</v>
      </c>
      <c r="E9" s="41">
        <v>500</v>
      </c>
      <c r="F9" s="41">
        <v>20</v>
      </c>
      <c r="G9" s="42">
        <v>10000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35</v>
      </c>
      <c r="D10" s="40" t="s">
        <v>36</v>
      </c>
      <c r="E10" s="41">
        <v>1000</v>
      </c>
      <c r="F10" s="41">
        <v>10</v>
      </c>
      <c r="G10" s="42">
        <v>10000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35</v>
      </c>
      <c r="D11" s="40" t="s">
        <v>38</v>
      </c>
      <c r="E11" s="41">
        <v>15</v>
      </c>
      <c r="F11" s="41">
        <v>824.46</v>
      </c>
      <c r="G11" s="42">
        <v>12367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42</v>
      </c>
      <c r="C6" s="33"/>
      <c r="D6" s="39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35</v>
      </c>
      <c r="D6" s="40" t="s">
        <v>36</v>
      </c>
      <c r="E6" s="41">
        <v>1000</v>
      </c>
      <c r="F6" s="41">
        <v>10</v>
      </c>
      <c r="G6" s="42">
        <v>10000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35</v>
      </c>
      <c r="D7" s="40" t="s">
        <v>37</v>
      </c>
      <c r="E7" s="41">
        <v>500</v>
      </c>
      <c r="F7" s="41">
        <v>20</v>
      </c>
      <c r="G7" s="42">
        <v>10000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35</v>
      </c>
      <c r="D8" s="40" t="s">
        <v>38</v>
      </c>
      <c r="E8" s="41">
        <v>15</v>
      </c>
      <c r="F8" s="41">
        <v>824.46</v>
      </c>
      <c r="G8" s="42">
        <v>12367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35</v>
      </c>
      <c r="D9" s="40" t="s">
        <v>39</v>
      </c>
      <c r="E9" s="41">
        <v>280</v>
      </c>
      <c r="F9" s="41">
        <v>25</v>
      </c>
      <c r="G9" s="42">
        <v>7490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35</v>
      </c>
      <c r="D10" s="40" t="s">
        <v>40</v>
      </c>
      <c r="E10" s="41">
        <v>7850</v>
      </c>
      <c r="F10" s="41">
        <v>10</v>
      </c>
      <c r="G10" s="42">
        <v>10000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35</v>
      </c>
      <c r="D11" s="40" t="s">
        <v>27</v>
      </c>
      <c r="E11" s="41">
        <v>49</v>
      </c>
      <c r="F11" s="41">
        <v>10</v>
      </c>
      <c r="G11" s="41">
        <v>490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37</v>
      </c>
      <c r="AJ6" s="9" t="s">
        <v>35</v>
      </c>
      <c r="AK6" s="9" t="s">
        <v>45</v>
      </c>
      <c r="AL6" s="9">
        <v>500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35</v>
      </c>
      <c r="D6" s="12">
        <v>500</v>
      </c>
      <c r="E6" s="35"/>
      <c r="F6" s="8"/>
      <c r="G6" s="8"/>
      <c r="H6" s="8"/>
      <c r="I6" s="8"/>
      <c r="J6" s="12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</v>
      </c>
      <c r="C6" s="12">
        <v>500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54</v>
      </c>
      <c r="C5" s="28" t="s">
        <v>55</v>
      </c>
      <c r="D5" s="28" t="s">
        <v>56</v>
      </c>
      <c r="E5" s="28" t="s">
        <v>57</v>
      </c>
      <c r="F5" s="28" t="s">
        <v>58</v>
      </c>
      <c r="G5" s="28" t="s">
        <v>59</v>
      </c>
      <c r="H5" s="28" t="s">
        <v>60</v>
      </c>
      <c r="I5" s="28" t="s">
        <v>61</v>
      </c>
      <c r="J5" s="28" t="s">
        <v>62</v>
      </c>
      <c r="K5" s="28" t="s">
        <v>63</v>
      </c>
      <c r="L5" s="28" t="s">
        <v>64</v>
      </c>
      <c r="M5" s="28" t="s">
        <v>65</v>
      </c>
      <c r="N5" s="28" t="s">
        <v>66</v>
      </c>
      <c r="O5" s="28" t="s">
        <v>67</v>
      </c>
      <c r="P5" s="28" t="s">
        <v>68</v>
      </c>
      <c r="Q5" s="28" t="s">
        <v>69</v>
      </c>
      <c r="R5" s="28" t="s">
        <v>70</v>
      </c>
      <c r="S5" s="28" t="s">
        <v>71</v>
      </c>
      <c r="T5" s="45" t="s">
        <v>72</v>
      </c>
      <c r="U5" s="45" t="s">
        <v>73</v>
      </c>
      <c r="V5" s="45" t="s">
        <v>74</v>
      </c>
      <c r="W5" s="45" t="s">
        <v>75</v>
      </c>
      <c r="X5" s="45" t="s">
        <v>76</v>
      </c>
      <c r="Y5" s="45" t="s">
        <v>77</v>
      </c>
      <c r="Z5" s="45" t="s">
        <v>78</v>
      </c>
      <c r="AA5" s="45" t="s">
        <v>79</v>
      </c>
      <c r="AB5" s="45" t="s">
        <v>80</v>
      </c>
      <c r="AC5" s="45" t="s">
        <v>81</v>
      </c>
      <c r="AD5" s="45" t="s">
        <v>82</v>
      </c>
      <c r="AE5" s="45" t="s">
        <v>83</v>
      </c>
      <c r="AF5" s="45" t="s">
        <v>84</v>
      </c>
      <c r="AG5" s="45" t="s">
        <v>85</v>
      </c>
      <c r="AH5" s="45" t="s">
        <v>86</v>
      </c>
      <c r="AI5" s="45" t="s">
        <v>87</v>
      </c>
      <c r="AJ5" s="45" t="s">
        <v>88</v>
      </c>
      <c r="AK5" s="45" t="s">
        <v>89</v>
      </c>
      <c r="AL5" s="45" t="s">
        <v>90</v>
      </c>
      <c r="AM5" s="45" t="s">
        <v>91</v>
      </c>
      <c r="AN5" s="45" t="s">
        <v>92</v>
      </c>
      <c r="AO5" s="45" t="s">
        <v>93</v>
      </c>
      <c r="AP5" s="45" t="s">
        <v>94</v>
      </c>
      <c r="AQ5" s="45" t="s">
        <v>95</v>
      </c>
      <c r="AR5" s="45" t="s">
        <v>96</v>
      </c>
      <c r="AS5" s="45" t="s">
        <v>97</v>
      </c>
      <c r="AT5" s="45" t="s">
        <v>98</v>
      </c>
      <c r="AU5" s="45" t="s">
        <v>99</v>
      </c>
      <c r="AV5" s="45" t="s">
        <v>100</v>
      </c>
      <c r="AW5" s="45" t="s">
        <v>101</v>
      </c>
      <c r="AX5" s="45" t="s">
        <v>102</v>
      </c>
      <c r="AY5" s="45" t="s">
        <v>103</v>
      </c>
      <c r="AZ5" s="45" t="s">
        <v>104</v>
      </c>
      <c r="BA5" s="45" t="s">
        <v>105</v>
      </c>
      <c r="BB5" s="45" t="s">
        <v>106</v>
      </c>
      <c r="BC5" s="45" t="s">
        <v>107</v>
      </c>
      <c r="BD5" s="45" t="s">
        <v>108</v>
      </c>
      <c r="BE5" s="45" t="s">
        <v>109</v>
      </c>
      <c r="BF5" s="45" t="s">
        <v>110</v>
      </c>
      <c r="BG5" s="45" t="s">
        <v>111</v>
      </c>
      <c r="BH5" s="45" t="s">
        <v>112</v>
      </c>
      <c r="BI5" s="45" t="s">
        <v>113</v>
      </c>
      <c r="BJ5" s="45" t="s">
        <v>114</v>
      </c>
      <c r="BK5" s="45" t="s">
        <v>115</v>
      </c>
      <c r="BL5" s="45" t="s">
        <v>116</v>
      </c>
      <c r="BM5" s="45" t="s">
        <v>117</v>
      </c>
      <c r="BN5" s="45" t="s">
        <v>118</v>
      </c>
      <c r="BO5" s="45" t="s">
        <v>119</v>
      </c>
      <c r="BP5" s="45" t="s">
        <v>120</v>
      </c>
      <c r="BQ5" s="45" t="s">
        <v>121</v>
      </c>
      <c r="BR5" s="45" t="s">
        <v>122</v>
      </c>
      <c r="BS5" s="45" t="s">
        <v>123</v>
      </c>
      <c r="BT5" s="45" t="s">
        <v>124</v>
      </c>
      <c r="BU5" s="45" t="s">
        <v>125</v>
      </c>
      <c r="BV5" s="45" t="s">
        <v>126</v>
      </c>
      <c r="BW5" s="45" t="s">
        <v>127</v>
      </c>
      <c r="BX5" s="45" t="s">
        <v>128</v>
      </c>
      <c r="BY5" s="45" t="s">
        <v>129</v>
      </c>
      <c r="BZ5" s="45" t="s">
        <v>130</v>
      </c>
      <c r="CA5" s="45" t="s">
        <v>131</v>
      </c>
      <c r="CB5" s="45" t="s">
        <v>132</v>
      </c>
      <c r="CC5" s="45" t="s">
        <v>133</v>
      </c>
      <c r="CD5" s="45" t="s">
        <v>134</v>
      </c>
      <c r="CE5" s="45" t="s">
        <v>135</v>
      </c>
      <c r="CF5" s="45" t="s">
        <v>136</v>
      </c>
      <c r="CG5" s="45" t="s">
        <v>137</v>
      </c>
      <c r="CH5" s="45" t="s">
        <v>138</v>
      </c>
      <c r="CI5" s="45" t="s">
        <v>139</v>
      </c>
      <c r="CJ5" s="45" t="s">
        <v>140</v>
      </c>
      <c r="CK5" s="45" t="s">
        <v>141</v>
      </c>
      <c r="CL5" s="45" t="s">
        <v>142</v>
      </c>
      <c r="CM5" s="45" t="s">
        <v>143</v>
      </c>
      <c r="CN5" s="45" t="s">
        <v>144</v>
      </c>
      <c r="CO5" s="45" t="s">
        <v>145</v>
      </c>
      <c r="CP5" s="45" t="s">
        <v>146</v>
      </c>
      <c r="CQ5" s="45" t="s">
        <v>147</v>
      </c>
      <c r="CR5" s="45" t="s">
        <v>148</v>
      </c>
      <c r="CS5" s="45" t="s">
        <v>149</v>
      </c>
      <c r="CT5" s="45" t="s">
        <v>150</v>
      </c>
      <c r="CU5" s="45" t="s">
        <v>151</v>
      </c>
      <c r="CV5" s="45" t="s">
        <v>152</v>
      </c>
      <c r="CW5" s="45" t="s">
        <v>153</v>
      </c>
      <c r="CX5" s="45" t="s">
        <v>154</v>
      </c>
      <c r="CY5" s="45" t="s">
        <v>155</v>
      </c>
      <c r="CZ5" s="45" t="s">
        <v>156</v>
      </c>
      <c r="DA5" s="45" t="s">
        <v>157</v>
      </c>
      <c r="DB5" s="45" t="s">
        <v>158</v>
      </c>
      <c r="DC5" s="45" t="s">
        <v>159</v>
      </c>
      <c r="DD5" s="45" t="s">
        <v>160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6" t="s">
        <v>161</v>
      </c>
      <c r="B6" s="46" t="s">
        <v>22</v>
      </c>
      <c r="C6" s="8" t="s">
        <v>162</v>
      </c>
      <c r="D6" s="46"/>
      <c r="E6" s="8">
        <v>500</v>
      </c>
      <c r="F6" s="8" t="s">
        <v>163</v>
      </c>
      <c r="G6" s="8" t="s">
        <v>164</v>
      </c>
      <c r="H6" s="8">
        <v>90</v>
      </c>
      <c r="I6" s="8"/>
      <c r="J6" s="8">
        <v>15</v>
      </c>
      <c r="K6" s="8"/>
      <c r="L6" s="8"/>
      <c r="M6" s="8" t="s">
        <v>165</v>
      </c>
      <c r="N6" s="8" t="s">
        <v>166</v>
      </c>
      <c r="O6" s="8" t="s">
        <v>167</v>
      </c>
      <c r="S6" s="0" t="s">
        <v>168</v>
      </c>
      <c r="V6" s="0" t="s">
        <v>169</v>
      </c>
      <c r="W6" s="0">
        <v>1</v>
      </c>
      <c r="Y6" s="0" t="s">
        <v>161</v>
      </c>
      <c r="Z6" s="0" t="s">
        <v>170</v>
      </c>
      <c r="AB6" s="0">
        <v>1</v>
      </c>
      <c r="AD6" s="0" t="s">
        <v>171</v>
      </c>
      <c r="AE6" s="0">
        <v>500</v>
      </c>
      <c r="AF6" s="0" t="s">
        <v>161</v>
      </c>
      <c r="AH6" s="0" t="s">
        <v>172</v>
      </c>
      <c r="AI6" s="0">
        <v>1</v>
      </c>
      <c r="AJ6" s="0" t="s">
        <v>173</v>
      </c>
      <c r="AN6" s="0" t="b">
        <v>0</v>
      </c>
      <c r="AP6" s="0" t="b">
        <v>0</v>
      </c>
      <c r="AQ6" s="0" t="b">
        <v>0</v>
      </c>
      <c r="AR6" s="0" t="b">
        <v>1</v>
      </c>
      <c r="AY6" s="0" t="s">
        <v>174</v>
      </c>
      <c r="BD6" s="0" t="s">
        <v>175</v>
      </c>
      <c r="BE6" s="0">
        <v>10000</v>
      </c>
      <c r="BF6" s="0">
        <v>10000</v>
      </c>
      <c r="BJ6" s="0">
        <v>500</v>
      </c>
      <c r="BL6" s="0" t="s">
        <v>161</v>
      </c>
      <c r="BM6" s="0" t="s">
        <v>170</v>
      </c>
      <c r="BO6" s="0" t="s">
        <v>35</v>
      </c>
      <c r="BS6" s="0" t="s">
        <v>176</v>
      </c>
      <c r="BT6" s="0" t="s">
        <v>37</v>
      </c>
      <c r="BU6" s="0">
        <v>1</v>
      </c>
      <c r="CF6" s="0" t="s">
        <v>177</v>
      </c>
      <c r="CH6" s="0" t="s">
        <v>18</v>
      </c>
      <c r="CI6" s="0" t="s">
        <v>35</v>
      </c>
      <c r="CK6" s="0" t="s">
        <v>178</v>
      </c>
      <c r="CL6" s="0">
        <v>1</v>
      </c>
      <c r="CM6" s="0" t="s">
        <v>37</v>
      </c>
      <c r="CN6" s="0" t="s">
        <v>179</v>
      </c>
      <c r="CO6" s="0" t="s">
        <v>180</v>
      </c>
      <c r="CP6" s="0" t="s">
        <v>181</v>
      </c>
      <c r="CS6" s="0" t="s">
        <v>161</v>
      </c>
      <c r="CX6" s="0" t="s">
        <v>182</v>
      </c>
      <c r="CY6" s="0" t="s">
        <v>161</v>
      </c>
      <c r="CZ6" s="0" t="s">
        <v>161</v>
      </c>
      <c r="DA6" s="0" t="s">
        <v>161</v>
      </c>
      <c r="DB6" s="0" t="s">
        <v>161</v>
      </c>
      <c r="DC6" s="0" t="s">
        <v>161</v>
      </c>
      <c r="DD6" s="0" t="s">
        <v>161</v>
      </c>
      <c r="DE6" s="0" t="s">
        <v>161</v>
      </c>
      <c r="DF6" s="0" t="s">
        <v>161</v>
      </c>
      <c r="DG6" s="0" t="s">
        <v>161</v>
      </c>
      <c r="DH6" s="0" t="s">
        <v>161</v>
      </c>
      <c r="DI6" s="0" t="s">
        <v>161</v>
      </c>
      <c r="DJ6" s="0" t="s">
        <v>161</v>
      </c>
      <c r="DK6" s="0" t="s">
        <v>161</v>
      </c>
      <c r="DL6" s="0" t="s">
        <v>161</v>
      </c>
      <c r="DM6" s="0" t="s">
        <v>161</v>
      </c>
      <c r="DN6" s="0" t="s">
        <v>161</v>
      </c>
      <c r="DO6" s="0" t="s">
        <v>161</v>
      </c>
      <c r="DP6" s="0" t="s">
        <v>161</v>
      </c>
      <c r="DQ6" s="0" t="s">
        <v>161</v>
      </c>
      <c r="DR6" s="0" t="s">
        <v>161</v>
      </c>
      <c r="DS6" s="0" t="s">
        <v>161</v>
      </c>
      <c r="DT6" s="0" t="s">
        <v>161</v>
      </c>
      <c r="DU6" s="0" t="s">
        <v>161</v>
      </c>
      <c r="DV6" s="0" t="s">
        <v>161</v>
      </c>
      <c r="DW6" s="0" t="s">
        <v>161</v>
      </c>
      <c r="DX6" s="0" t="s">
        <v>161</v>
      </c>
      <c r="DY6" s="0" t="s">
        <v>161</v>
      </c>
      <c r="DZ6" s="0" t="s">
        <v>161</v>
      </c>
      <c r="EA6" s="0" t="s">
        <v>161</v>
      </c>
      <c r="EB6" s="0" t="s">
        <v>161</v>
      </c>
      <c r="EC6" s="0" t="s">
        <v>161</v>
      </c>
      <c r="ED6" s="0" t="s">
        <v>161</v>
      </c>
      <c r="EE6" s="0" t="s">
        <v>161</v>
      </c>
      <c r="EF6" s="0" t="s">
        <v>161</v>
      </c>
      <c r="EG6" s="0" t="s">
        <v>161</v>
      </c>
      <c r="EH6" s="0" t="s">
        <v>161</v>
      </c>
      <c r="EI6" s="0" t="s">
        <v>161</v>
      </c>
      <c r="EJ6" s="0" t="s">
        <v>161</v>
      </c>
      <c r="EK6" s="0" t="s">
        <v>161</v>
      </c>
      <c r="EL6" s="0" t="s">
        <v>161</v>
      </c>
      <c r="EM6" s="0" t="s">
        <v>161</v>
      </c>
      <c r="EN6" s="0" t="s">
        <v>161</v>
      </c>
      <c r="EO6" s="0" t="s">
        <v>161</v>
      </c>
      <c r="EP6" s="0" t="s">
        <v>161</v>
      </c>
      <c r="EQ6" s="0" t="s">
        <v>161</v>
      </c>
      <c r="ER6" s="0" t="s">
        <v>161</v>
      </c>
      <c r="ES6" s="0" t="s">
        <v>161</v>
      </c>
      <c r="ET6" s="0" t="s">
        <v>161</v>
      </c>
      <c r="EU6" s="0" t="s">
        <v>161</v>
      </c>
      <c r="EV6" s="0" t="s">
        <v>161</v>
      </c>
      <c r="EW6" s="0" t="s">
        <v>161</v>
      </c>
      <c r="EX6" s="0" t="s">
        <v>161</v>
      </c>
      <c r="EY6" s="0" t="s">
        <v>161</v>
      </c>
      <c r="EZ6" s="0" t="s">
        <v>161</v>
      </c>
      <c r="FA6" s="0" t="s">
        <v>161</v>
      </c>
      <c r="FB6" s="0" t="s">
        <v>161</v>
      </c>
      <c r="FC6" s="0" t="s">
        <v>161</v>
      </c>
      <c r="FD6" s="0" t="s">
        <v>161</v>
      </c>
      <c r="FE6" s="0" t="s">
        <v>161</v>
      </c>
      <c r="FF6" s="0" t="s">
        <v>161</v>
      </c>
      <c r="FG6" s="0" t="s">
        <v>161</v>
      </c>
      <c r="FH6" s="0" t="s">
        <v>161</v>
      </c>
      <c r="FI6" s="0" t="s">
        <v>161</v>
      </c>
      <c r="FJ6" s="0" t="s">
        <v>161</v>
      </c>
      <c r="FK6" s="0" t="s">
        <v>161</v>
      </c>
      <c r="FL6" s="0" t="s">
        <v>161</v>
      </c>
      <c r="FM6" s="0" t="s">
        <v>161</v>
      </c>
      <c r="FN6" s="0" t="s">
        <v>161</v>
      </c>
      <c r="FO6" s="0" t="s">
        <v>161</v>
      </c>
      <c r="FP6" s="0" t="s">
        <v>161</v>
      </c>
      <c r="FQ6" s="0" t="s">
        <v>161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