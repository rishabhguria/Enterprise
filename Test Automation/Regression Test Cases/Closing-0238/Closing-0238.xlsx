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Taxlots" sheetId="13" r:id="rId15"/>
    <sheet state="visible" name="CheckPortfolioManagement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<sst xmlns="http://schemas.openxmlformats.org/spreadsheetml/2006/main" count="646" uniqueCount="75">
  <si>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</si>
  <si>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</si>
  <si>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</si>
  <si>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</si>
  <si>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</si>
  <si>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</si>
  <si>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</si>
  <si>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</si>
  <si>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</si>
  <si>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</si>
  <si>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</si>
  <si>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</si>
  <si>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</si>
  <si>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</si>
  <si>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</si>
  <si>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</si>
  <si>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23D50.00D21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</si>
  <si>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</si>
  <si>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</si>
  <si>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</si>
  <si>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</si>
  <si>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</si>
  <si>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</si>
  <si>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</si>
  <si>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Sell short</t>
  </si>
  <si>
    <t>Allocation1</t>
  </si>
  <si>
    <t>Buy to Open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</si>
  <si>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</si>
  <si>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</si>
  <si>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</si>
  <si>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</si>
  <si>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</si>
  <si>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</si>
  <si>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</si>
  <si>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</si>
  <si>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</si>
  <si>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</si>
  <si>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</si>
  <si>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</si>
  <si>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CheckAllocatedTaxlots</t>
  </si>
  <si>
    <t>M</t>
  </si>
  <si>
    <t>Strategy Unallocated</t>
  </si>
  <si>
    <t>Open</t>
  </si>
  <si>
    <t>Closed</t>
  </si>
  <si>
    <t>D</t>
  </si>
  <si>
    <t>PortfolioManagement</t>
  </si>
  <si>
    <t>CheckPortfolioManagement</t>
  </si>
  <si>
    <t/>
  </si>
  <si>
    <t>NewMF</t>
  </si>
  <si>
    <t>Long</t>
  </si>
  <si>
    <t>APPLE</t>
  </si>
  <si>
    <t>FIMAT</t>
  </si>
  <si>
    <t>Equity</t>
  </si>
  <si>
    <t>US</t>
  </si>
  <si>
    <t>NASDAQ</t>
  </si>
  <si>
    <t>USD</t>
  </si>
  <si>
    <t>Short</t>
  </si>
  <si>
    <t>New Hedge</t>
  </si>
  <si>
    <t>Small Cap</t>
  </si>
  <si>
    <t>jpearce</t>
  </si>
  <si>
    <t>None</t>
  </si>
  <si>
    <t>Default</t>
  </si>
  <si>
    <t>NA</t>
  </si>
  <si>
    <t>O:AAPL 23D50.00D21 CALL</t>
  </si>
  <si>
    <t>OPTS</t>
  </si>
  <si>
    <t>Equity Call</t>
  </si>
  <si>
    <t>Undefined</t>
  </si>
  <si>
    <t>CALL</t>
  </si>
  <si>
    <t>OTM</t>
  </si>
  <si>
    <t>Sell to Close</t>
  </si>
  <si>
    <t>Exercise</t>
  </si>
  <si>
    <t>Buy</t>
  </si>
  <si>
    <t>Buy to Close</t>
  </si>
  <si>
    <t>CheckAllocatedGroups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</si>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</sst>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6" fontId="14" numFmtId="0" xfId="0" applyAlignment="1" applyFill="1" applyFont="1">
      <alignment horizontal="left" readingOrder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5" numFmtId="0" xfId="0" applyAlignment="1" applyFont="1">
      <alignment horizontal="left" readingOrder="0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today()+16</f>
        <v>45060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>today()+17</f>
        <v>45061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20</v>
      </c>
      <c r="D6" s="34"/>
      <c r="E6" s="36" t="b">
        <v>1</v>
      </c>
      <c r="F6" s="37"/>
      <c r="G6" s="37"/>
      <c r="H6" s="37"/>
      <c r="I6" s="37"/>
      <c r="J6" s="36" t="b">
        <v>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1100.0</v>
      </c>
      <c r="E6" s="13">
        <v>1100.0</v>
      </c>
      <c r="F6" s="13" t="s">
        <v>25</v>
      </c>
      <c r="G6" s="8"/>
      <c r="H6" s="8"/>
      <c r="I6" s="8"/>
      <c r="J6" s="13">
        <v>1.0</v>
      </c>
      <c r="K6" s="8"/>
      <c r="L6" s="8"/>
      <c r="M6" s="8"/>
      <c r="N6" s="32">
        <f>today()-1</f>
        <v>45043</v>
      </c>
      <c r="O6" s="8"/>
    </row>
    <row r="7" ht="15.75" customHeight="1">
      <c r="A7" s="8"/>
      <c r="B7" s="31" t="s">
        <v>16</v>
      </c>
      <c r="C7" s="13" t="s">
        <v>26</v>
      </c>
      <c r="D7" s="13">
        <v>10.0</v>
      </c>
      <c r="E7" s="8"/>
      <c r="F7" s="13" t="s">
        <v>25</v>
      </c>
      <c r="G7" s="8"/>
      <c r="H7" s="8"/>
      <c r="I7" s="8"/>
      <c r="J7" s="13">
        <v>1.0</v>
      </c>
      <c r="K7" s="8"/>
      <c r="L7" s="8"/>
      <c r="M7" s="8"/>
      <c r="N7" s="32">
        <f>today()</f>
        <v>45044</v>
      </c>
      <c r="O7" s="8"/>
    </row>
    <row r="8" ht="15.75" customHeight="1">
      <c r="A8" s="8"/>
      <c r="B8" s="31" t="s">
        <v>17</v>
      </c>
      <c r="C8" s="38" t="s">
        <v>26</v>
      </c>
      <c r="D8" s="13">
        <v>10.0</v>
      </c>
      <c r="E8" s="8"/>
      <c r="F8" s="13" t="s">
        <v>25</v>
      </c>
      <c r="G8" s="8"/>
      <c r="H8" s="8"/>
      <c r="I8" s="8"/>
      <c r="J8" s="13">
        <v>1.0</v>
      </c>
      <c r="K8" s="8"/>
      <c r="L8" s="8"/>
      <c r="M8" s="8"/>
      <c r="N8" s="32">
        <f t="shared" ref="N8:N9" si="1">today()-1</f>
        <v>45043</v>
      </c>
      <c r="O8" s="8"/>
    </row>
    <row r="9" ht="15.75" customHeight="1">
      <c r="A9" s="8"/>
      <c r="B9" s="31" t="s">
        <v>17</v>
      </c>
      <c r="C9" s="38" t="s">
        <v>26</v>
      </c>
      <c r="D9" s="13">
        <v>10.0</v>
      </c>
      <c r="E9" s="8"/>
      <c r="F9" s="13" t="s">
        <v>25</v>
      </c>
      <c r="G9" s="13" t="s">
        <v>27</v>
      </c>
      <c r="H9" s="8"/>
      <c r="I9" s="8"/>
      <c r="J9" s="13">
        <v>1.0</v>
      </c>
      <c r="K9" s="8"/>
      <c r="L9" s="8"/>
      <c r="M9" s="8"/>
      <c r="N9" s="32">
        <f t="shared" si="1"/>
        <v>45043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45043</v>
      </c>
      <c r="C6" s="39">
        <f>today()</f>
        <v>45044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23</v>
      </c>
      <c r="C6" s="41">
        <v>120.0</v>
      </c>
      <c r="D6" s="34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32</v>
      </c>
      <c r="C6" s="39" t="s">
        <v>33</v>
      </c>
      <c r="D6" s="39">
        <f>TODAY()</f>
        <v>45044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40" t="s">
        <v>25</v>
      </c>
      <c r="C6" s="37"/>
      <c r="D6" s="34"/>
      <c r="E6" s="35" t="s">
        <v>35</v>
      </c>
      <c r="F6" s="37"/>
      <c r="G6" s="37"/>
      <c r="H6" s="37"/>
      <c r="I6" s="42">
        <v>1.0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3">
        <v>10.0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5" t="s">
        <v>26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3">
        <v>10.0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1" t="s">
        <v>16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5" t="s">
        <v>25</v>
      </c>
      <c r="C7" s="37"/>
      <c r="D7" s="37"/>
      <c r="E7" s="35" t="s">
        <v>35</v>
      </c>
      <c r="F7" s="37"/>
      <c r="G7" s="37"/>
      <c r="H7" s="37"/>
      <c r="I7" s="42">
        <v>1.0</v>
      </c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44">
        <v>10.0</v>
      </c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5" t="s">
        <v>26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44">
        <v>10.0</v>
      </c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1" t="s">
        <v>17</v>
      </c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5" t="s">
        <v>25</v>
      </c>
      <c r="C8" s="37"/>
      <c r="D8" s="37"/>
      <c r="E8" s="35" t="s">
        <v>35</v>
      </c>
      <c r="F8" s="37"/>
      <c r="G8" s="37"/>
      <c r="H8" s="37"/>
      <c r="I8" s="42">
        <v>1.0</v>
      </c>
      <c r="J8" s="37"/>
      <c r="K8" s="45" t="s">
        <v>27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44">
        <v>10.0</v>
      </c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5" t="s">
        <v>26</v>
      </c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44">
        <v>10.0</v>
      </c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1" t="s">
        <v>17</v>
      </c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 t="s">
        <v>32</v>
      </c>
      <c r="C6" s="39" t="s">
        <v>33</v>
      </c>
      <c r="D6" s="39">
        <f>TODAY()</f>
        <v>45044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1085.9994</v>
      </c>
      <c r="C6" s="46">
        <v>1085.9994</v>
      </c>
      <c r="D6" s="46">
        <v>1100.0</v>
      </c>
      <c r="E6" s="46">
        <v>1100.0</v>
      </c>
      <c r="F6" s="47" t="s">
        <v>40</v>
      </c>
      <c r="G6" s="8"/>
      <c r="H6" s="47"/>
      <c r="I6" s="8"/>
      <c r="J6" s="8"/>
      <c r="K6" s="8"/>
      <c r="L6" s="8"/>
      <c r="M6" s="8"/>
      <c r="N6" s="8"/>
      <c r="O6" s="47" t="s">
        <v>25</v>
      </c>
      <c r="P6" s="47" t="s">
        <v>41</v>
      </c>
      <c r="Q6" s="48">
        <v>100.0</v>
      </c>
      <c r="R6" s="46">
        <v>1100.0</v>
      </c>
      <c r="S6" s="48">
        <v>0.0</v>
      </c>
      <c r="T6" s="48">
        <v>0.0</v>
      </c>
      <c r="U6" s="48">
        <v>0.0</v>
      </c>
      <c r="V6" s="48">
        <v>0.0</v>
      </c>
      <c r="W6" s="48">
        <v>6.0E-4</v>
      </c>
      <c r="X6" s="48"/>
      <c r="Y6" s="48">
        <v>4.0</v>
      </c>
      <c r="Z6" s="48">
        <v>3.0</v>
      </c>
      <c r="AA6" s="48">
        <v>5.0</v>
      </c>
      <c r="AB6" s="48">
        <v>0.0</v>
      </c>
      <c r="AC6" s="48">
        <v>0.0</v>
      </c>
      <c r="AD6" s="48">
        <v>0.0</v>
      </c>
      <c r="AE6" s="48">
        <v>0.0</v>
      </c>
      <c r="AF6" s="47" t="s">
        <v>42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7" t="s">
        <v>40</v>
      </c>
      <c r="G7" s="8"/>
      <c r="H7" s="47"/>
      <c r="I7" s="8"/>
      <c r="J7" s="8"/>
      <c r="K7" s="8"/>
      <c r="L7" s="8"/>
      <c r="M7" s="8"/>
      <c r="N7" s="8"/>
      <c r="O7" s="47" t="s">
        <v>25</v>
      </c>
      <c r="P7" s="47" t="s">
        <v>41</v>
      </c>
      <c r="Q7" s="48">
        <v>100.0</v>
      </c>
      <c r="R7" s="48">
        <v>10.0</v>
      </c>
      <c r="S7" s="48">
        <v>0.0</v>
      </c>
      <c r="T7" s="48">
        <v>0.0</v>
      </c>
      <c r="U7" s="48">
        <v>0.0</v>
      </c>
      <c r="V7" s="48">
        <v>0.0</v>
      </c>
      <c r="W7" s="48">
        <v>0.0</v>
      </c>
      <c r="X7" s="48"/>
      <c r="Y7" s="48">
        <v>0.0</v>
      </c>
      <c r="Z7" s="48">
        <v>0.0</v>
      </c>
      <c r="AA7" s="48">
        <v>0.0</v>
      </c>
      <c r="AB7" s="48">
        <v>0.0</v>
      </c>
      <c r="AC7" s="48">
        <v>0.0</v>
      </c>
      <c r="AD7" s="48">
        <v>0.0</v>
      </c>
      <c r="AE7" s="48">
        <v>0.0</v>
      </c>
      <c r="AF7" s="47" t="s">
        <v>43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7" t="s">
        <v>40</v>
      </c>
      <c r="G8" s="8"/>
      <c r="H8" s="47"/>
      <c r="I8" s="8"/>
      <c r="J8" s="8"/>
      <c r="K8" s="8"/>
      <c r="L8" s="8"/>
      <c r="M8" s="8"/>
      <c r="N8" s="8"/>
      <c r="O8" s="47" t="s">
        <v>25</v>
      </c>
      <c r="P8" s="47" t="s">
        <v>41</v>
      </c>
      <c r="Q8" s="48">
        <v>100.0</v>
      </c>
      <c r="R8" s="48">
        <v>10.0</v>
      </c>
      <c r="S8" s="48">
        <v>0.0</v>
      </c>
      <c r="T8" s="48">
        <v>0.0</v>
      </c>
      <c r="U8" s="48">
        <v>0.0</v>
      </c>
      <c r="V8" s="48">
        <v>0.0</v>
      </c>
      <c r="W8" s="48">
        <v>0.0</v>
      </c>
      <c r="X8" s="48"/>
      <c r="Y8" s="48">
        <v>0.0</v>
      </c>
      <c r="Z8" s="48">
        <v>0.0</v>
      </c>
      <c r="AA8" s="48">
        <v>0.0</v>
      </c>
      <c r="AB8" s="48">
        <v>0.0</v>
      </c>
      <c r="AC8" s="48">
        <v>0.0</v>
      </c>
      <c r="AD8" s="48">
        <v>0.0</v>
      </c>
      <c r="AE8" s="48">
        <v>0.0</v>
      </c>
      <c r="AF8" s="47" t="s">
        <v>43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7" t="s">
        <v>40</v>
      </c>
      <c r="G9" s="8"/>
      <c r="H9" s="47"/>
      <c r="I9" s="8"/>
      <c r="J9" s="8"/>
      <c r="K9" s="8"/>
      <c r="L9" s="8"/>
      <c r="M9" s="8"/>
      <c r="N9" s="8"/>
      <c r="O9" s="47" t="s">
        <v>25</v>
      </c>
      <c r="P9" s="47" t="s">
        <v>41</v>
      </c>
      <c r="Q9" s="48">
        <v>100.0</v>
      </c>
      <c r="R9" s="48">
        <v>10.0</v>
      </c>
      <c r="S9" s="48">
        <v>0.0</v>
      </c>
      <c r="T9" s="48">
        <v>0.0</v>
      </c>
      <c r="U9" s="48">
        <v>0.0</v>
      </c>
      <c r="V9" s="48">
        <v>0.0</v>
      </c>
      <c r="W9" s="48">
        <v>0.0</v>
      </c>
      <c r="X9" s="48"/>
      <c r="Y9" s="48">
        <v>0.0</v>
      </c>
      <c r="Z9" s="48">
        <v>0.0</v>
      </c>
      <c r="AA9" s="48">
        <v>0.0</v>
      </c>
      <c r="AB9" s="48">
        <v>0.0</v>
      </c>
      <c r="AC9" s="48">
        <v>0.0</v>
      </c>
      <c r="AD9" s="48">
        <v>0.0</v>
      </c>
      <c r="AE9" s="48">
        <v>0.0</v>
      </c>
      <c r="AF9" s="47" t="s">
        <v>43</v>
      </c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7" t="s">
        <v>40</v>
      </c>
      <c r="G10" s="8"/>
      <c r="H10" s="47"/>
      <c r="I10" s="8"/>
      <c r="J10" s="8"/>
      <c r="K10" s="8"/>
      <c r="L10" s="8"/>
      <c r="M10" s="8"/>
      <c r="N10" s="8"/>
      <c r="O10" s="47" t="s">
        <v>25</v>
      </c>
      <c r="P10" s="47" t="s">
        <v>41</v>
      </c>
      <c r="Q10" s="48">
        <v>100.0</v>
      </c>
      <c r="R10" s="48">
        <v>10.0</v>
      </c>
      <c r="S10" s="48">
        <v>0.0</v>
      </c>
      <c r="T10" s="48">
        <v>0.0</v>
      </c>
      <c r="U10" s="48">
        <v>0.0</v>
      </c>
      <c r="V10" s="48">
        <v>0.0</v>
      </c>
      <c r="W10" s="48">
        <v>0.0</v>
      </c>
      <c r="X10" s="48"/>
      <c r="Y10" s="48">
        <v>0.0</v>
      </c>
      <c r="Z10" s="48">
        <v>0.0</v>
      </c>
      <c r="AA10" s="48">
        <v>0.0</v>
      </c>
      <c r="AB10" s="48">
        <v>0.0</v>
      </c>
      <c r="AC10" s="48">
        <v>0.0</v>
      </c>
      <c r="AD10" s="48">
        <v>0.0</v>
      </c>
      <c r="AE10" s="48">
        <v>0.0</v>
      </c>
      <c r="AF10" s="47" t="s">
        <v>43</v>
      </c>
    </row>
    <row r="11" ht="15.75" customHeight="1">
      <c r="A11" s="8"/>
      <c r="B11" s="48">
        <v>0.0</v>
      </c>
      <c r="C11" s="48">
        <v>0.0</v>
      </c>
      <c r="D11" s="48">
        <v>0.0</v>
      </c>
      <c r="E11" s="48">
        <v>0.0</v>
      </c>
      <c r="F11" s="47" t="s">
        <v>40</v>
      </c>
      <c r="G11" s="8"/>
      <c r="H11" s="47"/>
      <c r="I11" s="8"/>
      <c r="J11" s="8"/>
      <c r="K11" s="8"/>
      <c r="L11" s="8"/>
      <c r="M11" s="8"/>
      <c r="N11" s="8"/>
      <c r="O11" s="47" t="s">
        <v>25</v>
      </c>
      <c r="P11" s="47" t="s">
        <v>41</v>
      </c>
      <c r="Q11" s="48">
        <v>100.0</v>
      </c>
      <c r="R11" s="48">
        <v>10.0</v>
      </c>
      <c r="S11" s="48">
        <v>0.0</v>
      </c>
      <c r="T11" s="48">
        <v>0.0</v>
      </c>
      <c r="U11" s="48">
        <v>0.0</v>
      </c>
      <c r="V11" s="48">
        <v>0.0</v>
      </c>
      <c r="W11" s="48">
        <v>0.0</v>
      </c>
      <c r="X11" s="48"/>
      <c r="Y11" s="48">
        <v>0.0</v>
      </c>
      <c r="Z11" s="48">
        <v>0.0</v>
      </c>
      <c r="AA11" s="48">
        <v>0.0</v>
      </c>
      <c r="AB11" s="48">
        <v>0.0</v>
      </c>
      <c r="AC11" s="48">
        <v>0.0</v>
      </c>
      <c r="AD11" s="48">
        <v>0.0</v>
      </c>
      <c r="AE11" s="48">
        <v>0.0</v>
      </c>
      <c r="AF11" s="47" t="s">
        <v>43</v>
      </c>
    </row>
    <row r="12" ht="15.75" customHeight="1">
      <c r="A12" s="8"/>
      <c r="B12" s="48">
        <v>0.0</v>
      </c>
      <c r="C12" s="48">
        <v>0.0</v>
      </c>
      <c r="D12" s="48">
        <v>0.0</v>
      </c>
      <c r="E12" s="48">
        <v>0.0</v>
      </c>
      <c r="F12" s="47" t="s">
        <v>40</v>
      </c>
      <c r="G12" s="8"/>
      <c r="H12" s="47"/>
      <c r="I12" s="8"/>
      <c r="J12" s="8"/>
      <c r="K12" s="8"/>
      <c r="L12" s="8"/>
      <c r="M12" s="8"/>
      <c r="N12" s="8"/>
      <c r="O12" s="47" t="s">
        <v>25</v>
      </c>
      <c r="P12" s="47" t="s">
        <v>41</v>
      </c>
      <c r="Q12" s="48">
        <v>100.0</v>
      </c>
      <c r="R12" s="48">
        <v>10.0</v>
      </c>
      <c r="S12" s="48">
        <v>0.0</v>
      </c>
      <c r="T12" s="48">
        <v>0.0</v>
      </c>
      <c r="U12" s="48">
        <v>0.0</v>
      </c>
      <c r="V12" s="48">
        <v>0.0</v>
      </c>
      <c r="W12" s="48">
        <v>0.0</v>
      </c>
      <c r="X12" s="48"/>
      <c r="Y12" s="48">
        <v>0.0</v>
      </c>
      <c r="Z12" s="48">
        <v>0.0</v>
      </c>
      <c r="AA12" s="48">
        <v>0.0</v>
      </c>
      <c r="AB12" s="48">
        <v>0.0</v>
      </c>
      <c r="AC12" s="48">
        <v>0.0</v>
      </c>
      <c r="AD12" s="48">
        <v>0.0</v>
      </c>
      <c r="AE12" s="48">
        <v>0.0</v>
      </c>
      <c r="AF12" s="47" t="s">
        <v>43</v>
      </c>
    </row>
    <row r="13" ht="15.75" customHeight="1">
      <c r="A13" s="8"/>
      <c r="B13" s="46">
        <v>6000.0</v>
      </c>
      <c r="C13" s="46">
        <v>6000.0</v>
      </c>
      <c r="D13" s="46">
        <v>6000.0</v>
      </c>
      <c r="E13" s="46">
        <v>6000.0</v>
      </c>
      <c r="F13" s="47" t="s">
        <v>44</v>
      </c>
      <c r="G13" s="8"/>
      <c r="H13" s="47"/>
      <c r="I13" s="8"/>
      <c r="J13" s="8"/>
      <c r="K13" s="8"/>
      <c r="L13" s="8"/>
      <c r="M13" s="8"/>
      <c r="N13" s="8"/>
      <c r="O13" s="47" t="s">
        <v>25</v>
      </c>
      <c r="P13" s="47" t="s">
        <v>41</v>
      </c>
      <c r="Q13" s="48">
        <v>100.0</v>
      </c>
      <c r="R13" s="48">
        <v>100.0</v>
      </c>
      <c r="S13" s="48">
        <v>0.0</v>
      </c>
      <c r="T13" s="48">
        <v>0.0</v>
      </c>
      <c r="U13" s="48">
        <v>0.0</v>
      </c>
      <c r="V13" s="48">
        <v>0.0</v>
      </c>
      <c r="W13" s="48">
        <v>0.0</v>
      </c>
      <c r="X13" s="48"/>
      <c r="Y13" s="48">
        <v>0.0</v>
      </c>
      <c r="Z13" s="48">
        <v>0.0</v>
      </c>
      <c r="AA13" s="48">
        <v>0.0</v>
      </c>
      <c r="AB13" s="48">
        <v>0.0</v>
      </c>
      <c r="AC13" s="48">
        <v>0.0</v>
      </c>
      <c r="AD13" s="48">
        <v>0.0</v>
      </c>
      <c r="AE13" s="48">
        <v>0.0</v>
      </c>
      <c r="AF13" s="47" t="s">
        <v>42</v>
      </c>
    </row>
    <row r="14" ht="15.75" customHeight="1">
      <c r="A14" s="8"/>
      <c r="B14" s="46">
        <v>54000.0</v>
      </c>
      <c r="C14" s="46">
        <v>54000.0</v>
      </c>
      <c r="D14" s="46">
        <v>54000.0</v>
      </c>
      <c r="E14" s="46">
        <v>54000.0</v>
      </c>
      <c r="F14" s="47" t="s">
        <v>40</v>
      </c>
      <c r="G14" s="8"/>
      <c r="H14" s="47"/>
      <c r="I14" s="8"/>
      <c r="J14" s="8"/>
      <c r="K14" s="8"/>
      <c r="L14" s="8"/>
      <c r="M14" s="8"/>
      <c r="N14" s="8"/>
      <c r="O14" s="47" t="s">
        <v>25</v>
      </c>
      <c r="P14" s="47" t="s">
        <v>41</v>
      </c>
      <c r="Q14" s="48">
        <v>100.0</v>
      </c>
      <c r="R14" s="46">
        <v>900.0</v>
      </c>
      <c r="S14" s="48">
        <v>0.0</v>
      </c>
      <c r="T14" s="48">
        <v>0.0</v>
      </c>
      <c r="U14" s="48">
        <v>0.0</v>
      </c>
      <c r="V14" s="48">
        <v>0.0</v>
      </c>
      <c r="W14" s="48">
        <v>0.0</v>
      </c>
      <c r="X14" s="48"/>
      <c r="Y14" s="48">
        <v>0.0</v>
      </c>
      <c r="Z14" s="48">
        <v>0.0</v>
      </c>
      <c r="AA14" s="48">
        <v>0.0</v>
      </c>
      <c r="AB14" s="48">
        <v>0.0</v>
      </c>
      <c r="AC14" s="48">
        <v>0.0</v>
      </c>
      <c r="AD14" s="48">
        <v>0.0</v>
      </c>
      <c r="AE14" s="48">
        <v>0.0</v>
      </c>
      <c r="AF14" s="47" t="s">
        <v>42</v>
      </c>
    </row>
    <row r="15" ht="15.75" customHeight="1">
      <c r="A15" s="8"/>
      <c r="B15" s="46">
        <v>60000.0</v>
      </c>
      <c r="C15" s="46">
        <v>60000.0</v>
      </c>
      <c r="D15" s="46">
        <v>60000.0</v>
      </c>
      <c r="E15" s="46">
        <v>60000.0</v>
      </c>
      <c r="F15" s="47" t="s">
        <v>44</v>
      </c>
      <c r="G15" s="8"/>
      <c r="H15" s="47"/>
      <c r="I15" s="8"/>
      <c r="J15" s="8"/>
      <c r="K15" s="8"/>
      <c r="L15" s="8"/>
      <c r="M15" s="8"/>
      <c r="N15" s="8"/>
      <c r="O15" s="47" t="s">
        <v>25</v>
      </c>
      <c r="P15" s="47" t="s">
        <v>41</v>
      </c>
      <c r="Q15" s="48">
        <v>100.0</v>
      </c>
      <c r="R15" s="46">
        <v>1000.0</v>
      </c>
      <c r="S15" s="48">
        <v>0.0</v>
      </c>
      <c r="T15" s="48">
        <v>0.0</v>
      </c>
      <c r="U15" s="48">
        <v>0.0</v>
      </c>
      <c r="V15" s="48">
        <v>0.0</v>
      </c>
      <c r="W15" s="48">
        <v>0.0</v>
      </c>
      <c r="X15" s="48"/>
      <c r="Y15" s="48">
        <v>0.0</v>
      </c>
      <c r="Z15" s="48">
        <v>0.0</v>
      </c>
      <c r="AA15" s="48">
        <v>0.0</v>
      </c>
      <c r="AB15" s="48">
        <v>0.0</v>
      </c>
      <c r="AC15" s="48">
        <v>0.0</v>
      </c>
      <c r="AD15" s="48">
        <v>0.0</v>
      </c>
      <c r="AE15" s="48">
        <v>0.0</v>
      </c>
      <c r="AF15" s="47" t="s">
        <v>42</v>
      </c>
    </row>
    <row r="16" ht="15.75" customHeight="1">
      <c r="A16" s="8"/>
      <c r="B16" s="46">
        <v>50000.0</v>
      </c>
      <c r="C16" s="46">
        <v>50000.0</v>
      </c>
      <c r="D16" s="46">
        <v>50000.0</v>
      </c>
      <c r="E16" s="46">
        <v>50000.0</v>
      </c>
      <c r="F16" s="47" t="s">
        <v>44</v>
      </c>
      <c r="G16" s="8"/>
      <c r="H16" s="47"/>
      <c r="I16" s="8"/>
      <c r="J16" s="8"/>
      <c r="K16" s="8"/>
      <c r="L16" s="8"/>
      <c r="M16" s="8"/>
      <c r="N16" s="8"/>
      <c r="O16" s="47" t="s">
        <v>25</v>
      </c>
      <c r="P16" s="47" t="s">
        <v>41</v>
      </c>
      <c r="Q16" s="48">
        <v>100.0</v>
      </c>
      <c r="R16" s="46">
        <v>1000.0</v>
      </c>
      <c r="S16" s="48">
        <v>0.0</v>
      </c>
      <c r="T16" s="48">
        <v>0.0</v>
      </c>
      <c r="U16" s="48">
        <v>0.0</v>
      </c>
      <c r="V16" s="48">
        <v>0.0</v>
      </c>
      <c r="W16" s="48">
        <v>0.0</v>
      </c>
      <c r="X16" s="48"/>
      <c r="Y16" s="48">
        <v>0.0</v>
      </c>
      <c r="Z16" s="48">
        <v>0.0</v>
      </c>
      <c r="AA16" s="48">
        <v>0.0</v>
      </c>
      <c r="AB16" s="48">
        <v>0.0</v>
      </c>
      <c r="AC16" s="48">
        <v>0.0</v>
      </c>
      <c r="AD16" s="48">
        <v>0.0</v>
      </c>
      <c r="AE16" s="48">
        <v>0.0</v>
      </c>
      <c r="AF16" s="47" t="s">
        <v>42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0" t="s">
        <v>47</v>
      </c>
      <c r="B6" s="50"/>
      <c r="C6" s="8" t="s">
        <v>23</v>
      </c>
      <c r="D6" s="50">
        <v>-1100.0</v>
      </c>
      <c r="E6" s="8" t="s">
        <v>25</v>
      </c>
      <c r="F6" s="8" t="s">
        <v>48</v>
      </c>
      <c r="G6" s="8">
        <v>1.0</v>
      </c>
      <c r="H6" s="8" t="s">
        <v>49</v>
      </c>
      <c r="I6" s="8"/>
      <c r="J6" s="8"/>
      <c r="K6" s="8"/>
      <c r="L6" s="8"/>
      <c r="M6" s="8"/>
      <c r="N6" s="8"/>
      <c r="O6" s="8" t="s">
        <v>50</v>
      </c>
      <c r="R6" t="s">
        <v>51</v>
      </c>
      <c r="T6" t="s">
        <v>52</v>
      </c>
      <c r="U6" t="s">
        <v>53</v>
      </c>
      <c r="V6" t="s">
        <v>54</v>
      </c>
      <c r="W6" t="s">
        <v>55</v>
      </c>
      <c r="Y6">
        <v>1.0</v>
      </c>
      <c r="AN6" t="s">
        <v>24</v>
      </c>
      <c r="AP6" t="s">
        <v>56</v>
      </c>
      <c r="AQ6" t="s">
        <v>23</v>
      </c>
      <c r="AV6">
        <v>1.0</v>
      </c>
      <c r="BC6">
        <v>1.0</v>
      </c>
      <c r="BE6" t="s">
        <v>52</v>
      </c>
      <c r="BF6" t="s">
        <v>57</v>
      </c>
      <c r="BG6" t="s">
        <v>58</v>
      </c>
      <c r="BQ6" t="s">
        <v>59</v>
      </c>
      <c r="BU6" t="s">
        <v>52</v>
      </c>
      <c r="BW6">
        <v>0.0</v>
      </c>
      <c r="CY6" t="s">
        <v>60</v>
      </c>
      <c r="CZ6" t="s">
        <v>61</v>
      </c>
      <c r="DJ6" t="s">
        <v>24</v>
      </c>
      <c r="FA6" t="s">
        <v>47</v>
      </c>
      <c r="FB6" t="s">
        <v>47</v>
      </c>
      <c r="FC6" t="s">
        <v>62</v>
      </c>
      <c r="FD6">
        <v>0.0</v>
      </c>
      <c r="FE6" t="s">
        <v>47</v>
      </c>
      <c r="FF6">
        <v>0.0</v>
      </c>
      <c r="FG6">
        <v>0.0</v>
      </c>
      <c r="FH6" t="s">
        <v>47</v>
      </c>
      <c r="FI6" t="s">
        <v>47</v>
      </c>
      <c r="FK6" t="s">
        <v>47</v>
      </c>
      <c r="FL6" t="s">
        <v>47</v>
      </c>
      <c r="FM6" t="s">
        <v>47</v>
      </c>
      <c r="FN6" t="s">
        <v>47</v>
      </c>
      <c r="FO6" t="s">
        <v>47</v>
      </c>
      <c r="FP6" t="s">
        <v>47</v>
      </c>
      <c r="FQ6" t="s">
        <v>47</v>
      </c>
    </row>
    <row r="7" ht="15.75" customHeight="1">
      <c r="A7" s="8" t="s">
        <v>47</v>
      </c>
      <c r="B7" s="8"/>
      <c r="C7" s="8" t="s">
        <v>16</v>
      </c>
      <c r="D7" s="8">
        <v>10.0</v>
      </c>
      <c r="E7" s="8" t="s">
        <v>25</v>
      </c>
      <c r="F7" s="8" t="s">
        <v>48</v>
      </c>
      <c r="G7" s="8">
        <v>1.0</v>
      </c>
      <c r="H7" s="8" t="s">
        <v>49</v>
      </c>
      <c r="I7" s="8"/>
      <c r="J7" s="8"/>
      <c r="K7" s="8"/>
      <c r="L7" s="8"/>
      <c r="M7" s="8"/>
      <c r="N7" s="8"/>
      <c r="O7" s="8" t="s">
        <v>63</v>
      </c>
      <c r="R7" t="s">
        <v>51</v>
      </c>
      <c r="T7" t="s">
        <v>35</v>
      </c>
      <c r="U7" t="s">
        <v>53</v>
      </c>
      <c r="V7" t="s">
        <v>64</v>
      </c>
      <c r="W7" t="s">
        <v>55</v>
      </c>
      <c r="Y7">
        <v>1.0</v>
      </c>
      <c r="AN7" t="s">
        <v>26</v>
      </c>
      <c r="AP7" t="s">
        <v>49</v>
      </c>
      <c r="AQ7" t="s">
        <v>23</v>
      </c>
      <c r="AV7">
        <v>1.0</v>
      </c>
      <c r="BC7">
        <v>1.0</v>
      </c>
      <c r="BE7" t="s">
        <v>65</v>
      </c>
      <c r="BF7" t="s">
        <v>57</v>
      </c>
      <c r="BG7" t="s">
        <v>66</v>
      </c>
      <c r="BQ7" t="s">
        <v>59</v>
      </c>
      <c r="BU7" t="s">
        <v>67</v>
      </c>
      <c r="BW7">
        <v>50.0</v>
      </c>
      <c r="CY7" t="s">
        <v>60</v>
      </c>
      <c r="CZ7" t="s">
        <v>61</v>
      </c>
      <c r="DJ7" t="s">
        <v>26</v>
      </c>
      <c r="FA7" t="s">
        <v>47</v>
      </c>
      <c r="FB7" t="s">
        <v>47</v>
      </c>
      <c r="FC7" t="s">
        <v>68</v>
      </c>
      <c r="FD7">
        <v>0.0</v>
      </c>
      <c r="FE7" t="s">
        <v>47</v>
      </c>
      <c r="FF7">
        <v>0.0</v>
      </c>
      <c r="FG7">
        <v>-1000.0</v>
      </c>
      <c r="FH7" t="s">
        <v>47</v>
      </c>
      <c r="FI7" t="s">
        <v>47</v>
      </c>
      <c r="FK7" t="s">
        <v>47</v>
      </c>
      <c r="FL7" t="s">
        <v>47</v>
      </c>
      <c r="FM7" t="s">
        <v>47</v>
      </c>
      <c r="FN7" t="s">
        <v>47</v>
      </c>
      <c r="FO7" t="s">
        <v>47</v>
      </c>
      <c r="FP7" t="s">
        <v>47</v>
      </c>
      <c r="FQ7" t="s">
        <v>47</v>
      </c>
    </row>
    <row r="8" ht="15.75" customHeight="1">
      <c r="A8" s="8" t="s">
        <v>47</v>
      </c>
      <c r="B8" s="8"/>
      <c r="C8" s="8" t="s">
        <v>17</v>
      </c>
      <c r="D8" s="8">
        <v>10.0</v>
      </c>
      <c r="E8" s="8" t="s">
        <v>25</v>
      </c>
      <c r="F8" s="8" t="s">
        <v>48</v>
      </c>
      <c r="G8" s="8">
        <v>1.0</v>
      </c>
      <c r="H8" s="8" t="s">
        <v>49</v>
      </c>
      <c r="I8" s="8"/>
      <c r="J8" s="8"/>
      <c r="K8" s="8"/>
      <c r="L8" s="8"/>
      <c r="M8" s="8"/>
      <c r="N8" s="8"/>
      <c r="O8" s="8" t="s">
        <v>17</v>
      </c>
      <c r="R8" t="s">
        <v>51</v>
      </c>
      <c r="T8" t="s">
        <v>35</v>
      </c>
      <c r="U8" t="s">
        <v>53</v>
      </c>
      <c r="V8" t="s">
        <v>64</v>
      </c>
      <c r="W8" t="s">
        <v>55</v>
      </c>
      <c r="Y8">
        <v>1.0</v>
      </c>
      <c r="AN8" t="s">
        <v>26</v>
      </c>
      <c r="AP8" t="s">
        <v>49</v>
      </c>
      <c r="AQ8" t="s">
        <v>23</v>
      </c>
      <c r="AV8">
        <v>1.0</v>
      </c>
      <c r="BC8">
        <v>1.0</v>
      </c>
      <c r="BE8" t="s">
        <v>65</v>
      </c>
      <c r="BF8" t="s">
        <v>66</v>
      </c>
      <c r="BG8" t="s">
        <v>66</v>
      </c>
      <c r="BQ8" t="s">
        <v>59</v>
      </c>
      <c r="BU8" t="s">
        <v>67</v>
      </c>
      <c r="BW8">
        <v>60.0</v>
      </c>
      <c r="CY8" t="s">
        <v>60</v>
      </c>
      <c r="CZ8" t="s">
        <v>61</v>
      </c>
      <c r="DJ8" t="s">
        <v>26</v>
      </c>
      <c r="FA8" t="s">
        <v>47</v>
      </c>
      <c r="FB8" t="s">
        <v>47</v>
      </c>
      <c r="FC8" t="s">
        <v>68</v>
      </c>
      <c r="FD8">
        <v>0.0</v>
      </c>
      <c r="FE8" t="s">
        <v>47</v>
      </c>
      <c r="FF8">
        <v>0.0</v>
      </c>
      <c r="FG8">
        <v>-1000.0</v>
      </c>
      <c r="FH8" t="s">
        <v>47</v>
      </c>
      <c r="FI8" t="s">
        <v>47</v>
      </c>
      <c r="FK8" t="s">
        <v>47</v>
      </c>
      <c r="FL8" t="s">
        <v>47</v>
      </c>
      <c r="FM8" t="s">
        <v>47</v>
      </c>
      <c r="FN8" t="s">
        <v>47</v>
      </c>
      <c r="FO8" t="s">
        <v>47</v>
      </c>
      <c r="FP8" t="s">
        <v>47</v>
      </c>
      <c r="FQ8" t="s">
        <v>47</v>
      </c>
    </row>
    <row r="9" ht="15.75" customHeight="1">
      <c r="A9" s="8" t="s">
        <v>47</v>
      </c>
      <c r="B9" s="8"/>
      <c r="C9" s="8" t="s">
        <v>17</v>
      </c>
      <c r="D9" s="8">
        <v>10.0</v>
      </c>
      <c r="E9" s="8" t="s">
        <v>25</v>
      </c>
      <c r="F9" s="8" t="s">
        <v>48</v>
      </c>
      <c r="G9" s="8">
        <v>1.0</v>
      </c>
      <c r="H9" s="8" t="s">
        <v>49</v>
      </c>
      <c r="I9" s="8"/>
      <c r="J9" s="8"/>
      <c r="K9" s="8"/>
      <c r="L9" s="8"/>
      <c r="M9" s="8"/>
      <c r="N9" s="8"/>
      <c r="O9" s="8" t="s">
        <v>17</v>
      </c>
      <c r="R9" t="s">
        <v>51</v>
      </c>
      <c r="T9" t="s">
        <v>35</v>
      </c>
      <c r="U9" t="s">
        <v>53</v>
      </c>
      <c r="V9" t="s">
        <v>64</v>
      </c>
      <c r="W9" t="s">
        <v>55</v>
      </c>
      <c r="Y9">
        <v>1.0</v>
      </c>
      <c r="AN9" t="s">
        <v>26</v>
      </c>
      <c r="AP9" t="s">
        <v>49</v>
      </c>
      <c r="AQ9" t="s">
        <v>23</v>
      </c>
      <c r="AV9">
        <v>1.0</v>
      </c>
      <c r="BC9">
        <v>1.0</v>
      </c>
      <c r="BE9" t="s">
        <v>65</v>
      </c>
      <c r="BF9" t="s">
        <v>66</v>
      </c>
      <c r="BG9" t="s">
        <v>66</v>
      </c>
      <c r="BQ9" t="s">
        <v>59</v>
      </c>
      <c r="BU9" t="s">
        <v>67</v>
      </c>
      <c r="BW9">
        <v>60.0</v>
      </c>
      <c r="CY9" t="s">
        <v>60</v>
      </c>
      <c r="CZ9" t="s">
        <v>61</v>
      </c>
      <c r="DJ9" t="s">
        <v>26</v>
      </c>
      <c r="FA9" t="s">
        <v>47</v>
      </c>
      <c r="FB9" t="s">
        <v>47</v>
      </c>
      <c r="FC9" t="s">
        <v>68</v>
      </c>
      <c r="FD9">
        <v>0.0</v>
      </c>
      <c r="FE9" t="s">
        <v>47</v>
      </c>
      <c r="FF9">
        <v>0.0</v>
      </c>
      <c r="FG9">
        <v>-1000.0</v>
      </c>
      <c r="FH9" t="s">
        <v>47</v>
      </c>
      <c r="FI9" t="s">
        <v>47</v>
      </c>
      <c r="FK9" t="s">
        <v>47</v>
      </c>
      <c r="FL9" t="s">
        <v>47</v>
      </c>
      <c r="FM9" t="s">
        <v>47</v>
      </c>
      <c r="FN9" t="s">
        <v>47</v>
      </c>
      <c r="FO9" t="s">
        <v>47</v>
      </c>
      <c r="FP9" t="s">
        <v>47</v>
      </c>
      <c r="FQ9" t="s">
        <v>47</v>
      </c>
    </row>
    <row r="10" ht="15.75" customHeight="1">
      <c r="A10" s="8" t="s">
        <v>47</v>
      </c>
      <c r="B10" s="8"/>
      <c r="C10" s="8" t="s">
        <v>17</v>
      </c>
      <c r="D10" s="8">
        <v>-10.0</v>
      </c>
      <c r="E10" s="8" t="s">
        <v>25</v>
      </c>
      <c r="F10" s="8" t="s">
        <v>48</v>
      </c>
      <c r="G10" s="8">
        <v>0.0</v>
      </c>
      <c r="H10" s="8" t="s">
        <v>49</v>
      </c>
      <c r="I10" s="8"/>
      <c r="J10" s="8"/>
      <c r="K10" s="8"/>
      <c r="L10" s="8"/>
      <c r="M10" s="8"/>
      <c r="N10" s="8"/>
      <c r="O10" s="8" t="s">
        <v>17</v>
      </c>
      <c r="R10" t="s">
        <v>51</v>
      </c>
      <c r="T10" t="s">
        <v>35</v>
      </c>
      <c r="U10" t="s">
        <v>53</v>
      </c>
      <c r="V10" t="s">
        <v>64</v>
      </c>
      <c r="W10" t="s">
        <v>55</v>
      </c>
      <c r="Y10">
        <v>1.0</v>
      </c>
      <c r="AN10" t="s">
        <v>69</v>
      </c>
      <c r="AP10" t="s">
        <v>49</v>
      </c>
      <c r="AQ10" t="s">
        <v>23</v>
      </c>
      <c r="AV10">
        <v>1.0</v>
      </c>
      <c r="BC10">
        <v>1.0</v>
      </c>
      <c r="BE10" t="s">
        <v>65</v>
      </c>
      <c r="BF10" t="s">
        <v>66</v>
      </c>
      <c r="BG10" t="s">
        <v>66</v>
      </c>
      <c r="BQ10" t="s">
        <v>59</v>
      </c>
      <c r="BU10" t="s">
        <v>67</v>
      </c>
      <c r="BW10">
        <v>60.0</v>
      </c>
      <c r="CY10" t="s">
        <v>60</v>
      </c>
      <c r="CZ10" t="s">
        <v>61</v>
      </c>
      <c r="DJ10" t="s">
        <v>70</v>
      </c>
      <c r="FA10" t="s">
        <v>47</v>
      </c>
      <c r="FB10" t="s">
        <v>47</v>
      </c>
      <c r="FC10" t="s">
        <v>68</v>
      </c>
      <c r="FD10">
        <v>0.0</v>
      </c>
      <c r="FE10" t="s">
        <v>47</v>
      </c>
      <c r="FF10">
        <v>0.0</v>
      </c>
      <c r="FG10">
        <v>0.0</v>
      </c>
      <c r="FH10" t="s">
        <v>47</v>
      </c>
      <c r="FI10" t="s">
        <v>47</v>
      </c>
      <c r="FK10" t="s">
        <v>47</v>
      </c>
      <c r="FL10" t="s">
        <v>47</v>
      </c>
      <c r="FM10" t="s">
        <v>47</v>
      </c>
      <c r="FN10" t="s">
        <v>47</v>
      </c>
      <c r="FO10" t="s">
        <v>47</v>
      </c>
      <c r="FP10" t="s">
        <v>47</v>
      </c>
      <c r="FQ10" t="s">
        <v>47</v>
      </c>
    </row>
    <row r="11" ht="15.75" customHeight="1">
      <c r="A11" s="8" t="s">
        <v>47</v>
      </c>
      <c r="B11" s="8"/>
      <c r="C11" s="8" t="s">
        <v>17</v>
      </c>
      <c r="D11" s="8">
        <v>-10.0</v>
      </c>
      <c r="E11" s="8" t="s">
        <v>25</v>
      </c>
      <c r="F11" s="8" t="s">
        <v>48</v>
      </c>
      <c r="G11" s="8">
        <v>0.0</v>
      </c>
      <c r="H11" s="8" t="s">
        <v>49</v>
      </c>
      <c r="I11" s="8"/>
      <c r="J11" s="8"/>
      <c r="K11" s="8"/>
      <c r="L11" s="8"/>
      <c r="M11" s="8"/>
      <c r="N11" s="8"/>
      <c r="O11" s="8" t="s">
        <v>17</v>
      </c>
      <c r="R11" t="s">
        <v>51</v>
      </c>
      <c r="T11" t="s">
        <v>35</v>
      </c>
      <c r="U11" t="s">
        <v>53</v>
      </c>
      <c r="V11" t="s">
        <v>64</v>
      </c>
      <c r="W11" t="s">
        <v>55</v>
      </c>
      <c r="Y11">
        <v>1.0</v>
      </c>
      <c r="AN11" t="s">
        <v>69</v>
      </c>
      <c r="AP11" t="s">
        <v>49</v>
      </c>
      <c r="AQ11" t="s">
        <v>23</v>
      </c>
      <c r="AV11">
        <v>1.0</v>
      </c>
      <c r="BC11">
        <v>1.0</v>
      </c>
      <c r="BE11" t="s">
        <v>65</v>
      </c>
      <c r="BF11" t="s">
        <v>66</v>
      </c>
      <c r="BG11" t="s">
        <v>66</v>
      </c>
      <c r="BQ11" t="s">
        <v>59</v>
      </c>
      <c r="BU11" t="s">
        <v>67</v>
      </c>
      <c r="BW11">
        <v>60.0</v>
      </c>
      <c r="CY11" t="s">
        <v>60</v>
      </c>
      <c r="CZ11" t="s">
        <v>61</v>
      </c>
      <c r="DJ11" t="s">
        <v>70</v>
      </c>
      <c r="FA11" t="s">
        <v>47</v>
      </c>
      <c r="FB11" t="s">
        <v>47</v>
      </c>
      <c r="FC11" t="s">
        <v>68</v>
      </c>
      <c r="FD11">
        <v>0.0</v>
      </c>
      <c r="FE11" t="s">
        <v>47</v>
      </c>
      <c r="FF11">
        <v>0.0</v>
      </c>
      <c r="FG11">
        <v>0.0</v>
      </c>
      <c r="FH11" t="s">
        <v>47</v>
      </c>
      <c r="FI11" t="s">
        <v>47</v>
      </c>
      <c r="FK11" t="s">
        <v>47</v>
      </c>
      <c r="FL11" t="s">
        <v>47</v>
      </c>
      <c r="FM11" t="s">
        <v>47</v>
      </c>
      <c r="FN11" t="s">
        <v>47</v>
      </c>
      <c r="FO11" t="s">
        <v>47</v>
      </c>
      <c r="FP11" t="s">
        <v>47</v>
      </c>
      <c r="FQ11" t="s">
        <v>47</v>
      </c>
    </row>
    <row r="12" ht="15.75" customHeight="1">
      <c r="A12" s="8" t="s">
        <v>47</v>
      </c>
      <c r="B12" s="8"/>
      <c r="C12" s="8" t="s">
        <v>16</v>
      </c>
      <c r="D12" s="8">
        <v>-10.0</v>
      </c>
      <c r="E12" s="8" t="s">
        <v>25</v>
      </c>
      <c r="F12" s="8" t="s">
        <v>48</v>
      </c>
      <c r="G12" s="8">
        <v>0.0</v>
      </c>
      <c r="H12" s="8" t="s">
        <v>49</v>
      </c>
      <c r="I12" s="8"/>
      <c r="J12" s="8"/>
      <c r="K12" s="8"/>
      <c r="L12" s="8"/>
      <c r="M12" s="8"/>
      <c r="N12" s="8"/>
      <c r="O12" s="8" t="s">
        <v>63</v>
      </c>
      <c r="R12" t="s">
        <v>51</v>
      </c>
      <c r="T12" t="s">
        <v>35</v>
      </c>
      <c r="U12" t="s">
        <v>53</v>
      </c>
      <c r="V12" t="s">
        <v>64</v>
      </c>
      <c r="W12" t="s">
        <v>55</v>
      </c>
      <c r="Y12">
        <v>1.0</v>
      </c>
      <c r="AN12" t="s">
        <v>69</v>
      </c>
      <c r="AP12" t="s">
        <v>49</v>
      </c>
      <c r="AQ12" t="s">
        <v>23</v>
      </c>
      <c r="AV12">
        <v>1.0</v>
      </c>
      <c r="BC12">
        <v>1.0</v>
      </c>
      <c r="BE12" t="s">
        <v>65</v>
      </c>
      <c r="BF12" t="s">
        <v>57</v>
      </c>
      <c r="BG12" t="s">
        <v>66</v>
      </c>
      <c r="BQ12" t="s">
        <v>59</v>
      </c>
      <c r="BU12" t="s">
        <v>67</v>
      </c>
      <c r="BW12">
        <v>50.0</v>
      </c>
      <c r="CY12" t="s">
        <v>60</v>
      </c>
      <c r="CZ12" t="s">
        <v>61</v>
      </c>
      <c r="DJ12" t="s">
        <v>70</v>
      </c>
      <c r="FA12" t="s">
        <v>47</v>
      </c>
      <c r="FB12" t="s">
        <v>47</v>
      </c>
      <c r="FC12" t="s">
        <v>68</v>
      </c>
      <c r="FD12">
        <v>0.0</v>
      </c>
      <c r="FE12" t="s">
        <v>47</v>
      </c>
      <c r="FF12">
        <v>0.0</v>
      </c>
      <c r="FG12">
        <v>0.0</v>
      </c>
      <c r="FH12" t="s">
        <v>47</v>
      </c>
      <c r="FI12" t="s">
        <v>47</v>
      </c>
      <c r="FK12" t="s">
        <v>47</v>
      </c>
      <c r="FL12" t="s">
        <v>47</v>
      </c>
      <c r="FM12" t="s">
        <v>47</v>
      </c>
      <c r="FN12" t="s">
        <v>47</v>
      </c>
      <c r="FO12" t="s">
        <v>47</v>
      </c>
      <c r="FP12" t="s">
        <v>47</v>
      </c>
      <c r="FQ12" t="s">
        <v>47</v>
      </c>
    </row>
    <row r="13" ht="15.75" customHeight="1">
      <c r="A13" s="8" t="s">
        <v>47</v>
      </c>
      <c r="B13" s="8"/>
      <c r="C13" s="8" t="s">
        <v>23</v>
      </c>
      <c r="D13" s="8">
        <v>1000.0</v>
      </c>
      <c r="E13" s="8" t="s">
        <v>25</v>
      </c>
      <c r="F13" s="8" t="s">
        <v>48</v>
      </c>
      <c r="G13" s="8">
        <v>50.0</v>
      </c>
      <c r="H13" s="8" t="s">
        <v>49</v>
      </c>
      <c r="I13" s="8"/>
      <c r="J13" s="8"/>
      <c r="K13" s="8"/>
      <c r="L13" s="8"/>
      <c r="M13" s="8"/>
      <c r="N13" s="8"/>
      <c r="O13" s="8" t="s">
        <v>50</v>
      </c>
      <c r="R13" t="s">
        <v>51</v>
      </c>
      <c r="T13" t="s">
        <v>52</v>
      </c>
      <c r="U13" t="s">
        <v>53</v>
      </c>
      <c r="V13" t="s">
        <v>54</v>
      </c>
      <c r="W13" t="s">
        <v>55</v>
      </c>
      <c r="Y13">
        <v>1.0</v>
      </c>
      <c r="AN13" t="s">
        <v>71</v>
      </c>
      <c r="AP13" t="s">
        <v>49</v>
      </c>
      <c r="AQ13" t="s">
        <v>23</v>
      </c>
      <c r="AV13">
        <v>1.0</v>
      </c>
      <c r="BC13">
        <v>1.0</v>
      </c>
      <c r="BE13" t="s">
        <v>52</v>
      </c>
      <c r="BF13" t="s">
        <v>57</v>
      </c>
      <c r="BG13" t="s">
        <v>58</v>
      </c>
      <c r="BQ13" t="s">
        <v>59</v>
      </c>
      <c r="BU13" t="s">
        <v>52</v>
      </c>
      <c r="BW13">
        <v>0.0</v>
      </c>
      <c r="CY13" t="s">
        <v>60</v>
      </c>
      <c r="CZ13" t="s">
        <v>61</v>
      </c>
      <c r="DJ13" t="s">
        <v>70</v>
      </c>
      <c r="FA13" t="s">
        <v>47</v>
      </c>
      <c r="FB13" t="s">
        <v>47</v>
      </c>
      <c r="FC13" t="s">
        <v>62</v>
      </c>
      <c r="FD13">
        <v>0.0</v>
      </c>
      <c r="FE13" t="s">
        <v>47</v>
      </c>
      <c r="FF13">
        <v>0.0</v>
      </c>
      <c r="FG13">
        <v>0.0</v>
      </c>
      <c r="FH13" t="s">
        <v>47</v>
      </c>
      <c r="FI13" t="s">
        <v>47</v>
      </c>
      <c r="FK13" t="s">
        <v>47</v>
      </c>
      <c r="FL13" t="s">
        <v>47</v>
      </c>
      <c r="FM13" t="s">
        <v>47</v>
      </c>
      <c r="FN13" t="s">
        <v>47</v>
      </c>
      <c r="FO13" t="s">
        <v>47</v>
      </c>
      <c r="FP13" t="s">
        <v>47</v>
      </c>
      <c r="FQ13" t="s">
        <v>47</v>
      </c>
    </row>
    <row r="14" ht="15.75" customHeight="1">
      <c r="A14" s="8" t="s">
        <v>47</v>
      </c>
      <c r="B14" s="8"/>
      <c r="C14" s="8" t="s">
        <v>23</v>
      </c>
      <c r="D14" s="8">
        <v>100.0</v>
      </c>
      <c r="E14" s="8" t="s">
        <v>25</v>
      </c>
      <c r="F14" s="8" t="s">
        <v>48</v>
      </c>
      <c r="G14" s="8">
        <v>60.0</v>
      </c>
      <c r="H14" s="8" t="s">
        <v>49</v>
      </c>
      <c r="I14" s="8"/>
      <c r="J14" s="8"/>
      <c r="K14" s="8"/>
      <c r="L14" s="8"/>
      <c r="M14" s="8"/>
      <c r="N14" s="8"/>
      <c r="O14" s="8" t="s">
        <v>50</v>
      </c>
      <c r="R14" t="s">
        <v>51</v>
      </c>
      <c r="T14" t="s">
        <v>52</v>
      </c>
      <c r="U14" t="s">
        <v>53</v>
      </c>
      <c r="V14" t="s">
        <v>54</v>
      </c>
      <c r="W14" t="s">
        <v>55</v>
      </c>
      <c r="Y14">
        <v>1.0</v>
      </c>
      <c r="AN14" t="s">
        <v>72</v>
      </c>
      <c r="AP14" t="s">
        <v>56</v>
      </c>
      <c r="AQ14" t="s">
        <v>23</v>
      </c>
      <c r="AV14">
        <v>1.0</v>
      </c>
      <c r="BC14">
        <v>1.0</v>
      </c>
      <c r="BE14" t="s">
        <v>52</v>
      </c>
      <c r="BF14" t="s">
        <v>57</v>
      </c>
      <c r="BG14" t="s">
        <v>58</v>
      </c>
      <c r="BQ14" t="s">
        <v>59</v>
      </c>
      <c r="BU14" t="s">
        <v>52</v>
      </c>
      <c r="BW14">
        <v>0.0</v>
      </c>
      <c r="CY14" t="s">
        <v>60</v>
      </c>
      <c r="CZ14" t="s">
        <v>61</v>
      </c>
      <c r="DJ14" t="s">
        <v>70</v>
      </c>
      <c r="FA14" t="s">
        <v>47</v>
      </c>
      <c r="FB14" t="s">
        <v>47</v>
      </c>
      <c r="FC14" t="s">
        <v>62</v>
      </c>
      <c r="FD14">
        <v>0.0</v>
      </c>
      <c r="FE14" t="s">
        <v>47</v>
      </c>
      <c r="FF14">
        <v>0.0</v>
      </c>
      <c r="FG14">
        <v>0.0</v>
      </c>
      <c r="FH14" t="s">
        <v>47</v>
      </c>
      <c r="FI14" t="s">
        <v>47</v>
      </c>
      <c r="FK14" t="s">
        <v>47</v>
      </c>
      <c r="FL14" t="s">
        <v>47</v>
      </c>
      <c r="FM14" t="s">
        <v>47</v>
      </c>
      <c r="FN14" t="s">
        <v>47</v>
      </c>
      <c r="FO14" t="s">
        <v>47</v>
      </c>
      <c r="FP14" t="s">
        <v>47</v>
      </c>
      <c r="FQ14" t="s">
        <v>47</v>
      </c>
    </row>
    <row r="15" ht="15.75" customHeight="1">
      <c r="A15" s="8" t="s">
        <v>47</v>
      </c>
      <c r="B15" s="8"/>
      <c r="C15" s="8" t="s">
        <v>23</v>
      </c>
      <c r="D15" s="8">
        <v>900.0</v>
      </c>
      <c r="E15" s="8" t="s">
        <v>25</v>
      </c>
      <c r="F15" s="8" t="s">
        <v>48</v>
      </c>
      <c r="G15" s="8">
        <v>60.0</v>
      </c>
      <c r="H15" s="8" t="s">
        <v>49</v>
      </c>
      <c r="I15" s="8"/>
      <c r="J15" s="8"/>
      <c r="K15" s="8"/>
      <c r="L15" s="8"/>
      <c r="M15" s="8"/>
      <c r="N15" s="8"/>
      <c r="O15" s="8" t="s">
        <v>50</v>
      </c>
      <c r="R15" t="s">
        <v>51</v>
      </c>
      <c r="T15" t="s">
        <v>52</v>
      </c>
      <c r="U15" t="s">
        <v>53</v>
      </c>
      <c r="V15" t="s">
        <v>54</v>
      </c>
      <c r="W15" t="s">
        <v>55</v>
      </c>
      <c r="Y15">
        <v>1.0</v>
      </c>
      <c r="AN15" t="s">
        <v>71</v>
      </c>
      <c r="AP15" t="s">
        <v>49</v>
      </c>
      <c r="AQ15" t="s">
        <v>23</v>
      </c>
      <c r="AV15">
        <v>1.0</v>
      </c>
      <c r="BC15">
        <v>1.0</v>
      </c>
      <c r="BE15" t="s">
        <v>52</v>
      </c>
      <c r="BF15" t="s">
        <v>57</v>
      </c>
      <c r="BG15" t="s">
        <v>58</v>
      </c>
      <c r="BQ15" t="s">
        <v>59</v>
      </c>
      <c r="BU15" t="s">
        <v>52</v>
      </c>
      <c r="BW15">
        <v>0.0</v>
      </c>
      <c r="CY15" t="s">
        <v>60</v>
      </c>
      <c r="CZ15" t="s">
        <v>61</v>
      </c>
      <c r="DJ15" t="s">
        <v>70</v>
      </c>
      <c r="FA15" t="s">
        <v>47</v>
      </c>
      <c r="FB15" t="s">
        <v>47</v>
      </c>
      <c r="FC15" t="s">
        <v>62</v>
      </c>
      <c r="FD15">
        <v>0.0</v>
      </c>
      <c r="FE15" t="s">
        <v>47</v>
      </c>
      <c r="FF15">
        <v>0.0</v>
      </c>
      <c r="FG15">
        <v>0.0</v>
      </c>
      <c r="FH15" t="s">
        <v>47</v>
      </c>
      <c r="FI15" t="s">
        <v>47</v>
      </c>
      <c r="FK15" t="s">
        <v>47</v>
      </c>
      <c r="FL15" t="s">
        <v>47</v>
      </c>
      <c r="FM15" t="s">
        <v>47</v>
      </c>
      <c r="FN15" t="s">
        <v>47</v>
      </c>
      <c r="FO15" t="s">
        <v>47</v>
      </c>
      <c r="FP15" t="s">
        <v>47</v>
      </c>
      <c r="FQ15" t="s">
        <v>47</v>
      </c>
    </row>
    <row r="16" ht="15.75" customHeight="1">
      <c r="A16" s="8" t="s">
        <v>47</v>
      </c>
      <c r="B16" s="8"/>
      <c r="C16" s="8" t="s">
        <v>23</v>
      </c>
      <c r="D16" s="8">
        <v>1000.0</v>
      </c>
      <c r="E16" s="8" t="s">
        <v>25</v>
      </c>
      <c r="F16" s="8" t="s">
        <v>48</v>
      </c>
      <c r="G16" s="8">
        <v>60.0</v>
      </c>
      <c r="H16" s="8" t="s">
        <v>49</v>
      </c>
      <c r="I16" s="8"/>
      <c r="J16" s="8"/>
      <c r="K16" s="8"/>
      <c r="L16" s="8"/>
      <c r="M16" s="8"/>
      <c r="N16" s="8"/>
      <c r="O16" s="8" t="s">
        <v>50</v>
      </c>
      <c r="R16" t="s">
        <v>51</v>
      </c>
      <c r="T16" t="s">
        <v>52</v>
      </c>
      <c r="U16" t="s">
        <v>53</v>
      </c>
      <c r="V16" t="s">
        <v>54</v>
      </c>
      <c r="W16" t="s">
        <v>55</v>
      </c>
      <c r="Y16">
        <v>1.0</v>
      </c>
      <c r="AN16" t="s">
        <v>72</v>
      </c>
      <c r="AP16" t="s">
        <v>56</v>
      </c>
      <c r="AQ16" t="s">
        <v>23</v>
      </c>
      <c r="AV16">
        <v>1.0</v>
      </c>
      <c r="BC16">
        <v>1.0</v>
      </c>
      <c r="BE16" t="s">
        <v>52</v>
      </c>
      <c r="BF16" t="s">
        <v>57</v>
      </c>
      <c r="BG16" t="s">
        <v>58</v>
      </c>
      <c r="BQ16" t="s">
        <v>59</v>
      </c>
      <c r="BU16" t="s">
        <v>52</v>
      </c>
      <c r="BW16">
        <v>0.0</v>
      </c>
      <c r="CY16" t="s">
        <v>60</v>
      </c>
      <c r="CZ16" t="s">
        <v>61</v>
      </c>
      <c r="DJ16" t="s">
        <v>70</v>
      </c>
      <c r="FA16" t="s">
        <v>47</v>
      </c>
      <c r="FB16" t="s">
        <v>47</v>
      </c>
      <c r="FC16" t="s">
        <v>62</v>
      </c>
      <c r="FD16">
        <v>0.0</v>
      </c>
      <c r="FE16" t="s">
        <v>47</v>
      </c>
      <c r="FF16">
        <v>0.0</v>
      </c>
      <c r="FG16">
        <v>0.0</v>
      </c>
      <c r="FH16" t="s">
        <v>47</v>
      </c>
      <c r="FI16" t="s">
        <v>47</v>
      </c>
      <c r="FK16" t="s">
        <v>47</v>
      </c>
      <c r="FL16" t="s">
        <v>47</v>
      </c>
      <c r="FM16" t="s">
        <v>47</v>
      </c>
      <c r="FN16" t="s">
        <v>47</v>
      </c>
      <c r="FO16" t="s">
        <v>47</v>
      </c>
      <c r="FP16" t="s">
        <v>47</v>
      </c>
      <c r="FQ16" t="s">
        <v>47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/>
      <c r="B6" s="47" t="s">
        <v>25</v>
      </c>
      <c r="C6" s="37"/>
      <c r="D6" s="34"/>
      <c r="E6" s="46">
        <v>1100.0</v>
      </c>
      <c r="F6" s="37"/>
      <c r="G6" s="37"/>
      <c r="H6" s="48">
        <v>4.0</v>
      </c>
      <c r="I6" s="48">
        <v>5.0</v>
      </c>
      <c r="J6" s="41"/>
      <c r="K6" s="48">
        <v>1.0</v>
      </c>
      <c r="L6" s="48">
        <v>1.0</v>
      </c>
      <c r="M6" s="37"/>
      <c r="N6" s="37"/>
      <c r="O6" s="47" t="s">
        <v>74</v>
      </c>
      <c r="P6" s="37"/>
      <c r="Q6" s="37"/>
      <c r="R6" s="37"/>
      <c r="S6" s="47" t="s">
        <v>42</v>
      </c>
      <c r="T6" s="37"/>
      <c r="U6" s="37"/>
      <c r="V6" s="37"/>
      <c r="W6" s="37"/>
      <c r="X6" s="37"/>
      <c r="Y6" s="37"/>
      <c r="Z6" s="37"/>
      <c r="AA6" s="37"/>
      <c r="AB6" s="43"/>
      <c r="AC6" s="37"/>
      <c r="AD6" s="47" t="s">
        <v>54</v>
      </c>
      <c r="AE6" s="46">
        <v>1100.0</v>
      </c>
      <c r="AF6" s="37"/>
      <c r="AG6" s="37"/>
      <c r="AH6" s="47" t="s">
        <v>40</v>
      </c>
      <c r="AI6" s="43"/>
      <c r="AJ6" s="37"/>
      <c r="AK6" s="37"/>
      <c r="AL6" s="37"/>
      <c r="AM6" s="37"/>
      <c r="AN6" s="37"/>
      <c r="AO6" s="37"/>
      <c r="AP6" s="47" t="b">
        <v>1</v>
      </c>
      <c r="AQ6" s="47" t="b">
        <v>0</v>
      </c>
      <c r="AR6" s="47" t="b">
        <v>1</v>
      </c>
      <c r="AS6" s="37"/>
      <c r="AT6" s="46">
        <v>1085.9994</v>
      </c>
      <c r="AU6" s="46">
        <v>1085.9994</v>
      </c>
      <c r="AV6" s="37"/>
      <c r="AW6" s="37"/>
      <c r="AX6" s="37"/>
      <c r="AY6" s="37"/>
      <c r="AZ6" s="37"/>
      <c r="BA6" s="37"/>
      <c r="BB6" s="37"/>
      <c r="BC6" s="37"/>
      <c r="BD6" s="37"/>
      <c r="BE6" s="46">
        <v>1100.0</v>
      </c>
      <c r="BF6" s="46">
        <v>1100.0</v>
      </c>
      <c r="BG6" s="37"/>
      <c r="BH6" s="37"/>
      <c r="BI6" s="37"/>
      <c r="BJ6" s="46">
        <v>1100.0</v>
      </c>
      <c r="BK6" s="37"/>
      <c r="BL6" s="37"/>
      <c r="BM6" s="47" t="s">
        <v>55</v>
      </c>
      <c r="BN6" s="37"/>
      <c r="BO6" s="47" t="s">
        <v>24</v>
      </c>
      <c r="BP6" s="37"/>
      <c r="BQ6" s="37"/>
      <c r="BR6" s="37"/>
      <c r="BS6" s="37"/>
      <c r="BT6" s="47" t="s">
        <v>23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43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43"/>
      <c r="FE6" s="37"/>
      <c r="FF6" s="37"/>
      <c r="FG6" s="43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37"/>
      <c r="B7" s="47" t="s">
        <v>25</v>
      </c>
      <c r="C7" s="37"/>
      <c r="D7" s="37"/>
      <c r="E7" s="48">
        <v>10.0</v>
      </c>
      <c r="F7" s="37"/>
      <c r="G7" s="37"/>
      <c r="H7" s="48">
        <v>0.0</v>
      </c>
      <c r="I7" s="48">
        <v>0.0</v>
      </c>
      <c r="J7" s="41"/>
      <c r="K7" s="48">
        <v>1.0</v>
      </c>
      <c r="L7" s="48">
        <v>1.0</v>
      </c>
      <c r="M7" s="37"/>
      <c r="N7" s="37"/>
      <c r="O7" s="47" t="s">
        <v>74</v>
      </c>
      <c r="P7" s="37"/>
      <c r="Q7" s="37"/>
      <c r="R7" s="37"/>
      <c r="S7" s="47" t="s">
        <v>43</v>
      </c>
      <c r="T7" s="37"/>
      <c r="U7" s="37"/>
      <c r="V7" s="37"/>
      <c r="W7" s="37"/>
      <c r="X7" s="37"/>
      <c r="Y7" s="37"/>
      <c r="Z7" s="37"/>
      <c r="AA7" s="37"/>
      <c r="AB7" s="43"/>
      <c r="AC7" s="37"/>
      <c r="AD7" s="47" t="s">
        <v>64</v>
      </c>
      <c r="AE7" s="48">
        <v>10.0</v>
      </c>
      <c r="AF7" s="37"/>
      <c r="AG7" s="37"/>
      <c r="AH7" s="47" t="s">
        <v>40</v>
      </c>
      <c r="AI7" s="43"/>
      <c r="AJ7" s="37"/>
      <c r="AK7" s="37"/>
      <c r="AL7" s="37"/>
      <c r="AM7" s="37"/>
      <c r="AN7" s="37"/>
      <c r="AO7" s="37"/>
      <c r="AP7" s="47" t="b">
        <v>1</v>
      </c>
      <c r="AQ7" s="47" t="b">
        <v>0</v>
      </c>
      <c r="AR7" s="47" t="b">
        <v>1</v>
      </c>
      <c r="AS7" s="37"/>
      <c r="AT7" s="46">
        <v>1000.0</v>
      </c>
      <c r="AU7" s="46">
        <v>1000.0</v>
      </c>
      <c r="AV7" s="37"/>
      <c r="AW7" s="37"/>
      <c r="AX7" s="37"/>
      <c r="AY7" s="37"/>
      <c r="AZ7" s="37"/>
      <c r="BA7" s="37"/>
      <c r="BB7" s="37"/>
      <c r="BC7" s="37"/>
      <c r="BD7" s="37"/>
      <c r="BE7" s="46">
        <v>1000.0</v>
      </c>
      <c r="BF7" s="46">
        <v>1000.0</v>
      </c>
      <c r="BG7" s="37"/>
      <c r="BH7" s="37"/>
      <c r="BI7" s="37"/>
      <c r="BJ7" s="48">
        <v>10.0</v>
      </c>
      <c r="BK7" s="37"/>
      <c r="BL7" s="37"/>
      <c r="BM7" s="47" t="s">
        <v>55</v>
      </c>
      <c r="BN7" s="37"/>
      <c r="BO7" s="47" t="s">
        <v>26</v>
      </c>
      <c r="BP7" s="37"/>
      <c r="BQ7" s="37"/>
      <c r="BR7" s="37"/>
      <c r="BS7" s="37"/>
      <c r="BT7" s="47" t="s">
        <v>16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43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43"/>
      <c r="FE7" s="37"/>
      <c r="FF7" s="37"/>
      <c r="FG7" s="43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</row>
    <row r="8" ht="15.75" customHeight="1">
      <c r="A8" s="37"/>
      <c r="B8" s="47" t="s">
        <v>25</v>
      </c>
      <c r="C8" s="37"/>
      <c r="D8" s="37"/>
      <c r="E8" s="48">
        <v>10.0</v>
      </c>
      <c r="F8" s="37"/>
      <c r="G8" s="37"/>
      <c r="H8" s="48">
        <v>0.0</v>
      </c>
      <c r="I8" s="48">
        <v>0.0</v>
      </c>
      <c r="J8" s="41"/>
      <c r="K8" s="48">
        <v>1.0</v>
      </c>
      <c r="L8" s="48">
        <v>1.0</v>
      </c>
      <c r="M8" s="51"/>
      <c r="N8" s="37"/>
      <c r="O8" s="47" t="s">
        <v>74</v>
      </c>
      <c r="P8" s="37"/>
      <c r="Q8" s="37"/>
      <c r="R8" s="37"/>
      <c r="S8" s="47" t="s">
        <v>43</v>
      </c>
      <c r="T8" s="37"/>
      <c r="U8" s="37"/>
      <c r="V8" s="37"/>
      <c r="W8" s="37"/>
      <c r="X8" s="37"/>
      <c r="Y8" s="37"/>
      <c r="Z8" s="37"/>
      <c r="AA8" s="37"/>
      <c r="AB8" s="43"/>
      <c r="AC8" s="37"/>
      <c r="AD8" s="47" t="s">
        <v>64</v>
      </c>
      <c r="AE8" s="48">
        <v>10.0</v>
      </c>
      <c r="AF8" s="37"/>
      <c r="AG8" s="37"/>
      <c r="AH8" s="47" t="s">
        <v>40</v>
      </c>
      <c r="AI8" s="43"/>
      <c r="AJ8" s="37"/>
      <c r="AK8" s="37"/>
      <c r="AL8" s="37"/>
      <c r="AM8" s="37"/>
      <c r="AN8" s="37"/>
      <c r="AO8" s="37"/>
      <c r="AP8" s="47" t="b">
        <v>1</v>
      </c>
      <c r="AQ8" s="47" t="b">
        <v>0</v>
      </c>
      <c r="AR8" s="47" t="b">
        <v>1</v>
      </c>
      <c r="AS8" s="37"/>
      <c r="AT8" s="46">
        <v>1000.0</v>
      </c>
      <c r="AU8" s="46">
        <v>1000.0</v>
      </c>
      <c r="AV8" s="37"/>
      <c r="AW8" s="37"/>
      <c r="AX8" s="37"/>
      <c r="AY8" s="37"/>
      <c r="AZ8" s="37"/>
      <c r="BA8" s="37"/>
      <c r="BB8" s="37"/>
      <c r="BC8" s="37"/>
      <c r="BD8" s="37"/>
      <c r="BE8" s="46">
        <v>1000.0</v>
      </c>
      <c r="BF8" s="46">
        <v>1000.0</v>
      </c>
      <c r="BG8" s="37"/>
      <c r="BH8" s="37"/>
      <c r="BI8" s="37"/>
      <c r="BJ8" s="48">
        <v>10.0</v>
      </c>
      <c r="BK8" s="37"/>
      <c r="BL8" s="37"/>
      <c r="BM8" s="47" t="s">
        <v>55</v>
      </c>
      <c r="BN8" s="37"/>
      <c r="BO8" s="47" t="s">
        <v>26</v>
      </c>
      <c r="BP8" s="37"/>
      <c r="BQ8" s="37"/>
      <c r="BR8" s="37"/>
      <c r="BS8" s="37"/>
      <c r="BT8" s="47" t="s">
        <v>17</v>
      </c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43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43"/>
      <c r="FE8" s="37"/>
      <c r="FF8" s="37"/>
      <c r="FG8" s="43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</row>
    <row r="9" ht="15.75" customHeight="1">
      <c r="A9" s="37"/>
      <c r="B9" s="47" t="s">
        <v>25</v>
      </c>
      <c r="C9" s="37"/>
      <c r="D9" s="37"/>
      <c r="E9" s="48">
        <v>10.0</v>
      </c>
      <c r="F9" s="37"/>
      <c r="G9" s="37"/>
      <c r="H9" s="48">
        <v>0.0</v>
      </c>
      <c r="I9" s="48">
        <v>0.0</v>
      </c>
      <c r="J9" s="41"/>
      <c r="K9" s="48">
        <v>1.0</v>
      </c>
      <c r="L9" s="48">
        <v>1.0</v>
      </c>
      <c r="M9" s="51"/>
      <c r="N9" s="37"/>
      <c r="O9" s="47" t="s">
        <v>27</v>
      </c>
      <c r="P9" s="37"/>
      <c r="Q9" s="37"/>
      <c r="R9" s="37"/>
      <c r="S9" s="47" t="s">
        <v>43</v>
      </c>
      <c r="T9" s="37"/>
      <c r="U9" s="37"/>
      <c r="V9" s="37"/>
      <c r="W9" s="37"/>
      <c r="X9" s="37"/>
      <c r="Y9" s="37"/>
      <c r="Z9" s="37"/>
      <c r="AA9" s="37"/>
      <c r="AB9" s="43"/>
      <c r="AC9" s="37"/>
      <c r="AD9" s="47" t="s">
        <v>64</v>
      </c>
      <c r="AE9" s="48">
        <v>10.0</v>
      </c>
      <c r="AF9" s="37"/>
      <c r="AG9" s="37"/>
      <c r="AH9" s="47" t="s">
        <v>40</v>
      </c>
      <c r="AI9" s="43"/>
      <c r="AJ9" s="37"/>
      <c r="AK9" s="37"/>
      <c r="AL9" s="37"/>
      <c r="AM9" s="37"/>
      <c r="AN9" s="37"/>
      <c r="AO9" s="37"/>
      <c r="AP9" s="47" t="b">
        <v>1</v>
      </c>
      <c r="AQ9" s="47" t="b">
        <v>0</v>
      </c>
      <c r="AR9" s="47" t="b">
        <v>1</v>
      </c>
      <c r="AS9" s="37"/>
      <c r="AT9" s="46">
        <v>1000.0</v>
      </c>
      <c r="AU9" s="46">
        <v>1000.0</v>
      </c>
      <c r="AV9" s="37"/>
      <c r="AW9" s="37"/>
      <c r="AX9" s="37"/>
      <c r="AY9" s="37"/>
      <c r="AZ9" s="37"/>
      <c r="BA9" s="37"/>
      <c r="BB9" s="37"/>
      <c r="BC9" s="37"/>
      <c r="BD9" s="37"/>
      <c r="BE9" s="46">
        <v>1000.0</v>
      </c>
      <c r="BF9" s="46">
        <v>1000.0</v>
      </c>
      <c r="BG9" s="37"/>
      <c r="BH9" s="37"/>
      <c r="BI9" s="37"/>
      <c r="BJ9" s="48">
        <v>10.0</v>
      </c>
      <c r="BK9" s="37"/>
      <c r="BL9" s="37"/>
      <c r="BM9" s="47" t="s">
        <v>55</v>
      </c>
      <c r="BN9" s="37"/>
      <c r="BO9" s="47" t="s">
        <v>26</v>
      </c>
      <c r="BP9" s="37"/>
      <c r="BQ9" s="37"/>
      <c r="BR9" s="37"/>
      <c r="BS9" s="37"/>
      <c r="BT9" s="47" t="s">
        <v>17</v>
      </c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43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43"/>
      <c r="FE9" s="37"/>
      <c r="FF9" s="37"/>
      <c r="FG9" s="43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</row>
    <row r="10" ht="15.75" customHeight="1">
      <c r="A10" s="37"/>
      <c r="B10" s="47" t="s">
        <v>25</v>
      </c>
      <c r="C10" s="37"/>
      <c r="D10" s="37"/>
      <c r="E10" s="48">
        <v>10.0</v>
      </c>
      <c r="F10" s="37"/>
      <c r="G10" s="37"/>
      <c r="H10" s="48">
        <v>0.0</v>
      </c>
      <c r="I10" s="48">
        <v>0.0</v>
      </c>
      <c r="J10" s="41"/>
      <c r="K10" s="48">
        <v>0.0</v>
      </c>
      <c r="L10" s="48">
        <v>0.0</v>
      </c>
      <c r="M10" s="51"/>
      <c r="N10" s="37"/>
      <c r="O10" s="47" t="s">
        <v>74</v>
      </c>
      <c r="P10" s="37"/>
      <c r="Q10" s="37"/>
      <c r="R10" s="37"/>
      <c r="S10" s="47" t="s">
        <v>43</v>
      </c>
      <c r="T10" s="37"/>
      <c r="U10" s="37"/>
      <c r="V10" s="37"/>
      <c r="W10" s="37"/>
      <c r="X10" s="37"/>
      <c r="Y10" s="37"/>
      <c r="Z10" s="37"/>
      <c r="AA10" s="37"/>
      <c r="AB10" s="43"/>
      <c r="AC10" s="37"/>
      <c r="AD10" s="47" t="s">
        <v>64</v>
      </c>
      <c r="AE10" s="48">
        <v>10.0</v>
      </c>
      <c r="AF10" s="37"/>
      <c r="AG10" s="37"/>
      <c r="AH10" s="47" t="s">
        <v>40</v>
      </c>
      <c r="AI10" s="43"/>
      <c r="AJ10" s="37"/>
      <c r="AK10" s="37"/>
      <c r="AL10" s="37"/>
      <c r="AM10" s="37"/>
      <c r="AN10" s="37"/>
      <c r="AO10" s="37"/>
      <c r="AP10" s="47" t="b">
        <v>0</v>
      </c>
      <c r="AQ10" s="47" t="b">
        <v>0</v>
      </c>
      <c r="AR10" s="47" t="b">
        <v>1</v>
      </c>
      <c r="AS10" s="37"/>
      <c r="AT10" s="46">
        <v>1000.0</v>
      </c>
      <c r="AU10" s="46">
        <v>1000.0</v>
      </c>
      <c r="AV10" s="37"/>
      <c r="AW10" s="37"/>
      <c r="AX10" s="37"/>
      <c r="AY10" s="37"/>
      <c r="AZ10" s="37"/>
      <c r="BA10" s="37"/>
      <c r="BB10" s="37"/>
      <c r="BC10" s="37"/>
      <c r="BD10" s="37"/>
      <c r="BE10" s="48">
        <v>0.0</v>
      </c>
      <c r="BF10" s="48">
        <v>0.0</v>
      </c>
      <c r="BG10" s="37"/>
      <c r="BH10" s="37"/>
      <c r="BI10" s="37"/>
      <c r="BJ10" s="48">
        <v>10.0</v>
      </c>
      <c r="BK10" s="37"/>
      <c r="BL10" s="37"/>
      <c r="BM10" s="47" t="s">
        <v>55</v>
      </c>
      <c r="BN10" s="37"/>
      <c r="BO10" s="47" t="s">
        <v>69</v>
      </c>
      <c r="BP10" s="37"/>
      <c r="BQ10" s="37"/>
      <c r="BR10" s="37"/>
      <c r="BS10" s="37"/>
      <c r="BT10" s="47" t="s">
        <v>16</v>
      </c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43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43"/>
      <c r="FE10" s="37"/>
      <c r="FF10" s="37"/>
      <c r="FG10" s="43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</row>
    <row r="11" ht="15.75" customHeight="1">
      <c r="A11" s="37"/>
      <c r="B11" s="47" t="s">
        <v>25</v>
      </c>
      <c r="C11" s="37"/>
      <c r="D11" s="37"/>
      <c r="E11" s="48">
        <v>10.0</v>
      </c>
      <c r="F11" s="37"/>
      <c r="G11" s="37"/>
      <c r="H11" s="48">
        <v>0.0</v>
      </c>
      <c r="I11" s="48">
        <v>0.0</v>
      </c>
      <c r="J11" s="41"/>
      <c r="K11" s="48">
        <v>0.0</v>
      </c>
      <c r="L11" s="48">
        <v>0.0</v>
      </c>
      <c r="M11" s="51"/>
      <c r="N11" s="37"/>
      <c r="O11" s="47" t="s">
        <v>74</v>
      </c>
      <c r="P11" s="37"/>
      <c r="Q11" s="37"/>
      <c r="R11" s="37"/>
      <c r="S11" s="47" t="s">
        <v>43</v>
      </c>
      <c r="T11" s="37"/>
      <c r="U11" s="37"/>
      <c r="V11" s="37"/>
      <c r="W11" s="37"/>
      <c r="X11" s="37"/>
      <c r="Y11" s="37"/>
      <c r="Z11" s="37"/>
      <c r="AA11" s="37"/>
      <c r="AB11" s="43"/>
      <c r="AC11" s="37"/>
      <c r="AD11" s="47" t="s">
        <v>64</v>
      </c>
      <c r="AE11" s="48">
        <v>10.0</v>
      </c>
      <c r="AF11" s="37"/>
      <c r="AG11" s="37"/>
      <c r="AH11" s="47" t="s">
        <v>40</v>
      </c>
      <c r="AI11" s="43"/>
      <c r="AJ11" s="37"/>
      <c r="AK11" s="37"/>
      <c r="AL11" s="37"/>
      <c r="AM11" s="37"/>
      <c r="AN11" s="37"/>
      <c r="AO11" s="37"/>
      <c r="AP11" s="47" t="b">
        <v>0</v>
      </c>
      <c r="AQ11" s="47" t="b">
        <v>0</v>
      </c>
      <c r="AR11" s="47" t="b">
        <v>1</v>
      </c>
      <c r="AS11" s="37"/>
      <c r="AT11" s="46">
        <v>1000.0</v>
      </c>
      <c r="AU11" s="46">
        <v>1000.0</v>
      </c>
      <c r="AV11" s="37"/>
      <c r="AW11" s="37"/>
      <c r="AX11" s="37"/>
      <c r="AY11" s="37"/>
      <c r="AZ11" s="37"/>
      <c r="BA11" s="37"/>
      <c r="BB11" s="37"/>
      <c r="BC11" s="37"/>
      <c r="BD11" s="37"/>
      <c r="BE11" s="48">
        <v>0.0</v>
      </c>
      <c r="BF11" s="48">
        <v>0.0</v>
      </c>
      <c r="BG11" s="37"/>
      <c r="BH11" s="37"/>
      <c r="BI11" s="37"/>
      <c r="BJ11" s="48">
        <v>10.0</v>
      </c>
      <c r="BK11" s="37"/>
      <c r="BL11" s="37"/>
      <c r="BM11" s="47" t="s">
        <v>55</v>
      </c>
      <c r="BN11" s="37"/>
      <c r="BO11" s="47" t="s">
        <v>69</v>
      </c>
      <c r="BP11" s="37"/>
      <c r="BQ11" s="37"/>
      <c r="BR11" s="37"/>
      <c r="BS11" s="37"/>
      <c r="BT11" s="47" t="s">
        <v>17</v>
      </c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43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43"/>
      <c r="FE11" s="37"/>
      <c r="FF11" s="37"/>
      <c r="FG11" s="43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</row>
    <row r="12" ht="15.75" customHeight="1">
      <c r="A12" s="37"/>
      <c r="B12" s="47" t="s">
        <v>25</v>
      </c>
      <c r="C12" s="37"/>
      <c r="D12" s="37"/>
      <c r="E12" s="48">
        <v>10.0</v>
      </c>
      <c r="F12" s="37"/>
      <c r="G12" s="37"/>
      <c r="H12" s="48">
        <v>0.0</v>
      </c>
      <c r="I12" s="48">
        <v>0.0</v>
      </c>
      <c r="J12" s="41"/>
      <c r="K12" s="48">
        <v>0.0</v>
      </c>
      <c r="L12" s="48">
        <v>0.0</v>
      </c>
      <c r="M12" s="37"/>
      <c r="N12" s="37"/>
      <c r="O12" s="47" t="s">
        <v>27</v>
      </c>
      <c r="P12" s="37"/>
      <c r="Q12" s="37"/>
      <c r="R12" s="37"/>
      <c r="S12" s="47" t="s">
        <v>43</v>
      </c>
      <c r="T12" s="37"/>
      <c r="U12" s="37"/>
      <c r="V12" s="37"/>
      <c r="W12" s="37"/>
      <c r="X12" s="37"/>
      <c r="Y12" s="37"/>
      <c r="Z12" s="37"/>
      <c r="AA12" s="37"/>
      <c r="AB12" s="43"/>
      <c r="AC12" s="37"/>
      <c r="AD12" s="47" t="s">
        <v>64</v>
      </c>
      <c r="AE12" s="48">
        <v>10.0</v>
      </c>
      <c r="AF12" s="37"/>
      <c r="AG12" s="37"/>
      <c r="AH12" s="47" t="s">
        <v>40</v>
      </c>
      <c r="AI12" s="43"/>
      <c r="AJ12" s="37"/>
      <c r="AK12" s="37"/>
      <c r="AL12" s="37"/>
      <c r="AM12" s="37"/>
      <c r="AN12" s="37"/>
      <c r="AO12" s="37"/>
      <c r="AP12" s="47" t="b">
        <v>0</v>
      </c>
      <c r="AQ12" s="47" t="b">
        <v>0</v>
      </c>
      <c r="AR12" s="47" t="b">
        <v>1</v>
      </c>
      <c r="AS12" s="37"/>
      <c r="AT12" s="46">
        <v>1000.0</v>
      </c>
      <c r="AU12" s="46">
        <v>1000.0</v>
      </c>
      <c r="AV12" s="37"/>
      <c r="AW12" s="37"/>
      <c r="AX12" s="37"/>
      <c r="AY12" s="37"/>
      <c r="AZ12" s="37"/>
      <c r="BA12" s="37"/>
      <c r="BB12" s="37"/>
      <c r="BC12" s="37"/>
      <c r="BD12" s="37"/>
      <c r="BE12" s="48">
        <v>0.0</v>
      </c>
      <c r="BF12" s="48">
        <v>0.0</v>
      </c>
      <c r="BG12" s="37"/>
      <c r="BH12" s="37"/>
      <c r="BI12" s="37"/>
      <c r="BJ12" s="48">
        <v>10.0</v>
      </c>
      <c r="BK12" s="37"/>
      <c r="BL12" s="37"/>
      <c r="BM12" s="47" t="s">
        <v>55</v>
      </c>
      <c r="BN12" s="37"/>
      <c r="BO12" s="47" t="s">
        <v>69</v>
      </c>
      <c r="BP12" s="37"/>
      <c r="BQ12" s="37"/>
      <c r="BR12" s="37"/>
      <c r="BS12" s="37"/>
      <c r="BT12" s="47" t="s">
        <v>17</v>
      </c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43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43"/>
      <c r="FE12" s="37"/>
      <c r="FF12" s="37"/>
      <c r="FG12" s="43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</row>
    <row r="13" ht="15.75" customHeight="1">
      <c r="A13" s="37"/>
      <c r="B13" s="47" t="s">
        <v>25</v>
      </c>
      <c r="C13" s="37"/>
      <c r="D13" s="37"/>
      <c r="E13" s="48">
        <v>100.0</v>
      </c>
      <c r="F13" s="37"/>
      <c r="G13" s="37"/>
      <c r="H13" s="48">
        <v>0.0</v>
      </c>
      <c r="I13" s="48">
        <v>0.0</v>
      </c>
      <c r="J13" s="41"/>
      <c r="K13" s="48">
        <v>60.0</v>
      </c>
      <c r="L13" s="48">
        <v>60.0</v>
      </c>
      <c r="M13" s="37"/>
      <c r="N13" s="37"/>
      <c r="O13" s="47" t="s">
        <v>27</v>
      </c>
      <c r="P13" s="37"/>
      <c r="Q13" s="37"/>
      <c r="R13" s="37"/>
      <c r="S13" s="47" t="s">
        <v>42</v>
      </c>
      <c r="T13" s="37"/>
      <c r="U13" s="37"/>
      <c r="V13" s="37"/>
      <c r="W13" s="37"/>
      <c r="X13" s="37"/>
      <c r="Y13" s="37"/>
      <c r="Z13" s="37"/>
      <c r="AA13" s="37"/>
      <c r="AB13" s="43"/>
      <c r="AC13" s="37"/>
      <c r="AD13" s="47" t="s">
        <v>54</v>
      </c>
      <c r="AE13" s="48">
        <v>100.0</v>
      </c>
      <c r="AF13" s="37"/>
      <c r="AG13" s="37"/>
      <c r="AH13" s="47" t="s">
        <v>44</v>
      </c>
      <c r="AI13" s="43"/>
      <c r="AJ13" s="37"/>
      <c r="AK13" s="37"/>
      <c r="AL13" s="37"/>
      <c r="AM13" s="37"/>
      <c r="AN13" s="37"/>
      <c r="AO13" s="37"/>
      <c r="AP13" s="47" t="b">
        <v>1</v>
      </c>
      <c r="AQ13" s="47" t="b">
        <v>0</v>
      </c>
      <c r="AR13" s="47" t="b">
        <v>1</v>
      </c>
      <c r="AS13" s="37"/>
      <c r="AT13" s="46">
        <v>6100.0</v>
      </c>
      <c r="AU13" s="46">
        <v>6100.0</v>
      </c>
      <c r="AV13" s="37"/>
      <c r="AW13" s="37"/>
      <c r="AX13" s="37"/>
      <c r="AY13" s="37"/>
      <c r="AZ13" s="37"/>
      <c r="BA13" s="37"/>
      <c r="BB13" s="37"/>
      <c r="BC13" s="37"/>
      <c r="BD13" s="37"/>
      <c r="BE13" s="46">
        <v>6000.0</v>
      </c>
      <c r="BF13" s="46">
        <v>6000.0</v>
      </c>
      <c r="BG13" s="37"/>
      <c r="BH13" s="37"/>
      <c r="BI13" s="37"/>
      <c r="BJ13" s="48">
        <v>100.0</v>
      </c>
      <c r="BK13" s="37"/>
      <c r="BL13" s="37"/>
      <c r="BM13" s="47" t="s">
        <v>55</v>
      </c>
      <c r="BN13" s="37"/>
      <c r="BO13" s="47" t="s">
        <v>72</v>
      </c>
      <c r="BP13" s="37"/>
      <c r="BQ13" s="37"/>
      <c r="BR13" s="37"/>
      <c r="BS13" s="37"/>
      <c r="BT13" s="47" t="s">
        <v>23</v>
      </c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43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43"/>
      <c r="FE13" s="37"/>
      <c r="FF13" s="37"/>
      <c r="FG13" s="43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</row>
    <row r="14" ht="15.75" customHeight="1">
      <c r="A14" s="37"/>
      <c r="B14" s="47" t="s">
        <v>25</v>
      </c>
      <c r="C14" s="37"/>
      <c r="D14" s="37"/>
      <c r="E14" s="48">
        <v>900.0</v>
      </c>
      <c r="F14" s="37"/>
      <c r="G14" s="37"/>
      <c r="H14" s="48">
        <v>0.0</v>
      </c>
      <c r="I14" s="48">
        <v>0.0</v>
      </c>
      <c r="J14" s="41"/>
      <c r="K14" s="48">
        <v>60.0</v>
      </c>
      <c r="L14" s="48">
        <v>60.0</v>
      </c>
      <c r="M14" s="37"/>
      <c r="N14" s="37"/>
      <c r="O14" s="47" t="s">
        <v>27</v>
      </c>
      <c r="P14" s="37"/>
      <c r="Q14" s="37"/>
      <c r="R14" s="37"/>
      <c r="S14" s="47" t="s">
        <v>42</v>
      </c>
      <c r="T14" s="37"/>
      <c r="U14" s="37"/>
      <c r="V14" s="37"/>
      <c r="W14" s="37"/>
      <c r="X14" s="37"/>
      <c r="Y14" s="37"/>
      <c r="Z14" s="37"/>
      <c r="AA14" s="37"/>
      <c r="AB14" s="43"/>
      <c r="AC14" s="37"/>
      <c r="AD14" s="47" t="s">
        <v>54</v>
      </c>
      <c r="AE14" s="48">
        <v>900.0</v>
      </c>
      <c r="AF14" s="37"/>
      <c r="AG14" s="37"/>
      <c r="AH14" s="47" t="s">
        <v>40</v>
      </c>
      <c r="AI14" s="43"/>
      <c r="AJ14" s="37"/>
      <c r="AK14" s="37"/>
      <c r="AL14" s="37"/>
      <c r="AM14" s="37"/>
      <c r="AN14" s="37"/>
      <c r="AO14" s="37"/>
      <c r="AP14" s="47" t="b">
        <v>1</v>
      </c>
      <c r="AQ14" s="47" t="b">
        <v>0</v>
      </c>
      <c r="AR14" s="47" t="b">
        <v>1</v>
      </c>
      <c r="AS14" s="37"/>
      <c r="AT14" s="46">
        <v>54900.0</v>
      </c>
      <c r="AU14" s="46">
        <v>54900.0</v>
      </c>
      <c r="AV14" s="37"/>
      <c r="AW14" s="37"/>
      <c r="AX14" s="37"/>
      <c r="AY14" s="37"/>
      <c r="AZ14" s="37"/>
      <c r="BA14" s="37"/>
      <c r="BB14" s="37"/>
      <c r="BC14" s="37"/>
      <c r="BD14" s="37"/>
      <c r="BE14" s="46">
        <v>54000.0</v>
      </c>
      <c r="BF14" s="46">
        <v>54000.0</v>
      </c>
      <c r="BG14" s="37"/>
      <c r="BH14" s="37"/>
      <c r="BI14" s="37"/>
      <c r="BJ14" s="48">
        <v>900.0</v>
      </c>
      <c r="BK14" s="37"/>
      <c r="BL14" s="37"/>
      <c r="BM14" s="47" t="s">
        <v>55</v>
      </c>
      <c r="BN14" s="37"/>
      <c r="BO14" s="47" t="s">
        <v>71</v>
      </c>
      <c r="BP14" s="37"/>
      <c r="BQ14" s="37"/>
      <c r="BR14" s="37"/>
      <c r="BS14" s="37"/>
      <c r="BT14" s="47" t="s">
        <v>23</v>
      </c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43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43"/>
      <c r="FE14" s="37"/>
      <c r="FF14" s="37"/>
      <c r="FG14" s="43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</row>
    <row r="15" ht="15.75" customHeight="1">
      <c r="A15" s="37"/>
      <c r="B15" s="47" t="s">
        <v>25</v>
      </c>
      <c r="C15" s="37"/>
      <c r="D15" s="37"/>
      <c r="E15" s="46">
        <v>1000.0</v>
      </c>
      <c r="F15" s="37"/>
      <c r="G15" s="37"/>
      <c r="H15" s="48">
        <v>0.0</v>
      </c>
      <c r="I15" s="48">
        <v>0.0</v>
      </c>
      <c r="J15" s="41"/>
      <c r="K15" s="48">
        <v>60.0</v>
      </c>
      <c r="L15" s="48">
        <v>60.0</v>
      </c>
      <c r="M15" s="37"/>
      <c r="N15" s="37"/>
      <c r="O15" s="47" t="s">
        <v>74</v>
      </c>
      <c r="P15" s="37"/>
      <c r="Q15" s="37"/>
      <c r="R15" s="37"/>
      <c r="S15" s="47" t="s">
        <v>42</v>
      </c>
      <c r="T15" s="37"/>
      <c r="U15" s="37"/>
      <c r="V15" s="37"/>
      <c r="W15" s="37"/>
      <c r="X15" s="37"/>
      <c r="Y15" s="37"/>
      <c r="Z15" s="37"/>
      <c r="AA15" s="37"/>
      <c r="AB15" s="43"/>
      <c r="AC15" s="37"/>
      <c r="AD15" s="47" t="s">
        <v>54</v>
      </c>
      <c r="AE15" s="46">
        <v>1000.0</v>
      </c>
      <c r="AF15" s="37"/>
      <c r="AG15" s="37"/>
      <c r="AH15" s="47" t="s">
        <v>44</v>
      </c>
      <c r="AI15" s="43"/>
      <c r="AJ15" s="37"/>
      <c r="AK15" s="37"/>
      <c r="AL15" s="37"/>
      <c r="AM15" s="37"/>
      <c r="AN15" s="37"/>
      <c r="AO15" s="37"/>
      <c r="AP15" s="47" t="b">
        <v>1</v>
      </c>
      <c r="AQ15" s="47" t="b">
        <v>0</v>
      </c>
      <c r="AR15" s="47" t="b">
        <v>1</v>
      </c>
      <c r="AS15" s="37"/>
      <c r="AT15" s="46">
        <v>61000.0</v>
      </c>
      <c r="AU15" s="46">
        <v>61000.0</v>
      </c>
      <c r="AV15" s="37"/>
      <c r="AW15" s="37"/>
      <c r="AX15" s="37"/>
      <c r="AY15" s="37"/>
      <c r="AZ15" s="37"/>
      <c r="BA15" s="37"/>
      <c r="BB15" s="37"/>
      <c r="BC15" s="37"/>
      <c r="BD15" s="37"/>
      <c r="BE15" s="46">
        <v>60000.0</v>
      </c>
      <c r="BF15" s="46">
        <v>60000.0</v>
      </c>
      <c r="BG15" s="37"/>
      <c r="BH15" s="37"/>
      <c r="BI15" s="37"/>
      <c r="BJ15" s="46">
        <v>1000.0</v>
      </c>
      <c r="BK15" s="37"/>
      <c r="BL15" s="37"/>
      <c r="BM15" s="47" t="s">
        <v>55</v>
      </c>
      <c r="BN15" s="37"/>
      <c r="BO15" s="47" t="s">
        <v>72</v>
      </c>
      <c r="BP15" s="37"/>
      <c r="BQ15" s="37"/>
      <c r="BR15" s="37"/>
      <c r="BS15" s="37"/>
      <c r="BT15" s="47" t="s">
        <v>23</v>
      </c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43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43"/>
      <c r="FE15" s="37"/>
      <c r="FF15" s="37"/>
      <c r="FG15" s="43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37"/>
      <c r="AMA15" s="37"/>
      <c r="AMB15" s="37"/>
      <c r="AMC15" s="37"/>
      <c r="AMD15" s="37"/>
      <c r="AME15" s="37"/>
      <c r="AMF15" s="37"/>
      <c r="AMG15" s="37"/>
      <c r="AMH15" s="37"/>
      <c r="AMI15" s="37"/>
      <c r="AMJ15" s="37"/>
      <c r="AMK15" s="37"/>
    </row>
    <row r="16" ht="15.75" customHeight="1">
      <c r="A16" s="37"/>
      <c r="B16" s="47" t="s">
        <v>25</v>
      </c>
      <c r="C16" s="37"/>
      <c r="D16" s="37"/>
      <c r="E16" s="46">
        <v>1000.0</v>
      </c>
      <c r="F16" s="37"/>
      <c r="G16" s="37"/>
      <c r="H16" s="48">
        <v>0.0</v>
      </c>
      <c r="I16" s="48">
        <v>0.0</v>
      </c>
      <c r="J16" s="41"/>
      <c r="K16" s="48">
        <v>50.0</v>
      </c>
      <c r="L16" s="48">
        <v>50.0</v>
      </c>
      <c r="M16" s="37"/>
      <c r="N16" s="37"/>
      <c r="O16" s="47" t="s">
        <v>74</v>
      </c>
      <c r="P16" s="37"/>
      <c r="Q16" s="37"/>
      <c r="R16" s="37"/>
      <c r="S16" s="47" t="s">
        <v>42</v>
      </c>
      <c r="T16" s="37"/>
      <c r="U16" s="37"/>
      <c r="V16" s="37"/>
      <c r="W16" s="37"/>
      <c r="X16" s="37"/>
      <c r="Y16" s="37"/>
      <c r="Z16" s="37"/>
      <c r="AA16" s="37"/>
      <c r="AB16" s="43"/>
      <c r="AC16" s="37"/>
      <c r="AD16" s="47" t="s">
        <v>54</v>
      </c>
      <c r="AE16" s="46">
        <v>1000.0</v>
      </c>
      <c r="AF16" s="37"/>
      <c r="AG16" s="37"/>
      <c r="AH16" s="47" t="s">
        <v>44</v>
      </c>
      <c r="AI16" s="43"/>
      <c r="AJ16" s="37"/>
      <c r="AK16" s="37"/>
      <c r="AL16" s="37"/>
      <c r="AM16" s="37"/>
      <c r="AN16" s="37"/>
      <c r="AO16" s="37"/>
      <c r="AP16" s="47" t="b">
        <v>1</v>
      </c>
      <c r="AQ16" s="47" t="b">
        <v>0</v>
      </c>
      <c r="AR16" s="47" t="b">
        <v>1</v>
      </c>
      <c r="AS16" s="37"/>
      <c r="AT16" s="46">
        <v>51000.0</v>
      </c>
      <c r="AU16" s="46">
        <v>51000.0</v>
      </c>
      <c r="AV16" s="37"/>
      <c r="AW16" s="37"/>
      <c r="AX16" s="37"/>
      <c r="AY16" s="37"/>
      <c r="AZ16" s="37"/>
      <c r="BA16" s="37"/>
      <c r="BB16" s="37"/>
      <c r="BC16" s="37"/>
      <c r="BD16" s="37"/>
      <c r="BE16" s="46">
        <v>50000.0</v>
      </c>
      <c r="BF16" s="46">
        <v>50000.0</v>
      </c>
      <c r="BG16" s="37"/>
      <c r="BH16" s="37"/>
      <c r="BI16" s="37"/>
      <c r="BJ16" s="46">
        <v>1000.0</v>
      </c>
      <c r="BK16" s="37"/>
      <c r="BL16" s="37"/>
      <c r="BM16" s="47" t="s">
        <v>55</v>
      </c>
      <c r="BN16" s="37"/>
      <c r="BO16" s="47" t="s">
        <v>71</v>
      </c>
      <c r="BP16" s="37"/>
      <c r="BQ16" s="37"/>
      <c r="BR16" s="37"/>
      <c r="BS16" s="37"/>
      <c r="BT16" s="47" t="s">
        <v>23</v>
      </c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43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43"/>
      <c r="FE16" s="37"/>
      <c r="FF16" s="37"/>
      <c r="FG16" s="43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37"/>
      <c r="OX16" s="37"/>
      <c r="OY16" s="37"/>
      <c r="OZ16" s="37"/>
      <c r="PA16" s="37"/>
      <c r="PB16" s="37"/>
      <c r="PC16" s="37"/>
      <c r="PD16" s="37"/>
      <c r="PE16" s="37"/>
      <c r="PF16" s="37"/>
      <c r="PG16" s="37"/>
      <c r="PH16" s="37"/>
      <c r="PI16" s="37"/>
      <c r="PJ16" s="37"/>
      <c r="PK16" s="37"/>
      <c r="PL16" s="37"/>
      <c r="PM16" s="37"/>
      <c r="PN16" s="37"/>
      <c r="PO16" s="37"/>
      <c r="PP16" s="37"/>
      <c r="PQ16" s="37"/>
      <c r="PR16" s="37"/>
      <c r="PS16" s="37"/>
      <c r="PT16" s="37"/>
      <c r="PU16" s="37"/>
      <c r="PV16" s="37"/>
      <c r="PW16" s="37"/>
      <c r="PX16" s="37"/>
      <c r="PY16" s="37"/>
      <c r="PZ16" s="37"/>
      <c r="QA16" s="37"/>
      <c r="QB16" s="37"/>
      <c r="QC16" s="37"/>
      <c r="QD16" s="37"/>
      <c r="QE16" s="37"/>
      <c r="QF16" s="37"/>
      <c r="QG16" s="37"/>
      <c r="QH16" s="37"/>
      <c r="QI16" s="37"/>
      <c r="QJ16" s="37"/>
      <c r="QK16" s="37"/>
      <c r="QL16" s="37"/>
      <c r="QM16" s="37"/>
      <c r="QN16" s="37"/>
      <c r="QO16" s="37"/>
      <c r="QP16" s="37"/>
      <c r="QQ16" s="37"/>
      <c r="QR16" s="37"/>
      <c r="QS16" s="37"/>
      <c r="QT16" s="37"/>
      <c r="QU16" s="37"/>
      <c r="QV16" s="37"/>
      <c r="QW16" s="37"/>
      <c r="QX16" s="37"/>
      <c r="QY16" s="37"/>
      <c r="QZ16" s="37"/>
      <c r="RA16" s="37"/>
      <c r="RB16" s="37"/>
      <c r="RC16" s="37"/>
      <c r="RD16" s="37"/>
      <c r="RE16" s="37"/>
      <c r="RF16" s="37"/>
      <c r="RG16" s="37"/>
      <c r="RH16" s="37"/>
      <c r="RI16" s="37"/>
      <c r="RJ16" s="37"/>
      <c r="RK16" s="37"/>
      <c r="RL16" s="37"/>
      <c r="RM16" s="37"/>
      <c r="RN16" s="37"/>
      <c r="RO16" s="37"/>
      <c r="RP16" s="37"/>
      <c r="RQ16" s="37"/>
      <c r="RR16" s="37"/>
      <c r="RS16" s="37"/>
      <c r="RT16" s="37"/>
      <c r="RU16" s="37"/>
      <c r="RV16" s="37"/>
      <c r="RW16" s="37"/>
      <c r="RX16" s="37"/>
      <c r="RY16" s="37"/>
      <c r="RZ16" s="37"/>
      <c r="SA16" s="37"/>
      <c r="SB16" s="37"/>
      <c r="SC16" s="37"/>
      <c r="SD16" s="37"/>
      <c r="SE16" s="37"/>
      <c r="SF16" s="37"/>
      <c r="SG16" s="37"/>
      <c r="SH16" s="37"/>
      <c r="SI16" s="37"/>
      <c r="SJ16" s="37"/>
      <c r="SK16" s="37"/>
      <c r="SL16" s="37"/>
      <c r="SM16" s="37"/>
      <c r="SN16" s="37"/>
      <c r="SO16" s="37"/>
      <c r="SP16" s="37"/>
      <c r="SQ16" s="37"/>
      <c r="SR16" s="37"/>
      <c r="SS16" s="37"/>
      <c r="ST16" s="37"/>
      <c r="SU16" s="37"/>
      <c r="SV16" s="37"/>
      <c r="SW16" s="37"/>
      <c r="SX16" s="37"/>
      <c r="SY16" s="37"/>
      <c r="SZ16" s="37"/>
      <c r="TA16" s="37"/>
      <c r="TB16" s="37"/>
      <c r="TC16" s="37"/>
      <c r="TD16" s="37"/>
      <c r="TE16" s="37"/>
      <c r="TF16" s="37"/>
      <c r="TG16" s="37"/>
      <c r="TH16" s="37"/>
      <c r="TI16" s="37"/>
      <c r="TJ16" s="37"/>
      <c r="TK16" s="37"/>
      <c r="TL16" s="37"/>
      <c r="TM16" s="37"/>
      <c r="TN16" s="37"/>
      <c r="TO16" s="37"/>
      <c r="TP16" s="37"/>
      <c r="TQ16" s="37"/>
      <c r="TR16" s="37"/>
      <c r="TS16" s="37"/>
      <c r="TT16" s="37"/>
      <c r="TU16" s="37"/>
      <c r="TV16" s="37"/>
      <c r="TW16" s="37"/>
      <c r="TX16" s="37"/>
      <c r="TY16" s="37"/>
      <c r="TZ16" s="37"/>
      <c r="UA16" s="37"/>
      <c r="UB16" s="37"/>
      <c r="UC16" s="37"/>
      <c r="UD16" s="37"/>
      <c r="UE16" s="37"/>
      <c r="UF16" s="37"/>
      <c r="UG16" s="37"/>
      <c r="UH16" s="37"/>
      <c r="UI16" s="37"/>
      <c r="UJ16" s="37"/>
      <c r="UK16" s="37"/>
      <c r="UL16" s="37"/>
      <c r="UM16" s="37"/>
      <c r="UN16" s="37"/>
      <c r="UO16" s="37"/>
      <c r="UP16" s="37"/>
      <c r="UQ16" s="37"/>
      <c r="UR16" s="37"/>
      <c r="US16" s="37"/>
      <c r="UT16" s="37"/>
      <c r="UU16" s="37"/>
      <c r="UV16" s="37"/>
      <c r="UW16" s="37"/>
      <c r="UX16" s="37"/>
      <c r="UY16" s="37"/>
      <c r="UZ16" s="37"/>
      <c r="VA16" s="37"/>
      <c r="VB16" s="37"/>
      <c r="VC16" s="37"/>
      <c r="VD16" s="37"/>
      <c r="VE16" s="37"/>
      <c r="VF16" s="37"/>
      <c r="VG16" s="37"/>
      <c r="VH16" s="37"/>
      <c r="VI16" s="37"/>
      <c r="VJ16" s="37"/>
      <c r="VK16" s="37"/>
      <c r="VL16" s="37"/>
      <c r="VM16" s="37"/>
      <c r="VN16" s="37"/>
      <c r="VO16" s="37"/>
      <c r="VP16" s="37"/>
      <c r="VQ16" s="37"/>
      <c r="VR16" s="37"/>
      <c r="VS16" s="37"/>
      <c r="VT16" s="37"/>
      <c r="VU16" s="37"/>
      <c r="VV16" s="37"/>
      <c r="VW16" s="37"/>
      <c r="VX16" s="37"/>
      <c r="VY16" s="37"/>
      <c r="VZ16" s="37"/>
      <c r="WA16" s="37"/>
      <c r="WB16" s="37"/>
      <c r="WC16" s="37"/>
      <c r="WD16" s="37"/>
      <c r="WE16" s="37"/>
      <c r="WF16" s="37"/>
      <c r="WG16" s="37"/>
      <c r="WH16" s="37"/>
      <c r="WI16" s="37"/>
      <c r="WJ16" s="37"/>
      <c r="WK16" s="37"/>
      <c r="WL16" s="37"/>
      <c r="WM16" s="37"/>
      <c r="WN16" s="37"/>
      <c r="WO16" s="37"/>
      <c r="WP16" s="37"/>
      <c r="WQ16" s="37"/>
      <c r="WR16" s="37"/>
      <c r="WS16" s="37"/>
      <c r="WT16" s="37"/>
      <c r="WU16" s="37"/>
      <c r="WV16" s="37"/>
      <c r="WW16" s="37"/>
      <c r="WX16" s="37"/>
      <c r="WY16" s="37"/>
      <c r="WZ16" s="37"/>
      <c r="XA16" s="37"/>
      <c r="XB16" s="37"/>
      <c r="XC16" s="37"/>
      <c r="XD16" s="37"/>
      <c r="XE16" s="37"/>
      <c r="XF16" s="37"/>
      <c r="XG16" s="37"/>
      <c r="XH16" s="37"/>
      <c r="XI16" s="37"/>
      <c r="XJ16" s="37"/>
      <c r="XK16" s="37"/>
      <c r="XL16" s="37"/>
      <c r="XM16" s="37"/>
      <c r="XN16" s="37"/>
      <c r="XO16" s="37"/>
      <c r="XP16" s="37"/>
      <c r="XQ16" s="37"/>
      <c r="XR16" s="37"/>
      <c r="XS16" s="37"/>
      <c r="XT16" s="37"/>
      <c r="XU16" s="37"/>
      <c r="XV16" s="37"/>
      <c r="XW16" s="37"/>
      <c r="XX16" s="37"/>
      <c r="XY16" s="37"/>
      <c r="XZ16" s="37"/>
      <c r="YA16" s="37"/>
      <c r="YB16" s="37"/>
      <c r="YC16" s="37"/>
      <c r="YD16" s="37"/>
      <c r="YE16" s="37"/>
      <c r="YF16" s="37"/>
      <c r="YG16" s="37"/>
      <c r="YH16" s="37"/>
      <c r="YI16" s="37"/>
      <c r="YJ16" s="37"/>
      <c r="YK16" s="37"/>
      <c r="YL16" s="37"/>
      <c r="YM16" s="37"/>
      <c r="YN16" s="37"/>
      <c r="YO16" s="37"/>
      <c r="YP16" s="37"/>
      <c r="YQ16" s="37"/>
      <c r="YR16" s="37"/>
      <c r="YS16" s="37"/>
      <c r="YT16" s="37"/>
      <c r="YU16" s="37"/>
      <c r="YV16" s="37"/>
      <c r="YW16" s="37"/>
      <c r="YX16" s="37"/>
      <c r="YY16" s="37"/>
      <c r="YZ16" s="37"/>
      <c r="ZA16" s="37"/>
      <c r="ZB16" s="37"/>
      <c r="ZC16" s="37"/>
      <c r="ZD16" s="37"/>
      <c r="ZE16" s="37"/>
      <c r="ZF16" s="37"/>
      <c r="ZG16" s="37"/>
      <c r="ZH16" s="37"/>
      <c r="ZI16" s="37"/>
      <c r="ZJ16" s="37"/>
      <c r="ZK16" s="37"/>
      <c r="ZL16" s="37"/>
      <c r="ZM16" s="37"/>
      <c r="ZN16" s="37"/>
      <c r="ZO16" s="37"/>
      <c r="ZP16" s="37"/>
      <c r="ZQ16" s="37"/>
      <c r="ZR16" s="37"/>
      <c r="ZS16" s="37"/>
      <c r="ZT16" s="37"/>
      <c r="ZU16" s="37"/>
      <c r="ZV16" s="37"/>
      <c r="ZW16" s="37"/>
      <c r="ZX16" s="37"/>
      <c r="ZY16" s="37"/>
      <c r="ZZ16" s="37"/>
      <c r="AAA16" s="37"/>
      <c r="AAB16" s="37"/>
      <c r="AAC16" s="37"/>
      <c r="AAD16" s="37"/>
      <c r="AAE16" s="37"/>
      <c r="AAF16" s="37"/>
      <c r="AAG16" s="37"/>
      <c r="AAH16" s="37"/>
      <c r="AAI16" s="37"/>
      <c r="AAJ16" s="37"/>
      <c r="AAK16" s="37"/>
      <c r="AAL16" s="37"/>
      <c r="AAM16" s="37"/>
      <c r="AAN16" s="37"/>
      <c r="AAO16" s="37"/>
      <c r="AAP16" s="37"/>
      <c r="AAQ16" s="37"/>
      <c r="AAR16" s="37"/>
      <c r="AAS16" s="37"/>
      <c r="AAT16" s="37"/>
      <c r="AAU16" s="37"/>
      <c r="AAV16" s="37"/>
      <c r="AAW16" s="37"/>
      <c r="AAX16" s="37"/>
      <c r="AAY16" s="37"/>
      <c r="AAZ16" s="37"/>
      <c r="ABA16" s="37"/>
      <c r="ABB16" s="37"/>
      <c r="ABC16" s="37"/>
      <c r="ABD16" s="37"/>
      <c r="ABE16" s="37"/>
      <c r="ABF16" s="37"/>
      <c r="ABG16" s="37"/>
      <c r="ABH16" s="37"/>
      <c r="ABI16" s="37"/>
      <c r="ABJ16" s="37"/>
      <c r="ABK16" s="37"/>
      <c r="ABL16" s="37"/>
      <c r="ABM16" s="37"/>
      <c r="ABN16" s="37"/>
      <c r="ABO16" s="37"/>
      <c r="ABP16" s="37"/>
      <c r="ABQ16" s="37"/>
      <c r="ABR16" s="37"/>
      <c r="ABS16" s="37"/>
      <c r="ABT16" s="37"/>
      <c r="ABU16" s="37"/>
      <c r="ABV16" s="37"/>
      <c r="ABW16" s="37"/>
      <c r="ABX16" s="37"/>
      <c r="ABY16" s="37"/>
      <c r="ABZ16" s="37"/>
      <c r="ACA16" s="37"/>
      <c r="ACB16" s="37"/>
      <c r="ACC16" s="37"/>
      <c r="ACD16" s="37"/>
      <c r="ACE16" s="37"/>
      <c r="ACF16" s="37"/>
      <c r="ACG16" s="37"/>
      <c r="ACH16" s="37"/>
      <c r="ACI16" s="37"/>
      <c r="ACJ16" s="37"/>
      <c r="ACK16" s="37"/>
      <c r="ACL16" s="37"/>
      <c r="ACM16" s="37"/>
      <c r="ACN16" s="37"/>
      <c r="ACO16" s="37"/>
      <c r="ACP16" s="37"/>
      <c r="ACQ16" s="37"/>
      <c r="ACR16" s="37"/>
      <c r="ACS16" s="37"/>
      <c r="ACT16" s="37"/>
      <c r="ACU16" s="37"/>
      <c r="ACV16" s="37"/>
      <c r="ACW16" s="37"/>
      <c r="ACX16" s="37"/>
      <c r="ACY16" s="37"/>
      <c r="ACZ16" s="37"/>
      <c r="ADA16" s="37"/>
      <c r="ADB16" s="37"/>
      <c r="ADC16" s="37"/>
      <c r="ADD16" s="37"/>
      <c r="ADE16" s="37"/>
      <c r="ADF16" s="37"/>
      <c r="ADG16" s="37"/>
      <c r="ADH16" s="37"/>
      <c r="ADI16" s="37"/>
      <c r="ADJ16" s="37"/>
      <c r="ADK16" s="37"/>
      <c r="ADL16" s="37"/>
      <c r="ADM16" s="37"/>
      <c r="ADN16" s="37"/>
      <c r="ADO16" s="37"/>
      <c r="ADP16" s="37"/>
      <c r="ADQ16" s="37"/>
      <c r="ADR16" s="37"/>
      <c r="ADS16" s="37"/>
      <c r="ADT16" s="37"/>
      <c r="ADU16" s="37"/>
      <c r="ADV16" s="37"/>
      <c r="ADW16" s="37"/>
      <c r="ADX16" s="37"/>
      <c r="ADY16" s="37"/>
      <c r="ADZ16" s="37"/>
      <c r="AEA16" s="37"/>
      <c r="AEB16" s="37"/>
      <c r="AEC16" s="37"/>
      <c r="AED16" s="37"/>
      <c r="AEE16" s="37"/>
      <c r="AEF16" s="37"/>
      <c r="AEG16" s="37"/>
      <c r="AEH16" s="37"/>
      <c r="AEI16" s="37"/>
      <c r="AEJ16" s="37"/>
      <c r="AEK16" s="37"/>
      <c r="AEL16" s="37"/>
      <c r="AEM16" s="37"/>
      <c r="AEN16" s="37"/>
      <c r="AEO16" s="37"/>
      <c r="AEP16" s="37"/>
      <c r="AEQ16" s="37"/>
      <c r="AER16" s="37"/>
      <c r="AES16" s="37"/>
      <c r="AET16" s="37"/>
      <c r="AEU16" s="37"/>
      <c r="AEV16" s="37"/>
      <c r="AEW16" s="37"/>
      <c r="AEX16" s="37"/>
      <c r="AEY16" s="37"/>
      <c r="AEZ16" s="37"/>
      <c r="AFA16" s="37"/>
      <c r="AFB16" s="37"/>
      <c r="AFC16" s="37"/>
      <c r="AFD16" s="37"/>
      <c r="AFE16" s="37"/>
      <c r="AFF16" s="37"/>
      <c r="AFG16" s="37"/>
      <c r="AFH16" s="37"/>
      <c r="AFI16" s="37"/>
      <c r="AFJ16" s="37"/>
      <c r="AFK16" s="37"/>
      <c r="AFL16" s="37"/>
      <c r="AFM16" s="37"/>
      <c r="AFN16" s="37"/>
      <c r="AFO16" s="37"/>
      <c r="AFP16" s="37"/>
      <c r="AFQ16" s="37"/>
      <c r="AFR16" s="37"/>
      <c r="AFS16" s="37"/>
      <c r="AFT16" s="37"/>
      <c r="AFU16" s="37"/>
      <c r="AFV16" s="37"/>
      <c r="AFW16" s="37"/>
      <c r="AFX16" s="37"/>
      <c r="AFY16" s="37"/>
      <c r="AFZ16" s="37"/>
      <c r="AGA16" s="37"/>
      <c r="AGB16" s="37"/>
      <c r="AGC16" s="37"/>
      <c r="AGD16" s="37"/>
      <c r="AGE16" s="37"/>
      <c r="AGF16" s="37"/>
      <c r="AGG16" s="37"/>
      <c r="AGH16" s="37"/>
      <c r="AGI16" s="37"/>
      <c r="AGJ16" s="37"/>
      <c r="AGK16" s="37"/>
      <c r="AGL16" s="37"/>
      <c r="AGM16" s="37"/>
      <c r="AGN16" s="37"/>
      <c r="AGO16" s="37"/>
      <c r="AGP16" s="37"/>
      <c r="AGQ16" s="37"/>
      <c r="AGR16" s="37"/>
      <c r="AGS16" s="37"/>
      <c r="AGT16" s="37"/>
      <c r="AGU16" s="37"/>
      <c r="AGV16" s="37"/>
      <c r="AGW16" s="37"/>
      <c r="AGX16" s="37"/>
      <c r="AGY16" s="37"/>
      <c r="AGZ16" s="37"/>
      <c r="AHA16" s="37"/>
      <c r="AHB16" s="37"/>
      <c r="AHC16" s="37"/>
      <c r="AHD16" s="37"/>
      <c r="AHE16" s="37"/>
      <c r="AHF16" s="37"/>
      <c r="AHG16" s="37"/>
      <c r="AHH16" s="37"/>
      <c r="AHI16" s="37"/>
      <c r="AHJ16" s="37"/>
      <c r="AHK16" s="37"/>
      <c r="AHL16" s="37"/>
      <c r="AHM16" s="37"/>
      <c r="AHN16" s="37"/>
      <c r="AHO16" s="37"/>
      <c r="AHP16" s="37"/>
      <c r="AHQ16" s="37"/>
      <c r="AHR16" s="37"/>
      <c r="AHS16" s="37"/>
      <c r="AHT16" s="37"/>
      <c r="AHU16" s="37"/>
      <c r="AHV16" s="37"/>
      <c r="AHW16" s="37"/>
      <c r="AHX16" s="37"/>
      <c r="AHY16" s="37"/>
      <c r="AHZ16" s="37"/>
      <c r="AIA16" s="37"/>
      <c r="AIB16" s="37"/>
      <c r="AIC16" s="37"/>
      <c r="AID16" s="37"/>
      <c r="AIE16" s="37"/>
      <c r="AIF16" s="37"/>
      <c r="AIG16" s="37"/>
      <c r="AIH16" s="37"/>
      <c r="AII16" s="37"/>
      <c r="AIJ16" s="37"/>
      <c r="AIK16" s="37"/>
      <c r="AIL16" s="37"/>
      <c r="AIM16" s="37"/>
      <c r="AIN16" s="37"/>
      <c r="AIO16" s="37"/>
      <c r="AIP16" s="37"/>
      <c r="AIQ16" s="37"/>
      <c r="AIR16" s="37"/>
      <c r="AIS16" s="37"/>
      <c r="AIT16" s="37"/>
      <c r="AIU16" s="37"/>
      <c r="AIV16" s="37"/>
      <c r="AIW16" s="37"/>
      <c r="AIX16" s="37"/>
      <c r="AIY16" s="37"/>
      <c r="AIZ16" s="37"/>
      <c r="AJA16" s="37"/>
      <c r="AJB16" s="37"/>
      <c r="AJC16" s="37"/>
      <c r="AJD16" s="37"/>
      <c r="AJE16" s="37"/>
      <c r="AJF16" s="37"/>
      <c r="AJG16" s="37"/>
      <c r="AJH16" s="37"/>
      <c r="AJI16" s="37"/>
      <c r="AJJ16" s="37"/>
      <c r="AJK16" s="37"/>
      <c r="AJL16" s="37"/>
      <c r="AJM16" s="37"/>
      <c r="AJN16" s="37"/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7"/>
      <c r="AKQ16" s="37"/>
      <c r="AKR16" s="37"/>
      <c r="AKS16" s="37"/>
      <c r="AKT16" s="37"/>
      <c r="AKU16" s="37"/>
      <c r="AKV16" s="37"/>
      <c r="AKW16" s="37"/>
      <c r="AKX16" s="37"/>
      <c r="AKY16" s="37"/>
      <c r="AKZ16" s="37"/>
      <c r="ALA16" s="37"/>
      <c r="ALB16" s="37"/>
      <c r="ALC16" s="37"/>
      <c r="ALD16" s="37"/>
      <c r="ALE16" s="37"/>
      <c r="ALF16" s="37"/>
      <c r="ALG16" s="37"/>
      <c r="ALH16" s="37"/>
      <c r="ALI16" s="37"/>
      <c r="ALJ16" s="37"/>
      <c r="ALK16" s="37"/>
      <c r="ALL16" s="37"/>
      <c r="ALM16" s="37"/>
      <c r="ALN16" s="37"/>
      <c r="ALO16" s="37"/>
      <c r="ALP16" s="37"/>
      <c r="ALQ16" s="37"/>
      <c r="ALR16" s="37"/>
      <c r="ALS16" s="37"/>
      <c r="ALT16" s="37"/>
      <c r="ALU16" s="37"/>
      <c r="ALV16" s="37"/>
      <c r="ALW16" s="37"/>
      <c r="ALX16" s="37"/>
      <c r="ALY16" s="37"/>
      <c r="ALZ16" s="37"/>
      <c r="AMA16" s="37"/>
      <c r="AMB16" s="37"/>
      <c r="AMC16" s="37"/>
      <c r="AMD16" s="37"/>
      <c r="AME16" s="37"/>
      <c r="AMF16" s="37"/>
      <c r="AMG16" s="37"/>
      <c r="AMH16" s="37"/>
      <c r="AMI16" s="37"/>
      <c r="AMJ16" s="37"/>
      <c r="AMK16" s="37"/>
    </row>
    <row r="17" ht="15.75" customHeight="1">
      <c r="A17" s="8"/>
      <c r="B17" s="4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S17" s="49"/>
      <c r="AE17" s="49"/>
      <c r="AQ17" s="49"/>
      <c r="AR17" s="49"/>
      <c r="BM17" s="49"/>
      <c r="BT17" s="49"/>
    </row>
    <row r="18" ht="15.75" customHeight="1">
      <c r="A18" s="8"/>
      <c r="B18" s="4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S18" s="49"/>
      <c r="AE18" s="49"/>
      <c r="AQ18" s="49"/>
      <c r="BM18" s="49"/>
      <c r="BT18" s="49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S19" s="49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