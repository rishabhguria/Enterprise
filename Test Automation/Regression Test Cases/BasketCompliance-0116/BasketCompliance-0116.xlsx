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GetMarkPriceData" sheetId="10" r:id="rId12"/>
    <sheet state="visible" name="UpdateMarkPrice" sheetId="11" r:id="rId13"/>
    <sheet state="visible" name="GetForexConversion" sheetId="12" r:id="rId14"/>
    <sheet state="visible" name="UpdateForexConversion" sheetId="13" r:id="rId15"/>
    <sheet state="visible" name="PricingInput" sheetId="14" r:id="rId16"/>
    <sheet state="visible" name="UpdateDailyCash" sheetId="15" r:id="rId17"/>
    <sheet state="visible" name="Get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ComplianceOrder" sheetId="23" r:id="rId25"/>
    <sheet state="visible" name="VerifyComplianceOrder" sheetId="24" r:id="rId26"/>
  </sheets>
  <definedNames/>
  <calcPr/>
</workbook>
</file>

<file path=xl/sharedStrings.xml><?xml version="1.0" encoding="utf-8"?>
<sst xmlns="http://schemas.openxmlformats.org/spreadsheetml/2006/main" count="336" uniqueCount="85">
  <si>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</si>
  <si>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</si>
  <si>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</si>
  <si>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</si>
  <si>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</si>
  <si>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</si>
  <si>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</si>
  <si>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</si>
  <si>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</si>
  <si>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</si>
  <si>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</si>
  <si>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</si>
  <si>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</si>
  <si>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</si>
  <si>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</si>
  <si>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</si>
  <si>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</si>
  <si>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</si>
  <si>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</si>
  <si>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</si>
  <si>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</si>
  <si>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</si>
  <si>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</si>
  <si>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</si>
  <si>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</si>
  <si>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</si>
  <si>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</si>
  <si>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</si>
  <si>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</si>
  <si>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</si>
  <si>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</si>
  <si>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</si>
  <si>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</si>
  <si>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</si>
  <si>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</si>
  <si>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</si>
  <si>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</si>
  <si>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</si>
  <si>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DailyValuation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</si>
  <si>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</si>
  <si>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</si>
  <si>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</si>
  <si>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</si>
  <si>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</si>
  <si>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</si>
  <si>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</si>
  <si>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</si>
  <si>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</si>
  <si>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UpdateDailyCash</t>
  </si>
  <si>
    <t>GetDailyCash</t>
  </si>
  <si>
    <t>GeneralLedger</t>
  </si>
  <si>
    <t>GetCashTransaction</t>
  </si>
  <si>
    <t>AddCashTransaction</t>
  </si>
  <si>
    <t>DividendIncome</t>
  </si>
  <si>
    <t>GetAccountBalance</t>
  </si>
  <si>
    <t>AddCalculatedPreferences</t>
  </si>
  <si>
    <t>TEST</t>
  </si>
  <si>
    <t>SetAccountValueCalculatedPref</t>
  </si>
  <si>
    <t>SetDefaultRuleCalculatedPref</t>
  </si>
  <si>
    <t>Trade Quantity</t>
  </si>
  <si>
    <t>Current Preference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</si>
  <si>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</si>
  <si>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</si>
  <si>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</si>
  <si>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</si>
  <si>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</si>
  <si>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</si>
  <si>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</si>
  <si>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30.00, avgPrice: 20.00, selectedFeedPrice: 20.00, netMarketValueBase: 500.00, netExposureLocal: 600.00, Symbol: FRU-TC</t>
  </si>
  <si>
    <t>quantity: 70.00, avgPrice: 20.00, selectedFeedPrice: 20.00, netMarketValueBase: 1,166.6667, netExposureLocal: 1,400.00,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</si>
  <si>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</si>
  <si>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</si>
  <si>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Allocation3-FRU-TC</t>
  </si>
  <si>
    <t>quantity: 30.00, dayPnLBase: 0.00, dayPnLLocal: 0.00, netMarketValueBase: 500.00, netMarketValueLocal: 600.00, selectedFeedPrice: 20.00, accountNav: 101,800.00, AccountShortName: Allocation3, Symbol: FRU-TC</t>
  </si>
  <si>
    <t>Allocation2-FRU-TC</t>
  </si>
  <si>
    <t>quantity: 70.00, dayPnLBase: 0.00, dayPnLLocal: 0.00, netMarketValueBase: 1,166.6667, netMarketValueLocal: 1,400.00, selectedFeedPrice: 20.00, accountNav: 833.3333, AccountShortName: Allocation2,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</si>
  <si>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</si>
  <si>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</si>
  <si>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</si>
  <si>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330.00, dayPnLBase: 833.3333, dayPnLLocal: 1,000.00, netMarketValueBase: 5,500.00, netMarketValueLocal: 6,600.00, selectedFeedPrice: 20.00, masterFundNav: 767,173.3333,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</si>
  <si>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</si>
  <si>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</si>
  <si>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400.00, selectedFeedPrice: 20.00, netMarketValueBase: 6,666.6667, netMarketValueLocal: 8,000.00, Symbol: FRU-TC</t>
  </si>
  <si>
    <t>NewMF1-FRU-TC</t>
  </si>
  <si>
    <t>quantity: 70.00, dayPnLBase: 0.00, dayPnLLocal: 0.00, netMarketValueBase: 1,166.6667, netMarketValueLocal: 1,400.00, selectedFeedPrice: 20.00, masterFundNav: 833.3333, MasterFundName: NewMF1,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</si>
</sst>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202124"/>
      <name val="Roboto"/>
    </font>
    <font>
      <sz val="11.0"/>
      <color rgb="FF1155CC"/>
      <name val="Inconsolata"/>
    </font>
    <font>
      <color rgb="FF000000"/>
      <name val="Roboto"/>
    </font>
    <font>
      <sz val="8.0"/>
      <color rgb="FFFFFFFF"/>
      <name val="Segoe UI"/>
    </font>
    <font>
      <sz val="8.0"/>
      <color rgb="FF000000"/>
      <name val="Segoe UI"/>
    </font>
    <font>
      <sz val="9.0"/>
      <color rgb="FF000000"/>
      <name val="&quot;Segoe UI&quot;"/>
    </font>
    <font>
      <sz val="8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4" numFmtId="14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6" fillId="0" fontId="3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0" fillId="6" fontId="15" numFmtId="0" xfId="0" applyAlignment="1" applyFont="1">
      <alignment readingOrder="0"/>
    </xf>
    <xf borderId="5" fillId="0" fontId="3" numFmtId="0" xfId="0" applyAlignment="1" applyBorder="1" applyFont="1">
      <alignment horizontal="center" vertical="bottom"/>
    </xf>
    <xf borderId="9" fillId="7" fontId="16" numFmtId="0" xfId="0" applyAlignment="1" applyBorder="1" applyFill="1" applyFont="1">
      <alignment horizontal="left" readingOrder="0" vertical="top"/>
    </xf>
    <xf borderId="9" fillId="6" fontId="17" numFmtId="0" xfId="0" applyAlignment="1" applyBorder="1" applyFont="1">
      <alignment horizontal="left" readingOrder="0" vertical="top"/>
    </xf>
    <xf borderId="0" fillId="8" fontId="18" numFmtId="0" xfId="0" applyAlignment="1" applyFill="1" applyFont="1">
      <alignment horizontal="left" shrinkToFit="0" vertical="top" wrapText="0"/>
    </xf>
    <xf borderId="9" fillId="9" fontId="17" numFmtId="0" xfId="0" applyAlignment="1" applyBorder="1" applyFill="1" applyFont="1">
      <alignment horizontal="left" readingOrder="0" vertical="top"/>
    </xf>
    <xf borderId="0" fillId="10" fontId="18" numFmtId="0" xfId="0" applyAlignment="1" applyFill="1" applyFont="1">
      <alignment horizontal="left" shrinkToFit="0" vertical="top" wrapText="0"/>
    </xf>
    <xf borderId="9" fillId="6" fontId="19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20</v>
      </c>
      <c r="C6" s="35" t="s">
        <v>21</v>
      </c>
      <c r="D6" s="36">
        <v>100.0</v>
      </c>
      <c r="E6" s="34"/>
      <c r="F6" s="35" t="s">
        <v>22</v>
      </c>
      <c r="G6" s="34"/>
      <c r="H6" s="34"/>
      <c r="I6" s="34"/>
      <c r="J6" s="36">
        <v>10.0</v>
      </c>
      <c r="K6" s="34"/>
      <c r="L6" s="34"/>
      <c r="M6" s="34"/>
      <c r="N6" s="37">
        <v>44932.0</v>
      </c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9" t="s">
        <v>23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4"/>
      <c r="B7" s="35" t="s">
        <v>24</v>
      </c>
      <c r="C7" s="35" t="s">
        <v>21</v>
      </c>
      <c r="D7" s="36">
        <v>100.0</v>
      </c>
      <c r="E7" s="34"/>
      <c r="F7" s="35" t="s">
        <v>25</v>
      </c>
      <c r="G7" s="34"/>
      <c r="H7" s="34"/>
      <c r="I7" s="34"/>
      <c r="J7" s="36">
        <v>2.0</v>
      </c>
      <c r="K7" s="34"/>
      <c r="L7" s="34"/>
      <c r="M7" s="34"/>
      <c r="N7" s="37">
        <v>44959.0</v>
      </c>
      <c r="O7" s="34"/>
      <c r="P7" s="34"/>
      <c r="Q7" s="34"/>
      <c r="R7" s="34"/>
      <c r="S7" s="34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 t="s">
        <v>23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4"/>
      <c r="B8" s="35" t="s">
        <v>26</v>
      </c>
      <c r="C8" s="35" t="s">
        <v>21</v>
      </c>
      <c r="D8" s="36">
        <v>100.0</v>
      </c>
      <c r="E8" s="34"/>
      <c r="F8" s="35" t="s">
        <v>25</v>
      </c>
      <c r="G8" s="34"/>
      <c r="H8" s="34"/>
      <c r="I8" s="34"/>
      <c r="J8" s="36">
        <v>2.0</v>
      </c>
      <c r="K8" s="34"/>
      <c r="L8" s="34"/>
      <c r="M8" s="34"/>
      <c r="N8" s="37">
        <v>44959.0</v>
      </c>
      <c r="O8" s="34"/>
      <c r="P8" s="34"/>
      <c r="Q8" s="34"/>
      <c r="R8" s="34"/>
      <c r="S8" s="34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9" t="s">
        <v>23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4"/>
      <c r="B9" s="35" t="s">
        <v>27</v>
      </c>
      <c r="C9" s="35" t="s">
        <v>21</v>
      </c>
      <c r="D9" s="36">
        <v>100.0</v>
      </c>
      <c r="E9" s="34"/>
      <c r="F9" s="35" t="s">
        <v>25</v>
      </c>
      <c r="G9" s="34"/>
      <c r="H9" s="34"/>
      <c r="I9" s="34"/>
      <c r="J9" s="36">
        <v>2.0</v>
      </c>
      <c r="K9" s="34"/>
      <c r="L9" s="34"/>
      <c r="M9" s="34"/>
      <c r="N9" s="37">
        <v>44959.0</v>
      </c>
      <c r="O9" s="34"/>
      <c r="P9" s="34"/>
      <c r="Q9" s="34"/>
      <c r="R9" s="34"/>
      <c r="S9" s="34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9" t="s">
        <v>23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4"/>
      <c r="B10" s="35" t="s">
        <v>28</v>
      </c>
      <c r="C10" s="35" t="s">
        <v>21</v>
      </c>
      <c r="D10" s="36">
        <v>100.0</v>
      </c>
      <c r="E10" s="34"/>
      <c r="F10" s="35" t="s">
        <v>25</v>
      </c>
      <c r="G10" s="34"/>
      <c r="H10" s="34"/>
      <c r="I10" s="34"/>
      <c r="J10" s="36">
        <v>2.0</v>
      </c>
      <c r="K10" s="34"/>
      <c r="L10" s="34"/>
      <c r="M10" s="34"/>
      <c r="N10" s="37">
        <v>44959.0</v>
      </c>
      <c r="O10" s="34"/>
      <c r="P10" s="34"/>
      <c r="Q10" s="34"/>
      <c r="R10" s="34"/>
      <c r="S10" s="34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9" t="s">
        <v>23</v>
      </c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4"/>
      <c r="B11" s="35" t="s">
        <v>29</v>
      </c>
      <c r="C11" s="35" t="s">
        <v>21</v>
      </c>
      <c r="D11" s="36">
        <v>100.0</v>
      </c>
      <c r="E11" s="34"/>
      <c r="F11" s="35" t="s">
        <v>25</v>
      </c>
      <c r="G11" s="34"/>
      <c r="H11" s="34"/>
      <c r="I11" s="34"/>
      <c r="J11" s="36">
        <v>2.0</v>
      </c>
      <c r="K11" s="34"/>
      <c r="L11" s="34"/>
      <c r="M11" s="34"/>
      <c r="N11" s="37">
        <v>44959.0</v>
      </c>
      <c r="O11" s="34"/>
      <c r="P11" s="34"/>
      <c r="Q11" s="34"/>
      <c r="R11" s="34"/>
      <c r="S11" s="34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9" t="s">
        <v>23</v>
      </c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4"/>
      <c r="B12" s="40" t="s">
        <v>30</v>
      </c>
      <c r="C12" s="35" t="s">
        <v>21</v>
      </c>
      <c r="D12" s="36">
        <v>100.0</v>
      </c>
      <c r="E12" s="34"/>
      <c r="F12" s="35" t="s">
        <v>25</v>
      </c>
      <c r="G12" s="34"/>
      <c r="H12" s="34"/>
      <c r="I12" s="34"/>
      <c r="J12" s="36">
        <v>2.0</v>
      </c>
      <c r="K12" s="34"/>
      <c r="L12" s="34"/>
      <c r="M12" s="34"/>
      <c r="N12" s="37">
        <v>44959.0</v>
      </c>
      <c r="O12" s="34"/>
      <c r="P12" s="34"/>
      <c r="Q12" s="34"/>
      <c r="R12" s="34"/>
      <c r="S12" s="34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9" t="s">
        <v>23</v>
      </c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4"/>
      <c r="B13" s="35">
        <v>1.23456789E8</v>
      </c>
      <c r="C13" s="35" t="s">
        <v>21</v>
      </c>
      <c r="D13" s="36">
        <v>100.0</v>
      </c>
      <c r="E13" s="41"/>
      <c r="F13" s="35" t="s">
        <v>25</v>
      </c>
      <c r="G13" s="34"/>
      <c r="H13" s="34"/>
      <c r="I13" s="34"/>
      <c r="J13" s="36">
        <v>2.0</v>
      </c>
      <c r="K13" s="34"/>
      <c r="L13" s="34"/>
      <c r="M13" s="34"/>
      <c r="N13" s="37">
        <v>44959.0</v>
      </c>
      <c r="O13" s="34"/>
      <c r="P13" s="34"/>
      <c r="Q13" s="34"/>
      <c r="R13" s="34"/>
      <c r="S13" s="34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9" t="s">
        <v>23</v>
      </c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4"/>
      <c r="B14" s="35" t="s">
        <v>24</v>
      </c>
      <c r="C14" s="35" t="s">
        <v>21</v>
      </c>
      <c r="D14" s="36">
        <v>100.0</v>
      </c>
      <c r="E14" s="40">
        <v>0.0</v>
      </c>
      <c r="F14" s="35" t="s">
        <v>25</v>
      </c>
      <c r="G14" s="34"/>
      <c r="H14" s="34"/>
      <c r="I14" s="34"/>
      <c r="J14" s="36">
        <v>2.0</v>
      </c>
      <c r="K14" s="34"/>
      <c r="L14" s="34"/>
      <c r="M14" s="34"/>
      <c r="N14" s="37">
        <v>44959.0</v>
      </c>
      <c r="O14" s="34"/>
      <c r="P14" s="34"/>
      <c r="Q14" s="34"/>
      <c r="R14" s="34"/>
      <c r="S14" s="34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9" t="s">
        <v>23</v>
      </c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4"/>
      <c r="B15" s="35" t="s">
        <v>26</v>
      </c>
      <c r="C15" s="35" t="s">
        <v>21</v>
      </c>
      <c r="D15" s="36">
        <v>100.0</v>
      </c>
      <c r="E15" s="40">
        <v>0.0</v>
      </c>
      <c r="F15" s="35" t="s">
        <v>25</v>
      </c>
      <c r="G15" s="34"/>
      <c r="H15" s="34"/>
      <c r="I15" s="34"/>
      <c r="J15" s="36">
        <v>2.0</v>
      </c>
      <c r="K15" s="34"/>
      <c r="L15" s="34"/>
      <c r="M15" s="34"/>
      <c r="N15" s="37">
        <v>44959.0</v>
      </c>
      <c r="O15" s="34"/>
      <c r="P15" s="34"/>
      <c r="Q15" s="34"/>
      <c r="R15" s="34"/>
      <c r="S15" s="34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9" t="s">
        <v>23</v>
      </c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4"/>
      <c r="B16" s="35" t="s">
        <v>27</v>
      </c>
      <c r="C16" s="35" t="s">
        <v>21</v>
      </c>
      <c r="D16" s="36">
        <v>100.0</v>
      </c>
      <c r="E16" s="40">
        <v>0.0</v>
      </c>
      <c r="F16" s="35" t="s">
        <v>25</v>
      </c>
      <c r="G16" s="34"/>
      <c r="H16" s="34"/>
      <c r="I16" s="34"/>
      <c r="J16" s="36">
        <v>2.0</v>
      </c>
      <c r="K16" s="34"/>
      <c r="L16" s="34"/>
      <c r="M16" s="34"/>
      <c r="N16" s="37">
        <v>44959.0</v>
      </c>
      <c r="O16" s="34"/>
      <c r="P16" s="34"/>
      <c r="Q16" s="34"/>
      <c r="R16" s="34"/>
      <c r="S16" s="34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9" t="s">
        <v>23</v>
      </c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4"/>
      <c r="B17" s="35" t="s">
        <v>28</v>
      </c>
      <c r="C17" s="35" t="s">
        <v>21</v>
      </c>
      <c r="D17" s="36">
        <v>100.0</v>
      </c>
      <c r="E17" s="40">
        <v>0.0</v>
      </c>
      <c r="F17" s="35" t="s">
        <v>25</v>
      </c>
      <c r="G17" s="34"/>
      <c r="H17" s="34"/>
      <c r="I17" s="34"/>
      <c r="J17" s="36">
        <v>2.0</v>
      </c>
      <c r="K17" s="34"/>
      <c r="L17" s="34"/>
      <c r="M17" s="34"/>
      <c r="N17" s="37">
        <v>44959.0</v>
      </c>
      <c r="O17" s="34"/>
      <c r="P17" s="34"/>
      <c r="Q17" s="34"/>
      <c r="R17" s="34"/>
      <c r="S17" s="34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 t="s">
        <v>23</v>
      </c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4"/>
      <c r="B18" s="35" t="s">
        <v>29</v>
      </c>
      <c r="C18" s="35" t="s">
        <v>21</v>
      </c>
      <c r="D18" s="36">
        <v>100.0</v>
      </c>
      <c r="E18" s="40">
        <v>0.0</v>
      </c>
      <c r="F18" s="35" t="s">
        <v>25</v>
      </c>
      <c r="G18" s="34"/>
      <c r="H18" s="34"/>
      <c r="I18" s="34"/>
      <c r="J18" s="36">
        <v>2.0</v>
      </c>
      <c r="K18" s="34"/>
      <c r="L18" s="34"/>
      <c r="M18" s="34"/>
      <c r="N18" s="37">
        <v>44959.0</v>
      </c>
      <c r="O18" s="34"/>
      <c r="P18" s="34"/>
      <c r="Q18" s="34"/>
      <c r="R18" s="34"/>
      <c r="S18" s="34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9" t="s">
        <v>23</v>
      </c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4"/>
      <c r="B19" s="40" t="s">
        <v>30</v>
      </c>
      <c r="C19" s="35" t="s">
        <v>21</v>
      </c>
      <c r="D19" s="36">
        <v>100.0</v>
      </c>
      <c r="E19" s="40">
        <v>0.0</v>
      </c>
      <c r="F19" s="35" t="s">
        <v>25</v>
      </c>
      <c r="G19" s="34"/>
      <c r="H19" s="34"/>
      <c r="I19" s="34"/>
      <c r="J19" s="36">
        <v>2.0</v>
      </c>
      <c r="K19" s="34"/>
      <c r="L19" s="34"/>
      <c r="M19" s="34"/>
      <c r="N19" s="37">
        <v>44959.0</v>
      </c>
      <c r="O19" s="34"/>
      <c r="P19" s="34"/>
      <c r="Q19" s="34"/>
      <c r="R19" s="34"/>
      <c r="S19" s="34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9" t="s">
        <v>23</v>
      </c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4"/>
      <c r="B20" s="42">
        <v>1.23456789E8</v>
      </c>
      <c r="C20" s="42" t="s">
        <v>21</v>
      </c>
      <c r="D20" s="36">
        <v>100.0</v>
      </c>
      <c r="E20" s="35">
        <v>0.0</v>
      </c>
      <c r="F20" s="42" t="s">
        <v>25</v>
      </c>
      <c r="G20" s="34"/>
      <c r="H20" s="34"/>
      <c r="I20" s="34"/>
      <c r="J20" s="36">
        <v>2.0</v>
      </c>
      <c r="K20" s="34"/>
      <c r="L20" s="34"/>
      <c r="M20" s="34"/>
      <c r="N20" s="43">
        <v>44959.0</v>
      </c>
      <c r="O20" s="34"/>
      <c r="P20" s="34"/>
      <c r="Q20" s="34"/>
      <c r="R20" s="34"/>
      <c r="S20" s="34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9" t="s">
        <v>23</v>
      </c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8"/>
      <c r="B21" s="13" t="s">
        <v>24</v>
      </c>
      <c r="C21" s="13" t="s">
        <v>21</v>
      </c>
      <c r="D21" s="13">
        <v>100.0</v>
      </c>
      <c r="E21" s="8"/>
      <c r="F21" s="13" t="s">
        <v>31</v>
      </c>
      <c r="G21" s="8"/>
      <c r="H21" s="8"/>
      <c r="I21" s="8"/>
      <c r="J21" s="13">
        <v>2.0</v>
      </c>
      <c r="K21" s="8"/>
      <c r="L21" s="8"/>
      <c r="M21" s="8"/>
      <c r="N21" s="8"/>
      <c r="O21" s="8"/>
      <c r="AQ21" s="9" t="s">
        <v>23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4" t="s">
        <v>21</v>
      </c>
      <c r="D6" s="44">
        <v>100.0</v>
      </c>
      <c r="E6" s="34"/>
      <c r="F6" s="34" t="s">
        <v>25</v>
      </c>
      <c r="G6" s="34"/>
      <c r="H6" s="34"/>
      <c r="I6" s="34"/>
      <c r="J6" s="44">
        <v>2.0</v>
      </c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4"/>
      <c r="B7" s="34" t="s">
        <v>26</v>
      </c>
      <c r="C7" s="34" t="s">
        <v>21</v>
      </c>
      <c r="D7" s="44">
        <v>100.0</v>
      </c>
      <c r="E7" s="34"/>
      <c r="F7" s="34" t="s">
        <v>25</v>
      </c>
      <c r="G7" s="34"/>
      <c r="H7" s="34"/>
      <c r="I7" s="34"/>
      <c r="J7" s="44">
        <v>2.0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4"/>
      <c r="B8" s="34" t="s">
        <v>27</v>
      </c>
      <c r="C8" s="34" t="s">
        <v>21</v>
      </c>
      <c r="D8" s="44">
        <v>100.0</v>
      </c>
      <c r="E8" s="34"/>
      <c r="F8" s="34" t="s">
        <v>25</v>
      </c>
      <c r="G8" s="34"/>
      <c r="H8" s="34"/>
      <c r="I8" s="34"/>
      <c r="J8" s="44">
        <v>2.0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4"/>
      <c r="B9" s="34" t="s">
        <v>28</v>
      </c>
      <c r="C9" s="34" t="s">
        <v>21</v>
      </c>
      <c r="D9" s="44">
        <v>100.0</v>
      </c>
      <c r="E9" s="34"/>
      <c r="F9" s="34" t="s">
        <v>25</v>
      </c>
      <c r="G9" s="34"/>
      <c r="H9" s="34"/>
      <c r="I9" s="34"/>
      <c r="J9" s="44">
        <v>2.0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4"/>
      <c r="B10" s="34" t="s">
        <v>29</v>
      </c>
      <c r="C10" s="34" t="s">
        <v>21</v>
      </c>
      <c r="D10" s="44">
        <v>100.0</v>
      </c>
      <c r="E10" s="34"/>
      <c r="F10" s="34" t="s">
        <v>25</v>
      </c>
      <c r="G10" s="34"/>
      <c r="H10" s="34"/>
      <c r="I10" s="34"/>
      <c r="J10" s="44">
        <v>2.0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4"/>
      <c r="B11" s="34" t="s">
        <v>30</v>
      </c>
      <c r="C11" s="34" t="s">
        <v>21</v>
      </c>
      <c r="D11" s="44">
        <v>100.0</v>
      </c>
      <c r="E11" s="34"/>
      <c r="F11" s="34" t="s">
        <v>25</v>
      </c>
      <c r="G11" s="34"/>
      <c r="H11" s="34"/>
      <c r="I11" s="34"/>
      <c r="J11" s="44">
        <v>2.0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4"/>
      <c r="B12" s="41">
        <v>1.23456789E8</v>
      </c>
      <c r="C12" s="34" t="s">
        <v>21</v>
      </c>
      <c r="D12" s="44">
        <v>100.0</v>
      </c>
      <c r="E12" s="34"/>
      <c r="F12" s="34" t="s">
        <v>25</v>
      </c>
      <c r="G12" s="34"/>
      <c r="H12" s="34"/>
      <c r="I12" s="34"/>
      <c r="J12" s="44">
        <v>2.0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35</v>
      </c>
      <c r="C6" s="45">
        <f>today()-1</f>
        <v>44962</v>
      </c>
      <c r="D6" s="45">
        <f>today()</f>
        <v>44963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6" t="s">
        <v>27</v>
      </c>
      <c r="C6" s="44">
        <v>100.0</v>
      </c>
      <c r="D6" s="34"/>
      <c r="E6" s="34" t="s">
        <v>25</v>
      </c>
      <c r="F6" s="34" t="s">
        <v>21</v>
      </c>
      <c r="G6" s="34"/>
      <c r="H6" s="44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>
        <v>0.0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f t="shared" ref="B6:C6" si="1">today()-1</f>
        <v>44962</v>
      </c>
      <c r="C6" s="45">
        <f t="shared" si="1"/>
        <v>44962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>
        <v>1.23456789E8</v>
      </c>
      <c r="C6" s="49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24</v>
      </c>
      <c r="C7" s="50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26</v>
      </c>
      <c r="C8" s="5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27</v>
      </c>
      <c r="C9" s="5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1" t="s">
        <v>28</v>
      </c>
      <c r="C10" s="5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1" t="s">
        <v>29</v>
      </c>
      <c r="C11" s="5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1" t="s">
        <v>30</v>
      </c>
      <c r="C12" s="5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3" t="s">
        <v>41</v>
      </c>
      <c r="C13" s="52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/>
      <c r="C14" s="3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f t="shared" ref="B6:C6" si="1">today()-1</f>
        <v>44962</v>
      </c>
      <c r="C6" s="45">
        <f t="shared" si="1"/>
        <v>44962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6" t="s">
        <v>44</v>
      </c>
      <c r="C6" s="46" t="s">
        <v>45</v>
      </c>
      <c r="D6" s="34" t="s">
        <v>46</v>
      </c>
      <c r="E6" s="44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24</v>
      </c>
      <c r="C6" s="44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54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27</v>
      </c>
      <c r="C8" s="54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28</v>
      </c>
      <c r="C9" s="54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29</v>
      </c>
      <c r="C10" s="54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30</v>
      </c>
      <c r="C11" s="54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>
        <v>1.23456789E8</v>
      </c>
      <c r="C12" s="54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5" t="s">
        <v>41</v>
      </c>
      <c r="C13" s="54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 t="s">
        <v>25</v>
      </c>
      <c r="C6" s="46" t="s">
        <v>44</v>
      </c>
      <c r="D6" s="44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5" t="s">
        <v>31</v>
      </c>
      <c r="C7" s="55" t="s">
        <v>44</v>
      </c>
      <c r="D7" s="54">
        <v>100000.0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f t="shared" ref="B6:C6" si="1">today()-1</f>
        <v>44962</v>
      </c>
      <c r="C6" s="45">
        <f t="shared" si="1"/>
        <v>44962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25</v>
      </c>
      <c r="C6" s="34"/>
      <c r="D6" s="45">
        <f>today()-3</f>
        <v>44960</v>
      </c>
      <c r="E6" s="45">
        <f>today()</f>
        <v>44963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 t="s">
        <v>53</v>
      </c>
      <c r="D6" s="34" t="s">
        <v>24</v>
      </c>
      <c r="E6" s="34"/>
      <c r="F6" s="34" t="s">
        <v>25</v>
      </c>
      <c r="G6" s="34" t="s">
        <v>44</v>
      </c>
      <c r="H6" s="41">
        <v>100000.0</v>
      </c>
      <c r="I6" s="56">
        <f>today()-2</f>
        <v>44961</v>
      </c>
      <c r="J6" s="56">
        <f>today()+8</f>
        <v>44971</v>
      </c>
      <c r="K6" s="56"/>
      <c r="L6" s="56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4" t="s">
        <v>25</v>
      </c>
      <c r="D6" s="45">
        <f>today()</f>
        <v>44963</v>
      </c>
      <c r="E6" s="32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56</v>
      </c>
      <c r="C6" s="34" t="s">
        <v>22</v>
      </c>
      <c r="D6" s="36">
        <v>70.0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56</v>
      </c>
      <c r="C7" s="38" t="s">
        <v>31</v>
      </c>
      <c r="D7" s="52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59</v>
      </c>
      <c r="C6" s="34"/>
      <c r="D6" s="57" t="s">
        <v>60</v>
      </c>
      <c r="E6" s="34"/>
      <c r="F6" s="34"/>
      <c r="G6" s="58" t="b">
        <v>0</v>
      </c>
      <c r="H6" s="13" t="s">
        <v>56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6" t="s">
        <v>26</v>
      </c>
      <c r="C6" s="46" t="s">
        <v>21</v>
      </c>
      <c r="D6" s="44">
        <v>100.0</v>
      </c>
      <c r="E6" s="34"/>
      <c r="F6" s="35" t="s">
        <v>56</v>
      </c>
      <c r="G6" s="34"/>
      <c r="H6" s="34"/>
      <c r="I6" s="34"/>
      <c r="J6" s="44">
        <v>20.0</v>
      </c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 t="s">
        <v>62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9" t="s">
        <v>64</v>
      </c>
      <c r="C6" s="60" t="s">
        <v>65</v>
      </c>
      <c r="D6" s="60" t="s">
        <v>66</v>
      </c>
      <c r="E6" s="60" t="s">
        <v>26</v>
      </c>
      <c r="F6" s="60" t="s">
        <v>67</v>
      </c>
      <c r="G6" s="60" t="s">
        <v>67</v>
      </c>
      <c r="H6" s="60" t="s">
        <v>68</v>
      </c>
      <c r="I6" s="61"/>
      <c r="J6" s="8"/>
      <c r="K6" s="13" t="s">
        <v>23</v>
      </c>
      <c r="L6" s="8"/>
      <c r="M6" s="13" t="s">
        <v>62</v>
      </c>
      <c r="N6" s="8"/>
      <c r="O6" s="8"/>
    </row>
    <row r="7" ht="15.75" customHeight="1">
      <c r="A7" s="8"/>
      <c r="B7" s="59" t="s">
        <v>64</v>
      </c>
      <c r="C7" s="62" t="s">
        <v>65</v>
      </c>
      <c r="D7" s="62" t="s">
        <v>66</v>
      </c>
      <c r="E7" s="62" t="s">
        <v>26</v>
      </c>
      <c r="F7" s="62" t="s">
        <v>67</v>
      </c>
      <c r="G7" s="62" t="s">
        <v>67</v>
      </c>
      <c r="H7" s="62" t="s">
        <v>69</v>
      </c>
      <c r="I7" s="63"/>
      <c r="J7" s="8"/>
      <c r="K7" s="8"/>
      <c r="L7" s="8"/>
      <c r="M7" s="8"/>
      <c r="N7" s="8"/>
      <c r="O7" s="8"/>
    </row>
    <row r="8" ht="15.75" customHeight="1">
      <c r="A8" s="8"/>
      <c r="B8" s="59" t="s">
        <v>64</v>
      </c>
      <c r="C8" s="60" t="s">
        <v>70</v>
      </c>
      <c r="D8" s="60" t="s">
        <v>71</v>
      </c>
      <c r="E8" s="60" t="s">
        <v>72</v>
      </c>
      <c r="F8" s="60" t="s">
        <v>67</v>
      </c>
      <c r="G8" s="60" t="s">
        <v>67</v>
      </c>
      <c r="H8" s="60" t="s">
        <v>73</v>
      </c>
      <c r="I8" s="61"/>
      <c r="J8" s="8"/>
      <c r="K8" s="8"/>
      <c r="L8" s="8"/>
      <c r="M8" s="8"/>
      <c r="N8" s="8"/>
      <c r="O8" s="8"/>
    </row>
    <row r="9" ht="15.75" customHeight="1">
      <c r="A9" s="8"/>
      <c r="B9" s="59" t="s">
        <v>64</v>
      </c>
      <c r="C9" s="62" t="s">
        <v>70</v>
      </c>
      <c r="D9" s="62" t="s">
        <v>71</v>
      </c>
      <c r="E9" s="62" t="s">
        <v>74</v>
      </c>
      <c r="F9" s="62" t="s">
        <v>67</v>
      </c>
      <c r="G9" s="62" t="s">
        <v>67</v>
      </c>
      <c r="H9" s="62" t="s">
        <v>75</v>
      </c>
      <c r="I9" s="63"/>
      <c r="J9" s="8"/>
      <c r="K9" s="8"/>
      <c r="L9" s="8"/>
      <c r="M9" s="8"/>
      <c r="N9" s="8"/>
      <c r="O9" s="8"/>
    </row>
    <row r="10" ht="15.75" customHeight="1">
      <c r="A10" s="8"/>
      <c r="B10" s="59" t="s">
        <v>64</v>
      </c>
      <c r="C10" s="60" t="s">
        <v>76</v>
      </c>
      <c r="D10" s="60" t="s">
        <v>77</v>
      </c>
      <c r="E10" s="60" t="s">
        <v>78</v>
      </c>
      <c r="F10" s="60" t="s">
        <v>67</v>
      </c>
      <c r="G10" s="60" t="s">
        <v>67</v>
      </c>
      <c r="H10" s="64" t="s">
        <v>79</v>
      </c>
      <c r="I10" s="61"/>
      <c r="J10" s="8"/>
      <c r="K10" s="8"/>
      <c r="L10" s="8"/>
      <c r="M10" s="8"/>
      <c r="N10" s="8"/>
      <c r="O10" s="8"/>
    </row>
    <row r="11" ht="15.75" customHeight="1">
      <c r="A11" s="8"/>
      <c r="B11" s="59" t="s">
        <v>64</v>
      </c>
      <c r="C11" s="62" t="s">
        <v>80</v>
      </c>
      <c r="D11" s="62" t="s">
        <v>81</v>
      </c>
      <c r="E11" s="62" t="s">
        <v>26</v>
      </c>
      <c r="F11" s="62" t="s">
        <v>67</v>
      </c>
      <c r="G11" s="62" t="s">
        <v>67</v>
      </c>
      <c r="H11" s="62" t="s">
        <v>82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59" t="s">
        <v>64</v>
      </c>
      <c r="C12" s="60" t="s">
        <v>76</v>
      </c>
      <c r="D12" s="60" t="s">
        <v>77</v>
      </c>
      <c r="E12" s="60" t="s">
        <v>83</v>
      </c>
      <c r="F12" s="60" t="s">
        <v>67</v>
      </c>
      <c r="G12" s="60" t="s">
        <v>67</v>
      </c>
      <c r="H12" s="60" t="s">
        <v>84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