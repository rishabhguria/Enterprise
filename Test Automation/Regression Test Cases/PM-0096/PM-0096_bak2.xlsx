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5" activeTab="19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UpdateMasterFundOnTT1" sheetId="10" r:id="rId10"/>
    <sheet name="CreateDoneAwayOrder2" sheetId="11" r:id="rId11"/>
    <sheet name="PricingInput" sheetId="12" r:id="rId12"/>
    <sheet name="CalculatePTT" sheetId="13" r:id="rId13"/>
    <sheet name="VerifyPTT" sheetId="14" r:id="rId14"/>
    <sheet name="TradePTT" sheetId="15" r:id="rId15"/>
    <sheet name="CreateDoneAwayOrder1" sheetId="16" r:id="rId16"/>
    <sheet name="VerifyOrder" sheetId="17" r:id="rId17"/>
    <sheet name="GetDataAllocation" sheetId="18" r:id="rId18"/>
    <sheet name="CheckAllocatedGroups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N6" i="9" l="1"/>
  <c r="C6" i="6"/>
  <c r="B6" i="6"/>
  <c r="BK5" i="20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AX5" i="17"/>
  <c r="AP5" i="17"/>
  <c r="AH5" i="17"/>
  <c r="Z5" i="17"/>
  <c r="R5" i="17"/>
  <c r="J5" i="17"/>
  <c r="B5" i="17"/>
  <c r="AW4" i="17"/>
  <c r="AO4" i="17"/>
  <c r="AG4" i="17"/>
  <c r="Y4" i="17"/>
  <c r="Q4" i="17"/>
  <c r="I4" i="17"/>
  <c r="AI5" i="16"/>
  <c r="AA5" i="16"/>
  <c r="S5" i="16"/>
  <c r="K5" i="16"/>
  <c r="C5" i="16"/>
  <c r="V4" i="16"/>
  <c r="N4" i="16"/>
  <c r="F4" i="16"/>
  <c r="G5" i="15"/>
  <c r="P4" i="15"/>
  <c r="H4" i="15"/>
  <c r="R5" i="14"/>
  <c r="J5" i="14"/>
  <c r="B5" i="14"/>
  <c r="K4" i="14"/>
  <c r="C4" i="14"/>
  <c r="E5" i="13"/>
  <c r="N4" i="13"/>
  <c r="F4" i="13"/>
  <c r="R5" i="12"/>
  <c r="J5" i="12"/>
  <c r="B5" i="12"/>
  <c r="AO5" i="11"/>
  <c r="AG5" i="11"/>
  <c r="Y5" i="11"/>
  <c r="Q5" i="11"/>
  <c r="I5" i="11"/>
  <c r="A5" i="11"/>
  <c r="T4" i="11"/>
  <c r="L4" i="11"/>
  <c r="D4" i="11"/>
  <c r="Y4" i="10"/>
  <c r="Q4" i="10"/>
  <c r="I4" i="10"/>
  <c r="AJ5" i="9"/>
  <c r="AB5" i="9"/>
  <c r="T5" i="9"/>
  <c r="L5" i="9"/>
  <c r="D5" i="9"/>
  <c r="W4" i="9"/>
  <c r="O4" i="9"/>
  <c r="G4" i="9"/>
  <c r="A5" i="8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R5" i="19"/>
  <c r="CJ5" i="19"/>
  <c r="CB5" i="19"/>
  <c r="BT5" i="19"/>
  <c r="BL5" i="19"/>
  <c r="BD5" i="19"/>
  <c r="AV5" i="19"/>
  <c r="AN5" i="19"/>
  <c r="AF5" i="19"/>
  <c r="X5" i="19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AW5" i="17"/>
  <c r="AO5" i="17"/>
  <c r="AG5" i="17"/>
  <c r="Y5" i="17"/>
  <c r="Q5" i="17"/>
  <c r="I5" i="17"/>
  <c r="A5" i="17"/>
  <c r="AV4" i="17"/>
  <c r="AN4" i="17"/>
  <c r="AF4" i="17"/>
  <c r="X4" i="17"/>
  <c r="P4" i="17"/>
  <c r="H4" i="17"/>
  <c r="AP5" i="16"/>
  <c r="AH5" i="16"/>
  <c r="Z5" i="16"/>
  <c r="R5" i="16"/>
  <c r="J5" i="16"/>
  <c r="B5" i="16"/>
  <c r="U4" i="16"/>
  <c r="M4" i="16"/>
  <c r="E4" i="16"/>
  <c r="F5" i="15"/>
  <c r="O4" i="15"/>
  <c r="G4" i="15"/>
  <c r="Q5" i="14"/>
  <c r="I5" i="14"/>
  <c r="A5" i="14"/>
  <c r="J4" i="14"/>
  <c r="B4" i="14"/>
  <c r="D5" i="13"/>
  <c r="M4" i="13"/>
  <c r="E4" i="13"/>
  <c r="Q5" i="12"/>
  <c r="I5" i="12"/>
  <c r="A5" i="12"/>
  <c r="AN5" i="11"/>
  <c r="AF5" i="11"/>
  <c r="X5" i="11"/>
  <c r="P5" i="11"/>
  <c r="H5" i="11"/>
  <c r="AA4" i="11"/>
  <c r="S4" i="11"/>
  <c r="K4" i="11"/>
  <c r="C4" i="11"/>
  <c r="X4" i="10"/>
  <c r="P4" i="10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CQ5" i="19"/>
  <c r="CI5" i="19"/>
  <c r="CA5" i="19"/>
  <c r="BS5" i="19"/>
  <c r="BK5" i="19"/>
  <c r="BC5" i="19"/>
  <c r="AU5" i="19"/>
  <c r="AM5" i="19"/>
  <c r="AE5" i="19"/>
  <c r="W5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AV5" i="17"/>
  <c r="AN5" i="17"/>
  <c r="AF5" i="17"/>
  <c r="X5" i="17"/>
  <c r="P5" i="17"/>
  <c r="H5" i="17"/>
  <c r="BC4" i="17"/>
  <c r="AU4" i="17"/>
  <c r="AM4" i="17"/>
  <c r="AE4" i="17"/>
  <c r="W4" i="17"/>
  <c r="O4" i="17"/>
  <c r="G4" i="17"/>
  <c r="AO5" i="16"/>
  <c r="AG5" i="16"/>
  <c r="Y5" i="16"/>
  <c r="Q5" i="16"/>
  <c r="I5" i="16"/>
  <c r="A5" i="16"/>
  <c r="T4" i="16"/>
  <c r="L4" i="16"/>
  <c r="D4" i="16"/>
  <c r="E5" i="15"/>
  <c r="N4" i="15"/>
  <c r="F4" i="15"/>
  <c r="P5" i="14"/>
  <c r="H5" i="14"/>
  <c r="Q4" i="14"/>
  <c r="I4" i="14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CP5" i="19"/>
  <c r="CH5" i="19"/>
  <c r="BZ5" i="19"/>
  <c r="BR5" i="19"/>
  <c r="BJ5" i="19"/>
  <c r="BB5" i="19"/>
  <c r="AT5" i="19"/>
  <c r="AL5" i="19"/>
  <c r="AD5" i="19"/>
  <c r="V5" i="19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CO5" i="19"/>
  <c r="CG5" i="19"/>
  <c r="BY5" i="19"/>
  <c r="BQ5" i="19"/>
  <c r="BI5" i="19"/>
  <c r="BA5" i="19"/>
  <c r="AS5" i="19"/>
  <c r="AK5" i="19"/>
  <c r="AC5" i="19"/>
  <c r="U5" i="19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AT5" i="17"/>
  <c r="AL5" i="17"/>
  <c r="AD5" i="17"/>
  <c r="V5" i="17"/>
  <c r="N5" i="17"/>
  <c r="F5" i="17"/>
  <c r="BA4" i="17"/>
  <c r="AS4" i="17"/>
  <c r="AK4" i="17"/>
  <c r="AC4" i="17"/>
  <c r="U4" i="17"/>
  <c r="M4" i="17"/>
  <c r="E4" i="17"/>
  <c r="AM5" i="16"/>
  <c r="AE5" i="16"/>
  <c r="W5" i="16"/>
  <c r="O5" i="16"/>
  <c r="G5" i="16"/>
  <c r="Z4" i="16"/>
  <c r="R4" i="16"/>
  <c r="J4" i="16"/>
  <c r="B4" i="16"/>
  <c r="C5" i="15"/>
  <c r="L4" i="15"/>
  <c r="D4" i="15"/>
  <c r="N5" i="14"/>
  <c r="F5" i="14"/>
  <c r="O4" i="14"/>
  <c r="G4" i="14"/>
  <c r="I5" i="13"/>
  <c r="A5" i="13"/>
  <c r="J4" i="13"/>
  <c r="B4" i="13"/>
  <c r="N5" i="12"/>
  <c r="F5" i="12"/>
  <c r="C4" i="12"/>
  <c r="AK5" i="11"/>
  <c r="AC5" i="11"/>
  <c r="U5" i="11"/>
  <c r="M5" i="11"/>
  <c r="E5" i="11"/>
  <c r="X4" i="11"/>
  <c r="P4" i="11"/>
  <c r="H4" i="11"/>
  <c r="B5" i="10"/>
  <c r="U4" i="10"/>
  <c r="M4" i="10"/>
  <c r="E4" i="10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CN5" i="19"/>
  <c r="CF5" i="19"/>
  <c r="BX5" i="19"/>
  <c r="BP5" i="19"/>
  <c r="BH5" i="19"/>
  <c r="AZ5" i="19"/>
  <c r="AR5" i="19"/>
  <c r="AJ5" i="19"/>
  <c r="AB5" i="19"/>
  <c r="T5" i="19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BA5" i="17"/>
  <c r="AS5" i="17"/>
  <c r="AK5" i="17"/>
  <c r="AC5" i="17"/>
  <c r="U5" i="17"/>
  <c r="M5" i="17"/>
  <c r="E5" i="17"/>
  <c r="AZ4" i="17"/>
  <c r="AR4" i="17"/>
  <c r="AJ4" i="17"/>
  <c r="AB4" i="17"/>
  <c r="T4" i="17"/>
  <c r="L4" i="17"/>
  <c r="D4" i="17"/>
  <c r="AL5" i="16"/>
  <c r="AD5" i="16"/>
  <c r="V5" i="16"/>
  <c r="N5" i="16"/>
  <c r="F5" i="16"/>
  <c r="Y4" i="16"/>
  <c r="Q4" i="16"/>
  <c r="I4" i="16"/>
  <c r="B5" i="15"/>
  <c r="K4" i="15"/>
  <c r="C4" i="15"/>
  <c r="M5" i="14"/>
  <c r="E5" i="14"/>
  <c r="N4" i="14"/>
  <c r="F4" i="14"/>
  <c r="H5" i="13"/>
  <c r="Q4" i="13"/>
  <c r="I4" i="13"/>
  <c r="M5" i="12"/>
  <c r="E5" i="12"/>
  <c r="B4" i="12"/>
  <c r="AJ5" i="11"/>
  <c r="AB5" i="11"/>
  <c r="T5" i="11"/>
  <c r="L5" i="11"/>
  <c r="D5" i="11"/>
  <c r="W4" i="11"/>
  <c r="O4" i="11"/>
  <c r="G4" i="11"/>
  <c r="A5" i="10"/>
  <c r="T4" i="10"/>
  <c r="L4" i="10"/>
  <c r="D4" i="10"/>
  <c r="AM5" i="9"/>
  <c r="AE5" i="9"/>
  <c r="W5" i="9"/>
  <c r="O5" i="9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CM5" i="19"/>
  <c r="CE5" i="19"/>
  <c r="BW5" i="19"/>
  <c r="BO5" i="19"/>
  <c r="BG5" i="19"/>
  <c r="AY5" i="19"/>
  <c r="AQ5" i="19"/>
  <c r="AI5" i="19"/>
  <c r="AA5" i="19"/>
  <c r="S5" i="19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AZ5" i="17"/>
  <c r="AR5" i="17"/>
  <c r="AJ5" i="17"/>
  <c r="AB5" i="17"/>
  <c r="T5" i="17"/>
  <c r="L5" i="17"/>
  <c r="D5" i="17"/>
  <c r="AY4" i="17"/>
  <c r="AQ4" i="17"/>
  <c r="AI4" i="17"/>
  <c r="AA4" i="17"/>
  <c r="S4" i="17"/>
  <c r="K4" i="17"/>
  <c r="C4" i="17"/>
  <c r="AK5" i="16"/>
  <c r="AC5" i="16"/>
  <c r="U5" i="16"/>
  <c r="M5" i="16"/>
  <c r="E5" i="16"/>
  <c r="X4" i="16"/>
  <c r="P4" i="16"/>
  <c r="H4" i="16"/>
  <c r="I5" i="15"/>
  <c r="A5" i="15"/>
  <c r="J4" i="15"/>
  <c r="B4" i="15"/>
  <c r="L5" i="14"/>
  <c r="D5" i="14"/>
  <c r="M4" i="14"/>
  <c r="E4" i="14"/>
  <c r="G5" i="13"/>
  <c r="P4" i="13"/>
  <c r="H4" i="13"/>
  <c r="T5" i="12"/>
  <c r="L5" i="12"/>
  <c r="D5" i="12"/>
  <c r="AI5" i="11"/>
  <c r="AA5" i="11"/>
  <c r="S5" i="11"/>
  <c r="K5" i="11"/>
  <c r="C5" i="11"/>
  <c r="V4" i="11"/>
  <c r="N4" i="11"/>
  <c r="F4" i="11"/>
  <c r="AA4" i="10"/>
  <c r="S4" i="10"/>
  <c r="K4" i="10"/>
  <c r="C4" i="10"/>
  <c r="AL5" i="9"/>
  <c r="AD5" i="9"/>
  <c r="V5" i="9"/>
  <c r="N5" i="9"/>
  <c r="F5" i="9"/>
  <c r="Y4" i="9"/>
  <c r="Q4" i="9"/>
  <c r="I4" i="9"/>
  <c r="V4" i="8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CL5" i="19"/>
  <c r="CD5" i="19"/>
  <c r="BV5" i="19"/>
  <c r="BN5" i="19"/>
  <c r="BF5" i="19"/>
  <c r="AX5" i="19"/>
  <c r="AP5" i="19"/>
  <c r="AH5" i="19"/>
  <c r="Z5" i="19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AY5" i="17"/>
  <c r="AQ5" i="17"/>
  <c r="AI5" i="17"/>
  <c r="AA5" i="17"/>
  <c r="S5" i="17"/>
  <c r="K5" i="17"/>
  <c r="C5" i="17"/>
  <c r="AX4" i="17"/>
  <c r="AP4" i="17"/>
  <c r="AH4" i="17"/>
  <c r="Z4" i="17"/>
  <c r="R4" i="17"/>
  <c r="J4" i="17"/>
  <c r="B4" i="17"/>
  <c r="AJ5" i="16"/>
  <c r="AB5" i="16"/>
  <c r="T5" i="16"/>
  <c r="L5" i="16"/>
  <c r="D5" i="16"/>
  <c r="W4" i="16"/>
  <c r="O4" i="16"/>
  <c r="G4" i="16"/>
  <c r="H5" i="15"/>
  <c r="Q4" i="15"/>
  <c r="I4" i="15"/>
  <c r="K5" i="14"/>
  <c r="C5" i="14"/>
  <c r="L4" i="14"/>
  <c r="D4" i="14"/>
  <c r="F5" i="13"/>
  <c r="O4" i="13"/>
  <c r="G4" i="13"/>
  <c r="S5" i="12"/>
  <c r="K5" i="12"/>
  <c r="C5" i="12"/>
  <c r="AP5" i="11"/>
  <c r="AH5" i="11"/>
  <c r="Z5" i="11"/>
  <c r="R5" i="11"/>
  <c r="J5" i="11"/>
  <c r="B5" i="11"/>
  <c r="U4" i="11"/>
  <c r="M4" i="11"/>
  <c r="E4" i="11"/>
  <c r="Z4" i="10"/>
  <c r="R4" i="10"/>
  <c r="J4" i="10"/>
  <c r="B4" i="18"/>
  <c r="AT4" i="17"/>
  <c r="X5" i="16"/>
  <c r="M4" i="15"/>
  <c r="B5" i="13"/>
  <c r="G5" i="12"/>
  <c r="V5" i="11"/>
  <c r="Q4" i="11"/>
  <c r="N4" i="10"/>
  <c r="AN5" i="9"/>
  <c r="Z5" i="9"/>
  <c r="M5" i="9"/>
  <c r="B5" i="9"/>
  <c r="S4" i="9"/>
  <c r="H4" i="9"/>
  <c r="Z4" i="8"/>
  <c r="Q4" i="8"/>
  <c r="I4" i="8"/>
  <c r="AD4" i="7"/>
  <c r="V4" i="7"/>
  <c r="N4" i="7"/>
  <c r="F4" i="7"/>
  <c r="C5" i="6"/>
  <c r="AB4" i="6"/>
  <c r="T4" i="6"/>
  <c r="L4" i="6"/>
  <c r="D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U5" i="17"/>
  <c r="AL4" i="17"/>
  <c r="P5" i="16"/>
  <c r="E4" i="15"/>
  <c r="L4" i="13"/>
  <c r="E4" i="12"/>
  <c r="O5" i="11"/>
  <c r="J4" i="11"/>
  <c r="H4" i="10"/>
  <c r="AK5" i="9"/>
  <c r="Y5" i="9"/>
  <c r="K5" i="9"/>
  <c r="A5" i="9"/>
  <c r="R4" i="9"/>
  <c r="F4" i="9"/>
  <c r="Y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AM5" i="17"/>
  <c r="AD4" i="17"/>
  <c r="H5" i="16"/>
  <c r="O5" i="14"/>
  <c r="K4" i="13"/>
  <c r="D4" i="12"/>
  <c r="N5" i="11"/>
  <c r="I4" i="11"/>
  <c r="G4" i="10"/>
  <c r="AI5" i="9"/>
  <c r="X5" i="9"/>
  <c r="J5" i="9"/>
  <c r="AA4" i="9"/>
  <c r="P4" i="9"/>
  <c r="E4" i="9"/>
  <c r="X4" i="8"/>
  <c r="O4" i="8"/>
  <c r="G4" i="8"/>
  <c r="C5" i="7"/>
  <c r="AB4" i="7"/>
  <c r="T4" i="7"/>
  <c r="L4" i="7"/>
  <c r="D4" i="7"/>
  <c r="A5" i="6"/>
  <c r="Z4" i="6"/>
  <c r="R4" i="6"/>
  <c r="J4" i="6"/>
  <c r="B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AE5" i="17"/>
  <c r="V4" i="17"/>
  <c r="AA4" i="16"/>
  <c r="G5" i="14"/>
  <c r="D4" i="13"/>
  <c r="AM5" i="11"/>
  <c r="G5" i="11"/>
  <c r="B4" i="11"/>
  <c r="F4" i="10"/>
  <c r="AH5" i="9"/>
  <c r="U5" i="9"/>
  <c r="I5" i="9"/>
  <c r="Z4" i="9"/>
  <c r="N4" i="9"/>
  <c r="D4" i="9"/>
  <c r="W4" i="8"/>
  <c r="N4" i="8"/>
  <c r="F4" i="8"/>
  <c r="B5" i="7"/>
  <c r="AA4" i="7"/>
  <c r="S4" i="7"/>
  <c r="K4" i="7"/>
  <c r="C4" i="7"/>
  <c r="AG4" i="6"/>
  <c r="Y4" i="6"/>
  <c r="Q4" i="6"/>
  <c r="I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W5" i="17"/>
  <c r="N4" i="17"/>
  <c r="S4" i="16"/>
  <c r="P4" i="14"/>
  <c r="C4" i="13"/>
  <c r="AL5" i="11"/>
  <c r="F5" i="11"/>
  <c r="B4" i="10"/>
  <c r="AG5" i="9"/>
  <c r="S5" i="9"/>
  <c r="H5" i="9"/>
  <c r="X4" i="9"/>
  <c r="M4" i="9"/>
  <c r="C4" i="9"/>
  <c r="U4" i="8"/>
  <c r="M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O5" i="17"/>
  <c r="F4" i="17"/>
  <c r="K4" i="16"/>
  <c r="H4" i="14"/>
  <c r="P5" i="12"/>
  <c r="AE5" i="11"/>
  <c r="Z4" i="11"/>
  <c r="W4" i="10"/>
  <c r="AF5" i="9"/>
  <c r="R5" i="9"/>
  <c r="G5" i="9"/>
  <c r="V4" i="9"/>
  <c r="L4" i="9"/>
  <c r="B4" i="9"/>
  <c r="T4" i="8"/>
  <c r="L4" i="8"/>
  <c r="D4" i="8"/>
  <c r="AG4" i="7"/>
  <c r="Y4" i="7"/>
  <c r="Q4" i="7"/>
  <c r="I4" i="7"/>
  <c r="AE4" i="6"/>
  <c r="W4" i="6"/>
  <c r="O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G5" i="17"/>
  <c r="AN5" i="16"/>
  <c r="C4" i="16"/>
  <c r="J5" i="13"/>
  <c r="O5" i="12"/>
  <c r="AD5" i="11"/>
  <c r="Y4" i="11"/>
  <c r="V4" i="10"/>
  <c r="AP5" i="9"/>
  <c r="AC5" i="9"/>
  <c r="Q5" i="9"/>
  <c r="E5" i="9"/>
  <c r="U4" i="9"/>
  <c r="K4" i="9"/>
  <c r="B5" i="8"/>
  <c r="S4" i="8"/>
  <c r="K4" i="8"/>
  <c r="C4" i="8"/>
  <c r="AF4" i="7"/>
  <c r="X4" i="7"/>
  <c r="P4" i="7"/>
  <c r="H4" i="7"/>
  <c r="AD4" i="6"/>
  <c r="V4" i="6"/>
  <c r="N4" i="6"/>
  <c r="F4" i="6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BB4" i="17"/>
  <c r="AF5" i="16"/>
  <c r="D5" i="15"/>
  <c r="C5" i="13"/>
  <c r="H5" i="12"/>
  <c r="W5" i="11"/>
  <c r="R4" i="11"/>
  <c r="O4" i="10"/>
  <c r="AO5" i="9"/>
  <c r="AA5" i="9"/>
  <c r="P5" i="9"/>
  <c r="C5" i="9"/>
  <c r="T4" i="9"/>
  <c r="J4" i="9"/>
  <c r="AA4" i="8"/>
  <c r="R4" i="8"/>
  <c r="J4" i="8"/>
  <c r="B4" i="8"/>
  <c r="AE4" i="7"/>
  <c r="W4" i="7"/>
  <c r="O4" i="7"/>
  <c r="G4" i="7"/>
  <c r="AC4" i="6"/>
  <c r="U4" i="6"/>
  <c r="M4" i="6"/>
  <c r="E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B362" i="1"/>
  <c r="A355" i="1"/>
  <c r="B348" i="1"/>
  <c r="A341" i="1"/>
  <c r="C333" i="1"/>
  <c r="B328" i="1"/>
  <c r="A323" i="1"/>
  <c r="C317" i="1"/>
  <c r="C313" i="1"/>
  <c r="C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361" i="1"/>
  <c r="B354" i="1"/>
  <c r="A347" i="1"/>
  <c r="B340" i="1"/>
  <c r="A333" i="1"/>
  <c r="C327" i="1"/>
  <c r="B322" i="1"/>
  <c r="A317" i="1"/>
  <c r="C312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360" i="1"/>
  <c r="C353" i="1"/>
  <c r="B346" i="1"/>
  <c r="A339" i="1"/>
  <c r="C332" i="1"/>
  <c r="B327" i="1"/>
  <c r="A322" i="1"/>
  <c r="C316" i="1"/>
  <c r="B312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375" i="1"/>
  <c r="C359" i="1"/>
  <c r="B352" i="1"/>
  <c r="C345" i="1"/>
  <c r="B338" i="1"/>
  <c r="B332" i="1"/>
  <c r="A327" i="1"/>
  <c r="C321" i="1"/>
  <c r="B316" i="1"/>
  <c r="C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73" i="1"/>
  <c r="A359" i="1"/>
  <c r="C351" i="1"/>
  <c r="B344" i="1"/>
  <c r="C337" i="1"/>
  <c r="A331" i="1"/>
  <c r="C325" i="1"/>
  <c r="B320" i="1"/>
  <c r="B315" i="1"/>
  <c r="B311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370" i="1"/>
  <c r="C357" i="1"/>
  <c r="A351" i="1"/>
  <c r="C343" i="1"/>
  <c r="B336" i="1"/>
  <c r="B330" i="1"/>
  <c r="A325" i="1"/>
  <c r="C319" i="1"/>
  <c r="A315" i="1"/>
  <c r="A311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367" i="1"/>
  <c r="A357" i="1"/>
  <c r="C349" i="1"/>
  <c r="A343" i="1"/>
  <c r="C335" i="1"/>
  <c r="A330" i="1"/>
  <c r="C324" i="1"/>
  <c r="B319" i="1"/>
  <c r="B314" i="1"/>
  <c r="B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365" i="1"/>
  <c r="B356" i="1"/>
  <c r="A349" i="1"/>
  <c r="C341" i="1"/>
  <c r="A335" i="1"/>
  <c r="C329" i="1"/>
  <c r="B324" i="1"/>
  <c r="A319" i="1"/>
  <c r="A314" i="1"/>
  <c r="A310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17" l="1"/>
  <c r="J2" i="10"/>
  <c r="J2" i="19"/>
  <c r="J2" i="14"/>
  <c r="J2" i="18"/>
  <c r="J2" i="16"/>
  <c r="J2" i="13"/>
  <c r="J2" i="12"/>
  <c r="J2" i="9"/>
  <c r="J2" i="20"/>
  <c r="J2" i="15"/>
  <c r="J2" i="8"/>
  <c r="J2" i="6"/>
  <c r="J2" i="4"/>
  <c r="J2" i="11"/>
  <c r="J2" i="7"/>
  <c r="J2" i="5"/>
</calcChain>
</file>

<file path=xl/sharedStrings.xml><?xml version="1.0" encoding="utf-8"?>
<sst xmlns="http://schemas.openxmlformats.org/spreadsheetml/2006/main" count="331" uniqueCount="76">
  <si>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</si>
  <si>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</si>
  <si>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</si>
  <si>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</si>
  <si>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</si>
  <si>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</si>
  <si>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</si>
  <si>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</si>
  <si>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</si>
  <si>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</si>
  <si>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</si>
  <si>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</si>
  <si>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</si>
  <si>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</si>
  <si>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</si>
  <si>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</si>
  <si>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 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</si>
  <si>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</si>
  <si>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</si>
  <si>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</si>
  <si>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</si>
  <si>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</si>
  <si>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</si>
  <si>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</si>
  <si>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</si>
  <si>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</si>
  <si>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</si>
  <si>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</si>
  <si>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</si>
  <si>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Buy</t>
  </si>
  <si>
    <t>NewMF1</t>
  </si>
  <si>
    <t>Allocation2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</si>
  <si>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</si>
  <si>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</si>
  <si>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</si>
  <si>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</si>
  <si>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</si>
  <si>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</si>
  <si>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</si>
  <si>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</si>
  <si>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</si>
  <si>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Blotter</t>
  </si>
  <si>
    <t>VerifyOrder</t>
  </si>
  <si>
    <t>AAPL US EQUITY</t>
  </si>
  <si>
    <t>NASDAQ</t>
  </si>
  <si>
    <t>jpearce</t>
  </si>
  <si>
    <t>TradingAccount-1</t>
  </si>
  <si>
    <t>NONE</t>
  </si>
  <si>
    <t>M</t>
  </si>
  <si>
    <t>Equity</t>
  </si>
  <si>
    <t>Filled</t>
  </si>
  <si>
    <t>MS</t>
  </si>
  <si>
    <t>Market</t>
  </si>
  <si>
    <t>Manual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</si>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</sst>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AM/PM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5" fillId="0" borderId="0" xfId="0" applyFont="1" applyAlignment="1">
      <alignment horizontal="center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0" xfId="0" applyFont="1" applyAlignment="1"/>
    <xf numFmtId="14" fontId="5" fillId="0" borderId="0" xfId="0" applyNumberFormat="1" applyFont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14" fontId="14" fillId="6" borderId="5" xfId="0" applyNumberFormat="1" applyFont="1" applyFill="1" applyBorder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3" fillId="0" borderId="0" xfId="0" applyNumberFormat="1" applyFont="1" applyAlignment="1"/>
    <xf numFmtId="14" fontId="3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17" sqref="E17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8" t="s">
        <v>0</v>
      </c>
      <c r="B1" s="49"/>
      <c r="C1" s="49"/>
      <c r="D1" s="49"/>
      <c r="E1" s="49"/>
      <c r="F1" s="5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>
      <c r="A495" t="str">
        <f ca="1">IFERROR(__xludf.DUMMYFUNCTION("""COMPUTED_VALUE"""),"Dropcopy")</f>
        <v>Dropcopy</v>
      </c>
      <c r="B495" t="str">
        <f ca="1">IFERROR(__xludf.DUMMYFUNCTION("""COMPUTED_VALUE"""),"UploadDropcopyFile")</f>
        <v>UploadDropcopyFile</v>
      </c>
      <c r="C495" t="str">
        <f ca="1">IFERROR(__xludf.DUMMYFUNCTION("""COMPUTED_VALUE"""),"1W-fqHVGr66uN9zMhvO6QE-0fTnvoMIo31A_MC2VEFUY")</f>
        <v>1W-fqHVGr66uN9zMhvO6QE-0fTnvoMIo31A_MC2VEFUY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IFERROR(__xludf.DUMMYFUNCTION("""COMPUTED_VALUE"""),"StartTradeServer")</f>
        <v>StartTradeServer</v>
      </c>
      <c r="C496" t="str">
        <f ca="1">IFERROR(__xludf.DUMMYFUNCTION("""COMPUTED_VALUE"""),"1B9rnk-hL47W-7iUGju1P5wtQC8y0BGZIAhuxsistETQ")</f>
        <v>1B9rnk-hL47W-7iUGju1P5wtQC8y0BGZIAhuxsistETQ</v>
      </c>
    </row>
    <row r="497" spans="1:3" ht="15.75" customHeight="1">
      <c r="A497" t="str">
        <f ca="1">IFERROR(__xludf.DUMMYFUNCTION("""COMPUTED_VALUE"""),"TradeServer")</f>
        <v>TradeServer</v>
      </c>
      <c r="B497" t="str">
        <f ca="1">IFERROR(__xludf.DUMMYFUNCTION("""COMPUTED_VALUE"""),"CloseTradeServer ")</f>
        <v xml:space="preserve">CloseTradeServer </v>
      </c>
      <c r="C497" t="str">
        <f ca="1">IFERROR(__xludf.DUMMYFUNCTION("""COMPUTED_VALUE"""),"174Tprzh0aMAZa-Ckuaucg-4aWwJTc-gYly9QXAbePh0")</f>
        <v>174Tprzh0aMAZa-Ckuaucg-4aWwJTc-gYly9QXAbePh0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IFERROR(__xludf.DUMMYFUNCTION("""COMPUTED_VALUE"""),"GetExecutionReportOrders")</f>
        <v>GetExecutionReportOrders</v>
      </c>
      <c r="C498" t="str">
        <f ca="1">IFERROR(__xludf.DUMMYFUNCTION("""COMPUTED_VALUE"""),"1hQPEUlOvv9Vi1KsbHsN6z0TIt4-v9Ckko9Z170M5bto")</f>
        <v>1hQPEUlOvv9Vi1KsbHsN6z0TIt4-v9Ckko9Z170M5bto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IFERROR(__xludf.DUMMYFUNCTION("""COMPUTED_VALUE"""),"GetExecutionReportDetails")</f>
        <v>GetExecutionReportDetails</v>
      </c>
      <c r="C499" t="str">
        <f ca="1">IFERROR(__xludf.DUMMYFUNCTION("""COMPUTED_VALUE"""),"1aD9Si2VBbY68g9PUfKv624K3d2PbLqScMJakPjZ8hFs")</f>
        <v>1aD9Si2VBbY68g9PUfKv624K3d2PbLqScMJakPjZ8hFs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IFERROR(__xludf.DUMMYFUNCTION("""COMPUTED_VALUE"""),"ExportExecutionReportData")</f>
        <v>ExportExecutionReportData</v>
      </c>
      <c r="C500" t="str">
        <f ca="1">IFERROR(__xludf.DUMMYFUNCTION("""COMPUTED_VALUE"""),"1a6yh6QYOXKH0UbWUlB2RKwf87hvs13OSFnVJBRYCYpM")</f>
        <v>1a6yh6QYOXKH0UbWUlB2RKwf87hvs13OSFnVJBRYCYpM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IFERROR(__xludf.DUMMYFUNCTION("""COMPUTED_VALUE"""),"VerifyExecutionReport")</f>
        <v>VerifyExecutionReport</v>
      </c>
      <c r="C501" t="str">
        <f ca="1">IFERROR(__xludf.DUMMYFUNCTION("""COMPUTED_VALUE"""),"15sKQ6yRs5rA6j70FvZOyg9HBsLCsZF-psuPGXdEFJSg")</f>
        <v>15sKQ6yRs5rA6j70FvZOyg9HBsLCsZF-psuPGXdEFJSg</v>
      </c>
    </row>
    <row r="502" spans="1:3" ht="15.75" customHeight="1">
      <c r="A502" t="str">
        <f ca="1">IFERROR(__xludf.DUMMYFUNCTION("""COMPUTED_VALUE"""),"Blotter")</f>
        <v>Blotter</v>
      </c>
      <c r="B502" t="str">
        <f ca="1">IFERROR(__xludf.DUMMYFUNCTION("""COMPUTED_VALUE"""),"BlotterExecutionReportSnapshot")</f>
        <v>BlotterExecutionReportSnapshot</v>
      </c>
      <c r="C502" t="str">
        <f ca="1">IFERROR(__xludf.DUMMYFUNCTION("""COMPUTED_VALUE"""),"1O56bvbVFEtmCnv92OXcl9NqN7Zssjg6iXf_dOM4W0hs")</f>
        <v>1O56bvbVFEtmCnv92OXcl9NqN7Zssjg6iXf_dOM4W0hs</v>
      </c>
    </row>
    <row r="503" spans="1:3" ht="15.75" customHeight="1"/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26" t="b">
        <v>1</v>
      </c>
      <c r="E6" s="27"/>
      <c r="F6" s="27"/>
      <c r="G6" s="27"/>
      <c r="H6" s="28">
        <v>10</v>
      </c>
      <c r="I6" s="27"/>
      <c r="J6" s="27"/>
      <c r="K6" s="29" t="s">
        <v>16</v>
      </c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IFERROR(__xludf.DUMMYFUNCTION("""COMPUTED_VALUE"""),"ShowMasterFundOnTT")</f>
        <v>ShowMasterFundOnTT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1">
        <f t="shared" ref="B6:C6" ca="1" si="0">TODAY()-1</f>
        <v>44411</v>
      </c>
      <c r="C6" s="32">
        <f t="shared" ca="1" si="0"/>
        <v>44411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22</v>
      </c>
      <c r="C6" s="34" t="s">
        <v>23</v>
      </c>
      <c r="D6" s="35">
        <v>300000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7"/>
      <c r="C7" s="27"/>
      <c r="D7" s="28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26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6" t="s">
        <v>28</v>
      </c>
      <c r="C6" s="34" t="s">
        <v>29</v>
      </c>
      <c r="D6" s="35">
        <v>100</v>
      </c>
      <c r="E6" s="28">
        <v>100</v>
      </c>
      <c r="F6" s="34" t="s">
        <v>22</v>
      </c>
      <c r="G6" s="27"/>
      <c r="H6" s="27"/>
      <c r="I6" s="27"/>
      <c r="J6" s="28">
        <v>10</v>
      </c>
      <c r="K6" s="27"/>
      <c r="L6" s="27"/>
      <c r="M6" s="27"/>
      <c r="N6" s="37">
        <f ca="1">TODAY()</f>
        <v>44412</v>
      </c>
      <c r="O6" s="27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30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6" t="s">
        <v>28</v>
      </c>
      <c r="C6" s="34" t="s">
        <v>29</v>
      </c>
      <c r="D6" s="35">
        <v>100</v>
      </c>
      <c r="E6" s="28">
        <v>100</v>
      </c>
      <c r="F6" s="29" t="s">
        <v>31</v>
      </c>
      <c r="G6" s="27"/>
      <c r="H6" s="27"/>
      <c r="I6" s="27"/>
      <c r="J6" s="28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32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IFERROR(__xludf.DUMMYFUNCTION("IF(C3="""","""",Transpose(IMPORTRANGE('_Settings'!$B$3,C3&amp;""!A4:A1000"")))"),"PricingInput")</f>
        <v>PricingInput</v>
      </c>
      <c r="C4" s="20" t="str">
        <f ca="1">IFERROR(__xludf.DUMMYFUNCTION("""COMPUTED_VALUE"""),"UpdateSharesOutstanding")</f>
        <v>UpdateSharesOutstanding</v>
      </c>
      <c r="D4" s="20" t="str">
        <f ca="1">IFERROR(__xludf.DUMMYFUNCTION("""COMPUTED_VALUE"""),"EODTPreferences")</f>
        <v>EODTPreferences</v>
      </c>
      <c r="E4" s="20" t="str">
        <f ca="1">IFERROR(__xludf.DUMMYFUNCTION("""COMPUTED_VALUE"""),"LiveData")</f>
        <v>LiveData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IFERROR(__xludf.DUMMYFUNCTION("""COMPUTED_VALUE"""),"User Px")</f>
        <v>User Px</v>
      </c>
      <c r="D5" s="23" t="str">
        <f ca="1">IFERROR(__xludf.DUMMYFUNCTION("""COMPUTED_VALUE"""),"Asset Class")</f>
        <v>Asset Class</v>
      </c>
      <c r="E5" s="23" t="str">
        <f ca="1">IFERROR(__xludf.DUMMYFUNCTION("""COMPUTED_VALUE"""),"Volatility(%)")</f>
        <v>Volatility(%)</v>
      </c>
      <c r="F5" s="24" t="str">
        <f ca="1">IFERROR(__xludf.DUMMYFUNCTION("""COMPUTED_VALUE"""),"Historical Volatility")</f>
        <v>Historical Volatility</v>
      </c>
      <c r="G5" s="23" t="str">
        <f ca="1">IFERROR(__xludf.DUMMYFUNCTION("""COMPUTED_VALUE"""),"User Volatility")</f>
        <v>User Volatility</v>
      </c>
      <c r="H5" s="23" t="str">
        <f ca="1">IFERROR(__xludf.DUMMYFUNCTION("""COMPUTED_VALUE"""),"Interest Rate")</f>
        <v>Interest Rate</v>
      </c>
      <c r="I5" s="23" t="str">
        <f ca="1">IFERROR(__xludf.DUMMYFUNCTION("""COMPUTED_VALUE"""),"User Interest Rate")</f>
        <v>User Interest Rate</v>
      </c>
      <c r="J5" s="23" t="str">
        <f ca="1">IFERROR(__xludf.DUMMYFUNCTION("""COMPUTED_VALUE"""),"Dividend Yield")</f>
        <v>Dividend Yield</v>
      </c>
      <c r="K5" s="23" t="str">
        <f ca="1">IFERROR(__xludf.DUMMYFUNCTION("""COMPUTED_VALUE"""),"User Dividend Yield")</f>
        <v>User Dividend Yield</v>
      </c>
      <c r="L5" s="23" t="str">
        <f ca="1">IFERROR(__xludf.DUMMYFUNCTION("""COMPUTED_VALUE"""),"Actual Delta")</f>
        <v>Actual Delta</v>
      </c>
      <c r="M5" s="23" t="str">
        <f ca="1">IFERROR(__xludf.DUMMYFUNCTION("""COMPUTED_VALUE"""),"User Delta")</f>
        <v>User Delta</v>
      </c>
      <c r="N5" s="23" t="str">
        <f ca="1">IFERROR(__xludf.DUMMYFUNCTION("""COMPUTED_VALUE"""),"Selected Px")</f>
        <v>Selected Px</v>
      </c>
      <c r="O5" s="23" t="str">
        <f ca="1">IFERROR(__xludf.DUMMYFUNCTION("""COMPUTED_VALUE"""),"Forward Points")</f>
        <v>Forward Points</v>
      </c>
      <c r="P5" s="23" t="str">
        <f ca="1">IFERROR(__xludf.DUMMYFUNCTION("""COMPUTED_VALUE"""),"Shares Outstanding")</f>
        <v>Shares Outstanding</v>
      </c>
      <c r="Q5" s="23" t="str">
        <f ca="1">IFERROR(__xludf.DUMMYFUNCTION("""COMPUTED_VALUE"""),"User Shares Outstanding")</f>
        <v>User Shares Outstanding</v>
      </c>
      <c r="R5" s="23" t="str">
        <f ca="1">IFERROR(__xludf.DUMMYFUNCTION("""COMPUTED_VALUE"""),"LastPriceUsed")</f>
        <v>LastPriceUsed</v>
      </c>
      <c r="S5" s="23" t="str">
        <f ca="1">IFERROR(__xludf.DUMMYFUNCTION("""COMPUTED_VALUE"""),"VolatilityUsed")</f>
        <v>VolatilityUsed</v>
      </c>
      <c r="T5" s="25" t="str">
        <f ca="1">IFERROR(__xludf.DUMMYFUNCTION("""COMPUTED_VALUE"""),"IntRateUsed")</f>
        <v>IntRateUsed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28</v>
      </c>
      <c r="C6" s="9">
        <v>10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IFERROR(__xludf.DUMMYFUNCTION("""COMPUTED_VALUE"""),"Ticker")</f>
        <v>Ticker</v>
      </c>
      <c r="C5" s="23" t="str">
        <f ca="1">IFERROR(__xludf.DUMMYFUNCTION("""COMPUTED_VALUE"""),"Add/Set")</f>
        <v>Add/Set</v>
      </c>
      <c r="D5" s="23" t="str">
        <f ca="1">IFERROR(__xludf.DUMMYFUNCTION("""COMPUTED_VALUE"""),"Type")</f>
        <v>Type</v>
      </c>
      <c r="E5" s="23" t="str">
        <f ca="1">IFERROR(__xludf.DUMMYFUNCTION("""COMPUTED_VALUE"""),"Target")</f>
        <v>Target</v>
      </c>
      <c r="F5" s="24" t="str">
        <f ca="1">IFERROR(__xludf.DUMMYFUNCTION("""COMPUTED_VALUE"""),"Price")</f>
        <v>Price</v>
      </c>
      <c r="G5" s="23" t="str">
        <f ca="1">IFERROR(__xludf.DUMMYFUNCTION("""COMPUTED_VALUE"""),"Combined Account Total")</f>
        <v>Combined Account Total</v>
      </c>
      <c r="H5" s="23" t="str">
        <f ca="1">IFERROR(__xludf.DUMMYFUNCTION("""COMPUTED_VALUE"""),"MasterFund/Account")</f>
        <v>MasterFund/Account</v>
      </c>
      <c r="I5" s="23" t="str">
        <f ca="1">IFERROR(__xludf.DUMMYFUNCTION("""COMPUTED_VALUE"""),"Accounts")</f>
        <v>Accounts</v>
      </c>
      <c r="J5" s="23" t="str">
        <f ca="1">IFERROR(__xludf.DUMMYFUNCTION("""COMPUTED_VALUE"""),"Master Funds")</f>
        <v>Master Funds</v>
      </c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6" t="s">
        <v>28</v>
      </c>
      <c r="C6" s="34" t="s">
        <v>35</v>
      </c>
      <c r="D6" s="36" t="s">
        <v>36</v>
      </c>
      <c r="E6" s="28">
        <v>30</v>
      </c>
      <c r="F6" s="28">
        <v>50000</v>
      </c>
      <c r="G6" s="34" t="s">
        <v>37</v>
      </c>
      <c r="H6" s="34" t="s">
        <v>38</v>
      </c>
      <c r="I6" s="34" t="s">
        <v>22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IFERROR(__xludf.DUMMYFUNCTION("""COMPUTED_VALUE"""),"Account NAV")</f>
        <v>Account NAV</v>
      </c>
      <c r="D5" s="23" t="str">
        <f ca="1">IFERROR(__xludf.DUMMYFUNCTION("""COMPUTED_VALUE"""),"Starting Position")</f>
        <v>Starting Position</v>
      </c>
      <c r="E5" s="23" t="str">
        <f ca="1">IFERROR(__xludf.DUMMYFUNCTION("""COMPUTED_VALUE"""),"Starting Value")</f>
        <v>Starting Value</v>
      </c>
      <c r="F5" s="24" t="str">
        <f ca="1">IFERROR(__xludf.DUMMYFUNCTION("""COMPUTED_VALUE"""),"Starting %")</f>
        <v>Starting %</v>
      </c>
      <c r="G5" s="23" t="str">
        <f ca="1">IFERROR(__xludf.DUMMYFUNCTION("""COMPUTED_VALUE"""),"% Change")</f>
        <v>% Change</v>
      </c>
      <c r="H5" s="23" t="str">
        <f ca="1">IFERROR(__xludf.DUMMYFUNCTION("""COMPUTED_VALUE"""),"Ending %")</f>
        <v>Ending %</v>
      </c>
      <c r="I5" s="23" t="str">
        <f ca="1">IFERROR(__xludf.DUMMYFUNCTION("""COMPUTED_VALUE"""),"Trade Quantity")</f>
        <v>Trade Quantity</v>
      </c>
      <c r="J5" s="23" t="str">
        <f ca="1">IFERROR(__xludf.DUMMYFUNCTION("""COMPUTED_VALUE"""),"Ending Position")</f>
        <v>Ending Position</v>
      </c>
      <c r="K5" s="23" t="str">
        <f ca="1">IFERROR(__xludf.DUMMYFUNCTION("""COMPUTED_VALUE"""),"Ending Value")</f>
        <v>Ending Value</v>
      </c>
      <c r="L5" s="23" t="str">
        <f ca="1">IFERROR(__xludf.DUMMYFUNCTION("""COMPUTED_VALUE"""),"% Allocation")</f>
        <v>% Allocation</v>
      </c>
      <c r="M5" s="23" t="str">
        <f ca="1">IFERROR(__xludf.DUMMYFUNCTION("""COMPUTED_VALUE"""),"Fx Rate")</f>
        <v>Fx Rate</v>
      </c>
      <c r="N5" s="23" t="str">
        <f ca="1">IFERROR(__xludf.DUMMYFUNCTION("""COMPUTED_VALUE"""),"Starting BP")</f>
        <v>Starting BP</v>
      </c>
      <c r="O5" s="23" t="str">
        <f ca="1">IFERROR(__xludf.DUMMYFUNCTION("""COMPUTED_VALUE"""),"BP Change")</f>
        <v>BP Change</v>
      </c>
      <c r="P5" s="23" t="str">
        <f ca="1">IFERROR(__xludf.DUMMYFUNCTION("""COMPUTED_VALUE"""),"Ending BP")</f>
        <v>Ending BP</v>
      </c>
      <c r="Q5" s="23" t="str">
        <f ca="1">IFERROR(__xludf.DUMMYFUNCTION("""COMPUTED_VALUE"""),"MasterFund Name")</f>
        <v>MasterFund Name</v>
      </c>
      <c r="R5" s="23" t="str">
        <f ca="1">IFERROR(__xludf.DUMMYFUNCTION("""COMPUTED_VALUE"""),"MasterFund NAV")</f>
        <v>MasterFund NAV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8" t="s">
        <v>22</v>
      </c>
      <c r="C6" s="39">
        <v>300000</v>
      </c>
      <c r="D6" s="40">
        <v>100</v>
      </c>
      <c r="E6" s="39">
        <v>1000</v>
      </c>
      <c r="F6" s="39">
        <v>0.33</v>
      </c>
      <c r="G6" s="39">
        <v>1683</v>
      </c>
      <c r="H6" s="39">
        <v>1683.33</v>
      </c>
      <c r="I6" s="39">
        <v>1</v>
      </c>
      <c r="J6" s="39">
        <v>101</v>
      </c>
      <c r="K6" s="39">
        <v>5050000</v>
      </c>
      <c r="L6" s="39">
        <v>100</v>
      </c>
      <c r="M6" s="39">
        <v>1</v>
      </c>
      <c r="N6" s="27"/>
      <c r="O6" s="27"/>
      <c r="P6" s="27"/>
      <c r="Q6" s="27"/>
      <c r="R6" s="27"/>
      <c r="S6" s="27"/>
      <c r="T6" s="41"/>
    </row>
    <row r="7" spans="1:154" ht="15.75" customHeight="1">
      <c r="A7" s="5"/>
      <c r="B7" s="41"/>
      <c r="C7" s="42">
        <v>300000</v>
      </c>
      <c r="D7" s="42">
        <v>100</v>
      </c>
      <c r="E7" s="42">
        <v>1000</v>
      </c>
      <c r="F7" s="41"/>
      <c r="G7" s="41"/>
      <c r="H7" s="41"/>
      <c r="I7" s="42">
        <v>1</v>
      </c>
      <c r="J7" s="42">
        <v>101</v>
      </c>
      <c r="K7" s="42">
        <v>5050000</v>
      </c>
      <c r="L7" s="41"/>
      <c r="M7" s="41"/>
      <c r="N7" s="41"/>
      <c r="O7" s="41"/>
      <c r="P7" s="41"/>
      <c r="Q7" s="41"/>
      <c r="R7" s="41"/>
      <c r="S7" s="41"/>
      <c r="T7" s="4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40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IFERROR(__xludf.DUMMYFUNCTION("""COMPUTED_VALUE"""),"Ticker")</f>
        <v>Ticker</v>
      </c>
      <c r="C5" s="23" t="str">
        <f ca="1">IFERROR(__xludf.DUMMYFUNCTION("""COMPUTED_VALUE"""),"Add/Set")</f>
        <v>Add/Set</v>
      </c>
      <c r="D5" s="23" t="str">
        <f ca="1">IFERROR(__xludf.DUMMYFUNCTION("""COMPUTED_VALUE"""),"Type")</f>
        <v>Type</v>
      </c>
      <c r="E5" s="23" t="str">
        <f ca="1">IFERROR(__xludf.DUMMYFUNCTION("""COMPUTED_VALUE"""),"Target")</f>
        <v>Target</v>
      </c>
      <c r="F5" s="24" t="str">
        <f ca="1">IFERROR(__xludf.DUMMYFUNCTION("""COMPUTED_VALUE"""),"Price")</f>
        <v>Price</v>
      </c>
      <c r="G5" s="23" t="str">
        <f ca="1">IFERROR(__xludf.DUMMYFUNCTION("""COMPUTED_VALUE"""),"Combined Account Total")</f>
        <v>Combined Account Total</v>
      </c>
      <c r="H5" s="23" t="str">
        <f ca="1">IFERROR(__xludf.DUMMYFUNCTION("""COMPUTED_VALUE"""),"MasterFund/Account")</f>
        <v>MasterFund/Account</v>
      </c>
      <c r="I5" s="23" t="str">
        <f ca="1">IFERROR(__xludf.DUMMYFUNCTION("""COMPUTED_VALUE"""),"Accounts")</f>
        <v>Accounts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6" t="s">
        <v>28</v>
      </c>
      <c r="C6" s="34" t="s">
        <v>35</v>
      </c>
      <c r="D6" s="36" t="s">
        <v>36</v>
      </c>
      <c r="E6" s="28">
        <v>30</v>
      </c>
      <c r="F6" s="28">
        <v>50000</v>
      </c>
      <c r="G6" s="34" t="s">
        <v>37</v>
      </c>
      <c r="H6" s="34" t="s">
        <v>38</v>
      </c>
      <c r="I6" s="34" t="s">
        <v>22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28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41</v>
      </c>
      <c r="D3" s="2" t="s">
        <v>9</v>
      </c>
      <c r="E3" s="18" t="s">
        <v>42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D6" s="40">
        <v>10</v>
      </c>
      <c r="E6" s="27" t="s">
        <v>43</v>
      </c>
      <c r="F6" s="38"/>
      <c r="G6" s="27"/>
      <c r="H6" s="27" t="s">
        <v>44</v>
      </c>
      <c r="I6" s="27" t="s">
        <v>45</v>
      </c>
      <c r="J6" s="27" t="s">
        <v>28</v>
      </c>
      <c r="K6" s="27"/>
      <c r="L6" s="6" t="s">
        <v>46</v>
      </c>
      <c r="M6" s="27"/>
      <c r="N6" s="27"/>
      <c r="O6" s="27"/>
      <c r="P6" s="27"/>
      <c r="Q6" s="27"/>
      <c r="R6" s="27"/>
      <c r="S6" s="39">
        <v>0</v>
      </c>
      <c r="T6" s="42">
        <v>0</v>
      </c>
      <c r="U6" s="41" t="s">
        <v>23</v>
      </c>
      <c r="V6" s="41" t="s">
        <v>47</v>
      </c>
      <c r="W6" s="41"/>
      <c r="X6" s="41"/>
      <c r="Y6" s="41"/>
      <c r="Z6" s="41"/>
      <c r="AA6" s="41" t="s">
        <v>26</v>
      </c>
      <c r="AB6" s="41"/>
      <c r="AC6" s="41"/>
      <c r="AD6" s="42">
        <v>1</v>
      </c>
      <c r="AE6" s="41"/>
      <c r="AF6" s="41" t="s">
        <v>48</v>
      </c>
      <c r="AG6" s="42">
        <v>10</v>
      </c>
      <c r="AH6" s="41" t="s">
        <v>49</v>
      </c>
      <c r="AI6" s="41" t="s">
        <v>28</v>
      </c>
      <c r="AJ6" s="41" t="s">
        <v>29</v>
      </c>
      <c r="AK6" s="41" t="s">
        <v>50</v>
      </c>
      <c r="AL6" s="42">
        <v>100</v>
      </c>
      <c r="AM6" s="42">
        <v>100</v>
      </c>
      <c r="AN6" s="42">
        <v>100</v>
      </c>
      <c r="AO6" s="42">
        <v>100</v>
      </c>
      <c r="AP6" s="41"/>
      <c r="AQ6" s="42">
        <v>10</v>
      </c>
      <c r="AR6" s="42">
        <v>10</v>
      </c>
      <c r="AS6" s="41" t="s">
        <v>51</v>
      </c>
      <c r="AT6" s="41" t="s">
        <v>22</v>
      </c>
      <c r="AU6" s="41" t="s">
        <v>52</v>
      </c>
      <c r="AV6" s="42">
        <v>1000</v>
      </c>
      <c r="AW6" s="42">
        <v>1000</v>
      </c>
      <c r="AX6" s="41" t="s">
        <v>53</v>
      </c>
      <c r="AY6" s="42">
        <v>100</v>
      </c>
      <c r="AZ6" s="41"/>
      <c r="BA6" s="41" t="s">
        <v>45</v>
      </c>
    </row>
    <row r="7" spans="1:154" ht="15.75" customHeight="1">
      <c r="A7" s="5"/>
      <c r="D7" s="42">
        <v>50000</v>
      </c>
      <c r="E7" s="41" t="s">
        <v>43</v>
      </c>
      <c r="F7" s="41"/>
      <c r="G7" s="41"/>
      <c r="H7" s="41" t="s">
        <v>44</v>
      </c>
      <c r="I7" s="41" t="s">
        <v>45</v>
      </c>
      <c r="J7" s="41" t="s">
        <v>28</v>
      </c>
      <c r="K7" s="41"/>
      <c r="L7" s="6" t="s">
        <v>46</v>
      </c>
      <c r="M7" s="41"/>
      <c r="N7" s="41"/>
      <c r="O7" s="41"/>
      <c r="P7" s="41"/>
      <c r="Q7" s="41"/>
      <c r="R7" s="41"/>
      <c r="S7" s="42">
        <v>0</v>
      </c>
      <c r="T7" s="42">
        <v>0</v>
      </c>
      <c r="U7" s="41" t="s">
        <v>23</v>
      </c>
      <c r="V7" s="41" t="s">
        <v>47</v>
      </c>
      <c r="W7" s="41"/>
      <c r="X7" s="41"/>
      <c r="Y7" s="41"/>
      <c r="Z7" s="41"/>
      <c r="AA7" s="41" t="s">
        <v>26</v>
      </c>
      <c r="AB7" s="41"/>
      <c r="AC7" s="41"/>
      <c r="AD7" s="42">
        <v>1</v>
      </c>
      <c r="AE7" s="41"/>
      <c r="AF7" s="41" t="s">
        <v>48</v>
      </c>
      <c r="AG7" s="42">
        <v>50000</v>
      </c>
      <c r="AH7" s="41" t="s">
        <v>49</v>
      </c>
      <c r="AI7" s="41" t="s">
        <v>28</v>
      </c>
      <c r="AJ7" s="41" t="s">
        <v>29</v>
      </c>
      <c r="AK7" s="41" t="s">
        <v>50</v>
      </c>
      <c r="AL7" s="42">
        <v>1</v>
      </c>
      <c r="AM7" s="42">
        <v>1</v>
      </c>
      <c r="AN7" s="42">
        <v>100</v>
      </c>
      <c r="AO7" s="42">
        <v>1</v>
      </c>
      <c r="AP7" s="41"/>
      <c r="AQ7" s="42">
        <v>50000</v>
      </c>
      <c r="AR7" s="42">
        <v>50000</v>
      </c>
      <c r="AS7" s="41" t="s">
        <v>51</v>
      </c>
      <c r="AT7" s="41" t="s">
        <v>22</v>
      </c>
      <c r="AU7" s="41" t="s">
        <v>52</v>
      </c>
      <c r="AV7" s="42">
        <v>50000</v>
      </c>
      <c r="AW7" s="42">
        <v>50000</v>
      </c>
      <c r="AX7" s="41" t="s">
        <v>53</v>
      </c>
      <c r="AY7" s="42">
        <v>1</v>
      </c>
      <c r="AZ7" s="41"/>
      <c r="BA7" s="41" t="s">
        <v>45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54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55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56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8" t="s">
        <v>22</v>
      </c>
      <c r="C6" s="27"/>
      <c r="D6" s="38"/>
      <c r="E6" s="39">
        <v>100</v>
      </c>
      <c r="F6" s="27" t="s">
        <v>53</v>
      </c>
      <c r="G6" s="27" t="s">
        <v>49</v>
      </c>
      <c r="H6" s="39">
        <v>4</v>
      </c>
      <c r="I6" s="28">
        <v>5</v>
      </c>
      <c r="J6" s="27"/>
      <c r="K6" s="39">
        <v>10</v>
      </c>
      <c r="L6" s="39">
        <v>10</v>
      </c>
      <c r="M6" s="43" t="s">
        <v>43</v>
      </c>
      <c r="N6" s="27"/>
      <c r="O6" s="27" t="s">
        <v>51</v>
      </c>
      <c r="P6" s="27"/>
      <c r="Q6" s="27"/>
      <c r="R6" s="39">
        <v>0</v>
      </c>
      <c r="S6" s="27" t="s">
        <v>57</v>
      </c>
      <c r="T6" s="42">
        <v>0</v>
      </c>
      <c r="U6" s="41"/>
      <c r="V6" s="41"/>
      <c r="W6" s="41"/>
      <c r="X6" s="41"/>
      <c r="Y6" s="41"/>
      <c r="Z6" s="41" t="s">
        <v>23</v>
      </c>
      <c r="AA6" s="41"/>
      <c r="AB6" s="41"/>
      <c r="AC6" s="41"/>
      <c r="AD6" s="41" t="s">
        <v>44</v>
      </c>
      <c r="AE6" s="42">
        <v>100</v>
      </c>
      <c r="AF6" s="41"/>
      <c r="AG6" s="41"/>
      <c r="AH6" s="41" t="s">
        <v>48</v>
      </c>
      <c r="AI6" s="41"/>
      <c r="AJ6" s="41"/>
      <c r="AK6" s="41"/>
      <c r="AL6" s="41"/>
      <c r="AM6" s="41"/>
      <c r="AN6" s="44" t="b">
        <v>0</v>
      </c>
      <c r="AO6" s="41"/>
      <c r="AP6" s="41"/>
      <c r="AQ6" s="44" t="b">
        <v>0</v>
      </c>
      <c r="AR6" s="44" t="b">
        <v>1</v>
      </c>
      <c r="AS6" s="41"/>
      <c r="AT6" s="42">
        <v>1014</v>
      </c>
      <c r="AU6" s="42">
        <v>1014</v>
      </c>
      <c r="AV6" s="41"/>
      <c r="AW6" s="42">
        <v>0</v>
      </c>
      <c r="AX6" s="42">
        <v>0</v>
      </c>
      <c r="AY6" s="41" t="s">
        <v>52</v>
      </c>
      <c r="AZ6" s="42">
        <v>0</v>
      </c>
      <c r="BA6" s="41"/>
      <c r="BB6" s="41"/>
      <c r="BC6" s="42">
        <v>0</v>
      </c>
      <c r="BD6" s="41"/>
      <c r="BE6" s="42">
        <v>1000</v>
      </c>
      <c r="BF6" s="42">
        <v>1000</v>
      </c>
      <c r="BG6" s="41"/>
      <c r="BH6" s="41"/>
      <c r="BI6" s="41"/>
      <c r="BJ6" s="42">
        <v>100</v>
      </c>
      <c r="BK6" s="42">
        <v>0</v>
      </c>
      <c r="BL6" s="41"/>
      <c r="BM6" s="41" t="s">
        <v>23</v>
      </c>
      <c r="BN6" s="41"/>
      <c r="BO6" s="41" t="s">
        <v>29</v>
      </c>
      <c r="BP6" s="41"/>
      <c r="BQ6" s="41"/>
      <c r="BR6" s="41"/>
      <c r="BS6" s="41"/>
      <c r="BT6" s="41" t="s">
        <v>28</v>
      </c>
      <c r="BU6" s="42">
        <v>3</v>
      </c>
      <c r="BV6" s="42">
        <v>0</v>
      </c>
      <c r="BW6" s="42">
        <v>14</v>
      </c>
      <c r="BX6" s="42">
        <v>0</v>
      </c>
      <c r="BY6" s="41"/>
      <c r="BZ6" s="41"/>
      <c r="CA6" s="41"/>
      <c r="CB6" s="41"/>
      <c r="CC6" s="41"/>
      <c r="CD6" s="41"/>
      <c r="CE6" s="41"/>
      <c r="CF6" s="6" t="s">
        <v>46</v>
      </c>
      <c r="CG6" s="42">
        <v>2</v>
      </c>
      <c r="CH6" s="41" t="s">
        <v>24</v>
      </c>
      <c r="CI6" s="41" t="s">
        <v>29</v>
      </c>
      <c r="CJ6" s="42">
        <v>0</v>
      </c>
      <c r="CK6" s="41" t="s">
        <v>58</v>
      </c>
      <c r="CL6" s="41"/>
      <c r="CM6" s="41" t="s">
        <v>28</v>
      </c>
      <c r="CN6" s="41" t="s">
        <v>45</v>
      </c>
      <c r="CO6" s="41" t="s">
        <v>44</v>
      </c>
      <c r="CP6" s="41" t="s">
        <v>47</v>
      </c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</row>
    <row r="7" spans="1:154" ht="15.75" customHeight="1">
      <c r="A7" s="5"/>
      <c r="B7" s="41" t="s">
        <v>22</v>
      </c>
      <c r="C7" s="41"/>
      <c r="D7" s="41"/>
      <c r="E7" s="42">
        <v>1</v>
      </c>
      <c r="F7" s="41" t="s">
        <v>53</v>
      </c>
      <c r="G7" s="41" t="s">
        <v>49</v>
      </c>
      <c r="H7" s="42">
        <v>4</v>
      </c>
      <c r="I7" s="45">
        <v>5</v>
      </c>
      <c r="J7" s="41"/>
      <c r="K7" s="42">
        <v>50000</v>
      </c>
      <c r="L7" s="42">
        <v>50000</v>
      </c>
      <c r="M7" s="43" t="s">
        <v>43</v>
      </c>
      <c r="N7" s="41"/>
      <c r="O7" s="41" t="s">
        <v>51</v>
      </c>
      <c r="P7" s="41"/>
      <c r="Q7" s="41"/>
      <c r="R7" s="42">
        <v>0</v>
      </c>
      <c r="S7" s="41" t="s">
        <v>57</v>
      </c>
      <c r="T7" s="42">
        <v>0</v>
      </c>
      <c r="U7" s="41"/>
      <c r="V7" s="41"/>
      <c r="W7" s="41"/>
      <c r="X7" s="41"/>
      <c r="Y7" s="41"/>
      <c r="Z7" s="41" t="s">
        <v>23</v>
      </c>
      <c r="AA7" s="41"/>
      <c r="AB7" s="41"/>
      <c r="AC7" s="41"/>
      <c r="AD7" s="41" t="s">
        <v>44</v>
      </c>
      <c r="AE7" s="42">
        <v>1</v>
      </c>
      <c r="AF7" s="41"/>
      <c r="AG7" s="41"/>
      <c r="AH7" s="41" t="s">
        <v>48</v>
      </c>
      <c r="AI7" s="41"/>
      <c r="AJ7" s="41"/>
      <c r="AK7" s="41"/>
      <c r="AL7" s="41"/>
      <c r="AM7" s="41"/>
      <c r="AN7" s="44" t="b">
        <v>0</v>
      </c>
      <c r="AO7" s="41"/>
      <c r="AP7" s="41"/>
      <c r="AQ7" s="44" t="b">
        <v>0</v>
      </c>
      <c r="AR7" s="44" t="b">
        <v>1</v>
      </c>
      <c r="AS7" s="41"/>
      <c r="AT7" s="42">
        <v>50014.03</v>
      </c>
      <c r="AU7" s="42">
        <v>50014.03</v>
      </c>
      <c r="AV7" s="41"/>
      <c r="AW7" s="42">
        <v>0</v>
      </c>
      <c r="AX7" s="42">
        <v>0</v>
      </c>
      <c r="AY7" s="41" t="s">
        <v>52</v>
      </c>
      <c r="AZ7" s="42">
        <v>0</v>
      </c>
      <c r="BA7" s="41"/>
      <c r="BB7" s="41"/>
      <c r="BC7" s="42">
        <v>0</v>
      </c>
      <c r="BD7" s="41"/>
      <c r="BE7" s="42">
        <v>50000</v>
      </c>
      <c r="BF7" s="42">
        <v>50000</v>
      </c>
      <c r="BG7" s="41"/>
      <c r="BH7" s="41"/>
      <c r="BI7" s="41"/>
      <c r="BJ7" s="42">
        <v>1</v>
      </c>
      <c r="BK7" s="42">
        <v>0</v>
      </c>
      <c r="BL7" s="41"/>
      <c r="BM7" s="41" t="s">
        <v>23</v>
      </c>
      <c r="BN7" s="41"/>
      <c r="BO7" s="41" t="s">
        <v>29</v>
      </c>
      <c r="BP7" s="41"/>
      <c r="BQ7" s="41"/>
      <c r="BR7" s="41"/>
      <c r="BS7" s="41"/>
      <c r="BT7" s="41" t="s">
        <v>28</v>
      </c>
      <c r="BU7" s="42">
        <v>3</v>
      </c>
      <c r="BV7" s="42">
        <v>0</v>
      </c>
      <c r="BW7" s="42">
        <v>14.03</v>
      </c>
      <c r="BX7" s="42">
        <v>0</v>
      </c>
      <c r="BY7" s="41"/>
      <c r="BZ7" s="41"/>
      <c r="CA7" s="41"/>
      <c r="CB7" s="41"/>
      <c r="CC7" s="41"/>
      <c r="CD7" s="41"/>
      <c r="CE7" s="41"/>
      <c r="CF7" s="6" t="s">
        <v>46</v>
      </c>
      <c r="CG7" s="42">
        <v>2</v>
      </c>
      <c r="CH7" s="41" t="s">
        <v>33</v>
      </c>
      <c r="CI7" s="41" t="s">
        <v>29</v>
      </c>
      <c r="CJ7" s="42">
        <v>0</v>
      </c>
      <c r="CK7" s="41" t="s">
        <v>58</v>
      </c>
      <c r="CL7" s="41"/>
      <c r="CM7" s="41" t="s">
        <v>28</v>
      </c>
      <c r="CN7" s="41" t="s">
        <v>45</v>
      </c>
      <c r="CO7" s="41" t="s">
        <v>44</v>
      </c>
      <c r="CP7" s="41" t="s">
        <v>47</v>
      </c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G1" workbookViewId="0">
      <selection activeCell="BM17" sqref="BM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7.140625" customWidth="1"/>
    <col min="64" max="168" width="14.42578125" customWidth="1"/>
  </cols>
  <sheetData>
    <row r="1" spans="1:168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59</v>
      </c>
      <c r="D3" s="2" t="s">
        <v>9</v>
      </c>
      <c r="E3" s="18" t="s">
        <v>60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27" t="s">
        <v>28</v>
      </c>
      <c r="D6" s="40">
        <v>100</v>
      </c>
      <c r="E6" s="27" t="s">
        <v>22</v>
      </c>
      <c r="F6" s="27" t="s">
        <v>26</v>
      </c>
      <c r="G6" s="39">
        <v>10</v>
      </c>
      <c r="H6" s="27" t="s">
        <v>61</v>
      </c>
      <c r="I6" s="39">
        <v>1000</v>
      </c>
      <c r="J6" s="39">
        <v>0</v>
      </c>
      <c r="K6" s="39">
        <v>1000</v>
      </c>
      <c r="L6" s="39">
        <v>1000</v>
      </c>
      <c r="M6" s="39">
        <v>1010</v>
      </c>
      <c r="N6" s="39">
        <v>0</v>
      </c>
      <c r="O6" s="27" t="s">
        <v>62</v>
      </c>
      <c r="P6" s="27" t="s">
        <v>63</v>
      </c>
      <c r="Q6" s="39">
        <v>0</v>
      </c>
      <c r="R6" s="27" t="s">
        <v>64</v>
      </c>
      <c r="S6" s="27" t="s">
        <v>65</v>
      </c>
      <c r="T6" s="41" t="s">
        <v>49</v>
      </c>
      <c r="U6" s="41" t="s">
        <v>58</v>
      </c>
      <c r="V6" s="41" t="s">
        <v>44</v>
      </c>
      <c r="W6" s="41" t="s">
        <v>23</v>
      </c>
      <c r="X6" s="42">
        <v>1</v>
      </c>
      <c r="Y6" s="42">
        <v>1</v>
      </c>
      <c r="Z6" s="41"/>
      <c r="AA6" s="41"/>
      <c r="AB6" s="42">
        <v>0</v>
      </c>
      <c r="AC6" s="42">
        <v>0</v>
      </c>
      <c r="AD6" s="42">
        <v>1000</v>
      </c>
      <c r="AE6" s="42">
        <v>1000</v>
      </c>
      <c r="AF6" s="42">
        <v>100</v>
      </c>
      <c r="AG6" s="42">
        <v>1000</v>
      </c>
      <c r="AH6" s="42">
        <v>1000</v>
      </c>
      <c r="AI6" s="42">
        <v>1000</v>
      </c>
      <c r="AJ6" s="42">
        <v>40</v>
      </c>
      <c r="AK6" s="42">
        <v>0</v>
      </c>
      <c r="AL6" s="42">
        <v>1</v>
      </c>
      <c r="AM6" s="42">
        <v>1</v>
      </c>
      <c r="AN6" s="41" t="s">
        <v>29</v>
      </c>
      <c r="AO6" s="41"/>
      <c r="AP6" s="41" t="s">
        <v>61</v>
      </c>
      <c r="AQ6" s="41" t="s">
        <v>28</v>
      </c>
      <c r="AR6" s="42">
        <v>10</v>
      </c>
      <c r="AS6" s="42">
        <v>1</v>
      </c>
      <c r="AT6" s="41" t="s">
        <v>66</v>
      </c>
      <c r="AU6" s="41" t="s">
        <v>67</v>
      </c>
      <c r="AV6" s="42">
        <v>1</v>
      </c>
      <c r="AW6" s="42">
        <v>0</v>
      </c>
      <c r="AX6" s="42">
        <v>0</v>
      </c>
      <c r="AY6" s="42">
        <v>0</v>
      </c>
      <c r="AZ6" s="42">
        <v>1000</v>
      </c>
      <c r="BA6" s="42">
        <v>0</v>
      </c>
      <c r="BB6" s="41"/>
      <c r="BC6" s="42">
        <v>1</v>
      </c>
      <c r="BD6" s="42">
        <v>-1000</v>
      </c>
      <c r="BE6" s="41" t="s">
        <v>49</v>
      </c>
      <c r="BF6" s="41" t="s">
        <v>68</v>
      </c>
      <c r="BG6" s="41" t="s">
        <v>69</v>
      </c>
      <c r="BH6" s="41" t="s">
        <v>63</v>
      </c>
      <c r="BI6" s="42">
        <v>5</v>
      </c>
      <c r="BJ6" s="42">
        <v>0</v>
      </c>
      <c r="BK6" s="42">
        <v>0</v>
      </c>
      <c r="BL6" s="42">
        <v>0</v>
      </c>
      <c r="BM6" s="42">
        <v>0</v>
      </c>
      <c r="BN6" s="46"/>
      <c r="BO6" s="42">
        <v>-1000</v>
      </c>
      <c r="BP6" s="42">
        <v>0</v>
      </c>
      <c r="BQ6" s="41" t="s">
        <v>45</v>
      </c>
      <c r="BR6" s="41" t="s">
        <v>51</v>
      </c>
      <c r="BS6" s="42">
        <v>0</v>
      </c>
      <c r="BT6" s="42">
        <v>0</v>
      </c>
      <c r="BU6" s="41" t="s">
        <v>49</v>
      </c>
      <c r="BV6" s="41"/>
      <c r="BW6" s="42">
        <v>0</v>
      </c>
      <c r="BX6" s="42">
        <v>1000</v>
      </c>
      <c r="BY6" s="42">
        <v>1000</v>
      </c>
      <c r="BZ6" s="42">
        <v>10</v>
      </c>
      <c r="CA6" s="42">
        <v>10</v>
      </c>
      <c r="CB6" s="41"/>
      <c r="CC6" s="42">
        <v>0</v>
      </c>
      <c r="CD6" s="42">
        <v>0</v>
      </c>
      <c r="CE6" s="42">
        <v>0</v>
      </c>
      <c r="CF6" s="42">
        <v>0</v>
      </c>
      <c r="CG6" s="42">
        <v>0</v>
      </c>
      <c r="CH6" s="42">
        <v>0</v>
      </c>
      <c r="CI6" s="42">
        <v>0</v>
      </c>
      <c r="CJ6" s="42">
        <v>0</v>
      </c>
      <c r="CK6" s="44" t="b">
        <v>0</v>
      </c>
      <c r="CL6" s="41"/>
      <c r="CM6" s="41"/>
      <c r="CN6" s="41" t="s">
        <v>28</v>
      </c>
      <c r="CO6" s="41" t="s">
        <v>28</v>
      </c>
      <c r="CP6" s="43" t="s">
        <v>43</v>
      </c>
      <c r="CQ6" s="47"/>
      <c r="CR6" s="47"/>
      <c r="CS6" s="42">
        <v>10</v>
      </c>
      <c r="CT6" s="41"/>
      <c r="CU6" s="41"/>
      <c r="CV6" s="41"/>
      <c r="CW6" s="41"/>
      <c r="CX6" s="41"/>
      <c r="CY6" s="41" t="s">
        <v>70</v>
      </c>
      <c r="CZ6" s="41" t="s">
        <v>71</v>
      </c>
      <c r="DA6" s="42">
        <v>1000</v>
      </c>
      <c r="DB6" s="42">
        <v>0</v>
      </c>
      <c r="DC6" s="41"/>
      <c r="DD6" s="42">
        <v>100</v>
      </c>
      <c r="DE6" s="42">
        <v>0</v>
      </c>
      <c r="DF6" s="42">
        <v>0</v>
      </c>
      <c r="DG6" s="42">
        <v>0</v>
      </c>
      <c r="DH6" s="41" t="s">
        <v>63</v>
      </c>
      <c r="DI6" s="42">
        <v>0</v>
      </c>
      <c r="DJ6" s="41" t="s">
        <v>29</v>
      </c>
      <c r="DK6" s="42">
        <v>0</v>
      </c>
      <c r="DL6" s="42">
        <v>0</v>
      </c>
      <c r="DM6" s="42">
        <v>1</v>
      </c>
      <c r="DN6" s="42">
        <v>10</v>
      </c>
      <c r="DO6" s="41"/>
      <c r="DP6" s="41" t="s">
        <v>61</v>
      </c>
      <c r="DQ6" s="41" t="s">
        <v>72</v>
      </c>
      <c r="DR6" s="41" t="s">
        <v>73</v>
      </c>
      <c r="DS6" s="41" t="s">
        <v>72</v>
      </c>
      <c r="DT6" s="41" t="s">
        <v>72</v>
      </c>
      <c r="DU6" s="41" t="s">
        <v>74</v>
      </c>
      <c r="DV6" s="41" t="s">
        <v>72</v>
      </c>
      <c r="DW6" s="41" t="s">
        <v>72</v>
      </c>
      <c r="DX6" s="41" t="s">
        <v>72</v>
      </c>
      <c r="DY6" s="41" t="s">
        <v>72</v>
      </c>
      <c r="DZ6" s="41" t="s">
        <v>62</v>
      </c>
      <c r="EA6" s="41" t="s">
        <v>74</v>
      </c>
      <c r="EB6" s="41" t="s">
        <v>72</v>
      </c>
      <c r="EC6" s="41" t="s">
        <v>72</v>
      </c>
      <c r="ED6" s="41" t="s">
        <v>23</v>
      </c>
      <c r="EE6" s="41" t="s">
        <v>75</v>
      </c>
      <c r="EF6" s="42">
        <v>0</v>
      </c>
      <c r="EG6" s="42">
        <v>0.4</v>
      </c>
      <c r="EH6" s="42">
        <v>0.4</v>
      </c>
      <c r="EI6" s="42">
        <v>0.4</v>
      </c>
      <c r="EJ6" s="42">
        <v>0.4</v>
      </c>
      <c r="EK6" s="42">
        <v>0.4</v>
      </c>
      <c r="EL6" s="41" t="s">
        <v>61</v>
      </c>
      <c r="EM6" s="42">
        <v>1010</v>
      </c>
      <c r="EN6" s="42">
        <v>1010</v>
      </c>
      <c r="EO6" s="42">
        <v>0</v>
      </c>
      <c r="EP6" s="42">
        <v>300000</v>
      </c>
      <c r="EQ6" s="42">
        <v>0.4</v>
      </c>
      <c r="ER6" s="42">
        <v>1010</v>
      </c>
      <c r="ES6" s="42">
        <v>250010</v>
      </c>
      <c r="ET6" s="42">
        <v>0</v>
      </c>
      <c r="EU6" s="42">
        <v>0.4</v>
      </c>
      <c r="EV6" s="41" t="s">
        <v>61</v>
      </c>
      <c r="EW6" s="42">
        <v>250010</v>
      </c>
      <c r="EX6" s="44" t="b">
        <v>0</v>
      </c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</row>
    <row r="7" spans="1:168" ht="15.75" customHeight="1">
      <c r="A7" s="5"/>
      <c r="B7" s="5"/>
      <c r="C7" s="41" t="s">
        <v>28</v>
      </c>
      <c r="D7" s="42">
        <v>1</v>
      </c>
      <c r="E7" s="41" t="s">
        <v>22</v>
      </c>
      <c r="F7" s="41" t="s">
        <v>26</v>
      </c>
      <c r="G7" s="42">
        <v>50000</v>
      </c>
      <c r="H7" s="41" t="s">
        <v>61</v>
      </c>
      <c r="I7" s="42">
        <v>10</v>
      </c>
      <c r="J7" s="42">
        <v>-499900</v>
      </c>
      <c r="K7" s="42">
        <v>10</v>
      </c>
      <c r="L7" s="42">
        <v>10</v>
      </c>
      <c r="M7" s="42">
        <v>1010</v>
      </c>
      <c r="N7" s="42">
        <v>-49990</v>
      </c>
      <c r="O7" s="41" t="s">
        <v>62</v>
      </c>
      <c r="P7" s="41" t="s">
        <v>63</v>
      </c>
      <c r="Q7" s="42">
        <v>-49990</v>
      </c>
      <c r="R7" s="41" t="s">
        <v>64</v>
      </c>
      <c r="S7" s="41" t="s">
        <v>65</v>
      </c>
      <c r="T7" s="41" t="s">
        <v>49</v>
      </c>
      <c r="U7" s="41" t="s">
        <v>58</v>
      </c>
      <c r="V7" s="41" t="s">
        <v>44</v>
      </c>
      <c r="W7" s="41" t="s">
        <v>23</v>
      </c>
      <c r="X7" s="42">
        <v>1</v>
      </c>
      <c r="Y7" s="42">
        <v>1</v>
      </c>
      <c r="Z7" s="41"/>
      <c r="AA7" s="41"/>
      <c r="AB7" s="42">
        <v>0</v>
      </c>
      <c r="AC7" s="42">
        <v>0</v>
      </c>
      <c r="AD7" s="42">
        <v>10</v>
      </c>
      <c r="AE7" s="42">
        <v>10</v>
      </c>
      <c r="AF7" s="42">
        <v>1</v>
      </c>
      <c r="AG7" s="42">
        <v>10</v>
      </c>
      <c r="AH7" s="42">
        <v>10</v>
      </c>
      <c r="AI7" s="42">
        <v>10</v>
      </c>
      <c r="AJ7" s="42">
        <v>0.4</v>
      </c>
      <c r="AK7" s="42">
        <v>-49990</v>
      </c>
      <c r="AL7" s="42">
        <v>1</v>
      </c>
      <c r="AM7" s="42">
        <v>1</v>
      </c>
      <c r="AN7" s="41" t="s">
        <v>29</v>
      </c>
      <c r="AO7" s="41"/>
      <c r="AP7" s="41" t="s">
        <v>61</v>
      </c>
      <c r="AQ7" s="41" t="s">
        <v>28</v>
      </c>
      <c r="AR7" s="42">
        <v>10</v>
      </c>
      <c r="AS7" s="42">
        <v>1</v>
      </c>
      <c r="AT7" s="41"/>
      <c r="AU7" s="41"/>
      <c r="AV7" s="42">
        <v>1</v>
      </c>
      <c r="AW7" s="42">
        <v>-49990</v>
      </c>
      <c r="AX7" s="42">
        <v>0</v>
      </c>
      <c r="AY7" s="42">
        <v>0</v>
      </c>
      <c r="AZ7" s="42">
        <v>10</v>
      </c>
      <c r="BA7" s="42">
        <v>-99.98</v>
      </c>
      <c r="BB7" s="41"/>
      <c r="BC7" s="42">
        <v>1</v>
      </c>
      <c r="BD7" s="42">
        <v>-50000</v>
      </c>
      <c r="BE7" s="41" t="s">
        <v>49</v>
      </c>
      <c r="BF7" s="41" t="s">
        <v>68</v>
      </c>
      <c r="BG7" s="41" t="s">
        <v>69</v>
      </c>
      <c r="BH7" s="41" t="s">
        <v>63</v>
      </c>
      <c r="BI7" s="42">
        <v>5</v>
      </c>
      <c r="BJ7" s="42">
        <v>0</v>
      </c>
      <c r="BK7" s="42">
        <v>0</v>
      </c>
      <c r="BL7" s="42">
        <v>0</v>
      </c>
      <c r="BM7" s="42">
        <v>0</v>
      </c>
      <c r="BN7" s="46"/>
      <c r="BO7" s="42">
        <v>-50000</v>
      </c>
      <c r="BP7" s="42">
        <v>0</v>
      </c>
      <c r="BQ7" s="41" t="s">
        <v>45</v>
      </c>
      <c r="BR7" s="41" t="s">
        <v>51</v>
      </c>
      <c r="BS7" s="42">
        <v>0</v>
      </c>
      <c r="BT7" s="42">
        <v>0</v>
      </c>
      <c r="BU7" s="41" t="s">
        <v>49</v>
      </c>
      <c r="BV7" s="41"/>
      <c r="BW7" s="42">
        <v>0</v>
      </c>
      <c r="BX7" s="42">
        <v>10</v>
      </c>
      <c r="BY7" s="42">
        <v>10</v>
      </c>
      <c r="BZ7" s="42">
        <v>10</v>
      </c>
      <c r="CA7" s="42">
        <v>10</v>
      </c>
      <c r="CB7" s="41"/>
      <c r="CC7" s="42">
        <v>0</v>
      </c>
      <c r="CD7" s="42">
        <v>-49990</v>
      </c>
      <c r="CE7" s="42">
        <v>0</v>
      </c>
      <c r="CF7" s="42">
        <v>0</v>
      </c>
      <c r="CG7" s="42">
        <v>-49990</v>
      </c>
      <c r="CH7" s="42">
        <v>-99.98</v>
      </c>
      <c r="CI7" s="42">
        <v>0</v>
      </c>
      <c r="CJ7" s="42">
        <v>0</v>
      </c>
      <c r="CK7" s="44" t="b">
        <v>0</v>
      </c>
      <c r="CL7" s="41"/>
      <c r="CM7" s="41"/>
      <c r="CN7" s="41" t="s">
        <v>28</v>
      </c>
      <c r="CO7" s="41" t="s">
        <v>28</v>
      </c>
      <c r="CP7" s="43" t="s">
        <v>43</v>
      </c>
      <c r="CQ7" s="47"/>
      <c r="CR7" s="47"/>
      <c r="CS7" s="42">
        <v>50000</v>
      </c>
      <c r="CT7" s="41"/>
      <c r="CU7" s="41"/>
      <c r="CV7" s="41"/>
      <c r="CW7" s="41"/>
      <c r="CX7" s="41"/>
      <c r="CY7" s="41" t="s">
        <v>70</v>
      </c>
      <c r="CZ7" s="41" t="s">
        <v>71</v>
      </c>
      <c r="DA7" s="42">
        <v>10</v>
      </c>
      <c r="DB7" s="42">
        <v>-499900</v>
      </c>
      <c r="DC7" s="41"/>
      <c r="DD7" s="42">
        <v>1</v>
      </c>
      <c r="DE7" s="42">
        <v>0</v>
      </c>
      <c r="DF7" s="42">
        <v>0</v>
      </c>
      <c r="DG7" s="42">
        <v>0</v>
      </c>
      <c r="DH7" s="41" t="s">
        <v>63</v>
      </c>
      <c r="DI7" s="42">
        <v>0</v>
      </c>
      <c r="DJ7" s="41" t="s">
        <v>29</v>
      </c>
      <c r="DK7" s="42">
        <v>0</v>
      </c>
      <c r="DL7" s="42">
        <v>0</v>
      </c>
      <c r="DM7" s="42">
        <v>1</v>
      </c>
      <c r="DN7" s="42">
        <v>10</v>
      </c>
      <c r="DO7" s="41"/>
      <c r="DP7" s="41" t="s">
        <v>61</v>
      </c>
      <c r="DQ7" s="41" t="s">
        <v>72</v>
      </c>
      <c r="DR7" s="41" t="s">
        <v>73</v>
      </c>
      <c r="DS7" s="41" t="s">
        <v>72</v>
      </c>
      <c r="DT7" s="41" t="s">
        <v>72</v>
      </c>
      <c r="DU7" s="41" t="s">
        <v>74</v>
      </c>
      <c r="DV7" s="41" t="s">
        <v>72</v>
      </c>
      <c r="DW7" s="41" t="s">
        <v>72</v>
      </c>
      <c r="DX7" s="41" t="s">
        <v>72</v>
      </c>
      <c r="DY7" s="41" t="s">
        <v>72</v>
      </c>
      <c r="DZ7" s="41" t="s">
        <v>62</v>
      </c>
      <c r="EA7" s="41" t="s">
        <v>74</v>
      </c>
      <c r="EB7" s="41" t="s">
        <v>72</v>
      </c>
      <c r="EC7" s="41" t="s">
        <v>72</v>
      </c>
      <c r="ED7" s="41" t="s">
        <v>23</v>
      </c>
      <c r="EE7" s="41" t="s">
        <v>75</v>
      </c>
      <c r="EF7" s="42">
        <v>0</v>
      </c>
      <c r="EG7" s="42">
        <v>0</v>
      </c>
      <c r="EH7" s="42">
        <v>0</v>
      </c>
      <c r="EI7" s="42">
        <v>0</v>
      </c>
      <c r="EJ7" s="42">
        <v>0.4</v>
      </c>
      <c r="EK7" s="42">
        <v>0.4</v>
      </c>
      <c r="EL7" s="41" t="s">
        <v>61</v>
      </c>
      <c r="EM7" s="42">
        <v>1010</v>
      </c>
      <c r="EN7" s="42">
        <v>1010</v>
      </c>
      <c r="EO7" s="42">
        <v>-16.66</v>
      </c>
      <c r="EP7" s="42">
        <v>300000</v>
      </c>
      <c r="EQ7" s="42">
        <v>0</v>
      </c>
      <c r="ER7" s="42">
        <v>1010</v>
      </c>
      <c r="ES7" s="42">
        <v>250010</v>
      </c>
      <c r="ET7" s="42">
        <v>-20</v>
      </c>
      <c r="EU7" s="42">
        <v>0</v>
      </c>
      <c r="EV7" s="41" t="s">
        <v>61</v>
      </c>
      <c r="EW7" s="42">
        <v>250010</v>
      </c>
      <c r="EX7" s="44" t="b">
        <v>0</v>
      </c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UpdateMasterFundOnTT1</vt:lpstr>
      <vt:lpstr>CreateDoneAwayOrder2</vt:lpstr>
      <vt:lpstr>PricingInput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2021-08-04T13:50:15Z</dcterms:modified>
</cp:coreProperties>
</file>