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LoginClien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CalculatePTT3" sheetId="9" r:id="rId11"/>
    <sheet state="visible" name="CustomOrderTT" sheetId="10" r:id="rId12"/>
    <sheet state="visible" name="CalculatePTT1" sheetId="11" r:id="rId13"/>
    <sheet state="visible" name="CalculatePTT2" sheetId="12" r:id="rId14"/>
    <sheet state="visible" name="ReloadOrderFromBlotter" sheetId="13" r:id="rId15"/>
    <sheet state="visible" name="VerifyTT" sheetId="14" r:id="rId16"/>
    <sheet state="visible" name="ReloadOrderFromBlotter1" sheetId="15" r:id="rId17"/>
    <sheet state="visible" name="VerifyTT1" sheetId="16" r:id="rId18"/>
    <sheet state="visible" name="ReloadOrderFromBlotter2" sheetId="17" r:id="rId19"/>
    <sheet state="visible" name="VerifyTT2" sheetId="18" r:id="rId20"/>
    <sheet state="visible" name="VerifyOrder" sheetId="19" r:id="rId21"/>
    <sheet state="visible" name="OpenRTPNL" sheetId="20" r:id="rId22"/>
    <sheet state="visible" name="CheckSymbolLevelAggregation" sheetId="21" r:id="rId23"/>
  </sheets>
  <definedNames/>
  <calcPr/>
</workbook>
</file>

<file path=xl/sharedStrings.xml><?xml version="1.0" encoding="utf-8"?>
<sst xmlns="http://schemas.openxmlformats.org/spreadsheetml/2006/main" count="215" uniqueCount="61">
  <si>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</si>
  <si>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</si>
  <si>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</si>
  <si>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</si>
  <si>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</si>
  <si>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</si>
  <si>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</si>
  <si>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</si>
  <si>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</si>
  <si>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</si>
  <si>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</si>
  <si>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</si>
  <si>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</si>
  <si>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</si>
  <si>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</si>
  <si>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</si>
  <si>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PranaClient</t>
  </si>
  <si>
    <t>LoginClient</t>
  </si>
  <si>
    <t>Support6</t>
  </si>
  <si>
    <t>Nirvana@1</t>
  </si>
  <si>
    <t>DailyValuation</t>
  </si>
  <si>
    <t>GetDailyCash</t>
  </si>
  <si>
    <t>UpdateMultipleDailyCash</t>
  </si>
  <si>
    <t>Allocation1</t>
  </si>
  <si>
    <t>USD</t>
  </si>
  <si>
    <t>Allocation2</t>
  </si>
  <si>
    <t>Allocation3</t>
  </si>
  <si>
    <t>Allocation4</t>
  </si>
  <si>
    <t>Allocation5</t>
  </si>
  <si>
    <t>Allocation6</t>
  </si>
  <si>
    <t>PTT</t>
  </si>
  <si>
    <t>CalculatePTT</t>
  </si>
  <si>
    <t>AAPL</t>
  </si>
  <si>
    <t>Increase</t>
  </si>
  <si>
    <t>AMT</t>
  </si>
  <si>
    <t>Account</t>
  </si>
  <si>
    <t>Allocation5,Allocation6</t>
  </si>
  <si>
    <t>TradingTicket</t>
  </si>
  <si>
    <t>CustomOrderTT</t>
  </si>
  <si>
    <t>DoneAway</t>
  </si>
  <si>
    <t xml:space="preserve"> GLE-LON</t>
  </si>
  <si>
    <t>Set</t>
  </si>
  <si>
    <t>CUSTOM GROUP</t>
  </si>
  <si>
    <t>Trial</t>
  </si>
  <si>
    <t>FRU-TC</t>
  </si>
  <si>
    <t>MasterFund</t>
  </si>
  <si>
    <t>NewMF,NewMF1</t>
  </si>
  <si>
    <t>Blotter</t>
  </si>
  <si>
    <t>ReloadOrderFromBlotter</t>
  </si>
  <si>
    <t>VerifyTT</t>
  </si>
  <si>
    <t>VerifyOrder</t>
  </si>
  <si>
    <t>Buy</t>
  </si>
  <si>
    <t>Filled</t>
  </si>
  <si>
    <t>MS</t>
  </si>
  <si>
    <t>Multiple</t>
  </si>
  <si>
    <t>PST</t>
  </si>
  <si>
    <t>GLE-LON</t>
  </si>
  <si>
    <t>RTPNL</t>
  </si>
  <si>
    <t>OpenRTPNL</t>
  </si>
  <si>
    <t>Nirvana,PM</t>
  </si>
  <si>
    <t>CheckSymbolLevelAggregation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</si>
</sst>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35" t="s">
        <v>19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45927</v>
      </c>
      <c r="C6" s="36">
        <f>TODAY()</f>
        <v>45928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23</v>
      </c>
      <c r="C6" s="35" t="s">
        <v>24</v>
      </c>
      <c r="D6" s="37">
        <v>500000.0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25</v>
      </c>
      <c r="C7" s="35" t="s">
        <v>24</v>
      </c>
      <c r="D7" s="38">
        <v>500000.0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26</v>
      </c>
      <c r="C8" s="35" t="s">
        <v>24</v>
      </c>
      <c r="D8" s="38">
        <v>500000.0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27</v>
      </c>
      <c r="C9" s="35" t="s">
        <v>24</v>
      </c>
      <c r="D9" s="38">
        <v>500000.0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 t="s">
        <v>28</v>
      </c>
      <c r="C10" s="35" t="s">
        <v>24</v>
      </c>
      <c r="D10" s="38">
        <v>500000.0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5" t="s">
        <v>29</v>
      </c>
      <c r="C11" s="35" t="s">
        <v>24</v>
      </c>
      <c r="D11" s="38">
        <v>500000.0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4" t="s">
        <v>32</v>
      </c>
      <c r="C6" s="35" t="s">
        <v>33</v>
      </c>
      <c r="D6" s="34" t="s">
        <v>34</v>
      </c>
      <c r="E6" s="38">
        <v>10000.0</v>
      </c>
      <c r="F6" s="38">
        <v>10.0</v>
      </c>
      <c r="G6" s="40"/>
      <c r="H6" s="35" t="s">
        <v>35</v>
      </c>
      <c r="I6" s="35" t="s">
        <v>36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4" t="s">
        <v>32</v>
      </c>
      <c r="C6" s="35" t="s">
        <v>33</v>
      </c>
      <c r="D6" s="34" t="s">
        <v>34</v>
      </c>
      <c r="E6" s="38">
        <v>10000.0</v>
      </c>
      <c r="F6" s="38">
        <v>10.0</v>
      </c>
      <c r="G6" s="40"/>
      <c r="H6" s="35" t="s">
        <v>35</v>
      </c>
      <c r="I6" s="35" t="s">
        <v>36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40"/>
      <c r="D6" s="39"/>
      <c r="E6" s="35" t="s">
        <v>39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4" t="s">
        <v>40</v>
      </c>
      <c r="C6" s="35" t="s">
        <v>41</v>
      </c>
      <c r="D6" s="41" t="s">
        <v>34</v>
      </c>
      <c r="E6" s="42">
        <v>10000.0</v>
      </c>
      <c r="F6" s="38">
        <v>10.0</v>
      </c>
      <c r="G6" s="40"/>
      <c r="H6" s="35" t="s">
        <v>42</v>
      </c>
      <c r="I6" s="35" t="s">
        <v>43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4" t="s">
        <v>44</v>
      </c>
      <c r="C6" s="35" t="s">
        <v>33</v>
      </c>
      <c r="D6" s="13" t="s">
        <v>34</v>
      </c>
      <c r="E6" s="38">
        <v>10000.0</v>
      </c>
      <c r="F6" s="38">
        <v>10.0</v>
      </c>
      <c r="G6" s="40"/>
      <c r="H6" s="35" t="s">
        <v>45</v>
      </c>
      <c r="I6" s="40"/>
      <c r="J6" s="35" t="s">
        <v>46</v>
      </c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J6" s="9">
        <v>2000.0</v>
      </c>
      <c r="AQ6" s="9">
        <v>20000.0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J6" s="9">
        <v>1000.0</v>
      </c>
      <c r="AQ6" s="9">
        <v>10000.0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J6" s="9">
        <v>2000.0</v>
      </c>
      <c r="AQ6" s="9">
        <v>20000.0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32</v>
      </c>
      <c r="AJ6" s="9" t="s">
        <v>51</v>
      </c>
      <c r="AK6" s="9" t="s">
        <v>52</v>
      </c>
      <c r="AL6" s="9">
        <v>2000.0</v>
      </c>
      <c r="AS6" s="9" t="s">
        <v>53</v>
      </c>
      <c r="AT6" s="9" t="s">
        <v>54</v>
      </c>
      <c r="BG6" s="9" t="s">
        <v>55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56</v>
      </c>
      <c r="AJ7" s="9" t="s">
        <v>51</v>
      </c>
      <c r="AK7" s="9" t="s">
        <v>52</v>
      </c>
      <c r="AL7" s="9">
        <v>1000.0</v>
      </c>
      <c r="AS7" s="9" t="s">
        <v>53</v>
      </c>
      <c r="AT7" s="9" t="s">
        <v>54</v>
      </c>
      <c r="BG7" s="9" t="s">
        <v>55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44</v>
      </c>
      <c r="AJ8" s="9" t="s">
        <v>51</v>
      </c>
      <c r="AK8" s="9" t="s">
        <v>52</v>
      </c>
      <c r="AL8" s="9">
        <v>2000.0</v>
      </c>
      <c r="AS8" s="9" t="s">
        <v>53</v>
      </c>
      <c r="AT8" s="9" t="s">
        <v>54</v>
      </c>
      <c r="BG8" s="9" t="s">
        <v>55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32</v>
      </c>
      <c r="AJ9" s="9" t="s">
        <v>51</v>
      </c>
      <c r="AK9" s="9" t="s">
        <v>52</v>
      </c>
      <c r="AL9" s="9">
        <v>2000.0</v>
      </c>
      <c r="AS9" s="9" t="s">
        <v>53</v>
      </c>
      <c r="AT9" s="9" t="s">
        <v>54</v>
      </c>
      <c r="BG9" s="9" t="s">
        <v>47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9" t="s">
        <v>56</v>
      </c>
      <c r="AJ10" s="9" t="s">
        <v>51</v>
      </c>
      <c r="AK10" s="9" t="s">
        <v>52</v>
      </c>
      <c r="AL10" s="9">
        <v>1000.0</v>
      </c>
      <c r="AS10" s="9" t="s">
        <v>53</v>
      </c>
      <c r="AT10" s="9" t="s">
        <v>54</v>
      </c>
      <c r="BG10" s="9" t="s">
        <v>47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9" t="s">
        <v>44</v>
      </c>
      <c r="AJ11" s="9" t="s">
        <v>51</v>
      </c>
      <c r="AK11" s="9" t="s">
        <v>52</v>
      </c>
      <c r="AL11" s="9">
        <v>2000.0</v>
      </c>
      <c r="AS11" s="9" t="s">
        <v>53</v>
      </c>
      <c r="AT11" s="9" t="s">
        <v>54</v>
      </c>
      <c r="BG11" s="9" t="s">
        <v>47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IFERROR(__xludf.DUMMYFUNCTION("""COMPUTED_VALUE"""),"Position")</f>
        <v>Position</v>
      </c>
      <c r="E5" s="28" t="str">
        <f>IFERROR(__xludf.DUMMYFUNCTION("""COMPUTED_VALUE"""),"Market Value")</f>
        <v>Market Value</v>
      </c>
      <c r="F5" s="29" t="str">
        <f>IFERROR(__xludf.DUMMYFUNCTION("""COMPUTED_VALUE"""),"Day P&amp;L")</f>
        <v>Day P&amp;L</v>
      </c>
      <c r="G5" s="28" t="str">
        <f>IFERROR(__xludf.DUMMYFUNCTION("""COMPUTED_VALUE"""),"Cost Basis P&amp;L")</f>
        <v>Cost Basis P&amp;L</v>
      </c>
      <c r="H5" s="28" t="str">
        <f>IFERROR(__xludf.DUMMYFUNCTION("""COMPUTED_VALUE"""),"Exposure")</f>
        <v>Exposure</v>
      </c>
      <c r="I5" s="28" t="str">
        <f>IFERROR(__xludf.DUMMYFUNCTION("""COMPUTED_VALUE"""),"% Gain/Loss Day")</f>
        <v>% Gain/Loss Day</v>
      </c>
      <c r="J5" s="28" t="str">
        <f>IFERROR(__xludf.DUMMYFUNCTION("""COMPUTED_VALUE"""),"% Exposure")</f>
        <v>% Exposure</v>
      </c>
      <c r="K5" s="28" t="str">
        <f>IFERROR(__xludf.DUMMYFUNCTION("""COMPUTED_VALUE"""),"Short Exposure")</f>
        <v>Short Exposure</v>
      </c>
      <c r="L5" s="28" t="str">
        <f>IFERROR(__xludf.DUMMYFUNCTION("""COMPUTED_VALUE"""),"% Short Exposure")</f>
        <v>% Short Exposure</v>
      </c>
      <c r="M5" s="28" t="str">
        <f>IFERROR(__xludf.DUMMYFUNCTION("""COMPUTED_VALUE"""),"% Gain/Loss Cost")</f>
        <v>% Gain/Loss Cost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IFERROR(__xludf.DUMMYFUNCTION("""COMPUTED_VALUE"""),"% Net Market Value")</f>
        <v>% Net Market Value</v>
      </c>
      <c r="Q5" s="28" t="str">
        <f>IFERROR(__xludf.DUMMYFUNCTION("""COMPUTED_VALUE"""),"Testing Type")</f>
        <v>Testing Type</v>
      </c>
      <c r="R5" s="28" t="str">
        <f>IFERROR(__xludf.DUMMYFUNCTION("""COMPUTED_VALUE"""),"Testing Column")</f>
        <v>Testing Column</v>
      </c>
      <c r="S5" s="28" t="str">
        <f>IFERROR(__xludf.DUMMYFUNCTION("""COMPUTED_VALUE"""),"Testing Col Value")</f>
        <v>Testing Col Value</v>
      </c>
      <c r="T5" s="30" t="str">
        <f>IFERROR(__xludf.DUMMYFUNCTION("""COMPUTED_VALUE"""),"DuplicateCountOnUI")</f>
        <v>DuplicateCountOnUI</v>
      </c>
      <c r="U5" s="30" t="str">
        <f>IFERROR(__xludf.DUMMYFUNCTION("""COMPUTED_VALUE"""),"DuplicateRow")</f>
        <v>DuplicateRow</v>
      </c>
      <c r="V5" s="30" t="str">
        <f>IFERROR(__xludf.DUMMYFUNCTION("""COMPUTED_VALUE"""),"Bloomberg Symbol")</f>
        <v>Bloomberg Symbol</v>
      </c>
      <c r="W5" s="30" t="str">
        <f>IFERROR(__xludf.DUMMYFUNCTION("""COMPUTED_VALUE"""),"TabName")</f>
        <v>TabName</v>
      </c>
      <c r="X5" s="30" t="str">
        <f>IFERROR(__xludf.DUMMYFUNCTION("""COMPUTED_VALUE"""),"GridDataWidgetName")</f>
        <v>GridDataWidgetName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32</v>
      </c>
      <c r="C6" s="8"/>
      <c r="D6" s="13">
        <v>4000.0</v>
      </c>
      <c r="E6" s="13">
        <v>40000.0</v>
      </c>
      <c r="F6" s="13">
        <v>20000.0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44</v>
      </c>
      <c r="C7" s="8"/>
      <c r="D7" s="13">
        <v>4000.0</v>
      </c>
      <c r="E7" s="13">
        <v>40000.0</v>
      </c>
      <c r="F7" s="13">
        <v>20000.0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56</v>
      </c>
      <c r="C8" s="8"/>
      <c r="D8" s="13">
        <v>2000.0</v>
      </c>
      <c r="E8" s="13">
        <v>20000.0</v>
      </c>
      <c r="F8" s="13">
        <v>10000.0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CheckSymbolLevelAggregation!$4:$4</formula1>
    </dataValidation>
  </dataValidations>
  <drawing r:id="rId1"/>
</worksheet>
</file>