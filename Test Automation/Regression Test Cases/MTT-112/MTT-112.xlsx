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CreateDoneAwayOrder1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reateOrderPTT" sheetId="10" r:id="rId12"/>
    <sheet state="visible" name="CreateOrderPTT1" sheetId="11" r:id="rId13"/>
    <sheet state="visible" name="MultiTradingTicketFromBlotter" sheetId="12" r:id="rId14"/>
    <sheet state="visible" name="BulkUpdateUsingMTT" sheetId="13" r:id="rId15"/>
    <sheet state="visible" name="VerifyMTT" sheetId="14" r:id="rId16"/>
  </sheets>
  <definedNames/>
  <calcPr/>
</workbook>
</file>

<file path=xl/sharedStrings.xml><?xml version="1.0" encoding="utf-8"?>
<sst xmlns="http://schemas.openxmlformats.org/spreadsheetml/2006/main" count="133" uniqueCount="45">
  <si>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</si>
  <si>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</si>
  <si>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</si>
  <si>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</si>
  <si>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</si>
  <si>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</si>
  <si>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</si>
  <si>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</si>
  <si>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</si>
  <si>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</si>
  <si>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</si>
  <si>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</si>
  <si>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</si>
  <si>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</si>
  <si>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</si>
  <si>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</si>
  <si>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GSCO</t>
  </si>
  <si>
    <t>Drop</t>
  </si>
  <si>
    <t>TradingTicket</t>
  </si>
  <si>
    <t>SetBrokerWisePreferencesTT</t>
  </si>
  <si>
    <t>MS</t>
  </si>
  <si>
    <t>Algo</t>
  </si>
  <si>
    <t>CreateDoneAwayOrder</t>
  </si>
  <si>
    <t>SAP</t>
  </si>
  <si>
    <t>Buy</t>
  </si>
  <si>
    <t>Allocation1</t>
  </si>
  <si>
    <t>IBM</t>
  </si>
  <si>
    <t>PricingInput</t>
  </si>
  <si>
    <t>DailyValuation</t>
  </si>
  <si>
    <t>GetDailyCash</t>
  </si>
  <si>
    <t>UpdateMultipleDailyCash</t>
  </si>
  <si>
    <t>Account</t>
  </si>
  <si>
    <t>Local Currency</t>
  </si>
  <si>
    <t>Cash Value Local</t>
  </si>
  <si>
    <t>USD</t>
  </si>
  <si>
    <t>PTT</t>
  </si>
  <si>
    <t>CreateOrderPTT</t>
  </si>
  <si>
    <t>Increase</t>
  </si>
  <si>
    <t>No</t>
  </si>
  <si>
    <t>Blotter</t>
  </si>
  <si>
    <t>MultiTradingTicketFromBlotter</t>
  </si>
  <si>
    <t>New</t>
  </si>
  <si>
    <t>MultiTradingTicket</t>
  </si>
  <si>
    <t>BulkUpdateUsingMTT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</si>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</sst>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 t="str">
        <f>IFERROR(__xludf.DUMMYFUNCTION("""COMPUTED_VALUE"""),"ShowHideTargetQuantity")</f>
        <v>ShowHideTargetQuantity</v>
      </c>
      <c r="G5" s="28" t="str">
        <f>IFERROR(__xludf.DUMMYFUNCTION("""COMPUTED_VALUE"""),"SecurityValidationForEquityOption")</f>
        <v>SecurityValidationForEquityOption</v>
      </c>
      <c r="H5" s="28" t="str">
        <f>IFERROR(__xludf.DUMMYFUNCTION("""COMPUTED_VALUE"""),"Order Type")</f>
        <v>Order Type</v>
      </c>
      <c r="I5" s="28" t="str">
        <f>IFERROR(__xludf.DUMMYFUNCTION("""COMPUTED_VALUE"""),"Account")</f>
        <v>Account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5"/>
      <c r="F6" s="13" t="s">
        <v>21</v>
      </c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6" t="s">
        <v>24</v>
      </c>
      <c r="D6" s="37">
        <v>100.0</v>
      </c>
      <c r="E6" s="34"/>
      <c r="F6" s="34" t="s">
        <v>25</v>
      </c>
      <c r="G6" s="33" t="s">
        <v>20</v>
      </c>
      <c r="H6" s="34"/>
      <c r="I6" s="34"/>
      <c r="J6" s="38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26</v>
      </c>
      <c r="C7" s="36" t="s">
        <v>24</v>
      </c>
      <c r="D7" s="37">
        <v>100.0</v>
      </c>
      <c r="E7" s="34"/>
      <c r="F7" s="34" t="s">
        <v>25</v>
      </c>
      <c r="G7" s="33" t="s">
        <v>20</v>
      </c>
      <c r="H7" s="34"/>
      <c r="I7" s="34"/>
      <c r="J7" s="38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7.2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>
        <v>10.0</v>
      </c>
      <c r="D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 t="s">
        <v>26</v>
      </c>
      <c r="C7" s="38">
        <v>10.0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>TODAY()-1</f>
        <v>45882</v>
      </c>
      <c r="C6" s="40">
        <f>TODAY()</f>
        <v>45883</v>
      </c>
      <c r="D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31</v>
      </c>
      <c r="C5" s="29" t="s">
        <v>32</v>
      </c>
      <c r="D5" s="29" t="s">
        <v>33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 t="s">
        <v>34</v>
      </c>
      <c r="D6" s="37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37</v>
      </c>
      <c r="D6" s="31"/>
      <c r="E6" s="38">
        <v>100.0</v>
      </c>
      <c r="F6" s="34"/>
      <c r="G6" s="34" t="s">
        <v>38</v>
      </c>
      <c r="H6" s="34" t="s">
        <v>31</v>
      </c>
      <c r="I6" s="34" t="s">
        <v>25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 t="s">
        <v>37</v>
      </c>
      <c r="D6" s="31"/>
      <c r="E6" s="38">
        <v>100.0</v>
      </c>
      <c r="F6" s="34"/>
      <c r="G6" s="34" t="s">
        <v>38</v>
      </c>
      <c r="H6" s="34" t="s">
        <v>31</v>
      </c>
      <c r="I6" s="34" t="s">
        <v>25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/>
      <c r="D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23</v>
      </c>
      <c r="AJ6" s="39" t="s">
        <v>24</v>
      </c>
      <c r="AK6" s="39" t="s">
        <v>41</v>
      </c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 t="s">
        <v>26</v>
      </c>
      <c r="AJ7" s="39" t="s">
        <v>24</v>
      </c>
      <c r="AK7" s="39" t="s">
        <v>41</v>
      </c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3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33" t="s">
        <v>20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1"/>
      <c r="E6" s="34"/>
      <c r="F6" s="34" t="s">
        <v>25</v>
      </c>
      <c r="G6" s="33" t="s">
        <v>20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24</v>
      </c>
      <c r="D7" s="34"/>
      <c r="E7" s="34"/>
      <c r="F7" s="34" t="s">
        <v>25</v>
      </c>
      <c r="G7" s="33" t="s">
        <v>20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