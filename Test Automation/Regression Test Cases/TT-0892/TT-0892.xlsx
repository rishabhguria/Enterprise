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1" sheetId="4" r:id="rId6"/>
    <sheet state="visible" name="CustomOrderTT2" sheetId="5" r:id="rId7"/>
    <sheet state="visible" name="CustomOrderTT3" sheetId="6" r:id="rId8"/>
    <sheet state="visible" name="CustomOrderTT4" sheetId="7" r:id="rId9"/>
    <sheet state="visible" name="SelectET" sheetId="8" r:id="rId10"/>
    <sheet state="visible" name="SelectET1" sheetId="9" r:id="rId11"/>
    <sheet state="visible" name="OpenQtt" sheetId="10" r:id="rId12"/>
    <sheet state="visible" name="TradeQTT" sheetId="11" r:id="rId13"/>
    <sheet state="visible" name="TradeQTT1" sheetId="12" r:id="rId14"/>
    <sheet state="visible" name="TradeQTT2" sheetId="13" r:id="rId15"/>
    <sheet state="visible" name="TradeQTT3" sheetId="14" r:id="rId16"/>
    <sheet state="visible" name="UseOrVerifyHotKeys" sheetId="15" r:id="rId17"/>
    <sheet state="visible" name="UseOrVerifyHotKeys1" sheetId="16" r:id="rId18"/>
    <sheet state="visible" name="UseOrVerifyHotKeys2" sheetId="17" r:id="rId19"/>
    <sheet state="visible" name="UseOrVerifyHotKeys3" sheetId="18" r:id="rId20"/>
    <sheet state="visible" name="CustomOrderTT5" sheetId="19" r:id="rId21"/>
    <sheet state="visible" name="CustomOrderTT" sheetId="20" r:id="rId22"/>
    <sheet state="visible" name="VerifyOrder" sheetId="21" r:id="rId23"/>
  </sheets>
  <definedNames/>
  <calcPr/>
</workbook>
</file>

<file path=xl/sharedStrings.xml><?xml version="1.0" encoding="utf-8"?>
<sst xmlns="http://schemas.openxmlformats.org/spreadsheetml/2006/main" count="396" uniqueCount="78">
  <si>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</si>
  <si>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</si>
  <si>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</si>
  <si>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</si>
  <si>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</si>
  <si>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</si>
  <si>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</si>
  <si>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</si>
  <si>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</si>
  <si>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</si>
  <si>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</si>
  <si>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</si>
  <si>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</si>
  <si>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</si>
  <si>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</si>
  <si>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</si>
  <si>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</si>
  <si>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</si>
  <si>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</si>
  <si>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</si>
  <si>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</si>
  <si>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</si>
  <si>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</si>
  <si>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</si>
  <si>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</si>
  <si>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</si>
  <si>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</si>
  <si>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</si>
  <si>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</si>
  <si>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</si>
  <si>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</si>
  <si>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</si>
  <si>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</si>
  <si>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</si>
  <si>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</si>
  <si>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</si>
  <si>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</si>
  <si>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</si>
  <si>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</si>
  <si>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</si>
  <si>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</si>
  <si>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</si>
  <si>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</si>
  <si>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</si>
  <si>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</si>
  <si>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</si>
  <si>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</si>
  <si>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</si>
  <si>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</si>
  <si>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AAPL</t>
  </si>
  <si>
    <t>Good Till Date</t>
  </si>
  <si>
    <t>MSFT</t>
  </si>
  <si>
    <t>GTC</t>
  </si>
  <si>
    <t>GOOG</t>
  </si>
  <si>
    <t>NFLX</t>
  </si>
  <si>
    <t>SelectET</t>
  </si>
  <si>
    <t>DoneAway</t>
  </si>
  <si>
    <t>CreateOrder</t>
  </si>
  <si>
    <t>QTT</t>
  </si>
  <si>
    <t>OpenQtt</t>
  </si>
  <si>
    <t>Save</t>
  </si>
  <si>
    <t>TradeQTT</t>
  </si>
  <si>
    <t>Yash1</t>
  </si>
  <si>
    <t>Allocation1</t>
  </si>
  <si>
    <t>MS</t>
  </si>
  <si>
    <t>NASDAQ</t>
  </si>
  <si>
    <t>Stage</t>
  </si>
  <si>
    <t>Yash2</t>
  </si>
  <si>
    <t>CLEAR</t>
  </si>
  <si>
    <t>Yash3</t>
  </si>
  <si>
    <t>Yash4</t>
  </si>
  <si>
    <t>UseOrVerifyHotKeys</t>
  </si>
  <si>
    <t>Day</t>
  </si>
  <si>
    <t>DEFAULT</t>
  </si>
  <si>
    <t>Blotter</t>
  </si>
  <si>
    <t>VerifyOrder</t>
  </si>
  <si>
    <t>Buy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</si>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</sst>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Alignment="1" applyFont="1">
      <alignment readingOrder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4" fillId="5" fontId="4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50</v>
      </c>
      <c r="Y6" s="31">
        <f>TODAY()+1</f>
        <v>45888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50</v>
      </c>
      <c r="Y6" s="31">
        <f>TODAY()+1</f>
        <v>45888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IFERROR(__xludf.DUMMYFUNCTION("""COMPUTED_VALUE"""),"Order type button")</f>
        <v>Order type button</v>
      </c>
      <c r="C5" s="32"/>
      <c r="D5" s="32"/>
      <c r="E5" s="32"/>
      <c r="F5" s="2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IFERROR(__xludf.DUMMYFUNCTION("""COMPUTED_VALUE"""),"Order type button")</f>
        <v>Order type button</v>
      </c>
      <c r="C5" s="32"/>
      <c r="D5" s="32"/>
      <c r="E5" s="32"/>
      <c r="F5" s="2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IFERROR(__xludf.DUMMYFUNCTION("""COMPUTED_VALUE"""),"Action")</f>
        <v>Action</v>
      </c>
      <c r="C5" s="32"/>
      <c r="D5" s="32"/>
      <c r="E5" s="32"/>
      <c r="F5" s="2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IFERROR(__xludf.DUMMYFUNCTION("""COMPUTED_VALUE"""),"Title")</f>
        <v>Title</v>
      </c>
      <c r="C5" s="32" t="str">
        <f>IFERROR(__xludf.DUMMYFUNCTION("""COMPUTED_VALUE"""),"Symbol")</f>
        <v>Symbol</v>
      </c>
      <c r="D5" s="32" t="str">
        <f>IFERROR(__xludf.DUMMYFUNCTION("""COMPUTED_VALUE"""),"Quantity")</f>
        <v>Quantity</v>
      </c>
      <c r="E5" s="32" t="str">
        <f>IFERROR(__xludf.DUMMYFUNCTION("""COMPUTED_VALUE"""),"Allocation")</f>
        <v>Allocation</v>
      </c>
      <c r="F5" s="27" t="str">
        <f>IFERROR(__xludf.DUMMYFUNCTION("""COMPUTED_VALUE"""),"Broker")</f>
        <v>Broker</v>
      </c>
      <c r="G5" s="32" t="str">
        <f>IFERROR(__xludf.DUMMYFUNCTION("""COMPUTED_VALUE"""),"Venue")</f>
        <v>Venue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IFERROR(__xludf.DUMMYFUNCTION("""COMPUTED_VALUE"""),"Execution Type")</f>
        <v>Execution Type</v>
      </c>
      <c r="K5" s="32" t="str">
        <f>IFERROR(__xludf.DUMMYFUNCTION("""COMPUTED_VALUE"""),"Select Color")</f>
        <v>Select Color</v>
      </c>
      <c r="L5" s="32" t="str">
        <f>IFERROR(__xludf.DUMMYFUNCTION("""COMPUTED_VALUE"""),"Add To Favourite")</f>
        <v>Add To Favourite</v>
      </c>
      <c r="M5" s="32" t="str">
        <f>IFERROR(__xludf.DUMMYFUNCTION("""COMPUTED_VALUE"""),"AlgoType")</f>
        <v>AlgoType</v>
      </c>
      <c r="N5" s="32" t="str">
        <f>IFERROR(__xludf.DUMMYFUNCTION("""COMPUTED_VALUE"""),"Start time")</f>
        <v>Start time</v>
      </c>
      <c r="O5" s="32" t="str">
        <f>IFERROR(__xludf.DUMMYFUNCTION("""COMPUTED_VALUE"""),"End time")</f>
        <v>End time</v>
      </c>
      <c r="P5" s="32" t="str">
        <f>IFERROR(__xludf.DUMMYFUNCTION("""COMPUTED_VALUE"""),"EndTimeCheckBox")</f>
        <v>EndTimeCheckBox</v>
      </c>
      <c r="Q5" s="32" t="str">
        <f>IFERROR(__xludf.DUMMYFUNCTION("""COMPUTED_VALUE"""),"Style")</f>
        <v>Style</v>
      </c>
      <c r="R5" s="32" t="str">
        <f>IFERROR(__xludf.DUMMYFUNCTION("""COMPUTED_VALUE"""),"Save")</f>
        <v>Save</v>
      </c>
      <c r="S5" s="32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12"/>
      <c r="D6" s="12">
        <v>100.0</v>
      </c>
      <c r="E6" s="12" t="s">
        <v>63</v>
      </c>
      <c r="F6" s="12" t="s">
        <v>64</v>
      </c>
      <c r="G6" s="12" t="s">
        <v>65</v>
      </c>
      <c r="H6" s="9" t="s">
        <v>50</v>
      </c>
      <c r="I6" s="12" t="s">
        <v>38</v>
      </c>
      <c r="J6" s="12" t="s">
        <v>66</v>
      </c>
      <c r="K6" s="8"/>
      <c r="L6" s="12" t="b">
        <v>1</v>
      </c>
      <c r="M6" s="8"/>
      <c r="N6" s="8"/>
      <c r="O6" s="8"/>
      <c r="T6" s="31">
        <f>TODAY()+1</f>
        <v>45888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IFERROR(__xludf.DUMMYFUNCTION("""COMPUTED_VALUE"""),"Title")</f>
        <v>Title</v>
      </c>
      <c r="C5" s="32" t="str">
        <f>IFERROR(__xludf.DUMMYFUNCTION("""COMPUTED_VALUE"""),"Symbol")</f>
        <v>Symbol</v>
      </c>
      <c r="D5" s="32" t="str">
        <f>IFERROR(__xludf.DUMMYFUNCTION("""COMPUTED_VALUE"""),"Quantity")</f>
        <v>Quantity</v>
      </c>
      <c r="E5" s="32" t="str">
        <f>IFERROR(__xludf.DUMMYFUNCTION("""COMPUTED_VALUE"""),"Allocation")</f>
        <v>Allocation</v>
      </c>
      <c r="F5" s="27" t="str">
        <f>IFERROR(__xludf.DUMMYFUNCTION("""COMPUTED_VALUE"""),"Broker")</f>
        <v>Broker</v>
      </c>
      <c r="G5" s="32" t="str">
        <f>IFERROR(__xludf.DUMMYFUNCTION("""COMPUTED_VALUE"""),"Venue")</f>
        <v>Venue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IFERROR(__xludf.DUMMYFUNCTION("""COMPUTED_VALUE"""),"Execution Type")</f>
        <v>Execution Type</v>
      </c>
      <c r="K5" s="32" t="str">
        <f>IFERROR(__xludf.DUMMYFUNCTION("""COMPUTED_VALUE"""),"Select Color")</f>
        <v>Select Color</v>
      </c>
      <c r="L5" s="32" t="str">
        <f>IFERROR(__xludf.DUMMYFUNCTION("""COMPUTED_VALUE"""),"Add To Favourite")</f>
        <v>Add To Favourite</v>
      </c>
      <c r="M5" s="32" t="str">
        <f>IFERROR(__xludf.DUMMYFUNCTION("""COMPUTED_VALUE"""),"AlgoType")</f>
        <v>AlgoType</v>
      </c>
      <c r="N5" s="32" t="str">
        <f>IFERROR(__xludf.DUMMYFUNCTION("""COMPUTED_VALUE"""),"Start time")</f>
        <v>Start time</v>
      </c>
      <c r="O5" s="32" t="str">
        <f>IFERROR(__xludf.DUMMYFUNCTION("""COMPUTED_VALUE"""),"End time")</f>
        <v>End time</v>
      </c>
      <c r="P5" s="32" t="str">
        <f>IFERROR(__xludf.DUMMYFUNCTION("""COMPUTED_VALUE"""),"EndTimeCheckBox")</f>
        <v>EndTimeCheckBox</v>
      </c>
      <c r="Q5" s="32" t="str">
        <f>IFERROR(__xludf.DUMMYFUNCTION("""COMPUTED_VALUE"""),"Style")</f>
        <v>Style</v>
      </c>
      <c r="R5" s="32" t="str">
        <f>IFERROR(__xludf.DUMMYFUNCTION("""COMPUTED_VALUE"""),"Save")</f>
        <v>Save</v>
      </c>
      <c r="S5" s="32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67</v>
      </c>
      <c r="C6" s="12"/>
      <c r="D6" s="12">
        <v>100.0</v>
      </c>
      <c r="E6" s="12" t="s">
        <v>63</v>
      </c>
      <c r="F6" s="12" t="s">
        <v>64</v>
      </c>
      <c r="G6" s="12" t="s">
        <v>65</v>
      </c>
      <c r="H6" s="12" t="s">
        <v>52</v>
      </c>
      <c r="I6" s="12" t="s">
        <v>38</v>
      </c>
      <c r="J6" s="12" t="s">
        <v>68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IFERROR(__xludf.DUMMYFUNCTION("""COMPUTED_VALUE"""),"Title")</f>
        <v>Title</v>
      </c>
      <c r="C5" s="32" t="str">
        <f>IFERROR(__xludf.DUMMYFUNCTION("""COMPUTED_VALUE"""),"Symbol")</f>
        <v>Symbol</v>
      </c>
      <c r="D5" s="32" t="str">
        <f>IFERROR(__xludf.DUMMYFUNCTION("""COMPUTED_VALUE"""),"Quantity")</f>
        <v>Quantity</v>
      </c>
      <c r="E5" s="32" t="str">
        <f>IFERROR(__xludf.DUMMYFUNCTION("""COMPUTED_VALUE"""),"Allocation")</f>
        <v>Allocation</v>
      </c>
      <c r="F5" s="27" t="str">
        <f>IFERROR(__xludf.DUMMYFUNCTION("""COMPUTED_VALUE"""),"Broker")</f>
        <v>Broker</v>
      </c>
      <c r="G5" s="32" t="str">
        <f>IFERROR(__xludf.DUMMYFUNCTION("""COMPUTED_VALUE"""),"Venue")</f>
        <v>Venue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IFERROR(__xludf.DUMMYFUNCTION("""COMPUTED_VALUE"""),"Execution Type")</f>
        <v>Execution Type</v>
      </c>
      <c r="K5" s="32" t="str">
        <f>IFERROR(__xludf.DUMMYFUNCTION("""COMPUTED_VALUE"""),"Select Color")</f>
        <v>Select Color</v>
      </c>
      <c r="L5" s="32" t="str">
        <f>IFERROR(__xludf.DUMMYFUNCTION("""COMPUTED_VALUE"""),"Add To Favourite")</f>
        <v>Add To Favourite</v>
      </c>
      <c r="M5" s="32" t="str">
        <f>IFERROR(__xludf.DUMMYFUNCTION("""COMPUTED_VALUE"""),"AlgoType")</f>
        <v>AlgoType</v>
      </c>
      <c r="N5" s="32" t="str">
        <f>IFERROR(__xludf.DUMMYFUNCTION("""COMPUTED_VALUE"""),"Start time")</f>
        <v>Start time</v>
      </c>
      <c r="O5" s="32" t="str">
        <f>IFERROR(__xludf.DUMMYFUNCTION("""COMPUTED_VALUE"""),"End time")</f>
        <v>End time</v>
      </c>
      <c r="P5" s="32" t="str">
        <f>IFERROR(__xludf.DUMMYFUNCTION("""COMPUTED_VALUE"""),"EndTimeCheckBox")</f>
        <v>EndTimeCheckBox</v>
      </c>
      <c r="Q5" s="32" t="str">
        <f>IFERROR(__xludf.DUMMYFUNCTION("""COMPUTED_VALUE"""),"Style")</f>
        <v>Style</v>
      </c>
      <c r="R5" s="32" t="str">
        <f>IFERROR(__xludf.DUMMYFUNCTION("""COMPUTED_VALUE"""),"Save")</f>
        <v>Save</v>
      </c>
      <c r="S5" s="32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69</v>
      </c>
      <c r="C6" s="12"/>
      <c r="D6" s="12">
        <v>100.0</v>
      </c>
      <c r="E6" s="12" t="s">
        <v>63</v>
      </c>
      <c r="F6" s="12" t="s">
        <v>64</v>
      </c>
      <c r="G6" s="12" t="s">
        <v>65</v>
      </c>
      <c r="H6" s="9" t="s">
        <v>50</v>
      </c>
      <c r="I6" s="12" t="s">
        <v>38</v>
      </c>
      <c r="J6" s="12" t="s">
        <v>68</v>
      </c>
      <c r="K6" s="8"/>
      <c r="L6" s="12" t="b">
        <v>1</v>
      </c>
      <c r="M6" s="8"/>
      <c r="N6" s="8"/>
      <c r="O6" s="8"/>
      <c r="T6" s="31">
        <f>TODAY()+1</f>
        <v>45888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IFERROR(__xludf.DUMMYFUNCTION("""COMPUTED_VALUE"""),"Title")</f>
        <v>Title</v>
      </c>
      <c r="C5" s="32" t="str">
        <f>IFERROR(__xludf.DUMMYFUNCTION("""COMPUTED_VALUE"""),"Symbol")</f>
        <v>Symbol</v>
      </c>
      <c r="D5" s="32" t="str">
        <f>IFERROR(__xludf.DUMMYFUNCTION("""COMPUTED_VALUE"""),"Quantity")</f>
        <v>Quantity</v>
      </c>
      <c r="E5" s="32" t="str">
        <f>IFERROR(__xludf.DUMMYFUNCTION("""COMPUTED_VALUE"""),"Allocation")</f>
        <v>Allocation</v>
      </c>
      <c r="F5" s="27" t="str">
        <f>IFERROR(__xludf.DUMMYFUNCTION("""COMPUTED_VALUE"""),"Broker")</f>
        <v>Broker</v>
      </c>
      <c r="G5" s="32" t="str">
        <f>IFERROR(__xludf.DUMMYFUNCTION("""COMPUTED_VALUE"""),"Venue")</f>
        <v>Venue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IFERROR(__xludf.DUMMYFUNCTION("""COMPUTED_VALUE"""),"Execution Type")</f>
        <v>Execution Type</v>
      </c>
      <c r="K5" s="32" t="str">
        <f>IFERROR(__xludf.DUMMYFUNCTION("""COMPUTED_VALUE"""),"Select Color")</f>
        <v>Select Color</v>
      </c>
      <c r="L5" s="32" t="str">
        <f>IFERROR(__xludf.DUMMYFUNCTION("""COMPUTED_VALUE"""),"Add To Favourite")</f>
        <v>Add To Favourite</v>
      </c>
      <c r="M5" s="32" t="str">
        <f>IFERROR(__xludf.DUMMYFUNCTION("""COMPUTED_VALUE"""),"AlgoType")</f>
        <v>AlgoType</v>
      </c>
      <c r="N5" s="32" t="str">
        <f>IFERROR(__xludf.DUMMYFUNCTION("""COMPUTED_VALUE"""),"Start time")</f>
        <v>Start time</v>
      </c>
      <c r="O5" s="32" t="str">
        <f>IFERROR(__xludf.DUMMYFUNCTION("""COMPUTED_VALUE"""),"End time")</f>
        <v>End time</v>
      </c>
      <c r="P5" s="32" t="str">
        <f>IFERROR(__xludf.DUMMYFUNCTION("""COMPUTED_VALUE"""),"EndTimeCheckBox")</f>
        <v>EndTimeCheckBox</v>
      </c>
      <c r="Q5" s="32" t="str">
        <f>IFERROR(__xludf.DUMMYFUNCTION("""COMPUTED_VALUE"""),"Style")</f>
        <v>Style</v>
      </c>
      <c r="R5" s="32" t="str">
        <f>IFERROR(__xludf.DUMMYFUNCTION("""COMPUTED_VALUE"""),"Save")</f>
        <v>Save</v>
      </c>
      <c r="S5" s="32" t="str">
        <f>IFERROR(__xludf.DUMMYFUNCTION("""COMPUTED_VALUE"""),"Quick Preferences Name")</f>
        <v>Quick Preferences Name</v>
      </c>
      <c r="T5" s="29" t="str">
        <f>IFERROR(__xludf.DUMMYFUNCTION("""COMPUTED_VALUE"""),"Expiration Date")</f>
        <v>Expiration Date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12"/>
      <c r="D6" s="12">
        <v>100.0</v>
      </c>
      <c r="E6" s="12" t="s">
        <v>63</v>
      </c>
      <c r="F6" s="12" t="s">
        <v>64</v>
      </c>
      <c r="G6" s="12" t="s">
        <v>65</v>
      </c>
      <c r="H6" s="9" t="s">
        <v>52</v>
      </c>
      <c r="I6" s="12" t="s">
        <v>38</v>
      </c>
      <c r="J6" s="12" t="s">
        <v>68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27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62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27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67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UseOrVerifyHotKeys1!$4:$4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27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69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IFERROR(__xludf.DUMMYFUNCTION("""COMPUTED_VALUE"""),"UseHotKey")</f>
        <v>UseHotKey</v>
      </c>
      <c r="C5" s="32" t="str">
        <f>IFERROR(__xludf.DUMMYFUNCTION("""COMPUTED_VALUE"""),"VerifyHotKeys")</f>
        <v>VerifyHotKeys</v>
      </c>
      <c r="D5" s="32" t="str">
        <f>IFERROR(__xludf.DUMMYFUNCTION("""COMPUTED_VALUE"""),"VerifyHotKeysColor")</f>
        <v>VerifyHotKeysColor</v>
      </c>
      <c r="E5" s="32" t="str">
        <f>IFERROR(__xludf.DUMMYFUNCTION("""COMPUTED_VALUE"""),"TTStayOpen")</f>
        <v>TTStayOpen</v>
      </c>
      <c r="F5" s="27" t="str">
        <f>IFERROR(__xludf.DUMMYFUNCTION("""COMPUTED_VALUE"""),"NegativeTesting")</f>
        <v>NegativeTesting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UseOrVerifyHotKeys3!$4:$4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72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20.0</v>
      </c>
      <c r="E6" s="12" t="s">
        <v>73</v>
      </c>
      <c r="F6" s="8"/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IFERROR(__xludf.DUMMYFUNCTION("""COMPUTED_VALUE"""),"Transaction Time")</f>
        <v>Transaction Time</v>
      </c>
      <c r="C5" s="32" t="str">
        <f>IFERROR(__xludf.DUMMYFUNCTION("""COMPUTED_VALUE"""),"Algo")</f>
        <v>Algo</v>
      </c>
      <c r="D5" s="32" t="str">
        <f>IFERROR(__xludf.DUMMYFUNCTION("""COMPUTED_VALUE"""),"Avg Fill Price (Base)")</f>
        <v>Avg Fill Price (Base)</v>
      </c>
      <c r="E5" s="32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32" t="str">
        <f>IFERROR(__xludf.DUMMYFUNCTION("""COMPUTED_VALUE"""),"Working Qty")</f>
        <v>Working Qty</v>
      </c>
      <c r="H5" s="32" t="str">
        <f>IFERROR(__xludf.DUMMYFUNCTION("""COMPUTED_VALUE"""),"Venue")</f>
        <v>Venue</v>
      </c>
      <c r="I5" s="32" t="str">
        <f>IFERROR(__xludf.DUMMYFUNCTION("""COMPUTED_VALUE"""),"Current User")</f>
        <v>Current User</v>
      </c>
      <c r="J5" s="32" t="str">
        <f>IFERROR(__xludf.DUMMYFUNCTION("""COMPUTED_VALUE"""),"Underlying Symbol")</f>
        <v>Underlying Symbol</v>
      </c>
      <c r="K5" s="32" t="str">
        <f>IFERROR(__xludf.DUMMYFUNCTION("""COMPUTED_VALUE"""),"Underlying Country")</f>
        <v>Underlying Country</v>
      </c>
      <c r="L5" s="32" t="str">
        <f>IFERROR(__xludf.DUMMYFUNCTION("""COMPUTED_VALUE"""),"Trader")</f>
        <v>Trader</v>
      </c>
      <c r="M5" s="32" t="str">
        <f>IFERROR(__xludf.DUMMYFUNCTION("""COMPUTED_VALUE"""),"Trade Attribute 6")</f>
        <v>Trade Attribute 6</v>
      </c>
      <c r="N5" s="32" t="str">
        <f>IFERROR(__xludf.DUMMYFUNCTION("""COMPUTED_VALUE"""),"Trade Attribute 5")</f>
        <v>Trade Attribute 5</v>
      </c>
      <c r="O5" s="32" t="str">
        <f>IFERROR(__xludf.DUMMYFUNCTION("""COMPUTED_VALUE"""),"Trade Attribute 4")</f>
        <v>Trade Attribute 4</v>
      </c>
      <c r="P5" s="32" t="str">
        <f>IFERROR(__xludf.DUMMYFUNCTION("""COMPUTED_VALUE"""),"Trade Attribute 3")</f>
        <v>Trade Attribute 3</v>
      </c>
      <c r="Q5" s="32" t="str">
        <f>IFERROR(__xludf.DUMMYFUNCTION("""COMPUTED_VALUE"""),"Trade Attribute 1")</f>
        <v>Trade Attribute 1</v>
      </c>
      <c r="R5" s="32" t="str">
        <f>IFERROR(__xludf.DUMMYFUNCTION("""COMPUTED_VALUE"""),"Trade Attribute 2")</f>
        <v>Trade Attribute 2</v>
      </c>
      <c r="S5" s="32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/>
      <c r="H6" s="8"/>
      <c r="I6" s="8"/>
      <c r="J6" s="8"/>
      <c r="K6" s="8"/>
      <c r="L6" s="8"/>
      <c r="M6" s="8"/>
      <c r="N6" s="8"/>
      <c r="O6" s="8"/>
      <c r="AI6" s="9" t="s">
        <v>49</v>
      </c>
      <c r="AJ6" s="9" t="s">
        <v>76</v>
      </c>
      <c r="AK6" s="9" t="s">
        <v>77</v>
      </c>
      <c r="BH6" s="9" t="s">
        <v>50</v>
      </c>
    </row>
    <row r="7" ht="15.75" customHeight="1">
      <c r="A7" s="8"/>
      <c r="B7" s="8"/>
      <c r="C7" s="8"/>
      <c r="D7" s="8"/>
      <c r="E7" s="8"/>
      <c r="F7" s="8"/>
      <c r="G7" s="12">
        <v>100.0</v>
      </c>
      <c r="H7" s="8"/>
      <c r="I7" s="8"/>
      <c r="J7" s="8"/>
      <c r="K7" s="8"/>
      <c r="L7" s="8"/>
      <c r="M7" s="8"/>
      <c r="N7" s="8"/>
      <c r="O7" s="8"/>
      <c r="AI7" s="9" t="s">
        <v>51</v>
      </c>
      <c r="AJ7" s="9" t="s">
        <v>76</v>
      </c>
      <c r="AK7" s="9" t="s">
        <v>77</v>
      </c>
      <c r="BH7" s="9" t="s">
        <v>52</v>
      </c>
    </row>
    <row r="8" ht="15.75" customHeight="1">
      <c r="A8" s="8"/>
      <c r="B8" s="8"/>
      <c r="C8" s="8"/>
      <c r="D8" s="8"/>
      <c r="E8" s="8"/>
      <c r="F8" s="8"/>
      <c r="G8" s="12">
        <v>100.0</v>
      </c>
      <c r="H8" s="8"/>
      <c r="I8" s="8"/>
      <c r="J8" s="8"/>
      <c r="K8" s="8"/>
      <c r="L8" s="8"/>
      <c r="M8" s="8"/>
      <c r="N8" s="8"/>
      <c r="O8" s="8"/>
      <c r="AI8" s="9" t="s">
        <v>53</v>
      </c>
      <c r="AJ8" s="9" t="s">
        <v>76</v>
      </c>
      <c r="AK8" s="9" t="s">
        <v>77</v>
      </c>
      <c r="BH8" s="9" t="s">
        <v>50</v>
      </c>
    </row>
    <row r="9" ht="15.75" customHeight="1">
      <c r="A9" s="8"/>
      <c r="B9" s="8"/>
      <c r="C9" s="8"/>
      <c r="D9" s="8"/>
      <c r="E9" s="8"/>
      <c r="F9" s="8"/>
      <c r="G9" s="12">
        <v>100.0</v>
      </c>
      <c r="H9" s="8"/>
      <c r="I9" s="8"/>
      <c r="J9" s="8"/>
      <c r="K9" s="8"/>
      <c r="L9" s="8"/>
      <c r="M9" s="8"/>
      <c r="N9" s="8"/>
      <c r="O9" s="8"/>
      <c r="AI9" s="9" t="s">
        <v>54</v>
      </c>
      <c r="AJ9" s="9" t="s">
        <v>76</v>
      </c>
      <c r="AK9" s="9" t="s">
        <v>77</v>
      </c>
      <c r="BH9" s="9" t="s">
        <v>52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