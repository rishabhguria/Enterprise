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<sst xmlns="http://schemas.openxmlformats.org/spreadsheetml/2006/main" count="137" uniqueCount="34">
  <si>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</si>
  <si>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</si>
  <si>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</si>
  <si>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</si>
  <si>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</si>
  <si>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</si>
  <si>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</si>
  <si>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</si>
  <si>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</si>
  <si>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</si>
  <si>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</si>
  <si>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</si>
  <si>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</si>
  <si>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</si>
  <si>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</si>
  <si>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</si>
  <si>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</si>
  <si>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</si>
  <si>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</si>
  <si>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</si>
  <si>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</si>
  <si>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S1</t>
  </si>
  <si>
    <t>Sell</t>
  </si>
  <si>
    <t>MSFT</t>
  </si>
  <si>
    <t>Allocation2</t>
  </si>
  <si>
    <t>S2</t>
  </si>
  <si>
    <t>GetDataAllocation</t>
  </si>
  <si>
    <t>Historical</t>
  </si>
  <si>
    <t>1/1/1800</t>
  </si>
  <si>
    <t>CheckAllocatedGroups</t>
  </si>
  <si>
    <t>Equity</t>
  </si>
  <si>
    <t>MS</t>
  </si>
  <si>
    <t>M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</si>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</sst>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64" xfId="0" applyAlignment="1" applyFill="1" applyFont="1" applyNumberFormat="1">
      <alignment readingOrder="0" vertical="bottom"/>
    </xf>
    <xf borderId="0" fillId="6" fontId="1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IFERROR(__xludf.DUMMYFUNCTION("""COMPUTED_VALUE"""),"Admin")</f>
        <v>Admin</v>
      </c>
      <c r="B783" t="str">
        <f>IFERROR(__xludf.DUMMYFUNCTION("""COMPUTED_VALUE"""),"DeselectAccounts")</f>
        <v>DeselectAccounts</v>
      </c>
      <c r="C783" t="str">
        <f>IFERROR(__xludf.DUMMYFUNCTION("""COMPUTED_VALUE"""),"1H6AwalClVecdoJUQp5wTWXzd6NE4Y5Hty6PTKnO9Rk4")</f>
        <v>1H6AwalClVecdoJUQp5wTWXzd6NE4Y5Hty6PTKnO9Rk4</v>
      </c>
    </row>
    <row r="784" ht="15.75" customHeight="1">
      <c r="A784" t="str">
        <f>IFERROR(__xludf.DUMMYFUNCTION("""COMPUTED_VALUE"""),"TradingTicket")</f>
        <v>TradingTicket</v>
      </c>
      <c r="B784" t="str">
        <f>IFERROR(__xludf.DUMMYFUNCTION("""COMPUTED_VALUE"""),"ResizeEnsureTT")</f>
        <v>ResizeEnsureTT</v>
      </c>
      <c r="C784" t="str">
        <f>IFERROR(__xludf.DUMMYFUNCTION("""COMPUTED_VALUE"""),"1X1m60ND44-Chxr6N4sH6Fqbh_pqzIH8Cfy3c89u2_lQ")</f>
        <v>1X1m60ND44-Chxr6N4sH6Fqbh_pqzIH8Cfy3c89u2_lQ</v>
      </c>
    </row>
    <row r="785" ht="15.75" customHeight="1">
      <c r="A785" t="str">
        <f>IFERROR(__xludf.DUMMYFUNCTION("""COMPUTED_VALUE"""),"Admin")</f>
        <v>Admin</v>
      </c>
      <c r="B785" t="str">
        <f>IFERROR(__xludf.DUMMYFUNCTION("""COMPUTED_VALUE"""),"AccountPermission")</f>
        <v>AccountPermission</v>
      </c>
      <c r="C785" t="str">
        <f>IFERROR(__xludf.DUMMYFUNCTION("""COMPUTED_VALUE"""),"1UuUydT-ajZCwnqdhLBG28JhRRgR6skh7CgWMlr5JFEw")</f>
        <v>1UuUydT-ajZCwnqdhLBG28JhRRgR6skh7CgWMlr5JFEw</v>
      </c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4000.0</v>
      </c>
      <c r="E6" s="35"/>
      <c r="F6" s="32" t="s">
        <v>20</v>
      </c>
      <c r="G6" s="35"/>
      <c r="H6" s="35"/>
      <c r="I6" s="35"/>
      <c r="J6" s="36">
        <v>10.0</v>
      </c>
      <c r="K6" s="35"/>
      <c r="L6" s="35"/>
      <c r="M6" s="33" t="s">
        <v>21</v>
      </c>
      <c r="N6" s="37">
        <v>42350.0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18</v>
      </c>
      <c r="C7" s="33" t="s">
        <v>19</v>
      </c>
      <c r="D7" s="34">
        <v>100.0</v>
      </c>
      <c r="E7" s="35"/>
      <c r="F7" s="32" t="s">
        <v>20</v>
      </c>
      <c r="G7" s="35"/>
      <c r="H7" s="35"/>
      <c r="I7" s="35"/>
      <c r="J7" s="36">
        <v>10.0</v>
      </c>
      <c r="K7" s="35"/>
      <c r="L7" s="35"/>
      <c r="M7" s="33" t="s">
        <v>21</v>
      </c>
      <c r="N7" s="38">
        <v>42352.0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 t="s">
        <v>18</v>
      </c>
      <c r="C8" s="32" t="s">
        <v>22</v>
      </c>
      <c r="D8" s="34">
        <v>100.0</v>
      </c>
      <c r="E8" s="35"/>
      <c r="F8" s="32" t="s">
        <v>20</v>
      </c>
      <c r="G8" s="35"/>
      <c r="H8" s="35"/>
      <c r="I8" s="35"/>
      <c r="J8" s="36">
        <v>10.0</v>
      </c>
      <c r="K8" s="35"/>
      <c r="L8" s="35"/>
      <c r="M8" s="33" t="s">
        <v>21</v>
      </c>
      <c r="N8" s="38">
        <v>42352.0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1"/>
      <c r="B9" s="32" t="s">
        <v>18</v>
      </c>
      <c r="C9" s="32" t="s">
        <v>22</v>
      </c>
      <c r="D9" s="34">
        <v>100.0</v>
      </c>
      <c r="E9" s="35"/>
      <c r="F9" s="32" t="s">
        <v>20</v>
      </c>
      <c r="G9" s="35"/>
      <c r="H9" s="35"/>
      <c r="I9" s="35"/>
      <c r="J9" s="36">
        <v>10.0</v>
      </c>
      <c r="K9" s="35"/>
      <c r="L9" s="35"/>
      <c r="M9" s="33" t="s">
        <v>21</v>
      </c>
      <c r="N9" s="38">
        <v>42352.0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1"/>
      <c r="B10" s="32" t="s">
        <v>18</v>
      </c>
      <c r="C10" s="32" t="s">
        <v>22</v>
      </c>
      <c r="D10" s="34">
        <v>100.0</v>
      </c>
      <c r="E10" s="35"/>
      <c r="F10" s="32" t="s">
        <v>20</v>
      </c>
      <c r="G10" s="35"/>
      <c r="H10" s="35"/>
      <c r="I10" s="35"/>
      <c r="J10" s="36">
        <v>10.0</v>
      </c>
      <c r="K10" s="35"/>
      <c r="L10" s="35"/>
      <c r="M10" s="33" t="s">
        <v>21</v>
      </c>
      <c r="N10" s="38">
        <v>42352.0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1"/>
      <c r="B11" s="32" t="s">
        <v>23</v>
      </c>
      <c r="C11" s="33" t="s">
        <v>19</v>
      </c>
      <c r="D11" s="34">
        <v>100.0</v>
      </c>
      <c r="E11" s="35"/>
      <c r="F11" s="32" t="s">
        <v>24</v>
      </c>
      <c r="G11" s="35"/>
      <c r="H11" s="35"/>
      <c r="I11" s="35"/>
      <c r="J11" s="36">
        <v>10.0</v>
      </c>
      <c r="K11" s="35"/>
      <c r="L11" s="35"/>
      <c r="M11" s="33" t="s">
        <v>21</v>
      </c>
      <c r="N11" s="38">
        <v>42352.0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1"/>
      <c r="B12" s="32" t="s">
        <v>23</v>
      </c>
      <c r="C12" s="32" t="s">
        <v>22</v>
      </c>
      <c r="D12" s="34">
        <v>100.0</v>
      </c>
      <c r="E12" s="35"/>
      <c r="F12" s="32" t="s">
        <v>24</v>
      </c>
      <c r="G12" s="35"/>
      <c r="H12" s="35"/>
      <c r="I12" s="35"/>
      <c r="J12" s="36">
        <v>10.0</v>
      </c>
      <c r="K12" s="35"/>
      <c r="L12" s="35"/>
      <c r="M12" s="33" t="s">
        <v>21</v>
      </c>
      <c r="N12" s="38">
        <v>42352.0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1"/>
      <c r="B13" s="32" t="s">
        <v>23</v>
      </c>
      <c r="C13" s="33" t="s">
        <v>19</v>
      </c>
      <c r="D13" s="34">
        <v>100.0</v>
      </c>
      <c r="E13" s="35"/>
      <c r="F13" s="32" t="s">
        <v>24</v>
      </c>
      <c r="G13" s="35"/>
      <c r="H13" s="35"/>
      <c r="I13" s="35"/>
      <c r="J13" s="36">
        <v>10.0</v>
      </c>
      <c r="K13" s="35"/>
      <c r="L13" s="35"/>
      <c r="M13" s="32" t="s">
        <v>25</v>
      </c>
      <c r="N13" s="38">
        <v>42352.0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 t="s">
        <v>27</v>
      </c>
      <c r="C6" s="40" t="s">
        <v>28</v>
      </c>
      <c r="D6" s="41">
        <f>TODAY()</f>
        <v>45616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/>
      <c r="D6" s="31"/>
      <c r="E6" s="34">
        <v>4000.0</v>
      </c>
      <c r="F6" s="35"/>
      <c r="G6" s="33" t="s">
        <v>30</v>
      </c>
      <c r="H6" s="35"/>
      <c r="I6" s="35"/>
      <c r="J6" s="35"/>
      <c r="K6" s="36">
        <v>10.0</v>
      </c>
      <c r="L6" s="36">
        <v>10.0</v>
      </c>
      <c r="M6" s="35"/>
      <c r="N6" s="35"/>
      <c r="O6" s="33" t="s">
        <v>31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4000.0</v>
      </c>
      <c r="AF6" s="35"/>
      <c r="AG6" s="35"/>
      <c r="AH6" s="35" t="s">
        <v>32</v>
      </c>
      <c r="AI6" s="43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 t="s">
        <v>33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2">
        <v>4000.0</v>
      </c>
      <c r="BK6" s="35"/>
      <c r="BL6" s="35"/>
      <c r="BM6" s="35"/>
      <c r="BN6" s="35"/>
      <c r="BO6" s="35" t="s">
        <v>19</v>
      </c>
      <c r="BP6" s="35"/>
      <c r="BQ6" s="35"/>
      <c r="BR6" s="35"/>
      <c r="BS6" s="44" t="s">
        <v>21</v>
      </c>
      <c r="BT6" s="44" t="s">
        <v>18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20</v>
      </c>
      <c r="C7" s="35"/>
      <c r="D7" s="31"/>
      <c r="E7" s="36">
        <v>100.0</v>
      </c>
      <c r="F7" s="35"/>
      <c r="G7" s="33" t="s">
        <v>30</v>
      </c>
      <c r="H7" s="35"/>
      <c r="I7" s="35"/>
      <c r="J7" s="35"/>
      <c r="K7" s="36">
        <v>10.0</v>
      </c>
      <c r="L7" s="36">
        <v>10.0</v>
      </c>
      <c r="M7" s="35"/>
      <c r="N7" s="35"/>
      <c r="O7" s="33" t="s">
        <v>31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43">
        <v>100.0</v>
      </c>
      <c r="AF7" s="35"/>
      <c r="AG7" s="35"/>
      <c r="AH7" s="35" t="s">
        <v>32</v>
      </c>
      <c r="AI7" s="43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 t="s">
        <v>33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3">
        <v>100.0</v>
      </c>
      <c r="BK7" s="35"/>
      <c r="BL7" s="35"/>
      <c r="BM7" s="35"/>
      <c r="BN7" s="35"/>
      <c r="BO7" s="35" t="s">
        <v>19</v>
      </c>
      <c r="BP7" s="35"/>
      <c r="BQ7" s="35"/>
      <c r="BR7" s="35"/>
      <c r="BS7" s="44" t="s">
        <v>21</v>
      </c>
      <c r="BT7" s="44" t="s">
        <v>18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 t="s">
        <v>20</v>
      </c>
      <c r="C8" s="35"/>
      <c r="D8" s="31"/>
      <c r="E8" s="36">
        <v>100.0</v>
      </c>
      <c r="F8" s="35"/>
      <c r="G8" s="33" t="s">
        <v>30</v>
      </c>
      <c r="H8" s="35"/>
      <c r="I8" s="35"/>
      <c r="J8" s="35"/>
      <c r="K8" s="36">
        <v>10.0</v>
      </c>
      <c r="L8" s="36">
        <v>10.0</v>
      </c>
      <c r="M8" s="35"/>
      <c r="N8" s="35"/>
      <c r="O8" s="33" t="s">
        <v>31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43">
        <v>100.0</v>
      </c>
      <c r="AF8" s="35"/>
      <c r="AG8" s="35"/>
      <c r="AH8" s="35" t="s">
        <v>32</v>
      </c>
      <c r="AI8" s="43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 t="s">
        <v>33</v>
      </c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43">
        <v>100.0</v>
      </c>
      <c r="BK8" s="35"/>
      <c r="BL8" s="35"/>
      <c r="BM8" s="35"/>
      <c r="BN8" s="35"/>
      <c r="BO8" s="44" t="s">
        <v>22</v>
      </c>
      <c r="BP8" s="35"/>
      <c r="BQ8" s="35"/>
      <c r="BR8" s="35"/>
      <c r="BS8" s="44" t="s">
        <v>21</v>
      </c>
      <c r="BT8" s="44" t="s">
        <v>18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1"/>
      <c r="B9" s="32" t="s">
        <v>20</v>
      </c>
      <c r="C9" s="35"/>
      <c r="D9" s="31"/>
      <c r="E9" s="36">
        <v>100.0</v>
      </c>
      <c r="F9" s="35"/>
      <c r="G9" s="33" t="s">
        <v>30</v>
      </c>
      <c r="H9" s="35"/>
      <c r="I9" s="35"/>
      <c r="J9" s="35"/>
      <c r="K9" s="36">
        <v>10.0</v>
      </c>
      <c r="L9" s="36">
        <v>10.0</v>
      </c>
      <c r="M9" s="35"/>
      <c r="N9" s="35"/>
      <c r="O9" s="33" t="s">
        <v>31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43">
        <v>100.0</v>
      </c>
      <c r="AF9" s="35"/>
      <c r="AG9" s="35"/>
      <c r="AH9" s="35" t="s">
        <v>32</v>
      </c>
      <c r="AI9" s="43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 t="s">
        <v>33</v>
      </c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43">
        <v>100.0</v>
      </c>
      <c r="BK9" s="35"/>
      <c r="BL9" s="35"/>
      <c r="BM9" s="35"/>
      <c r="BN9" s="35"/>
      <c r="BO9" s="44" t="s">
        <v>22</v>
      </c>
      <c r="BP9" s="35"/>
      <c r="BQ9" s="35"/>
      <c r="BR9" s="35"/>
      <c r="BS9" s="44" t="s">
        <v>21</v>
      </c>
      <c r="BT9" s="44" t="s">
        <v>18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1"/>
      <c r="B10" s="32" t="s">
        <v>20</v>
      </c>
      <c r="C10" s="35"/>
      <c r="D10" s="31"/>
      <c r="E10" s="36">
        <v>100.0</v>
      </c>
      <c r="F10" s="35"/>
      <c r="G10" s="33" t="s">
        <v>30</v>
      </c>
      <c r="H10" s="35"/>
      <c r="I10" s="35"/>
      <c r="J10" s="35"/>
      <c r="K10" s="36">
        <v>10.0</v>
      </c>
      <c r="L10" s="36">
        <v>10.0</v>
      </c>
      <c r="M10" s="35"/>
      <c r="N10" s="35"/>
      <c r="O10" s="33" t="s">
        <v>31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43">
        <v>100.0</v>
      </c>
      <c r="AF10" s="35"/>
      <c r="AG10" s="35"/>
      <c r="AH10" s="35" t="s">
        <v>32</v>
      </c>
      <c r="AI10" s="43">
        <v>1.0</v>
      </c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 t="s">
        <v>33</v>
      </c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43">
        <v>100.0</v>
      </c>
      <c r="BK10" s="35"/>
      <c r="BL10" s="35"/>
      <c r="BM10" s="35"/>
      <c r="BN10" s="35"/>
      <c r="BO10" s="44" t="s">
        <v>22</v>
      </c>
      <c r="BP10" s="35"/>
      <c r="BQ10" s="35"/>
      <c r="BR10" s="35"/>
      <c r="BS10" s="44" t="s">
        <v>21</v>
      </c>
      <c r="BT10" s="44" t="s">
        <v>18</v>
      </c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1"/>
      <c r="B11" s="32" t="s">
        <v>24</v>
      </c>
      <c r="C11" s="35"/>
      <c r="D11" s="31"/>
      <c r="E11" s="36">
        <v>100.0</v>
      </c>
      <c r="F11" s="35"/>
      <c r="G11" s="33" t="s">
        <v>30</v>
      </c>
      <c r="H11" s="35"/>
      <c r="I11" s="35"/>
      <c r="J11" s="35"/>
      <c r="K11" s="36">
        <v>10.0</v>
      </c>
      <c r="L11" s="36">
        <v>10.0</v>
      </c>
      <c r="M11" s="35"/>
      <c r="N11" s="35"/>
      <c r="O11" s="33" t="s">
        <v>31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43">
        <v>100.0</v>
      </c>
      <c r="AF11" s="35"/>
      <c r="AG11" s="35"/>
      <c r="AH11" s="35" t="s">
        <v>32</v>
      </c>
      <c r="AI11" s="43">
        <v>1.0</v>
      </c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 t="s">
        <v>33</v>
      </c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43">
        <v>100.0</v>
      </c>
      <c r="BK11" s="35"/>
      <c r="BL11" s="35"/>
      <c r="BM11" s="35"/>
      <c r="BN11" s="35"/>
      <c r="BO11" s="35" t="s">
        <v>19</v>
      </c>
      <c r="BP11" s="35"/>
      <c r="BQ11" s="35"/>
      <c r="BR11" s="35"/>
      <c r="BS11" s="44" t="s">
        <v>21</v>
      </c>
      <c r="BT11" s="44" t="s">
        <v>23</v>
      </c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1"/>
      <c r="B12" s="32" t="s">
        <v>24</v>
      </c>
      <c r="C12" s="35"/>
      <c r="D12" s="31"/>
      <c r="E12" s="36">
        <v>100.0</v>
      </c>
      <c r="F12" s="35"/>
      <c r="G12" s="33" t="s">
        <v>30</v>
      </c>
      <c r="H12" s="35"/>
      <c r="I12" s="35"/>
      <c r="J12" s="35"/>
      <c r="K12" s="36">
        <v>10.0</v>
      </c>
      <c r="L12" s="36">
        <v>10.0</v>
      </c>
      <c r="M12" s="35"/>
      <c r="N12" s="35"/>
      <c r="O12" s="33" t="s">
        <v>31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43">
        <v>100.0</v>
      </c>
      <c r="AF12" s="35"/>
      <c r="AG12" s="35"/>
      <c r="AH12" s="35" t="s">
        <v>32</v>
      </c>
      <c r="AI12" s="43">
        <v>1.0</v>
      </c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 t="s">
        <v>33</v>
      </c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43">
        <v>100.0</v>
      </c>
      <c r="BK12" s="35"/>
      <c r="BL12" s="35"/>
      <c r="BM12" s="35"/>
      <c r="BN12" s="35"/>
      <c r="BO12" s="44" t="s">
        <v>22</v>
      </c>
      <c r="BP12" s="35"/>
      <c r="BQ12" s="35"/>
      <c r="BR12" s="35"/>
      <c r="BS12" s="44" t="s">
        <v>21</v>
      </c>
      <c r="BT12" s="44" t="s">
        <v>23</v>
      </c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1"/>
      <c r="B13" s="32" t="s">
        <v>24</v>
      </c>
      <c r="C13" s="35"/>
      <c r="D13" s="31"/>
      <c r="E13" s="36">
        <v>100.0</v>
      </c>
      <c r="F13" s="35"/>
      <c r="G13" s="33" t="s">
        <v>30</v>
      </c>
      <c r="H13" s="35"/>
      <c r="I13" s="35"/>
      <c r="J13" s="35"/>
      <c r="K13" s="36">
        <v>10.0</v>
      </c>
      <c r="L13" s="36">
        <v>10.0</v>
      </c>
      <c r="M13" s="35"/>
      <c r="N13" s="35"/>
      <c r="O13" s="33" t="s">
        <v>31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43">
        <v>100.0</v>
      </c>
      <c r="AF13" s="35"/>
      <c r="AG13" s="35"/>
      <c r="AH13" s="35" t="s">
        <v>32</v>
      </c>
      <c r="AI13" s="43">
        <v>1.0</v>
      </c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 t="s">
        <v>33</v>
      </c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43">
        <v>100.0</v>
      </c>
      <c r="BK13" s="35"/>
      <c r="BL13" s="35"/>
      <c r="BM13" s="35"/>
      <c r="BN13" s="35"/>
      <c r="BO13" s="35" t="s">
        <v>19</v>
      </c>
      <c r="BP13" s="35"/>
      <c r="BQ13" s="35"/>
      <c r="BR13" s="35"/>
      <c r="BS13" s="44" t="s">
        <v>25</v>
      </c>
      <c r="BT13" s="44" t="s">
        <v>23</v>
      </c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