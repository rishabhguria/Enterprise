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SelectTradeUnexpiredUnsettled" sheetId="7" r:id="rId9"/>
    <sheet state="visible" name="ExerciseAssignment" sheetId="8" r:id="rId10"/>
    <sheet state="visible" name="VerifyExpiredSettledGrid" sheetId="9" r:id="rId11"/>
    <sheet state="visible" name="CreateDoneAwayOrder1" sheetId="10" r:id="rId12"/>
    <sheet state="visible" name="GetDataClosing1" sheetId="11" r:id="rId13"/>
    <sheet state="visible" name="VerifyLongPositionsGrid1" sheetId="12" r:id="rId14"/>
    <sheet state="visible" name="VerifyShortPositionsGrid" sheetId="13" r:id="rId15"/>
    <sheet state="visible" name="ManualClosing" sheetId="14" r:id="rId16"/>
    <sheet state="visible" name="VerifyClosedTrades" sheetId="15" r:id="rId17"/>
    <sheet state="visible" name="UnWindTradeSettlement" sheetId="16" r:id="rId18"/>
    <sheet state="visible" name="VerifyUnExpiredUnSettledGrid" sheetId="17" r:id="rId19"/>
    <sheet state="visible" name="GetDataAllocation" sheetId="18" r:id="rId20"/>
    <sheet state="visible" name="CheckAllocatedGroups" sheetId="19" r:id="rId21"/>
  </sheets>
  <definedNames/>
  <calcPr/>
</workbook>
</file>

<file path=xl/sharedStrings.xml><?xml version="1.0" encoding="utf-8"?>
<sst xmlns="http://schemas.openxmlformats.org/spreadsheetml/2006/main" count="197" uniqueCount="45">
  <si>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</si>
  <si>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</si>
  <si>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</si>
  <si>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</si>
  <si>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</si>
  <si>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</si>
  <si>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</si>
  <si>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</si>
  <si>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</si>
  <si>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</si>
  <si>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</si>
  <si>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</si>
  <si>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</si>
  <si>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</si>
  <si>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</si>
  <si>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</si>
  <si>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 xml:space="preserve"> O:ABM 10D20.00</t>
  </si>
  <si>
    <t>Buy to Open</t>
  </si>
  <si>
    <t>Allocation1</t>
  </si>
  <si>
    <t>Closing</t>
  </si>
  <si>
    <t>GetDataClosing</t>
  </si>
  <si>
    <t>Current</t>
  </si>
  <si>
    <t>VerifyLongPositionsGrid</t>
  </si>
  <si>
    <t>EquityOption</t>
  </si>
  <si>
    <t>Long</t>
  </si>
  <si>
    <t>SelectTradeUnexpiredUnsettled</t>
  </si>
  <si>
    <t>ExerciseAssignment</t>
  </si>
  <si>
    <t>Equity</t>
  </si>
  <si>
    <t>Buy</t>
  </si>
  <si>
    <t>ABM</t>
  </si>
  <si>
    <t>VerifyExpiredSettledGrid</t>
  </si>
  <si>
    <t>Sell</t>
  </si>
  <si>
    <t>VerifyShortPositionsGrid</t>
  </si>
  <si>
    <t>Short</t>
  </si>
  <si>
    <t>ManualClosing</t>
  </si>
  <si>
    <t>VerifyClosedTrades</t>
  </si>
  <si>
    <t>UnWindTradeSettlement</t>
  </si>
  <si>
    <t>VerifyUnExpiredUnSettledGrid</t>
  </si>
  <si>
    <t>Allocation</t>
  </si>
  <si>
    <t>GetDataAllocation</t>
  </si>
  <si>
    <t>CheckAllocatedGroups</t>
  </si>
  <si>
    <t>Closed</t>
  </si>
  <si>
    <t>O:ABM 10D20.00</t>
  </si>
  <si>
    <t>Sell to Close</t>
  </si>
  <si>
    <t>PartiallyClosed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</si>
</sst>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8"/>
      <c r="H6" s="8"/>
      <c r="I6" s="8"/>
      <c r="J6" s="11">
        <v>15.0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23</v>
      </c>
      <c r="D6" s="11"/>
      <c r="E6" s="30"/>
      <c r="F6" s="8"/>
      <c r="G6" s="8"/>
      <c r="H6" s="8"/>
      <c r="I6" s="31">
        <v>15.0</v>
      </c>
      <c r="J6" s="32"/>
      <c r="K6" s="33" t="s">
        <v>24</v>
      </c>
      <c r="L6" s="32"/>
      <c r="M6" s="31">
        <v>100.0</v>
      </c>
      <c r="N6" s="8"/>
      <c r="O6" s="8"/>
      <c r="P6" s="32" t="s">
        <v>17</v>
      </c>
      <c r="R6" s="33" t="s">
        <v>16</v>
      </c>
      <c r="S6" s="32"/>
      <c r="T6" s="33"/>
      <c r="U6" s="32"/>
      <c r="V6" s="34"/>
      <c r="W6" s="34"/>
      <c r="X6" s="34"/>
      <c r="Y6" s="34"/>
      <c r="Z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 t="s">
        <v>18</v>
      </c>
      <c r="C6" s="32"/>
      <c r="D6" s="36"/>
      <c r="E6" s="33" t="s">
        <v>23</v>
      </c>
      <c r="F6" s="32"/>
      <c r="G6" s="32"/>
      <c r="H6" s="32"/>
      <c r="I6" s="31">
        <v>15.0</v>
      </c>
      <c r="J6" s="8"/>
      <c r="K6" s="8"/>
      <c r="L6" s="8"/>
      <c r="M6" s="8"/>
      <c r="N6" s="8"/>
      <c r="O6" s="8"/>
      <c r="AQ6" s="9">
        <v>100.0</v>
      </c>
      <c r="BV6" s="34" t="s">
        <v>17</v>
      </c>
      <c r="BW6" s="34"/>
      <c r="BX6" s="34"/>
      <c r="BY6" s="34"/>
      <c r="BZ6" s="34"/>
      <c r="CA6" s="34"/>
      <c r="CB6" s="34" t="s">
        <v>24</v>
      </c>
      <c r="CC6" s="34" t="s">
        <v>24</v>
      </c>
      <c r="CD6" s="34"/>
      <c r="CE6" s="34"/>
      <c r="CF6" s="34"/>
      <c r="CG6" s="35">
        <v>100.0</v>
      </c>
      <c r="DH6" s="11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 t="s">
        <v>18</v>
      </c>
      <c r="C6" s="32"/>
      <c r="D6" s="36"/>
      <c r="E6" s="33" t="s">
        <v>27</v>
      </c>
      <c r="F6" s="32"/>
      <c r="G6" s="32"/>
      <c r="H6" s="32"/>
      <c r="I6" s="32"/>
      <c r="J6" s="37">
        <v>20.0</v>
      </c>
      <c r="K6" s="8"/>
      <c r="L6" s="8"/>
      <c r="M6" s="8"/>
      <c r="N6" s="8"/>
      <c r="O6" s="8"/>
      <c r="AW6" s="9">
        <v>10000.0</v>
      </c>
      <c r="BE6" s="9" t="s">
        <v>28</v>
      </c>
      <c r="BL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 t="s">
        <v>18</v>
      </c>
      <c r="C6" s="33" t="s">
        <v>23</v>
      </c>
      <c r="D6" s="36"/>
      <c r="E6" s="32"/>
      <c r="F6" s="32"/>
      <c r="G6" s="31">
        <v>100.0</v>
      </c>
      <c r="H6" s="8"/>
      <c r="I6" s="8"/>
      <c r="J6" s="8"/>
      <c r="K6" s="8"/>
      <c r="L6" s="8"/>
      <c r="M6" s="8"/>
      <c r="N6" s="8"/>
      <c r="O6" s="8"/>
      <c r="T6" s="35">
        <v>15.0</v>
      </c>
      <c r="U6" s="34"/>
      <c r="V6" s="34"/>
      <c r="W6" s="34" t="s">
        <v>24</v>
      </c>
      <c r="X6" s="34"/>
      <c r="Y6" s="34"/>
      <c r="Z6" s="34" t="s">
        <v>17</v>
      </c>
      <c r="AA6" s="34"/>
      <c r="AB6" s="38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11" t="s">
        <v>31</v>
      </c>
      <c r="D6" s="11">
        <v>5000.0</v>
      </c>
      <c r="E6" s="11">
        <v>5000.0</v>
      </c>
      <c r="F6" s="11" t="s">
        <v>18</v>
      </c>
      <c r="G6" s="8"/>
      <c r="H6" s="8"/>
      <c r="I6" s="8"/>
      <c r="J6" s="11">
        <v>15.0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27</v>
      </c>
      <c r="D6" s="11"/>
      <c r="E6" s="30"/>
      <c r="F6" s="8"/>
      <c r="G6" s="8"/>
      <c r="H6" s="8"/>
      <c r="I6" s="11">
        <v>20.0</v>
      </c>
      <c r="J6" s="8"/>
      <c r="K6" s="11" t="s">
        <v>24</v>
      </c>
      <c r="L6" s="8"/>
      <c r="M6" s="11">
        <v>10000.0</v>
      </c>
      <c r="N6" s="8"/>
      <c r="O6" s="8"/>
      <c r="P6" s="9" t="s">
        <v>28</v>
      </c>
      <c r="R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27</v>
      </c>
      <c r="D6" s="11"/>
      <c r="E6" s="30"/>
      <c r="F6" s="8"/>
      <c r="G6" s="8"/>
      <c r="H6" s="8"/>
      <c r="I6" s="11">
        <v>15.0</v>
      </c>
      <c r="J6" s="8"/>
      <c r="K6" s="11" t="s">
        <v>33</v>
      </c>
      <c r="L6" s="8"/>
      <c r="M6" s="11">
        <v>5000.0</v>
      </c>
      <c r="N6" s="8"/>
      <c r="O6" s="8"/>
      <c r="P6" s="9" t="s">
        <v>31</v>
      </c>
      <c r="R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3" width="14.43"/>
    <col customWidth="1" min="44" max="44" width="24.71"/>
    <col customWidth="1" min="45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b">
        <v>0</v>
      </c>
      <c r="D6" s="36" t="s">
        <v>18</v>
      </c>
      <c r="E6" s="11" t="s">
        <v>27</v>
      </c>
      <c r="F6" s="11"/>
      <c r="G6" s="30"/>
      <c r="H6" s="8"/>
      <c r="I6" s="8"/>
      <c r="J6" s="8"/>
      <c r="K6" s="11">
        <v>20.0</v>
      </c>
      <c r="L6" s="8"/>
      <c r="M6" s="11" t="s">
        <v>24</v>
      </c>
      <c r="N6" s="8"/>
      <c r="O6" s="11">
        <v>10000.0</v>
      </c>
      <c r="V6" s="9" t="s">
        <v>28</v>
      </c>
      <c r="X6" s="9" t="s">
        <v>29</v>
      </c>
      <c r="AE6" s="11" t="s">
        <v>18</v>
      </c>
      <c r="AF6" s="11" t="s">
        <v>27</v>
      </c>
      <c r="AG6" s="11"/>
      <c r="AH6" s="30"/>
      <c r="AI6" s="8"/>
      <c r="AJ6" s="8"/>
      <c r="AK6" s="8"/>
      <c r="AL6" s="11">
        <v>15.0</v>
      </c>
      <c r="AM6" s="8"/>
      <c r="AN6" s="11" t="s">
        <v>33</v>
      </c>
      <c r="AO6" s="8"/>
      <c r="AP6" s="11">
        <v>5000.0</v>
      </c>
      <c r="AQ6" s="8"/>
      <c r="AR6" s="8"/>
      <c r="AW6" s="9" t="s">
        <v>31</v>
      </c>
      <c r="AY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18</v>
      </c>
      <c r="E6" s="30"/>
      <c r="F6" s="11" t="s">
        <v>24</v>
      </c>
      <c r="G6" s="11" t="s">
        <v>27</v>
      </c>
      <c r="H6" s="11" t="s">
        <v>29</v>
      </c>
      <c r="I6" s="11">
        <v>5000.0</v>
      </c>
      <c r="J6" s="11">
        <v>20.0</v>
      </c>
      <c r="K6" s="11">
        <v>15.0</v>
      </c>
      <c r="L6" s="8"/>
      <c r="M6" s="8"/>
      <c r="N6" s="8"/>
      <c r="O6" s="1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IFERROR(__xludf.DUMMYFUNCTION("""COMPUTED_VALUE"""),"CostBasisGrossPNL")</f>
        <v>CostBasisGrossPNL</v>
      </c>
      <c r="O5" s="27" t="str">
        <f>IFERROR(__xludf.DUMMYFUNCTION("""COMPUTED_VALUE"""),"Currency")</f>
        <v>Currency</v>
      </c>
      <c r="P5" s="27" t="str">
        <f>IFERROR(__xludf.DUMMYFUNCTION("""COMPUTED_VALUE"""),"CurrencyID")</f>
        <v>CurrencyID</v>
      </c>
      <c r="Q5" s="27" t="str">
        <f>IFERROR(__xludf.DUMMYFUNCTION("""COMPUTED_VALUE"""),"Exchange")</f>
        <v>Exchange</v>
      </c>
      <c r="R5" s="27" t="str">
        <f>IFERROR(__xludf.DUMMYFUNCTION("""COMPUTED_VALUE"""),"NotionalChange")</f>
        <v>NotionalChange</v>
      </c>
      <c r="S5" s="27" t="str">
        <f>IFERROR(__xludf.DUMMYFUNCTION("""COMPUTED_VALUE"""),"OpenAveragePrice")</f>
        <v>OpenAveragePrice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IFERROR(__xludf.DUMMYFUNCTION("""COMPUTED_VALUE"""),"Position Type")</f>
        <v>Position Type</v>
      </c>
      <c r="V5" s="29" t="str">
        <f>IFERROR(__xludf.DUMMYFUNCTION("""COMPUTED_VALUE"""),"PositionSide")</f>
        <v>PositionSide</v>
      </c>
      <c r="W5" s="29" t="str">
        <f>IFERROR(__xludf.DUMMYFUNCTION("""COMPUTED_VALUE"""),"PositionTotalCommissionandFees")</f>
        <v>PositionTotalCommissionandFees</v>
      </c>
      <c r="X5" s="29" t="str">
        <f>IFERROR(__xludf.DUMMYFUNCTION("""COMPUTED_VALUE"""),"Realized PNL(C.B.)")</f>
        <v>Realized PNL(C.B.)</v>
      </c>
      <c r="Y5" s="29" t="str">
        <f>IFERROR(__xludf.DUMMYFUNCTION("""COMPUTED_VALUE"""),"Side")</f>
        <v>Side</v>
      </c>
      <c r="Z5" s="29" t="str">
        <f>IFERROR(__xludf.DUMMYFUNCTION("""COMPUTED_VALUE"""),"Strategy")</f>
        <v>Strategy</v>
      </c>
      <c r="AA5" s="29" t="str">
        <f>IFERROR(__xludf.DUMMYFUNCTION("""COMPUTED_VALUE"""),"Symbol")</f>
        <v>Symbol</v>
      </c>
      <c r="AB5" s="29" t="str">
        <f>IFERROR(__xludf.DUMMYFUNCTION("""COMPUTED_VALUE"""),"Taxlot ID")</f>
        <v>Taxlot ID</v>
      </c>
      <c r="AC5" s="29" t="str">
        <f>IFERROR(__xludf.DUMMYFUNCTION("""COMPUTED_VALUE"""),"UnderlyingName")</f>
        <v>UnderlyingName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23</v>
      </c>
      <c r="D6" s="11"/>
      <c r="E6" s="30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  <c r="V6" s="9" t="s">
        <v>24</v>
      </c>
      <c r="Y6" s="9" t="s">
        <v>17</v>
      </c>
      <c r="AA6" s="11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UnWindTradeSettlement!$4:$4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IFERROR(__xludf.DUMMYFUNCTION("""COMPUTED_VALUE"""),"AssetName")</f>
        <v>AssetName</v>
      </c>
      <c r="G5" s="27" t="str">
        <f>IFERROR(__xludf.DUMMYFUNCTION("""COMPUTED_VALUE"""),"AUCID")</f>
        <v>AUCID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IFERROR(__xludf.DUMMYFUNCTION("""COMPUTED_VALUE"""),"Settlement Mode")</f>
        <v>Settlement Mode</v>
      </c>
      <c r="CT5" s="29" t="str">
        <f>IFERROR(__xludf.DUMMYFUNCTION("""COMPUTED_VALUE"""),"Settlement Qty")</f>
        <v>Settlement Qty</v>
      </c>
      <c r="CU5" s="29" t="str">
        <f>IFERROR(__xludf.DUMMYFUNCTION("""COMPUTED_VALUE"""),"SettlementCurrencyID")</f>
        <v>SettlementCurrencyID</v>
      </c>
      <c r="CV5" s="29" t="str">
        <f>IFERROR(__xludf.DUMMYFUNCTION("""COMPUTED_VALUE"""),"SettlementDate")</f>
        <v>SettlementDate</v>
      </c>
      <c r="CW5" s="29" t="str">
        <f>IFERROR(__xludf.DUMMYFUNCTION("""COMPUTED_VALUE"""),"SideMultiplier")</f>
        <v>SideMultiplier</v>
      </c>
      <c r="CX5" s="29" t="str">
        <f>IFERROR(__xludf.DUMMYFUNCTION("""COMPUTED_VALUE"""),"SoftCommission")</f>
        <v>SoftCommission</v>
      </c>
      <c r="CY5" s="29" t="str">
        <f>IFERROR(__xludf.DUMMYFUNCTION("""COMPUTED_VALUE"""),"SoftCommissionAmt")</f>
        <v>SoftCommissionAmt</v>
      </c>
      <c r="CZ5" s="29" t="str">
        <f>IFERROR(__xludf.DUMMYFUNCTION("""COMPUTED_VALUE"""),"SoftCommissionCalcBasis")</f>
        <v>SoftCommissionCalcBasis</v>
      </c>
      <c r="DA5" s="29" t="str">
        <f>IFERROR(__xludf.DUMMYFUNCTION("""COMPUTED_VALUE"""),"SoftCommissionRate")</f>
        <v>SoftCommissionRate</v>
      </c>
      <c r="DB5" s="29" t="str">
        <f>IFERROR(__xludf.DUMMYFUNCTION("""COMPUTED_VALUE"""),"StampDuty")</f>
        <v>StampDuty</v>
      </c>
      <c r="DC5" s="29" t="str">
        <f>IFERROR(__xludf.DUMMYFUNCTION("""COMPUTED_VALUE"""),"Strategy")</f>
        <v>Strategy</v>
      </c>
      <c r="DD5" s="29" t="str">
        <f>IFERROR(__xludf.DUMMYFUNCTION("""COMPUTED_VALUE"""),"StrikePrice")</f>
        <v>StrikePrice</v>
      </c>
      <c r="DE5" s="29" t="str">
        <f>IFERROR(__xludf.DUMMYFUNCTION("""COMPUTED_VALUE"""),"SubSectorName")</f>
        <v>SubSectorName</v>
      </c>
      <c r="DF5" s="29" t="str">
        <f>IFERROR(__xludf.DUMMYFUNCTION("""COMPUTED_VALUE"""),"SwapParameters")</f>
        <v>SwapParameters</v>
      </c>
      <c r="DG5" s="29" t="str">
        <f>IFERROR(__xludf.DUMMYFUNCTION("""COMPUTED_VALUE"""),"Symbol")</f>
        <v>Symbol</v>
      </c>
      <c r="DH5" s="29" t="str">
        <f>IFERROR(__xludf.DUMMYFUNCTION("""COMPUTED_VALUE"""),"TaxlotClosingId")</f>
        <v>TaxlotClosingId</v>
      </c>
      <c r="DI5" s="29" t="str">
        <f>IFERROR(__xludf.DUMMYFUNCTION("""COMPUTED_VALUE"""),"TaxLotID")</f>
        <v>TaxLotID</v>
      </c>
      <c r="DJ5" s="29" t="str">
        <f>IFERROR(__xludf.DUMMYFUNCTION("""COMPUTED_VALUE"""),"TaxlotPk")</f>
        <v>TaxlotPk</v>
      </c>
      <c r="DK5" s="29" t="str">
        <f>IFERROR(__xludf.DUMMYFUNCTION("""COMPUTED_VALUE"""),"TaxLotQtyToClose")</f>
        <v>TaxLotQtyToClose</v>
      </c>
      <c r="DL5" s="29" t="str">
        <f>IFERROR(__xludf.DUMMYFUNCTION("""COMPUTED_VALUE"""),"TaxonCommissions")</f>
        <v>TaxonCommissions</v>
      </c>
      <c r="DM5" s="29" t="str">
        <f>IFERROR(__xludf.DUMMYFUNCTION("""COMPUTED_VALUE"""),"TimeOfSaveUTC")</f>
        <v>TimeOfSaveUTC</v>
      </c>
      <c r="DN5" s="29" t="str">
        <f>IFERROR(__xludf.DUMMYFUNCTION("""COMPUTED_VALUE"""),"TotalCommission&amp;Fees")</f>
        <v>TotalCommission&amp;Fees</v>
      </c>
      <c r="DO5" s="29" t="str">
        <f>IFERROR(__xludf.DUMMYFUNCTION("""COMPUTED_VALUE"""),"TotalCommissionandFees")</f>
        <v>TotalCommissionandFees</v>
      </c>
      <c r="DP5" s="29" t="str">
        <f>IFERROR(__xludf.DUMMYFUNCTION("""COMPUTED_VALUE"""),"Tradedate")</f>
        <v>Tradedate</v>
      </c>
      <c r="DQ5" s="29" t="str">
        <f>IFERROR(__xludf.DUMMYFUNCTION("""COMPUTED_VALUE"""),"Trade Attribute 1")</f>
        <v>Trade Attribute 1</v>
      </c>
      <c r="DR5" s="29" t="str">
        <f>IFERROR(__xludf.DUMMYFUNCTION("""COMPUTED_VALUE"""),"TradeAttribute2")</f>
        <v>TradeAttribute2</v>
      </c>
      <c r="DS5" s="29" t="str">
        <f>IFERROR(__xludf.DUMMYFUNCTION("""COMPUTED_VALUE"""),"TradeAttribute3")</f>
        <v>TradeAttribute3</v>
      </c>
      <c r="DT5" s="29" t="str">
        <f>IFERROR(__xludf.DUMMYFUNCTION("""COMPUTED_VALUE"""),"TradeAttribute4")</f>
        <v>TradeAttribute4</v>
      </c>
      <c r="DU5" s="29" t="str">
        <f>IFERROR(__xludf.DUMMYFUNCTION("""COMPUTED_VALUE"""),"TradeAttribute5")</f>
        <v>TradeAttribute5</v>
      </c>
      <c r="DV5" s="29" t="str">
        <f>IFERROR(__xludf.DUMMYFUNCTION("""COMPUTED_VALUE"""),"TradeAttribute6")</f>
        <v>TradeAttribute6</v>
      </c>
      <c r="DW5" s="29" t="str">
        <f>IFERROR(__xludf.DUMMYFUNCTION("""COMPUTED_VALUE"""),"TradingAccountName")</f>
        <v>TradingAccountName</v>
      </c>
      <c r="DX5" s="29" t="str">
        <f>IFERROR(__xludf.DUMMYFUNCTION("""COMPUTED_VALUE"""),"TransactionLevy")</f>
        <v>TransactionLevy</v>
      </c>
      <c r="DY5" s="29" t="str">
        <f>IFERROR(__xludf.DUMMYFUNCTION("""COMPUTED_VALUE"""),"TransactionType")</f>
        <v>TransactionType</v>
      </c>
      <c r="DZ5" s="29" t="str">
        <f>IFERROR(__xludf.DUMMYFUNCTION("""COMPUTED_VALUE"""),"UcitsEligibleTag")</f>
        <v>UcitsEligibleTag</v>
      </c>
      <c r="EA5" s="29" t="str">
        <f>IFERROR(__xludf.DUMMYFUNCTION("""COMPUTED_VALUE"""),"UDAAsset")</f>
        <v>UDAAsset</v>
      </c>
      <c r="EB5" s="29" t="str">
        <f>IFERROR(__xludf.DUMMYFUNCTION("""COMPUTED_VALUE"""),"UnderlyingDelta")</f>
        <v>UnderlyingDelta</v>
      </c>
      <c r="EC5" s="29" t="str">
        <f>IFERROR(__xludf.DUMMYFUNCTION("""COMPUTED_VALUE"""),"UnderlyingName")</f>
        <v>UnderlyingName</v>
      </c>
      <c r="ED5" s="29" t="str">
        <f>IFERROR(__xludf.DUMMYFUNCTION("""COMPUTED_VALUE"""),"UnderlyingSymbol")</f>
        <v>UnderlyingSymbol</v>
      </c>
      <c r="EE5" s="29" t="str">
        <f>IFERROR(__xludf.DUMMYFUNCTION("""COMPUTED_VALUE"""),"UnitCost")</f>
        <v>UnitCost</v>
      </c>
      <c r="EF5" s="29" t="str">
        <f>IFERROR(__xludf.DUMMYFUNCTION("""COMPUTED_VALUE"""),"UnRealizedPNL")</f>
        <v>UnRealizedPNL</v>
      </c>
      <c r="EG5" s="29" t="str">
        <f>IFERROR(__xludf.DUMMYFUNCTION("""COMPUTED_VALUE"""),"Venue")</f>
        <v>Venue</v>
      </c>
      <c r="EH5" s="29" t="str">
        <f>IFERROR(__xludf.DUMMYFUNCTION("""COMPUTED_VALUE"""),"VsCurrencyID")</f>
        <v>VsCurrencyID</v>
      </c>
      <c r="EI5" s="29" t="str">
        <f>IFERROR(__xludf.DUMMYFUNCTION("""COMPUTED_VALUE"""),"WorkflowState")</f>
        <v>WorkflowState</v>
      </c>
      <c r="EJ5" s="29" t="str">
        <f>IFERROR(__xludf.DUMMYFUNCTION("""COMPUTED_VALUE"""),"AvgPriceBase")</f>
        <v>AvgPriceBase</v>
      </c>
      <c r="EK5" s="29" t="str">
        <f>IFERROR(__xludf.DUMMYFUNCTION("""COMPUTED_VALUE"""),"MarketCap")</f>
        <v>MarketCap</v>
      </c>
      <c r="EL5" s="29" t="str">
        <f>IFERROR(__xludf.DUMMYFUNCTION("""COMPUTED_VALUE"""),"UnitCostBase")</f>
        <v>UnitCostBase</v>
      </c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VerifyUnExpiredUnSettledGrid!$4:$4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 t="s">
        <v>18</v>
      </c>
      <c r="C6" s="8"/>
      <c r="D6" s="11"/>
      <c r="E6" s="40">
        <v>100.0</v>
      </c>
      <c r="F6" s="8"/>
      <c r="G6" s="8"/>
      <c r="H6" s="8"/>
      <c r="I6" s="8"/>
      <c r="J6" s="8"/>
      <c r="K6" s="40">
        <v>15.0</v>
      </c>
      <c r="L6" s="40">
        <v>15.0</v>
      </c>
      <c r="M6" s="8"/>
      <c r="N6" s="8"/>
      <c r="O6" s="8"/>
      <c r="S6" s="39" t="s">
        <v>41</v>
      </c>
      <c r="AE6" s="40">
        <v>100.0</v>
      </c>
      <c r="BJ6" s="40">
        <v>100.0</v>
      </c>
      <c r="BO6" s="39" t="s">
        <v>17</v>
      </c>
      <c r="BT6" s="39" t="s">
        <v>42</v>
      </c>
    </row>
    <row r="7" ht="15.75" customHeight="1">
      <c r="A7" s="8"/>
      <c r="B7" s="39" t="s">
        <v>18</v>
      </c>
      <c r="C7" s="8"/>
      <c r="D7" s="8"/>
      <c r="E7" s="40">
        <v>100.0</v>
      </c>
      <c r="F7" s="8"/>
      <c r="G7" s="8"/>
      <c r="H7" s="8"/>
      <c r="I7" s="8"/>
      <c r="J7" s="8"/>
      <c r="K7" s="40">
        <v>0.0</v>
      </c>
      <c r="L7" s="40">
        <v>0.0</v>
      </c>
      <c r="M7" s="8"/>
      <c r="N7" s="8"/>
      <c r="O7" s="8"/>
      <c r="S7" s="39" t="s">
        <v>41</v>
      </c>
      <c r="AE7" s="40">
        <v>100.0</v>
      </c>
      <c r="BJ7" s="40">
        <v>100.0</v>
      </c>
      <c r="BO7" s="39" t="s">
        <v>43</v>
      </c>
      <c r="BT7" s="39" t="s">
        <v>42</v>
      </c>
    </row>
    <row r="8" ht="15.75" customHeight="1">
      <c r="A8" s="8"/>
      <c r="B8" s="39" t="s">
        <v>18</v>
      </c>
      <c r="C8" s="8"/>
      <c r="D8" s="8"/>
      <c r="E8" s="41">
        <v>10000.0</v>
      </c>
      <c r="F8" s="8"/>
      <c r="G8" s="8"/>
      <c r="H8" s="8"/>
      <c r="I8" s="8"/>
      <c r="J8" s="8"/>
      <c r="K8" s="40">
        <v>20.0</v>
      </c>
      <c r="L8" s="40">
        <v>20.0</v>
      </c>
      <c r="M8" s="8"/>
      <c r="N8" s="8"/>
      <c r="O8" s="8"/>
      <c r="S8" s="39" t="s">
        <v>44</v>
      </c>
      <c r="AE8" s="41">
        <v>10000.0</v>
      </c>
      <c r="BJ8" s="41">
        <v>10000.0</v>
      </c>
      <c r="BO8" s="39" t="s">
        <v>28</v>
      </c>
      <c r="BT8" s="39" t="s">
        <v>29</v>
      </c>
    </row>
    <row r="9" ht="15.75" customHeight="1">
      <c r="A9" s="8"/>
      <c r="B9" s="39" t="s">
        <v>18</v>
      </c>
      <c r="C9" s="8"/>
      <c r="D9" s="8"/>
      <c r="E9" s="41">
        <v>5000.0</v>
      </c>
      <c r="F9" s="8"/>
      <c r="G9" s="8"/>
      <c r="H9" s="8"/>
      <c r="I9" s="8"/>
      <c r="J9" s="8"/>
      <c r="K9" s="40">
        <v>15.0</v>
      </c>
      <c r="L9" s="40">
        <v>15.0</v>
      </c>
      <c r="M9" s="8"/>
      <c r="N9" s="8"/>
      <c r="O9" s="8"/>
      <c r="S9" s="39" t="s">
        <v>41</v>
      </c>
      <c r="AE9" s="41">
        <v>5000.0</v>
      </c>
      <c r="BJ9" s="41">
        <v>5000.0</v>
      </c>
      <c r="BO9" s="39" t="s">
        <v>31</v>
      </c>
      <c r="BT9" s="39" t="s">
        <v>29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