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ThirdPartyFileFormat" sheetId="4" r:id="rId6"/>
    <sheet state="visible" name="CreateDoneAwayOrder" sheetId="5" r:id="rId7"/>
    <sheet state="visible" name="ThirdPartyGenerate" sheetId="6" r:id="rId8"/>
    <sheet state="visible" name="VerifyThirdPartyGenerate" sheetId="7" r:id="rId9"/>
    <sheet state="visible" name="GetDataAllocation" sheetId="8" r:id="rId10"/>
    <sheet state="visible" name="Unallocate" sheetId="9" r:id="rId11"/>
    <sheet state="visible" name="ViewThirdParty" sheetId="10" r:id="rId12"/>
    <sheet state="visible" name="VerifyThirdPartyView" sheetId="11" r:id="rId13"/>
    <sheet state="visible" name="SelectUnallocatedGroup" sheetId="12" r:id="rId14"/>
    <sheet state="visible" name="EnterAccountValuesToAllocate" sheetId="13" r:id="rId15"/>
    <sheet state="visible" name="Allocate" sheetId="14" r:id="rId16"/>
    <sheet state="visible" name="ViewThirdParty1" sheetId="15" r:id="rId17"/>
    <sheet state="visible" name="VerifyThirdPartyView1" sheetId="16" r:id="rId18"/>
  </sheets>
  <definedNames/>
  <calcPr/>
</workbook>
</file>

<file path=xl/sharedStrings.xml><?xml version="1.0" encoding="utf-8"?>
<sst xmlns="http://schemas.openxmlformats.org/spreadsheetml/2006/main" count="160" uniqueCount="47">
  <si>
    <t>Modules Info</t>
  </si>
  <si>
    <t>Modules</t>
  </si>
  <si>
    <t>Settings</t>
  </si>
  <si>
    <t>Module Step Setting File</t>
  </si>
  <si>
    <t>1ZBhhwCZZ7YBa_8ozolALMmSWBwR-xkU-u3SXd0e5wQY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</si>
  <si>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</si>
  <si>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</si>
  <si>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</si>
  <si>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</si>
  <si>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</si>
  <si>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</si>
  <si>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</si>
  <si>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</si>
  <si>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UpdateThirdPartyFileFormat</t>
  </si>
  <si>
    <t>Data Format</t>
  </si>
  <si>
    <t>Input Format</t>
  </si>
  <si>
    <t>TradingTicket</t>
  </si>
  <si>
    <t>CreateDoneAwayOrder</t>
  </si>
  <si>
    <t>MSFT</t>
  </si>
  <si>
    <t>Buy</t>
  </si>
  <si>
    <t>Allocation1</t>
  </si>
  <si>
    <t>MS</t>
  </si>
  <si>
    <t>AAPL</t>
  </si>
  <si>
    <t>ThirdParty</t>
  </si>
  <si>
    <t>ThirdPartyGenerate</t>
  </si>
  <si>
    <t>PB.ISOX.Test</t>
  </si>
  <si>
    <t>ISOX</t>
  </si>
  <si>
    <t>Test</t>
  </si>
  <si>
    <t>PrimeBrokerClearer</t>
  </si>
  <si>
    <t>View</t>
  </si>
  <si>
    <t>Generate</t>
  </si>
  <si>
    <t xml:space="preserve">Send </t>
  </si>
  <si>
    <t>VerifyThirdPartyGenerate</t>
  </si>
  <si>
    <t>Allocated</t>
  </si>
  <si>
    <t>Allocation</t>
  </si>
  <si>
    <t>GetDataAllocation</t>
  </si>
  <si>
    <t>Current</t>
  </si>
  <si>
    <t>Unallocate</t>
  </si>
  <si>
    <t>ViewThirdParty</t>
  </si>
  <si>
    <t>VerifyThirdPartyView</t>
  </si>
  <si>
    <t>Sent</t>
  </si>
  <si>
    <t>SelectUnallocatedGroup</t>
  </si>
  <si>
    <t>EnterAccountValuesToAllocate</t>
  </si>
  <si>
    <t>Allocate</t>
  </si>
  <si>
    <t>msft</t>
  </si>
  <si>
    <t>buy</t>
  </si>
  <si>
    <t>Amended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</si>
</sst>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263238"/>
      <name val="Roboto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horizontal="left"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5" fillId="6" fontId="14" numFmtId="14" xfId="0" applyAlignment="1" applyBorder="1" applyFill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horizontal="right" vertical="bottom"/>
    </xf>
    <xf borderId="5" fillId="0" fontId="3" numFmtId="1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IFERROR(__xludf.DUMMYFUNCTION("""COMPUTED_VALUE"""),"1jtd0OYtnm21_vMCd-CSKixcC_TN7ginWcJ7PR714zDw")</f>
        <v>1jtd0OYtnm21_vMCd-CSKixcC_TN7ginWcJ7PR714zDw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IFERROR(__xludf.DUMMYFUNCTION("""COMPUTED_VALUE"""),"1l9IRaSGDow3z943y-v24KT4bLSa2nLFzzrJx6XQozpY")</f>
        <v>1l9IRaSGDow3z943y-v24KT4bLSa2nLFzzrJx6XQozpY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IFERROR(__xludf.DUMMYFUNCTION("""COMPUTED_VALUE"""),"18SVZSt8o151Ibqp7S3Ge-27pHb5fW7wNT71WgA_kP_8")</f>
        <v>18SVZSt8o151Ibqp7S3Ge-27pHb5fW7wNT71WgA_kP_8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IFERROR(__xludf.DUMMYFUNCTION("""COMPUTED_VALUE"""),"1yORtQDYWOiS9sGzwmSy3jeH1KeWbwIscJSVtvVljcqk")</f>
        <v>1yORtQDYWOiS9sGzwmSy3jeH1KeWbwIscJSVtvVljcqk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IFERROR(__xludf.DUMMYFUNCTION("""COMPUTED_VALUE"""),"1tHcWqzzT9x7_tjIYlb_jsMu7VunfhVIyqGIWGIXOrQE")</f>
        <v>1tHcWqzzT9x7_tjIYlb_jsMu7VunfhVIyqGIWGIXOrQE</v>
      </c>
    </row>
    <row r="517" ht="15.75" customHeight="1">
      <c r="A517" t="str">
        <f>IFERROR(__xludf.DUMMYFUNCTION("""COMPUTED_VALUE"""),"PortfolioManagement")</f>
        <v>PortfolioManagement</v>
      </c>
      <c r="B517" t="str">
        <f>IFERROR(__xludf.DUMMYFUNCTION("""COMPUTED_VALUE"""),"IncreasePositionFromPM")</f>
        <v>IncreasePositionFromPM</v>
      </c>
      <c r="C517" t="str">
        <f>IFERROR(__xludf.DUMMYFUNCTION("""COMPUTED_VALUE"""),"1eE569Brgsjqyathy0MKO50Wmj5QCDLuax0S-29Hix4A")</f>
        <v>1eE569Brgsjqyathy0MKO50Wmj5QCDLuax0S-29Hix4A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IFERROR(__xludf.DUMMYFUNCTION("""COMPUTED_VALUE"""),"SendLiveBloomberg")</f>
        <v>SendLiveBloomberg</v>
      </c>
      <c r="C518" t="str">
        <f>IFERROR(__xludf.DUMMYFUNCTION("""COMPUTED_VALUE"""),"1jm-Rrun0S1nkf5N9L0XR0cK07laQ4i2IyhTZ_88GUUQ")</f>
        <v>1jm-Rrun0S1nkf5N9L0XR0cK07laQ4i2IyhTZ_88GUUQ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IFERROR(__xludf.DUMMYFUNCTION("""COMPUTED_VALUE"""),"ReloadOrderFromBlotter")</f>
        <v>ReloadOrderFromBlotter</v>
      </c>
      <c r="C519" t="str">
        <f>IFERROR(__xludf.DUMMYFUNCTION("""COMPUTED_VALUE"""),"1GnRgq3n2FmksmM-vQvyFRWFLBbtVf3YzhzcYjkk8r48")</f>
        <v>1GnRgq3n2FmksmM-vQvyFRWFLBbtVf3YzhzcYjkk8r48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IFERROR(__xludf.DUMMYFUNCTION("""COMPUTED_VALUE"""),"AddOptionTrade")</f>
        <v>AddOptionTrade</v>
      </c>
      <c r="C520" t="str">
        <f>IFERROR(__xludf.DUMMYFUNCTION("""COMPUTED_VALUE"""),"1S77RUpuNPEdRdFAsltgJ4BQ2n1UATWQLWerXZ4PXTkk")</f>
        <v>1S77RUpuNPEdRdFAsltgJ4BQ2n1UATWQLWerXZ4PXTkk</v>
      </c>
    </row>
    <row r="521" ht="15.75" customHeight="1">
      <c r="A521" t="str">
        <f>IFERROR(__xludf.DUMMYFUNCTION("""COMPUTED_VALUE"""),"Closing")</f>
        <v>Closing</v>
      </c>
      <c r="B521" t="str">
        <f>IFERROR(__xludf.DUMMYFUNCTION("""COMPUTED_VALUE"""),"AutoExercise")</f>
        <v>AutoExercise</v>
      </c>
      <c r="C521" t="str">
        <f>IFERROR(__xludf.DUMMYFUNCTION("""COMPUTED_VALUE"""),"1hfy0JEIqBV_drZcgmDPPTyHwSQxbE1sD97UL33FyUKI")</f>
        <v>1hfy0JEIqBV_drZcgmDPPTyHwSQxbE1sD97UL33FyUKI</v>
      </c>
    </row>
    <row r="522" ht="15.75" customHeight="1">
      <c r="A522" t="str">
        <f>IFERROR(__xludf.DUMMYFUNCTION("""COMPUTED_VALUE"""),"Admin")</f>
        <v>Admin</v>
      </c>
      <c r="B522" t="str">
        <f>IFERROR(__xludf.DUMMYFUNCTION("""COMPUTED_VALUE"""),"UpdateExpirationDate")</f>
        <v>UpdateExpirationDate</v>
      </c>
      <c r="C522" t="str">
        <f>IFERROR(__xludf.DUMMYFUNCTION("""COMPUTED_VALUE"""),"1dylWul81BFmbZVj_Z-Xiz11zLj_QrhKk5QXK_mf_uUE")</f>
        <v>1dylWul81BFmbZVj_Z-Xiz11zLj_QrhKk5QXK_mf_uUE</v>
      </c>
    </row>
    <row r="523" ht="15.75" customHeight="1">
      <c r="A523" t="str">
        <f>IFERROR(__xludf.DUMMYFUNCTION("""COMPUTED_VALUE"""),"Blotter")</f>
        <v>Blotter</v>
      </c>
      <c r="B523" t="str">
        <f>IFERROR(__xludf.DUMMYFUNCTION("""COMPUTED_VALUE"""),"ReloadOrderFromSubOrder")</f>
        <v>ReloadOrderFromSubOrder</v>
      </c>
      <c r="C523" t="str">
        <f>IFERROR(__xludf.DUMMYFUNCTION("""COMPUTED_VALUE"""),"1HCRddvgPCwJLqnfI7ts10VrFX5EFtgDXaYOCFKQa5Hw")</f>
        <v>1HCRddvgPCwJLqnfI7ts10VrFX5EFtgDXaYOCFKQa5Hw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IFERROR(__xludf.DUMMYFUNCTION("""COMPUTED_VALUE"""),"ReloadOrderFromWorkingSubs")</f>
        <v>ReloadOrderFromWorkingSubs</v>
      </c>
      <c r="C524" t="str">
        <f>IFERROR(__xludf.DUMMYFUNCTION("""COMPUTED_VALUE"""),"1-0deCunA0B5gH5_QgjFRQJkWoWhaKLyiNrCl5nK7g5k")</f>
        <v>1-0deCunA0B5gH5_QgjFRQJkWoWhaKLyiNrCl5nK7g5k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IFERROR(__xludf.DUMMYFUNCTION("""COMPUTED_VALUE"""),"1tE_B1MbYuONekKo2FJCjz81vOxEukuWLbDI84AvoR2Y")</f>
        <v>1tE_B1MbYuONekKo2FJCjz81vOxEukuWLbDI84AvoR2Y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IFERROR(__xludf.DUMMYFUNCTION("""COMPUTED_VALUE"""),"1jioQdD3XlMWB-FhSemgF2Y-BAp85sCvZSZJzxbDG-uY")</f>
        <v>1jioQdD3XlMWB-FhSemgF2Y-BAp85sCvZSZJzxbDG-uY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IFERROR(__xludf.DUMMYFUNCTION("""COMPUTED_VALUE"""),"1Z7QxmNsys5SzZV3G-2XqSn0OdEXfUG5t0ZPmwtyFCL8")</f>
        <v>1Z7QxmNsys5SzZV3G-2XqSn0OdEXfUG5t0ZPmwtyFCL8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IFERROR(__xludf.DUMMYFUNCTION("""COMPUTED_VALUE"""),"1A0nU9DMune_BQD6mdF4jX7kLj0RbHiXhcWgPgbNEIVM")</f>
        <v>1A0nU9DMune_BQD6mdF4jX7kLj0RbHiXhcWgPgbNEIVM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IFERROR(__xludf.DUMMYFUNCTION("""COMPUTED_VALUE"""),"1q8zAoreC7MIeJDU3n8P82NH8qIhpvWC2BtDtEAyBLPg")</f>
        <v>1q8zAoreC7MIeJDU3n8P82NH8qIhpvWC2BtDtEAyBLPg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IFERROR(__xludf.DUMMYFUNCTION("""COMPUTED_VALUE"""),"1U1ODQcFsY16SNjzU2RI28CuGFFSBBndsvfyS0p6HRg8")</f>
        <v>1U1ODQcFsY16SNjzU2RI28CuGFFSBBndsvfyS0p6HRg8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IFERROR(__xludf.DUMMYFUNCTION("""COMPUTED_VALUE"""),"1rvAoeelgUtlBWcdnZmGDYNUZPMtp2QSpHWK9X9nndtY")</f>
        <v>1rvAoeelgUtlBWcdnZmGDYNUZPMtp2QSpHWK9X9nndtY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IFERROR(__xludf.DUMMYFUNCTION("""COMPUTED_VALUE"""),"1VACCWCgBryUd7LLXblEl-UFNnDXAwDkKGKIScrCR34E")</f>
        <v>1VACCWCgBryUd7LLXblEl-UFNnDXAwDkKGKIScrCR34E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IFERROR(__xludf.DUMMYFUNCTION("""COMPUTED_VALUE"""),"1loxAoSB-5jR3IFJ4UUieEaGynvHC8saDDF25y8gu-FM")</f>
        <v>1loxAoSB-5jR3IFJ4UUieEaGynvHC8saDDF25y8gu-FM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IFERROR(__xludf.DUMMYFUNCTION("""COMPUTED_VALUE"""),"1oyfT0NXu05XUQfzB3__UfSsQJxHsjU5EfujHM7zFMlY")</f>
        <v>1oyfT0NXu05XUQfzB3__UfSsQJxHsjU5EfujHM7zFMlY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IFERROR(__xludf.DUMMYFUNCTION("""COMPUTED_VALUE"""),"1ptHqTt8wfxoCZvvS0BozaQuRsKg0DRBnN_lMfrOuCt4")</f>
        <v>1ptHqTt8wfxoCZvvS0BozaQuRsKg0DRBnN_lMfrOuCt4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IFERROR(__xludf.DUMMYFUNCTION("""COMPUTED_VALUE"""),"1_DD-M3ooW4-P7PXFGguTddV1HkDRh3fvGh7QLyagROE")</f>
        <v>1_DD-M3ooW4-P7PXFGguTddV1HkDRh3fvGh7QLyagROE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IFERROR(__xludf.DUMMYFUNCTION("""COMPUTED_VALUE"""),"1nKxupjB_Nu5Xmiq2y3y7zVWkf9U8ybAzhilyucCbfWM")</f>
        <v>1nKxupjB_Nu5Xmiq2y3y7zVWkf9U8ybAzhilyucCbfWM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IFERROR(__xludf.DUMMYFUNCTION("""COMPUTED_VALUE"""),"1MtfT4qFywQbZPb5icSzgAwGBRSAc-wIF98jFX9Y-4-o")</f>
        <v>1MtfT4qFywQbZPb5icSzgAwGBRSAc-wIF98jFX9Y-4-o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IFERROR(__xludf.DUMMYFUNCTION("""COMPUTED_VALUE"""),"1W62DF4BeF63sD5d9KK7SfSYQW4r_m2TLH6nBjvW3Sbg")</f>
        <v>1W62DF4BeF63sD5d9KK7SfSYQW4r_m2TLH6nBjvW3Sbg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IFERROR(__xludf.DUMMYFUNCTION("""COMPUTED_VALUE"""),"178rOki2KCouUF9Iz9lng6bwJnPFVHaZtwBC9CdiyuVc")</f>
        <v>178rOki2KCouUF9Iz9lng6bwJnPFVHaZtwBC9CdiyuVc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IFERROR(__xludf.DUMMYFUNCTION("""COMPUTED_VALUE"""),"1xzn2YyCPdZfMTo0ieuR11YKa_oxUPbzkPKQEmibGMDo")</f>
        <v>1xzn2YyCPdZfMTo0ieuR11YKa_oxUPbzkPKQEmibGMDo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IFERROR(__xludf.DUMMYFUNCTION("""COMPUTED_VALUE"""),"1Yxu4VMZGMl7EQBhNAo8lBqOGH6w7WWla7_FbMhPALQg")</f>
        <v>1Yxu4VMZGMl7EQBhNAo8lBqOGH6w7WWla7_FbMhPALQg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IFERROR(__xludf.DUMMYFUNCTION("""COMPUTED_VALUE"""),"1FA4SNuZD1iNtwriSOwwy4hmnh57supgsXcTNOxos2sI")</f>
        <v>1FA4SNuZD1iNtwriSOwwy4hmnh57supgsXcTNOxos2sI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IFERROR(__xludf.DUMMYFUNCTION("""COMPUTED_VALUE"""),"EnterFixedIncome")</f>
        <v>EnterFixedIncome</v>
      </c>
      <c r="C544" t="str">
        <f>IFERROR(__xludf.DUMMYFUNCTION("""COMPUTED_VALUE"""),"101Kvhc5ATCS0OM6d_6c9zJAFIJo-CDiQjm3oRDpRn5k")</f>
        <v>101Kvhc5ATCS0OM6d_6c9zJAFIJo-CDiQjm3oRDpRn5k</v>
      </c>
    </row>
    <row r="545" ht="15.75" customHeight="1">
      <c r="A545" t="str">
        <f>IFERROR(__xludf.DUMMYFUNCTION("""COMPUTED_VALUE"""),"SymbolLookup")</f>
        <v>SymbolLookup</v>
      </c>
      <c r="B545" t="str">
        <f>IFERROR(__xludf.DUMMYFUNCTION("""COMPUTED_VALUE"""),"EnterPrivateEquity")</f>
        <v>EnterPrivateEquity</v>
      </c>
      <c r="C545" t="str">
        <f>IFERROR(__xludf.DUMMYFUNCTION("""COMPUTED_VALUE"""),"1zCjPNqT6O1Bji3Xp5apvgnkJ0fL3xe7mGzeMQl6_P2U")</f>
        <v>1zCjPNqT6O1Bji3Xp5apvgnkJ0fL3xe7mGzeMQl6_P2U</v>
      </c>
    </row>
    <row r="546" ht="15.75" customHeight="1">
      <c r="A546" t="str">
        <f>IFERROR(__xludf.DUMMYFUNCTION("""COMPUTED_VALUE"""),"SymbolLookup")</f>
        <v>SymbolLookup</v>
      </c>
      <c r="B546" t="str">
        <f>IFERROR(__xludf.DUMMYFUNCTION("""COMPUTED_VALUE"""),"EnterFXForward")</f>
        <v>EnterFXForward</v>
      </c>
      <c r="C546" t="str">
        <f>IFERROR(__xludf.DUMMYFUNCTION("""COMPUTED_VALUE"""),"1fsI9VyTOx_f9h2Q8vnZyyagt8AXq4LV5OgjVofsbMzo")</f>
        <v>1fsI9VyTOx_f9h2Q8vnZyyagt8AXq4LV5OgjVofsbMzo</v>
      </c>
    </row>
    <row r="547" ht="15.75" customHeight="1">
      <c r="A547" t="str">
        <f>IFERROR(__xludf.DUMMYFUNCTION("""COMPUTED_VALUE"""),"SymbolLookup")</f>
        <v>SymbolLookup</v>
      </c>
      <c r="B547" t="str">
        <f>IFERROR(__xludf.DUMMYFUNCTION("""COMPUTED_VALUE"""),"EnterFuture")</f>
        <v>EnterFuture</v>
      </c>
      <c r="C547" t="str">
        <f>IFERROR(__xludf.DUMMYFUNCTION("""COMPUTED_VALUE"""),"1meZrTyv8YpJ9g7cSn63NhfDwibizAu7DtkV3LAH28ik")</f>
        <v>1meZrTyv8YpJ9g7cSn63NhfDwibizAu7DtkV3LAH28ik</v>
      </c>
    </row>
    <row r="548" ht="15.75" customHeight="1">
      <c r="A548" t="str">
        <f>IFERROR(__xludf.DUMMYFUNCTION("""COMPUTED_VALUE"""),"SymbolLookup")</f>
        <v>SymbolLookup</v>
      </c>
      <c r="B548" t="str">
        <f>IFERROR(__xludf.DUMMYFUNCTION("""COMPUTED_VALUE"""),"EnterFutureOptions")</f>
        <v>EnterFutureOptions</v>
      </c>
      <c r="C548" t="str">
        <f>IFERROR(__xludf.DUMMYFUNCTION("""COMPUTED_VALUE"""),"1kXNkxLMhrMh7s-p9_FlQRC59ml6mMO0xASI4CpwqnsQ")</f>
        <v>1kXNkxLMhrMh7s-p9_FlQRC59ml6mMO0xASI4CpwqnsQ</v>
      </c>
    </row>
    <row r="549" ht="15.75" customHeight="1">
      <c r="A549" t="str">
        <f>IFERROR(__xludf.DUMMYFUNCTION("""COMPUTED_VALUE"""),"SymbolLookup")</f>
        <v>SymbolLookup</v>
      </c>
      <c r="B549" t="str">
        <f>IFERROR(__xludf.DUMMYFUNCTION("""COMPUTED_VALUE"""),"UpdateSecurityInfoOnSM")</f>
        <v>UpdateSecurityInfoOnSM</v>
      </c>
      <c r="C549" t="str">
        <f>IFERROR(__xludf.DUMMYFUNCTION("""COMPUTED_VALUE"""),"14z69pnCfo_DnsBrAd1uY7YL0PPT5uLfl7VchS5jQ8a8")</f>
        <v>14z69pnCfo_DnsBrAd1uY7YL0PPT5uLfl7VchS5jQ8a8</v>
      </c>
    </row>
    <row r="550" ht="15.75" customHeight="1">
      <c r="A550" t="str">
        <f>IFERROR(__xludf.DUMMYFUNCTION("""COMPUTED_VALUE"""),"Admin")</f>
        <v>Admin</v>
      </c>
      <c r="B550" t="str">
        <f>IFERROR(__xludf.DUMMYFUNCTION("""COMPUTED_VALUE"""),"UpdateThirdPartyFileFormat")</f>
        <v>UpdateThirdPartyFileFormat</v>
      </c>
      <c r="C550" t="str">
        <f>IFERROR(__xludf.DUMMYFUNCTION("""COMPUTED_VALUE"""),"1jJUZ0g-6Y-_Dy6ZKv3032e8qPnPG5QjNu2nyrJNkYnU")</f>
        <v>1jJUZ0g-6Y-_Dy6ZKv3032e8qPnPG5QjNu2nyrJNkYnU</v>
      </c>
    </row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IFERROR(__xludf.DUMMYFUNCTION("""COMPUTED_VALUE"""),"EnableDiableModule")</f>
        <v>EnableDiableModule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IFERROR(__xludf.DUMMYFUNCTION("""COMPUTED_VALUE"""),"UpdateThirdPartyFileFormat")</f>
        <v>UpdateThirdPartyFileFormat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IFERROR(__xludf.DUMMYFUNCTION("""COMPUTED_VALUE"""),"ExportOnly")</f>
        <v>ExportOnly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0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UpdateThirdPartyFileFormat!$4:$4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 t="str">
        <f>IFERROR(__xludf.DUMMYFUNCTION("""COMPUTED_VALUE"""),"SendLiveBloomberg")</f>
        <v>SendLiveBloomberg</v>
      </c>
      <c r="AD4" s="26" t="str">
        <f>IFERROR(__xludf.DUMMYFUNCTION("""COMPUTED_VALUE"""),"AddOptionTrade")</f>
        <v>AddOptionTrade</v>
      </c>
      <c r="AE4" s="26" t="str">
        <f>IFERROR(__xludf.DUMMYFUNCTION("""COMPUTED_VALUE"""),"ViewAllocation")</f>
        <v>ViewAllocation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IFERROR(__xludf.DUMMYFUNCTION("""COMPUTED_VALUE"""),"Rate(%)")</f>
        <v>Rate(%)</v>
      </c>
      <c r="AS5" s="30" t="str">
        <f>IFERROR(__xludf.DUMMYFUNCTION("""COMPUTED_VALUE"""),"SharesOutstandingPopUpQty")</f>
        <v>SharesOutstandingPopUpQty</v>
      </c>
      <c r="AT5" s="30" t="str">
        <f>IFERROR(__xludf.DUMMYFUNCTION("""COMPUTED_VALUE"""),"SharesOutstandingPopUp")</f>
        <v>SharesOutstandingPopUp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18</v>
      </c>
      <c r="C6" s="33" t="s">
        <v>19</v>
      </c>
      <c r="D6" s="34">
        <v>100.0</v>
      </c>
      <c r="E6" s="33"/>
      <c r="F6" s="33" t="s">
        <v>20</v>
      </c>
      <c r="G6" s="33" t="s">
        <v>21</v>
      </c>
      <c r="H6" s="33"/>
      <c r="I6" s="33"/>
      <c r="J6" s="35">
        <v>10.0</v>
      </c>
      <c r="K6" s="33"/>
      <c r="L6" s="33"/>
      <c r="M6" s="33"/>
      <c r="N6" s="36">
        <f t="shared" ref="N6:N7" si="1">today()</f>
        <v>44473</v>
      </c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8" t="s">
        <v>22</v>
      </c>
      <c r="C7" s="38" t="s">
        <v>19</v>
      </c>
      <c r="D7" s="39">
        <v>150.0</v>
      </c>
      <c r="E7" s="37"/>
      <c r="F7" s="38" t="s">
        <v>20</v>
      </c>
      <c r="G7" s="38" t="s">
        <v>21</v>
      </c>
      <c r="H7" s="37"/>
      <c r="I7" s="37"/>
      <c r="J7" s="39">
        <v>20.0</v>
      </c>
      <c r="K7" s="37"/>
      <c r="L7" s="37"/>
      <c r="M7" s="37"/>
      <c r="N7" s="40">
        <f t="shared" si="1"/>
        <v>44473</v>
      </c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IFERROR(__xludf.DUMMYFUNCTION("IF(C3="""","""",Transpose(IMPORTRANGE('_Settings'!$B$3,C3&amp;""!A4:A1000"")))"),"GenerateThirdParty")</f>
        <v>GenerateThirdParty</v>
      </c>
      <c r="C4" s="25" t="str">
        <f>IFERROR(__xludf.DUMMYFUNCTION("""COMPUTED_VALUE"""),"SendThirdParty")</f>
        <v>SendThirdParty</v>
      </c>
      <c r="D4" s="25" t="str">
        <f>IFERROR(__xludf.DUMMYFUNCTION("""COMPUTED_VALUE"""),"ViewThirdParty")</f>
        <v>ViewThirdParty</v>
      </c>
      <c r="E4" s="25" t="str">
        <f>IFERROR(__xludf.DUMMYFUNCTION("""COMPUTED_VALUE"""),"SelectThirdPartyName")</f>
        <v>SelectThirdPartyName</v>
      </c>
      <c r="F4" s="25" t="str">
        <f>IFERROR(__xludf.DUMMYFUNCTION("""COMPUTED_VALUE"""),"VerifyThirdPartyData")</f>
        <v>VerifyThirdPartyData</v>
      </c>
      <c r="G4" s="25" t="str">
        <f>IFERROR(__xludf.DUMMYFUNCTION("""COMPUTED_VALUE"""),"ThirdPartyWork")</f>
        <v>ThirdPartyWork</v>
      </c>
      <c r="H4" s="25" t="str">
        <f>IFERROR(__xludf.DUMMYFUNCTION("""COMPUTED_VALUE"""),"Automation")</f>
        <v>Automation</v>
      </c>
      <c r="I4" s="25" t="str">
        <f>IFERROR(__xludf.DUMMYFUNCTION("""COMPUTED_VALUE"""),"ThirdPartyManagerFunction")</f>
        <v>ThirdPartyManagerFunction</v>
      </c>
      <c r="J4" s="25" t="str">
        <f>IFERROR(__xludf.DUMMYFUNCTION("""COMPUTED_VALUE"""),"OpeningManager")</f>
        <v>OpeningManager</v>
      </c>
      <c r="K4" s="25" t="str">
        <f>IFERROR(__xludf.DUMMYFUNCTION("""COMPUTED_VALUE"""),"SelectFromThirdPartyGrid")</f>
        <v>SelectFromThirdPartyGrid</v>
      </c>
      <c r="L4" s="25" t="str">
        <f>IFERROR(__xludf.DUMMYFUNCTION("""COMPUTED_VALUE"""),"SelectThirdPartyJob")</f>
        <v>SelectThirdPartyJob</v>
      </c>
      <c r="M4" s="25" t="str">
        <f>IFERROR(__xludf.DUMMYFUNCTION("""COMPUTED_VALUE"""),"GenerateAllThirdPartyData")</f>
        <v>GenerateAllThirdPartyData</v>
      </c>
      <c r="N4" s="25" t="str">
        <f>IFERROR(__xludf.DUMMYFUNCTION("""COMPUTED_VALUE"""),"SendAllThirdPartyData")</f>
        <v>SendAllThirdPartyData</v>
      </c>
      <c r="O4" s="25" t="str">
        <f>IFERROR(__xludf.DUMMYFUNCTION("""COMPUTED_VALUE"""),"VerifyThirdPartyView")</f>
        <v>VerifyThirdPartyView</v>
      </c>
      <c r="P4" s="26" t="str">
        <f>IFERROR(__xludf.DUMMYFUNCTION("""COMPUTED_VALUE"""),"SelectThirdParty")</f>
        <v>SelectThirdParty</v>
      </c>
      <c r="Q4" s="26" t="str">
        <f>IFERROR(__xludf.DUMMYFUNCTION("""COMPUTED_VALUE"""),"SelectThirdParty")</f>
        <v>SelectThirdParty</v>
      </c>
      <c r="R4" s="26" t="str">
        <f>IFERROR(__xludf.DUMMYFUNCTION("""COMPUTED_VALUE"""),"ViewThirdParty")</f>
        <v>ViewThirdParty</v>
      </c>
      <c r="S4" s="26" t="str">
        <f>IFERROR(__xludf.DUMMYFUNCTION("""COMPUTED_VALUE"""),"GenerateThirdPartyData")</f>
        <v>GenerateThirdPartyData</v>
      </c>
      <c r="T4" s="26" t="str">
        <f>IFERROR(__xludf.DUMMYFUNCTION("""COMPUTED_VALUE"""),"ThirdPartyGenerate")</f>
        <v>ThirdPartyGenerate</v>
      </c>
      <c r="U4" s="26" t="str">
        <f>IFERROR(__xludf.DUMMYFUNCTION("""COMPUTED_VALUE"""),"VerifyThirdPartyView")</f>
        <v>VerifyThirdPartyView</v>
      </c>
      <c r="V4" s="26" t="str">
        <f>IFERROR(__xludf.DUMMYFUNCTION("""COMPUTED_VALUE"""),"VerifyThirdPartyGenerate")</f>
        <v>VerifyThirdPartyGenerate</v>
      </c>
      <c r="W4" s="26" t="str">
        <f>IFERROR(__xludf.DUMMYFUNCTION("""COMPUTED_VALUE"""),"VerifyThirdPartySend")</f>
        <v>VerifyThirdPartySend</v>
      </c>
      <c r="X4" s="26" t="str">
        <f>IFERROR(__xludf.DUMMYFUNCTION("""COMPUTED_VALUE"""),"ThirdPartySend")</f>
        <v>ThirdPartySend</v>
      </c>
      <c r="Y4" s="26" t="str">
        <f>IFERROR(__xludf.DUMMYFUNCTION("""COMPUTED_VALUE"""),"RefreshThirdParty")</f>
        <v>RefreshThirdParty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IFERROR(__xludf.DUMMYFUNCTION("""COMPUTED_VALUE"""),"Job Name")</f>
        <v>Job Name</v>
      </c>
      <c r="C5" s="28" t="str">
        <f>IFERROR(__xludf.DUMMYFUNCTION("""COMPUTED_VALUE"""),"Party Name")</f>
        <v>Party Name</v>
      </c>
      <c r="D5" s="28" t="str">
        <f>IFERROR(__xludf.DUMMYFUNCTION("""COMPUTED_VALUE"""),"File Format")</f>
        <v>File Format</v>
      </c>
      <c r="E5" s="28" t="str">
        <f>IFERROR(__xludf.DUMMYFUNCTION("""COMPUTED_VALUE"""),"Third Party Type")</f>
        <v>Third Party Type</v>
      </c>
      <c r="F5" s="29" t="str">
        <f>IFERROR(__xludf.DUMMYFUNCTION("""COMPUTED_VALUE"""),"View")</f>
        <v>View</v>
      </c>
      <c r="G5" s="28" t="str">
        <f>IFERROR(__xludf.DUMMYFUNCTION("""COMPUTED_VALUE"""),"Generate")</f>
        <v>Generate</v>
      </c>
      <c r="H5" s="28" t="str">
        <f>IFERROR(__xludf.DUMMYFUNCTION("""COMPUTED_VALUE"""),"Send")</f>
        <v>Send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25</v>
      </c>
      <c r="C6" s="33" t="s">
        <v>26</v>
      </c>
      <c r="D6" s="32" t="s">
        <v>27</v>
      </c>
      <c r="E6" s="33" t="s">
        <v>28</v>
      </c>
      <c r="F6" s="33" t="s">
        <v>29</v>
      </c>
      <c r="G6" s="33" t="s">
        <v>30</v>
      </c>
      <c r="H6" s="33" t="s">
        <v>31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ThirdPartyGenerate!$4:$4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IFERROR(__xludf.DUMMYFUNCTION("IF(C3="""","""",Transpose(IMPORTRANGE('_Settings'!$B$3,C3&amp;""!A4:A1000"")))"),"GenerateThirdParty")</f>
        <v>GenerateThirdParty</v>
      </c>
      <c r="C4" s="25" t="str">
        <f>IFERROR(__xludf.DUMMYFUNCTION("""COMPUTED_VALUE"""),"SendThirdParty")</f>
        <v>SendThirdParty</v>
      </c>
      <c r="D4" s="25" t="str">
        <f>IFERROR(__xludf.DUMMYFUNCTION("""COMPUTED_VALUE"""),"ViewThirdParty")</f>
        <v>ViewThirdParty</v>
      </c>
      <c r="E4" s="25" t="str">
        <f>IFERROR(__xludf.DUMMYFUNCTION("""COMPUTED_VALUE"""),"SelectThirdPartyName")</f>
        <v>SelectThirdPartyName</v>
      </c>
      <c r="F4" s="25" t="str">
        <f>IFERROR(__xludf.DUMMYFUNCTION("""COMPUTED_VALUE"""),"VerifyThirdPartyData")</f>
        <v>VerifyThirdPartyData</v>
      </c>
      <c r="G4" s="25" t="str">
        <f>IFERROR(__xludf.DUMMYFUNCTION("""COMPUTED_VALUE"""),"ThirdPartyWork")</f>
        <v>ThirdPartyWork</v>
      </c>
      <c r="H4" s="25" t="str">
        <f>IFERROR(__xludf.DUMMYFUNCTION("""COMPUTED_VALUE"""),"Automation")</f>
        <v>Automation</v>
      </c>
      <c r="I4" s="25" t="str">
        <f>IFERROR(__xludf.DUMMYFUNCTION("""COMPUTED_VALUE"""),"ThirdPartyManagerFunction")</f>
        <v>ThirdPartyManagerFunction</v>
      </c>
      <c r="J4" s="25" t="str">
        <f>IFERROR(__xludf.DUMMYFUNCTION("""COMPUTED_VALUE"""),"OpeningManager")</f>
        <v>OpeningManager</v>
      </c>
      <c r="K4" s="25" t="str">
        <f>IFERROR(__xludf.DUMMYFUNCTION("""COMPUTED_VALUE"""),"SelectFromThirdPartyGrid")</f>
        <v>SelectFromThirdPartyGrid</v>
      </c>
      <c r="L4" s="25" t="str">
        <f>IFERROR(__xludf.DUMMYFUNCTION("""COMPUTED_VALUE"""),"SelectThirdPartyJob")</f>
        <v>SelectThirdPartyJob</v>
      </c>
      <c r="M4" s="25" t="str">
        <f>IFERROR(__xludf.DUMMYFUNCTION("""COMPUTED_VALUE"""),"GenerateAllThirdPartyData")</f>
        <v>GenerateAllThirdPartyData</v>
      </c>
      <c r="N4" s="25" t="str">
        <f>IFERROR(__xludf.DUMMYFUNCTION("""COMPUTED_VALUE"""),"SendAllThirdPartyData")</f>
        <v>SendAllThirdPartyData</v>
      </c>
      <c r="O4" s="25" t="str">
        <f>IFERROR(__xludf.DUMMYFUNCTION("""COMPUTED_VALUE"""),"VerifyThirdPartyView")</f>
        <v>VerifyThirdPartyView</v>
      </c>
      <c r="P4" s="26" t="str">
        <f>IFERROR(__xludf.DUMMYFUNCTION("""COMPUTED_VALUE"""),"SelectThirdParty")</f>
        <v>SelectThirdParty</v>
      </c>
      <c r="Q4" s="26" t="str">
        <f>IFERROR(__xludf.DUMMYFUNCTION("""COMPUTED_VALUE"""),"SelectThirdParty")</f>
        <v>SelectThirdParty</v>
      </c>
      <c r="R4" s="26" t="str">
        <f>IFERROR(__xludf.DUMMYFUNCTION("""COMPUTED_VALUE"""),"ViewThirdParty")</f>
        <v>ViewThirdParty</v>
      </c>
      <c r="S4" s="26" t="str">
        <f>IFERROR(__xludf.DUMMYFUNCTION("""COMPUTED_VALUE"""),"GenerateThirdPartyData")</f>
        <v>GenerateThirdPartyData</v>
      </c>
      <c r="T4" s="26" t="str">
        <f>IFERROR(__xludf.DUMMYFUNCTION("""COMPUTED_VALUE"""),"ThirdPartyGenerate")</f>
        <v>ThirdPartyGenerate</v>
      </c>
      <c r="U4" s="26" t="str">
        <f>IFERROR(__xludf.DUMMYFUNCTION("""COMPUTED_VALUE"""),"VerifyThirdPartyView")</f>
        <v>VerifyThirdPartyView</v>
      </c>
      <c r="V4" s="26" t="str">
        <f>IFERROR(__xludf.DUMMYFUNCTION("""COMPUTED_VALUE"""),"VerifyThirdPartyGenerate")</f>
        <v>VerifyThirdPartyGenerate</v>
      </c>
      <c r="W4" s="26" t="str">
        <f>IFERROR(__xludf.DUMMYFUNCTION("""COMPUTED_VALUE"""),"VerifyThirdPartySend")</f>
        <v>VerifyThirdPartySend</v>
      </c>
      <c r="X4" s="26" t="str">
        <f>IFERROR(__xludf.DUMMYFUNCTION("""COMPUTED_VALUE"""),"ThirdPartySend")</f>
        <v>ThirdPartySend</v>
      </c>
      <c r="Y4" s="26" t="str">
        <f>IFERROR(__xludf.DUMMYFUNCTION("""COMPUTED_VALUE"""),"RefreshThirdParty")</f>
        <v>RefreshThirdParty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IFERROR(__xludf.DUMMYFUNCTION("""COMPUTED_VALUE"""),"AccountName")</f>
        <v>AccountName</v>
      </c>
      <c r="C5" s="28" t="str">
        <f>IFERROR(__xludf.DUMMYFUNCTION("""COMPUTED_VALUE"""),"Symbol")</f>
        <v>Symbol</v>
      </c>
      <c r="D5" s="28" t="str">
        <f>IFERROR(__xludf.DUMMYFUNCTION("""COMPUTED_VALUE"""),"Side")</f>
        <v>Side</v>
      </c>
      <c r="E5" s="28" t="str">
        <f>IFERROR(__xludf.DUMMYFUNCTION("""COMPUTED_VALUE"""),"AveragePrice")</f>
        <v>AveragePrice</v>
      </c>
      <c r="F5" s="29" t="str">
        <f>IFERROR(__xludf.DUMMYFUNCTION("""COMPUTED_VALUE"""),"TradeDate")</f>
        <v>TradeDate</v>
      </c>
      <c r="G5" s="28" t="str">
        <f>IFERROR(__xludf.DUMMYFUNCTION("""COMPUTED_VALUE"""),"Quantity")</f>
        <v>Quantity</v>
      </c>
      <c r="H5" s="28" t="str">
        <f>IFERROR(__xludf.DUMMYFUNCTION("""COMPUTED_VALUE"""),"State")</f>
        <v>State</v>
      </c>
      <c r="I5" s="28" t="str">
        <f>IFERROR(__xludf.DUMMYFUNCTION("""COMPUTED_VALUE"""),"Currency")</f>
        <v>Currency</v>
      </c>
      <c r="J5" s="28" t="str">
        <f>IFERROR(__xludf.DUMMYFUNCTION("""COMPUTED_VALUE"""),"Commission")</f>
        <v>Commission</v>
      </c>
      <c r="K5" s="28" t="str">
        <f>IFERROR(__xludf.DUMMYFUNCTION("""COMPUTED_VALUE"""),"NetAmount")</f>
        <v>NetAmount</v>
      </c>
      <c r="L5" s="28" t="str">
        <f>IFERROR(__xludf.DUMMYFUNCTION("""COMPUTED_VALUE"""),"AssetName")</f>
        <v>AssetName</v>
      </c>
      <c r="M5" s="28" t="str">
        <f>IFERROR(__xludf.DUMMYFUNCTION("""COMPUTED_VALUE"""),"FXRate")</f>
        <v>FXRate</v>
      </c>
      <c r="N5" s="28" t="str">
        <f>IFERROR(__xludf.DUMMYFUNCTION("""COMPUTED_VALUE"""),"Broker")</f>
        <v>Broker</v>
      </c>
      <c r="O5" s="28" t="str">
        <f>IFERROR(__xludf.DUMMYFUNCTION("""COMPUTED_VALUE"""),"TradeAttribute1")</f>
        <v>TradeAttribute1</v>
      </c>
      <c r="P5" s="28" t="str">
        <f>IFERROR(__xludf.DUMMYFUNCTION("""COMPUTED_VALUE"""),"TradeAttribute2")</f>
        <v>TradeAttribute2</v>
      </c>
      <c r="Q5" s="28" t="str">
        <f>IFERROR(__xludf.DUMMYFUNCTION("""COMPUTED_VALUE"""),"TradeAttribute3")</f>
        <v>TradeAttribute3</v>
      </c>
      <c r="R5" s="28" t="str">
        <f>IFERROR(__xludf.DUMMYFUNCTION("""COMPUTED_VALUE"""),"TradeAttribute4")</f>
        <v>TradeAttribute4</v>
      </c>
      <c r="S5" s="28" t="str">
        <f>IFERROR(__xludf.DUMMYFUNCTION("""COMPUTED_VALUE"""),"TradeAttribute5")</f>
        <v>TradeAttribute5</v>
      </c>
      <c r="T5" s="30" t="str">
        <f>IFERROR(__xludf.DUMMYFUNCTION("""COMPUTED_VALUE"""),"TradeAttribute6")</f>
        <v>TradeAttribute6</v>
      </c>
      <c r="U5" s="30" t="str">
        <f>IFERROR(__xludf.DUMMYFUNCTION("""COMPUTED_VALUE"""),"IsAnOrder")</f>
        <v>IsAnOrder</v>
      </c>
      <c r="V5" s="30" t="str">
        <f>IFERROR(__xludf.DUMMYFUNCTION("""COMPUTED_VALUE"""),"MessageType")</f>
        <v>MessageType</v>
      </c>
      <c r="W5" s="30" t="str">
        <f>IFERROR(__xludf.DUMMYFUNCTION("""COMPUTED_VALUE"""),"ExecutionType")</f>
        <v>ExecutionType</v>
      </c>
      <c r="X5" s="30" t="str">
        <f>IFERROR(__xludf.DUMMYFUNCTION("""COMPUTED_VALUE"""),"Price")</f>
        <v>Price</v>
      </c>
      <c r="Y5" s="30" t="str">
        <f>IFERROR(__xludf.DUMMYFUNCTION("""COMPUTED_VALUE"""),"PortfolioName")</f>
        <v>PortfolioName</v>
      </c>
      <c r="Z5" s="30" t="str">
        <f>IFERROR(__xludf.DUMMYFUNCTION("""COMPUTED_VALUE"""),"Security")</f>
        <v>Security</v>
      </c>
      <c r="AA5" s="30" t="str">
        <f>IFERROR(__xludf.DUMMYFUNCTION("""COMPUTED_VALUE"""),"Sedol")</f>
        <v>Sedol</v>
      </c>
      <c r="AB5" s="30" t="str">
        <f>IFERROR(__xludf.DUMMYFUNCTION("""COMPUTED_VALUE"""),"Cusip")</f>
        <v>Cusip</v>
      </c>
      <c r="AC5" s="30" t="str">
        <f>IFERROR(__xludf.DUMMYFUNCTION("""COMPUTED_VALUE"""),"ISIN")</f>
        <v>ISIN</v>
      </c>
      <c r="AD5" s="30" t="str">
        <f>IFERROR(__xludf.DUMMYFUNCTION("""COMPUTED_VALUE"""),"SecurityName")</f>
        <v>SecurityName</v>
      </c>
      <c r="AE5" s="30" t="str">
        <f>IFERROR(__xludf.DUMMYFUNCTION("""COMPUTED_VALUE"""),"Position")</f>
        <v>Position</v>
      </c>
      <c r="AF5" s="30" t="str">
        <f>IFERROR(__xludf.DUMMYFUNCTION("""COMPUTED_VALUE"""),"Weight")</f>
        <v>Weight</v>
      </c>
      <c r="AG5" s="30" t="str">
        <f>IFERROR(__xludf.DUMMYFUNCTION("""COMPUTED_VALUE"""),"MktPx")</f>
        <v>MktPx</v>
      </c>
      <c r="AH5" s="30" t="str">
        <f>IFERROR(__xludf.DUMMYFUNCTION("""COMPUTED_VALUE"""),"CostPrice")</f>
        <v>CostPrice</v>
      </c>
      <c r="AI5" s="30" t="str">
        <f>IFERROR(__xludf.DUMMYFUNCTION("""COMPUTED_VALUE"""),"AsOfDate")</f>
        <v>AsOfDate</v>
      </c>
      <c r="AJ5" s="30" t="str">
        <f>IFERROR(__xludf.DUMMYFUNCTION("""COMPUTED_VALUE"""),"NewClassification")</f>
        <v>NewClassification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20</v>
      </c>
      <c r="C6" s="33" t="s">
        <v>18</v>
      </c>
      <c r="D6" s="32" t="s">
        <v>19</v>
      </c>
      <c r="E6" s="35">
        <v>10.0</v>
      </c>
      <c r="F6" s="41">
        <f t="shared" ref="F6:F7" si="1">today()</f>
        <v>44473</v>
      </c>
      <c r="G6" s="35">
        <v>100.0</v>
      </c>
      <c r="H6" s="33" t="s">
        <v>33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8" t="s">
        <v>20</v>
      </c>
      <c r="C7" s="38" t="s">
        <v>22</v>
      </c>
      <c r="D7" s="38" t="s">
        <v>19</v>
      </c>
      <c r="E7" s="39">
        <v>20.0</v>
      </c>
      <c r="F7" s="40">
        <f t="shared" si="1"/>
        <v>44473</v>
      </c>
      <c r="G7" s="39">
        <v>150.0</v>
      </c>
      <c r="H7" s="38" t="s">
        <v>33</v>
      </c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VerifyThirdPartyGenerate!$4:$4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 t="str">
        <f>IFERROR(__xludf.DUMMYFUNCTION("""COMPUTED_VALUE"""),"AllocationAuditTrail")</f>
        <v>AllocationAuditTrail</v>
      </c>
      <c r="DS4" s="26" t="str">
        <f>IFERROR(__xludf.DUMMYFUNCTION("""COMPUTED_VALUE"""),"GetAuditTrailData")</f>
        <v>GetAuditTrailData</v>
      </c>
      <c r="DT4" s="26" t="str">
        <f>IFERROR(__xludf.DUMMYFUNCTION("""COMPUTED_VALUE"""),"CheckAuditTrailData")</f>
        <v>CheckAuditTrailData</v>
      </c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2"/>
      <c r="B6" s="32" t="s">
        <v>36</v>
      </c>
      <c r="C6" s="33"/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 t="str">
        <f>IFERROR(__xludf.DUMMYFUNCTION("""COMPUTED_VALUE"""),"AllocationAuditTrail")</f>
        <v>AllocationAuditTrail</v>
      </c>
      <c r="DS4" s="26" t="str">
        <f>IFERROR(__xludf.DUMMYFUNCTION("""COMPUTED_VALUE"""),"GetAuditTrailData")</f>
        <v>GetAuditTrailData</v>
      </c>
      <c r="DT4" s="26" t="str">
        <f>IFERROR(__xludf.DUMMYFUNCTION("""COMPUTED_VALUE"""),"CheckAuditTrailData")</f>
        <v>CheckAuditTrailData</v>
      </c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 Base)")</f>
        <v>Avg Price( 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2"/>
      <c r="B6" s="32" t="s">
        <v>18</v>
      </c>
      <c r="C6" s="35">
        <v>100.0</v>
      </c>
      <c r="D6" s="32"/>
      <c r="E6" s="33" t="s">
        <v>20</v>
      </c>
      <c r="F6" s="33" t="s">
        <v>19</v>
      </c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Unallocate!$4:$4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IFERROR(__xludf.DUMMYFUNCTION("IF(C3="""","""",Transpose(IMPORTRANGE('_Settings'!$B$3,C3&amp;""!A4:A1000"")))"),"GenerateThirdParty")</f>
        <v>GenerateThirdParty</v>
      </c>
      <c r="C4" s="25" t="str">
        <f>IFERROR(__xludf.DUMMYFUNCTION("""COMPUTED_VALUE"""),"SendThirdParty")</f>
        <v>SendThirdParty</v>
      </c>
      <c r="D4" s="25" t="str">
        <f>IFERROR(__xludf.DUMMYFUNCTION("""COMPUTED_VALUE"""),"ViewThirdParty")</f>
        <v>ViewThirdParty</v>
      </c>
      <c r="E4" s="25" t="str">
        <f>IFERROR(__xludf.DUMMYFUNCTION("""COMPUTED_VALUE"""),"SelectThirdPartyName")</f>
        <v>SelectThirdPartyName</v>
      </c>
      <c r="F4" s="25" t="str">
        <f>IFERROR(__xludf.DUMMYFUNCTION("""COMPUTED_VALUE"""),"VerifyThirdPartyData")</f>
        <v>VerifyThirdPartyData</v>
      </c>
      <c r="G4" s="25" t="str">
        <f>IFERROR(__xludf.DUMMYFUNCTION("""COMPUTED_VALUE"""),"ThirdPartyWork")</f>
        <v>ThirdPartyWork</v>
      </c>
      <c r="H4" s="25" t="str">
        <f>IFERROR(__xludf.DUMMYFUNCTION("""COMPUTED_VALUE"""),"Automation")</f>
        <v>Automation</v>
      </c>
      <c r="I4" s="25" t="str">
        <f>IFERROR(__xludf.DUMMYFUNCTION("""COMPUTED_VALUE"""),"ThirdPartyManagerFunction")</f>
        <v>ThirdPartyManagerFunction</v>
      </c>
      <c r="J4" s="25" t="str">
        <f>IFERROR(__xludf.DUMMYFUNCTION("""COMPUTED_VALUE"""),"OpeningManager")</f>
        <v>OpeningManager</v>
      </c>
      <c r="K4" s="25" t="str">
        <f>IFERROR(__xludf.DUMMYFUNCTION("""COMPUTED_VALUE"""),"SelectFromThirdPartyGrid")</f>
        <v>SelectFromThirdPartyGrid</v>
      </c>
      <c r="L4" s="25" t="str">
        <f>IFERROR(__xludf.DUMMYFUNCTION("""COMPUTED_VALUE"""),"SelectThirdPartyJob")</f>
        <v>SelectThirdPartyJob</v>
      </c>
      <c r="M4" s="25" t="str">
        <f>IFERROR(__xludf.DUMMYFUNCTION("""COMPUTED_VALUE"""),"GenerateAllThirdPartyData")</f>
        <v>GenerateAllThirdPartyData</v>
      </c>
      <c r="N4" s="25" t="str">
        <f>IFERROR(__xludf.DUMMYFUNCTION("""COMPUTED_VALUE"""),"SendAllThirdPartyData")</f>
        <v>SendAllThirdPartyData</v>
      </c>
      <c r="O4" s="25" t="str">
        <f>IFERROR(__xludf.DUMMYFUNCTION("""COMPUTED_VALUE"""),"VerifyThirdPartyView")</f>
        <v>VerifyThirdPartyView</v>
      </c>
      <c r="P4" s="26" t="str">
        <f>IFERROR(__xludf.DUMMYFUNCTION("""COMPUTED_VALUE"""),"SelectThirdParty")</f>
        <v>SelectThirdParty</v>
      </c>
      <c r="Q4" s="26" t="str">
        <f>IFERROR(__xludf.DUMMYFUNCTION("""COMPUTED_VALUE"""),"SelectThirdParty")</f>
        <v>SelectThirdParty</v>
      </c>
      <c r="R4" s="26" t="str">
        <f>IFERROR(__xludf.DUMMYFUNCTION("""COMPUTED_VALUE"""),"ViewThirdParty")</f>
        <v>ViewThirdParty</v>
      </c>
      <c r="S4" s="26" t="str">
        <f>IFERROR(__xludf.DUMMYFUNCTION("""COMPUTED_VALUE"""),"GenerateThirdPartyData")</f>
        <v>GenerateThirdPartyData</v>
      </c>
      <c r="T4" s="26" t="str">
        <f>IFERROR(__xludf.DUMMYFUNCTION("""COMPUTED_VALUE"""),"ThirdPartyGenerate")</f>
        <v>ThirdPartyGenerate</v>
      </c>
      <c r="U4" s="26" t="str">
        <f>IFERROR(__xludf.DUMMYFUNCTION("""COMPUTED_VALUE"""),"VerifyThirdPartyView")</f>
        <v>VerifyThirdPartyView</v>
      </c>
      <c r="V4" s="26" t="str">
        <f>IFERROR(__xludf.DUMMYFUNCTION("""COMPUTED_VALUE"""),"VerifyThirdPartyGenerate")</f>
        <v>VerifyThirdPartyGenerate</v>
      </c>
      <c r="W4" s="26" t="str">
        <f>IFERROR(__xludf.DUMMYFUNCTION("""COMPUTED_VALUE"""),"VerifyThirdPartySend")</f>
        <v>VerifyThirdPartySend</v>
      </c>
      <c r="X4" s="26" t="str">
        <f>IFERROR(__xludf.DUMMYFUNCTION("""COMPUTED_VALUE"""),"ThirdPartySend")</f>
        <v>ThirdPartySend</v>
      </c>
      <c r="Y4" s="26" t="str">
        <f>IFERROR(__xludf.DUMMYFUNCTION("""COMPUTED_VALUE"""),"RefreshThirdParty")</f>
        <v>RefreshThirdParty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IFERROR(__xludf.DUMMYFUNCTION("""COMPUTED_VALUE"""),"Job Name")</f>
        <v>Job Name</v>
      </c>
      <c r="C5" s="28" t="str">
        <f>IFERROR(__xludf.DUMMYFUNCTION("""COMPUTED_VALUE"""),"Party Name")</f>
        <v>Party Name</v>
      </c>
      <c r="D5" s="28" t="str">
        <f>IFERROR(__xludf.DUMMYFUNCTION("""COMPUTED_VALUE"""),"File Format")</f>
        <v>File Format</v>
      </c>
      <c r="E5" s="28" t="str">
        <f>IFERROR(__xludf.DUMMYFUNCTION("""COMPUTED_VALUE"""),"Third Party Type")</f>
        <v>Third Party Type</v>
      </c>
      <c r="F5" s="29" t="str">
        <f>IFERROR(__xludf.DUMMYFUNCTION("""COMPUTED_VALUE"""),"View")</f>
        <v>View</v>
      </c>
      <c r="G5" s="28" t="str">
        <f>IFERROR(__xludf.DUMMYFUNCTION("""COMPUTED_VALUE"""),"Generate")</f>
        <v>Generate</v>
      </c>
      <c r="H5" s="28" t="str">
        <f>IFERROR(__xludf.DUMMYFUNCTION("""COMPUTED_VALUE"""),"Send")</f>
        <v>Send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25</v>
      </c>
      <c r="C6" s="33" t="s">
        <v>26</v>
      </c>
      <c r="D6" s="32" t="s">
        <v>27</v>
      </c>
      <c r="E6" s="33" t="s">
        <v>28</v>
      </c>
      <c r="F6" s="33" t="s">
        <v>29</v>
      </c>
      <c r="G6" s="33" t="s">
        <v>30</v>
      </c>
      <c r="H6" s="33" t="s">
        <v>31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ViewThirdParty!$4:$4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IFERROR(__xludf.DUMMYFUNCTION("IF(C3="""","""",Transpose(IMPORTRANGE('_Settings'!$B$3,C3&amp;""!A4:A1000"")))"),"GenerateThirdParty")</f>
        <v>GenerateThirdParty</v>
      </c>
      <c r="C4" s="25" t="str">
        <f>IFERROR(__xludf.DUMMYFUNCTION("""COMPUTED_VALUE"""),"SendThirdParty")</f>
        <v>SendThirdParty</v>
      </c>
      <c r="D4" s="25" t="str">
        <f>IFERROR(__xludf.DUMMYFUNCTION("""COMPUTED_VALUE"""),"ViewThirdParty")</f>
        <v>ViewThirdParty</v>
      </c>
      <c r="E4" s="25" t="str">
        <f>IFERROR(__xludf.DUMMYFUNCTION("""COMPUTED_VALUE"""),"SelectThirdPartyName")</f>
        <v>SelectThirdPartyName</v>
      </c>
      <c r="F4" s="25" t="str">
        <f>IFERROR(__xludf.DUMMYFUNCTION("""COMPUTED_VALUE"""),"VerifyThirdPartyData")</f>
        <v>VerifyThirdPartyData</v>
      </c>
      <c r="G4" s="25" t="str">
        <f>IFERROR(__xludf.DUMMYFUNCTION("""COMPUTED_VALUE"""),"ThirdPartyWork")</f>
        <v>ThirdPartyWork</v>
      </c>
      <c r="H4" s="25" t="str">
        <f>IFERROR(__xludf.DUMMYFUNCTION("""COMPUTED_VALUE"""),"Automation")</f>
        <v>Automation</v>
      </c>
      <c r="I4" s="25" t="str">
        <f>IFERROR(__xludf.DUMMYFUNCTION("""COMPUTED_VALUE"""),"ThirdPartyManagerFunction")</f>
        <v>ThirdPartyManagerFunction</v>
      </c>
      <c r="J4" s="25" t="str">
        <f>IFERROR(__xludf.DUMMYFUNCTION("""COMPUTED_VALUE"""),"OpeningManager")</f>
        <v>OpeningManager</v>
      </c>
      <c r="K4" s="25" t="str">
        <f>IFERROR(__xludf.DUMMYFUNCTION("""COMPUTED_VALUE"""),"SelectFromThirdPartyGrid")</f>
        <v>SelectFromThirdPartyGrid</v>
      </c>
      <c r="L4" s="25" t="str">
        <f>IFERROR(__xludf.DUMMYFUNCTION("""COMPUTED_VALUE"""),"SelectThirdPartyJob")</f>
        <v>SelectThirdPartyJob</v>
      </c>
      <c r="M4" s="25" t="str">
        <f>IFERROR(__xludf.DUMMYFUNCTION("""COMPUTED_VALUE"""),"GenerateAllThirdPartyData")</f>
        <v>GenerateAllThirdPartyData</v>
      </c>
      <c r="N4" s="25" t="str">
        <f>IFERROR(__xludf.DUMMYFUNCTION("""COMPUTED_VALUE"""),"SendAllThirdPartyData")</f>
        <v>SendAllThirdPartyData</v>
      </c>
      <c r="O4" s="25" t="str">
        <f>IFERROR(__xludf.DUMMYFUNCTION("""COMPUTED_VALUE"""),"VerifyThirdPartyView")</f>
        <v>VerifyThirdPartyView</v>
      </c>
      <c r="P4" s="26" t="str">
        <f>IFERROR(__xludf.DUMMYFUNCTION("""COMPUTED_VALUE"""),"SelectThirdParty")</f>
        <v>SelectThirdParty</v>
      </c>
      <c r="Q4" s="26" t="str">
        <f>IFERROR(__xludf.DUMMYFUNCTION("""COMPUTED_VALUE"""),"SelectThirdParty")</f>
        <v>SelectThirdParty</v>
      </c>
      <c r="R4" s="26" t="str">
        <f>IFERROR(__xludf.DUMMYFUNCTION("""COMPUTED_VALUE"""),"ViewThirdParty")</f>
        <v>ViewThirdParty</v>
      </c>
      <c r="S4" s="26" t="str">
        <f>IFERROR(__xludf.DUMMYFUNCTION("""COMPUTED_VALUE"""),"GenerateThirdPartyData")</f>
        <v>GenerateThirdPartyData</v>
      </c>
      <c r="T4" s="26" t="str">
        <f>IFERROR(__xludf.DUMMYFUNCTION("""COMPUTED_VALUE"""),"ThirdPartyGenerate")</f>
        <v>ThirdPartyGenerate</v>
      </c>
      <c r="U4" s="26" t="str">
        <f>IFERROR(__xludf.DUMMYFUNCTION("""COMPUTED_VALUE"""),"VerifyThirdPartyView")</f>
        <v>VerifyThirdPartyView</v>
      </c>
      <c r="V4" s="26" t="str">
        <f>IFERROR(__xludf.DUMMYFUNCTION("""COMPUTED_VALUE"""),"VerifyThirdPartyGenerate")</f>
        <v>VerifyThirdPartyGenerate</v>
      </c>
      <c r="W4" s="26" t="str">
        <f>IFERROR(__xludf.DUMMYFUNCTION("""COMPUTED_VALUE"""),"VerifyThirdPartySend")</f>
        <v>VerifyThirdPartySend</v>
      </c>
      <c r="X4" s="26" t="str">
        <f>IFERROR(__xludf.DUMMYFUNCTION("""COMPUTED_VALUE"""),"ThirdPartySend")</f>
        <v>ThirdPartySend</v>
      </c>
      <c r="Y4" s="26" t="str">
        <f>IFERROR(__xludf.DUMMYFUNCTION("""COMPUTED_VALUE"""),"RefreshThirdParty")</f>
        <v>RefreshThirdParty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IFERROR(__xludf.DUMMYFUNCTION("""COMPUTED_VALUE"""),"AccountName")</f>
        <v>AccountName</v>
      </c>
      <c r="C5" s="28" t="str">
        <f>IFERROR(__xludf.DUMMYFUNCTION("""COMPUTED_VALUE"""),"Symbol")</f>
        <v>Symbol</v>
      </c>
      <c r="D5" s="28" t="str">
        <f>IFERROR(__xludf.DUMMYFUNCTION("""COMPUTED_VALUE"""),"Side")</f>
        <v>Side</v>
      </c>
      <c r="E5" s="28" t="str">
        <f>IFERROR(__xludf.DUMMYFUNCTION("""COMPUTED_VALUE"""),"AveragePrice")</f>
        <v>AveragePrice</v>
      </c>
      <c r="F5" s="29" t="str">
        <f>IFERROR(__xludf.DUMMYFUNCTION("""COMPUTED_VALUE"""),"TradeDate")</f>
        <v>TradeDate</v>
      </c>
      <c r="G5" s="28" t="str">
        <f>IFERROR(__xludf.DUMMYFUNCTION("""COMPUTED_VALUE"""),"Quantity")</f>
        <v>Quantity</v>
      </c>
      <c r="H5" s="28" t="str">
        <f>IFERROR(__xludf.DUMMYFUNCTION("""COMPUTED_VALUE"""),"State")</f>
        <v>State</v>
      </c>
      <c r="I5" s="28" t="str">
        <f>IFERROR(__xludf.DUMMYFUNCTION("""COMPUTED_VALUE"""),"Currency")</f>
        <v>Currency</v>
      </c>
      <c r="J5" s="28" t="str">
        <f>IFERROR(__xludf.DUMMYFUNCTION("""COMPUTED_VALUE"""),"Commission")</f>
        <v>Commission</v>
      </c>
      <c r="K5" s="28" t="str">
        <f>IFERROR(__xludf.DUMMYFUNCTION("""COMPUTED_VALUE"""),"NetAmount")</f>
        <v>NetAmount</v>
      </c>
      <c r="L5" s="28" t="str">
        <f>IFERROR(__xludf.DUMMYFUNCTION("""COMPUTED_VALUE"""),"AssetName")</f>
        <v>AssetName</v>
      </c>
      <c r="M5" s="28" t="str">
        <f>IFERROR(__xludf.DUMMYFUNCTION("""COMPUTED_VALUE"""),"FXRate")</f>
        <v>FXRate</v>
      </c>
      <c r="N5" s="28" t="str">
        <f>IFERROR(__xludf.DUMMYFUNCTION("""COMPUTED_VALUE"""),"Broker")</f>
        <v>Broker</v>
      </c>
      <c r="O5" s="28" t="str">
        <f>IFERROR(__xludf.DUMMYFUNCTION("""COMPUTED_VALUE"""),"TradeAttribute1")</f>
        <v>TradeAttribute1</v>
      </c>
      <c r="P5" s="28" t="str">
        <f>IFERROR(__xludf.DUMMYFUNCTION("""COMPUTED_VALUE"""),"TradeAttribute2")</f>
        <v>TradeAttribute2</v>
      </c>
      <c r="Q5" s="28" t="str">
        <f>IFERROR(__xludf.DUMMYFUNCTION("""COMPUTED_VALUE"""),"TradeAttribute3")</f>
        <v>TradeAttribute3</v>
      </c>
      <c r="R5" s="28" t="str">
        <f>IFERROR(__xludf.DUMMYFUNCTION("""COMPUTED_VALUE"""),"TradeAttribute4")</f>
        <v>TradeAttribute4</v>
      </c>
      <c r="S5" s="28" t="str">
        <f>IFERROR(__xludf.DUMMYFUNCTION("""COMPUTED_VALUE"""),"TradeAttribute5")</f>
        <v>TradeAttribute5</v>
      </c>
      <c r="T5" s="30" t="str">
        <f>IFERROR(__xludf.DUMMYFUNCTION("""COMPUTED_VALUE"""),"TradeAttribute6")</f>
        <v>TradeAttribute6</v>
      </c>
      <c r="U5" s="30" t="str">
        <f>IFERROR(__xludf.DUMMYFUNCTION("""COMPUTED_VALUE"""),"IsAnOrder")</f>
        <v>IsAnOrder</v>
      </c>
      <c r="V5" s="30" t="str">
        <f>IFERROR(__xludf.DUMMYFUNCTION("""COMPUTED_VALUE"""),"MessageType")</f>
        <v>MessageType</v>
      </c>
      <c r="W5" s="30" t="str">
        <f>IFERROR(__xludf.DUMMYFUNCTION("""COMPUTED_VALUE"""),"ExecutionType")</f>
        <v>ExecutionType</v>
      </c>
      <c r="X5" s="30" t="str">
        <f>IFERROR(__xludf.DUMMYFUNCTION("""COMPUTED_VALUE"""),"Price")</f>
        <v>Price</v>
      </c>
      <c r="Y5" s="30" t="str">
        <f>IFERROR(__xludf.DUMMYFUNCTION("""COMPUTED_VALUE"""),"PortfolioName")</f>
        <v>PortfolioName</v>
      </c>
      <c r="Z5" s="30" t="str">
        <f>IFERROR(__xludf.DUMMYFUNCTION("""COMPUTED_VALUE"""),"Security")</f>
        <v>Security</v>
      </c>
      <c r="AA5" s="30" t="str">
        <f>IFERROR(__xludf.DUMMYFUNCTION("""COMPUTED_VALUE"""),"Sedol")</f>
        <v>Sedol</v>
      </c>
      <c r="AB5" s="30" t="str">
        <f>IFERROR(__xludf.DUMMYFUNCTION("""COMPUTED_VALUE"""),"Cusip")</f>
        <v>Cusip</v>
      </c>
      <c r="AC5" s="30" t="str">
        <f>IFERROR(__xludf.DUMMYFUNCTION("""COMPUTED_VALUE"""),"ISIN")</f>
        <v>ISIN</v>
      </c>
      <c r="AD5" s="30" t="str">
        <f>IFERROR(__xludf.DUMMYFUNCTION("""COMPUTED_VALUE"""),"SecurityName")</f>
        <v>SecurityName</v>
      </c>
      <c r="AE5" s="30" t="str">
        <f>IFERROR(__xludf.DUMMYFUNCTION("""COMPUTED_VALUE"""),"Position")</f>
        <v>Position</v>
      </c>
      <c r="AF5" s="30" t="str">
        <f>IFERROR(__xludf.DUMMYFUNCTION("""COMPUTED_VALUE"""),"Weight")</f>
        <v>Weight</v>
      </c>
      <c r="AG5" s="30" t="str">
        <f>IFERROR(__xludf.DUMMYFUNCTION("""COMPUTED_VALUE"""),"MktPx")</f>
        <v>MktPx</v>
      </c>
      <c r="AH5" s="30" t="str">
        <f>IFERROR(__xludf.DUMMYFUNCTION("""COMPUTED_VALUE"""),"CostPrice")</f>
        <v>CostPrice</v>
      </c>
      <c r="AI5" s="30" t="str">
        <f>IFERROR(__xludf.DUMMYFUNCTION("""COMPUTED_VALUE"""),"AsOfDate")</f>
        <v>AsOfDate</v>
      </c>
      <c r="AJ5" s="30" t="str">
        <f>IFERROR(__xludf.DUMMYFUNCTION("""COMPUTED_VALUE"""),"NewClassification")</f>
        <v>NewClassification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2"/>
      <c r="B6" s="32" t="s">
        <v>20</v>
      </c>
      <c r="C6" s="33" t="s">
        <v>22</v>
      </c>
      <c r="D6" s="32" t="s">
        <v>19</v>
      </c>
      <c r="E6" s="43">
        <v>20.0</v>
      </c>
      <c r="F6" s="44">
        <f>today()</f>
        <v>44473</v>
      </c>
      <c r="G6" s="43">
        <v>150.0</v>
      </c>
      <c r="H6" s="45" t="s">
        <v>40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VerifyThirdPartyView!$4:$4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1-RJhOo2E5PhyqaiMEjsPi8RpfYBuiSqE9fj_-bRpkKw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 t="str">
        <f>IFERROR(__xludf.DUMMYFUNCTION("""COMPUTED_VALUE"""),"AllocationAuditTrail")</f>
        <v>AllocationAuditTrail</v>
      </c>
      <c r="DS4" s="26" t="str">
        <f>IFERROR(__xludf.DUMMYFUNCTION("""COMPUTED_VALUE"""),"GetAuditTrailData")</f>
        <v>GetAuditTrailData</v>
      </c>
      <c r="DT4" s="26" t="str">
        <f>IFERROR(__xludf.DUMMYFUNCTION("""COMPUTED_VALUE"""),"CheckAuditTrailData")</f>
        <v>CheckAuditTrailData</v>
      </c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2"/>
      <c r="B6" s="32" t="s">
        <v>18</v>
      </c>
      <c r="C6" s="33" t="s">
        <v>19</v>
      </c>
      <c r="D6" s="34">
        <v>100.0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5">
        <v>10.0</v>
      </c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1mOtszotVOdqHquQTLi-4CBnAUrtAF2MEABuvYJh_hzw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 t="str">
        <f>IFERROR(__xludf.DUMMYFUNCTION("""COMPUTED_VALUE"""),"AllocationAuditTrail")</f>
        <v>AllocationAuditTrail</v>
      </c>
      <c r="DS4" s="26" t="str">
        <f>IFERROR(__xludf.DUMMYFUNCTION("""COMPUTED_VALUE"""),"GetAuditTrailData")</f>
        <v>GetAuditTrailData</v>
      </c>
      <c r="DT4" s="26" t="str">
        <f>IFERROR(__xludf.DUMMYFUNCTION("""COMPUTED_VALUE"""),"CheckAuditTrailData")</f>
        <v>CheckAuditTrailData</v>
      </c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2"/>
      <c r="B6" s="32" t="s">
        <v>20</v>
      </c>
      <c r="C6" s="35">
        <v>100.0</v>
      </c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EnterAccountValuesToAllocate!$4:$4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 t="str">
        <f>IFERROR(__xludf.DUMMYFUNCTION("""COMPUTED_VALUE"""),"AllocationAuditTrail")</f>
        <v>AllocationAuditTrail</v>
      </c>
      <c r="DS4" s="26" t="str">
        <f>IFERROR(__xludf.DUMMYFUNCTION("""COMPUTED_VALUE"""),"GetAuditTrailData")</f>
        <v>GetAuditTrailData</v>
      </c>
      <c r="DT4" s="26" t="str">
        <f>IFERROR(__xludf.DUMMYFUNCTION("""COMPUTED_VALUE"""),"CheckAuditTrailData")</f>
        <v>CheckAuditTrailData</v>
      </c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IFERROR(__xludf.DUMMYFUNCTION("TRANSPOSE(IMPORTRANGE(VLOOKUP($E$3,IMPORTRANGE('_Settings'!$B$3,$C$3&amp;""!A4:B1000""),2,FALSE),$G$3&amp;""!A4:A1000""))"),"#REF!")</f>
        <v>#REF!</v>
      </c>
      <c r="B5" s="28"/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44</v>
      </c>
      <c r="C6" s="8"/>
      <c r="D6" s="13" t="s">
        <v>45</v>
      </c>
      <c r="E6" s="31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Allocate!$4:$4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IFERROR(__xludf.DUMMYFUNCTION("IF(C3="""","""",Transpose(IMPORTRANGE('_Settings'!$B$3,C3&amp;""!A4:A1000"")))"),"GenerateThirdParty")</f>
        <v>GenerateThirdParty</v>
      </c>
      <c r="C4" s="25" t="str">
        <f>IFERROR(__xludf.DUMMYFUNCTION("""COMPUTED_VALUE"""),"SendThirdParty")</f>
        <v>SendThirdParty</v>
      </c>
      <c r="D4" s="25" t="str">
        <f>IFERROR(__xludf.DUMMYFUNCTION("""COMPUTED_VALUE"""),"ViewThirdParty")</f>
        <v>ViewThirdParty</v>
      </c>
      <c r="E4" s="25" t="str">
        <f>IFERROR(__xludf.DUMMYFUNCTION("""COMPUTED_VALUE"""),"SelectThirdPartyName")</f>
        <v>SelectThirdPartyName</v>
      </c>
      <c r="F4" s="25" t="str">
        <f>IFERROR(__xludf.DUMMYFUNCTION("""COMPUTED_VALUE"""),"VerifyThirdPartyData")</f>
        <v>VerifyThirdPartyData</v>
      </c>
      <c r="G4" s="25" t="str">
        <f>IFERROR(__xludf.DUMMYFUNCTION("""COMPUTED_VALUE"""),"ThirdPartyWork")</f>
        <v>ThirdPartyWork</v>
      </c>
      <c r="H4" s="25" t="str">
        <f>IFERROR(__xludf.DUMMYFUNCTION("""COMPUTED_VALUE"""),"Automation")</f>
        <v>Automation</v>
      </c>
      <c r="I4" s="25" t="str">
        <f>IFERROR(__xludf.DUMMYFUNCTION("""COMPUTED_VALUE"""),"ThirdPartyManagerFunction")</f>
        <v>ThirdPartyManagerFunction</v>
      </c>
      <c r="J4" s="25" t="str">
        <f>IFERROR(__xludf.DUMMYFUNCTION("""COMPUTED_VALUE"""),"OpeningManager")</f>
        <v>OpeningManager</v>
      </c>
      <c r="K4" s="25" t="str">
        <f>IFERROR(__xludf.DUMMYFUNCTION("""COMPUTED_VALUE"""),"SelectFromThirdPartyGrid")</f>
        <v>SelectFromThirdPartyGrid</v>
      </c>
      <c r="L4" s="25" t="str">
        <f>IFERROR(__xludf.DUMMYFUNCTION("""COMPUTED_VALUE"""),"SelectThirdPartyJob")</f>
        <v>SelectThirdPartyJob</v>
      </c>
      <c r="M4" s="25" t="str">
        <f>IFERROR(__xludf.DUMMYFUNCTION("""COMPUTED_VALUE"""),"GenerateAllThirdPartyData")</f>
        <v>GenerateAllThirdPartyData</v>
      </c>
      <c r="N4" s="25" t="str">
        <f>IFERROR(__xludf.DUMMYFUNCTION("""COMPUTED_VALUE"""),"SendAllThirdPartyData")</f>
        <v>SendAllThirdPartyData</v>
      </c>
      <c r="O4" s="25" t="str">
        <f>IFERROR(__xludf.DUMMYFUNCTION("""COMPUTED_VALUE"""),"VerifyThirdPartyView")</f>
        <v>VerifyThirdPartyView</v>
      </c>
      <c r="P4" s="26" t="str">
        <f>IFERROR(__xludf.DUMMYFUNCTION("""COMPUTED_VALUE"""),"SelectThirdParty")</f>
        <v>SelectThirdParty</v>
      </c>
      <c r="Q4" s="26" t="str">
        <f>IFERROR(__xludf.DUMMYFUNCTION("""COMPUTED_VALUE"""),"SelectThirdParty")</f>
        <v>SelectThirdParty</v>
      </c>
      <c r="R4" s="26" t="str">
        <f>IFERROR(__xludf.DUMMYFUNCTION("""COMPUTED_VALUE"""),"ViewThirdParty")</f>
        <v>ViewThirdParty</v>
      </c>
      <c r="S4" s="26" t="str">
        <f>IFERROR(__xludf.DUMMYFUNCTION("""COMPUTED_VALUE"""),"GenerateThirdPartyData")</f>
        <v>GenerateThirdPartyData</v>
      </c>
      <c r="T4" s="26" t="str">
        <f>IFERROR(__xludf.DUMMYFUNCTION("""COMPUTED_VALUE"""),"ThirdPartyGenerate")</f>
        <v>ThirdPartyGenerate</v>
      </c>
      <c r="U4" s="26" t="str">
        <f>IFERROR(__xludf.DUMMYFUNCTION("""COMPUTED_VALUE"""),"VerifyThirdPartyView")</f>
        <v>VerifyThirdPartyView</v>
      </c>
      <c r="V4" s="26" t="str">
        <f>IFERROR(__xludf.DUMMYFUNCTION("""COMPUTED_VALUE"""),"VerifyThirdPartyGenerate")</f>
        <v>VerifyThirdPartyGenerate</v>
      </c>
      <c r="W4" s="26" t="str">
        <f>IFERROR(__xludf.DUMMYFUNCTION("""COMPUTED_VALUE"""),"VerifyThirdPartySend")</f>
        <v>VerifyThirdPartySend</v>
      </c>
      <c r="X4" s="26" t="str">
        <f>IFERROR(__xludf.DUMMYFUNCTION("""COMPUTED_VALUE"""),"ThirdPartySend")</f>
        <v>ThirdPartySend</v>
      </c>
      <c r="Y4" s="26" t="str">
        <f>IFERROR(__xludf.DUMMYFUNCTION("""COMPUTED_VALUE"""),"RefreshThirdParty")</f>
        <v>RefreshThirdParty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IFERROR(__xludf.DUMMYFUNCTION("""COMPUTED_VALUE"""),"Job Name")</f>
        <v>Job Name</v>
      </c>
      <c r="C5" s="28" t="str">
        <f>IFERROR(__xludf.DUMMYFUNCTION("""COMPUTED_VALUE"""),"Party Name")</f>
        <v>Party Name</v>
      </c>
      <c r="D5" s="28" t="str">
        <f>IFERROR(__xludf.DUMMYFUNCTION("""COMPUTED_VALUE"""),"File Format")</f>
        <v>File Format</v>
      </c>
      <c r="E5" s="28" t="str">
        <f>IFERROR(__xludf.DUMMYFUNCTION("""COMPUTED_VALUE"""),"Third Party Type")</f>
        <v>Third Party Type</v>
      </c>
      <c r="F5" s="29" t="str">
        <f>IFERROR(__xludf.DUMMYFUNCTION("""COMPUTED_VALUE"""),"View")</f>
        <v>View</v>
      </c>
      <c r="G5" s="28" t="str">
        <f>IFERROR(__xludf.DUMMYFUNCTION("""COMPUTED_VALUE"""),"Generate")</f>
        <v>Generate</v>
      </c>
      <c r="H5" s="28" t="str">
        <f>IFERROR(__xludf.DUMMYFUNCTION("""COMPUTED_VALUE"""),"Send")</f>
        <v>Send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2"/>
      <c r="B6" s="32" t="s">
        <v>25</v>
      </c>
      <c r="C6" s="33" t="s">
        <v>26</v>
      </c>
      <c r="D6" s="32" t="s">
        <v>27</v>
      </c>
      <c r="E6" s="33" t="s">
        <v>28</v>
      </c>
      <c r="F6" s="33" t="s">
        <v>29</v>
      </c>
      <c r="G6" s="33" t="s">
        <v>30</v>
      </c>
      <c r="H6" s="33" t="s">
        <v>31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ViewThirdParty1!$4:$4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IFERROR(__xludf.DUMMYFUNCTION("IF(C3="""","""",Transpose(IMPORTRANGE('_Settings'!$B$3,C3&amp;""!A4:A1000"")))"),"GenerateThirdParty")</f>
        <v>GenerateThirdParty</v>
      </c>
      <c r="C4" s="25" t="str">
        <f>IFERROR(__xludf.DUMMYFUNCTION("""COMPUTED_VALUE"""),"SendThirdParty")</f>
        <v>SendThirdParty</v>
      </c>
      <c r="D4" s="25" t="str">
        <f>IFERROR(__xludf.DUMMYFUNCTION("""COMPUTED_VALUE"""),"ViewThirdParty")</f>
        <v>ViewThirdParty</v>
      </c>
      <c r="E4" s="25" t="str">
        <f>IFERROR(__xludf.DUMMYFUNCTION("""COMPUTED_VALUE"""),"SelectThirdPartyName")</f>
        <v>SelectThirdPartyName</v>
      </c>
      <c r="F4" s="25" t="str">
        <f>IFERROR(__xludf.DUMMYFUNCTION("""COMPUTED_VALUE"""),"VerifyThirdPartyData")</f>
        <v>VerifyThirdPartyData</v>
      </c>
      <c r="G4" s="25" t="str">
        <f>IFERROR(__xludf.DUMMYFUNCTION("""COMPUTED_VALUE"""),"ThirdPartyWork")</f>
        <v>ThirdPartyWork</v>
      </c>
      <c r="H4" s="25" t="str">
        <f>IFERROR(__xludf.DUMMYFUNCTION("""COMPUTED_VALUE"""),"Automation")</f>
        <v>Automation</v>
      </c>
      <c r="I4" s="25" t="str">
        <f>IFERROR(__xludf.DUMMYFUNCTION("""COMPUTED_VALUE"""),"ThirdPartyManagerFunction")</f>
        <v>ThirdPartyManagerFunction</v>
      </c>
      <c r="J4" s="25" t="str">
        <f>IFERROR(__xludf.DUMMYFUNCTION("""COMPUTED_VALUE"""),"OpeningManager")</f>
        <v>OpeningManager</v>
      </c>
      <c r="K4" s="25" t="str">
        <f>IFERROR(__xludf.DUMMYFUNCTION("""COMPUTED_VALUE"""),"SelectFromThirdPartyGrid")</f>
        <v>SelectFromThirdPartyGrid</v>
      </c>
      <c r="L4" s="25" t="str">
        <f>IFERROR(__xludf.DUMMYFUNCTION("""COMPUTED_VALUE"""),"SelectThirdPartyJob")</f>
        <v>SelectThirdPartyJob</v>
      </c>
      <c r="M4" s="25" t="str">
        <f>IFERROR(__xludf.DUMMYFUNCTION("""COMPUTED_VALUE"""),"GenerateAllThirdPartyData")</f>
        <v>GenerateAllThirdPartyData</v>
      </c>
      <c r="N4" s="25" t="str">
        <f>IFERROR(__xludf.DUMMYFUNCTION("""COMPUTED_VALUE"""),"SendAllThirdPartyData")</f>
        <v>SendAllThirdPartyData</v>
      </c>
      <c r="O4" s="25" t="str">
        <f>IFERROR(__xludf.DUMMYFUNCTION("""COMPUTED_VALUE"""),"VerifyThirdPartyView")</f>
        <v>VerifyThirdPartyView</v>
      </c>
      <c r="P4" s="26" t="str">
        <f>IFERROR(__xludf.DUMMYFUNCTION("""COMPUTED_VALUE"""),"SelectThirdParty")</f>
        <v>SelectThirdParty</v>
      </c>
      <c r="Q4" s="26" t="str">
        <f>IFERROR(__xludf.DUMMYFUNCTION("""COMPUTED_VALUE"""),"SelectThirdParty")</f>
        <v>SelectThirdParty</v>
      </c>
      <c r="R4" s="26" t="str">
        <f>IFERROR(__xludf.DUMMYFUNCTION("""COMPUTED_VALUE"""),"ViewThirdParty")</f>
        <v>ViewThirdParty</v>
      </c>
      <c r="S4" s="26" t="str">
        <f>IFERROR(__xludf.DUMMYFUNCTION("""COMPUTED_VALUE"""),"GenerateThirdPartyData")</f>
        <v>GenerateThirdPartyData</v>
      </c>
      <c r="T4" s="26" t="str">
        <f>IFERROR(__xludf.DUMMYFUNCTION("""COMPUTED_VALUE"""),"ThirdPartyGenerate")</f>
        <v>ThirdPartyGenerate</v>
      </c>
      <c r="U4" s="26" t="str">
        <f>IFERROR(__xludf.DUMMYFUNCTION("""COMPUTED_VALUE"""),"VerifyThirdPartyView")</f>
        <v>VerifyThirdPartyView</v>
      </c>
      <c r="V4" s="26" t="str">
        <f>IFERROR(__xludf.DUMMYFUNCTION("""COMPUTED_VALUE"""),"VerifyThirdPartyGenerate")</f>
        <v>VerifyThirdPartyGenerate</v>
      </c>
      <c r="W4" s="26" t="str">
        <f>IFERROR(__xludf.DUMMYFUNCTION("""COMPUTED_VALUE"""),"VerifyThirdPartySend")</f>
        <v>VerifyThirdPartySend</v>
      </c>
      <c r="X4" s="26" t="str">
        <f>IFERROR(__xludf.DUMMYFUNCTION("""COMPUTED_VALUE"""),"ThirdPartySend")</f>
        <v>ThirdPartySend</v>
      </c>
      <c r="Y4" s="26" t="str">
        <f>IFERROR(__xludf.DUMMYFUNCTION("""COMPUTED_VALUE"""),"RefreshThirdParty")</f>
        <v>RefreshThirdParty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IFERROR(__xludf.DUMMYFUNCTION("""COMPUTED_VALUE"""),"AccountName")</f>
        <v>AccountName</v>
      </c>
      <c r="C5" s="28" t="str">
        <f>IFERROR(__xludf.DUMMYFUNCTION("""COMPUTED_VALUE"""),"Symbol")</f>
        <v>Symbol</v>
      </c>
      <c r="D5" s="28" t="str">
        <f>IFERROR(__xludf.DUMMYFUNCTION("""COMPUTED_VALUE"""),"Side")</f>
        <v>Side</v>
      </c>
      <c r="E5" s="28" t="str">
        <f>IFERROR(__xludf.DUMMYFUNCTION("""COMPUTED_VALUE"""),"AveragePrice")</f>
        <v>AveragePrice</v>
      </c>
      <c r="F5" s="29" t="str">
        <f>IFERROR(__xludf.DUMMYFUNCTION("""COMPUTED_VALUE"""),"TradeDate")</f>
        <v>TradeDate</v>
      </c>
      <c r="G5" s="28" t="str">
        <f>IFERROR(__xludf.DUMMYFUNCTION("""COMPUTED_VALUE"""),"Quantity")</f>
        <v>Quantity</v>
      </c>
      <c r="H5" s="28" t="str">
        <f>IFERROR(__xludf.DUMMYFUNCTION("""COMPUTED_VALUE"""),"State")</f>
        <v>State</v>
      </c>
      <c r="I5" s="28" t="str">
        <f>IFERROR(__xludf.DUMMYFUNCTION("""COMPUTED_VALUE"""),"Currency")</f>
        <v>Currency</v>
      </c>
      <c r="J5" s="28" t="str">
        <f>IFERROR(__xludf.DUMMYFUNCTION("""COMPUTED_VALUE"""),"Commission")</f>
        <v>Commission</v>
      </c>
      <c r="K5" s="28" t="str">
        <f>IFERROR(__xludf.DUMMYFUNCTION("""COMPUTED_VALUE"""),"NetAmount")</f>
        <v>NetAmount</v>
      </c>
      <c r="L5" s="28" t="str">
        <f>IFERROR(__xludf.DUMMYFUNCTION("""COMPUTED_VALUE"""),"AssetName")</f>
        <v>AssetName</v>
      </c>
      <c r="M5" s="28" t="str">
        <f>IFERROR(__xludf.DUMMYFUNCTION("""COMPUTED_VALUE"""),"FXRate")</f>
        <v>FXRate</v>
      </c>
      <c r="N5" s="28" t="str">
        <f>IFERROR(__xludf.DUMMYFUNCTION("""COMPUTED_VALUE"""),"Broker")</f>
        <v>Broker</v>
      </c>
      <c r="O5" s="28" t="str">
        <f>IFERROR(__xludf.DUMMYFUNCTION("""COMPUTED_VALUE"""),"TradeAttribute1")</f>
        <v>TradeAttribute1</v>
      </c>
      <c r="P5" s="28" t="str">
        <f>IFERROR(__xludf.DUMMYFUNCTION("""COMPUTED_VALUE"""),"TradeAttribute2")</f>
        <v>TradeAttribute2</v>
      </c>
      <c r="Q5" s="28" t="str">
        <f>IFERROR(__xludf.DUMMYFUNCTION("""COMPUTED_VALUE"""),"TradeAttribute3")</f>
        <v>TradeAttribute3</v>
      </c>
      <c r="R5" s="28" t="str">
        <f>IFERROR(__xludf.DUMMYFUNCTION("""COMPUTED_VALUE"""),"TradeAttribute4")</f>
        <v>TradeAttribute4</v>
      </c>
      <c r="S5" s="28" t="str">
        <f>IFERROR(__xludf.DUMMYFUNCTION("""COMPUTED_VALUE"""),"TradeAttribute5")</f>
        <v>TradeAttribute5</v>
      </c>
      <c r="T5" s="30" t="str">
        <f>IFERROR(__xludf.DUMMYFUNCTION("""COMPUTED_VALUE"""),"TradeAttribute6")</f>
        <v>TradeAttribute6</v>
      </c>
      <c r="U5" s="30" t="str">
        <f>IFERROR(__xludf.DUMMYFUNCTION("""COMPUTED_VALUE"""),"IsAnOrder")</f>
        <v>IsAnOrder</v>
      </c>
      <c r="V5" s="30" t="str">
        <f>IFERROR(__xludf.DUMMYFUNCTION("""COMPUTED_VALUE"""),"MessageType")</f>
        <v>MessageType</v>
      </c>
      <c r="W5" s="30" t="str">
        <f>IFERROR(__xludf.DUMMYFUNCTION("""COMPUTED_VALUE"""),"ExecutionType")</f>
        <v>ExecutionType</v>
      </c>
      <c r="X5" s="30" t="str">
        <f>IFERROR(__xludf.DUMMYFUNCTION("""COMPUTED_VALUE"""),"Price")</f>
        <v>Price</v>
      </c>
      <c r="Y5" s="30" t="str">
        <f>IFERROR(__xludf.DUMMYFUNCTION("""COMPUTED_VALUE"""),"PortfolioName")</f>
        <v>PortfolioName</v>
      </c>
      <c r="Z5" s="30" t="str">
        <f>IFERROR(__xludf.DUMMYFUNCTION("""COMPUTED_VALUE"""),"Security")</f>
        <v>Security</v>
      </c>
      <c r="AA5" s="30" t="str">
        <f>IFERROR(__xludf.DUMMYFUNCTION("""COMPUTED_VALUE"""),"Sedol")</f>
        <v>Sedol</v>
      </c>
      <c r="AB5" s="30" t="str">
        <f>IFERROR(__xludf.DUMMYFUNCTION("""COMPUTED_VALUE"""),"Cusip")</f>
        <v>Cusip</v>
      </c>
      <c r="AC5" s="30" t="str">
        <f>IFERROR(__xludf.DUMMYFUNCTION("""COMPUTED_VALUE"""),"ISIN")</f>
        <v>ISIN</v>
      </c>
      <c r="AD5" s="30" t="str">
        <f>IFERROR(__xludf.DUMMYFUNCTION("""COMPUTED_VALUE"""),"SecurityName")</f>
        <v>SecurityName</v>
      </c>
      <c r="AE5" s="30" t="str">
        <f>IFERROR(__xludf.DUMMYFUNCTION("""COMPUTED_VALUE"""),"Position")</f>
        <v>Position</v>
      </c>
      <c r="AF5" s="30" t="str">
        <f>IFERROR(__xludf.DUMMYFUNCTION("""COMPUTED_VALUE"""),"Weight")</f>
        <v>Weight</v>
      </c>
      <c r="AG5" s="30" t="str">
        <f>IFERROR(__xludf.DUMMYFUNCTION("""COMPUTED_VALUE"""),"MktPx")</f>
        <v>MktPx</v>
      </c>
      <c r="AH5" s="30" t="str">
        <f>IFERROR(__xludf.DUMMYFUNCTION("""COMPUTED_VALUE"""),"CostPrice")</f>
        <v>CostPrice</v>
      </c>
      <c r="AI5" s="30" t="str">
        <f>IFERROR(__xludf.DUMMYFUNCTION("""COMPUTED_VALUE"""),"AsOfDate")</f>
        <v>AsOfDate</v>
      </c>
      <c r="AJ5" s="30" t="str">
        <f>IFERROR(__xludf.DUMMYFUNCTION("""COMPUTED_VALUE"""),"NewClassification")</f>
        <v>NewClassification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2"/>
      <c r="B6" s="32" t="s">
        <v>20</v>
      </c>
      <c r="C6" s="33" t="s">
        <v>18</v>
      </c>
      <c r="D6" s="32" t="s">
        <v>19</v>
      </c>
      <c r="E6" s="43">
        <v>10.0</v>
      </c>
      <c r="F6" s="44">
        <f t="shared" ref="F6:F7" si="1">today()</f>
        <v>44473</v>
      </c>
      <c r="G6" s="43">
        <v>100.0</v>
      </c>
      <c r="H6" s="45" t="s">
        <v>46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3"/>
      <c r="B7" s="33" t="s">
        <v>20</v>
      </c>
      <c r="C7" s="33" t="s">
        <v>22</v>
      </c>
      <c r="D7" s="33" t="s">
        <v>19</v>
      </c>
      <c r="E7" s="43">
        <v>20.0</v>
      </c>
      <c r="F7" s="44">
        <f t="shared" si="1"/>
        <v>44473</v>
      </c>
      <c r="G7" s="43">
        <v>150.0</v>
      </c>
      <c r="H7" s="45" t="s">
        <v>40</v>
      </c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VerifyThirdPartyView1!$4:$4</formula1>
    </dataValidation>
  </dataValidations>
  <drawing r:id="rId1"/>
</worksheet>
</file>