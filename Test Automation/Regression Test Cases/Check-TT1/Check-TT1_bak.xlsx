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GetDataAllocation" sheetId="9" r:id="rId11"/>
    <sheet state="visible" name="SelectAllocatedGroup" sheetId="10" r:id="rId12"/>
    <sheet state="visible" name="SelectUnallocatedGroup" sheetId="11" r:id="rId13"/>
    <sheet state="visible" name="EnterAccountValuesToAllocate" sheetId="12" r:id="rId14"/>
    <sheet state="visible" name="ReplaceSubOrder" sheetId="13" r:id="rId15"/>
    <sheet state="visible" name="CreateReplaceOrder" sheetId="14" r:id="rId16"/>
    <sheet state="visible" name="VerifyWorkingSubs" sheetId="15" r:id="rId17"/>
    <sheet state="visible" name="CheckAllocatedGroups1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<sst xmlns="http://schemas.openxmlformats.org/spreadsheetml/2006/main" count="185" uniqueCount="54">
  <si>
    <t>Settings</t>
  </si>
  <si>
    <t>Modules Info</t>
  </si>
  <si>
    <t>Master Data Info</t>
  </si>
  <si>
    <t>Module</t>
  </si>
  <si>
    <t>Modules</t>
  </si>
  <si>
    <t>Step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</si>
  <si>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</si>
  <si>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</si>
  <si>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</si>
  <si>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</si>
  <si>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</si>
  <si>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</si>
  <si>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</si>
  <si>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</si>
  <si>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</si>
  <si>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</si>
  <si>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</si>
  <si>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</si>
  <si>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</si>
  <si>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</si>
  <si>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AAPL</t>
  </si>
  <si>
    <t>Buy</t>
  </si>
  <si>
    <t>MS</t>
  </si>
  <si>
    <t>Allocation1</t>
  </si>
  <si>
    <t>Blotter</t>
  </si>
  <si>
    <t>TradeNewSubOrder</t>
  </si>
  <si>
    <t>New</t>
  </si>
  <si>
    <t>CreateNewSubOrder</t>
  </si>
  <si>
    <t>GetDataAllocation</t>
  </si>
  <si>
    <t>Current</t>
  </si>
  <si>
    <t>SelectAllocatedGroup</t>
  </si>
  <si>
    <t>USD</t>
  </si>
  <si>
    <t>Open</t>
  </si>
  <si>
    <t>Market</t>
  </si>
  <si>
    <t>SelectUnallocatedGroup</t>
  </si>
  <si>
    <t>EnterAccountValuesToAllocate</t>
  </si>
  <si>
    <t>Allocation2</t>
  </si>
  <si>
    <t>ReplaceSubOrder</t>
  </si>
  <si>
    <t>CreateReplaceOrder</t>
  </si>
  <si>
    <t>NewMF1</t>
  </si>
  <si>
    <t>Filled</t>
  </si>
  <si>
    <t>VerifyWorkingSubs</t>
  </si>
  <si>
    <t>CheckAllocatedGroups</t>
  </si>
  <si>
    <t>Replaced</t>
  </si>
  <si>
    <t>ALLOCATED</t>
  </si>
  <si>
    <t>APPLE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</si>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</sst>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9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5"/>
    </row>
    <row r="2" ht="15.75" customHeight="1">
      <c r="A2" s="9"/>
      <c r="B2" s="9"/>
      <c r="C2" s="9"/>
    </row>
    <row r="3" ht="15.75" customHeight="1">
      <c r="A3" s="8" t="s">
        <v>6</v>
      </c>
      <c r="B3" s="12" t="s">
        <v>7</v>
      </c>
      <c r="C3" s="9"/>
    </row>
    <row r="4" ht="15.75" customHeight="1">
      <c r="A4" s="7" t="s">
        <v>8</v>
      </c>
      <c r="B4" s="12" t="s">
        <v>9</v>
      </c>
      <c r="C4" s="9"/>
    </row>
    <row r="5" ht="15.75" customHeight="1">
      <c r="A5" s="14"/>
      <c r="B5" s="9"/>
      <c r="C5" s="9"/>
    </row>
    <row r="6" ht="15.75" customHeight="1">
      <c r="A6" s="14"/>
      <c r="B6" s="9"/>
      <c r="C6" s="9"/>
    </row>
    <row r="7" ht="15.75" customHeight="1">
      <c r="A7" s="14"/>
      <c r="B7" s="9"/>
      <c r="C7" s="9"/>
    </row>
    <row r="8" ht="15.75" customHeight="1">
      <c r="A8" s="14"/>
      <c r="B8" s="9"/>
      <c r="C8" s="9"/>
    </row>
    <row r="9" ht="15.75" customHeight="1">
      <c r="A9" s="14"/>
      <c r="B9" s="9"/>
      <c r="C9" s="9"/>
    </row>
    <row r="10" ht="15.75" customHeight="1">
      <c r="A10" s="14"/>
      <c r="B10" s="9"/>
      <c r="C10" s="9"/>
    </row>
    <row r="11" ht="15.75" customHeight="1">
      <c r="A11" s="14"/>
      <c r="B11" s="9"/>
      <c r="C11" s="9"/>
    </row>
    <row r="12" ht="15.75" customHeight="1">
      <c r="A12" s="14"/>
      <c r="B12" s="9"/>
      <c r="C12" s="9"/>
    </row>
    <row r="13" ht="15.75" customHeight="1">
      <c r="A13" s="14"/>
      <c r="B13" s="9"/>
      <c r="C13" s="9"/>
    </row>
    <row r="14" ht="15.75" customHeight="1">
      <c r="A14" s="14"/>
      <c r="B14" s="9"/>
      <c r="C14" s="9"/>
    </row>
    <row r="15" ht="15.75" customHeight="1">
      <c r="A15" s="14"/>
      <c r="B15" s="9"/>
      <c r="C15" s="9"/>
    </row>
    <row r="16" ht="15.75" customHeight="1">
      <c r="A16" s="14"/>
      <c r="B16" s="9"/>
      <c r="C16" s="9"/>
    </row>
    <row r="17" ht="15.75" customHeight="1">
      <c r="A17" s="14"/>
      <c r="B17" s="9"/>
      <c r="C17" s="9"/>
    </row>
    <row r="18" ht="15.75" customHeight="1">
      <c r="A18" s="14"/>
      <c r="B18" s="9"/>
      <c r="C18" s="9"/>
    </row>
    <row r="19" ht="15.75" customHeight="1">
      <c r="A19" s="14"/>
      <c r="B19" s="9"/>
      <c r="C19" s="9"/>
    </row>
    <row r="20" ht="15.75" customHeight="1">
      <c r="A20" s="14"/>
      <c r="B20" s="9"/>
      <c r="C20" s="9"/>
    </row>
    <row r="21" ht="15.75" customHeight="1">
      <c r="A21" s="14"/>
      <c r="B21" s="9"/>
      <c r="C21" s="9"/>
    </row>
    <row r="22" ht="15.75" customHeight="1">
      <c r="A22" s="14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13" t="s">
        <v>5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0.14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IFERROR(__xludf.DUMMYFUNCTION("""COMPUTED_VALUE"""),"ShowMasterFundOnTT")</f>
        <v>ShowMasterFundOnTT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b">
        <v>1</v>
      </c>
      <c r="C6" s="9"/>
      <c r="D6" s="12"/>
      <c r="E6" s="2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16</v>
      </c>
      <c r="D3" s="8" t="s">
        <v>5</v>
      </c>
      <c r="E3" s="21" t="s">
        <v>17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18</v>
      </c>
      <c r="C6" s="9"/>
      <c r="D6" s="12"/>
      <c r="E6" s="2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16</v>
      </c>
      <c r="D3" s="8" t="s">
        <v>5</v>
      </c>
      <c r="E3" s="21" t="s">
        <v>19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 t="s">
        <v>21</v>
      </c>
      <c r="D6" s="12">
        <v>1000.0</v>
      </c>
      <c r="E6" s="29">
        <v>1000.0</v>
      </c>
      <c r="F6" s="12"/>
      <c r="G6" s="12" t="s">
        <v>22</v>
      </c>
      <c r="H6" s="9"/>
      <c r="I6" s="9"/>
      <c r="J6" s="12">
        <v>500.0</v>
      </c>
      <c r="K6" s="9"/>
      <c r="L6" s="9"/>
      <c r="M6" s="9"/>
      <c r="N6" s="9"/>
      <c r="O6" s="9"/>
      <c r="AK6" s="30" t="s">
        <v>23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24</v>
      </c>
      <c r="D3" s="8" t="s">
        <v>5</v>
      </c>
      <c r="E3" s="21" t="s">
        <v>25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9"/>
      <c r="D6" s="12"/>
      <c r="E6" s="29"/>
      <c r="F6" s="9"/>
      <c r="G6" s="9"/>
      <c r="H6" s="9"/>
      <c r="I6" s="9"/>
      <c r="J6" s="9"/>
      <c r="K6" s="9"/>
      <c r="L6" s="9"/>
      <c r="M6" s="9"/>
      <c r="N6" s="9"/>
      <c r="O6" s="9"/>
      <c r="AA6" s="30" t="s">
        <v>18</v>
      </c>
      <c r="AI6" s="30" t="s">
        <v>20</v>
      </c>
      <c r="AJ6" s="30" t="s">
        <v>21</v>
      </c>
      <c r="AK6" s="30" t="s">
        <v>26</v>
      </c>
      <c r="AL6" s="30">
        <v>1000.0</v>
      </c>
      <c r="AQ6" s="30">
        <v>0.0</v>
      </c>
      <c r="AR6" s="30">
        <v>0.0</v>
      </c>
      <c r="AS6" s="30" t="s">
        <v>22</v>
      </c>
      <c r="AV6" s="30">
        <v>0.0</v>
      </c>
      <c r="AW6" s="30">
        <v>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16</v>
      </c>
      <c r="D3" s="8" t="s">
        <v>5</v>
      </c>
      <c r="E3" s="21" t="s">
        <v>27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 t="s">
        <v>21</v>
      </c>
      <c r="D6" s="12">
        <v>500.0</v>
      </c>
      <c r="E6" s="12">
        <v>500.0</v>
      </c>
      <c r="F6" s="9"/>
      <c r="G6" s="12" t="s">
        <v>22</v>
      </c>
      <c r="H6" s="9"/>
      <c r="I6" s="9"/>
      <c r="J6" s="12">
        <v>100.0</v>
      </c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28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29</v>
      </c>
      <c r="C6" s="9"/>
      <c r="D6" s="12"/>
      <c r="E6" s="12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1-RJhOo2E5PhyqaiMEjsPi8RpfYBuiSqE9fj_-bRpkKw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30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IFERROR(__xludf.DUMMYFUNCTION("""COMPUTED_VALUE"""),"MasterFund")</f>
        <v>MasterFund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>
        <v>500.0</v>
      </c>
      <c r="D6" s="12"/>
      <c r="E6" s="12" t="s">
        <v>23</v>
      </c>
      <c r="F6" s="12" t="s">
        <v>21</v>
      </c>
      <c r="G6" s="9"/>
      <c r="H6" s="12">
        <v>100.0</v>
      </c>
      <c r="I6" s="9"/>
      <c r="J6" s="9"/>
      <c r="K6" s="12">
        <v>100.0</v>
      </c>
      <c r="L6" s="9"/>
      <c r="M6" s="9"/>
      <c r="N6" s="9"/>
      <c r="O6" s="9"/>
      <c r="P6" s="30" t="s">
        <v>22</v>
      </c>
      <c r="R6" s="30">
        <v>4.0</v>
      </c>
      <c r="S6" s="30">
        <v>5.0</v>
      </c>
      <c r="AJ6" s="30">
        <v>1.0</v>
      </c>
      <c r="AR6" s="30">
        <v>14.028</v>
      </c>
      <c r="AS6" s="30">
        <v>500.0</v>
      </c>
      <c r="AT6" s="30">
        <v>50014.028</v>
      </c>
      <c r="AU6" s="30">
        <v>50014.028</v>
      </c>
      <c r="AV6" s="30">
        <v>0.0</v>
      </c>
      <c r="AX6" s="30">
        <v>50000.0</v>
      </c>
      <c r="AY6" s="30">
        <v>50000.0</v>
      </c>
      <c r="AZ6" s="30" t="s">
        <v>31</v>
      </c>
      <c r="BJ6" s="30" t="s">
        <v>32</v>
      </c>
      <c r="BN6" s="30" t="s">
        <v>33</v>
      </c>
      <c r="CS6" s="30" t="s">
        <v>18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1-RJhOo2E5PhyqaiMEjsPi8RpfYBuiSqE9fj_-bRpkKw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34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IFERROR(__xludf.DUMMYFUNCTION("""COMPUTED_VALUE"""),"Master Fund")</f>
        <v>Master Fund</v>
      </c>
      <c r="CR5" s="28" t="str">
        <f>IFERROR(__xludf.DUMMYFUNCTION("""COMPUTED_VALUE"""),"Client")</f>
        <v>Client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 t="s">
        <v>21</v>
      </c>
      <c r="D6" s="12">
        <v>500.0</v>
      </c>
      <c r="E6" s="12">
        <v>500.0</v>
      </c>
      <c r="F6" s="9"/>
      <c r="G6" s="30">
        <v>50014.028</v>
      </c>
      <c r="H6" s="30">
        <v>50014.028</v>
      </c>
      <c r="I6" s="12">
        <v>50000.0</v>
      </c>
      <c r="J6" s="12" t="s">
        <v>21</v>
      </c>
      <c r="K6" s="12">
        <v>50000.0</v>
      </c>
      <c r="L6" s="9"/>
      <c r="M6" s="9"/>
      <c r="N6" s="9"/>
      <c r="O6" s="9"/>
      <c r="P6" s="30" t="s">
        <v>22</v>
      </c>
      <c r="AN6" s="30">
        <v>500.0</v>
      </c>
      <c r="AO6" s="30">
        <v>0.0</v>
      </c>
      <c r="AW6" s="30">
        <v>4.0</v>
      </c>
      <c r="AY6" s="30">
        <v>5.0</v>
      </c>
      <c r="CQ6" s="30" t="s">
        <v>18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1mOtszotVOdqHquQTLi-4CBnAUrtAF2MEABuvYJh_hzw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35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Percentage")</f>
        <v>Account Percentage</v>
      </c>
      <c r="D5" s="26" t="str">
        <f>IFERROR(__xludf.DUMMYFUNCTION("""COMPUTED_VALUE"""),"Account Quantity")</f>
        <v>Account Quantity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36</v>
      </c>
      <c r="C6" s="12">
        <v>100.0</v>
      </c>
      <c r="D6" s="12"/>
      <c r="E6" s="29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24</v>
      </c>
      <c r="D3" s="8" t="s">
        <v>5</v>
      </c>
      <c r="E3" s="21" t="s">
        <v>37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FxRate Operator")</f>
        <v>Settlement FxRate Operator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IFERROR(__xludf.DUMMYFUNCTION("""COMPUTED_VALUE"""),"Put/Call")</f>
        <v>Put/Call</v>
      </c>
      <c r="X5" s="28" t="str">
        <f>IFERROR(__xludf.DUMMYFUNCTION("""COMPUTED_VALUE"""),"Process Date")</f>
        <v>Process Date</v>
      </c>
      <c r="Y5" s="28" t="str">
        <f>IFERROR(__xludf.DUMMYFUNCTION("""COMPUTED_VALUE"""),"Peg")</f>
        <v>Peg</v>
      </c>
      <c r="Z5" s="28" t="str">
        <f>IFERROR(__xludf.DUMMYFUNCTION("""COMPUTED_VALUE"""),"ParentClOrderID")</f>
        <v>ParentClOrderID</v>
      </c>
      <c r="AA5" s="28" t="str">
        <f>IFERROR(__xludf.DUMMYFUNCTION("""COMPUTED_VALUE"""),"OrderID")</f>
        <v>OrderID</v>
      </c>
      <c r="AB5" s="28" t="str">
        <f>IFERROR(__xludf.DUMMYFUNCTION("""COMPUTED_VALUE"""),"Master Fund")</f>
        <v>Master Fund</v>
      </c>
      <c r="AC5" s="28" t="str">
        <f>IFERROR(__xludf.DUMMYFUNCTION("""COMPUTED_VALUE"""),"Last Shares")</f>
        <v>Last Shares</v>
      </c>
      <c r="AD5" s="28" t="str">
        <f>IFERROR(__xludf.DUMMYFUNCTION("""COMPUTED_VALUE"""),"Internal Comments")</f>
        <v>Internal Comments</v>
      </c>
      <c r="AE5" s="28" t="str">
        <f>IFERROR(__xludf.DUMMYFUNCTION("""COMPUTED_VALUE"""),"FX Rate")</f>
        <v>FX Rate</v>
      </c>
      <c r="AF5" s="28" t="str">
        <f>IFERROR(__xludf.DUMMYFUNCTION("""COMPUTED_VALUE"""),"Imported File Name")</f>
        <v>Imported File Name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IFERROR(__xludf.DUMMYFUNCTION("""COMPUTED_VALUE"""),"Day Average Price")</f>
        <v>Day Average Price</v>
      </c>
      <c r="AI5" s="28" t="str">
        <f>IFERROR(__xludf.DUMMYFUNCTION("""COMPUTED_VALUE"""),"Asset Class")</f>
        <v>Asset Class</v>
      </c>
      <c r="AJ5" s="28" t="str">
        <f>IFERROR(__xludf.DUMMYFUNCTION("""COMPUTED_VALUE"""),"Symbol")</f>
        <v>Symbol</v>
      </c>
      <c r="AK5" s="28" t="str">
        <f>IFERROR(__xludf.DUMMYFUNCTION("""COMPUTED_VALUE"""),"Side")</f>
        <v>Side</v>
      </c>
      <c r="AL5" s="28" t="str">
        <f>IFERROR(__xludf.DUMMYFUNCTION("""COMPUTED_VALUE"""),"Status")</f>
        <v>Status</v>
      </c>
      <c r="AM5" s="28" t="str">
        <f>IFERROR(__xludf.DUMMYFUNCTION("""COMPUTED_VALUE"""),"Quantity")</f>
        <v>Quantity</v>
      </c>
      <c r="AN5" s="28" t="str">
        <f>IFERROR(__xludf.DUMMYFUNCTION("""COMPUTED_VALUE"""),"Executed Qty")</f>
        <v>Executed Qty</v>
      </c>
      <c r="AO5" s="28" t="str">
        <f>IFERROR(__xludf.DUMMYFUNCTION("""COMPUTED_VALUE"""),"% Executed")</f>
        <v>% Executed</v>
      </c>
      <c r="AP5" s="28" t="str">
        <f>IFERROR(__xludf.DUMMYFUNCTION("""COMPUTED_VALUE"""),"Day Executed Qty")</f>
        <v>Day Executed Qty</v>
      </c>
      <c r="AQ5" s="28" t="str">
        <f>IFERROR(__xludf.DUMMYFUNCTION("""COMPUTED_VALUE"""),"Remaining Qty")</f>
        <v>Remaining Qty</v>
      </c>
      <c r="AR5" s="28" t="str">
        <f>IFERROR(__xludf.DUMMYFUNCTION("""COMPUTED_VALUE"""),"Last Fill Price (Local)")</f>
        <v>Last Fill Price (Local)</v>
      </c>
      <c r="AS5" s="28" t="str">
        <f>IFERROR(__xludf.DUMMYFUNCTION("""COMPUTED_VALUE"""),"Avg Fill Price (Local)")</f>
        <v>Avg Fill Price (Local)</v>
      </c>
      <c r="AT5" s="28" t="str">
        <f>IFERROR(__xludf.DUMMYFUNCTION("""COMPUTED_VALUE"""),"Broker")</f>
        <v>Broker</v>
      </c>
      <c r="AU5" s="28" t="str">
        <f>IFERROR(__xludf.DUMMYFUNCTION("""COMPUTED_VALUE"""),"Account")</f>
        <v>Account</v>
      </c>
      <c r="AV5" s="28" t="str">
        <f>IFERROR(__xludf.DUMMYFUNCTION("""COMPUTED_VALUE"""),"Order Type")</f>
        <v>Order Type</v>
      </c>
      <c r="AW5" s="28" t="str">
        <f>IFERROR(__xludf.DUMMYFUNCTION("""COMPUTED_VALUE"""),"Principal Amount (Local)")</f>
        <v>Principal Amount (Local)</v>
      </c>
      <c r="AX5" s="28" t="str">
        <f>IFERROR(__xludf.DUMMYFUNCTION("""COMPUTED_VALUE"""),"Principal Amount (Base)")</f>
        <v>Principal Amount (Base)</v>
      </c>
      <c r="AY5" s="28" t="str">
        <f>IFERROR(__xludf.DUMMYFUNCTION("""COMPUTED_VALUE"""),"Settlement FxRate")</f>
        <v>Settlement FxRate</v>
      </c>
      <c r="AZ5" s="28" t="str">
        <f>IFERROR(__xludf.DUMMYFUNCTION("""COMPUTED_VALUE"""),"Settlement Price")</f>
        <v>Settlement Price</v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9"/>
      <c r="D6" s="12">
        <v>100.0</v>
      </c>
      <c r="E6" s="29"/>
      <c r="F6" s="9"/>
      <c r="G6" s="9"/>
      <c r="H6" s="9"/>
      <c r="I6" s="9"/>
      <c r="J6" s="9"/>
      <c r="K6" s="9"/>
      <c r="L6" s="9"/>
      <c r="M6" s="9"/>
      <c r="N6" s="9"/>
      <c r="O6" s="9"/>
      <c r="R6" s="30" t="s">
        <v>39</v>
      </c>
      <c r="AB6" s="30" t="s">
        <v>39</v>
      </c>
      <c r="AE6" s="30">
        <v>1.0</v>
      </c>
      <c r="AJ6" s="30" t="s">
        <v>20</v>
      </c>
      <c r="AK6" s="30" t="s">
        <v>21</v>
      </c>
      <c r="AL6" s="30" t="s">
        <v>40</v>
      </c>
      <c r="AM6" s="30">
        <v>500.0</v>
      </c>
      <c r="AS6" s="30">
        <v>100.0</v>
      </c>
      <c r="AT6" s="30" t="s">
        <v>22</v>
      </c>
      <c r="AU6" s="30" t="s">
        <v>36</v>
      </c>
      <c r="AV6" s="30" t="s">
        <v>33</v>
      </c>
      <c r="AW6" s="30">
        <v>50000.0</v>
      </c>
      <c r="AX6" s="30">
        <v>50000.0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12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16</v>
      </c>
      <c r="D3" s="8" t="s">
        <v>5</v>
      </c>
      <c r="E3" s="21" t="s">
        <v>38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IFERROR(__xludf.DUMMYFUNCTION("""COMPUTED_VALUE"""),"MasterFund")</f>
        <v>MasterFund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/>
      <c r="C6" s="9"/>
      <c r="D6" s="12">
        <v>600.0</v>
      </c>
      <c r="E6" s="29"/>
      <c r="F6" s="12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24</v>
      </c>
      <c r="D3" s="8" t="s">
        <v>5</v>
      </c>
      <c r="E3" s="21" t="s">
        <v>41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IFERROR(__xludf.DUMMYFUNCTION("""COMPUTED_VALUE"""),"Unexecuted Qty")</f>
        <v>Unexecuted Qty</v>
      </c>
      <c r="G5" s="26" t="str">
        <f>IFERROR(__xludf.DUMMYFUNCTION("""COMPUTED_VALUE"""),"Status")</f>
        <v>Status</v>
      </c>
      <c r="H5" s="26" t="str">
        <f>IFERROR(__xludf.DUMMYFUNCTION("""COMPUTED_VALUE"""),"Last Shares")</f>
        <v>Last Shares</v>
      </c>
      <c r="I5" s="26" t="str">
        <f>IFERROR(__xludf.DUMMYFUNCTION("""COMPUTED_VALUE"""),"Last Fill Price (Local)")</f>
        <v>Last Fill Price (Local)</v>
      </c>
      <c r="J5" s="26" t="str">
        <f>IFERROR(__xludf.DUMMYFUNCTION("""COMPUTED_VALUE"""),"Avg Fill Price (Local)")</f>
        <v>Avg Fill Price (Local)</v>
      </c>
      <c r="K5" s="26" t="str">
        <f>IFERROR(__xludf.DUMMYFUNCTION("""COMPUTED_VALUE"""),"Broker")</f>
        <v>Broker</v>
      </c>
      <c r="L5" s="26" t="str">
        <f>IFERROR(__xludf.DUMMYFUNCTION("""COMPUTED_VALUE"""),"Account")</f>
        <v>Account</v>
      </c>
      <c r="M5" s="26" t="str">
        <f>IFERROR(__xludf.DUMMYFUNCTION("""COMPUTED_VALUE"""),"Order Type")</f>
        <v>Order Type</v>
      </c>
      <c r="N5" s="26" t="str">
        <f>IFERROR(__xludf.DUMMYFUNCTION("""COMPUTED_VALUE"""),"OrderStatus")</f>
        <v>OrderStatus</v>
      </c>
      <c r="O5" s="26" t="str">
        <f>IFERROR(__xludf.DUMMYFUNCTION("""COMPUTED_VALUE"""),"Avg Fill Price (Base)")</f>
        <v>Avg Fill Price (Base)</v>
      </c>
      <c r="P5" s="26" t="str">
        <f>IFERROR(__xludf.DUMMYFUNCTION("""COMPUTED_VALUE"""),"Limit Price")</f>
        <v>Limit Price</v>
      </c>
      <c r="Q5" s="26" t="str">
        <f>IFERROR(__xludf.DUMMYFUNCTION("""COMPUTED_VALUE"""),"Stop Price")</f>
        <v>Stop Price</v>
      </c>
      <c r="R5" s="26" t="str">
        <f>IFERROR(__xludf.DUMMYFUNCTION("""COMPUTED_VALUE"""),"User")</f>
        <v>User</v>
      </c>
      <c r="S5" s="26" t="str">
        <f>IFERROR(__xludf.DUMMYFUNCTION("""COMPUTED_VALUE"""),"Bloomberg Symbol")</f>
        <v>Bloomberg Symbol</v>
      </c>
      <c r="T5" s="28" t="str">
        <f>IFERROR(__xludf.DUMMYFUNCTION("""COMPUTED_VALUE"""),"Algo")</f>
        <v>Algo</v>
      </c>
      <c r="U5" s="28" t="str">
        <f>IFERROR(__xludf.DUMMYFUNCTION("""COMPUTED_VALUE"""),"Allocation Scheme Name")</f>
        <v>Allocation Scheme Name</v>
      </c>
      <c r="V5" s="28" t="str">
        <f>IFERROR(__xludf.DUMMYFUNCTION("""COMPUTED_VALUE"""),"Allocation Status")</f>
        <v>Allocation Status</v>
      </c>
      <c r="W5" s="28" t="str">
        <f>IFERROR(__xludf.DUMMYFUNCTION("""COMPUTED_VALUE"""),"Asset Class")</f>
        <v>Asset Class</v>
      </c>
      <c r="X5" s="28" t="str">
        <f>IFERROR(__xludf.DUMMYFUNCTION("""COMPUTED_VALUE"""),"FX Conversion Operator")</f>
        <v>FX Conversion Operator</v>
      </c>
      <c r="Y5" s="28" t="str">
        <f>IFERROR(__xludf.DUMMYFUNCTION("""COMPUTED_VALUE"""),"FX Rate")</f>
        <v>FX Rate</v>
      </c>
      <c r="Z5" s="28" t="str">
        <f>IFERROR(__xludf.DUMMYFUNCTION("""COMPUTED_VALUE"""),"Imported File Name")</f>
        <v>Imported File Name</v>
      </c>
      <c r="AA5" s="28" t="str">
        <f>IFERROR(__xludf.DUMMYFUNCTION("""COMPUTED_VALUE"""),"Internal Comments")</f>
        <v>Internal Comments</v>
      </c>
      <c r="AB5" s="28" t="str">
        <f>IFERROR(__xludf.DUMMYFUNCTION("""COMPUTED_VALUE"""),"Peg")</f>
        <v>Peg</v>
      </c>
      <c r="AC5" s="28" t="str">
        <f>IFERROR(__xludf.DUMMYFUNCTION("""COMPUTED_VALUE"""),"Principal Amount (Base)")</f>
        <v>Principal Amount (Base)</v>
      </c>
      <c r="AD5" s="28" t="str">
        <f>IFERROR(__xludf.DUMMYFUNCTION("""COMPUTED_VALUE"""),"Principal Amount (Local)")</f>
        <v>Principal Amount (Local)</v>
      </c>
      <c r="AE5" s="28" t="str">
        <f>IFERROR(__xludf.DUMMYFUNCTION("""COMPUTED_VALUE"""),"Process Date")</f>
        <v>Process Date</v>
      </c>
      <c r="AF5" s="28" t="str">
        <f>IFERROR(__xludf.DUMMYFUNCTION("""COMPUTED_VALUE"""),"Put/Call")</f>
        <v>Put/Call</v>
      </c>
      <c r="AG5" s="28" t="str">
        <f>IFERROR(__xludf.DUMMYFUNCTION("""COMPUTED_VALUE"""),"Settlement Currency")</f>
        <v>Settlement Currency</v>
      </c>
      <c r="AH5" s="28" t="str">
        <f>IFERROR(__xludf.DUMMYFUNCTION("""COMPUTED_VALUE"""),"Source")</f>
        <v>Source</v>
      </c>
      <c r="AI5" s="28" t="str">
        <f>IFERROR(__xludf.DUMMYFUNCTION("""COMPUTED_VALUE"""),"Status (With Rollover)")</f>
        <v>Status (With Rollover)</v>
      </c>
      <c r="AJ5" s="28" t="str">
        <f>IFERROR(__xludf.DUMMYFUNCTION("""COMPUTED_VALUE"""),"Strategy")</f>
        <v>Strategy</v>
      </c>
      <c r="AK5" s="28" t="str">
        <f>IFERROR(__xludf.DUMMYFUNCTION("""COMPUTED_VALUE"""),"Strike Price")</f>
        <v>Strike Price</v>
      </c>
      <c r="AL5" s="28" t="str">
        <f>IFERROR(__xludf.DUMMYFUNCTION("""COMPUTED_VALUE"""),"Trade Attribute 1")</f>
        <v>Trade Attribute 1</v>
      </c>
      <c r="AM5" s="28" t="str">
        <f>IFERROR(__xludf.DUMMYFUNCTION("""COMPUTED_VALUE"""),"Trade Attribute 2")</f>
        <v>Trade Attribute 2</v>
      </c>
      <c r="AN5" s="28" t="str">
        <f>IFERROR(__xludf.DUMMYFUNCTION("""COMPUTED_VALUE"""),"Trade Attribute 3")</f>
        <v>Trade Attribute 3</v>
      </c>
      <c r="AO5" s="28" t="str">
        <f>IFERROR(__xludf.DUMMYFUNCTION("""COMPUTED_VALUE"""),"Trade Attribute 4")</f>
        <v>Trade Attribute 4</v>
      </c>
      <c r="AP5" s="28" t="str">
        <f>IFERROR(__xludf.DUMMYFUNCTION("""COMPUTED_VALUE"""),"Trade Attribute 5")</f>
        <v>Trade Attribute 5</v>
      </c>
      <c r="AQ5" s="28" t="str">
        <f>IFERROR(__xludf.DUMMYFUNCTION("""COMPUTED_VALUE"""),"Trade Attribute 6")</f>
        <v>Trade Attribute 6</v>
      </c>
      <c r="AR5" s="28" t="str">
        <f>IFERROR(__xludf.DUMMYFUNCTION("""COMPUTED_VALUE"""),"Trader")</f>
        <v>Trader</v>
      </c>
      <c r="AS5" s="28" t="str">
        <f>IFERROR(__xludf.DUMMYFUNCTION("""COMPUTED_VALUE"""),"Transaction Time")</f>
        <v>Transaction Time</v>
      </c>
      <c r="AT5" s="28" t="str">
        <f>IFERROR(__xludf.DUMMYFUNCTION("""COMPUTED_VALUE"""),"Underlying Country")</f>
        <v>Underlying Country</v>
      </c>
      <c r="AU5" s="28" t="str">
        <f>IFERROR(__xludf.DUMMYFUNCTION("""COMPUTED_VALUE"""),"Underlying Symbol")</f>
        <v>Underlying Symbol</v>
      </c>
      <c r="AV5" s="28" t="str">
        <f>IFERROR(__xludf.DUMMYFUNCTION("""COMPUTED_VALUE"""),"Venue")</f>
        <v>Venue</v>
      </c>
      <c r="AW5" s="28" t="str">
        <f>IFERROR(__xludf.DUMMYFUNCTION("""COMPUTED_VALUE"""),"Working Qty")</f>
        <v>Working Qty</v>
      </c>
      <c r="AX5" s="28" t="str">
        <f>IFERROR(__xludf.DUMMYFUNCTION("""COMPUTED_VALUE"""),"Client")</f>
        <v>Client</v>
      </c>
      <c r="AY5" s="28" t="str">
        <f>IFERROR(__xludf.DUMMYFUNCTION("""COMPUTED_VALUE"""),"OrderID")</f>
        <v>OrderID</v>
      </c>
      <c r="AZ5" s="28" t="str">
        <f>IFERROR(__xludf.DUMMYFUNCTION("""COMPUTED_VALUE"""),"ParentClOrderID")</f>
        <v>ParentClOrderID</v>
      </c>
      <c r="BA5" s="28" t="str">
        <f>IFERROR(__xludf.DUMMYFUNCTION("""COMPUTED_VALUE"""),"Master Fund")</f>
        <v>Master Fund</v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20</v>
      </c>
      <c r="C6" s="12" t="s">
        <v>21</v>
      </c>
      <c r="D6" s="12">
        <v>600.0</v>
      </c>
      <c r="E6" s="12">
        <v>500.0</v>
      </c>
      <c r="F6" s="12">
        <v>100.0</v>
      </c>
      <c r="G6" s="12" t="s">
        <v>43</v>
      </c>
      <c r="H6" s="9"/>
      <c r="I6" s="9"/>
      <c r="J6" s="12">
        <v>100.0</v>
      </c>
      <c r="K6" s="12" t="s">
        <v>22</v>
      </c>
      <c r="L6" s="12" t="s">
        <v>36</v>
      </c>
      <c r="M6" s="12" t="s">
        <v>33</v>
      </c>
      <c r="N6" s="9"/>
      <c r="O6" s="12">
        <v>100.0</v>
      </c>
      <c r="V6" s="30" t="s">
        <v>44</v>
      </c>
      <c r="Y6" s="30">
        <v>1.0</v>
      </c>
      <c r="AC6" s="30">
        <v>50000.0</v>
      </c>
      <c r="AD6" s="30">
        <v>50000.0</v>
      </c>
      <c r="AQ6" s="30" t="s">
        <v>39</v>
      </c>
      <c r="AW6" s="30">
        <v>100.0</v>
      </c>
      <c r="BA6" s="30" t="s">
        <v>39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12</v>
      </c>
      <c r="D3" s="8" t="s">
        <v>5</v>
      </c>
      <c r="E3" s="21" t="s">
        <v>42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12" t="s">
        <v>36</v>
      </c>
      <c r="C6" s="9"/>
      <c r="D6" s="12">
        <v>0.0</v>
      </c>
      <c r="E6" s="12">
        <v>500.0</v>
      </c>
      <c r="F6" s="9"/>
      <c r="G6" s="9"/>
      <c r="H6" s="12">
        <v>4.0</v>
      </c>
      <c r="I6" s="12">
        <v>5.0</v>
      </c>
      <c r="J6" s="9"/>
      <c r="K6" s="12">
        <v>100.0</v>
      </c>
      <c r="L6" s="12">
        <v>100.0</v>
      </c>
      <c r="M6" s="9"/>
      <c r="N6" s="9"/>
      <c r="O6" s="12" t="s">
        <v>22</v>
      </c>
      <c r="R6" s="30">
        <v>0.0</v>
      </c>
      <c r="S6" s="30" t="s">
        <v>32</v>
      </c>
      <c r="T6" s="30">
        <v>0.0</v>
      </c>
      <c r="U6" s="30">
        <v>0.0</v>
      </c>
      <c r="V6" s="30" t="s">
        <v>45</v>
      </c>
      <c r="AE6" s="30">
        <v>500.0</v>
      </c>
      <c r="AI6" s="30">
        <v>1.0</v>
      </c>
      <c r="AT6" s="30">
        <v>50014.028</v>
      </c>
      <c r="AU6" s="30">
        <v>50014.028</v>
      </c>
      <c r="AW6" s="30">
        <v>0.0</v>
      </c>
      <c r="AX6" s="30">
        <v>0.0</v>
      </c>
      <c r="AY6" s="30" t="s">
        <v>33</v>
      </c>
      <c r="AZ6" s="30">
        <v>0.0</v>
      </c>
      <c r="BE6" s="30">
        <v>50000.0</v>
      </c>
      <c r="BF6" s="30">
        <v>50000.0</v>
      </c>
      <c r="BJ6" s="30">
        <v>600.0</v>
      </c>
      <c r="BO6" s="30" t="s">
        <v>21</v>
      </c>
      <c r="BT6" s="30" t="s">
        <v>20</v>
      </c>
      <c r="CD6" s="30" t="s">
        <v>39</v>
      </c>
      <c r="CI6" s="30" t="s">
        <v>21</v>
      </c>
      <c r="CJ6" s="30">
        <v>0.0</v>
      </c>
      <c r="CP6" s="30" t="s">
        <v>32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8" width="14.43"/>
    <col customWidth="1" min="19" max="19" width="19.29"/>
    <col customWidth="1" min="20" max="166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8" t="s">
        <v>3</v>
      </c>
      <c r="C3" s="21" t="s">
        <v>46</v>
      </c>
      <c r="D3" s="8" t="s">
        <v>5</v>
      </c>
      <c r="E3" s="21" t="s">
        <v>47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IFERROR(__xludf.DUMMYFUNCTION("""COMPUTED_VALUE"""),"Client")</f>
        <v>Client</v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</row>
    <row r="6" ht="15.75" customHeight="1">
      <c r="A6" s="12"/>
      <c r="B6" s="12"/>
      <c r="C6" s="12" t="s">
        <v>20</v>
      </c>
      <c r="D6" s="12">
        <v>500.0</v>
      </c>
      <c r="E6" s="12" t="s">
        <v>36</v>
      </c>
      <c r="F6" s="12" t="s">
        <v>39</v>
      </c>
      <c r="G6" s="12">
        <v>100.0</v>
      </c>
      <c r="H6" s="12" t="s">
        <v>48</v>
      </c>
      <c r="I6" s="12">
        <v>0.0</v>
      </c>
      <c r="J6" s="9"/>
      <c r="K6" s="12">
        <v>0.0</v>
      </c>
      <c r="L6" s="12">
        <v>0.0</v>
      </c>
      <c r="M6" s="12">
        <v>0.0</v>
      </c>
      <c r="N6" s="12">
        <v>-50000.0</v>
      </c>
      <c r="O6" s="12" t="s">
        <v>45</v>
      </c>
      <c r="P6" s="30" t="s">
        <v>49</v>
      </c>
      <c r="Q6" s="30">
        <v>-50000.0</v>
      </c>
      <c r="R6" s="30" t="s">
        <v>22</v>
      </c>
      <c r="S6" s="30" t="s">
        <v>50</v>
      </c>
      <c r="T6" s="30" t="s">
        <v>51</v>
      </c>
      <c r="U6" s="30" t="s">
        <v>52</v>
      </c>
      <c r="V6" s="30" t="s">
        <v>53</v>
      </c>
      <c r="W6" s="30" t="s">
        <v>31</v>
      </c>
      <c r="Y6" s="30">
        <v>1.0</v>
      </c>
      <c r="AB6" s="30">
        <v>0.0</v>
      </c>
      <c r="AC6" s="30">
        <v>0.0</v>
      </c>
      <c r="AD6" s="30">
        <v>0.0</v>
      </c>
      <c r="AE6" s="30">
        <v>0.0</v>
      </c>
      <c r="AF6" s="30">
        <v>500.0</v>
      </c>
      <c r="AG6" s="30">
        <v>0.0</v>
      </c>
      <c r="AH6" s="30">
        <v>0.0</v>
      </c>
      <c r="AI6" s="30">
        <v>0.0</v>
      </c>
      <c r="AJ6" s="30">
        <v>0.0</v>
      </c>
      <c r="AK6" s="30">
        <v>-50000.0</v>
      </c>
      <c r="AP6" s="30" t="s">
        <v>48</v>
      </c>
      <c r="AQ6" s="30" t="s">
        <v>20</v>
      </c>
      <c r="AR6" s="30">
        <v>0.0</v>
      </c>
      <c r="AV6" s="30">
        <v>1.0</v>
      </c>
      <c r="AX6" s="30">
        <v>0.0</v>
      </c>
      <c r="AY6" s="30">
        <v>0.0</v>
      </c>
      <c r="AZ6" s="30">
        <v>0.0</v>
      </c>
      <c r="BA6" s="30">
        <v>-100.0</v>
      </c>
      <c r="BD6" s="30">
        <v>-50000.0</v>
      </c>
      <c r="BE6" s="30" t="s">
        <v>51</v>
      </c>
      <c r="BH6" s="30" t="s">
        <v>49</v>
      </c>
      <c r="BJ6" s="30">
        <v>0.0</v>
      </c>
      <c r="BK6" s="30">
        <v>0.0</v>
      </c>
      <c r="BL6" s="30">
        <v>0.0</v>
      </c>
      <c r="BM6" s="30">
        <v>0.0</v>
      </c>
      <c r="BO6" s="30">
        <v>-50000.0</v>
      </c>
      <c r="BP6" s="30">
        <v>0.0</v>
      </c>
      <c r="BR6" s="30" t="s">
        <v>22</v>
      </c>
      <c r="BS6" s="30">
        <v>0.0</v>
      </c>
      <c r="BT6" s="30">
        <v>0.0</v>
      </c>
      <c r="BU6" s="30" t="s">
        <v>51</v>
      </c>
      <c r="BW6" s="30">
        <v>0.0</v>
      </c>
      <c r="BX6" s="30">
        <v>0.0</v>
      </c>
      <c r="BY6" s="30">
        <v>0.0</v>
      </c>
      <c r="BZ6" s="30">
        <v>0.0</v>
      </c>
      <c r="CA6" s="30">
        <v>0.0</v>
      </c>
      <c r="CC6" s="30">
        <v>0.0</v>
      </c>
      <c r="CD6" s="30">
        <v>-50000.0</v>
      </c>
      <c r="CE6" s="30">
        <v>0.0</v>
      </c>
      <c r="CF6" s="30">
        <v>0.0</v>
      </c>
      <c r="CG6" s="30">
        <v>-50000.0</v>
      </c>
      <c r="CH6" s="30">
        <v>-100.0</v>
      </c>
      <c r="CI6" s="30">
        <v>0.0</v>
      </c>
      <c r="CJ6" s="30">
        <v>0.0</v>
      </c>
      <c r="CS6" s="30">
        <v>100.0</v>
      </c>
      <c r="CW6" s="30" t="s">
        <v>39</v>
      </c>
      <c r="DA6" s="30">
        <v>0.0</v>
      </c>
      <c r="DB6" s="30">
        <v>0.0</v>
      </c>
      <c r="DD6" s="30">
        <v>500.0</v>
      </c>
      <c r="DE6" s="30">
        <v>0.0</v>
      </c>
      <c r="DF6" s="30">
        <v>0.0</v>
      </c>
      <c r="DG6" s="30">
        <v>0.0</v>
      </c>
      <c r="DI6" s="30">
        <v>0.0</v>
      </c>
      <c r="DJ6" s="30" t="s">
        <v>21</v>
      </c>
      <c r="EL6" s="30" t="s">
        <v>48</v>
      </c>
      <c r="EM6" s="30">
        <v>0.0</v>
      </c>
      <c r="EN6" s="30">
        <v>0.0</v>
      </c>
      <c r="EQ6" s="30">
        <v>0.0</v>
      </c>
      <c r="ER6" s="30">
        <v>0.0</v>
      </c>
      <c r="ES6" s="30">
        <v>-50000.0</v>
      </c>
      <c r="ET6" s="30">
        <v>0.0</v>
      </c>
      <c r="EU6" s="30">
        <v>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