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lgoBroker" sheetId="4" r:id="rId6"/>
    <sheet state="visible" name="CreateTradeWithAlgoBroker" sheetId="5" r:id="rId7"/>
    <sheet state="visible" name="SelectTradeOnOrderGrid" sheetId="6" r:id="rId8"/>
    <sheet state="visible" name="ReloadOrderFromBlotter" sheetId="7" r:id="rId9"/>
    <sheet state="visible" name="CreateTradeWithAlgoBroker1" sheetId="8" r:id="rId10"/>
    <sheet state="visible" name="CreateTradeWithAlgoBroker2" sheetId="9" r:id="rId11"/>
    <sheet state="visible" name="SelectTradeOnOrderGrid1" sheetId="10" r:id="rId12"/>
    <sheet state="visible" name="ReloadOrderFromBlotter1" sheetId="11" r:id="rId13"/>
    <sheet state="visible" name="CreateTradeWithAlgoBroker3" sheetId="12" r:id="rId14"/>
    <sheet state="visible" name="CreateDoneAwayOrder" sheetId="13" r:id="rId15"/>
    <sheet state="visible" name="AddTabBlotter" sheetId="14" r:id="rId16"/>
    <sheet state="visible" name="VerifyOrder" sheetId="15" r:id="rId17"/>
    <sheet state="visible" name="VerifyCustomTabs" sheetId="16" r:id="rId18"/>
  </sheets>
  <definedNames/>
  <calcPr/>
</workbook>
</file>

<file path=xl/sharedStrings.xml><?xml version="1.0" encoding="utf-8"?>
<sst xmlns="http://schemas.openxmlformats.org/spreadsheetml/2006/main" count="146" uniqueCount="36">
  <si>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</si>
  <si>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</si>
  <si>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</si>
  <si>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</si>
  <si>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</si>
  <si>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</si>
  <si>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</si>
  <si>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</si>
  <si>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</si>
  <si>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</si>
  <si>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</si>
  <si>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</si>
  <si>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</si>
  <si>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SetAlgoBroker</t>
  </si>
  <si>
    <t>Data Format</t>
  </si>
  <si>
    <t>Input Format</t>
  </si>
  <si>
    <t>MS</t>
  </si>
  <si>
    <t>TradingTicket</t>
  </si>
  <si>
    <t>CreateTradeWithAlgoBroker</t>
  </si>
  <si>
    <t>AAPL</t>
  </si>
  <si>
    <t>DoneAway</t>
  </si>
  <si>
    <t>Buy</t>
  </si>
  <si>
    <t>Algo</t>
  </si>
  <si>
    <t>VWAP</t>
  </si>
  <si>
    <t>Blotter</t>
  </si>
  <si>
    <t>SelectTradeOnOrderGrid</t>
  </si>
  <si>
    <t>ReloadOrderFromBlotter</t>
  </si>
  <si>
    <t>MSFT</t>
  </si>
  <si>
    <t>Send</t>
  </si>
  <si>
    <t>CreateDoneAwayOrder</t>
  </si>
  <si>
    <t>GOOG</t>
  </si>
  <si>
    <t>AddTabBlotter</t>
  </si>
  <si>
    <t>CustomTab</t>
  </si>
  <si>
    <t>Add Tab(Order)</t>
  </si>
  <si>
    <t>VerifyOrder</t>
  </si>
  <si>
    <t>VerifyCustomTabs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</si>
</sst>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IFERROR(__xludf.DUMMYFUNCTION("""COMPUTED_VALUE"""),"IsAlgoBroker")</f>
        <v>IsAlgoBroker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SetAlgoBroker!$4:$4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IFERROR(__xludf.DUMMYFUNCTION("""COMPUTED_VALUE"""),"TargetQuantityIn")</f>
        <v>TargetQuantityIn</v>
      </c>
      <c r="E5" s="27" t="str">
        <f>IFERROR(__xludf.DUMMYFUNCTION("""COMPUTED_VALUE"""),"Price")</f>
        <v>Price</v>
      </c>
      <c r="F5" s="28" t="str">
        <f>IFERROR(__xludf.DUMMYFUNCTION("""COMPUTED_VALUE"""),"Order type button")</f>
        <v>Order type button</v>
      </c>
      <c r="G5" s="27" t="str">
        <f>IFERROR(__xludf.DUMMYFUNCTION("""COMPUTED_VALUE"""),"Order Side")</f>
        <v>Order Side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IFERROR(__xludf.DUMMYFUNCTION("""COMPUTED_VALUE"""),"Stop")</f>
        <v>Stop</v>
      </c>
      <c r="K5" s="27" t="str">
        <f>IFERROR(__xludf.DUMMYFUNCTION("""COMPUTED_VALUE"""),"Limit")</f>
        <v>Limit</v>
      </c>
      <c r="L5" s="27" t="str">
        <f>IFERROR(__xludf.DUMMYFUNCTION("""COMPUTED_VALUE"""),"Broker")</f>
        <v>Broker</v>
      </c>
      <c r="M5" s="27" t="str">
        <f>IFERROR(__xludf.DUMMYFUNCTION("""COMPUTED_VALUE"""),"Venue")</f>
        <v>Venue</v>
      </c>
      <c r="N5" s="27" t="str">
        <f>IFERROR(__xludf.DUMMYFUNCTION("""COMPUTED_VALUE"""),"AllocationMethod")</f>
        <v>AllocationMethod</v>
      </c>
      <c r="O5" s="27" t="str">
        <f>IFERROR(__xludf.DUMMYFUNCTION("""COMPUTED_VALUE"""),"Account")</f>
        <v>Account</v>
      </c>
      <c r="P5" s="27" t="str">
        <f>IFERROR(__xludf.DUMMYFUNCTION("""COMPUTED_VALUE"""),"Account %")</f>
        <v>Account %</v>
      </c>
      <c r="Q5" s="27" t="str">
        <f>IFERROR(__xludf.DUMMYFUNCTION("""COMPUTED_VALUE"""),"AlgoType")</f>
        <v>AlgoType</v>
      </c>
      <c r="R5" s="27" t="str">
        <f>IFERROR(__xludf.DUMMYFUNCTION("""COMPUTED_VALUE"""),"Start time")</f>
        <v>Start time</v>
      </c>
      <c r="S5" s="27" t="str">
        <f>IFERROR(__xludf.DUMMYFUNCTION("""COMPUTED_VALUE"""),"End time")</f>
        <v>End time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19</v>
      </c>
      <c r="C6" s="33">
        <v>100.0</v>
      </c>
      <c r="D6" s="31"/>
      <c r="E6" s="33">
        <v>5.0</v>
      </c>
      <c r="F6" s="34" t="s">
        <v>20</v>
      </c>
      <c r="G6" s="34" t="s">
        <v>21</v>
      </c>
      <c r="H6" s="35"/>
      <c r="I6" s="35"/>
      <c r="J6" s="35"/>
      <c r="K6" s="35"/>
      <c r="L6" s="34" t="s">
        <v>16</v>
      </c>
      <c r="M6" s="34" t="s">
        <v>22</v>
      </c>
      <c r="N6" s="35"/>
      <c r="O6" s="35"/>
      <c r="P6" s="35"/>
      <c r="Q6" s="35" t="s">
        <v>23</v>
      </c>
      <c r="R6" s="36">
        <v>1.0</v>
      </c>
      <c r="S6" s="36">
        <v>1.15</v>
      </c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CreateTradeWithAlgoBroker!$4:$4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19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12" t="s">
        <v>19</v>
      </c>
      <c r="K6" s="8"/>
      <c r="L6" s="8"/>
      <c r="M6" s="8"/>
      <c r="N6" s="8"/>
      <c r="O6" s="8"/>
      <c r="AI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ReloadOrderFromBlotter!$4:$4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IFERROR(__xludf.DUMMYFUNCTION("""COMPUTED_VALUE"""),"TargetQuantityIn")</f>
        <v>TargetQuantityIn</v>
      </c>
      <c r="E5" s="27" t="str">
        <f>IFERROR(__xludf.DUMMYFUNCTION("""COMPUTED_VALUE"""),"Price")</f>
        <v>Price</v>
      </c>
      <c r="F5" s="28" t="str">
        <f>IFERROR(__xludf.DUMMYFUNCTION("""COMPUTED_VALUE"""),"Order type button")</f>
        <v>Order type button</v>
      </c>
      <c r="G5" s="27" t="str">
        <f>IFERROR(__xludf.DUMMYFUNCTION("""COMPUTED_VALUE"""),"Order Side")</f>
        <v>Order Side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IFERROR(__xludf.DUMMYFUNCTION("""COMPUTED_VALUE"""),"Stop")</f>
        <v>Stop</v>
      </c>
      <c r="K5" s="27" t="str">
        <f>IFERROR(__xludf.DUMMYFUNCTION("""COMPUTED_VALUE"""),"Limit")</f>
        <v>Limit</v>
      </c>
      <c r="L5" s="27" t="str">
        <f>IFERROR(__xludf.DUMMYFUNCTION("""COMPUTED_VALUE"""),"Broker")</f>
        <v>Broker</v>
      </c>
      <c r="M5" s="27" t="str">
        <f>IFERROR(__xludf.DUMMYFUNCTION("""COMPUTED_VALUE"""),"Venue")</f>
        <v>Venue</v>
      </c>
      <c r="N5" s="27" t="str">
        <f>IFERROR(__xludf.DUMMYFUNCTION("""COMPUTED_VALUE"""),"AllocationMethod")</f>
        <v>AllocationMethod</v>
      </c>
      <c r="O5" s="27" t="str">
        <f>IFERROR(__xludf.DUMMYFUNCTION("""COMPUTED_VALUE"""),"Account")</f>
        <v>Account</v>
      </c>
      <c r="P5" s="27" t="str">
        <f>IFERROR(__xludf.DUMMYFUNCTION("""COMPUTED_VALUE"""),"Account %")</f>
        <v>Account %</v>
      </c>
      <c r="Q5" s="27" t="str">
        <f>IFERROR(__xludf.DUMMYFUNCTION("""COMPUTED_VALUE"""),"AlgoType")</f>
        <v>AlgoType</v>
      </c>
      <c r="R5" s="27" t="str">
        <f>IFERROR(__xludf.DUMMYFUNCTION("""COMPUTED_VALUE"""),"Start time")</f>
        <v>Start time</v>
      </c>
      <c r="S5" s="27" t="str">
        <f>IFERROR(__xludf.DUMMYFUNCTION("""COMPUTED_VALUE"""),"End time")</f>
        <v>End time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19</v>
      </c>
      <c r="C6" s="37">
        <v>200.0</v>
      </c>
      <c r="D6" s="31"/>
      <c r="E6" s="33">
        <v>5.0</v>
      </c>
      <c r="F6" s="34" t="s">
        <v>20</v>
      </c>
      <c r="G6" s="34" t="s">
        <v>21</v>
      </c>
      <c r="H6" s="35"/>
      <c r="I6" s="35"/>
      <c r="J6" s="35"/>
      <c r="K6" s="35"/>
      <c r="L6" s="34" t="s">
        <v>16</v>
      </c>
      <c r="M6" s="34" t="s">
        <v>22</v>
      </c>
      <c r="N6" s="35"/>
      <c r="O6" s="35"/>
      <c r="P6" s="35"/>
      <c r="Q6" s="35" t="s">
        <v>23</v>
      </c>
      <c r="R6" s="36">
        <v>1.0</v>
      </c>
      <c r="S6" s="36">
        <v>1.15</v>
      </c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CreateTradeWithAlgoBroker1!$4:$4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IFERROR(__xludf.DUMMYFUNCTION("""COMPUTED_VALUE"""),"TargetQuantityIn")</f>
        <v>TargetQuantityIn</v>
      </c>
      <c r="E5" s="27" t="str">
        <f>IFERROR(__xludf.DUMMYFUNCTION("""COMPUTED_VALUE"""),"Price")</f>
        <v>Price</v>
      </c>
      <c r="F5" s="28" t="str">
        <f>IFERROR(__xludf.DUMMYFUNCTION("""COMPUTED_VALUE"""),"Order type button")</f>
        <v>Order type button</v>
      </c>
      <c r="G5" s="27" t="str">
        <f>IFERROR(__xludf.DUMMYFUNCTION("""COMPUTED_VALUE"""),"Order Side")</f>
        <v>Order Side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IFERROR(__xludf.DUMMYFUNCTION("""COMPUTED_VALUE"""),"Stop")</f>
        <v>Stop</v>
      </c>
      <c r="K5" s="27" t="str">
        <f>IFERROR(__xludf.DUMMYFUNCTION("""COMPUTED_VALUE"""),"Limit")</f>
        <v>Limit</v>
      </c>
      <c r="L5" s="27" t="str">
        <f>IFERROR(__xludf.DUMMYFUNCTION("""COMPUTED_VALUE"""),"Broker")</f>
        <v>Broker</v>
      </c>
      <c r="M5" s="27" t="str">
        <f>IFERROR(__xludf.DUMMYFUNCTION("""COMPUTED_VALUE"""),"Venue")</f>
        <v>Venue</v>
      </c>
      <c r="N5" s="27" t="str">
        <f>IFERROR(__xludf.DUMMYFUNCTION("""COMPUTED_VALUE"""),"AllocationMethod")</f>
        <v>AllocationMethod</v>
      </c>
      <c r="O5" s="27" t="str">
        <f>IFERROR(__xludf.DUMMYFUNCTION("""COMPUTED_VALUE"""),"Account")</f>
        <v>Account</v>
      </c>
      <c r="P5" s="27" t="str">
        <f>IFERROR(__xludf.DUMMYFUNCTION("""COMPUTED_VALUE"""),"Account %")</f>
        <v>Account %</v>
      </c>
      <c r="Q5" s="27" t="str">
        <f>IFERROR(__xludf.DUMMYFUNCTION("""COMPUTED_VALUE"""),"AlgoType")</f>
        <v>AlgoType</v>
      </c>
      <c r="R5" s="27" t="str">
        <f>IFERROR(__xludf.DUMMYFUNCTION("""COMPUTED_VALUE"""),"Start time")</f>
        <v>Start time</v>
      </c>
      <c r="S5" s="27" t="str">
        <f>IFERROR(__xludf.DUMMYFUNCTION("""COMPUTED_VALUE"""),"End time")</f>
        <v>End time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8" t="s">
        <v>27</v>
      </c>
      <c r="C6" s="33">
        <v>100.0</v>
      </c>
      <c r="D6" s="31"/>
      <c r="E6" s="33">
        <v>5.0</v>
      </c>
      <c r="F6" s="38" t="s">
        <v>28</v>
      </c>
      <c r="G6" s="34" t="s">
        <v>21</v>
      </c>
      <c r="H6" s="35"/>
      <c r="I6" s="35"/>
      <c r="J6" s="35"/>
      <c r="K6" s="35"/>
      <c r="L6" s="34" t="s">
        <v>16</v>
      </c>
      <c r="M6" s="34" t="s">
        <v>22</v>
      </c>
      <c r="N6" s="35"/>
      <c r="O6" s="35"/>
      <c r="P6" s="35"/>
      <c r="Q6" s="35" t="s">
        <v>23</v>
      </c>
      <c r="R6" s="36">
        <v>1.0</v>
      </c>
      <c r="S6" s="36">
        <v>1.15</v>
      </c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CreateTradeWithAlgoBroker2!$4:$4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38" t="s">
        <v>27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38" t="s">
        <v>27</v>
      </c>
      <c r="K6" s="8"/>
      <c r="L6" s="8"/>
      <c r="M6" s="8"/>
      <c r="N6" s="8"/>
      <c r="O6" s="8"/>
      <c r="AI6" s="38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ReloadOrderFromBlotter1!$4:$4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IFERROR(__xludf.DUMMYFUNCTION("""COMPUTED_VALUE"""),"TargetQuantityIn")</f>
        <v>TargetQuantityIn</v>
      </c>
      <c r="E5" s="27" t="str">
        <f>IFERROR(__xludf.DUMMYFUNCTION("""COMPUTED_VALUE"""),"Price")</f>
        <v>Price</v>
      </c>
      <c r="F5" s="28" t="str">
        <f>IFERROR(__xludf.DUMMYFUNCTION("""COMPUTED_VALUE"""),"Order type button")</f>
        <v>Order type button</v>
      </c>
      <c r="G5" s="27" t="str">
        <f>IFERROR(__xludf.DUMMYFUNCTION("""COMPUTED_VALUE"""),"Order Side")</f>
        <v>Order Side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IFERROR(__xludf.DUMMYFUNCTION("""COMPUTED_VALUE"""),"Stop")</f>
        <v>Stop</v>
      </c>
      <c r="K5" s="27" t="str">
        <f>IFERROR(__xludf.DUMMYFUNCTION("""COMPUTED_VALUE"""),"Limit")</f>
        <v>Limit</v>
      </c>
      <c r="L5" s="27" t="str">
        <f>IFERROR(__xludf.DUMMYFUNCTION("""COMPUTED_VALUE"""),"Broker")</f>
        <v>Broker</v>
      </c>
      <c r="M5" s="27" t="str">
        <f>IFERROR(__xludf.DUMMYFUNCTION("""COMPUTED_VALUE"""),"Venue")</f>
        <v>Venue</v>
      </c>
      <c r="N5" s="27" t="str">
        <f>IFERROR(__xludf.DUMMYFUNCTION("""COMPUTED_VALUE"""),"AllocationMethod")</f>
        <v>AllocationMethod</v>
      </c>
      <c r="O5" s="27" t="str">
        <f>IFERROR(__xludf.DUMMYFUNCTION("""COMPUTED_VALUE"""),"Account")</f>
        <v>Account</v>
      </c>
      <c r="P5" s="27" t="str">
        <f>IFERROR(__xludf.DUMMYFUNCTION("""COMPUTED_VALUE"""),"Account %")</f>
        <v>Account %</v>
      </c>
      <c r="Q5" s="27" t="str">
        <f>IFERROR(__xludf.DUMMYFUNCTION("""COMPUTED_VALUE"""),"AlgoType")</f>
        <v>AlgoType</v>
      </c>
      <c r="R5" s="27" t="str">
        <f>IFERROR(__xludf.DUMMYFUNCTION("""COMPUTED_VALUE"""),"Start time")</f>
        <v>Start time</v>
      </c>
      <c r="S5" s="27" t="str">
        <f>IFERROR(__xludf.DUMMYFUNCTION("""COMPUTED_VALUE"""),"End time")</f>
        <v>End time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8" t="s">
        <v>27</v>
      </c>
      <c r="C6" s="37">
        <v>200.0</v>
      </c>
      <c r="D6" s="31"/>
      <c r="E6" s="33">
        <v>5.0</v>
      </c>
      <c r="F6" s="34" t="s">
        <v>20</v>
      </c>
      <c r="G6" s="34" t="s">
        <v>21</v>
      </c>
      <c r="H6" s="35"/>
      <c r="I6" s="35"/>
      <c r="J6" s="35"/>
      <c r="K6" s="35"/>
      <c r="L6" s="34" t="s">
        <v>16</v>
      </c>
      <c r="M6" s="34" t="s">
        <v>22</v>
      </c>
      <c r="N6" s="35"/>
      <c r="O6" s="35"/>
      <c r="P6" s="35"/>
      <c r="Q6" s="35" t="s">
        <v>23</v>
      </c>
      <c r="R6" s="36">
        <v>1.0</v>
      </c>
      <c r="S6" s="36">
        <v>1.15</v>
      </c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CreateTradeWithAlgoBroker3!$4:$4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30</v>
      </c>
      <c r="C6" s="12" t="s">
        <v>21</v>
      </c>
      <c r="D6" s="12">
        <v>10.0</v>
      </c>
      <c r="E6" s="30"/>
      <c r="F6" s="8"/>
      <c r="G6" s="8"/>
      <c r="H6" s="8"/>
      <c r="I6" s="8"/>
      <c r="J6" s="12">
        <v>5.0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IFERROR(__xludf.DUMMYFUNCTION("""COMPUTED_VALUE"""),"TabName")</f>
        <v>TabName</v>
      </c>
      <c r="C5" s="27" t="str">
        <f>IFERROR(__xludf.DUMMYFUNCTION("""COMPUTED_VALUE"""),"Button Name")</f>
        <v>Button 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32</v>
      </c>
      <c r="C6" s="34" t="s">
        <v>33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AddTabBlotter!$4:$4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21</v>
      </c>
      <c r="AL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27</v>
      </c>
      <c r="AJ7" s="9" t="s">
        <v>21</v>
      </c>
      <c r="AL7" s="9">
        <v>100.0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9" t="s">
        <v>19</v>
      </c>
      <c r="AJ8" s="9" t="s">
        <v>21</v>
      </c>
      <c r="AL8" s="9">
        <v>200.0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I9" s="9" t="s">
        <v>27</v>
      </c>
      <c r="AJ9" s="9" t="s">
        <v>21</v>
      </c>
      <c r="AL9" s="9">
        <v>200.0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IFERROR(__xludf.DUMMYFUNCTION("""COMPUTED_VALUE"""),"TabName")</f>
        <v>TabName</v>
      </c>
      <c r="C5" s="27" t="str">
        <f>IFERROR(__xludf.DUMMYFUNCTION("""COMPUTED_VALUE"""),"Tab Validity")</f>
        <v>Tab Validity</v>
      </c>
      <c r="D5" s="27" t="str">
        <f>IFERROR(__xludf.DUMMYFUNCTION("""COMPUTED_VALUE"""),"LowerStripMessage")</f>
        <v>LowerStripMessage</v>
      </c>
      <c r="E5" s="27" t="str">
        <f>IFERROR(__xludf.DUMMYFUNCTION("""COMPUTED_VALUE"""),"Action")</f>
        <v>Action</v>
      </c>
      <c r="F5" s="28" t="str">
        <f>IFERROR(__xludf.DUMMYFUNCTION("""COMPUTED_VALUE"""),"ApprovalForAction")</f>
        <v>ApprovalForAction</v>
      </c>
      <c r="G5" s="27" t="str">
        <f>IFERROR(__xludf.DUMMYFUNCTION("""COMPUTED_VALUE"""),"CustomTabName")</f>
        <v>CustomTabName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32</v>
      </c>
      <c r="C6" s="39" t="b">
        <v>1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VerifyCustomTabs!$4:$4</formula1>
    </dataValidation>
  </dataValidations>
  <drawing r:id="rId1"/>
</worksheet>
</file>