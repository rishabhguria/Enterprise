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TradeNewSubOrder" sheetId="30" r:id="rId32"/>
    <sheet state="visible" name="CreateNewSubLiveOrder" sheetId="31" r:id="rId33"/>
    <sheet state="visible" name="TradeNewSubOrder1" sheetId="32" r:id="rId34"/>
    <sheet state="visible" name="CreateNewSubLiveOrder1" sheetId="33" r:id="rId35"/>
    <sheet state="visible" name="SelectTrade" sheetId="34" r:id="rId36"/>
    <sheet state="visible" name="AcknowledgeTrade" sheetId="35" r:id="rId37"/>
    <sheet state="visible" name="ExecuteTrade" sheetId="36" r:id="rId38"/>
    <sheet state="visible" name="SelectTrade1" sheetId="37" r:id="rId39"/>
    <sheet state="visible" name="CheckPortfolioManagement" sheetId="38" r:id="rId40"/>
    <sheet state="visible" name="CheckAllocatedGroups" sheetId="39" r:id="rId41"/>
  </sheets>
  <calcPr fullCalcOnLoad="1" fullPrecision="1"/>
</workbook>
</file>

<file path=xl/sharedStrings.xml><?xml version="1.0" encoding="utf-8"?>
<sst xmlns="http://schemas.openxmlformats.org/spreadsheetml/2006/main" count="500" uniqueCount="500">
  <si>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</si>
  <si>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</si>
  <si>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</si>
  <si>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</si>
  <si>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</si>
  <si>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</si>
  <si>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</si>
  <si>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</si>
  <si>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</si>
  <si>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</si>
  <si>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</si>
  <si>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</si>
  <si>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CreateDoneAwayOrder</t>
  </si>
  <si>
    <t>Data Format</t>
  </si>
  <si>
    <t>Input Format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</si>
  <si>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</si>
  <si>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</si>
  <si>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</si>
  <si>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</si>
  <si>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</si>
  <si>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</si>
  <si>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</si>
  <si>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</si>
  <si>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</si>
  <si>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</si>
  <si>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</si>
  <si>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</si>
  <si>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msft</t>
  </si>
  <si>
    <t>buy</t>
  </si>
  <si>
    <t>Expnl</t>
  </si>
  <si>
    <t>AppSetting_Key</t>
  </si>
  <si>
    <t>AppSetting_Value</t>
  </si>
  <si>
    <t>Admin</t>
  </si>
  <si>
    <t>Symbol Update</t>
  </si>
  <si>
    <t>RoundLot</t>
  </si>
  <si>
    <t>TradingTicket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</si>
  <si>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</si>
  <si>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</si>
  <si>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</si>
  <si>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</si>
  <si>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</si>
  <si>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</si>
  <si>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</si>
  <si>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</si>
  <si>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</si>
  <si>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</si>
  <si>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</si>
  <si>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</si>
  <si>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</si>
  <si>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</si>
  <si>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</si>
  <si>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</si>
  <si>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</si>
  <si>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</si>
  <si>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</si>
  <si>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</si>
  <si>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</si>
  <si>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</si>
  <si>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</si>
  <si>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</si>
  <si>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</si>
  <si>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</si>
  <si>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</si>
  <si>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</si>
  <si>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</si>
  <si>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</si>
  <si>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</si>
  <si>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</si>
  <si>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</si>
  <si>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</si>
  <si>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</si>
  <si>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</si>
  <si>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</si>
  <si>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</si>
  <si>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</si>
  <si>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</si>
  <si>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</si>
  <si>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PricingInput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</si>
  <si>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</si>
  <si>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</si>
  <si>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</si>
  <si>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</si>
  <si>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</si>
  <si>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</si>
  <si>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</si>
  <si>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</si>
  <si>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</si>
  <si>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</si>
  <si>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</si>
  <si>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</si>
  <si>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</si>
  <si>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</si>
  <si>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</si>
  <si>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</si>
  <si>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</si>
  <si>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</si>
  <si>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</si>
  <si>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Select Date</t>
  </si>
  <si>
    <t>Copy Date</t>
  </si>
  <si>
    <t>From Currency</t>
  </si>
  <si>
    <t>To Currency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</si>
  <si>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</si>
  <si>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</si>
  <si>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</si>
  <si>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</si>
  <si>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</si>
  <si>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</si>
  <si>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</si>
  <si>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</si>
  <si>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</si>
  <si>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</si>
  <si>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</si>
  <si>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</si>
  <si>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</si>
  <si>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Allocation</t>
  </si>
  <si>
    <t>Account Name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</si>
  <si>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</si>
  <si>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</si>
  <si>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</si>
  <si>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</si>
  <si>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</si>
  <si>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</si>
  <si>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</si>
  <si>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</si>
  <si>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</si>
  <si>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</si>
  <si>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</si>
  <si>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</si>
  <si>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</si>
  <si>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</si>
  <si>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</si>
  <si>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</si>
  <si>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</si>
  <si>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</si>
  <si>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</si>
  <si>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</si>
  <si>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</si>
  <si>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</si>
  <si>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</si>
  <si>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</si>
  <si>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</si>
  <si>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</si>
  <si>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</si>
  <si>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</si>
  <si>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</si>
  <si>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</si>
  <si>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</si>
  <si>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</si>
  <si>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</si>
  <si>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</si>
  <si>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</si>
  <si>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</si>
  <si>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</si>
  <si>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</si>
  <si>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</si>
  <si>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</si>
  <si>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</si>
  <si>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</si>
  <si>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</si>
  <si>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</si>
  <si>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</si>
  <si>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</si>
  <si>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</si>
  <si>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</si>
  <si>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</si>
  <si>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</si>
  <si>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</si>
  <si>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</si>
  <si>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</si>
  <si>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</si>
  <si>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</si>
  <si>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</si>
  <si>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</si>
  <si>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</si>
  <si>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</si>
  <si>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</si>
  <si>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</si>
  <si>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</si>
  <si>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</si>
  <si>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</si>
  <si>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</si>
  <si>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</si>
  <si>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</si>
  <si>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</si>
  <si>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</si>
  <si>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</si>
  <si>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</si>
  <si>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</si>
  <si>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</si>
  <si>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</si>
  <si>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</si>
  <si>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</si>
  <si>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</si>
  <si>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</si>
  <si>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</si>
  <si>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</si>
  <si>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</si>
  <si>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</si>
  <si>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</si>
  <si>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NotionalValue</t>
  </si>
  <si>
    <t>Spread(B.P)</t>
  </si>
  <si>
    <t>First Reset Date</t>
  </si>
  <si>
    <t>DayCount</t>
  </si>
  <si>
    <t>Original T.Date</t>
  </si>
  <si>
    <t>OriginalCostBasis</t>
  </si>
  <si>
    <t>SwapDescription</t>
  </si>
  <si>
    <t>CommissionChange</t>
  </si>
  <si>
    <t>CommissionRuleRecalculate</t>
  </si>
  <si>
    <t>DailyValuation</t>
  </si>
  <si>
    <t>GetDailyCash</t>
  </si>
  <si>
    <t>Copy From</t>
  </si>
  <si>
    <t>Local Currency</t>
  </si>
  <si>
    <t>Cash Value Local</t>
  </si>
  <si>
    <t>GeneralLedger</t>
  </si>
  <si>
    <t>Date Type</t>
  </si>
  <si>
    <t>From Date</t>
  </si>
  <si>
    <t>To Date</t>
  </si>
  <si>
    <t>Contains</t>
  </si>
  <si>
    <t>Exact</t>
  </si>
  <si>
    <t>Starts With</t>
  </si>
  <si>
    <t>CashTransactionId</t>
  </si>
  <si>
    <t>Activity Type</t>
  </si>
  <si>
    <t>Strategy</t>
  </si>
  <si>
    <t>Amount</t>
  </si>
  <si>
    <t>Ex Date</t>
  </si>
  <si>
    <t>Payout Date</t>
  </si>
  <si>
    <t>Record Date</t>
  </si>
  <si>
    <t>Declaration Date</t>
  </si>
  <si>
    <t>Other Currency</t>
  </si>
  <si>
    <t>FXRate</t>
  </si>
  <si>
    <t>FXConversionMethodOperator</t>
  </si>
  <si>
    <t>Entry Date</t>
  </si>
  <si>
    <t>Modify Date</t>
  </si>
  <si>
    <t>Accounts</t>
  </si>
  <si>
    <t>Balances as on date</t>
  </si>
  <si>
    <t>Rebalancer</t>
  </si>
  <si>
    <t>RoundLotPreference</t>
  </si>
  <si>
    <t>ReinvestCash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</si>
  <si>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</si>
  <si>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</si>
  <si>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</si>
  <si>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</si>
  <si>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</si>
  <si>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</si>
  <si>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</si>
  <si>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</si>
  <si>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Rounding Type</t>
  </si>
  <si>
    <t>/=/-/=:</t>
  </si>
  <si>
    <t>Account/Groups</t>
  </si>
  <si>
    <t>Account Positions</t>
  </si>
  <si>
    <t>Calculation Level</t>
  </si>
  <si>
    <t>Refresh</t>
  </si>
  <si>
    <t>Cash Flow(USD)</t>
  </si>
  <si>
    <t>Cash Flow Impact on NAV</t>
  </si>
  <si>
    <t>Select Model</t>
  </si>
  <si>
    <t>Custom Cash Flow</t>
  </si>
  <si>
    <t>MasterFund Groups</t>
  </si>
  <si>
    <t>Cash Flow Account Wise</t>
  </si>
  <si>
    <t>RunRebalance</t>
  </si>
  <si>
    <t>Rebalance</t>
  </si>
  <si>
    <t>Round Lot</t>
  </si>
  <si>
    <t>AllowNegCash</t>
  </si>
  <si>
    <t>SellToRaiseCash</t>
  </si>
  <si>
    <t>VerifyPopupCashValue</t>
  </si>
  <si>
    <t>AllowPopup</t>
  </si>
  <si>
    <t>RebalanceAcrossSecurities</t>
  </si>
  <si>
    <t>Ticker</t>
  </si>
  <si>
    <t>Set/Inc/Dec</t>
  </si>
  <si>
    <t>Target%</t>
  </si>
  <si>
    <t>Account/Group</t>
  </si>
  <si>
    <t>NoShortning</t>
  </si>
  <si>
    <t>Fx</t>
  </si>
  <si>
    <t>BPS SET</t>
  </si>
  <si>
    <t>SetCashTarget</t>
  </si>
  <si>
    <t>SetCashTarget%</t>
  </si>
  <si>
    <t>SellToRaiseCashAndSetCashTarget</t>
  </si>
  <si>
    <t>AllowNegCashAndSetCashTarget</t>
  </si>
  <si>
    <t>DisableCT</t>
  </si>
  <si>
    <t>AllowNegCashAndSellToRaise</t>
  </si>
  <si>
    <t>Modify Rebalance</t>
  </si>
  <si>
    <t>Price (Local)</t>
  </si>
  <si>
    <t>Buy/Sell Value (Base)</t>
  </si>
  <si>
    <t>Comments</t>
  </si>
  <si>
    <t>SendToStaging</t>
  </si>
  <si>
    <t>Use Custodian Broker</t>
  </si>
  <si>
    <t>Blotter</t>
  </si>
  <si>
    <t>TradeNewSubOrder</t>
  </si>
  <si>
    <t>Transaction Time</t>
  </si>
  <si>
    <t>Algo</t>
  </si>
  <si>
    <t>Avg Fill Price (Base)</t>
  </si>
  <si>
    <t>Bloomberg Symbol</t>
  </si>
  <si>
    <t>Limit Price</t>
  </si>
  <si>
    <t>Working Qty</t>
  </si>
  <si>
    <t>Underlying Country</t>
  </si>
  <si>
    <t>Trader</t>
  </si>
  <si>
    <t>Stop Price</t>
  </si>
  <si>
    <t>Put/Call</t>
  </si>
  <si>
    <t>Peg</t>
  </si>
  <si>
    <t>ParentClOrderID</t>
  </si>
  <si>
    <t>OrderID</t>
  </si>
  <si>
    <t>Master Fund</t>
  </si>
  <si>
    <t>Last Shares</t>
  </si>
  <si>
    <t>Imported File Name</t>
  </si>
  <si>
    <t>Day Average Price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</si>
  <si>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</si>
  <si>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</si>
  <si>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</si>
  <si>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</si>
  <si>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</si>
  <si>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</si>
  <si>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</si>
  <si>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</si>
  <si>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</si>
  <si>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</si>
  <si>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Status (With Rollover)</t>
  </si>
  <si>
    <t>Start of Day Qty</t>
  </si>
  <si>
    <t>Leaves</t>
  </si>
  <si>
    <t>CreateNewSubLiveOrder</t>
  </si>
  <si>
    <t>TargetQuantityIn</t>
  </si>
  <si>
    <t>FxRate</t>
  </si>
  <si>
    <t>Notes</t>
  </si>
  <si>
    <t>Broker Notes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</si>
  <si>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</si>
  <si>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</si>
  <si>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</si>
  <si>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</si>
  <si>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</si>
  <si>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</si>
  <si>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</si>
  <si>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</si>
  <si>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</si>
  <si>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</si>
  <si>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</si>
  <si>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</si>
  <si>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</si>
  <si>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Deal In</t>
  </si>
  <si>
    <t>PopUpQuantity</t>
  </si>
  <si>
    <t>ShortLocate</t>
  </si>
  <si>
    <t>ChkBoxBookAsSwap</t>
  </si>
  <si>
    <t>AllowTrade</t>
  </si>
  <si>
    <t>AvgPrice</t>
  </si>
  <si>
    <t>Simulator</t>
  </si>
  <si>
    <t>ExecuteTrade</t>
  </si>
  <si>
    <t>Shares</t>
  </si>
  <si>
    <t>ClearAllPrice</t>
  </si>
  <si>
    <t>PortfolioManagement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</si>
  <si>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</si>
  <si>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</si>
  <si>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</si>
  <si>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</si>
  <si>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</si>
  <si>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</si>
  <si>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</si>
  <si>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</si>
  <si>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</si>
  <si>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</si>
  <si>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</si>
  <si>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</si>
  <si>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</si>
  <si>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</si>
  <si>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</si>
  <si>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</si>
  <si>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</si>
  <si>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</si>
  <si>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</si>
  <si>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</si>
  <si>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</si>
  <si>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</si>
  <si>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</si>
  <si>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</si>
  <si>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</si>
  <si>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</si>
  <si>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</si>
  <si>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</si>
  <si>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</si>
  <si>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</si>
  <si>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</si>
  <si>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</si>
  <si>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</si>
  <si>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</si>
  <si>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</si>
  <si>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</si>
  <si>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</si>
  <si>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</si>
  <si>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</si>
  <si>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</si>
  <si>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</si>
  <si>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</si>
  <si>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</si>
  <si>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</si>
  <si>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</si>
  <si>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</si>
  <si>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</si>
  <si>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</si>
  <si>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</si>
  <si>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</si>
  <si>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</si>
  <si>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</si>
  <si>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</si>
  <si>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</si>
  <si>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</si>
  <si>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</si>
  <si>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</si>
  <si>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</si>
  <si>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</si>
  <si>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</si>
  <si>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</si>
  <si>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</si>
  <si>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</si>
  <si>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</si>
  <si>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</si>
  <si>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</si>
  <si>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</si>
  <si>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</si>
  <si>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</si>
  <si>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</si>
  <si>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</si>
  <si>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</si>
  <si>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</si>
  <si>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</si>
  <si>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</si>
  <si>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</si>
  <si>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</si>
  <si>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</si>
  <si>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</si>
  <si>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</si>
  <si>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</si>
  <si>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</si>
  <si>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</si>
  <si>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</si>
  <si>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</si>
  <si>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</si>
  <si>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</si>
  <si>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</si>
  <si>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</si>
  <si>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</si>
  <si>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</si>
  <si>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</si>
  <si>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</si>
  <si>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</si>
  <si>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</si>
  <si>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</si>
  <si>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</si>
  <si>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</si>
  <si>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</si>
  <si>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</si>
  <si>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</si>
  <si>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</si>
  <si>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</si>
  <si>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</si>
  <si>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</si>
  <si>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</si>
  <si>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</si>
  <si>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</si>
  <si>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</si>
  <si>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</si>
  <si>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</si>
  <si>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</si>
  <si>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</si>
  <si>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</si>
  <si>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</si>
  <si>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</si>
  <si>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</si>
  <si>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</si>
  <si>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</si>
  <si>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</si>
  <si>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</si>
  <si>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</si>
  <si>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</si>
  <si>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</si>
  <si>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</si>
  <si>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</si>
  <si>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</si>
  <si>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</si>
  <si>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</si>
  <si>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</si>
  <si>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</si>
  <si>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</si>
  <si>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</si>
  <si>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</si>
  <si>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</si>
  <si>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</si>
  <si>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</si>
  <si>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</si>
  <si>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</si>
  <si>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</si>
  <si>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</si>
  <si>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</si>
  <si>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</si>
  <si>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</si>
  <si>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</si>
  <si>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Exceution Time</t>
  </si>
  <si>
    <t>Borrow Broker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</si>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</sst>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27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IFERROR(__xludf.DUMMYFUNCTION("""COMPUTED_VALUE"""),"RTPNL")</f>
        <v>RTPNL</v>
      </c>
      <c r="B767" s="0" t="str">
        <f>IFERROR(__xludf.DUMMYFUNCTION("""COMPUTED_VALUE"""),"RenameTabs")</f>
        <v>RenameTabs</v>
      </c>
      <c r="C767" s="0" t="str">
        <f>IFERROR(__xludf.DUMMYFUNCTION("""COMPUTED_VALUE"""),"1K7LcioEl1sTwLRhqHc9go_7jNmUIRZNy9zBQLMgtBw8")</f>
        <v>1K7LcioEl1sTwLRhqHc9go_7jNmUIRZNy9zBQLMgtBw8</v>
      </c>
    </row>
    <row r="768" ht="15.75" customHeight="1">
      <c r="A768" s="0" t="str">
        <f>IFERROR(__xludf.DUMMYFUNCTION("""COMPUTED_VALUE"""),"RTPNL")</f>
        <v>RTPNL</v>
      </c>
      <c r="B768" s="0" t="str">
        <f>IFERROR(__xludf.DUMMYFUNCTION("""COMPUTED_VALUE"""),"ResizeEnsure")</f>
        <v>ResizeEnsure</v>
      </c>
      <c r="C768" s="0" t="str">
        <f>IFERROR(__xludf.DUMMYFUNCTION("""COMPUTED_VALUE"""),"1-peVyQ_nIwd8owwmtDtNW-yx12KQx2nHeYee6duB46M")</f>
        <v>1-peVyQ_nIwd8owwmtDtNW-yx12KQx2nHeYee6duB46M</v>
      </c>
    </row>
    <row r="769" ht="15.75" customHeight="1">
      <c r="A769" s="0" t="str">
        <f>IFERROR(__xludf.DUMMYFUNCTION("""COMPUTED_VALUE"""),"Admin")</f>
        <v>Admin</v>
      </c>
      <c r="B769" s="0" t="str">
        <f>IFERROR(__xludf.DUMMYFUNCTION("""COMPUTED_VALUE"""),"ClearRTPNLtabs")</f>
        <v>ClearRTPNLtabs</v>
      </c>
      <c r="C769" s="0" t="str">
        <f>IFERROR(__xludf.DUMMYFUNCTION("""COMPUTED_VALUE"""),"Undefined")</f>
        <v>Undefined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IFERROR(__xludf.DUMMYFUNCTION("""COMPUTED_VALUE"""),"AddTabRTPNL")</f>
        <v>AddTabRTPNL</v>
      </c>
      <c r="C770" s="0" t="str">
        <f>IFERROR(__xludf.DUMMYFUNCTION("""COMPUTED_VALUE"""),"18kG7vS-CfSLW8Q-ho416lyPlP36XJPPHA0cRbCk3vjU")</f>
        <v>18kG7vS-CfSLW8Q-ho416lyPlP36XJPPHA0cRbCk3vjU</v>
      </c>
    </row>
    <row r="771" ht="15.75" customHeight="1">
      <c r="A771" s="0" t="str">
        <f>IFERROR(__xludf.DUMMYFUNCTION("""COMPUTED_VALUE"""),"PortfolioManagement")</f>
        <v>PortfolioManagement</v>
      </c>
      <c r="B771" s="0" t="str">
        <f>IFERROR(__xludf.DUMMYFUNCTION("""COMPUTED_VALUE"""),"SelectTradeOnPM")</f>
        <v>SelectTradeOnPM</v>
      </c>
      <c r="C771" s="0" t="str">
        <f>IFERROR(__xludf.DUMMYFUNCTION("""COMPUTED_VALUE"""),"1_tBJjps2mULQyHra_AnC6BBvPbOko3FAY-kc11l7eTg")</f>
        <v>1_tBJjps2mULQyHra_AnC6BBvPbOko3FAY-kc11l7eTg</v>
      </c>
    </row>
    <row r="772" ht="15.75" customHeight="1">
      <c r="A772" s="0" t="str">
        <f>IFERROR(__xludf.DUMMYFUNCTION("""COMPUTED_VALUE"""),"Unknown")</f>
        <v>Unknown</v>
      </c>
      <c r="B772" s="0" t="str">
        <f>IFERROR(__xludf.DUMMYFUNCTION("""COMPUTED_VALUE"""),"RightClickOperations")</f>
        <v>RightClickOperations</v>
      </c>
      <c r="C772" s="0" t="str">
        <f>IFERROR(__xludf.DUMMYFUNCTION("""COMPUTED_VALUE"""),"17jhCujI-0V0U3n5lzlkc-azSuwCa7rf-4KwcSInm9ts")</f>
        <v>17jhCujI-0V0U3n5lzlkc-azSuwCa7rf-4KwcSInm9ts</v>
      </c>
    </row>
    <row r="773" ht="15.75" customHeight="1">
      <c r="A773" s="0" t="str">
        <f>IFERROR(__xludf.DUMMYFUNCTION("""COMPUTED_VALUE"""),"Unknown")</f>
        <v>Unknown</v>
      </c>
      <c r="B773" s="0" t="str">
        <f>IFERROR(__xludf.DUMMYFUNCTION("""COMPUTED_VALUE"""),"RightClickAndClickOperations")</f>
        <v>RightClickAndClickOperations</v>
      </c>
      <c r="C773" s="0" t="str">
        <f>IFERROR(__xludf.DUMMYFUNCTION("""COMPUTED_VALUE"""),"1e9jtl9r57SkbYm3S4wbHtvkeG2KExZEiFSIkkRSaq-8")</f>
        <v>1e9jtl9r57SkbYm3S4wbHtvkeG2KExZEiFSIkkRSaq-8</v>
      </c>
    </row>
    <row r="774" ht="15.75" customHeight="1">
      <c r="A774" s="0" t="str">
        <f>IFERROR(__xludf.DUMMYFUNCTION("""COMPUTED_VALUE"""),"Blotter")</f>
        <v>Blotter</v>
      </c>
      <c r="B774" s="0" t="str">
        <f>IFERROR(__xludf.DUMMYFUNCTION("""COMPUTED_VALUE"""),"BlotterToolBarAction")</f>
        <v>BlotterToolBarAction</v>
      </c>
      <c r="C774" s="0" t="str">
        <f>IFERROR(__xludf.DUMMYFUNCTION("""COMPUTED_VALUE"""),"1bI1kIBxH6qy8zi5tx46rN3vNgbmxbdwtAo1inrXDALs")</f>
        <v>1bI1kIBxH6qy8zi5tx46rN3vNgbmxbdwtAo1inrXDALs</v>
      </c>
    </row>
    <row r="775" ht="15.75" customHeight="1">
      <c r="A775" s="0" t="str">
        <f>IFERROR(__xludf.DUMMYFUNCTION("""COMPUTED_VALUE"""),"TradingTicket")</f>
        <v>TradingTicket</v>
      </c>
      <c r="B775" s="0" t="str">
        <f>IFERROR(__xludf.DUMMYFUNCTION("""COMPUTED_VALUE"""),"MergeTT")</f>
        <v>MergeTT</v>
      </c>
      <c r="C775" s="0" t="str">
        <f>IFERROR(__xludf.DUMMYFUNCTION("""COMPUTED_VALUE"""),"1BEiRPdwHXsXVZ0ioude04Me5qSQ_YU6xh1ZwMWgExVU")</f>
        <v>1BEiRPdwHXsXVZ0ioude04Me5qSQ_YU6xh1ZwMWgExVU</v>
      </c>
    </row>
    <row r="776" ht="15.75" customHeight="1">
      <c r="A776" s="0" t="str">
        <f>IFERROR(__xludf.DUMMYFUNCTION("""COMPUTED_VALUE"""),"PortfolioManagement")</f>
        <v>PortfolioManagement</v>
      </c>
      <c r="B776" s="0" t="str">
        <f>IFERROR(__xludf.DUMMYFUNCTION("""COMPUTED_VALUE"""),"OperationsonPM")</f>
        <v>OperationsonPM</v>
      </c>
      <c r="C776" s="0" t="str">
        <f>IFERROR(__xludf.DUMMYFUNCTION("""COMPUTED_VALUE"""),"13hKVogBv66c752V1EGUyqXp4dGESQOZLmMqIB56fbAs")</f>
        <v>13hKVogBv66c752V1EGUyqXp4dGESQOZLmMqIB56fbAs</v>
      </c>
    </row>
    <row r="777" ht="15.75" customHeight="1">
      <c r="A777" s="0" t="str">
        <f>IFERROR(__xludf.DUMMYFUNCTION("""COMPUTED_VALUE"""),"Rebalancer")</f>
        <v>Rebalancer</v>
      </c>
      <c r="B777" s="0" t="str">
        <f>IFERROR(__xludf.DUMMYFUNCTION("""COMPUTED_VALUE"""),"CreateOrViewModelPortfolio")</f>
        <v>CreateOrViewModelPortfolio</v>
      </c>
      <c r="C777" s="0" t="str">
        <f>IFERROR(__xludf.DUMMYFUNCTION("""COMPUTED_VALUE"""),"1vejknW_QiO0r5pMzMjOGCCsgwLVes4a3Ubx1l-0Mg1k")</f>
        <v>1vejknW_QiO0r5pMzMjOGCCsgwLVes4a3Ubx1l-0Mg1k</v>
      </c>
    </row>
    <row r="778" ht="15.75" customHeight="1">
      <c r="A778" s="0" t="str">
        <f>IFERROR(__xludf.DUMMYFUNCTION("""COMPUTED_VALUE"""),"Rebalancer")</f>
        <v>Rebalancer</v>
      </c>
      <c r="B778" s="0" t="str">
        <f>IFERROR(__xludf.DUMMYFUNCTION("""COMPUTED_VALUE"""),"VerifyModelPortfolio")</f>
        <v>VerifyModelPortfolio</v>
      </c>
      <c r="C778" s="0" t="str">
        <f>IFERROR(__xludf.DUMMYFUNCTION("""COMPUTED_VALUE"""),"1Tza5cx7NJ2J8vr_f6DC-KPhnXCzf7l1m0EERc6z_T-U")</f>
        <v>1Tza5cx7NJ2J8vr_f6DC-KPhnXCzf7l1m0EERc6z_T-U</v>
      </c>
    </row>
    <row r="779" ht="15.75" customHeight="1">
      <c r="A779" s="0" t="str">
        <f>IFERROR(__xludf.DUMMYFUNCTION("""COMPUTED_VALUE"""),"Allocation")</f>
        <v>Allocation</v>
      </c>
      <c r="B779" s="0" t="str">
        <f>IFERROR(__xludf.DUMMYFUNCTION("""COMPUTED_VALUE"""),"ReviewExistingPositions")</f>
        <v>ReviewExistingPositions</v>
      </c>
      <c r="C779" s="0" t="str">
        <f>IFERROR(__xludf.DUMMYFUNCTION("""COMPUTED_VALUE"""),"1KwYoTdpeW6LDhzloVKHp5buZqc8IjXEShjwnUx45Ql8")</f>
        <v>1KwYoTdpeW6LDhzloVKHp5buZqc8IjXEShjwnUx45Ql8</v>
      </c>
    </row>
    <row r="780" ht="15.75" customHeight="1">
      <c r="A780" s="0" t="str">
        <f>IFERROR(__xludf.DUMMYFUNCTION("""COMPUTED_VALUE"""),"PTT")</f>
        <v>PTT</v>
      </c>
      <c r="B780" s="0" t="str">
        <f>IFERROR(__xludf.DUMMYFUNCTION("""COMPUTED_VALUE"""),"OperationsonPTT")</f>
        <v>OperationsonPTT</v>
      </c>
      <c r="C780" s="0" t="str">
        <f>IFERROR(__xludf.DUMMYFUNCTION("""COMPUTED_VALUE"""),"1J40rCXEDilLEF_x0Wkeeg1lwGfejucV1VSY9UcyeSlw")</f>
        <v>1J40rCXEDilLEF_x0Wkeeg1lwGfejucV1VSY9UcyeSlw</v>
      </c>
    </row>
    <row r="781" ht="15.75" customHeight="1">
      <c r="A781" s="0" t="str">
        <f>IFERROR(__xludf.DUMMYFUNCTION("""COMPUTED_VALUE"""),"PricingInput")</f>
        <v>PricingInput</v>
      </c>
      <c r="B781" s="0" t="str">
        <f>IFERROR(__xludf.DUMMYFUNCTION("""COMPUTED_VALUE"""),"UpdatePricingInput")</f>
        <v>UpdatePricingInput</v>
      </c>
      <c r="C781" s="0" t="str">
        <f>IFERROR(__xludf.DUMMYFUNCTION("""COMPUTED_VALUE"""),"1CG9iYOkRKzlGEsKh7QuEyMdGRQea_W4KDWwlnjE2BdE")</f>
        <v>1CG9iYOkRKzlGEsKh7QuEyMdGRQea_W4KDWwlnjE2BdE</v>
      </c>
    </row>
    <row r="782" ht="15.75" customHeight="1">
      <c r="A782" s="0" t="str">
        <f>IFERROR(__xludf.DUMMYFUNCTION("""COMPUTED_VALUE"""),"DailyValuation")</f>
        <v>DailyValuation</v>
      </c>
      <c r="B782" s="0" t="str">
        <f>IFERROR(__xludf.DUMMYFUNCTION("""COMPUTED_VALUE"""),"UpdateMPAndFC")</f>
        <v>UpdateMPAndFC</v>
      </c>
      <c r="C782" s="0" t="str">
        <f>IFERROR(__xludf.DUMMYFUNCTION("""COMPUTED_VALUE"""),"1UCNfZng94LprScqCmSKImRjCwiKlLQU_e1kY1tum91I")</f>
        <v>1UCNfZng94LprScqCmSKImRjCwiKlLQU_e1kY1tum91I</v>
      </c>
    </row>
    <row r="783" ht="15.75" customHeight="1">
      <c r="A783" s="0" t="str">
        <f>IFERROR(__xludf.DUMMYFUNCTION("""COMPUTED_VALUE"""),"Rebalancer")</f>
        <v>Rebalancer</v>
      </c>
      <c r="B783" s="0" t="str">
        <f>IFERROR(__xludf.DUMMYFUNCTION("""COMPUTED_VALUE"""),"SelectAndVerifyTradeList")</f>
        <v>SelectAndVerifyTradeList</v>
      </c>
      <c r="C783" s="0" t="str">
        <f>IFERROR(__xludf.DUMMYFUNCTION("""COMPUTED_VALUE"""),"1fXJG--hBH0hPvU7g5jtXyZnD1GiwJXfYX9HdEyhGyGs")</f>
        <v>1fXJG--hBH0hPvU7g5jtXyZnD1GiwJXfYX9HdEyhGyGs</v>
      </c>
    </row>
    <row r="784" ht="15.75" customHeight="1">
      <c r="A784" s="0" t="str">
        <f>IFERROR(__xludf.DUMMYFUNCTION("""COMPUTED_VALUE"""),"Rebalancer")</f>
        <v>Rebalancer</v>
      </c>
      <c r="B784" s="0" t="str">
        <f>IFERROR(__xludf.DUMMYFUNCTION("""COMPUTED_VALUE"""),"ActionOnTradeBuySellListView")</f>
        <v>ActionOnTradeBuySellListView</v>
      </c>
      <c r="C784" s="0" t="str">
        <f>IFERROR(__xludf.DUMMYFUNCTION("""COMPUTED_VALUE"""),"1xeJEpkdxtbik3vPUTkxALkXsnL-Vl5dF07PBUoheM3k")</f>
        <v>1xeJEpkdxtbik3vPUTkxALkXsnL-Vl5dF07PBUoheM3k</v>
      </c>
    </row>
    <row r="785" ht="15.75" customHeight="1">
      <c r="A785" s="0" t="str">
        <f>IFERROR(__xludf.DUMMYFUNCTION("""COMPUTED_VALUE"""),"Blotter")</f>
        <v>Blotter</v>
      </c>
      <c r="B785" s="0" t="str">
        <f>IFERROR(__xludf.DUMMYFUNCTION("""COMPUTED_VALUE"""),"AddTabToFav")</f>
        <v>AddTabToFav</v>
      </c>
      <c r="C785" s="0" t="str">
        <f>IFERROR(__xludf.DUMMYFUNCTION("""COMPUTED_VALUE"""),"1Hrblc1gk4JIYboQ1lGHgl7HatAXp5amAl9mS58vzT-0")</f>
        <v>1Hrblc1gk4JIYboQ1lGHgl7HatAXp5amAl9mS58vzT-0</v>
      </c>
    </row>
    <row r="786" ht="15.75" customHeight="1">
      <c r="A786" s="0" t="str">
        <f>IFERROR(__xludf.DUMMYFUNCTION("""COMPUTED_VALUE"""),"TradingTicket")</f>
        <v>TradingTicket</v>
      </c>
      <c r="B786" s="0" t="str">
        <f>IFERROR(__xludf.DUMMYFUNCTION("""COMPUTED_VALUE"""),"VerifyExecutionType")</f>
        <v>VerifyExecutionType</v>
      </c>
      <c r="C786" s="0" t="str">
        <f>IFERROR(__xludf.DUMMYFUNCTION("""COMPUTED_VALUE"""),"1GeLKG0YL6nDFQYX8NohWSG0yonppxuSHWgOuwLzEWwI")</f>
        <v>1GeLKG0YL6nDFQYX8NohWSG0yonppxuSHWgOuwLzEWwI</v>
      </c>
    </row>
    <row r="787" ht="15.75" customHeight="1">
      <c r="A787" s="0" t="str">
        <f>IFERROR(__xludf.DUMMYFUNCTION("""COMPUTED_VALUE"""),"OpenFin")</f>
        <v>OpenFin</v>
      </c>
      <c r="B787" s="0" t="str">
        <f>IFERROR(__xludf.DUMMYFUNCTION("""COMPUTED_VALUE"""),"VerifyNotification")</f>
        <v>VerifyNotification</v>
      </c>
      <c r="C787" s="0" t="str">
        <f>IFERROR(__xludf.DUMMYFUNCTION("""COMPUTED_VALUE"""),"1rm7dGZ4-j6MPtyiMlJDHnZgIjnFk8Hv19VRPaPCgUMY")</f>
        <v>1rm7dGZ4-j6MPtyiMlJDHnZgIjnFk8Hv19VRPaPCgUMY</v>
      </c>
    </row>
    <row r="788" ht="15.75" customHeight="1">
      <c r="A788" s="0" t="str">
        <f>IFERROR(__xludf.DUMMYFUNCTION("""COMPUTED_VALUE"""),"Blotter")</f>
        <v>Blotter</v>
      </c>
      <c r="B788" s="0" t="str">
        <f>IFERROR(__xludf.DUMMYFUNCTION("""COMPUTED_VALUE"""),"RollOverContextMenu")</f>
        <v>RollOverContextMenu</v>
      </c>
      <c r="C788" s="0" t="str">
        <f>IFERROR(__xludf.DUMMYFUNCTION("""COMPUTED_VALUE"""),"1d45ieJRLC6DQ7t19pclAZz5EI6hBsZ5_VdNJYb3VsNc")</f>
        <v>1d45ieJRLC6DQ7t19pclAZz5EI6hBsZ5_VdNJYb3VsNc</v>
      </c>
    </row>
    <row r="789" ht="15.75" customHeight="1">
      <c r="A789" s="0" t="str">
        <f>IFERROR(__xludf.DUMMYFUNCTION("""COMPUTED_VALUE"""),"PTT")</f>
        <v>PTT</v>
      </c>
      <c r="B789" s="0" t="str">
        <f>IFERROR(__xludf.DUMMYFUNCTION("""COMPUTED_VALUE"""),"RefreshCalculation")</f>
        <v>RefreshCalculation</v>
      </c>
    </row>
    <row r="790" ht="15.75" customHeight="1">
      <c r="A790" s="0" t="str">
        <f>IFERROR(__xludf.DUMMYFUNCTION("""COMPUTED_VALUE"""),"Blotter")</f>
        <v>Blotter</v>
      </c>
      <c r="B790" s="0" t="str">
        <f>IFERROR(__xludf.DUMMYFUNCTION("""COMPUTED_VALUE"""),"BookAsSwap")</f>
        <v>BookAsSwap</v>
      </c>
      <c r="C790" s="0" t="str">
        <f>IFERROR(__xludf.DUMMYFUNCTION("""COMPUTED_VALUE"""),"1tnkP5eD3WH53SXu2O-MWk6774J7b5ihwlD7r9dGtpiY")</f>
        <v>1tnkP5eD3WH53SXu2O-MWk6774J7b5ihwlD7r9dGtpiY</v>
      </c>
    </row>
    <row r="791" ht="15.75" customHeight="1">
      <c r="A791" s="0" t="str">
        <f>IFERROR(__xludf.DUMMYFUNCTION("""COMPUTED_VALUE"""),"Blotter")</f>
        <v>Blotter</v>
      </c>
      <c r="B791" s="0" t="str">
        <f>IFERROR(__xludf.DUMMYFUNCTION("""COMPUTED_VALUE"""),"ActionOnFloatingWindow")</f>
        <v>ActionOnFloatingWindow</v>
      </c>
      <c r="C791" s="0" t="str">
        <f>IFERROR(__xludf.DUMMYFUNCTION("""COMPUTED_VALUE"""),"1tFNUPT3PXgCKRnnehGwo6OF7EhLu13UJ8Elfq83HArE")</f>
        <v>1tFNUPT3PXgCKRnnehGwo6OF7EhLu13UJ8Elfq83HArE</v>
      </c>
    </row>
    <row r="792" ht="15.75" customHeight="1">
      <c r="A792" s="0" t="str">
        <f>IFERROR(__xludf.DUMMYFUNCTION("""COMPUTED_VALUE"""),"OpenFin")</f>
        <v>OpenFin</v>
      </c>
      <c r="B792" s="0" t="str">
        <f>IFERROR(__xludf.DUMMYFUNCTION("""COMPUTED_VALUE"""),"LockUnlockModule")</f>
        <v>LockUnlockModule</v>
      </c>
      <c r="C792" s="0" t="str">
        <f>IFERROR(__xludf.DUMMYFUNCTION("""COMPUTED_VALUE"""),"179D0kPRO8f_KLxd7hs6seM9XGxpL-u1rhIhNgFVePsQ")</f>
        <v>179D0kPRO8f_KLxd7hs6seM9XGxpL-u1rhIhNgFVePsQ</v>
      </c>
    </row>
    <row r="793" ht="15.75" customHeight="1">
      <c r="A793" s="0" t="str">
        <f>IFERROR(__xludf.DUMMYFUNCTION("""COMPUTED_VALUE"""),"OpenFin")</f>
        <v>OpenFin</v>
      </c>
      <c r="B793" s="0" t="str">
        <f>IFERROR(__xludf.DUMMYFUNCTION("""COMPUTED_VALUE"""),"OpenModule")</f>
        <v>OpenModule</v>
      </c>
      <c r="C793" s="0" t="str">
        <f>IFERROR(__xludf.DUMMYFUNCTION("""COMPUTED_VALUE"""),"1IdmD7l42pWNjFNVt_7UwbOO7y5tDxaXr7tE60c9ETLw")</f>
        <v>1IdmD7l42pWNjFNVt_7UwbOO7y5tDxaXr7tE60c9ETLw</v>
      </c>
    </row>
    <row r="794" ht="15.75" customHeight="1">
      <c r="A794" s="0" t="str">
        <f>IFERROR(__xludf.DUMMYFUNCTION("""COMPUTED_VALUE"""),"TradingTicket")</f>
        <v>TradingTicket</v>
      </c>
      <c r="B794" s="0" t="str">
        <f>IFERROR(__xludf.DUMMYFUNCTION("""COMPUTED_VALUE"""),"SymbolSuggestionVerify")</f>
        <v>SymbolSuggestionVerify</v>
      </c>
      <c r="C794" s="0" t="str">
        <f>IFERROR(__xludf.DUMMYFUNCTION("""COMPUTED_VALUE"""),"14aTeLjmUbS-nhaQwjtZAMGxdQ5DS6UsBjE5OTWN-LQU")</f>
        <v>14aTeLjmUbS-nhaQwjtZAMGxdQ5DS6UsBjE5OTWN-LQU</v>
      </c>
    </row>
    <row r="795" ht="15.75" customHeight="1">
      <c r="A795" s="0" t="str">
        <f>IFERROR(__xludf.DUMMYFUNCTION("""COMPUTED_VALUE"""),"Blotter")</f>
        <v>Blotter</v>
      </c>
      <c r="B795" s="0" t="str">
        <f>IFERROR(__xludf.DUMMYFUNCTION("""COMPUTED_VALUE"""),"CreateHotButtonOnBlotter")</f>
        <v>CreateHotButtonOnBlotter</v>
      </c>
      <c r="C795" s="0" t="str">
        <f>IFERROR(__xludf.DUMMYFUNCTION("""COMPUTED_VALUE"""),"1Yu7Fb6AjhUP8b-KuRJvgAwq8TykNK6BDh9F0Xpf12Ek")</f>
        <v>1Yu7Fb6AjhUP8b-KuRJvgAwq8TykNK6BDh9F0Xpf12Ek</v>
      </c>
    </row>
    <row r="796" ht="15.75" customHeight="1">
      <c r="A796" s="0" t="str">
        <f>IFERROR(__xludf.DUMMYFUNCTION("""COMPUTED_VALUE"""),"Blotter")</f>
        <v>Blotter</v>
      </c>
      <c r="B796" s="0" t="str">
        <f>IFERROR(__xludf.DUMMYFUNCTION("""COMPUTED_VALUE"""),"FillHBdetailsOnBlotter")</f>
        <v>FillHBdetailsOnBlotter</v>
      </c>
      <c r="C796" s="0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/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IFERROR(__xludf.DUMMYFUNCTION("IF(C3="""","""",Transpose(IMPORTRANGE('_Settings'!$B$3,C3&amp;""!A4:A1000"")))"),"")</f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D81D8DD-8900-4CAE-A929-6B2CF84C67C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7E36559-9F36-4504-AC09-990720A6D741}">
          <x14:formula1>
            <xm:f>EditSMGridUi!$4:$4</xm:f>
          </x14:formula1>
          <xm:sqref>E3</xm:sqref>
        </x14:dataValidation>
        <x14:dataValidation type="list" allowBlank="1" showInputMessage="1" showErrorMessage="1" prompt="Choose an available module" xr:uid="{B09E1642-0674-4B3C-A9EC-B4F71F4BEEA6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30</v>
      </c>
      <c r="C5" s="0" t="s">
        <v>31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D36397D-E999-40DC-BECC-58CDA6AEBE7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21958A5-DAFF-4E3C-866B-54B4CA1D3DA9}">
          <x14:formula1>
            <xm:f>UpdateExpnlConfig!$4:$4</xm:f>
          </x14:formula1>
          <xm:sqref>E3</xm:sqref>
        </x14:dataValidation>
        <x14:dataValidation type="list" allowBlank="1" showInputMessage="1" showErrorMessage="1" prompt="Choose an available module" xr:uid="{39033DA2-70A1-48D5-8CB1-50DD40C492F4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33</v>
      </c>
      <c r="C5" s="0" t="s">
        <v>34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A47CF8-6BA6-4E79-851B-614EECF015A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B55932-E710-469E-8682-BB50D1478E34}">
          <x14:formula1>
            <xm:f>UpdateRoundLot!$4:$4</xm:f>
          </x14:formula1>
          <xm:sqref>E3</xm:sqref>
        </x14:dataValidation>
        <x14:dataValidation type="list" allowBlank="1" showInputMessage="1" showErrorMessage="1" prompt="Choose an available module" xr:uid="{BC3F4BCE-5F6F-40FB-A91A-3110DB1B203C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40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45</v>
      </c>
      <c r="M5" s="0" t="s">
        <v>46</v>
      </c>
      <c r="N5" s="0" t="s">
        <v>47</v>
      </c>
      <c r="O5" s="0" t="s">
        <v>48</v>
      </c>
      <c r="P5" s="0" t="s">
        <v>49</v>
      </c>
      <c r="Q5" s="0" t="s">
        <v>50</v>
      </c>
      <c r="R5" s="0" t="s">
        <v>51</v>
      </c>
      <c r="S5" s="0" t="s">
        <v>52</v>
      </c>
      <c r="T5" s="0" t="s">
        <v>53</v>
      </c>
      <c r="U5" s="0" t="s">
        <v>54</v>
      </c>
      <c r="V5" s="0" t="s">
        <v>55</v>
      </c>
      <c r="W5" s="0" t="s">
        <v>56</v>
      </c>
      <c r="X5" s="0" t="s">
        <v>57</v>
      </c>
      <c r="Y5" s="0" t="s">
        <v>58</v>
      </c>
      <c r="Z5" s="0" t="s">
        <v>59</v>
      </c>
      <c r="AA5" s="0" t="s">
        <v>60</v>
      </c>
      <c r="AB5" s="0" t="s">
        <v>61</v>
      </c>
      <c r="AC5" s="0" t="s">
        <v>62</v>
      </c>
      <c r="AD5" s="0" t="s">
        <v>63</v>
      </c>
      <c r="AE5" s="0" t="s">
        <v>64</v>
      </c>
      <c r="AF5" s="0" t="s">
        <v>65</v>
      </c>
      <c r="AG5" s="0" t="s">
        <v>66</v>
      </c>
      <c r="AH5" s="0" t="s">
        <v>67</v>
      </c>
      <c r="AI5" s="0" t="s">
        <v>68</v>
      </c>
      <c r="AJ5" s="0" t="s">
        <v>34</v>
      </c>
      <c r="AK5" s="0" t="s">
        <v>69</v>
      </c>
      <c r="AL5" s="0" t="s">
        <v>70</v>
      </c>
      <c r="AM5" s="0" t="s">
        <v>71</v>
      </c>
      <c r="AN5" s="0" t="s">
        <v>72</v>
      </c>
      <c r="AO5" s="0" t="s">
        <v>73</v>
      </c>
      <c r="AP5" s="0" t="s">
        <v>74</v>
      </c>
      <c r="AQ5" s="0" t="s">
        <v>75</v>
      </c>
      <c r="AR5" s="0" t="s">
        <v>76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CFD3837-BD7B-4367-8FBF-205BCFC52DD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EE579BE-6959-4B5E-BE9F-9AB781FE8217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05FEFDF5-3440-4966-9443-D85FD3D3864A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78</v>
      </c>
      <c r="D5" s="0" t="s">
        <v>79</v>
      </c>
      <c r="E5" s="0" t="s">
        <v>80</v>
      </c>
      <c r="F5" s="0" t="s">
        <v>81</v>
      </c>
      <c r="G5" s="0" t="s">
        <v>82</v>
      </c>
      <c r="H5" s="0" t="s">
        <v>83</v>
      </c>
      <c r="I5" s="0" t="s">
        <v>84</v>
      </c>
      <c r="J5" s="0" t="s">
        <v>85</v>
      </c>
      <c r="K5" s="0" t="s">
        <v>86</v>
      </c>
      <c r="L5" s="0" t="s">
        <v>87</v>
      </c>
      <c r="M5" s="0" t="s">
        <v>88</v>
      </c>
      <c r="N5" s="0" t="s">
        <v>89</v>
      </c>
      <c r="O5" s="0" t="s">
        <v>90</v>
      </c>
      <c r="P5" s="0" t="s">
        <v>91</v>
      </c>
      <c r="Q5" s="0" t="s">
        <v>92</v>
      </c>
      <c r="R5" s="0" t="s">
        <v>93</v>
      </c>
      <c r="S5" s="0" t="s">
        <v>94</v>
      </c>
      <c r="T5" s="0" t="s">
        <v>95</v>
      </c>
      <c r="U5" s="0" t="s">
        <v>96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4AB5FA3-3589-425C-A81C-B487D90BE4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2160FB2-59FC-45D6-BE2F-D3AB5B668B2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5060DFE-1ABF-408A-82EF-EDF18C354321}">
          <x14:formula1>
            <xm:f>PricingInput!$4:$4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97</v>
      </c>
      <c r="C5" s="0" t="s">
        <v>98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572A5EC-97E4-46DB-BA30-1FC206507A2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FE4F8B0-B2F5-438D-969A-D1FC6204E1D9}">
          <x14:formula1>
            <xm:f>GetForexConversion!$4:$4</xm:f>
          </x14:formula1>
          <xm:sqref>E3</xm:sqref>
        </x14:dataValidation>
        <x14:dataValidation type="list" allowBlank="1" showInputMessage="1" showErrorMessage="1" prompt="Choose an available module" xr:uid="{2A57088B-B3BE-4858-8A66-3195FF91FA6D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99</v>
      </c>
      <c r="C5" s="0" t="s">
        <v>100</v>
      </c>
      <c r="D5" s="0" t="s">
        <v>21</v>
      </c>
      <c r="E5" s="0" t="s">
        <v>37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92B190-A2C0-44BE-B3AD-D94EFB9784D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AE5EE07-2C26-4FBC-B917-B7517C8B22D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7375224-0E11-4BF1-82C5-2B8748FE73B9}">
          <x14:formula1>
            <xm:f>UpdateForexConversion!$4:$4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101</v>
      </c>
      <c r="C5" s="0" t="s">
        <v>102</v>
      </c>
      <c r="D5" s="0" t="s">
        <v>103</v>
      </c>
      <c r="E5" s="0" t="s">
        <v>104</v>
      </c>
      <c r="F5" s="0" t="s">
        <v>21</v>
      </c>
      <c r="G5" s="0" t="s">
        <v>105</v>
      </c>
      <c r="H5" s="0" t="s">
        <v>106</v>
      </c>
      <c r="I5" s="0" t="s">
        <v>49</v>
      </c>
      <c r="J5" s="0" t="s">
        <v>60</v>
      </c>
      <c r="K5" s="0" t="s">
        <v>107</v>
      </c>
      <c r="L5" s="0" t="s">
        <v>108</v>
      </c>
      <c r="M5" s="0" t="s">
        <v>109</v>
      </c>
      <c r="N5" s="0" t="s">
        <v>110</v>
      </c>
      <c r="O5" s="0" t="s">
        <v>63</v>
      </c>
      <c r="P5" s="0" t="s">
        <v>111</v>
      </c>
      <c r="Q5" s="0" t="s">
        <v>112</v>
      </c>
      <c r="R5" s="0" t="s">
        <v>113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5F861D8-9706-4F29-B923-AC2F2F22442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A5F67B2-9319-4AFB-82C7-87DF156B0432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8D5B7C21-CECD-4FC2-8A4E-F4167A0D3E92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114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36</v>
      </c>
      <c r="D5" s="0" t="s">
        <v>59</v>
      </c>
      <c r="E5" s="0" t="s">
        <v>115</v>
      </c>
      <c r="F5" s="0" t="s">
        <v>106</v>
      </c>
      <c r="G5" s="0" t="s">
        <v>116</v>
      </c>
      <c r="H5" s="0" t="s">
        <v>117</v>
      </c>
      <c r="I5" s="0" t="s">
        <v>118</v>
      </c>
      <c r="J5" s="0" t="s">
        <v>119</v>
      </c>
      <c r="K5" s="0" t="s">
        <v>120</v>
      </c>
      <c r="L5" s="0" t="s">
        <v>121</v>
      </c>
      <c r="M5" s="0" t="s">
        <v>122</v>
      </c>
      <c r="N5" s="0" t="s">
        <v>123</v>
      </c>
      <c r="O5" s="0" t="s">
        <v>124</v>
      </c>
      <c r="P5" s="0" t="s">
        <v>60</v>
      </c>
      <c r="Q5" s="0" t="s">
        <v>125</v>
      </c>
      <c r="R5" s="0" t="s">
        <v>126</v>
      </c>
      <c r="S5" s="0" t="s">
        <v>127</v>
      </c>
      <c r="T5" s="0" t="s">
        <v>128</v>
      </c>
      <c r="U5" s="0" t="s">
        <v>129</v>
      </c>
      <c r="V5" s="0" t="s">
        <v>130</v>
      </c>
      <c r="W5" s="0" t="s">
        <v>131</v>
      </c>
      <c r="X5" s="0" t="s">
        <v>132</v>
      </c>
      <c r="Y5" s="0" t="s">
        <v>133</v>
      </c>
      <c r="Z5" s="0" t="s">
        <v>134</v>
      </c>
      <c r="AA5" s="0" t="s">
        <v>135</v>
      </c>
      <c r="AB5" s="0" t="s">
        <v>136</v>
      </c>
      <c r="AC5" s="0" t="s">
        <v>137</v>
      </c>
      <c r="AD5" s="0" t="s">
        <v>138</v>
      </c>
      <c r="AE5" s="0" t="s">
        <v>139</v>
      </c>
      <c r="AF5" s="0" t="s">
        <v>140</v>
      </c>
      <c r="AG5" s="0" t="s">
        <v>141</v>
      </c>
      <c r="AH5" s="0" t="s">
        <v>142</v>
      </c>
      <c r="AI5" s="0" t="s">
        <v>143</v>
      </c>
      <c r="AJ5" s="0" t="s">
        <v>144</v>
      </c>
      <c r="AK5" s="0" t="s">
        <v>145</v>
      </c>
      <c r="AL5" s="0" t="s">
        <v>146</v>
      </c>
      <c r="AM5" s="0" t="s">
        <v>147</v>
      </c>
      <c r="AN5" s="0" t="s">
        <v>148</v>
      </c>
      <c r="AO5" s="0" t="s">
        <v>149</v>
      </c>
      <c r="AP5" s="0" t="s">
        <v>150</v>
      </c>
      <c r="AQ5" s="0" t="s">
        <v>151</v>
      </c>
      <c r="AR5" s="0" t="s">
        <v>152</v>
      </c>
      <c r="AS5" s="0" t="s">
        <v>153</v>
      </c>
      <c r="AT5" s="0" t="s">
        <v>154</v>
      </c>
      <c r="AU5" s="0" t="s">
        <v>155</v>
      </c>
      <c r="AV5" s="0" t="s">
        <v>156</v>
      </c>
      <c r="AW5" s="0" t="s">
        <v>157</v>
      </c>
      <c r="AX5" s="0" t="s">
        <v>158</v>
      </c>
      <c r="AY5" s="0" t="s">
        <v>159</v>
      </c>
      <c r="AZ5" s="0" t="s">
        <v>160</v>
      </c>
      <c r="BA5" s="0" t="s">
        <v>161</v>
      </c>
      <c r="BB5" s="0" t="s">
        <v>162</v>
      </c>
      <c r="BC5" s="0" t="s">
        <v>163</v>
      </c>
      <c r="BD5" s="0" t="s">
        <v>164</v>
      </c>
      <c r="BE5" s="0" t="s">
        <v>165</v>
      </c>
      <c r="BF5" s="0" t="s">
        <v>166</v>
      </c>
      <c r="BG5" s="0" t="s">
        <v>167</v>
      </c>
      <c r="BH5" s="0" t="s">
        <v>168</v>
      </c>
      <c r="BI5" s="0" t="s">
        <v>169</v>
      </c>
      <c r="BJ5" s="0" t="s">
        <v>170</v>
      </c>
      <c r="BK5" s="0" t="s">
        <v>171</v>
      </c>
      <c r="BL5" s="0" t="s">
        <v>172</v>
      </c>
      <c r="BM5" s="0" t="s">
        <v>173</v>
      </c>
      <c r="BN5" s="0" t="s">
        <v>55</v>
      </c>
      <c r="BO5" s="0" t="s">
        <v>110</v>
      </c>
      <c r="BP5" s="0" t="s">
        <v>108</v>
      </c>
      <c r="BQ5" s="0" t="s">
        <v>107</v>
      </c>
      <c r="BR5" s="0" t="s">
        <v>174</v>
      </c>
      <c r="BS5" s="0" t="s">
        <v>175</v>
      </c>
      <c r="BT5" s="0" t="s">
        <v>63</v>
      </c>
      <c r="BU5" s="0" t="s">
        <v>176</v>
      </c>
      <c r="BV5" s="0" t="s">
        <v>177</v>
      </c>
      <c r="BW5" s="0" t="s">
        <v>178</v>
      </c>
      <c r="BX5" s="0" t="s">
        <v>179</v>
      </c>
      <c r="BY5" s="0" t="s">
        <v>180</v>
      </c>
      <c r="BZ5" s="0" t="s">
        <v>181</v>
      </c>
      <c r="CA5" s="0" t="s">
        <v>182</v>
      </c>
      <c r="CB5" s="0" t="s">
        <v>183</v>
      </c>
      <c r="CC5" s="0" t="s">
        <v>58</v>
      </c>
      <c r="CD5" s="0" t="s">
        <v>24</v>
      </c>
      <c r="CE5" s="0" t="s">
        <v>184</v>
      </c>
      <c r="CF5" s="0" t="s">
        <v>185</v>
      </c>
      <c r="CG5" s="0" t="s">
        <v>186</v>
      </c>
      <c r="CH5" s="0" t="s">
        <v>187</v>
      </c>
      <c r="CI5" s="0" t="s">
        <v>188</v>
      </c>
      <c r="CJ5" s="0" t="s">
        <v>189</v>
      </c>
      <c r="CK5" s="0" t="s">
        <v>190</v>
      </c>
      <c r="CL5" s="0" t="s">
        <v>191</v>
      </c>
      <c r="CM5" s="0" t="s">
        <v>192</v>
      </c>
      <c r="CN5" s="0" t="s">
        <v>193</v>
      </c>
      <c r="CO5" s="0" t="s">
        <v>194</v>
      </c>
      <c r="CP5" s="0" t="s">
        <v>195</v>
      </c>
      <c r="CQ5" s="0" t="s">
        <v>196</v>
      </c>
      <c r="CR5" s="0" t="s">
        <v>197</v>
      </c>
      <c r="CS5" s="0" t="s">
        <v>198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265E2F7-12F1-4C2D-8868-BC7AD81F450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8CA734A-DCB0-4C25-AEAC-F3304FB1F1A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52E9210-EBC1-4205-A0A3-B9129F57183C}">
          <x14:formula1>
            <xm:f>SelectAllocatedGroup!$4:$4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199</v>
      </c>
      <c r="C5" s="0" t="s">
        <v>83</v>
      </c>
      <c r="D5" s="0" t="s">
        <v>200</v>
      </c>
      <c r="E5" s="0" t="s">
        <v>201</v>
      </c>
      <c r="F5" s="0" t="s">
        <v>202</v>
      </c>
      <c r="G5" s="0" t="s">
        <v>203</v>
      </c>
      <c r="H5" s="0" t="s">
        <v>204</v>
      </c>
      <c r="I5" s="0" t="s">
        <v>205</v>
      </c>
      <c r="J5" s="0" t="s">
        <v>206</v>
      </c>
      <c r="K5" s="0" t="s">
        <v>207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AD13833-48F9-41B6-BEB7-A4B586DE3C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BE7BED1-BFED-4ECE-8D69-10321321397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FAE0E09-1F58-47B8-8CD0-947CC133248F}">
          <x14:formula1>
            <xm:f>BookOrUpdateSwap!$4:$4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36</v>
      </c>
      <c r="D5" s="0" t="s">
        <v>59</v>
      </c>
      <c r="E5" s="0" t="s">
        <v>115</v>
      </c>
      <c r="F5" s="0" t="s">
        <v>106</v>
      </c>
      <c r="G5" s="0" t="s">
        <v>116</v>
      </c>
      <c r="H5" s="0" t="s">
        <v>117</v>
      </c>
      <c r="I5" s="0" t="s">
        <v>118</v>
      </c>
      <c r="J5" s="0" t="s">
        <v>119</v>
      </c>
      <c r="K5" s="0" t="s">
        <v>120</v>
      </c>
      <c r="L5" s="0" t="s">
        <v>121</v>
      </c>
      <c r="M5" s="0" t="s">
        <v>122</v>
      </c>
      <c r="N5" s="0" t="s">
        <v>123</v>
      </c>
      <c r="O5" s="0" t="s">
        <v>124</v>
      </c>
      <c r="P5" s="0" t="s">
        <v>60</v>
      </c>
      <c r="Q5" s="0" t="s">
        <v>125</v>
      </c>
      <c r="R5" s="0" t="s">
        <v>126</v>
      </c>
      <c r="S5" s="0" t="s">
        <v>127</v>
      </c>
      <c r="T5" s="0" t="s">
        <v>128</v>
      </c>
      <c r="U5" s="0" t="s">
        <v>129</v>
      </c>
      <c r="V5" s="0" t="s">
        <v>130</v>
      </c>
      <c r="W5" s="0" t="s">
        <v>131</v>
      </c>
      <c r="X5" s="0" t="s">
        <v>132</v>
      </c>
      <c r="Y5" s="0" t="s">
        <v>133</v>
      </c>
      <c r="Z5" s="0" t="s">
        <v>134</v>
      </c>
      <c r="AA5" s="0" t="s">
        <v>135</v>
      </c>
      <c r="AB5" s="0" t="s">
        <v>136</v>
      </c>
      <c r="AC5" s="0" t="s">
        <v>137</v>
      </c>
      <c r="AD5" s="0" t="s">
        <v>138</v>
      </c>
      <c r="AE5" s="0" t="s">
        <v>139</v>
      </c>
      <c r="AF5" s="0" t="s">
        <v>140</v>
      </c>
      <c r="AG5" s="0" t="s">
        <v>141</v>
      </c>
      <c r="AH5" s="0" t="s">
        <v>142</v>
      </c>
      <c r="AI5" s="0" t="s">
        <v>143</v>
      </c>
      <c r="AJ5" s="0" t="s">
        <v>144</v>
      </c>
      <c r="AK5" s="0" t="s">
        <v>145</v>
      </c>
      <c r="AL5" s="0" t="s">
        <v>146</v>
      </c>
      <c r="AM5" s="0" t="s">
        <v>147</v>
      </c>
      <c r="AN5" s="0" t="s">
        <v>148</v>
      </c>
      <c r="AO5" s="0" t="s">
        <v>149</v>
      </c>
      <c r="AP5" s="0" t="s">
        <v>150</v>
      </c>
      <c r="AQ5" s="0" t="s">
        <v>151</v>
      </c>
      <c r="AR5" s="0" t="s">
        <v>152</v>
      </c>
      <c r="AS5" s="0" t="s">
        <v>153</v>
      </c>
      <c r="AT5" s="0" t="s">
        <v>154</v>
      </c>
      <c r="AU5" s="0" t="s">
        <v>155</v>
      </c>
      <c r="AV5" s="0" t="s">
        <v>156</v>
      </c>
      <c r="AW5" s="0" t="s">
        <v>157</v>
      </c>
      <c r="AX5" s="0" t="s">
        <v>158</v>
      </c>
      <c r="AY5" s="0" t="s">
        <v>159</v>
      </c>
      <c r="AZ5" s="0" t="s">
        <v>160</v>
      </c>
      <c r="BA5" s="0" t="s">
        <v>161</v>
      </c>
      <c r="BB5" s="0" t="s">
        <v>162</v>
      </c>
      <c r="BC5" s="0" t="s">
        <v>163</v>
      </c>
      <c r="BD5" s="0" t="s">
        <v>164</v>
      </c>
      <c r="BE5" s="0" t="s">
        <v>165</v>
      </c>
      <c r="BF5" s="0" t="s">
        <v>166</v>
      </c>
      <c r="BG5" s="0" t="s">
        <v>167</v>
      </c>
      <c r="BH5" s="0" t="s">
        <v>168</v>
      </c>
      <c r="BI5" s="0" t="s">
        <v>169</v>
      </c>
      <c r="BJ5" s="0" t="s">
        <v>170</v>
      </c>
      <c r="BK5" s="0" t="s">
        <v>171</v>
      </c>
      <c r="BL5" s="0" t="s">
        <v>172</v>
      </c>
      <c r="BM5" s="0" t="s">
        <v>173</v>
      </c>
      <c r="BN5" s="0" t="s">
        <v>55</v>
      </c>
      <c r="BO5" s="0" t="s">
        <v>110</v>
      </c>
      <c r="BP5" s="0" t="s">
        <v>108</v>
      </c>
      <c r="BQ5" s="0" t="s">
        <v>107</v>
      </c>
      <c r="BR5" s="0" t="s">
        <v>174</v>
      </c>
      <c r="BS5" s="0" t="s">
        <v>175</v>
      </c>
      <c r="BT5" s="0" t="s">
        <v>63</v>
      </c>
      <c r="BU5" s="0" t="s">
        <v>176</v>
      </c>
      <c r="BV5" s="0" t="s">
        <v>177</v>
      </c>
      <c r="BW5" s="0" t="s">
        <v>178</v>
      </c>
      <c r="BX5" s="0" t="s">
        <v>179</v>
      </c>
      <c r="BY5" s="0" t="s">
        <v>180</v>
      </c>
      <c r="BZ5" s="0" t="s">
        <v>181</v>
      </c>
      <c r="CA5" s="0" t="s">
        <v>182</v>
      </c>
      <c r="CB5" s="0" t="s">
        <v>183</v>
      </c>
      <c r="CC5" s="0" t="s">
        <v>58</v>
      </c>
      <c r="CD5" s="0" t="s">
        <v>24</v>
      </c>
      <c r="CE5" s="0" t="s">
        <v>184</v>
      </c>
      <c r="CF5" s="0" t="s">
        <v>185</v>
      </c>
      <c r="CG5" s="0" t="s">
        <v>186</v>
      </c>
      <c r="CH5" s="0" t="s">
        <v>187</v>
      </c>
      <c r="CI5" s="0" t="s">
        <v>188</v>
      </c>
      <c r="CJ5" s="0" t="s">
        <v>189</v>
      </c>
      <c r="CK5" s="0" t="s">
        <v>190</v>
      </c>
      <c r="CL5" s="0" t="s">
        <v>191</v>
      </c>
      <c r="CM5" s="0" t="s">
        <v>192</v>
      </c>
      <c r="CN5" s="0" t="s">
        <v>193</v>
      </c>
      <c r="CO5" s="0" t="s">
        <v>194</v>
      </c>
      <c r="CP5" s="0" t="s">
        <v>195</v>
      </c>
      <c r="CQ5" s="0" t="s">
        <v>196</v>
      </c>
      <c r="CR5" s="0" t="s">
        <v>197</v>
      </c>
      <c r="CS5" s="0" t="s">
        <v>198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6E39CD0-8169-44FD-AE3D-DD55EC0B48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D28EBCB-36AB-4367-AC9C-88D74B643017}">
          <x14:formula1>
            <xm:f>SelectAllocatedGroup1!$4:$4</xm:f>
          </x14:formula1>
          <xm:sqref>E3</xm:sqref>
        </x14:dataValidation>
        <x14:dataValidation type="list" allowBlank="1" showInputMessage="1" showErrorMessage="1" prompt="Choose an available module" xr:uid="{77E917B1-5DBC-47AD-9340-CB93F6041803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199</v>
      </c>
      <c r="C5" s="0" t="s">
        <v>83</v>
      </c>
      <c r="D5" s="0" t="s">
        <v>200</v>
      </c>
      <c r="E5" s="0" t="s">
        <v>201</v>
      </c>
      <c r="F5" s="0" t="s">
        <v>202</v>
      </c>
      <c r="G5" s="0" t="s">
        <v>203</v>
      </c>
      <c r="H5" s="0" t="s">
        <v>204</v>
      </c>
      <c r="I5" s="0" t="s">
        <v>205</v>
      </c>
      <c r="J5" s="0" t="s">
        <v>206</v>
      </c>
      <c r="K5" s="0" t="s">
        <v>207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4DB752-E5B6-4FB1-A7C8-7B727455DBA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D339827-0F83-461A-9BEC-D7B448759461}">
          <x14:formula1>
            <xm:f>BookOrUpdateSwap1!$4:$4</xm:f>
          </x14:formula1>
          <xm:sqref>E3</xm:sqref>
        </x14:dataValidation>
        <x14:dataValidation type="list" allowBlank="1" showInputMessage="1" showErrorMessage="1" prompt="Choose an available module" xr:uid="{64127611-CCF5-4A56-A60A-77C0D9B9269A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40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45</v>
      </c>
      <c r="M5" s="0" t="s">
        <v>46</v>
      </c>
      <c r="N5" s="0" t="s">
        <v>47</v>
      </c>
      <c r="O5" s="0" t="s">
        <v>48</v>
      </c>
      <c r="P5" s="0" t="s">
        <v>49</v>
      </c>
      <c r="Q5" s="0" t="s">
        <v>50</v>
      </c>
      <c r="R5" s="0" t="s">
        <v>51</v>
      </c>
      <c r="S5" s="0" t="s">
        <v>52</v>
      </c>
      <c r="T5" s="0" t="s">
        <v>53</v>
      </c>
      <c r="U5" s="0" t="s">
        <v>54</v>
      </c>
      <c r="V5" s="0" t="s">
        <v>55</v>
      </c>
      <c r="W5" s="0" t="s">
        <v>56</v>
      </c>
      <c r="X5" s="0" t="s">
        <v>57</v>
      </c>
      <c r="Y5" s="0" t="s">
        <v>58</v>
      </c>
      <c r="Z5" s="0" t="s">
        <v>59</v>
      </c>
      <c r="AA5" s="0" t="s">
        <v>60</v>
      </c>
      <c r="AB5" s="0" t="s">
        <v>61</v>
      </c>
      <c r="AC5" s="0" t="s">
        <v>62</v>
      </c>
      <c r="AD5" s="0" t="s">
        <v>63</v>
      </c>
      <c r="AE5" s="0" t="s">
        <v>64</v>
      </c>
      <c r="AF5" s="0" t="s">
        <v>65</v>
      </c>
      <c r="AG5" s="0" t="s">
        <v>66</v>
      </c>
      <c r="AH5" s="0" t="s">
        <v>67</v>
      </c>
      <c r="AI5" s="0" t="s">
        <v>68</v>
      </c>
      <c r="AJ5" s="0" t="s">
        <v>34</v>
      </c>
      <c r="AK5" s="0" t="s">
        <v>69</v>
      </c>
      <c r="AL5" s="0" t="s">
        <v>70</v>
      </c>
      <c r="AM5" s="0" t="s">
        <v>71</v>
      </c>
      <c r="AN5" s="0" t="s">
        <v>72</v>
      </c>
      <c r="AO5" s="0" t="s">
        <v>73</v>
      </c>
      <c r="AP5" s="0" t="s">
        <v>74</v>
      </c>
      <c r="AQ5" s="0" t="s">
        <v>75</v>
      </c>
      <c r="AR5" s="0" t="s">
        <v>76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FC4D39-1E45-4AFB-874D-26A5A3BAC9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A837971-8F35-4C22-8EC1-0275FA86BCEC}">
          <x14:formula1>
            <xm:f>CustomOrderTT1!$4:$4</xm:f>
          </x14:formula1>
          <xm:sqref>E3</xm:sqref>
        </x14:dataValidation>
        <x14:dataValidation type="list" allowBlank="1" showInputMessage="1" showErrorMessage="1" prompt="Choose an available module" xr:uid="{C357B4CD-D3B6-4A5A-BD2F-B6723CAB1636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78</v>
      </c>
      <c r="D5" s="0" t="s">
        <v>79</v>
      </c>
      <c r="E5" s="0" t="s">
        <v>80</v>
      </c>
      <c r="F5" s="0" t="s">
        <v>81</v>
      </c>
      <c r="G5" s="0" t="s">
        <v>82</v>
      </c>
      <c r="H5" s="0" t="s">
        <v>83</v>
      </c>
      <c r="I5" s="0" t="s">
        <v>84</v>
      </c>
      <c r="J5" s="0" t="s">
        <v>85</v>
      </c>
      <c r="K5" s="0" t="s">
        <v>86</v>
      </c>
      <c r="L5" s="0" t="s">
        <v>87</v>
      </c>
      <c r="M5" s="0" t="s">
        <v>88</v>
      </c>
      <c r="N5" s="0" t="s">
        <v>89</v>
      </c>
      <c r="O5" s="0" t="s">
        <v>90</v>
      </c>
      <c r="P5" s="0" t="s">
        <v>91</v>
      </c>
      <c r="Q5" s="0" t="s">
        <v>92</v>
      </c>
      <c r="R5" s="0" t="s">
        <v>93</v>
      </c>
      <c r="S5" s="0" t="s">
        <v>94</v>
      </c>
      <c r="T5" s="0" t="s">
        <v>95</v>
      </c>
      <c r="U5" s="0" t="s">
        <v>96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BBF83E2-8763-4985-A02B-652C6E67167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170329C-3711-416B-8FCA-606259C25B51}">
          <x14:formula1>
            <xm:f>PricingInput1!$4:$4</xm:f>
          </x14:formula1>
          <xm:sqref>E3</xm:sqref>
        </x14:dataValidation>
        <x14:dataValidation type="list" allowBlank="1" showInputMessage="1" showErrorMessage="1" prompt="Choose an available module" xr:uid="{5BE66165-5273-4A1C-9E7F-0F6FD3E3F43B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208</v>
      </c>
      <c r="D3" s="5" t="s">
        <v>9</v>
      </c>
      <c r="E3" s="22" t="s">
        <v>209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97</v>
      </c>
      <c r="C5" s="0" t="s">
        <v>210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75A7818-C9C7-4669-B49A-BA733AD10FF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DCE3B6D-9D00-4E0F-B4DF-8484945BCFA9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DA5C9B47-5FFC-4660-AE4E-AE54139FEEA5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49</v>
      </c>
      <c r="C5" s="0" t="s">
        <v>211</v>
      </c>
      <c r="D5" s="0" t="s">
        <v>212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B2EE2A1-345E-4A0D-B97D-4D7AE7ED759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81DD74A-4C85-4979-9A3D-0741B302DAC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3DBC366-357B-4B3E-852C-7D450E6A547F}">
          <x14:formula1>
            <xm:f>UpdateMultipleDailyCash!$4:$4</xm:f>
          </x14:formula1>
          <xm:sqref>E3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213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49</v>
      </c>
      <c r="C5" s="0" t="s">
        <v>214</v>
      </c>
      <c r="D5" s="0" t="s">
        <v>215</v>
      </c>
      <c r="E5" s="0" t="s">
        <v>216</v>
      </c>
      <c r="F5" s="0" t="s">
        <v>21</v>
      </c>
      <c r="G5" s="0" t="s">
        <v>217</v>
      </c>
      <c r="H5" s="0" t="s">
        <v>218</v>
      </c>
      <c r="I5" s="0" t="s">
        <v>219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F3B6EBC-2BC6-428A-BF88-1DEFDFFEC07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2E47E79-C0CB-4C8A-9A97-91EFA362C675}">
          <x14:formula1>
            <xm:f>GetCashTransaction!$4:$4</xm:f>
          </x14:formula1>
          <xm:sqref>E3</xm:sqref>
        </x14:dataValidation>
        <x14:dataValidation type="list" allowBlank="1" showInputMessage="1" showErrorMessage="1" prompt="Choose an available module" xr:uid="{4D38D0AD-B707-471F-8751-B2894A568990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220</v>
      </c>
      <c r="C5" s="0" t="s">
        <v>221</v>
      </c>
      <c r="D5" s="0" t="s">
        <v>21</v>
      </c>
      <c r="E5" s="0" t="s">
        <v>222</v>
      </c>
      <c r="F5" s="0" t="s">
        <v>49</v>
      </c>
      <c r="G5" s="0" t="s">
        <v>107</v>
      </c>
      <c r="H5" s="0" t="s">
        <v>223</v>
      </c>
      <c r="I5" s="0" t="s">
        <v>224</v>
      </c>
      <c r="J5" s="0" t="s">
        <v>225</v>
      </c>
      <c r="K5" s="0" t="s">
        <v>226</v>
      </c>
      <c r="L5" s="0" t="s">
        <v>227</v>
      </c>
      <c r="M5" s="0" t="s">
        <v>140</v>
      </c>
      <c r="N5" s="0" t="s">
        <v>228</v>
      </c>
      <c r="O5" s="0" t="s">
        <v>229</v>
      </c>
      <c r="P5" s="0" t="s">
        <v>230</v>
      </c>
      <c r="Q5" s="0" t="s">
        <v>196</v>
      </c>
      <c r="R5" s="0" t="s">
        <v>231</v>
      </c>
      <c r="S5" s="0" t="s">
        <v>232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6D1939A-45F1-42FD-862F-CD3E74CC663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DBF9E08-2F74-4FE9-95E2-38C94B1F8FA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B0794C1-34AA-441B-BC77-97693D1D1BD6}">
          <x14:formula1>
            <xm:f>AddCashTransaction!$4:$4</xm:f>
          </x14:formula1>
          <xm:sqref>E3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213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198</v>
      </c>
      <c r="C5" s="0" t="s">
        <v>233</v>
      </c>
      <c r="D5" s="0" t="s">
        <v>234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D1696F3-DAE2-4B2B-B326-8E610E0FA07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091F061-7FCA-4F52-904E-24CF64AF4425}">
          <x14:formula1>
            <xm:f>RunRevaluation!$4:$4</xm:f>
          </x14:formula1>
          <xm:sqref>E3</xm:sqref>
        </x14:dataValidation>
        <x14:dataValidation type="list" allowBlank="1" showInputMessage="1" showErrorMessage="1" prompt="Choose an available module" xr:uid="{C68CD30D-A3CA-48BB-8B3F-FA7CDA05BCAA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236</v>
      </c>
      <c r="C5" s="0" t="s">
        <v>237</v>
      </c>
      <c r="D5" s="0" t="s">
        <v>238</v>
      </c>
      <c r="E5" s="0" t="s">
        <v>239</v>
      </c>
      <c r="F5" s="0" t="s">
        <v>240</v>
      </c>
      <c r="G5" s="0" t="s">
        <v>241</v>
      </c>
      <c r="H5" s="0" t="s">
        <v>242</v>
      </c>
      <c r="I5" s="0" t="s">
        <v>243</v>
      </c>
      <c r="J5" s="0" t="s">
        <v>244</v>
      </c>
      <c r="K5" s="0" t="s">
        <v>245</v>
      </c>
      <c r="L5" s="0" t="s">
        <v>246</v>
      </c>
      <c r="M5" s="0" t="s">
        <v>247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F6BC618-7C06-48B1-AA6E-68EB8DDC7CC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35289D4-4D57-452E-B995-4C5574042A5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6DD2F88-4E75-44F8-9E64-D982AB0F0821}">
          <x14:formula1>
            <xm:f>RebalancePreference!$4:$4</xm:f>
          </x14:formula1>
          <xm:sqref>E3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248</v>
      </c>
      <c r="C5" s="0" t="s">
        <v>249</v>
      </c>
      <c r="D5" s="0" t="s">
        <v>250</v>
      </c>
      <c r="E5" s="0" t="s">
        <v>251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F9211E-9CAB-4007-9543-56874EC61D1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AD585B1-AF07-46DB-BA7A-5D5739E2D11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1719B39-FD78-4CC7-BF16-C279D45CCC6B}">
          <x14:formula1>
            <xm:f>FetchAccountPositions!$4:$4</xm:f>
          </x14:formula1>
          <xm:sqref>E3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252</v>
      </c>
      <c r="C5" s="0" t="s">
        <v>253</v>
      </c>
      <c r="D5" s="0" t="s">
        <v>254</v>
      </c>
      <c r="E5" s="0" t="s">
        <v>255</v>
      </c>
      <c r="F5" s="0" t="s">
        <v>256</v>
      </c>
      <c r="G5" s="0" t="s">
        <v>233</v>
      </c>
      <c r="H5" s="0" t="s">
        <v>257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F1CD82-CFBE-4262-9777-23065EDBF2D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080A351-6863-4C10-A42B-65B43133AE51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CA785305-4A90-43D4-ABAD-6E7099B6D2DE}">
          <x14:formula1>
            <xm:f>'_Modules'!$A$4:$A$1000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235</v>
      </c>
      <c r="D3" s="5" t="s">
        <v>9</v>
      </c>
      <c r="E3" s="22" t="s">
        <v>258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246</v>
      </c>
      <c r="C5" s="0" t="s">
        <v>259</v>
      </c>
      <c r="D5" s="0" t="s">
        <v>260</v>
      </c>
      <c r="E5" s="0" t="s">
        <v>261</v>
      </c>
      <c r="F5" s="0" t="s">
        <v>262</v>
      </c>
      <c r="G5" s="0" t="s">
        <v>263</v>
      </c>
      <c r="H5" s="0" t="s">
        <v>264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973FBA-815D-422C-84B6-BBEE2D39B98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2464873-AA07-4A9C-A845-8DE8AB66EBBA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56D06203-9531-4CD8-929F-E40B6D19BD2D}">
          <x14:formula1>
            <xm:f>'_Modules'!$A$4:$A$1000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235</v>
      </c>
      <c r="D3" s="5" t="s">
        <v>9</v>
      </c>
      <c r="E3" s="22" t="s">
        <v>265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266</v>
      </c>
      <c r="C5" s="0" t="s">
        <v>267</v>
      </c>
      <c r="D5" s="0" t="s">
        <v>268</v>
      </c>
      <c r="E5" s="0" t="s">
        <v>269</v>
      </c>
      <c r="F5" s="0" t="s">
        <v>237</v>
      </c>
      <c r="G5" s="0" t="s">
        <v>262</v>
      </c>
      <c r="H5" s="0" t="s">
        <v>261</v>
      </c>
      <c r="I5" s="0" t="s">
        <v>270</v>
      </c>
      <c r="J5" s="0" t="s">
        <v>37</v>
      </c>
      <c r="K5" s="0" t="s">
        <v>271</v>
      </c>
      <c r="L5" s="0" t="s">
        <v>272</v>
      </c>
      <c r="M5" s="0" t="s">
        <v>273</v>
      </c>
      <c r="N5" s="0" t="s">
        <v>274</v>
      </c>
      <c r="O5" s="0" t="s">
        <v>275</v>
      </c>
      <c r="P5" s="0" t="s">
        <v>276</v>
      </c>
      <c r="Q5" s="0" t="s">
        <v>277</v>
      </c>
      <c r="R5" s="0" t="s">
        <v>278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CFC26E8-E783-4C95-8ACE-17B700DBAD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1884D70-8F69-4347-8BFA-A796B97F3EF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9DFE265-BBD1-4418-8B41-AD6F944DB032}">
          <x14:formula1>
            <xm:f>RebalanceAcrossSecurities!$4:$4</xm:f>
          </x14:formula1>
          <xm:sqref>E3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279</v>
      </c>
      <c r="C5" s="0" t="s">
        <v>261</v>
      </c>
      <c r="D5" s="0" t="s">
        <v>262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CDD79F9-9C41-4FF3-9D60-F33C8C30627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E08988D-1BA7-4349-AC1E-08BB6B0CBD0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2FCEC17-3E19-422D-9552-08B2CC8A0FC1}">
          <x14:formula1>
            <xm:f>ModifyRebalance!$4:$4</xm:f>
          </x14:formula1>
          <xm:sqref>E3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49</v>
      </c>
      <c r="C5" s="0" t="s">
        <v>106</v>
      </c>
      <c r="D5" s="0" t="s">
        <v>21</v>
      </c>
      <c r="E5" s="0" t="s">
        <v>36</v>
      </c>
      <c r="F5" s="0" t="s">
        <v>280</v>
      </c>
      <c r="G5" s="0" t="s">
        <v>281</v>
      </c>
      <c r="H5" s="0" t="s">
        <v>282</v>
      </c>
      <c r="I5" s="0" t="s">
        <v>283</v>
      </c>
      <c r="J5" s="0" t="s">
        <v>284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B5289A-2C6A-4921-A1A6-03CAC3D719E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AD8E5DA-311B-437F-9902-FD8DD2E79E8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1D6660E-93EB-4F68-BA36-EE1509BBDCB7}">
          <x14:formula1>
            <xm:f>SendtoStaging!$4:$4</xm:f>
          </x14:formula1>
          <xm:sqref>E3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285</v>
      </c>
      <c r="D3" s="5" t="s">
        <v>9</v>
      </c>
      <c r="E3" s="22" t="s">
        <v>286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287</v>
      </c>
      <c r="C5" s="0" t="s">
        <v>288</v>
      </c>
      <c r="D5" s="0" t="s">
        <v>289</v>
      </c>
      <c r="E5" s="0" t="s">
        <v>290</v>
      </c>
      <c r="F5" s="0" t="s">
        <v>291</v>
      </c>
      <c r="G5" s="0" t="s">
        <v>292</v>
      </c>
      <c r="H5" s="0" t="s">
        <v>63</v>
      </c>
      <c r="I5" s="0" t="s">
        <v>161</v>
      </c>
      <c r="J5" s="0" t="s">
        <v>24</v>
      </c>
      <c r="K5" s="0" t="s">
        <v>293</v>
      </c>
      <c r="L5" s="0" t="s">
        <v>294</v>
      </c>
      <c r="M5" s="0" t="s">
        <v>149</v>
      </c>
      <c r="N5" s="0" t="s">
        <v>148</v>
      </c>
      <c r="O5" s="0" t="s">
        <v>147</v>
      </c>
      <c r="P5" s="0" t="s">
        <v>146</v>
      </c>
      <c r="Q5" s="0" t="s">
        <v>119</v>
      </c>
      <c r="R5" s="0" t="s">
        <v>121</v>
      </c>
      <c r="S5" s="0" t="s">
        <v>19</v>
      </c>
      <c r="T5" s="0" t="s">
        <v>295</v>
      </c>
      <c r="U5" s="0" t="s">
        <v>160</v>
      </c>
      <c r="V5" s="0" t="s">
        <v>296</v>
      </c>
      <c r="W5" s="0" t="s">
        <v>180</v>
      </c>
      <c r="X5" s="0" t="s">
        <v>297</v>
      </c>
      <c r="Y5" s="0" t="s">
        <v>298</v>
      </c>
      <c r="Z5" s="0" t="s">
        <v>299</v>
      </c>
      <c r="AA5" s="0" t="s">
        <v>300</v>
      </c>
      <c r="AB5" s="0" t="s">
        <v>301</v>
      </c>
      <c r="AC5" s="0" t="s">
        <v>142</v>
      </c>
      <c r="AD5" s="0" t="s">
        <v>144</v>
      </c>
      <c r="AE5" s="0" t="s">
        <v>302</v>
      </c>
      <c r="AF5" s="0" t="s">
        <v>145</v>
      </c>
      <c r="AG5" s="0" t="s">
        <v>303</v>
      </c>
      <c r="AH5" s="0" t="s">
        <v>79</v>
      </c>
      <c r="AI5" s="0" t="s">
        <v>21</v>
      </c>
      <c r="AJ5" s="0" t="s">
        <v>106</v>
      </c>
      <c r="AK5" s="0" t="s">
        <v>304</v>
      </c>
      <c r="AL5" s="0" t="s">
        <v>305</v>
      </c>
      <c r="AM5" s="0" t="s">
        <v>306</v>
      </c>
      <c r="AN5" s="0" t="s">
        <v>307</v>
      </c>
      <c r="AO5" s="0" t="s">
        <v>308</v>
      </c>
      <c r="AP5" s="0" t="s">
        <v>309</v>
      </c>
      <c r="AQ5" s="0" t="s">
        <v>310</v>
      </c>
      <c r="AR5" s="0" t="s">
        <v>311</v>
      </c>
      <c r="AS5" s="0" t="s">
        <v>60</v>
      </c>
      <c r="AT5" s="0" t="s">
        <v>49</v>
      </c>
      <c r="AU5" s="0" t="s">
        <v>55</v>
      </c>
      <c r="AV5" s="0" t="s">
        <v>312</v>
      </c>
      <c r="AW5" s="0" t="s">
        <v>313</v>
      </c>
      <c r="AX5" s="0" t="s">
        <v>172</v>
      </c>
      <c r="AY5" s="0" t="s">
        <v>314</v>
      </c>
      <c r="AZ5" s="0" t="s">
        <v>315</v>
      </c>
      <c r="BA5" s="0" t="s">
        <v>316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32E13F-4661-43B5-BEE2-19B8D2C385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A29750F-F211-473B-80EC-1261A445FD5F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D24417CB-A060-440D-AD09-11B0077F171F}">
          <x14:formula1>
            <xm:f>'_Modules'!$A$4:$A$1000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317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43</v>
      </c>
      <c r="D5" s="0" t="s">
        <v>36</v>
      </c>
      <c r="E5" s="0" t="s">
        <v>318</v>
      </c>
      <c r="F5" s="0" t="s">
        <v>42</v>
      </c>
      <c r="G5" s="0" t="s">
        <v>60</v>
      </c>
      <c r="H5" s="0" t="s">
        <v>54</v>
      </c>
      <c r="I5" s="0" t="s">
        <v>55</v>
      </c>
      <c r="J5" s="0" t="s">
        <v>37</v>
      </c>
      <c r="K5" s="0" t="s">
        <v>56</v>
      </c>
      <c r="L5" s="0" t="s">
        <v>57</v>
      </c>
      <c r="M5" s="0" t="s">
        <v>222</v>
      </c>
      <c r="N5" s="0" t="s">
        <v>59</v>
      </c>
      <c r="O5" s="0" t="s">
        <v>319</v>
      </c>
      <c r="P5" s="0" t="s">
        <v>320</v>
      </c>
      <c r="Q5" s="0" t="s">
        <v>321</v>
      </c>
      <c r="R5" s="0" t="s">
        <v>45</v>
      </c>
      <c r="S5" s="0" t="s">
        <v>46</v>
      </c>
      <c r="T5" s="0" t="s">
        <v>47</v>
      </c>
      <c r="U5" s="0" t="s">
        <v>48</v>
      </c>
      <c r="V5" s="0" t="s">
        <v>322</v>
      </c>
      <c r="W5" s="0" t="s">
        <v>323</v>
      </c>
      <c r="X5" s="0" t="s">
        <v>324</v>
      </c>
      <c r="Y5" s="0" t="s">
        <v>325</v>
      </c>
      <c r="Z5" s="0" t="s">
        <v>326</v>
      </c>
      <c r="AA5" s="0" t="s">
        <v>327</v>
      </c>
      <c r="AB5" s="0" t="s">
        <v>63</v>
      </c>
      <c r="AC5" s="0" t="s">
        <v>328</v>
      </c>
      <c r="AD5" s="0" t="s">
        <v>329</v>
      </c>
      <c r="AE5" s="0" t="s">
        <v>294</v>
      </c>
      <c r="AF5" s="0" t="s">
        <v>330</v>
      </c>
      <c r="AG5" s="0" t="s">
        <v>331</v>
      </c>
      <c r="AH5" s="0" t="s">
        <v>332</v>
      </c>
      <c r="AI5" s="0" t="s">
        <v>333</v>
      </c>
      <c r="AJ5" s="0" t="s">
        <v>334</v>
      </c>
      <c r="AK5" s="0" t="s">
        <v>49</v>
      </c>
      <c r="AL5" s="0" t="s">
        <v>50</v>
      </c>
      <c r="AM5" s="0" t="s">
        <v>335</v>
      </c>
      <c r="AN5" s="0" t="s">
        <v>336</v>
      </c>
      <c r="AO5" s="0" t="s">
        <v>337</v>
      </c>
      <c r="AP5" s="0" t="s">
        <v>338</v>
      </c>
      <c r="AQ5" s="0" t="s">
        <v>83</v>
      </c>
      <c r="AR5" s="0" t="s">
        <v>39</v>
      </c>
      <c r="AS5" s="0" t="s">
        <v>339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EE7D0B9-2B23-4545-A13C-27B6416D01B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016C78C-B112-48BD-BEFE-BC72AD0920E0}">
          <x14:formula1>
            <xm:f>CreateNewSubLiveOrder!$4:$4</xm:f>
          </x14:formula1>
          <xm:sqref>E3</xm:sqref>
        </x14:dataValidation>
        <x14:dataValidation type="list" allowBlank="1" showInputMessage="1" showErrorMessage="1" prompt="Choose an available module" xr:uid="{ECEB0E6A-83E4-4692-906E-6730FDDBB41B}">
          <x14:formula1>
            <xm:f>'_Modules'!$A$4:$A$1000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287</v>
      </c>
      <c r="C5" s="0" t="s">
        <v>288</v>
      </c>
      <c r="D5" s="0" t="s">
        <v>289</v>
      </c>
      <c r="E5" s="0" t="s">
        <v>290</v>
      </c>
      <c r="F5" s="0" t="s">
        <v>291</v>
      </c>
      <c r="G5" s="0" t="s">
        <v>292</v>
      </c>
      <c r="H5" s="0" t="s">
        <v>63</v>
      </c>
      <c r="I5" s="0" t="s">
        <v>161</v>
      </c>
      <c r="J5" s="0" t="s">
        <v>24</v>
      </c>
      <c r="K5" s="0" t="s">
        <v>293</v>
      </c>
      <c r="L5" s="0" t="s">
        <v>294</v>
      </c>
      <c r="M5" s="0" t="s">
        <v>149</v>
      </c>
      <c r="N5" s="0" t="s">
        <v>148</v>
      </c>
      <c r="O5" s="0" t="s">
        <v>147</v>
      </c>
      <c r="P5" s="0" t="s">
        <v>146</v>
      </c>
      <c r="Q5" s="0" t="s">
        <v>119</v>
      </c>
      <c r="R5" s="0" t="s">
        <v>121</v>
      </c>
      <c r="S5" s="0" t="s">
        <v>19</v>
      </c>
      <c r="T5" s="0" t="s">
        <v>295</v>
      </c>
      <c r="U5" s="0" t="s">
        <v>160</v>
      </c>
      <c r="V5" s="0" t="s">
        <v>296</v>
      </c>
      <c r="W5" s="0" t="s">
        <v>180</v>
      </c>
      <c r="X5" s="0" t="s">
        <v>297</v>
      </c>
      <c r="Y5" s="0" t="s">
        <v>298</v>
      </c>
      <c r="Z5" s="0" t="s">
        <v>299</v>
      </c>
      <c r="AA5" s="0" t="s">
        <v>300</v>
      </c>
      <c r="AB5" s="0" t="s">
        <v>301</v>
      </c>
      <c r="AC5" s="0" t="s">
        <v>142</v>
      </c>
      <c r="AD5" s="0" t="s">
        <v>144</v>
      </c>
      <c r="AE5" s="0" t="s">
        <v>302</v>
      </c>
      <c r="AF5" s="0" t="s">
        <v>145</v>
      </c>
      <c r="AG5" s="0" t="s">
        <v>303</v>
      </c>
      <c r="AH5" s="0" t="s">
        <v>79</v>
      </c>
      <c r="AI5" s="0" t="s">
        <v>21</v>
      </c>
      <c r="AJ5" s="0" t="s">
        <v>106</v>
      </c>
      <c r="AK5" s="0" t="s">
        <v>304</v>
      </c>
      <c r="AL5" s="0" t="s">
        <v>305</v>
      </c>
      <c r="AM5" s="0" t="s">
        <v>306</v>
      </c>
      <c r="AN5" s="0" t="s">
        <v>307</v>
      </c>
      <c r="AO5" s="0" t="s">
        <v>308</v>
      </c>
      <c r="AP5" s="0" t="s">
        <v>309</v>
      </c>
      <c r="AQ5" s="0" t="s">
        <v>310</v>
      </c>
      <c r="AR5" s="0" t="s">
        <v>311</v>
      </c>
      <c r="AS5" s="0" t="s">
        <v>60</v>
      </c>
      <c r="AT5" s="0" t="s">
        <v>49</v>
      </c>
      <c r="AU5" s="0" t="s">
        <v>55</v>
      </c>
      <c r="AV5" s="0" t="s">
        <v>312</v>
      </c>
      <c r="AW5" s="0" t="s">
        <v>313</v>
      </c>
      <c r="AX5" s="0" t="s">
        <v>172</v>
      </c>
      <c r="AY5" s="0" t="s">
        <v>314</v>
      </c>
      <c r="AZ5" s="0" t="s">
        <v>315</v>
      </c>
      <c r="BA5" s="0" t="s">
        <v>316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B4704FA-6F58-4B66-B61D-4C9E63056FC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7D63040-D534-44BD-818C-18FE5F1F0120}">
          <x14:formula1>
            <xm:f>TradeNewSubOrder1!$4:$4</xm:f>
          </x14:formula1>
          <xm:sqref>E3</xm:sqref>
        </x14:dataValidation>
        <x14:dataValidation type="list" allowBlank="1" showInputMessage="1" showErrorMessage="1" prompt="Choose an available module" xr:uid="{4464C028-B552-4C0E-B33C-EC3355B7F45B}">
          <x14:formula1>
            <xm:f>'_Modules'!$A$4:$A$1000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43</v>
      </c>
      <c r="D5" s="0" t="s">
        <v>36</v>
      </c>
      <c r="E5" s="0" t="s">
        <v>318</v>
      </c>
      <c r="F5" s="0" t="s">
        <v>42</v>
      </c>
      <c r="G5" s="0" t="s">
        <v>60</v>
      </c>
      <c r="H5" s="0" t="s">
        <v>54</v>
      </c>
      <c r="I5" s="0" t="s">
        <v>55</v>
      </c>
      <c r="J5" s="0" t="s">
        <v>37</v>
      </c>
      <c r="K5" s="0" t="s">
        <v>56</v>
      </c>
      <c r="L5" s="0" t="s">
        <v>57</v>
      </c>
      <c r="M5" s="0" t="s">
        <v>222</v>
      </c>
      <c r="N5" s="0" t="s">
        <v>59</v>
      </c>
      <c r="O5" s="0" t="s">
        <v>319</v>
      </c>
      <c r="P5" s="0" t="s">
        <v>320</v>
      </c>
      <c r="Q5" s="0" t="s">
        <v>321</v>
      </c>
      <c r="R5" s="0" t="s">
        <v>45</v>
      </c>
      <c r="S5" s="0" t="s">
        <v>46</v>
      </c>
      <c r="T5" s="0" t="s">
        <v>47</v>
      </c>
      <c r="U5" s="0" t="s">
        <v>48</v>
      </c>
      <c r="V5" s="0" t="s">
        <v>322</v>
      </c>
      <c r="W5" s="0" t="s">
        <v>323</v>
      </c>
      <c r="X5" s="0" t="s">
        <v>324</v>
      </c>
      <c r="Y5" s="0" t="s">
        <v>325</v>
      </c>
      <c r="Z5" s="0" t="s">
        <v>326</v>
      </c>
      <c r="AA5" s="0" t="s">
        <v>327</v>
      </c>
      <c r="AB5" s="0" t="s">
        <v>63</v>
      </c>
      <c r="AC5" s="0" t="s">
        <v>328</v>
      </c>
      <c r="AD5" s="0" t="s">
        <v>329</v>
      </c>
      <c r="AE5" s="0" t="s">
        <v>294</v>
      </c>
      <c r="AF5" s="0" t="s">
        <v>330</v>
      </c>
      <c r="AG5" s="0" t="s">
        <v>331</v>
      </c>
      <c r="AH5" s="0" t="s">
        <v>332</v>
      </c>
      <c r="AI5" s="0" t="s">
        <v>333</v>
      </c>
      <c r="AJ5" s="0" t="s">
        <v>334</v>
      </c>
      <c r="AK5" s="0" t="s">
        <v>49</v>
      </c>
      <c r="AL5" s="0" t="s">
        <v>50</v>
      </c>
      <c r="AM5" s="0" t="s">
        <v>335</v>
      </c>
      <c r="AN5" s="0" t="s">
        <v>336</v>
      </c>
      <c r="AO5" s="0" t="s">
        <v>337</v>
      </c>
      <c r="AP5" s="0" t="s">
        <v>338</v>
      </c>
      <c r="AQ5" s="0" t="s">
        <v>83</v>
      </c>
      <c r="AR5" s="0" t="s">
        <v>39</v>
      </c>
      <c r="AS5" s="0" t="s">
        <v>339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FD8BD8D-C804-47CC-96D1-304481375E7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10C908B-57C9-46A5-B1CD-873E1F2EE66D}">
          <x14:formula1>
            <xm:f>CreateNewSubLiveOrder1!$4:$4</xm:f>
          </x14:formula1>
          <xm:sqref>E3</xm:sqref>
        </x14:dataValidation>
        <x14:dataValidation type="list" allowBlank="1" showInputMessage="1" showErrorMessage="1" prompt="Choose an available module" xr:uid="{4AFEF201-B498-4227-8133-57BEFDE56B40}">
          <x14:formula1>
            <xm:f>'_Modules'!$A$4:$A$1000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106</v>
      </c>
      <c r="C5" s="0" t="s">
        <v>21</v>
      </c>
      <c r="D5" s="0" t="s">
        <v>55</v>
      </c>
      <c r="E5" s="0" t="s">
        <v>37</v>
      </c>
      <c r="F5" s="0" t="s">
        <v>340</v>
      </c>
      <c r="G5" s="0" t="s">
        <v>36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515FC6B-186F-4D05-83A8-6705B228A71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9E8CB3C-C5FE-4576-80C2-B4F973D2A5C4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A07C320E-B08E-415C-BD8D-E22F04C3FB23}">
          <x14:formula1>
            <xm:f>'_Modules'!$A$4:$A$1000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106</v>
      </c>
      <c r="C5" s="0" t="s">
        <v>21</v>
      </c>
      <c r="D5" s="0" t="s">
        <v>55</v>
      </c>
      <c r="E5" s="0" t="s">
        <v>37</v>
      </c>
      <c r="F5" s="0" t="s">
        <v>340</v>
      </c>
      <c r="G5" s="0" t="s">
        <v>36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4F467CD-5034-41EF-A4E1-F3A2A1385A3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283C916-2276-4866-A01E-6733BE91470E}">
          <x14:formula1>
            <xm:f>AcknowledgeTrade!$4:$4</xm:f>
          </x14:formula1>
          <xm:sqref>E3</xm:sqref>
        </x14:dataValidation>
        <x14:dataValidation type="list" allowBlank="1" showInputMessage="1" showErrorMessage="1" prompt="Choose an available module" xr:uid="{DA00239F-CBE3-43F5-ADE6-657C5C6BFF92}">
          <x14:formula1>
            <xm:f>'_Modules'!$A$4:$A$1000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341</v>
      </c>
      <c r="D3" s="5" t="s">
        <v>9</v>
      </c>
      <c r="E3" s="22" t="s">
        <v>342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37</v>
      </c>
      <c r="C5" s="0" t="s">
        <v>343</v>
      </c>
      <c r="D5" s="0" t="s">
        <v>344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8610B95-34F4-4DE4-AA6C-86F4C1A74C1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625C14A-21B6-43D3-AB86-BB636E6200B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DC19FD8-519F-474B-A475-15BFD2B8C163}">
          <x14:formula1>
            <xm:f>ExecuteTrade!$4:$4</xm:f>
          </x14:formula1>
          <xm:sqref>E3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106</v>
      </c>
      <c r="C5" s="0" t="s">
        <v>21</v>
      </c>
      <c r="D5" s="0" t="s">
        <v>55</v>
      </c>
      <c r="E5" s="0" t="s">
        <v>37</v>
      </c>
      <c r="F5" s="0" t="s">
        <v>340</v>
      </c>
      <c r="G5" s="0" t="s">
        <v>36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5CA8144-76BF-4273-90DD-7A96608B8E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E2D0869-3E2A-44B0-AB43-9C789527847B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DE7E72B1-45C4-4D5C-B01A-0823DC60FE8B}">
          <x14:formula1>
            <xm:f>'_Modules'!$A$4:$A$1000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59</v>
      </c>
      <c r="C5" s="0" t="s">
        <v>21</v>
      </c>
      <c r="D5" s="0" t="s">
        <v>346</v>
      </c>
      <c r="E5" s="0" t="s">
        <v>49</v>
      </c>
      <c r="F5" s="0" t="s">
        <v>198</v>
      </c>
      <c r="G5" s="0" t="s">
        <v>347</v>
      </c>
      <c r="H5" s="0" t="s">
        <v>348</v>
      </c>
      <c r="I5" s="0" t="s">
        <v>349</v>
      </c>
      <c r="J5" s="0" t="s">
        <v>350</v>
      </c>
      <c r="K5" s="0" t="s">
        <v>351</v>
      </c>
      <c r="L5" s="0" t="s">
        <v>352</v>
      </c>
      <c r="M5" s="0" t="s">
        <v>353</v>
      </c>
      <c r="N5" s="0" t="s">
        <v>354</v>
      </c>
      <c r="O5" s="0" t="s">
        <v>355</v>
      </c>
      <c r="P5" s="0" t="s">
        <v>356</v>
      </c>
      <c r="Q5" s="0" t="s">
        <v>357</v>
      </c>
      <c r="R5" s="0" t="s">
        <v>358</v>
      </c>
      <c r="S5" s="0" t="s">
        <v>222</v>
      </c>
      <c r="T5" s="0" t="s">
        <v>79</v>
      </c>
      <c r="U5" s="0" t="s">
        <v>110</v>
      </c>
      <c r="V5" s="0" t="s">
        <v>108</v>
      </c>
      <c r="W5" s="0" t="s">
        <v>359</v>
      </c>
      <c r="X5" s="0" t="s">
        <v>25</v>
      </c>
      <c r="Y5" s="0" t="s">
        <v>144</v>
      </c>
      <c r="Z5" s="0" t="s">
        <v>360</v>
      </c>
      <c r="AA5" s="0" t="s">
        <v>361</v>
      </c>
      <c r="AB5" s="0" t="s">
        <v>362</v>
      </c>
      <c r="AC5" s="0" t="s">
        <v>363</v>
      </c>
      <c r="AD5" s="0" t="s">
        <v>364</v>
      </c>
      <c r="AE5" s="0" t="s">
        <v>365</v>
      </c>
      <c r="AF5" s="0" t="s">
        <v>366</v>
      </c>
      <c r="AG5" s="0" t="s">
        <v>367</v>
      </c>
      <c r="AH5" s="0" t="s">
        <v>368</v>
      </c>
      <c r="AI5" s="0" t="s">
        <v>369</v>
      </c>
      <c r="AJ5" s="0" t="s">
        <v>370</v>
      </c>
      <c r="AK5" s="0" t="s">
        <v>371</v>
      </c>
      <c r="AL5" s="0" t="s">
        <v>187</v>
      </c>
      <c r="AM5" s="0" t="s">
        <v>372</v>
      </c>
      <c r="AN5" s="0" t="s">
        <v>43</v>
      </c>
      <c r="AO5" s="0" t="s">
        <v>373</v>
      </c>
      <c r="AP5" s="0" t="s">
        <v>374</v>
      </c>
      <c r="AQ5" s="0" t="s">
        <v>24</v>
      </c>
      <c r="AR5" s="0" t="s">
        <v>375</v>
      </c>
      <c r="AS5" s="0" t="s">
        <v>376</v>
      </c>
      <c r="AT5" s="0" t="s">
        <v>140</v>
      </c>
      <c r="AU5" s="0" t="s">
        <v>142</v>
      </c>
      <c r="AV5" s="0" t="s">
        <v>377</v>
      </c>
      <c r="AW5" s="0" t="s">
        <v>378</v>
      </c>
      <c r="AX5" s="0" t="s">
        <v>379</v>
      </c>
      <c r="AY5" s="0" t="s">
        <v>380</v>
      </c>
      <c r="AZ5" s="0" t="s">
        <v>381</v>
      </c>
      <c r="BA5" s="0" t="s">
        <v>382</v>
      </c>
      <c r="BB5" s="0" t="s">
        <v>383</v>
      </c>
      <c r="BC5" s="0" t="s">
        <v>384</v>
      </c>
      <c r="BD5" s="0" t="s">
        <v>385</v>
      </c>
      <c r="BE5" s="0" t="s">
        <v>386</v>
      </c>
      <c r="BF5" s="0" t="s">
        <v>387</v>
      </c>
      <c r="BG5" s="0" t="s">
        <v>388</v>
      </c>
      <c r="BH5" s="0" t="s">
        <v>389</v>
      </c>
      <c r="BI5" s="0" t="s">
        <v>390</v>
      </c>
      <c r="BJ5" s="0" t="s">
        <v>391</v>
      </c>
      <c r="BK5" s="0" t="s">
        <v>392</v>
      </c>
      <c r="BL5" s="0" t="s">
        <v>393</v>
      </c>
      <c r="BM5" s="0" t="s">
        <v>394</v>
      </c>
      <c r="BN5" s="0" t="s">
        <v>395</v>
      </c>
      <c r="BO5" s="0" t="s">
        <v>396</v>
      </c>
      <c r="BP5" s="0" t="s">
        <v>397</v>
      </c>
      <c r="BQ5" s="0" t="s">
        <v>161</v>
      </c>
      <c r="BR5" s="0" t="s">
        <v>60</v>
      </c>
      <c r="BS5" s="0" t="s">
        <v>398</v>
      </c>
      <c r="BT5" s="0" t="s">
        <v>399</v>
      </c>
      <c r="BU5" s="0" t="s">
        <v>296</v>
      </c>
      <c r="BV5" s="0" t="s">
        <v>58</v>
      </c>
      <c r="BW5" s="0" t="s">
        <v>19</v>
      </c>
      <c r="BX5" s="0" t="s">
        <v>400</v>
      </c>
      <c r="BY5" s="0" t="s">
        <v>401</v>
      </c>
      <c r="BZ5" s="0" t="s">
        <v>402</v>
      </c>
      <c r="CA5" s="0" t="s">
        <v>403</v>
      </c>
      <c r="CB5" s="0" t="s">
        <v>183</v>
      </c>
      <c r="CC5" s="0" t="s">
        <v>404</v>
      </c>
      <c r="CD5" s="0" t="s">
        <v>405</v>
      </c>
      <c r="CE5" s="0" t="s">
        <v>406</v>
      </c>
      <c r="CF5" s="0" t="s">
        <v>407</v>
      </c>
      <c r="CG5" s="0" t="s">
        <v>408</v>
      </c>
      <c r="CH5" s="0" t="s">
        <v>409</v>
      </c>
      <c r="CI5" s="0" t="s">
        <v>410</v>
      </c>
      <c r="CJ5" s="0" t="s">
        <v>411</v>
      </c>
      <c r="CK5" s="0" t="s">
        <v>412</v>
      </c>
      <c r="CL5" s="0" t="s">
        <v>413</v>
      </c>
      <c r="CM5" s="0" t="s">
        <v>414</v>
      </c>
      <c r="CN5" s="0" t="s">
        <v>415</v>
      </c>
      <c r="CO5" s="0" t="s">
        <v>26</v>
      </c>
      <c r="CP5" s="0" t="s">
        <v>188</v>
      </c>
      <c r="CQ5" s="0" t="s">
        <v>191</v>
      </c>
      <c r="CR5" s="0" t="s">
        <v>416</v>
      </c>
      <c r="CS5" s="0" t="s">
        <v>417</v>
      </c>
      <c r="CT5" s="0" t="s">
        <v>146</v>
      </c>
      <c r="CU5" s="0" t="s">
        <v>147</v>
      </c>
      <c r="CV5" s="0" t="s">
        <v>148</v>
      </c>
      <c r="CW5" s="0" t="s">
        <v>149</v>
      </c>
      <c r="CX5" s="0" t="s">
        <v>195</v>
      </c>
      <c r="CY5" s="0" t="s">
        <v>418</v>
      </c>
      <c r="CZ5" s="0" t="s">
        <v>419</v>
      </c>
      <c r="DA5" s="0" t="s">
        <v>420</v>
      </c>
      <c r="DB5" s="0" t="s">
        <v>421</v>
      </c>
      <c r="DC5" s="0" t="s">
        <v>422</v>
      </c>
      <c r="DD5" s="0" t="s">
        <v>423</v>
      </c>
      <c r="DE5" s="0" t="s">
        <v>424</v>
      </c>
      <c r="DF5" s="0" t="s">
        <v>425</v>
      </c>
      <c r="DG5" s="0" t="s">
        <v>90</v>
      </c>
      <c r="DH5" s="0" t="s">
        <v>426</v>
      </c>
      <c r="DI5" s="0" t="s">
        <v>427</v>
      </c>
      <c r="DJ5" s="0" t="s">
        <v>125</v>
      </c>
      <c r="DK5" s="0" t="s">
        <v>428</v>
      </c>
      <c r="DL5" s="0" t="s">
        <v>429</v>
      </c>
      <c r="DM5" s="0" t="s">
        <v>430</v>
      </c>
      <c r="DN5" s="0" t="s">
        <v>431</v>
      </c>
      <c r="DO5" s="0" t="s">
        <v>432</v>
      </c>
      <c r="DP5" s="0" t="s">
        <v>433</v>
      </c>
      <c r="DQ5" s="0" t="s">
        <v>434</v>
      </c>
      <c r="DR5" s="0" t="s">
        <v>435</v>
      </c>
      <c r="DS5" s="0" t="s">
        <v>436</v>
      </c>
      <c r="DT5" s="0" t="s">
        <v>437</v>
      </c>
      <c r="DU5" s="0" t="s">
        <v>438</v>
      </c>
      <c r="DV5" s="0" t="s">
        <v>439</v>
      </c>
      <c r="DW5" s="0" t="s">
        <v>440</v>
      </c>
      <c r="DX5" s="0" t="s">
        <v>441</v>
      </c>
      <c r="DY5" s="0" t="s">
        <v>442</v>
      </c>
      <c r="DZ5" s="0" t="s">
        <v>443</v>
      </c>
      <c r="EA5" s="0" t="s">
        <v>444</v>
      </c>
      <c r="EB5" s="0" t="s">
        <v>445</v>
      </c>
      <c r="EC5" s="0" t="s">
        <v>446</v>
      </c>
      <c r="ED5" s="0" t="s">
        <v>447</v>
      </c>
      <c r="EE5" s="0" t="s">
        <v>448</v>
      </c>
      <c r="EF5" s="0" t="s">
        <v>449</v>
      </c>
      <c r="EG5" s="0" t="s">
        <v>450</v>
      </c>
      <c r="EH5" s="0" t="s">
        <v>451</v>
      </c>
      <c r="EI5" s="0" t="s">
        <v>452</v>
      </c>
      <c r="EJ5" s="0" t="s">
        <v>453</v>
      </c>
      <c r="EK5" s="0" t="s">
        <v>454</v>
      </c>
      <c r="EL5" s="0" t="s">
        <v>455</v>
      </c>
      <c r="EM5" s="0" t="s">
        <v>456</v>
      </c>
      <c r="EN5" s="0" t="s">
        <v>457</v>
      </c>
      <c r="EO5" s="0" t="s">
        <v>458</v>
      </c>
      <c r="EP5" s="0" t="s">
        <v>459</v>
      </c>
      <c r="EQ5" s="0" t="s">
        <v>460</v>
      </c>
      <c r="ER5" s="0" t="s">
        <v>461</v>
      </c>
      <c r="ES5" s="0" t="s">
        <v>462</v>
      </c>
      <c r="ET5" s="0" t="s">
        <v>463</v>
      </c>
      <c r="EU5" s="0" t="s">
        <v>464</v>
      </c>
      <c r="EV5" s="0" t="s">
        <v>465</v>
      </c>
      <c r="EW5" s="0" t="s">
        <v>466</v>
      </c>
      <c r="EX5" s="0" t="s">
        <v>467</v>
      </c>
      <c r="EY5" s="0" t="s">
        <v>119</v>
      </c>
      <c r="EZ5" s="0" t="s">
        <v>121</v>
      </c>
      <c r="FA5" s="0" t="s">
        <v>468</v>
      </c>
      <c r="FB5" s="0" t="s">
        <v>469</v>
      </c>
      <c r="FC5" s="0" t="s">
        <v>470</v>
      </c>
      <c r="FD5" s="0" t="s">
        <v>471</v>
      </c>
      <c r="FE5" s="0" t="s">
        <v>472</v>
      </c>
      <c r="FF5" s="0" t="s">
        <v>473</v>
      </c>
      <c r="FG5" s="0" t="s">
        <v>474</v>
      </c>
      <c r="FH5" s="0" t="s">
        <v>475</v>
      </c>
      <c r="FI5" s="0" t="s">
        <v>476</v>
      </c>
      <c r="FJ5" s="0" t="s">
        <v>477</v>
      </c>
      <c r="FK5" s="0" t="s">
        <v>478</v>
      </c>
      <c r="FL5" s="0" t="s">
        <v>479</v>
      </c>
      <c r="FM5" s="0" t="s">
        <v>480</v>
      </c>
      <c r="FN5" s="0" t="s">
        <v>481</v>
      </c>
      <c r="FO5" s="0" t="s">
        <v>482</v>
      </c>
      <c r="FP5" s="0" t="s">
        <v>483</v>
      </c>
      <c r="FQ5" s="0" t="s">
        <v>484</v>
      </c>
      <c r="FR5" s="0" t="s">
        <v>485</v>
      </c>
      <c r="FS5" s="0" t="s">
        <v>486</v>
      </c>
      <c r="FT5" s="0" t="s">
        <v>487</v>
      </c>
      <c r="FU5" s="0" t="s">
        <v>488</v>
      </c>
      <c r="FV5" s="0" t="s">
        <v>489</v>
      </c>
      <c r="FW5" s="0" t="s">
        <v>490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813A9DE-EDEE-417F-99E3-44D7AEC1E7E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9E785B6-83B8-494B-8A66-AC9BADF4117B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66D49300-1307-4C45-AA1A-ACAC608BFAD2}">
          <x14:formula1>
            <xm:f>'_Modules'!$A$4:$A$1000</xm:f>
          </x14:formula1>
          <xm:sqref>C3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115</v>
      </c>
      <c r="C5" s="0" t="s">
        <v>184</v>
      </c>
      <c r="D5" s="0" t="s">
        <v>122</v>
      </c>
      <c r="E5" s="0" t="s">
        <v>151</v>
      </c>
      <c r="F5" s="0" t="s">
        <v>172</v>
      </c>
      <c r="G5" s="0" t="s">
        <v>162</v>
      </c>
      <c r="H5" s="0" t="s">
        <v>126</v>
      </c>
      <c r="I5" s="0" t="s">
        <v>127</v>
      </c>
      <c r="J5" s="0" t="s">
        <v>174</v>
      </c>
      <c r="K5" s="0" t="s">
        <v>117</v>
      </c>
      <c r="L5" s="0" t="s">
        <v>120</v>
      </c>
      <c r="M5" s="0" t="s">
        <v>188</v>
      </c>
      <c r="N5" s="0" t="s">
        <v>185</v>
      </c>
      <c r="O5" s="0" t="s">
        <v>60</v>
      </c>
      <c r="P5" s="0" t="s">
        <v>173</v>
      </c>
      <c r="Q5" s="0" t="s">
        <v>163</v>
      </c>
      <c r="R5" s="0" t="s">
        <v>128</v>
      </c>
      <c r="S5" s="0" t="s">
        <v>170</v>
      </c>
      <c r="T5" s="0" t="s">
        <v>123</v>
      </c>
      <c r="U5" s="0" t="s">
        <v>167</v>
      </c>
      <c r="V5" s="0" t="s">
        <v>178</v>
      </c>
      <c r="W5" s="0" t="s">
        <v>177</v>
      </c>
      <c r="X5" s="0" t="s">
        <v>186</v>
      </c>
      <c r="Y5" s="0" t="s">
        <v>176</v>
      </c>
      <c r="Z5" s="0" t="s">
        <v>107</v>
      </c>
      <c r="AA5" s="0" t="s">
        <v>190</v>
      </c>
      <c r="AB5" s="0" t="s">
        <v>187</v>
      </c>
      <c r="AC5" s="0" t="s">
        <v>140</v>
      </c>
      <c r="AD5" s="0" t="s">
        <v>108</v>
      </c>
      <c r="AE5" s="0" t="s">
        <v>153</v>
      </c>
      <c r="AF5" s="0" t="s">
        <v>491</v>
      </c>
      <c r="AG5" s="0" t="s">
        <v>58</v>
      </c>
      <c r="AH5" s="0" t="s">
        <v>145</v>
      </c>
      <c r="AI5" s="0" t="s">
        <v>144</v>
      </c>
      <c r="AJ5" s="0" t="s">
        <v>116</v>
      </c>
      <c r="AK5" s="0" t="s">
        <v>193</v>
      </c>
      <c r="AL5" s="0" t="s">
        <v>197</v>
      </c>
      <c r="AM5" s="0" t="s">
        <v>142</v>
      </c>
      <c r="AN5" s="0" t="s">
        <v>137</v>
      </c>
      <c r="AO5" s="0" t="s">
        <v>191</v>
      </c>
      <c r="AP5" s="0" t="s">
        <v>135</v>
      </c>
      <c r="AQ5" s="0" t="s">
        <v>138</v>
      </c>
      <c r="AR5" s="0" t="s">
        <v>133</v>
      </c>
      <c r="AS5" s="0" t="s">
        <v>143</v>
      </c>
      <c r="AT5" s="0" t="s">
        <v>155</v>
      </c>
      <c r="AU5" s="0" t="s">
        <v>154</v>
      </c>
      <c r="AV5" s="0" t="s">
        <v>179</v>
      </c>
      <c r="AW5" s="0" t="s">
        <v>130</v>
      </c>
      <c r="AX5" s="0" t="s">
        <v>157</v>
      </c>
      <c r="AY5" s="0" t="s">
        <v>55</v>
      </c>
      <c r="AZ5" s="0" t="s">
        <v>132</v>
      </c>
      <c r="BA5" s="0" t="s">
        <v>181</v>
      </c>
      <c r="BB5" s="0" t="s">
        <v>192</v>
      </c>
      <c r="BC5" s="0" t="s">
        <v>129</v>
      </c>
      <c r="BD5" s="0" t="s">
        <v>165</v>
      </c>
      <c r="BE5" s="0" t="s">
        <v>159</v>
      </c>
      <c r="BF5" s="0" t="s">
        <v>158</v>
      </c>
      <c r="BG5" s="0" t="s">
        <v>180</v>
      </c>
      <c r="BH5" s="0" t="s">
        <v>195</v>
      </c>
      <c r="BI5" s="0" t="s">
        <v>150</v>
      </c>
      <c r="BJ5" s="0" t="s">
        <v>36</v>
      </c>
      <c r="BK5" s="0" t="s">
        <v>131</v>
      </c>
      <c r="BL5" s="0" t="s">
        <v>189</v>
      </c>
      <c r="BM5" s="0" t="s">
        <v>160</v>
      </c>
      <c r="BN5" s="0" t="s">
        <v>183</v>
      </c>
      <c r="BO5" s="0" t="s">
        <v>106</v>
      </c>
      <c r="BP5" s="0" t="s">
        <v>124</v>
      </c>
      <c r="BQ5" s="0" t="s">
        <v>168</v>
      </c>
      <c r="BR5" s="0" t="s">
        <v>134</v>
      </c>
      <c r="BS5" s="0" t="s">
        <v>164</v>
      </c>
      <c r="BT5" s="0" t="s">
        <v>21</v>
      </c>
      <c r="BU5" s="0" t="s">
        <v>136</v>
      </c>
      <c r="BV5" s="0" t="s">
        <v>166</v>
      </c>
      <c r="BW5" s="0" t="s">
        <v>152</v>
      </c>
      <c r="BX5" s="0" t="s">
        <v>169</v>
      </c>
      <c r="BY5" s="0" t="s">
        <v>119</v>
      </c>
      <c r="BZ5" s="0" t="s">
        <v>121</v>
      </c>
      <c r="CA5" s="0" t="s">
        <v>146</v>
      </c>
      <c r="CB5" s="0" t="s">
        <v>147</v>
      </c>
      <c r="CC5" s="0" t="s">
        <v>148</v>
      </c>
      <c r="CD5" s="0" t="s">
        <v>149</v>
      </c>
      <c r="CE5" s="0" t="s">
        <v>59</v>
      </c>
      <c r="CF5" s="0" t="s">
        <v>175</v>
      </c>
      <c r="CG5" s="0" t="s">
        <v>139</v>
      </c>
      <c r="CH5" s="0" t="s">
        <v>196</v>
      </c>
      <c r="CI5" s="0" t="s">
        <v>125</v>
      </c>
      <c r="CJ5" s="0" t="s">
        <v>156</v>
      </c>
      <c r="CK5" s="0" t="s">
        <v>110</v>
      </c>
      <c r="CL5" s="0" t="s">
        <v>194</v>
      </c>
      <c r="CM5" s="0" t="s">
        <v>24</v>
      </c>
      <c r="CN5" s="0" t="s">
        <v>161</v>
      </c>
      <c r="CO5" s="0" t="s">
        <v>63</v>
      </c>
      <c r="CP5" s="0" t="s">
        <v>171</v>
      </c>
      <c r="CQ5" s="0" t="s">
        <v>182</v>
      </c>
      <c r="CR5" s="0" t="s">
        <v>141</v>
      </c>
      <c r="CS5" s="0" t="s">
        <v>468</v>
      </c>
      <c r="CT5" s="0" t="s">
        <v>492</v>
      </c>
      <c r="CU5" s="0" t="s">
        <v>477</v>
      </c>
      <c r="CV5" s="0" t="s">
        <v>493</v>
      </c>
      <c r="CW5" s="0" t="s">
        <v>494</v>
      </c>
      <c r="CX5" s="0" t="s">
        <v>300</v>
      </c>
      <c r="CY5" s="0" t="s">
        <v>479</v>
      </c>
      <c r="CZ5" s="0" t="s">
        <v>495</v>
      </c>
      <c r="DA5" s="0" t="s">
        <v>496</v>
      </c>
      <c r="DB5" s="0" t="s">
        <v>497</v>
      </c>
      <c r="DC5" s="0" t="s">
        <v>498</v>
      </c>
      <c r="DD5" s="0" t="s">
        <v>499</v>
      </c>
    </row>
    <row r="6" ht="15.75" customHeight="1">
      <c r="A6" s="12"/>
      <c r="B6" s="12" t="s">
        <v>27</v>
      </c>
      <c r="C6" s="8"/>
      <c r="D6" s="12" t="s">
        <v>28</v>
      </c>
      <c r="E6" s="2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A9C2D75-BDB9-45B1-9F08-3643C10FA43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1F3B789-8D05-482A-8E09-1D37DCBB09AF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C795ABAB-873A-4CD5-93D8-8FE07CF3A828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