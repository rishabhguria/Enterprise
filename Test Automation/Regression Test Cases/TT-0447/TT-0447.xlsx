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AutoGroupingPreferences" sheetId="4" r:id="rId6"/>
    <sheet name="SetAutoGroupingAccount" sheetId="5" r:id="rId7"/>
    <sheet name="CreateLiveOrder" sheetId="6" r:id="rId8"/>
    <sheet name="SelectTrade" sheetId="7" r:id="rId9"/>
    <sheet name="AcknowledgeTrade" sheetId="8" r:id="rId10"/>
    <sheet name="ExecuteTrade" sheetId="9" r:id="rId11"/>
    <sheet name="SelectTrade1" sheetId="10" r:id="rId12"/>
    <sheet name="AcknowledgeTrade1" sheetId="11" r:id="rId13"/>
    <sheet name="ExecuteTrade1" sheetId="12" r:id="rId14"/>
    <sheet name="VerifyOrder" sheetId="13" r:id="rId15"/>
    <sheet name="GetDataAllocation" sheetId="14" r:id="rId16"/>
    <sheet name="CheckAllocatedGroups" sheetId="15" r:id="rId17"/>
  </sheets>
  <calcPr fullCalcOnLoad="1"/>
</workbook>
</file>

<file path=xl/sharedStrings.xml><?xml version="1.0" encoding="utf-8"?>
<sst xmlns="http://schemas.openxmlformats.org/spreadsheetml/2006/main" count="53" uniqueCount="53">
  <si>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</si>
  <si>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</si>
  <si>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</si>
  <si>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</si>
  <si>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</si>
  <si>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</si>
  <si>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</si>
  <si>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</si>
  <si>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</si>
  <si>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</si>
  <si>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</si>
  <si>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</si>
  <si>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</si>
  <si>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</si>
  <si>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</si>
  <si>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</si>
  <si>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</si>
  <si>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Allocation1</t>
  </si>
  <si>
    <t>TradingTicket</t>
  </si>
  <si>
    <t>CreateLiveOrder</t>
  </si>
  <si>
    <t>MUL-LON</t>
  </si>
  <si>
    <t>Buy</t>
  </si>
  <si>
    <t>USD</t>
  </si>
  <si>
    <t>Simulator</t>
  </si>
  <si>
    <t>SelectTrade</t>
  </si>
  <si>
    <t>AcknowledgeTrade</t>
  </si>
  <si>
    <t>ExecuteTrade</t>
  </si>
  <si>
    <t>Blotter</t>
  </si>
  <si>
    <t>VerifyOrder</t>
  </si>
  <si>
    <t>NASDAQ</t>
  </si>
  <si>
    <t>NewMF</t>
  </si>
  <si>
    <t>M</t>
  </si>
  <si>
    <t>Equity</t>
  </si>
  <si>
    <t>Filled</t>
  </si>
  <si>
    <t>MS</t>
  </si>
  <si>
    <t>GetDataAllocation</t>
  </si>
  <si>
    <t>Current</t>
  </si>
  <si>
    <t>CheckAllocatedGroups</t>
  </si>
  <si>
    <t>Manual</t>
  </si>
  <si>
    <t>MUL LN</t>
  </si>
  <si>
    <t>Open</t>
  </si>
  <si>
    <t>MULBERRY GROUP</t>
  </si>
  <si>
    <t>GBP</t>
  </si>
  <si>
    <t>LSE</t>
  </si>
  <si>
    <t>None</t>
  </si>
  <si>
    <t>DefaultNotes</t>
  </si>
  <si>
    <t>GB0006094303</t>
  </si>
  <si>
    <t>Market</t>
  </si>
  <si>
    <t>InternalOrder</t>
  </si>
  <si>
    <t>Strategy Unallocated</t>
  </si>
  <si>
    <t>GCCAP1</t>
  </si>
  <si>
    <t>EU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</si>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</sst>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"/>
      <color rgb="FF000000"/>
      <name val="Arial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3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/>
    <xf fontId="14" applyFont="1" fillId="6" applyFill="1" borderId="0" applyBorder="1" xfId="0">
      <alignment horizontal="left"/>
    </xf>
    <xf fontId="15" applyFont="1" fillId="0" applyFill="1" borderId="0" applyBorder="1" xfId="0"/>
    <xf fontId="15" applyFont="1" fillId="0" applyFill="1" borderId="0" applyBorder="1" xfId="0">
      <alignment horizontal="right"/>
    </xf>
    <xf numFmtId="4" applyNumberFormat="1" fontId="15" applyFont="1" fillId="0" applyFill="1" borderId="0" applyBorder="1" xfId="0">
      <alignment horizontal="right"/>
    </xf>
    <xf fontId="15" applyFont="1" fillId="0" applyFill="1" borderId="0" applyBorder="1" xfId="0"/>
    <xf numFmtId="164" applyNumberFormat="1" fontId="15" applyFont="1" fillId="0" applyFill="1" borderId="0" applyBorder="1" xfId="0"/>
    <xf numFmtId="165" applyNumberFormat="1" fontId="15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IFERROR(__xludf.DUMMYFUNCTION("""COMPUTED_VALUE"""),"AutoGroup")</f>
        <v>AutoGroup</v>
      </c>
      <c r="C5" s="28" t="str">
        <f>IFERROR(__xludf.DUMMYFUNCTION("""COMPUTED_VALUE"""),"TradeAttribute1")</f>
        <v>TradeAttribute1</v>
      </c>
      <c r="D5" s="28" t="str">
        <f>IFERROR(__xludf.DUMMYFUNCTION("""COMPUTED_VALUE"""),"TradeAttribute2")</f>
        <v>TradeAttribute2</v>
      </c>
      <c r="E5" s="28" t="str">
        <f>IFERROR(__xludf.DUMMYFUNCTION("""COMPUTED_VALUE"""),"TradeAttribute3")</f>
        <v>TradeAttribute3</v>
      </c>
      <c r="F5" s="29" t="str">
        <f>IFERROR(__xludf.DUMMYFUNCTION("""COMPUTED_VALUE"""),"TradeAttribute4")</f>
        <v>TradeAttribute4</v>
      </c>
      <c r="G5" s="28" t="str">
        <f>IFERROR(__xludf.DUMMYFUNCTION("""COMPUTED_VALUE"""),"TradeAttribute5")</f>
        <v>TradeAttribute5</v>
      </c>
      <c r="H5" s="28" t="str">
        <f>IFERROR(__xludf.DUMMYFUNCTION("""COMPUTED_VALUE"""),"TradeAttribute6")</f>
        <v>TradeAttribute6</v>
      </c>
      <c r="I5" s="28" t="str">
        <f>IFERROR(__xludf.DUMMYFUNCTION("""COMPUTED_VALUE"""),"Broker")</f>
        <v>Broker</v>
      </c>
      <c r="J5" s="28" t="str">
        <f>IFERROR(__xludf.DUMMYFUNCTION("""COMPUTED_VALUE"""),"Venue")</f>
        <v>Venue</v>
      </c>
      <c r="K5" s="28" t="str">
        <f>IFERROR(__xludf.DUMMYFUNCTION("""COMPUTED_VALUE"""),"TradingAC")</f>
        <v>TradingAC</v>
      </c>
      <c r="L5" s="28" t="str">
        <f>IFERROR(__xludf.DUMMYFUNCTION("""COMPUTED_VALUE"""),"TradeDate")</f>
        <v>TradeDate</v>
      </c>
      <c r="M5" s="28" t="str">
        <f>IFERROR(__xludf.DUMMYFUNCTION("""COMPUTED_VALUE"""),"ProcessDate")</f>
        <v>ProcessDate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4" t="b">
        <v>1</v>
      </c>
      <c r="L6" s="34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SetAutoGroupingPreferences!$4:$4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IFERROR(__xludf.DUMMYFUNCTION("""COMPUTED_VALUE"""),"FundName")</f>
        <v>FundName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SetAutoGroupingAccount!$4:$4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20</v>
      </c>
      <c r="C6" s="13" t="s">
        <v>21</v>
      </c>
      <c r="D6" s="13">
        <v>1000</v>
      </c>
      <c r="E6" s="13">
        <v>1000</v>
      </c>
      <c r="F6" s="13" t="s">
        <v>17</v>
      </c>
      <c r="G6" s="8"/>
      <c r="H6" s="8"/>
      <c r="I6" s="8"/>
      <c r="J6" s="13">
        <v>1</v>
      </c>
      <c r="K6" s="8"/>
      <c r="L6" s="8"/>
      <c r="M6" s="8"/>
      <c r="N6" s="8"/>
      <c r="O6" s="13">
        <v>1</v>
      </c>
      <c r="AF6" s="9" t="s">
        <v>22</v>
      </c>
    </row>
    <row r="7" ht="15.75" customHeight="1">
      <c r="A7" s="8"/>
      <c r="B7" s="36" t="s">
        <v>20</v>
      </c>
      <c r="C7" s="13" t="s">
        <v>21</v>
      </c>
      <c r="D7" s="13">
        <v>500</v>
      </c>
      <c r="E7" s="13">
        <v>500</v>
      </c>
      <c r="F7" s="13" t="s">
        <v>17</v>
      </c>
      <c r="G7" s="8"/>
      <c r="H7" s="8"/>
      <c r="I7" s="8"/>
      <c r="J7" s="13">
        <v>1</v>
      </c>
      <c r="K7" s="8"/>
      <c r="L7" s="8"/>
      <c r="M7" s="8"/>
      <c r="N7" s="8"/>
      <c r="O7" s="13">
        <v>1</v>
      </c>
      <c r="AF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36" t="s">
        <v>20</v>
      </c>
      <c r="D6" s="13"/>
      <c r="E6" s="35"/>
      <c r="F6" s="8"/>
      <c r="G6" s="13">
        <v>1000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36" t="s">
        <v>20</v>
      </c>
      <c r="D6" s="13"/>
      <c r="E6" s="35"/>
      <c r="F6" s="8"/>
      <c r="G6" s="13">
        <v>1000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</v>
      </c>
      <c r="C6" s="13">
        <v>1000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36" t="s">
        <v>20</v>
      </c>
      <c r="D6" s="13"/>
      <c r="E6" s="35"/>
      <c r="F6" s="8"/>
      <c r="G6" s="13">
        <v>500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36" t="s">
        <v>20</v>
      </c>
      <c r="D6" s="13"/>
      <c r="E6" s="35"/>
      <c r="F6" s="8"/>
      <c r="G6" s="13">
        <v>500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</v>
      </c>
      <c r="C6" s="13">
        <v>500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13" t="s">
        <v>29</v>
      </c>
      <c r="I6" s="8"/>
      <c r="J6" s="8"/>
      <c r="K6" s="8"/>
      <c r="L6" s="8"/>
      <c r="M6" s="8"/>
      <c r="N6" s="8"/>
      <c r="O6" s="8"/>
      <c r="U6" s="9" t="s">
        <v>22</v>
      </c>
      <c r="AA6" s="9" t="s">
        <v>30</v>
      </c>
      <c r="AD6" s="9">
        <v>1</v>
      </c>
      <c r="AF6" s="9" t="s">
        <v>31</v>
      </c>
      <c r="AH6" s="9" t="s">
        <v>32</v>
      </c>
      <c r="AI6" s="36" t="s">
        <v>20</v>
      </c>
      <c r="AJ6" s="9" t="s">
        <v>21</v>
      </c>
      <c r="AK6" s="9" t="s">
        <v>33</v>
      </c>
      <c r="AL6" s="9">
        <v>1000</v>
      </c>
      <c r="AM6" s="9">
        <v>1000</v>
      </c>
      <c r="AN6" s="9">
        <v>100</v>
      </c>
      <c r="AS6" s="9" t="s">
        <v>34</v>
      </c>
      <c r="AT6" s="9" t="s">
        <v>17</v>
      </c>
      <c r="AV6" s="9">
        <v>1000</v>
      </c>
      <c r="AW6" s="9">
        <v>1000</v>
      </c>
    </row>
    <row r="7" ht="15.75" customHeight="1">
      <c r="A7" s="8"/>
      <c r="B7" s="8"/>
      <c r="C7" s="8"/>
      <c r="D7" s="8"/>
      <c r="E7" s="8"/>
      <c r="F7" s="8"/>
      <c r="G7" s="8"/>
      <c r="H7" s="13" t="s">
        <v>29</v>
      </c>
      <c r="I7" s="8"/>
      <c r="J7" s="8"/>
      <c r="K7" s="8"/>
      <c r="L7" s="8"/>
      <c r="M7" s="8"/>
      <c r="N7" s="8"/>
      <c r="O7" s="8"/>
      <c r="U7" s="9" t="s">
        <v>22</v>
      </c>
      <c r="AA7" s="9" t="s">
        <v>30</v>
      </c>
      <c r="AD7" s="9">
        <v>1</v>
      </c>
      <c r="AF7" s="9" t="s">
        <v>31</v>
      </c>
      <c r="AH7" s="9" t="s">
        <v>32</v>
      </c>
      <c r="AI7" s="36" t="s">
        <v>20</v>
      </c>
      <c r="AJ7" s="9" t="s">
        <v>21</v>
      </c>
      <c r="AK7" s="9" t="s">
        <v>33</v>
      </c>
      <c r="AL7" s="9">
        <v>500</v>
      </c>
      <c r="AM7" s="9">
        <v>500</v>
      </c>
      <c r="AN7" s="9">
        <v>100</v>
      </c>
      <c r="AS7" s="9" t="s">
        <v>34</v>
      </c>
      <c r="AT7" s="9" t="s">
        <v>17</v>
      </c>
      <c r="AV7" s="9">
        <v>500</v>
      </c>
      <c r="AW7" s="9">
        <v>500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17</v>
      </c>
      <c r="C6" s="37"/>
      <c r="D6" s="38">
        <v>0</v>
      </c>
      <c r="E6" s="39">
        <v>1500</v>
      </c>
      <c r="F6" s="37" t="s">
        <v>38</v>
      </c>
      <c r="G6" s="37" t="s">
        <v>32</v>
      </c>
      <c r="H6" s="38">
        <v>0</v>
      </c>
      <c r="I6" s="38">
        <v>0</v>
      </c>
      <c r="J6" s="38">
        <v>43</v>
      </c>
      <c r="K6" s="38">
        <v>1</v>
      </c>
      <c r="L6" s="38">
        <v>1</v>
      </c>
      <c r="M6" s="37" t="s">
        <v>39</v>
      </c>
      <c r="N6" s="37"/>
      <c r="O6" s="37" t="s">
        <v>34</v>
      </c>
      <c r="P6" s="40"/>
      <c r="Q6" s="38">
        <v>3</v>
      </c>
      <c r="R6" s="38">
        <v>0</v>
      </c>
      <c r="S6" s="37" t="s">
        <v>40</v>
      </c>
      <c r="T6" s="38">
        <v>0</v>
      </c>
      <c r="U6" s="38">
        <v>0</v>
      </c>
      <c r="V6" s="37" t="s">
        <v>41</v>
      </c>
      <c r="W6" s="38">
        <v>1</v>
      </c>
      <c r="X6" s="38"/>
      <c r="Y6" s="40"/>
      <c r="Z6" s="37" t="s">
        <v>42</v>
      </c>
      <c r="AA6" s="37">
        <v>609430</v>
      </c>
      <c r="AB6" s="38">
        <v>1</v>
      </c>
      <c r="AC6" s="40"/>
      <c r="AD6" s="37" t="s">
        <v>43</v>
      </c>
      <c r="AE6" s="39">
        <v>1500</v>
      </c>
      <c r="AF6" s="41"/>
      <c r="AG6" s="41"/>
      <c r="AH6" s="37" t="s">
        <v>31</v>
      </c>
      <c r="AI6" s="38">
        <v>1</v>
      </c>
      <c r="AJ6" s="37" t="s">
        <v>44</v>
      </c>
      <c r="AK6" s="40"/>
      <c r="AL6" s="40"/>
      <c r="AM6" s="37" t="s">
        <v>45</v>
      </c>
      <c r="AN6" s="37" t="b">
        <v>0</v>
      </c>
      <c r="AO6" s="37" t="s">
        <v>46</v>
      </c>
      <c r="AP6" s="37" t="b">
        <v>0</v>
      </c>
      <c r="AQ6" s="37" t="b">
        <v>0</v>
      </c>
      <c r="AR6" s="37" t="b">
        <v>1</v>
      </c>
      <c r="AS6" s="38">
        <v>0</v>
      </c>
      <c r="AT6" s="39">
        <v>1500</v>
      </c>
      <c r="AU6" s="39">
        <v>1500</v>
      </c>
      <c r="AV6" s="42"/>
      <c r="AW6" s="38">
        <v>0</v>
      </c>
      <c r="AX6" s="38">
        <v>0</v>
      </c>
      <c r="AY6" s="37" t="s">
        <v>47</v>
      </c>
      <c r="AZ6" s="38">
        <v>0</v>
      </c>
      <c r="BA6" s="42"/>
      <c r="BB6" s="40"/>
      <c r="BC6" s="38">
        <v>0</v>
      </c>
      <c r="BD6" s="37" t="s">
        <v>48</v>
      </c>
      <c r="BE6" s="39">
        <v>1500</v>
      </c>
      <c r="BF6" s="39">
        <v>1500</v>
      </c>
      <c r="BG6" s="42"/>
      <c r="BH6" s="40"/>
      <c r="BI6" s="40"/>
      <c r="BJ6" s="39">
        <v>1500</v>
      </c>
      <c r="BK6" s="38">
        <v>0</v>
      </c>
      <c r="BL6" s="37"/>
      <c r="BM6" s="37" t="s">
        <v>22</v>
      </c>
      <c r="BN6" s="42"/>
      <c r="BO6" s="37" t="s">
        <v>21</v>
      </c>
      <c r="BP6" s="38">
        <v>0</v>
      </c>
      <c r="BQ6" s="38">
        <v>0</v>
      </c>
      <c r="BR6" s="38">
        <v>0</v>
      </c>
      <c r="BS6" s="37" t="s">
        <v>49</v>
      </c>
      <c r="BT6" s="37" t="s">
        <v>20</v>
      </c>
      <c r="BU6" s="38">
        <v>0</v>
      </c>
      <c r="BV6" s="38">
        <v>0</v>
      </c>
      <c r="BW6" s="38">
        <v>0</v>
      </c>
      <c r="BX6" s="38">
        <v>0</v>
      </c>
      <c r="BY6" s="40"/>
      <c r="BZ6" s="40"/>
      <c r="CA6" s="40"/>
      <c r="CB6" s="40"/>
      <c r="CC6" s="40"/>
      <c r="CD6" s="40"/>
      <c r="CE6" s="42"/>
      <c r="CF6" s="37" t="s">
        <v>50</v>
      </c>
      <c r="CG6" s="38">
        <v>0</v>
      </c>
      <c r="CH6" s="37" t="s">
        <v>44</v>
      </c>
      <c r="CI6" s="37" t="s">
        <v>21</v>
      </c>
      <c r="CJ6" s="38">
        <v>0</v>
      </c>
      <c r="CK6" s="37" t="s">
        <v>51</v>
      </c>
      <c r="CL6" s="38">
        <v>1</v>
      </c>
      <c r="CM6" s="37" t="s">
        <v>20</v>
      </c>
      <c r="CN6" s="40"/>
      <c r="CO6" s="37" t="s">
        <v>29</v>
      </c>
      <c r="CP6" s="37" t="s">
        <v>52</v>
      </c>
      <c r="CQ6" s="41"/>
      <c r="CR6" s="38"/>
      <c r="CS6" s="40"/>
      <c r="CT6" s="40"/>
      <c r="CU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