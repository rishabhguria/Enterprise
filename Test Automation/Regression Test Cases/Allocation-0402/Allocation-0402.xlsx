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AccountValues" sheetId="11" r:id="rId13"/>
    <sheet state="visible" name="SetMFPrefFundDefaultRule" sheetId="12" r:id="rId14"/>
    <sheet state="visible" name="SetMFPrefGeneralRule" sheetId="13" r:id="rId15"/>
    <sheet state="visible" name="UpdateGRAccountValue" sheetId="14" r:id="rId16"/>
    <sheet state="visible" name="UpdateGRDefaultRule" sheetId="15" r:id="rId17"/>
    <sheet state="visible" name="SetMFPrefAccountValues1" sheetId="16" r:id="rId18"/>
    <sheet state="visible" name="SetMFPrefFundDefaultRule1" sheetId="17" r:id="rId19"/>
    <sheet state="visible" name="SetMFPrefGeneralRule1" sheetId="18" r:id="rId20"/>
    <sheet state="visible" name="UpdateGRAccountValue1" sheetId="19" r:id="rId21"/>
    <sheet state="visible" name="UpdateGRDefaultRule1" sheetId="20" r:id="rId22"/>
    <sheet state="visible" name="CreateDoneAwayOrder1" sheetId="21" r:id="rId23"/>
    <sheet state="visible" name="GetDataAllocation" sheetId="22" r:id="rId24"/>
    <sheet state="visible" name="SelectUnallocatedGroup" sheetId="23" r:id="rId25"/>
    <sheet state="visible" name="EnterAllocatePreference" sheetId="24" r:id="rId26"/>
    <sheet state="visible" name="CheckAllocatedTaxlots" sheetId="25" r:id="rId27"/>
  </sheets>
  <definedNames/>
  <calcPr/>
</workbook>
</file>

<file path=xl/sharedStrings.xml><?xml version="1.0" encoding="utf-8"?>
<sst xmlns="http://schemas.openxmlformats.org/spreadsheetml/2006/main" count="253" uniqueCount="54">
  <si>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</si>
  <si>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</si>
  <si>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</si>
  <si>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</si>
  <si>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</si>
  <si>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</si>
  <si>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</si>
  <si>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</si>
  <si>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</si>
  <si>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</si>
  <si>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</si>
  <si>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</si>
  <si>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</si>
  <si>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</si>
  <si>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</si>
  <si>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</si>
  <si>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</si>
  <si>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Sell short</t>
  </si>
  <si>
    <t>Allocation1</t>
  </si>
  <si>
    <t>Allocation3</t>
  </si>
  <si>
    <t>Allocation2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</si>
  <si>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</si>
  <si>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</si>
  <si>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</si>
  <si>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</si>
  <si>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</si>
  <si>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</si>
  <si>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</si>
  <si>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</si>
  <si>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</si>
  <si>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TEST1</t>
  </si>
  <si>
    <t>SetMFPreferencesDefaultRule</t>
  </si>
  <si>
    <t>Leveling</t>
  </si>
  <si>
    <t>NewMF,NewMF1</t>
  </si>
  <si>
    <t>SetMFPrefAccountValues</t>
  </si>
  <si>
    <t>NewMF</t>
  </si>
  <si>
    <t>SetMFPrefFundDefaultRule</t>
  </si>
  <si>
    <t>Fair Pricing</t>
  </si>
  <si>
    <t>Current Preference</t>
  </si>
  <si>
    <t>SetMFPrefGeneralRule</t>
  </si>
  <si>
    <t>Include</t>
  </si>
  <si>
    <t>NASDAQ</t>
  </si>
  <si>
    <t>Equity</t>
  </si>
  <si>
    <t>UpdateGRAccountValue</t>
  </si>
  <si>
    <t>UpdateGRDefaultRule</t>
  </si>
  <si>
    <t>NewMF1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</si>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</sst>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2" t="s">
        <v>16</v>
      </c>
      <c r="C6" s="33" t="s">
        <v>17</v>
      </c>
      <c r="D6" s="34">
        <v>400.0</v>
      </c>
      <c r="E6" s="33"/>
      <c r="F6" s="33" t="s">
        <v>18</v>
      </c>
      <c r="G6" s="33"/>
      <c r="H6" s="33"/>
      <c r="I6" s="33"/>
      <c r="J6" s="35">
        <v>1.0</v>
      </c>
      <c r="K6" s="33"/>
      <c r="L6" s="33"/>
      <c r="M6" s="33"/>
      <c r="N6" s="36">
        <f t="shared" ref="N6:N9" si="1">TODAY()-1</f>
        <v>45067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16</v>
      </c>
      <c r="C7" s="33" t="s">
        <v>17</v>
      </c>
      <c r="D7" s="35">
        <v>800.0</v>
      </c>
      <c r="E7" s="33"/>
      <c r="F7" s="33" t="s">
        <v>19</v>
      </c>
      <c r="G7" s="33"/>
      <c r="H7" s="33"/>
      <c r="I7" s="33"/>
      <c r="J7" s="35">
        <v>1.0</v>
      </c>
      <c r="K7" s="33"/>
      <c r="L7" s="33"/>
      <c r="M7" s="33"/>
      <c r="N7" s="36">
        <f t="shared" si="1"/>
        <v>45067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16</v>
      </c>
      <c r="C8" s="33" t="s">
        <v>17</v>
      </c>
      <c r="D8" s="35">
        <v>600.0</v>
      </c>
      <c r="E8" s="33"/>
      <c r="F8" s="33" t="s">
        <v>20</v>
      </c>
      <c r="G8" s="33"/>
      <c r="H8" s="33"/>
      <c r="I8" s="33"/>
      <c r="J8" s="35">
        <v>1.0</v>
      </c>
      <c r="K8" s="33"/>
      <c r="L8" s="33"/>
      <c r="M8" s="33"/>
      <c r="N8" s="36">
        <f t="shared" si="1"/>
        <v>45067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16</v>
      </c>
      <c r="C9" s="33" t="s">
        <v>17</v>
      </c>
      <c r="D9" s="35">
        <v>1400.0</v>
      </c>
      <c r="E9" s="33"/>
      <c r="F9" s="33" t="s">
        <v>21</v>
      </c>
      <c r="G9" s="33"/>
      <c r="H9" s="33"/>
      <c r="I9" s="33"/>
      <c r="J9" s="35">
        <v>1.0</v>
      </c>
      <c r="K9" s="33"/>
      <c r="L9" s="33"/>
      <c r="M9" s="33"/>
      <c r="N9" s="36">
        <f t="shared" si="1"/>
        <v>45067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1.0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45067</v>
      </c>
      <c r="C6" s="36">
        <f>TODAY()</f>
        <v>45068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26</v>
      </c>
      <c r="D6" s="37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26</v>
      </c>
      <c r="D7" s="37">
        <v>15000.0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26</v>
      </c>
      <c r="D8" s="37">
        <v>8000.0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21</v>
      </c>
      <c r="C9" s="33" t="s">
        <v>26</v>
      </c>
      <c r="D9" s="37">
        <v>13000.0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9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32</v>
      </c>
      <c r="D6" s="40" t="s">
        <v>33</v>
      </c>
      <c r="E6" s="33"/>
      <c r="F6" s="33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35</v>
      </c>
      <c r="D6" s="31" t="s">
        <v>18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3" t="s">
        <v>35</v>
      </c>
      <c r="D7" s="33" t="s">
        <v>19</v>
      </c>
      <c r="E7" s="35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/>
      <c r="D6" s="32" t="s">
        <v>37</v>
      </c>
      <c r="E6" s="33"/>
      <c r="F6" s="41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35</v>
      </c>
      <c r="D6" s="31" t="s">
        <v>40</v>
      </c>
      <c r="E6" s="32" t="s">
        <v>41</v>
      </c>
      <c r="F6" s="33" t="s">
        <v>40</v>
      </c>
      <c r="G6" s="33" t="s">
        <v>42</v>
      </c>
      <c r="H6" s="33"/>
      <c r="I6" s="33"/>
      <c r="J6" s="33" t="s">
        <v>40</v>
      </c>
      <c r="K6" s="33" t="s">
        <v>17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18</v>
      </c>
      <c r="D6" s="34">
        <v>75.0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3" t="s">
        <v>19</v>
      </c>
      <c r="D7" s="35">
        <v>25.0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2" t="s">
        <v>37</v>
      </c>
      <c r="C6" s="33"/>
      <c r="D6" s="41" t="s">
        <v>38</v>
      </c>
      <c r="E6" s="33"/>
      <c r="F6" s="33"/>
      <c r="G6" s="33"/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/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45</v>
      </c>
      <c r="D6" s="31" t="s">
        <v>20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3" t="s">
        <v>45</v>
      </c>
      <c r="D7" s="33" t="s">
        <v>21</v>
      </c>
      <c r="E7" s="35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/>
      <c r="D6" s="32" t="s">
        <v>37</v>
      </c>
      <c r="E6" s="33"/>
      <c r="F6" s="41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45</v>
      </c>
      <c r="D6" s="31" t="s">
        <v>40</v>
      </c>
      <c r="E6" s="32" t="s">
        <v>41</v>
      </c>
      <c r="F6" s="33" t="s">
        <v>40</v>
      </c>
      <c r="G6" s="33" t="s">
        <v>42</v>
      </c>
      <c r="H6" s="33"/>
      <c r="I6" s="33"/>
      <c r="J6" s="33" t="s">
        <v>40</v>
      </c>
      <c r="K6" s="33" t="s">
        <v>17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20</v>
      </c>
      <c r="D6" s="34">
        <v>75.0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3" t="s">
        <v>21</v>
      </c>
      <c r="D7" s="35">
        <v>25.0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37</v>
      </c>
      <c r="C6" s="33"/>
      <c r="D6" s="40" t="s">
        <v>38</v>
      </c>
      <c r="E6" s="33"/>
      <c r="F6" s="33"/>
      <c r="G6" s="33"/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125.0</v>
      </c>
      <c r="E6" s="33"/>
      <c r="F6" s="33" t="s">
        <v>46</v>
      </c>
      <c r="G6" s="33"/>
      <c r="H6" s="33"/>
      <c r="I6" s="33"/>
      <c r="J6" s="35">
        <v>11.0</v>
      </c>
      <c r="K6" s="33"/>
      <c r="L6" s="33"/>
      <c r="M6" s="33"/>
      <c r="N6" s="36">
        <f>TODAY()</f>
        <v>45068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1023.4713984</v>
      </c>
      <c r="C6" s="44">
        <v>1023.4713984</v>
      </c>
      <c r="D6" s="44">
        <v>1034.0</v>
      </c>
      <c r="E6" s="44">
        <v>1034.0</v>
      </c>
      <c r="F6" s="45" t="s">
        <v>52</v>
      </c>
      <c r="G6" s="8"/>
      <c r="H6" s="45" t="s">
        <v>26</v>
      </c>
      <c r="I6" s="8"/>
      <c r="J6" s="8"/>
      <c r="K6" s="8"/>
      <c r="L6" s="8"/>
      <c r="M6" s="8"/>
      <c r="N6" s="8"/>
      <c r="O6" s="45" t="s">
        <v>18</v>
      </c>
      <c r="P6" s="45" t="s">
        <v>53</v>
      </c>
      <c r="Q6" s="46">
        <v>75.19999695</v>
      </c>
      <c r="R6" s="46">
        <v>94.0</v>
      </c>
    </row>
    <row r="7" ht="15.75" customHeight="1">
      <c r="A7" s="8"/>
      <c r="B7" s="46">
        <v>337.5278016</v>
      </c>
      <c r="C7" s="46">
        <v>337.5278016</v>
      </c>
      <c r="D7" s="46">
        <v>341.0</v>
      </c>
      <c r="E7" s="46">
        <v>341.0</v>
      </c>
      <c r="F7" s="45" t="s">
        <v>52</v>
      </c>
      <c r="G7" s="8"/>
      <c r="H7" s="45" t="s">
        <v>26</v>
      </c>
      <c r="I7" s="8"/>
      <c r="J7" s="8"/>
      <c r="K7" s="8"/>
      <c r="L7" s="8"/>
      <c r="M7" s="8"/>
      <c r="N7" s="8"/>
      <c r="O7" s="45" t="s">
        <v>19</v>
      </c>
      <c r="P7" s="45" t="s">
        <v>53</v>
      </c>
      <c r="Q7" s="46">
        <v>24.79999924</v>
      </c>
      <c r="R7" s="46">
        <v>31.0</v>
      </c>
    </row>
    <row r="8" ht="15.75" customHeight="1">
      <c r="A8" s="8"/>
      <c r="B8" s="46"/>
      <c r="C8" s="46"/>
      <c r="D8" s="46"/>
      <c r="E8" s="46"/>
      <c r="F8" s="45"/>
      <c r="G8" s="8"/>
      <c r="H8" s="45"/>
      <c r="I8" s="8"/>
      <c r="J8" s="8"/>
      <c r="K8" s="8"/>
      <c r="L8" s="8"/>
      <c r="M8" s="8"/>
      <c r="N8" s="8"/>
      <c r="O8" s="45"/>
      <c r="P8" s="45"/>
      <c r="Q8" s="46"/>
      <c r="R8" s="46"/>
    </row>
    <row r="9" ht="15.75" customHeight="1">
      <c r="A9" s="8"/>
      <c r="B9" s="44"/>
      <c r="C9" s="44"/>
      <c r="D9" s="44"/>
      <c r="E9" s="44"/>
      <c r="F9" s="45"/>
      <c r="G9" s="8"/>
      <c r="H9" s="45"/>
      <c r="I9" s="8"/>
      <c r="J9" s="8"/>
      <c r="K9" s="8"/>
      <c r="L9" s="8"/>
      <c r="M9" s="8"/>
      <c r="N9" s="8"/>
      <c r="O9" s="45"/>
      <c r="P9" s="45"/>
      <c r="Q9" s="46"/>
      <c r="R9" s="44"/>
    </row>
    <row r="10" ht="15.75" customHeight="1">
      <c r="A10" s="8"/>
      <c r="B10" s="44"/>
      <c r="C10" s="44"/>
      <c r="D10" s="44"/>
      <c r="E10" s="44"/>
      <c r="F10" s="45"/>
      <c r="G10" s="8"/>
      <c r="H10" s="45"/>
      <c r="I10" s="8"/>
      <c r="J10" s="8"/>
      <c r="K10" s="8"/>
      <c r="L10" s="8"/>
      <c r="M10" s="8"/>
      <c r="N10" s="8"/>
      <c r="O10" s="45"/>
      <c r="P10" s="45"/>
      <c r="Q10" s="46"/>
      <c r="R10" s="46"/>
    </row>
    <row r="11" ht="15.75" customHeight="1">
      <c r="A11" s="8"/>
      <c r="B11" s="46"/>
      <c r="C11" s="46"/>
      <c r="D11" s="46"/>
      <c r="E11" s="46"/>
      <c r="F11" s="45"/>
      <c r="G11" s="8"/>
      <c r="H11" s="45"/>
      <c r="I11" s="8"/>
      <c r="J11" s="8"/>
      <c r="K11" s="8"/>
      <c r="L11" s="8"/>
      <c r="M11" s="8"/>
      <c r="N11" s="8"/>
      <c r="O11" s="45"/>
      <c r="P11" s="45"/>
      <c r="Q11" s="46"/>
      <c r="R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