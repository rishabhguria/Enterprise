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CreateDoneAwayOrder1" sheetId="5" r:id="rId7"/>
    <sheet name="GetDailyCash" sheetId="6" r:id="rId8"/>
    <sheet name="UpdateMultipleDailyCash" sheetId="7" r:id="rId9"/>
    <sheet name="PricingInput" sheetId="8" r:id="rId10"/>
    <sheet name="SetPTTPreference" sheetId="9" r:id="rId11"/>
    <sheet name="CalculatePTT" sheetId="10" r:id="rId12"/>
    <sheet name="VerifyPTT" sheetId="11" r:id="rId13"/>
  </sheets>
  <calcPr fullCalcOnLoad="1"/>
</workbook>
</file>

<file path=xl/sharedStrings.xml><?xml version="1.0" encoding="utf-8"?>
<sst xmlns="http://schemas.openxmlformats.org/spreadsheetml/2006/main" count="34" uniqueCount="34">
  <si>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</si>
  <si>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</si>
  <si>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</si>
  <si>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</si>
  <si>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</si>
  <si>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</si>
  <si>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</si>
  <si>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</si>
  <si>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</si>
  <si>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</si>
  <si>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</si>
  <si>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</si>
  <si>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</si>
  <si>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</si>
  <si>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</si>
  <si>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</si>
  <si>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</si>
  <si>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</si>
  <si>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</si>
  <si>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Allocation2</t>
  </si>
  <si>
    <t>DailyValuation</t>
  </si>
  <si>
    <t>GetDailyCash</t>
  </si>
  <si>
    <t>UpdateMultipleDailyCash</t>
  </si>
  <si>
    <t>USD</t>
  </si>
  <si>
    <t>PricingInput</t>
  </si>
  <si>
    <t>PTT</t>
  </si>
  <si>
    <t>SetPTTPreference</t>
  </si>
  <si>
    <t>CalculatePTT</t>
  </si>
  <si>
    <t>Increase</t>
  </si>
  <si>
    <t>Percentage</t>
  </si>
  <si>
    <t>Yes</t>
  </si>
  <si>
    <t>Account</t>
  </si>
  <si>
    <t>Allocation1,Allocation2</t>
  </si>
  <si>
    <t>VerifyPTT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</si>
</sst>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7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Docs-Calibri"/>
    </font>
    <font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4" applyNumberFormat="1" fontId="5" applyFont="1" fillId="0" applyFill="1" borderId="0" applyBorder="1" xfId="0">
      <alignment horizontal="right"/>
    </xf>
    <xf fontId="14" applyFont="1" fillId="6" applyFill="1" borderId="0" applyBorder="1" xfId="0">
      <alignment horizontal="left"/>
    </xf>
    <xf fontId="15" applyFont="1" fillId="6" applyFill="1" borderId="0" applyBorder="1" xfId="0"/>
    <xf fontId="5" applyFont="1" fillId="0" applyFill="1" borderId="0" applyBorder="1" xfId="0"/>
    <xf fontId="3" applyFont="1" fillId="0" applyFill="1" borderId="0" applyBorder="1" xfId="0"/>
    <xf fontId="16" applyFont="1" fillId="0" applyFill="1" borderId="0" applyBorder="1" xfId="0"/>
    <xf fontId="16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4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74</v>
      </c>
      <c r="E6" s="32"/>
      <c r="F6" s="32" t="s">
        <v>18</v>
      </c>
      <c r="G6" s="32"/>
      <c r="H6" s="32"/>
      <c r="I6" s="32"/>
      <c r="J6" s="34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47</v>
      </c>
      <c r="E6" s="32"/>
      <c r="F6" s="32" t="s">
        <v>19</v>
      </c>
      <c r="G6" s="32"/>
      <c r="H6" s="32"/>
      <c r="I6" s="32"/>
      <c r="J6" s="34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45069</v>
      </c>
      <c r="C6" s="35">
        <f>TODAY()</f>
        <v>45070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23</v>
      </c>
      <c r="D6" s="36">
        <v>85370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7" t="s">
        <v>19</v>
      </c>
      <c r="C7" s="32" t="s">
        <v>23</v>
      </c>
      <c r="D7" s="36">
        <v>22130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140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IFERROR(__xludf.DUMMYFUNCTION("""COMPUTED_VALUE"""),"Add/Subtract/Set")</f>
        <v>Add/Subtract/Set</v>
      </c>
      <c r="C5" s="28" t="str">
        <f>IFERROR(__xludf.DUMMYFUNCTION("""COMPUTED_VALUE"""),"Type")</f>
        <v>Type</v>
      </c>
      <c r="D5" s="28" t="str">
        <f>IFERROR(__xludf.DUMMYFUNCTION("""COMPUTED_VALUE"""),"Combined Account Total")</f>
        <v>Combined Account Total</v>
      </c>
      <c r="E5" s="28" t="str">
        <f>IFERROR(__xludf.DUMMYFUNCTION("""COMPUTED_VALUE"""),"MasterFund/Account")</f>
        <v>MasterFund/Account</v>
      </c>
      <c r="F5" s="29" t="str">
        <f>IFERROR(__xludf.DUMMYFUNCTION("""COMPUTED_VALUE"""),"Accounts")</f>
        <v>Accounts</v>
      </c>
      <c r="G5" s="28" t="str">
        <f>IFERROR(__xludf.DUMMYFUNCTION("""COMPUTED_VALUE"""),"Increase Decimal Digits")</f>
        <v>Increase Decimal Digits</v>
      </c>
      <c r="H5" s="28" t="str">
        <f>IFERROR(__xludf.DUMMYFUNCTION("""COMPUTED_VALUE"""),"ChkRemoveAccountsWithZeroNAV")</f>
        <v>ChkRemoveAccountsWithZeroNAV</v>
      </c>
      <c r="I5" s="28" t="str">
        <f>IFERROR(__xludf.DUMMYFUNCTION("""COMPUTED_VALUE"""),"Default Symbology")</f>
        <v>Default Symbology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13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SetPTTPreference!$4:$4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28</v>
      </c>
      <c r="D6" s="31" t="s">
        <v>29</v>
      </c>
      <c r="E6" s="34">
        <v>25</v>
      </c>
      <c r="F6" s="32"/>
      <c r="G6" s="32" t="s">
        <v>30</v>
      </c>
      <c r="H6" s="32" t="s">
        <v>31</v>
      </c>
      <c r="I6" s="39" t="s">
        <v>32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18</v>
      </c>
      <c r="C6" s="8"/>
      <c r="D6" s="13">
        <v>74</v>
      </c>
      <c r="E6" s="38"/>
      <c r="F6" s="8"/>
      <c r="G6" s="8"/>
      <c r="H6" s="8"/>
      <c r="I6" s="8"/>
      <c r="J6" s="8"/>
      <c r="K6" s="8"/>
      <c r="L6" s="8"/>
      <c r="M6" s="13">
        <v>1</v>
      </c>
      <c r="N6" s="8"/>
      <c r="O6" s="8"/>
    </row>
    <row r="7" ht="15.75" customHeight="1">
      <c r="A7" s="8"/>
      <c r="B7" s="41" t="s">
        <v>19</v>
      </c>
      <c r="C7" s="8"/>
      <c r="D7" s="13">
        <v>47</v>
      </c>
      <c r="E7" s="8"/>
      <c r="F7" s="8"/>
      <c r="G7" s="8"/>
      <c r="H7" s="8"/>
      <c r="I7" s="8"/>
      <c r="J7" s="8"/>
      <c r="K7" s="8"/>
      <c r="L7" s="8"/>
      <c r="M7" s="13">
        <v>1</v>
      </c>
      <c r="N7" s="8"/>
      <c r="O7" s="8"/>
    </row>
    <row r="8" ht="15.75" customHeight="1">
      <c r="A8" s="8"/>
      <c r="B8" s="3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13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13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headerFooter/>
  <drawing r:id="rId1"/>
</worksheet>
</file>