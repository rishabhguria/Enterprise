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tUIPreferencesTT" sheetId="5" r:id="rId7"/>
    <sheet state="visible" name="CustomOrderTT2" sheetId="6" r:id="rId8"/>
    <sheet state="visible" name="NirvanaDialogueBoxHandler" sheetId="7" r:id="rId9"/>
    <sheet state="visible" name="VerifyOrder" sheetId="8" r:id="rId10"/>
    <sheet state="visible" name="CustomOrderTT1" sheetId="9" r:id="rId11"/>
    <sheet state="visible" name="CreateDoneAwayOrder" sheetId="10" r:id="rId12"/>
    <sheet state="visible" name="CreateStageOrder" sheetId="11" r:id="rId13"/>
    <sheet state="visible" name="CreateLiveOrder" sheetId="12" r:id="rId14"/>
  </sheets>
  <definedNames/>
  <calcPr/>
</workbook>
</file>

<file path=xl/sharedStrings.xml><?xml version="1.0" encoding="utf-8"?>
<sst xmlns="http://schemas.openxmlformats.org/spreadsheetml/2006/main" count="212" uniqueCount="113">
  <si>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</si>
  <si>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</si>
  <si>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</si>
  <si>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</si>
  <si>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</si>
  <si>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</si>
  <si>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</si>
  <si>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</si>
  <si>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</si>
  <si>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</si>
  <si>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</si>
  <si>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</si>
  <si>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</si>
  <si>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</si>
  <si>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</si>
  <si>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</si>
  <si>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</si>
  <si>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</si>
  <si>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Buy</t>
  </si>
  <si>
    <t>Good Till Date</t>
  </si>
  <si>
    <t>Limit</t>
  </si>
  <si>
    <t>SetUIPreferencesTT</t>
  </si>
  <si>
    <t>Support1</t>
  </si>
  <si>
    <t>Amount</t>
  </si>
  <si>
    <t>SAP</t>
  </si>
  <si>
    <t>CreateOrder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</si>
  <si>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</si>
  <si>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</si>
  <si>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</si>
  <si>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</si>
  <si>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</si>
  <si>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</si>
  <si>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</si>
  <si>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</si>
  <si>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</si>
  <si>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</si>
  <si>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Please enter a valid Price</t>
  </si>
  <si>
    <t>DialogueBoxOK</t>
  </si>
  <si>
    <t>DialogueBoxNirvana Alert</t>
  </si>
  <si>
    <t>Blotter</t>
  </si>
  <si>
    <t>VerifyOrder</t>
  </si>
  <si>
    <t>GOOG</t>
  </si>
  <si>
    <t>Sell short</t>
  </si>
  <si>
    <t>Filled</t>
  </si>
  <si>
    <t>MS</t>
  </si>
  <si>
    <t>Allocation1</t>
  </si>
  <si>
    <t>Market</t>
  </si>
  <si>
    <t>Day</t>
  </si>
  <si>
    <t>MSFT</t>
  </si>
  <si>
    <t>Sell</t>
  </si>
  <si>
    <t>New</t>
  </si>
  <si>
    <t>NFLX</t>
  </si>
  <si>
    <t>Buy to Close</t>
  </si>
  <si>
    <t>AMZN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</si>
  <si>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</si>
  <si>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</si>
  <si>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</si>
  <si>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</si>
  <si>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</si>
  <si>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</si>
  <si>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</si>
  <si>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</si>
  <si>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</si>
  <si>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</si>
  <si>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</si>
  <si>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</si>
  <si>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</si>
  <si>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</si>
  <si>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</si>
  <si>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</si>
  <si>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</si>
  <si>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</si>
  <si>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</si>
  <si>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</si>
  <si>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</si>
  <si>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</si>
  <si>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</si>
  <si>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</si>
  <si>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</si>
  <si>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</si>
  <si>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</si>
  <si>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</si>
  <si>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</si>
  <si>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</si>
  <si>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</si>
  <si>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</si>
  <si>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</si>
  <si>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</si>
  <si>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</si>
  <si>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</si>
  <si>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</si>
  <si>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</si>
  <si>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</si>
  <si>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</si>
  <si>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</si>
  <si>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</si>
  <si>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</si>
  <si>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</si>
  <si>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</si>
  <si>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</si>
  <si>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</si>
  <si>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</si>
  <si>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</si>
  <si>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</si>
  <si>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</si>
  <si>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</si>
  <si>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</si>
  <si>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Create Order</t>
  </si>
  <si>
    <t>ToggleState_Off</t>
  </si>
  <si>
    <t>Done Away</t>
  </si>
  <si>
    <t>CreateDoneAwayOrder</t>
  </si>
  <si>
    <t>CreateStageOrder</t>
  </si>
  <si>
    <t>CreateLiveOrder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</si>
</sst>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00BFFF"/>
      <name val="&quot;Segoe UI&quot;"/>
    </font>
    <font>
      <sz val="9.0"/>
      <color rgb="FF000000"/>
      <name val="Verdana"/>
    </font>
    <font>
      <sz val="9.0"/>
      <color rgb="FFFF8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2" numFmtId="14" xfId="0" applyFont="1" applyNumberFormat="1"/>
    <xf borderId="0" fillId="4" fontId="11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shrinkToFit="0" vertical="bottom" wrapText="0"/>
    </xf>
    <xf borderId="0" fillId="0" fontId="13" numFmtId="0" xfId="0" applyAlignment="1" applyFont="1">
      <alignment readingOrder="0" shrinkToFit="0" vertical="bottom" wrapText="0"/>
    </xf>
    <xf borderId="5" fillId="6" fontId="14" numFmtId="0" xfId="0" applyAlignment="1" applyBorder="1" applyFill="1" applyFont="1">
      <alignment horizontal="right" readingOrder="0" shrinkToFit="0" vertical="top" wrapText="0"/>
    </xf>
    <xf borderId="5" fillId="6" fontId="15" numFmtId="0" xfId="0" applyAlignment="1" applyBorder="1" applyFont="1">
      <alignment horizontal="right" readingOrder="0" shrinkToFit="0" vertical="top" wrapText="0"/>
    </xf>
    <xf borderId="5" fillId="7" fontId="14" numFmtId="0" xfId="0" applyAlignment="1" applyBorder="1" applyFill="1" applyFont="1">
      <alignment horizontal="right" readingOrder="0" shrinkToFit="0" vertical="top" wrapText="0"/>
    </xf>
    <xf borderId="5" fillId="7" fontId="15" numFmtId="0" xfId="0" applyAlignment="1" applyBorder="1" applyFont="1">
      <alignment horizontal="right" readingOrder="0" shrinkToFit="0" vertical="top" wrapText="0"/>
    </xf>
    <xf borderId="5" fillId="6" fontId="16" numFmtId="0" xfId="0" applyAlignment="1" applyBorder="1" applyFont="1">
      <alignment horizontal="right" readingOrder="0" shrinkToFit="0" vertical="top" wrapText="0"/>
    </xf>
    <xf borderId="5" fillId="7" fontId="16" numFmtId="0" xfId="0" applyAlignment="1" applyBorder="1" applyFont="1">
      <alignment horizontal="right" readingOrder="0" shrinkToFit="0" vertical="top" wrapText="0"/>
    </xf>
    <xf borderId="0" fillId="5" fontId="10" numFmtId="0" xfId="0" applyAlignment="1" applyFont="1">
      <alignment readingOrder="0"/>
    </xf>
    <xf borderId="0" fillId="0" fontId="5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/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U6" s="9" t="s">
        <v>19</v>
      </c>
      <c r="V6" s="9" t="s">
        <v>20</v>
      </c>
      <c r="X6" s="9">
        <v>20.0</v>
      </c>
      <c r="Y6" s="30">
        <f>TODAY()+2</f>
        <v>45807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IFERROR(__xludf.DUMMYFUNCTION("IF(C3="""","""",Transpose(IMPORTRANGE('_Settings'!$B$3,C3&amp;""!A4:A1000"")))"),"#REF!")</f>
        <v>#REF!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31" t="s">
        <v>22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IFERROR(__xludf.DUMMYFUNCTION("""COMPUTED_VALUE"""),"Order Type")</f>
        <v>Order Type</v>
      </c>
      <c r="E5" s="27" t="str">
        <f>IFERROR(__xludf.DUMMYFUNCTION("""COMPUTED_VALUE"""),"TIF")</f>
        <v>TIF</v>
      </c>
      <c r="F5" s="28" t="str">
        <f>IFERROR(__xludf.DUMMYFUNCTION("""COMPUTED_VALUE"""),"Handling Instruction")</f>
        <v>Handling Instruction</v>
      </c>
      <c r="G5" s="27" t="str">
        <f>IFERROR(__xludf.DUMMYFUNCTION("""COMPUTED_VALUE"""),"Execution Instruction")</f>
        <v>Execution Instruction</v>
      </c>
      <c r="H5" s="27" t="str">
        <f>IFERROR(__xludf.DUMMYFUNCTION("""COMPUTED_VALUE"""),"Strategy")</f>
        <v>Strategy</v>
      </c>
      <c r="I5" s="27" t="str">
        <f>IFERROR(__xludf.DUMMYFUNCTION("""COMPUTED_VALUE"""),"Account")</f>
        <v>Account</v>
      </c>
      <c r="J5" s="27" t="str">
        <f>IFERROR(__xludf.DUMMYFUNCTION("""COMPUTED_VALUE"""),"Settlement Currency")</f>
        <v>Settlement Currency</v>
      </c>
      <c r="K5" s="27" t="str">
        <f>IFERROR(__xludf.DUMMYFUNCTION("""COMPUTED_VALUE"""),"Trader")</f>
        <v>Trader</v>
      </c>
      <c r="L5" s="27" t="str">
        <f>IFERROR(__xludf.DUMMYFUNCTION("""COMPUTED_VALUE"""),"Default Quantity")</f>
        <v>Default Quantity</v>
      </c>
      <c r="M5" s="27" t="str">
        <f>IFERROR(__xludf.DUMMYFUNCTION("""COMPUTED_VALUE"""),"Apply Round Lots")</f>
        <v>Apply Round Lots</v>
      </c>
      <c r="N5" s="27" t="str">
        <f>IFERROR(__xludf.DUMMYFUNCTION("""COMPUTED_VALUE"""),"Quantity")</f>
        <v>Quantity</v>
      </c>
      <c r="O5" s="27" t="str">
        <f>IFERROR(__xludf.DUMMYFUNCTION("""COMPUTED_VALUE"""),"Increase On Quantity")</f>
        <v>Increase On Quantity</v>
      </c>
      <c r="P5" s="27" t="str">
        <f>IFERROR(__xludf.DUMMYFUNCTION("""COMPUTED_VALUE"""),"Increase On Stop")</f>
        <v>Increase On Stop</v>
      </c>
      <c r="Q5" s="27" t="str">
        <f>IFERROR(__xludf.DUMMYFUNCTION("""COMPUTED_VALUE"""),"Increase On Limit")</f>
        <v>Increase On Limit</v>
      </c>
      <c r="R5" s="27" t="str">
        <f>IFERROR(__xludf.DUMMYFUNCTION("""COMPUTED_VALUE"""),"Broker_Enable?")</f>
        <v>Broker_Enable?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12" t="s">
        <v>23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12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SetUIPreferencesTT!$4:$4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9" t="s">
        <v>24</v>
      </c>
      <c r="C6" s="12">
        <v>2000.0</v>
      </c>
      <c r="D6" s="8"/>
      <c r="E6" s="12" t="s">
        <v>25</v>
      </c>
      <c r="F6" s="8"/>
      <c r="G6" s="12" t="b">
        <v>1</v>
      </c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12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A5" s="33"/>
      <c r="B5" s="34" t="s">
        <v>26</v>
      </c>
      <c r="C5" s="34" t="s">
        <v>27</v>
      </c>
      <c r="D5" s="34" t="s">
        <v>28</v>
      </c>
      <c r="E5" s="34" t="s">
        <v>29</v>
      </c>
      <c r="F5" s="34" t="s">
        <v>30</v>
      </c>
      <c r="G5" s="34" t="s">
        <v>31</v>
      </c>
      <c r="H5" s="34" t="s">
        <v>32</v>
      </c>
      <c r="I5" s="34" t="s">
        <v>33</v>
      </c>
      <c r="J5" s="34" t="s">
        <v>34</v>
      </c>
      <c r="K5" s="34" t="s">
        <v>35</v>
      </c>
    </row>
    <row r="6">
      <c r="A6" s="33"/>
      <c r="B6" s="34" t="s">
        <v>36</v>
      </c>
      <c r="C6" s="34" t="s">
        <v>37</v>
      </c>
      <c r="D6" s="33"/>
      <c r="E6" s="33"/>
      <c r="F6" s="34" t="s">
        <v>38</v>
      </c>
      <c r="G6" s="33"/>
      <c r="H6" s="33"/>
      <c r="I6" s="33"/>
      <c r="J6" s="33"/>
      <c r="K6" s="3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35" t="s">
        <v>41</v>
      </c>
      <c r="K6" s="8"/>
      <c r="L6" s="8"/>
      <c r="M6" s="8"/>
      <c r="N6" s="8"/>
      <c r="O6" s="8"/>
      <c r="AI6" s="35" t="s">
        <v>41</v>
      </c>
      <c r="AJ6" s="35" t="s">
        <v>42</v>
      </c>
      <c r="AK6" s="35" t="s">
        <v>43</v>
      </c>
      <c r="AL6" s="35">
        <v>10.0</v>
      </c>
      <c r="AQ6" s="35">
        <v>100.0</v>
      </c>
      <c r="AR6" s="35">
        <v>100.0</v>
      </c>
      <c r="AS6" s="35" t="s">
        <v>44</v>
      </c>
      <c r="AT6" s="35" t="s">
        <v>45</v>
      </c>
      <c r="AU6" s="35" t="s">
        <v>46</v>
      </c>
      <c r="BG6" s="35"/>
      <c r="BH6" s="36" t="s">
        <v>47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37" t="s">
        <v>48</v>
      </c>
      <c r="K7" s="8"/>
      <c r="L7" s="8"/>
      <c r="M7" s="8"/>
      <c r="N7" s="8"/>
      <c r="O7" s="8"/>
      <c r="AI7" s="37" t="s">
        <v>48</v>
      </c>
      <c r="AJ7" s="37" t="s">
        <v>49</v>
      </c>
      <c r="AK7" s="37" t="s">
        <v>50</v>
      </c>
      <c r="AL7" s="37">
        <v>10.0</v>
      </c>
      <c r="AS7" s="37" t="s">
        <v>44</v>
      </c>
      <c r="AT7" s="37" t="s">
        <v>45</v>
      </c>
      <c r="AU7" s="37" t="s">
        <v>46</v>
      </c>
      <c r="BG7" s="37"/>
      <c r="BH7" s="38" t="s">
        <v>47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39" t="s">
        <v>51</v>
      </c>
      <c r="K8" s="8"/>
      <c r="L8" s="8"/>
      <c r="M8" s="8"/>
      <c r="N8" s="8"/>
      <c r="O8" s="8"/>
      <c r="AI8" s="39" t="s">
        <v>51</v>
      </c>
      <c r="AJ8" s="39" t="s">
        <v>52</v>
      </c>
      <c r="AK8" s="39" t="s">
        <v>50</v>
      </c>
      <c r="AL8" s="39">
        <v>10.0</v>
      </c>
      <c r="AS8" s="39" t="s">
        <v>44</v>
      </c>
      <c r="AT8" s="39" t="s">
        <v>45</v>
      </c>
      <c r="AU8" s="39" t="s">
        <v>46</v>
      </c>
      <c r="BG8" s="39"/>
      <c r="BH8" s="36" t="s">
        <v>47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40" t="s">
        <v>53</v>
      </c>
      <c r="K9" s="8"/>
      <c r="L9" s="8"/>
      <c r="M9" s="8"/>
      <c r="N9" s="8"/>
      <c r="O9" s="8"/>
      <c r="AI9" s="40" t="s">
        <v>53</v>
      </c>
      <c r="AJ9" s="40" t="s">
        <v>18</v>
      </c>
      <c r="AK9" s="40" t="s">
        <v>50</v>
      </c>
      <c r="AL9" s="40">
        <v>10.0</v>
      </c>
      <c r="AS9" s="40" t="s">
        <v>44</v>
      </c>
      <c r="AT9" s="40" t="s">
        <v>45</v>
      </c>
      <c r="AU9" s="40" t="s">
        <v>46</v>
      </c>
      <c r="BG9" s="40"/>
      <c r="BH9" s="38" t="s">
        <v>47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39" t="s">
        <v>16</v>
      </c>
      <c r="K10" s="8"/>
      <c r="L10" s="8"/>
      <c r="M10" s="8"/>
      <c r="N10" s="8"/>
      <c r="O10" s="8"/>
      <c r="AI10" s="39" t="s">
        <v>16</v>
      </c>
      <c r="AJ10" s="39" t="s">
        <v>18</v>
      </c>
      <c r="AK10" s="39" t="s">
        <v>50</v>
      </c>
      <c r="AL10" s="39">
        <v>100.0</v>
      </c>
      <c r="AS10" s="39" t="s">
        <v>44</v>
      </c>
      <c r="AT10" s="39" t="s">
        <v>45</v>
      </c>
      <c r="AU10" s="39" t="s">
        <v>20</v>
      </c>
      <c r="BG10" s="39"/>
      <c r="BH10" s="36" t="s">
        <v>19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54</v>
      </c>
      <c r="C5" s="28" t="s">
        <v>55</v>
      </c>
      <c r="D5" s="28" t="s">
        <v>56</v>
      </c>
      <c r="E5" s="28" t="s">
        <v>57</v>
      </c>
      <c r="F5" s="28" t="s">
        <v>58</v>
      </c>
      <c r="G5" s="28" t="s">
        <v>59</v>
      </c>
      <c r="H5" s="28" t="s">
        <v>60</v>
      </c>
      <c r="I5" s="28" t="s">
        <v>61</v>
      </c>
      <c r="J5" s="28" t="s">
        <v>62</v>
      </c>
      <c r="K5" s="28" t="s">
        <v>63</v>
      </c>
      <c r="L5" s="28" t="s">
        <v>20</v>
      </c>
      <c r="M5" s="28" t="s">
        <v>64</v>
      </c>
      <c r="N5" s="28" t="s">
        <v>65</v>
      </c>
      <c r="O5" s="28" t="s">
        <v>66</v>
      </c>
      <c r="P5" s="28" t="s">
        <v>67</v>
      </c>
      <c r="Q5" s="28" t="s">
        <v>68</v>
      </c>
      <c r="R5" s="28" t="s">
        <v>69</v>
      </c>
      <c r="S5" s="28" t="s">
        <v>70</v>
      </c>
      <c r="T5" s="41" t="s">
        <v>71</v>
      </c>
      <c r="U5" s="41" t="s">
        <v>72</v>
      </c>
      <c r="V5" s="41" t="s">
        <v>73</v>
      </c>
      <c r="W5" s="41" t="s">
        <v>74</v>
      </c>
      <c r="X5" s="41" t="s">
        <v>75</v>
      </c>
      <c r="Y5" s="41" t="s">
        <v>76</v>
      </c>
      <c r="Z5" s="41" t="s">
        <v>77</v>
      </c>
      <c r="AA5" s="41" t="s">
        <v>78</v>
      </c>
      <c r="AB5" s="41" t="s">
        <v>79</v>
      </c>
      <c r="AC5" s="41" t="s">
        <v>80</v>
      </c>
      <c r="AD5" s="41" t="s">
        <v>81</v>
      </c>
      <c r="AE5" s="41" t="s">
        <v>82</v>
      </c>
      <c r="AF5" s="41" t="s">
        <v>83</v>
      </c>
      <c r="AG5" s="41" t="s">
        <v>84</v>
      </c>
      <c r="AH5" s="41" t="s">
        <v>85</v>
      </c>
      <c r="AI5" s="41" t="s">
        <v>86</v>
      </c>
      <c r="AJ5" s="41" t="s">
        <v>87</v>
      </c>
      <c r="AK5" s="41" t="s">
        <v>88</v>
      </c>
      <c r="AL5" s="41" t="s">
        <v>89</v>
      </c>
      <c r="AM5" s="41" t="s">
        <v>90</v>
      </c>
      <c r="AN5" s="41" t="s">
        <v>91</v>
      </c>
      <c r="AO5" s="41" t="s">
        <v>92</v>
      </c>
      <c r="AP5" s="41" t="s">
        <v>93</v>
      </c>
      <c r="AQ5" s="41" t="s">
        <v>94</v>
      </c>
      <c r="AR5" s="41" t="s">
        <v>95</v>
      </c>
      <c r="AS5" s="41" t="s">
        <v>96</v>
      </c>
      <c r="AT5" s="41" t="s">
        <v>97</v>
      </c>
      <c r="AU5" s="41" t="s">
        <v>98</v>
      </c>
      <c r="AV5" s="41" t="s">
        <v>99</v>
      </c>
      <c r="AW5" s="41" t="s">
        <v>100</v>
      </c>
      <c r="AX5" s="41" t="s">
        <v>101</v>
      </c>
      <c r="AY5" s="41" t="s">
        <v>102</v>
      </c>
      <c r="AZ5" s="41" t="s">
        <v>103</v>
      </c>
      <c r="BA5" s="41" t="s">
        <v>104</v>
      </c>
      <c r="BB5" s="41" t="s">
        <v>105</v>
      </c>
      <c r="BC5" s="41" t="s">
        <v>106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48</v>
      </c>
      <c r="C6" s="12" t="s">
        <v>18</v>
      </c>
      <c r="D6" s="42">
        <v>1000.0</v>
      </c>
      <c r="E6" s="12"/>
      <c r="F6" s="8"/>
      <c r="G6" s="8"/>
      <c r="H6" s="8"/>
      <c r="I6" s="8"/>
      <c r="J6" s="12">
        <v>100.0</v>
      </c>
      <c r="K6" s="8"/>
      <c r="L6" s="8"/>
      <c r="M6" s="8"/>
      <c r="N6" s="8"/>
      <c r="O6" s="8"/>
      <c r="AE6" s="9" t="s">
        <v>107</v>
      </c>
      <c r="AM6" s="9" t="s">
        <v>108</v>
      </c>
    </row>
    <row r="7" ht="15.75" customHeight="1">
      <c r="A7" s="8"/>
      <c r="B7" s="12" t="s">
        <v>51</v>
      </c>
      <c r="C7" s="12" t="s">
        <v>49</v>
      </c>
      <c r="D7" s="42">
        <v>1000.0</v>
      </c>
      <c r="E7" s="12"/>
      <c r="F7" s="8"/>
      <c r="G7" s="8"/>
      <c r="H7" s="8"/>
      <c r="I7" s="8"/>
      <c r="J7" s="12">
        <v>100.0</v>
      </c>
      <c r="K7" s="8"/>
      <c r="L7" s="8"/>
      <c r="M7" s="8"/>
      <c r="N7" s="8"/>
      <c r="O7" s="8"/>
      <c r="AE7" s="9" t="s">
        <v>109</v>
      </c>
      <c r="AM7" s="9" t="s">
        <v>108</v>
      </c>
    </row>
    <row r="8" ht="15.75" customHeight="1">
      <c r="A8" s="8"/>
      <c r="B8" s="12" t="s">
        <v>53</v>
      </c>
      <c r="C8" s="12" t="s">
        <v>52</v>
      </c>
      <c r="D8" s="42">
        <v>1000.0</v>
      </c>
      <c r="E8" s="12"/>
      <c r="F8" s="8"/>
      <c r="G8" s="8"/>
      <c r="H8" s="8"/>
      <c r="I8" s="8"/>
      <c r="J8" s="12">
        <v>100.0</v>
      </c>
      <c r="K8" s="8"/>
      <c r="L8" s="8"/>
      <c r="M8" s="8"/>
      <c r="N8" s="8"/>
      <c r="O8" s="8"/>
      <c r="AE8" s="9" t="s">
        <v>17</v>
      </c>
      <c r="AM8" s="9" t="s">
        <v>108</v>
      </c>
    </row>
    <row r="9" ht="15.75" customHeight="1">
      <c r="A9" s="8"/>
      <c r="B9" s="12" t="s">
        <v>41</v>
      </c>
      <c r="C9" s="12" t="s">
        <v>42</v>
      </c>
      <c r="D9" s="42">
        <v>1000.0</v>
      </c>
      <c r="E9" s="12"/>
      <c r="F9" s="8"/>
      <c r="G9" s="8"/>
      <c r="H9" s="8"/>
      <c r="I9" s="8"/>
      <c r="J9" s="12">
        <v>100.0</v>
      </c>
      <c r="K9" s="8"/>
      <c r="L9" s="8"/>
      <c r="M9" s="8"/>
      <c r="N9" s="8"/>
      <c r="O9" s="8"/>
      <c r="AE9" s="9" t="s">
        <v>109</v>
      </c>
      <c r="AM9" s="9" t="s">
        <v>108</v>
      </c>
    </row>
    <row r="10" ht="15.75" customHeight="1">
      <c r="A10" s="8"/>
      <c r="B10" s="9" t="s">
        <v>24</v>
      </c>
      <c r="C10" s="12" t="s">
        <v>18</v>
      </c>
      <c r="D10" s="42">
        <v>1000.0</v>
      </c>
      <c r="E10" s="12"/>
      <c r="F10" s="8"/>
      <c r="G10" s="8"/>
      <c r="H10" s="8"/>
      <c r="I10" s="8"/>
      <c r="J10" s="12"/>
      <c r="K10" s="8"/>
      <c r="L10" s="8"/>
      <c r="M10" s="8"/>
      <c r="N10" s="8"/>
      <c r="O10" s="8"/>
      <c r="AE10" s="9" t="s">
        <v>107</v>
      </c>
      <c r="AM10" s="9" t="s">
        <v>108</v>
      </c>
    </row>
    <row r="11" ht="15.75" customHeight="1">
      <c r="A11" s="8"/>
      <c r="B11" s="12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2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2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110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41</v>
      </c>
      <c r="C6" s="12" t="s">
        <v>42</v>
      </c>
      <c r="D6" s="12">
        <v>1000.0</v>
      </c>
      <c r="E6" s="32"/>
      <c r="F6" s="8"/>
      <c r="G6" s="8"/>
      <c r="H6" s="8"/>
      <c r="I6" s="8"/>
      <c r="J6" s="12">
        <v>100.0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111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48</v>
      </c>
      <c r="C6" s="12" t="s">
        <v>49</v>
      </c>
      <c r="D6" s="12">
        <v>1000.0</v>
      </c>
      <c r="E6" s="32"/>
      <c r="F6" s="8"/>
      <c r="G6" s="8"/>
      <c r="H6" s="8"/>
      <c r="I6" s="8"/>
      <c r="J6" s="12">
        <v>100.0</v>
      </c>
      <c r="K6" s="8"/>
      <c r="L6" s="8"/>
      <c r="M6" s="8"/>
      <c r="N6" s="8"/>
      <c r="O6" s="8"/>
    </row>
    <row r="7" ht="15.75" customHeight="1">
      <c r="A7" s="8"/>
      <c r="B7" s="12" t="s">
        <v>51</v>
      </c>
      <c r="C7" s="12" t="s">
        <v>52</v>
      </c>
      <c r="D7" s="12">
        <v>1000.0</v>
      </c>
      <c r="E7" s="8"/>
      <c r="F7" s="8"/>
      <c r="G7" s="8"/>
      <c r="H7" s="8"/>
      <c r="I7" s="8"/>
      <c r="J7" s="12">
        <v>100.0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112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53</v>
      </c>
      <c r="C6" s="12" t="s">
        <v>18</v>
      </c>
      <c r="D6" s="12">
        <v>1000.0</v>
      </c>
      <c r="E6" s="32"/>
      <c r="F6" s="8"/>
      <c r="G6" s="8"/>
      <c r="H6" s="8"/>
      <c r="I6" s="8"/>
      <c r="J6" s="12">
        <v>100.0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