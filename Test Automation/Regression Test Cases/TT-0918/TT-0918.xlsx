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VerifyExecutionType" sheetId="5" r:id="rId7"/>
    <sheet state="visible" name="CustomOrderTT1" sheetId="6" r:id="rId8"/>
    <sheet state="visible" name="ReloadOrderFromBlotter" sheetId="7" r:id="rId9"/>
    <sheet state="visible" name="SavePageView" sheetId="8" r:id="rId10"/>
    <sheet state="visible" name="ActionOnPageFromSearch" sheetId="9" r:id="rId11"/>
  </sheets>
  <definedNames/>
  <calcPr/>
</workbook>
</file>

<file path=xl/sharedStrings.xml><?xml version="1.0" encoding="utf-8"?>
<sst xmlns="http://schemas.openxmlformats.org/spreadsheetml/2006/main" count="3037" uniqueCount="1865">
  <si>
    <t>Modules Info</t>
  </si>
  <si>
    <t>Modules</t>
  </si>
  <si>
    <t>Allocation</t>
  </si>
  <si>
    <t>Allocate</t>
  </si>
  <si>
    <t>Undefined</t>
  </si>
  <si>
    <t>CheckAllocatedGroups</t>
  </si>
  <si>
    <t>17hQQja2JxgHYc91C7e_NxNoHLA89SiPSSBCEIFHCoTk</t>
  </si>
  <si>
    <t>GetDataAllocation</t>
  </si>
  <si>
    <t>108eHf5dlaU-2uUYuHfGgKKJqgdRILzey4i21uN8VBpc</t>
  </si>
  <si>
    <t>SelectAllocatedGroup</t>
  </si>
  <si>
    <t>1xOLrriXpynkiEARWECFOoYcCjgpJ_r_B8l8himR40tc</t>
  </si>
  <si>
    <t>EditTradesAllocated</t>
  </si>
  <si>
    <t>1czFgc0rQ9Yr0z5XyYhwS9vTzyyW8C_kbFoZotVQvRGU</t>
  </si>
  <si>
    <t>EditTradesUnallocated</t>
  </si>
  <si>
    <t>1IzyG5_6aGu2OE6b5hRX3Fsz__PyNpFOt5iSq6kKmpgs</t>
  </si>
  <si>
    <t>Reallocate</t>
  </si>
  <si>
    <t>Blotter</t>
  </si>
  <si>
    <t>ReplaceFillsOnBlotter</t>
  </si>
  <si>
    <t>1Diy-Nhw7lqGk8BUcJ7_tudF9wi_ZJxiWQvXjEtj0fbg</t>
  </si>
  <si>
    <t>a</t>
  </si>
  <si>
    <t>1s</t>
  </si>
  <si>
    <t>1enUPqyPREGl3f2eye-2V4zEhW4eTEsQWbHsvbHWKlLQ</t>
  </si>
  <si>
    <t>GeneralLedger</t>
  </si>
  <si>
    <t>GetDataCash</t>
  </si>
  <si>
    <t>11pF8hppeASHIBEU4fJBPX4H2s826R1k7KA4JaccEGq0</t>
  </si>
  <si>
    <t>EnterCashDividends</t>
  </si>
  <si>
    <t>1qI9l0oxajDKeZluTNrlCeeZ28QX8NkbvZl6ujxbGJnI</t>
  </si>
  <si>
    <t>EnterNonTradingTransaction</t>
  </si>
  <si>
    <t>1n0XgxxbStGy3VjvQS309fIpzG_L1vcwVX484ib8d3QU</t>
  </si>
  <si>
    <t>VerifyCash</t>
  </si>
  <si>
    <t>1dm_rO3DsjDpe_rov3TM-pXjFB8WSzw6eN-gEqIFDT2M</t>
  </si>
  <si>
    <t>VerifyActivity</t>
  </si>
  <si>
    <t>1n2_KWleIEyqXIdrb2wBU9n9HG3wOCbtLJiXuNliDxbo</t>
  </si>
  <si>
    <t>VerifyTradingTransaction</t>
  </si>
  <si>
    <t>1HUrg5HC-uhaySvPqKlbfDJy_tRqbpd3tG5-BRQbvQNE</t>
  </si>
  <si>
    <t>VerifyRevaluationData</t>
  </si>
  <si>
    <t>1ogDmXxmcH2S6ctXbFXoGdWmaCJRo_ECxi411UEwWYtk</t>
  </si>
  <si>
    <t>CorporateAction</t>
  </si>
  <si>
    <t>15KSHSnHyfcV68P-BAz-qSKIAViB6QpZ5pCYmrYItUS4</t>
  </si>
  <si>
    <t>CreateTransaction</t>
  </si>
  <si>
    <t>1JZcaOlNrERZ2pJDJY1f-UuSxW_EJa6FmaMW4Ng69G-Y</t>
  </si>
  <si>
    <t>DailyValuation</t>
  </si>
  <si>
    <t>UpdateBeta</t>
  </si>
  <si>
    <t>14bzYQBiZIs2a3lfzwT4TROCDnXpt72UALcJjBTZdEAk</t>
  </si>
  <si>
    <t>UpdateDailyCash</t>
  </si>
  <si>
    <t>1qlSfNvUHenegqRyv9ZFeKA5gN-iwbykaaRHcYfx0vR8</t>
  </si>
  <si>
    <t>UpdateMultipleDailyCash</t>
  </si>
  <si>
    <t>1f9Url4H77DADigFnhRCLdDJPePHaUcYK-sGJAcDVqAc</t>
  </si>
  <si>
    <t>UpdateForexConversion</t>
  </si>
  <si>
    <t>1ovsWSW4IX_ESJf6L_l_o3LFV2g37EWvXALJwiSoMOOk</t>
  </si>
  <si>
    <t>UpdateMarkPrice</t>
  </si>
  <si>
    <t>16KBVroR_j9VfEeynsJjMmeERh-LHCXp_Q3zfX2ptUbk</t>
  </si>
  <si>
    <t>Import</t>
  </si>
  <si>
    <t>1_vNaQNw1K3VUjBqTVyF_y9hpe8G2ewy1wQSeMFKnIsw</t>
  </si>
  <si>
    <t>PortfolioManagement</t>
  </si>
  <si>
    <t>CheckDashboardPM</t>
  </si>
  <si>
    <t>1XML_rKDwoATUqQEdSmAgWZeBq0nRAO-QFlPnVgX1Uac</t>
  </si>
  <si>
    <t>CheckPortfolioManagement</t>
  </si>
  <si>
    <t>10mJBbfEKw8miuRHDwCV7_-8V_E3ZX1n6jlsC5kfflVY</t>
  </si>
  <si>
    <t>CheckPMLiveFeed</t>
  </si>
  <si>
    <t>1Q4XgYTYb3ng95eo0AHEW34QHB-UqihXSsfRcQQpkVXw</t>
  </si>
  <si>
    <t>PricingInput</t>
  </si>
  <si>
    <t>1oej4n4PC8RE49pB4-TiWxTqbDPyninh9e03DcCsTU80</t>
  </si>
  <si>
    <t>UpdateSharesOutstanding</t>
  </si>
  <si>
    <t>1crnQkc3JZblrRatY8QxWLuk7JnchsXg0e_CyrN38bbE</t>
  </si>
  <si>
    <t>SymbolLookup</t>
  </si>
  <si>
    <t>VerifySymbolLookUp</t>
  </si>
  <si>
    <t>1YWFFwFn67kSD8UqbzR_g6NbGZ9pjemCMVA9QmSA4_S8</t>
  </si>
  <si>
    <t>SymbolLookupFromTT</t>
  </si>
  <si>
    <t>1gDvMDcnV_Cq-gd3uSiTszH4Q8IYBAMQu9lTMq8Rpy3o</t>
  </si>
  <si>
    <t>UpdateUDA</t>
  </si>
  <si>
    <t>1dhqVPgdlk0qqXkJ78cDzBf_Mq3MegKBc6RXPw3xiPrw</t>
  </si>
  <si>
    <t>GetSymbol</t>
  </si>
  <si>
    <t>173hAXGieMVvXY5pe0UbKu68RfryU3RaXKikGhyg-rOo</t>
  </si>
  <si>
    <t>GetDataSymbolLookup</t>
  </si>
  <si>
    <t>1NAyBh7MvMUe-ymIgaMjhvCcTdXRrdfoOqa5k2oEkEtY</t>
  </si>
  <si>
    <t>DeleteValidateSymbol</t>
  </si>
  <si>
    <t>1WIb_XXxmZPR_GUhoObQfZ6l1pKvOl5CWOE5mnz2ftU0</t>
  </si>
  <si>
    <t>ThirdParty</t>
  </si>
  <si>
    <t>GenerateThirdParty</t>
  </si>
  <si>
    <t>1MME0WB8RmCV2QKgHuWbTvubmaZmPuF0knOKGp2GUg7o</t>
  </si>
  <si>
    <t>SendThirdParty</t>
  </si>
  <si>
    <t>1Rq8zeuYkGxaBxmemqN7Z1OVWnaheHVEDxVozT52myRI</t>
  </si>
  <si>
    <t>ViewThirdParty</t>
  </si>
  <si>
    <t>1UalkAEsbJcZQAzEnT3T29et4u4PKQ3n66SBTt1HPqVc</t>
  </si>
  <si>
    <t>SelectThirdPartyName</t>
  </si>
  <si>
    <t>1Ed9yVUP6QBHgE31eiooLDUHG0Yf2VM_w3I1hshQOHqI</t>
  </si>
  <si>
    <t>VerifyThirdPartyData</t>
  </si>
  <si>
    <t>1bnzX2PjXEMH6TjD42kz9rbl4I5pggAPDV-6J94ie3aA</t>
  </si>
  <si>
    <t>CleanUp</t>
  </si>
  <si>
    <t>PST</t>
  </si>
  <si>
    <t>RunPST</t>
  </si>
  <si>
    <t>1eDn4ID4lZ0g9L9LBEwFIV1KSKirbl2wBD7JMSOogsJo</t>
  </si>
  <si>
    <t>PSTInputData</t>
  </si>
  <si>
    <t>1GqarmBj5COJ9oiY8JkODcW4vDrpW1y5yTk4660Wu__c</t>
  </si>
  <si>
    <t>PSTVerifyData</t>
  </si>
  <si>
    <t>1rwYlyzQAuduSi0Gp4ROixwt3o0bs2AhQbAT7dJTM9RA</t>
  </si>
  <si>
    <t>PSTFunctionalities</t>
  </si>
  <si>
    <t>11JwOBclgqclhwteK8-8D_f6-5WV6K0OQ-E6BB9CezgE</t>
  </si>
  <si>
    <t>OpenPSTFromPM</t>
  </si>
  <si>
    <t>1LaxsbJKMKgHz6nuJt-mWzImc-fRNbTvmrGGX97yHQ3M</t>
  </si>
  <si>
    <t>TradingTicket</t>
  </si>
  <si>
    <t>OpenTTFromPST</t>
  </si>
  <si>
    <t>1FjuLUHGwTLVNcZ31dqziB6PhJgIoI87PrQYnS_MxI6w</t>
  </si>
  <si>
    <t>CashDividend</t>
  </si>
  <si>
    <t>Exchange</t>
  </si>
  <si>
    <t>Merger</t>
  </si>
  <si>
    <t>NameChange</t>
  </si>
  <si>
    <t>SpinOff</t>
  </si>
  <si>
    <t>1qMBNCqmLroUbEfWZ7WurEo9lsZVM23zrfZgeqSulKQE</t>
  </si>
  <si>
    <t>StockDividend</t>
  </si>
  <si>
    <t>EnterDetailsOnTT</t>
  </si>
  <si>
    <t>1G2yAwEmGug4VRRGiVJM3yHe88F7UHCmwLdFo2-Xj4bA</t>
  </si>
  <si>
    <t>EditUnallocatedGroupSidePanel</t>
  </si>
  <si>
    <t>1sN4dA0wRDbkiqDmGZD3fRqB5XP8vsNgVSKTClqF2aqA</t>
  </si>
  <si>
    <t>TradeAttributeBulkChange</t>
  </si>
  <si>
    <t>1iFwUbi4eWTRVGpAAB27Nc1Ubu4j6hxNuLgSZZV6c_E4</t>
  </si>
  <si>
    <t>ApplyBulkUpdateOnGroups</t>
  </si>
  <si>
    <t>1XV7WEkcXTDuOgwDoGhKvy8HU-K-3479ZHAEZBvsa_tc</t>
  </si>
  <si>
    <t>ApplyPrefetchFilters</t>
  </si>
  <si>
    <t>1sQmxpKX5ogSXiV1qHf6NVjQl8QoUTsuD2rJ4pzqABAg</t>
  </si>
  <si>
    <t>GeneralPreferencesDefaultRule</t>
  </si>
  <si>
    <t>1WOXvZZCIiWWwLt85sMAJs5lA2Sd5seftlo0-PMFepo4</t>
  </si>
  <si>
    <t>GeneralPrefCompanyUserWise</t>
  </si>
  <si>
    <t>13pRCCWisWUdYIzGghxtJvmhlBsj5sDr94g6VDPP0q-o</t>
  </si>
  <si>
    <t>RenameTradeAttributes</t>
  </si>
  <si>
    <t>1npQSl0FjE4Lw1QD6s0yIpLzJ-rj0nbumIonEIRbWZwA</t>
  </si>
  <si>
    <t>SetGroupingRules</t>
  </si>
  <si>
    <t>1-pEik0paMvKDzhMzUpCB2FadNd3tINN9bPXcpr5W9hI</t>
  </si>
  <si>
    <t>SetMasterFundRatio</t>
  </si>
  <si>
    <t>1G5A2JHuXFwIAKeFyFP_6qaRbfVnU9mvHz6q_tG-5I3M</t>
  </si>
  <si>
    <t>CheckFixedPreference</t>
  </si>
  <si>
    <t>1Qf7-OMFYaQTpiT3A76WLvhP_zTcAvN-GlTkEKWQI6CI</t>
  </si>
  <si>
    <t>GetFixedPreference</t>
  </si>
  <si>
    <t>1X2GLgKZ0jCCf9C8tNz4LZTT8MEJ0rPmHVf74CRF92nI</t>
  </si>
  <si>
    <t>AddCalculatedPreferences</t>
  </si>
  <si>
    <t>1e3JDW1yEKYP-8ma-BqYu0whzm4Ze8aVDK3dsCw79llk</t>
  </si>
  <si>
    <t>BulkChangeCalculatedPreferences</t>
  </si>
  <si>
    <t>1eR96defw9DNiXlrKjqRh3R-qg9Pp1BeoNro96zMlcU0</t>
  </si>
  <si>
    <t>DeleteCalculatedPreferences</t>
  </si>
  <si>
    <t>1SYzOFlwMP7q1fa9ftG5nF3Q9-tr0BByrF1knPegiHxE</t>
  </si>
  <si>
    <t>RenameCalculatedPreferences</t>
  </si>
  <si>
    <t>1oCPrKMTa-3fxaM06t7r0xjhAywYxptxUUWlM6IrpjIM</t>
  </si>
  <si>
    <t>CopyCalculatedPreferences</t>
  </si>
  <si>
    <t>1Juj0ekcKQL6KCq8ujd84mA8LXjLIO7F5-pt1BH073k4</t>
  </si>
  <si>
    <t>RunAutoGroup</t>
  </si>
  <si>
    <t>1TxDikOKco3kj-fpVp_swFmHRjk9xUFlp6SC01FXKsUA</t>
  </si>
  <si>
    <t>BookOrUpdateSwap</t>
  </si>
  <si>
    <t>1MIFnyUZMyR5a_8yHN1aP-GaxtBQUxu1tPzzD93BRKG4</t>
  </si>
  <si>
    <t>RunProrata</t>
  </si>
  <si>
    <t>1UcA_Bp3Tg0bduC_hG_ymQO8Nl0fC8zwr0dqhn3G0X7w</t>
  </si>
  <si>
    <t>SetDefaultRuleCalculatedPref</t>
  </si>
  <si>
    <t>1b3teGR3SeddkzmOAOI70zt3TPTIueqIXMb0_64vLmhg</t>
  </si>
  <si>
    <t>Admin</t>
  </si>
  <si>
    <t>SetTTUIPreferences</t>
  </si>
  <si>
    <t>1x3db-DRDI09f9JOxbjTsFLBMBLSyw9w2LJAcwA_jthE</t>
  </si>
  <si>
    <t>TTPermissionLevel</t>
  </si>
  <si>
    <t>1eWGWoFECkbD-qbHWTGCUT8Fyg7YSEuxVBQShAfH-4G8</t>
  </si>
  <si>
    <t>ValidateSymbolTT</t>
  </si>
  <si>
    <t>19tHMRXibaAxm7XMdcCTWHQ4bfVUBpa3dYIoVg7LgjMU</t>
  </si>
  <si>
    <t>VerifyDataTT</t>
  </si>
  <si>
    <t>SetUIPreferencesTT</t>
  </si>
  <si>
    <t>15dCu2cI6h2zz7EyE3HRTPJXretS_8rJXb6kEecm2wE4</t>
  </si>
  <si>
    <t>SetBrokerWisePreferencesTT</t>
  </si>
  <si>
    <t>1ox4TNNK5MqyA6BJGrZngJ2D4HejJ2lRtDKIKyPqu-tQ</t>
  </si>
  <si>
    <t>VerifyComplianceOrder</t>
  </si>
  <si>
    <t>1H1jKHI5sFjF2JGI5Hsg2bL9f8P4Efy6KU_cClE3r75U</t>
  </si>
  <si>
    <t>BlotterFunctionalities</t>
  </si>
  <si>
    <t>1SOn4_JJeoHJYkiaVBjxfn5Lb7mA_qhKHshd3opLPQ1I</t>
  </si>
  <si>
    <t>TradeNewSub</t>
  </si>
  <si>
    <t>1IorkfR8EskF9Rg56tJ2oKYZpqvMIZEs2668wybtTQB4</t>
  </si>
  <si>
    <t>GetTradingTransaction</t>
  </si>
  <si>
    <t>1psefeS-lWFS-teA6LWf_DI6EUG6mtcOuqu918FZCTQU</t>
  </si>
  <si>
    <t>GetActivityData</t>
  </si>
  <si>
    <t>1rznTwdTAEkrPH0xYZH81RkQ1wUryJGoM9CMoeL4nmcQ</t>
  </si>
  <si>
    <t>SetAccountValueCalculatedPref</t>
  </si>
  <si>
    <t>1_z8RqXBRujVk2nmOKATscV8OMNcUKi2JifkR1W7KdRE</t>
  </si>
  <si>
    <t>TradeAttributeBulkChangeGroups</t>
  </si>
  <si>
    <t>1PWEqwYA12VgsLsj6lvnqrW4sngZuq-sjrmnpL9peQPo</t>
  </si>
  <si>
    <t>TradeAttributeBulkChangeTaxlots</t>
  </si>
  <si>
    <t>1qWD23r6S8L6qNcKOENcBsVpBS_5raHBTtvCMOf8rwRo</t>
  </si>
  <si>
    <t>AddCalculatedPreferenceToolbar</t>
  </si>
  <si>
    <t>1ih6B6H3dMqTN2qoqiNuco5rugaDHzlFQvUiQTafq1-Y</t>
  </si>
  <si>
    <t>GetRevaluationData</t>
  </si>
  <si>
    <t>105kp1yXOdHuKObnT282Gjsr9VcKIYY9fVt3jwRMQivk</t>
  </si>
  <si>
    <t>SetStrategyValueCalculatedPref</t>
  </si>
  <si>
    <t>155MwUZO0qphL6P5-kiOzXA9wszW7MLyU3r6cueRluPE</t>
  </si>
  <si>
    <t>GetAccountDetails</t>
  </si>
  <si>
    <t>1Me9UTDrd2996RjhiWBMkCi9mXdb5L42QQfdj510IoVM</t>
  </si>
  <si>
    <t>ApplyBulkUpdateOnTaxlots</t>
  </si>
  <si>
    <t>1kSbyPWCAETWkagyJeACNwFnEDTZGBY7V9VzLov8MtUE</t>
  </si>
  <si>
    <t>GetNonTradingTransaction</t>
  </si>
  <si>
    <t>1HUC5rEPCZfFcwW21tVUh6_8T3y5OGGZm3qS66vN0_Bc</t>
  </si>
  <si>
    <t>CommissionBulkChangeOnGroups</t>
  </si>
  <si>
    <t>1nqghloueAtXKgiCD7E97C4HJhoG52Mgd5lseF3sy40Y</t>
  </si>
  <si>
    <t>GetDividendData</t>
  </si>
  <si>
    <t>1U4lTeqJHZq-7DOC_oNjNvpvqxZzMTAVQzmbDBSE3iSw</t>
  </si>
  <si>
    <t>CommissionBulkChangeOnTaxlots</t>
  </si>
  <si>
    <t>1_7vsYYCvTxkAYqYXjLmISGV0viOCb9khDDddgaDCzbE</t>
  </si>
  <si>
    <t>VerifyNonTradingTransaction</t>
  </si>
  <si>
    <t>1O0bP5QXQjQiDANZIp9Obrifa55tdLvVLynbjdLFGE3g</t>
  </si>
  <si>
    <t>SelectUnallocatedGroup</t>
  </si>
  <si>
    <t>1o4oo91ek1Mn_DDe4KMGTI4QP4Tr2a7dk4W6GhZrx8C0</t>
  </si>
  <si>
    <t>VerifyDividend</t>
  </si>
  <si>
    <t>1rqUHYcdAPy30n3DVnBbBC1G7pAs0HVw8bk6U4wElamU</t>
  </si>
  <si>
    <t>EnterAccountValuesToAllocate</t>
  </si>
  <si>
    <t>1_xxunJZv--OoaMu--vIqANsrHbGnp7zgAejiREqgC9o</t>
  </si>
  <si>
    <t>GetOpeningBalanceData</t>
  </si>
  <si>
    <t>1szTOtKIGVoQMbhobEgnUxaIGXhP5R27tXCm0Kr5COss</t>
  </si>
  <si>
    <t>EnterAllocatePreference</t>
  </si>
  <si>
    <t>19kT9xClnQROyvkZyFnUNnYg5PZsgZfC-L8n5MQshEKw</t>
  </si>
  <si>
    <t>GetAccountBalance</t>
  </si>
  <si>
    <t>14i8_M9tTYQnmPA2vP4WK8Gc1mKSw08Q2z6JEQNMQ2jA</t>
  </si>
  <si>
    <t>Expnl</t>
  </si>
  <si>
    <t>RestartExpnl</t>
  </si>
  <si>
    <t>1XudD6Nj0wqCZAKVseYGTPtKQwNCe9E1uqJVw4IlOpus</t>
  </si>
  <si>
    <t>ClosePM</t>
  </si>
  <si>
    <t>EnterStrategyValuesToAllocate</t>
  </si>
  <si>
    <t>1Zsko4640_o83_hPa401AVs4ihF17JntIpyHAOhJZX6E</t>
  </si>
  <si>
    <t>SelectNonTradingTransaction</t>
  </si>
  <si>
    <t>13CpGgA7xAiUMopTzEjt2gG1RljXAXIuKfHjB9r5e5x4</t>
  </si>
  <si>
    <t>SelectNonTradingTranItem</t>
  </si>
  <si>
    <t>1UZ09M0xmOuNjWYpsoghYu3B-9Dp1XeyMl6CRaUgL7PU</t>
  </si>
  <si>
    <t>CopyCalculatedPreferenceToolbar</t>
  </si>
  <si>
    <t>1l11hWn_7rpljZexuNHkg5KleyKXo_4jx1d21BZRdJLg</t>
  </si>
  <si>
    <t>SetGeneralRuleCalculatedPref</t>
  </si>
  <si>
    <t>1R_5SIhO5vmNiNTSvxGDIsDQW7k4dpl_tTORq2eMqTMQ</t>
  </si>
  <si>
    <t>DeleteNonTradingTransaction</t>
  </si>
  <si>
    <t>1BNSpLr6-8xmfOdPhxn_mllvRzgMVOx2ZkRBPRI9o3dM</t>
  </si>
  <si>
    <t>DeleteNonTradingTranItem</t>
  </si>
  <si>
    <t>1YQ4eqVgAhL_mqQU2z2kvxzIhWYpzfuAfnqY561FQoSE</t>
  </si>
  <si>
    <t>ExportAllCalculatedPreferences</t>
  </si>
  <si>
    <t>1McqZVOvpDAyyblkMX74qXcQoiQxkSLybROu-ztjMQIc</t>
  </si>
  <si>
    <t>AddNonTradingTransaction</t>
  </si>
  <si>
    <t>1P841AyLOX69wx-NB44lpyuRlaUGV1cMYqaugaIGxr5Q</t>
  </si>
  <si>
    <t>AddNonTradingTranItem</t>
  </si>
  <si>
    <t>1fEUUuW7bCEL3WiGDSZKRox2hDLlMEtVBUR46151jGvw</t>
  </si>
  <si>
    <t>SaveCalculatedPreferences</t>
  </si>
  <si>
    <t>VerifyOpeningBalanceData</t>
  </si>
  <si>
    <t>1fYqc0dGDB6VLPr77gmUss7eBXhlUYc0GLttj6ffr-Kg</t>
  </si>
  <si>
    <t>SelectOpeningBalanceTransaction</t>
  </si>
  <si>
    <t>1WebIwh6H8t2c0-92bwEKV5DshdjoRQmVPIJVFLHmnls</t>
  </si>
  <si>
    <t>CreateStageOrder</t>
  </si>
  <si>
    <t>19L_mzuhDLQ5wPlLAxlOHp1eRSS4zc0D4J6BOKCagXpw</t>
  </si>
  <si>
    <t>TransferToUserWorkingSubs</t>
  </si>
  <si>
    <t>1SYHCL9X3kLj_YpZgCZTrllmRvVgAsjam3MbM-5vKhuQ</t>
  </si>
  <si>
    <t>CancelWorkingSubs</t>
  </si>
  <si>
    <t>1O_QhVVvq9XcwVG6eOk1KDiQEBXDVkfHIoF5OQ05ChQM</t>
  </si>
  <si>
    <t>ReplaceWorkingSubs</t>
  </si>
  <si>
    <t>1WZoxOuHE4Qt6q835PwLh8-0EnNhekv7piYE-Kd-vnjg</t>
  </si>
  <si>
    <t>UpdateExpnlConfig</t>
  </si>
  <si>
    <t>1V8BI4yfIyQECE1JcMRsApfmTPthAoYudd5HOhx1IeZ4</t>
  </si>
  <si>
    <t>ViewAllocationDetailsWorkingSub</t>
  </si>
  <si>
    <t>1C9lg9oeUsmJEC3FDEmDYEDxYEZ48vhTvBpc_7jzrG-A</t>
  </si>
  <si>
    <t>SelectTradeOnOrderGrid</t>
  </si>
  <si>
    <t>1BjEK9SjmwTVcJQlKgIyoRBoSojE0atclJ6aMY8PF1jE</t>
  </si>
  <si>
    <t>ShowDetailsForAlgoTradeSubOrder</t>
  </si>
  <si>
    <t>1m-tuubYj3kpg3IX2REfAJAcN1l96k6ONTKyiKvxjX2Y</t>
  </si>
  <si>
    <t>SelectTradeOrderBlotter</t>
  </si>
  <si>
    <t>16c7e_rK3O0Zi9I0WlDJ908i_nRkDa4gzAI-9qAWkMGU</t>
  </si>
  <si>
    <t>AddFillsWorkingSubs</t>
  </si>
  <si>
    <t>1NsatpolfnrnOWuJS48_OImvxU5HT7tC5tpa6K_1j4nw</t>
  </si>
  <si>
    <t>EditAddFillsDetails</t>
  </si>
  <si>
    <t>1wzlYzJ1XCTaoLeP4tjkY8-ZhqlYA9IRvRsKXraPyMT4</t>
  </si>
  <si>
    <t>ShowDetailsForAlgoTradeWorkingSubs</t>
  </si>
  <si>
    <t>1uzLHi4CNBx0MyhR8WKVB_6WHQpiBXI6BeN8IK55J1co</t>
  </si>
  <si>
    <t>Closing</t>
  </si>
  <si>
    <t>SwapExpire</t>
  </si>
  <si>
    <t>1Ch8ljdOLO5qpDv9DppYdH0GSLe_dObZX8Z4007tRKtk</t>
  </si>
  <si>
    <t>VerifyWorkingSubs</t>
  </si>
  <si>
    <t>1bWNa-3AC2rjiVCHfnFAnV1_niiebvWSmqy0pa2Y3A1U</t>
  </si>
  <si>
    <t>TransferToUserOrder</t>
  </si>
  <si>
    <t>1P2MumATI6sYkJ-NV9pAkg1QlFtz454tMWNv0omhAY0U</t>
  </si>
  <si>
    <t>CloseCalculatedPreferences</t>
  </si>
  <si>
    <t>CreateReplaceOrder</t>
  </si>
  <si>
    <t>18AeAxxP9aKc0LkOM-a21d3p-tmpinB6dTkwcwxQslJ4</t>
  </si>
  <si>
    <t>EditOrder</t>
  </si>
  <si>
    <t>1Vd5K36QAgnLOt0ytUkYptPSTuOBM4MelFsNL6C-vyXQ</t>
  </si>
  <si>
    <t>SelectTradeSubOrderBlotter</t>
  </si>
  <si>
    <t>1Kn7RmQ6euNcNOy6NDUbPzjJlZhiqP-WxVYqXlDo2C6U</t>
  </si>
  <si>
    <t>VerifyOrder</t>
  </si>
  <si>
    <t>1JPNg6N_aHFo0NZlm39jWJJlz8ViAI_cUwOgfEVMqNZo</t>
  </si>
  <si>
    <t>VerifySubOrder</t>
  </si>
  <si>
    <t>1TafQ5l2I9Hkp5-ghxq8hrHGyq-Oxs6F71aj4qMJyg5c</t>
  </si>
  <si>
    <t>RemoveSelectedOrders</t>
  </si>
  <si>
    <t>1J3iMkZUt2VcZ66ADaKSSINJ5EJabuIdY1zSwd6M45wM</t>
  </si>
  <si>
    <t>CancelAllSelectedSubs</t>
  </si>
  <si>
    <t>179OBcD6MtBcn4KEI2yimM-WbOG9HdQPq_M4QYKWxCWE</t>
  </si>
  <si>
    <t>MultiTradingTicket</t>
  </si>
  <si>
    <t>13Mz382SvngJftLB83NIojgoFXnAjqYRnP5Vbj9lh-rA</t>
  </si>
  <si>
    <t>AuditTrailOrderBlotter</t>
  </si>
  <si>
    <t>1IuRqDm9SdGbwaATc_E-eFeQdhAmE2zhtBB3igLL_Md4</t>
  </si>
  <si>
    <t>TradeNewSubOrder</t>
  </si>
  <si>
    <t>1UHeoJyRun4tW18yAwGHn5G5F3bVCz5YfTdVoKPsPhio</t>
  </si>
  <si>
    <t>RemoveStageOrder</t>
  </si>
  <si>
    <t>19q7R-0jpTlv8r84XWOTVvpxM4KAqBUjmWW6bBepm980</t>
  </si>
  <si>
    <t>SetGeneralPreference</t>
  </si>
  <si>
    <t>1_gksmHNJnLr9h_WVPZU3z30gw7YXBg5xb6ekKca50wE</t>
  </si>
  <si>
    <t>ExportCalculatedPreference</t>
  </si>
  <si>
    <t>12SdpCUJEukku3_4FXm4sTQG2YnlN1FabyPasyveh6Dw</t>
  </si>
  <si>
    <t>SelectOpeningBalanceTranItem</t>
  </si>
  <si>
    <t>1V0qkYxwmCcH2Rlv3ntrESGxjt8CqDUtCWLpF5NLEkms</t>
  </si>
  <si>
    <t>EODTPreferences</t>
  </si>
  <si>
    <t>1C2CqSypfxVefrec-UaZokCKMFMAIxUNiNEksS0cQC9U</t>
  </si>
  <si>
    <t>LiveData</t>
  </si>
  <si>
    <t>1qTWgd0vjJZEbzPL7hyO9Ya7BIHhBEh6QZh1zrIXWpQU</t>
  </si>
  <si>
    <t>EditNonTradingTransaction</t>
  </si>
  <si>
    <t>1WmisSfIxG2dETBBICN9Eopb2Zv5RAlXVeuJrc4fJW4g</t>
  </si>
  <si>
    <t>EditNonTradingTranItem</t>
  </si>
  <si>
    <t>1e5H-E0bLrEbyATTG2-Q8bJEJjiq7I3m-fVl6pCGecHY</t>
  </si>
  <si>
    <t>DeleteOpeningBalanceTransaction</t>
  </si>
  <si>
    <t>1MvfhsW88dxVl3ZUBRUYKI_kaV1VM3uvoAiEBGKh80jc</t>
  </si>
  <si>
    <t>DeleteOpeningBalanceTranItem</t>
  </si>
  <si>
    <t>11WwR-OgN8B5mzAatud8VLIETSaP2cgH0N18z_22aKgM</t>
  </si>
  <si>
    <t>ImportCalculatedPreferences</t>
  </si>
  <si>
    <t>12i9wrB43t1Z92_jmrsnfeEq7d6hFZLuijrf1vuyfCko</t>
  </si>
  <si>
    <t>GetDayEndCash</t>
  </si>
  <si>
    <t>1s50OqXSYiKWrnT8nYaGDzYThTJTAHIyFoV9ohpgHPgY</t>
  </si>
  <si>
    <t>VerifyDayEndCash</t>
  </si>
  <si>
    <t>1s_0rGgUmKN57rRoq55juTGojQ5Fitk0m-U_OTDoirHA</t>
  </si>
  <si>
    <t>OpenAuditTrailUnallocatedGroup</t>
  </si>
  <si>
    <t>1ZIhvRGHTU76uT9xqOXXJRFi1H1sbFljHmLeOicgscVU</t>
  </si>
  <si>
    <t>DeleteCalculatedPreferencesTool</t>
  </si>
  <si>
    <t>1dFC-TZzOuqwhb_lRy1ppdZVR5YELDGJURNyboYEsnco</t>
  </si>
  <si>
    <t>ImportCalculatedPreferencesTool</t>
  </si>
  <si>
    <t>1rWzqQSM4eQ-4N76g_1QP-9cfgPs0Z0ZIXVExsfMleuM</t>
  </si>
  <si>
    <t>RunRevaluation</t>
  </si>
  <si>
    <t>1TDDqb6Jok6OvWUFmx4I0wMt8-yhtBiM7TnVQKCoYxTA</t>
  </si>
  <si>
    <t>CalculateDayEndCash</t>
  </si>
  <si>
    <t>ExportAllCalculatedPreferTool</t>
  </si>
  <si>
    <t>1T2Ras3k5fDjACI972XeavE_8pgs6THSrI1HhB1ye48s</t>
  </si>
  <si>
    <t>OpenAuditTrailAllocatedGroup</t>
  </si>
  <si>
    <t>1YcVp-kfCDUoegdhsKsCe_PMzE3_cIy1wejc4JCzTgEw</t>
  </si>
  <si>
    <t>OpenSymbolLookupUnallocateGroup</t>
  </si>
  <si>
    <t>1PzyY_nfLYU66GT9Elm7rbepVT4M0Aao_ExWURbHlXso</t>
  </si>
  <si>
    <t>OpenSymbolLookupAllocatedGroup</t>
  </si>
  <si>
    <t>1Z_dQvfdgkluFyhKo149XBcbe0Kth-fg0fOFf4_u2E-4</t>
  </si>
  <si>
    <t>DeleteFixedPreference</t>
  </si>
  <si>
    <t>1RZplEfcQQUVd1Ggv65V_0dKqsLpnMuOaVEaLnQ7ckpE</t>
  </si>
  <si>
    <t>TransferToUserSubOrder</t>
  </si>
  <si>
    <t>1_ZLPKYyCpcCv90izwkS7MZMbhNEXzuAQiOx8npro20g</t>
  </si>
  <si>
    <t>DetailsForAlgoTradeOrder</t>
  </si>
  <si>
    <t>1AS722xjcIKYd_PpocpO2JLwR2JMqFfBPkVK39Q2XMxE</t>
  </si>
  <si>
    <t>AddFillsSubOrder</t>
  </si>
  <si>
    <t>1r-tyec_fx-pIqzGddgSbcLuJdAU-B20ZTaGzahpBV2w</t>
  </si>
  <si>
    <t>ViewAllocationDetailsSubOrder</t>
  </si>
  <si>
    <t>1PRG5_5qrohtjUlpAk-DjC1B6M75OdF99hA2vEgdD_Uw</t>
  </si>
  <si>
    <t>GetCashTransaction</t>
  </si>
  <si>
    <t>1U9O1ZNQe03mFGPQ67ySm3ZLNJbWXRqnbI-8ZV30Jyz4</t>
  </si>
  <si>
    <t>SelectCashTransaction</t>
  </si>
  <si>
    <t>157yMc4dFxYWky5rc3_ip4Q-PBeeptVpZvBUznJzbfjE</t>
  </si>
  <si>
    <t>DeleteCashTransaction</t>
  </si>
  <si>
    <t>1qeXbjcZPeClkYAwZmHJs2rG7V0JsRRg6mw5SmjAQHTE</t>
  </si>
  <si>
    <t>EditCashTransaction</t>
  </si>
  <si>
    <t>1lMHtKGRo9R39-rGVJg8v2Vp15-3oz56OtDPZn55yAvA</t>
  </si>
  <si>
    <t>AddCashTransaction</t>
  </si>
  <si>
    <t>1_UOfRF0S9c4jZDCW6MVXmTaalhrK1N7Qp-p7qITvrb4</t>
  </si>
  <si>
    <t>EditAllocatedGroupSidePanel</t>
  </si>
  <si>
    <t>1hHq4PASBEElrCZSeU0tjApkvEqoqk_kzbqRw1XNza9I</t>
  </si>
  <si>
    <t>GetMarkPriceData</t>
  </si>
  <si>
    <t>1pHb0k1fYZKumDsM-GMxxgG_-LpX7T8zxKSXMXqWTh3o</t>
  </si>
  <si>
    <t>GetForwardPoints</t>
  </si>
  <si>
    <t>12tr3nHtXwkFq8bzK-zX9KhfXrHqVcRxmWSgThepFUAU</t>
  </si>
  <si>
    <t>UpdateForwardPoints</t>
  </si>
  <si>
    <t>1cbxy6VdPjCKlq1CYH-5uKvOCKpxB1FDLj3t8SOJ-Lic</t>
  </si>
  <si>
    <t>GetForexConversion</t>
  </si>
  <si>
    <t>1VwGGAbs40-P3TWEPuxpd84Kd482ffeBen_bvUeH5XLs</t>
  </si>
  <si>
    <t>DeleteNAV</t>
  </si>
  <si>
    <t>1ZXcPQzGoPQ5lCt0SIdxE4Wn22XxZZBrghVN8TQa_PA8</t>
  </si>
  <si>
    <t>CheckUnallocatedGroups</t>
  </si>
  <si>
    <t>1pfMfohF1Z5TFRSXZGi_8kDUwu6rKdB84lDXAsFAROuo</t>
  </si>
  <si>
    <t>GetDailyCash</t>
  </si>
  <si>
    <t>1RWrzEP7tKvSTkC1z87RsjU_EZslvD2btXJuTWRIwRLU</t>
  </si>
  <si>
    <t>SetGeneralPreferences</t>
  </si>
  <si>
    <t>1ch-af2kKdJm7_QNV7VeJuxk-LrNEXnkjKpb6t0Dug3c</t>
  </si>
  <si>
    <t>GetDailyBeta</t>
  </si>
  <si>
    <t>1wWqxRP1qZT537GjecxDT1YzzgNpudY5jHpZOp2gu3Ys</t>
  </si>
  <si>
    <t>GetDailyVolatility</t>
  </si>
  <si>
    <t>1VkaV63Kp_-m9xakgvN4nwjFQliVbH-uDTupRnx4k5U0</t>
  </si>
  <si>
    <t>GetDailyDividendYield</t>
  </si>
  <si>
    <t>1yDZte754Sm0fLUnothHlWsZVXFoWOOh4q4YiAbmaN6A</t>
  </si>
  <si>
    <t>GetDailyTradingVolume</t>
  </si>
  <si>
    <t>1CcDYZea7aWB5x3R1FD5XPCk14XdXJmtBfwMqrKIo5P8</t>
  </si>
  <si>
    <t>GetDailyOutstandings</t>
  </si>
  <si>
    <t>1IiJr_OFZwBuXGoSVJLT-iESeCoaaWmoNTh6qdlxCYp8</t>
  </si>
  <si>
    <t>GroupTrades</t>
  </si>
  <si>
    <t>1U2asF2q2-aZLq6UJkzTZA2eUVbNqPzpMApCuwatTcT8</t>
  </si>
  <si>
    <t>UngroupTrades</t>
  </si>
  <si>
    <t>1azHuhW2QGS0U6YxkL00Txr4JY62dACA7LLHadkRZziQ</t>
  </si>
  <si>
    <t>DeleteGroup</t>
  </si>
  <si>
    <t>1V8imeRfJQChz23ycPrmDDSrmAMiwTobLSV9OD1bH-ME</t>
  </si>
  <si>
    <t>CloseOrder</t>
  </si>
  <si>
    <t>18PQbi1ps1nA6V6t9zvfGRiJCtqCe0Uh1GTuATjDjRFU</t>
  </si>
  <si>
    <t>Unallocate</t>
  </si>
  <si>
    <t>1ygZhQ5BPNveZ0IXpSzWUoJb1-CWbPI5yquJ9p2XgS_A</t>
  </si>
  <si>
    <t>GetDailyDelta</t>
  </si>
  <si>
    <t>1t6rdR9qbfOeXuejoH6-sBwI1bEWh_0AoKUHuMjTKafo</t>
  </si>
  <si>
    <t>UpdateDailyVolatility</t>
  </si>
  <si>
    <t>1xOQEqNJ31jaKfw8cBs7M5YCMT7FCefB_iA4lkNg82js</t>
  </si>
  <si>
    <t>AddOpeningBalanceTransaction</t>
  </si>
  <si>
    <t>1JROeUyPo81jRm3vqYwqsMl1H0kBJhkmxJV8gZyip19Q</t>
  </si>
  <si>
    <t>AddOpeningBalanceTranItem</t>
  </si>
  <si>
    <t>12owFpcC343n8bWFq_cmWVlxZQTmpEiqxbdSc8TdfgEw</t>
  </si>
  <si>
    <t>CancelAllSubs</t>
  </si>
  <si>
    <t>1sDEuT-X92-7VkSoQJG80zx85OLZfb4OJklyeYXjn00w</t>
  </si>
  <si>
    <t>CancelSubOrder</t>
  </si>
  <si>
    <t>1g_US2vYcZyFbH88JB_z0oKsrXpyeYv1qZRWzpU4UgoM</t>
  </si>
  <si>
    <t>EditStageOrder</t>
  </si>
  <si>
    <t>11epgwU0jWDfsHzxAEUws_p-DkKq5wLTVrJRQztotJjU</t>
  </si>
  <si>
    <t>ReplaceSubOrder</t>
  </si>
  <si>
    <t>19tR0THpqi92bFoT67A4MgCZbfdZtGuYVK1wFx1a6hwo</t>
  </si>
  <si>
    <t>SelectTradeWorkingSubsBlotter</t>
  </si>
  <si>
    <t>1u7slY1ab8D2XeXM53lB7bN6QKwuw3IYd0Uezr9zLB70</t>
  </si>
  <si>
    <t>VerifyAlgoDetails</t>
  </si>
  <si>
    <t>1l5zTPCkdGLabcDuCPPiDIGH_EGN_2xuth7vkyyaCe9E</t>
  </si>
  <si>
    <t>VerifyTransferToUserOrder</t>
  </si>
  <si>
    <t>1NMIbm0wDsBqrDHS0Aoctj5TYT8IIncVXBEr7jRlTKX8</t>
  </si>
  <si>
    <t>VerifyTransferToUserSubOdr</t>
  </si>
  <si>
    <t>1x3CBu_5bjY_MnaanR3C8FZLu7-9IkDv52367LRcP7lY</t>
  </si>
  <si>
    <t>VerifyTransferToUserWorkSub</t>
  </si>
  <si>
    <t>1moqW_Avii95AiWD080nTWw5DOlaf1npl8FoxJYdN1CQ</t>
  </si>
  <si>
    <t>SaveLayoutOrderGrid</t>
  </si>
  <si>
    <t>1f-tHMdwxYv41Vtbgl8usVHR6_T_uXK9iU0Jvj6byf54</t>
  </si>
  <si>
    <t>UpdateDividendYield</t>
  </si>
  <si>
    <t>1v7x__YSHVrzfUigPB6cJL0n6H5tfL-dG0jQDSNwK77w</t>
  </si>
  <si>
    <t>UpdateTradingVolume</t>
  </si>
  <si>
    <t>1C_WPdfJ5Y6XiI6PQIaQC_kYRA1cyB4pILSmTaQXBjt4</t>
  </si>
  <si>
    <t>UpdateDailyDelta</t>
  </si>
  <si>
    <t>1W8cpbOsbEL0O66_8nq5ID6snA8EoJQojgueScqnJeds</t>
  </si>
  <si>
    <t>UpdateDailyOutstandings</t>
  </si>
  <si>
    <t>1S-1Yd6wHzPfXlddWYHNVJ59ndiC9mBcoDpJ24XG_wEs</t>
  </si>
  <si>
    <t>GetDataClosing</t>
  </si>
  <si>
    <t>1_NT03sUSvuLe4_tGLyzUnjVgc0h0wP1QyFRqz5J0AQs</t>
  </si>
  <si>
    <t>ManualClosing</t>
  </si>
  <si>
    <t>1NsF8mN2Zlx2L1ZUQo3cwyNVoYdFbhQ1U5KK4lQjqyj8</t>
  </si>
  <si>
    <t>AutomaticClosing</t>
  </si>
  <si>
    <t>1TAvTYpcE3pQc_4LWO3rdsALNXiihqGoq5C7VuUqnyGI</t>
  </si>
  <si>
    <t>UnwindClosing</t>
  </si>
  <si>
    <t>1n5b-erBJJNMUcxydpftL5PGG7ARm-uGjDncl8Qx2sLo</t>
  </si>
  <si>
    <t>VerifyClosedTrades</t>
  </si>
  <si>
    <t>1oZ2JeM-TEXzpPQK7aQoL3fUJwhe037lPXwowIAhJJXM</t>
  </si>
  <si>
    <t>VerifyLongPositionsGrid</t>
  </si>
  <si>
    <t>1n66-ge1M-RYaB4fzMAeKVE4b9J93Ec6FE8prEnrbrUY</t>
  </si>
  <si>
    <t>VerifyShortPositionsGrid</t>
  </si>
  <si>
    <t>147WeBw6VRRHCzDjjEVkUG93H71mx9_6u7JDqSzExZfQ</t>
  </si>
  <si>
    <t>SelectTradeUnexpiredUnsettled</t>
  </si>
  <si>
    <t>1FObt5ouO_Fd-1C35ZJOB1hwrDeISMD1uqyNw6Muc52E</t>
  </si>
  <si>
    <t>CashSettlementAtCost</t>
  </si>
  <si>
    <t>1awz_EN5JaDo7-X8Cf7oYlxG4f8ZrsYEG1oL1QBkQb8o</t>
  </si>
  <si>
    <t>CashSettlementAtZeroPrice</t>
  </si>
  <si>
    <t>1txP1PJigV4vdVbKFMO3GMi5BhiLWeUOneGt9yA7DphY</t>
  </si>
  <si>
    <t>CashSettlementAtClosingDtSpotPx</t>
  </si>
  <si>
    <t>1if6Ixw7Wo72s71jewq4kGd3bUrRBHD3uxb6oVEU8m4M</t>
  </si>
  <si>
    <t>PhysicalSettlement</t>
  </si>
  <si>
    <t>1j0_OFQL6cAngAn_f8e2c9s48kIx6T1DMB1HtKzhVgxM</t>
  </si>
  <si>
    <t>Expire</t>
  </si>
  <si>
    <t>1uTXnR3b0dBBJ12poieg819Sw5X7A31DAefoPTF8HvS8</t>
  </si>
  <si>
    <t>ExerciseAssignment</t>
  </si>
  <si>
    <t>1bA6aaAVKiSAEQCN3NhxCUAsXZXF9JFxOfu0VhfUugtE</t>
  </si>
  <si>
    <t>ExerciseAssignmentAtZero</t>
  </si>
  <si>
    <t>1kqk3qr2A_0HgAfwasm4ONZYUjKRgUd9wRoNg3NH_CQs</t>
  </si>
  <si>
    <t>SwapExpireAndRollover</t>
  </si>
  <si>
    <t>1ZgJYe9feHH1JnnrqSkw7W1JoIKEcT_NnlnQtzP0MXSc</t>
  </si>
  <si>
    <t>VerifyExpiredSettledGrid</t>
  </si>
  <si>
    <t>1Y7iTcrm1lcqAexGSYgLsLlCOYw223ra4LBG0yn-I2bY</t>
  </si>
  <si>
    <t>VerifyUnExpiredUnSettledGrid</t>
  </si>
  <si>
    <t>1L2S89q_MaWf4uZDOO7k9zl1iHulikAZk9KJ78CUobIc</t>
  </si>
  <si>
    <t>UnWindTradeSettlement</t>
  </si>
  <si>
    <t>1r8av4OWUDi-9UDzyWe0DRs-rlCS90W4iepyl32hgsu0</t>
  </si>
  <si>
    <t>1L4oOTgickdBKDs0CYP74xqSVxT5XAemsQon_0M_wIY4</t>
  </si>
  <si>
    <t>VerifyCloseOrder</t>
  </si>
  <si>
    <t>1wVhrU78CBgt-9aXoQMxmex2szYfOWevs1reuZQwcSlU</t>
  </si>
  <si>
    <t>UnWindCloseOrder</t>
  </si>
  <si>
    <t>1h8Riwp0PTUKBHWNb4d5NQ9Foe2ig0mS3tu7vxq74C6A</t>
  </si>
  <si>
    <t>ClosingCleanUp</t>
  </si>
  <si>
    <t>1_1ie9PGDigjyhcBrTgIzPawnFkZMYxHtKWtsPu9B_3c</t>
  </si>
  <si>
    <t>CloseClosingUI</t>
  </si>
  <si>
    <t>1KiRs-Mdk_DhlHcSNlHArhVLFJzMKzKu1kat_TZ71jkQ</t>
  </si>
  <si>
    <t>GetDailyCalculationsData</t>
  </si>
  <si>
    <t>1pIJnQCXHxy82ZF8KgUVRHcagp8aZHkkagJfnU-cLYRo</t>
  </si>
  <si>
    <t>CalculateDailyCalculations</t>
  </si>
  <si>
    <t>EditOpeningBalanceTransaction</t>
  </si>
  <si>
    <t>1wqhiyeuGFjr-d-douLAdeAoIl9zOMj0hG7J2an8e7EA</t>
  </si>
  <si>
    <t>EditOpeningBalanceTranItem</t>
  </si>
  <si>
    <t>1yTjsXnh8twOBshtRTYPboRkkXpXN8T2vC7KUsimL2Ec</t>
  </si>
  <si>
    <t>UpdateNAV</t>
  </si>
  <si>
    <t>13mmaXGk97gVSQ6zDXJnzFolB9Xj-Wrq5OulWkf9iQjA</t>
  </si>
  <si>
    <t>VerifyDailyCalTransactions</t>
  </si>
  <si>
    <t>10wpUsik3kWUK9FdBcY3wa_rIK92CGwBAPxPW94n8RI0</t>
  </si>
  <si>
    <t>UpdateDailyCreditLimt</t>
  </si>
  <si>
    <t>1WMfqGkZABhjGZzyIgr3hBp-ZTraQiBbIVqdAP3KAOGo</t>
  </si>
  <si>
    <t>RemoveDailyCreditLimit</t>
  </si>
  <si>
    <t>1PWZIcowZzyQZ43yBopMfNLylAaq2RlmTxS0-Y7SK0KI</t>
  </si>
  <si>
    <t>RemoveDailyCash</t>
  </si>
  <si>
    <t>1K-Bl5yG-Q_sgro0guK9BOk2wSxZk_7rHH7Lj7Qp_H2U</t>
  </si>
  <si>
    <t>RemoveNAV</t>
  </si>
  <si>
    <t>1iKNzN1CKH1HHjrGq7o2kZo9f76Pk7b7qYuTxqOHQZzE</t>
  </si>
  <si>
    <t>FilterPM</t>
  </si>
  <si>
    <t>1lo4DMzd6cjmA4-4d7dLNuKsGBW61BpeW2eCf7oK-9og</t>
  </si>
  <si>
    <t>GroupRowPM</t>
  </si>
  <si>
    <t>1pgA3lsv5kfGNh9RHELfgbcW6XvdfbOLjdTg2dR5EYAU</t>
  </si>
  <si>
    <t>CloseAllocation</t>
  </si>
  <si>
    <t>CheckDashboardWithPM</t>
  </si>
  <si>
    <t>RemoveFilterPM</t>
  </si>
  <si>
    <t>CheckSummaryRowsPM</t>
  </si>
  <si>
    <t>18xKZpSz1Db7JKLK-skQuvwxZf_NdSC71Y9j-EFPSnbQ</t>
  </si>
  <si>
    <t>CloseGeneralLedger</t>
  </si>
  <si>
    <t>ReplaceStageOrder</t>
  </si>
  <si>
    <t>1-oDkMaOdHN8EaXZIPTt5fr6PNuottX0kRXE8vmlhi0M</t>
  </si>
  <si>
    <t>VerifyAccountDetails</t>
  </si>
  <si>
    <t>11lQbu7XGSf0C5u04fqQXzcjWfa8v7VnskbBQpcCwy_o</t>
  </si>
  <si>
    <t>CreateNewSubOrder</t>
  </si>
  <si>
    <t>1RZrP677SP63N91bZw2_Jkjen0Emt_iknfC5GljLySfA</t>
  </si>
  <si>
    <t>AddNewTransaction</t>
  </si>
  <si>
    <t>1MnHnb-l2FXZIx21V59Pn6jwBL3jngTBLnGBTJFgQ-Ac</t>
  </si>
  <si>
    <t>TradeBloomberg</t>
  </si>
  <si>
    <t>1igxH2dPQGq9u7PuOMV2GHwxFfHVL1KzVtINO6ZbdDOk</t>
  </si>
  <si>
    <t>ClickSymbolLookup</t>
  </si>
  <si>
    <t>1_Bm_U_dCrJ0O95Ye84SVu3C35Bm-_zVESf68LNiMCZg</t>
  </si>
  <si>
    <t>PricingServer</t>
  </si>
  <si>
    <t>RestartPricingServer</t>
  </si>
  <si>
    <t>1k3a_zG703e90jYbfBz_iHma7miT_nDAo2-jitint-XA</t>
  </si>
  <si>
    <t>TradeServer</t>
  </si>
  <si>
    <t>RestartServer</t>
  </si>
  <si>
    <t>1MfgZTAXl6-DPer9VdHbo42n6sPuMFimLowm4iDrtYBI</t>
  </si>
  <si>
    <t>PranaClient</t>
  </si>
  <si>
    <t>RestartClient</t>
  </si>
  <si>
    <t>1TkGJ89cY994clB-HD-UJNYqO5eDGSgcM1fC_LiASQLE</t>
  </si>
  <si>
    <t>PTT</t>
  </si>
  <si>
    <t>CalculatePTT</t>
  </si>
  <si>
    <t>1yHP4_99wm3NtNEt8v0-IjBSsqD_IeK0TrVbe411pPPY</t>
  </si>
  <si>
    <t>TradeUsingPTT</t>
  </si>
  <si>
    <t>1824j5jyCdsYtwCFE1rcBhAGlXsh5bjIsayUXkGUuMpA</t>
  </si>
  <si>
    <t>VerifyPTTCompliance</t>
  </si>
  <si>
    <t>1yei-AbmUpfNZz4VT2JbIDaKDIJzO7hZwvaUFib1oTyU</t>
  </si>
  <si>
    <t>StageOrderUsingPTT</t>
  </si>
  <si>
    <t>1u1w8ItMzM1YYZrH2R4RqLkUrIog6pmIGeXUsy-3e_ZA</t>
  </si>
  <si>
    <t>CreateOrderPTT</t>
  </si>
  <si>
    <t>1EbdeLHTIKN4RoLAyfGnlPPL3QVcvg2-CXPpGl0RGN44</t>
  </si>
  <si>
    <t>TradePTT</t>
  </si>
  <si>
    <t>1pJFZ4nCBnJDUZQAqiaY6J68G36x1oN7JuKzRtRA-0zc</t>
  </si>
  <si>
    <t>VerifyPTT</t>
  </si>
  <si>
    <t>1_DLMzeonBUhfhJl5AJqMD8mt1Z4T5mgBI7fF7cbQFWs</t>
  </si>
  <si>
    <t>OpenPTTFromPM</t>
  </si>
  <si>
    <t>1GRj9e94k8ieHylVePoJ-nbC4owLOnPd7BKuaFvCouaI</t>
  </si>
  <si>
    <t>OpenMultiTTFromPTT</t>
  </si>
  <si>
    <t>1e52wyc2ELTM7QWL7k_ZT3-JQQ8Kf4qrLMW0R_fjW7Qc</t>
  </si>
  <si>
    <t>SelectMultiTT</t>
  </si>
  <si>
    <t>1kwb8DPg_4i30YSR_tr8LD3r1jIWVTgBzMVprGkITggA</t>
  </si>
  <si>
    <t>EditMultiTT</t>
  </si>
  <si>
    <t>1wbgmqX9Wp9SZWfRgJAummbN_5spSjp-tG3G1lreoQKk</t>
  </si>
  <si>
    <t>EditTradeUsingMTT</t>
  </si>
  <si>
    <t>1FQlM2ubifDakZ2t9YEosDOTBdf06YZcr9_nTRuQDt2Q</t>
  </si>
  <si>
    <t>SelectTradeUsingMTT</t>
  </si>
  <si>
    <t>1iacfEsOlPHPGZ6nQjKZ7USkjh5EdozTXI9wUlBmEE4k</t>
  </si>
  <si>
    <t>GetPriceUsingMTT</t>
  </si>
  <si>
    <t>13sqL2ynaexfP9lWe37uE-qHPdf1jgMi_dGKwnz6usMQ</t>
  </si>
  <si>
    <t>DoneAwayUsingMTT</t>
  </si>
  <si>
    <t>1X_Cc-k1Zsfie7xcaz_9nQ2vWDlJ47gL_5qoTESaishI</t>
  </si>
  <si>
    <t>SendOrderUsingMTT</t>
  </si>
  <si>
    <t>1ZvOomDY73mDwy_2FkmlYUkc7eFVBtku_M6XrhU6zAMQ</t>
  </si>
  <si>
    <t>UpdateGRAccountValue</t>
  </si>
  <si>
    <t>1lFz3FRcCczoccbDWuOrmoeTNI3Wt72tV40C0B_Fdulo</t>
  </si>
  <si>
    <t>BulkChangeTradeDoneAway</t>
  </si>
  <si>
    <t>1vJUuWNjZCta9Nc4XEHCHO5jwABRogxaKkvSksrCc1y4</t>
  </si>
  <si>
    <t>UpdateGRStrategyValue</t>
  </si>
  <si>
    <t>1AMJDRnPPFGSypYHzJlk3Nkh0AERQpMOKwpNzmwWYf3k</t>
  </si>
  <si>
    <t>UpdateGRDefaultRule</t>
  </si>
  <si>
    <t>1x73ZveKV63dLEGp1JA9RvvtDZiF2PeXvK6rEa4ECUUg</t>
  </si>
  <si>
    <t>UpdateGeneralRulePref</t>
  </si>
  <si>
    <t>MultiTradingTicketFromBlotter</t>
  </si>
  <si>
    <t>19n2Z-CCAzNZctQndnPqhAilz4AHqd4Hew_NupZSf3AA</t>
  </si>
  <si>
    <t>DeleteClientData</t>
  </si>
  <si>
    <t>1Lz82jeHUZGtvibY9vO7baLqlJAO5OFAL6yO4JpHFkAo</t>
  </si>
  <si>
    <t>ModifyGRPreferenceValues</t>
  </si>
  <si>
    <t>1POjj1zjXLEqeN6JF24QjN0-KOauAggBwl69xOVrb_Mc</t>
  </si>
  <si>
    <t>AddMFPreferences</t>
  </si>
  <si>
    <t>1AksWVHEmnBxwC-L3YrZrbvNzH0SfJRQe4Dy7NrKt6qU</t>
  </si>
  <si>
    <t>AddMFPreferenceToolbar</t>
  </si>
  <si>
    <t>1s4ugOdWq4GlEglv4uvOceAxijOR8vwwy9sfLCQSJsPI</t>
  </si>
  <si>
    <t>DeleteMFPreferences</t>
  </si>
  <si>
    <t>1kF8Cp9ixfKWT-O7A_ykr8O24ot4jIuMf7Cny33fw3tE</t>
  </si>
  <si>
    <t>DeleteMFPreferenceToolbar</t>
  </si>
  <si>
    <t>1CgwWCnwId8fIOzVPEbCjbP0EmIDkblROsvVu3kqYqG8</t>
  </si>
  <si>
    <t>RenameMFPreferences</t>
  </si>
  <si>
    <t>1LgeTTI9drsJb1V9MtKWU3N5XU-_UpbynXkgneV6bnSU</t>
  </si>
  <si>
    <t>SaveCloseMFPreference</t>
  </si>
  <si>
    <t>SetMFPrefAccountValues</t>
  </si>
  <si>
    <t>1ICA8c_OKdesVMDcE_s1raBD2JqcZdspbl-jQG5DX7vA</t>
  </si>
  <si>
    <t>ModifyMFPrefGeneralRuleValues</t>
  </si>
  <si>
    <t>SetMFPrefStrategyValues</t>
  </si>
  <si>
    <t>1Nend9TmgX0Jkh8tsL--LHqNCMB0QE7KGu0lM4MrvJx8</t>
  </si>
  <si>
    <t>SetMFPrefGeneralRule</t>
  </si>
  <si>
    <t>1OkFtbYrIDPpC3pMP--6KPjkSbZDpo31jp348DsVbjWk</t>
  </si>
  <si>
    <t>SetMFPrefFundDistribution</t>
  </si>
  <si>
    <t>1sNOuaTOrp-Ppia2ZUARA48WLB5S-7ja2Q0cjsdZu1cc</t>
  </si>
  <si>
    <t>SetMFPreferencesDefaultRule</t>
  </si>
  <si>
    <t>1SseU888nr5JryggSHE9VBdTiZug_v-cOJmjdm-vO3sQ</t>
  </si>
  <si>
    <t>SetMFPrefFundDefaultRule</t>
  </si>
  <si>
    <t>1HfizE5szbvAqgcrnlAlRZlGwJnDpLifnRSpo_rNHclE</t>
  </si>
  <si>
    <t>SetAccountFactor</t>
  </si>
  <si>
    <t>18dn1sQFfRDKOAHwu3DueV8YA7DVB7FDzA7y_am44ADk</t>
  </si>
  <si>
    <t>ClearPrefetchFilters</t>
  </si>
  <si>
    <t>ExpandCollapseAllUnallocated</t>
  </si>
  <si>
    <t>1ochAcIa6jxqrTKXkyAIMtaQp8GfBZfq8KAPLV0y7yvU</t>
  </si>
  <si>
    <t>ExpandCollapseAllAllocated</t>
  </si>
  <si>
    <t>1PUqbTX2rRI0cNPNL7NJ1fKh-Jy0Q9mQVBO0nXiQtUlc</t>
  </si>
  <si>
    <t>GenerateCashTransaction</t>
  </si>
  <si>
    <t>1XFWL8Sv_tc7--6q-PVtJAyjWEb-HcxsbKKtSdB3jRJY</t>
  </si>
  <si>
    <t>SaveAllocation</t>
  </si>
  <si>
    <t>UnallocateWithOutSave</t>
  </si>
  <si>
    <t>1rdEWSy_MOHkYaq5akux-7N0yuwWEIIprojEJYWvhiRo</t>
  </si>
  <si>
    <t>UpdateServerConfig</t>
  </si>
  <si>
    <t>1h5l007iy5WesxdhwZzCT3YK9aNRB6rnqf82fKK-qWhA</t>
  </si>
  <si>
    <t>UpdatePricingConfig</t>
  </si>
  <si>
    <t>1ixTeJ65ywBUTH41BRto926xFAKoLo3WSj5TxpKyxMCI</t>
  </si>
  <si>
    <t>UpdateClientConfig</t>
  </si>
  <si>
    <t>1LE8gxOzR6SvbLuSropjBzTYDDoubnt2wbweARCuf3LU</t>
  </si>
  <si>
    <t>OpenClosingFromPM</t>
  </si>
  <si>
    <t>OpenCorporateActionFromPM</t>
  </si>
  <si>
    <t>OpenDailyValuationFromPM</t>
  </si>
  <si>
    <t>ClosePositionFromPM</t>
  </si>
  <si>
    <t>121YPApuObrizJgYF5sgfQP5hMExkoSYkCPrW-Ew_ldk</t>
  </si>
  <si>
    <t>ShowSummaryToolFromPM</t>
  </si>
  <si>
    <t>HideSummaryToolFromPM</t>
  </si>
  <si>
    <t>CloseAccountPositionFromPM</t>
  </si>
  <si>
    <t>10LRFkXyhAzpYLr41wTB8e5wmi1IZIGFBMZPeDp64XK0</t>
  </si>
  <si>
    <t>CloseSelectedTaxlotsFromPM</t>
  </si>
  <si>
    <t>1vJSNFM5zkHc9zBvl1ymJquJpvovmW3E_RSN3pozpWns</t>
  </si>
  <si>
    <t>ExpandCollapsePM</t>
  </si>
  <si>
    <t>1kNeqOSQLa6o8vkFZaArRKZabtB_GXZBV_Al1s8DHf50</t>
  </si>
  <si>
    <t>AddCustomViewPM</t>
  </si>
  <si>
    <t>1WARVnQ0kPZNSKX8kRaPiqFQVReKwU7ReLEjyOvwThEk</t>
  </si>
  <si>
    <t>AddCustomViewRightClickPM</t>
  </si>
  <si>
    <t>1221yqGeEHt8OWBppipf5Q2xZ7hMYHBO7XKQ1Hp4-_1k</t>
  </si>
  <si>
    <t>RenameCustomViewPM</t>
  </si>
  <si>
    <t>1saPHdgxC5QXYmLAufIbglxhQ01_MTtBMgX000SwjhFY</t>
  </si>
  <si>
    <t>DeleteCustomViewPM</t>
  </si>
  <si>
    <t>1_EYKIDrS0AWuMJMgbTbeqmEwSkf7_gL_EAGl7D2-Ggk</t>
  </si>
  <si>
    <t>SetClosingPreference</t>
  </si>
  <si>
    <t>1cplMQV_xOYFJ8djnU96c9xg2GdJ6on6353kFnCvM4ig</t>
  </si>
  <si>
    <t>SaveTransaction</t>
  </si>
  <si>
    <t>EditUnallocatedGrid</t>
  </si>
  <si>
    <t>1ZILedE8lKyjaVDMMusXelzpLvtoQCjqNJqFoXOUTp4I</t>
  </si>
  <si>
    <t>EditAllocatedGrid</t>
  </si>
  <si>
    <t>19QWlDxD5eijFqhVbgkdX7QOLXkQ9taESRekiHpQgMcU</t>
  </si>
  <si>
    <t>SetPTTPreference</t>
  </si>
  <si>
    <t>1Baqp1iuVr1x4qDwfwIaTJvW6VzT4ZWfbjwZ_EWPzpzY</t>
  </si>
  <si>
    <t>SetLongShortPTTPreference</t>
  </si>
  <si>
    <t>1_lCMnn8iZS0bQEHszxmzf23ats0dIWEEckwO9fjPCeE</t>
  </si>
  <si>
    <t>VerifyTT</t>
  </si>
  <si>
    <t>13oTZo0AjsgJNWyNhqVmwouwYywOEGfdiPe94wMNxXqo</t>
  </si>
  <si>
    <t>SaveLayoutAllocatedGrid</t>
  </si>
  <si>
    <t>1rucb3CcDlDDXwMhjXDHQWofStRKKouzl7PSb2_F37FA</t>
  </si>
  <si>
    <t>SaveLayoutUnallocatedGrid</t>
  </si>
  <si>
    <t>1dixy47vGD4ZYjt9U_ih3BSiZbzPzvIDLtlafZIpeyC4</t>
  </si>
  <si>
    <t>SaveLayoutAllocationUI</t>
  </si>
  <si>
    <t>1S-6rMK11n-3mFrONpo_U4rlR4O69j6bQAGuGNcrrS6A</t>
  </si>
  <si>
    <t>ClearFiltersAllocatedGrid</t>
  </si>
  <si>
    <t>ClearFiltersUnallocatedGrid</t>
  </si>
  <si>
    <t>VerifyLayoutAllocatedGrid</t>
  </si>
  <si>
    <t>11nzl66L5rtvJi9vTz487iVKURd3BfoYcknfycWFT-fU</t>
  </si>
  <si>
    <t>VerifyLayoutUnallocatedGrid</t>
  </si>
  <si>
    <t>1dD8vrEBSx_3diJl50IJ7yG6cl8wP386vXzl21YBIEPg</t>
  </si>
  <si>
    <t>UpdateForexConversionMonthly</t>
  </si>
  <si>
    <t>1MCpJWwFXEogB1VlqUXy1Ww954nX83LPwb4Qy6-fZMp8</t>
  </si>
  <si>
    <t>UpdateMarkPriceMonthly</t>
  </si>
  <si>
    <t>1gKeBaYxaZTHXY5r3gp7mJKZhpLEFv3B0eTcgmwO2faY</t>
  </si>
  <si>
    <t>1gjchR0Aowyhj6YMJ5EMxZmG6NvilqGkSR93seXN-MEo</t>
  </si>
  <si>
    <t>CheckAllocatedTaxlots</t>
  </si>
  <si>
    <t>1v_Yhw10id_6Cs6P4bR6iDeu8RDRjtyjgz19lxjEw6Ng</t>
  </si>
  <si>
    <t>EditTradeUnexpiredUnsettled</t>
  </si>
  <si>
    <t>1Mk2JLd9CmSbDVOmTJu58VWjrwhxNKoopJHemupq4qBs</t>
  </si>
  <si>
    <t>VerifyThirdPartyView</t>
  </si>
  <si>
    <t>118wRv0r1kNYT6nexs-UFGKd_eWq769gwdBDpcAfrJMc</t>
  </si>
  <si>
    <t>Compliance</t>
  </si>
  <si>
    <t>CheckCompliance</t>
  </si>
  <si>
    <t>1SsqNYuLQYnAQojY1ScqgFlAVNPt1c0Du5CgtRfS4XTs</t>
  </si>
  <si>
    <t>VerifyAccountDivisorWindow</t>
  </si>
  <si>
    <t>1nWJ7MmdctU6UHdtDMBx4cO0Za1AVHgWqATvU2HaIrN0</t>
  </si>
  <si>
    <t>VerifyAccountSymbolDivisorWindow</t>
  </si>
  <si>
    <t>1XEkR9NvAEC2bh6wfHaqLzZiNwp5p6N_DuThzwLCpi_k</t>
  </si>
  <si>
    <t>VerifyAggregationAccountSymbolWithNav</t>
  </si>
  <si>
    <t>1wa6cXAbpdMTz-hsF4yUayu1Tnpnl9Kbq__2Vi33WjNM</t>
  </si>
  <si>
    <t>VerifyAggregationAccountWithNav</t>
  </si>
  <si>
    <t>1_rVRnADrf7Ggj_HNj9UdEOl7VoPKVA5LDHVnB3Llwac</t>
  </si>
  <si>
    <t>VerifyAggregationMasterFundSymbolWithNav</t>
  </si>
  <si>
    <t>1v9DEhh9RUUR50m2cY_9XHSOZSpjev0D_FC7YxL6Dx-M</t>
  </si>
  <si>
    <t>VerifyAggregationMasterFundUnderlyingSymbolWithNav</t>
  </si>
  <si>
    <t>1_l1dXRaSvBu8xSpL_0LuTGDpZT2uwv7HrTTqPpX1zh0</t>
  </si>
  <si>
    <t>VerifyAggregationMasterFundWithNav</t>
  </si>
  <si>
    <t>1bukvmw7uDn5EWU749u99t380wnpilFiwB3NEfjqNUko</t>
  </si>
  <si>
    <t>VerifyAggregationSectorWithNav</t>
  </si>
  <si>
    <t>1Fv-QPc8yv7ZaNdT1FlDCX7eIaQQMAYX7KS5-P986RCQ</t>
  </si>
  <si>
    <t>VerifyAggregationUnderlyingSymbolWithNav</t>
  </si>
  <si>
    <t>1lb3zBRstb1VKpx0rM4A2DDz_IQHBTzL0OUyXXa4H2AU</t>
  </si>
  <si>
    <t>VerifyAuecWindow</t>
  </si>
  <si>
    <t>1EhWPzRJ5WEwpWzc-SX3LVcLgYlPDIKzkNS-LD2bNahk</t>
  </si>
  <si>
    <t>VerifyBetaWindow</t>
  </si>
  <si>
    <t>1vnD8kKYEQArpqSXLRpqKdW0bWfXfMAye26LmcRtOGI4</t>
  </si>
  <si>
    <t>VerifyCustomSymbolDataWindow</t>
  </si>
  <si>
    <t>1xency978Yhb2ZeNxG-Gp8xcJ8QjKX9kP348vEmQ2gwA</t>
  </si>
  <si>
    <t>VerifyDayEndCashAccountWindow</t>
  </si>
  <si>
    <t>1qPMFAgMRzEYcCWAk5IayLOH_U1htslpfkeJMVPWbpLQ</t>
  </si>
  <si>
    <t>VerifyDbNavWindow</t>
  </si>
  <si>
    <t>1KIH7eWcCPPCZqRVbqOvdvQQatjP_INfvJUbzjGTz7fE</t>
  </si>
  <si>
    <t>VerifyGlobalDivisorWindow</t>
  </si>
  <si>
    <t>11KuCDI7q37RrZjNhVRB_sRU4JrklHajDN-nvioCXIow</t>
  </si>
  <si>
    <t>VerifyPmCalculationPreferenceWindow</t>
  </si>
  <si>
    <t>1tHuAZIaBkKFsAt4wQU_f2q5uJEGZ6DbWQnO08Rx4g5Y</t>
  </si>
  <si>
    <t>VerifyRowCalculationBaseWindow</t>
  </si>
  <si>
    <t>1LloNg0BgixU9tpWx4HUT43bl1SpVE4381HnFlsajvaQ</t>
  </si>
  <si>
    <t>VerifySecurityWindow</t>
  </si>
  <si>
    <t>1C0AkzcituMMrkQqJg0M_n6cswWPjROFn0jqkTPCHfis</t>
  </si>
  <si>
    <t>VerifySymbolDataWindow</t>
  </si>
  <si>
    <t>1WOYWuhLyuq1ul6GF5dWAdvSkpKBaWmcsEY0pPRgeOWM</t>
  </si>
  <si>
    <t>VerifySymbolDivisorWindow</t>
  </si>
  <si>
    <t>1e9Xd2rI7lHFWIFLmRoe5LtT9y4BSPW6sfCjWP0lcVso</t>
  </si>
  <si>
    <t>VerifyTaxlotWindow</t>
  </si>
  <si>
    <t>1X0RghwSavvuWnxK9psKDA7-qI86K-IaBKRJ1fVYnJbY</t>
  </si>
  <si>
    <t>RestartEsper</t>
  </si>
  <si>
    <t>VerifyAccountNavPreferenceWindow</t>
  </si>
  <si>
    <t>1nlqDVTvG9tGHVZU_R5Kpe2ScGFiP2pODIjUgp62eOcg</t>
  </si>
  <si>
    <t>VerifyAggregationAccountUnderlyingSymbolWithNav</t>
  </si>
  <si>
    <t>1td6xh2jOVJ_tOP88gOQ7VzA7zC3W0ZUyud3q5jhH1eM</t>
  </si>
  <si>
    <t>VerifyAggregationAssetWithNav</t>
  </si>
  <si>
    <t>11IOPX3JerrbITJGj2KKdtGuSCn7wqoda4D14yJors8g</t>
  </si>
  <si>
    <t>VerifyAggregationSymbolWithNav</t>
  </si>
  <si>
    <t>10pZ09xnUx2pqa5QZzEljxvSOWUoO4MpFFlj3IgHixAY</t>
  </si>
  <si>
    <t>VerifyAggregationSubSectorWithNav</t>
  </si>
  <si>
    <t>1lLMwkGATnotz4Fwa-o2i_-buFLFRD1fPDjBRCRge2g8</t>
  </si>
  <si>
    <t>VerifyAggregationGlobalWithNav</t>
  </si>
  <si>
    <t>1AvL03tSx1mQR9FO4i7ta-0KC1RPfLKkELFYsFU7pHz0</t>
  </si>
  <si>
    <t>VerifyAccrualForAccountWindow</t>
  </si>
  <si>
    <t>1UibESJzXseK9_-c9HjMbuHTeklThYekhSZ72rmoM1T8</t>
  </si>
  <si>
    <t>VerifyMasterFundDivisorWindow</t>
  </si>
  <si>
    <t>1MjAfg4F6NQuUAQUFW37k3htPnyMxWHWagiOU-lnvmGI</t>
  </si>
  <si>
    <t>VerifyMasterFundSymbolDivisorWindow</t>
  </si>
  <si>
    <t>12jSVbeEJpxmA75PPUiLNi7NaIc00WbgI34Q6rhSS0Ds</t>
  </si>
  <si>
    <t>Rebalancer</t>
  </si>
  <si>
    <t>FetchAccountPositions</t>
  </si>
  <si>
    <t>16zBwty-rTFSFJMyCqyxtBb2FiCbKptl_JuviIETsEjc</t>
  </si>
  <si>
    <t>AddCash</t>
  </si>
  <si>
    <t>1uD1wJYx80LMyhlbMy1CctqDOk9brp6uU03OlbnDuAe4</t>
  </si>
  <si>
    <t>VerifyGridData</t>
  </si>
  <si>
    <t>1m6MOQNhKkVt1jpFum_tComrSd-dEbwpLJ09ma9hwHJ0</t>
  </si>
  <si>
    <t>RunRebalance</t>
  </si>
  <si>
    <t>1z6sLqoF1dgSy-5wTE_wKZTVXhp9JEOqwje341a02WpA</t>
  </si>
  <si>
    <t>EnableComplianceTab</t>
  </si>
  <si>
    <t>RebalancePreference</t>
  </si>
  <si>
    <t>1OuZKBdhFXWj4geXHEAw683kkB5iaP1xy85nS7Y_bfc8</t>
  </si>
  <si>
    <t>ImportModelPortfolio</t>
  </si>
  <si>
    <t>1acRsUVfXLMARgfUMygVmnq-Xn9oHJ7aBMct5mdqEBsA</t>
  </si>
  <si>
    <t>Simulator</t>
  </si>
  <si>
    <t>SelectTrade</t>
  </si>
  <si>
    <t>1NkVqjZCVIerQf2X0Yf6GK2jVSYfVa7-CmnPWggeHwJc</t>
  </si>
  <si>
    <t>AcknowledgeTrade</t>
  </si>
  <si>
    <t>1OM-qeNQLbTj-z40xd1iUyj7uo5BNzUJKKmvtT-Ue5R0</t>
  </si>
  <si>
    <t>RejectTrade</t>
  </si>
  <si>
    <t>1Kga6eZygJKjrpwyXiE7s-uRu_0SsnmwvP5tlfNUz67E</t>
  </si>
  <si>
    <t>ExecuteTrade</t>
  </si>
  <si>
    <t>1X_J7xIcQSksjlzFZ-krkjWcnyPAEj1k98zuXOUONhS8</t>
  </si>
  <si>
    <t>CancelTrade</t>
  </si>
  <si>
    <t>1GDmvU5vTnCfl5qfCk6XuxvygpiC0858nHCMz3cF2Th8</t>
  </si>
  <si>
    <t>OpenLiveTT</t>
  </si>
  <si>
    <t>1LsvDJHpVcibXPqLhnrrvp6d6K4W1s7PURcprihlc9WE</t>
  </si>
  <si>
    <t>CreateLiveOrder</t>
  </si>
  <si>
    <t>15NzWGpqvL8MMBvyvBoyZPbRw6m8dVQhvejNQYv6xMAo</t>
  </si>
  <si>
    <t>SetManualResponse</t>
  </si>
  <si>
    <t>ClearUI</t>
  </si>
  <si>
    <t>RebalanceAcrossSecurities</t>
  </si>
  <si>
    <t>1hj7paFEdaJfp8zCVq4BI5XPlCE2BysKhNQY5CdXDN44</t>
  </si>
  <si>
    <t>CheckBasketCompliance</t>
  </si>
  <si>
    <t>1TJXKyPI71JpDJp6PJy2JOx4mnjeYvDigctM4hrexDvM</t>
  </si>
  <si>
    <t>ClearCalculations</t>
  </si>
  <si>
    <t>1ctMlkyXd7Fyoxty8UQ8vXNA2lmrIfMbc3leGsnW7ne0</t>
  </si>
  <si>
    <t>ModifyRebalance</t>
  </si>
  <si>
    <t>14V-PVFSEtii0bJelGOw8nDeNWqcO5GO2gi1hoqmJbFU</t>
  </si>
  <si>
    <t>SelectThirdParty</t>
  </si>
  <si>
    <t>1wKEUsTX7MrGti2S1TEzF0iJk4vRZB1LxyQL9WgMGYrY</t>
  </si>
  <si>
    <t>ThirdPartyGenerate</t>
  </si>
  <si>
    <t>1DvEoe2QroRweeE3U1wG41DK1tPqNY7Qfs3ZfLQeMbgA</t>
  </si>
  <si>
    <t>VerifyThirdPartyGenerate</t>
  </si>
  <si>
    <t>1bvzvGTpSSz8jFgbBJV7s2zMg9ku9TwcOoI2gD8mXZeI</t>
  </si>
  <si>
    <t>VerifyThirdPartySend</t>
  </si>
  <si>
    <t>1Uss7PL0z4ynwsEaU-5ZugX8DJ-4eQWi9JELroKHVjks</t>
  </si>
  <si>
    <t>ThirdPartySend</t>
  </si>
  <si>
    <t>10lROCv8vZU4pHDAKFRaGDjYVmJmDXRVY6aLP5O0hPiU</t>
  </si>
  <si>
    <t>VerifyViewAllocationDetails</t>
  </si>
  <si>
    <t>1N0pdLUTdwOkDe6Oxo1hLVvtHrAW845GKRDRrNw2nQsA</t>
  </si>
  <si>
    <t>SelectPTTRecord</t>
  </si>
  <si>
    <t>1XeFP2lm7tB6wETfm2dDqZYoeAfXyeA1KjbojdrZ69vE</t>
  </si>
  <si>
    <t>EditPTTRecordAndExecuteOrder</t>
  </si>
  <si>
    <t>1PSIJ72QdQ-ByplSZsPtKhZm3ADB7dR-xpWzGR4Bdl_4</t>
  </si>
  <si>
    <t>CreateOrderAfterEditPTT</t>
  </si>
  <si>
    <t>1KsDVAM-jGZBkXQCAjl-IKGN6XcMkdTfUj_E_EYUPpqE</t>
  </si>
  <si>
    <t>EditPTTWPFGrid</t>
  </si>
  <si>
    <t>1ZN6M0c0ta4_uysjU0LRmcc9chF9IgYpFmqSwGW6bPCY</t>
  </si>
  <si>
    <t>GoToAllocation</t>
  </si>
  <si>
    <t>1I3StwH3fzwwbh9YvrnDvP_ICtYYZrMPHOthgqOvVOQc</t>
  </si>
  <si>
    <t>CloseSimulator</t>
  </si>
  <si>
    <t>VerifyCashTransaction</t>
  </si>
  <si>
    <t>1Urp2F7pMdEwHLyPetR0SnA22v2OTvsTN73e1Eyzzg08</t>
  </si>
  <si>
    <t>ModelPortfolio</t>
  </si>
  <si>
    <t>1BbwKnMbWwdBYCEpdFconwZ_xILH2kPX-Qj3vt8xntk8</t>
  </si>
  <si>
    <t>VerifyDailyCash</t>
  </si>
  <si>
    <t>1p7JeAcaHVG_A1SPdHgM-evd78CkJgoJkRTeDWckd4RI</t>
  </si>
  <si>
    <t>SetCheckSide</t>
  </si>
  <si>
    <t>1LLz3d9Ay0qFO2Tla_12_h2xvLhss_jI9DSuQFTlU_-4</t>
  </si>
  <si>
    <t>OpenSpinOff</t>
  </si>
  <si>
    <t>1U-BRH15bKLYYFZT4KsAnHYfSvzq2OYUbyJ1Q899SsZo</t>
  </si>
  <si>
    <t>VerifyAndApplyCorpAction</t>
  </si>
  <si>
    <t>1AigkCEPlVCiWI2_hOeywoNapLN_03Q3acTp_JCEFIOQ</t>
  </si>
  <si>
    <t>VerifyAndSaveCorpAction</t>
  </si>
  <si>
    <t>1C7e-MCh1gT21XsWE5Tb7VqU31f42EtVA62RnW2VwOPQ</t>
  </si>
  <si>
    <t>DisableChecksideForAsset</t>
  </si>
  <si>
    <t>1RfBjyCTLzPEw44vo9RFEbPNENo_b3MvJETDgJ_nbkSM</t>
  </si>
  <si>
    <t>DisableChecksideForAccount</t>
  </si>
  <si>
    <t>11m6ioGVfQ91nl6h-xQws9I_OKyCH0bSRW5XRwmAkUaI</t>
  </si>
  <si>
    <t>DisableChecksideForCounterParty</t>
  </si>
  <si>
    <t>1y3920luel_XKEL-2MDmGAmxE3KlfO7vibX7k3zEiD9Q</t>
  </si>
  <si>
    <t>DisableCheckside</t>
  </si>
  <si>
    <t>1h5qvpgDwc493Hj-H0wWhM1iGSyxbWrc_X9wqtwjDzjw</t>
  </si>
  <si>
    <t>ApplyMasterFundFilter</t>
  </si>
  <si>
    <t>1T-KlzOWiZhplDNh7jZx1mhTu8M9hH3oMPjY-e5YW0xo</t>
  </si>
  <si>
    <t>UpdateMasterFundOnTT</t>
  </si>
  <si>
    <t>1N4y3bAhW2tDoINGw83G-QdXBeLDO0PKtGSW5-tKN3js</t>
  </si>
  <si>
    <t>ShowMasterFundOnTT</t>
  </si>
  <si>
    <t>1iwI9tV-bzTDjn_UTMv4g-Fow5pL0wNDuxL4_vgERgxw</t>
  </si>
  <si>
    <t>ShowMasterFundAsClient</t>
  </si>
  <si>
    <t>1HEkSiTQJoo7hAoCQeG1OliZY3I1tX5067K2-bEPpUxg</t>
  </si>
  <si>
    <t>SetBrokerAccountMapping</t>
  </si>
  <si>
    <t>1-jAH0BUHYr2W4UnUXp9EOBGtAxXgCqMhloL3-aVw-xA</t>
  </si>
  <si>
    <t>EditUnallocatedGridWPF</t>
  </si>
  <si>
    <t>1WjO2793DSB3AexrCH-5fVAyD2T9Kn-TpIQtV-sN3fXM</t>
  </si>
  <si>
    <t>EditAllocatedGridWPF</t>
  </si>
  <si>
    <t>1FZKuHmBcm_XpFiBPl_RDPdJ0LU4pfInz2KIRBirG4RA</t>
  </si>
  <si>
    <t>SetRollover</t>
  </si>
  <si>
    <t>1IsN0Cfhu8GLrkUalboK5NrRy7btTAbLYUuekJ2Ma6Yg</t>
  </si>
  <si>
    <t>VerifyRollover</t>
  </si>
  <si>
    <t>1LK99kRJ1Jix1IHxif4J6qr7zVjtU8vqt4IThBtuOVf4</t>
  </si>
  <si>
    <t>EditAllocatedGridTaxlot</t>
  </si>
  <si>
    <t>1BFSIhQB5TYAg8_M-Mo1tG8w-M1mRnNY_0PslvrGE6V0</t>
  </si>
  <si>
    <t>ExpandCollapseAllocatedGrid</t>
  </si>
  <si>
    <t>1qQZFllfIgVu8YI6RYgRzVq7hDp1kHBoOsvq3lGCpsu0</t>
  </si>
  <si>
    <t>ExpandCollapseUnallocatedGrid</t>
  </si>
  <si>
    <t>1UD0TjK90W_15S50XezLY8jX9yJZvWP_kzf3zvGKH6Lo</t>
  </si>
  <si>
    <t>VerifySubOrderAfterRollover</t>
  </si>
  <si>
    <t>1d2n7uTbGUAG0Fw_-hVLgvR5bPSacMCQFYb_9Aqwi25c</t>
  </si>
  <si>
    <t>SelectTransactionImportType</t>
  </si>
  <si>
    <t>1Ug5aDJXZ2MYzdZjiy87TkbK0iURa_OwZ6nFZNhxoHGY</t>
  </si>
  <si>
    <t>SelectAllOnImport</t>
  </si>
  <si>
    <t>15kH24bHLnChO_IakP1yWGQ4NHnPUcWr-qrx2hCLl0Rs</t>
  </si>
  <si>
    <t>SelectMarkPriceImportType</t>
  </si>
  <si>
    <t>1u361oGPG-Jq-p0fQA91MqPpn9RXhbu_kuvkRTxMFWxM</t>
  </si>
  <si>
    <t>SelectForexImportType</t>
  </si>
  <si>
    <t>1VuEhlxb0Ntlbh7FJ4BwgZpb9ydlc_jleqg7A8gRSuOE</t>
  </si>
  <si>
    <t>SelectDoubleEntryCashImportType</t>
  </si>
  <si>
    <t>1w4_aAJj7RTcH4PfJ4aGD-0Fx9fQcCz5rUlLhFvihhzU</t>
  </si>
  <si>
    <t>SelectActivitiesImportType</t>
  </si>
  <si>
    <t>1QRxHDbBMkMUkH0F8WiORPd2loUWwUte9XykaaWPOOig</t>
  </si>
  <si>
    <t>SetTTCompliancePreference</t>
  </si>
  <si>
    <t>1gOOiQiJSKveyRw21YYv0m2VV5trx-l9sZqzNVA40Sc8</t>
  </si>
  <si>
    <t>LockandUnlockGridData</t>
  </si>
  <si>
    <t>1DO2kiuySeBrdw-FrV0IYgBcHEHdO56ih8X2yodtEv_w</t>
  </si>
  <si>
    <t>SetTradeAttributePreferences</t>
  </si>
  <si>
    <t>1dN2leQSssJt9dSc9XBrW1dbIBOLPLbP7aD2QXcqVoYI</t>
  </si>
  <si>
    <t>VerifyAccountBalances</t>
  </si>
  <si>
    <t>1_Bb0NJhmEZf0GRznXLKybd9VevZ8za-sCX4G7B4qtsM</t>
  </si>
  <si>
    <t>RefreshGridData</t>
  </si>
  <si>
    <t>1eXT2UFbktlYGRbqw2LWDBJOU8xuu3DfP6EZDAMps2jg</t>
  </si>
  <si>
    <t>AddMultipleOpeningBalTranItem</t>
  </si>
  <si>
    <t>11A7t3ReNCtqF9GmtCIeyqSvuLyXTOIz6Z7rrR1rcLxU</t>
  </si>
  <si>
    <t>ApplyFilterOnImport</t>
  </si>
  <si>
    <t>1X_Y_CvwjwEfeRv6rV15vWdCxvbtSeiwVqa6n3rAtKrs</t>
  </si>
  <si>
    <t>SendtoStaging</t>
  </si>
  <si>
    <t>1Xnuh_Wo19bTeQK24IGGha1PcZfjhUkK-31O4OTo-8gk</t>
  </si>
  <si>
    <t>SendToStagingExport</t>
  </si>
  <si>
    <t>1OPD3lVtYSDe_XHE5HwEohhSSru0N2Ct-tsJMahW36gA</t>
  </si>
  <si>
    <t>SetDefaultSymbology</t>
  </si>
  <si>
    <t>1KdWYL-9o3T_s8hnOZgoqVlgZifoowhBftf1dB8UUEjA</t>
  </si>
  <si>
    <t>EnterCustomAllocatePreference</t>
  </si>
  <si>
    <t>1kexOrwBiHtqG3kWPF004vh7Uh_fsxYODz7FwJELyxHs</t>
  </si>
  <si>
    <t>EditPTTAccountLevelWPF</t>
  </si>
  <si>
    <t>1FOz3pvVXQqHqNaQZoj1ZAwoakpNcXbTzmGBaHQHWAHg</t>
  </si>
  <si>
    <t>OpenCreateTransactionFromPM</t>
  </si>
  <si>
    <t>1P5WpmZxUJFZHJeXXrd3NNkBg8pOhlyvhikvYTRi0xJw</t>
  </si>
  <si>
    <t>SetAutoGroupingPreferences</t>
  </si>
  <si>
    <t>1AhbrxQBzlUvYhZ04Lc7wrtynsHI_0KCLcf8QD3l6tpk</t>
  </si>
  <si>
    <t>SetAutoGroupingAccount</t>
  </si>
  <si>
    <t>18esH6GBNz1-GV7-ZFJ2hX2Sp9V56SlvmGczGBmWjjgk</t>
  </si>
  <si>
    <t>SetAvgPriceRounding</t>
  </si>
  <si>
    <t>1rkw9xlq4Ee01gKbFKqk4K6RIEIEZdOXtofMrjBh_3qs</t>
  </si>
  <si>
    <t>SetActive</t>
  </si>
  <si>
    <t>1gUu6sYSTqVEyjUlOCoeeIVztfrHW4NwiHtVAghjPiO0</t>
  </si>
  <si>
    <t>SetThirdPartyFormat</t>
  </si>
  <si>
    <t>1taVilha9wCvlWWrWySxYHIg1IUM3Js0xeAEsGXu1wb4</t>
  </si>
  <si>
    <t>UpdateRoundLot</t>
  </si>
  <si>
    <t>1vPyYrDAjwQJe-gHSwofvAmZ5sGU32BIPiqw9QJOb7sE</t>
  </si>
  <si>
    <t>RebalanceViaBloomberg</t>
  </si>
  <si>
    <t>1b_5w3PXwhAeh_pAkVMhtUU4Bo19ZrhM2By_3wd6TgrU</t>
  </si>
  <si>
    <t>RefreshThirdParty</t>
  </si>
  <si>
    <t>1_zhn88q1H87WPtNgcDXU0tgtHx0YBJLMCcYxzXXroVs</t>
  </si>
  <si>
    <t>AddUserAdjustedNAV</t>
  </si>
  <si>
    <t>1ifdh8xwjLpytsTG8bbxfIam9ZdqvEHGM-CzxVYGEXIs</t>
  </si>
  <si>
    <t>IsAllocationOpen</t>
  </si>
  <si>
    <t>1-MLs_Ww619D0GTJenhKi8JspiyKlENvHCAfkc99ZDXk</t>
  </si>
  <si>
    <t>ShortLocate</t>
  </si>
  <si>
    <t>ImportOnShortLocate</t>
  </si>
  <si>
    <t>18TtTrIfDPZ4FY6y6BEM1QWT6a3RezlV2Qgs0VYjta1Y</t>
  </si>
  <si>
    <t>ApplyFilterOnShortLocate</t>
  </si>
  <si>
    <t>1e-EcYLjI4QLWe-aVZQLSs4AE3HMdDde42AK_ilP7W14</t>
  </si>
  <si>
    <t>OpenTTFromShortLocate</t>
  </si>
  <si>
    <t>1uHiyIq7-VOPV7W3fHIxv6wpgB0bdb_j-j33CMdKoHG8</t>
  </si>
  <si>
    <t>RemoveGroupingFromPM</t>
  </si>
  <si>
    <t>1a2knGiql1wCzuaB8DKpd6ZNGZ4PU78GHbVc-HCTMRz4</t>
  </si>
  <si>
    <t>Watchlist</t>
  </si>
  <si>
    <t>AddTabOnWatchlist</t>
  </si>
  <si>
    <t>1azJ9v2w7AwJhl_0_bAUZne2G_SFJMuLBPzq7954262s</t>
  </si>
  <si>
    <t>DeleteTabOnWatchlist</t>
  </si>
  <si>
    <t>1dywOfaMeYMgLGbyodr_rgJqA7HdxAyRDvqwTgOr_FV8</t>
  </si>
  <si>
    <t>Upload</t>
  </si>
  <si>
    <t>1K3403vK5pLvuvcWTXHu1UmgT1GohIYz7DPLRQAD0HCk</t>
  </si>
  <si>
    <t>Recon</t>
  </si>
  <si>
    <t>ViewDataOnRecon</t>
  </si>
  <si>
    <t>1hgvmb7xlOL1LeDD1_c2ehf_CcTQs-NVEQcrj52EgfkY</t>
  </si>
  <si>
    <t>RunRecon</t>
  </si>
  <si>
    <t>1a_lIF-yQ_4BbBIj3H4E_Sa208tyBml3azCVHLulXbZA</t>
  </si>
  <si>
    <t>GenerateExceptionReport</t>
  </si>
  <si>
    <t>1hLXxcwsJweMSg5Go7Aa_QZphxBktbdPjlASa0S1xBos</t>
  </si>
  <si>
    <t>ImportDataOnRecon</t>
  </si>
  <si>
    <t>1NPXdEV4aauKt592s3ZSJRLqkCido8G_bhh0amZ9aT9g</t>
  </si>
  <si>
    <t>VerifyShortLocateGrid</t>
  </si>
  <si>
    <t>1l0BuHlCc_a8ajF2i2LyuIx-ihrOOGibGtDl3YzOfSEY</t>
  </si>
  <si>
    <t>VerifyApplicationData</t>
  </si>
  <si>
    <t>1Dpr8WIv6TDBK0rxjxSy_MqWbkp0VcPh0dzzq05jelwk</t>
  </si>
  <si>
    <t>VerifyExceptionReport</t>
  </si>
  <si>
    <t>1vn6eAU_TNbjFlzAIJE-M1vn49jstJpRKNVt1ALlVQus</t>
  </si>
  <si>
    <t>VerifyPrimeBrokerData</t>
  </si>
  <si>
    <t>1vO08eQ3WtVgvFFa4m5QUSWEYmv1ZOhFWcta7Kzp1MBQ</t>
  </si>
  <si>
    <t>SetTradingComplianceRules</t>
  </si>
  <si>
    <t>1bIqD5onAh5fgPov8t1pUC5b4a9exQ5D7TG3YiT7HTiQ</t>
  </si>
  <si>
    <t>ImportSymbol</t>
  </si>
  <si>
    <t>1oBs-bjVGuZxR8kCsLcXR9mY_XazhDhrpRb2xJaLqs_E</t>
  </si>
  <si>
    <t>ExportSymbolFromRAList</t>
  </si>
  <si>
    <t>1xtzuWBhZe0eLq8O7xxtzG82zLI_pS5mUV_moECZdNpU</t>
  </si>
  <si>
    <t>CheckPendingNewOrderAlert</t>
  </si>
  <si>
    <t>1Uee-x9kYITNzfo5Jmi-ZzN4muIc1l3aGkFEjg6zK4rw</t>
  </si>
  <si>
    <t>AddSymbolOnRAList</t>
  </si>
  <si>
    <t>1Ylf1m_iypjthZ6_f8Zwlk6GflWigvWKGFKPUkF0Lw3M</t>
  </si>
  <si>
    <t>DeleteSymbolListFromRA</t>
  </si>
  <si>
    <t>18mAZrsY4iORaJ31tWyzQUe_E2I0WZiducaWhtQhI1bo</t>
  </si>
  <si>
    <t>RemoveSymbolFromRAList</t>
  </si>
  <si>
    <t>14z6QrYYlP1TDKDUb39O0_rjdC6MZsyDDHft5bKbFe7Y</t>
  </si>
  <si>
    <t>Report</t>
  </si>
  <si>
    <t>ReportMatching</t>
  </si>
  <si>
    <t>1cUl6l-zlpV-4qvapXc106s6KeXaODz51BbbafJiEu1o</t>
  </si>
  <si>
    <t>EnableBreakdownRealizedPNL</t>
  </si>
  <si>
    <t>1wcOWSlWdG4WrRltcCk8absTbbQd4rfzbEvV0Z6QnDIw</t>
  </si>
  <si>
    <t>SetTTGeneralPreferences</t>
  </si>
  <si>
    <t>16Tth7MhAr108iP6FoFBCWQNX3Hmi5JoCWiuEzBw-oDs</t>
  </si>
  <si>
    <t>OpenBlotter</t>
  </si>
  <si>
    <t>1l2IXt5uxs1t4URHUX-BmZTtbv2Q2iQVM5OFWXazn3Wc</t>
  </si>
  <si>
    <t>ExeExecutor</t>
  </si>
  <si>
    <t>CallExeExecutor</t>
  </si>
  <si>
    <t>1_4imnW45MZPZdDQqRFOTudFEJKoWNdNsFhqwsPVjiyI</t>
  </si>
  <si>
    <t>ToggleBlombergOnRA</t>
  </si>
  <si>
    <t>1QO8L98pM1tM7XV0KByn2LfhNUlfBr61uBaOgp8tlTrY</t>
  </si>
  <si>
    <t>RemoveManualExecution</t>
  </si>
  <si>
    <t>1El5uRwN8Zwko5NwYgHohK1zpiRKkh_YePJ0cX2E3glo</t>
  </si>
  <si>
    <t>RemoveExecutionWorkingSubs</t>
  </si>
  <si>
    <t>1Gty3Ew09-jbNIs7SPwjiMC4qk0nDYdsdjNgVHEdl6r0</t>
  </si>
  <si>
    <t>Dropcopy</t>
  </si>
  <si>
    <t>UploadDropcopyFile</t>
  </si>
  <si>
    <t>1h8dY4l_y7yym8l9hTXHVlg3E6GsG52_9KIo5GFjmA8k</t>
  </si>
  <si>
    <t>StartTradeServer</t>
  </si>
  <si>
    <t>1dwpz97u-suG-Fl1p7vL-LH_dugKcjjOV8oBHWhL-Ggg</t>
  </si>
  <si>
    <t>CloseTradeServer</t>
  </si>
  <si>
    <t>1RUpNNC94eo6CzUCyYXnEgJjNJNHljZmxUqpU88hDqvo</t>
  </si>
  <si>
    <t>GetExecutionReportOrders</t>
  </si>
  <si>
    <t>1AFiNBanUg4LBaZwE0sKs99uF_4CT4Qq3z4KSYaBlk8s</t>
  </si>
  <si>
    <t>GetExecutionReportDetails</t>
  </si>
  <si>
    <t>1Ns2Ww-kwbzOvCy0I9cUznz2PW19y3SgMCpf0oi4ieAA</t>
  </si>
  <si>
    <t>ExportExecutionReportData</t>
  </si>
  <si>
    <t>1LAiUKfzdOor0ACQpWIfOZgQ4MfnhBXObmZFMPVXU20w</t>
  </si>
  <si>
    <t>VerifyExecutionReport</t>
  </si>
  <si>
    <t>1yd48b6wQ6aCrLoLmfkjO8wiQZP62vLgpK_Q_eTapu4w</t>
  </si>
  <si>
    <t>BlotterExecutionReportSnapshot</t>
  </si>
  <si>
    <t>1QqGxhnz20HsALFYnGuJyEDL2dd1qSmiBMaPsF8MowY4</t>
  </si>
  <si>
    <t>SetDollarAmountPermission</t>
  </si>
  <si>
    <t>1NsNQ11sPW94qOsA9wYppHUUVQ7VTg0TDchX6vMjxHSM</t>
  </si>
  <si>
    <t>EnableDisableModule</t>
  </si>
  <si>
    <t>1-qgayCVgYh-TiFPYq2yiHpH2YNskBCiyIqUU44hFn5Q</t>
  </si>
  <si>
    <t>MultipleTradeTransferToUser</t>
  </si>
  <si>
    <t>1E2U9CGylDUGLaqjTgTRpuzNMvkBV33m3fLyu2q73_EA</t>
  </si>
  <si>
    <t>IsImportOverrideOnShortLocate</t>
  </si>
  <si>
    <t>1MgEuiFXaa1Xj8qTQvvYNz_eFGUeOpsltw9v4WXyPp2Y</t>
  </si>
  <si>
    <t>SetShortLocateStructures</t>
  </si>
  <si>
    <t>1JXTS2aPwtzmzfaVv_4dqx8kGMWZ6ZPlluMh_AtB-VLM</t>
  </si>
  <si>
    <t>DownloadFile</t>
  </si>
  <si>
    <t>1GexWNjbmQyaHL_wkUkmt5M8rNIMs2PLpyJ1OKlPF_6U</t>
  </si>
  <si>
    <t>SearchShortLocateUI</t>
  </si>
  <si>
    <t>1DKCTM5c59GatMPMxnS0Zbz1IgpCEMmNSn4fulcFSBWA</t>
  </si>
  <si>
    <t>CreateDoneAwayOrder</t>
  </si>
  <si>
    <t>1rJRRqJlBOAI1DmechO49htg_P97-G5pNyuROFY03c_0</t>
  </si>
  <si>
    <t>CreateComplianceOrder</t>
  </si>
  <si>
    <t>1uZhdRETigrNB3cZo1BXMteOrJRYMf6Vdte0mKG3B7a4</t>
  </si>
  <si>
    <t>VerifyTrades</t>
  </si>
  <si>
    <t>11LnIuQUyQWz16zxwmr7_BDMlsw3tCEXwF0lALQ35sts</t>
  </si>
  <si>
    <t>SetShortLocatePreferences</t>
  </si>
  <si>
    <t>1NeZSwz1SIB3gUqQIL6UzRE-Qr4gJDeQupuxQaufcHLY</t>
  </si>
  <si>
    <t>SecurityMaster</t>
  </si>
  <si>
    <t>GetSymbolData</t>
  </si>
  <si>
    <t>1vv3kyJccjfIyDBgn04x7w4Z7FTIBcJUQzYbJHry0Wks</t>
  </si>
  <si>
    <t>EditSMData</t>
  </si>
  <si>
    <t>16iJOTy3fdvVyoTNVUlTTv2ipMkLHpwnR83hPFzIH7Ak</t>
  </si>
  <si>
    <t>RestartRuleMediator</t>
  </si>
  <si>
    <t>1akNR1Amf59L1AstQQY5CTYwWnooFsbcOYuynBM4CKmM</t>
  </si>
  <si>
    <t>VerifyAggAccountSymbolWithNav</t>
  </si>
  <si>
    <t>1LuYoSjO5AtvBb9EYhrEUIwfKVSVQx9KjgCN-yIF7lFk</t>
  </si>
  <si>
    <t>SetComplianceAlert</t>
  </si>
  <si>
    <t>1KxvRGZsDhpllA_7NzN1oRSxO912EnakDtX0IH-ZIdC4</t>
  </si>
  <si>
    <t>ReloadOrderFromBlotter</t>
  </si>
  <si>
    <t>1EkVmrnKs5-j3ysMwtCilrRqPyrGmw8rBBIGOYfmBm9Y</t>
  </si>
  <si>
    <t>ReloadOrderFromSubOrder</t>
  </si>
  <si>
    <t>1Df8QexVjibp6e-DrJ15K3SNBfL1Xk8NzcYqAlIfaa0Q</t>
  </si>
  <si>
    <t>ReloadOrderFromWorkingSubs</t>
  </si>
  <si>
    <t>1_Z5bqDo4adEqHJVIqWRtiyLJ5XKZ_2mwsPRoF8LP0Bw</t>
  </si>
  <si>
    <t>AutoExercise</t>
  </si>
  <si>
    <t>13xi1kTQASkj8aQlRGOWvQoPk02IQ_8Htevc-MnANS_E</t>
  </si>
  <si>
    <t>IncreasePositionFromPM</t>
  </si>
  <si>
    <t>1A8qhbXaCu_lyhbz2UUV32k3iWOdMoe0Sf6z4T7bvx9A</t>
  </si>
  <si>
    <t>AddOptionTrade</t>
  </si>
  <si>
    <t>1BnawmW4udc8sZOPuV7h7bRAlUEV61-K41xkK0_fFpqM</t>
  </si>
  <si>
    <t>SendLiveBloomberg</t>
  </si>
  <si>
    <t>1CgHn_7kdT53U7SiVepIsdA1uAaPRM8bfTqAGitUOOP4</t>
  </si>
  <si>
    <t>UpdateExpirationDate</t>
  </si>
  <si>
    <t>1mmWGifvPj1sNVTticw-ikM3hyycxf4NX4_kCu7BEFVg</t>
  </si>
  <si>
    <t>UncheckDividendYield</t>
  </si>
  <si>
    <t>1Bv6bI4dQ2ISUgEtnN3hvoJAzlS1QXNp7i6djThWT5cY</t>
  </si>
  <si>
    <t>RenameMasterStrategy</t>
  </si>
  <si>
    <t>12O1uREcq0M99vtEd065TQGLRLI69TvAORCdhR9BifGE</t>
  </si>
  <si>
    <t>SelectFills</t>
  </si>
  <si>
    <t>1GwliO03epBl45R4knM3UVULlRK9QRt0v-e2GwmiEUVI</t>
  </si>
  <si>
    <t>ModifyFills</t>
  </si>
  <si>
    <t>1YjVe9_PX2h3FN6yNWurYgQZIShnphN6dzATY8FarTcw</t>
  </si>
  <si>
    <t>1i5E-WuqIWaEe-yq-sesr8ybgECXELHpH055E0IrggKc</t>
  </si>
  <si>
    <t>EditMultipleCloseQuantity</t>
  </si>
  <si>
    <t>1LqHFuFqpoaWRQRABWhj8ApwmhDIIDfhqJOvirqq1jXs</t>
  </si>
  <si>
    <t>ManualCloseOrder</t>
  </si>
  <si>
    <t>1SRIxoyDz2yiuwxeL4eG8FC_4NGCpPmQ7cq3BGkqiS_M</t>
  </si>
  <si>
    <t>SetTTUIAdminPreferences</t>
  </si>
  <si>
    <t>1NBKCTAbyW8FTd7HpiDVAL8uUdoKPPfDaX-zyJ69TnN8</t>
  </si>
  <si>
    <t>PreviewDataWithFilters</t>
  </si>
  <si>
    <t>1UfijNzsxS8xhicrd1aaNFJ8AVGE-4qurWWApSDn5ctE</t>
  </si>
  <si>
    <t>ViewAllocation</t>
  </si>
  <si>
    <t>1hZIgWSjxAyvd_l19sawUh-Lx7qkIkwoEJWszPqq6LiM</t>
  </si>
  <si>
    <t>UpdateSecFee</t>
  </si>
  <si>
    <t>1fx7weHaG3pIYPq09mXJDlCsGxJxkuwvD9qpnxGKxsUg</t>
  </si>
  <si>
    <t>CreateClosingTemplate</t>
  </si>
  <si>
    <t>1idwtgSTl3puPU819EeoiFOFlLMiFqqc7fSq_DQM9Ahw</t>
  </si>
  <si>
    <t>CreateUnwindingTemplate</t>
  </si>
  <si>
    <t>1yALn3s6q8XYTgNqh8-DnAgKgqPoPCCf4cd3q4rK7dc4</t>
  </si>
  <si>
    <t>EditTemplate</t>
  </si>
  <si>
    <t>1NuhPbvX0aXlI0GJFIFdnaVEUWbKSGZAOsYo2ZJs_LTI</t>
  </si>
  <si>
    <t>DeleteTemplate</t>
  </si>
  <si>
    <t>1FPAHemO6UOqAm-LkkBB9rvkNCOTy_xygY4DA2D71HrY</t>
  </si>
  <si>
    <t>AllocationAuditTrail</t>
  </si>
  <si>
    <t>1HD9Qq-FkgtsDvTn0E1mBJqbrvDYs85STToXiwyfSFIc</t>
  </si>
  <si>
    <t>GetAuditTrailData</t>
  </si>
  <si>
    <t>1aMbSm8ZDz2Qwg0lNK8q7egOJXYlZK0_CTEZ8ROuOuw4</t>
  </si>
  <si>
    <t>CheckAuditTrailData</t>
  </si>
  <si>
    <t>1C9HB4waKEi-rOcSPUPOqqKP4_UtACzcf-3WiPrg8wl8</t>
  </si>
  <si>
    <t>RunTemplate</t>
  </si>
  <si>
    <t>1CrtezjyXDUNI03P2ug3fbBszOkDQB11KC1jkQWvhhb0</t>
  </si>
  <si>
    <t>EnterEquity</t>
  </si>
  <si>
    <t>1aaVe9FlMYC6RFGiTb4FjozEKzxGyq3kDwxhYjfzfAD4</t>
  </si>
  <si>
    <t>UpdateSecurityInfoOnSM</t>
  </si>
  <si>
    <t>17-t-GrQf2zL-8Q67F4HdNpsG_6uuzTew55S0LtWs234</t>
  </si>
  <si>
    <t>AllocateFromBlotter</t>
  </si>
  <si>
    <t>1XTJi2OXX9tDNK8ST579LThIVIiMnVsCWKD8hYv1DwCk</t>
  </si>
  <si>
    <t>UpdateFee</t>
  </si>
  <si>
    <t>18i3ZoYVYHAnZwXwaD1wecFKaay3F1XWD-fGr1yOXxiI</t>
  </si>
  <si>
    <t>DeleteGroupWithOutSave</t>
  </si>
  <si>
    <t>1aIaLYmwd1_7VvSXSXs0xCiLDHvkOFY2I2WhFegjZjbM</t>
  </si>
  <si>
    <t>CheckPreferences</t>
  </si>
  <si>
    <t>1Gt4DTANotwpTFTn2K0N4FyEH3Wy4mVS3CndTI3qhjT0</t>
  </si>
  <si>
    <t>SymbologyChangeRB</t>
  </si>
  <si>
    <t>CreateReplaceLiveOrder</t>
  </si>
  <si>
    <t>1k4O2DH0z6o7Zp7BJki2B-GvLEd7WL3r0-BBl39ErSwA</t>
  </si>
  <si>
    <t>RevertingSMSharesOutValue</t>
  </si>
  <si>
    <t>14NB1Fv5kuloQb2TqNZV019UwD238JCIlsMkapq0l2ag</t>
  </si>
  <si>
    <t>TradeSymbolFromSM</t>
  </si>
  <si>
    <t>1QQqyEJAxSiITSpbxeSzT-43Z_t_k8RMkNqyDU83B9yw</t>
  </si>
  <si>
    <t>SelectAccountWiseAsset</t>
  </si>
  <si>
    <t>1dg717feD1PLoJMODUOkjay-kVKs_HU6lWkwzq6Dzicw</t>
  </si>
  <si>
    <t>VerifyCTData</t>
  </si>
  <si>
    <t>1DhgxoqROPCGpHN0ZvF_CxvGD_XGKqi4hirH4AyU5edM</t>
  </si>
  <si>
    <t>ExerciseAssignmentWithOutSave</t>
  </si>
  <si>
    <t>13ISfl53WS5qjapt8_QubQCWQC5PngpTaN-DNznWEfnM</t>
  </si>
  <si>
    <t>SaveCTData</t>
  </si>
  <si>
    <t>1lX2ofL0aTKUlfGG5tlpbifm1409nxXKN3EvA38tIwsI</t>
  </si>
  <si>
    <t>AllocateWithPopUp</t>
  </si>
  <si>
    <t>1xGs6-0rm5y24BDfu0xaFuFjmw24xo_mnA1FsmchPkoQ</t>
  </si>
  <si>
    <t>CreateNewSubLiveOrder</t>
  </si>
  <si>
    <t>1sXlRlM3l3g7Y_cbxe72XjBbsp4DKHWhRKjq3FHbAEZg</t>
  </si>
  <si>
    <t>ViewPTTAllocationDetails</t>
  </si>
  <si>
    <t>1K3kCif21tZY3Z_07H3JuRu8yZ2BuxGjW7WwookIx-Fc</t>
  </si>
  <si>
    <t>RestartSQL</t>
  </si>
  <si>
    <t>1-12TcMWdB2mXxQH8e7co5k5BUH-Uzpps1uWKQ-CLR00</t>
  </si>
  <si>
    <t>TradeAuditCleanUp</t>
  </si>
  <si>
    <t>1te_tPkqDmMAupeEd8qm_jD3j66mFB1Z4N9FMCo8XPy4</t>
  </si>
  <si>
    <t>SelectTradeOnImport</t>
  </si>
  <si>
    <t>1E9KQGFIuEW08WBNI-XqSj37_5i6SG51bbwPJ0NN4Mmc</t>
  </si>
  <si>
    <t>SelectAllRowsAllocated</t>
  </si>
  <si>
    <t>FilterLongPositionGrid</t>
  </si>
  <si>
    <t>1eQ05g7FlkoucBRzqzHC6DYgristCD8IKA7i0JOPqMMs</t>
  </si>
  <si>
    <t>FilterShortPositionGrid</t>
  </si>
  <si>
    <t>1_Kaj9Gla2_3_3DWDcJLohN-Ulu6Or19SpBltOn1IqpA</t>
  </si>
  <si>
    <t>FilterClosingGrid</t>
  </si>
  <si>
    <t>1x0tSTgqZ5yRnN4Tz7nFtGYNGMoM4Tz6TBq0Ru3xflwY</t>
  </si>
  <si>
    <t>FilterUnexpiredGrid</t>
  </si>
  <si>
    <t>19__Spg6yNEdiEgPsq0ju_vHO7AEAj0c1TjazwCSKFSs</t>
  </si>
  <si>
    <t>FilterExpiredGrid</t>
  </si>
  <si>
    <t>1jZq080VyNhunffpTX7Q8WctBF6FMMlgDqxOs2X0M62s</t>
  </si>
  <si>
    <t>FilterCashTransactionGrid</t>
  </si>
  <si>
    <t>1yFQmKvzwAFdsY1i_j5krUyRXB0Jw9K6HiJ1sedlnizE</t>
  </si>
  <si>
    <t>EditGridCashTransactions</t>
  </si>
  <si>
    <t>1U3Lll-22S6_flQX8K9e2RYFi60F4xvlFiIrO7oI53SM</t>
  </si>
  <si>
    <t>UnwindAllClosingData</t>
  </si>
  <si>
    <t>1tWUIoWkYt76dEoPLffGeR3BKhumyPmGYrDDpNHf57-E</t>
  </si>
  <si>
    <t>SaveCashTransaction</t>
  </si>
  <si>
    <t>1B21k1fT7qeMq7F9lYaslrVehhg0joFVgy-pYc8Lkmf8</t>
  </si>
  <si>
    <t>ChangeThirdpartyDate</t>
  </si>
  <si>
    <t>1h4P6VS7hFcj6Gpcpap9UycUQLIp7GSGhFN-Pc67f1mU</t>
  </si>
  <si>
    <t>RunManualRevaluation</t>
  </si>
  <si>
    <t>1tQChZuaBAI5usO4RbYIySlrw0tFhWje4RI-gh286me8</t>
  </si>
  <si>
    <t>AddSymbol</t>
  </si>
  <si>
    <t>1Sm5U6q-jz5LeKeyf9JfBjKzov0tNefLFi5MsaafqKYg</t>
  </si>
  <si>
    <t>DeleteSymbolFromSM</t>
  </si>
  <si>
    <t>1DudMRucUgcEjmlylDgFYqu5uXTRzRsr-jnE6lVHMbjY</t>
  </si>
  <si>
    <t>AddSymbolToWatchlist</t>
  </si>
  <si>
    <t>1XmnTrOtQLoxDHPfo2HMbZB9NBqLkHPulaqnXm4cQ5KA</t>
  </si>
  <si>
    <t>TradeFromWatchlist</t>
  </si>
  <si>
    <t>1T9s9NPtF9Q_Ppi6FLLTTJxb43fAm4QnWCD3GM96gXjQ</t>
  </si>
  <si>
    <t>MultiTradeFromWatchlist</t>
  </si>
  <si>
    <t>13Bo68XuCJXrtlP5Ji1GdlQm3HIyUjNAnbQEqNi_0j80</t>
  </si>
  <si>
    <t>DeleteSymbolFromWatchlist</t>
  </si>
  <si>
    <t>1KR8LzaHhEwxGacZ2Jul0uakCfHBvSq8Om-PWySPLpHU</t>
  </si>
  <si>
    <t>VerifySymbolsOnWatchlist</t>
  </si>
  <si>
    <t>1fkU0S4violR7UFjAn9TlUpgOonAIAkkJZA9g0xcb6hU</t>
  </si>
  <si>
    <t>VerifyAppMatchedData</t>
  </si>
  <si>
    <t>14GA6gCi0TKNLF2vISw-OK2MXQBKkoHIrNEl4pTEICeg</t>
  </si>
  <si>
    <t>VerifyAppUnmatchedData</t>
  </si>
  <si>
    <t>1fRtlhH7TyRkIcxAV3P_BFbmJBgSLDwOvrBxrqiU6xKw</t>
  </si>
  <si>
    <t>VerifyPBMatchedData</t>
  </si>
  <si>
    <t>18BzE30Ho0Qvtx4D8qR8XqV6nyyOdYbSVu-Z17SjWyuA</t>
  </si>
  <si>
    <t>VerifyPBUnmatchedData</t>
  </si>
  <si>
    <t>175euYUhYwu8NiO4e3-6islzKymxACVs9cl3KioQ0DbA</t>
  </si>
  <si>
    <t>QTT</t>
  </si>
  <si>
    <t>OpenQtt</t>
  </si>
  <si>
    <t>1aAWPiagRSQBPzFpFvPGXOL3ffgkx6Nv3C5nWfeoNcgM</t>
  </si>
  <si>
    <t>TradeFromQTT</t>
  </si>
  <si>
    <t>1VxR48DRURy-5fMryJTwAP30_4MHBsyd5IYM_MA17mH4</t>
  </si>
  <si>
    <t>VerifyBasketExport</t>
  </si>
  <si>
    <t>1KOVAJXM-60wuzbemyOcR8_7Pu3PI0nXBRqpYgb3dzkU</t>
  </si>
  <si>
    <t>SetCompliancePermission</t>
  </si>
  <si>
    <t>125GL21UTNAv-VPIkHZbpZjsENPGN-XLVcbrUI4CZxxA</t>
  </si>
  <si>
    <t>ApproveorRejectpendingapproval</t>
  </si>
  <si>
    <t>1kblrJiY5tjWVV0kCU90-uYIUPjXfJMDg72L-1IJOLGU</t>
  </si>
  <si>
    <t>VerifyAlertHistory</t>
  </si>
  <si>
    <t>1flh7l8ahyS7C018bO_Y6k1K-XT76tXzdz53HLkQ4xU4</t>
  </si>
  <si>
    <t>MergeOrder</t>
  </si>
  <si>
    <t>1MPmJ5VEjT-ZUHCoVctZCP9aHjIzuZW0_hruDc41GD-A</t>
  </si>
  <si>
    <t>VerifyMergeOrder</t>
  </si>
  <si>
    <t>1YPCy9ceoUg_SjAt-3PXhz8GxVOfWkuIJ1yRR9c0aZrE</t>
  </si>
  <si>
    <t>AddTabBlotter</t>
  </si>
  <si>
    <t>1YMp0jrKM8rLBzloaDu3tQ6aTv8C98xCVaQ6Wxe_flKc</t>
  </si>
  <si>
    <t>CloseRebalancer</t>
  </si>
  <si>
    <t>AddCustomCashUsingImport</t>
  </si>
  <si>
    <t>1nK0OIxssf5AR0xHG2TzYVlqjkwDX8BRkcb7sWcPW2kA</t>
  </si>
  <si>
    <t>EditRebalanceGrid</t>
  </si>
  <si>
    <t>1QX_rYsr8GIcxa1bv4oQ2qNxe0w-YwiY_loABgwfLsP0</t>
  </si>
  <si>
    <t>EnableBlankMarkPrices</t>
  </si>
  <si>
    <t>10Mzp90fyme73_sxAYwM2i8xwqgeQUe_de_N7Y-Cnu6Q</t>
  </si>
  <si>
    <t>UpateSymbolBlankMP</t>
  </si>
  <si>
    <t>1Y4lmODSKti17gLeUqSwERRx-4D5awbTM9UOJZrp60F4</t>
  </si>
  <si>
    <t>UpdateBlankMP</t>
  </si>
  <si>
    <t>1i5WlaPZ1-uo5yRQyqBi_NoGgPj8ziXj7cnN8reG8SXo</t>
  </si>
  <si>
    <t>FilterBlankMP</t>
  </si>
  <si>
    <t>1zsU3_vPB4UlwnEI6Hgxofosk22-vdytF5SYhkTLGr3Y</t>
  </si>
  <si>
    <t>SelectFromSMGridUI</t>
  </si>
  <si>
    <t>1RozaKMXual4WXW46lBsE3Orf9OV2Nn-FhxvokH28xaw</t>
  </si>
  <si>
    <t>EditSMGridUi</t>
  </si>
  <si>
    <t>1P3hQI12FYJP4QrekwcLQ4UJcZeg6WQU7Y7X6wSfNfe4</t>
  </si>
  <si>
    <t>EditInterceptorFile</t>
  </si>
  <si>
    <t>1E0GenYl5VsF6ic5npTKWWfS_gebqIIj6InrHMvvbtso</t>
  </si>
  <si>
    <t>ReplaceInterceptorFile</t>
  </si>
  <si>
    <t>VerifyLowerStripBlotterUI</t>
  </si>
  <si>
    <t>1HZDVVf9laKE8xHcR6trbwHakdbl6uFndhwO94MHDlcQ</t>
  </si>
  <si>
    <t>SaveOrRemoveInSummaryTab</t>
  </si>
  <si>
    <t>16E73g0W5LRIhkg1RbjzOOK94Uv0Vlbn7MMDq-QXA2kc</t>
  </si>
  <si>
    <t>SaveOrRemoveInWorkingSubsTab</t>
  </si>
  <si>
    <t>15CFpQocegIFfZ23cSQZai_mnb9NZPlp99oh6nO0sjXg</t>
  </si>
  <si>
    <t>SelectCheckBoxOnOrderGrid</t>
  </si>
  <si>
    <t>18ge8W43MnUH64uDLyzdwmaOTsTAxaKRTY5e2M2PR7Ig</t>
  </si>
  <si>
    <t>RestartReleasesAndServices</t>
  </si>
  <si>
    <t>1T07pMES6_0vIAOHEcHllSqzIfxdK3kjZkG_bnk1Q87E</t>
  </si>
  <si>
    <t>AutoStageImportFromPTTExport</t>
  </si>
  <si>
    <t>FilterClosing</t>
  </si>
  <si>
    <t>1JSzRoeUWroBBbNbincAHC4uO8KmsFjinSPOeKTzIgWw</t>
  </si>
  <si>
    <t>BulkEditUpdateFromMTT</t>
  </si>
  <si>
    <t>1M4JJJsoeSKu6pTetWn8bRE7zQlcKGucRxjGGlqEA3d4</t>
  </si>
  <si>
    <t>BulkChangeCreateStageOrder</t>
  </si>
  <si>
    <t>1eGv-pvwZhT1511VogxRAfh-QbF2wJZDvzpTQHphliak</t>
  </si>
  <si>
    <t>BulkUpdateUsingMTT</t>
  </si>
  <si>
    <t>1H01hn91s0buuShObE8vUpumNB-99MHja4DJxcTvy1GU</t>
  </si>
  <si>
    <t>CompareXML</t>
  </si>
  <si>
    <t>1WtgbOyiLNErYI8GO9AbbJE12IcFr1TtjqIL6v2nwjLU</t>
  </si>
  <si>
    <t>SetMasterFundOnTT</t>
  </si>
  <si>
    <t>1duRG5DukVziXM3AbWJjEHG1WfsWREKj0zcQWLcC3N0o</t>
  </si>
  <si>
    <t>VerifyCustomAllocationonTT</t>
  </si>
  <si>
    <t>1Z3l-jIyJbM2hFTF5NgxtnL1fChZg2TPPhaAzx7mfVm8</t>
  </si>
  <si>
    <t>ReAllocateFromBlotterByAllocate</t>
  </si>
  <si>
    <t>1NHKxDgR0tyL2jet1xXc0HhWXSJ-79CcnSRkHUBgPpoY</t>
  </si>
  <si>
    <t>VerifyTagInAllFixLogs</t>
  </si>
  <si>
    <t>1uy63r2XjpUIBlAUk-lXKJTr-PpvpP6wxvLlLDzoM-Ic</t>
  </si>
  <si>
    <t>LoginClient</t>
  </si>
  <si>
    <t>1zfvz-aZrAcrVcCZFJj3FAv1GqBrnIiDpgU-TteWVAOw</t>
  </si>
  <si>
    <t>SortAndVerifyPM</t>
  </si>
  <si>
    <t>1X7RzdVuf6bK9F2T7pOeh4nUpKg76Hv2aa-gBjDxYkcs</t>
  </si>
  <si>
    <t>OpenPIFromPM</t>
  </si>
  <si>
    <t>1IuAnXzRzuOehEMtqDK11-sb6DktGPWzx0jT8n2IsrY4</t>
  </si>
  <si>
    <t>RefreshPriceUsingMTT</t>
  </si>
  <si>
    <t>1YtdRVMbFR2kvDHO7XasICZNjFKswCtDImUT3Gjkkfk4</t>
  </si>
  <si>
    <t>VerifyMTT</t>
  </si>
  <si>
    <t>1LkpuYouts5i-ZznsIzocNzJ13lcRDsnSdXk19BRgReI</t>
  </si>
  <si>
    <t>SetToAutomaticResponse</t>
  </si>
  <si>
    <t>SaveTradeList</t>
  </si>
  <si>
    <t>1xCgr8y8ZWOV67Yl77qPCYg-GSJNVZrE2EwAmtpL4Xfg</t>
  </si>
  <si>
    <t>NavImpactingComponent</t>
  </si>
  <si>
    <t>1f0zk0GxJ77AGpV5f_CL_mwxkoRha7_3Z1PIbpXZtod4</t>
  </si>
  <si>
    <t>ImportUsingRebalAccrossSec</t>
  </si>
  <si>
    <t>1wqAINPqghzd-HB-5iMIqQiCzJj40pqhM2cTv6gahRwo</t>
  </si>
  <si>
    <t>EditImportStatus</t>
  </si>
  <si>
    <t>1Xkf1z6WsFfAEpWdBzMACVnTjRvtpZJ0Jbfvug1u1fb8</t>
  </si>
  <si>
    <t>SelectActionsOnImportStatus</t>
  </si>
  <si>
    <t>10jCuA8F_28LjeoDXTbc5IgQjfWoEPTWq9svKzhi97OA</t>
  </si>
  <si>
    <t>VerifyImportStatus</t>
  </si>
  <si>
    <t>1cyg6XGf_AlQQ_g5DPcBgmBfH4Oz4BH6IUMfTD5nIhFQ</t>
  </si>
  <si>
    <t>OpenPreferencesFromPTT</t>
  </si>
  <si>
    <t>OpenPTTFromWatchlist</t>
  </si>
  <si>
    <t>1CRJ_F5octCl23LyAw_CoHc_10OvrxRq8f7mNNzl_B6c</t>
  </si>
  <si>
    <t>SetMarketDataProvider</t>
  </si>
  <si>
    <t>11vW7fknzM8vTBH8SeRsGGkS29p8E1Xfx9205Qtc5hC4</t>
  </si>
  <si>
    <t>SetAllocationPreferences</t>
  </si>
  <si>
    <t>16PO4KGgITIDM3iQzFlyKHfXPBXba023pXOJQCBN_Elc</t>
  </si>
  <si>
    <t>CustomOrderTT</t>
  </si>
  <si>
    <t>1XzjmPmpB7IMcyzPSsbgmFfzjE_zIKdjrk0mUoMFhNZc</t>
  </si>
  <si>
    <t>ConnectToSimAutoMan</t>
  </si>
  <si>
    <t>1kmGpZTH9xe92vT2JQhF-Njj6d_RCoVtRypLmoKTlseo</t>
  </si>
  <si>
    <t>SetRegularCompliancePermission</t>
  </si>
  <si>
    <t>1pGZ7u9bF4Lu1nJJRSpSz5TQn_FVJsrIH05yxOHHU4S4</t>
  </si>
  <si>
    <t>AddOrRemoveColumn</t>
  </si>
  <si>
    <t>143kwNkqtTW1E3kVeTrESBbZbd8h3b9KHBzWYPombeFE</t>
  </si>
  <si>
    <t>RemoveOrderFromCustomTab</t>
  </si>
  <si>
    <t>1sfynQiLVUyAEBtlKhgJSpN7R6q9257IFweh0qT9mx20</t>
  </si>
  <si>
    <t>SaveLayoutUsingMTT</t>
  </si>
  <si>
    <t>ReloadFromSummary</t>
  </si>
  <si>
    <t>1va9lkysxv5IoF2imeSPCpBsD6J_IgJcN5bBcjjoS3g4</t>
  </si>
  <si>
    <t>AllocateFromWorkingSubsBlotter</t>
  </si>
  <si>
    <t>1y2YFZm3A-cdE2rpKOdJdC0HlrimUfKr3DluQsVb-w0E</t>
  </si>
  <si>
    <t>CheckStepSheet</t>
  </si>
  <si>
    <t>1CcLgTaVQvUoDbfsClCPnFcyGRwVMAdsncTnhtlJxsws</t>
  </si>
  <si>
    <t>AddNewModelPortfolio</t>
  </si>
  <si>
    <t>1Qh_vkSA3OzQ68ohGqDcDXce4JnkIitnyepLjVSKsW40</t>
  </si>
  <si>
    <t>ApplyFilterOnMTTGrid</t>
  </si>
  <si>
    <t>1Vbhwhkyzzv1rTVbuvoBAl60OJALDvg_yXNHVYwq0EhE</t>
  </si>
  <si>
    <t>EditOrderForMTT</t>
  </si>
  <si>
    <t>1qWfM-5I-ku-5EHZAkn8eS-IZo3tx5B4_gWM6t3Q6Ioo</t>
  </si>
  <si>
    <t>ViewSettings</t>
  </si>
  <si>
    <t>1BCFYc9ywS4ss91grP2kHc2F1OGEGuTk3Hc5CFYfKKao</t>
  </si>
  <si>
    <t>SaveLayoutPM</t>
  </si>
  <si>
    <t>18bINF8LvIWUr1rFpe1vpLTKdPT6dJi-B14KFcAVwyfQ</t>
  </si>
  <si>
    <t>OpenCustomView</t>
  </si>
  <si>
    <t>1aiFAc6kqib929pQs2Ufmf6eB0G6tPhDoqY6caFUaSUk</t>
  </si>
  <si>
    <t>VerifyCustomTabs</t>
  </si>
  <si>
    <t>1s7r1b7iwigom4v0m_RFb-ufZk23d2CqFi99gb-mX0YY</t>
  </si>
  <si>
    <t>SelectCheckBoxOnCustomTab</t>
  </si>
  <si>
    <t>1W7_hWkxbVlSNSzD2alHZ5u1n0B8MxwrlBkeZiMYqHMY</t>
  </si>
  <si>
    <t>SetCommissionRule</t>
  </si>
  <si>
    <t>1e-yvODG5ey0ZbxkvSZQ_rap65UOoA-JbxTp0ybaw-TQ</t>
  </si>
  <si>
    <t>VerifyBuySellList</t>
  </si>
  <si>
    <t>1O2u9vu9lB8RTOcsD20GdbXlSWEbt310TUvIkuLxRuBg</t>
  </si>
  <si>
    <t>SetPreTradeCompliancePermission</t>
  </si>
  <si>
    <t>1ewjQxQzAYWPb_Xt7eg-BDaW0JVta4cevciiv9vOUvg0</t>
  </si>
  <si>
    <t>UploadStageOrder</t>
  </si>
  <si>
    <t>1lK9zUhBpffXk_Fyp8pfWJfS2RpqtAwa9zGPb9Vlkb7Q</t>
  </si>
  <si>
    <t>RefreshBlotter</t>
  </si>
  <si>
    <t>CancelFromSummary</t>
  </si>
  <si>
    <t>1jSLVysCdd7TUYKjG07aOiq3UU-oAUNbdPg35uHeWwhk</t>
  </si>
  <si>
    <t>OpenTaxlotDetails</t>
  </si>
  <si>
    <t>183AzyWH5HmQPGs1axkOpXRel-i1zs9GjyySy7q1x--0</t>
  </si>
  <si>
    <t>CheckTaxlotDetails</t>
  </si>
  <si>
    <t>1u7Vyi2HvA8tXNgHY_2MzmzcCg8vrtuLRURK0hFpMTXk</t>
  </si>
  <si>
    <t>VerifyAuditTrail</t>
  </si>
  <si>
    <t>1SsF4E82QKwgB26ZoKXUhkX5AaUZdZC5n2EeHmwKGduU</t>
  </si>
  <si>
    <t>DbPicker</t>
  </si>
  <si>
    <t>1tqSr_cmWz94o-j1zOzyqKpbL44h18j2PCfFMgpuxVw0</t>
  </si>
  <si>
    <t>DoneForDay</t>
  </si>
  <si>
    <t>SetAuecExecutingBroker</t>
  </si>
  <si>
    <t>1FOtSQ752PHH-4nayG7R-PaG921WCWKVU8Lsl4pC6Mr0</t>
  </si>
  <si>
    <t>AuditTrail</t>
  </si>
  <si>
    <t>GetDataFromAuditTrail</t>
  </si>
  <si>
    <t>1tNXZNqCj-1qo8Li9Rf4t_XiY-dX6itH2UAbOSe3-Mxc</t>
  </si>
  <si>
    <t>1yv4ikffZOFZ-OOoWF_aNEGZA8dcvqtzobkyZjf8TDRs</t>
  </si>
  <si>
    <t>RunPortfolio</t>
  </si>
  <si>
    <t>1zDfER5xLj_X17wyRdaAzzNf3aYbaPGLRGVpc2rFBtc0</t>
  </si>
  <si>
    <t>AddOrRemoveColumnFromBlotter</t>
  </si>
  <si>
    <t>1AImtOGYKAeR3YFeq_UoGYWtzjfmt90mMudYE0gCcfuY</t>
  </si>
  <si>
    <t>ApplyFilterOnBlotter</t>
  </si>
  <si>
    <t>1HwDVyMvyOdl2-ZD1QqhAZuwUuRJSMW_PlBPxaE_76EI</t>
  </si>
  <si>
    <t>SortGridOnBlotter</t>
  </si>
  <si>
    <t>1MvLrWPS7fBH0YzOrBIt5TdlPdCiRTwsVXBfvicm6qvY</t>
  </si>
  <si>
    <t>VerifyDataIndexWise</t>
  </si>
  <si>
    <t>18hzviv5ObHcdclDM2TEFd2OQL7r5vS4oemcrzjwtOSk</t>
  </si>
  <si>
    <t>RTPNL</t>
  </si>
  <si>
    <t>CheckSummaryDashboard</t>
  </si>
  <si>
    <t>19yZ--qYnhGSO8AdhnHqcmGmViOWMDkup5wR8bA3T2Os</t>
  </si>
  <si>
    <t>CheckFundLevelAggregation</t>
  </si>
  <si>
    <t>1onoHaI0svf2S0wDmLkCePbLXTpyPt2uzhxg7tVdRMeI</t>
  </si>
  <si>
    <t>CheckAccountLevelAggregation</t>
  </si>
  <si>
    <t>1wpk-GXi0GZ8cadXtuW18V6GfYany_8NjDMShh2aobZ4</t>
  </si>
  <si>
    <t>CheckSymbolLevelAggregation</t>
  </si>
  <si>
    <t>1j6_k8vwocZ8wAvUMMfdx9IKldUmmqzRN2HCaaoFysqc</t>
  </si>
  <si>
    <t>CheckRealTimeSymbolFundMonitor</t>
  </si>
  <si>
    <t>1YeAroYmlm8GLwEhMTsKLli9Lc6cZEoPatK76WOit8ho</t>
  </si>
  <si>
    <t>CheckRealTimeSymAccountMonitor</t>
  </si>
  <si>
    <t>1YWIN_lFXkJFac_sw0d58YkjeJOr7Xa3JotKO9BAEG3Q</t>
  </si>
  <si>
    <t>Split</t>
  </si>
  <si>
    <t>1YQNpSzhH6xtFfgEJnDqykr5nsIzqMbnBQEatRhEpHOs</t>
  </si>
  <si>
    <t>CreateDashBoard</t>
  </si>
  <si>
    <t>1dY75aj2BVOI4B62Yc0rtSVntoWfkhHllgE9tFaIW26k</t>
  </si>
  <si>
    <t>OpenFin</t>
  </si>
  <si>
    <t>CheckOpenFinWindowName</t>
  </si>
  <si>
    <t>1_QbFW_DIr-YIJKQnRAaHNRalcZ0QCmFiB-DdP5Sbwko</t>
  </si>
  <si>
    <t>OpenWindowFromSearch</t>
  </si>
  <si>
    <t>1e8B2KIAHr80o-fgghowV60Cd3dClYg316CFpnQaQAIE</t>
  </si>
  <si>
    <t>OptionTradingThroughSecurity</t>
  </si>
  <si>
    <t>1clAdB0F6htmQF_MbmjwcIdau2ji1ufQer1WZBDOaeBQ</t>
  </si>
  <si>
    <t>UpdateDashboardName</t>
  </si>
  <si>
    <t>1aNmeOLOU3vHxn4vCNTUtDLnYV9ZzH4jYF4G95SD77ow</t>
  </si>
  <si>
    <t>AddWidget</t>
  </si>
  <si>
    <t>1QetwOPuGJZ9VGJxG4h8-cX_06kX2sFa3dVbulVAf6H8</t>
  </si>
  <si>
    <t>CheckDashboardWidgetTitle</t>
  </si>
  <si>
    <t>1HywJj49UTJ0a2drrA-uSVbVT8uwRKeg9hrZ_IYbHs7M</t>
  </si>
  <si>
    <t>updateWidget</t>
  </si>
  <si>
    <t>1SEQwBhkZIg_dA_RSQqCGv5m0-nf1OjN8eXQzvxE35tE</t>
  </si>
  <si>
    <t>SetAlgoBroker</t>
  </si>
  <si>
    <t>1ysK6XeT3Tu7B_jcnGseqzvKUCFY5_PNP6KEmR-uswgE</t>
  </si>
  <si>
    <t>CreateTradeWithAlgoBroker</t>
  </si>
  <si>
    <t>1D-4t1xB_3TrWQDfVaykN5dg7eoT58IEqv3gXIDpM20c</t>
  </si>
  <si>
    <t>EnableAutoGroupingAllocation</t>
  </si>
  <si>
    <t>1NeqButT68ws592R_0_8U2URVQT-opGH4uQ6W30VuDKo</t>
  </si>
  <si>
    <t>GetEmail</t>
  </si>
  <si>
    <t>14zIr297hHEwbCXtU1KW8tP9R8vZWp-yZlZOWIyQ8JM8</t>
  </si>
  <si>
    <t>BrokerConnectionThroughTUI</t>
  </si>
  <si>
    <t>1zjPR01VJFgDurgv90dzI5FheiwzguF_eQq_gmAIYF1E</t>
  </si>
  <si>
    <t>VerifyColour</t>
  </si>
  <si>
    <t>1JqfkBahL4M3QJ6OlrKFEO0l-A5PRm9-rSzRM19eNLvM</t>
  </si>
  <si>
    <t>OpenRTPNL</t>
  </si>
  <si>
    <t>1j-FWEidBpUuPYcE4AbSAw08LdLumr0SQSFYFcyX2SkM</t>
  </si>
  <si>
    <t>VerifyOrderSide</t>
  </si>
  <si>
    <t>1c9KH-8l1ETf94Oe0mx95JD0fjeeah2gCx04R2mT4vgU</t>
  </si>
  <si>
    <t>OpenReleaseClient</t>
  </si>
  <si>
    <t>1lDURQPfx8lvChAjYM0DztCXj5aW1r1sP_KQ4sTM3ljc</t>
  </si>
  <si>
    <t>LinkDashboardTabs</t>
  </si>
  <si>
    <t>1_ZOUJw5mEb5-uMCe7uXUcU1uwSnKbENOdKRfc5frcRI</t>
  </si>
  <si>
    <t>SelectDashboardTabRow</t>
  </si>
  <si>
    <t>10Vd3dhJiCjsba_tbRecSrC0PBN1F1QFBXBKfTY2hBy4</t>
  </si>
  <si>
    <t>SelectRowAtFLAggregation</t>
  </si>
  <si>
    <t>1cEp9PBaAuW5WBA5D6VvUB32hYlXbJCbbqSozcxuwCxs</t>
  </si>
  <si>
    <t>SelectRowAtALAggregation</t>
  </si>
  <si>
    <t>1rSsC3GJdez3CoU5cuG9j4H7yxOCRUN1u8OaLrlQV3ms</t>
  </si>
  <si>
    <t>SelectRowAtSLAggregation</t>
  </si>
  <si>
    <t>17LhetpqlUGKZ842KdCVcUSBi-Oo7pi9N29U1unAcSXI</t>
  </si>
  <si>
    <t>SelectRowAtRTSFundMonitor</t>
  </si>
  <si>
    <t>1GfRMRoQy-JJWGhUYOAlTtktEu_COt80geQtMyahWn-g</t>
  </si>
  <si>
    <t>SelectRowAtRTSAccountMonitor</t>
  </si>
  <si>
    <t>1ymWI4H-rYSuYcMBnVqoCFZgBq0wgkwh4HNQd4M6a3EE</t>
  </si>
  <si>
    <t>FilterRTSAM</t>
  </si>
  <si>
    <t>19QrXgA8ZQp9FIUAggXNU6zXTsnkvA4_nCUqf6XrnTIM</t>
  </si>
  <si>
    <t>SortRTSAM</t>
  </si>
  <si>
    <t>1JGXz9lScbj7NMo2gp1dnjyAosk2i-_vn-_beAX5olZY</t>
  </si>
  <si>
    <t>CreateOrEditSymbolTT</t>
  </si>
  <si>
    <t>1idmpWrKnVe2S0NRHKC3RamOBjdC5_vnd76rycS2naOU</t>
  </si>
  <si>
    <t>ExtractTabOutsidePMDashboard</t>
  </si>
  <si>
    <t>1gL_7b12xxIm2t8SbS3r1OEz_l436Ag72OxKiVxsSHao</t>
  </si>
  <si>
    <t>SortRTSFM</t>
  </si>
  <si>
    <t>1RPd2Hj7qN07O5usXRKyD6vnEBaAjN4s-c66S7_cTJL0</t>
  </si>
  <si>
    <t>SortSLA</t>
  </si>
  <si>
    <t>1uqQ9rYn7Web5f-3p1kL2oa_1jv5CTxiLTZgtyeOnG5k</t>
  </si>
  <si>
    <t>SortALA</t>
  </si>
  <si>
    <t>1HFxukRhN8_NG06AxIvFbitVTjtpuHxAfEbMllW36roE</t>
  </si>
  <si>
    <t>SortFLA</t>
  </si>
  <si>
    <t>16fbn56mKuCbv6fF3O21I3-tlQPhsQWvtInKzVunyM7s</t>
  </si>
  <si>
    <t>FilterRTSFM</t>
  </si>
  <si>
    <t>1aR-wCrpB-M5qPHNLKmkkkDXUdLLquektow3lRehT7aA</t>
  </si>
  <si>
    <t>FilterSLA</t>
  </si>
  <si>
    <t>1VstTCReOBMZnMYs_uYfmc2u8trc1ET-vbWFFCBehT_I</t>
  </si>
  <si>
    <t>FilterALA</t>
  </si>
  <si>
    <t>1a9lso4ZEh6d-62hPnh0hEsACtRSusVGWjAO1Q5WPAEg</t>
  </si>
  <si>
    <t>FilterFLA</t>
  </si>
  <si>
    <t>1iInEvGMej-U3deNeFM-LhHIJxa9DnH1LfYmUlixwoO0</t>
  </si>
  <si>
    <t>IncreaseOrUnwindPositionRTPNL</t>
  </si>
  <si>
    <t>1q1Wc-dRTuQg4BlHBt6hfkwKefeK_K_Mif-Ctd_wCOUc</t>
  </si>
  <si>
    <t>SavePage</t>
  </si>
  <si>
    <t>1_uQYVoc5DS6NYv0EYGKjax2jWsfgKobFEjxJkQjLL3w</t>
  </si>
  <si>
    <t>CloseRTPNL</t>
  </si>
  <si>
    <t>1q0e1lbiWuCHi7U7mu_pkI_EHtO0vohpMfwjgm_XpoMk</t>
  </si>
  <si>
    <t>VerifyColumns</t>
  </si>
  <si>
    <t>1hv4fjReFX37JfqBQku0u9vApiCQpf-X1f4UEDLw3y_s</t>
  </si>
  <si>
    <t>RemoveMasterUser</t>
  </si>
  <si>
    <t>SaveLayoutBlotter</t>
  </si>
  <si>
    <t>NavLock</t>
  </si>
  <si>
    <t>DeleteExistingNavLock</t>
  </si>
  <si>
    <t>1HqQPyzif5um_L8C14d1R1blK2opfeEitYxPutZTlmFw</t>
  </si>
  <si>
    <t>AddNavLock</t>
  </si>
  <si>
    <t>1GPjpONzArmJk58f1PhPdnRa4N-8ryMP6ZWGSYiH7Y3s</t>
  </si>
  <si>
    <t>VerifyAllocationNavLockPopup</t>
  </si>
  <si>
    <t>1nlDKsMtQr89ys6-s3fNyeXJhd3KY9s6Hzaoil52avTI</t>
  </si>
  <si>
    <t>ConfigureWidget</t>
  </si>
  <si>
    <t>1W6yBhMOu0wchoi8WJBVKvPLgngkTy6xSOF5JPGpCiJM</t>
  </si>
  <si>
    <t>VerifyCTNavLockPopup</t>
  </si>
  <si>
    <t>144sdIKvp1IYBLo1BR5xnXjJV08MEYXOtOle_BzmZysU</t>
  </si>
  <si>
    <t>VerifyDVNavLockPopup</t>
  </si>
  <si>
    <t>1rXDKRADphBVDpGsYUs6Jq5ugHFrpJ_qRur3VkVbGwV4</t>
  </si>
  <si>
    <t>VerifyGLNavLockPopup</t>
  </si>
  <si>
    <t>13qCmJnkjFZw_O4n_dVKtJg-5eOkymkypG_MjQGuuNAo</t>
  </si>
  <si>
    <t>VerifyImportNavLockPopup</t>
  </si>
  <si>
    <t>1pXdTBlTEvtcQUfX_APkVY3rRe3gVlj4Sk_Jyd6F4sNM</t>
  </si>
  <si>
    <t>VerifyMTTNavLockPopup</t>
  </si>
  <si>
    <t>1hzuWfGgMcTuN77JdNWDiNq95xYqAIxYrqdk47goXdlc</t>
  </si>
  <si>
    <t>VerifyPINavLockPopup</t>
  </si>
  <si>
    <t>1MqKw1Z4nex0wIRjcW-Lhchpv8ZsSNuruz2cszeIP01M</t>
  </si>
  <si>
    <t>VerifySLNavLockPopup</t>
  </si>
  <si>
    <t>1sBI9JpwaQW2KTgfDWaY7h3xdvzXzeqjaP8_Vml6QbTo</t>
  </si>
  <si>
    <t>VerifyTTNavLockPopup</t>
  </si>
  <si>
    <t>15lRx1SPPsy7nykR6nVYUadOnwKG80Q6OfxTDuQ_dvXI</t>
  </si>
  <si>
    <t>VerifyBlotterNavLockPopup</t>
  </si>
  <si>
    <t>1NXDngJ54gfiJxrqVxgbEYZ7hW3c4kquifXR6Lg7EK5Y</t>
  </si>
  <si>
    <t>VerifyClosingNavLockPopup</t>
  </si>
  <si>
    <t>1AR0JbTGvV_W-vRVG60LJNAab-sFlfdBFwEtZpVYEMPo</t>
  </si>
  <si>
    <t>ChangeWidgetView</t>
  </si>
  <si>
    <t>1PKf_qqqp1j7_MkyduQmNqqaKdDFTgjuq1ApwaDumMj0</t>
  </si>
  <si>
    <t>VerifyNavLockPopup</t>
  </si>
  <si>
    <t>1BZhGha4iLlieCbbyTcPylU2maLzwgdHAfTO198z-aX8</t>
  </si>
  <si>
    <t>VerifyRowsNavLock</t>
  </si>
  <si>
    <t>12Dl3x2X_C-RCm3K5RkyuRq_t8lxeYk98IQBRrsF9WLU</t>
  </si>
  <si>
    <t>CustomTabActions</t>
  </si>
  <si>
    <t>163hnSm9KTeABqdRxsfyyCsrxGVcrGd0nCGT4WqLsJ9Q</t>
  </si>
  <si>
    <t>VerifyAllocationWindow</t>
  </si>
  <si>
    <t>1DUwxSUq_47EK60XmK3LOdCXa1fkWqWJE9bLuGS3ccv4</t>
  </si>
  <si>
    <t>SavePageView</t>
  </si>
  <si>
    <t>1wFFzsxWBm8VT5o4pz2dFosHS72pEaQuVZFVkiVeZE9w</t>
  </si>
  <si>
    <t>ActionOnPageFromSearch</t>
  </si>
  <si>
    <t>1jCpG4ETPp9dfvh-Ymdex8Mb3Taz9sYrOR-1uBd5Ceyc</t>
  </si>
  <si>
    <t>ChangeThemeOnModule</t>
  </si>
  <si>
    <t>1KKiVG313VPgZZadw3-GZ4Cbt7wTwEPpmyGsp3MHFp9Q</t>
  </si>
  <si>
    <t>MoveFile</t>
  </si>
  <si>
    <t>1BBCKN3cBzJgvZqLoHeAi1YmxeNaesC7YrayWsYVuQeU</t>
  </si>
  <si>
    <t>CloseService</t>
  </si>
  <si>
    <t>1YXPx62dgEZ9yV5qKkFLgWipyvziAW1SJVEqhiNHEONM</t>
  </si>
  <si>
    <t>LogOutSamsara</t>
  </si>
  <si>
    <t>1AHqtQRX4cdwOByK5Ip_T2FJlZFaU23rmiDk0afFhfaY</t>
  </si>
  <si>
    <t>TradeQTT</t>
  </si>
  <si>
    <t>1-5lKqkX57JBaCsmy3TeMGKEVsjNdXnqCttYvBHsfJ14</t>
  </si>
  <si>
    <t>VerifyCustomAllocationSecondUI</t>
  </si>
  <si>
    <t>1AL5eBNcstEo3uS52PLH2Duzff-16gDD2eEJx_augMtM</t>
  </si>
  <si>
    <t>VerifyViewAllocationOrder</t>
  </si>
  <si>
    <t>1I3aVj-PRyRug4M5EDTw8espL6CeDhXPCYr5qa2gbwZk</t>
  </si>
  <si>
    <t>UseOrVerifyHotKeys</t>
  </si>
  <si>
    <t>1ajjcbjqpEui4y62RzfJ-6ARI0W8GAhrdUmWCOsG_ovE</t>
  </si>
  <si>
    <t>ShortLocateFromTT</t>
  </si>
  <si>
    <t>1saPgjE09_MBiqASRTSQboRMwRdUlFv6nzTocBZeFm-I</t>
  </si>
  <si>
    <t>VerifyShortLocateWindowOnTT</t>
  </si>
  <si>
    <t>1ljyVPm21FKmOvEmG0-JvPMTBuyG89a_7EGFToCoHgI4</t>
  </si>
  <si>
    <t>AlgoUIOperations</t>
  </si>
  <si>
    <t>1uln1YXeeB893lpbmhI194peJcUUj4ODFhdM1AYcTVJo</t>
  </si>
  <si>
    <t>UpdateShortLocateFromTT</t>
  </si>
  <si>
    <t>13hfddjE8Z-71LhiEXSLwqUDRw6EbnSTKZU2vgV_dwUA</t>
  </si>
  <si>
    <t>RenameTabs</t>
  </si>
  <si>
    <t>1K7LcioEl1sTwLRhqHc9go_7jNmUIRZNy9zBQLMgtBw8</t>
  </si>
  <si>
    <t>ResizeEnsure</t>
  </si>
  <si>
    <t>1-peVyQ_nIwd8owwmtDtNW-yx12KQx2nHeYee6duB46M</t>
  </si>
  <si>
    <t>ClearRTPNLtabs</t>
  </si>
  <si>
    <t>AddTabRTPNL</t>
  </si>
  <si>
    <t>18kG7vS-CfSLW8Q-ho416lyPlP36XJPPHA0cRbCk3vjU</t>
  </si>
  <si>
    <t>ResizeEnsureBlotter</t>
  </si>
  <si>
    <t>1Vu6zEtojqPkTWiW-oX7BwwpFj9Oi3-B6-sRrEsjiW0Y</t>
  </si>
  <si>
    <t>ConfigUpdater</t>
  </si>
  <si>
    <t>19IDTIIOkGl6qufGANtXkELRoXFIlWB3icM0G4IJ5mg4</t>
  </si>
  <si>
    <t>SelectTradeOnPM</t>
  </si>
  <si>
    <t>1_tBJjps2mULQyHra_AnC6BBvPbOko3FAY-kc11l7eTg</t>
  </si>
  <si>
    <t>ResetTT</t>
  </si>
  <si>
    <t>RightClickOperations</t>
  </si>
  <si>
    <t>17jhCujI-0V0U3n5lzlkc-azSuwCa7rf-4KwcSInm9ts</t>
  </si>
  <si>
    <t>Unknown</t>
  </si>
  <si>
    <t>RightClickAndClickOperations</t>
  </si>
  <si>
    <t>1e9jtl9r57SkbYm3S4wbHtvkeG2KExZEiFSIkkRSaq-8</t>
  </si>
  <si>
    <t>EnableDisableRule</t>
  </si>
  <si>
    <t>1ldCRZpDrvOW-37YQP92bnj-oqRl2rwy9OIebmA5GKXE</t>
  </si>
  <si>
    <t>BlotterToolBarAction</t>
  </si>
  <si>
    <t>1bI1kIBxH6qy8zi5tx46rN3vNgbmxbdwtAo1inrXDALs</t>
  </si>
  <si>
    <t>MergeWindows</t>
  </si>
  <si>
    <t>1BEiRPdwHXsXVZ0ioude04Me5qSQ_YU6xh1ZwMWgExVU</t>
  </si>
  <si>
    <t>OperationsonPM</t>
  </si>
  <si>
    <t>13hKVogBv66c752V1EGUyqXp4dGESQOZLmMqIB56fbAs</t>
  </si>
  <si>
    <t>ResizeEnsureTT</t>
  </si>
  <si>
    <t>1X1m60ND44-Chxr6N4sH6Fqbh_pqzIH8Cfy3c89u2_lQ</t>
  </si>
  <si>
    <t>AccountPermission</t>
  </si>
  <si>
    <t>1UuUydT-ajZCwnqdhLBG28JhRRgR6skh7CgWMlr5JFEw</t>
  </si>
  <si>
    <t>CreateOrViewModelPortfolio</t>
  </si>
  <si>
    <t>1vejknW_QiO0r5pMzMjOGCCsgwLVes4a3Ubx1l-0Mg1k</t>
  </si>
  <si>
    <t>VerifyModelPortfolio</t>
  </si>
  <si>
    <t>1Tza5cx7NJ2J8vr_f6DC-KPhnXCzf7l1m0EERc6z_T-U</t>
  </si>
  <si>
    <t>ReviewExistingPositions</t>
  </si>
  <si>
    <t>1KwYoTdpeW6LDhzloVKHp5buZqc8IjXEShjwnUx45Ql8</t>
  </si>
  <si>
    <t>VerifyTradeListSummary</t>
  </si>
  <si>
    <t>1CwPtInR_Cy6ir39KI9yaXfAvolUGYsOGbIOnZabie0c</t>
  </si>
  <si>
    <t>ActionOnTBSListSummary</t>
  </si>
  <si>
    <t>1vMPSqBpJ7zBb4rZw_ytaphDX8K_jcboQlLc6plZtllU</t>
  </si>
  <si>
    <t>VerifyTLOSideSummary</t>
  </si>
  <si>
    <t>1asJHjZ4EwQuMXHEFjolwYeO59Mt4d11wf4mCyD98JMw</t>
  </si>
  <si>
    <t>SelectAndVerifyTradeList</t>
  </si>
  <si>
    <t>1fXJG--hBH0hPvU7g5jtXyZnD1GiwJXfYX9HdEyhGyGs</t>
  </si>
  <si>
    <t>ActionOnTradeBuySellListView</t>
  </si>
  <si>
    <t>1xeJEpkdxtbik3vPUTkxALkXsnL-Vl5dF07PBUoheM3k</t>
  </si>
  <si>
    <t>OperationsonPTT</t>
  </si>
  <si>
    <t>1J40rCXEDilLEF_x0Wkeeg1lwGfejucV1VSY9UcyeSlw</t>
  </si>
  <si>
    <t>UpdatePricingInput</t>
  </si>
  <si>
    <t>1CG9iYOkRKzlGEsKh7QuEyMdGRQea_W4KDWwlnjE2BdE</t>
  </si>
  <si>
    <t>ImportOnRB</t>
  </si>
  <si>
    <t>1EntkiGIsU6aSZPpMKhixdhGFyyVCmlI1jMgvbCFq3oM</t>
  </si>
  <si>
    <t>ActionOnRSAImportGrid</t>
  </si>
  <si>
    <t>1qyFUqeWV7-Gy2PHnDNHGdUCBuvTKxxZhflKe9pguJEE</t>
  </si>
  <si>
    <t>VerifyImportGridRBForInvalidSec</t>
  </si>
  <si>
    <t>13tlfzcOYlxn2sOASC-JNdqZmR9A1Cesa2Ah5348pLN8</t>
  </si>
  <si>
    <t>VerifyImportGridRBForValidSec</t>
  </si>
  <si>
    <t>1KiLapuRaYEZfokVV1TZf8gTWNe8d9PblbpJsN983CaI</t>
  </si>
  <si>
    <t>ActionOnImport</t>
  </si>
  <si>
    <t>1YM2boQt7BrzysPpsUbIqt27cfA6-btDPEZntG5NhBUc</t>
  </si>
  <si>
    <t>ValidateImportPositions</t>
  </si>
  <si>
    <t>1ApMxUfr4smtwBJX_cppynzY1M99QXnDpTRjevjraQtA</t>
  </si>
  <si>
    <t>UpdateMPAndFC</t>
  </si>
  <si>
    <t>1UCNfZng94LprScqCmSKImRjCwiKlLQU_e1kY1tum91I</t>
  </si>
  <si>
    <t>SelectDateAtMPFC</t>
  </si>
  <si>
    <t>1DnCg9cxYbA4JZCrUA-hItngQmbhhFuxexdkPS0iagg8</t>
  </si>
  <si>
    <t>SelectTradeWatchlist</t>
  </si>
  <si>
    <t>1Wa9Q7PE7i3bZr_mTOkYG22qcEixSMbydeuL2lnyNfB0</t>
  </si>
  <si>
    <t>ActionOnWatchlist</t>
  </si>
  <si>
    <t>1Ex0VPpmT3E0nbSBahi-24Pfuba4HTTVDqcm5UWIEUUw</t>
  </si>
  <si>
    <t>OperationsonAllocation</t>
  </si>
  <si>
    <t>1Ef_CfqtvCC0SoupZq61OQuLBg_r-ocFfZ5dScRXCuD4</t>
  </si>
  <si>
    <t>VerifyTradeSummary</t>
  </si>
  <si>
    <t>1QKYeLTANHsRzTEgySasZ8-Hipb9o0WkonYSctIWDvTQ</t>
  </si>
  <si>
    <t>SelectTradeOnBlotter</t>
  </si>
  <si>
    <t>1DUwxSUq_47EK60XmK3LOdCXa1fkWqWJE9bLuGS3ccv412</t>
  </si>
  <si>
    <t>SelectTradeSummary</t>
  </si>
  <si>
    <t>MergeOrderMessage</t>
  </si>
  <si>
    <t>SwitchTabBlotter</t>
  </si>
  <si>
    <t>AddTab</t>
  </si>
  <si>
    <t>UploadStageOrders</t>
  </si>
  <si>
    <t>NirvanaDialogueBoxHandler</t>
  </si>
  <si>
    <t>AddTabToFav</t>
  </si>
  <si>
    <t>1Hrblc1gk4JIYboQ1lGHgl7HatAXp5amAl9mS58vzT-0</t>
  </si>
  <si>
    <t>VerifyAllocationDetails</t>
  </si>
  <si>
    <t>WindowAction</t>
  </si>
  <si>
    <t>VerifyAllocationDetailsSam</t>
  </si>
  <si>
    <t>VerifyExpandedBR</t>
  </si>
  <si>
    <t>CheckModStatus</t>
  </si>
  <si>
    <t>1S0obfxcw-fBa8_NHZx6E2ddpXBy262moOyglnQyX8XA</t>
  </si>
  <si>
    <t>ActionOnGroupBox</t>
  </si>
  <si>
    <t>CreateOrViewMP</t>
  </si>
  <si>
    <t>SwitchTabRB</t>
  </si>
  <si>
    <t>SelectAllTradesAllocation</t>
  </si>
  <si>
    <t>SetFundDistribution</t>
  </si>
  <si>
    <t>SelectModelPortfolio</t>
  </si>
  <si>
    <t>OperationsonMPRB</t>
  </si>
  <si>
    <t>VerifyMPRB</t>
  </si>
  <si>
    <t>BasketPermission</t>
  </si>
  <si>
    <t>17IDG53HtzAOlp_4FIV5uGfLm-MbCR9NktUckecZQFVU</t>
  </si>
  <si>
    <t>ActiononCustomGroup</t>
  </si>
  <si>
    <t>SelectCustomGroups</t>
  </si>
  <si>
    <t>SelectAssignedAccounts</t>
  </si>
  <si>
    <t>SelectUnAssignedAccounts</t>
  </si>
  <si>
    <t>VerifyCustomGroups</t>
  </si>
  <si>
    <t>VerifyAssignedAccounts</t>
  </si>
  <si>
    <t>VerifyUnAssignedAccounts</t>
  </si>
  <si>
    <t>VerifyAllocationStatusBar</t>
  </si>
  <si>
    <t>1xGSEHe1MiU9TD2PSlKIl96W7bOhlWvmTLQB</t>
  </si>
  <si>
    <t>ActiononRebalance</t>
  </si>
  <si>
    <t>BulkUpdateonMTT</t>
  </si>
  <si>
    <t>CustomOrderMTT</t>
  </si>
  <si>
    <t>MoveToAssignedList</t>
  </si>
  <si>
    <t>ActionOnPrompt</t>
  </si>
  <si>
    <t>VerifyRBStatusBar</t>
  </si>
  <si>
    <t>SelectAllMTT</t>
  </si>
  <si>
    <t>SelectTradesMTT</t>
  </si>
  <si>
    <t>OperationonMTT</t>
  </si>
  <si>
    <t>VerifyExpansionIndicator</t>
  </si>
  <si>
    <t>VerifyPTTUI</t>
  </si>
  <si>
    <t>OpenModule</t>
  </si>
  <si>
    <t>1L-UVWUTPBRTuEZmbLDReT0I7a0h7ABWiidO4dyyCx34</t>
  </si>
  <si>
    <t>CheckWindow</t>
  </si>
  <si>
    <t>VerifyExecutionType</t>
  </si>
  <si>
    <t>1GeLKG0YL6nDFQYX8NohWSG0yonppxuSHWgOuwLzEWwI</t>
  </si>
  <si>
    <t>VerifyBlotter</t>
  </si>
  <si>
    <t>VerifyNotification</t>
  </si>
  <si>
    <t>1rm7dGZ4-j6MPtyiMlJDHnZgIjnFk8Hv19VRPaPCgUMY</t>
  </si>
  <si>
    <t>VerifyPopupAlignment</t>
  </si>
  <si>
    <t>1PAyxzLHPOj64pXbS5W7uBsuT035g_GlIT1xXUjFNRUk</t>
  </si>
  <si>
    <t>SelectET</t>
  </si>
  <si>
    <t>1Tpuk-xqnvfBtaWXtAffyW0Chu9RCysO1V7PE2wbI7Xk</t>
  </si>
  <si>
    <t>AddColumnsToGrid</t>
  </si>
  <si>
    <t>1Gs1xU4gMYORlTreZaEK39cVUrhrtk_8wZfgLySBA8Us</t>
  </si>
  <si>
    <t>Grouping</t>
  </si>
  <si>
    <t>1FNoxwXRCCjvm8HYhDo2XZGdWYdZNzY2Jh0ibkuVHNWo</t>
  </si>
  <si>
    <t>RollOverContextMenu</t>
  </si>
  <si>
    <t>1d45ieJRLC6DQ7t19pclAZz5EI6hBsZ5_VdNJYb3VsNc</t>
  </si>
  <si>
    <t>VerifyFatFingerTR</t>
  </si>
  <si>
    <t>VerifyOverBuySellTR</t>
  </si>
  <si>
    <t>RefreshCalculation</t>
  </si>
  <si>
    <t>AddCustomCashFlow</t>
  </si>
  <si>
    <t>ActionOnCustomCashFlow</t>
  </si>
  <si>
    <t>RemoveAllSecurities</t>
  </si>
  <si>
    <t>RebalanceTradingRules</t>
  </si>
  <si>
    <t>UpdateRBPreferences</t>
  </si>
  <si>
    <t>RecalculateNIC</t>
  </si>
  <si>
    <t>BookAsSwap</t>
  </si>
  <si>
    <t>1tnkP5eD3WH53SXu2O-MWk6774J7b5ihwlD7r9dGtpiY</t>
  </si>
  <si>
    <t>VerifyQTT</t>
  </si>
  <si>
    <t>1bs3VigXRg4VZR5W48lKm11EcEjEpmUCnBNDHffPRbIQ</t>
  </si>
  <si>
    <t>OperationsOnNIC</t>
  </si>
  <si>
    <t>DataPrefGridOperation</t>
  </si>
  <si>
    <t>VerifyExpanderBarButton</t>
  </si>
  <si>
    <t>RAS</t>
  </si>
  <si>
    <t>ActionOnFloatingWindow</t>
  </si>
  <si>
    <t>1tFNUPT3PXgCKRnnehGwo6OF7EhLu13UJ8Elfq83HArE</t>
  </si>
  <si>
    <t>PTTDashBoard</t>
  </si>
  <si>
    <t>LockUnlockModule</t>
  </si>
  <si>
    <t>179D0kPRO8f_KLxd7hs6seM9XGxpL-u1rhIhNgFVePsQ</t>
  </si>
  <si>
    <t>OpenModuleFromDock</t>
  </si>
  <si>
    <t>1IdmD7l42pWNjFNVt_7UwbOO7y5tDxaXr7tE60c9ETLw</t>
  </si>
  <si>
    <t>VerifyCFI</t>
  </si>
  <si>
    <t>EnableOrVerifyHotButton</t>
  </si>
  <si>
    <t>1wa8x9d9kPOHEp49mT2DEW0cyjjOClvAgixk1H2w-Tos</t>
  </si>
  <si>
    <t>RestartServerOnly</t>
  </si>
  <si>
    <t>ActionOnCFI</t>
  </si>
  <si>
    <t>VerifyDelRASGrid</t>
  </si>
  <si>
    <t>ActionOnUPW</t>
  </si>
  <si>
    <t>1DUwxSUq_47EK60XmK3LOdCXa1fkWqWJE9bLuGS3ccv413</t>
  </si>
  <si>
    <t>DefaultRuleUPW</t>
  </si>
  <si>
    <t>1DUwxSUq_47EK60XmK3LOdCXa1fkWqWJE9bLuGS3ccv414</t>
  </si>
  <si>
    <t>AccountStrategyUPW</t>
  </si>
  <si>
    <t>1DUwxSUq_47EK60XmK3LOdCXa1fkWqWJE9bLuGS3ccv415</t>
  </si>
  <si>
    <t>ActionOnCalPref</t>
  </si>
  <si>
    <t>1DUwxSUq_47EK60XmK3LOdCXa1fkWqWJE9bLuGS3ccv416</t>
  </si>
  <si>
    <t>SetMFDefaultRule</t>
  </si>
  <si>
    <t>1DUwxSUq_47EK60XmK3LOdCXa1fkWqWJE9bLuGS3ccv417</t>
  </si>
  <si>
    <t>ActionOnPrefWindow</t>
  </si>
  <si>
    <t>1DUwxSUq_47EK60XmK3LOdCXa1fkWqWJE9bLuGS3ccv418</t>
  </si>
  <si>
    <t>GetFixedPrefScheme</t>
  </si>
  <si>
    <t>1DUwxSUq_47EK60XmK3LOdCXa1fkWqWJE9bLuGS3ccv419</t>
  </si>
  <si>
    <t>VerifyFixedPref</t>
  </si>
  <si>
    <t>1DUwxSUq_47EK60XmK3LOdCXa1fkWqWJE9bLuGS3ccv420</t>
  </si>
  <si>
    <t>ActionOnToolBar</t>
  </si>
  <si>
    <t>1DUwxSUq_47EK60XmK3LOdCXa1fkWqWJE9bLuGS3ccv421</t>
  </si>
  <si>
    <t>VerifyCustomGroupModel</t>
  </si>
  <si>
    <t>1DUwxSUq_47EK60XmK3LOdCXa1fkWqWJE9bLuGS3ccv422</t>
  </si>
  <si>
    <t>VerifyFilterUiRC</t>
  </si>
  <si>
    <t>1QQZEZqPXfPnxfNID2a3__xw8RnEAn77igg5Q32S3Sm0</t>
  </si>
  <si>
    <t>SymbolSuggestionVerify</t>
  </si>
  <si>
    <t>14aTeLjmUbS-nhaQwjtZAMGxdQ5DS6UsBjE5OTWN-LQU</t>
  </si>
  <si>
    <t>PreferencesMain</t>
  </si>
  <si>
    <t>UpdatePTTPref</t>
  </si>
  <si>
    <t>ActionOnPreferencesMain</t>
  </si>
  <si>
    <t>VerifyUpdategrdAccountFactor</t>
  </si>
  <si>
    <t>VerifyUpdategrdMFA</t>
  </si>
  <si>
    <t>SwitchTabMFA</t>
  </si>
  <si>
    <t>UpdateBlotterPref</t>
  </si>
  <si>
    <t>UpdatePMPref</t>
  </si>
  <si>
    <t>UpdateGenPref</t>
  </si>
  <si>
    <t>VerifyUpdateAssetSide</t>
  </si>
  <si>
    <t>SwicthTabPref</t>
  </si>
  <si>
    <t>TTDefaultSelection</t>
  </si>
  <si>
    <t>TTNumSelection</t>
  </si>
  <si>
    <t>TTConfirmationPopUps</t>
  </si>
  <si>
    <t>VerifyUpdateBrokerPref</t>
  </si>
  <si>
    <t>TTGeneralPref</t>
  </si>
  <si>
    <t>UpdateClosingPref</t>
  </si>
  <si>
    <t>VerifyEditAttRenaming</t>
  </si>
  <si>
    <t>VerifyTradeList</t>
  </si>
  <si>
    <t>TTMainControls</t>
  </si>
  <si>
    <t>VerifySymStrip</t>
  </si>
  <si>
    <t>TTBottomTab</t>
  </si>
  <si>
    <t>TTBottomSwap</t>
  </si>
  <si>
    <t>CreateHotButtonOnBlotter</t>
  </si>
  <si>
    <t>1Yu7Fb6AjhUP8b-KuRJvgAwq8TykNK6BDh9F0Xpf12Ek</t>
  </si>
  <si>
    <t>FillHBdetailsOnBlotter</t>
  </si>
  <si>
    <t>13Isj5c5k8kObxI-GBT6Ir9VBOz_46lzhwVxXXVP8jQU</t>
  </si>
  <si>
    <t>EditAuecWindow</t>
  </si>
  <si>
    <t>1ottlNphVbp0AC-UFd-HlDpCLwOA2yWO1pN6eR3ML7vA</t>
  </si>
  <si>
    <t>VerifyBrokerSummary</t>
  </si>
  <si>
    <t>11hMxlfIQYwM8vPN2h--IGp7O02EDFbvJ4CSvjSfGsMY</t>
  </si>
  <si>
    <t>EditAuecWindowQTT</t>
  </si>
  <si>
    <t>1oI_WY3xKQgSjp5JN67BMHtm3zazX5ZiMATISa2ssGB0</t>
  </si>
  <si>
    <t>VerifyBrokerSummaryQTT</t>
  </si>
  <si>
    <t>1O6-eqYsZqtvYR6DOH7UM2_Jwpq9pB9uyZvgh5vEhVAI</t>
  </si>
  <si>
    <t>SaveQTThotKey</t>
  </si>
  <si>
    <t>BlotterColumnChooser</t>
  </si>
  <si>
    <t>12428TbyucuJDD3KuN7QG-GyRYI3gcoyDNKTQ2UpgGMQ</t>
  </si>
  <si>
    <t>CreateGroupingWidget</t>
  </si>
  <si>
    <t>1ctXhgvJgrqqe8ees0907Up0TKq9pCEhinMlZnRGqKdY</t>
  </si>
  <si>
    <t>CheckGroupingWidget</t>
  </si>
  <si>
    <t>16mimyUFzQ0Ojogh0t4Evjy-tjzAJ67xgIrWeTNmBdw0</t>
  </si>
  <si>
    <t>QTTHamburg</t>
  </si>
  <si>
    <t>1pdXDcLRWAl2b2L88lHCntj01OLBjVHaNAdGG8OHa4hA</t>
  </si>
  <si>
    <t>VerifyL1L2PanelRTPNL</t>
  </si>
  <si>
    <t>1cQo_rX9O9XHFILj0ICV1GAU_RdtTKYlclT20jg9G7hg</t>
  </si>
  <si>
    <t>CaptureHotButtonDetails</t>
  </si>
  <si>
    <t>16Dail-EoPWyIhwRzxyvr-EY1IE8jJTUQDarvGnXioxI</t>
  </si>
  <si>
    <t>EditSMGrid</t>
  </si>
  <si>
    <t>EditQuickPreference</t>
  </si>
  <si>
    <t>133vNW3loXmIKhcuaiCwGIGXOULCttZuJZtPfA4s37vw</t>
  </si>
  <si>
    <t>RightClickActionVerification</t>
  </si>
  <si>
    <t>11EX1Ln-BQAtx9NTd9zfcaia52FGNdZENDW2kwMCJ8HQ</t>
  </si>
  <si>
    <t>PageOneDetails</t>
  </si>
  <si>
    <t>ActionOnSI</t>
  </si>
  <si>
    <t>PageTwoDetails</t>
  </si>
  <si>
    <t>ActiononSMPane</t>
  </si>
  <si>
    <t>PageThreeDetails</t>
  </si>
  <si>
    <t>VerifySMGrid</t>
  </si>
  <si>
    <t>PageFourDetails</t>
  </si>
  <si>
    <t>ChangeDate</t>
  </si>
  <si>
    <t>1P5fd0ftHTs8WR6XF70cltzN5BPur7V01OcYEMpPEMVE</t>
  </si>
  <si>
    <t>NewAcknowledgeTrade</t>
  </si>
  <si>
    <t>1H8R-FdslnMhiBZjAanQN5V9z26E47VjoaeJWQdGZ2pU</t>
  </si>
  <si>
    <t>AutoGrpRules</t>
  </si>
  <si>
    <t>VerifyToggleStateTA</t>
  </si>
  <si>
    <t>RefreshExpnlUi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</si>
  <si>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</si>
  <si>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</si>
  <si>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</si>
  <si>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</si>
  <si>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</si>
  <si>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</si>
  <si>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</si>
  <si>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</si>
  <si>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</si>
  <si>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</si>
  <si>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</si>
  <si>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</si>
  <si>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</si>
  <si>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</si>
  <si>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</si>
  <si>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</si>
  <si>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</si>
  <si>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</si>
  <si>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</si>
  <si>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</si>
  <si>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</si>
  <si>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</si>
  <si>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</si>
  <si>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</si>
  <si>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</si>
  <si>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</si>
  <si>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</si>
  <si>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</si>
  <si>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</si>
  <si>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</si>
  <si>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</si>
  <si>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</si>
  <si>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</si>
  <si>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</si>
  <si>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</si>
  <si>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</si>
  <si>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</si>
  <si>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</si>
  <si>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</si>
  <si>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</si>
  <si>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</si>
  <si>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</si>
  <si>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</si>
  <si>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</si>
  <si>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</si>
  <si>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</si>
  <si>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</si>
  <si>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</si>
  <si>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</si>
  <si>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</si>
  <si>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</si>
  <si>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</si>
  <si>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</si>
  <si>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</si>
  <si>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MSFT</t>
  </si>
  <si>
    <t>GTC</t>
  </si>
  <si>
    <t>EnabledButtons</t>
  </si>
  <si>
    <t>DisabledButtons</t>
  </si>
  <si>
    <t>Manual</t>
  </si>
  <si>
    <t>CreateOrder</t>
  </si>
  <si>
    <t>Buy</t>
  </si>
  <si>
    <t>Transaction Time</t>
  </si>
  <si>
    <t>Algo</t>
  </si>
  <si>
    <t>Avg Fill Price (Base)</t>
  </si>
  <si>
    <t>Bloomberg Symbol</t>
  </si>
  <si>
    <t>Limit Price</t>
  </si>
  <si>
    <t>Working Qty</t>
  </si>
  <si>
    <t>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</si>
  <si>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</si>
  <si>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</si>
  <si>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</si>
  <si>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</si>
  <si>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</si>
  <si>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</si>
  <si>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</si>
  <si>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</si>
  <si>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</si>
  <si>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</si>
  <si>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</si>
  <si>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</si>
  <si>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</si>
  <si>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</si>
  <si>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</si>
  <si>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</si>
  <si>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</si>
  <si>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</si>
  <si>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</si>
  <si>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</si>
  <si>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</si>
  <si>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</si>
  <si>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</si>
  <si>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</si>
  <si>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</si>
  <si>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</si>
  <si>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</si>
  <si>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</si>
  <si>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</si>
  <si>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</si>
  <si>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</si>
  <si>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</si>
  <si>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</si>
  <si>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</si>
  <si>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Principal Amount (Local)</t>
  </si>
  <si>
    <t>Principal Amount (Base)</t>
  </si>
  <si>
    <t>Allocation Scheme Name</t>
  </si>
  <si>
    <t>Status (With Rollover)</t>
  </si>
  <si>
    <t>Start of Day Qty</t>
  </si>
  <si>
    <t>Leaves</t>
  </si>
  <si>
    <t>Openfin</t>
  </si>
  <si>
    <t>OpenWindow</t>
  </si>
  <si>
    <t>TabName</t>
  </si>
  <si>
    <t>Trading Ticket</t>
  </si>
  <si>
    <t>TT_New</t>
  </si>
  <si>
    <t>Action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</si>
</sst>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Alignment="1" applyFont="1">
      <alignment readingOrder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4" fillId="5" fontId="4" numFmtId="0" xfId="0" applyAlignment="1" applyBorder="1" applyFont="1">
      <alignment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">
        <v>2</v>
      </c>
      <c r="B4" s="9" t="s">
        <v>3</v>
      </c>
      <c r="C4" s="9" t="s">
        <v>4</v>
      </c>
      <c r="D4" s="4"/>
      <c r="E4" s="4"/>
      <c r="F4" s="4"/>
    </row>
    <row r="5" ht="15.75" customHeight="1">
      <c r="A5" s="8" t="s">
        <v>2</v>
      </c>
      <c r="B5" s="9" t="s">
        <v>5</v>
      </c>
      <c r="C5" s="9" t="s">
        <v>6</v>
      </c>
      <c r="D5" s="4"/>
      <c r="E5" s="4"/>
      <c r="F5" s="4"/>
    </row>
    <row r="6" ht="15.75" customHeight="1">
      <c r="A6" s="9" t="s">
        <v>2</v>
      </c>
      <c r="B6" s="9" t="s">
        <v>7</v>
      </c>
      <c r="C6" s="9" t="s">
        <v>8</v>
      </c>
      <c r="D6" s="4"/>
      <c r="E6" s="4"/>
      <c r="F6" s="4"/>
    </row>
    <row r="7" ht="15.75" customHeight="1">
      <c r="A7" s="9" t="s">
        <v>2</v>
      </c>
      <c r="B7" s="9" t="s">
        <v>9</v>
      </c>
      <c r="C7" s="9" t="s">
        <v>10</v>
      </c>
      <c r="D7" s="4"/>
      <c r="E7" s="4"/>
      <c r="F7" s="4"/>
    </row>
    <row r="8" ht="15.75" customHeight="1">
      <c r="A8" s="9" t="s">
        <v>2</v>
      </c>
      <c r="B8" s="9" t="s">
        <v>11</v>
      </c>
      <c r="C8" s="9" t="s">
        <v>12</v>
      </c>
      <c r="D8" s="4"/>
      <c r="E8" s="4"/>
      <c r="F8" s="4"/>
    </row>
    <row r="9" ht="15.75" customHeight="1">
      <c r="A9" s="9" t="s">
        <v>2</v>
      </c>
      <c r="B9" s="9" t="s">
        <v>13</v>
      </c>
      <c r="C9" s="9" t="s">
        <v>14</v>
      </c>
      <c r="D9" s="4"/>
      <c r="E9" s="4"/>
      <c r="F9" s="4"/>
    </row>
    <row r="10" ht="15.75" customHeight="1">
      <c r="A10" s="9" t="s">
        <v>2</v>
      </c>
      <c r="B10" s="9" t="s">
        <v>15</v>
      </c>
      <c r="C10" s="9" t="s">
        <v>4</v>
      </c>
      <c r="D10" s="4"/>
      <c r="E10" s="4"/>
      <c r="F10" s="4"/>
    </row>
    <row r="11" ht="15.75" customHeight="1">
      <c r="A11" s="9" t="s">
        <v>16</v>
      </c>
      <c r="B11" s="9" t="s">
        <v>17</v>
      </c>
      <c r="C11" s="9" t="s">
        <v>18</v>
      </c>
      <c r="D11" s="4"/>
      <c r="E11" s="4"/>
      <c r="F11" s="4"/>
    </row>
    <row r="12" ht="15.75" customHeight="1">
      <c r="A12" s="9" t="s">
        <v>19</v>
      </c>
      <c r="B12" s="9" t="s">
        <v>20</v>
      </c>
      <c r="C12" s="9" t="s">
        <v>21</v>
      </c>
      <c r="D12" s="4"/>
      <c r="E12" s="4"/>
      <c r="F12" s="4"/>
    </row>
    <row r="13" ht="15.75" customHeight="1">
      <c r="A13" s="9" t="s">
        <v>22</v>
      </c>
      <c r="B13" s="9" t="s">
        <v>23</v>
      </c>
      <c r="C13" s="9" t="s">
        <v>24</v>
      </c>
      <c r="D13" s="4"/>
      <c r="E13" s="4"/>
      <c r="F13" s="4"/>
    </row>
    <row r="14" ht="15.75" customHeight="1">
      <c r="A14" s="9" t="s">
        <v>22</v>
      </c>
      <c r="B14" s="9" t="s">
        <v>25</v>
      </c>
      <c r="C14" s="9" t="s">
        <v>26</v>
      </c>
      <c r="D14" s="4"/>
      <c r="E14" s="4"/>
      <c r="F14" s="4"/>
    </row>
    <row r="15" ht="15.75" customHeight="1">
      <c r="A15" s="9" t="s">
        <v>22</v>
      </c>
      <c r="B15" s="9" t="s">
        <v>27</v>
      </c>
      <c r="C15" s="9" t="s">
        <v>28</v>
      </c>
      <c r="D15" s="4"/>
      <c r="E15" s="4"/>
      <c r="F15" s="4"/>
    </row>
    <row r="16" ht="15.75" customHeight="1">
      <c r="A16" s="9" t="s">
        <v>22</v>
      </c>
      <c r="B16" s="9" t="s">
        <v>29</v>
      </c>
      <c r="C16" s="9" t="s">
        <v>30</v>
      </c>
      <c r="D16" s="4"/>
      <c r="E16" s="4"/>
      <c r="F16" s="4"/>
    </row>
    <row r="17" ht="15.75" customHeight="1">
      <c r="A17" s="9" t="s">
        <v>22</v>
      </c>
      <c r="B17" s="9" t="s">
        <v>31</v>
      </c>
      <c r="C17" s="9" t="s">
        <v>32</v>
      </c>
      <c r="D17" s="4"/>
      <c r="E17" s="4"/>
      <c r="F17" s="4"/>
    </row>
    <row r="18" ht="15.75" customHeight="1">
      <c r="A18" s="9" t="s">
        <v>22</v>
      </c>
      <c r="B18" s="9" t="s">
        <v>33</v>
      </c>
      <c r="C18" s="9" t="s">
        <v>34</v>
      </c>
      <c r="D18" s="4"/>
      <c r="E18" s="4"/>
      <c r="F18" s="4"/>
    </row>
    <row r="19" ht="15.75" customHeight="1">
      <c r="A19" s="9" t="s">
        <v>22</v>
      </c>
      <c r="B19" s="9" t="s">
        <v>35</v>
      </c>
      <c r="C19" s="9" t="s">
        <v>36</v>
      </c>
      <c r="D19" s="4"/>
      <c r="E19" s="4"/>
      <c r="F19" s="4"/>
    </row>
    <row r="20" ht="15.75" customHeight="1">
      <c r="A20" s="9" t="s">
        <v>37</v>
      </c>
      <c r="B20" s="9" t="s">
        <v>37</v>
      </c>
      <c r="C20" s="9" t="s">
        <v>38</v>
      </c>
      <c r="D20" s="4"/>
      <c r="E20" s="4"/>
      <c r="F20" s="4"/>
    </row>
    <row r="21" ht="15.75" customHeight="1">
      <c r="A21" s="9" t="s">
        <v>39</v>
      </c>
      <c r="B21" s="9" t="s">
        <v>39</v>
      </c>
      <c r="C21" s="9" t="s">
        <v>40</v>
      </c>
      <c r="D21" s="4"/>
      <c r="E21" s="4"/>
      <c r="F21" s="4"/>
    </row>
    <row r="22" ht="15.75" customHeight="1">
      <c r="A22" s="9" t="s">
        <v>41</v>
      </c>
      <c r="B22" s="9" t="s">
        <v>42</v>
      </c>
      <c r="C22" s="9" t="s">
        <v>43</v>
      </c>
      <c r="D22" s="4"/>
      <c r="E22" s="4"/>
      <c r="F22" s="4"/>
    </row>
    <row r="23" ht="15.75" customHeight="1">
      <c r="A23" s="9" t="s">
        <v>41</v>
      </c>
      <c r="B23" s="9" t="s">
        <v>44</v>
      </c>
      <c r="C23" s="9" t="s">
        <v>45</v>
      </c>
      <c r="D23" s="4"/>
      <c r="E23" s="4"/>
      <c r="F23" s="4"/>
    </row>
    <row r="24" ht="15.75" customHeight="1">
      <c r="A24" s="9" t="s">
        <v>41</v>
      </c>
      <c r="B24" s="9" t="s">
        <v>46</v>
      </c>
      <c r="C24" s="9" t="s">
        <v>47</v>
      </c>
      <c r="D24" s="4"/>
      <c r="E24" s="4"/>
      <c r="F24" s="4"/>
    </row>
    <row r="25" ht="15.75" customHeight="1">
      <c r="A25" s="9" t="s">
        <v>41</v>
      </c>
      <c r="B25" s="9" t="s">
        <v>48</v>
      </c>
      <c r="C25" s="9" t="s">
        <v>49</v>
      </c>
      <c r="D25" s="4"/>
      <c r="E25" s="4"/>
      <c r="F25" s="4"/>
    </row>
    <row r="26" ht="15.75" customHeight="1">
      <c r="A26" s="9" t="s">
        <v>41</v>
      </c>
      <c r="B26" s="9" t="s">
        <v>50</v>
      </c>
      <c r="C26" s="9" t="s">
        <v>51</v>
      </c>
      <c r="D26" s="4"/>
      <c r="E26" s="4"/>
      <c r="F26" s="4"/>
    </row>
    <row r="27" ht="15.75" customHeight="1">
      <c r="A27" s="9" t="s">
        <v>52</v>
      </c>
      <c r="B27" s="9" t="s">
        <v>52</v>
      </c>
      <c r="C27" s="9" t="s">
        <v>53</v>
      </c>
      <c r="D27" s="4"/>
      <c r="E27" s="4"/>
      <c r="F27" s="4"/>
    </row>
    <row r="28" ht="15.75" customHeight="1">
      <c r="A28" s="9" t="s">
        <v>54</v>
      </c>
      <c r="B28" s="9" t="s">
        <v>55</v>
      </c>
      <c r="C28" s="9" t="s">
        <v>56</v>
      </c>
      <c r="D28" s="4"/>
      <c r="E28" s="4"/>
      <c r="F28" s="4"/>
    </row>
    <row r="29" ht="15.75" customHeight="1">
      <c r="A29" s="9" t="s">
        <v>54</v>
      </c>
      <c r="B29" s="9" t="s">
        <v>57</v>
      </c>
      <c r="C29" s="9" t="s">
        <v>58</v>
      </c>
      <c r="D29" s="4"/>
      <c r="E29" s="4"/>
      <c r="F29" s="4"/>
    </row>
    <row r="30" ht="15.75" customHeight="1">
      <c r="A30" s="9" t="s">
        <v>54</v>
      </c>
      <c r="B30" s="9" t="s">
        <v>59</v>
      </c>
      <c r="C30" s="9" t="s">
        <v>60</v>
      </c>
      <c r="D30" s="4"/>
      <c r="E30" s="4"/>
      <c r="F30" s="4"/>
    </row>
    <row r="31" ht="15.75" customHeight="1">
      <c r="A31" s="9" t="s">
        <v>61</v>
      </c>
      <c r="B31" s="9" t="s">
        <v>61</v>
      </c>
      <c r="C31" s="9" t="s">
        <v>62</v>
      </c>
      <c r="D31" s="4"/>
      <c r="E31" s="4"/>
      <c r="F31" s="4"/>
    </row>
    <row r="32" ht="15.75" customHeight="1">
      <c r="A32" s="9" t="s">
        <v>61</v>
      </c>
      <c r="B32" s="9" t="s">
        <v>63</v>
      </c>
      <c r="C32" s="9" t="s">
        <v>64</v>
      </c>
      <c r="D32" s="4"/>
      <c r="E32" s="4"/>
      <c r="F32" s="4"/>
    </row>
    <row r="33" ht="15.75" customHeight="1">
      <c r="A33" s="9" t="s">
        <v>65</v>
      </c>
      <c r="B33" s="9" t="s">
        <v>66</v>
      </c>
      <c r="C33" s="9" t="s">
        <v>67</v>
      </c>
      <c r="D33" s="4"/>
      <c r="E33" s="4"/>
      <c r="F33" s="4"/>
    </row>
    <row r="34" ht="15.75" customHeight="1">
      <c r="A34" s="10" t="s">
        <v>65</v>
      </c>
      <c r="B34" s="10" t="s">
        <v>68</v>
      </c>
      <c r="C34" s="10" t="s">
        <v>69</v>
      </c>
    </row>
    <row r="35" ht="15.75" customHeight="1">
      <c r="A35" s="10" t="s">
        <v>65</v>
      </c>
      <c r="B35" s="10" t="s">
        <v>70</v>
      </c>
      <c r="C35" s="10" t="s">
        <v>71</v>
      </c>
    </row>
    <row r="36" ht="15.75" customHeight="1">
      <c r="A36" s="10" t="s">
        <v>65</v>
      </c>
      <c r="B36" s="10" t="s">
        <v>72</v>
      </c>
      <c r="C36" s="10" t="s">
        <v>73</v>
      </c>
    </row>
    <row r="37" ht="15.75" customHeight="1">
      <c r="A37" s="10" t="s">
        <v>65</v>
      </c>
      <c r="B37" s="10" t="s">
        <v>74</v>
      </c>
      <c r="C37" s="10" t="s">
        <v>75</v>
      </c>
    </row>
    <row r="38" ht="15.75" customHeight="1">
      <c r="A38" s="10" t="s">
        <v>65</v>
      </c>
      <c r="B38" s="10" t="s">
        <v>76</v>
      </c>
      <c r="C38" s="10" t="s">
        <v>77</v>
      </c>
    </row>
    <row r="39" ht="15.75" customHeight="1">
      <c r="A39" s="10" t="s">
        <v>78</v>
      </c>
      <c r="B39" s="10" t="s">
        <v>79</v>
      </c>
      <c r="C39" s="10" t="s">
        <v>80</v>
      </c>
    </row>
    <row r="40" ht="15.75" customHeight="1">
      <c r="A40" s="10" t="s">
        <v>78</v>
      </c>
      <c r="B40" s="10" t="s">
        <v>81</v>
      </c>
      <c r="C40" s="10" t="s">
        <v>82</v>
      </c>
    </row>
    <row r="41" ht="15.75" customHeight="1">
      <c r="A41" s="10" t="s">
        <v>78</v>
      </c>
      <c r="B41" s="10" t="s">
        <v>83</v>
      </c>
      <c r="C41" s="10" t="s">
        <v>84</v>
      </c>
    </row>
    <row r="42" ht="15.75" customHeight="1">
      <c r="A42" s="10" t="s">
        <v>78</v>
      </c>
      <c r="B42" s="10" t="s">
        <v>85</v>
      </c>
      <c r="C42" s="10" t="s">
        <v>86</v>
      </c>
    </row>
    <row r="43" ht="15.75" customHeight="1">
      <c r="A43" s="10" t="s">
        <v>78</v>
      </c>
      <c r="B43" s="10" t="s">
        <v>87</v>
      </c>
      <c r="C43" s="10" t="s">
        <v>88</v>
      </c>
    </row>
    <row r="44" ht="15.75" customHeight="1">
      <c r="A44" s="10" t="s">
        <v>37</v>
      </c>
      <c r="B44" s="10" t="s">
        <v>89</v>
      </c>
      <c r="C44" s="10" t="s">
        <v>4</v>
      </c>
    </row>
    <row r="45" ht="15.75" customHeight="1">
      <c r="A45" s="10" t="s">
        <v>90</v>
      </c>
      <c r="B45" s="10" t="s">
        <v>91</v>
      </c>
      <c r="C45" s="10" t="s">
        <v>92</v>
      </c>
    </row>
    <row r="46" ht="15.75" customHeight="1">
      <c r="A46" s="10" t="s">
        <v>90</v>
      </c>
      <c r="B46" s="10" t="s">
        <v>93</v>
      </c>
      <c r="C46" s="10" t="s">
        <v>94</v>
      </c>
    </row>
    <row r="47" ht="15.75" customHeight="1">
      <c r="A47" s="10" t="s">
        <v>90</v>
      </c>
      <c r="B47" s="10" t="s">
        <v>95</v>
      </c>
      <c r="C47" s="10" t="s">
        <v>96</v>
      </c>
    </row>
    <row r="48" ht="15.75" customHeight="1">
      <c r="A48" s="10" t="s">
        <v>90</v>
      </c>
      <c r="B48" s="10" t="s">
        <v>97</v>
      </c>
      <c r="C48" s="10" t="s">
        <v>98</v>
      </c>
    </row>
    <row r="49" ht="15.75" customHeight="1">
      <c r="A49" s="10" t="s">
        <v>54</v>
      </c>
      <c r="B49" s="10" t="s">
        <v>99</v>
      </c>
      <c r="C49" s="10" t="s">
        <v>100</v>
      </c>
    </row>
    <row r="50" ht="15.75" customHeight="1">
      <c r="A50" s="10" t="s">
        <v>101</v>
      </c>
      <c r="B50" s="10" t="s">
        <v>102</v>
      </c>
      <c r="C50" s="10" t="s">
        <v>103</v>
      </c>
    </row>
    <row r="51" ht="15.75" customHeight="1">
      <c r="A51" s="10" t="s">
        <v>37</v>
      </c>
      <c r="B51" s="10" t="s">
        <v>104</v>
      </c>
      <c r="C51" s="10" t="s">
        <v>4</v>
      </c>
    </row>
    <row r="52" ht="15.75" customHeight="1">
      <c r="A52" s="10" t="s">
        <v>37</v>
      </c>
      <c r="B52" s="10" t="s">
        <v>105</v>
      </c>
      <c r="C52" s="10" t="s">
        <v>4</v>
      </c>
    </row>
    <row r="53" ht="15.75" customHeight="1">
      <c r="A53" s="10" t="s">
        <v>37</v>
      </c>
      <c r="B53" s="10" t="s">
        <v>106</v>
      </c>
      <c r="C53" s="10" t="s">
        <v>4</v>
      </c>
    </row>
    <row r="54" ht="15.75" customHeight="1">
      <c r="A54" s="10" t="s">
        <v>37</v>
      </c>
      <c r="B54" s="10" t="s">
        <v>107</v>
      </c>
      <c r="C54" s="10" t="s">
        <v>4</v>
      </c>
    </row>
    <row r="55" ht="15.75" customHeight="1">
      <c r="A55" s="10" t="s">
        <v>37</v>
      </c>
      <c r="B55" s="10" t="s">
        <v>108</v>
      </c>
      <c r="C55" s="10" t="s">
        <v>109</v>
      </c>
    </row>
    <row r="56" ht="15.75" customHeight="1">
      <c r="A56" s="10" t="s">
        <v>37</v>
      </c>
      <c r="B56" s="10" t="s">
        <v>110</v>
      </c>
      <c r="C56" s="10" t="s">
        <v>4</v>
      </c>
    </row>
    <row r="57" ht="15.75" customHeight="1">
      <c r="A57" s="10" t="s">
        <v>101</v>
      </c>
      <c r="B57" s="10" t="s">
        <v>111</v>
      </c>
      <c r="C57" s="10" t="s">
        <v>112</v>
      </c>
    </row>
    <row r="58" ht="15.75" customHeight="1">
      <c r="A58" s="10" t="s">
        <v>41</v>
      </c>
      <c r="B58" s="10" t="s">
        <v>89</v>
      </c>
      <c r="C58" s="10" t="s">
        <v>4</v>
      </c>
    </row>
    <row r="59" ht="15.75" customHeight="1">
      <c r="A59" s="10" t="s">
        <v>2</v>
      </c>
      <c r="B59" s="10" t="s">
        <v>113</v>
      </c>
      <c r="C59" s="10" t="s">
        <v>114</v>
      </c>
    </row>
    <row r="60" ht="15.75" customHeight="1">
      <c r="A60" s="10" t="s">
        <v>2</v>
      </c>
      <c r="B60" s="10" t="s">
        <v>115</v>
      </c>
      <c r="C60" s="10" t="s">
        <v>116</v>
      </c>
    </row>
    <row r="61" ht="15.75" customHeight="1">
      <c r="A61" s="10" t="s">
        <v>2</v>
      </c>
      <c r="B61" s="10" t="s">
        <v>117</v>
      </c>
      <c r="C61" s="10" t="s">
        <v>118</v>
      </c>
    </row>
    <row r="62" ht="15.75" customHeight="1">
      <c r="A62" s="10" t="s">
        <v>2</v>
      </c>
      <c r="B62" s="10" t="s">
        <v>119</v>
      </c>
      <c r="C62" s="10" t="s">
        <v>120</v>
      </c>
    </row>
    <row r="63" ht="15.75" customHeight="1">
      <c r="A63" s="10" t="s">
        <v>2</v>
      </c>
      <c r="B63" s="10" t="s">
        <v>121</v>
      </c>
      <c r="C63" s="10" t="s">
        <v>122</v>
      </c>
    </row>
    <row r="64" ht="15.75" customHeight="1">
      <c r="A64" s="10" t="s">
        <v>2</v>
      </c>
      <c r="B64" s="10" t="s">
        <v>123</v>
      </c>
      <c r="C64" s="10" t="s">
        <v>124</v>
      </c>
    </row>
    <row r="65" ht="15.75" customHeight="1">
      <c r="A65" s="10" t="s">
        <v>2</v>
      </c>
      <c r="B65" s="10" t="s">
        <v>125</v>
      </c>
      <c r="C65" s="10" t="s">
        <v>126</v>
      </c>
    </row>
    <row r="66" ht="15.75" customHeight="1">
      <c r="A66" s="10" t="s">
        <v>2</v>
      </c>
      <c r="B66" s="10" t="s">
        <v>127</v>
      </c>
      <c r="C66" s="10" t="s">
        <v>128</v>
      </c>
    </row>
    <row r="67" ht="15.75" customHeight="1">
      <c r="A67" s="10" t="s">
        <v>2</v>
      </c>
      <c r="B67" s="10" t="s">
        <v>129</v>
      </c>
      <c r="C67" s="10" t="s">
        <v>130</v>
      </c>
    </row>
    <row r="68" ht="15.75" customHeight="1">
      <c r="A68" s="10" t="s">
        <v>2</v>
      </c>
      <c r="B68" s="10" t="s">
        <v>131</v>
      </c>
      <c r="C68" s="10" t="s">
        <v>132</v>
      </c>
    </row>
    <row r="69" ht="15.75" customHeight="1">
      <c r="A69" s="10" t="s">
        <v>2</v>
      </c>
      <c r="B69" s="10" t="s">
        <v>133</v>
      </c>
      <c r="C69" s="10" t="s">
        <v>134</v>
      </c>
    </row>
    <row r="70" ht="15.75" customHeight="1">
      <c r="A70" s="10" t="s">
        <v>2</v>
      </c>
      <c r="B70" s="10" t="s">
        <v>135</v>
      </c>
      <c r="C70" s="10" t="s">
        <v>136</v>
      </c>
    </row>
    <row r="71" ht="15.75" customHeight="1">
      <c r="A71" s="10" t="s">
        <v>2</v>
      </c>
      <c r="B71" s="10" t="s">
        <v>137</v>
      </c>
      <c r="C71" s="10" t="s">
        <v>138</v>
      </c>
    </row>
    <row r="72" ht="15.75" customHeight="1">
      <c r="A72" s="10" t="s">
        <v>2</v>
      </c>
      <c r="B72" s="10" t="s">
        <v>139</v>
      </c>
      <c r="C72" s="10" t="s">
        <v>140</v>
      </c>
    </row>
    <row r="73" ht="15.75" customHeight="1">
      <c r="A73" s="10" t="s">
        <v>2</v>
      </c>
      <c r="B73" s="10" t="s">
        <v>141</v>
      </c>
      <c r="C73" s="10" t="s">
        <v>142</v>
      </c>
    </row>
    <row r="74" ht="15.75" customHeight="1">
      <c r="A74" s="10" t="s">
        <v>2</v>
      </c>
      <c r="B74" s="10" t="s">
        <v>143</v>
      </c>
      <c r="C74" s="10" t="s">
        <v>144</v>
      </c>
    </row>
    <row r="75" ht="15.75" customHeight="1">
      <c r="A75" s="10" t="s">
        <v>2</v>
      </c>
      <c r="B75" s="10" t="s">
        <v>145</v>
      </c>
      <c r="C75" s="10" t="s">
        <v>146</v>
      </c>
    </row>
    <row r="76" ht="15.75" customHeight="1">
      <c r="A76" s="10" t="s">
        <v>2</v>
      </c>
      <c r="B76" s="10" t="s">
        <v>147</v>
      </c>
      <c r="C76" s="10" t="s">
        <v>148</v>
      </c>
    </row>
    <row r="77" ht="15.75" customHeight="1">
      <c r="A77" s="10" t="s">
        <v>2</v>
      </c>
      <c r="B77" s="10" t="s">
        <v>149</v>
      </c>
      <c r="C77" s="10" t="s">
        <v>150</v>
      </c>
    </row>
    <row r="78" ht="15.75" customHeight="1">
      <c r="A78" s="10" t="s">
        <v>2</v>
      </c>
      <c r="B78" s="10" t="s">
        <v>151</v>
      </c>
      <c r="C78" s="10" t="s">
        <v>152</v>
      </c>
    </row>
    <row r="79" ht="15.75" customHeight="1">
      <c r="A79" s="10" t="s">
        <v>153</v>
      </c>
      <c r="B79" s="10" t="s">
        <v>154</v>
      </c>
      <c r="C79" s="10" t="s">
        <v>155</v>
      </c>
    </row>
    <row r="80" ht="15.75" customHeight="1">
      <c r="A80" s="10" t="s">
        <v>153</v>
      </c>
      <c r="B80" s="10" t="s">
        <v>156</v>
      </c>
      <c r="C80" s="10" t="s">
        <v>157</v>
      </c>
    </row>
    <row r="81" ht="15.75" customHeight="1">
      <c r="A81" s="10" t="s">
        <v>101</v>
      </c>
      <c r="B81" s="10" t="s">
        <v>158</v>
      </c>
      <c r="C81" s="10" t="s">
        <v>159</v>
      </c>
    </row>
    <row r="82" ht="15.75" customHeight="1">
      <c r="A82" s="10" t="s">
        <v>101</v>
      </c>
      <c r="B82" s="10" t="s">
        <v>160</v>
      </c>
      <c r="C82" s="10" t="s">
        <v>4</v>
      </c>
    </row>
    <row r="83" ht="15.75" customHeight="1">
      <c r="A83" s="10" t="s">
        <v>101</v>
      </c>
      <c r="B83" s="10" t="s">
        <v>161</v>
      </c>
      <c r="C83" s="10" t="s">
        <v>162</v>
      </c>
    </row>
    <row r="84" ht="15.75" customHeight="1">
      <c r="A84" s="10" t="s">
        <v>101</v>
      </c>
      <c r="B84" s="10" t="s">
        <v>163</v>
      </c>
      <c r="C84" s="10" t="s">
        <v>164</v>
      </c>
    </row>
    <row r="85" ht="15.75" customHeight="1">
      <c r="A85" s="10" t="s">
        <v>101</v>
      </c>
      <c r="B85" s="10" t="s">
        <v>165</v>
      </c>
      <c r="C85" s="10" t="s">
        <v>166</v>
      </c>
    </row>
    <row r="86" ht="15.75" customHeight="1">
      <c r="A86" s="10" t="s">
        <v>16</v>
      </c>
      <c r="B86" s="10" t="s">
        <v>167</v>
      </c>
      <c r="C86" s="10" t="s">
        <v>168</v>
      </c>
    </row>
    <row r="87" ht="15.75" customHeight="1">
      <c r="A87" s="10" t="s">
        <v>101</v>
      </c>
      <c r="B87" s="10" t="s">
        <v>169</v>
      </c>
      <c r="C87" s="10" t="s">
        <v>170</v>
      </c>
    </row>
    <row r="88" ht="15.75" customHeight="1">
      <c r="A88" s="10" t="s">
        <v>22</v>
      </c>
      <c r="B88" s="10" t="s">
        <v>171</v>
      </c>
      <c r="C88" s="10" t="s">
        <v>172</v>
      </c>
    </row>
    <row r="89" ht="15.75" customHeight="1">
      <c r="A89" s="10" t="s">
        <v>22</v>
      </c>
      <c r="B89" s="10" t="s">
        <v>173</v>
      </c>
      <c r="C89" s="10" t="s">
        <v>174</v>
      </c>
    </row>
    <row r="90" ht="15.75" customHeight="1">
      <c r="A90" s="10" t="s">
        <v>2</v>
      </c>
      <c r="B90" s="10" t="s">
        <v>175</v>
      </c>
      <c r="C90" s="10" t="s">
        <v>176</v>
      </c>
    </row>
    <row r="91" ht="15.75" customHeight="1">
      <c r="A91" s="10" t="s">
        <v>2</v>
      </c>
      <c r="B91" s="10" t="s">
        <v>177</v>
      </c>
      <c r="C91" s="10" t="s">
        <v>178</v>
      </c>
    </row>
    <row r="92" ht="15.75" customHeight="1">
      <c r="A92" s="10" t="s">
        <v>2</v>
      </c>
      <c r="B92" s="10" t="s">
        <v>179</v>
      </c>
      <c r="C92" s="10" t="s">
        <v>180</v>
      </c>
    </row>
    <row r="93" ht="15.75" customHeight="1">
      <c r="A93" s="10" t="s">
        <v>2</v>
      </c>
      <c r="B93" s="10" t="s">
        <v>181</v>
      </c>
      <c r="C93" s="10" t="s">
        <v>182</v>
      </c>
    </row>
    <row r="94" ht="15.75" customHeight="1">
      <c r="A94" s="10" t="s">
        <v>22</v>
      </c>
      <c r="B94" s="10" t="s">
        <v>183</v>
      </c>
      <c r="C94" s="10" t="s">
        <v>184</v>
      </c>
    </row>
    <row r="95" ht="15.75" customHeight="1">
      <c r="A95" s="10" t="s">
        <v>2</v>
      </c>
      <c r="B95" s="10" t="s">
        <v>185</v>
      </c>
      <c r="C95" s="10" t="s">
        <v>186</v>
      </c>
    </row>
    <row r="96" ht="15.75" customHeight="1">
      <c r="A96" s="10" t="s">
        <v>22</v>
      </c>
      <c r="B96" s="10" t="s">
        <v>187</v>
      </c>
      <c r="C96" s="10" t="s">
        <v>188</v>
      </c>
    </row>
    <row r="97" ht="15.75" customHeight="1">
      <c r="A97" s="10" t="s">
        <v>2</v>
      </c>
      <c r="B97" s="10" t="s">
        <v>189</v>
      </c>
      <c r="C97" s="10" t="s">
        <v>190</v>
      </c>
    </row>
    <row r="98" ht="15.75" customHeight="1">
      <c r="A98" s="10" t="s">
        <v>22</v>
      </c>
      <c r="B98" s="10" t="s">
        <v>191</v>
      </c>
      <c r="C98" s="10" t="s">
        <v>192</v>
      </c>
    </row>
    <row r="99" ht="15.75" customHeight="1">
      <c r="A99" s="10" t="s">
        <v>2</v>
      </c>
      <c r="B99" s="10" t="s">
        <v>193</v>
      </c>
      <c r="C99" s="10" t="s">
        <v>194</v>
      </c>
    </row>
    <row r="100" ht="15.75" customHeight="1">
      <c r="A100" s="10" t="s">
        <v>22</v>
      </c>
      <c r="B100" s="10" t="s">
        <v>195</v>
      </c>
      <c r="C100" s="10" t="s">
        <v>196</v>
      </c>
    </row>
    <row r="101" ht="15.75" customHeight="1">
      <c r="A101" s="10" t="s">
        <v>2</v>
      </c>
      <c r="B101" s="10" t="s">
        <v>197</v>
      </c>
      <c r="C101" s="10" t="s">
        <v>198</v>
      </c>
    </row>
    <row r="102" ht="15.75" customHeight="1">
      <c r="A102" s="10" t="s">
        <v>22</v>
      </c>
      <c r="B102" s="10" t="s">
        <v>199</v>
      </c>
      <c r="C102" s="10" t="s">
        <v>200</v>
      </c>
    </row>
    <row r="103" ht="15.75" customHeight="1">
      <c r="A103" s="10" t="s">
        <v>2</v>
      </c>
      <c r="B103" s="10" t="s">
        <v>201</v>
      </c>
      <c r="C103" s="10" t="s">
        <v>202</v>
      </c>
    </row>
    <row r="104" ht="15.75" customHeight="1">
      <c r="A104" s="10" t="s">
        <v>22</v>
      </c>
      <c r="B104" s="10" t="s">
        <v>203</v>
      </c>
      <c r="C104" s="10" t="s">
        <v>204</v>
      </c>
    </row>
    <row r="105" ht="15.75" customHeight="1">
      <c r="A105" s="10" t="s">
        <v>2</v>
      </c>
      <c r="B105" s="10" t="s">
        <v>205</v>
      </c>
      <c r="C105" s="10" t="s">
        <v>206</v>
      </c>
    </row>
    <row r="106" ht="15.75" customHeight="1">
      <c r="A106" s="10" t="s">
        <v>22</v>
      </c>
      <c r="B106" s="10" t="s">
        <v>207</v>
      </c>
      <c r="C106" s="10" t="s">
        <v>208</v>
      </c>
    </row>
    <row r="107" ht="15.75" customHeight="1">
      <c r="A107" s="10" t="s">
        <v>2</v>
      </c>
      <c r="B107" s="10" t="s">
        <v>209</v>
      </c>
      <c r="C107" s="10" t="s">
        <v>210</v>
      </c>
    </row>
    <row r="108" ht="15.75" customHeight="1">
      <c r="A108" s="10" t="s">
        <v>22</v>
      </c>
      <c r="B108" s="10" t="s">
        <v>211</v>
      </c>
      <c r="C108" s="10" t="s">
        <v>212</v>
      </c>
    </row>
    <row r="109" ht="15.75" customHeight="1">
      <c r="A109" s="10" t="s">
        <v>213</v>
      </c>
      <c r="B109" s="10" t="s">
        <v>214</v>
      </c>
      <c r="C109" s="10" t="s">
        <v>215</v>
      </c>
    </row>
    <row r="110" ht="15.75" customHeight="1">
      <c r="A110" s="10" t="s">
        <v>54</v>
      </c>
      <c r="B110" s="10" t="s">
        <v>216</v>
      </c>
      <c r="C110" s="10" t="s">
        <v>4</v>
      </c>
    </row>
    <row r="111" ht="15.75" customHeight="1">
      <c r="A111" s="10" t="s">
        <v>2</v>
      </c>
      <c r="B111" s="10" t="s">
        <v>217</v>
      </c>
      <c r="C111" s="10" t="s">
        <v>218</v>
      </c>
    </row>
    <row r="112" ht="15.75" customHeight="1">
      <c r="A112" s="10" t="s">
        <v>22</v>
      </c>
      <c r="B112" s="10" t="s">
        <v>219</v>
      </c>
      <c r="C112" s="10" t="s">
        <v>220</v>
      </c>
    </row>
    <row r="113" ht="15.75" customHeight="1">
      <c r="A113" s="10" t="s">
        <v>22</v>
      </c>
      <c r="B113" s="10" t="s">
        <v>221</v>
      </c>
      <c r="C113" s="10" t="s">
        <v>222</v>
      </c>
    </row>
    <row r="114" ht="15.75" customHeight="1">
      <c r="A114" s="10" t="s">
        <v>2</v>
      </c>
      <c r="B114" s="10" t="s">
        <v>223</v>
      </c>
      <c r="C114" s="10" t="s">
        <v>224</v>
      </c>
    </row>
    <row r="115" ht="15.75" customHeight="1">
      <c r="A115" s="10" t="s">
        <v>2</v>
      </c>
      <c r="B115" s="10" t="s">
        <v>225</v>
      </c>
      <c r="C115" s="10" t="s">
        <v>226</v>
      </c>
    </row>
    <row r="116" ht="15.75" customHeight="1">
      <c r="A116" s="10" t="s">
        <v>22</v>
      </c>
      <c r="B116" s="10" t="s">
        <v>227</v>
      </c>
      <c r="C116" s="10" t="s">
        <v>228</v>
      </c>
    </row>
    <row r="117" ht="15.75" customHeight="1">
      <c r="A117" s="10" t="s">
        <v>22</v>
      </c>
      <c r="B117" s="10" t="s">
        <v>229</v>
      </c>
      <c r="C117" s="10" t="s">
        <v>230</v>
      </c>
    </row>
    <row r="118" ht="15.75" customHeight="1">
      <c r="A118" s="10" t="s">
        <v>2</v>
      </c>
      <c r="B118" s="10" t="s">
        <v>231</v>
      </c>
      <c r="C118" s="10" t="s">
        <v>232</v>
      </c>
    </row>
    <row r="119" ht="15.75" customHeight="1">
      <c r="A119" s="10" t="s">
        <v>22</v>
      </c>
      <c r="B119" s="10" t="s">
        <v>233</v>
      </c>
      <c r="C119" s="10" t="s">
        <v>234</v>
      </c>
    </row>
    <row r="120" ht="15.75" customHeight="1">
      <c r="A120" s="10" t="s">
        <v>22</v>
      </c>
      <c r="B120" s="10" t="s">
        <v>235</v>
      </c>
      <c r="C120" s="10" t="s">
        <v>236</v>
      </c>
    </row>
    <row r="121" ht="15.75" customHeight="1">
      <c r="A121" s="10" t="s">
        <v>2</v>
      </c>
      <c r="B121" s="10" t="s">
        <v>237</v>
      </c>
      <c r="C121" s="10" t="s">
        <v>4</v>
      </c>
    </row>
    <row r="122" ht="15.75" customHeight="1">
      <c r="A122" s="10" t="s">
        <v>22</v>
      </c>
      <c r="B122" s="10" t="s">
        <v>238</v>
      </c>
      <c r="C122" s="10" t="s">
        <v>239</v>
      </c>
    </row>
    <row r="123" ht="15.75" customHeight="1">
      <c r="A123" s="10" t="s">
        <v>22</v>
      </c>
      <c r="B123" s="10" t="s">
        <v>240</v>
      </c>
      <c r="C123" s="10" t="s">
        <v>241</v>
      </c>
    </row>
    <row r="124" ht="15.75" customHeight="1">
      <c r="A124" s="10" t="s">
        <v>101</v>
      </c>
      <c r="B124" s="10" t="s">
        <v>242</v>
      </c>
      <c r="C124" s="10" t="s">
        <v>243</v>
      </c>
    </row>
    <row r="125" ht="15.75" customHeight="1">
      <c r="A125" s="10" t="s">
        <v>16</v>
      </c>
      <c r="B125" s="10" t="s">
        <v>244</v>
      </c>
      <c r="C125" s="10" t="s">
        <v>245</v>
      </c>
    </row>
    <row r="126" ht="15.75" customHeight="1">
      <c r="A126" s="10" t="s">
        <v>16</v>
      </c>
      <c r="B126" s="10" t="s">
        <v>246</v>
      </c>
      <c r="C126" s="10" t="s">
        <v>247</v>
      </c>
    </row>
    <row r="127" ht="15.75" customHeight="1">
      <c r="A127" s="10" t="s">
        <v>16</v>
      </c>
      <c r="B127" s="10" t="s">
        <v>248</v>
      </c>
      <c r="C127" s="10" t="s">
        <v>249</v>
      </c>
    </row>
    <row r="128" ht="15.75" customHeight="1">
      <c r="A128" s="10" t="s">
        <v>213</v>
      </c>
      <c r="B128" s="10" t="s">
        <v>250</v>
      </c>
      <c r="C128" s="10" t="s">
        <v>251</v>
      </c>
    </row>
    <row r="129" ht="15.75" customHeight="1">
      <c r="A129" s="10" t="s">
        <v>16</v>
      </c>
      <c r="B129" s="10" t="s">
        <v>252</v>
      </c>
      <c r="C129" s="10" t="s">
        <v>253</v>
      </c>
    </row>
    <row r="130" ht="15.75" customHeight="1">
      <c r="A130" s="10" t="s">
        <v>16</v>
      </c>
      <c r="B130" s="10" t="s">
        <v>254</v>
      </c>
      <c r="C130" s="10" t="s">
        <v>255</v>
      </c>
    </row>
    <row r="131" ht="15.75" customHeight="1">
      <c r="A131" s="10" t="s">
        <v>16</v>
      </c>
      <c r="B131" s="10" t="s">
        <v>256</v>
      </c>
      <c r="C131" s="10" t="s">
        <v>257</v>
      </c>
    </row>
    <row r="132" ht="15.75" customHeight="1">
      <c r="A132" s="10" t="s">
        <v>16</v>
      </c>
      <c r="B132" s="10" t="s">
        <v>258</v>
      </c>
      <c r="C132" s="10" t="s">
        <v>259</v>
      </c>
    </row>
    <row r="133" ht="15.75" customHeight="1">
      <c r="A133" s="10" t="s">
        <v>16</v>
      </c>
      <c r="B133" s="10" t="s">
        <v>260</v>
      </c>
      <c r="C133" s="10" t="s">
        <v>261</v>
      </c>
    </row>
    <row r="134" ht="15.75" customHeight="1">
      <c r="A134" s="10" t="s">
        <v>16</v>
      </c>
      <c r="B134" s="10" t="s">
        <v>262</v>
      </c>
      <c r="C134" s="10" t="s">
        <v>263</v>
      </c>
    </row>
    <row r="135" ht="15.75" customHeight="1">
      <c r="A135" s="10" t="s">
        <v>16</v>
      </c>
      <c r="B135" s="10" t="s">
        <v>264</v>
      </c>
      <c r="C135" s="10" t="s">
        <v>265</v>
      </c>
    </row>
    <row r="136" ht="15.75" customHeight="1">
      <c r="A136" s="10" t="s">
        <v>266</v>
      </c>
      <c r="B136" s="10" t="s">
        <v>267</v>
      </c>
      <c r="C136" s="10" t="s">
        <v>268</v>
      </c>
    </row>
    <row r="137" ht="15.75" customHeight="1">
      <c r="A137" s="10" t="s">
        <v>16</v>
      </c>
      <c r="B137" s="10" t="s">
        <v>269</v>
      </c>
      <c r="C137" s="10" t="s">
        <v>270</v>
      </c>
    </row>
    <row r="138" ht="15.75" customHeight="1">
      <c r="A138" s="10" t="s">
        <v>16</v>
      </c>
      <c r="B138" s="10" t="s">
        <v>271</v>
      </c>
      <c r="C138" s="10" t="s">
        <v>272</v>
      </c>
    </row>
    <row r="139" ht="15.75" customHeight="1">
      <c r="A139" s="10" t="s">
        <v>2</v>
      </c>
      <c r="B139" s="10" t="s">
        <v>273</v>
      </c>
      <c r="C139" s="10" t="s">
        <v>4</v>
      </c>
    </row>
    <row r="140" ht="15.75" customHeight="1">
      <c r="A140" s="10" t="s">
        <v>101</v>
      </c>
      <c r="B140" s="10" t="s">
        <v>274</v>
      </c>
      <c r="C140" s="10" t="s">
        <v>275</v>
      </c>
    </row>
    <row r="141" ht="15.75" customHeight="1">
      <c r="A141" s="10" t="s">
        <v>16</v>
      </c>
      <c r="B141" s="10" t="s">
        <v>276</v>
      </c>
      <c r="C141" s="10" t="s">
        <v>277</v>
      </c>
    </row>
    <row r="142" ht="15.75" customHeight="1">
      <c r="A142" s="10" t="s">
        <v>16</v>
      </c>
      <c r="B142" s="10" t="s">
        <v>278</v>
      </c>
      <c r="C142" s="10" t="s">
        <v>279</v>
      </c>
    </row>
    <row r="143" ht="15.75" customHeight="1">
      <c r="A143" s="10" t="s">
        <v>16</v>
      </c>
      <c r="B143" s="10" t="s">
        <v>280</v>
      </c>
      <c r="C143" s="10" t="s">
        <v>281</v>
      </c>
    </row>
    <row r="144" ht="15.75" customHeight="1">
      <c r="A144" s="10" t="s">
        <v>16</v>
      </c>
      <c r="B144" s="10" t="s">
        <v>282</v>
      </c>
      <c r="C144" s="10" t="s">
        <v>283</v>
      </c>
    </row>
    <row r="145" ht="15.75" customHeight="1">
      <c r="A145" s="10" t="s">
        <v>16</v>
      </c>
      <c r="B145" s="10" t="s">
        <v>284</v>
      </c>
      <c r="C145" s="10" t="s">
        <v>285</v>
      </c>
    </row>
    <row r="146" ht="15.75" customHeight="1">
      <c r="A146" s="10" t="s">
        <v>16</v>
      </c>
      <c r="B146" s="10" t="s">
        <v>286</v>
      </c>
      <c r="C146" s="10" t="s">
        <v>287</v>
      </c>
    </row>
    <row r="147" ht="15.75" customHeight="1">
      <c r="A147" s="10" t="s">
        <v>16</v>
      </c>
      <c r="B147" s="10" t="s">
        <v>288</v>
      </c>
      <c r="C147" s="10" t="s">
        <v>289</v>
      </c>
    </row>
    <row r="148" ht="15.75" customHeight="1">
      <c r="A148" s="10" t="s">
        <v>16</v>
      </c>
      <c r="B148" s="10" t="s">
        <v>290</v>
      </c>
      <c r="C148" s="10" t="s">
        <v>291</v>
      </c>
    </row>
    <row r="149" ht="15.75" customHeight="1">
      <c r="A149" s="10" t="s">
        <v>16</v>
      </c>
      <c r="B149" s="10" t="s">
        <v>292</v>
      </c>
      <c r="C149" s="10" t="s">
        <v>293</v>
      </c>
    </row>
    <row r="150" ht="15.75" customHeight="1">
      <c r="A150" s="10" t="s">
        <v>16</v>
      </c>
      <c r="B150" s="10" t="s">
        <v>294</v>
      </c>
      <c r="C150" s="10" t="s">
        <v>295</v>
      </c>
    </row>
    <row r="151" ht="15.75" customHeight="1">
      <c r="A151" s="10" t="s">
        <v>101</v>
      </c>
      <c r="B151" s="10" t="s">
        <v>296</v>
      </c>
      <c r="C151" s="10" t="s">
        <v>297</v>
      </c>
    </row>
    <row r="152" ht="15.75" customHeight="1">
      <c r="A152" s="10" t="s">
        <v>2</v>
      </c>
      <c r="B152" s="10" t="s">
        <v>298</v>
      </c>
      <c r="C152" s="10" t="s">
        <v>299</v>
      </c>
    </row>
    <row r="153" ht="15.75" customHeight="1">
      <c r="A153" s="10" t="s">
        <v>22</v>
      </c>
      <c r="B153" s="10" t="s">
        <v>300</v>
      </c>
      <c r="C153" s="10" t="s">
        <v>301</v>
      </c>
    </row>
    <row r="154" ht="15.75" customHeight="1">
      <c r="A154" s="10" t="s">
        <v>61</v>
      </c>
      <c r="B154" s="10" t="s">
        <v>302</v>
      </c>
      <c r="C154" s="10" t="s">
        <v>303</v>
      </c>
    </row>
    <row r="155" ht="15.75" customHeight="1">
      <c r="A155" s="10" t="s">
        <v>61</v>
      </c>
      <c r="B155" s="10" t="s">
        <v>304</v>
      </c>
      <c r="C155" s="10" t="s">
        <v>305</v>
      </c>
    </row>
    <row r="156" ht="15.75" customHeight="1">
      <c r="A156" s="10" t="s">
        <v>22</v>
      </c>
      <c r="B156" s="10" t="s">
        <v>306</v>
      </c>
      <c r="C156" s="10" t="s">
        <v>307</v>
      </c>
    </row>
    <row r="157" ht="15.75" customHeight="1">
      <c r="A157" s="10" t="s">
        <v>22</v>
      </c>
      <c r="B157" s="10" t="s">
        <v>308</v>
      </c>
      <c r="C157" s="10" t="s">
        <v>309</v>
      </c>
    </row>
    <row r="158" ht="15.75" customHeight="1">
      <c r="A158" s="10" t="s">
        <v>22</v>
      </c>
      <c r="B158" s="10" t="s">
        <v>310</v>
      </c>
      <c r="C158" s="10" t="s">
        <v>311</v>
      </c>
    </row>
    <row r="159" ht="15.75" customHeight="1">
      <c r="A159" s="10" t="s">
        <v>22</v>
      </c>
      <c r="B159" s="10" t="s">
        <v>312</v>
      </c>
      <c r="C159" s="10" t="s">
        <v>313</v>
      </c>
    </row>
    <row r="160" ht="15.75" customHeight="1">
      <c r="A160" s="10" t="s">
        <v>2</v>
      </c>
      <c r="B160" s="10" t="s">
        <v>314</v>
      </c>
      <c r="C160" s="10" t="s">
        <v>315</v>
      </c>
    </row>
    <row r="161" ht="15.75" customHeight="1">
      <c r="A161" s="10" t="s">
        <v>22</v>
      </c>
      <c r="B161" s="10" t="s">
        <v>316</v>
      </c>
      <c r="C161" s="10" t="s">
        <v>317</v>
      </c>
    </row>
    <row r="162" ht="15.75" customHeight="1">
      <c r="A162" s="10" t="s">
        <v>22</v>
      </c>
      <c r="B162" s="10" t="s">
        <v>318</v>
      </c>
      <c r="C162" s="10" t="s">
        <v>319</v>
      </c>
    </row>
    <row r="163" ht="15.75" customHeight="1">
      <c r="A163" s="10" t="s">
        <v>2</v>
      </c>
      <c r="B163" s="10" t="s">
        <v>320</v>
      </c>
      <c r="C163" s="10" t="s">
        <v>321</v>
      </c>
    </row>
    <row r="164" ht="15.75" customHeight="1">
      <c r="A164" s="10" t="s">
        <v>2</v>
      </c>
      <c r="B164" s="10" t="s">
        <v>322</v>
      </c>
      <c r="C164" s="10" t="s">
        <v>323</v>
      </c>
    </row>
    <row r="165" ht="15.75" customHeight="1">
      <c r="A165" s="10" t="s">
        <v>2</v>
      </c>
      <c r="B165" s="10" t="s">
        <v>324</v>
      </c>
      <c r="C165" s="10" t="s">
        <v>325</v>
      </c>
    </row>
    <row r="166" ht="15.75" customHeight="1">
      <c r="A166" s="10" t="s">
        <v>22</v>
      </c>
      <c r="B166" s="10" t="s">
        <v>326</v>
      </c>
      <c r="C166" s="10" t="s">
        <v>327</v>
      </c>
    </row>
    <row r="167" ht="15.75" customHeight="1">
      <c r="A167" s="10" t="s">
        <v>22</v>
      </c>
      <c r="B167" s="10" t="s">
        <v>328</v>
      </c>
      <c r="C167" s="10" t="s">
        <v>4</v>
      </c>
    </row>
    <row r="168" ht="15.75" customHeight="1">
      <c r="A168" s="10" t="s">
        <v>2</v>
      </c>
      <c r="B168" s="10" t="s">
        <v>329</v>
      </c>
      <c r="C168" s="10" t="s">
        <v>330</v>
      </c>
    </row>
    <row r="169" ht="15.75" customHeight="1">
      <c r="A169" s="10" t="s">
        <v>2</v>
      </c>
      <c r="B169" s="10" t="s">
        <v>331</v>
      </c>
      <c r="C169" s="10" t="s">
        <v>332</v>
      </c>
    </row>
    <row r="170" ht="15.75" customHeight="1">
      <c r="A170" s="10" t="s">
        <v>2</v>
      </c>
      <c r="B170" s="10" t="s">
        <v>333</v>
      </c>
      <c r="C170" s="10" t="s">
        <v>334</v>
      </c>
    </row>
    <row r="171" ht="15.75" customHeight="1">
      <c r="A171" s="10" t="s">
        <v>2</v>
      </c>
      <c r="B171" s="10" t="s">
        <v>335</v>
      </c>
      <c r="C171" s="10" t="s">
        <v>336</v>
      </c>
    </row>
    <row r="172" ht="15.75" customHeight="1">
      <c r="A172" s="10" t="s">
        <v>2</v>
      </c>
      <c r="B172" s="10" t="s">
        <v>337</v>
      </c>
      <c r="C172" s="10" t="s">
        <v>338</v>
      </c>
    </row>
    <row r="173" ht="15.75" customHeight="1">
      <c r="A173" s="10" t="s">
        <v>16</v>
      </c>
      <c r="B173" s="10" t="s">
        <v>339</v>
      </c>
      <c r="C173" s="10" t="s">
        <v>340</v>
      </c>
    </row>
    <row r="174" ht="15.75" customHeight="1">
      <c r="A174" s="10" t="s">
        <v>16</v>
      </c>
      <c r="B174" s="10" t="s">
        <v>341</v>
      </c>
      <c r="C174" s="10" t="s">
        <v>342</v>
      </c>
    </row>
    <row r="175" ht="15.75" customHeight="1">
      <c r="A175" s="10" t="s">
        <v>16</v>
      </c>
      <c r="B175" s="10" t="s">
        <v>343</v>
      </c>
      <c r="C175" s="10" t="s">
        <v>344</v>
      </c>
    </row>
    <row r="176" ht="15.75" customHeight="1">
      <c r="A176" s="10" t="s">
        <v>16</v>
      </c>
      <c r="B176" s="10" t="s">
        <v>345</v>
      </c>
      <c r="C176" s="10" t="s">
        <v>346</v>
      </c>
    </row>
    <row r="177" ht="15.75" customHeight="1">
      <c r="A177" s="10" t="s">
        <v>22</v>
      </c>
      <c r="B177" s="10" t="s">
        <v>347</v>
      </c>
      <c r="C177" s="10" t="s">
        <v>348</v>
      </c>
    </row>
    <row r="178" ht="15.75" customHeight="1">
      <c r="A178" s="10" t="s">
        <v>22</v>
      </c>
      <c r="B178" s="10" t="s">
        <v>349</v>
      </c>
      <c r="C178" s="10" t="s">
        <v>350</v>
      </c>
    </row>
    <row r="179" ht="15.75" customHeight="1">
      <c r="A179" s="10" t="s">
        <v>22</v>
      </c>
      <c r="B179" s="10" t="s">
        <v>351</v>
      </c>
      <c r="C179" s="10" t="s">
        <v>352</v>
      </c>
    </row>
    <row r="180" ht="15.75" customHeight="1">
      <c r="A180" s="10" t="s">
        <v>22</v>
      </c>
      <c r="B180" s="10" t="s">
        <v>353</v>
      </c>
      <c r="C180" s="10" t="s">
        <v>354</v>
      </c>
    </row>
    <row r="181" ht="15.75" customHeight="1">
      <c r="A181" s="10" t="s">
        <v>22</v>
      </c>
      <c r="B181" s="10" t="s">
        <v>355</v>
      </c>
      <c r="C181" s="10" t="s">
        <v>356</v>
      </c>
    </row>
    <row r="182" ht="15.75" customHeight="1">
      <c r="A182" s="10" t="s">
        <v>2</v>
      </c>
      <c r="B182" s="10" t="s">
        <v>357</v>
      </c>
      <c r="C182" s="10" t="s">
        <v>358</v>
      </c>
    </row>
    <row r="183" ht="15.75" customHeight="1">
      <c r="A183" s="10" t="s">
        <v>41</v>
      </c>
      <c r="B183" s="10" t="s">
        <v>359</v>
      </c>
      <c r="C183" s="10" t="s">
        <v>360</v>
      </c>
    </row>
    <row r="184" ht="15.75" customHeight="1">
      <c r="A184" s="10" t="s">
        <v>41</v>
      </c>
      <c r="B184" s="10" t="s">
        <v>361</v>
      </c>
      <c r="C184" s="10" t="s">
        <v>362</v>
      </c>
    </row>
    <row r="185" ht="15.75" customHeight="1">
      <c r="A185" s="10" t="s">
        <v>41</v>
      </c>
      <c r="B185" s="10" t="s">
        <v>363</v>
      </c>
      <c r="C185" s="10" t="s">
        <v>364</v>
      </c>
    </row>
    <row r="186" ht="15.75" customHeight="1">
      <c r="A186" s="10" t="s">
        <v>41</v>
      </c>
      <c r="B186" s="10" t="s">
        <v>365</v>
      </c>
      <c r="C186" s="10" t="s">
        <v>366</v>
      </c>
    </row>
    <row r="187" ht="15.75" customHeight="1">
      <c r="A187" s="10" t="s">
        <v>41</v>
      </c>
      <c r="B187" s="10" t="s">
        <v>367</v>
      </c>
      <c r="C187" s="10" t="s">
        <v>368</v>
      </c>
    </row>
    <row r="188" ht="15.75" customHeight="1">
      <c r="A188" s="10" t="s">
        <v>2</v>
      </c>
      <c r="B188" s="10" t="s">
        <v>369</v>
      </c>
      <c r="C188" s="10" t="s">
        <v>370</v>
      </c>
    </row>
    <row r="189" ht="15.75" customHeight="1">
      <c r="A189" s="10" t="s">
        <v>41</v>
      </c>
      <c r="B189" s="10" t="s">
        <v>371</v>
      </c>
      <c r="C189" s="10" t="s">
        <v>372</v>
      </c>
    </row>
    <row r="190" ht="15.75" customHeight="1">
      <c r="A190" s="10" t="s">
        <v>2</v>
      </c>
      <c r="B190" s="10" t="s">
        <v>373</v>
      </c>
      <c r="C190" s="10" t="s">
        <v>374</v>
      </c>
    </row>
    <row r="191" ht="15.75" customHeight="1">
      <c r="A191" s="10" t="s">
        <v>41</v>
      </c>
      <c r="B191" s="10" t="s">
        <v>375</v>
      </c>
      <c r="C191" s="10" t="s">
        <v>376</v>
      </c>
    </row>
    <row r="192" ht="15.75" customHeight="1">
      <c r="A192" s="10" t="s">
        <v>41</v>
      </c>
      <c r="B192" s="10" t="s">
        <v>377</v>
      </c>
      <c r="C192" s="10" t="s">
        <v>378</v>
      </c>
    </row>
    <row r="193" ht="15.75" customHeight="1">
      <c r="A193" s="10" t="s">
        <v>41</v>
      </c>
      <c r="B193" s="10" t="s">
        <v>379</v>
      </c>
      <c r="C193" s="10" t="s">
        <v>380</v>
      </c>
    </row>
    <row r="194" ht="15.75" customHeight="1">
      <c r="A194" s="10" t="s">
        <v>41</v>
      </c>
      <c r="B194" s="10" t="s">
        <v>381</v>
      </c>
      <c r="C194" s="10" t="s">
        <v>382</v>
      </c>
    </row>
    <row r="195" ht="15.75" customHeight="1">
      <c r="A195" s="10" t="s">
        <v>41</v>
      </c>
      <c r="B195" s="10" t="s">
        <v>383</v>
      </c>
      <c r="C195" s="10" t="s">
        <v>384</v>
      </c>
    </row>
    <row r="196" ht="15.75" customHeight="1">
      <c r="A196" s="10" t="s">
        <v>2</v>
      </c>
      <c r="B196" s="10" t="s">
        <v>385</v>
      </c>
      <c r="C196" s="10" t="s">
        <v>386</v>
      </c>
    </row>
    <row r="197" ht="15.75" customHeight="1">
      <c r="A197" s="10" t="s">
        <v>2</v>
      </c>
      <c r="B197" s="10" t="s">
        <v>387</v>
      </c>
      <c r="C197" s="10" t="s">
        <v>388</v>
      </c>
    </row>
    <row r="198" ht="15.75" customHeight="1">
      <c r="A198" s="10" t="s">
        <v>2</v>
      </c>
      <c r="B198" s="10" t="s">
        <v>389</v>
      </c>
      <c r="C198" s="10" t="s">
        <v>390</v>
      </c>
    </row>
    <row r="199" ht="15.75" customHeight="1">
      <c r="A199" s="10" t="s">
        <v>2</v>
      </c>
      <c r="B199" s="10" t="s">
        <v>391</v>
      </c>
      <c r="C199" s="10" t="s">
        <v>392</v>
      </c>
    </row>
    <row r="200" ht="15.75" customHeight="1">
      <c r="A200" s="10" t="s">
        <v>2</v>
      </c>
      <c r="B200" s="10" t="s">
        <v>393</v>
      </c>
      <c r="C200" s="10" t="s">
        <v>394</v>
      </c>
    </row>
    <row r="201" ht="15.75" customHeight="1">
      <c r="A201" s="10" t="s">
        <v>41</v>
      </c>
      <c r="B201" s="10" t="s">
        <v>395</v>
      </c>
      <c r="C201" s="10" t="s">
        <v>396</v>
      </c>
    </row>
    <row r="202" ht="15.75" customHeight="1">
      <c r="A202" s="10" t="s">
        <v>41</v>
      </c>
      <c r="B202" s="10" t="s">
        <v>397</v>
      </c>
      <c r="C202" s="10" t="s">
        <v>398</v>
      </c>
    </row>
    <row r="203" ht="15.75" customHeight="1">
      <c r="A203" s="10" t="s">
        <v>22</v>
      </c>
      <c r="B203" s="10" t="s">
        <v>399</v>
      </c>
      <c r="C203" s="10" t="s">
        <v>400</v>
      </c>
    </row>
    <row r="204" ht="15.75" customHeight="1">
      <c r="A204" s="10" t="s">
        <v>22</v>
      </c>
      <c r="B204" s="10" t="s">
        <v>401</v>
      </c>
      <c r="C204" s="10" t="s">
        <v>402</v>
      </c>
    </row>
    <row r="205" ht="15.75" customHeight="1">
      <c r="A205" s="10" t="s">
        <v>16</v>
      </c>
      <c r="B205" s="10" t="s">
        <v>403</v>
      </c>
      <c r="C205" s="10" t="s">
        <v>404</v>
      </c>
    </row>
    <row r="206" ht="15.75" customHeight="1">
      <c r="A206" s="10" t="s">
        <v>16</v>
      </c>
      <c r="B206" s="10" t="s">
        <v>405</v>
      </c>
      <c r="C206" s="10" t="s">
        <v>406</v>
      </c>
    </row>
    <row r="207" ht="15.75" customHeight="1">
      <c r="A207" s="10" t="s">
        <v>16</v>
      </c>
      <c r="B207" s="10" t="s">
        <v>407</v>
      </c>
      <c r="C207" s="10" t="s">
        <v>408</v>
      </c>
    </row>
    <row r="208" ht="15.75" customHeight="1">
      <c r="A208" s="10" t="s">
        <v>16</v>
      </c>
      <c r="B208" s="10" t="s">
        <v>409</v>
      </c>
      <c r="C208" s="10" t="s">
        <v>410</v>
      </c>
    </row>
    <row r="209" ht="15.75" customHeight="1">
      <c r="A209" s="10" t="s">
        <v>16</v>
      </c>
      <c r="B209" s="10" t="s">
        <v>411</v>
      </c>
      <c r="C209" s="10" t="s">
        <v>412</v>
      </c>
    </row>
    <row r="210" ht="15.75" customHeight="1">
      <c r="A210" s="10" t="s">
        <v>16</v>
      </c>
      <c r="B210" s="10" t="s">
        <v>413</v>
      </c>
      <c r="C210" s="10" t="s">
        <v>414</v>
      </c>
    </row>
    <row r="211" ht="15.75" customHeight="1">
      <c r="A211" s="10" t="s">
        <v>16</v>
      </c>
      <c r="B211" s="10" t="s">
        <v>415</v>
      </c>
      <c r="C211" s="10" t="s">
        <v>416</v>
      </c>
    </row>
    <row r="212" ht="15.75" customHeight="1">
      <c r="A212" s="10" t="s">
        <v>16</v>
      </c>
      <c r="B212" s="10" t="s">
        <v>417</v>
      </c>
      <c r="C212" s="10" t="s">
        <v>418</v>
      </c>
    </row>
    <row r="213" ht="15.75" customHeight="1">
      <c r="A213" s="10" t="s">
        <v>16</v>
      </c>
      <c r="B213" s="10" t="s">
        <v>419</v>
      </c>
      <c r="C213" s="10" t="s">
        <v>420</v>
      </c>
    </row>
    <row r="214" ht="15.75" customHeight="1">
      <c r="A214" s="10" t="s">
        <v>16</v>
      </c>
      <c r="B214" s="10" t="s">
        <v>421</v>
      </c>
      <c r="C214" s="10" t="s">
        <v>422</v>
      </c>
    </row>
    <row r="215" ht="15.75" customHeight="1">
      <c r="A215" s="10" t="s">
        <v>41</v>
      </c>
      <c r="B215" s="10" t="s">
        <v>423</v>
      </c>
      <c r="C215" s="10" t="s">
        <v>424</v>
      </c>
    </row>
    <row r="216" ht="15.75" customHeight="1">
      <c r="A216" s="10" t="s">
        <v>41</v>
      </c>
      <c r="B216" s="10" t="s">
        <v>425</v>
      </c>
      <c r="C216" s="10" t="s">
        <v>426</v>
      </c>
    </row>
    <row r="217" ht="15.75" customHeight="1">
      <c r="A217" s="10" t="s">
        <v>41</v>
      </c>
      <c r="B217" s="10" t="s">
        <v>427</v>
      </c>
      <c r="C217" s="10" t="s">
        <v>428</v>
      </c>
    </row>
    <row r="218" ht="15.75" customHeight="1">
      <c r="A218" s="10" t="s">
        <v>41</v>
      </c>
      <c r="B218" s="10" t="s">
        <v>429</v>
      </c>
      <c r="C218" s="10" t="s">
        <v>430</v>
      </c>
    </row>
    <row r="219" ht="15.75" customHeight="1">
      <c r="A219" s="10" t="s">
        <v>266</v>
      </c>
      <c r="B219" s="10" t="s">
        <v>431</v>
      </c>
      <c r="C219" s="10" t="s">
        <v>432</v>
      </c>
    </row>
    <row r="220" ht="15.75" customHeight="1">
      <c r="A220" s="10" t="s">
        <v>266</v>
      </c>
      <c r="B220" s="10" t="s">
        <v>433</v>
      </c>
      <c r="C220" s="10" t="s">
        <v>434</v>
      </c>
    </row>
    <row r="221" ht="15.75" customHeight="1">
      <c r="A221" s="10" t="s">
        <v>266</v>
      </c>
      <c r="B221" s="10" t="s">
        <v>435</v>
      </c>
      <c r="C221" s="10" t="s">
        <v>436</v>
      </c>
    </row>
    <row r="222" ht="15.75" customHeight="1">
      <c r="A222" s="10" t="s">
        <v>266</v>
      </c>
      <c r="B222" s="10" t="s">
        <v>437</v>
      </c>
      <c r="C222" s="10" t="s">
        <v>438</v>
      </c>
    </row>
    <row r="223" ht="15.75" customHeight="1">
      <c r="A223" s="10" t="s">
        <v>266</v>
      </c>
      <c r="B223" s="10" t="s">
        <v>439</v>
      </c>
      <c r="C223" s="10" t="s">
        <v>440</v>
      </c>
    </row>
    <row r="224" ht="15.75" customHeight="1">
      <c r="A224" s="10" t="s">
        <v>266</v>
      </c>
      <c r="B224" s="10" t="s">
        <v>441</v>
      </c>
      <c r="C224" s="10" t="s">
        <v>442</v>
      </c>
    </row>
    <row r="225" ht="15.75" customHeight="1">
      <c r="A225" s="10" t="s">
        <v>266</v>
      </c>
      <c r="B225" s="10" t="s">
        <v>443</v>
      </c>
      <c r="C225" s="10" t="s">
        <v>444</v>
      </c>
    </row>
    <row r="226" ht="15.75" customHeight="1">
      <c r="A226" s="10" t="s">
        <v>266</v>
      </c>
      <c r="B226" s="10" t="s">
        <v>445</v>
      </c>
      <c r="C226" s="10" t="s">
        <v>446</v>
      </c>
    </row>
    <row r="227" ht="15.75" customHeight="1">
      <c r="A227" s="10" t="s">
        <v>266</v>
      </c>
      <c r="B227" s="10" t="s">
        <v>447</v>
      </c>
      <c r="C227" s="10" t="s">
        <v>448</v>
      </c>
    </row>
    <row r="228" ht="15.75" customHeight="1">
      <c r="A228" s="10" t="s">
        <v>266</v>
      </c>
      <c r="B228" s="10" t="s">
        <v>449</v>
      </c>
      <c r="C228" s="10" t="s">
        <v>450</v>
      </c>
    </row>
    <row r="229" ht="15.75" customHeight="1">
      <c r="A229" s="10" t="s">
        <v>266</v>
      </c>
      <c r="B229" s="10" t="s">
        <v>451</v>
      </c>
      <c r="C229" s="10" t="s">
        <v>452</v>
      </c>
    </row>
    <row r="230" ht="15.75" customHeight="1">
      <c r="A230" s="10" t="s">
        <v>266</v>
      </c>
      <c r="B230" s="10" t="s">
        <v>453</v>
      </c>
      <c r="C230" s="10" t="s">
        <v>454</v>
      </c>
    </row>
    <row r="231" ht="15.75" customHeight="1">
      <c r="A231" s="10" t="s">
        <v>266</v>
      </c>
      <c r="B231" s="10" t="s">
        <v>455</v>
      </c>
      <c r="C231" s="10" t="s">
        <v>456</v>
      </c>
    </row>
    <row r="232" ht="15.75" customHeight="1">
      <c r="A232" s="10" t="s">
        <v>266</v>
      </c>
      <c r="B232" s="10" t="s">
        <v>457</v>
      </c>
      <c r="C232" s="10" t="s">
        <v>458</v>
      </c>
    </row>
    <row r="233" ht="15.75" customHeight="1">
      <c r="A233" s="10" t="s">
        <v>266</v>
      </c>
      <c r="B233" s="10" t="s">
        <v>459</v>
      </c>
      <c r="C233" s="10" t="s">
        <v>460</v>
      </c>
    </row>
    <row r="234" ht="15.75" customHeight="1">
      <c r="A234" s="10" t="s">
        <v>266</v>
      </c>
      <c r="B234" s="10" t="s">
        <v>461</v>
      </c>
      <c r="C234" s="10" t="s">
        <v>462</v>
      </c>
    </row>
    <row r="235" ht="15.75" customHeight="1">
      <c r="A235" s="10" t="s">
        <v>266</v>
      </c>
      <c r="B235" s="10" t="s">
        <v>267</v>
      </c>
      <c r="C235" s="10" t="s">
        <v>268</v>
      </c>
    </row>
    <row r="236" ht="15.75" customHeight="1">
      <c r="A236" s="10" t="s">
        <v>266</v>
      </c>
      <c r="B236" s="10" t="s">
        <v>463</v>
      </c>
      <c r="C236" s="10" t="s">
        <v>464</v>
      </c>
    </row>
    <row r="237" ht="15.75" customHeight="1">
      <c r="A237" s="10" t="s">
        <v>266</v>
      </c>
      <c r="B237" s="10" t="s">
        <v>465</v>
      </c>
      <c r="C237" s="10" t="s">
        <v>466</v>
      </c>
    </row>
    <row r="238" ht="15.75" customHeight="1">
      <c r="A238" s="10" t="s">
        <v>266</v>
      </c>
      <c r="B238" s="10" t="s">
        <v>467</v>
      </c>
      <c r="C238" s="10" t="s">
        <v>468</v>
      </c>
    </row>
    <row r="239" ht="15.75" customHeight="1">
      <c r="A239" s="10" t="s">
        <v>266</v>
      </c>
      <c r="B239" s="10" t="s">
        <v>391</v>
      </c>
      <c r="C239" s="10" t="s">
        <v>469</v>
      </c>
    </row>
    <row r="240" ht="15.75" customHeight="1">
      <c r="A240" s="10" t="s">
        <v>266</v>
      </c>
      <c r="B240" s="10" t="s">
        <v>470</v>
      </c>
      <c r="C240" s="10" t="s">
        <v>471</v>
      </c>
    </row>
    <row r="241" ht="15.75" customHeight="1">
      <c r="A241" s="10" t="s">
        <v>266</v>
      </c>
      <c r="B241" s="10" t="s">
        <v>472</v>
      </c>
      <c r="C241" s="10" t="s">
        <v>473</v>
      </c>
    </row>
    <row r="242" ht="15.75" customHeight="1">
      <c r="A242" s="10" t="s">
        <v>266</v>
      </c>
      <c r="B242" s="10" t="s">
        <v>474</v>
      </c>
      <c r="C242" s="10" t="s">
        <v>475</v>
      </c>
    </row>
    <row r="243" ht="15.75" customHeight="1">
      <c r="A243" s="10" t="s">
        <v>266</v>
      </c>
      <c r="B243" s="10" t="s">
        <v>476</v>
      </c>
      <c r="C243" s="10" t="s">
        <v>477</v>
      </c>
    </row>
    <row r="244" ht="15.75" customHeight="1">
      <c r="A244" s="10" t="s">
        <v>22</v>
      </c>
      <c r="B244" s="10" t="s">
        <v>478</v>
      </c>
      <c r="C244" s="10" t="s">
        <v>479</v>
      </c>
    </row>
    <row r="245" ht="15.75" customHeight="1">
      <c r="A245" s="10" t="s">
        <v>22</v>
      </c>
      <c r="B245" s="10" t="s">
        <v>480</v>
      </c>
      <c r="C245" s="10" t="s">
        <v>4</v>
      </c>
    </row>
    <row r="246" ht="15.75" customHeight="1">
      <c r="A246" s="10" t="s">
        <v>22</v>
      </c>
      <c r="B246" s="10" t="s">
        <v>481</v>
      </c>
      <c r="C246" s="10" t="s">
        <v>482</v>
      </c>
    </row>
    <row r="247" ht="15.75" customHeight="1">
      <c r="A247" s="10" t="s">
        <v>22</v>
      </c>
      <c r="B247" s="10" t="s">
        <v>483</v>
      </c>
      <c r="C247" s="10" t="s">
        <v>484</v>
      </c>
    </row>
    <row r="248" ht="15.75" customHeight="1">
      <c r="A248" s="10" t="s">
        <v>41</v>
      </c>
      <c r="B248" s="10" t="s">
        <v>42</v>
      </c>
      <c r="C248" s="10" t="s">
        <v>43</v>
      </c>
    </row>
    <row r="249" ht="15.75" customHeight="1">
      <c r="A249" s="10" t="s">
        <v>41</v>
      </c>
      <c r="B249" s="10" t="s">
        <v>485</v>
      </c>
      <c r="C249" s="10" t="s">
        <v>486</v>
      </c>
    </row>
    <row r="250" ht="15.75" customHeight="1">
      <c r="A250" s="10" t="s">
        <v>41</v>
      </c>
      <c r="B250" s="10" t="s">
        <v>44</v>
      </c>
      <c r="C250" s="10" t="s">
        <v>45</v>
      </c>
    </row>
    <row r="251" ht="15.75" customHeight="1">
      <c r="A251" s="10" t="s">
        <v>22</v>
      </c>
      <c r="B251" s="10" t="s">
        <v>487</v>
      </c>
      <c r="C251" s="10" t="s">
        <v>488</v>
      </c>
    </row>
    <row r="252" ht="15.75" customHeight="1">
      <c r="A252" s="10" t="s">
        <v>41</v>
      </c>
      <c r="B252" s="10" t="s">
        <v>489</v>
      </c>
      <c r="C252" s="10" t="s">
        <v>490</v>
      </c>
    </row>
    <row r="253" ht="15.75" customHeight="1">
      <c r="A253" s="10" t="s">
        <v>41</v>
      </c>
      <c r="B253" s="10" t="s">
        <v>491</v>
      </c>
      <c r="C253" s="10" t="s">
        <v>492</v>
      </c>
    </row>
    <row r="254" ht="15.75" customHeight="1">
      <c r="A254" s="10" t="s">
        <v>41</v>
      </c>
      <c r="B254" s="10" t="s">
        <v>493</v>
      </c>
      <c r="C254" s="10" t="s">
        <v>494</v>
      </c>
    </row>
    <row r="255" ht="15.75" customHeight="1">
      <c r="A255" s="10" t="s">
        <v>41</v>
      </c>
      <c r="B255" s="10" t="s">
        <v>495</v>
      </c>
      <c r="C255" s="10" t="s">
        <v>496</v>
      </c>
    </row>
    <row r="256" ht="15.75" customHeight="1">
      <c r="A256" s="10" t="s">
        <v>54</v>
      </c>
      <c r="B256" s="10" t="s">
        <v>497</v>
      </c>
      <c r="C256" s="10" t="s">
        <v>498</v>
      </c>
    </row>
    <row r="257" ht="15.75" customHeight="1">
      <c r="A257" s="10" t="s">
        <v>54</v>
      </c>
      <c r="B257" s="10" t="s">
        <v>499</v>
      </c>
      <c r="C257" s="10" t="s">
        <v>500</v>
      </c>
    </row>
    <row r="258" ht="15.75" customHeight="1">
      <c r="A258" s="10" t="s">
        <v>2</v>
      </c>
      <c r="B258" s="10" t="s">
        <v>501</v>
      </c>
      <c r="C258" s="10" t="s">
        <v>4</v>
      </c>
    </row>
    <row r="259" ht="15.75" customHeight="1">
      <c r="A259" s="10" t="s">
        <v>54</v>
      </c>
      <c r="B259" s="10" t="s">
        <v>502</v>
      </c>
      <c r="C259" s="10" t="s">
        <v>4</v>
      </c>
    </row>
    <row r="260" ht="15.75" customHeight="1">
      <c r="A260" s="10" t="s">
        <v>54</v>
      </c>
      <c r="B260" s="10" t="s">
        <v>503</v>
      </c>
      <c r="C260" s="10" t="s">
        <v>4</v>
      </c>
    </row>
    <row r="261" ht="15.75" customHeight="1">
      <c r="A261" s="10" t="s">
        <v>54</v>
      </c>
      <c r="B261" s="10" t="s">
        <v>504</v>
      </c>
      <c r="C261" s="10" t="s">
        <v>505</v>
      </c>
    </row>
    <row r="262" ht="15.75" customHeight="1">
      <c r="A262" s="10" t="s">
        <v>22</v>
      </c>
      <c r="B262" s="10" t="s">
        <v>506</v>
      </c>
      <c r="C262" s="10" t="s">
        <v>4</v>
      </c>
    </row>
    <row r="263" ht="15.75" customHeight="1">
      <c r="A263" s="10" t="s">
        <v>16</v>
      </c>
      <c r="B263" s="10" t="s">
        <v>507</v>
      </c>
      <c r="C263" s="10" t="s">
        <v>508</v>
      </c>
    </row>
    <row r="264" ht="15.75" customHeight="1">
      <c r="A264" s="10" t="s">
        <v>22</v>
      </c>
      <c r="B264" s="10" t="s">
        <v>509</v>
      </c>
      <c r="C264" s="10" t="s">
        <v>510</v>
      </c>
    </row>
    <row r="265" ht="15.75" customHeight="1">
      <c r="A265" s="10" t="s">
        <v>101</v>
      </c>
      <c r="B265" s="10" t="s">
        <v>511</v>
      </c>
      <c r="C265" s="10" t="s">
        <v>512</v>
      </c>
    </row>
    <row r="266" ht="15.75" customHeight="1">
      <c r="A266" s="10" t="s">
        <v>39</v>
      </c>
      <c r="B266" s="10" t="s">
        <v>513</v>
      </c>
      <c r="C266" s="10" t="s">
        <v>514</v>
      </c>
    </row>
    <row r="267" ht="15.75" customHeight="1">
      <c r="A267" s="10" t="s">
        <v>101</v>
      </c>
      <c r="B267" s="10" t="s">
        <v>515</v>
      </c>
      <c r="C267" s="10" t="s">
        <v>516</v>
      </c>
    </row>
    <row r="268" ht="15.75" customHeight="1">
      <c r="A268" s="10" t="s">
        <v>101</v>
      </c>
      <c r="B268" s="10" t="s">
        <v>517</v>
      </c>
      <c r="C268" s="10" t="s">
        <v>518</v>
      </c>
    </row>
    <row r="269" ht="15.75" customHeight="1">
      <c r="A269" s="10" t="s">
        <v>519</v>
      </c>
      <c r="B269" s="10" t="s">
        <v>520</v>
      </c>
      <c r="C269" s="10" t="s">
        <v>521</v>
      </c>
    </row>
    <row r="270" ht="15.75" customHeight="1">
      <c r="A270" s="10" t="s">
        <v>522</v>
      </c>
      <c r="B270" s="10" t="s">
        <v>523</v>
      </c>
      <c r="C270" s="10" t="s">
        <v>524</v>
      </c>
    </row>
    <row r="271" ht="15.75" customHeight="1">
      <c r="A271" s="10" t="s">
        <v>525</v>
      </c>
      <c r="B271" s="10" t="s">
        <v>526</v>
      </c>
      <c r="C271" s="10" t="s">
        <v>527</v>
      </c>
    </row>
    <row r="272" ht="15.75" customHeight="1">
      <c r="A272" s="10" t="s">
        <v>528</v>
      </c>
      <c r="B272" s="10" t="s">
        <v>529</v>
      </c>
      <c r="C272" s="10" t="s">
        <v>530</v>
      </c>
    </row>
    <row r="273" ht="15.75" customHeight="1">
      <c r="A273" s="10" t="s">
        <v>528</v>
      </c>
      <c r="B273" s="10" t="s">
        <v>531</v>
      </c>
      <c r="C273" s="10" t="s">
        <v>532</v>
      </c>
    </row>
    <row r="274" ht="15.75" customHeight="1">
      <c r="A274" s="10" t="s">
        <v>528</v>
      </c>
      <c r="B274" s="10" t="s">
        <v>533</v>
      </c>
      <c r="C274" s="10" t="s">
        <v>534</v>
      </c>
    </row>
    <row r="275" ht="15.75" customHeight="1">
      <c r="A275" s="10" t="s">
        <v>528</v>
      </c>
      <c r="B275" s="10" t="s">
        <v>535</v>
      </c>
      <c r="C275" s="10" t="s">
        <v>536</v>
      </c>
    </row>
    <row r="276" ht="15.75" customHeight="1">
      <c r="A276" s="10" t="s">
        <v>528</v>
      </c>
      <c r="B276" s="10" t="s">
        <v>537</v>
      </c>
      <c r="C276" s="10" t="s">
        <v>538</v>
      </c>
    </row>
    <row r="277" ht="15.75" customHeight="1">
      <c r="A277" s="10" t="s">
        <v>528</v>
      </c>
      <c r="B277" s="10" t="s">
        <v>539</v>
      </c>
      <c r="C277" s="10" t="s">
        <v>540</v>
      </c>
    </row>
    <row r="278" ht="15.75" customHeight="1">
      <c r="A278" s="10" t="s">
        <v>528</v>
      </c>
      <c r="B278" s="10" t="s">
        <v>541</v>
      </c>
      <c r="C278" s="10" t="s">
        <v>542</v>
      </c>
    </row>
    <row r="279" ht="15.75" customHeight="1">
      <c r="A279" s="10" t="s">
        <v>54</v>
      </c>
      <c r="B279" s="10" t="s">
        <v>543</v>
      </c>
      <c r="C279" s="10" t="s">
        <v>544</v>
      </c>
    </row>
    <row r="280" ht="15.75" customHeight="1">
      <c r="A280" s="10" t="s">
        <v>528</v>
      </c>
      <c r="B280" s="10" t="s">
        <v>545</v>
      </c>
      <c r="C280" s="10" t="s">
        <v>546</v>
      </c>
    </row>
    <row r="281" ht="15.75" customHeight="1">
      <c r="A281" s="10" t="s">
        <v>528</v>
      </c>
      <c r="B281" s="10" t="s">
        <v>547</v>
      </c>
      <c r="C281" s="10" t="s">
        <v>548</v>
      </c>
    </row>
    <row r="282" ht="15.75" customHeight="1">
      <c r="A282" s="10" t="s">
        <v>528</v>
      </c>
      <c r="B282" s="10" t="s">
        <v>549</v>
      </c>
      <c r="C282" s="10" t="s">
        <v>550</v>
      </c>
    </row>
    <row r="283" ht="15.75" customHeight="1">
      <c r="A283" s="10" t="s">
        <v>288</v>
      </c>
      <c r="B283" s="10" t="s">
        <v>551</v>
      </c>
      <c r="C283" s="10" t="s">
        <v>552</v>
      </c>
    </row>
    <row r="284" ht="15.75" customHeight="1">
      <c r="A284" s="10" t="s">
        <v>288</v>
      </c>
      <c r="B284" s="10" t="s">
        <v>553</v>
      </c>
      <c r="C284" s="10" t="s">
        <v>554</v>
      </c>
    </row>
    <row r="285" ht="15.75" customHeight="1">
      <c r="A285" s="10" t="s">
        <v>288</v>
      </c>
      <c r="B285" s="10" t="s">
        <v>555</v>
      </c>
      <c r="C285" s="10" t="s">
        <v>556</v>
      </c>
    </row>
    <row r="286" ht="15.75" customHeight="1">
      <c r="A286" s="10" t="s">
        <v>288</v>
      </c>
      <c r="B286" s="10" t="s">
        <v>557</v>
      </c>
      <c r="C286" s="10" t="s">
        <v>558</v>
      </c>
    </row>
    <row r="287" ht="15.75" customHeight="1">
      <c r="A287" s="10" t="s">
        <v>288</v>
      </c>
      <c r="B287" s="10" t="s">
        <v>559</v>
      </c>
      <c r="C287" s="10" t="s">
        <v>560</v>
      </c>
    </row>
    <row r="288" ht="15.75" customHeight="1">
      <c r="A288" s="10" t="s">
        <v>2</v>
      </c>
      <c r="B288" s="10" t="s">
        <v>561</v>
      </c>
      <c r="C288" s="10" t="s">
        <v>562</v>
      </c>
    </row>
    <row r="289" ht="15.75" customHeight="1">
      <c r="A289" s="10" t="s">
        <v>288</v>
      </c>
      <c r="B289" s="10" t="s">
        <v>563</v>
      </c>
      <c r="C289" s="10" t="s">
        <v>564</v>
      </c>
    </row>
    <row r="290" ht="15.75" customHeight="1">
      <c r="A290" s="10" t="s">
        <v>2</v>
      </c>
      <c r="B290" s="10" t="s">
        <v>565</v>
      </c>
      <c r="C290" s="10" t="s">
        <v>566</v>
      </c>
    </row>
    <row r="291" ht="15.75" customHeight="1">
      <c r="A291" s="10" t="s">
        <v>2</v>
      </c>
      <c r="B291" s="10" t="s">
        <v>567</v>
      </c>
      <c r="C291" s="10" t="s">
        <v>568</v>
      </c>
    </row>
    <row r="292" ht="15.75" customHeight="1">
      <c r="A292" s="10" t="s">
        <v>2</v>
      </c>
      <c r="B292" s="10" t="s">
        <v>569</v>
      </c>
      <c r="C292" s="10" t="s">
        <v>4</v>
      </c>
    </row>
    <row r="293" ht="15.75" customHeight="1">
      <c r="A293" s="10" t="s">
        <v>16</v>
      </c>
      <c r="B293" s="10" t="s">
        <v>570</v>
      </c>
      <c r="C293" s="10" t="s">
        <v>571</v>
      </c>
    </row>
    <row r="294" ht="15.75" customHeight="1">
      <c r="A294" s="10" t="s">
        <v>89</v>
      </c>
      <c r="B294" s="10" t="s">
        <v>572</v>
      </c>
      <c r="C294" s="10" t="s">
        <v>573</v>
      </c>
    </row>
    <row r="295" ht="15.75" customHeight="1">
      <c r="A295" s="10" t="s">
        <v>2</v>
      </c>
      <c r="B295" s="10" t="s">
        <v>574</v>
      </c>
      <c r="C295" s="10" t="s">
        <v>575</v>
      </c>
    </row>
    <row r="296" ht="15.75" customHeight="1">
      <c r="A296" s="10" t="s">
        <v>2</v>
      </c>
      <c r="B296" s="10" t="s">
        <v>576</v>
      </c>
      <c r="C296" s="10" t="s">
        <v>577</v>
      </c>
    </row>
    <row r="297" ht="15.75" customHeight="1">
      <c r="A297" s="10" t="s">
        <v>2</v>
      </c>
      <c r="B297" s="10" t="s">
        <v>578</v>
      </c>
      <c r="C297" s="10" t="s">
        <v>579</v>
      </c>
    </row>
    <row r="298" ht="15.75" customHeight="1">
      <c r="A298" s="10" t="s">
        <v>2</v>
      </c>
      <c r="B298" s="10" t="s">
        <v>580</v>
      </c>
      <c r="C298" s="10" t="s">
        <v>581</v>
      </c>
    </row>
    <row r="299" ht="15.75" customHeight="1">
      <c r="A299" s="10" t="s">
        <v>2</v>
      </c>
      <c r="B299" s="10" t="s">
        <v>582</v>
      </c>
      <c r="C299" s="10" t="s">
        <v>583</v>
      </c>
    </row>
    <row r="300" ht="15.75" customHeight="1">
      <c r="A300" s="10" t="s">
        <v>2</v>
      </c>
      <c r="B300" s="10" t="s">
        <v>584</v>
      </c>
      <c r="C300" s="10" t="s">
        <v>585</v>
      </c>
    </row>
    <row r="301" ht="15.75" customHeight="1">
      <c r="A301" s="10" t="s">
        <v>2</v>
      </c>
      <c r="B301" s="10" t="s">
        <v>586</v>
      </c>
      <c r="C301" s="10" t="s">
        <v>4</v>
      </c>
    </row>
    <row r="302" ht="15.75" customHeight="1">
      <c r="A302" s="10" t="s">
        <v>2</v>
      </c>
      <c r="B302" s="10" t="s">
        <v>587</v>
      </c>
      <c r="C302" s="10" t="s">
        <v>588</v>
      </c>
    </row>
    <row r="303" ht="15.75" customHeight="1">
      <c r="A303" s="10" t="s">
        <v>2</v>
      </c>
      <c r="B303" s="10" t="s">
        <v>589</v>
      </c>
      <c r="C303" s="10" t="s">
        <v>4</v>
      </c>
    </row>
    <row r="304" ht="15.75" customHeight="1">
      <c r="A304" s="10" t="s">
        <v>2</v>
      </c>
      <c r="B304" s="10" t="s">
        <v>590</v>
      </c>
      <c r="C304" s="10" t="s">
        <v>591</v>
      </c>
    </row>
    <row r="305" ht="15.75" customHeight="1">
      <c r="A305" s="10" t="s">
        <v>2</v>
      </c>
      <c r="B305" s="10" t="s">
        <v>592</v>
      </c>
      <c r="C305" s="10" t="s">
        <v>593</v>
      </c>
    </row>
    <row r="306" ht="15.75" customHeight="1">
      <c r="A306" s="10" t="s">
        <v>2</v>
      </c>
      <c r="B306" s="10" t="s">
        <v>594</v>
      </c>
      <c r="C306" s="10" t="s">
        <v>595</v>
      </c>
    </row>
    <row r="307" ht="15.75" customHeight="1">
      <c r="A307" s="10" t="s">
        <v>2</v>
      </c>
      <c r="B307" s="10" t="s">
        <v>596</v>
      </c>
      <c r="C307" s="10" t="s">
        <v>597</v>
      </c>
    </row>
    <row r="308" ht="15.75" customHeight="1">
      <c r="A308" s="10" t="s">
        <v>2</v>
      </c>
      <c r="B308" s="10" t="s">
        <v>598</v>
      </c>
      <c r="C308" s="10" t="s">
        <v>599</v>
      </c>
    </row>
    <row r="309" ht="15.75" customHeight="1">
      <c r="A309" s="10" t="s">
        <v>528</v>
      </c>
      <c r="B309" s="10" t="s">
        <v>600</v>
      </c>
      <c r="C309" s="10" t="s">
        <v>601</v>
      </c>
    </row>
    <row r="310" ht="15.75" customHeight="1">
      <c r="A310" s="10" t="s">
        <v>2</v>
      </c>
      <c r="B310" s="10" t="s">
        <v>602</v>
      </c>
      <c r="C310" s="10" t="s">
        <v>4</v>
      </c>
    </row>
    <row r="311" ht="15.75" customHeight="1">
      <c r="A311" s="10" t="s">
        <v>2</v>
      </c>
      <c r="B311" s="10" t="s">
        <v>603</v>
      </c>
      <c r="C311" s="10" t="s">
        <v>604</v>
      </c>
    </row>
    <row r="312" ht="15.75" customHeight="1">
      <c r="A312" s="10" t="s">
        <v>2</v>
      </c>
      <c r="B312" s="10" t="s">
        <v>605</v>
      </c>
      <c r="C312" s="10" t="s">
        <v>606</v>
      </c>
    </row>
    <row r="313" ht="15.75" customHeight="1">
      <c r="A313" s="10" t="s">
        <v>2</v>
      </c>
      <c r="B313" s="10" t="s">
        <v>607</v>
      </c>
      <c r="C313" s="10" t="s">
        <v>608</v>
      </c>
    </row>
    <row r="314" ht="15.75" customHeight="1">
      <c r="A314" s="10" t="s">
        <v>2</v>
      </c>
      <c r="B314" s="10" t="s">
        <v>609</v>
      </c>
      <c r="C314" s="10" t="s">
        <v>4</v>
      </c>
    </row>
    <row r="315" ht="15.75" customHeight="1">
      <c r="A315" s="10" t="s">
        <v>2</v>
      </c>
      <c r="B315" s="10" t="s">
        <v>610</v>
      </c>
      <c r="C315" s="10" t="s">
        <v>611</v>
      </c>
    </row>
    <row r="316" ht="15.75" customHeight="1">
      <c r="A316" s="10" t="s">
        <v>522</v>
      </c>
      <c r="B316" s="10" t="s">
        <v>612</v>
      </c>
      <c r="C316" s="10" t="s">
        <v>613</v>
      </c>
    </row>
    <row r="317" ht="15.75" customHeight="1">
      <c r="A317" s="10" t="s">
        <v>519</v>
      </c>
      <c r="B317" s="10" t="s">
        <v>614</v>
      </c>
      <c r="C317" s="10" t="s">
        <v>615</v>
      </c>
    </row>
    <row r="318" ht="15.75" customHeight="1">
      <c r="A318" s="10" t="s">
        <v>525</v>
      </c>
      <c r="B318" s="10" t="s">
        <v>616</v>
      </c>
      <c r="C318" s="10" t="s">
        <v>617</v>
      </c>
    </row>
    <row r="319" ht="15.75" customHeight="1">
      <c r="A319" s="10" t="s">
        <v>54</v>
      </c>
      <c r="B319" s="10" t="s">
        <v>618</v>
      </c>
      <c r="C319" s="10" t="s">
        <v>4</v>
      </c>
    </row>
    <row r="320" ht="15.75" customHeight="1">
      <c r="A320" s="10" t="s">
        <v>54</v>
      </c>
      <c r="B320" s="10" t="s">
        <v>619</v>
      </c>
      <c r="C320" s="10" t="s">
        <v>4</v>
      </c>
    </row>
    <row r="321" ht="15.75" customHeight="1">
      <c r="A321" s="10" t="s">
        <v>54</v>
      </c>
      <c r="B321" s="10" t="s">
        <v>620</v>
      </c>
      <c r="C321" s="10" t="s">
        <v>4</v>
      </c>
    </row>
    <row r="322" ht="15.75" customHeight="1">
      <c r="A322" s="10" t="s">
        <v>54</v>
      </c>
      <c r="B322" s="10" t="s">
        <v>621</v>
      </c>
      <c r="C322" s="10" t="s">
        <v>622</v>
      </c>
    </row>
    <row r="323" ht="15.75" customHeight="1">
      <c r="A323" s="10" t="s">
        <v>54</v>
      </c>
      <c r="B323" s="10" t="s">
        <v>623</v>
      </c>
      <c r="C323" s="10" t="s">
        <v>4</v>
      </c>
    </row>
    <row r="324" ht="15.75" customHeight="1">
      <c r="A324" s="10" t="s">
        <v>54</v>
      </c>
      <c r="B324" s="10" t="s">
        <v>624</v>
      </c>
      <c r="C324" s="10" t="s">
        <v>4</v>
      </c>
    </row>
    <row r="325" ht="15.75" customHeight="1">
      <c r="A325" s="10" t="s">
        <v>54</v>
      </c>
      <c r="B325" s="10" t="s">
        <v>625</v>
      </c>
      <c r="C325" s="10" t="s">
        <v>626</v>
      </c>
    </row>
    <row r="326" ht="15.75" customHeight="1">
      <c r="A326" s="10" t="s">
        <v>54</v>
      </c>
      <c r="B326" s="10" t="s">
        <v>627</v>
      </c>
      <c r="C326" s="10" t="s">
        <v>628</v>
      </c>
    </row>
    <row r="327" ht="15.75" customHeight="1">
      <c r="A327" s="10" t="s">
        <v>54</v>
      </c>
      <c r="B327" s="10" t="s">
        <v>629</v>
      </c>
      <c r="C327" s="10" t="s">
        <v>630</v>
      </c>
    </row>
    <row r="328" ht="15.75" customHeight="1">
      <c r="A328" s="10" t="s">
        <v>54</v>
      </c>
      <c r="B328" s="10" t="s">
        <v>631</v>
      </c>
      <c r="C328" s="10" t="s">
        <v>632</v>
      </c>
    </row>
    <row r="329" ht="15.75" customHeight="1">
      <c r="A329" s="10" t="s">
        <v>54</v>
      </c>
      <c r="B329" s="10" t="s">
        <v>633</v>
      </c>
      <c r="C329" s="10" t="s">
        <v>634</v>
      </c>
    </row>
    <row r="330" ht="15.75" customHeight="1">
      <c r="A330" s="10" t="s">
        <v>54</v>
      </c>
      <c r="B330" s="10" t="s">
        <v>635</v>
      </c>
      <c r="C330" s="10" t="s">
        <v>636</v>
      </c>
    </row>
    <row r="331" ht="15.75" customHeight="1">
      <c r="A331" s="10" t="s">
        <v>54</v>
      </c>
      <c r="B331" s="10" t="s">
        <v>637</v>
      </c>
      <c r="C331" s="10" t="s">
        <v>638</v>
      </c>
    </row>
    <row r="332" ht="15.75" customHeight="1">
      <c r="A332" s="10" t="s">
        <v>266</v>
      </c>
      <c r="B332" s="10" t="s">
        <v>639</v>
      </c>
      <c r="C332" s="10" t="s">
        <v>640</v>
      </c>
    </row>
    <row r="333" ht="15.75" customHeight="1">
      <c r="A333" s="10" t="s">
        <v>39</v>
      </c>
      <c r="B333" s="10" t="s">
        <v>641</v>
      </c>
      <c r="C333" s="10" t="s">
        <v>4</v>
      </c>
    </row>
    <row r="334" ht="15.75" customHeight="1">
      <c r="A334" s="10" t="s">
        <v>2</v>
      </c>
      <c r="B334" s="10" t="s">
        <v>642</v>
      </c>
      <c r="C334" s="10" t="s">
        <v>643</v>
      </c>
    </row>
    <row r="335" ht="15.75" customHeight="1">
      <c r="A335" s="10" t="s">
        <v>2</v>
      </c>
      <c r="B335" s="10" t="s">
        <v>644</v>
      </c>
      <c r="C335" s="10" t="s">
        <v>645</v>
      </c>
    </row>
    <row r="336" ht="15.75" customHeight="1">
      <c r="A336" s="10" t="s">
        <v>528</v>
      </c>
      <c r="B336" s="10" t="s">
        <v>646</v>
      </c>
      <c r="C336" s="10" t="s">
        <v>647</v>
      </c>
    </row>
    <row r="337" ht="15.75" customHeight="1">
      <c r="A337" s="10" t="s">
        <v>528</v>
      </c>
      <c r="B337" s="10" t="s">
        <v>648</v>
      </c>
      <c r="C337" s="10" t="s">
        <v>649</v>
      </c>
    </row>
    <row r="338" ht="15.75" customHeight="1">
      <c r="A338" s="10" t="s">
        <v>101</v>
      </c>
      <c r="B338" s="10" t="s">
        <v>650</v>
      </c>
      <c r="C338" s="10" t="s">
        <v>651</v>
      </c>
    </row>
    <row r="339" ht="15.75" customHeight="1">
      <c r="A339" s="10" t="s">
        <v>2</v>
      </c>
      <c r="B339" s="10" t="s">
        <v>652</v>
      </c>
      <c r="C339" s="10" t="s">
        <v>653</v>
      </c>
    </row>
    <row r="340" ht="15.75" customHeight="1">
      <c r="A340" s="10" t="s">
        <v>2</v>
      </c>
      <c r="B340" s="10" t="s">
        <v>654</v>
      </c>
      <c r="C340" s="10" t="s">
        <v>655</v>
      </c>
    </row>
    <row r="341" ht="15.75" customHeight="1">
      <c r="A341" s="10" t="s">
        <v>2</v>
      </c>
      <c r="B341" s="10" t="s">
        <v>656</v>
      </c>
      <c r="C341" s="10" t="s">
        <v>657</v>
      </c>
    </row>
    <row r="342" ht="15.75" customHeight="1">
      <c r="A342" s="10" t="s">
        <v>2</v>
      </c>
      <c r="B342" s="10" t="s">
        <v>658</v>
      </c>
      <c r="C342" s="10" t="s">
        <v>4</v>
      </c>
    </row>
    <row r="343" ht="15.75" customHeight="1">
      <c r="A343" s="10" t="s">
        <v>2</v>
      </c>
      <c r="B343" s="10" t="s">
        <v>659</v>
      </c>
      <c r="C343" s="10" t="s">
        <v>4</v>
      </c>
    </row>
    <row r="344" ht="15.75" customHeight="1">
      <c r="A344" s="10" t="s">
        <v>2</v>
      </c>
      <c r="B344" s="10" t="s">
        <v>660</v>
      </c>
      <c r="C344" s="10" t="s">
        <v>661</v>
      </c>
    </row>
    <row r="345" ht="15.75" customHeight="1">
      <c r="A345" s="10" t="s">
        <v>2</v>
      </c>
      <c r="B345" s="10" t="s">
        <v>662</v>
      </c>
      <c r="C345" s="10" t="s">
        <v>663</v>
      </c>
    </row>
    <row r="346" ht="15.75" customHeight="1">
      <c r="A346" s="10" t="s">
        <v>41</v>
      </c>
      <c r="B346" s="10" t="s">
        <v>664</v>
      </c>
      <c r="C346" s="10" t="s">
        <v>665</v>
      </c>
    </row>
    <row r="347" ht="15.75" customHeight="1">
      <c r="A347" s="10" t="s">
        <v>22</v>
      </c>
      <c r="B347" s="10" t="s">
        <v>641</v>
      </c>
      <c r="C347" s="10" t="s">
        <v>4</v>
      </c>
    </row>
    <row r="348" ht="15.75" customHeight="1">
      <c r="A348" s="10" t="s">
        <v>41</v>
      </c>
      <c r="B348" s="10" t="s">
        <v>666</v>
      </c>
      <c r="C348" s="10" t="s">
        <v>667</v>
      </c>
    </row>
    <row r="349" ht="15.75" customHeight="1">
      <c r="A349" s="10" t="s">
        <v>2</v>
      </c>
      <c r="B349" s="10" t="s">
        <v>89</v>
      </c>
      <c r="C349" s="10" t="s">
        <v>668</v>
      </c>
    </row>
    <row r="350" ht="15.75" customHeight="1">
      <c r="A350" s="10" t="s">
        <v>2</v>
      </c>
      <c r="B350" s="10" t="s">
        <v>669</v>
      </c>
      <c r="C350" s="10" t="s">
        <v>670</v>
      </c>
    </row>
    <row r="351" ht="15.75" customHeight="1">
      <c r="A351" s="10" t="s">
        <v>266</v>
      </c>
      <c r="B351" s="10" t="s">
        <v>671</v>
      </c>
      <c r="C351" s="10" t="s">
        <v>672</v>
      </c>
    </row>
    <row r="352" ht="15.75" customHeight="1">
      <c r="A352" s="10" t="s">
        <v>78</v>
      </c>
      <c r="B352" s="10" t="s">
        <v>673</v>
      </c>
      <c r="C352" s="10" t="s">
        <v>674</v>
      </c>
    </row>
    <row r="353" ht="15.75" customHeight="1">
      <c r="A353" s="10" t="s">
        <v>675</v>
      </c>
      <c r="B353" s="10" t="s">
        <v>676</v>
      </c>
      <c r="C353" s="10" t="s">
        <v>677</v>
      </c>
    </row>
    <row r="354" ht="15.75" customHeight="1">
      <c r="A354" s="10" t="s">
        <v>675</v>
      </c>
      <c r="B354" s="10" t="s">
        <v>678</v>
      </c>
      <c r="C354" s="10" t="s">
        <v>679</v>
      </c>
    </row>
    <row r="355" ht="15.75" customHeight="1">
      <c r="A355" s="10" t="s">
        <v>675</v>
      </c>
      <c r="B355" s="10" t="s">
        <v>680</v>
      </c>
      <c r="C355" s="10" t="s">
        <v>681</v>
      </c>
    </row>
    <row r="356" ht="15.75" customHeight="1">
      <c r="A356" s="10" t="s">
        <v>675</v>
      </c>
      <c r="B356" s="10" t="s">
        <v>682</v>
      </c>
      <c r="C356" s="10" t="s">
        <v>683</v>
      </c>
    </row>
    <row r="357" ht="15.75" customHeight="1">
      <c r="A357" s="10" t="s">
        <v>675</v>
      </c>
      <c r="B357" s="10" t="s">
        <v>684</v>
      </c>
      <c r="C357" s="10" t="s">
        <v>685</v>
      </c>
    </row>
    <row r="358" ht="15.75" customHeight="1">
      <c r="A358" s="10" t="s">
        <v>675</v>
      </c>
      <c r="B358" s="10" t="s">
        <v>686</v>
      </c>
      <c r="C358" s="10" t="s">
        <v>687</v>
      </c>
    </row>
    <row r="359" ht="15.75" customHeight="1">
      <c r="A359" s="10" t="s">
        <v>675</v>
      </c>
      <c r="B359" s="10" t="s">
        <v>688</v>
      </c>
      <c r="C359" s="10" t="s">
        <v>689</v>
      </c>
    </row>
    <row r="360" ht="15.75" customHeight="1">
      <c r="A360" s="10" t="s">
        <v>675</v>
      </c>
      <c r="B360" s="10" t="s">
        <v>690</v>
      </c>
      <c r="C360" s="10" t="s">
        <v>691</v>
      </c>
    </row>
    <row r="361" ht="15.75" customHeight="1">
      <c r="A361" s="10" t="s">
        <v>675</v>
      </c>
      <c r="B361" s="10" t="s">
        <v>692</v>
      </c>
      <c r="C361" s="10" t="s">
        <v>693</v>
      </c>
    </row>
    <row r="362" ht="15.75" customHeight="1">
      <c r="A362" s="10" t="s">
        <v>675</v>
      </c>
      <c r="B362" s="10" t="s">
        <v>694</v>
      </c>
      <c r="C362" s="10" t="s">
        <v>695</v>
      </c>
    </row>
    <row r="363" ht="15.75" customHeight="1">
      <c r="A363" s="10" t="s">
        <v>675</v>
      </c>
      <c r="B363" s="10" t="s">
        <v>696</v>
      </c>
      <c r="C363" s="10" t="s">
        <v>697</v>
      </c>
    </row>
    <row r="364" ht="15.75" customHeight="1">
      <c r="A364" s="10" t="s">
        <v>675</v>
      </c>
      <c r="B364" s="10" t="s">
        <v>698</v>
      </c>
      <c r="C364" s="10" t="s">
        <v>699</v>
      </c>
    </row>
    <row r="365" ht="15.75" customHeight="1">
      <c r="A365" s="10" t="s">
        <v>675</v>
      </c>
      <c r="B365" s="10" t="s">
        <v>700</v>
      </c>
      <c r="C365" s="10" t="s">
        <v>701</v>
      </c>
    </row>
    <row r="366" ht="15.75" customHeight="1">
      <c r="A366" s="10" t="s">
        <v>675</v>
      </c>
      <c r="B366" s="10" t="s">
        <v>702</v>
      </c>
      <c r="C366" s="10" t="s">
        <v>703</v>
      </c>
    </row>
    <row r="367" ht="15.75" customHeight="1">
      <c r="A367" s="10" t="s">
        <v>675</v>
      </c>
      <c r="B367" s="10" t="s">
        <v>704</v>
      </c>
      <c r="C367" s="10" t="s">
        <v>705</v>
      </c>
    </row>
    <row r="368" ht="15.75" customHeight="1">
      <c r="A368" s="10" t="s">
        <v>675</v>
      </c>
      <c r="B368" s="10" t="s">
        <v>706</v>
      </c>
      <c r="C368" s="10" t="s">
        <v>707</v>
      </c>
    </row>
    <row r="369" ht="15.75" customHeight="1">
      <c r="A369" s="10" t="s">
        <v>675</v>
      </c>
      <c r="B369" s="10" t="s">
        <v>708</v>
      </c>
      <c r="C369" s="10" t="s">
        <v>709</v>
      </c>
    </row>
    <row r="370" ht="15.75" customHeight="1">
      <c r="A370" s="10" t="s">
        <v>675</v>
      </c>
      <c r="B370" s="10" t="s">
        <v>710</v>
      </c>
      <c r="C370" s="10" t="s">
        <v>711</v>
      </c>
    </row>
    <row r="371" ht="15.75" customHeight="1">
      <c r="A371" s="10" t="s">
        <v>675</v>
      </c>
      <c r="B371" s="10" t="s">
        <v>712</v>
      </c>
      <c r="C371" s="10" t="s">
        <v>713</v>
      </c>
    </row>
    <row r="372" ht="15.75" customHeight="1">
      <c r="A372" s="10" t="s">
        <v>675</v>
      </c>
      <c r="B372" s="10" t="s">
        <v>714</v>
      </c>
      <c r="C372" s="10" t="s">
        <v>715</v>
      </c>
    </row>
    <row r="373" ht="15.75" customHeight="1">
      <c r="A373" s="10" t="s">
        <v>675</v>
      </c>
      <c r="B373" s="10" t="s">
        <v>716</v>
      </c>
      <c r="C373" s="10" t="s">
        <v>717</v>
      </c>
    </row>
    <row r="374" ht="15.75" customHeight="1">
      <c r="A374" s="10" t="s">
        <v>675</v>
      </c>
      <c r="B374" s="10" t="s">
        <v>718</v>
      </c>
      <c r="C374" s="10" t="s">
        <v>719</v>
      </c>
    </row>
    <row r="375" ht="15.75" customHeight="1">
      <c r="A375" s="10" t="s">
        <v>675</v>
      </c>
      <c r="B375" s="10" t="s">
        <v>720</v>
      </c>
      <c r="C375" s="10" t="s">
        <v>4</v>
      </c>
    </row>
    <row r="376" ht="15.75" customHeight="1">
      <c r="A376" s="10" t="s">
        <v>675</v>
      </c>
      <c r="B376" s="10" t="s">
        <v>721</v>
      </c>
      <c r="C376" s="10" t="s">
        <v>722</v>
      </c>
    </row>
    <row r="377" ht="15.75" customHeight="1">
      <c r="A377" s="10" t="s">
        <v>675</v>
      </c>
      <c r="B377" s="10" t="s">
        <v>723</v>
      </c>
      <c r="C377" s="10" t="s">
        <v>724</v>
      </c>
    </row>
    <row r="378" ht="15.75" customHeight="1">
      <c r="A378" s="10" t="s">
        <v>675</v>
      </c>
      <c r="B378" s="10" t="s">
        <v>725</v>
      </c>
      <c r="C378" s="10" t="s">
        <v>726</v>
      </c>
    </row>
    <row r="379" ht="15.75" customHeight="1">
      <c r="A379" s="10" t="s">
        <v>675</v>
      </c>
      <c r="B379" s="10" t="s">
        <v>727</v>
      </c>
      <c r="C379" s="10" t="s">
        <v>728</v>
      </c>
    </row>
    <row r="380" ht="15.75" customHeight="1">
      <c r="A380" s="10" t="s">
        <v>675</v>
      </c>
      <c r="B380" s="10" t="s">
        <v>729</v>
      </c>
      <c r="C380" s="10" t="s">
        <v>730</v>
      </c>
    </row>
    <row r="381" ht="15.75" customHeight="1">
      <c r="A381" s="10" t="s">
        <v>675</v>
      </c>
      <c r="B381" s="10" t="s">
        <v>731</v>
      </c>
      <c r="C381" s="10" t="s">
        <v>732</v>
      </c>
    </row>
    <row r="382" ht="15.75" customHeight="1">
      <c r="A382" s="10" t="s">
        <v>675</v>
      </c>
      <c r="B382" s="10" t="s">
        <v>731</v>
      </c>
      <c r="C382" s="10" t="s">
        <v>732</v>
      </c>
    </row>
    <row r="383" ht="15.75" customHeight="1">
      <c r="A383" s="10" t="s">
        <v>675</v>
      </c>
      <c r="B383" s="10" t="s">
        <v>706</v>
      </c>
      <c r="C383" s="10" t="s">
        <v>707</v>
      </c>
    </row>
    <row r="384" ht="15.75" customHeight="1">
      <c r="A384" s="10" t="s">
        <v>675</v>
      </c>
      <c r="B384" s="10" t="s">
        <v>733</v>
      </c>
      <c r="C384" s="10" t="s">
        <v>734</v>
      </c>
    </row>
    <row r="385" ht="15.75" customHeight="1">
      <c r="A385" s="10" t="s">
        <v>675</v>
      </c>
      <c r="B385" s="10" t="s">
        <v>706</v>
      </c>
      <c r="C385" s="10" t="s">
        <v>707</v>
      </c>
    </row>
    <row r="386" ht="15.75" customHeight="1">
      <c r="A386" s="10" t="s">
        <v>675</v>
      </c>
      <c r="B386" s="10" t="s">
        <v>735</v>
      </c>
      <c r="C386" s="10" t="s">
        <v>736</v>
      </c>
    </row>
    <row r="387" ht="15.75" customHeight="1">
      <c r="A387" s="10" t="s">
        <v>675</v>
      </c>
      <c r="B387" s="10" t="s">
        <v>737</v>
      </c>
      <c r="C387" s="10" t="s">
        <v>738</v>
      </c>
    </row>
    <row r="388" ht="15.75" customHeight="1">
      <c r="A388" s="10" t="s">
        <v>739</v>
      </c>
      <c r="B388" s="10" t="s">
        <v>740</v>
      </c>
      <c r="C388" s="10" t="s">
        <v>741</v>
      </c>
    </row>
    <row r="389" ht="15.75" customHeight="1">
      <c r="A389" s="10" t="s">
        <v>739</v>
      </c>
      <c r="B389" s="10" t="s">
        <v>742</v>
      </c>
      <c r="C389" s="10" t="s">
        <v>743</v>
      </c>
    </row>
    <row r="390" ht="15.75" customHeight="1">
      <c r="A390" s="10" t="s">
        <v>739</v>
      </c>
      <c r="B390" s="10" t="s">
        <v>744</v>
      </c>
      <c r="C390" s="10" t="s">
        <v>745</v>
      </c>
    </row>
    <row r="391" ht="15.75" customHeight="1">
      <c r="A391" s="10" t="s">
        <v>739</v>
      </c>
      <c r="B391" s="10" t="s">
        <v>746</v>
      </c>
      <c r="C391" s="10" t="s">
        <v>747</v>
      </c>
    </row>
    <row r="392" ht="15.75" customHeight="1">
      <c r="A392" s="10" t="s">
        <v>739</v>
      </c>
      <c r="B392" s="10" t="s">
        <v>748</v>
      </c>
      <c r="C392" s="10" t="s">
        <v>4</v>
      </c>
    </row>
    <row r="393" ht="15.75" customHeight="1">
      <c r="A393" s="10" t="s">
        <v>739</v>
      </c>
      <c r="B393" s="10" t="s">
        <v>749</v>
      </c>
      <c r="C393" s="10" t="s">
        <v>750</v>
      </c>
    </row>
    <row r="394" ht="15.75" customHeight="1">
      <c r="A394" s="10" t="s">
        <v>739</v>
      </c>
      <c r="B394" s="10" t="s">
        <v>751</v>
      </c>
      <c r="C394" s="10" t="s">
        <v>752</v>
      </c>
    </row>
    <row r="395" ht="15.75" customHeight="1">
      <c r="A395" s="10" t="s">
        <v>753</v>
      </c>
      <c r="B395" s="10" t="s">
        <v>754</v>
      </c>
      <c r="C395" s="10" t="s">
        <v>755</v>
      </c>
    </row>
    <row r="396" ht="15.75" customHeight="1">
      <c r="A396" s="10" t="s">
        <v>753</v>
      </c>
      <c r="B396" s="10" t="s">
        <v>756</v>
      </c>
      <c r="C396" s="10" t="s">
        <v>757</v>
      </c>
    </row>
    <row r="397" ht="15.75" customHeight="1">
      <c r="A397" s="10" t="s">
        <v>753</v>
      </c>
      <c r="B397" s="10" t="s">
        <v>758</v>
      </c>
      <c r="C397" s="10" t="s">
        <v>759</v>
      </c>
    </row>
    <row r="398" ht="15.75" customHeight="1">
      <c r="A398" s="10" t="s">
        <v>753</v>
      </c>
      <c r="B398" s="10" t="s">
        <v>760</v>
      </c>
      <c r="C398" s="10" t="s">
        <v>761</v>
      </c>
    </row>
    <row r="399" ht="15.75" customHeight="1">
      <c r="A399" s="10" t="s">
        <v>753</v>
      </c>
      <c r="B399" s="10" t="s">
        <v>762</v>
      </c>
      <c r="C399" s="10" t="s">
        <v>763</v>
      </c>
    </row>
    <row r="400" ht="15.75" customHeight="1">
      <c r="A400" s="10" t="s">
        <v>753</v>
      </c>
      <c r="B400" s="10" t="s">
        <v>764</v>
      </c>
      <c r="C400" s="10" t="s">
        <v>765</v>
      </c>
    </row>
    <row r="401" ht="15.75" customHeight="1">
      <c r="A401" s="10" t="s">
        <v>101</v>
      </c>
      <c r="B401" s="10" t="s">
        <v>766</v>
      </c>
      <c r="C401" s="10" t="s">
        <v>767</v>
      </c>
    </row>
    <row r="402" ht="15.75" customHeight="1">
      <c r="A402" s="10" t="s">
        <v>753</v>
      </c>
      <c r="B402" s="10" t="s">
        <v>768</v>
      </c>
      <c r="C402" s="10" t="s">
        <v>4</v>
      </c>
    </row>
    <row r="403" ht="15.75" customHeight="1">
      <c r="A403" s="10" t="s">
        <v>753</v>
      </c>
      <c r="B403" s="10" t="s">
        <v>769</v>
      </c>
      <c r="C403" s="10" t="s">
        <v>4</v>
      </c>
    </row>
    <row r="404" ht="15.75" customHeight="1">
      <c r="A404" s="10" t="s">
        <v>739</v>
      </c>
      <c r="B404" s="10" t="s">
        <v>770</v>
      </c>
      <c r="C404" s="10" t="s">
        <v>771</v>
      </c>
    </row>
    <row r="405" ht="15.75" customHeight="1">
      <c r="A405" s="10" t="s">
        <v>739</v>
      </c>
      <c r="B405" s="10" t="s">
        <v>772</v>
      </c>
      <c r="C405" s="10" t="s">
        <v>773</v>
      </c>
    </row>
    <row r="406" ht="15.75" customHeight="1">
      <c r="A406" s="10" t="s">
        <v>739</v>
      </c>
      <c r="B406" s="10" t="s">
        <v>774</v>
      </c>
      <c r="C406" s="10" t="s">
        <v>775</v>
      </c>
    </row>
    <row r="407" ht="15.75" customHeight="1">
      <c r="A407" s="10" t="s">
        <v>739</v>
      </c>
      <c r="B407" s="10" t="s">
        <v>776</v>
      </c>
      <c r="C407" s="10" t="s">
        <v>777</v>
      </c>
    </row>
    <row r="408" ht="15.75" customHeight="1">
      <c r="A408" s="10" t="s">
        <v>78</v>
      </c>
      <c r="B408" s="10" t="s">
        <v>778</v>
      </c>
      <c r="C408" s="10" t="s">
        <v>779</v>
      </c>
    </row>
    <row r="409" ht="15.75" customHeight="1">
      <c r="A409" s="10" t="s">
        <v>78</v>
      </c>
      <c r="B409" s="10" t="s">
        <v>83</v>
      </c>
      <c r="C409" s="10" t="s">
        <v>84</v>
      </c>
    </row>
    <row r="410" ht="15.75" customHeight="1">
      <c r="A410" s="10" t="s">
        <v>78</v>
      </c>
      <c r="B410" s="10" t="s">
        <v>780</v>
      </c>
      <c r="C410" s="10" t="s">
        <v>781</v>
      </c>
    </row>
    <row r="411" ht="15.75" customHeight="1">
      <c r="A411" s="10" t="s">
        <v>78</v>
      </c>
      <c r="B411" s="10" t="s">
        <v>673</v>
      </c>
      <c r="C411" s="10" t="s">
        <v>674</v>
      </c>
    </row>
    <row r="412" ht="15.75" customHeight="1">
      <c r="A412" s="10" t="s">
        <v>78</v>
      </c>
      <c r="B412" s="10" t="s">
        <v>782</v>
      </c>
      <c r="C412" s="10" t="s">
        <v>783</v>
      </c>
    </row>
    <row r="413" ht="15.75" customHeight="1">
      <c r="A413" s="10" t="s">
        <v>78</v>
      </c>
      <c r="B413" s="10" t="s">
        <v>784</v>
      </c>
      <c r="C413" s="10" t="s">
        <v>785</v>
      </c>
    </row>
    <row r="414" ht="15.75" customHeight="1">
      <c r="A414" s="10" t="s">
        <v>78</v>
      </c>
      <c r="B414" s="10" t="s">
        <v>786</v>
      </c>
      <c r="C414" s="10" t="s">
        <v>787</v>
      </c>
    </row>
    <row r="415" ht="15.75" customHeight="1">
      <c r="A415" s="10" t="s">
        <v>16</v>
      </c>
      <c r="B415" s="10" t="s">
        <v>788</v>
      </c>
      <c r="C415" s="10" t="s">
        <v>789</v>
      </c>
    </row>
    <row r="416" ht="15.75" customHeight="1">
      <c r="A416" s="10" t="s">
        <v>528</v>
      </c>
      <c r="B416" s="10" t="s">
        <v>790</v>
      </c>
      <c r="C416" s="10" t="s">
        <v>791</v>
      </c>
    </row>
    <row r="417" ht="15.75" customHeight="1">
      <c r="A417" s="10" t="s">
        <v>528</v>
      </c>
      <c r="B417" s="10" t="s">
        <v>792</v>
      </c>
      <c r="C417" s="10" t="s">
        <v>793</v>
      </c>
    </row>
    <row r="418" ht="15.75" customHeight="1">
      <c r="A418" s="10" t="s">
        <v>528</v>
      </c>
      <c r="B418" s="10" t="s">
        <v>794</v>
      </c>
      <c r="C418" s="10" t="s">
        <v>795</v>
      </c>
    </row>
    <row r="419" ht="15.75" customHeight="1">
      <c r="A419" s="10" t="s">
        <v>528</v>
      </c>
      <c r="B419" s="10" t="s">
        <v>796</v>
      </c>
      <c r="C419" s="10" t="s">
        <v>797</v>
      </c>
    </row>
    <row r="420" ht="15.75" customHeight="1">
      <c r="A420" s="10" t="s">
        <v>16</v>
      </c>
      <c r="B420" s="10" t="s">
        <v>798</v>
      </c>
      <c r="C420" s="10" t="s">
        <v>799</v>
      </c>
    </row>
    <row r="421" ht="15.75" customHeight="1">
      <c r="A421" s="10" t="s">
        <v>753</v>
      </c>
      <c r="B421" s="10" t="s">
        <v>800</v>
      </c>
      <c r="C421" s="10" t="s">
        <v>4</v>
      </c>
    </row>
    <row r="422" ht="15.75" customHeight="1">
      <c r="A422" s="10" t="s">
        <v>22</v>
      </c>
      <c r="B422" s="10" t="s">
        <v>801</v>
      </c>
      <c r="C422" s="10" t="s">
        <v>802</v>
      </c>
    </row>
    <row r="423" ht="15.75" customHeight="1">
      <c r="A423" s="10" t="s">
        <v>739</v>
      </c>
      <c r="B423" s="10" t="s">
        <v>803</v>
      </c>
      <c r="C423" s="10" t="s">
        <v>804</v>
      </c>
    </row>
    <row r="424" ht="15.75" customHeight="1">
      <c r="A424" s="10" t="s">
        <v>41</v>
      </c>
      <c r="B424" s="10" t="s">
        <v>805</v>
      </c>
      <c r="C424" s="10" t="s">
        <v>806</v>
      </c>
    </row>
    <row r="425" ht="15.75" customHeight="1">
      <c r="A425" s="10" t="s">
        <v>153</v>
      </c>
      <c r="B425" s="10" t="s">
        <v>807</v>
      </c>
      <c r="C425" s="10" t="s">
        <v>808</v>
      </c>
    </row>
    <row r="426" ht="15.75" customHeight="1">
      <c r="A426" s="10" t="s">
        <v>37</v>
      </c>
      <c r="B426" s="10" t="s">
        <v>809</v>
      </c>
      <c r="C426" s="10" t="s">
        <v>810</v>
      </c>
    </row>
    <row r="427" ht="15.75" customHeight="1">
      <c r="A427" s="10" t="s">
        <v>37</v>
      </c>
      <c r="B427" s="10" t="s">
        <v>811</v>
      </c>
      <c r="C427" s="10" t="s">
        <v>812</v>
      </c>
    </row>
    <row r="428" ht="15.75" customHeight="1">
      <c r="A428" s="10" t="s">
        <v>37</v>
      </c>
      <c r="B428" s="10" t="s">
        <v>813</v>
      </c>
      <c r="C428" s="10" t="s">
        <v>814</v>
      </c>
    </row>
    <row r="429" ht="15.75" customHeight="1">
      <c r="A429" s="10" t="s">
        <v>2</v>
      </c>
      <c r="B429" s="10" t="s">
        <v>815</v>
      </c>
      <c r="C429" s="10" t="s">
        <v>816</v>
      </c>
    </row>
    <row r="430" ht="15.75" customHeight="1">
      <c r="A430" s="10" t="s">
        <v>2</v>
      </c>
      <c r="B430" s="10" t="s">
        <v>817</v>
      </c>
      <c r="C430" s="10" t="s">
        <v>818</v>
      </c>
    </row>
    <row r="431" ht="15.75" customHeight="1">
      <c r="A431" s="10" t="s">
        <v>2</v>
      </c>
      <c r="B431" s="10" t="s">
        <v>819</v>
      </c>
      <c r="C431" s="10" t="s">
        <v>820</v>
      </c>
    </row>
    <row r="432" ht="15.75" customHeight="1">
      <c r="A432" s="10" t="s">
        <v>2</v>
      </c>
      <c r="B432" s="10" t="s">
        <v>821</v>
      </c>
      <c r="C432" s="10" t="s">
        <v>822</v>
      </c>
    </row>
    <row r="433" ht="15.75" customHeight="1">
      <c r="A433" s="10" t="s">
        <v>2</v>
      </c>
      <c r="B433" s="10" t="s">
        <v>823</v>
      </c>
      <c r="C433" s="10" t="s">
        <v>824</v>
      </c>
    </row>
    <row r="434" ht="15.75" customHeight="1">
      <c r="A434" s="10" t="s">
        <v>101</v>
      </c>
      <c r="B434" s="10" t="s">
        <v>825</v>
      </c>
      <c r="C434" s="10" t="s">
        <v>826</v>
      </c>
    </row>
    <row r="435" ht="15.75" customHeight="1">
      <c r="A435" s="10" t="s">
        <v>2</v>
      </c>
      <c r="B435" s="10" t="s">
        <v>827</v>
      </c>
      <c r="C435" s="10" t="s">
        <v>828</v>
      </c>
    </row>
    <row r="436" ht="15.75" customHeight="1">
      <c r="A436" s="10" t="s">
        <v>2</v>
      </c>
      <c r="B436" s="10" t="s">
        <v>829</v>
      </c>
      <c r="C436" s="10" t="s">
        <v>830</v>
      </c>
    </row>
    <row r="437" ht="15.75" customHeight="1">
      <c r="A437" s="10" t="s">
        <v>2</v>
      </c>
      <c r="B437" s="10" t="s">
        <v>831</v>
      </c>
      <c r="C437" s="10" t="s">
        <v>832</v>
      </c>
    </row>
    <row r="438" ht="15.75" customHeight="1">
      <c r="A438" s="10" t="s">
        <v>2</v>
      </c>
      <c r="B438" s="10" t="s">
        <v>833</v>
      </c>
      <c r="C438" s="10" t="s">
        <v>834</v>
      </c>
    </row>
    <row r="439" ht="15.75" customHeight="1">
      <c r="A439" s="10" t="s">
        <v>2</v>
      </c>
      <c r="B439" s="10" t="s">
        <v>835</v>
      </c>
      <c r="C439" s="10" t="s">
        <v>836</v>
      </c>
    </row>
    <row r="440" ht="15.75" customHeight="1">
      <c r="A440" s="10" t="s">
        <v>153</v>
      </c>
      <c r="B440" s="10" t="s">
        <v>837</v>
      </c>
      <c r="C440" s="10" t="s">
        <v>838</v>
      </c>
    </row>
    <row r="441" ht="15.75" customHeight="1">
      <c r="A441" s="10" t="s">
        <v>16</v>
      </c>
      <c r="B441" s="10" t="s">
        <v>839</v>
      </c>
      <c r="C441" s="10" t="s">
        <v>840</v>
      </c>
    </row>
    <row r="442" ht="15.75" customHeight="1">
      <c r="A442" s="10" t="s">
        <v>2</v>
      </c>
      <c r="B442" s="10" t="s">
        <v>841</v>
      </c>
      <c r="C442" s="10" t="s">
        <v>842</v>
      </c>
    </row>
    <row r="443" ht="15.75" customHeight="1">
      <c r="A443" s="10" t="s">
        <v>2</v>
      </c>
      <c r="B443" s="10" t="s">
        <v>843</v>
      </c>
      <c r="C443" s="10" t="s">
        <v>844</v>
      </c>
    </row>
    <row r="444" ht="15.75" customHeight="1">
      <c r="A444" s="10" t="s">
        <v>2</v>
      </c>
      <c r="B444" s="10" t="s">
        <v>845</v>
      </c>
      <c r="C444" s="10" t="s">
        <v>846</v>
      </c>
    </row>
    <row r="445" ht="15.75" customHeight="1">
      <c r="A445" s="10" t="s">
        <v>16</v>
      </c>
      <c r="B445" s="10" t="s">
        <v>847</v>
      </c>
      <c r="C445" s="10" t="s">
        <v>848</v>
      </c>
    </row>
    <row r="446" ht="15.75" customHeight="1">
      <c r="A446" s="10" t="s">
        <v>52</v>
      </c>
      <c r="B446" s="10" t="s">
        <v>849</v>
      </c>
      <c r="C446" s="10" t="s">
        <v>850</v>
      </c>
    </row>
    <row r="447" ht="15.75" customHeight="1">
      <c r="A447" s="10" t="s">
        <v>52</v>
      </c>
      <c r="B447" s="10" t="s">
        <v>851</v>
      </c>
      <c r="C447" s="10" t="s">
        <v>852</v>
      </c>
    </row>
    <row r="448" ht="15.75" customHeight="1">
      <c r="A448" s="10" t="s">
        <v>52</v>
      </c>
      <c r="B448" s="10" t="s">
        <v>853</v>
      </c>
      <c r="C448" s="10" t="s">
        <v>854</v>
      </c>
    </row>
    <row r="449" ht="15.75" customHeight="1">
      <c r="A449" s="10" t="s">
        <v>52</v>
      </c>
      <c r="B449" s="10" t="s">
        <v>855</v>
      </c>
      <c r="C449" s="10" t="s">
        <v>856</v>
      </c>
    </row>
    <row r="450" ht="15.75" customHeight="1">
      <c r="A450" s="10" t="s">
        <v>52</v>
      </c>
      <c r="B450" s="10" t="s">
        <v>857</v>
      </c>
      <c r="C450" s="10" t="s">
        <v>858</v>
      </c>
    </row>
    <row r="451" ht="15.75" customHeight="1">
      <c r="A451" s="10" t="s">
        <v>52</v>
      </c>
      <c r="B451" s="10" t="s">
        <v>859</v>
      </c>
      <c r="C451" s="10" t="s">
        <v>860</v>
      </c>
    </row>
    <row r="452" ht="15.75" customHeight="1">
      <c r="A452" s="10" t="s">
        <v>101</v>
      </c>
      <c r="B452" s="10" t="s">
        <v>861</v>
      </c>
      <c r="C452" s="10" t="s">
        <v>862</v>
      </c>
    </row>
    <row r="453" ht="15.75" customHeight="1">
      <c r="A453" s="10" t="s">
        <v>739</v>
      </c>
      <c r="B453" s="10" t="s">
        <v>863</v>
      </c>
      <c r="C453" s="10" t="s">
        <v>864</v>
      </c>
    </row>
    <row r="454" ht="15.75" customHeight="1">
      <c r="A454" s="10" t="s">
        <v>2</v>
      </c>
      <c r="B454" s="10" t="s">
        <v>865</v>
      </c>
      <c r="C454" s="10" t="s">
        <v>866</v>
      </c>
    </row>
    <row r="455" ht="15.75" customHeight="1">
      <c r="A455" s="10" t="s">
        <v>22</v>
      </c>
      <c r="B455" s="10" t="s">
        <v>867</v>
      </c>
      <c r="C455" s="10" t="s">
        <v>868</v>
      </c>
    </row>
    <row r="456" ht="15.75" customHeight="1">
      <c r="A456" s="10" t="s">
        <v>739</v>
      </c>
      <c r="B456" s="10" t="s">
        <v>869</v>
      </c>
      <c r="C456" s="10" t="s">
        <v>870</v>
      </c>
    </row>
    <row r="457" ht="15.75" customHeight="1">
      <c r="A457" s="10" t="s">
        <v>22</v>
      </c>
      <c r="B457" s="10" t="s">
        <v>871</v>
      </c>
      <c r="C457" s="10" t="s">
        <v>872</v>
      </c>
    </row>
    <row r="458" ht="15.75" customHeight="1">
      <c r="A458" s="10" t="s">
        <v>52</v>
      </c>
      <c r="B458" s="10" t="s">
        <v>873</v>
      </c>
      <c r="C458" s="10" t="s">
        <v>874</v>
      </c>
    </row>
    <row r="459" ht="15.75" customHeight="1">
      <c r="A459" s="10" t="s">
        <v>739</v>
      </c>
      <c r="B459" s="10" t="s">
        <v>875</v>
      </c>
      <c r="C459" s="10" t="s">
        <v>876</v>
      </c>
    </row>
    <row r="460" ht="15.75" customHeight="1">
      <c r="A460" s="10" t="s">
        <v>739</v>
      </c>
      <c r="B460" s="10" t="s">
        <v>877</v>
      </c>
      <c r="C460" s="10" t="s">
        <v>878</v>
      </c>
    </row>
    <row r="461" ht="15.75" customHeight="1">
      <c r="A461" s="10" t="s">
        <v>528</v>
      </c>
      <c r="B461" s="10" t="s">
        <v>879</v>
      </c>
      <c r="C461" s="10" t="s">
        <v>880</v>
      </c>
    </row>
    <row r="462" ht="15.75" customHeight="1">
      <c r="A462" s="10" t="s">
        <v>2</v>
      </c>
      <c r="B462" s="10" t="s">
        <v>881</v>
      </c>
      <c r="C462" s="10" t="s">
        <v>882</v>
      </c>
    </row>
    <row r="463" ht="15.75" customHeight="1">
      <c r="A463" s="10" t="s">
        <v>528</v>
      </c>
      <c r="B463" s="10" t="s">
        <v>883</v>
      </c>
      <c r="C463" s="10" t="s">
        <v>884</v>
      </c>
    </row>
    <row r="464" ht="15.75" customHeight="1">
      <c r="A464" s="10" t="s">
        <v>54</v>
      </c>
      <c r="B464" s="10" t="s">
        <v>885</v>
      </c>
      <c r="C464" s="10" t="s">
        <v>886</v>
      </c>
    </row>
    <row r="465" ht="15.75" customHeight="1">
      <c r="A465" s="10" t="s">
        <v>2</v>
      </c>
      <c r="B465" s="10" t="s">
        <v>887</v>
      </c>
      <c r="C465" s="10" t="s">
        <v>888</v>
      </c>
    </row>
    <row r="466" ht="15.75" customHeight="1">
      <c r="A466" s="10" t="s">
        <v>2</v>
      </c>
      <c r="B466" s="10" t="s">
        <v>889</v>
      </c>
      <c r="C466" s="10" t="s">
        <v>890</v>
      </c>
    </row>
    <row r="467" ht="15.75" customHeight="1">
      <c r="A467" s="10" t="s">
        <v>2</v>
      </c>
      <c r="B467" s="10" t="s">
        <v>891</v>
      </c>
      <c r="C467" s="10" t="s">
        <v>892</v>
      </c>
    </row>
    <row r="468" ht="15.75" customHeight="1">
      <c r="A468" s="10" t="s">
        <v>153</v>
      </c>
      <c r="B468" s="10" t="s">
        <v>893</v>
      </c>
      <c r="C468" s="10" t="s">
        <v>894</v>
      </c>
    </row>
    <row r="469" ht="15.75" customHeight="1">
      <c r="A469" s="10" t="s">
        <v>153</v>
      </c>
      <c r="B469" s="10" t="s">
        <v>895</v>
      </c>
      <c r="C469" s="10" t="s">
        <v>896</v>
      </c>
    </row>
    <row r="470" ht="15.75" customHeight="1">
      <c r="A470" s="10" t="s">
        <v>153</v>
      </c>
      <c r="B470" s="10" t="s">
        <v>897</v>
      </c>
      <c r="C470" s="10" t="s">
        <v>898</v>
      </c>
    </row>
    <row r="471" ht="15.75" customHeight="1">
      <c r="A471" s="10" t="s">
        <v>739</v>
      </c>
      <c r="B471" s="10" t="s">
        <v>899</v>
      </c>
      <c r="C471" s="10" t="s">
        <v>900</v>
      </c>
    </row>
    <row r="472" ht="15.75" customHeight="1">
      <c r="A472" s="10" t="s">
        <v>78</v>
      </c>
      <c r="B472" s="10" t="s">
        <v>901</v>
      </c>
      <c r="C472" s="10" t="s">
        <v>902</v>
      </c>
    </row>
    <row r="473" ht="15.75" customHeight="1">
      <c r="A473" s="10" t="s">
        <v>739</v>
      </c>
      <c r="B473" s="10" t="s">
        <v>903</v>
      </c>
      <c r="C473" s="10" t="s">
        <v>904</v>
      </c>
    </row>
    <row r="474" ht="15.75" customHeight="1">
      <c r="A474" s="10" t="s">
        <v>2</v>
      </c>
      <c r="B474" s="10" t="s">
        <v>905</v>
      </c>
      <c r="C474" s="10" t="s">
        <v>906</v>
      </c>
    </row>
    <row r="475" ht="15.75" customHeight="1">
      <c r="A475" s="10" t="s">
        <v>907</v>
      </c>
      <c r="B475" s="10" t="s">
        <v>908</v>
      </c>
      <c r="C475" s="10" t="s">
        <v>909</v>
      </c>
    </row>
    <row r="476" ht="15.75" customHeight="1">
      <c r="A476" s="10" t="s">
        <v>907</v>
      </c>
      <c r="B476" s="10" t="s">
        <v>910</v>
      </c>
      <c r="C476" s="10" t="s">
        <v>911</v>
      </c>
    </row>
    <row r="477" ht="15.75" customHeight="1">
      <c r="A477" s="10" t="s">
        <v>907</v>
      </c>
      <c r="B477" s="10" t="s">
        <v>912</v>
      </c>
      <c r="C477" s="10" t="s">
        <v>913</v>
      </c>
    </row>
    <row r="478" ht="15.75" customHeight="1">
      <c r="A478" s="10" t="s">
        <v>54</v>
      </c>
      <c r="B478" s="10" t="s">
        <v>914</v>
      </c>
      <c r="C478" s="10" t="s">
        <v>915</v>
      </c>
    </row>
    <row r="479" ht="15.75" customHeight="1">
      <c r="A479" s="10" t="s">
        <v>916</v>
      </c>
      <c r="B479" s="10" t="s">
        <v>917</v>
      </c>
      <c r="C479" s="10" t="s">
        <v>918</v>
      </c>
    </row>
    <row r="480" ht="15.75" customHeight="1">
      <c r="A480" s="10" t="s">
        <v>916</v>
      </c>
      <c r="B480" s="10" t="s">
        <v>919</v>
      </c>
      <c r="C480" s="10" t="s">
        <v>920</v>
      </c>
    </row>
    <row r="481" ht="15.75" customHeight="1">
      <c r="A481" s="10" t="s">
        <v>907</v>
      </c>
      <c r="B481" s="10" t="s">
        <v>921</v>
      </c>
      <c r="C481" s="10" t="s">
        <v>922</v>
      </c>
    </row>
    <row r="482" ht="15.75" customHeight="1">
      <c r="A482" s="10" t="s">
        <v>923</v>
      </c>
      <c r="B482" s="10" t="s">
        <v>924</v>
      </c>
      <c r="C482" s="10" t="s">
        <v>925</v>
      </c>
    </row>
    <row r="483" ht="15.75" customHeight="1">
      <c r="A483" s="10" t="s">
        <v>923</v>
      </c>
      <c r="B483" s="10" t="s">
        <v>926</v>
      </c>
      <c r="C483" s="10" t="s">
        <v>927</v>
      </c>
    </row>
    <row r="484" ht="15.75" customHeight="1">
      <c r="A484" s="10" t="s">
        <v>923</v>
      </c>
      <c r="B484" s="10" t="s">
        <v>928</v>
      </c>
      <c r="C484" s="10" t="s">
        <v>929</v>
      </c>
    </row>
    <row r="485" ht="15.75" customHeight="1">
      <c r="A485" s="10" t="s">
        <v>923</v>
      </c>
      <c r="B485" s="10" t="s">
        <v>930</v>
      </c>
      <c r="C485" s="10" t="s">
        <v>931</v>
      </c>
    </row>
    <row r="486" ht="15.75" customHeight="1">
      <c r="A486" s="10" t="s">
        <v>907</v>
      </c>
      <c r="B486" s="10" t="s">
        <v>932</v>
      </c>
      <c r="C486" s="10" t="s">
        <v>933</v>
      </c>
    </row>
    <row r="487" ht="15.75" customHeight="1">
      <c r="A487" s="10" t="s">
        <v>923</v>
      </c>
      <c r="B487" s="10" t="s">
        <v>934</v>
      </c>
      <c r="C487" s="10" t="s">
        <v>935</v>
      </c>
    </row>
    <row r="488" ht="15.75" customHeight="1">
      <c r="A488" s="10" t="s">
        <v>923</v>
      </c>
      <c r="B488" s="10" t="s">
        <v>936</v>
      </c>
      <c r="C488" s="10" t="s">
        <v>937</v>
      </c>
    </row>
    <row r="489" ht="15.75" customHeight="1">
      <c r="A489" s="10" t="s">
        <v>923</v>
      </c>
      <c r="B489" s="10" t="s">
        <v>938</v>
      </c>
      <c r="C489" s="10" t="s">
        <v>939</v>
      </c>
    </row>
    <row r="490" ht="15.75" customHeight="1">
      <c r="A490" s="10" t="s">
        <v>153</v>
      </c>
      <c r="B490" s="10" t="s">
        <v>940</v>
      </c>
      <c r="C490" s="10" t="s">
        <v>941</v>
      </c>
    </row>
    <row r="491" ht="15.75" customHeight="1">
      <c r="A491" s="10" t="s">
        <v>101</v>
      </c>
      <c r="B491" s="10" t="s">
        <v>942</v>
      </c>
      <c r="C491" s="10" t="s">
        <v>943</v>
      </c>
    </row>
    <row r="492" ht="15.75" customHeight="1">
      <c r="A492" s="10" t="s">
        <v>101</v>
      </c>
      <c r="B492" s="10" t="s">
        <v>944</v>
      </c>
      <c r="C492" s="10" t="s">
        <v>945</v>
      </c>
    </row>
    <row r="493" ht="15.75" customHeight="1">
      <c r="A493" s="10" t="s">
        <v>101</v>
      </c>
      <c r="B493" s="10" t="s">
        <v>946</v>
      </c>
      <c r="C493" s="10" t="s">
        <v>947</v>
      </c>
    </row>
    <row r="494" ht="15.75" customHeight="1">
      <c r="A494" s="10" t="s">
        <v>101</v>
      </c>
      <c r="B494" s="10" t="s">
        <v>948</v>
      </c>
      <c r="C494" s="10" t="s">
        <v>949</v>
      </c>
    </row>
    <row r="495" ht="15.75" customHeight="1">
      <c r="A495" s="10" t="s">
        <v>101</v>
      </c>
      <c r="B495" s="10" t="s">
        <v>950</v>
      </c>
      <c r="C495" s="10" t="s">
        <v>951</v>
      </c>
    </row>
    <row r="496" ht="15.75" customHeight="1">
      <c r="A496" s="10" t="s">
        <v>101</v>
      </c>
      <c r="B496" s="10" t="s">
        <v>952</v>
      </c>
      <c r="C496" s="10" t="s">
        <v>953</v>
      </c>
    </row>
    <row r="497" ht="15.75" customHeight="1">
      <c r="A497" s="10" t="s">
        <v>954</v>
      </c>
      <c r="B497" s="10" t="s">
        <v>955</v>
      </c>
      <c r="C497" s="10" t="s">
        <v>956</v>
      </c>
    </row>
    <row r="498" ht="15.75" customHeight="1">
      <c r="A498" s="10" t="s">
        <v>153</v>
      </c>
      <c r="B498" s="10" t="s">
        <v>957</v>
      </c>
      <c r="C498" s="10" t="s">
        <v>958</v>
      </c>
    </row>
    <row r="499" ht="15.75" customHeight="1">
      <c r="A499" s="10" t="s">
        <v>153</v>
      </c>
      <c r="B499" s="10" t="s">
        <v>959</v>
      </c>
      <c r="C499" s="10" t="s">
        <v>960</v>
      </c>
    </row>
    <row r="500" ht="15.75" customHeight="1">
      <c r="A500" s="10" t="s">
        <v>16</v>
      </c>
      <c r="B500" s="10" t="s">
        <v>961</v>
      </c>
      <c r="C500" s="10" t="s">
        <v>962</v>
      </c>
    </row>
    <row r="501" ht="15.75" customHeight="1">
      <c r="A501" s="10" t="s">
        <v>963</v>
      </c>
      <c r="B501" s="10" t="s">
        <v>964</v>
      </c>
      <c r="C501" s="10" t="s">
        <v>965</v>
      </c>
    </row>
    <row r="502" ht="15.75" customHeight="1">
      <c r="A502" s="10" t="s">
        <v>101</v>
      </c>
      <c r="B502" s="10" t="s">
        <v>966</v>
      </c>
      <c r="C502" s="10" t="s">
        <v>967</v>
      </c>
    </row>
    <row r="503" ht="15.75" customHeight="1">
      <c r="A503" s="10" t="s">
        <v>16</v>
      </c>
      <c r="B503" s="10" t="s">
        <v>968</v>
      </c>
      <c r="C503" s="10" t="s">
        <v>969</v>
      </c>
    </row>
    <row r="504" ht="15.75" customHeight="1">
      <c r="A504" s="10" t="s">
        <v>16</v>
      </c>
      <c r="B504" s="10" t="s">
        <v>970</v>
      </c>
      <c r="C504" s="10" t="s">
        <v>971</v>
      </c>
    </row>
    <row r="505" ht="15.75" customHeight="1">
      <c r="A505" s="10" t="s">
        <v>972</v>
      </c>
      <c r="B505" s="10" t="s">
        <v>973</v>
      </c>
      <c r="C505" s="10" t="s">
        <v>974</v>
      </c>
    </row>
    <row r="506" ht="15.75" customHeight="1">
      <c r="A506" s="10" t="s">
        <v>522</v>
      </c>
      <c r="B506" s="10" t="s">
        <v>975</v>
      </c>
      <c r="C506" s="10" t="s">
        <v>976</v>
      </c>
    </row>
    <row r="507" ht="15.75" customHeight="1">
      <c r="A507" s="10" t="s">
        <v>522</v>
      </c>
      <c r="B507" s="10" t="s">
        <v>977</v>
      </c>
      <c r="C507" s="10" t="s">
        <v>978</v>
      </c>
    </row>
    <row r="508" ht="15.75" customHeight="1">
      <c r="A508" s="10" t="s">
        <v>16</v>
      </c>
      <c r="B508" s="10" t="s">
        <v>979</v>
      </c>
      <c r="C508" s="10" t="s">
        <v>980</v>
      </c>
    </row>
    <row r="509" ht="15.75" customHeight="1">
      <c r="A509" s="10" t="s">
        <v>16</v>
      </c>
      <c r="B509" s="10" t="s">
        <v>981</v>
      </c>
      <c r="C509" s="10" t="s">
        <v>982</v>
      </c>
    </row>
    <row r="510" ht="15.75" customHeight="1">
      <c r="A510" s="10" t="s">
        <v>16</v>
      </c>
      <c r="B510" s="10" t="s">
        <v>983</v>
      </c>
      <c r="C510" s="10" t="s">
        <v>984</v>
      </c>
    </row>
    <row r="511" ht="15.75" customHeight="1">
      <c r="A511" s="10" t="s">
        <v>16</v>
      </c>
      <c r="B511" s="10" t="s">
        <v>985</v>
      </c>
      <c r="C511" s="10" t="s">
        <v>986</v>
      </c>
    </row>
    <row r="512" ht="15.75" customHeight="1">
      <c r="A512" s="10" t="s">
        <v>16</v>
      </c>
      <c r="B512" s="10" t="s">
        <v>987</v>
      </c>
      <c r="C512" s="10" t="s">
        <v>988</v>
      </c>
    </row>
    <row r="513" ht="15.75" customHeight="1">
      <c r="A513" s="10" t="s">
        <v>153</v>
      </c>
      <c r="B513" s="10" t="s">
        <v>989</v>
      </c>
      <c r="C513" s="10" t="s">
        <v>990</v>
      </c>
    </row>
    <row r="514" ht="15.75" customHeight="1">
      <c r="A514" s="10" t="s">
        <v>153</v>
      </c>
      <c r="B514" s="10" t="s">
        <v>991</v>
      </c>
      <c r="C514" s="10" t="s">
        <v>992</v>
      </c>
    </row>
    <row r="515" ht="15.75" customHeight="1">
      <c r="A515" s="10" t="s">
        <v>16</v>
      </c>
      <c r="B515" s="10" t="s">
        <v>993</v>
      </c>
      <c r="C515" s="10" t="s">
        <v>994</v>
      </c>
    </row>
    <row r="516" ht="15.75" customHeight="1">
      <c r="A516" s="10" t="s">
        <v>153</v>
      </c>
      <c r="B516" s="10" t="s">
        <v>995</v>
      </c>
      <c r="C516" s="10" t="s">
        <v>996</v>
      </c>
    </row>
    <row r="517" ht="15.75" customHeight="1">
      <c r="A517" s="10" t="s">
        <v>153</v>
      </c>
      <c r="B517" s="10" t="s">
        <v>997</v>
      </c>
      <c r="C517" s="10" t="s">
        <v>998</v>
      </c>
    </row>
    <row r="518" ht="15.75" customHeight="1">
      <c r="A518" s="10" t="s">
        <v>907</v>
      </c>
      <c r="B518" s="10" t="s">
        <v>999</v>
      </c>
      <c r="C518" s="10" t="s">
        <v>1000</v>
      </c>
    </row>
    <row r="519" ht="15.75" customHeight="1">
      <c r="A519" s="10" t="s">
        <v>907</v>
      </c>
      <c r="B519" s="10" t="s">
        <v>1001</v>
      </c>
      <c r="C519" s="10" t="s">
        <v>1002</v>
      </c>
    </row>
    <row r="520" ht="15.75" customHeight="1">
      <c r="A520" s="10" t="s">
        <v>101</v>
      </c>
      <c r="B520" s="10" t="s">
        <v>1003</v>
      </c>
      <c r="C520" s="10" t="s">
        <v>1004</v>
      </c>
    </row>
    <row r="521" ht="15.75" customHeight="1">
      <c r="A521" s="10" t="s">
        <v>101</v>
      </c>
      <c r="B521" s="10" t="s">
        <v>1005</v>
      </c>
      <c r="C521" s="10" t="s">
        <v>1006</v>
      </c>
    </row>
    <row r="522" ht="15.75" customHeight="1">
      <c r="A522" s="10" t="s">
        <v>753</v>
      </c>
      <c r="B522" s="10" t="s">
        <v>1007</v>
      </c>
      <c r="C522" s="10" t="s">
        <v>1008</v>
      </c>
    </row>
    <row r="523" ht="15.75" customHeight="1">
      <c r="A523" s="10" t="s">
        <v>907</v>
      </c>
      <c r="B523" s="10" t="s">
        <v>1009</v>
      </c>
      <c r="C523" s="10" t="s">
        <v>1010</v>
      </c>
    </row>
    <row r="524" ht="15.75" customHeight="1">
      <c r="A524" s="10" t="s">
        <v>1011</v>
      </c>
      <c r="B524" s="10" t="s">
        <v>1012</v>
      </c>
      <c r="C524" s="10" t="s">
        <v>1013</v>
      </c>
    </row>
    <row r="525" ht="15.75" customHeight="1">
      <c r="A525" s="10" t="s">
        <v>1011</v>
      </c>
      <c r="B525" s="10" t="s">
        <v>1014</v>
      </c>
      <c r="C525" s="10" t="s">
        <v>1015</v>
      </c>
    </row>
    <row r="526" ht="15.75" customHeight="1">
      <c r="A526" s="10" t="s">
        <v>675</v>
      </c>
      <c r="B526" s="10" t="s">
        <v>1016</v>
      </c>
      <c r="C526" s="10" t="s">
        <v>1017</v>
      </c>
    </row>
    <row r="527" ht="15.75" customHeight="1">
      <c r="A527" s="10" t="s">
        <v>675</v>
      </c>
      <c r="B527" s="10" t="s">
        <v>1018</v>
      </c>
      <c r="C527" s="10" t="s">
        <v>1019</v>
      </c>
    </row>
    <row r="528" ht="15.75" customHeight="1">
      <c r="A528" s="10" t="s">
        <v>153</v>
      </c>
      <c r="B528" s="10" t="s">
        <v>1020</v>
      </c>
      <c r="C528" s="10" t="s">
        <v>1021</v>
      </c>
    </row>
    <row r="529" ht="15.75" customHeight="1">
      <c r="A529" s="10" t="s">
        <v>16</v>
      </c>
      <c r="B529" s="10" t="s">
        <v>1022</v>
      </c>
      <c r="C529" s="10" t="s">
        <v>1023</v>
      </c>
    </row>
    <row r="530" ht="15.75" customHeight="1">
      <c r="A530" s="10" t="s">
        <v>16</v>
      </c>
      <c r="B530" s="10" t="s">
        <v>1024</v>
      </c>
      <c r="C530" s="10" t="s">
        <v>1025</v>
      </c>
    </row>
    <row r="531" ht="15.75" customHeight="1">
      <c r="A531" s="10" t="s">
        <v>16</v>
      </c>
      <c r="B531" s="10" t="s">
        <v>1026</v>
      </c>
      <c r="C531" s="10" t="s">
        <v>1027</v>
      </c>
    </row>
    <row r="532" ht="15.75" customHeight="1">
      <c r="A532" s="10" t="s">
        <v>266</v>
      </c>
      <c r="B532" s="10" t="s">
        <v>1028</v>
      </c>
      <c r="C532" s="10" t="s">
        <v>1029</v>
      </c>
    </row>
    <row r="533" ht="15.75" customHeight="1">
      <c r="A533" s="10" t="s">
        <v>54</v>
      </c>
      <c r="B533" s="10" t="s">
        <v>1030</v>
      </c>
      <c r="C533" s="10" t="s">
        <v>1031</v>
      </c>
    </row>
    <row r="534" ht="15.75" customHeight="1">
      <c r="A534" s="10" t="s">
        <v>101</v>
      </c>
      <c r="B534" s="10" t="s">
        <v>1032</v>
      </c>
      <c r="C534" s="10" t="s">
        <v>1033</v>
      </c>
    </row>
    <row r="535" ht="15.75" customHeight="1">
      <c r="A535" s="10" t="s">
        <v>101</v>
      </c>
      <c r="B535" s="10" t="s">
        <v>1034</v>
      </c>
      <c r="C535" s="10" t="s">
        <v>1035</v>
      </c>
    </row>
    <row r="536" ht="15.75" customHeight="1">
      <c r="A536" s="10" t="s">
        <v>153</v>
      </c>
      <c r="B536" s="10" t="s">
        <v>1036</v>
      </c>
      <c r="C536" s="10" t="s">
        <v>1037</v>
      </c>
    </row>
    <row r="537" ht="15.75" customHeight="1">
      <c r="A537" s="10" t="s">
        <v>61</v>
      </c>
      <c r="B537" s="10" t="s">
        <v>1038</v>
      </c>
      <c r="C537" s="10" t="s">
        <v>1039</v>
      </c>
    </row>
    <row r="538" ht="15.75" customHeight="1">
      <c r="A538" s="10" t="s">
        <v>153</v>
      </c>
      <c r="B538" s="10" t="s">
        <v>1040</v>
      </c>
      <c r="C538" s="10" t="s">
        <v>1041</v>
      </c>
    </row>
    <row r="539" ht="15.75" customHeight="1">
      <c r="A539" s="10" t="s">
        <v>16</v>
      </c>
      <c r="B539" s="10" t="s">
        <v>1042</v>
      </c>
      <c r="C539" s="10" t="s">
        <v>1043</v>
      </c>
    </row>
    <row r="540" ht="15.75" customHeight="1">
      <c r="A540" s="10" t="s">
        <v>16</v>
      </c>
      <c r="B540" s="10" t="s">
        <v>1044</v>
      </c>
      <c r="C540" s="10" t="s">
        <v>1045</v>
      </c>
    </row>
    <row r="541" ht="15.75" customHeight="1">
      <c r="A541" s="10" t="s">
        <v>525</v>
      </c>
      <c r="B541" s="10" t="s">
        <v>525</v>
      </c>
      <c r="C541" s="10" t="s">
        <v>1046</v>
      </c>
    </row>
    <row r="542" ht="15.75" customHeight="1">
      <c r="A542" s="10" t="s">
        <v>266</v>
      </c>
      <c r="B542" s="10" t="s">
        <v>1047</v>
      </c>
      <c r="C542" s="10" t="s">
        <v>1048</v>
      </c>
    </row>
    <row r="543" ht="15.75" customHeight="1">
      <c r="A543" s="10" t="s">
        <v>266</v>
      </c>
      <c r="B543" s="10" t="s">
        <v>1049</v>
      </c>
      <c r="C543" s="10" t="s">
        <v>1050</v>
      </c>
    </row>
    <row r="544" ht="15.75" customHeight="1">
      <c r="A544" s="10" t="s">
        <v>153</v>
      </c>
      <c r="B544" s="10" t="s">
        <v>1051</v>
      </c>
      <c r="C544" s="10" t="s">
        <v>1052</v>
      </c>
    </row>
    <row r="545" ht="15.75" customHeight="1">
      <c r="A545" s="10" t="s">
        <v>266</v>
      </c>
      <c r="B545" s="10" t="s">
        <v>1053</v>
      </c>
      <c r="C545" s="10" t="s">
        <v>1054</v>
      </c>
    </row>
    <row r="546" ht="15.75" customHeight="1">
      <c r="A546" s="10" t="s">
        <v>101</v>
      </c>
      <c r="B546" s="10" t="s">
        <v>1055</v>
      </c>
      <c r="C546" s="10" t="s">
        <v>1056</v>
      </c>
    </row>
    <row r="547" ht="15.75" customHeight="1">
      <c r="A547" s="10" t="s">
        <v>153</v>
      </c>
      <c r="B547" s="10" t="s">
        <v>1057</v>
      </c>
      <c r="C547" s="10" t="s">
        <v>1058</v>
      </c>
    </row>
    <row r="548" ht="15.75" customHeight="1">
      <c r="A548" s="10" t="s">
        <v>266</v>
      </c>
      <c r="B548" s="10" t="s">
        <v>1059</v>
      </c>
      <c r="C548" s="10" t="s">
        <v>1060</v>
      </c>
    </row>
    <row r="549" ht="15.75" customHeight="1">
      <c r="A549" s="10" t="s">
        <v>266</v>
      </c>
      <c r="B549" s="10" t="s">
        <v>1061</v>
      </c>
      <c r="C549" s="10" t="s">
        <v>1062</v>
      </c>
    </row>
    <row r="550" ht="15.75" customHeight="1">
      <c r="A550" s="10" t="s">
        <v>266</v>
      </c>
      <c r="B550" s="10" t="s">
        <v>1063</v>
      </c>
      <c r="C550" s="10" t="s">
        <v>1064</v>
      </c>
    </row>
    <row r="551" ht="15.75" customHeight="1">
      <c r="A551" s="10" t="s">
        <v>266</v>
      </c>
      <c r="B551" s="10" t="s">
        <v>1065</v>
      </c>
      <c r="C551" s="10" t="s">
        <v>1066</v>
      </c>
    </row>
    <row r="552" ht="15.75" customHeight="1">
      <c r="A552" s="10" t="s">
        <v>2</v>
      </c>
      <c r="B552" s="10" t="s">
        <v>1067</v>
      </c>
      <c r="C552" s="10" t="s">
        <v>1068</v>
      </c>
    </row>
    <row r="553" ht="15.75" customHeight="1">
      <c r="A553" s="10" t="s">
        <v>2</v>
      </c>
      <c r="B553" s="10" t="s">
        <v>1069</v>
      </c>
      <c r="C553" s="10" t="s">
        <v>1070</v>
      </c>
    </row>
    <row r="554" ht="15.75" customHeight="1">
      <c r="A554" s="10" t="s">
        <v>2</v>
      </c>
      <c r="B554" s="10" t="s">
        <v>1071</v>
      </c>
      <c r="C554" s="10" t="s">
        <v>1072</v>
      </c>
    </row>
    <row r="555" ht="15.75" customHeight="1">
      <c r="A555" s="10" t="s">
        <v>266</v>
      </c>
      <c r="B555" s="10" t="s">
        <v>1073</v>
      </c>
      <c r="C555" s="10" t="s">
        <v>1074</v>
      </c>
    </row>
    <row r="556" ht="15.75" customHeight="1">
      <c r="A556" s="10" t="s">
        <v>65</v>
      </c>
      <c r="B556" s="10" t="s">
        <v>1075</v>
      </c>
      <c r="C556" s="10" t="s">
        <v>1076</v>
      </c>
    </row>
    <row r="557" ht="15.75" customHeight="1">
      <c r="A557" s="10" t="s">
        <v>65</v>
      </c>
      <c r="B557" s="10" t="s">
        <v>1077</v>
      </c>
      <c r="C557" s="10" t="s">
        <v>1078</v>
      </c>
    </row>
    <row r="558" ht="15.75" customHeight="1">
      <c r="A558" s="10" t="s">
        <v>16</v>
      </c>
      <c r="B558" s="10" t="s">
        <v>1079</v>
      </c>
      <c r="C558" s="10" t="s">
        <v>1080</v>
      </c>
    </row>
    <row r="559" ht="15.75" customHeight="1">
      <c r="A559" s="10" t="s">
        <v>153</v>
      </c>
      <c r="B559" s="10" t="s">
        <v>1081</v>
      </c>
      <c r="C559" s="10" t="s">
        <v>1082</v>
      </c>
    </row>
    <row r="560" ht="15.75" customHeight="1">
      <c r="A560" s="10" t="s">
        <v>2</v>
      </c>
      <c r="B560" s="10" t="s">
        <v>1083</v>
      </c>
      <c r="C560" s="10" t="s">
        <v>1084</v>
      </c>
    </row>
    <row r="561" ht="15.75" customHeight="1">
      <c r="A561" s="10" t="s">
        <v>2</v>
      </c>
      <c r="B561" s="10" t="s">
        <v>1085</v>
      </c>
      <c r="C561" s="10" t="s">
        <v>1086</v>
      </c>
    </row>
    <row r="562" ht="15.75" customHeight="1">
      <c r="A562" s="10" t="s">
        <v>739</v>
      </c>
      <c r="B562" s="10" t="s">
        <v>1087</v>
      </c>
      <c r="C562" s="10" t="s">
        <v>4</v>
      </c>
    </row>
    <row r="563" ht="15.75" customHeight="1">
      <c r="A563" s="10" t="s">
        <v>101</v>
      </c>
      <c r="B563" s="10" t="s">
        <v>1088</v>
      </c>
      <c r="C563" s="10" t="s">
        <v>1089</v>
      </c>
    </row>
    <row r="564" ht="15.75" customHeight="1">
      <c r="A564" s="10" t="s">
        <v>153</v>
      </c>
      <c r="B564" s="10" t="s">
        <v>1090</v>
      </c>
      <c r="C564" s="10" t="s">
        <v>1091</v>
      </c>
    </row>
    <row r="565" ht="15.75" customHeight="1">
      <c r="A565" s="10" t="s">
        <v>65</v>
      </c>
      <c r="B565" s="10" t="s">
        <v>1092</v>
      </c>
      <c r="C565" s="10" t="s">
        <v>1093</v>
      </c>
    </row>
    <row r="566" ht="15.75" customHeight="1">
      <c r="A566" s="10" t="s">
        <v>266</v>
      </c>
      <c r="B566" s="10" t="s">
        <v>1094</v>
      </c>
      <c r="C566" s="10" t="s">
        <v>1095</v>
      </c>
    </row>
    <row r="567" ht="15.75" customHeight="1">
      <c r="A567" s="10" t="s">
        <v>266</v>
      </c>
      <c r="B567" s="10" t="s">
        <v>1096</v>
      </c>
      <c r="C567" s="10" t="s">
        <v>1097</v>
      </c>
    </row>
    <row r="568" ht="15.75" customHeight="1">
      <c r="A568" s="10" t="s">
        <v>266</v>
      </c>
      <c r="B568" s="10" t="s">
        <v>1098</v>
      </c>
      <c r="C568" s="10" t="s">
        <v>1099</v>
      </c>
    </row>
    <row r="569" ht="15.75" customHeight="1">
      <c r="A569" s="10" t="s">
        <v>266</v>
      </c>
      <c r="B569" s="10" t="s">
        <v>1100</v>
      </c>
      <c r="C569" s="10" t="s">
        <v>1101</v>
      </c>
    </row>
    <row r="570" ht="15.75" customHeight="1">
      <c r="A570" s="10" t="s">
        <v>2</v>
      </c>
      <c r="B570" s="10" t="s">
        <v>1102</v>
      </c>
      <c r="C570" s="10" t="s">
        <v>1103</v>
      </c>
    </row>
    <row r="571" ht="15.75" customHeight="1">
      <c r="A571" s="10" t="s">
        <v>101</v>
      </c>
      <c r="B571" s="10" t="s">
        <v>1104</v>
      </c>
      <c r="C571" s="10" t="s">
        <v>1105</v>
      </c>
    </row>
    <row r="572" ht="15.75" customHeight="1">
      <c r="A572" s="10" t="s">
        <v>16</v>
      </c>
      <c r="B572" s="10" t="s">
        <v>1106</v>
      </c>
      <c r="C572" s="10" t="s">
        <v>1107</v>
      </c>
    </row>
    <row r="573" ht="15.75" customHeight="1">
      <c r="A573" s="10" t="s">
        <v>153</v>
      </c>
      <c r="B573" s="10" t="s">
        <v>1108</v>
      </c>
      <c r="C573" s="10" t="s">
        <v>1109</v>
      </c>
    </row>
    <row r="574" ht="15.75" customHeight="1">
      <c r="A574" s="10" t="s">
        <v>153</v>
      </c>
      <c r="B574" s="10" t="s">
        <v>1110</v>
      </c>
      <c r="C574" s="10" t="s">
        <v>1111</v>
      </c>
    </row>
    <row r="575" ht="15.75" customHeight="1">
      <c r="A575" s="10" t="s">
        <v>52</v>
      </c>
      <c r="B575" s="10" t="s">
        <v>1112</v>
      </c>
      <c r="C575" s="10" t="s">
        <v>1113</v>
      </c>
    </row>
    <row r="576" ht="15.75" customHeight="1">
      <c r="A576" s="10" t="s">
        <v>2</v>
      </c>
      <c r="B576" s="10" t="s">
        <v>1114</v>
      </c>
      <c r="C576" s="10" t="s">
        <v>4</v>
      </c>
    </row>
    <row r="577" ht="15.75" customHeight="1">
      <c r="A577" s="10" t="s">
        <v>266</v>
      </c>
      <c r="B577" s="10" t="s">
        <v>1115</v>
      </c>
      <c r="C577" s="10" t="s">
        <v>1116</v>
      </c>
    </row>
    <row r="578" ht="15.75" customHeight="1">
      <c r="A578" s="10" t="s">
        <v>266</v>
      </c>
      <c r="B578" s="10" t="s">
        <v>1117</v>
      </c>
      <c r="C578" s="10" t="s">
        <v>1118</v>
      </c>
    </row>
    <row r="579" ht="15.75" customHeight="1">
      <c r="A579" s="10" t="s">
        <v>266</v>
      </c>
      <c r="B579" s="10" t="s">
        <v>1119</v>
      </c>
      <c r="C579" s="10" t="s">
        <v>1120</v>
      </c>
    </row>
    <row r="580" ht="15.75" customHeight="1">
      <c r="A580" s="10" t="s">
        <v>266</v>
      </c>
      <c r="B580" s="10" t="s">
        <v>1121</v>
      </c>
      <c r="C580" s="10" t="s">
        <v>1122</v>
      </c>
    </row>
    <row r="581" ht="15.75" customHeight="1">
      <c r="A581" s="10" t="s">
        <v>266</v>
      </c>
      <c r="B581" s="10" t="s">
        <v>1123</v>
      </c>
      <c r="C581" s="10" t="s">
        <v>1124</v>
      </c>
    </row>
    <row r="582" ht="15.75" customHeight="1">
      <c r="A582" s="10" t="s">
        <v>22</v>
      </c>
      <c r="B582" s="10" t="s">
        <v>1125</v>
      </c>
      <c r="C582" s="10" t="s">
        <v>1126</v>
      </c>
    </row>
    <row r="583" ht="15.75" customHeight="1">
      <c r="A583" s="10" t="s">
        <v>923</v>
      </c>
      <c r="B583" s="10" t="s">
        <v>934</v>
      </c>
      <c r="C583" s="10" t="s">
        <v>935</v>
      </c>
    </row>
    <row r="584" ht="15.75" customHeight="1">
      <c r="A584" s="10" t="s">
        <v>22</v>
      </c>
      <c r="B584" s="10" t="s">
        <v>1127</v>
      </c>
      <c r="C584" s="10" t="s">
        <v>1128</v>
      </c>
    </row>
    <row r="585" ht="15.75" customHeight="1">
      <c r="A585" s="10" t="s">
        <v>266</v>
      </c>
      <c r="B585" s="10" t="s">
        <v>1129</v>
      </c>
      <c r="C585" s="10" t="s">
        <v>1130</v>
      </c>
    </row>
    <row r="586" ht="15.75" customHeight="1">
      <c r="A586" s="10" t="s">
        <v>22</v>
      </c>
      <c r="B586" s="10" t="s">
        <v>1131</v>
      </c>
      <c r="C586" s="10" t="s">
        <v>1132</v>
      </c>
    </row>
    <row r="587" ht="15.75" customHeight="1">
      <c r="A587" s="10" t="s">
        <v>78</v>
      </c>
      <c r="B587" s="10" t="s">
        <v>1133</v>
      </c>
      <c r="C587" s="10" t="s">
        <v>1134</v>
      </c>
    </row>
    <row r="588" ht="15.75" customHeight="1">
      <c r="A588" s="10" t="s">
        <v>22</v>
      </c>
      <c r="B588" s="10" t="s">
        <v>1135</v>
      </c>
      <c r="C588" s="10" t="s">
        <v>1136</v>
      </c>
    </row>
    <row r="589" ht="15.75" customHeight="1">
      <c r="A589" s="10" t="s">
        <v>65</v>
      </c>
      <c r="B589" s="10" t="s">
        <v>1137</v>
      </c>
      <c r="C589" s="10" t="s">
        <v>1138</v>
      </c>
    </row>
    <row r="590" ht="15.75" customHeight="1">
      <c r="A590" s="10" t="s">
        <v>153</v>
      </c>
      <c r="B590" s="10" t="s">
        <v>1139</v>
      </c>
      <c r="C590" s="10" t="s">
        <v>1140</v>
      </c>
    </row>
    <row r="591" ht="15.75" customHeight="1">
      <c r="A591" s="10" t="s">
        <v>916</v>
      </c>
      <c r="B591" s="10" t="s">
        <v>1141</v>
      </c>
      <c r="C591" s="10" t="s">
        <v>1142</v>
      </c>
    </row>
    <row r="592" ht="15.75" customHeight="1">
      <c r="A592" s="10" t="s">
        <v>916</v>
      </c>
      <c r="B592" s="10" t="s">
        <v>1143</v>
      </c>
      <c r="C592" s="10" t="s">
        <v>1144</v>
      </c>
    </row>
    <row r="593" ht="15.75" customHeight="1">
      <c r="A593" s="10" t="s">
        <v>916</v>
      </c>
      <c r="B593" s="10" t="s">
        <v>1145</v>
      </c>
      <c r="C593" s="10" t="s">
        <v>1146</v>
      </c>
    </row>
    <row r="594" ht="15.75" customHeight="1">
      <c r="A594" s="10" t="s">
        <v>916</v>
      </c>
      <c r="B594" s="10" t="s">
        <v>1147</v>
      </c>
      <c r="C594" s="10" t="s">
        <v>1148</v>
      </c>
    </row>
    <row r="595" ht="15.75" customHeight="1">
      <c r="A595" s="10" t="s">
        <v>916</v>
      </c>
      <c r="B595" s="10" t="s">
        <v>1149</v>
      </c>
      <c r="C595" s="10" t="s">
        <v>1150</v>
      </c>
    </row>
    <row r="596" ht="15.75" customHeight="1">
      <c r="A596" s="10" t="s">
        <v>923</v>
      </c>
      <c r="B596" s="10" t="s">
        <v>1151</v>
      </c>
      <c r="C596" s="10" t="s">
        <v>1152</v>
      </c>
    </row>
    <row r="597" ht="15.75" customHeight="1">
      <c r="A597" s="10" t="s">
        <v>923</v>
      </c>
      <c r="B597" s="10" t="s">
        <v>1153</v>
      </c>
      <c r="C597" s="10" t="s">
        <v>1154</v>
      </c>
    </row>
    <row r="598" ht="15.75" customHeight="1">
      <c r="A598" s="10" t="s">
        <v>923</v>
      </c>
      <c r="B598" s="10" t="s">
        <v>1155</v>
      </c>
      <c r="C598" s="10" t="s">
        <v>1156</v>
      </c>
    </row>
    <row r="599" ht="15.75" customHeight="1">
      <c r="A599" s="10" t="s">
        <v>923</v>
      </c>
      <c r="B599" s="10" t="s">
        <v>1157</v>
      </c>
      <c r="C599" s="10" t="s">
        <v>1158</v>
      </c>
    </row>
    <row r="600" ht="15.75" customHeight="1">
      <c r="A600" s="10" t="s">
        <v>1159</v>
      </c>
      <c r="B600" s="10" t="s">
        <v>1160</v>
      </c>
      <c r="C600" s="10" t="s">
        <v>1161</v>
      </c>
    </row>
    <row r="601" ht="15.75" customHeight="1">
      <c r="A601" s="10" t="s">
        <v>1159</v>
      </c>
      <c r="B601" s="10" t="s">
        <v>1162</v>
      </c>
      <c r="C601" s="10" t="s">
        <v>1163</v>
      </c>
    </row>
    <row r="602" ht="15.75" customHeight="1">
      <c r="A602" s="10" t="s">
        <v>101</v>
      </c>
      <c r="B602" s="10" t="s">
        <v>1164</v>
      </c>
      <c r="C602" s="10" t="s">
        <v>1165</v>
      </c>
    </row>
    <row r="603" ht="15.75" customHeight="1">
      <c r="A603" s="10" t="s">
        <v>153</v>
      </c>
      <c r="B603" s="10" t="s">
        <v>1166</v>
      </c>
      <c r="C603" s="10" t="s">
        <v>1167</v>
      </c>
    </row>
    <row r="604" ht="15.75" customHeight="1">
      <c r="A604" s="10" t="s">
        <v>675</v>
      </c>
      <c r="B604" s="10" t="s">
        <v>1168</v>
      </c>
      <c r="C604" s="10" t="s">
        <v>1169</v>
      </c>
    </row>
    <row r="605" ht="15.75" customHeight="1">
      <c r="A605" s="10" t="s">
        <v>675</v>
      </c>
      <c r="B605" s="10" t="s">
        <v>1170</v>
      </c>
      <c r="C605" s="10" t="s">
        <v>1171</v>
      </c>
    </row>
    <row r="606" ht="15.75" customHeight="1">
      <c r="A606" s="10" t="s">
        <v>16</v>
      </c>
      <c r="B606" s="10" t="s">
        <v>1172</v>
      </c>
      <c r="C606" s="10" t="s">
        <v>1173</v>
      </c>
    </row>
    <row r="607" ht="15.75" customHeight="1">
      <c r="A607" s="10" t="s">
        <v>16</v>
      </c>
      <c r="B607" s="10" t="s">
        <v>1174</v>
      </c>
      <c r="C607" s="10" t="s">
        <v>1175</v>
      </c>
    </row>
    <row r="608" ht="15.75" customHeight="1">
      <c r="A608" s="10" t="s">
        <v>16</v>
      </c>
      <c r="B608" s="10" t="s">
        <v>1176</v>
      </c>
      <c r="C608" s="10" t="s">
        <v>1177</v>
      </c>
    </row>
    <row r="609" ht="15.75" customHeight="1">
      <c r="A609" s="10" t="s">
        <v>739</v>
      </c>
      <c r="B609" s="10" t="s">
        <v>1178</v>
      </c>
      <c r="C609" s="10" t="s">
        <v>4</v>
      </c>
    </row>
    <row r="610" ht="15.75" customHeight="1">
      <c r="A610" s="10" t="s">
        <v>739</v>
      </c>
      <c r="B610" s="10" t="s">
        <v>1179</v>
      </c>
      <c r="C610" s="10" t="s">
        <v>1180</v>
      </c>
    </row>
    <row r="611" ht="15.75" customHeight="1">
      <c r="A611" s="10" t="s">
        <v>739</v>
      </c>
      <c r="B611" s="10" t="s">
        <v>1181</v>
      </c>
      <c r="C611" s="10" t="s">
        <v>1182</v>
      </c>
    </row>
    <row r="612" ht="15.75" customHeight="1">
      <c r="A612" s="10" t="s">
        <v>41</v>
      </c>
      <c r="B612" s="10" t="s">
        <v>1183</v>
      </c>
      <c r="C612" s="10" t="s">
        <v>1184</v>
      </c>
    </row>
    <row r="613" ht="15.75" customHeight="1">
      <c r="A613" s="10" t="s">
        <v>41</v>
      </c>
      <c r="B613" s="10" t="s">
        <v>1185</v>
      </c>
      <c r="C613" s="10" t="s">
        <v>1186</v>
      </c>
    </row>
    <row r="614" ht="15.75" customHeight="1">
      <c r="A614" s="10" t="s">
        <v>41</v>
      </c>
      <c r="B614" s="10" t="s">
        <v>1187</v>
      </c>
      <c r="C614" s="10" t="s">
        <v>1188</v>
      </c>
    </row>
    <row r="615" ht="15.75" customHeight="1">
      <c r="A615" s="10" t="s">
        <v>41</v>
      </c>
      <c r="B615" s="10" t="s">
        <v>1189</v>
      </c>
      <c r="C615" s="10" t="s">
        <v>1190</v>
      </c>
    </row>
    <row r="616" ht="15.75" customHeight="1">
      <c r="A616" s="10" t="s">
        <v>65</v>
      </c>
      <c r="B616" s="10" t="s">
        <v>1191</v>
      </c>
      <c r="C616" s="10" t="s">
        <v>1192</v>
      </c>
    </row>
    <row r="617" ht="15.75" customHeight="1">
      <c r="A617" s="10" t="s">
        <v>65</v>
      </c>
      <c r="B617" s="10" t="s">
        <v>1193</v>
      </c>
      <c r="C617" s="10" t="s">
        <v>1194</v>
      </c>
    </row>
    <row r="618" ht="15.75" customHeight="1">
      <c r="A618" s="10" t="s">
        <v>675</v>
      </c>
      <c r="B618" s="10" t="s">
        <v>1195</v>
      </c>
      <c r="C618" s="10" t="s">
        <v>1196</v>
      </c>
    </row>
    <row r="619" ht="15.75" customHeight="1">
      <c r="A619" s="10" t="s">
        <v>675</v>
      </c>
      <c r="B619" s="10" t="s">
        <v>1197</v>
      </c>
      <c r="C619" s="10" t="s">
        <v>4</v>
      </c>
    </row>
    <row r="620" ht="15.75" customHeight="1">
      <c r="A620" s="10" t="s">
        <v>16</v>
      </c>
      <c r="B620" s="10" t="s">
        <v>1198</v>
      </c>
      <c r="C620" s="10" t="s">
        <v>1199</v>
      </c>
    </row>
    <row r="621" ht="15.75" customHeight="1">
      <c r="A621" s="10" t="s">
        <v>16</v>
      </c>
      <c r="B621" s="10" t="s">
        <v>1200</v>
      </c>
      <c r="C621" s="10" t="s">
        <v>1201</v>
      </c>
    </row>
    <row r="622" ht="15.75" customHeight="1">
      <c r="A622" s="10" t="s">
        <v>16</v>
      </c>
      <c r="B622" s="10" t="s">
        <v>1202</v>
      </c>
      <c r="C622" s="10" t="s">
        <v>1203</v>
      </c>
    </row>
    <row r="623" ht="15.75" customHeight="1">
      <c r="A623" s="10" t="s">
        <v>16</v>
      </c>
      <c r="B623" s="10" t="s">
        <v>1204</v>
      </c>
      <c r="C623" s="10" t="s">
        <v>1205</v>
      </c>
    </row>
    <row r="624" ht="15.75" customHeight="1">
      <c r="A624" s="10" t="s">
        <v>675</v>
      </c>
      <c r="B624" s="10" t="s">
        <v>1206</v>
      </c>
      <c r="C624" s="10" t="s">
        <v>1207</v>
      </c>
    </row>
    <row r="625" ht="15.75" customHeight="1">
      <c r="A625" s="10" t="s">
        <v>528</v>
      </c>
      <c r="B625" s="10" t="s">
        <v>1208</v>
      </c>
      <c r="C625" s="10" t="s">
        <v>4</v>
      </c>
    </row>
    <row r="626" ht="15.75" customHeight="1">
      <c r="A626" s="10" t="s">
        <v>266</v>
      </c>
      <c r="B626" s="10" t="s">
        <v>1209</v>
      </c>
      <c r="C626" s="10" t="s">
        <v>1210</v>
      </c>
    </row>
    <row r="627" ht="15.75" customHeight="1">
      <c r="A627" s="10" t="s">
        <v>288</v>
      </c>
      <c r="B627" s="10" t="s">
        <v>1211</v>
      </c>
      <c r="C627" s="10" t="s">
        <v>1212</v>
      </c>
    </row>
    <row r="628" ht="15.75" customHeight="1">
      <c r="A628" s="10" t="s">
        <v>288</v>
      </c>
      <c r="B628" s="10" t="s">
        <v>1213</v>
      </c>
      <c r="C628" s="10" t="s">
        <v>1214</v>
      </c>
    </row>
    <row r="629" ht="15.75" customHeight="1">
      <c r="A629" s="10" t="s">
        <v>288</v>
      </c>
      <c r="B629" s="10" t="s">
        <v>1215</v>
      </c>
      <c r="C629" s="10" t="s">
        <v>1216</v>
      </c>
    </row>
    <row r="630" ht="15.75" customHeight="1">
      <c r="A630" s="10" t="s">
        <v>525</v>
      </c>
      <c r="B630" s="10" t="s">
        <v>1217</v>
      </c>
      <c r="C630" s="10" t="s">
        <v>1218</v>
      </c>
    </row>
    <row r="631" ht="15.75" customHeight="1">
      <c r="A631" s="10" t="s">
        <v>153</v>
      </c>
      <c r="B631" s="10" t="s">
        <v>1219</v>
      </c>
      <c r="C631" s="10" t="s">
        <v>1220</v>
      </c>
    </row>
    <row r="632" ht="15.75" customHeight="1">
      <c r="A632" s="10" t="s">
        <v>101</v>
      </c>
      <c r="B632" s="10" t="s">
        <v>1221</v>
      </c>
      <c r="C632" s="10" t="s">
        <v>1222</v>
      </c>
    </row>
    <row r="633" ht="15.75" customHeight="1">
      <c r="A633" s="10" t="s">
        <v>16</v>
      </c>
      <c r="B633" s="10" t="s">
        <v>1223</v>
      </c>
      <c r="C633" s="10" t="s">
        <v>1224</v>
      </c>
    </row>
    <row r="634" ht="15.75" customHeight="1">
      <c r="A634" s="10" t="s">
        <v>753</v>
      </c>
      <c r="B634" s="10" t="s">
        <v>1225</v>
      </c>
      <c r="C634" s="10" t="s">
        <v>1226</v>
      </c>
    </row>
    <row r="635" ht="15.75" customHeight="1">
      <c r="A635" s="10" t="s">
        <v>525</v>
      </c>
      <c r="B635" s="10" t="s">
        <v>1227</v>
      </c>
      <c r="C635" s="10" t="s">
        <v>1228</v>
      </c>
    </row>
    <row r="636" ht="15.75" customHeight="1">
      <c r="A636" s="10" t="s">
        <v>54</v>
      </c>
      <c r="B636" s="10" t="s">
        <v>1229</v>
      </c>
      <c r="C636" s="10" t="s">
        <v>1230</v>
      </c>
    </row>
    <row r="637" ht="15.75" customHeight="1">
      <c r="A637" s="10" t="s">
        <v>54</v>
      </c>
      <c r="B637" s="10" t="s">
        <v>1231</v>
      </c>
      <c r="C637" s="10" t="s">
        <v>1232</v>
      </c>
    </row>
    <row r="638" ht="15.75" customHeight="1">
      <c r="A638" s="10" t="s">
        <v>288</v>
      </c>
      <c r="B638" s="10" t="s">
        <v>1233</v>
      </c>
      <c r="C638" s="10" t="s">
        <v>1234</v>
      </c>
    </row>
    <row r="639" ht="15.75" customHeight="1">
      <c r="A639" s="10" t="s">
        <v>288</v>
      </c>
      <c r="B639" s="10" t="s">
        <v>1235</v>
      </c>
      <c r="C639" s="10" t="s">
        <v>1236</v>
      </c>
    </row>
    <row r="640" ht="15.75" customHeight="1">
      <c r="A640" s="10" t="s">
        <v>753</v>
      </c>
      <c r="B640" s="10" t="s">
        <v>1237</v>
      </c>
      <c r="C640" s="10" t="s">
        <v>4</v>
      </c>
    </row>
    <row r="641" ht="15.75" customHeight="1">
      <c r="A641" s="10" t="s">
        <v>739</v>
      </c>
      <c r="B641" s="10" t="s">
        <v>1238</v>
      </c>
      <c r="C641" s="10" t="s">
        <v>1239</v>
      </c>
    </row>
    <row r="642" ht="15.75" customHeight="1">
      <c r="A642" s="10" t="s">
        <v>739</v>
      </c>
      <c r="B642" s="10" t="s">
        <v>1240</v>
      </c>
      <c r="C642" s="10" t="s">
        <v>1241</v>
      </c>
    </row>
    <row r="643" ht="15.75" customHeight="1">
      <c r="A643" s="10" t="s">
        <v>739</v>
      </c>
      <c r="B643" s="10" t="s">
        <v>1242</v>
      </c>
      <c r="C643" s="10" t="s">
        <v>1243</v>
      </c>
    </row>
    <row r="644" ht="15.75" customHeight="1">
      <c r="A644" s="10" t="s">
        <v>739</v>
      </c>
      <c r="B644" s="10" t="s">
        <v>1244</v>
      </c>
      <c r="C644" s="10" t="s">
        <v>1245</v>
      </c>
    </row>
    <row r="645" ht="15.75" customHeight="1">
      <c r="A645" s="10" t="s">
        <v>739</v>
      </c>
      <c r="B645" s="10" t="s">
        <v>1246</v>
      </c>
      <c r="C645" s="10" t="s">
        <v>1247</v>
      </c>
    </row>
    <row r="646" ht="15.75" customHeight="1">
      <c r="A646" s="10" t="s">
        <v>739</v>
      </c>
      <c r="B646" s="10" t="s">
        <v>1248</v>
      </c>
      <c r="C646" s="10" t="s">
        <v>1249</v>
      </c>
    </row>
    <row r="647" ht="15.75" customHeight="1">
      <c r="A647" s="10" t="s">
        <v>528</v>
      </c>
      <c r="B647" s="10" t="s">
        <v>1250</v>
      </c>
      <c r="C647" s="10" t="s">
        <v>4</v>
      </c>
    </row>
    <row r="648" ht="15.75" customHeight="1">
      <c r="A648" s="10" t="s">
        <v>916</v>
      </c>
      <c r="B648" s="10" t="s">
        <v>1251</v>
      </c>
      <c r="C648" s="10" t="s">
        <v>1252</v>
      </c>
    </row>
    <row r="649" ht="15.75" customHeight="1">
      <c r="A649" s="10" t="s">
        <v>153</v>
      </c>
      <c r="B649" s="10" t="s">
        <v>1253</v>
      </c>
      <c r="C649" s="10" t="s">
        <v>1254</v>
      </c>
    </row>
    <row r="650" ht="15.75" customHeight="1">
      <c r="A650" s="10" t="s">
        <v>153</v>
      </c>
      <c r="B650" s="10" t="s">
        <v>1255</v>
      </c>
      <c r="C650" s="10" t="s">
        <v>1256</v>
      </c>
    </row>
    <row r="651" ht="15.75" customHeight="1">
      <c r="A651" s="10" t="s">
        <v>101</v>
      </c>
      <c r="B651" s="10" t="s">
        <v>1257</v>
      </c>
      <c r="C651" s="10" t="s">
        <v>1258</v>
      </c>
    </row>
    <row r="652" ht="15.75" customHeight="1">
      <c r="A652" s="10" t="s">
        <v>522</v>
      </c>
      <c r="B652" s="10" t="s">
        <v>1259</v>
      </c>
      <c r="C652" s="10" t="s">
        <v>1260</v>
      </c>
    </row>
    <row r="653" ht="15.75" customHeight="1">
      <c r="A653" s="10" t="s">
        <v>153</v>
      </c>
      <c r="B653" s="10" t="s">
        <v>1261</v>
      </c>
      <c r="C653" s="10" t="s">
        <v>1262</v>
      </c>
    </row>
    <row r="654" ht="15.75" customHeight="1">
      <c r="A654" s="10" t="s">
        <v>288</v>
      </c>
      <c r="B654" s="10" t="s">
        <v>1263</v>
      </c>
      <c r="C654" s="10" t="s">
        <v>1264</v>
      </c>
    </row>
    <row r="655" ht="15.75" customHeight="1">
      <c r="A655" s="10" t="s">
        <v>16</v>
      </c>
      <c r="B655" s="10" t="s">
        <v>1265</v>
      </c>
      <c r="C655" s="10" t="s">
        <v>1266</v>
      </c>
    </row>
    <row r="656" ht="15.75" customHeight="1">
      <c r="A656" s="10" t="s">
        <v>288</v>
      </c>
      <c r="B656" s="10" t="s">
        <v>1267</v>
      </c>
      <c r="C656" s="10" t="s">
        <v>4</v>
      </c>
    </row>
    <row r="657" ht="15.75" customHeight="1">
      <c r="A657" s="10" t="s">
        <v>16</v>
      </c>
      <c r="B657" s="10" t="s">
        <v>1268</v>
      </c>
      <c r="C657" s="10" t="s">
        <v>1269</v>
      </c>
    </row>
    <row r="658" ht="15.75" customHeight="1">
      <c r="A658" s="10" t="s">
        <v>16</v>
      </c>
      <c r="B658" s="10" t="s">
        <v>1270</v>
      </c>
      <c r="C658" s="10" t="s">
        <v>1271</v>
      </c>
    </row>
    <row r="659" ht="15.75" customHeight="1">
      <c r="A659" s="10" t="s">
        <v>101</v>
      </c>
      <c r="B659" s="10" t="s">
        <v>1272</v>
      </c>
      <c r="C659" s="10" t="s">
        <v>1273</v>
      </c>
    </row>
    <row r="660" ht="15.75" customHeight="1">
      <c r="A660" s="10" t="s">
        <v>739</v>
      </c>
      <c r="B660" s="10" t="s">
        <v>1274</v>
      </c>
      <c r="C660" s="10" t="s">
        <v>1275</v>
      </c>
    </row>
    <row r="661" ht="15.75" customHeight="1">
      <c r="A661" s="10" t="s">
        <v>288</v>
      </c>
      <c r="B661" s="10" t="s">
        <v>1276</v>
      </c>
      <c r="C661" s="10" t="s">
        <v>1277</v>
      </c>
    </row>
    <row r="662" ht="15.75" customHeight="1">
      <c r="A662" s="10" t="s">
        <v>16</v>
      </c>
      <c r="B662" s="10" t="s">
        <v>1278</v>
      </c>
      <c r="C662" s="10" t="s">
        <v>1279</v>
      </c>
    </row>
    <row r="663" ht="15.75" customHeight="1">
      <c r="A663" s="10" t="s">
        <v>54</v>
      </c>
      <c r="B663" s="10" t="s">
        <v>1280</v>
      </c>
      <c r="C663" s="10" t="s">
        <v>1281</v>
      </c>
    </row>
    <row r="664" ht="15.75" customHeight="1">
      <c r="A664" s="10" t="s">
        <v>54</v>
      </c>
      <c r="B664" s="10" t="s">
        <v>1282</v>
      </c>
      <c r="C664" s="10" t="s">
        <v>1283</v>
      </c>
    </row>
    <row r="665" ht="15.75" customHeight="1">
      <c r="A665" s="10" t="s">
        <v>54</v>
      </c>
      <c r="B665" s="10" t="s">
        <v>1284</v>
      </c>
      <c r="C665" s="10" t="s">
        <v>1285</v>
      </c>
    </row>
    <row r="666" ht="15.75" customHeight="1">
      <c r="A666" s="10" t="s">
        <v>16</v>
      </c>
      <c r="B666" s="10" t="s">
        <v>1286</v>
      </c>
      <c r="C666" s="10" t="s">
        <v>1287</v>
      </c>
    </row>
    <row r="667" ht="15.75" customHeight="1">
      <c r="A667" s="10" t="s">
        <v>16</v>
      </c>
      <c r="B667" s="10" t="s">
        <v>1288</v>
      </c>
      <c r="C667" s="10" t="s">
        <v>1289</v>
      </c>
    </row>
    <row r="668" ht="15.75" customHeight="1">
      <c r="A668" s="10" t="s">
        <v>153</v>
      </c>
      <c r="B668" s="10" t="s">
        <v>1290</v>
      </c>
      <c r="C668" s="10" t="s">
        <v>1291</v>
      </c>
    </row>
    <row r="669" ht="15.75" customHeight="1">
      <c r="A669" s="10" t="s">
        <v>739</v>
      </c>
      <c r="B669" s="10" t="s">
        <v>1292</v>
      </c>
      <c r="C669" s="10" t="s">
        <v>1293</v>
      </c>
    </row>
    <row r="670" ht="15.75" customHeight="1">
      <c r="A670" s="10" t="s">
        <v>153</v>
      </c>
      <c r="B670" s="10" t="s">
        <v>1294</v>
      </c>
      <c r="C670" s="10" t="s">
        <v>1295</v>
      </c>
    </row>
    <row r="671" ht="15.75" customHeight="1">
      <c r="A671" s="10" t="s">
        <v>16</v>
      </c>
      <c r="B671" s="10" t="s">
        <v>1296</v>
      </c>
      <c r="C671" s="10" t="s">
        <v>1297</v>
      </c>
    </row>
    <row r="672" ht="15.75" customHeight="1">
      <c r="A672" s="10" t="s">
        <v>16</v>
      </c>
      <c r="B672" s="10" t="s">
        <v>1298</v>
      </c>
      <c r="C672" s="10" t="s">
        <v>4</v>
      </c>
    </row>
    <row r="673" ht="15.75" customHeight="1">
      <c r="A673" s="10" t="s">
        <v>16</v>
      </c>
      <c r="B673" s="10" t="s">
        <v>1299</v>
      </c>
      <c r="C673" s="10" t="s">
        <v>1300</v>
      </c>
    </row>
    <row r="674" ht="15.75" customHeight="1">
      <c r="A674" s="10" t="s">
        <v>54</v>
      </c>
      <c r="B674" s="10" t="s">
        <v>1301</v>
      </c>
      <c r="C674" s="10" t="s">
        <v>1302</v>
      </c>
    </row>
    <row r="675" ht="15.75" customHeight="1">
      <c r="A675" s="10" t="s">
        <v>54</v>
      </c>
      <c r="B675" s="10" t="s">
        <v>1303</v>
      </c>
      <c r="C675" s="10" t="s">
        <v>1304</v>
      </c>
    </row>
    <row r="676" ht="15.75" customHeight="1">
      <c r="A676" s="10" t="s">
        <v>16</v>
      </c>
      <c r="B676" s="10" t="s">
        <v>1305</v>
      </c>
      <c r="C676" s="10" t="s">
        <v>1306</v>
      </c>
    </row>
    <row r="677" ht="15.75" customHeight="1">
      <c r="A677" s="10" t="s">
        <v>525</v>
      </c>
      <c r="B677" s="10" t="s">
        <v>1307</v>
      </c>
      <c r="C677" s="10" t="s">
        <v>1308</v>
      </c>
    </row>
    <row r="678" ht="15.75" customHeight="1">
      <c r="A678" s="10" t="s">
        <v>753</v>
      </c>
      <c r="B678" s="10" t="s">
        <v>1309</v>
      </c>
      <c r="C678" s="10" t="s">
        <v>4</v>
      </c>
    </row>
    <row r="679" ht="15.75" customHeight="1">
      <c r="A679" s="10" t="s">
        <v>153</v>
      </c>
      <c r="B679" s="10" t="s">
        <v>1310</v>
      </c>
      <c r="C679" s="10" t="s">
        <v>1311</v>
      </c>
    </row>
    <row r="680" ht="15.75" customHeight="1">
      <c r="A680" s="10" t="s">
        <v>1312</v>
      </c>
      <c r="B680" s="10" t="s">
        <v>1313</v>
      </c>
      <c r="C680" s="10" t="s">
        <v>1314</v>
      </c>
    </row>
    <row r="681" ht="15.75" customHeight="1">
      <c r="A681" s="10" t="s">
        <v>1312</v>
      </c>
      <c r="B681" s="10" t="s">
        <v>1305</v>
      </c>
      <c r="C681" s="10" t="s">
        <v>1315</v>
      </c>
    </row>
    <row r="682" ht="15.75" customHeight="1">
      <c r="A682" s="10" t="s">
        <v>525</v>
      </c>
      <c r="B682" s="10" t="s">
        <v>1316</v>
      </c>
      <c r="C682" s="10" t="s">
        <v>1317</v>
      </c>
    </row>
    <row r="683" ht="15.75" customHeight="1">
      <c r="A683" s="10" t="s">
        <v>16</v>
      </c>
      <c r="B683" s="10" t="s">
        <v>1318</v>
      </c>
      <c r="C683" s="10" t="s">
        <v>1319</v>
      </c>
    </row>
    <row r="684" ht="15.75" customHeight="1">
      <c r="A684" s="10" t="s">
        <v>16</v>
      </c>
      <c r="B684" s="10" t="s">
        <v>1320</v>
      </c>
      <c r="C684" s="10" t="s">
        <v>1321</v>
      </c>
    </row>
    <row r="685" ht="15.75" customHeight="1">
      <c r="A685" s="10" t="s">
        <v>16</v>
      </c>
      <c r="B685" s="10" t="s">
        <v>1322</v>
      </c>
      <c r="C685" s="10" t="s">
        <v>1323</v>
      </c>
    </row>
    <row r="686" ht="15.75" customHeight="1">
      <c r="A686" s="10" t="s">
        <v>16</v>
      </c>
      <c r="B686" s="10" t="s">
        <v>1324</v>
      </c>
      <c r="C686" s="10" t="s">
        <v>1325</v>
      </c>
    </row>
    <row r="687" ht="15.75" customHeight="1">
      <c r="A687" s="10" t="s">
        <v>1326</v>
      </c>
      <c r="B687" s="10" t="s">
        <v>1327</v>
      </c>
      <c r="C687" s="10" t="s">
        <v>1328</v>
      </c>
    </row>
    <row r="688" ht="15.75" customHeight="1">
      <c r="A688" s="10" t="s">
        <v>1326</v>
      </c>
      <c r="B688" s="10" t="s">
        <v>1329</v>
      </c>
      <c r="C688" s="10" t="s">
        <v>1330</v>
      </c>
    </row>
    <row r="689" ht="15.75" customHeight="1">
      <c r="A689" s="10" t="s">
        <v>1326</v>
      </c>
      <c r="B689" s="10" t="s">
        <v>1331</v>
      </c>
      <c r="C689" s="10" t="s">
        <v>1332</v>
      </c>
    </row>
    <row r="690" ht="15.75" customHeight="1">
      <c r="A690" s="10" t="s">
        <v>1326</v>
      </c>
      <c r="B690" s="10" t="s">
        <v>1333</v>
      </c>
      <c r="C690" s="10" t="s">
        <v>1334</v>
      </c>
    </row>
    <row r="691" ht="15.75" customHeight="1">
      <c r="A691" s="10" t="s">
        <v>1326</v>
      </c>
      <c r="B691" s="10" t="s">
        <v>1335</v>
      </c>
      <c r="C691" s="10" t="s">
        <v>1336</v>
      </c>
    </row>
    <row r="692" ht="15.75" customHeight="1">
      <c r="A692" s="10" t="s">
        <v>1326</v>
      </c>
      <c r="B692" s="10" t="s">
        <v>1337</v>
      </c>
      <c r="C692" s="10" t="s">
        <v>1338</v>
      </c>
    </row>
    <row r="693" ht="15.75" customHeight="1">
      <c r="A693" s="10" t="s">
        <v>37</v>
      </c>
      <c r="B693" s="10" t="s">
        <v>1339</v>
      </c>
      <c r="C693" s="10" t="s">
        <v>1340</v>
      </c>
    </row>
    <row r="694" ht="15.75" customHeight="1">
      <c r="A694" s="10" t="s">
        <v>1326</v>
      </c>
      <c r="B694" s="10" t="s">
        <v>1341</v>
      </c>
      <c r="C694" s="10" t="s">
        <v>1342</v>
      </c>
    </row>
    <row r="695" ht="15.75" customHeight="1">
      <c r="A695" s="10" t="s">
        <v>1343</v>
      </c>
      <c r="B695" s="10" t="s">
        <v>1344</v>
      </c>
      <c r="C695" s="10" t="s">
        <v>1345</v>
      </c>
    </row>
    <row r="696" ht="15.75" customHeight="1">
      <c r="A696" s="10" t="s">
        <v>1343</v>
      </c>
      <c r="B696" s="10" t="s">
        <v>1346</v>
      </c>
      <c r="C696" s="10" t="s">
        <v>1347</v>
      </c>
    </row>
    <row r="697" ht="15.75" customHeight="1">
      <c r="A697" s="10" t="s">
        <v>101</v>
      </c>
      <c r="B697" s="10" t="s">
        <v>1348</v>
      </c>
      <c r="C697" s="10" t="s">
        <v>1349</v>
      </c>
    </row>
    <row r="698" ht="15.75" customHeight="1">
      <c r="A698" s="10" t="s">
        <v>1326</v>
      </c>
      <c r="B698" s="10" t="s">
        <v>1350</v>
      </c>
      <c r="C698" s="10" t="s">
        <v>1351</v>
      </c>
    </row>
    <row r="699" ht="15.75" customHeight="1">
      <c r="A699" s="10" t="s">
        <v>1326</v>
      </c>
      <c r="B699" s="10" t="s">
        <v>1352</v>
      </c>
      <c r="C699" s="10" t="s">
        <v>1353</v>
      </c>
    </row>
    <row r="700" ht="15.75" customHeight="1">
      <c r="A700" s="10" t="s">
        <v>1326</v>
      </c>
      <c r="B700" s="10" t="s">
        <v>1354</v>
      </c>
      <c r="C700" s="10" t="s">
        <v>1355</v>
      </c>
    </row>
    <row r="701" ht="15.75" customHeight="1">
      <c r="A701" s="10" t="s">
        <v>1326</v>
      </c>
      <c r="B701" s="10" t="s">
        <v>1356</v>
      </c>
      <c r="C701" s="10" t="s">
        <v>1357</v>
      </c>
    </row>
    <row r="702" ht="15.75" customHeight="1">
      <c r="A702" s="10" t="s">
        <v>153</v>
      </c>
      <c r="B702" s="10" t="s">
        <v>1358</v>
      </c>
      <c r="C702" s="10" t="s">
        <v>1359</v>
      </c>
    </row>
    <row r="703" ht="15.75" customHeight="1">
      <c r="A703" s="10" t="s">
        <v>101</v>
      </c>
      <c r="B703" s="10" t="s">
        <v>1360</v>
      </c>
      <c r="C703" s="10" t="s">
        <v>1361</v>
      </c>
    </row>
    <row r="704" ht="15.75" customHeight="1">
      <c r="A704" s="10" t="s">
        <v>153</v>
      </c>
      <c r="B704" s="10" t="s">
        <v>1362</v>
      </c>
      <c r="C704" s="10" t="s">
        <v>1363</v>
      </c>
    </row>
    <row r="705" ht="15.75" customHeight="1">
      <c r="A705" s="10" t="s">
        <v>675</v>
      </c>
      <c r="B705" s="10" t="s">
        <v>1364</v>
      </c>
      <c r="C705" s="10" t="s">
        <v>1365</v>
      </c>
    </row>
    <row r="706" ht="15.75" customHeight="1">
      <c r="A706" s="10" t="s">
        <v>522</v>
      </c>
      <c r="B706" s="10" t="s">
        <v>1366</v>
      </c>
      <c r="C706" s="10" t="s">
        <v>1367</v>
      </c>
    </row>
    <row r="707" ht="15.75" customHeight="1">
      <c r="A707" s="10" t="s">
        <v>1343</v>
      </c>
      <c r="B707" s="10" t="s">
        <v>1368</v>
      </c>
      <c r="C707" s="10" t="s">
        <v>1369</v>
      </c>
    </row>
    <row r="708" ht="15.75" customHeight="1">
      <c r="A708" s="10" t="s">
        <v>1326</v>
      </c>
      <c r="B708" s="10" t="s">
        <v>1370</v>
      </c>
      <c r="C708" s="10" t="s">
        <v>1371</v>
      </c>
    </row>
    <row r="709" ht="15.75" customHeight="1">
      <c r="A709" s="10" t="s">
        <v>101</v>
      </c>
      <c r="B709" s="10" t="s">
        <v>1372</v>
      </c>
      <c r="C709" s="10" t="s">
        <v>1373</v>
      </c>
    </row>
    <row r="710" ht="15.75" customHeight="1">
      <c r="A710" s="10" t="s">
        <v>1343</v>
      </c>
      <c r="B710" s="10" t="s">
        <v>1374</v>
      </c>
      <c r="C710" s="10" t="s">
        <v>1375</v>
      </c>
    </row>
    <row r="711" ht="15.75" customHeight="1">
      <c r="A711" s="10" t="s">
        <v>1326</v>
      </c>
      <c r="B711" s="10" t="s">
        <v>1376</v>
      </c>
      <c r="C711" s="10" t="s">
        <v>1377</v>
      </c>
    </row>
    <row r="712" ht="15.75" customHeight="1">
      <c r="A712" s="10" t="s">
        <v>1326</v>
      </c>
      <c r="B712" s="10" t="s">
        <v>1378</v>
      </c>
      <c r="C712" s="10" t="s">
        <v>1379</v>
      </c>
    </row>
    <row r="713" ht="15.75" customHeight="1">
      <c r="A713" s="10" t="s">
        <v>1326</v>
      </c>
      <c r="B713" s="10" t="s">
        <v>1380</v>
      </c>
      <c r="C713" s="10" t="s">
        <v>1381</v>
      </c>
    </row>
    <row r="714" ht="15.75" customHeight="1">
      <c r="A714" s="10" t="s">
        <v>1326</v>
      </c>
      <c r="B714" s="10" t="s">
        <v>1382</v>
      </c>
      <c r="C714" s="10" t="s">
        <v>1383</v>
      </c>
    </row>
    <row r="715" ht="15.75" customHeight="1">
      <c r="A715" s="10" t="s">
        <v>1326</v>
      </c>
      <c r="B715" s="10" t="s">
        <v>1384</v>
      </c>
      <c r="C715" s="10" t="s">
        <v>1385</v>
      </c>
    </row>
    <row r="716" ht="15.75" customHeight="1">
      <c r="A716" s="10" t="s">
        <v>1326</v>
      </c>
      <c r="B716" s="10" t="s">
        <v>1386</v>
      </c>
      <c r="C716" s="10" t="s">
        <v>1387</v>
      </c>
    </row>
    <row r="717" ht="15.75" customHeight="1">
      <c r="A717" s="10" t="s">
        <v>1326</v>
      </c>
      <c r="B717" s="10" t="s">
        <v>1388</v>
      </c>
      <c r="C717" s="10" t="s">
        <v>1389</v>
      </c>
    </row>
    <row r="718" ht="15.75" customHeight="1">
      <c r="A718" s="10" t="s">
        <v>1326</v>
      </c>
      <c r="B718" s="10" t="s">
        <v>1390</v>
      </c>
      <c r="C718" s="10" t="s">
        <v>1391</v>
      </c>
    </row>
    <row r="719" ht="15.75" customHeight="1">
      <c r="A719" s="10" t="s">
        <v>1326</v>
      </c>
      <c r="B719" s="10" t="s">
        <v>1392</v>
      </c>
      <c r="C719" s="10" t="s">
        <v>1393</v>
      </c>
    </row>
    <row r="720" ht="15.75" customHeight="1">
      <c r="A720" s="10" t="s">
        <v>101</v>
      </c>
      <c r="B720" s="10" t="s">
        <v>1394</v>
      </c>
      <c r="C720" s="10" t="s">
        <v>1395</v>
      </c>
    </row>
    <row r="721" ht="15.75" customHeight="1">
      <c r="A721" s="10" t="s">
        <v>1326</v>
      </c>
      <c r="B721" s="10" t="s">
        <v>1396</v>
      </c>
      <c r="C721" s="10" t="s">
        <v>1397</v>
      </c>
    </row>
    <row r="722" ht="15.75" customHeight="1">
      <c r="A722" s="10" t="s">
        <v>1326</v>
      </c>
      <c r="B722" s="10" t="s">
        <v>1398</v>
      </c>
      <c r="C722" s="10" t="s">
        <v>1399</v>
      </c>
    </row>
    <row r="723" ht="15.75" customHeight="1">
      <c r="A723" s="10" t="s">
        <v>1326</v>
      </c>
      <c r="B723" s="10" t="s">
        <v>1400</v>
      </c>
      <c r="C723" s="10" t="s">
        <v>1401</v>
      </c>
    </row>
    <row r="724" ht="15.75" customHeight="1">
      <c r="A724" s="10" t="s">
        <v>1326</v>
      </c>
      <c r="B724" s="10" t="s">
        <v>1402</v>
      </c>
      <c r="C724" s="10" t="s">
        <v>1403</v>
      </c>
    </row>
    <row r="725" ht="15.75" customHeight="1">
      <c r="A725" s="10" t="s">
        <v>1326</v>
      </c>
      <c r="B725" s="10" t="s">
        <v>1404</v>
      </c>
      <c r="C725" s="10" t="s">
        <v>1405</v>
      </c>
    </row>
    <row r="726" ht="15.75" customHeight="1">
      <c r="A726" s="10" t="s">
        <v>1326</v>
      </c>
      <c r="B726" s="10" t="s">
        <v>1406</v>
      </c>
      <c r="C726" s="10" t="s">
        <v>1407</v>
      </c>
    </row>
    <row r="727" ht="15.75" customHeight="1">
      <c r="A727" s="10" t="s">
        <v>1326</v>
      </c>
      <c r="B727" s="10" t="s">
        <v>1408</v>
      </c>
      <c r="C727" s="10" t="s">
        <v>1409</v>
      </c>
    </row>
    <row r="728" ht="15.75" customHeight="1">
      <c r="A728" s="10" t="s">
        <v>1326</v>
      </c>
      <c r="B728" s="10" t="s">
        <v>1410</v>
      </c>
      <c r="C728" s="10" t="s">
        <v>1411</v>
      </c>
    </row>
    <row r="729" ht="15.75" customHeight="1">
      <c r="A729" s="10" t="s">
        <v>1326</v>
      </c>
      <c r="B729" s="10" t="s">
        <v>1412</v>
      </c>
      <c r="C729" s="10" t="s">
        <v>1413</v>
      </c>
    </row>
    <row r="730" ht="15.75" customHeight="1">
      <c r="A730" s="10" t="s">
        <v>1326</v>
      </c>
      <c r="B730" s="10" t="s">
        <v>1414</v>
      </c>
      <c r="C730" s="10" t="s">
        <v>1415</v>
      </c>
    </row>
    <row r="731" ht="15.75" customHeight="1">
      <c r="A731" s="10" t="s">
        <v>1326</v>
      </c>
      <c r="B731" s="10" t="s">
        <v>1416</v>
      </c>
      <c r="C731" s="10" t="s">
        <v>1417</v>
      </c>
    </row>
    <row r="732" ht="15.75" customHeight="1">
      <c r="A732" s="10" t="s">
        <v>1326</v>
      </c>
      <c r="B732" s="10" t="s">
        <v>1418</v>
      </c>
      <c r="C732" s="10" t="s">
        <v>1419</v>
      </c>
    </row>
    <row r="733" ht="15.75" customHeight="1">
      <c r="A733" s="10" t="s">
        <v>1326</v>
      </c>
      <c r="B733" s="10" t="s">
        <v>1420</v>
      </c>
      <c r="C733" s="10" t="s">
        <v>1421</v>
      </c>
    </row>
    <row r="734" ht="15.75" customHeight="1">
      <c r="A734" s="10" t="s">
        <v>153</v>
      </c>
      <c r="B734" s="10" t="s">
        <v>1422</v>
      </c>
      <c r="C734" s="10" t="s">
        <v>4</v>
      </c>
    </row>
    <row r="735" ht="15.75" customHeight="1">
      <c r="A735" s="10" t="s">
        <v>16</v>
      </c>
      <c r="B735" s="10" t="s">
        <v>1423</v>
      </c>
      <c r="C735" s="10" t="s">
        <v>4</v>
      </c>
    </row>
    <row r="736" ht="15.75" customHeight="1">
      <c r="A736" s="10" t="s">
        <v>1424</v>
      </c>
      <c r="B736" s="10" t="s">
        <v>1425</v>
      </c>
      <c r="C736" s="10" t="s">
        <v>1426</v>
      </c>
    </row>
    <row r="737" ht="15.75" customHeight="1">
      <c r="A737" s="10" t="s">
        <v>1424</v>
      </c>
      <c r="B737" s="10" t="s">
        <v>1427</v>
      </c>
      <c r="C737" s="10" t="s">
        <v>1428</v>
      </c>
    </row>
    <row r="738" ht="15.75" customHeight="1">
      <c r="A738" s="10" t="s">
        <v>2</v>
      </c>
      <c r="B738" s="10" t="s">
        <v>1429</v>
      </c>
      <c r="C738" s="10" t="s">
        <v>1430</v>
      </c>
    </row>
    <row r="739" ht="15.75" customHeight="1">
      <c r="A739" s="10" t="s">
        <v>1326</v>
      </c>
      <c r="B739" s="10" t="s">
        <v>1431</v>
      </c>
      <c r="C739" s="10" t="s">
        <v>1432</v>
      </c>
    </row>
    <row r="740" ht="15.75" customHeight="1">
      <c r="A740" s="10" t="s">
        <v>39</v>
      </c>
      <c r="B740" s="10" t="s">
        <v>1433</v>
      </c>
      <c r="C740" s="10" t="s">
        <v>1434</v>
      </c>
    </row>
    <row r="741" ht="15.75" customHeight="1">
      <c r="A741" s="10" t="s">
        <v>41</v>
      </c>
      <c r="B741" s="10" t="s">
        <v>1435</v>
      </c>
      <c r="C741" s="10" t="s">
        <v>1436</v>
      </c>
    </row>
    <row r="742" ht="15.75" customHeight="1">
      <c r="A742" s="10" t="s">
        <v>22</v>
      </c>
      <c r="B742" s="10" t="s">
        <v>1437</v>
      </c>
      <c r="C742" s="10" t="s">
        <v>1438</v>
      </c>
    </row>
    <row r="743" ht="15.75" customHeight="1">
      <c r="A743" s="10" t="s">
        <v>52</v>
      </c>
      <c r="B743" s="10" t="s">
        <v>1439</v>
      </c>
      <c r="C743" s="10" t="s">
        <v>1440</v>
      </c>
    </row>
    <row r="744" ht="15.75" customHeight="1">
      <c r="A744" s="10" t="s">
        <v>288</v>
      </c>
      <c r="B744" s="10" t="s">
        <v>1441</v>
      </c>
      <c r="C744" s="10" t="s">
        <v>1442</v>
      </c>
    </row>
    <row r="745" ht="15.75" customHeight="1">
      <c r="A745" s="10" t="s">
        <v>61</v>
      </c>
      <c r="B745" s="10" t="s">
        <v>1443</v>
      </c>
      <c r="C745" s="10" t="s">
        <v>1444</v>
      </c>
    </row>
    <row r="746" ht="15.75" customHeight="1">
      <c r="A746" s="10" t="s">
        <v>907</v>
      </c>
      <c r="B746" s="10" t="s">
        <v>1445</v>
      </c>
      <c r="C746" s="10" t="s">
        <v>1446</v>
      </c>
    </row>
    <row r="747" ht="15.75" customHeight="1">
      <c r="A747" s="10" t="s">
        <v>101</v>
      </c>
      <c r="B747" s="10" t="s">
        <v>1447</v>
      </c>
      <c r="C747" s="10" t="s">
        <v>1448</v>
      </c>
    </row>
    <row r="748" ht="15.75" customHeight="1">
      <c r="A748" s="10" t="s">
        <v>16</v>
      </c>
      <c r="B748" s="10" t="s">
        <v>1449</v>
      </c>
      <c r="C748" s="10" t="s">
        <v>1450</v>
      </c>
    </row>
    <row r="749" ht="15.75" customHeight="1">
      <c r="A749" s="10" t="s">
        <v>266</v>
      </c>
      <c r="B749" s="10" t="s">
        <v>1451</v>
      </c>
      <c r="C749" s="10" t="s">
        <v>1452</v>
      </c>
    </row>
    <row r="750" ht="15.75" customHeight="1">
      <c r="A750" s="10" t="s">
        <v>1326</v>
      </c>
      <c r="B750" s="10" t="s">
        <v>1453</v>
      </c>
      <c r="C750" s="10" t="s">
        <v>1454</v>
      </c>
    </row>
    <row r="751" ht="15.75" customHeight="1">
      <c r="A751" s="10" t="s">
        <v>1424</v>
      </c>
      <c r="B751" s="10" t="s">
        <v>1455</v>
      </c>
      <c r="C751" s="10" t="s">
        <v>1456</v>
      </c>
    </row>
    <row r="752" ht="15.75" customHeight="1">
      <c r="A752" s="10" t="s">
        <v>1424</v>
      </c>
      <c r="B752" s="10" t="s">
        <v>1457</v>
      </c>
      <c r="C752" s="10" t="s">
        <v>1458</v>
      </c>
    </row>
    <row r="753" ht="15.75" customHeight="1">
      <c r="A753" s="10" t="s">
        <v>16</v>
      </c>
      <c r="B753" s="10" t="s">
        <v>1459</v>
      </c>
      <c r="C753" s="10" t="s">
        <v>1460</v>
      </c>
    </row>
    <row r="754" ht="15.75" customHeight="1">
      <c r="A754" s="10" t="s">
        <v>16</v>
      </c>
      <c r="B754" s="10" t="s">
        <v>1461</v>
      </c>
      <c r="C754" s="10" t="s">
        <v>1462</v>
      </c>
    </row>
    <row r="755" ht="15.75" customHeight="1">
      <c r="A755" s="10" t="s">
        <v>1343</v>
      </c>
      <c r="B755" s="10" t="s">
        <v>1463</v>
      </c>
      <c r="C755" s="10" t="s">
        <v>1464</v>
      </c>
    </row>
    <row r="756" ht="15.75" customHeight="1">
      <c r="A756" s="10" t="s">
        <v>1343</v>
      </c>
      <c r="B756" s="10" t="s">
        <v>1465</v>
      </c>
      <c r="C756" s="10" t="s">
        <v>1466</v>
      </c>
    </row>
    <row r="757" ht="15.75" customHeight="1">
      <c r="A757" s="10" t="s">
        <v>1343</v>
      </c>
      <c r="B757" s="10" t="s">
        <v>1467</v>
      </c>
      <c r="C757" s="10" t="s">
        <v>1468</v>
      </c>
    </row>
    <row r="758" ht="15.75" customHeight="1">
      <c r="A758" s="10" t="s">
        <v>525</v>
      </c>
      <c r="B758" s="10" t="s">
        <v>1469</v>
      </c>
      <c r="C758" s="10" t="s">
        <v>1470</v>
      </c>
    </row>
    <row r="759" ht="15.75" customHeight="1">
      <c r="A759" s="10" t="s">
        <v>1343</v>
      </c>
      <c r="B759" s="10" t="s">
        <v>1471</v>
      </c>
      <c r="C759" s="10" t="s">
        <v>1472</v>
      </c>
    </row>
    <row r="760" ht="15.75" customHeight="1">
      <c r="A760" s="10" t="s">
        <v>1343</v>
      </c>
      <c r="B760" s="10" t="s">
        <v>1473</v>
      </c>
      <c r="C760" s="10" t="s">
        <v>1474</v>
      </c>
    </row>
    <row r="761" ht="15.75" customHeight="1">
      <c r="A761" s="10" t="s">
        <v>1159</v>
      </c>
      <c r="B761" s="10" t="s">
        <v>1475</v>
      </c>
      <c r="C761" s="10" t="s">
        <v>1476</v>
      </c>
    </row>
    <row r="762" ht="15.75" customHeight="1">
      <c r="A762" s="10" t="s">
        <v>101</v>
      </c>
      <c r="B762" s="10" t="s">
        <v>1477</v>
      </c>
      <c r="C762" s="10" t="s">
        <v>1478</v>
      </c>
    </row>
    <row r="763" ht="15.75" customHeight="1">
      <c r="A763" s="10" t="s">
        <v>16</v>
      </c>
      <c r="B763" s="10" t="s">
        <v>1479</v>
      </c>
      <c r="C763" s="10" t="s">
        <v>1480</v>
      </c>
    </row>
    <row r="764" ht="15.75" customHeight="1">
      <c r="A764" s="10" t="s">
        <v>1159</v>
      </c>
      <c r="B764" s="10" t="s">
        <v>1481</v>
      </c>
      <c r="C764" s="10" t="s">
        <v>1482</v>
      </c>
    </row>
    <row r="765" ht="15.75" customHeight="1">
      <c r="A765" s="10" t="s">
        <v>101</v>
      </c>
      <c r="B765" s="10" t="s">
        <v>1483</v>
      </c>
      <c r="C765" s="10" t="s">
        <v>1484</v>
      </c>
    </row>
    <row r="766" ht="15.75" customHeight="1">
      <c r="A766" s="10" t="s">
        <v>101</v>
      </c>
      <c r="B766" s="10" t="s">
        <v>1485</v>
      </c>
      <c r="C766" s="10" t="s">
        <v>1486</v>
      </c>
    </row>
    <row r="767" ht="15.75" customHeight="1">
      <c r="A767" s="10" t="s">
        <v>101</v>
      </c>
      <c r="B767" s="10" t="s">
        <v>1487</v>
      </c>
      <c r="C767" s="10" t="s">
        <v>1488</v>
      </c>
    </row>
    <row r="768" ht="15.75" customHeight="1">
      <c r="A768" s="10" t="s">
        <v>101</v>
      </c>
      <c r="B768" s="10" t="s">
        <v>1489</v>
      </c>
      <c r="C768" s="10" t="s">
        <v>1490</v>
      </c>
    </row>
    <row r="769" ht="15.75" customHeight="1">
      <c r="A769" s="10" t="s">
        <v>1326</v>
      </c>
      <c r="B769" s="10" t="s">
        <v>1491</v>
      </c>
      <c r="C769" s="10" t="s">
        <v>1492</v>
      </c>
    </row>
    <row r="770" ht="15.75" customHeight="1">
      <c r="A770" s="10" t="s">
        <v>1326</v>
      </c>
      <c r="B770" s="10" t="s">
        <v>1493</v>
      </c>
      <c r="C770" s="10" t="s">
        <v>1494</v>
      </c>
    </row>
    <row r="771" ht="15.75" customHeight="1">
      <c r="A771" s="10" t="s">
        <v>153</v>
      </c>
      <c r="B771" s="10" t="s">
        <v>1495</v>
      </c>
      <c r="C771" s="10" t="s">
        <v>4</v>
      </c>
    </row>
    <row r="772" ht="15.75" customHeight="1">
      <c r="A772" s="10" t="s">
        <v>1326</v>
      </c>
      <c r="B772" s="10" t="s">
        <v>1496</v>
      </c>
      <c r="C772" s="10" t="s">
        <v>1497</v>
      </c>
    </row>
    <row r="773" ht="15.75" customHeight="1">
      <c r="A773" s="10" t="s">
        <v>16</v>
      </c>
      <c r="B773" s="10" t="s">
        <v>1498</v>
      </c>
      <c r="C773" s="10" t="s">
        <v>1499</v>
      </c>
    </row>
    <row r="774" ht="15.75" customHeight="1">
      <c r="A774" s="10" t="s">
        <v>153</v>
      </c>
      <c r="B774" s="10" t="s">
        <v>1500</v>
      </c>
      <c r="C774" s="10" t="s">
        <v>1501</v>
      </c>
    </row>
    <row r="775" ht="15.75" customHeight="1">
      <c r="A775" s="10" t="s">
        <v>54</v>
      </c>
      <c r="B775" s="10" t="s">
        <v>1502</v>
      </c>
      <c r="C775" s="10" t="s">
        <v>1503</v>
      </c>
    </row>
    <row r="776" ht="15.75" customHeight="1">
      <c r="A776" s="10" t="s">
        <v>101</v>
      </c>
      <c r="B776" s="10" t="s">
        <v>1504</v>
      </c>
      <c r="C776" s="10" t="s">
        <v>4</v>
      </c>
    </row>
    <row r="777" ht="15.75" customHeight="1">
      <c r="A777" s="10" t="s">
        <v>16</v>
      </c>
      <c r="B777" s="10" t="s">
        <v>1505</v>
      </c>
      <c r="C777" s="10" t="s">
        <v>1506</v>
      </c>
    </row>
    <row r="778" ht="15.75" customHeight="1">
      <c r="A778" s="10" t="s">
        <v>1507</v>
      </c>
      <c r="B778" s="10" t="s">
        <v>1508</v>
      </c>
      <c r="C778" s="10" t="s">
        <v>1509</v>
      </c>
    </row>
    <row r="779" ht="15.75" customHeight="1">
      <c r="A779" s="10" t="s">
        <v>675</v>
      </c>
      <c r="B779" s="10" t="s">
        <v>1510</v>
      </c>
      <c r="C779" s="10" t="s">
        <v>1511</v>
      </c>
    </row>
    <row r="780" ht="15.75" customHeight="1">
      <c r="A780" s="10" t="s">
        <v>16</v>
      </c>
      <c r="B780" s="10" t="s">
        <v>1512</v>
      </c>
      <c r="C780" s="10" t="s">
        <v>1513</v>
      </c>
    </row>
    <row r="781" ht="15.75" customHeight="1">
      <c r="A781" s="10" t="s">
        <v>1326</v>
      </c>
      <c r="B781" s="10" t="s">
        <v>1514</v>
      </c>
      <c r="C781" s="10" t="s">
        <v>1515</v>
      </c>
    </row>
    <row r="782" ht="15.75" customHeight="1">
      <c r="A782" s="10" t="s">
        <v>54</v>
      </c>
      <c r="B782" s="10" t="s">
        <v>1516</v>
      </c>
      <c r="C782" s="10" t="s">
        <v>1517</v>
      </c>
    </row>
    <row r="783" ht="15.75" customHeight="1">
      <c r="A783" s="10" t="s">
        <v>101</v>
      </c>
      <c r="B783" s="10" t="s">
        <v>1518</v>
      </c>
      <c r="C783" s="10" t="s">
        <v>1519</v>
      </c>
    </row>
    <row r="784" ht="15.75" customHeight="1">
      <c r="A784" s="10" t="s">
        <v>153</v>
      </c>
      <c r="B784" s="10" t="s">
        <v>1520</v>
      </c>
      <c r="C784" s="10" t="s">
        <v>1521</v>
      </c>
    </row>
    <row r="785" ht="15.75" customHeight="1">
      <c r="A785" s="10" t="s">
        <v>739</v>
      </c>
      <c r="B785" s="10" t="s">
        <v>1522</v>
      </c>
      <c r="C785" s="10" t="s">
        <v>1523</v>
      </c>
    </row>
    <row r="786" ht="15.75" customHeight="1">
      <c r="A786" s="10" t="s">
        <v>739</v>
      </c>
      <c r="B786" s="10" t="s">
        <v>1524</v>
      </c>
      <c r="C786" s="10" t="s">
        <v>1525</v>
      </c>
    </row>
    <row r="787" ht="15.75" customHeight="1">
      <c r="A787" s="10" t="s">
        <v>2</v>
      </c>
      <c r="B787" s="10" t="s">
        <v>1526</v>
      </c>
      <c r="C787" s="10" t="s">
        <v>1527</v>
      </c>
    </row>
    <row r="788" ht="15.75" customHeight="1">
      <c r="A788" s="10" t="s">
        <v>739</v>
      </c>
      <c r="B788" s="10" t="s">
        <v>1528</v>
      </c>
      <c r="C788" s="10" t="s">
        <v>1529</v>
      </c>
    </row>
    <row r="789" ht="15.75" customHeight="1">
      <c r="A789" s="10" t="s">
        <v>739</v>
      </c>
      <c r="B789" s="10" t="s">
        <v>1530</v>
      </c>
      <c r="C789" s="10" t="s">
        <v>1531</v>
      </c>
    </row>
    <row r="790" ht="15.75" customHeight="1">
      <c r="A790" s="10" t="s">
        <v>739</v>
      </c>
      <c r="B790" s="10" t="s">
        <v>1532</v>
      </c>
      <c r="C790" s="10" t="s">
        <v>1533</v>
      </c>
    </row>
    <row r="791" ht="15.75" customHeight="1">
      <c r="A791" s="10" t="s">
        <v>739</v>
      </c>
      <c r="B791" s="10" t="s">
        <v>1534</v>
      </c>
      <c r="C791" s="10" t="s">
        <v>1535</v>
      </c>
    </row>
    <row r="792" ht="15.75" customHeight="1">
      <c r="A792" s="10" t="s">
        <v>739</v>
      </c>
      <c r="B792" s="10" t="s">
        <v>1536</v>
      </c>
      <c r="C792" s="10" t="s">
        <v>1537</v>
      </c>
    </row>
    <row r="793" ht="15.75" customHeight="1">
      <c r="A793" s="10" t="s">
        <v>528</v>
      </c>
      <c r="B793" s="10" t="s">
        <v>1538</v>
      </c>
      <c r="C793" s="10" t="s">
        <v>1539</v>
      </c>
    </row>
    <row r="794" ht="15.75" customHeight="1">
      <c r="A794" s="10" t="s">
        <v>61</v>
      </c>
      <c r="B794" s="10" t="s">
        <v>1540</v>
      </c>
      <c r="C794" s="10" t="s">
        <v>1541</v>
      </c>
    </row>
    <row r="795" ht="15.75" customHeight="1">
      <c r="A795" s="10" t="s">
        <v>739</v>
      </c>
      <c r="B795" s="10" t="s">
        <v>1542</v>
      </c>
      <c r="C795" s="10" t="s">
        <v>1543</v>
      </c>
    </row>
    <row r="796" ht="15.75" customHeight="1">
      <c r="A796" s="10" t="s">
        <v>739</v>
      </c>
      <c r="B796" s="10" t="s">
        <v>1544</v>
      </c>
      <c r="C796" s="10" t="s">
        <v>1545</v>
      </c>
    </row>
    <row r="797" ht="15.75" customHeight="1">
      <c r="A797" s="10" t="s">
        <v>739</v>
      </c>
      <c r="B797" s="10" t="s">
        <v>1546</v>
      </c>
      <c r="C797" s="10" t="s">
        <v>1547</v>
      </c>
    </row>
    <row r="798" ht="15.75" customHeight="1">
      <c r="A798" s="10" t="s">
        <v>739</v>
      </c>
      <c r="B798" s="10" t="s">
        <v>1548</v>
      </c>
      <c r="C798" s="10" t="s">
        <v>1549</v>
      </c>
    </row>
    <row r="799" ht="15.75" customHeight="1">
      <c r="A799" s="10" t="s">
        <v>52</v>
      </c>
      <c r="B799" s="10" t="s">
        <v>1550</v>
      </c>
      <c r="C799" s="10" t="s">
        <v>1551</v>
      </c>
    </row>
    <row r="800" ht="15.75" customHeight="1">
      <c r="A800" s="10" t="s">
        <v>52</v>
      </c>
      <c r="B800" s="10" t="s">
        <v>1552</v>
      </c>
      <c r="C800" s="10" t="s">
        <v>1553</v>
      </c>
    </row>
    <row r="801" ht="15.75" customHeight="1">
      <c r="A801" s="10" t="s">
        <v>41</v>
      </c>
      <c r="B801" s="10" t="s">
        <v>1554</v>
      </c>
      <c r="C801" s="10" t="s">
        <v>1555</v>
      </c>
    </row>
    <row r="802" ht="15.75" customHeight="1">
      <c r="A802" s="10" t="s">
        <v>41</v>
      </c>
      <c r="B802" s="10" t="s">
        <v>1556</v>
      </c>
      <c r="C802" s="10" t="s">
        <v>1557</v>
      </c>
    </row>
    <row r="803" ht="15.75" customHeight="1">
      <c r="A803" s="10" t="s">
        <v>916</v>
      </c>
      <c r="B803" s="10" t="s">
        <v>1558</v>
      </c>
      <c r="C803" s="10" t="s">
        <v>1559</v>
      </c>
    </row>
    <row r="804" ht="15.75" customHeight="1">
      <c r="A804" s="10" t="s">
        <v>916</v>
      </c>
      <c r="B804" s="10" t="s">
        <v>1560</v>
      </c>
      <c r="C804" s="10" t="s">
        <v>1561</v>
      </c>
    </row>
    <row r="805" ht="15.75" customHeight="1">
      <c r="A805" s="10" t="s">
        <v>2</v>
      </c>
      <c r="B805" s="10" t="s">
        <v>1562</v>
      </c>
      <c r="C805" s="10" t="s">
        <v>1563</v>
      </c>
    </row>
    <row r="806" ht="15.75" customHeight="1">
      <c r="A806" s="10" t="s">
        <v>528</v>
      </c>
      <c r="B806" s="10" t="s">
        <v>1564</v>
      </c>
      <c r="C806" s="10" t="s">
        <v>1565</v>
      </c>
    </row>
    <row r="807" ht="15.75" customHeight="1">
      <c r="A807" s="10" t="s">
        <v>16</v>
      </c>
      <c r="B807" s="10" t="s">
        <v>1566</v>
      </c>
      <c r="C807" s="10" t="s">
        <v>1567</v>
      </c>
    </row>
    <row r="808" ht="15.75" customHeight="1">
      <c r="A808" s="10" t="s">
        <v>16</v>
      </c>
      <c r="B808" s="10" t="s">
        <v>1568</v>
      </c>
      <c r="C808" s="10" t="s">
        <v>1567</v>
      </c>
    </row>
    <row r="809" ht="15.75" customHeight="1">
      <c r="A809" s="10" t="s">
        <v>16</v>
      </c>
      <c r="B809" s="10" t="s">
        <v>1569</v>
      </c>
      <c r="C809" s="10" t="s">
        <v>1567</v>
      </c>
    </row>
    <row r="810" ht="15.75" customHeight="1">
      <c r="A810" s="10" t="s">
        <v>16</v>
      </c>
      <c r="B810" s="10" t="s">
        <v>1570</v>
      </c>
      <c r="C810" s="10" t="s">
        <v>1567</v>
      </c>
    </row>
    <row r="811" ht="15.75" customHeight="1">
      <c r="A811" s="10" t="s">
        <v>16</v>
      </c>
      <c r="B811" s="10" t="s">
        <v>1571</v>
      </c>
      <c r="C811" s="10" t="s">
        <v>1567</v>
      </c>
    </row>
    <row r="812" ht="15.75" customHeight="1">
      <c r="A812" s="10" t="s">
        <v>16</v>
      </c>
      <c r="B812" s="10" t="s">
        <v>1572</v>
      </c>
      <c r="C812" s="10" t="s">
        <v>1567</v>
      </c>
    </row>
    <row r="813" ht="15.75" customHeight="1">
      <c r="A813" s="10" t="s">
        <v>1507</v>
      </c>
      <c r="B813" s="10" t="s">
        <v>1573</v>
      </c>
      <c r="C813" s="10" t="s">
        <v>1567</v>
      </c>
    </row>
    <row r="814" ht="15.75" customHeight="1">
      <c r="A814" s="10" t="s">
        <v>16</v>
      </c>
      <c r="B814" s="10" t="s">
        <v>1574</v>
      </c>
      <c r="C814" s="10" t="s">
        <v>1575</v>
      </c>
    </row>
    <row r="815" ht="15.75" customHeight="1">
      <c r="A815" s="10" t="s">
        <v>528</v>
      </c>
      <c r="B815" s="10" t="s">
        <v>1576</v>
      </c>
      <c r="C815" s="10" t="s">
        <v>1567</v>
      </c>
    </row>
    <row r="816" ht="15.75" customHeight="1">
      <c r="A816" s="10" t="s">
        <v>1507</v>
      </c>
      <c r="B816" s="10" t="s">
        <v>1577</v>
      </c>
      <c r="C816" s="10" t="s">
        <v>1567</v>
      </c>
    </row>
    <row r="817" ht="15.75" customHeight="1">
      <c r="A817" s="10" t="s">
        <v>528</v>
      </c>
      <c r="B817" s="10" t="s">
        <v>1578</v>
      </c>
      <c r="C817" s="10" t="s">
        <v>1567</v>
      </c>
    </row>
    <row r="818" ht="15.75" customHeight="1">
      <c r="A818" s="10" t="s">
        <v>16</v>
      </c>
      <c r="B818" s="10" t="s">
        <v>1579</v>
      </c>
      <c r="C818" s="10" t="s">
        <v>1567</v>
      </c>
    </row>
    <row r="819" ht="15.75" customHeight="1">
      <c r="A819" s="10" t="s">
        <v>1507</v>
      </c>
      <c r="B819" s="10" t="s">
        <v>1580</v>
      </c>
      <c r="C819" s="10" t="s">
        <v>1581</v>
      </c>
    </row>
    <row r="820" ht="15.75" customHeight="1">
      <c r="A820" s="10" t="s">
        <v>2</v>
      </c>
      <c r="B820" s="10" t="s">
        <v>1582</v>
      </c>
      <c r="C820" s="10" t="s">
        <v>1567</v>
      </c>
    </row>
    <row r="821" ht="15.75" customHeight="1">
      <c r="A821" s="10" t="s">
        <v>739</v>
      </c>
      <c r="B821" s="10" t="s">
        <v>1583</v>
      </c>
      <c r="C821" s="10" t="s">
        <v>1567</v>
      </c>
    </row>
    <row r="822" ht="15.75" customHeight="1">
      <c r="A822" s="10" t="s">
        <v>739</v>
      </c>
      <c r="B822" s="10" t="s">
        <v>1584</v>
      </c>
      <c r="C822" s="10" t="s">
        <v>1567</v>
      </c>
    </row>
    <row r="823" ht="15.75" customHeight="1">
      <c r="A823" s="10" t="s">
        <v>2</v>
      </c>
      <c r="B823" s="10" t="s">
        <v>1585</v>
      </c>
      <c r="C823" s="10" t="s">
        <v>1567</v>
      </c>
    </row>
    <row r="824" ht="15.75" customHeight="1">
      <c r="A824" s="10" t="s">
        <v>2</v>
      </c>
      <c r="B824" s="10" t="s">
        <v>1586</v>
      </c>
      <c r="C824" s="10" t="s">
        <v>1567</v>
      </c>
    </row>
    <row r="825" ht="15.75" customHeight="1">
      <c r="A825" s="10" t="s">
        <v>2</v>
      </c>
      <c r="B825" s="10" t="s">
        <v>1562</v>
      </c>
      <c r="C825" s="10" t="s">
        <v>1567</v>
      </c>
    </row>
    <row r="826" ht="15.75" customHeight="1">
      <c r="A826" s="10" t="s">
        <v>739</v>
      </c>
      <c r="B826" s="10" t="s">
        <v>1587</v>
      </c>
      <c r="C826" s="10" t="s">
        <v>1567</v>
      </c>
    </row>
    <row r="827" ht="15.75" customHeight="1">
      <c r="A827" s="10" t="s">
        <v>739</v>
      </c>
      <c r="B827" s="10" t="s">
        <v>1588</v>
      </c>
      <c r="C827" s="10" t="s">
        <v>1567</v>
      </c>
    </row>
    <row r="828" ht="15.75" customHeight="1">
      <c r="A828" s="10" t="s">
        <v>739</v>
      </c>
      <c r="B828" s="10" t="s">
        <v>1589</v>
      </c>
      <c r="C828" s="10" t="s">
        <v>1567</v>
      </c>
    </row>
    <row r="829" ht="15.75" customHeight="1">
      <c r="A829" s="10" t="s">
        <v>153</v>
      </c>
      <c r="B829" s="10" t="s">
        <v>1590</v>
      </c>
      <c r="C829" s="10" t="s">
        <v>1591</v>
      </c>
    </row>
    <row r="830" ht="15.75" customHeight="1">
      <c r="A830" s="10" t="s">
        <v>739</v>
      </c>
      <c r="B830" s="10" t="s">
        <v>1592</v>
      </c>
      <c r="C830" s="10" t="s">
        <v>1567</v>
      </c>
    </row>
    <row r="831" ht="15.75" customHeight="1">
      <c r="A831" s="10" t="s">
        <v>739</v>
      </c>
      <c r="B831" s="10" t="s">
        <v>1593</v>
      </c>
      <c r="C831" s="10" t="s">
        <v>1567</v>
      </c>
    </row>
    <row r="832" ht="15.75" customHeight="1">
      <c r="A832" s="10" t="s">
        <v>739</v>
      </c>
      <c r="B832" s="10" t="s">
        <v>1594</v>
      </c>
      <c r="C832" s="10" t="s">
        <v>1567</v>
      </c>
    </row>
    <row r="833" ht="15.75" customHeight="1">
      <c r="A833" s="10" t="s">
        <v>739</v>
      </c>
      <c r="B833" s="10" t="s">
        <v>1595</v>
      </c>
      <c r="C833" s="10" t="s">
        <v>1567</v>
      </c>
    </row>
    <row r="834" ht="15.75" customHeight="1">
      <c r="A834" s="10" t="s">
        <v>739</v>
      </c>
      <c r="B834" s="10" t="s">
        <v>1596</v>
      </c>
      <c r="C834" s="10" t="s">
        <v>1567</v>
      </c>
    </row>
    <row r="835" ht="15.75" customHeight="1">
      <c r="A835" s="10" t="s">
        <v>739</v>
      </c>
      <c r="B835" s="10" t="s">
        <v>1597</v>
      </c>
      <c r="C835" s="10" t="s">
        <v>1567</v>
      </c>
    </row>
    <row r="836" ht="15.75" customHeight="1">
      <c r="A836" s="10" t="s">
        <v>739</v>
      </c>
      <c r="B836" s="10" t="s">
        <v>1598</v>
      </c>
      <c r="C836" s="10" t="s">
        <v>1567</v>
      </c>
    </row>
    <row r="837" ht="15.75" customHeight="1">
      <c r="A837" s="10" t="s">
        <v>2</v>
      </c>
      <c r="B837" s="10" t="s">
        <v>1599</v>
      </c>
      <c r="C837" s="10" t="s">
        <v>1600</v>
      </c>
    </row>
    <row r="838" ht="15.75" customHeight="1">
      <c r="A838" s="10" t="s">
        <v>739</v>
      </c>
      <c r="B838" s="10" t="s">
        <v>1601</v>
      </c>
      <c r="C838" s="10" t="s">
        <v>1567</v>
      </c>
    </row>
    <row r="839" ht="15.75" customHeight="1">
      <c r="A839" s="10" t="s">
        <v>288</v>
      </c>
      <c r="B839" s="10" t="s">
        <v>1602</v>
      </c>
      <c r="C839" s="10" t="s">
        <v>1567</v>
      </c>
    </row>
    <row r="840" ht="15.75" customHeight="1">
      <c r="A840" s="10" t="s">
        <v>288</v>
      </c>
      <c r="B840" s="10" t="s">
        <v>1603</v>
      </c>
      <c r="C840" s="10" t="s">
        <v>1567</v>
      </c>
    </row>
    <row r="841" ht="15.75" customHeight="1">
      <c r="A841" s="10" t="s">
        <v>739</v>
      </c>
      <c r="B841" s="10" t="s">
        <v>1604</v>
      </c>
      <c r="C841" s="10" t="s">
        <v>1567</v>
      </c>
    </row>
    <row r="842" ht="15.75" customHeight="1">
      <c r="A842" s="10" t="s">
        <v>101</v>
      </c>
      <c r="B842" s="10" t="s">
        <v>1605</v>
      </c>
      <c r="C842" s="10" t="s">
        <v>1567</v>
      </c>
    </row>
    <row r="843" ht="15.75" customHeight="1">
      <c r="A843" s="10" t="s">
        <v>739</v>
      </c>
      <c r="B843" s="10" t="s">
        <v>1606</v>
      </c>
      <c r="C843" s="10" t="s">
        <v>1567</v>
      </c>
    </row>
    <row r="844" ht="15.75" customHeight="1">
      <c r="A844" s="10" t="s">
        <v>288</v>
      </c>
      <c r="B844" s="10" t="s">
        <v>1607</v>
      </c>
      <c r="C844" s="10" t="s">
        <v>1567</v>
      </c>
    </row>
    <row r="845" ht="15.75" customHeight="1">
      <c r="A845" s="10" t="s">
        <v>288</v>
      </c>
      <c r="B845" s="10" t="s">
        <v>1608</v>
      </c>
      <c r="C845" s="10" t="s">
        <v>1567</v>
      </c>
    </row>
    <row r="846" ht="15.75" customHeight="1">
      <c r="A846" s="10" t="s">
        <v>288</v>
      </c>
      <c r="B846" s="10" t="s">
        <v>1609</v>
      </c>
      <c r="C846" s="10" t="s">
        <v>1567</v>
      </c>
    </row>
    <row r="847" ht="15.75" customHeight="1">
      <c r="A847" s="10" t="s">
        <v>2</v>
      </c>
      <c r="B847" s="10" t="s">
        <v>1610</v>
      </c>
      <c r="C847" s="10" t="s">
        <v>1567</v>
      </c>
    </row>
    <row r="848" ht="15.75" customHeight="1">
      <c r="A848" s="10" t="s">
        <v>528</v>
      </c>
      <c r="B848" s="10" t="s">
        <v>1611</v>
      </c>
      <c r="C848" s="10" t="s">
        <v>1567</v>
      </c>
    </row>
    <row r="849" ht="15.75" customHeight="1">
      <c r="A849" s="10" t="s">
        <v>525</v>
      </c>
      <c r="B849" s="10" t="s">
        <v>1612</v>
      </c>
      <c r="C849" s="10" t="s">
        <v>1613</v>
      </c>
    </row>
    <row r="850" ht="15.75" customHeight="1">
      <c r="A850" s="10" t="s">
        <v>1507</v>
      </c>
      <c r="B850" s="10" t="s">
        <v>1614</v>
      </c>
      <c r="C850" s="10" t="s">
        <v>1567</v>
      </c>
    </row>
    <row r="851" ht="15.75" customHeight="1">
      <c r="A851" s="10" t="s">
        <v>101</v>
      </c>
      <c r="B851" s="10" t="s">
        <v>1615</v>
      </c>
      <c r="C851" s="10" t="s">
        <v>1616</v>
      </c>
    </row>
    <row r="852" ht="15.75" customHeight="1">
      <c r="A852" s="10" t="s">
        <v>16</v>
      </c>
      <c r="B852" s="10" t="s">
        <v>1617</v>
      </c>
      <c r="C852" s="10" t="s">
        <v>1567</v>
      </c>
    </row>
    <row r="853" ht="15.75" customHeight="1">
      <c r="A853" s="10" t="s">
        <v>1343</v>
      </c>
      <c r="B853" s="10" t="s">
        <v>1618</v>
      </c>
      <c r="C853" s="10" t="s">
        <v>1619</v>
      </c>
    </row>
    <row r="854" ht="15.75" customHeight="1">
      <c r="A854" s="10" t="s">
        <v>101</v>
      </c>
      <c r="B854" s="10" t="s">
        <v>1620</v>
      </c>
      <c r="C854" s="10" t="s">
        <v>1621</v>
      </c>
    </row>
    <row r="855" ht="15.75" customHeight="1">
      <c r="A855" s="10" t="s">
        <v>101</v>
      </c>
      <c r="B855" s="10" t="s">
        <v>1622</v>
      </c>
      <c r="C855" s="10" t="s">
        <v>1623</v>
      </c>
    </row>
    <row r="856" ht="15.75" customHeight="1">
      <c r="A856" s="10" t="s">
        <v>16</v>
      </c>
      <c r="B856" s="10" t="s">
        <v>1624</v>
      </c>
      <c r="C856" s="10" t="s">
        <v>1625</v>
      </c>
    </row>
    <row r="857" ht="15.75" customHeight="1">
      <c r="A857" s="10" t="s">
        <v>1326</v>
      </c>
      <c r="B857" s="10" t="s">
        <v>1626</v>
      </c>
      <c r="C857" s="10" t="s">
        <v>1627</v>
      </c>
    </row>
    <row r="858" ht="15.75" customHeight="1">
      <c r="A858" s="10" t="s">
        <v>16</v>
      </c>
      <c r="B858" s="10" t="s">
        <v>1628</v>
      </c>
      <c r="C858" s="10" t="s">
        <v>1629</v>
      </c>
    </row>
    <row r="859" ht="15.75" customHeight="1">
      <c r="A859" s="10" t="s">
        <v>1507</v>
      </c>
      <c r="B859" s="10" t="s">
        <v>1630</v>
      </c>
      <c r="C859" s="10" t="s">
        <v>1567</v>
      </c>
    </row>
    <row r="860" ht="15.75" customHeight="1">
      <c r="A860" s="10" t="s">
        <v>1507</v>
      </c>
      <c r="B860" s="10" t="s">
        <v>1631</v>
      </c>
      <c r="C860" s="10" t="s">
        <v>1567</v>
      </c>
    </row>
    <row r="861" ht="15.75" customHeight="1">
      <c r="A861" s="10" t="s">
        <v>528</v>
      </c>
      <c r="B861" s="10" t="s">
        <v>1632</v>
      </c>
    </row>
    <row r="862" ht="15.75" customHeight="1">
      <c r="A862" s="10" t="s">
        <v>739</v>
      </c>
      <c r="B862" s="10" t="s">
        <v>1633</v>
      </c>
      <c r="C862" s="10" t="s">
        <v>1567</v>
      </c>
    </row>
    <row r="863" ht="15.75" customHeight="1">
      <c r="A863" s="10" t="s">
        <v>739</v>
      </c>
      <c r="B863" s="10" t="s">
        <v>1634</v>
      </c>
      <c r="C863" s="10" t="s">
        <v>1567</v>
      </c>
    </row>
    <row r="864" ht="15.75" customHeight="1">
      <c r="A864" s="10" t="s">
        <v>739</v>
      </c>
      <c r="B864" s="10" t="s">
        <v>1635</v>
      </c>
      <c r="C864" s="10" t="s">
        <v>1567</v>
      </c>
    </row>
    <row r="865" ht="15.75" customHeight="1">
      <c r="A865" s="10" t="s">
        <v>739</v>
      </c>
      <c r="B865" s="10" t="s">
        <v>1636</v>
      </c>
      <c r="C865" s="10" t="s">
        <v>1567</v>
      </c>
    </row>
    <row r="866" ht="15.75" customHeight="1">
      <c r="A866" s="10" t="s">
        <v>739</v>
      </c>
      <c r="B866" s="10" t="s">
        <v>1637</v>
      </c>
      <c r="C866" s="10" t="s">
        <v>1567</v>
      </c>
    </row>
    <row r="867" ht="15.75" customHeight="1">
      <c r="A867" s="10" t="s">
        <v>739</v>
      </c>
      <c r="B867" s="10" t="s">
        <v>1638</v>
      </c>
      <c r="C867" s="10" t="s">
        <v>1567</v>
      </c>
    </row>
    <row r="868" ht="15.75" customHeight="1">
      <c r="A868" s="10" t="s">
        <v>16</v>
      </c>
      <c r="B868" s="10" t="s">
        <v>1639</v>
      </c>
      <c r="C868" s="10" t="s">
        <v>1640</v>
      </c>
    </row>
    <row r="869" ht="15.75" customHeight="1">
      <c r="A869" s="10" t="s">
        <v>1159</v>
      </c>
      <c r="B869" s="10" t="s">
        <v>1641</v>
      </c>
      <c r="C869" s="10" t="s">
        <v>1642</v>
      </c>
    </row>
    <row r="870" ht="15.75" customHeight="1">
      <c r="A870" s="10" t="s">
        <v>739</v>
      </c>
      <c r="B870" s="10" t="s">
        <v>1643</v>
      </c>
      <c r="C870" s="10" t="s">
        <v>1567</v>
      </c>
    </row>
    <row r="871" ht="15.75" customHeight="1">
      <c r="A871" s="10" t="s">
        <v>739</v>
      </c>
      <c r="B871" s="10" t="s">
        <v>1644</v>
      </c>
      <c r="C871" s="10" t="s">
        <v>1567</v>
      </c>
    </row>
    <row r="872" ht="15.75" customHeight="1">
      <c r="A872" s="10" t="s">
        <v>739</v>
      </c>
      <c r="B872" s="10" t="s">
        <v>1645</v>
      </c>
      <c r="C872" s="10" t="s">
        <v>1567</v>
      </c>
    </row>
    <row r="873" ht="15.75" customHeight="1">
      <c r="A873" s="10" t="s">
        <v>739</v>
      </c>
      <c r="B873" s="10" t="s">
        <v>1646</v>
      </c>
      <c r="C873" s="10" t="s">
        <v>1567</v>
      </c>
    </row>
    <row r="874" ht="15.75" customHeight="1">
      <c r="A874" s="10" t="s">
        <v>16</v>
      </c>
      <c r="B874" s="10" t="s">
        <v>1647</v>
      </c>
      <c r="C874" s="10" t="s">
        <v>1648</v>
      </c>
    </row>
    <row r="875" ht="15.75" customHeight="1">
      <c r="A875" s="10" t="s">
        <v>528</v>
      </c>
      <c r="B875" s="10" t="s">
        <v>1649</v>
      </c>
      <c r="C875" s="10" t="s">
        <v>1567</v>
      </c>
    </row>
    <row r="876" ht="15.75" customHeight="1">
      <c r="A876" s="10" t="s">
        <v>1343</v>
      </c>
      <c r="B876" s="10" t="s">
        <v>1650</v>
      </c>
      <c r="C876" s="10" t="s">
        <v>1651</v>
      </c>
    </row>
    <row r="877" ht="15.75" customHeight="1">
      <c r="A877" s="10" t="s">
        <v>1343</v>
      </c>
      <c r="B877" s="10" t="s">
        <v>1652</v>
      </c>
      <c r="C877" s="10" t="s">
        <v>1653</v>
      </c>
    </row>
    <row r="878" ht="15.75" customHeight="1">
      <c r="A878" s="10" t="s">
        <v>739</v>
      </c>
      <c r="B878" s="10" t="s">
        <v>1654</v>
      </c>
      <c r="C878" s="10" t="s">
        <v>1567</v>
      </c>
    </row>
    <row r="879" ht="15.75" customHeight="1">
      <c r="A879" s="10" t="s">
        <v>16</v>
      </c>
      <c r="B879" s="10" t="s">
        <v>1655</v>
      </c>
      <c r="C879" s="10" t="s">
        <v>1656</v>
      </c>
    </row>
    <row r="880" ht="15.75" customHeight="1">
      <c r="A880" s="10" t="s">
        <v>522</v>
      </c>
      <c r="B880" s="10" t="s">
        <v>1657</v>
      </c>
      <c r="C880" s="10" t="s">
        <v>4</v>
      </c>
    </row>
    <row r="881" ht="15.75" customHeight="1">
      <c r="A881" s="10" t="s">
        <v>739</v>
      </c>
      <c r="B881" s="10" t="s">
        <v>1658</v>
      </c>
      <c r="C881" s="10" t="s">
        <v>1567</v>
      </c>
    </row>
    <row r="882" ht="15.75" customHeight="1">
      <c r="A882" s="10" t="s">
        <v>739</v>
      </c>
      <c r="B882" s="10" t="s">
        <v>1654</v>
      </c>
      <c r="C882" s="10" t="s">
        <v>1567</v>
      </c>
    </row>
    <row r="883" ht="15.75" customHeight="1">
      <c r="A883" s="10" t="s">
        <v>739</v>
      </c>
      <c r="B883" s="10" t="s">
        <v>1659</v>
      </c>
      <c r="C883" s="10" t="s">
        <v>1567</v>
      </c>
    </row>
    <row r="884" ht="15.75" customHeight="1">
      <c r="A884" s="10" t="s">
        <v>2</v>
      </c>
      <c r="B884" s="10" t="s">
        <v>1660</v>
      </c>
      <c r="C884" s="10" t="s">
        <v>1661</v>
      </c>
    </row>
    <row r="885" ht="15.75" customHeight="1">
      <c r="A885" s="10" t="s">
        <v>2</v>
      </c>
      <c r="B885" s="10" t="s">
        <v>1662</v>
      </c>
      <c r="C885" s="10" t="s">
        <v>1663</v>
      </c>
    </row>
    <row r="886" ht="15.75" customHeight="1">
      <c r="A886" s="10" t="s">
        <v>2</v>
      </c>
      <c r="B886" s="10" t="s">
        <v>1664</v>
      </c>
      <c r="C886" s="10" t="s">
        <v>1665</v>
      </c>
    </row>
    <row r="887" ht="15.75" customHeight="1">
      <c r="A887" s="10" t="s">
        <v>2</v>
      </c>
      <c r="B887" s="10" t="s">
        <v>1666</v>
      </c>
      <c r="C887" s="10" t="s">
        <v>1667</v>
      </c>
    </row>
    <row r="888" ht="15.75" customHeight="1">
      <c r="A888" s="10" t="s">
        <v>2</v>
      </c>
      <c r="B888" s="10" t="s">
        <v>1668</v>
      </c>
      <c r="C888" s="10" t="s">
        <v>1669</v>
      </c>
    </row>
    <row r="889" ht="15.75" customHeight="1">
      <c r="A889" s="10" t="s">
        <v>2</v>
      </c>
      <c r="B889" s="10" t="s">
        <v>1670</v>
      </c>
      <c r="C889" s="10" t="s">
        <v>1671</v>
      </c>
    </row>
    <row r="890" ht="15.75" customHeight="1">
      <c r="A890" s="10" t="s">
        <v>2</v>
      </c>
      <c r="B890" s="10" t="s">
        <v>1672</v>
      </c>
      <c r="C890" s="10" t="s">
        <v>1673</v>
      </c>
    </row>
    <row r="891" ht="15.75" customHeight="1">
      <c r="A891" s="10" t="s">
        <v>2</v>
      </c>
      <c r="B891" s="10" t="s">
        <v>1674</v>
      </c>
      <c r="C891" s="10" t="s">
        <v>1675</v>
      </c>
    </row>
    <row r="892" ht="15.75" customHeight="1">
      <c r="A892" s="10" t="s">
        <v>2</v>
      </c>
      <c r="B892" s="10" t="s">
        <v>1676</v>
      </c>
      <c r="C892" s="10" t="s">
        <v>1677</v>
      </c>
    </row>
    <row r="893" ht="15.75" customHeight="1">
      <c r="A893" s="10" t="s">
        <v>739</v>
      </c>
      <c r="B893" s="10" t="s">
        <v>1678</v>
      </c>
      <c r="C893" s="10" t="s">
        <v>1679</v>
      </c>
    </row>
    <row r="894" ht="15.75" customHeight="1">
      <c r="A894" s="10" t="s">
        <v>16</v>
      </c>
      <c r="B894" s="10" t="s">
        <v>1680</v>
      </c>
      <c r="C894" s="10" t="s">
        <v>1681</v>
      </c>
    </row>
    <row r="895" ht="15.75" customHeight="1">
      <c r="A895" s="10" t="s">
        <v>101</v>
      </c>
      <c r="B895" s="10" t="s">
        <v>1682</v>
      </c>
      <c r="C895" s="10" t="s">
        <v>1683</v>
      </c>
    </row>
    <row r="896" ht="15.75" customHeight="1">
      <c r="A896" s="10" t="s">
        <v>1684</v>
      </c>
      <c r="B896" s="10" t="s">
        <v>1685</v>
      </c>
      <c r="C896" s="10" t="s">
        <v>1683</v>
      </c>
    </row>
    <row r="897" ht="15.75" customHeight="1">
      <c r="A897" s="10" t="s">
        <v>1684</v>
      </c>
      <c r="B897" s="10" t="s">
        <v>1686</v>
      </c>
      <c r="C897" s="10" t="s">
        <v>1683</v>
      </c>
    </row>
    <row r="898" ht="15.75" customHeight="1">
      <c r="A898" s="10" t="s">
        <v>1684</v>
      </c>
      <c r="B898" s="10" t="s">
        <v>1687</v>
      </c>
      <c r="C898" s="10" t="s">
        <v>1683</v>
      </c>
    </row>
    <row r="899" ht="15.75" customHeight="1">
      <c r="A899" s="10" t="s">
        <v>1684</v>
      </c>
      <c r="B899" s="10" t="s">
        <v>1688</v>
      </c>
      <c r="C899" s="10" t="s">
        <v>1683</v>
      </c>
    </row>
    <row r="900" ht="15.75" customHeight="1">
      <c r="A900" s="10" t="s">
        <v>1684</v>
      </c>
      <c r="B900" s="10" t="s">
        <v>1689</v>
      </c>
      <c r="C900" s="10" t="s">
        <v>1683</v>
      </c>
    </row>
    <row r="901" ht="15.75" customHeight="1">
      <c r="A901" s="10" t="s">
        <v>1684</v>
      </c>
      <c r="B901" s="10" t="s">
        <v>1690</v>
      </c>
      <c r="C901" s="10" t="s">
        <v>1683</v>
      </c>
    </row>
    <row r="902" ht="15.75" customHeight="1">
      <c r="A902" s="10" t="s">
        <v>1684</v>
      </c>
      <c r="B902" s="10" t="s">
        <v>1691</v>
      </c>
      <c r="C902" s="10" t="s">
        <v>1683</v>
      </c>
    </row>
    <row r="903" ht="15.75" customHeight="1">
      <c r="A903" s="10" t="s">
        <v>1684</v>
      </c>
      <c r="B903" s="10" t="s">
        <v>1692</v>
      </c>
      <c r="C903" s="10" t="s">
        <v>1683</v>
      </c>
    </row>
    <row r="904" ht="15.75" customHeight="1">
      <c r="A904" s="10" t="s">
        <v>1684</v>
      </c>
      <c r="B904" s="10" t="s">
        <v>1693</v>
      </c>
      <c r="C904" s="10" t="s">
        <v>1683</v>
      </c>
    </row>
    <row r="905" ht="15.75" customHeight="1">
      <c r="A905" s="10" t="s">
        <v>1684</v>
      </c>
      <c r="B905" s="10" t="s">
        <v>1694</v>
      </c>
      <c r="C905" s="10" t="s">
        <v>1683</v>
      </c>
    </row>
    <row r="906" ht="15.75" customHeight="1">
      <c r="A906" s="10" t="s">
        <v>1684</v>
      </c>
      <c r="B906" s="10" t="s">
        <v>1695</v>
      </c>
      <c r="C906" s="10" t="s">
        <v>1683</v>
      </c>
    </row>
    <row r="907" ht="15.75" customHeight="1">
      <c r="A907" s="10" t="s">
        <v>1684</v>
      </c>
      <c r="B907" s="10" t="s">
        <v>1696</v>
      </c>
      <c r="C907" s="10" t="s">
        <v>1683</v>
      </c>
    </row>
    <row r="908" ht="15.75" customHeight="1">
      <c r="A908" s="10" t="s">
        <v>1684</v>
      </c>
      <c r="B908" s="10" t="s">
        <v>1697</v>
      </c>
      <c r="C908" s="10" t="s">
        <v>1683</v>
      </c>
    </row>
    <row r="909" ht="15.75" customHeight="1">
      <c r="A909" s="10" t="s">
        <v>1684</v>
      </c>
      <c r="B909" s="10" t="s">
        <v>1698</v>
      </c>
      <c r="C909" s="10" t="s">
        <v>1683</v>
      </c>
    </row>
    <row r="910" ht="15.75" customHeight="1">
      <c r="A910" s="10" t="s">
        <v>1684</v>
      </c>
      <c r="B910" s="10" t="s">
        <v>1699</v>
      </c>
      <c r="C910" s="10" t="s">
        <v>1683</v>
      </c>
    </row>
    <row r="911" ht="15.75" customHeight="1">
      <c r="A911" s="10" t="s">
        <v>1684</v>
      </c>
      <c r="B911" s="10" t="s">
        <v>1700</v>
      </c>
      <c r="C911" s="10" t="s">
        <v>1683</v>
      </c>
    </row>
    <row r="912" ht="15.75" customHeight="1">
      <c r="A912" s="10" t="s">
        <v>2</v>
      </c>
      <c r="B912" s="10" t="s">
        <v>1701</v>
      </c>
      <c r="C912" s="10" t="s">
        <v>1683</v>
      </c>
    </row>
    <row r="913" ht="15.75" customHeight="1">
      <c r="A913" s="10" t="s">
        <v>739</v>
      </c>
      <c r="B913" s="10" t="s">
        <v>1702</v>
      </c>
      <c r="C913" s="10" t="s">
        <v>1683</v>
      </c>
    </row>
    <row r="914" ht="15.75" customHeight="1">
      <c r="A914" s="10" t="s">
        <v>101</v>
      </c>
      <c r="B914" s="10" t="s">
        <v>1703</v>
      </c>
      <c r="C914" s="10" t="s">
        <v>1567</v>
      </c>
    </row>
    <row r="915" ht="15.75" customHeight="1">
      <c r="A915" s="10" t="s">
        <v>101</v>
      </c>
      <c r="B915" s="10" t="s">
        <v>1704</v>
      </c>
      <c r="C915" s="10" t="s">
        <v>1567</v>
      </c>
    </row>
    <row r="916" ht="15.75" customHeight="1">
      <c r="A916" s="10" t="s">
        <v>101</v>
      </c>
      <c r="B916" s="10" t="s">
        <v>1705</v>
      </c>
      <c r="C916" s="10" t="s">
        <v>1567</v>
      </c>
    </row>
    <row r="917" ht="15.75" customHeight="1">
      <c r="A917" s="10" t="s">
        <v>101</v>
      </c>
      <c r="B917" s="10" t="s">
        <v>1706</v>
      </c>
      <c r="C917" s="10" t="s">
        <v>1567</v>
      </c>
    </row>
    <row r="918" ht="15.75" customHeight="1">
      <c r="A918" s="10" t="s">
        <v>16</v>
      </c>
      <c r="B918" s="10" t="s">
        <v>1707</v>
      </c>
      <c r="C918" s="10" t="s">
        <v>1708</v>
      </c>
    </row>
    <row r="919" ht="15.75" customHeight="1">
      <c r="A919" s="10" t="s">
        <v>16</v>
      </c>
      <c r="B919" s="10" t="s">
        <v>1709</v>
      </c>
      <c r="C919" s="10" t="s">
        <v>1710</v>
      </c>
    </row>
    <row r="920" ht="15.75" customHeight="1">
      <c r="A920" s="10" t="s">
        <v>101</v>
      </c>
      <c r="B920" s="10" t="s">
        <v>1711</v>
      </c>
      <c r="C920" s="10" t="s">
        <v>1712</v>
      </c>
    </row>
    <row r="921" ht="15.75" customHeight="1">
      <c r="A921" s="10" t="s">
        <v>101</v>
      </c>
      <c r="B921" s="10" t="s">
        <v>1713</v>
      </c>
      <c r="C921" s="10" t="s">
        <v>1714</v>
      </c>
    </row>
    <row r="922" ht="15.75" customHeight="1">
      <c r="A922" s="10" t="s">
        <v>1159</v>
      </c>
      <c r="B922" s="10" t="s">
        <v>1715</v>
      </c>
      <c r="C922" s="10" t="s">
        <v>1716</v>
      </c>
    </row>
    <row r="923" ht="15.75" customHeight="1">
      <c r="A923" s="10" t="s">
        <v>1159</v>
      </c>
      <c r="B923" s="10" t="s">
        <v>1717</v>
      </c>
      <c r="C923" s="10" t="s">
        <v>1718</v>
      </c>
    </row>
    <row r="924" ht="15.75" customHeight="1">
      <c r="A924" s="10" t="s">
        <v>1159</v>
      </c>
      <c r="B924" s="10" t="s">
        <v>1719</v>
      </c>
      <c r="C924" s="10" t="s">
        <v>4</v>
      </c>
    </row>
    <row r="925" ht="15.75" customHeight="1">
      <c r="A925" s="10" t="s">
        <v>16</v>
      </c>
      <c r="B925" s="10" t="s">
        <v>1720</v>
      </c>
      <c r="C925" s="10" t="s">
        <v>1721</v>
      </c>
    </row>
    <row r="926" ht="15.75" customHeight="1">
      <c r="A926" s="10" t="s">
        <v>1326</v>
      </c>
      <c r="B926" s="10" t="s">
        <v>1722</v>
      </c>
      <c r="C926" s="10" t="s">
        <v>1723</v>
      </c>
    </row>
    <row r="927" ht="15.75" customHeight="1">
      <c r="A927" s="10" t="s">
        <v>1326</v>
      </c>
      <c r="B927" s="10" t="s">
        <v>1724</v>
      </c>
      <c r="C927" s="10" t="s">
        <v>1725</v>
      </c>
    </row>
    <row r="928" ht="15.75" customHeight="1">
      <c r="A928" s="10" t="s">
        <v>101</v>
      </c>
      <c r="B928" s="10" t="s">
        <v>1726</v>
      </c>
      <c r="C928" s="10" t="s">
        <v>1727</v>
      </c>
    </row>
    <row r="929" ht="15.75" customHeight="1">
      <c r="A929" s="10" t="s">
        <v>1326</v>
      </c>
      <c r="B929" s="10" t="s">
        <v>1728</v>
      </c>
      <c r="C929" s="10" t="s">
        <v>1729</v>
      </c>
    </row>
    <row r="930" ht="15.75" customHeight="1">
      <c r="A930" s="10" t="s">
        <v>16</v>
      </c>
      <c r="B930" s="10" t="s">
        <v>1730</v>
      </c>
      <c r="C930" s="10" t="s">
        <v>1731</v>
      </c>
    </row>
    <row r="931" ht="15.75" customHeight="1">
      <c r="A931" s="10" t="s">
        <v>65</v>
      </c>
      <c r="B931" s="10" t="s">
        <v>1732</v>
      </c>
      <c r="C931" s="10" t="s">
        <v>1683</v>
      </c>
    </row>
    <row r="932" ht="15.75" customHeight="1">
      <c r="A932" s="10" t="s">
        <v>1159</v>
      </c>
      <c r="B932" s="10" t="s">
        <v>1733</v>
      </c>
      <c r="C932" s="10" t="s">
        <v>1734</v>
      </c>
    </row>
    <row r="933" ht="15.75" customHeight="1">
      <c r="A933" s="10" t="s">
        <v>16</v>
      </c>
      <c r="B933" s="10" t="s">
        <v>1735</v>
      </c>
      <c r="C933" s="10" t="s">
        <v>1736</v>
      </c>
    </row>
    <row r="934" ht="15.75" customHeight="1">
      <c r="A934" s="10" t="s">
        <v>65</v>
      </c>
      <c r="B934" s="10" t="s">
        <v>1737</v>
      </c>
      <c r="C934" s="10" t="s">
        <v>1736</v>
      </c>
    </row>
    <row r="935" ht="15.75" customHeight="1">
      <c r="A935" s="10" t="s">
        <v>65</v>
      </c>
      <c r="B935" s="10" t="s">
        <v>1738</v>
      </c>
      <c r="C935" s="10" t="s">
        <v>1736</v>
      </c>
    </row>
    <row r="936" ht="15.75" customHeight="1">
      <c r="A936" s="10" t="s">
        <v>65</v>
      </c>
      <c r="B936" s="10" t="s">
        <v>1739</v>
      </c>
      <c r="C936" s="10" t="s">
        <v>1736</v>
      </c>
    </row>
    <row r="937" ht="15.75" customHeight="1">
      <c r="A937" s="10" t="s">
        <v>65</v>
      </c>
      <c r="B937" s="10" t="s">
        <v>1740</v>
      </c>
      <c r="C937" s="10" t="s">
        <v>1736</v>
      </c>
    </row>
    <row r="938" ht="15.75" customHeight="1">
      <c r="A938" s="10" t="s">
        <v>65</v>
      </c>
      <c r="B938" s="10" t="s">
        <v>1741</v>
      </c>
      <c r="C938" s="10" t="s">
        <v>1736</v>
      </c>
    </row>
    <row r="939" ht="15.75" customHeight="1">
      <c r="A939" s="10" t="s">
        <v>65</v>
      </c>
      <c r="B939" s="10" t="s">
        <v>1742</v>
      </c>
      <c r="C939" s="10" t="s">
        <v>1736</v>
      </c>
    </row>
    <row r="940" ht="15.75" customHeight="1">
      <c r="A940" s="10" t="s">
        <v>65</v>
      </c>
      <c r="B940" s="10" t="s">
        <v>1743</v>
      </c>
      <c r="C940" s="10" t="s">
        <v>1736</v>
      </c>
    </row>
    <row r="941" ht="15.75" customHeight="1">
      <c r="A941" s="10" t="s">
        <v>153</v>
      </c>
      <c r="B941" s="10" t="s">
        <v>1744</v>
      </c>
      <c r="C941" s="10" t="s">
        <v>1745</v>
      </c>
    </row>
    <row r="942" ht="15.75" customHeight="1">
      <c r="A942" s="10" t="s">
        <v>753</v>
      </c>
      <c r="B942" s="10" t="s">
        <v>1746</v>
      </c>
      <c r="C942" s="10" t="s">
        <v>1747</v>
      </c>
    </row>
    <row r="943" ht="15.75" customHeight="1">
      <c r="A943" s="10" t="s">
        <v>2</v>
      </c>
      <c r="B943" s="10" t="s">
        <v>1676</v>
      </c>
      <c r="C943" s="10" t="s">
        <v>1736</v>
      </c>
    </row>
    <row r="944" ht="15.75" customHeight="1">
      <c r="A944" s="10" t="s">
        <v>2</v>
      </c>
      <c r="B944" s="10" t="s">
        <v>1748</v>
      </c>
      <c r="C944" s="10" t="s">
        <v>1736</v>
      </c>
    </row>
    <row r="945" ht="15.75" customHeight="1">
      <c r="A945" s="10" t="s">
        <v>2</v>
      </c>
      <c r="B945" s="10" t="s">
        <v>1749</v>
      </c>
      <c r="C945" s="10" t="s">
        <v>1736</v>
      </c>
    </row>
    <row r="946" ht="15.75" customHeight="1">
      <c r="A946" s="10" t="s">
        <v>213</v>
      </c>
      <c r="B946" s="10" t="s">
        <v>1750</v>
      </c>
      <c r="C946" s="10" t="s">
        <v>4</v>
      </c>
    </row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1" t="s">
        <v>1751</v>
      </c>
      <c r="B1" s="2"/>
      <c r="C1" s="3"/>
    </row>
    <row r="2" ht="15.75" customHeight="1">
      <c r="A2" s="12"/>
      <c r="B2" s="12"/>
      <c r="C2" s="12"/>
    </row>
    <row r="3" ht="15.75" customHeight="1">
      <c r="A3" s="5" t="s">
        <v>1752</v>
      </c>
      <c r="B3" s="10" t="s">
        <v>1753</v>
      </c>
      <c r="C3" s="12"/>
    </row>
    <row r="4" ht="15.75" customHeight="1">
      <c r="A4" s="13" t="s">
        <v>1754</v>
      </c>
      <c r="B4" s="8" t="s">
        <v>1755</v>
      </c>
      <c r="C4" s="12"/>
    </row>
    <row r="5" ht="15.75" customHeight="1">
      <c r="A5" s="14"/>
      <c r="B5" s="12"/>
      <c r="C5" s="12"/>
    </row>
    <row r="6" ht="15.75" customHeight="1">
      <c r="A6" s="14"/>
      <c r="B6" s="12"/>
      <c r="C6" s="12"/>
    </row>
    <row r="7" ht="15.75" customHeight="1">
      <c r="A7" s="14"/>
      <c r="B7" s="12"/>
      <c r="C7" s="12"/>
    </row>
    <row r="8" ht="15.75" customHeight="1">
      <c r="A8" s="14"/>
      <c r="B8" s="12"/>
      <c r="C8" s="12"/>
    </row>
    <row r="9" ht="15.75" customHeight="1">
      <c r="A9" s="14"/>
      <c r="B9" s="12"/>
      <c r="C9" s="12"/>
    </row>
    <row r="10" ht="15.75" customHeight="1">
      <c r="A10" s="14"/>
      <c r="B10" s="12"/>
      <c r="C10" s="12"/>
    </row>
    <row r="11" ht="15.75" customHeight="1">
      <c r="A11" s="14"/>
      <c r="B11" s="12"/>
      <c r="C11" s="12"/>
    </row>
    <row r="12" ht="15.75" customHeight="1">
      <c r="A12" s="14"/>
      <c r="B12" s="12"/>
      <c r="C12" s="12"/>
    </row>
    <row r="13" ht="15.75" customHeight="1">
      <c r="A13" s="14"/>
      <c r="B13" s="12"/>
      <c r="C13" s="12"/>
    </row>
    <row r="14" ht="15.75" customHeight="1">
      <c r="A14" s="14"/>
      <c r="B14" s="12"/>
      <c r="C14" s="12"/>
    </row>
    <row r="15" ht="15.75" customHeight="1">
      <c r="A15" s="14"/>
      <c r="B15" s="12"/>
      <c r="C15" s="12"/>
    </row>
    <row r="16" ht="15.75" customHeight="1">
      <c r="A16" s="14"/>
      <c r="B16" s="12"/>
      <c r="C16" s="12"/>
    </row>
    <row r="17" ht="15.75" customHeight="1">
      <c r="A17" s="14"/>
      <c r="B17" s="12"/>
      <c r="C17" s="12"/>
    </row>
    <row r="18" ht="15.75" customHeight="1">
      <c r="A18" s="14"/>
      <c r="B18" s="12"/>
      <c r="C18" s="12"/>
    </row>
    <row r="19" ht="15.75" customHeight="1">
      <c r="A19" s="14"/>
      <c r="B19" s="12"/>
      <c r="C19" s="12"/>
    </row>
    <row r="20" ht="15.75" customHeight="1">
      <c r="A20" s="14"/>
      <c r="B20" s="12"/>
      <c r="C20" s="12"/>
    </row>
    <row r="21" ht="15.75" customHeight="1">
      <c r="A21" s="14"/>
      <c r="B21" s="12"/>
      <c r="C21" s="12"/>
    </row>
    <row r="22" ht="15.75" customHeight="1">
      <c r="A22" s="14"/>
      <c r="B22" s="12"/>
      <c r="C22" s="12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1756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3" t="s">
        <v>1757</v>
      </c>
      <c r="B3" s="16" t="s">
        <v>1758</v>
      </c>
      <c r="C3" s="16" t="s">
        <v>1759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1760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21" t="str">
        <f> VLOOKUP($E$3,'_MasterData'!B4:D1000,3,FALSE)</f>
        <v>#N/A</v>
      </c>
      <c r="K2" s="21"/>
      <c r="L2" s="12"/>
      <c r="M2" s="12"/>
      <c r="N2" s="12"/>
      <c r="O2" s="12"/>
    </row>
    <row r="3" ht="15.75" customHeight="1">
      <c r="A3" s="22"/>
      <c r="B3" s="5" t="s">
        <v>1757</v>
      </c>
      <c r="C3" s="23" t="s">
        <v>101</v>
      </c>
      <c r="D3" s="5" t="s">
        <v>1758</v>
      </c>
      <c r="E3" s="23" t="s">
        <v>1257</v>
      </c>
      <c r="F3" s="5" t="s">
        <v>1761</v>
      </c>
      <c r="G3" s="14" t="s">
        <v>1762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8" t="s">
        <v>1763</v>
      </c>
      <c r="C5" s="28" t="s">
        <v>1764</v>
      </c>
      <c r="D5" s="28" t="s">
        <v>1765</v>
      </c>
      <c r="E5" s="28" t="s">
        <v>1766</v>
      </c>
      <c r="F5" s="28" t="s">
        <v>1767</v>
      </c>
      <c r="G5" s="28" t="s">
        <v>1768</v>
      </c>
      <c r="H5" s="28" t="s">
        <v>1769</v>
      </c>
      <c r="I5" s="28" t="s">
        <v>1770</v>
      </c>
      <c r="J5" s="28" t="s">
        <v>1771</v>
      </c>
      <c r="K5" s="28" t="s">
        <v>1772</v>
      </c>
      <c r="L5" s="28" t="s">
        <v>1773</v>
      </c>
      <c r="M5" s="28" t="s">
        <v>1774</v>
      </c>
      <c r="N5" s="28" t="s">
        <v>1775</v>
      </c>
      <c r="O5" s="28" t="s">
        <v>1776</v>
      </c>
      <c r="P5" s="28" t="s">
        <v>1777</v>
      </c>
      <c r="Q5" s="28" t="s">
        <v>1778</v>
      </c>
      <c r="R5" s="28" t="s">
        <v>1779</v>
      </c>
      <c r="S5" s="28" t="s">
        <v>1780</v>
      </c>
      <c r="T5" s="29" t="s">
        <v>1781</v>
      </c>
      <c r="U5" s="29" t="s">
        <v>1782</v>
      </c>
      <c r="V5" s="29" t="s">
        <v>1783</v>
      </c>
      <c r="W5" s="29" t="s">
        <v>1784</v>
      </c>
      <c r="X5" s="29" t="s">
        <v>1785</v>
      </c>
      <c r="Y5" s="29" t="s">
        <v>1786</v>
      </c>
      <c r="Z5" s="29" t="s">
        <v>1787</v>
      </c>
      <c r="AA5" s="29" t="s">
        <v>1788</v>
      </c>
      <c r="AB5" s="29" t="s">
        <v>1789</v>
      </c>
      <c r="AC5" s="29" t="s">
        <v>1790</v>
      </c>
      <c r="AD5" s="29" t="s">
        <v>1791</v>
      </c>
      <c r="AE5" s="29" t="s">
        <v>1792</v>
      </c>
      <c r="AF5" s="29" t="s">
        <v>1793</v>
      </c>
      <c r="AG5" s="29" t="s">
        <v>1794</v>
      </c>
      <c r="AH5" s="29" t="s">
        <v>1795</v>
      </c>
      <c r="AI5" s="29" t="s">
        <v>1639</v>
      </c>
      <c r="AJ5" s="29" t="s">
        <v>1796</v>
      </c>
      <c r="AK5" s="29" t="s">
        <v>1797</v>
      </c>
      <c r="AL5" s="29" t="s">
        <v>1798</v>
      </c>
      <c r="AM5" s="29" t="s">
        <v>1799</v>
      </c>
      <c r="AN5" s="29" t="s">
        <v>1800</v>
      </c>
      <c r="AO5" s="29" t="s">
        <v>1801</v>
      </c>
      <c r="AP5" s="29" t="s">
        <v>1802</v>
      </c>
      <c r="AQ5" s="29" t="s">
        <v>1803</v>
      </c>
      <c r="AR5" s="29" t="s">
        <v>1804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 t="s">
        <v>1805</v>
      </c>
      <c r="C6" s="8">
        <v>100.0</v>
      </c>
      <c r="D6" s="8">
        <v>2.0</v>
      </c>
      <c r="E6" s="31"/>
      <c r="F6" s="12"/>
      <c r="G6" s="8" t="b">
        <v>1</v>
      </c>
      <c r="H6" s="12"/>
      <c r="I6" s="12"/>
      <c r="J6" s="12"/>
      <c r="K6" s="12"/>
      <c r="L6" s="12"/>
      <c r="M6" s="12"/>
      <c r="N6" s="12"/>
      <c r="O6" s="12"/>
      <c r="U6" s="10" t="s">
        <v>1806</v>
      </c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1760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21" t="str">
        <f> VLOOKUP($E$3,'_MasterData'!B4:D1000,3,FALSE)</f>
        <v>#N/A</v>
      </c>
      <c r="K2" s="21"/>
      <c r="L2" s="12"/>
      <c r="M2" s="12"/>
      <c r="N2" s="12"/>
      <c r="O2" s="12"/>
    </row>
    <row r="3" ht="15.75" customHeight="1">
      <c r="A3" s="22"/>
      <c r="B3" s="5" t="s">
        <v>1757</v>
      </c>
      <c r="C3" s="23" t="s">
        <v>101</v>
      </c>
      <c r="D3" s="5" t="s">
        <v>1758</v>
      </c>
      <c r="E3" s="23" t="s">
        <v>1615</v>
      </c>
      <c r="F3" s="5" t="s">
        <v>1761</v>
      </c>
      <c r="G3" s="14" t="s">
        <v>1762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8" t="s">
        <v>1807</v>
      </c>
      <c r="C5" s="28" t="s">
        <v>1808</v>
      </c>
      <c r="D5" s="32"/>
      <c r="E5" s="32"/>
      <c r="F5" s="28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 t="s">
        <v>1809</v>
      </c>
      <c r="D6" s="8"/>
      <c r="E6" s="31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VerifyExecutionType!$4:$4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1760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21" t="str">
        <f> VLOOKUP($E$3,'_MasterData'!B4:D1000,3,FALSE)</f>
        <v>#N/A</v>
      </c>
      <c r="K2" s="21"/>
      <c r="L2" s="12"/>
      <c r="M2" s="12"/>
      <c r="N2" s="12"/>
      <c r="O2" s="12"/>
    </row>
    <row r="3" ht="15.75" customHeight="1">
      <c r="A3" s="22"/>
      <c r="B3" s="5" t="s">
        <v>1757</v>
      </c>
      <c r="C3" s="23" t="s">
        <v>101</v>
      </c>
      <c r="D3" s="5" t="s">
        <v>1758</v>
      </c>
      <c r="E3" s="23" t="s">
        <v>1257</v>
      </c>
      <c r="F3" s="5" t="s">
        <v>1761</v>
      </c>
      <c r="G3" s="14" t="s">
        <v>1762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8" t="s">
        <v>1763</v>
      </c>
      <c r="C5" s="28" t="s">
        <v>1764</v>
      </c>
      <c r="D5" s="28" t="s">
        <v>1765</v>
      </c>
      <c r="E5" s="28" t="s">
        <v>1766</v>
      </c>
      <c r="F5" s="28" t="s">
        <v>1767</v>
      </c>
      <c r="G5" s="28" t="s">
        <v>1768</v>
      </c>
      <c r="H5" s="28" t="s">
        <v>1769</v>
      </c>
      <c r="I5" s="28" t="s">
        <v>1770</v>
      </c>
      <c r="J5" s="28" t="s">
        <v>1771</v>
      </c>
      <c r="K5" s="28" t="s">
        <v>1772</v>
      </c>
      <c r="L5" s="28" t="s">
        <v>1773</v>
      </c>
      <c r="M5" s="28" t="s">
        <v>1774</v>
      </c>
      <c r="N5" s="28" t="s">
        <v>1775</v>
      </c>
      <c r="O5" s="28" t="s">
        <v>1776</v>
      </c>
      <c r="P5" s="28" t="s">
        <v>1777</v>
      </c>
      <c r="Q5" s="28" t="s">
        <v>1778</v>
      </c>
      <c r="R5" s="28" t="s">
        <v>1779</v>
      </c>
      <c r="S5" s="28" t="s">
        <v>1780</v>
      </c>
      <c r="T5" s="29" t="s">
        <v>1781</v>
      </c>
      <c r="U5" s="29" t="s">
        <v>1782</v>
      </c>
      <c r="V5" s="29" t="s">
        <v>1783</v>
      </c>
      <c r="W5" s="29" t="s">
        <v>1784</v>
      </c>
      <c r="X5" s="29" t="s">
        <v>1785</v>
      </c>
      <c r="Y5" s="29" t="s">
        <v>1786</v>
      </c>
      <c r="Z5" s="29" t="s">
        <v>1787</v>
      </c>
      <c r="AA5" s="29" t="s">
        <v>1788</v>
      </c>
      <c r="AB5" s="29" t="s">
        <v>1789</v>
      </c>
      <c r="AC5" s="29" t="s">
        <v>1790</v>
      </c>
      <c r="AD5" s="29" t="s">
        <v>1791</v>
      </c>
      <c r="AE5" s="29" t="s">
        <v>1792</v>
      </c>
      <c r="AF5" s="29" t="s">
        <v>1793</v>
      </c>
      <c r="AG5" s="29" t="s">
        <v>1794</v>
      </c>
      <c r="AH5" s="29" t="s">
        <v>1795</v>
      </c>
      <c r="AI5" s="29" t="s">
        <v>1639</v>
      </c>
      <c r="AJ5" s="29" t="s">
        <v>1796</v>
      </c>
      <c r="AK5" s="29" t="s">
        <v>1797</v>
      </c>
      <c r="AL5" s="29" t="s">
        <v>1798</v>
      </c>
      <c r="AM5" s="29" t="s">
        <v>1799</v>
      </c>
      <c r="AN5" s="29" t="s">
        <v>1800</v>
      </c>
      <c r="AO5" s="29" t="s">
        <v>1801</v>
      </c>
      <c r="AP5" s="29" t="s">
        <v>1802</v>
      </c>
      <c r="AQ5" s="29" t="s">
        <v>1803</v>
      </c>
      <c r="AR5" s="29" t="s">
        <v>1804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 t="s">
        <v>1805</v>
      </c>
      <c r="C6" s="8">
        <v>100.0</v>
      </c>
      <c r="D6" s="8">
        <v>2.0</v>
      </c>
      <c r="E6" s="8" t="s">
        <v>1810</v>
      </c>
      <c r="F6" s="12"/>
      <c r="G6" s="8"/>
      <c r="H6" s="12"/>
      <c r="I6" s="12"/>
      <c r="J6" s="8" t="s">
        <v>1811</v>
      </c>
      <c r="K6" s="12"/>
      <c r="L6" s="12"/>
      <c r="M6" s="12"/>
      <c r="N6" s="12"/>
      <c r="O6" s="12"/>
      <c r="U6" s="10" t="s">
        <v>1806</v>
      </c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1760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21" t="str">
        <f> VLOOKUP($E$3,'_MasterData'!B4:D1000,3,FALSE)</f>
        <v>#N/A</v>
      </c>
      <c r="K2" s="21"/>
      <c r="L2" s="12"/>
      <c r="M2" s="12"/>
      <c r="N2" s="12"/>
      <c r="O2" s="12"/>
    </row>
    <row r="3" ht="15.75" customHeight="1">
      <c r="A3" s="22"/>
      <c r="B3" s="5" t="s">
        <v>1757</v>
      </c>
      <c r="C3" s="23" t="s">
        <v>16</v>
      </c>
      <c r="D3" s="5" t="s">
        <v>1758</v>
      </c>
      <c r="E3" s="23" t="s">
        <v>1022</v>
      </c>
      <c r="F3" s="5" t="s">
        <v>1761</v>
      </c>
      <c r="G3" s="14" t="s">
        <v>1762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8" t="s">
        <v>1812</v>
      </c>
      <c r="C5" s="28" t="s">
        <v>1813</v>
      </c>
      <c r="D5" s="28" t="s">
        <v>1814</v>
      </c>
      <c r="E5" s="28" t="s">
        <v>1815</v>
      </c>
      <c r="F5" s="28" t="s">
        <v>1816</v>
      </c>
      <c r="G5" s="28" t="s">
        <v>1817</v>
      </c>
      <c r="H5" s="28" t="s">
        <v>1791</v>
      </c>
      <c r="I5" s="28" t="s">
        <v>1818</v>
      </c>
      <c r="J5" s="28" t="s">
        <v>1819</v>
      </c>
      <c r="K5" s="28" t="s">
        <v>1820</v>
      </c>
      <c r="L5" s="28" t="s">
        <v>1821</v>
      </c>
      <c r="M5" s="28" t="s">
        <v>1822</v>
      </c>
      <c r="N5" s="28" t="s">
        <v>1823</v>
      </c>
      <c r="O5" s="28" t="s">
        <v>1824</v>
      </c>
      <c r="P5" s="28" t="s">
        <v>1825</v>
      </c>
      <c r="Q5" s="28" t="s">
        <v>1826</v>
      </c>
      <c r="R5" s="28" t="s">
        <v>1827</v>
      </c>
      <c r="S5" s="28" t="s">
        <v>1828</v>
      </c>
      <c r="T5" s="29" t="s">
        <v>1829</v>
      </c>
      <c r="U5" s="29" t="s">
        <v>1830</v>
      </c>
      <c r="V5" s="29" t="s">
        <v>1831</v>
      </c>
      <c r="W5" s="29" t="s">
        <v>1832</v>
      </c>
      <c r="X5" s="29" t="s">
        <v>1833</v>
      </c>
      <c r="Y5" s="29" t="s">
        <v>1834</v>
      </c>
      <c r="Z5" s="29" t="s">
        <v>1835</v>
      </c>
      <c r="AA5" s="29" t="s">
        <v>1836</v>
      </c>
      <c r="AB5" s="29" t="s">
        <v>1837</v>
      </c>
      <c r="AC5" s="29" t="s">
        <v>1838</v>
      </c>
      <c r="AD5" s="29" t="s">
        <v>1839</v>
      </c>
      <c r="AE5" s="29" t="s">
        <v>1840</v>
      </c>
      <c r="AF5" s="29" t="s">
        <v>1841</v>
      </c>
      <c r="AG5" s="29" t="s">
        <v>1842</v>
      </c>
      <c r="AH5" s="29" t="s">
        <v>1843</v>
      </c>
      <c r="AI5" s="29" t="s">
        <v>1763</v>
      </c>
      <c r="AJ5" s="29" t="s">
        <v>1844</v>
      </c>
      <c r="AK5" s="29" t="s">
        <v>1845</v>
      </c>
      <c r="AL5" s="29" t="s">
        <v>1846</v>
      </c>
      <c r="AM5" s="29" t="s">
        <v>1847</v>
      </c>
      <c r="AN5" s="29" t="s">
        <v>1848</v>
      </c>
      <c r="AO5" s="29" t="s">
        <v>1849</v>
      </c>
      <c r="AP5" s="29" t="s">
        <v>1850</v>
      </c>
      <c r="AQ5" s="29" t="s">
        <v>1851</v>
      </c>
      <c r="AR5" s="29" t="s">
        <v>1852</v>
      </c>
      <c r="AS5" s="29" t="s">
        <v>1788</v>
      </c>
      <c r="AT5" s="29" t="s">
        <v>1777</v>
      </c>
      <c r="AU5" s="29" t="s">
        <v>1783</v>
      </c>
      <c r="AV5" s="29" t="s">
        <v>1853</v>
      </c>
      <c r="AW5" s="29" t="s">
        <v>1854</v>
      </c>
      <c r="AX5" s="29" t="s">
        <v>1855</v>
      </c>
      <c r="AY5" s="29" t="s">
        <v>1856</v>
      </c>
      <c r="AZ5" s="29" t="s">
        <v>1857</v>
      </c>
      <c r="BA5" s="29" t="s">
        <v>1858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12"/>
      <c r="D6" s="8"/>
      <c r="E6" s="31"/>
      <c r="F6" s="12"/>
      <c r="G6" s="12"/>
      <c r="H6" s="12"/>
      <c r="I6" s="12"/>
      <c r="J6" s="12"/>
      <c r="K6" s="12"/>
      <c r="L6" s="12"/>
      <c r="M6" s="12"/>
      <c r="N6" s="12"/>
      <c r="O6" s="12"/>
      <c r="AI6" s="10" t="s">
        <v>1805</v>
      </c>
      <c r="AJ6" s="10" t="s">
        <v>1811</v>
      </c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1760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21" t="str">
        <f> VLOOKUP($E$3,'_MasterData'!B4:D1000,3,FALSE)</f>
        <v>#N/A</v>
      </c>
      <c r="K2" s="21"/>
      <c r="L2" s="12"/>
      <c r="M2" s="12"/>
      <c r="N2" s="12"/>
      <c r="O2" s="12"/>
    </row>
    <row r="3" ht="15.75" customHeight="1">
      <c r="A3" s="22"/>
      <c r="B3" s="5" t="s">
        <v>1757</v>
      </c>
      <c r="C3" s="23" t="s">
        <v>1859</v>
      </c>
      <c r="D3" s="5" t="s">
        <v>1758</v>
      </c>
      <c r="E3" s="23" t="s">
        <v>1463</v>
      </c>
      <c r="F3" s="5" t="s">
        <v>1761</v>
      </c>
      <c r="G3" s="14" t="s">
        <v>1762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IFERROR(__xludf.DUMMYFUNCTION("IF(C3="""","""",Transpose(IMPORTRANGE('_Settings'!$B$3,C3&amp;""!A4:A1000"")))"),"CheckOpenFinWindowName")</f>
        <v>CheckOpenFinWindowName</v>
      </c>
      <c r="C4" s="25" t="str">
        <f>IFERROR(__xludf.DUMMYFUNCTION("""COMPUTED_VALUE"""),"OpenWindowFromSearch")</f>
        <v>OpenWindowFromSearch</v>
      </c>
      <c r="D4" s="25" t="str">
        <f>IFERROR(__xludf.DUMMYFUNCTION("""COMPUTED_VALUE"""),"VerifyColour")</f>
        <v>VerifyColour</v>
      </c>
      <c r="E4" s="25" t="str">
        <f>IFERROR(__xludf.DUMMYFUNCTION("""COMPUTED_VALUE"""),"OpenReleaseClient")</f>
        <v>OpenReleaseClient</v>
      </c>
      <c r="F4" s="25" t="str">
        <f>IFERROR(__xludf.DUMMYFUNCTION("""COMPUTED_VALUE"""),"ActionOnPageFromSearch")</f>
        <v>ActionOnPageFromSearch</v>
      </c>
      <c r="G4" s="25" t="str">
        <f>IFERROR(__xludf.DUMMYFUNCTION("""COMPUTED_VALUE"""),"SavePageView")</f>
        <v>SavePageView</v>
      </c>
      <c r="H4" s="25" t="str">
        <f>IFERROR(__xludf.DUMMYFUNCTION("""COMPUTED_VALUE"""),"ChangeThemeOnModule")</f>
        <v>ChangeThemeOnModule</v>
      </c>
      <c r="I4" s="25" t="str">
        <f>IFERROR(__xludf.DUMMYFUNCTION("""COMPUTED_VALUE"""),"CloseService")</f>
        <v>CloseService</v>
      </c>
      <c r="J4" s="25" t="str">
        <f>IFERROR(__xludf.DUMMYFUNCTION("""COMPUTED_VALUE"""),"LogOutSamsara")</f>
        <v>LogOutSamsara</v>
      </c>
      <c r="K4" s="25" t="str">
        <f>IFERROR(__xludf.DUMMYFUNCTION("""COMPUTED_VALUE"""),"ResizeEnsure")</f>
        <v>ResizeEnsure</v>
      </c>
      <c r="L4" s="25" t="str">
        <f>IFERROR(__xludf.DUMMYFUNCTION("""COMPUTED_VALUE"""),"VerifyNotification")</f>
        <v>VerifyNotification</v>
      </c>
      <c r="M4" s="25" t="str">
        <f>IFERROR(__xludf.DUMMYFUNCTION("""COMPUTED_VALUE"""),"LockUnlockModule")</f>
        <v>LockUnlockModule</v>
      </c>
      <c r="N4" s="25" t="str">
        <f>IFERROR(__xludf.DUMMYFUNCTION("""COMPUTED_VALUE"""),"OpenModuleFromDock")</f>
        <v>OpenModuleFromDock</v>
      </c>
      <c r="O4" s="25" t="str">
        <f>IFERROR(__xludf.DUMMYFUNCTION("""COMPUTED_VALUE"""),"SavePageRTPNL")</f>
        <v>SavePageRTPNL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8" t="s">
        <v>1860</v>
      </c>
      <c r="C5" s="8" t="s">
        <v>1861</v>
      </c>
      <c r="D5" s="32"/>
      <c r="E5" s="32"/>
      <c r="F5" s="28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1862</v>
      </c>
      <c r="C6" s="8" t="s">
        <v>1863</v>
      </c>
      <c r="D6" s="8"/>
      <c r="E6" s="31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SavePageView!$4:$4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1760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21" t="str">
        <f> VLOOKUP($E$3,'_MasterData'!B4:D1000,3,FALSE)</f>
        <v>#N/A</v>
      </c>
      <c r="K2" s="21"/>
      <c r="L2" s="12"/>
      <c r="M2" s="12"/>
      <c r="N2" s="12"/>
      <c r="O2" s="12"/>
    </row>
    <row r="3" ht="15.75" customHeight="1">
      <c r="A3" s="22"/>
      <c r="B3" s="5" t="s">
        <v>1757</v>
      </c>
      <c r="C3" s="23" t="s">
        <v>1343</v>
      </c>
      <c r="D3" s="5" t="s">
        <v>1758</v>
      </c>
      <c r="E3" s="23" t="s">
        <v>1465</v>
      </c>
      <c r="F3" s="5" t="s">
        <v>1761</v>
      </c>
      <c r="G3" s="14" t="s">
        <v>1762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IFERROR(__xludf.DUMMYFUNCTION("IF(C3="""","""",Transpose(IMPORTRANGE('_Settings'!$B$3,C3&amp;""!A4:A1000"")))"),"CheckOpenFinWindowName")</f>
        <v>CheckOpenFinWindowName</v>
      </c>
      <c r="C4" s="25" t="str">
        <f>IFERROR(__xludf.DUMMYFUNCTION("""COMPUTED_VALUE"""),"OpenWindowFromSearch")</f>
        <v>OpenWindowFromSearch</v>
      </c>
      <c r="D4" s="25" t="str">
        <f>IFERROR(__xludf.DUMMYFUNCTION("""COMPUTED_VALUE"""),"VerifyColour")</f>
        <v>VerifyColour</v>
      </c>
      <c r="E4" s="25" t="str">
        <f>IFERROR(__xludf.DUMMYFUNCTION("""COMPUTED_VALUE"""),"OpenReleaseClient")</f>
        <v>OpenReleaseClient</v>
      </c>
      <c r="F4" s="25" t="str">
        <f>IFERROR(__xludf.DUMMYFUNCTION("""COMPUTED_VALUE"""),"ActionOnPageFromSearch")</f>
        <v>ActionOnPageFromSearch</v>
      </c>
      <c r="G4" s="25" t="str">
        <f>IFERROR(__xludf.DUMMYFUNCTION("""COMPUTED_VALUE"""),"SavePageView")</f>
        <v>SavePageView</v>
      </c>
      <c r="H4" s="25" t="str">
        <f>IFERROR(__xludf.DUMMYFUNCTION("""COMPUTED_VALUE"""),"ChangeThemeOnModule")</f>
        <v>ChangeThemeOnModule</v>
      </c>
      <c r="I4" s="25" t="str">
        <f>IFERROR(__xludf.DUMMYFUNCTION("""COMPUTED_VALUE"""),"CloseService")</f>
        <v>CloseService</v>
      </c>
      <c r="J4" s="25" t="str">
        <f>IFERROR(__xludf.DUMMYFUNCTION("""COMPUTED_VALUE"""),"LogOutSamsara")</f>
        <v>LogOutSamsara</v>
      </c>
      <c r="K4" s="25" t="str">
        <f>IFERROR(__xludf.DUMMYFUNCTION("""COMPUTED_VALUE"""),"ResizeEnsure")</f>
        <v>ResizeEnsure</v>
      </c>
      <c r="L4" s="25" t="str">
        <f>IFERROR(__xludf.DUMMYFUNCTION("""COMPUTED_VALUE"""),"VerifyNotification")</f>
        <v>VerifyNotification</v>
      </c>
      <c r="M4" s="25" t="str">
        <f>IFERROR(__xludf.DUMMYFUNCTION("""COMPUTED_VALUE"""),"LockUnlockModule")</f>
        <v>LockUnlockModule</v>
      </c>
      <c r="N4" s="25" t="str">
        <f>IFERROR(__xludf.DUMMYFUNCTION("""COMPUTED_VALUE"""),"OpenModuleFromDock")</f>
        <v>OpenModuleFromDock</v>
      </c>
      <c r="O4" s="25" t="str">
        <f>IFERROR(__xludf.DUMMYFUNCTION("""COMPUTED_VALUE"""),"SavePageRTPNL")</f>
        <v>SavePageRTPNL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8" t="s">
        <v>1860</v>
      </c>
      <c r="C5" s="34" t="s">
        <v>1864</v>
      </c>
      <c r="D5" s="32"/>
      <c r="E5" s="32"/>
      <c r="F5" s="28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 t="s">
        <v>1863</v>
      </c>
      <c r="C6" s="12"/>
      <c r="D6" s="8"/>
      <c r="E6" s="31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ActionOnPageFromSearch!$4:$4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