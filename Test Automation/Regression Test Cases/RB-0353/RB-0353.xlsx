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SelectAllocatedGroup1" sheetId="14" r:id="rId16"/>
    <sheet state="visible" name="BookOrUpdateSwap1" sheetId="15" r:id="rId17"/>
    <sheet state="visible" name="CustomOrderTT1" sheetId="16" r:id="rId18"/>
    <sheet state="visible" name="PricingInput1" sheetId="17" r:id="rId19"/>
    <sheet state="visible" name="GetDailyCash" sheetId="18" r:id="rId20"/>
    <sheet state="visible" name="UpdateMultipleDailyCash" sheetId="19" r:id="rId21"/>
    <sheet state="visible" name="GetCashTransaction" sheetId="20" r:id="rId22"/>
    <sheet state="visible" name="AddCashTransaction" sheetId="21" r:id="rId23"/>
    <sheet state="visible" name="RunRevaluation" sheetId="22" r:id="rId24"/>
    <sheet state="visible" name="FetchAccountPositions" sheetId="23" r:id="rId25"/>
    <sheet state="visible" name="NavImpactingComponent" sheetId="24" r:id="rId26"/>
    <sheet state="visible" name="AddCash" sheetId="25" r:id="rId27"/>
    <sheet state="visible" name="RunRebalance" sheetId="26" r:id="rId28"/>
    <sheet state="visible" name="RebalanceAcrossSecurities" sheetId="27" r:id="rId29"/>
    <sheet state="visible" name="ModifyRebalance" sheetId="28" r:id="rId30"/>
    <sheet state="visible" name="SendtoStaging" sheetId="29" r:id="rId31"/>
    <sheet state="visible" name="RunRebalance1" sheetId="30" r:id="rId32"/>
    <sheet state="visible" name="SendtoStaging1" sheetId="31" r:id="rId33"/>
    <sheet state="visible" name="RunRebalance2" sheetId="32" r:id="rId34"/>
    <sheet state="visible" name="SendtoStaging2" sheetId="33" r:id="rId35"/>
    <sheet state="visible" name="TradeNewSubOrder" sheetId="34" r:id="rId36"/>
    <sheet state="visible" name="CreateNewSubLiveOrder" sheetId="35" r:id="rId37"/>
    <sheet state="visible" name="TradeNewSubOrder1" sheetId="36" r:id="rId38"/>
    <sheet state="visible" name="CreateNewSubLiveOrder1" sheetId="37" r:id="rId39"/>
    <sheet state="visible" name="SelectTrade" sheetId="38" r:id="rId40"/>
    <sheet state="visible" name="AcknowledgeTrade" sheetId="39" r:id="rId41"/>
    <sheet state="visible" name="ExecuteTrade" sheetId="40" r:id="rId42"/>
    <sheet state="visible" name="SelectTrade1" sheetId="41" r:id="rId43"/>
    <sheet state="visible" name="AcknowledgeTrade1" sheetId="42" r:id="rId44"/>
    <sheet state="visible" name="ExecuteTrade1" sheetId="43" r:id="rId45"/>
    <sheet state="visible" name="CheckAllocatedGroups" sheetId="44" r:id="rId46"/>
    <sheet state="visible" name="CheckPortfolioManagement" sheetId="45" r:id="rId47"/>
  </sheets>
  <definedNames/>
  <calcPr/>
</workbook>
</file>

<file path=xl/sharedStrings.xml><?xml version="1.0" encoding="utf-8"?>
<sst xmlns="http://schemas.openxmlformats.org/spreadsheetml/2006/main" count="797" uniqueCount="137">
  <si>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</si>
  <si>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</si>
  <si>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</si>
  <si>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</si>
  <si>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</si>
  <si>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</si>
  <si>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</si>
  <si>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</si>
  <si>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</si>
  <si>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</si>
  <si>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</si>
  <si>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</si>
  <si>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</si>
  <si>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</si>
  <si>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</si>
  <si>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</si>
  <si>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</si>
  <si>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</si>
  <si>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</si>
  <si>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</si>
  <si>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</si>
  <si>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</si>
  <si>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</si>
  <si>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</si>
  <si>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</si>
  <si>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</si>
  <si>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</si>
  <si>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</si>
  <si>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</si>
  <si>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</si>
  <si>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</si>
  <si>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</si>
  <si>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</si>
  <si>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</si>
  <si>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</si>
  <si>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</si>
  <si>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</si>
  <si>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</si>
  <si>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</si>
  <si>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</si>
  <si>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</si>
  <si>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</si>
  <si>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</si>
  <si>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</si>
  <si>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</si>
  <si>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</si>
  <si>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</si>
  <si>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</si>
  <si>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</si>
  <si>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</si>
  <si>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</si>
  <si>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</si>
  <si>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</si>
  <si>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</si>
  <si>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</si>
  <si>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</si>
  <si>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</si>
  <si>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</si>
  <si>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</si>
  <si>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</si>
  <si>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</si>
  <si>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</si>
  <si>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</si>
  <si>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</si>
  <si>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</si>
  <si>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</si>
  <si>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</si>
  <si>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</si>
  <si>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</si>
  <si>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</si>
  <si>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</si>
  <si>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</si>
  <si>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</si>
  <si>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</si>
  <si>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FetchAccountPositions</t>
  </si>
  <si>
    <t>Real-Time Positions</t>
  </si>
  <si>
    <t>Account</t>
  </si>
  <si>
    <t>Positions</t>
  </si>
  <si>
    <t>NavImpactingComponent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</si>
  <si>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</si>
  <si>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</si>
  <si>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</si>
  <si>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</si>
  <si>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</si>
  <si>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</si>
  <si>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</si>
  <si>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</si>
  <si>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Percentage</t>
  </si>
  <si>
    <t>ModifyRebalance</t>
  </si>
  <si>
    <t>SendtoStaging</t>
  </si>
  <si>
    <t>SellShort</t>
  </si>
  <si>
    <t>Round Down</t>
  </si>
  <si>
    <t>Nearest Round Off</t>
  </si>
  <si>
    <t>Blotter</t>
  </si>
  <si>
    <t>TradeNewSubOrder</t>
  </si>
  <si>
    <t>New</t>
  </si>
  <si>
    <t>CreateNewSubLiveOrder</t>
  </si>
  <si>
    <t>Simulator</t>
  </si>
  <si>
    <t>SelectTrade</t>
  </si>
  <si>
    <t>AcknowledgeTrade</t>
  </si>
  <si>
    <t>ExecuteTrade</t>
  </si>
  <si>
    <t>CheckAllocatedGroups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</si>
  <si>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</si>
  <si>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</si>
  <si>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</si>
  <si>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</si>
  <si>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</si>
  <si>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</si>
  <si>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</si>
  <si>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</si>
  <si>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</si>
  <si>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NYSE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</si>
  <si>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</si>
  <si>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</si>
  <si>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</si>
  <si>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</si>
  <si>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</si>
  <si>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</si>
  <si>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</si>
  <si>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</si>
  <si>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</si>
  <si>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AMAZON.COM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</si>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</sst>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47" Type="http://schemas.openxmlformats.org/officeDocument/2006/relationships/worksheet" Target="worksheets/sheet45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20</v>
      </c>
      <c r="C6" s="35" t="b">
        <v>1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23</v>
      </c>
      <c r="C6" s="33">
        <v>100.0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24</v>
      </c>
      <c r="C7" s="33">
        <v>200.0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25</v>
      </c>
      <c r="C8" s="33">
        <v>400.0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26</v>
      </c>
      <c r="C9" s="33">
        <v>500.0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27</v>
      </c>
      <c r="C10" s="33">
        <v>600.0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28</v>
      </c>
      <c r="C11" s="33">
        <v>300.0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100.0</v>
      </c>
      <c r="D6" s="37">
        <v>26.47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8">
        <f t="shared" ref="Z6:Z15" si="1">TODAY()-1</f>
        <v>45854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31</v>
      </c>
      <c r="F7" s="31"/>
      <c r="G7" s="31"/>
      <c r="H7" s="31"/>
      <c r="I7" s="31"/>
      <c r="J7" s="32" t="s">
        <v>32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8">
        <f t="shared" si="1"/>
        <v>45854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31</v>
      </c>
      <c r="F8" s="31"/>
      <c r="G8" s="31"/>
      <c r="H8" s="31"/>
      <c r="I8" s="31"/>
      <c r="J8" s="32" t="s">
        <v>32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8">
        <f t="shared" si="1"/>
        <v>45854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8">
        <f t="shared" si="1"/>
        <v>45854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31</v>
      </c>
      <c r="F10" s="31"/>
      <c r="G10" s="31"/>
      <c r="H10" s="31"/>
      <c r="I10" s="31"/>
      <c r="J10" s="32" t="s">
        <v>34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8">
        <f t="shared" si="1"/>
        <v>45854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31</v>
      </c>
      <c r="F11" s="31"/>
      <c r="G11" s="31"/>
      <c r="H11" s="31"/>
      <c r="I11" s="31"/>
      <c r="J11" s="32" t="s">
        <v>34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8">
        <f t="shared" si="1"/>
        <v>45854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31</v>
      </c>
      <c r="F12" s="31"/>
      <c r="G12" s="31"/>
      <c r="H12" s="31"/>
      <c r="I12" s="31"/>
      <c r="J12" s="32" t="s">
        <v>32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8">
        <f t="shared" si="1"/>
        <v>45854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20000.0</v>
      </c>
      <c r="D13" s="33">
        <v>5.0</v>
      </c>
      <c r="E13" s="31" t="s">
        <v>31</v>
      </c>
      <c r="F13" s="31"/>
      <c r="G13" s="31"/>
      <c r="H13" s="31"/>
      <c r="I13" s="31"/>
      <c r="J13" s="32" t="s">
        <v>33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8">
        <f t="shared" si="1"/>
        <v>45854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100.0</v>
      </c>
      <c r="D14" s="33">
        <v>8.0</v>
      </c>
      <c r="E14" s="31" t="s">
        <v>31</v>
      </c>
      <c r="F14" s="31"/>
      <c r="G14" s="31"/>
      <c r="H14" s="31"/>
      <c r="I14" s="31"/>
      <c r="J14" s="32" t="s">
        <v>37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8">
        <f t="shared" si="1"/>
        <v>45854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10.0</v>
      </c>
      <c r="D15" s="33">
        <v>5.0</v>
      </c>
      <c r="E15" s="31" t="s">
        <v>31</v>
      </c>
      <c r="F15" s="31"/>
      <c r="G15" s="31"/>
      <c r="H15" s="31"/>
      <c r="I15" s="31"/>
      <c r="J15" s="32" t="s">
        <v>39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8">
        <f t="shared" si="1"/>
        <v>45854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24</v>
      </c>
      <c r="C6" s="33">
        <v>25.0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28</v>
      </c>
      <c r="C7" s="3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>
        <v>1.23456789E8</v>
      </c>
      <c r="C8" s="33">
        <v>25.0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27</v>
      </c>
      <c r="C9" s="33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26</v>
      </c>
      <c r="C10" s="33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25</v>
      </c>
      <c r="C11" s="33">
        <v>30.0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23</v>
      </c>
      <c r="C12" s="33">
        <v>8.0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 t="s">
        <v>35</v>
      </c>
      <c r="C13" s="33">
        <v>5.0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1" t="s">
        <v>36</v>
      </c>
      <c r="C14" s="33">
        <v>25.0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2" t="s">
        <v>38</v>
      </c>
      <c r="C15" s="33">
        <v>15.0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1"/>
      <c r="C16" s="31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1"/>
      <c r="C17" s="31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1"/>
      <c r="C18" s="3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1"/>
      <c r="C19" s="3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>TODAY()-1</f>
        <v>45854</v>
      </c>
      <c r="C6" s="38">
        <f>TODAY()</f>
        <v>45855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44</v>
      </c>
      <c r="C6" s="32" t="s">
        <v>45</v>
      </c>
      <c r="D6" s="34" t="s">
        <v>46</v>
      </c>
      <c r="E6" s="33">
        <v>1.0588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47</v>
      </c>
      <c r="C7" s="32" t="s">
        <v>45</v>
      </c>
      <c r="D7" s="32" t="s">
        <v>48</v>
      </c>
      <c r="E7" s="33">
        <v>1.22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/>
      <c r="C8" s="31"/>
      <c r="D8" s="31"/>
      <c r="E8" s="31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51</v>
      </c>
      <c r="C6" s="38">
        <f>TODAY()-1</f>
        <v>45854</v>
      </c>
      <c r="D6" s="38">
        <f>TODAY()</f>
        <v>45855</v>
      </c>
      <c r="E6" s="31"/>
      <c r="F6" s="31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26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23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50.0</v>
      </c>
      <c r="C6" s="31"/>
      <c r="D6" s="30"/>
      <c r="E6" s="31"/>
      <c r="F6" s="33">
        <v>365.0</v>
      </c>
      <c r="G6" s="31"/>
      <c r="H6" s="33">
        <v>5.0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100.0</v>
      </c>
      <c r="D6" s="37">
        <v>50.0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9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1.0</v>
      </c>
      <c r="D7" s="33">
        <v>50.0</v>
      </c>
      <c r="E7" s="31" t="s">
        <v>31</v>
      </c>
      <c r="F7" s="31"/>
      <c r="G7" s="31"/>
      <c r="H7" s="31"/>
      <c r="I7" s="31"/>
      <c r="J7" s="32" t="s">
        <v>33</v>
      </c>
      <c r="K7" s="31"/>
      <c r="L7" s="31"/>
      <c r="M7" s="31"/>
      <c r="N7" s="39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98.0</v>
      </c>
      <c r="D8" s="33">
        <v>50.0</v>
      </c>
      <c r="E8" s="31" t="s">
        <v>31</v>
      </c>
      <c r="F8" s="31"/>
      <c r="G8" s="31"/>
      <c r="H8" s="31"/>
      <c r="I8" s="31"/>
      <c r="J8" s="32" t="s">
        <v>33</v>
      </c>
      <c r="K8" s="31"/>
      <c r="L8" s="31"/>
      <c r="M8" s="31"/>
      <c r="N8" s="39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10.0</v>
      </c>
      <c r="D9" s="33">
        <v>5.0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9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54</v>
      </c>
      <c r="C6" s="33">
        <v>15.0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55</v>
      </c>
      <c r="C7" s="3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/>
      <c r="C8" s="31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 t="shared" ref="B6:C6" si="1">TODAY()-1</f>
        <v>45854</v>
      </c>
      <c r="C6" s="38">
        <f t="shared" si="1"/>
        <v>45854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58</v>
      </c>
      <c r="C6" s="32" t="s">
        <v>45</v>
      </c>
      <c r="D6" s="12">
        <v>4662.0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58</v>
      </c>
      <c r="C6" s="31" t="s">
        <v>61</v>
      </c>
      <c r="D6" s="40">
        <f t="shared" ref="D6:E6" si="1">TODAY()</f>
        <v>45855</v>
      </c>
      <c r="E6" s="40">
        <f t="shared" si="1"/>
        <v>45855</v>
      </c>
      <c r="F6" s="31"/>
      <c r="G6" s="31" t="s">
        <v>62</v>
      </c>
      <c r="H6" s="31" t="s">
        <v>63</v>
      </c>
      <c r="I6" s="31" t="s">
        <v>62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/>
      <c r="C6" s="31" t="s">
        <v>65</v>
      </c>
      <c r="D6" s="34" t="s">
        <v>66</v>
      </c>
      <c r="E6" s="31" t="s">
        <v>67</v>
      </c>
      <c r="F6" s="32" t="s">
        <v>58</v>
      </c>
      <c r="G6" s="32" t="s">
        <v>45</v>
      </c>
      <c r="H6" s="33">
        <v>1500.0</v>
      </c>
      <c r="I6" s="38">
        <f>TODAY()-1</f>
        <v>45854</v>
      </c>
      <c r="J6" s="38">
        <f>TODAY()+2</f>
        <v>45857</v>
      </c>
      <c r="K6" s="38">
        <f>TODAY()</f>
        <v>45855</v>
      </c>
      <c r="L6" s="31"/>
      <c r="M6" s="41" t="s">
        <v>68</v>
      </c>
      <c r="N6" s="41" t="s">
        <v>45</v>
      </c>
      <c r="O6" s="42">
        <v>1.0</v>
      </c>
      <c r="P6" s="41" t="s">
        <v>69</v>
      </c>
      <c r="Q6" s="43" t="s">
        <v>70</v>
      </c>
    </row>
    <row r="7" ht="15.75" customHeight="1">
      <c r="A7" s="8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72</v>
      </c>
      <c r="C6" s="32" t="s">
        <v>58</v>
      </c>
      <c r="D6" s="38">
        <f>TODAY()</f>
        <v>45855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RunRevaluation!$4:$4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58</v>
      </c>
      <c r="C6" s="44" t="s">
        <v>75</v>
      </c>
      <c r="D6" s="45" t="s">
        <v>76</v>
      </c>
      <c r="E6" s="46" t="s">
        <v>77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58</v>
      </c>
      <c r="C6" s="47">
        <v>50000.0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NavImpactingComponent!$4:$4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50000.0</v>
      </c>
      <c r="C6" s="31" t="s">
        <v>80</v>
      </c>
      <c r="D6" s="34" t="s">
        <v>81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83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85</v>
      </c>
      <c r="C6" s="32" t="s">
        <v>86</v>
      </c>
      <c r="D6" s="37">
        <v>1.0</v>
      </c>
      <c r="E6" s="31"/>
      <c r="F6" s="31"/>
      <c r="G6" s="31"/>
      <c r="H6" s="31"/>
      <c r="I6" s="31"/>
      <c r="J6" s="33">
        <v>10.0</v>
      </c>
      <c r="K6" s="33">
        <v>1.0</v>
      </c>
      <c r="L6" s="32" t="s">
        <v>87</v>
      </c>
      <c r="M6" s="31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8" t="s">
        <v>58</v>
      </c>
      <c r="C6" s="48" t="s">
        <v>32</v>
      </c>
      <c r="D6" s="48" t="s">
        <v>24</v>
      </c>
      <c r="E6" s="49">
        <v>501.0</v>
      </c>
      <c r="F6" s="49">
        <v>25.0</v>
      </c>
      <c r="G6" s="50">
        <v>13261.0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58</v>
      </c>
      <c r="C7" s="48" t="s">
        <v>32</v>
      </c>
      <c r="D7" s="48">
        <v>1.23456789E8</v>
      </c>
      <c r="E7" s="49">
        <v>60063.0</v>
      </c>
      <c r="F7" s="49">
        <v>25.0</v>
      </c>
      <c r="G7" s="50">
        <v>15016.0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58</v>
      </c>
      <c r="C8" s="48" t="s">
        <v>90</v>
      </c>
      <c r="D8" s="48" t="s">
        <v>35</v>
      </c>
      <c r="E8" s="49">
        <v>100105.0</v>
      </c>
      <c r="F8" s="49">
        <v>5.0</v>
      </c>
      <c r="G8" s="50">
        <v>-5005.0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8" t="s">
        <v>58</v>
      </c>
      <c r="C9" s="48" t="s">
        <v>32</v>
      </c>
      <c r="D9" s="48" t="s">
        <v>28</v>
      </c>
      <c r="E9" s="49">
        <v>501.0</v>
      </c>
      <c r="F9" s="49">
        <v>10.0</v>
      </c>
      <c r="G9" s="50">
        <v>5010.0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8" t="s">
        <v>58</v>
      </c>
      <c r="C10" s="48" t="s">
        <v>90</v>
      </c>
      <c r="D10" s="48" t="s">
        <v>27</v>
      </c>
      <c r="E10" s="49">
        <v>51.0</v>
      </c>
      <c r="F10" s="49">
        <v>20.0</v>
      </c>
      <c r="G10" s="50">
        <v>-1020.0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8" t="s">
        <v>58</v>
      </c>
      <c r="C11" s="48" t="s">
        <v>90</v>
      </c>
      <c r="D11" s="48" t="s">
        <v>25</v>
      </c>
      <c r="E11" s="49">
        <v>51.0</v>
      </c>
      <c r="F11" s="49">
        <v>30.0</v>
      </c>
      <c r="G11" s="50">
        <v>-1867.0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8" t="s">
        <v>58</v>
      </c>
      <c r="C12" s="48" t="s">
        <v>90</v>
      </c>
      <c r="D12" s="48" t="s">
        <v>26</v>
      </c>
      <c r="E12" s="49">
        <v>501.0</v>
      </c>
      <c r="F12" s="49">
        <v>10.0</v>
      </c>
      <c r="G12" s="50">
        <v>-5010.0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8" t="s">
        <v>58</v>
      </c>
      <c r="C13" s="48" t="s">
        <v>32</v>
      </c>
      <c r="D13" s="48" t="s">
        <v>23</v>
      </c>
      <c r="E13" s="49">
        <v>501.0</v>
      </c>
      <c r="F13" s="49">
        <v>8.0</v>
      </c>
      <c r="G13" s="50">
        <v>4008.0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8" t="s">
        <v>58</v>
      </c>
      <c r="C14" s="48" t="s">
        <v>32</v>
      </c>
      <c r="D14" s="48" t="s">
        <v>85</v>
      </c>
      <c r="E14" s="49">
        <v>101.0</v>
      </c>
      <c r="F14" s="49">
        <v>10.0</v>
      </c>
      <c r="G14" s="50">
        <v>1010.0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91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8" t="s">
        <v>58</v>
      </c>
      <c r="C6" s="48" t="s">
        <v>32</v>
      </c>
      <c r="D6" s="48" t="s">
        <v>24</v>
      </c>
      <c r="E6" s="49">
        <v>500.0</v>
      </c>
      <c r="F6" s="49">
        <v>25.0</v>
      </c>
      <c r="G6" s="50">
        <v>13235.0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58</v>
      </c>
      <c r="C7" s="48" t="s">
        <v>32</v>
      </c>
      <c r="D7" s="48">
        <v>1.23456789E8</v>
      </c>
      <c r="E7" s="49">
        <v>60062.0</v>
      </c>
      <c r="F7" s="49">
        <v>25.0</v>
      </c>
      <c r="G7" s="50">
        <v>15016.0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58</v>
      </c>
      <c r="C8" s="48" t="s">
        <v>90</v>
      </c>
      <c r="D8" s="48" t="s">
        <v>35</v>
      </c>
      <c r="E8" s="49">
        <v>100104.0</v>
      </c>
      <c r="F8" s="49">
        <v>5.0</v>
      </c>
      <c r="G8" s="50">
        <v>-5005.0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8" t="s">
        <v>58</v>
      </c>
      <c r="C9" s="48" t="s">
        <v>32</v>
      </c>
      <c r="D9" s="48" t="s">
        <v>28</v>
      </c>
      <c r="E9" s="49">
        <v>500.0</v>
      </c>
      <c r="F9" s="49">
        <v>10.0</v>
      </c>
      <c r="G9" s="50">
        <v>5000.0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8" t="s">
        <v>58</v>
      </c>
      <c r="C10" s="48" t="s">
        <v>90</v>
      </c>
      <c r="D10" s="48" t="s">
        <v>27</v>
      </c>
      <c r="E10" s="49">
        <v>50.0</v>
      </c>
      <c r="F10" s="49">
        <v>20.0</v>
      </c>
      <c r="G10" s="50">
        <v>-1000.0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8" t="s">
        <v>58</v>
      </c>
      <c r="C11" s="48" t="s">
        <v>90</v>
      </c>
      <c r="D11" s="48" t="s">
        <v>25</v>
      </c>
      <c r="E11" s="49">
        <v>50.0</v>
      </c>
      <c r="F11" s="49">
        <v>30.0</v>
      </c>
      <c r="G11" s="50">
        <v>-1830.0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8" t="s">
        <v>58</v>
      </c>
      <c r="C12" s="48" t="s">
        <v>90</v>
      </c>
      <c r="D12" s="48" t="s">
        <v>26</v>
      </c>
      <c r="E12" s="49">
        <v>500.0</v>
      </c>
      <c r="F12" s="49">
        <v>10.0</v>
      </c>
      <c r="G12" s="50">
        <v>-5000.0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8" t="s">
        <v>58</v>
      </c>
      <c r="C13" s="48" t="s">
        <v>32</v>
      </c>
      <c r="D13" s="48" t="s">
        <v>23</v>
      </c>
      <c r="E13" s="49">
        <v>500.0</v>
      </c>
      <c r="F13" s="49">
        <v>8.0</v>
      </c>
      <c r="G13" s="50">
        <v>4000.0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8" t="s">
        <v>58</v>
      </c>
      <c r="C14" s="48" t="s">
        <v>32</v>
      </c>
      <c r="D14" s="48" t="s">
        <v>85</v>
      </c>
      <c r="E14" s="49">
        <v>99.0</v>
      </c>
      <c r="F14" s="49">
        <v>10.0</v>
      </c>
      <c r="G14" s="49">
        <v>990.0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51"/>
      <c r="C15" s="51"/>
      <c r="D15" s="51"/>
      <c r="E15" s="51"/>
      <c r="F15" s="51"/>
      <c r="G15" s="51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51"/>
      <c r="C16" s="51"/>
      <c r="D16" s="51"/>
      <c r="E16" s="51"/>
      <c r="F16" s="51"/>
      <c r="G16" s="51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92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8" t="s">
        <v>58</v>
      </c>
      <c r="C6" s="48" t="s">
        <v>32</v>
      </c>
      <c r="D6" s="48" t="s">
        <v>24</v>
      </c>
      <c r="E6" s="49">
        <v>501.0</v>
      </c>
      <c r="F6" s="49">
        <v>25.0</v>
      </c>
      <c r="G6" s="50">
        <v>13261.0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58</v>
      </c>
      <c r="C7" s="48" t="s">
        <v>32</v>
      </c>
      <c r="D7" s="48">
        <v>1.23456789E8</v>
      </c>
      <c r="E7" s="49">
        <v>60063.0</v>
      </c>
      <c r="F7" s="49">
        <v>25.0</v>
      </c>
      <c r="G7" s="50">
        <v>15016.0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58</v>
      </c>
      <c r="C8" s="48" t="s">
        <v>90</v>
      </c>
      <c r="D8" s="48" t="s">
        <v>35</v>
      </c>
      <c r="E8" s="49">
        <v>100105.0</v>
      </c>
      <c r="F8" s="49">
        <v>5.0</v>
      </c>
      <c r="G8" s="50">
        <v>-5005.0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8" t="s">
        <v>58</v>
      </c>
      <c r="C9" s="48" t="s">
        <v>32</v>
      </c>
      <c r="D9" s="48" t="s">
        <v>28</v>
      </c>
      <c r="E9" s="49">
        <v>501.0</v>
      </c>
      <c r="F9" s="49">
        <v>10.0</v>
      </c>
      <c r="G9" s="50">
        <v>5010.0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8" t="s">
        <v>58</v>
      </c>
      <c r="C10" s="48" t="s">
        <v>90</v>
      </c>
      <c r="D10" s="48" t="s">
        <v>27</v>
      </c>
      <c r="E10" s="49">
        <v>50.0</v>
      </c>
      <c r="F10" s="49">
        <v>20.0</v>
      </c>
      <c r="G10" s="50">
        <v>-1000.0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8" t="s">
        <v>58</v>
      </c>
      <c r="C11" s="48" t="s">
        <v>90</v>
      </c>
      <c r="D11" s="48" t="s">
        <v>25</v>
      </c>
      <c r="E11" s="49">
        <v>50.0</v>
      </c>
      <c r="F11" s="49">
        <v>30.0</v>
      </c>
      <c r="G11" s="50">
        <v>-1830.0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8" t="s">
        <v>58</v>
      </c>
      <c r="C12" s="48" t="s">
        <v>90</v>
      </c>
      <c r="D12" s="48" t="s">
        <v>26</v>
      </c>
      <c r="E12" s="49">
        <v>501.0</v>
      </c>
      <c r="F12" s="49">
        <v>10.0</v>
      </c>
      <c r="G12" s="50">
        <v>-5010.0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8" t="s">
        <v>58</v>
      </c>
      <c r="C13" s="48" t="s">
        <v>32</v>
      </c>
      <c r="D13" s="48" t="s">
        <v>23</v>
      </c>
      <c r="E13" s="49">
        <v>501.0</v>
      </c>
      <c r="F13" s="49">
        <v>8.0</v>
      </c>
      <c r="G13" s="50">
        <v>4008.0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8" t="s">
        <v>58</v>
      </c>
      <c r="C14" s="48" t="s">
        <v>32</v>
      </c>
      <c r="D14" s="48" t="s">
        <v>85</v>
      </c>
      <c r="E14" s="49">
        <v>100.0</v>
      </c>
      <c r="F14" s="49">
        <v>10.0</v>
      </c>
      <c r="G14" s="50">
        <v>1000.0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51"/>
      <c r="C15" s="51"/>
      <c r="D15" s="51"/>
      <c r="E15" s="51"/>
      <c r="F15" s="51"/>
      <c r="G15" s="51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51"/>
      <c r="C16" s="51"/>
      <c r="D16" s="51"/>
      <c r="E16" s="51"/>
      <c r="F16" s="51"/>
      <c r="G16" s="51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51"/>
      <c r="C17" s="51"/>
      <c r="D17" s="51"/>
      <c r="E17" s="51"/>
      <c r="F17" s="51"/>
      <c r="G17" s="51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27</v>
      </c>
      <c r="AJ6" s="9" t="s">
        <v>34</v>
      </c>
      <c r="AK6" s="9" t="s">
        <v>95</v>
      </c>
      <c r="AL6" s="9">
        <v>51.0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27</v>
      </c>
      <c r="C6" s="9" t="s">
        <v>34</v>
      </c>
      <c r="D6" s="9" t="s">
        <v>95</v>
      </c>
      <c r="E6" s="9">
        <v>51.0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32</v>
      </c>
      <c r="AK6" s="9" t="s">
        <v>95</v>
      </c>
      <c r="AL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23</v>
      </c>
      <c r="C6" s="9" t="s">
        <v>32</v>
      </c>
      <c r="D6" s="9" t="s">
        <v>95</v>
      </c>
      <c r="E6" s="9">
        <v>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97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27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97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27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97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51.0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97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23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97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23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97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500.0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101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102</v>
      </c>
      <c r="B6" s="34" t="s">
        <v>58</v>
      </c>
      <c r="C6" s="32" t="s">
        <v>103</v>
      </c>
      <c r="D6" s="30"/>
      <c r="E6" s="33">
        <v>51.0</v>
      </c>
      <c r="F6" s="32" t="s">
        <v>104</v>
      </c>
      <c r="G6" s="32" t="s">
        <v>105</v>
      </c>
      <c r="H6" s="33">
        <v>9.0</v>
      </c>
      <c r="I6" s="33">
        <v>0.0</v>
      </c>
      <c r="J6" s="33">
        <v>15.0</v>
      </c>
      <c r="K6" s="33">
        <v>20.0</v>
      </c>
      <c r="L6" s="33">
        <v>20.0</v>
      </c>
      <c r="M6" s="32" t="s">
        <v>106</v>
      </c>
      <c r="N6" s="32" t="s">
        <v>107</v>
      </c>
      <c r="O6" s="32" t="s">
        <v>108</v>
      </c>
      <c r="P6" s="31"/>
      <c r="Q6" s="52">
        <v>2.0</v>
      </c>
      <c r="R6" s="31"/>
      <c r="S6" s="31" t="s">
        <v>109</v>
      </c>
      <c r="T6" s="31"/>
      <c r="U6" s="31"/>
      <c r="V6" s="31" t="s">
        <v>110</v>
      </c>
      <c r="W6" s="52">
        <v>1.0</v>
      </c>
      <c r="X6" s="31"/>
      <c r="Y6" s="31" t="s">
        <v>102</v>
      </c>
      <c r="Z6" s="31" t="s">
        <v>45</v>
      </c>
      <c r="AA6" s="31"/>
      <c r="AB6" s="52">
        <v>1.0</v>
      </c>
      <c r="AC6" s="31"/>
      <c r="AD6" s="31" t="s">
        <v>111</v>
      </c>
      <c r="AE6" s="52">
        <v>51.0</v>
      </c>
      <c r="AF6" s="31" t="s">
        <v>102</v>
      </c>
      <c r="AG6" s="31"/>
      <c r="AH6" s="31" t="s">
        <v>69</v>
      </c>
      <c r="AI6" s="52">
        <v>1.0</v>
      </c>
      <c r="AJ6" s="31" t="s">
        <v>81</v>
      </c>
      <c r="AK6" s="31"/>
      <c r="AL6" s="31"/>
      <c r="AM6" s="31"/>
      <c r="AN6" s="53" t="b">
        <v>0</v>
      </c>
      <c r="AO6" s="31"/>
      <c r="AP6" s="53" t="b">
        <v>0</v>
      </c>
      <c r="AQ6" s="53" t="b">
        <v>0</v>
      </c>
      <c r="AR6" s="53" t="b">
        <v>1</v>
      </c>
      <c r="AS6" s="31"/>
      <c r="AT6" s="52">
        <v>1008.8215</v>
      </c>
      <c r="AU6" s="52">
        <v>1008.8215</v>
      </c>
      <c r="AV6" s="31"/>
      <c r="AW6" s="31"/>
      <c r="AX6" s="31"/>
      <c r="AY6" s="31" t="s">
        <v>112</v>
      </c>
      <c r="AZ6" s="31"/>
      <c r="BA6" s="31"/>
      <c r="BB6" s="31"/>
      <c r="BC6" s="31"/>
      <c r="BD6" s="31" t="s">
        <v>113</v>
      </c>
      <c r="BE6" s="52">
        <v>1020.0</v>
      </c>
      <c r="BF6" s="52">
        <v>1020.0</v>
      </c>
      <c r="BG6" s="31"/>
      <c r="BH6" s="31"/>
      <c r="BI6" s="31"/>
      <c r="BJ6" s="52">
        <v>51.0</v>
      </c>
      <c r="BK6" s="31"/>
      <c r="BL6" s="31" t="s">
        <v>102</v>
      </c>
      <c r="BM6" s="31" t="s">
        <v>45</v>
      </c>
      <c r="BN6" s="31"/>
      <c r="BO6" s="31" t="s">
        <v>34</v>
      </c>
      <c r="BP6" s="31"/>
      <c r="BQ6" s="31"/>
      <c r="BR6" s="52">
        <v>0.1785</v>
      </c>
      <c r="BS6" s="31" t="s">
        <v>114</v>
      </c>
      <c r="BT6" s="31" t="s">
        <v>27</v>
      </c>
      <c r="BU6" s="52">
        <v>2.0</v>
      </c>
      <c r="BV6" s="31"/>
      <c r="BW6" s="52">
        <v>11.1785</v>
      </c>
      <c r="BX6" s="52">
        <v>0.0</v>
      </c>
      <c r="BY6" s="31"/>
      <c r="BZ6" s="31"/>
      <c r="CA6" s="31"/>
      <c r="CB6" s="31"/>
      <c r="CC6" s="31"/>
      <c r="CD6" s="31"/>
      <c r="CE6" s="31"/>
      <c r="CF6" s="31" t="s">
        <v>115</v>
      </c>
      <c r="CG6" s="31"/>
      <c r="CH6" s="31" t="s">
        <v>73</v>
      </c>
      <c r="CI6" s="31" t="s">
        <v>90</v>
      </c>
      <c r="CJ6" s="31"/>
      <c r="CK6" s="31" t="s">
        <v>116</v>
      </c>
      <c r="CL6" s="52">
        <v>1.0</v>
      </c>
      <c r="CM6" s="31" t="s">
        <v>27</v>
      </c>
      <c r="CN6" s="31" t="s">
        <v>117</v>
      </c>
      <c r="CO6" s="31" t="s">
        <v>118</v>
      </c>
      <c r="CP6" s="31" t="s">
        <v>119</v>
      </c>
      <c r="CQ6" s="31"/>
      <c r="CR6" s="31"/>
      <c r="CS6" s="31" t="s">
        <v>102</v>
      </c>
      <c r="CT6" s="31"/>
      <c r="CU6" s="31"/>
      <c r="CV6" s="31"/>
      <c r="CW6" s="52">
        <v>0.0</v>
      </c>
      <c r="CX6" s="31" t="s">
        <v>72</v>
      </c>
      <c r="CY6" s="31" t="s">
        <v>102</v>
      </c>
      <c r="CZ6" s="31" t="s">
        <v>102</v>
      </c>
      <c r="DA6" s="31" t="s">
        <v>102</v>
      </c>
      <c r="DB6" s="31" t="s">
        <v>102</v>
      </c>
      <c r="DC6" s="31" t="s">
        <v>102</v>
      </c>
      <c r="DD6" s="31" t="s">
        <v>102</v>
      </c>
      <c r="DE6" s="31" t="s">
        <v>102</v>
      </c>
      <c r="DF6" s="31" t="s">
        <v>102</v>
      </c>
      <c r="DG6" s="31" t="s">
        <v>102</v>
      </c>
      <c r="DH6" s="31" t="s">
        <v>102</v>
      </c>
      <c r="DI6" s="31" t="s">
        <v>102</v>
      </c>
      <c r="DJ6" s="31" t="s">
        <v>102</v>
      </c>
      <c r="DK6" s="31" t="s">
        <v>102</v>
      </c>
      <c r="DL6" s="31" t="s">
        <v>102</v>
      </c>
      <c r="DM6" s="31" t="s">
        <v>102</v>
      </c>
      <c r="DN6" s="31" t="s">
        <v>102</v>
      </c>
      <c r="DO6" s="31" t="s">
        <v>102</v>
      </c>
      <c r="DP6" s="31" t="s">
        <v>102</v>
      </c>
      <c r="DQ6" s="31" t="s">
        <v>102</v>
      </c>
      <c r="DR6" s="31" t="s">
        <v>102</v>
      </c>
      <c r="DS6" s="31" t="s">
        <v>102</v>
      </c>
      <c r="DT6" s="31" t="s">
        <v>102</v>
      </c>
      <c r="DU6" s="31" t="s">
        <v>102</v>
      </c>
      <c r="DV6" s="31" t="s">
        <v>102</v>
      </c>
      <c r="DW6" s="31" t="s">
        <v>102</v>
      </c>
      <c r="DX6" s="31" t="s">
        <v>102</v>
      </c>
      <c r="DY6" s="31" t="s">
        <v>102</v>
      </c>
      <c r="DZ6" s="31" t="s">
        <v>102</v>
      </c>
      <c r="EA6" s="31" t="s">
        <v>102</v>
      </c>
      <c r="EB6" s="31" t="s">
        <v>102</v>
      </c>
      <c r="EC6" s="31" t="s">
        <v>102</v>
      </c>
      <c r="ED6" s="31" t="s">
        <v>102</v>
      </c>
      <c r="EE6" s="31" t="s">
        <v>102</v>
      </c>
      <c r="EF6" s="31" t="s">
        <v>102</v>
      </c>
      <c r="EG6" s="31" t="s">
        <v>102</v>
      </c>
      <c r="EH6" s="31" t="s">
        <v>102</v>
      </c>
      <c r="EI6" s="31" t="s">
        <v>102</v>
      </c>
      <c r="EJ6" s="31" t="s">
        <v>102</v>
      </c>
      <c r="EK6" s="31" t="s">
        <v>102</v>
      </c>
      <c r="EL6" s="31" t="s">
        <v>102</v>
      </c>
      <c r="EM6" s="31" t="s">
        <v>102</v>
      </c>
      <c r="EN6" s="31" t="s">
        <v>102</v>
      </c>
      <c r="EO6" s="31" t="s">
        <v>102</v>
      </c>
      <c r="EP6" s="31" t="s">
        <v>102</v>
      </c>
      <c r="EQ6" s="31" t="s">
        <v>102</v>
      </c>
      <c r="ER6" s="31" t="s">
        <v>102</v>
      </c>
      <c r="ES6" s="31" t="s">
        <v>102</v>
      </c>
      <c r="ET6" s="31" t="s">
        <v>102</v>
      </c>
      <c r="EU6" s="31" t="s">
        <v>102</v>
      </c>
      <c r="EV6" s="31" t="s">
        <v>102</v>
      </c>
      <c r="EW6" s="31" t="s">
        <v>102</v>
      </c>
      <c r="EX6" s="31" t="s">
        <v>102</v>
      </c>
      <c r="EY6" s="31"/>
      <c r="EZ6" s="31"/>
      <c r="FA6" s="31" t="s">
        <v>102</v>
      </c>
      <c r="FB6" s="31" t="s">
        <v>102</v>
      </c>
      <c r="FC6" s="31" t="s">
        <v>102</v>
      </c>
      <c r="FD6" s="31" t="s">
        <v>102</v>
      </c>
      <c r="FE6" s="31" t="s">
        <v>102</v>
      </c>
      <c r="FF6" s="31" t="s">
        <v>102</v>
      </c>
      <c r="FG6" s="31" t="s">
        <v>102</v>
      </c>
      <c r="FH6" s="31" t="s">
        <v>102</v>
      </c>
      <c r="FI6" s="31" t="s">
        <v>102</v>
      </c>
      <c r="FJ6" s="31"/>
      <c r="FK6" s="31" t="s">
        <v>102</v>
      </c>
      <c r="FL6" s="31" t="s">
        <v>102</v>
      </c>
      <c r="FM6" s="31" t="s">
        <v>102</v>
      </c>
      <c r="FN6" s="31" t="s">
        <v>102</v>
      </c>
      <c r="FO6" s="31" t="s">
        <v>102</v>
      </c>
      <c r="FP6" s="31" t="s">
        <v>102</v>
      </c>
      <c r="FQ6" s="31" t="s">
        <v>102</v>
      </c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  <c r="AMK6" s="54"/>
      <c r="AML6" s="54"/>
    </row>
    <row r="7" ht="15.75" customHeight="1">
      <c r="A7" s="31" t="s">
        <v>102</v>
      </c>
      <c r="B7" s="32" t="s">
        <v>58</v>
      </c>
      <c r="C7" s="32" t="s">
        <v>103</v>
      </c>
      <c r="D7" s="31"/>
      <c r="E7" s="33">
        <v>500.0</v>
      </c>
      <c r="F7" s="32" t="s">
        <v>104</v>
      </c>
      <c r="G7" s="32" t="s">
        <v>105</v>
      </c>
      <c r="H7" s="33">
        <v>4.0</v>
      </c>
      <c r="I7" s="33">
        <v>5.0</v>
      </c>
      <c r="J7" s="33">
        <v>1.0</v>
      </c>
      <c r="K7" s="33">
        <v>20.0</v>
      </c>
      <c r="L7" s="33">
        <v>20.0</v>
      </c>
      <c r="M7" s="32" t="s">
        <v>120</v>
      </c>
      <c r="N7" s="32" t="s">
        <v>107</v>
      </c>
      <c r="O7" s="32" t="s">
        <v>108</v>
      </c>
      <c r="P7" s="31"/>
      <c r="Q7" s="52">
        <v>2.0</v>
      </c>
      <c r="R7" s="31"/>
      <c r="S7" s="31" t="s">
        <v>109</v>
      </c>
      <c r="T7" s="31"/>
      <c r="U7" s="31"/>
      <c r="V7" s="31" t="s">
        <v>121</v>
      </c>
      <c r="W7" s="52">
        <v>1.0</v>
      </c>
      <c r="X7" s="31"/>
      <c r="Y7" s="31" t="s">
        <v>102</v>
      </c>
      <c r="Z7" s="31" t="s">
        <v>45</v>
      </c>
      <c r="AA7" s="31"/>
      <c r="AB7" s="52">
        <v>1.0</v>
      </c>
      <c r="AC7" s="31"/>
      <c r="AD7" s="31" t="s">
        <v>118</v>
      </c>
      <c r="AE7" s="52">
        <v>500.0</v>
      </c>
      <c r="AF7" s="31" t="s">
        <v>102</v>
      </c>
      <c r="AG7" s="31"/>
      <c r="AH7" s="31" t="s">
        <v>69</v>
      </c>
      <c r="AI7" s="52">
        <v>1.0</v>
      </c>
      <c r="AJ7" s="31" t="s">
        <v>81</v>
      </c>
      <c r="AK7" s="31"/>
      <c r="AL7" s="31"/>
      <c r="AM7" s="31"/>
      <c r="AN7" s="53" t="b">
        <v>0</v>
      </c>
      <c r="AO7" s="31"/>
      <c r="AP7" s="53" t="b">
        <v>0</v>
      </c>
      <c r="AQ7" s="53" t="b">
        <v>0</v>
      </c>
      <c r="AR7" s="53" t="b">
        <v>1</v>
      </c>
      <c r="AS7" s="31"/>
      <c r="AT7" s="52">
        <v>10014.0056</v>
      </c>
      <c r="AU7" s="52">
        <v>10014.0056</v>
      </c>
      <c r="AV7" s="31"/>
      <c r="AW7" s="31"/>
      <c r="AX7" s="31"/>
      <c r="AY7" s="31" t="s">
        <v>112</v>
      </c>
      <c r="AZ7" s="31"/>
      <c r="BA7" s="31"/>
      <c r="BB7" s="31"/>
      <c r="BC7" s="31"/>
      <c r="BD7" s="31" t="s">
        <v>113</v>
      </c>
      <c r="BE7" s="52">
        <v>10000.0</v>
      </c>
      <c r="BF7" s="52">
        <v>10000.0</v>
      </c>
      <c r="BG7" s="31"/>
      <c r="BH7" s="31"/>
      <c r="BI7" s="31"/>
      <c r="BJ7" s="52">
        <v>500.0</v>
      </c>
      <c r="BK7" s="31"/>
      <c r="BL7" s="31" t="s">
        <v>102</v>
      </c>
      <c r="BM7" s="31" t="s">
        <v>45</v>
      </c>
      <c r="BN7" s="31"/>
      <c r="BO7" s="31" t="s">
        <v>32</v>
      </c>
      <c r="BP7" s="31"/>
      <c r="BQ7" s="31"/>
      <c r="BR7" s="52">
        <v>0.0056</v>
      </c>
      <c r="BS7" s="31" t="s">
        <v>114</v>
      </c>
      <c r="BT7" s="31" t="s">
        <v>23</v>
      </c>
      <c r="BU7" s="52">
        <v>3.0</v>
      </c>
      <c r="BV7" s="31"/>
      <c r="BW7" s="52">
        <v>14.0056</v>
      </c>
      <c r="BX7" s="52">
        <v>0.0</v>
      </c>
      <c r="BY7" s="31"/>
      <c r="BZ7" s="31"/>
      <c r="CA7" s="31"/>
      <c r="CB7" s="31"/>
      <c r="CC7" s="31"/>
      <c r="CD7" s="31"/>
      <c r="CE7" s="31"/>
      <c r="CF7" s="31" t="s">
        <v>115</v>
      </c>
      <c r="CG7" s="52">
        <v>2.0</v>
      </c>
      <c r="CH7" s="31" t="s">
        <v>73</v>
      </c>
      <c r="CI7" s="31" t="s">
        <v>32</v>
      </c>
      <c r="CJ7" s="31"/>
      <c r="CK7" s="31" t="s">
        <v>116</v>
      </c>
      <c r="CL7" s="52">
        <v>1.0</v>
      </c>
      <c r="CM7" s="31" t="s">
        <v>23</v>
      </c>
      <c r="CN7" s="31" t="s">
        <v>117</v>
      </c>
      <c r="CO7" s="31" t="s">
        <v>118</v>
      </c>
      <c r="CP7" s="31" t="s">
        <v>119</v>
      </c>
      <c r="CQ7" s="31"/>
      <c r="CR7" s="31"/>
      <c r="CS7" s="31" t="s">
        <v>102</v>
      </c>
      <c r="CT7" s="31"/>
      <c r="CU7" s="31"/>
      <c r="CV7" s="31"/>
      <c r="CW7" s="52">
        <v>0.0</v>
      </c>
      <c r="CX7" s="31" t="s">
        <v>72</v>
      </c>
      <c r="CY7" s="31" t="s">
        <v>102</v>
      </c>
      <c r="CZ7" s="31" t="s">
        <v>102</v>
      </c>
      <c r="DA7" s="31" t="s">
        <v>102</v>
      </c>
      <c r="DB7" s="31" t="s">
        <v>102</v>
      </c>
      <c r="DC7" s="31" t="s">
        <v>102</v>
      </c>
      <c r="DD7" s="31" t="s">
        <v>102</v>
      </c>
      <c r="DE7" s="31" t="s">
        <v>102</v>
      </c>
      <c r="DF7" s="31" t="s">
        <v>102</v>
      </c>
      <c r="DG7" s="31" t="s">
        <v>102</v>
      </c>
      <c r="DH7" s="31" t="s">
        <v>102</v>
      </c>
      <c r="DI7" s="31" t="s">
        <v>102</v>
      </c>
      <c r="DJ7" s="31" t="s">
        <v>102</v>
      </c>
      <c r="DK7" s="31" t="s">
        <v>102</v>
      </c>
      <c r="DL7" s="31" t="s">
        <v>102</v>
      </c>
      <c r="DM7" s="31" t="s">
        <v>102</v>
      </c>
      <c r="DN7" s="31" t="s">
        <v>102</v>
      </c>
      <c r="DO7" s="31" t="s">
        <v>102</v>
      </c>
      <c r="DP7" s="31" t="s">
        <v>102</v>
      </c>
      <c r="DQ7" s="31" t="s">
        <v>102</v>
      </c>
      <c r="DR7" s="31" t="s">
        <v>102</v>
      </c>
      <c r="DS7" s="31" t="s">
        <v>102</v>
      </c>
      <c r="DT7" s="31" t="s">
        <v>102</v>
      </c>
      <c r="DU7" s="31" t="s">
        <v>102</v>
      </c>
      <c r="DV7" s="31" t="s">
        <v>102</v>
      </c>
      <c r="DW7" s="31" t="s">
        <v>102</v>
      </c>
      <c r="DX7" s="31" t="s">
        <v>102</v>
      </c>
      <c r="DY7" s="31" t="s">
        <v>102</v>
      </c>
      <c r="DZ7" s="31" t="s">
        <v>102</v>
      </c>
      <c r="EA7" s="31" t="s">
        <v>102</v>
      </c>
      <c r="EB7" s="31" t="s">
        <v>102</v>
      </c>
      <c r="EC7" s="31" t="s">
        <v>102</v>
      </c>
      <c r="ED7" s="31" t="s">
        <v>102</v>
      </c>
      <c r="EE7" s="31" t="s">
        <v>102</v>
      </c>
      <c r="EF7" s="31" t="s">
        <v>102</v>
      </c>
      <c r="EG7" s="31" t="s">
        <v>102</v>
      </c>
      <c r="EH7" s="31" t="s">
        <v>102</v>
      </c>
      <c r="EI7" s="31" t="s">
        <v>102</v>
      </c>
      <c r="EJ7" s="31" t="s">
        <v>102</v>
      </c>
      <c r="EK7" s="31" t="s">
        <v>102</v>
      </c>
      <c r="EL7" s="31" t="s">
        <v>102</v>
      </c>
      <c r="EM7" s="31" t="s">
        <v>102</v>
      </c>
      <c r="EN7" s="31" t="s">
        <v>102</v>
      </c>
      <c r="EO7" s="31" t="s">
        <v>102</v>
      </c>
      <c r="EP7" s="31" t="s">
        <v>102</v>
      </c>
      <c r="EQ7" s="31" t="s">
        <v>102</v>
      </c>
      <c r="ER7" s="31" t="s">
        <v>102</v>
      </c>
      <c r="ES7" s="31" t="s">
        <v>102</v>
      </c>
      <c r="ET7" s="31" t="s">
        <v>102</v>
      </c>
      <c r="EU7" s="31" t="s">
        <v>102</v>
      </c>
      <c r="EV7" s="31" t="s">
        <v>102</v>
      </c>
      <c r="EW7" s="31" t="s">
        <v>102</v>
      </c>
      <c r="EX7" s="31" t="s">
        <v>102</v>
      </c>
      <c r="EY7" s="31"/>
      <c r="EZ7" s="31"/>
      <c r="FA7" s="31" t="s">
        <v>102</v>
      </c>
      <c r="FB7" s="31" t="s">
        <v>102</v>
      </c>
      <c r="FC7" s="31" t="s">
        <v>102</v>
      </c>
      <c r="FD7" s="31" t="s">
        <v>102</v>
      </c>
      <c r="FE7" s="31" t="s">
        <v>102</v>
      </c>
      <c r="FF7" s="31" t="s">
        <v>102</v>
      </c>
      <c r="FG7" s="31" t="s">
        <v>102</v>
      </c>
      <c r="FH7" s="31" t="s">
        <v>102</v>
      </c>
      <c r="FI7" s="31" t="s">
        <v>102</v>
      </c>
      <c r="FJ7" s="31"/>
      <c r="FK7" s="31" t="s">
        <v>102</v>
      </c>
      <c r="FL7" s="31" t="s">
        <v>102</v>
      </c>
      <c r="FM7" s="31" t="s">
        <v>102</v>
      </c>
      <c r="FN7" s="31" t="s">
        <v>102</v>
      </c>
      <c r="FO7" s="31" t="s">
        <v>102</v>
      </c>
      <c r="FP7" s="31" t="s">
        <v>102</v>
      </c>
      <c r="FQ7" s="31" t="s">
        <v>102</v>
      </c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4"/>
      <c r="IH7" s="54"/>
      <c r="II7" s="54"/>
      <c r="IJ7" s="54"/>
      <c r="IK7" s="54"/>
      <c r="IL7" s="54"/>
      <c r="IM7" s="54"/>
      <c r="IN7" s="54"/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54"/>
      <c r="IZ7" s="54"/>
      <c r="JA7" s="54"/>
      <c r="JB7" s="54"/>
      <c r="JC7" s="54"/>
      <c r="JD7" s="54"/>
      <c r="JE7" s="54"/>
      <c r="JF7" s="54"/>
      <c r="JG7" s="54"/>
      <c r="JH7" s="54"/>
      <c r="JI7" s="54"/>
      <c r="JJ7" s="54"/>
      <c r="JK7" s="54"/>
      <c r="JL7" s="54"/>
      <c r="JM7" s="54"/>
      <c r="JN7" s="54"/>
      <c r="JO7" s="54"/>
      <c r="JP7" s="54"/>
      <c r="JQ7" s="54"/>
      <c r="JR7" s="54"/>
      <c r="JS7" s="54"/>
      <c r="JT7" s="54"/>
      <c r="JU7" s="54"/>
      <c r="JV7" s="54"/>
      <c r="JW7" s="54"/>
      <c r="JX7" s="54"/>
      <c r="JY7" s="54"/>
      <c r="JZ7" s="54"/>
      <c r="KA7" s="54"/>
      <c r="KB7" s="54"/>
      <c r="KC7" s="54"/>
      <c r="KD7" s="54"/>
      <c r="KE7" s="54"/>
      <c r="KF7" s="54"/>
      <c r="KG7" s="54"/>
      <c r="KH7" s="54"/>
      <c r="KI7" s="54"/>
      <c r="KJ7" s="54"/>
      <c r="KK7" s="54"/>
      <c r="KL7" s="54"/>
      <c r="KM7" s="54"/>
      <c r="KN7" s="54"/>
      <c r="KO7" s="54"/>
      <c r="KP7" s="54"/>
      <c r="KQ7" s="54"/>
      <c r="KR7" s="54"/>
      <c r="KS7" s="54"/>
      <c r="KT7" s="54"/>
      <c r="KU7" s="54"/>
      <c r="KV7" s="54"/>
      <c r="KW7" s="54"/>
      <c r="KX7" s="54"/>
      <c r="KY7" s="54"/>
      <c r="KZ7" s="54"/>
      <c r="LA7" s="54"/>
      <c r="LB7" s="54"/>
      <c r="LC7" s="54"/>
      <c r="LD7" s="54"/>
      <c r="LE7" s="54"/>
      <c r="LF7" s="54"/>
      <c r="LG7" s="54"/>
      <c r="LH7" s="54"/>
      <c r="LI7" s="54"/>
      <c r="LJ7" s="54"/>
      <c r="LK7" s="54"/>
      <c r="LL7" s="54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/>
      <c r="MN7" s="54"/>
      <c r="MO7" s="54"/>
      <c r="MP7" s="54"/>
      <c r="MQ7" s="54"/>
      <c r="MR7" s="54"/>
      <c r="MS7" s="54"/>
      <c r="MT7" s="54"/>
      <c r="MU7" s="54"/>
      <c r="MV7" s="54"/>
      <c r="MW7" s="54"/>
      <c r="MX7" s="54"/>
      <c r="MY7" s="54"/>
      <c r="MZ7" s="54"/>
      <c r="NA7" s="54"/>
      <c r="NB7" s="54"/>
      <c r="NC7" s="54"/>
      <c r="ND7" s="54"/>
      <c r="NE7" s="54"/>
      <c r="NF7" s="54"/>
      <c r="NG7" s="54"/>
      <c r="NH7" s="54"/>
      <c r="NI7" s="54"/>
      <c r="NJ7" s="54"/>
      <c r="NK7" s="54"/>
      <c r="NL7" s="54"/>
      <c r="NM7" s="54"/>
      <c r="NN7" s="54"/>
      <c r="NO7" s="54"/>
      <c r="NP7" s="54"/>
      <c r="NQ7" s="54"/>
      <c r="NR7" s="54"/>
      <c r="NS7" s="54"/>
      <c r="NT7" s="54"/>
      <c r="NU7" s="54"/>
      <c r="NV7" s="54"/>
      <c r="NW7" s="54"/>
      <c r="NX7" s="54"/>
      <c r="NY7" s="54"/>
      <c r="NZ7" s="54"/>
      <c r="OA7" s="54"/>
      <c r="OB7" s="54"/>
      <c r="OC7" s="54"/>
      <c r="OD7" s="54"/>
      <c r="OE7" s="54"/>
      <c r="OF7" s="54"/>
      <c r="OG7" s="54"/>
      <c r="OH7" s="54"/>
      <c r="OI7" s="54"/>
      <c r="OJ7" s="54"/>
      <c r="OK7" s="54"/>
      <c r="OL7" s="54"/>
      <c r="OM7" s="54"/>
      <c r="ON7" s="54"/>
      <c r="OO7" s="54"/>
      <c r="OP7" s="54"/>
      <c r="OQ7" s="54"/>
      <c r="OR7" s="54"/>
      <c r="OS7" s="54"/>
      <c r="OT7" s="54"/>
      <c r="OU7" s="54"/>
      <c r="OV7" s="54"/>
      <c r="OW7" s="54"/>
      <c r="OX7" s="54"/>
      <c r="OY7" s="54"/>
      <c r="OZ7" s="54"/>
      <c r="PA7" s="54"/>
      <c r="PB7" s="54"/>
      <c r="PC7" s="54"/>
      <c r="PD7" s="54"/>
      <c r="PE7" s="54"/>
      <c r="PF7" s="54"/>
      <c r="PG7" s="54"/>
      <c r="PH7" s="54"/>
      <c r="PI7" s="54"/>
      <c r="PJ7" s="54"/>
      <c r="PK7" s="54"/>
      <c r="PL7" s="54"/>
      <c r="PM7" s="54"/>
      <c r="PN7" s="54"/>
      <c r="PO7" s="54"/>
      <c r="PP7" s="54"/>
      <c r="PQ7" s="54"/>
      <c r="PR7" s="54"/>
      <c r="PS7" s="54"/>
      <c r="PT7" s="54"/>
      <c r="PU7" s="54"/>
      <c r="PV7" s="54"/>
      <c r="PW7" s="54"/>
      <c r="PX7" s="54"/>
      <c r="PY7" s="54"/>
      <c r="PZ7" s="54"/>
      <c r="QA7" s="54"/>
      <c r="QB7" s="54"/>
      <c r="QC7" s="54"/>
      <c r="QD7" s="54"/>
      <c r="QE7" s="54"/>
      <c r="QF7" s="54"/>
      <c r="QG7" s="54"/>
      <c r="QH7" s="54"/>
      <c r="QI7" s="54"/>
      <c r="QJ7" s="54"/>
      <c r="QK7" s="54"/>
      <c r="QL7" s="54"/>
      <c r="QM7" s="54"/>
      <c r="QN7" s="54"/>
      <c r="QO7" s="54"/>
      <c r="QP7" s="54"/>
      <c r="QQ7" s="54"/>
      <c r="QR7" s="54"/>
      <c r="QS7" s="54"/>
      <c r="QT7" s="54"/>
      <c r="QU7" s="54"/>
      <c r="QV7" s="54"/>
      <c r="QW7" s="54"/>
      <c r="QX7" s="54"/>
      <c r="QY7" s="54"/>
      <c r="QZ7" s="54"/>
      <c r="RA7" s="54"/>
      <c r="RB7" s="54"/>
      <c r="RC7" s="54"/>
      <c r="RD7" s="54"/>
      <c r="RE7" s="54"/>
      <c r="RF7" s="54"/>
      <c r="RG7" s="54"/>
      <c r="RH7" s="54"/>
      <c r="RI7" s="54"/>
      <c r="RJ7" s="54"/>
      <c r="RK7" s="54"/>
      <c r="RL7" s="54"/>
      <c r="RM7" s="54"/>
      <c r="RN7" s="54"/>
      <c r="RO7" s="54"/>
      <c r="RP7" s="54"/>
      <c r="RQ7" s="54"/>
      <c r="RR7" s="54"/>
      <c r="RS7" s="54"/>
      <c r="RT7" s="54"/>
      <c r="RU7" s="54"/>
      <c r="RV7" s="54"/>
      <c r="RW7" s="54"/>
      <c r="RX7" s="54"/>
      <c r="RY7" s="54"/>
      <c r="RZ7" s="54"/>
      <c r="SA7" s="54"/>
      <c r="SB7" s="54"/>
      <c r="SC7" s="54"/>
      <c r="SD7" s="54"/>
      <c r="SE7" s="54"/>
      <c r="SF7" s="54"/>
      <c r="SG7" s="54"/>
      <c r="SH7" s="54"/>
      <c r="SI7" s="54"/>
      <c r="SJ7" s="54"/>
      <c r="SK7" s="54"/>
      <c r="SL7" s="54"/>
      <c r="SM7" s="54"/>
      <c r="SN7" s="54"/>
      <c r="SO7" s="54"/>
      <c r="SP7" s="54"/>
      <c r="SQ7" s="54"/>
      <c r="SR7" s="54"/>
      <c r="SS7" s="54"/>
      <c r="ST7" s="54"/>
      <c r="SU7" s="54"/>
      <c r="SV7" s="54"/>
      <c r="SW7" s="54"/>
      <c r="SX7" s="54"/>
      <c r="SY7" s="54"/>
      <c r="SZ7" s="54"/>
      <c r="TA7" s="54"/>
      <c r="TB7" s="54"/>
      <c r="TC7" s="54"/>
      <c r="TD7" s="54"/>
      <c r="TE7" s="54"/>
      <c r="TF7" s="54"/>
      <c r="TG7" s="54"/>
      <c r="TH7" s="54"/>
      <c r="TI7" s="54"/>
      <c r="TJ7" s="54"/>
      <c r="TK7" s="54"/>
      <c r="TL7" s="54"/>
      <c r="TM7" s="54"/>
      <c r="TN7" s="54"/>
      <c r="TO7" s="54"/>
      <c r="TP7" s="54"/>
      <c r="TQ7" s="54"/>
      <c r="TR7" s="54"/>
      <c r="TS7" s="54"/>
      <c r="TT7" s="54"/>
      <c r="TU7" s="54"/>
      <c r="TV7" s="54"/>
      <c r="TW7" s="54"/>
      <c r="TX7" s="54"/>
      <c r="TY7" s="54"/>
      <c r="TZ7" s="54"/>
      <c r="UA7" s="54"/>
      <c r="UB7" s="54"/>
      <c r="UC7" s="54"/>
      <c r="UD7" s="54"/>
      <c r="UE7" s="54"/>
      <c r="UF7" s="54"/>
      <c r="UG7" s="54"/>
      <c r="UH7" s="54"/>
      <c r="UI7" s="54"/>
      <c r="UJ7" s="54"/>
      <c r="UK7" s="54"/>
      <c r="UL7" s="54"/>
      <c r="UM7" s="54"/>
      <c r="UN7" s="54"/>
      <c r="UO7" s="54"/>
      <c r="UP7" s="54"/>
      <c r="UQ7" s="54"/>
      <c r="UR7" s="54"/>
      <c r="US7" s="54"/>
      <c r="UT7" s="54"/>
      <c r="UU7" s="54"/>
      <c r="UV7" s="54"/>
      <c r="UW7" s="54"/>
      <c r="UX7" s="54"/>
      <c r="UY7" s="54"/>
      <c r="UZ7" s="54"/>
      <c r="VA7" s="54"/>
      <c r="VB7" s="54"/>
      <c r="VC7" s="54"/>
      <c r="VD7" s="54"/>
      <c r="VE7" s="54"/>
      <c r="VF7" s="54"/>
      <c r="VG7" s="54"/>
      <c r="VH7" s="54"/>
      <c r="VI7" s="54"/>
      <c r="VJ7" s="54"/>
      <c r="VK7" s="54"/>
      <c r="VL7" s="54"/>
      <c r="VM7" s="54"/>
      <c r="VN7" s="54"/>
      <c r="VO7" s="54"/>
      <c r="VP7" s="54"/>
      <c r="VQ7" s="54"/>
      <c r="VR7" s="54"/>
      <c r="VS7" s="54"/>
      <c r="VT7" s="54"/>
      <c r="VU7" s="54"/>
      <c r="VV7" s="54"/>
      <c r="VW7" s="54"/>
      <c r="VX7" s="54"/>
      <c r="VY7" s="54"/>
      <c r="VZ7" s="54"/>
      <c r="WA7" s="54"/>
      <c r="WB7" s="54"/>
      <c r="WC7" s="54"/>
      <c r="WD7" s="54"/>
      <c r="WE7" s="54"/>
      <c r="WF7" s="54"/>
      <c r="WG7" s="54"/>
      <c r="WH7" s="54"/>
      <c r="WI7" s="54"/>
      <c r="WJ7" s="54"/>
      <c r="WK7" s="54"/>
      <c r="WL7" s="54"/>
      <c r="WM7" s="54"/>
      <c r="WN7" s="54"/>
      <c r="WO7" s="54"/>
      <c r="WP7" s="54"/>
      <c r="WQ7" s="54"/>
      <c r="WR7" s="54"/>
      <c r="WS7" s="54"/>
      <c r="WT7" s="54"/>
      <c r="WU7" s="54"/>
      <c r="WV7" s="54"/>
      <c r="WW7" s="54"/>
      <c r="WX7" s="54"/>
      <c r="WY7" s="54"/>
      <c r="WZ7" s="54"/>
      <c r="XA7" s="54"/>
      <c r="XB7" s="54"/>
      <c r="XC7" s="54"/>
      <c r="XD7" s="54"/>
      <c r="XE7" s="54"/>
      <c r="XF7" s="54"/>
      <c r="XG7" s="54"/>
      <c r="XH7" s="54"/>
      <c r="XI7" s="54"/>
      <c r="XJ7" s="54"/>
      <c r="XK7" s="54"/>
      <c r="XL7" s="54"/>
      <c r="XM7" s="54"/>
      <c r="XN7" s="54"/>
      <c r="XO7" s="54"/>
      <c r="XP7" s="54"/>
      <c r="XQ7" s="54"/>
      <c r="XR7" s="54"/>
      <c r="XS7" s="54"/>
      <c r="XT7" s="54"/>
      <c r="XU7" s="54"/>
      <c r="XV7" s="54"/>
      <c r="XW7" s="54"/>
      <c r="XX7" s="54"/>
      <c r="XY7" s="54"/>
      <c r="XZ7" s="54"/>
      <c r="YA7" s="54"/>
      <c r="YB7" s="54"/>
      <c r="YC7" s="54"/>
      <c r="YD7" s="54"/>
      <c r="YE7" s="54"/>
      <c r="YF7" s="54"/>
      <c r="YG7" s="54"/>
      <c r="YH7" s="54"/>
      <c r="YI7" s="54"/>
      <c r="YJ7" s="54"/>
      <c r="YK7" s="54"/>
      <c r="YL7" s="54"/>
      <c r="YM7" s="54"/>
      <c r="YN7" s="54"/>
      <c r="YO7" s="54"/>
      <c r="YP7" s="54"/>
      <c r="YQ7" s="54"/>
      <c r="YR7" s="54"/>
      <c r="YS7" s="54"/>
      <c r="YT7" s="54"/>
      <c r="YU7" s="54"/>
      <c r="YV7" s="54"/>
      <c r="YW7" s="54"/>
      <c r="YX7" s="54"/>
      <c r="YY7" s="54"/>
      <c r="YZ7" s="54"/>
      <c r="ZA7" s="54"/>
      <c r="ZB7" s="54"/>
      <c r="ZC7" s="54"/>
      <c r="ZD7" s="54"/>
      <c r="ZE7" s="54"/>
      <c r="ZF7" s="54"/>
      <c r="ZG7" s="54"/>
      <c r="ZH7" s="54"/>
      <c r="ZI7" s="54"/>
      <c r="ZJ7" s="54"/>
      <c r="ZK7" s="54"/>
      <c r="ZL7" s="54"/>
      <c r="ZM7" s="54"/>
      <c r="ZN7" s="54"/>
      <c r="ZO7" s="54"/>
      <c r="ZP7" s="54"/>
      <c r="ZQ7" s="54"/>
      <c r="ZR7" s="54"/>
      <c r="ZS7" s="54"/>
      <c r="ZT7" s="54"/>
      <c r="ZU7" s="54"/>
      <c r="ZV7" s="54"/>
      <c r="ZW7" s="54"/>
      <c r="ZX7" s="54"/>
      <c r="ZY7" s="54"/>
      <c r="ZZ7" s="54"/>
      <c r="AAA7" s="54"/>
      <c r="AAB7" s="54"/>
      <c r="AAC7" s="54"/>
      <c r="AAD7" s="54"/>
      <c r="AAE7" s="54"/>
      <c r="AAF7" s="54"/>
      <c r="AAG7" s="54"/>
      <c r="AAH7" s="54"/>
      <c r="AAI7" s="54"/>
      <c r="AAJ7" s="54"/>
      <c r="AAK7" s="54"/>
      <c r="AAL7" s="54"/>
      <c r="AAM7" s="54"/>
      <c r="AAN7" s="54"/>
      <c r="AAO7" s="54"/>
      <c r="AAP7" s="54"/>
      <c r="AAQ7" s="54"/>
      <c r="AAR7" s="54"/>
      <c r="AAS7" s="54"/>
      <c r="AAT7" s="54"/>
      <c r="AAU7" s="54"/>
      <c r="AAV7" s="54"/>
      <c r="AAW7" s="54"/>
      <c r="AAX7" s="54"/>
      <c r="AAY7" s="54"/>
      <c r="AAZ7" s="54"/>
      <c r="ABA7" s="54"/>
      <c r="ABB7" s="54"/>
      <c r="ABC7" s="54"/>
      <c r="ABD7" s="54"/>
      <c r="ABE7" s="54"/>
      <c r="ABF7" s="54"/>
      <c r="ABG7" s="54"/>
      <c r="ABH7" s="54"/>
      <c r="ABI7" s="54"/>
      <c r="ABJ7" s="54"/>
      <c r="ABK7" s="54"/>
      <c r="ABL7" s="54"/>
      <c r="ABM7" s="54"/>
      <c r="ABN7" s="54"/>
      <c r="ABO7" s="54"/>
      <c r="ABP7" s="54"/>
      <c r="ABQ7" s="54"/>
      <c r="ABR7" s="54"/>
      <c r="ABS7" s="54"/>
      <c r="ABT7" s="54"/>
      <c r="ABU7" s="54"/>
      <c r="ABV7" s="54"/>
      <c r="ABW7" s="54"/>
      <c r="ABX7" s="54"/>
      <c r="ABY7" s="54"/>
      <c r="ABZ7" s="54"/>
      <c r="ACA7" s="54"/>
      <c r="ACB7" s="54"/>
      <c r="ACC7" s="54"/>
      <c r="ACD7" s="54"/>
      <c r="ACE7" s="54"/>
      <c r="ACF7" s="54"/>
      <c r="ACG7" s="54"/>
      <c r="ACH7" s="54"/>
      <c r="ACI7" s="54"/>
      <c r="ACJ7" s="54"/>
      <c r="ACK7" s="54"/>
      <c r="ACL7" s="54"/>
      <c r="ACM7" s="54"/>
      <c r="ACN7" s="54"/>
      <c r="ACO7" s="54"/>
      <c r="ACP7" s="54"/>
      <c r="ACQ7" s="54"/>
      <c r="ACR7" s="54"/>
      <c r="ACS7" s="54"/>
      <c r="ACT7" s="54"/>
      <c r="ACU7" s="54"/>
      <c r="ACV7" s="54"/>
      <c r="ACW7" s="54"/>
      <c r="ACX7" s="54"/>
      <c r="ACY7" s="54"/>
      <c r="ACZ7" s="54"/>
      <c r="ADA7" s="54"/>
      <c r="ADB7" s="54"/>
      <c r="ADC7" s="54"/>
      <c r="ADD7" s="54"/>
      <c r="ADE7" s="54"/>
      <c r="ADF7" s="54"/>
      <c r="ADG7" s="54"/>
      <c r="ADH7" s="54"/>
      <c r="ADI7" s="54"/>
      <c r="ADJ7" s="54"/>
      <c r="ADK7" s="54"/>
      <c r="ADL7" s="54"/>
      <c r="ADM7" s="54"/>
      <c r="ADN7" s="54"/>
      <c r="ADO7" s="54"/>
      <c r="ADP7" s="54"/>
      <c r="ADQ7" s="54"/>
      <c r="ADR7" s="54"/>
      <c r="ADS7" s="54"/>
      <c r="ADT7" s="54"/>
      <c r="ADU7" s="54"/>
      <c r="ADV7" s="54"/>
      <c r="ADW7" s="54"/>
      <c r="ADX7" s="54"/>
      <c r="ADY7" s="54"/>
      <c r="ADZ7" s="54"/>
      <c r="AEA7" s="54"/>
      <c r="AEB7" s="54"/>
      <c r="AEC7" s="54"/>
      <c r="AED7" s="54"/>
      <c r="AEE7" s="54"/>
      <c r="AEF7" s="54"/>
      <c r="AEG7" s="54"/>
      <c r="AEH7" s="54"/>
      <c r="AEI7" s="54"/>
      <c r="AEJ7" s="54"/>
      <c r="AEK7" s="54"/>
      <c r="AEL7" s="54"/>
      <c r="AEM7" s="54"/>
      <c r="AEN7" s="54"/>
      <c r="AEO7" s="54"/>
      <c r="AEP7" s="54"/>
      <c r="AEQ7" s="54"/>
      <c r="AER7" s="54"/>
      <c r="AES7" s="54"/>
      <c r="AET7" s="54"/>
      <c r="AEU7" s="54"/>
      <c r="AEV7" s="54"/>
      <c r="AEW7" s="54"/>
      <c r="AEX7" s="54"/>
      <c r="AEY7" s="54"/>
      <c r="AEZ7" s="54"/>
      <c r="AFA7" s="54"/>
      <c r="AFB7" s="54"/>
      <c r="AFC7" s="54"/>
      <c r="AFD7" s="54"/>
      <c r="AFE7" s="54"/>
      <c r="AFF7" s="54"/>
      <c r="AFG7" s="54"/>
      <c r="AFH7" s="54"/>
      <c r="AFI7" s="54"/>
      <c r="AFJ7" s="54"/>
      <c r="AFK7" s="54"/>
      <c r="AFL7" s="54"/>
      <c r="AFM7" s="54"/>
      <c r="AFN7" s="54"/>
      <c r="AFO7" s="54"/>
      <c r="AFP7" s="54"/>
      <c r="AFQ7" s="54"/>
      <c r="AFR7" s="54"/>
      <c r="AFS7" s="54"/>
      <c r="AFT7" s="54"/>
      <c r="AFU7" s="54"/>
      <c r="AFV7" s="54"/>
      <c r="AFW7" s="54"/>
      <c r="AFX7" s="54"/>
      <c r="AFY7" s="54"/>
      <c r="AFZ7" s="54"/>
      <c r="AGA7" s="54"/>
      <c r="AGB7" s="54"/>
      <c r="AGC7" s="54"/>
      <c r="AGD7" s="54"/>
      <c r="AGE7" s="54"/>
      <c r="AGF7" s="54"/>
      <c r="AGG7" s="54"/>
      <c r="AGH7" s="54"/>
      <c r="AGI7" s="54"/>
      <c r="AGJ7" s="54"/>
      <c r="AGK7" s="54"/>
      <c r="AGL7" s="54"/>
      <c r="AGM7" s="54"/>
      <c r="AGN7" s="54"/>
      <c r="AGO7" s="54"/>
      <c r="AGP7" s="54"/>
      <c r="AGQ7" s="54"/>
      <c r="AGR7" s="54"/>
      <c r="AGS7" s="54"/>
      <c r="AGT7" s="54"/>
      <c r="AGU7" s="54"/>
      <c r="AGV7" s="54"/>
      <c r="AGW7" s="54"/>
      <c r="AGX7" s="54"/>
      <c r="AGY7" s="54"/>
      <c r="AGZ7" s="54"/>
      <c r="AHA7" s="54"/>
      <c r="AHB7" s="54"/>
      <c r="AHC7" s="54"/>
      <c r="AHD7" s="54"/>
      <c r="AHE7" s="54"/>
      <c r="AHF7" s="54"/>
      <c r="AHG7" s="54"/>
      <c r="AHH7" s="54"/>
      <c r="AHI7" s="54"/>
      <c r="AHJ7" s="54"/>
      <c r="AHK7" s="54"/>
      <c r="AHL7" s="54"/>
      <c r="AHM7" s="54"/>
      <c r="AHN7" s="54"/>
      <c r="AHO7" s="54"/>
      <c r="AHP7" s="54"/>
      <c r="AHQ7" s="54"/>
      <c r="AHR7" s="54"/>
      <c r="AHS7" s="54"/>
      <c r="AHT7" s="54"/>
      <c r="AHU7" s="54"/>
      <c r="AHV7" s="54"/>
      <c r="AHW7" s="54"/>
      <c r="AHX7" s="54"/>
      <c r="AHY7" s="54"/>
      <c r="AHZ7" s="54"/>
      <c r="AIA7" s="54"/>
      <c r="AIB7" s="54"/>
      <c r="AIC7" s="54"/>
      <c r="AID7" s="54"/>
      <c r="AIE7" s="54"/>
      <c r="AIF7" s="54"/>
      <c r="AIG7" s="54"/>
      <c r="AIH7" s="54"/>
      <c r="AII7" s="54"/>
      <c r="AIJ7" s="54"/>
      <c r="AIK7" s="54"/>
      <c r="AIL7" s="54"/>
      <c r="AIM7" s="54"/>
      <c r="AIN7" s="54"/>
      <c r="AIO7" s="54"/>
      <c r="AIP7" s="54"/>
      <c r="AIQ7" s="54"/>
      <c r="AIR7" s="54"/>
      <c r="AIS7" s="54"/>
      <c r="AIT7" s="54"/>
      <c r="AIU7" s="54"/>
      <c r="AIV7" s="54"/>
      <c r="AIW7" s="54"/>
      <c r="AIX7" s="54"/>
      <c r="AIY7" s="54"/>
      <c r="AIZ7" s="54"/>
      <c r="AJA7" s="54"/>
      <c r="AJB7" s="54"/>
      <c r="AJC7" s="54"/>
      <c r="AJD7" s="54"/>
      <c r="AJE7" s="54"/>
      <c r="AJF7" s="54"/>
      <c r="AJG7" s="54"/>
      <c r="AJH7" s="54"/>
      <c r="AJI7" s="54"/>
      <c r="AJJ7" s="54"/>
      <c r="AJK7" s="54"/>
      <c r="AJL7" s="54"/>
      <c r="AJM7" s="54"/>
      <c r="AJN7" s="54"/>
      <c r="AJO7" s="54"/>
      <c r="AJP7" s="54"/>
      <c r="AJQ7" s="54"/>
      <c r="AJR7" s="54"/>
      <c r="AJS7" s="54"/>
      <c r="AJT7" s="54"/>
      <c r="AJU7" s="54"/>
      <c r="AJV7" s="54"/>
      <c r="AJW7" s="54"/>
      <c r="AJX7" s="54"/>
      <c r="AJY7" s="54"/>
      <c r="AJZ7" s="54"/>
      <c r="AKA7" s="54"/>
      <c r="AKB7" s="54"/>
      <c r="AKC7" s="54"/>
      <c r="AKD7" s="54"/>
      <c r="AKE7" s="54"/>
      <c r="AKF7" s="54"/>
      <c r="AKG7" s="54"/>
      <c r="AKH7" s="54"/>
      <c r="AKI7" s="54"/>
      <c r="AKJ7" s="54"/>
      <c r="AKK7" s="54"/>
      <c r="AKL7" s="54"/>
      <c r="AKM7" s="54"/>
      <c r="AKN7" s="54"/>
      <c r="AKO7" s="54"/>
      <c r="AKP7" s="54"/>
      <c r="AKQ7" s="54"/>
      <c r="AKR7" s="54"/>
      <c r="AKS7" s="54"/>
      <c r="AKT7" s="54"/>
      <c r="AKU7" s="54"/>
      <c r="AKV7" s="54"/>
      <c r="AKW7" s="54"/>
      <c r="AKX7" s="54"/>
      <c r="AKY7" s="54"/>
      <c r="AKZ7" s="54"/>
      <c r="ALA7" s="54"/>
      <c r="ALB7" s="54"/>
      <c r="ALC7" s="54"/>
      <c r="ALD7" s="54"/>
      <c r="ALE7" s="54"/>
      <c r="ALF7" s="54"/>
      <c r="ALG7" s="54"/>
      <c r="ALH7" s="54"/>
      <c r="ALI7" s="54"/>
      <c r="ALJ7" s="54"/>
      <c r="ALK7" s="54"/>
      <c r="ALL7" s="54"/>
      <c r="ALM7" s="54"/>
      <c r="ALN7" s="54"/>
      <c r="ALO7" s="54"/>
      <c r="ALP7" s="54"/>
      <c r="ALQ7" s="54"/>
      <c r="ALR7" s="54"/>
      <c r="ALS7" s="54"/>
      <c r="ALT7" s="54"/>
      <c r="ALU7" s="54"/>
      <c r="ALV7" s="54"/>
      <c r="ALW7" s="54"/>
      <c r="ALX7" s="54"/>
      <c r="ALY7" s="54"/>
      <c r="ALZ7" s="54"/>
      <c r="AMA7" s="54"/>
      <c r="AMB7" s="54"/>
      <c r="AMC7" s="54"/>
      <c r="AMD7" s="54"/>
      <c r="AME7" s="54"/>
      <c r="AMF7" s="54"/>
      <c r="AMG7" s="54"/>
      <c r="AMH7" s="54"/>
      <c r="AMI7" s="54"/>
      <c r="AMJ7" s="54"/>
      <c r="AMK7" s="54"/>
      <c r="AML7" s="54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  <c r="AMK8" s="31"/>
      <c r="AML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122</v>
      </c>
      <c r="D3" s="5" t="s">
        <v>9</v>
      </c>
      <c r="E3" s="22" t="s">
        <v>123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102</v>
      </c>
      <c r="B6" s="30"/>
      <c r="C6" s="32" t="s">
        <v>27</v>
      </c>
      <c r="D6" s="37">
        <v>-51.0</v>
      </c>
      <c r="E6" s="32" t="s">
        <v>58</v>
      </c>
      <c r="F6" s="32" t="s">
        <v>72</v>
      </c>
      <c r="G6" s="33">
        <v>20.0</v>
      </c>
      <c r="H6" s="32" t="s">
        <v>124</v>
      </c>
      <c r="I6" s="33">
        <v>-1020.0</v>
      </c>
      <c r="J6" s="31"/>
      <c r="K6" s="33">
        <v>-1020.0</v>
      </c>
      <c r="L6" s="33">
        <v>1020.0</v>
      </c>
      <c r="M6" s="33">
        <v>1220.0</v>
      </c>
      <c r="N6" s="31"/>
      <c r="O6" s="32" t="s">
        <v>110</v>
      </c>
      <c r="P6" s="31" t="s">
        <v>125</v>
      </c>
      <c r="Q6" s="31"/>
      <c r="R6" s="31" t="s">
        <v>126</v>
      </c>
      <c r="S6" s="31" t="s">
        <v>114</v>
      </c>
      <c r="T6" s="31" t="s">
        <v>105</v>
      </c>
      <c r="U6" s="31" t="s">
        <v>116</v>
      </c>
      <c r="V6" s="31" t="s">
        <v>111</v>
      </c>
      <c r="W6" s="31" t="s">
        <v>45</v>
      </c>
      <c r="X6" s="52">
        <v>1.0</v>
      </c>
      <c r="Y6" s="52">
        <v>1.0</v>
      </c>
      <c r="Z6" s="31"/>
      <c r="AA6" s="31"/>
      <c r="AB6" s="31"/>
      <c r="AC6" s="31"/>
      <c r="AD6" s="52">
        <v>-1020.0</v>
      </c>
      <c r="AE6" s="52">
        <v>-1020.0</v>
      </c>
      <c r="AF6" s="52">
        <v>-51.0</v>
      </c>
      <c r="AG6" s="52">
        <v>-1020.0</v>
      </c>
      <c r="AH6" s="52">
        <v>-1020.0</v>
      </c>
      <c r="AI6" s="52">
        <v>-1020.0</v>
      </c>
      <c r="AJ6" s="55"/>
      <c r="AK6" s="31"/>
      <c r="AL6" s="52">
        <v>1.0</v>
      </c>
      <c r="AM6" s="52">
        <v>1.0</v>
      </c>
      <c r="AN6" s="31" t="s">
        <v>34</v>
      </c>
      <c r="AO6" s="31"/>
      <c r="AP6" s="31" t="s">
        <v>124</v>
      </c>
      <c r="AQ6" s="31" t="s">
        <v>27</v>
      </c>
      <c r="AR6" s="52">
        <v>20.0</v>
      </c>
      <c r="AS6" s="52">
        <v>-1.0</v>
      </c>
      <c r="AT6" s="31"/>
      <c r="AU6" s="31"/>
      <c r="AV6" s="52">
        <v>1.0</v>
      </c>
      <c r="AW6" s="31"/>
      <c r="AX6" s="31"/>
      <c r="AY6" s="31"/>
      <c r="AZ6" s="52">
        <v>-1020.0</v>
      </c>
      <c r="BA6" s="31"/>
      <c r="BB6" s="31"/>
      <c r="BC6" s="52">
        <v>1.0</v>
      </c>
      <c r="BD6" s="52">
        <v>1020.0</v>
      </c>
      <c r="BE6" s="31" t="s">
        <v>105</v>
      </c>
      <c r="BF6" s="31" t="s">
        <v>127</v>
      </c>
      <c r="BG6" s="31" t="s">
        <v>128</v>
      </c>
      <c r="BH6" s="31" t="s">
        <v>125</v>
      </c>
      <c r="BI6" s="31" t="s">
        <v>129</v>
      </c>
      <c r="BJ6" s="31"/>
      <c r="BK6" s="31"/>
      <c r="BL6" s="31"/>
      <c r="BM6" s="31"/>
      <c r="BN6" s="31"/>
      <c r="BO6" s="52">
        <v>1020.0</v>
      </c>
      <c r="BP6" s="31"/>
      <c r="BQ6" s="31" t="s">
        <v>117</v>
      </c>
      <c r="BR6" s="31" t="s">
        <v>108</v>
      </c>
      <c r="BS6" s="31"/>
      <c r="BT6" s="31"/>
      <c r="BU6" s="31" t="s">
        <v>105</v>
      </c>
      <c r="BV6" s="31"/>
      <c r="BW6" s="31"/>
      <c r="BX6" s="52">
        <v>1020.0</v>
      </c>
      <c r="BY6" s="52">
        <v>1020.0</v>
      </c>
      <c r="BZ6" s="52">
        <v>20.0</v>
      </c>
      <c r="CA6" s="52">
        <v>20.0</v>
      </c>
      <c r="CB6" s="31"/>
      <c r="CC6" s="31"/>
      <c r="CD6" s="31"/>
      <c r="CE6" s="31"/>
      <c r="CF6" s="31"/>
      <c r="CG6" s="31"/>
      <c r="CH6" s="31"/>
      <c r="CI6" s="31"/>
      <c r="CJ6" s="31"/>
      <c r="CK6" s="53" t="b">
        <v>0</v>
      </c>
      <c r="CL6" s="31"/>
      <c r="CM6" s="31"/>
      <c r="CN6" s="31"/>
      <c r="CO6" s="31"/>
      <c r="CP6" s="31"/>
      <c r="CQ6" s="31"/>
      <c r="CR6" s="31"/>
      <c r="CS6" s="52">
        <v>20.0</v>
      </c>
      <c r="CT6" s="31"/>
      <c r="CU6" s="31"/>
      <c r="CV6" s="31"/>
      <c r="CW6" s="31"/>
      <c r="CX6" s="31"/>
      <c r="CY6" s="31" t="s">
        <v>130</v>
      </c>
      <c r="CZ6" s="31" t="s">
        <v>131</v>
      </c>
      <c r="DA6" s="52">
        <v>1020.0</v>
      </c>
      <c r="DB6" s="31"/>
      <c r="DC6" s="31"/>
      <c r="DD6" s="52">
        <v>-51.0</v>
      </c>
      <c r="DE6" s="31"/>
      <c r="DF6" s="31"/>
      <c r="DG6" s="31"/>
      <c r="DH6" s="31" t="s">
        <v>125</v>
      </c>
      <c r="DI6" s="31"/>
      <c r="DJ6" s="31" t="s">
        <v>34</v>
      </c>
      <c r="DK6" s="31"/>
      <c r="DL6" s="31"/>
      <c r="DM6" s="52">
        <v>1.0</v>
      </c>
      <c r="DN6" s="52">
        <v>20.0</v>
      </c>
      <c r="DO6" s="31" t="s">
        <v>132</v>
      </c>
      <c r="DP6" s="31" t="s">
        <v>124</v>
      </c>
      <c r="DQ6" s="31" t="s">
        <v>125</v>
      </c>
      <c r="DR6" s="31" t="s">
        <v>133</v>
      </c>
      <c r="DS6" s="31" t="s">
        <v>125</v>
      </c>
      <c r="DT6" s="31" t="s">
        <v>125</v>
      </c>
      <c r="DU6" s="31" t="s">
        <v>125</v>
      </c>
      <c r="DV6" s="31" t="s">
        <v>125</v>
      </c>
      <c r="DW6" s="31" t="s">
        <v>125</v>
      </c>
      <c r="DX6" s="31" t="s">
        <v>125</v>
      </c>
      <c r="DY6" s="31" t="s">
        <v>125</v>
      </c>
      <c r="DZ6" s="31" t="s">
        <v>110</v>
      </c>
      <c r="EA6" s="31" t="s">
        <v>17</v>
      </c>
      <c r="EB6" s="31" t="s">
        <v>125</v>
      </c>
      <c r="EC6" s="31" t="s">
        <v>125</v>
      </c>
      <c r="ED6" s="31" t="s">
        <v>45</v>
      </c>
      <c r="EE6" s="31" t="s">
        <v>17</v>
      </c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  <c r="AMK6" s="54"/>
      <c r="AML6" s="54"/>
    </row>
    <row r="7" ht="15.75" customHeight="1">
      <c r="A7" s="31" t="s">
        <v>102</v>
      </c>
      <c r="B7" s="31"/>
      <c r="C7" s="32" t="s">
        <v>23</v>
      </c>
      <c r="D7" s="33">
        <v>500.0</v>
      </c>
      <c r="E7" s="32" t="s">
        <v>58</v>
      </c>
      <c r="F7" s="32" t="s">
        <v>72</v>
      </c>
      <c r="G7" s="33">
        <v>20.0</v>
      </c>
      <c r="H7" s="32" t="s">
        <v>67</v>
      </c>
      <c r="I7" s="33">
        <v>4000.0</v>
      </c>
      <c r="J7" s="33">
        <v>-150.0</v>
      </c>
      <c r="K7" s="33">
        <v>4000.0</v>
      </c>
      <c r="L7" s="33">
        <v>4000.0</v>
      </c>
      <c r="M7" s="33">
        <v>4800.0</v>
      </c>
      <c r="N7" s="33">
        <v>-6000.0</v>
      </c>
      <c r="O7" s="32" t="s">
        <v>121</v>
      </c>
      <c r="P7" s="31" t="s">
        <v>125</v>
      </c>
      <c r="Q7" s="52">
        <v>-6000.0</v>
      </c>
      <c r="R7" s="31" t="s">
        <v>126</v>
      </c>
      <c r="S7" s="31" t="s">
        <v>114</v>
      </c>
      <c r="T7" s="31" t="s">
        <v>105</v>
      </c>
      <c r="U7" s="31" t="s">
        <v>116</v>
      </c>
      <c r="V7" s="31" t="s">
        <v>118</v>
      </c>
      <c r="W7" s="31" t="s">
        <v>45</v>
      </c>
      <c r="X7" s="52">
        <v>1.0</v>
      </c>
      <c r="Y7" s="52">
        <v>1.0</v>
      </c>
      <c r="Z7" s="31"/>
      <c r="AA7" s="31"/>
      <c r="AB7" s="31"/>
      <c r="AC7" s="31"/>
      <c r="AD7" s="52">
        <v>4000.0</v>
      </c>
      <c r="AE7" s="52">
        <v>4000.0</v>
      </c>
      <c r="AF7" s="52">
        <v>500.0</v>
      </c>
      <c r="AG7" s="52">
        <v>4000.0</v>
      </c>
      <c r="AH7" s="52">
        <v>4000.0</v>
      </c>
      <c r="AI7" s="52">
        <v>4000.0</v>
      </c>
      <c r="AJ7" s="55"/>
      <c r="AK7" s="52">
        <v>-6000.0</v>
      </c>
      <c r="AL7" s="52">
        <v>1.0</v>
      </c>
      <c r="AM7" s="52">
        <v>1.0</v>
      </c>
      <c r="AN7" s="31" t="s">
        <v>32</v>
      </c>
      <c r="AO7" s="31"/>
      <c r="AP7" s="31" t="s">
        <v>67</v>
      </c>
      <c r="AQ7" s="31" t="s">
        <v>23</v>
      </c>
      <c r="AR7" s="52">
        <v>8.0</v>
      </c>
      <c r="AS7" s="52">
        <v>1.0</v>
      </c>
      <c r="AT7" s="31"/>
      <c r="AU7" s="31"/>
      <c r="AV7" s="52">
        <v>1.0</v>
      </c>
      <c r="AW7" s="52">
        <v>-6000.0</v>
      </c>
      <c r="AX7" s="31"/>
      <c r="AY7" s="31"/>
      <c r="AZ7" s="52">
        <v>4000.0</v>
      </c>
      <c r="BA7" s="52">
        <v>-60.0</v>
      </c>
      <c r="BB7" s="31"/>
      <c r="BC7" s="52">
        <v>1.0</v>
      </c>
      <c r="BD7" s="52">
        <v>-10000.0</v>
      </c>
      <c r="BE7" s="31" t="s">
        <v>105</v>
      </c>
      <c r="BF7" s="31" t="s">
        <v>127</v>
      </c>
      <c r="BG7" s="31" t="s">
        <v>134</v>
      </c>
      <c r="BH7" s="31" t="s">
        <v>135</v>
      </c>
      <c r="BI7" s="31" t="s">
        <v>129</v>
      </c>
      <c r="BJ7" s="31"/>
      <c r="BK7" s="31"/>
      <c r="BL7" s="31"/>
      <c r="BM7" s="31"/>
      <c r="BN7" s="31"/>
      <c r="BO7" s="52">
        <v>-10000.0</v>
      </c>
      <c r="BP7" s="31"/>
      <c r="BQ7" s="31" t="s">
        <v>117</v>
      </c>
      <c r="BR7" s="31" t="s">
        <v>108</v>
      </c>
      <c r="BS7" s="31"/>
      <c r="BT7" s="31"/>
      <c r="BU7" s="31" t="s">
        <v>105</v>
      </c>
      <c r="BV7" s="31"/>
      <c r="BW7" s="31"/>
      <c r="BX7" s="52">
        <v>4000.0</v>
      </c>
      <c r="BY7" s="52">
        <v>4000.0</v>
      </c>
      <c r="BZ7" s="52">
        <v>8.0</v>
      </c>
      <c r="CA7" s="52">
        <v>8.0</v>
      </c>
      <c r="CB7" s="31"/>
      <c r="CC7" s="31"/>
      <c r="CD7" s="52">
        <v>-6000.0</v>
      </c>
      <c r="CE7" s="31"/>
      <c r="CF7" s="31"/>
      <c r="CG7" s="52">
        <v>-6000.0</v>
      </c>
      <c r="CH7" s="52">
        <v>-60.0</v>
      </c>
      <c r="CI7" s="31"/>
      <c r="CJ7" s="31"/>
      <c r="CK7" s="53" t="b">
        <v>0</v>
      </c>
      <c r="CL7" s="31"/>
      <c r="CM7" s="31"/>
      <c r="CN7" s="31"/>
      <c r="CO7" s="31"/>
      <c r="CP7" s="31"/>
      <c r="CQ7" s="31"/>
      <c r="CR7" s="31"/>
      <c r="CS7" s="52">
        <v>20.0</v>
      </c>
      <c r="CT7" s="31"/>
      <c r="CU7" s="31"/>
      <c r="CV7" s="31"/>
      <c r="CW7" s="31"/>
      <c r="CX7" s="31"/>
      <c r="CY7" s="31" t="s">
        <v>130</v>
      </c>
      <c r="CZ7" s="31" t="s">
        <v>131</v>
      </c>
      <c r="DA7" s="52">
        <v>4000.0</v>
      </c>
      <c r="DB7" s="52">
        <v>-150.0</v>
      </c>
      <c r="DC7" s="31"/>
      <c r="DD7" s="52">
        <v>500.0</v>
      </c>
      <c r="DE7" s="31"/>
      <c r="DF7" s="31"/>
      <c r="DG7" s="31"/>
      <c r="DH7" s="31" t="s">
        <v>125</v>
      </c>
      <c r="DI7" s="31"/>
      <c r="DJ7" s="31" t="s">
        <v>32</v>
      </c>
      <c r="DK7" s="31"/>
      <c r="DL7" s="31"/>
      <c r="DM7" s="52">
        <v>1.0</v>
      </c>
      <c r="DN7" s="52">
        <v>8.0</v>
      </c>
      <c r="DO7" s="31" t="s">
        <v>136</v>
      </c>
      <c r="DP7" s="31" t="s">
        <v>67</v>
      </c>
      <c r="DQ7" s="31" t="s">
        <v>125</v>
      </c>
      <c r="DR7" s="31" t="s">
        <v>133</v>
      </c>
      <c r="DS7" s="31" t="s">
        <v>125</v>
      </c>
      <c r="DT7" s="31" t="s">
        <v>125</v>
      </c>
      <c r="DU7" s="31" t="s">
        <v>125</v>
      </c>
      <c r="DV7" s="31" t="s">
        <v>125</v>
      </c>
      <c r="DW7" s="31" t="s">
        <v>125</v>
      </c>
      <c r="DX7" s="31" t="s">
        <v>125</v>
      </c>
      <c r="DY7" s="31" t="s">
        <v>125</v>
      </c>
      <c r="DZ7" s="31" t="s">
        <v>121</v>
      </c>
      <c r="EA7" s="31" t="s">
        <v>17</v>
      </c>
      <c r="EB7" s="31" t="s">
        <v>125</v>
      </c>
      <c r="EC7" s="31" t="s">
        <v>125</v>
      </c>
      <c r="ED7" s="31" t="s">
        <v>45</v>
      </c>
      <c r="EE7" s="31" t="s">
        <v>17</v>
      </c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4"/>
      <c r="IH7" s="54"/>
      <c r="II7" s="54"/>
      <c r="IJ7" s="54"/>
      <c r="IK7" s="54"/>
      <c r="IL7" s="54"/>
      <c r="IM7" s="54"/>
      <c r="IN7" s="54"/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54"/>
      <c r="IZ7" s="54"/>
      <c r="JA7" s="54"/>
      <c r="JB7" s="54"/>
      <c r="JC7" s="54"/>
      <c r="JD7" s="54"/>
      <c r="JE7" s="54"/>
      <c r="JF7" s="54"/>
      <c r="JG7" s="54"/>
      <c r="JH7" s="54"/>
      <c r="JI7" s="54"/>
      <c r="JJ7" s="54"/>
      <c r="JK7" s="54"/>
      <c r="JL7" s="54"/>
      <c r="JM7" s="54"/>
      <c r="JN7" s="54"/>
      <c r="JO7" s="54"/>
      <c r="JP7" s="54"/>
      <c r="JQ7" s="54"/>
      <c r="JR7" s="54"/>
      <c r="JS7" s="54"/>
      <c r="JT7" s="54"/>
      <c r="JU7" s="54"/>
      <c r="JV7" s="54"/>
      <c r="JW7" s="54"/>
      <c r="JX7" s="54"/>
      <c r="JY7" s="54"/>
      <c r="JZ7" s="54"/>
      <c r="KA7" s="54"/>
      <c r="KB7" s="54"/>
      <c r="KC7" s="54"/>
      <c r="KD7" s="54"/>
      <c r="KE7" s="54"/>
      <c r="KF7" s="54"/>
      <c r="KG7" s="54"/>
      <c r="KH7" s="54"/>
      <c r="KI7" s="54"/>
      <c r="KJ7" s="54"/>
      <c r="KK7" s="54"/>
      <c r="KL7" s="54"/>
      <c r="KM7" s="54"/>
      <c r="KN7" s="54"/>
      <c r="KO7" s="54"/>
      <c r="KP7" s="54"/>
      <c r="KQ7" s="54"/>
      <c r="KR7" s="54"/>
      <c r="KS7" s="54"/>
      <c r="KT7" s="54"/>
      <c r="KU7" s="54"/>
      <c r="KV7" s="54"/>
      <c r="KW7" s="54"/>
      <c r="KX7" s="54"/>
      <c r="KY7" s="54"/>
      <c r="KZ7" s="54"/>
      <c r="LA7" s="54"/>
      <c r="LB7" s="54"/>
      <c r="LC7" s="54"/>
      <c r="LD7" s="54"/>
      <c r="LE7" s="54"/>
      <c r="LF7" s="54"/>
      <c r="LG7" s="54"/>
      <c r="LH7" s="54"/>
      <c r="LI7" s="54"/>
      <c r="LJ7" s="54"/>
      <c r="LK7" s="54"/>
      <c r="LL7" s="54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/>
      <c r="MN7" s="54"/>
      <c r="MO7" s="54"/>
      <c r="MP7" s="54"/>
      <c r="MQ7" s="54"/>
      <c r="MR7" s="54"/>
      <c r="MS7" s="54"/>
      <c r="MT7" s="54"/>
      <c r="MU7" s="54"/>
      <c r="MV7" s="54"/>
      <c r="MW7" s="54"/>
      <c r="MX7" s="54"/>
      <c r="MY7" s="54"/>
      <c r="MZ7" s="54"/>
      <c r="NA7" s="54"/>
      <c r="NB7" s="54"/>
      <c r="NC7" s="54"/>
      <c r="ND7" s="54"/>
      <c r="NE7" s="54"/>
      <c r="NF7" s="54"/>
      <c r="NG7" s="54"/>
      <c r="NH7" s="54"/>
      <c r="NI7" s="54"/>
      <c r="NJ7" s="54"/>
      <c r="NK7" s="54"/>
      <c r="NL7" s="54"/>
      <c r="NM7" s="54"/>
      <c r="NN7" s="54"/>
      <c r="NO7" s="54"/>
      <c r="NP7" s="54"/>
      <c r="NQ7" s="54"/>
      <c r="NR7" s="54"/>
      <c r="NS7" s="54"/>
      <c r="NT7" s="54"/>
      <c r="NU7" s="54"/>
      <c r="NV7" s="54"/>
      <c r="NW7" s="54"/>
      <c r="NX7" s="54"/>
      <c r="NY7" s="54"/>
      <c r="NZ7" s="54"/>
      <c r="OA7" s="54"/>
      <c r="OB7" s="54"/>
      <c r="OC7" s="54"/>
      <c r="OD7" s="54"/>
      <c r="OE7" s="54"/>
      <c r="OF7" s="54"/>
      <c r="OG7" s="54"/>
      <c r="OH7" s="54"/>
      <c r="OI7" s="54"/>
      <c r="OJ7" s="54"/>
      <c r="OK7" s="54"/>
      <c r="OL7" s="54"/>
      <c r="OM7" s="54"/>
      <c r="ON7" s="54"/>
      <c r="OO7" s="54"/>
      <c r="OP7" s="54"/>
      <c r="OQ7" s="54"/>
      <c r="OR7" s="54"/>
      <c r="OS7" s="54"/>
      <c r="OT7" s="54"/>
      <c r="OU7" s="54"/>
      <c r="OV7" s="54"/>
      <c r="OW7" s="54"/>
      <c r="OX7" s="54"/>
      <c r="OY7" s="54"/>
      <c r="OZ7" s="54"/>
      <c r="PA7" s="54"/>
      <c r="PB7" s="54"/>
      <c r="PC7" s="54"/>
      <c r="PD7" s="54"/>
      <c r="PE7" s="54"/>
      <c r="PF7" s="54"/>
      <c r="PG7" s="54"/>
      <c r="PH7" s="54"/>
      <c r="PI7" s="54"/>
      <c r="PJ7" s="54"/>
      <c r="PK7" s="54"/>
      <c r="PL7" s="54"/>
      <c r="PM7" s="54"/>
      <c r="PN7" s="54"/>
      <c r="PO7" s="54"/>
      <c r="PP7" s="54"/>
      <c r="PQ7" s="54"/>
      <c r="PR7" s="54"/>
      <c r="PS7" s="54"/>
      <c r="PT7" s="54"/>
      <c r="PU7" s="54"/>
      <c r="PV7" s="54"/>
      <c r="PW7" s="54"/>
      <c r="PX7" s="54"/>
      <c r="PY7" s="54"/>
      <c r="PZ7" s="54"/>
      <c r="QA7" s="54"/>
      <c r="QB7" s="54"/>
      <c r="QC7" s="54"/>
      <c r="QD7" s="54"/>
      <c r="QE7" s="54"/>
      <c r="QF7" s="54"/>
      <c r="QG7" s="54"/>
      <c r="QH7" s="54"/>
      <c r="QI7" s="54"/>
      <c r="QJ7" s="54"/>
      <c r="QK7" s="54"/>
      <c r="QL7" s="54"/>
      <c r="QM7" s="54"/>
      <c r="QN7" s="54"/>
      <c r="QO7" s="54"/>
      <c r="QP7" s="54"/>
      <c r="QQ7" s="54"/>
      <c r="QR7" s="54"/>
      <c r="QS7" s="54"/>
      <c r="QT7" s="54"/>
      <c r="QU7" s="54"/>
      <c r="QV7" s="54"/>
      <c r="QW7" s="54"/>
      <c r="QX7" s="54"/>
      <c r="QY7" s="54"/>
      <c r="QZ7" s="54"/>
      <c r="RA7" s="54"/>
      <c r="RB7" s="54"/>
      <c r="RC7" s="54"/>
      <c r="RD7" s="54"/>
      <c r="RE7" s="54"/>
      <c r="RF7" s="54"/>
      <c r="RG7" s="54"/>
      <c r="RH7" s="54"/>
      <c r="RI7" s="54"/>
      <c r="RJ7" s="54"/>
      <c r="RK7" s="54"/>
      <c r="RL7" s="54"/>
      <c r="RM7" s="54"/>
      <c r="RN7" s="54"/>
      <c r="RO7" s="54"/>
      <c r="RP7" s="54"/>
      <c r="RQ7" s="54"/>
      <c r="RR7" s="54"/>
      <c r="RS7" s="54"/>
      <c r="RT7" s="54"/>
      <c r="RU7" s="54"/>
      <c r="RV7" s="54"/>
      <c r="RW7" s="54"/>
      <c r="RX7" s="54"/>
      <c r="RY7" s="54"/>
      <c r="RZ7" s="54"/>
      <c r="SA7" s="54"/>
      <c r="SB7" s="54"/>
      <c r="SC7" s="54"/>
      <c r="SD7" s="54"/>
      <c r="SE7" s="54"/>
      <c r="SF7" s="54"/>
      <c r="SG7" s="54"/>
      <c r="SH7" s="54"/>
      <c r="SI7" s="54"/>
      <c r="SJ7" s="54"/>
      <c r="SK7" s="54"/>
      <c r="SL7" s="54"/>
      <c r="SM7" s="54"/>
      <c r="SN7" s="54"/>
      <c r="SO7" s="54"/>
      <c r="SP7" s="54"/>
      <c r="SQ7" s="54"/>
      <c r="SR7" s="54"/>
      <c r="SS7" s="54"/>
      <c r="ST7" s="54"/>
      <c r="SU7" s="54"/>
      <c r="SV7" s="54"/>
      <c r="SW7" s="54"/>
      <c r="SX7" s="54"/>
      <c r="SY7" s="54"/>
      <c r="SZ7" s="54"/>
      <c r="TA7" s="54"/>
      <c r="TB7" s="54"/>
      <c r="TC7" s="54"/>
      <c r="TD7" s="54"/>
      <c r="TE7" s="54"/>
      <c r="TF7" s="54"/>
      <c r="TG7" s="54"/>
      <c r="TH7" s="54"/>
      <c r="TI7" s="54"/>
      <c r="TJ7" s="54"/>
      <c r="TK7" s="54"/>
      <c r="TL7" s="54"/>
      <c r="TM7" s="54"/>
      <c r="TN7" s="54"/>
      <c r="TO7" s="54"/>
      <c r="TP7" s="54"/>
      <c r="TQ7" s="54"/>
      <c r="TR7" s="54"/>
      <c r="TS7" s="54"/>
      <c r="TT7" s="54"/>
      <c r="TU7" s="54"/>
      <c r="TV7" s="54"/>
      <c r="TW7" s="54"/>
      <c r="TX7" s="54"/>
      <c r="TY7" s="54"/>
      <c r="TZ7" s="54"/>
      <c r="UA7" s="54"/>
      <c r="UB7" s="54"/>
      <c r="UC7" s="54"/>
      <c r="UD7" s="54"/>
      <c r="UE7" s="54"/>
      <c r="UF7" s="54"/>
      <c r="UG7" s="54"/>
      <c r="UH7" s="54"/>
      <c r="UI7" s="54"/>
      <c r="UJ7" s="54"/>
      <c r="UK7" s="54"/>
      <c r="UL7" s="54"/>
      <c r="UM7" s="54"/>
      <c r="UN7" s="54"/>
      <c r="UO7" s="54"/>
      <c r="UP7" s="54"/>
      <c r="UQ7" s="54"/>
      <c r="UR7" s="54"/>
      <c r="US7" s="54"/>
      <c r="UT7" s="54"/>
      <c r="UU7" s="54"/>
      <c r="UV7" s="54"/>
      <c r="UW7" s="54"/>
      <c r="UX7" s="54"/>
      <c r="UY7" s="54"/>
      <c r="UZ7" s="54"/>
      <c r="VA7" s="54"/>
      <c r="VB7" s="54"/>
      <c r="VC7" s="54"/>
      <c r="VD7" s="54"/>
      <c r="VE7" s="54"/>
      <c r="VF7" s="54"/>
      <c r="VG7" s="54"/>
      <c r="VH7" s="54"/>
      <c r="VI7" s="54"/>
      <c r="VJ7" s="54"/>
      <c r="VK7" s="54"/>
      <c r="VL7" s="54"/>
      <c r="VM7" s="54"/>
      <c r="VN7" s="54"/>
      <c r="VO7" s="54"/>
      <c r="VP7" s="54"/>
      <c r="VQ7" s="54"/>
      <c r="VR7" s="54"/>
      <c r="VS7" s="54"/>
      <c r="VT7" s="54"/>
      <c r="VU7" s="54"/>
      <c r="VV7" s="54"/>
      <c r="VW7" s="54"/>
      <c r="VX7" s="54"/>
      <c r="VY7" s="54"/>
      <c r="VZ7" s="54"/>
      <c r="WA7" s="54"/>
      <c r="WB7" s="54"/>
      <c r="WC7" s="54"/>
      <c r="WD7" s="54"/>
      <c r="WE7" s="54"/>
      <c r="WF7" s="54"/>
      <c r="WG7" s="54"/>
      <c r="WH7" s="54"/>
      <c r="WI7" s="54"/>
      <c r="WJ7" s="54"/>
      <c r="WK7" s="54"/>
      <c r="WL7" s="54"/>
      <c r="WM7" s="54"/>
      <c r="WN7" s="54"/>
      <c r="WO7" s="54"/>
      <c r="WP7" s="54"/>
      <c r="WQ7" s="54"/>
      <c r="WR7" s="54"/>
      <c r="WS7" s="54"/>
      <c r="WT7" s="54"/>
      <c r="WU7" s="54"/>
      <c r="WV7" s="54"/>
      <c r="WW7" s="54"/>
      <c r="WX7" s="54"/>
      <c r="WY7" s="54"/>
      <c r="WZ7" s="54"/>
      <c r="XA7" s="54"/>
      <c r="XB7" s="54"/>
      <c r="XC7" s="54"/>
      <c r="XD7" s="54"/>
      <c r="XE7" s="54"/>
      <c r="XF7" s="54"/>
      <c r="XG7" s="54"/>
      <c r="XH7" s="54"/>
      <c r="XI7" s="54"/>
      <c r="XJ7" s="54"/>
      <c r="XK7" s="54"/>
      <c r="XL7" s="54"/>
      <c r="XM7" s="54"/>
      <c r="XN7" s="54"/>
      <c r="XO7" s="54"/>
      <c r="XP7" s="54"/>
      <c r="XQ7" s="54"/>
      <c r="XR7" s="54"/>
      <c r="XS7" s="54"/>
      <c r="XT7" s="54"/>
      <c r="XU7" s="54"/>
      <c r="XV7" s="54"/>
      <c r="XW7" s="54"/>
      <c r="XX7" s="54"/>
      <c r="XY7" s="54"/>
      <c r="XZ7" s="54"/>
      <c r="YA7" s="54"/>
      <c r="YB7" s="54"/>
      <c r="YC7" s="54"/>
      <c r="YD7" s="54"/>
      <c r="YE7" s="54"/>
      <c r="YF7" s="54"/>
      <c r="YG7" s="54"/>
      <c r="YH7" s="54"/>
      <c r="YI7" s="54"/>
      <c r="YJ7" s="54"/>
      <c r="YK7" s="54"/>
      <c r="YL7" s="54"/>
      <c r="YM7" s="54"/>
      <c r="YN7" s="54"/>
      <c r="YO7" s="54"/>
      <c r="YP7" s="54"/>
      <c r="YQ7" s="54"/>
      <c r="YR7" s="54"/>
      <c r="YS7" s="54"/>
      <c r="YT7" s="54"/>
      <c r="YU7" s="54"/>
      <c r="YV7" s="54"/>
      <c r="YW7" s="54"/>
      <c r="YX7" s="54"/>
      <c r="YY7" s="54"/>
      <c r="YZ7" s="54"/>
      <c r="ZA7" s="54"/>
      <c r="ZB7" s="54"/>
      <c r="ZC7" s="54"/>
      <c r="ZD7" s="54"/>
      <c r="ZE7" s="54"/>
      <c r="ZF7" s="54"/>
      <c r="ZG7" s="54"/>
      <c r="ZH7" s="54"/>
      <c r="ZI7" s="54"/>
      <c r="ZJ7" s="54"/>
      <c r="ZK7" s="54"/>
      <c r="ZL7" s="54"/>
      <c r="ZM7" s="54"/>
      <c r="ZN7" s="54"/>
      <c r="ZO7" s="54"/>
      <c r="ZP7" s="54"/>
      <c r="ZQ7" s="54"/>
      <c r="ZR7" s="54"/>
      <c r="ZS7" s="54"/>
      <c r="ZT7" s="54"/>
      <c r="ZU7" s="54"/>
      <c r="ZV7" s="54"/>
      <c r="ZW7" s="54"/>
      <c r="ZX7" s="54"/>
      <c r="ZY7" s="54"/>
      <c r="ZZ7" s="54"/>
      <c r="AAA7" s="54"/>
      <c r="AAB7" s="54"/>
      <c r="AAC7" s="54"/>
      <c r="AAD7" s="54"/>
      <c r="AAE7" s="54"/>
      <c r="AAF7" s="54"/>
      <c r="AAG7" s="54"/>
      <c r="AAH7" s="54"/>
      <c r="AAI7" s="54"/>
      <c r="AAJ7" s="54"/>
      <c r="AAK7" s="54"/>
      <c r="AAL7" s="54"/>
      <c r="AAM7" s="54"/>
      <c r="AAN7" s="54"/>
      <c r="AAO7" s="54"/>
      <c r="AAP7" s="54"/>
      <c r="AAQ7" s="54"/>
      <c r="AAR7" s="54"/>
      <c r="AAS7" s="54"/>
      <c r="AAT7" s="54"/>
      <c r="AAU7" s="54"/>
      <c r="AAV7" s="54"/>
      <c r="AAW7" s="54"/>
      <c r="AAX7" s="54"/>
      <c r="AAY7" s="54"/>
      <c r="AAZ7" s="54"/>
      <c r="ABA7" s="54"/>
      <c r="ABB7" s="54"/>
      <c r="ABC7" s="54"/>
      <c r="ABD7" s="54"/>
      <c r="ABE7" s="54"/>
      <c r="ABF7" s="54"/>
      <c r="ABG7" s="54"/>
      <c r="ABH7" s="54"/>
      <c r="ABI7" s="54"/>
      <c r="ABJ7" s="54"/>
      <c r="ABK7" s="54"/>
      <c r="ABL7" s="54"/>
      <c r="ABM7" s="54"/>
      <c r="ABN7" s="54"/>
      <c r="ABO7" s="54"/>
      <c r="ABP7" s="54"/>
      <c r="ABQ7" s="54"/>
      <c r="ABR7" s="54"/>
      <c r="ABS7" s="54"/>
      <c r="ABT7" s="54"/>
      <c r="ABU7" s="54"/>
      <c r="ABV7" s="54"/>
      <c r="ABW7" s="54"/>
      <c r="ABX7" s="54"/>
      <c r="ABY7" s="54"/>
      <c r="ABZ7" s="54"/>
      <c r="ACA7" s="54"/>
      <c r="ACB7" s="54"/>
      <c r="ACC7" s="54"/>
      <c r="ACD7" s="54"/>
      <c r="ACE7" s="54"/>
      <c r="ACF7" s="54"/>
      <c r="ACG7" s="54"/>
      <c r="ACH7" s="54"/>
      <c r="ACI7" s="54"/>
      <c r="ACJ7" s="54"/>
      <c r="ACK7" s="54"/>
      <c r="ACL7" s="54"/>
      <c r="ACM7" s="54"/>
      <c r="ACN7" s="54"/>
      <c r="ACO7" s="54"/>
      <c r="ACP7" s="54"/>
      <c r="ACQ7" s="54"/>
      <c r="ACR7" s="54"/>
      <c r="ACS7" s="54"/>
      <c r="ACT7" s="54"/>
      <c r="ACU7" s="54"/>
      <c r="ACV7" s="54"/>
      <c r="ACW7" s="54"/>
      <c r="ACX7" s="54"/>
      <c r="ACY7" s="54"/>
      <c r="ACZ7" s="54"/>
      <c r="ADA7" s="54"/>
      <c r="ADB7" s="54"/>
      <c r="ADC7" s="54"/>
      <c r="ADD7" s="54"/>
      <c r="ADE7" s="54"/>
      <c r="ADF7" s="54"/>
      <c r="ADG7" s="54"/>
      <c r="ADH7" s="54"/>
      <c r="ADI7" s="54"/>
      <c r="ADJ7" s="54"/>
      <c r="ADK7" s="54"/>
      <c r="ADL7" s="54"/>
      <c r="ADM7" s="54"/>
      <c r="ADN7" s="54"/>
      <c r="ADO7" s="54"/>
      <c r="ADP7" s="54"/>
      <c r="ADQ7" s="54"/>
      <c r="ADR7" s="54"/>
      <c r="ADS7" s="54"/>
      <c r="ADT7" s="54"/>
      <c r="ADU7" s="54"/>
      <c r="ADV7" s="54"/>
      <c r="ADW7" s="54"/>
      <c r="ADX7" s="54"/>
      <c r="ADY7" s="54"/>
      <c r="ADZ7" s="54"/>
      <c r="AEA7" s="54"/>
      <c r="AEB7" s="54"/>
      <c r="AEC7" s="54"/>
      <c r="AED7" s="54"/>
      <c r="AEE7" s="54"/>
      <c r="AEF7" s="54"/>
      <c r="AEG7" s="54"/>
      <c r="AEH7" s="54"/>
      <c r="AEI7" s="54"/>
      <c r="AEJ7" s="54"/>
      <c r="AEK7" s="54"/>
      <c r="AEL7" s="54"/>
      <c r="AEM7" s="54"/>
      <c r="AEN7" s="54"/>
      <c r="AEO7" s="54"/>
      <c r="AEP7" s="54"/>
      <c r="AEQ7" s="54"/>
      <c r="AER7" s="54"/>
      <c r="AES7" s="54"/>
      <c r="AET7" s="54"/>
      <c r="AEU7" s="54"/>
      <c r="AEV7" s="54"/>
      <c r="AEW7" s="54"/>
      <c r="AEX7" s="54"/>
      <c r="AEY7" s="54"/>
      <c r="AEZ7" s="54"/>
      <c r="AFA7" s="54"/>
      <c r="AFB7" s="54"/>
      <c r="AFC7" s="54"/>
      <c r="AFD7" s="54"/>
      <c r="AFE7" s="54"/>
      <c r="AFF7" s="54"/>
      <c r="AFG7" s="54"/>
      <c r="AFH7" s="54"/>
      <c r="AFI7" s="54"/>
      <c r="AFJ7" s="54"/>
      <c r="AFK7" s="54"/>
      <c r="AFL7" s="54"/>
      <c r="AFM7" s="54"/>
      <c r="AFN7" s="54"/>
      <c r="AFO7" s="54"/>
      <c r="AFP7" s="54"/>
      <c r="AFQ7" s="54"/>
      <c r="AFR7" s="54"/>
      <c r="AFS7" s="54"/>
      <c r="AFT7" s="54"/>
      <c r="AFU7" s="54"/>
      <c r="AFV7" s="54"/>
      <c r="AFW7" s="54"/>
      <c r="AFX7" s="54"/>
      <c r="AFY7" s="54"/>
      <c r="AFZ7" s="54"/>
      <c r="AGA7" s="54"/>
      <c r="AGB7" s="54"/>
      <c r="AGC7" s="54"/>
      <c r="AGD7" s="54"/>
      <c r="AGE7" s="54"/>
      <c r="AGF7" s="54"/>
      <c r="AGG7" s="54"/>
      <c r="AGH7" s="54"/>
      <c r="AGI7" s="54"/>
      <c r="AGJ7" s="54"/>
      <c r="AGK7" s="54"/>
      <c r="AGL7" s="54"/>
      <c r="AGM7" s="54"/>
      <c r="AGN7" s="54"/>
      <c r="AGO7" s="54"/>
      <c r="AGP7" s="54"/>
      <c r="AGQ7" s="54"/>
      <c r="AGR7" s="54"/>
      <c r="AGS7" s="54"/>
      <c r="AGT7" s="54"/>
      <c r="AGU7" s="54"/>
      <c r="AGV7" s="54"/>
      <c r="AGW7" s="54"/>
      <c r="AGX7" s="54"/>
      <c r="AGY7" s="54"/>
      <c r="AGZ7" s="54"/>
      <c r="AHA7" s="54"/>
      <c r="AHB7" s="54"/>
      <c r="AHC7" s="54"/>
      <c r="AHD7" s="54"/>
      <c r="AHE7" s="54"/>
      <c r="AHF7" s="54"/>
      <c r="AHG7" s="54"/>
      <c r="AHH7" s="54"/>
      <c r="AHI7" s="54"/>
      <c r="AHJ7" s="54"/>
      <c r="AHK7" s="54"/>
      <c r="AHL7" s="54"/>
      <c r="AHM7" s="54"/>
      <c r="AHN7" s="54"/>
      <c r="AHO7" s="54"/>
      <c r="AHP7" s="54"/>
      <c r="AHQ7" s="54"/>
      <c r="AHR7" s="54"/>
      <c r="AHS7" s="54"/>
      <c r="AHT7" s="54"/>
      <c r="AHU7" s="54"/>
      <c r="AHV7" s="54"/>
      <c r="AHW7" s="54"/>
      <c r="AHX7" s="54"/>
      <c r="AHY7" s="54"/>
      <c r="AHZ7" s="54"/>
      <c r="AIA7" s="54"/>
      <c r="AIB7" s="54"/>
      <c r="AIC7" s="54"/>
      <c r="AID7" s="54"/>
      <c r="AIE7" s="54"/>
      <c r="AIF7" s="54"/>
      <c r="AIG7" s="54"/>
      <c r="AIH7" s="54"/>
      <c r="AII7" s="54"/>
      <c r="AIJ7" s="54"/>
      <c r="AIK7" s="54"/>
      <c r="AIL7" s="54"/>
      <c r="AIM7" s="54"/>
      <c r="AIN7" s="54"/>
      <c r="AIO7" s="54"/>
      <c r="AIP7" s="54"/>
      <c r="AIQ7" s="54"/>
      <c r="AIR7" s="54"/>
      <c r="AIS7" s="54"/>
      <c r="AIT7" s="54"/>
      <c r="AIU7" s="54"/>
      <c r="AIV7" s="54"/>
      <c r="AIW7" s="54"/>
      <c r="AIX7" s="54"/>
      <c r="AIY7" s="54"/>
      <c r="AIZ7" s="54"/>
      <c r="AJA7" s="54"/>
      <c r="AJB7" s="54"/>
      <c r="AJC7" s="54"/>
      <c r="AJD7" s="54"/>
      <c r="AJE7" s="54"/>
      <c r="AJF7" s="54"/>
      <c r="AJG7" s="54"/>
      <c r="AJH7" s="54"/>
      <c r="AJI7" s="54"/>
      <c r="AJJ7" s="54"/>
      <c r="AJK7" s="54"/>
      <c r="AJL7" s="54"/>
      <c r="AJM7" s="54"/>
      <c r="AJN7" s="54"/>
      <c r="AJO7" s="54"/>
      <c r="AJP7" s="54"/>
      <c r="AJQ7" s="54"/>
      <c r="AJR7" s="54"/>
      <c r="AJS7" s="54"/>
      <c r="AJT7" s="54"/>
      <c r="AJU7" s="54"/>
      <c r="AJV7" s="54"/>
      <c r="AJW7" s="54"/>
      <c r="AJX7" s="54"/>
      <c r="AJY7" s="54"/>
      <c r="AJZ7" s="54"/>
      <c r="AKA7" s="54"/>
      <c r="AKB7" s="54"/>
      <c r="AKC7" s="54"/>
      <c r="AKD7" s="54"/>
      <c r="AKE7" s="54"/>
      <c r="AKF7" s="54"/>
      <c r="AKG7" s="54"/>
      <c r="AKH7" s="54"/>
      <c r="AKI7" s="54"/>
      <c r="AKJ7" s="54"/>
      <c r="AKK7" s="54"/>
      <c r="AKL7" s="54"/>
      <c r="AKM7" s="54"/>
      <c r="AKN7" s="54"/>
      <c r="AKO7" s="54"/>
      <c r="AKP7" s="54"/>
      <c r="AKQ7" s="54"/>
      <c r="AKR7" s="54"/>
      <c r="AKS7" s="54"/>
      <c r="AKT7" s="54"/>
      <c r="AKU7" s="54"/>
      <c r="AKV7" s="54"/>
      <c r="AKW7" s="54"/>
      <c r="AKX7" s="54"/>
      <c r="AKY7" s="54"/>
      <c r="AKZ7" s="54"/>
      <c r="ALA7" s="54"/>
      <c r="ALB7" s="54"/>
      <c r="ALC7" s="54"/>
      <c r="ALD7" s="54"/>
      <c r="ALE7" s="54"/>
      <c r="ALF7" s="54"/>
      <c r="ALG7" s="54"/>
      <c r="ALH7" s="54"/>
      <c r="ALI7" s="54"/>
      <c r="ALJ7" s="54"/>
      <c r="ALK7" s="54"/>
      <c r="ALL7" s="54"/>
      <c r="ALM7" s="54"/>
      <c r="ALN7" s="54"/>
      <c r="ALO7" s="54"/>
      <c r="ALP7" s="54"/>
      <c r="ALQ7" s="54"/>
      <c r="ALR7" s="54"/>
      <c r="ALS7" s="54"/>
      <c r="ALT7" s="54"/>
      <c r="ALU7" s="54"/>
      <c r="ALV7" s="54"/>
      <c r="ALW7" s="54"/>
      <c r="ALX7" s="54"/>
      <c r="ALY7" s="54"/>
      <c r="ALZ7" s="54"/>
      <c r="AMA7" s="54"/>
      <c r="AMB7" s="54"/>
      <c r="AMC7" s="54"/>
      <c r="AMD7" s="54"/>
      <c r="AME7" s="54"/>
      <c r="AMF7" s="54"/>
      <c r="AMG7" s="54"/>
      <c r="AMH7" s="54"/>
      <c r="AMI7" s="54"/>
      <c r="AMJ7" s="54"/>
      <c r="AMK7" s="54"/>
      <c r="AML7" s="54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  <c r="AMK8" s="31"/>
      <c r="AML8" s="31"/>
    </row>
    <row r="9" ht="15.75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  <c r="JG9" s="31"/>
      <c r="JH9" s="31"/>
      <c r="JI9" s="31"/>
      <c r="JJ9" s="31"/>
      <c r="JK9" s="31"/>
      <c r="JL9" s="31"/>
      <c r="JM9" s="31"/>
      <c r="JN9" s="31"/>
      <c r="JO9" s="31"/>
      <c r="JP9" s="31"/>
      <c r="JQ9" s="31"/>
      <c r="JR9" s="31"/>
      <c r="JS9" s="31"/>
      <c r="JT9" s="31"/>
      <c r="JU9" s="31"/>
      <c r="JV9" s="31"/>
      <c r="JW9" s="31"/>
      <c r="JX9" s="31"/>
      <c r="JY9" s="31"/>
      <c r="JZ9" s="31"/>
      <c r="KA9" s="31"/>
      <c r="KB9" s="31"/>
      <c r="KC9" s="31"/>
      <c r="KD9" s="31"/>
      <c r="KE9" s="31"/>
      <c r="KF9" s="31"/>
      <c r="KG9" s="31"/>
      <c r="KH9" s="31"/>
      <c r="KI9" s="31"/>
      <c r="KJ9" s="31"/>
      <c r="KK9" s="31"/>
      <c r="KL9" s="31"/>
      <c r="KM9" s="31"/>
      <c r="KN9" s="31"/>
      <c r="KO9" s="31"/>
      <c r="KP9" s="31"/>
      <c r="KQ9" s="31"/>
      <c r="KR9" s="31"/>
      <c r="KS9" s="31"/>
      <c r="KT9" s="31"/>
      <c r="KU9" s="31"/>
      <c r="KV9" s="31"/>
      <c r="KW9" s="31"/>
      <c r="KX9" s="31"/>
      <c r="KY9" s="31"/>
      <c r="KZ9" s="31"/>
      <c r="LA9" s="31"/>
      <c r="LB9" s="31"/>
      <c r="LC9" s="31"/>
      <c r="LD9" s="31"/>
      <c r="LE9" s="31"/>
      <c r="LF9" s="31"/>
      <c r="LG9" s="31"/>
      <c r="LH9" s="31"/>
      <c r="LI9" s="31"/>
      <c r="LJ9" s="31"/>
      <c r="LK9" s="31"/>
      <c r="LL9" s="31"/>
      <c r="LM9" s="31"/>
      <c r="LN9" s="31"/>
      <c r="LO9" s="31"/>
      <c r="LP9" s="31"/>
      <c r="LQ9" s="31"/>
      <c r="LR9" s="31"/>
      <c r="LS9" s="31"/>
      <c r="LT9" s="31"/>
      <c r="LU9" s="31"/>
      <c r="LV9" s="31"/>
      <c r="LW9" s="31"/>
      <c r="LX9" s="31"/>
      <c r="LY9" s="31"/>
      <c r="LZ9" s="31"/>
      <c r="MA9" s="31"/>
      <c r="MB9" s="31"/>
      <c r="MC9" s="31"/>
      <c r="MD9" s="31"/>
      <c r="ME9" s="31"/>
      <c r="MF9" s="31"/>
      <c r="MG9" s="31"/>
      <c r="MH9" s="31"/>
      <c r="MI9" s="31"/>
      <c r="MJ9" s="31"/>
      <c r="MK9" s="31"/>
      <c r="ML9" s="31"/>
      <c r="MM9" s="31"/>
      <c r="MN9" s="31"/>
      <c r="MO9" s="31"/>
      <c r="MP9" s="31"/>
      <c r="MQ9" s="31"/>
      <c r="MR9" s="31"/>
      <c r="MS9" s="31"/>
      <c r="MT9" s="31"/>
      <c r="MU9" s="31"/>
      <c r="MV9" s="31"/>
      <c r="MW9" s="31"/>
      <c r="MX9" s="31"/>
      <c r="MY9" s="31"/>
      <c r="MZ9" s="31"/>
      <c r="NA9" s="31"/>
      <c r="NB9" s="31"/>
      <c r="NC9" s="31"/>
      <c r="ND9" s="31"/>
      <c r="NE9" s="31"/>
      <c r="NF9" s="31"/>
      <c r="NG9" s="31"/>
      <c r="NH9" s="31"/>
      <c r="NI9" s="31"/>
      <c r="NJ9" s="31"/>
      <c r="NK9" s="31"/>
      <c r="NL9" s="31"/>
      <c r="NM9" s="31"/>
      <c r="NN9" s="31"/>
      <c r="NO9" s="31"/>
      <c r="NP9" s="31"/>
      <c r="NQ9" s="31"/>
      <c r="NR9" s="31"/>
      <c r="NS9" s="31"/>
      <c r="NT9" s="31"/>
      <c r="NU9" s="31"/>
      <c r="NV9" s="31"/>
      <c r="NW9" s="31"/>
      <c r="NX9" s="31"/>
      <c r="NY9" s="31"/>
      <c r="NZ9" s="31"/>
      <c r="OA9" s="31"/>
      <c r="OB9" s="31"/>
      <c r="OC9" s="31"/>
      <c r="OD9" s="31"/>
      <c r="OE9" s="31"/>
      <c r="OF9" s="31"/>
      <c r="OG9" s="31"/>
      <c r="OH9" s="31"/>
      <c r="OI9" s="31"/>
      <c r="OJ9" s="31"/>
      <c r="OK9" s="31"/>
      <c r="OL9" s="31"/>
      <c r="OM9" s="31"/>
      <c r="ON9" s="31"/>
      <c r="OO9" s="31"/>
      <c r="OP9" s="31"/>
      <c r="OQ9" s="31"/>
      <c r="OR9" s="31"/>
      <c r="OS9" s="31"/>
      <c r="OT9" s="31"/>
      <c r="OU9" s="31"/>
      <c r="OV9" s="31"/>
      <c r="OW9" s="31"/>
      <c r="OX9" s="31"/>
      <c r="OY9" s="31"/>
      <c r="OZ9" s="31"/>
      <c r="PA9" s="31"/>
      <c r="PB9" s="31"/>
      <c r="PC9" s="31"/>
      <c r="PD9" s="31"/>
      <c r="PE9" s="31"/>
      <c r="PF9" s="31"/>
      <c r="PG9" s="31"/>
      <c r="PH9" s="31"/>
      <c r="PI9" s="31"/>
      <c r="PJ9" s="31"/>
      <c r="PK9" s="31"/>
      <c r="PL9" s="31"/>
      <c r="PM9" s="31"/>
      <c r="PN9" s="31"/>
      <c r="PO9" s="31"/>
      <c r="PP9" s="31"/>
      <c r="PQ9" s="31"/>
      <c r="PR9" s="31"/>
      <c r="PS9" s="31"/>
      <c r="PT9" s="31"/>
      <c r="PU9" s="31"/>
      <c r="PV9" s="31"/>
      <c r="PW9" s="31"/>
      <c r="PX9" s="31"/>
      <c r="PY9" s="31"/>
      <c r="PZ9" s="31"/>
      <c r="QA9" s="31"/>
      <c r="QB9" s="31"/>
      <c r="QC9" s="31"/>
      <c r="QD9" s="31"/>
      <c r="QE9" s="31"/>
      <c r="QF9" s="31"/>
      <c r="QG9" s="31"/>
      <c r="QH9" s="31"/>
      <c r="QI9" s="31"/>
      <c r="QJ9" s="31"/>
      <c r="QK9" s="31"/>
      <c r="QL9" s="31"/>
      <c r="QM9" s="31"/>
      <c r="QN9" s="31"/>
      <c r="QO9" s="31"/>
      <c r="QP9" s="31"/>
      <c r="QQ9" s="31"/>
      <c r="QR9" s="31"/>
      <c r="QS9" s="31"/>
      <c r="QT9" s="31"/>
      <c r="QU9" s="31"/>
      <c r="QV9" s="31"/>
      <c r="QW9" s="31"/>
      <c r="QX9" s="31"/>
      <c r="QY9" s="31"/>
      <c r="QZ9" s="31"/>
      <c r="RA9" s="31"/>
      <c r="RB9" s="31"/>
      <c r="RC9" s="31"/>
      <c r="RD9" s="31"/>
      <c r="RE9" s="31"/>
      <c r="RF9" s="31"/>
      <c r="RG9" s="31"/>
      <c r="RH9" s="31"/>
      <c r="RI9" s="31"/>
      <c r="RJ9" s="31"/>
      <c r="RK9" s="31"/>
      <c r="RL9" s="31"/>
      <c r="RM9" s="31"/>
      <c r="RN9" s="31"/>
      <c r="RO9" s="31"/>
      <c r="RP9" s="31"/>
      <c r="RQ9" s="31"/>
      <c r="RR9" s="31"/>
      <c r="RS9" s="31"/>
      <c r="RT9" s="31"/>
      <c r="RU9" s="31"/>
      <c r="RV9" s="31"/>
      <c r="RW9" s="31"/>
      <c r="RX9" s="31"/>
      <c r="RY9" s="31"/>
      <c r="RZ9" s="31"/>
      <c r="SA9" s="31"/>
      <c r="SB9" s="31"/>
      <c r="SC9" s="31"/>
      <c r="SD9" s="31"/>
      <c r="SE9" s="31"/>
      <c r="SF9" s="31"/>
      <c r="SG9" s="31"/>
      <c r="SH9" s="31"/>
      <c r="SI9" s="31"/>
      <c r="SJ9" s="31"/>
      <c r="SK9" s="31"/>
      <c r="SL9" s="31"/>
      <c r="SM9" s="31"/>
      <c r="SN9" s="31"/>
      <c r="SO9" s="31"/>
      <c r="SP9" s="31"/>
      <c r="SQ9" s="31"/>
      <c r="SR9" s="31"/>
      <c r="SS9" s="31"/>
      <c r="ST9" s="31"/>
      <c r="SU9" s="31"/>
      <c r="SV9" s="31"/>
      <c r="SW9" s="31"/>
      <c r="SX9" s="31"/>
      <c r="SY9" s="31"/>
      <c r="SZ9" s="31"/>
      <c r="TA9" s="31"/>
      <c r="TB9" s="31"/>
      <c r="TC9" s="31"/>
      <c r="TD9" s="31"/>
      <c r="TE9" s="31"/>
      <c r="TF9" s="31"/>
      <c r="TG9" s="31"/>
      <c r="TH9" s="31"/>
      <c r="TI9" s="31"/>
      <c r="TJ9" s="31"/>
      <c r="TK9" s="31"/>
      <c r="TL9" s="31"/>
      <c r="TM9" s="31"/>
      <c r="TN9" s="31"/>
      <c r="TO9" s="31"/>
      <c r="TP9" s="31"/>
      <c r="TQ9" s="31"/>
      <c r="TR9" s="31"/>
      <c r="TS9" s="31"/>
      <c r="TT9" s="31"/>
      <c r="TU9" s="31"/>
      <c r="TV9" s="31"/>
      <c r="TW9" s="31"/>
      <c r="TX9" s="31"/>
      <c r="TY9" s="31"/>
      <c r="TZ9" s="31"/>
      <c r="UA9" s="31"/>
      <c r="UB9" s="31"/>
      <c r="UC9" s="31"/>
      <c r="UD9" s="31"/>
      <c r="UE9" s="31"/>
      <c r="UF9" s="31"/>
      <c r="UG9" s="31"/>
      <c r="UH9" s="31"/>
      <c r="UI9" s="31"/>
      <c r="UJ9" s="31"/>
      <c r="UK9" s="31"/>
      <c r="UL9" s="31"/>
      <c r="UM9" s="31"/>
      <c r="UN9" s="31"/>
      <c r="UO9" s="31"/>
      <c r="UP9" s="31"/>
      <c r="UQ9" s="31"/>
      <c r="UR9" s="31"/>
      <c r="US9" s="31"/>
      <c r="UT9" s="31"/>
      <c r="UU9" s="31"/>
      <c r="UV9" s="31"/>
      <c r="UW9" s="31"/>
      <c r="UX9" s="31"/>
      <c r="UY9" s="31"/>
      <c r="UZ9" s="31"/>
      <c r="VA9" s="31"/>
      <c r="VB9" s="31"/>
      <c r="VC9" s="31"/>
      <c r="VD9" s="31"/>
      <c r="VE9" s="31"/>
      <c r="VF9" s="31"/>
      <c r="VG9" s="31"/>
      <c r="VH9" s="31"/>
      <c r="VI9" s="31"/>
      <c r="VJ9" s="31"/>
      <c r="VK9" s="31"/>
      <c r="VL9" s="31"/>
      <c r="VM9" s="31"/>
      <c r="VN9" s="31"/>
      <c r="VO9" s="31"/>
      <c r="VP9" s="31"/>
      <c r="VQ9" s="31"/>
      <c r="VR9" s="31"/>
      <c r="VS9" s="31"/>
      <c r="VT9" s="31"/>
      <c r="VU9" s="31"/>
      <c r="VV9" s="31"/>
      <c r="VW9" s="31"/>
      <c r="VX9" s="31"/>
      <c r="VY9" s="31"/>
      <c r="VZ9" s="31"/>
      <c r="WA9" s="31"/>
      <c r="WB9" s="31"/>
      <c r="WC9" s="31"/>
      <c r="WD9" s="31"/>
      <c r="WE9" s="31"/>
      <c r="WF9" s="31"/>
      <c r="WG9" s="31"/>
      <c r="WH9" s="31"/>
      <c r="WI9" s="31"/>
      <c r="WJ9" s="31"/>
      <c r="WK9" s="31"/>
      <c r="WL9" s="31"/>
      <c r="WM9" s="31"/>
      <c r="WN9" s="31"/>
      <c r="WO9" s="31"/>
      <c r="WP9" s="31"/>
      <c r="WQ9" s="31"/>
      <c r="WR9" s="31"/>
      <c r="WS9" s="31"/>
      <c r="WT9" s="31"/>
      <c r="WU9" s="31"/>
      <c r="WV9" s="31"/>
      <c r="WW9" s="31"/>
      <c r="WX9" s="31"/>
      <c r="WY9" s="31"/>
      <c r="WZ9" s="31"/>
      <c r="XA9" s="31"/>
      <c r="XB9" s="31"/>
      <c r="XC9" s="31"/>
      <c r="XD9" s="31"/>
      <c r="XE9" s="31"/>
      <c r="XF9" s="31"/>
      <c r="XG9" s="31"/>
      <c r="XH9" s="31"/>
      <c r="XI9" s="31"/>
      <c r="XJ9" s="31"/>
      <c r="XK9" s="31"/>
      <c r="XL9" s="31"/>
      <c r="XM9" s="31"/>
      <c r="XN9" s="31"/>
      <c r="XO9" s="31"/>
      <c r="XP9" s="31"/>
      <c r="XQ9" s="31"/>
      <c r="XR9" s="31"/>
      <c r="XS9" s="31"/>
      <c r="XT9" s="31"/>
      <c r="XU9" s="31"/>
      <c r="XV9" s="31"/>
      <c r="XW9" s="31"/>
      <c r="XX9" s="31"/>
      <c r="XY9" s="31"/>
      <c r="XZ9" s="31"/>
      <c r="YA9" s="31"/>
      <c r="YB9" s="31"/>
      <c r="YC9" s="31"/>
      <c r="YD9" s="31"/>
      <c r="YE9" s="31"/>
      <c r="YF9" s="31"/>
      <c r="YG9" s="31"/>
      <c r="YH9" s="31"/>
      <c r="YI9" s="31"/>
      <c r="YJ9" s="31"/>
      <c r="YK9" s="31"/>
      <c r="YL9" s="31"/>
      <c r="YM9" s="31"/>
      <c r="YN9" s="31"/>
      <c r="YO9" s="31"/>
      <c r="YP9" s="31"/>
      <c r="YQ9" s="31"/>
      <c r="YR9" s="31"/>
      <c r="YS9" s="31"/>
      <c r="YT9" s="31"/>
      <c r="YU9" s="31"/>
      <c r="YV9" s="31"/>
      <c r="YW9" s="31"/>
      <c r="YX9" s="31"/>
      <c r="YY9" s="31"/>
      <c r="YZ9" s="31"/>
      <c r="ZA9" s="31"/>
      <c r="ZB9" s="31"/>
      <c r="ZC9" s="31"/>
      <c r="ZD9" s="31"/>
      <c r="ZE9" s="31"/>
      <c r="ZF9" s="31"/>
      <c r="ZG9" s="31"/>
      <c r="ZH9" s="31"/>
      <c r="ZI9" s="31"/>
      <c r="ZJ9" s="31"/>
      <c r="ZK9" s="31"/>
      <c r="ZL9" s="31"/>
      <c r="ZM9" s="31"/>
      <c r="ZN9" s="31"/>
      <c r="ZO9" s="31"/>
      <c r="ZP9" s="31"/>
      <c r="ZQ9" s="31"/>
      <c r="ZR9" s="31"/>
      <c r="ZS9" s="31"/>
      <c r="ZT9" s="31"/>
      <c r="ZU9" s="31"/>
      <c r="ZV9" s="31"/>
      <c r="ZW9" s="31"/>
      <c r="ZX9" s="31"/>
      <c r="ZY9" s="31"/>
      <c r="ZZ9" s="31"/>
      <c r="AAA9" s="31"/>
      <c r="AAB9" s="31"/>
      <c r="AAC9" s="31"/>
      <c r="AAD9" s="31"/>
      <c r="AAE9" s="31"/>
      <c r="AAF9" s="31"/>
      <c r="AAG9" s="31"/>
      <c r="AAH9" s="31"/>
      <c r="AAI9" s="31"/>
      <c r="AAJ9" s="31"/>
      <c r="AAK9" s="31"/>
      <c r="AAL9" s="31"/>
      <c r="AAM9" s="31"/>
      <c r="AAN9" s="31"/>
      <c r="AAO9" s="31"/>
      <c r="AAP9" s="31"/>
      <c r="AAQ9" s="31"/>
      <c r="AAR9" s="31"/>
      <c r="AAS9" s="31"/>
      <c r="AAT9" s="31"/>
      <c r="AAU9" s="31"/>
      <c r="AAV9" s="31"/>
      <c r="AAW9" s="31"/>
      <c r="AAX9" s="31"/>
      <c r="AAY9" s="31"/>
      <c r="AAZ9" s="31"/>
      <c r="ABA9" s="31"/>
      <c r="ABB9" s="31"/>
      <c r="ABC9" s="31"/>
      <c r="ABD9" s="31"/>
      <c r="ABE9" s="31"/>
      <c r="ABF9" s="31"/>
      <c r="ABG9" s="31"/>
      <c r="ABH9" s="31"/>
      <c r="ABI9" s="31"/>
      <c r="ABJ9" s="31"/>
      <c r="ABK9" s="31"/>
      <c r="ABL9" s="31"/>
      <c r="ABM9" s="31"/>
      <c r="ABN9" s="31"/>
      <c r="ABO9" s="31"/>
      <c r="ABP9" s="31"/>
      <c r="ABQ9" s="31"/>
      <c r="ABR9" s="31"/>
      <c r="ABS9" s="31"/>
      <c r="ABT9" s="31"/>
      <c r="ABU9" s="31"/>
      <c r="ABV9" s="31"/>
      <c r="ABW9" s="31"/>
      <c r="ABX9" s="31"/>
      <c r="ABY9" s="31"/>
      <c r="ABZ9" s="31"/>
      <c r="ACA9" s="31"/>
      <c r="ACB9" s="31"/>
      <c r="ACC9" s="31"/>
      <c r="ACD9" s="31"/>
      <c r="ACE9" s="31"/>
      <c r="ACF9" s="31"/>
      <c r="ACG9" s="31"/>
      <c r="ACH9" s="31"/>
      <c r="ACI9" s="31"/>
      <c r="ACJ9" s="31"/>
      <c r="ACK9" s="31"/>
      <c r="ACL9" s="31"/>
      <c r="ACM9" s="31"/>
      <c r="ACN9" s="31"/>
      <c r="ACO9" s="31"/>
      <c r="ACP9" s="31"/>
      <c r="ACQ9" s="31"/>
      <c r="ACR9" s="31"/>
      <c r="ACS9" s="31"/>
      <c r="ACT9" s="31"/>
      <c r="ACU9" s="31"/>
      <c r="ACV9" s="31"/>
      <c r="ACW9" s="31"/>
      <c r="ACX9" s="31"/>
      <c r="ACY9" s="31"/>
      <c r="ACZ9" s="31"/>
      <c r="ADA9" s="31"/>
      <c r="ADB9" s="31"/>
      <c r="ADC9" s="31"/>
      <c r="ADD9" s="31"/>
      <c r="ADE9" s="31"/>
      <c r="ADF9" s="31"/>
      <c r="ADG9" s="31"/>
      <c r="ADH9" s="31"/>
      <c r="ADI9" s="31"/>
      <c r="ADJ9" s="31"/>
      <c r="ADK9" s="31"/>
      <c r="ADL9" s="31"/>
      <c r="ADM9" s="31"/>
      <c r="ADN9" s="31"/>
      <c r="ADO9" s="31"/>
      <c r="ADP9" s="31"/>
      <c r="ADQ9" s="31"/>
      <c r="ADR9" s="31"/>
      <c r="ADS9" s="31"/>
      <c r="ADT9" s="31"/>
      <c r="ADU9" s="31"/>
      <c r="ADV9" s="31"/>
      <c r="ADW9" s="31"/>
      <c r="ADX9" s="31"/>
      <c r="ADY9" s="31"/>
      <c r="ADZ9" s="31"/>
      <c r="AEA9" s="31"/>
      <c r="AEB9" s="31"/>
      <c r="AEC9" s="31"/>
      <c r="AED9" s="31"/>
      <c r="AEE9" s="31"/>
      <c r="AEF9" s="31"/>
      <c r="AEG9" s="31"/>
      <c r="AEH9" s="31"/>
      <c r="AEI9" s="31"/>
      <c r="AEJ9" s="31"/>
      <c r="AEK9" s="31"/>
      <c r="AEL9" s="31"/>
      <c r="AEM9" s="31"/>
      <c r="AEN9" s="31"/>
      <c r="AEO9" s="31"/>
      <c r="AEP9" s="31"/>
      <c r="AEQ9" s="31"/>
      <c r="AER9" s="31"/>
      <c r="AES9" s="31"/>
      <c r="AET9" s="31"/>
      <c r="AEU9" s="31"/>
      <c r="AEV9" s="31"/>
      <c r="AEW9" s="31"/>
      <c r="AEX9" s="31"/>
      <c r="AEY9" s="31"/>
      <c r="AEZ9" s="31"/>
      <c r="AFA9" s="31"/>
      <c r="AFB9" s="31"/>
      <c r="AFC9" s="31"/>
      <c r="AFD9" s="31"/>
      <c r="AFE9" s="31"/>
      <c r="AFF9" s="31"/>
      <c r="AFG9" s="31"/>
      <c r="AFH9" s="31"/>
      <c r="AFI9" s="31"/>
      <c r="AFJ9" s="31"/>
      <c r="AFK9" s="31"/>
      <c r="AFL9" s="31"/>
      <c r="AFM9" s="31"/>
      <c r="AFN9" s="31"/>
      <c r="AFO9" s="31"/>
      <c r="AFP9" s="31"/>
      <c r="AFQ9" s="31"/>
      <c r="AFR9" s="31"/>
      <c r="AFS9" s="31"/>
      <c r="AFT9" s="31"/>
      <c r="AFU9" s="31"/>
      <c r="AFV9" s="31"/>
      <c r="AFW9" s="31"/>
      <c r="AFX9" s="31"/>
      <c r="AFY9" s="31"/>
      <c r="AFZ9" s="31"/>
      <c r="AGA9" s="31"/>
      <c r="AGB9" s="31"/>
      <c r="AGC9" s="31"/>
      <c r="AGD9" s="31"/>
      <c r="AGE9" s="31"/>
      <c r="AGF9" s="31"/>
      <c r="AGG9" s="31"/>
      <c r="AGH9" s="31"/>
      <c r="AGI9" s="31"/>
      <c r="AGJ9" s="31"/>
      <c r="AGK9" s="31"/>
      <c r="AGL9" s="31"/>
      <c r="AGM9" s="31"/>
      <c r="AGN9" s="31"/>
      <c r="AGO9" s="31"/>
      <c r="AGP9" s="31"/>
      <c r="AGQ9" s="31"/>
      <c r="AGR9" s="31"/>
      <c r="AGS9" s="31"/>
      <c r="AGT9" s="31"/>
      <c r="AGU9" s="31"/>
      <c r="AGV9" s="31"/>
      <c r="AGW9" s="31"/>
      <c r="AGX9" s="31"/>
      <c r="AGY9" s="31"/>
      <c r="AGZ9" s="31"/>
      <c r="AHA9" s="31"/>
      <c r="AHB9" s="31"/>
      <c r="AHC9" s="31"/>
      <c r="AHD9" s="31"/>
      <c r="AHE9" s="31"/>
      <c r="AHF9" s="31"/>
      <c r="AHG9" s="31"/>
      <c r="AHH9" s="31"/>
      <c r="AHI9" s="31"/>
      <c r="AHJ9" s="31"/>
      <c r="AHK9" s="31"/>
      <c r="AHL9" s="31"/>
      <c r="AHM9" s="31"/>
      <c r="AHN9" s="31"/>
      <c r="AHO9" s="31"/>
      <c r="AHP9" s="31"/>
      <c r="AHQ9" s="31"/>
      <c r="AHR9" s="31"/>
      <c r="AHS9" s="31"/>
      <c r="AHT9" s="31"/>
      <c r="AHU9" s="31"/>
      <c r="AHV9" s="31"/>
      <c r="AHW9" s="31"/>
      <c r="AHX9" s="31"/>
      <c r="AHY9" s="31"/>
      <c r="AHZ9" s="31"/>
      <c r="AIA9" s="31"/>
      <c r="AIB9" s="31"/>
      <c r="AIC9" s="31"/>
      <c r="AID9" s="31"/>
      <c r="AIE9" s="31"/>
      <c r="AIF9" s="31"/>
      <c r="AIG9" s="31"/>
      <c r="AIH9" s="31"/>
      <c r="AII9" s="31"/>
      <c r="AIJ9" s="31"/>
      <c r="AIK9" s="31"/>
      <c r="AIL9" s="31"/>
      <c r="AIM9" s="31"/>
      <c r="AIN9" s="31"/>
      <c r="AIO9" s="31"/>
      <c r="AIP9" s="31"/>
      <c r="AIQ9" s="31"/>
      <c r="AIR9" s="31"/>
      <c r="AIS9" s="31"/>
      <c r="AIT9" s="31"/>
      <c r="AIU9" s="31"/>
      <c r="AIV9" s="31"/>
      <c r="AIW9" s="31"/>
      <c r="AIX9" s="31"/>
      <c r="AIY9" s="31"/>
      <c r="AIZ9" s="31"/>
      <c r="AJA9" s="31"/>
      <c r="AJB9" s="31"/>
      <c r="AJC9" s="31"/>
      <c r="AJD9" s="31"/>
      <c r="AJE9" s="31"/>
      <c r="AJF9" s="31"/>
      <c r="AJG9" s="31"/>
      <c r="AJH9" s="31"/>
      <c r="AJI9" s="31"/>
      <c r="AJJ9" s="31"/>
      <c r="AJK9" s="31"/>
      <c r="AJL9" s="31"/>
      <c r="AJM9" s="31"/>
      <c r="AJN9" s="31"/>
      <c r="AJO9" s="31"/>
      <c r="AJP9" s="31"/>
      <c r="AJQ9" s="31"/>
      <c r="AJR9" s="31"/>
      <c r="AJS9" s="31"/>
      <c r="AJT9" s="31"/>
      <c r="AJU9" s="31"/>
      <c r="AJV9" s="31"/>
      <c r="AJW9" s="31"/>
      <c r="AJX9" s="31"/>
      <c r="AJY9" s="31"/>
      <c r="AJZ9" s="31"/>
      <c r="AKA9" s="31"/>
      <c r="AKB9" s="31"/>
      <c r="AKC9" s="31"/>
      <c r="AKD9" s="31"/>
      <c r="AKE9" s="31"/>
      <c r="AKF9" s="31"/>
      <c r="AKG9" s="31"/>
      <c r="AKH9" s="31"/>
      <c r="AKI9" s="31"/>
      <c r="AKJ9" s="31"/>
      <c r="AKK9" s="31"/>
      <c r="AKL9" s="31"/>
      <c r="AKM9" s="31"/>
      <c r="AKN9" s="31"/>
      <c r="AKO9" s="31"/>
      <c r="AKP9" s="31"/>
      <c r="AKQ9" s="31"/>
      <c r="AKR9" s="31"/>
      <c r="AKS9" s="31"/>
      <c r="AKT9" s="31"/>
      <c r="AKU9" s="31"/>
      <c r="AKV9" s="31"/>
      <c r="AKW9" s="31"/>
      <c r="AKX9" s="31"/>
      <c r="AKY9" s="31"/>
      <c r="AKZ9" s="31"/>
      <c r="ALA9" s="31"/>
      <c r="ALB9" s="31"/>
      <c r="ALC9" s="31"/>
      <c r="ALD9" s="31"/>
      <c r="ALE9" s="31"/>
      <c r="ALF9" s="31"/>
      <c r="ALG9" s="31"/>
      <c r="ALH9" s="31"/>
      <c r="ALI9" s="31"/>
      <c r="ALJ9" s="31"/>
      <c r="ALK9" s="31"/>
      <c r="ALL9" s="31"/>
      <c r="ALM9" s="31"/>
      <c r="ALN9" s="31"/>
      <c r="ALO9" s="31"/>
      <c r="ALP9" s="31"/>
      <c r="ALQ9" s="31"/>
      <c r="ALR9" s="31"/>
      <c r="ALS9" s="31"/>
      <c r="ALT9" s="31"/>
      <c r="ALU9" s="31"/>
      <c r="ALV9" s="31"/>
      <c r="ALW9" s="31"/>
      <c r="ALX9" s="31"/>
      <c r="ALY9" s="31"/>
      <c r="ALZ9" s="31"/>
      <c r="AMA9" s="31"/>
      <c r="AMB9" s="31"/>
      <c r="AMC9" s="31"/>
      <c r="AMD9" s="31"/>
      <c r="AME9" s="31"/>
      <c r="AMF9" s="31"/>
      <c r="AMG9" s="31"/>
      <c r="AMH9" s="31"/>
      <c r="AMI9" s="31"/>
      <c r="AMJ9" s="31"/>
      <c r="AMK9" s="31"/>
      <c r="AML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