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nterAllocatePreference" sheetId="6" r:id="rId8"/>
    <sheet state="visible" name="EnterAccountValuesToAllocate" sheetId="7" r:id="rId9"/>
    <sheet state="visible" name="CheckAllocatedGroups" sheetId="8" r:id="rId10"/>
    <sheet state="visible" name="GetDataClosing" sheetId="9" r:id="rId11"/>
    <sheet state="visible" name="VerifyLongPositionsGrid" sheetId="10" r:id="rId12"/>
    <sheet state="visible" name="GetActivityData" sheetId="11" r:id="rId13"/>
    <sheet state="visible" name="VerifyActivity" sheetId="12" r:id="rId14"/>
    <sheet state="visible" name="GetDataAllocation" sheetId="13" r:id="rId15"/>
    <sheet state="visible" name="VerifyShortPositionsGrid" sheetId="14" r:id="rId16"/>
    <sheet state="visible" name="CheckPortfolioManagement" sheetId="15" r:id="rId17"/>
    <sheet state="visible" name="SetGeneralPreferences" sheetId="16" r:id="rId18"/>
  </sheets>
  <definedNames/>
  <calcPr/>
</workbook>
</file>

<file path=xl/sharedStrings.xml><?xml version="1.0" encoding="utf-8"?>
<sst xmlns="http://schemas.openxmlformats.org/spreadsheetml/2006/main" count="270" uniqueCount="58">
  <si>
    <t>Settings</t>
  </si>
  <si>
    <t>Modules Info</t>
  </si>
  <si>
    <t>Master Data Info</t>
  </si>
  <si>
    <t>Modules</t>
  </si>
  <si>
    <t>Module Step Setting File</t>
  </si>
  <si>
    <t>1mQ5wEgXb-MhIU0Or9e66NOlU7WFsZsSgRXGfsykMW9I</t>
  </si>
  <si>
    <t>Master Data Settings File</t>
  </si>
  <si>
    <t>1Nt_rf5DtgjbN9Ag4AMMlUkZYROxKZLH5m54YOl7tRT0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</si>
  <si>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</si>
  <si>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</si>
  <si>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</si>
  <si>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</si>
  <si>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</si>
  <si>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</si>
  <si>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</si>
  <si>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</si>
  <si>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</si>
  <si>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</si>
  <si>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</si>
  <si>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</si>
  <si>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</si>
  <si>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</si>
  <si>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</si>
  <si>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</si>
  <si>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</si>
  <si>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</si>
  <si>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</si>
  <si>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</si>
  <si>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</si>
  <si>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Allocation</t>
  </si>
  <si>
    <t>SelectUnallocatedGroup</t>
  </si>
  <si>
    <t>EnterAllocatePreference</t>
  </si>
  <si>
    <t>Calculated</t>
  </si>
  <si>
    <t>Current Preference</t>
  </si>
  <si>
    <t>EnterAccountValuesToAllocate</t>
  </si>
  <si>
    <t>Allocation1</t>
  </si>
  <si>
    <t>Allocation2</t>
  </si>
  <si>
    <t>CheckAllocatedGroups</t>
  </si>
  <si>
    <t>Closing</t>
  </si>
  <si>
    <t>GetDataClosing</t>
  </si>
  <si>
    <t>Current</t>
  </si>
  <si>
    <t>VerifyLongPositionsGrid</t>
  </si>
  <si>
    <t>GeneralLedger</t>
  </si>
  <si>
    <t>GetActivityData</t>
  </si>
  <si>
    <t>SelectAll</t>
  </si>
  <si>
    <t>Allocation1,Allocation2,Allocation3,OFFSHORE</t>
  </si>
  <si>
    <t>No</t>
  </si>
  <si>
    <t>Yes</t>
  </si>
  <si>
    <t>VerifyActivity</t>
  </si>
  <si>
    <t>EquityL</t>
  </si>
  <si>
    <t>USD</t>
  </si>
  <si>
    <t>Allocation3</t>
  </si>
  <si>
    <t>EquityS</t>
  </si>
  <si>
    <t>GetDataAllocation</t>
  </si>
  <si>
    <t>VerifyShortPositionsGrid</t>
  </si>
  <si>
    <t>PortfolioManagement</t>
  </si>
  <si>
    <t>CheckPortfolioManagement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</si>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</sst>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top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vertical="bottom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5" fillId="0" fontId="4" numFmtId="0" xfId="0" applyAlignment="1" applyBorder="1" applyFont="1">
      <alignment vertical="bottom"/>
    </xf>
    <xf borderId="4" fillId="3" fontId="5" numFmtId="0" xfId="0" applyAlignment="1" applyBorder="1" applyFont="1">
      <alignment shrinkToFit="0" wrapText="0"/>
    </xf>
    <xf borderId="6" fillId="3" fontId="6" numFmtId="0" xfId="0" applyAlignment="1" applyBorder="1" applyFont="1">
      <alignment shrinkToFit="0" vertical="bottom" wrapText="0"/>
    </xf>
    <xf borderId="7" fillId="3" fontId="7" numFmtId="0" xfId="0" applyAlignment="1" applyBorder="1" applyFont="1">
      <alignment shrinkToFit="0" vertical="bottom" wrapText="0"/>
    </xf>
    <xf borderId="7" fillId="3" fontId="4" numFmtId="0" xfId="0" applyAlignment="1" applyBorder="1" applyFont="1">
      <alignment vertical="bottom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6" numFmtId="0" xfId="0" applyAlignment="1" applyFill="1" applyFont="1">
      <alignment shrinkToFit="0" wrapText="0"/>
    </xf>
    <xf borderId="4" fillId="6" fontId="6" numFmtId="0" xfId="0" applyAlignment="1" applyBorder="1" applyFont="1">
      <alignment shrinkToFit="0" wrapText="0"/>
    </xf>
    <xf borderId="0" fillId="6" fontId="10" numFmtId="0" xfId="0" applyFont="1"/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4" fillId="6" fontId="6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8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8" fillId="0" fontId="5" numFmtId="14" xfId="0" applyAlignment="1" applyBorder="1" applyFont="1" applyNumberFormat="1">
      <alignment horizontal="right" vertical="bottom"/>
    </xf>
    <xf borderId="8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8" fillId="0" fontId="4" numFmtId="0" xfId="0" applyAlignment="1" applyBorder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10" t="s">
        <v>5</v>
      </c>
      <c r="C3" s="7"/>
    </row>
    <row r="4" ht="15.75" customHeight="1">
      <c r="A4" s="12" t="s">
        <v>6</v>
      </c>
      <c r="B4" s="10" t="s">
        <v>7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3" t="s">
        <v>2</v>
      </c>
      <c r="B1" s="4"/>
      <c r="C1" s="4"/>
      <c r="D1" s="4"/>
      <c r="E1" s="4"/>
      <c r="F1" s="5"/>
    </row>
    <row r="2">
      <c r="A2" s="13"/>
      <c r="B2" s="13"/>
      <c r="C2" s="13"/>
      <c r="D2" s="13"/>
      <c r="E2" s="13"/>
      <c r="F2" s="13"/>
    </row>
    <row r="3">
      <c r="A3" s="15" t="s">
        <v>8</v>
      </c>
      <c r="B3" s="16" t="s">
        <v>9</v>
      </c>
      <c r="C3" s="16" t="s">
        <v>10</v>
      </c>
      <c r="D3" s="17"/>
      <c r="E3" s="17"/>
      <c r="F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1b5S4Xpp4fgZ1ez6cK92QFnVBylqz8jhwxdAyEvwDqUI</v>
      </c>
      <c r="K2" s="21"/>
      <c r="L2" s="7"/>
      <c r="M2" s="7"/>
      <c r="N2" s="7"/>
      <c r="O2" s="7"/>
    </row>
    <row r="3" ht="15.75" customHeight="1">
      <c r="A3" s="22"/>
      <c r="B3" s="8" t="s">
        <v>8</v>
      </c>
      <c r="C3" s="23" t="s">
        <v>12</v>
      </c>
      <c r="D3" s="8" t="s">
        <v>9</v>
      </c>
      <c r="E3" s="23" t="s">
        <v>13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6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7" t="str">
        <f>IFERROR(__xludf.DUMMYFUNCTION("""COMPUTED_VALUE"""),"VerifyTT")</f>
        <v>VerifyTT</v>
      </c>
      <c r="Q4" s="27" t="str">
        <f>IFERROR(__xludf.DUMMYFUNCTION("""COMPUTED_VALUE"""),"CreateLiveOrder")</f>
        <v>CreateLiveOrder</v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B6" s="31" t="s">
        <v>16</v>
      </c>
      <c r="C6" s="31" t="s">
        <v>17</v>
      </c>
      <c r="D6" s="31">
        <v>400.0</v>
      </c>
      <c r="E6" s="31">
        <v>400.0</v>
      </c>
      <c r="F6" s="31"/>
      <c r="J6" s="31">
        <v>1.0</v>
      </c>
      <c r="AK6" s="31" t="s">
        <v>18</v>
      </c>
      <c r="AL6" s="32" t="s">
        <v>19</v>
      </c>
    </row>
    <row r="7" ht="15.75" customHeight="1">
      <c r="A7" s="7"/>
      <c r="B7" s="10" t="s">
        <v>20</v>
      </c>
      <c r="C7" s="31" t="s">
        <v>17</v>
      </c>
      <c r="D7" s="31">
        <v>400.0</v>
      </c>
      <c r="E7" s="31">
        <v>400.0</v>
      </c>
      <c r="F7" s="31"/>
      <c r="J7" s="31">
        <v>1.0</v>
      </c>
      <c r="K7" s="7"/>
      <c r="L7" s="7"/>
      <c r="M7" s="7"/>
      <c r="N7" s="7"/>
      <c r="O7" s="7"/>
      <c r="AK7" s="31" t="s">
        <v>21</v>
      </c>
      <c r="AL7" s="32" t="s">
        <v>22</v>
      </c>
    </row>
    <row r="8" ht="15.75" customHeight="1">
      <c r="A8" s="7"/>
      <c r="B8" s="10" t="s">
        <v>23</v>
      </c>
      <c r="C8" s="31" t="s">
        <v>17</v>
      </c>
      <c r="D8" s="31">
        <v>400.0</v>
      </c>
      <c r="E8" s="31">
        <v>400.0</v>
      </c>
      <c r="F8" s="31" t="s">
        <v>24</v>
      </c>
      <c r="J8" s="31">
        <v>1.0</v>
      </c>
      <c r="K8" s="7"/>
      <c r="L8" s="7"/>
      <c r="M8" s="7"/>
      <c r="N8" s="7"/>
      <c r="O8" s="7"/>
      <c r="AL8" s="31"/>
    </row>
    <row r="9" ht="15.75" customHeight="1">
      <c r="A9" s="7"/>
      <c r="B9" s="10" t="s">
        <v>16</v>
      </c>
      <c r="C9" s="10" t="s">
        <v>17</v>
      </c>
      <c r="D9" s="10">
        <v>100.0</v>
      </c>
      <c r="E9" s="10">
        <v>100.0</v>
      </c>
      <c r="F9" s="10" t="s">
        <v>25</v>
      </c>
      <c r="G9" s="7"/>
      <c r="H9" s="7"/>
      <c r="I9" s="7"/>
      <c r="J9" s="10">
        <v>1.0</v>
      </c>
      <c r="K9" s="7"/>
      <c r="L9" s="7"/>
      <c r="M9" s="7"/>
      <c r="N9" s="7"/>
      <c r="O9" s="7"/>
    </row>
    <row r="10" ht="15.75" customHeight="1">
      <c r="A10" s="7"/>
      <c r="B10" s="10" t="s">
        <v>20</v>
      </c>
      <c r="C10" s="10" t="s">
        <v>26</v>
      </c>
      <c r="D10" s="10">
        <v>600.0</v>
      </c>
      <c r="E10" s="10">
        <v>600.0</v>
      </c>
      <c r="F10" s="10" t="s">
        <v>25</v>
      </c>
      <c r="G10" s="7"/>
      <c r="H10" s="7"/>
      <c r="I10" s="7"/>
      <c r="J10" s="10">
        <v>1.0</v>
      </c>
      <c r="K10" s="7"/>
      <c r="L10" s="7"/>
      <c r="M10" s="7"/>
      <c r="N10" s="7"/>
      <c r="O10" s="7"/>
    </row>
    <row r="11" ht="15.75" customHeight="1">
      <c r="A11" s="7"/>
      <c r="B11" s="10" t="s">
        <v>23</v>
      </c>
      <c r="C11" s="10" t="s">
        <v>26</v>
      </c>
      <c r="D11" s="10">
        <v>400.0</v>
      </c>
      <c r="E11" s="10">
        <v>400.0</v>
      </c>
      <c r="F11" s="10" t="s">
        <v>25</v>
      </c>
      <c r="G11" s="7"/>
      <c r="H11" s="7"/>
      <c r="I11" s="7"/>
      <c r="J11" s="10">
        <v>1.0</v>
      </c>
      <c r="K11" s="7"/>
      <c r="L11" s="7"/>
      <c r="M11" s="7"/>
      <c r="N11" s="7"/>
      <c r="O11" s="7"/>
    </row>
    <row r="12" ht="15.75" customHeight="1">
      <c r="A12" s="7"/>
      <c r="B12" s="10" t="s">
        <v>27</v>
      </c>
      <c r="C12" s="10" t="s">
        <v>28</v>
      </c>
      <c r="D12" s="10">
        <v>100.0</v>
      </c>
      <c r="E12" s="10">
        <v>100.0</v>
      </c>
      <c r="F12" s="10" t="s">
        <v>25</v>
      </c>
      <c r="G12" s="7"/>
      <c r="H12" s="7"/>
      <c r="I12" s="7"/>
      <c r="J12" s="10">
        <v>1.0</v>
      </c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1-RJhOo2E5PhyqaiMEjsPi8RpfYBuiSqE9fj_-bRpkKw</v>
      </c>
      <c r="K2" s="21"/>
      <c r="L2" s="7"/>
      <c r="M2" s="7"/>
      <c r="N2" s="7"/>
      <c r="O2" s="7"/>
    </row>
    <row r="3" ht="15.75" customHeight="1">
      <c r="A3" s="22"/>
      <c r="B3" s="8" t="s">
        <v>8</v>
      </c>
      <c r="C3" s="23" t="s">
        <v>29</v>
      </c>
      <c r="D3" s="8" t="s">
        <v>9</v>
      </c>
      <c r="E3" s="23" t="s">
        <v>30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9" t="str">
        <f>IFERROR(__xludf.DUMMYFUNCTION("""COMPUTED_VALUE"""),"Net Amount( Local)")</f>
        <v>Net Amount( Local)</v>
      </c>
      <c r="H5" s="29" t="str">
        <f>IFERROR(__xludf.DUMMYFUNCTION("""COMPUTED_VALUE"""),"Net Amount( Base)")</f>
        <v>Net Amount( Base)</v>
      </c>
      <c r="I5" s="29" t="str">
        <f>IFERROR(__xludf.DUMMYFUNCTION("""COMPUTED_VALUE"""),"Principal Amount( Local)")</f>
        <v>Principal Amount( Local)</v>
      </c>
      <c r="J5" s="29" t="str">
        <f>IFERROR(__xludf.DUMMYFUNCTION("""COMPUTED_VALUE"""),"Transaction Type")</f>
        <v>Transaction Type</v>
      </c>
      <c r="K5" s="29" t="str">
        <f>IFERROR(__xludf.DUMMYFUNCTION("""COMPUTED_VALUE"""),"Principal Amount( Base)")</f>
        <v>Principal Amount( Base)</v>
      </c>
      <c r="L5" s="29" t="str">
        <f>IFERROR(__xludf.DUMMYFUNCTION("""COMPUTED_VALUE"""),"Execution Time")</f>
        <v>Execution Time</v>
      </c>
      <c r="M5" s="29" t="str">
        <f>IFERROR(__xludf.DUMMYFUNCTION("""COMPUTED_VALUE"""),"Trading Account")</f>
        <v>Trading Account</v>
      </c>
      <c r="N5" s="29" t="str">
        <f>IFERROR(__xludf.DUMMYFUNCTION("""COMPUTED_VALUE"""),"Avg Price(Local)")</f>
        <v>Avg Price(Local)</v>
      </c>
      <c r="O5" s="29" t="str">
        <f>IFERROR(__xludf.DUMMYFUNCTION("""COMPUTED_VALUE"""),"Avg Price(Base)")</f>
        <v>Avg Price(Base)</v>
      </c>
      <c r="P5" s="29" t="str">
        <f>IFERROR(__xludf.DUMMYFUNCTION("""COMPUTED_VALUE"""),"Broker")</f>
        <v>Broker</v>
      </c>
      <c r="Q5" s="29" t="str">
        <f>IFERROR(__xludf.DUMMYFUNCTION("""COMPUTED_VALUE"""),"FX Rate")</f>
        <v>FX Rate</v>
      </c>
      <c r="R5" s="29" t="str">
        <f>IFERROR(__xludf.DUMMYFUNCTION("""COMPUTED_VALUE"""),"Venue")</f>
        <v>Venue</v>
      </c>
      <c r="S5" s="29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B6" s="10" t="s">
        <v>16</v>
      </c>
      <c r="C6" s="10" t="s">
        <v>17</v>
      </c>
      <c r="D6" s="10">
        <v>100.0</v>
      </c>
      <c r="E6" s="10">
        <v>100.0</v>
      </c>
      <c r="O6" s="31">
        <v>1.0</v>
      </c>
    </row>
    <row r="7" ht="15.75" customHeight="1">
      <c r="A7" s="7"/>
      <c r="B7" s="10" t="s">
        <v>20</v>
      </c>
      <c r="C7" s="10" t="s">
        <v>26</v>
      </c>
      <c r="D7" s="10">
        <v>600.0</v>
      </c>
      <c r="E7" s="10">
        <v>600.0</v>
      </c>
      <c r="F7" s="7"/>
      <c r="G7" s="7"/>
      <c r="H7" s="7"/>
      <c r="I7" s="7"/>
      <c r="J7" s="7"/>
      <c r="K7" s="7"/>
      <c r="L7" s="7"/>
      <c r="M7" s="7"/>
      <c r="N7" s="7"/>
      <c r="O7" s="10">
        <v>1.0</v>
      </c>
    </row>
    <row r="8" ht="15.75" customHeight="1">
      <c r="A8" s="7"/>
      <c r="B8" s="10" t="s">
        <v>23</v>
      </c>
      <c r="C8" s="10" t="s">
        <v>26</v>
      </c>
      <c r="D8" s="10">
        <v>400.0</v>
      </c>
      <c r="E8" s="10">
        <v>400.0</v>
      </c>
      <c r="F8" s="7"/>
      <c r="G8" s="7"/>
      <c r="H8" s="7"/>
      <c r="I8" s="7"/>
      <c r="J8" s="7"/>
      <c r="K8" s="7"/>
      <c r="L8" s="7"/>
      <c r="M8" s="7"/>
      <c r="N8" s="7"/>
      <c r="O8" s="10">
        <v>1.0</v>
      </c>
    </row>
    <row r="9" ht="15.75" customHeight="1">
      <c r="A9" s="7"/>
      <c r="B9" s="10" t="s">
        <v>27</v>
      </c>
      <c r="C9" s="10" t="s">
        <v>28</v>
      </c>
      <c r="D9" s="10">
        <v>100.0</v>
      </c>
      <c r="E9" s="10">
        <v>100.0</v>
      </c>
      <c r="F9" s="7"/>
      <c r="G9" s="7"/>
      <c r="H9" s="7"/>
      <c r="I9" s="7"/>
      <c r="J9" s="7"/>
      <c r="K9" s="7"/>
      <c r="L9" s="7"/>
      <c r="M9" s="7"/>
      <c r="N9" s="7"/>
      <c r="O9" s="10">
        <v>1.0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8</v>
      </c>
      <c r="C3" s="23" t="s">
        <v>29</v>
      </c>
      <c r="D3" s="8" t="s">
        <v>9</v>
      </c>
      <c r="E3" s="23" t="s">
        <v>31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IFERROR(__xludf.DUMMYFUNCTION("""COMPUTED_VALUE"""),"PreferenceType")</f>
        <v>PreferenceType</v>
      </c>
      <c r="C5" s="29" t="str">
        <f>IFERROR(__xludf.DUMMYFUNCTION("""COMPUTED_VALUE"""),"PreferenceName")</f>
        <v>PreferenceName</v>
      </c>
      <c r="D5" s="29" t="str">
        <f>IFERROR(__xludf.DUMMYFUNCTION("""COMPUTED_VALUE"""),"PTTPrefNeeded")</f>
        <v>PTTPrefNeeded</v>
      </c>
      <c r="E5" s="29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9" t="str">
        <f>IFERROR(__xludf.DUMMYFUNCTION("""COMPUTED_VALUE"""),"RemainderAllocationTo")</f>
        <v>RemainderAllocationTo</v>
      </c>
      <c r="H5" s="29" t="str">
        <f>IFERROR(__xludf.DUMMYFUNCTION("""COMPUTED_VALUE"""),"Target%AsOf")</f>
        <v>Target%AsOf</v>
      </c>
      <c r="I5" s="29" t="str">
        <f>IFERROR(__xludf.DUMMYFUNCTION("""COMPUTED_VALUE"""),"AccountsForProrata")</f>
        <v>AccountsForProrata</v>
      </c>
      <c r="J5" s="29" t="str">
        <f>IFERROR(__xludf.DUMMYFUNCTION("""COMPUTED_VALUE"""),"DateUptoDays")</f>
        <v>DateUptoDays</v>
      </c>
      <c r="K5" s="29" t="str">
        <f>IFERROR(__xludf.DUMMYFUNCTION("""COMPUTED_VALUE"""),"MatchClosingTransactions")</f>
        <v>MatchClosingTransactions</v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B6" s="31" t="s">
        <v>32</v>
      </c>
      <c r="E6" s="31" t="b">
        <v>1</v>
      </c>
      <c r="H6" s="31" t="s">
        <v>33</v>
      </c>
      <c r="I6" s="31"/>
      <c r="K6" s="31" t="b">
        <v>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1mOtszotVOdqHquQTLi-4CBnAUrtAF2MEABuvYJh_hzw</v>
      </c>
      <c r="K2" s="21"/>
      <c r="L2" s="7"/>
      <c r="M2" s="7"/>
      <c r="N2" s="7"/>
      <c r="O2" s="7"/>
    </row>
    <row r="3" ht="15.75" customHeight="1">
      <c r="A3" s="22"/>
      <c r="B3" s="8" t="s">
        <v>8</v>
      </c>
      <c r="C3" s="23" t="s">
        <v>29</v>
      </c>
      <c r="D3" s="8" t="s">
        <v>9</v>
      </c>
      <c r="E3" s="23" t="s">
        <v>34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IFERROR(__xludf.DUMMYFUNCTION("""COMPUTED_VALUE"""),"Account Percentage")</f>
        <v>Account Percentage</v>
      </c>
      <c r="D5" s="29" t="str">
        <f>IFERROR(__xludf.DUMMYFUNCTION("""COMPUTED_VALUE"""),"Account Quantity")</f>
        <v>Account Quantity</v>
      </c>
      <c r="E5" s="29" t="str">
        <f>IFERROR(__xludf.DUMMYFUNCTION("""COMPUTED_VALUE"""),"")</f>
        <v/>
      </c>
      <c r="F5" s="29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B6" s="31" t="s">
        <v>35</v>
      </c>
      <c r="C6" s="31">
        <v>50.0</v>
      </c>
    </row>
    <row r="7" ht="15.75" customHeight="1">
      <c r="A7" s="7"/>
      <c r="B7" s="10" t="s">
        <v>36</v>
      </c>
      <c r="C7" s="10">
        <v>50.0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8</v>
      </c>
      <c r="C3" s="23" t="s">
        <v>29</v>
      </c>
      <c r="D3" s="8" t="s">
        <v>9</v>
      </c>
      <c r="E3" s="23" t="s">
        <v>37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K6" s="31">
        <v>1.0</v>
      </c>
      <c r="L6" s="31">
        <v>1.0</v>
      </c>
      <c r="BJ6" s="31">
        <v>100.0</v>
      </c>
      <c r="BO6" s="31" t="s">
        <v>17</v>
      </c>
      <c r="BT6" s="31" t="s">
        <v>16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10">
        <v>1.0</v>
      </c>
      <c r="L7" s="10">
        <v>1.0</v>
      </c>
      <c r="M7" s="7"/>
      <c r="N7" s="7"/>
      <c r="O7" s="7"/>
      <c r="BJ7" s="31">
        <v>100.0</v>
      </c>
      <c r="BO7" s="31" t="s">
        <v>28</v>
      </c>
      <c r="BT7" s="31" t="s">
        <v>27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31">
        <v>1.0</v>
      </c>
      <c r="L8" s="31">
        <v>1.0</v>
      </c>
      <c r="M8" s="7"/>
      <c r="N8" s="7"/>
      <c r="O8" s="7"/>
      <c r="BJ8" s="31">
        <v>400.0</v>
      </c>
      <c r="BO8" s="31" t="s">
        <v>26</v>
      </c>
      <c r="BT8" s="31" t="s">
        <v>23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10">
        <v>1.0</v>
      </c>
      <c r="L9" s="10">
        <v>1.0</v>
      </c>
      <c r="M9" s="7"/>
      <c r="N9" s="7"/>
      <c r="O9" s="7"/>
      <c r="BJ9" s="31">
        <v>600.0</v>
      </c>
      <c r="BO9" s="31" t="s">
        <v>26</v>
      </c>
      <c r="BT9" s="31" t="s">
        <v>20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8</v>
      </c>
      <c r="C3" s="23" t="s">
        <v>38</v>
      </c>
      <c r="D3" s="8" t="s">
        <v>9</v>
      </c>
      <c r="E3" s="23" t="s">
        <v>39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IFERROR(__xludf.DUMMYFUNCTION("""COMPUTED_VALUE"""),"Account Filter")</f>
        <v>Account Filter</v>
      </c>
      <c r="F5" s="33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10" t="s">
        <v>40</v>
      </c>
      <c r="C6" s="7"/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8</v>
      </c>
      <c r="C3" s="23" t="s">
        <v>38</v>
      </c>
      <c r="D3" s="8" t="s">
        <v>9</v>
      </c>
      <c r="E3" s="23" t="s">
        <v>41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33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10" t="s">
        <v>35</v>
      </c>
      <c r="C6" s="7"/>
      <c r="D6" s="10"/>
      <c r="E6" s="34"/>
      <c r="F6" s="7"/>
      <c r="G6" s="7"/>
      <c r="H6" s="7"/>
      <c r="I6" s="10">
        <v>1.0</v>
      </c>
      <c r="J6" s="7"/>
      <c r="K6" s="7"/>
      <c r="L6" s="7"/>
      <c r="M6" s="10">
        <v>50.0</v>
      </c>
      <c r="N6" s="7"/>
      <c r="O6" s="7"/>
      <c r="P6" s="31" t="s">
        <v>17</v>
      </c>
      <c r="R6" s="31" t="s">
        <v>16</v>
      </c>
    </row>
    <row r="7" ht="15.75" customHeight="1">
      <c r="A7" s="7"/>
      <c r="B7" s="10" t="s">
        <v>36</v>
      </c>
      <c r="C7" s="7"/>
      <c r="D7" s="7"/>
      <c r="E7" s="7"/>
      <c r="F7" s="7"/>
      <c r="G7" s="7"/>
      <c r="H7" s="7"/>
      <c r="I7" s="10">
        <v>1.0</v>
      </c>
      <c r="J7" s="7"/>
      <c r="K7" s="7"/>
      <c r="L7" s="7"/>
      <c r="M7" s="10">
        <v>50.0</v>
      </c>
      <c r="N7" s="7"/>
      <c r="O7" s="7"/>
      <c r="P7" s="31" t="s">
        <v>17</v>
      </c>
      <c r="R7" s="31" t="s">
        <v>16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8</v>
      </c>
      <c r="C3" s="23" t="s">
        <v>42</v>
      </c>
      <c r="D3" s="8" t="s">
        <v>9</v>
      </c>
      <c r="E3" s="23" t="s">
        <v>43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IFERROR(__xludf.DUMMYFUNCTION("""COMPUTED_VALUE"""),"MasterFund")</f>
        <v>MasterFund</v>
      </c>
      <c r="C5" s="29" t="str">
        <f>IFERROR(__xludf.DUMMYFUNCTION("""COMPUTED_VALUE"""),"Accounts")</f>
        <v>Accounts</v>
      </c>
      <c r="D5" s="29" t="str">
        <f>IFERROR(__xludf.DUMMYFUNCTION("""COMPUTED_VALUE"""),"From")</f>
        <v>From</v>
      </c>
      <c r="E5" s="29" t="str">
        <f>IFERROR(__xludf.DUMMYFUNCTION("""COMPUTED_VALUE"""),"To")</f>
        <v>To</v>
      </c>
      <c r="F5" s="33" t="str">
        <f>IFERROR(__xludf.DUMMYFUNCTION("""COMPUTED_VALUE"""),"SettlementDate")</f>
        <v>SettlementDate</v>
      </c>
      <c r="G5" s="29" t="str">
        <f>IFERROR(__xludf.DUMMYFUNCTION("""COMPUTED_VALUE"""),"TradeDate")</f>
        <v>TradeDate</v>
      </c>
      <c r="H5" s="29" t="str">
        <f>IFERROR(__xludf.DUMMYFUNCTION("""COMPUTED_VALUE"""),"All")</f>
        <v>All</v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5"/>
      <c r="B6" s="36" t="s">
        <v>44</v>
      </c>
      <c r="C6" s="37" t="s">
        <v>45</v>
      </c>
      <c r="D6" s="38">
        <f t="shared" ref="D6:E6" si="1">TODAY()</f>
        <v>43634</v>
      </c>
      <c r="E6" s="38">
        <f t="shared" si="1"/>
        <v>43634</v>
      </c>
      <c r="F6" s="39" t="s">
        <v>46</v>
      </c>
      <c r="G6" s="39" t="s">
        <v>47</v>
      </c>
      <c r="H6" s="39" t="s">
        <v>46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8</v>
      </c>
      <c r="C3" s="23" t="s">
        <v>42</v>
      </c>
      <c r="D3" s="8" t="s">
        <v>9</v>
      </c>
      <c r="E3" s="23" t="s">
        <v>48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IFERROR(__xludf.DUMMYFUNCTION("""COMPUTED_VALUE"""),"Activity Source")</f>
        <v>Activity Source</v>
      </c>
      <c r="D5" s="29" t="str">
        <f>IFERROR(__xludf.DUMMYFUNCTION("""COMPUTED_VALUE"""),"ActivityType")</f>
        <v>ActivityType</v>
      </c>
      <c r="E5" s="29" t="str">
        <f>IFERROR(__xludf.DUMMYFUNCTION("""COMPUTED_VALUE"""),"Net Amount(Local)")</f>
        <v>Net Amount(Local)</v>
      </c>
      <c r="F5" s="33" t="str">
        <f>IFERROR(__xludf.DUMMYFUNCTION("""COMPUTED_VALUE"""),"AUEC Fee1")</f>
        <v>AUEC Fee1</v>
      </c>
      <c r="G5" s="29" t="str">
        <f>IFERROR(__xludf.DUMMYFUNCTION("""COMPUTED_VALUE"""),"AUEC Fee2")</f>
        <v>AUEC Fee2</v>
      </c>
      <c r="H5" s="29" t="str">
        <f>IFERROR(__xludf.DUMMYFUNCTION("""COMPUTED_VALUE"""),"Balance Type")</f>
        <v>Balance Type</v>
      </c>
      <c r="I5" s="29" t="str">
        <f>IFERROR(__xludf.DUMMYFUNCTION("""COMPUTED_VALUE"""),"Clearing Broker Fees")</f>
        <v>Clearing Broker Fees</v>
      </c>
      <c r="J5" s="29" t="str">
        <f>IFERROR(__xludf.DUMMYFUNCTION("""COMPUTED_VALUE"""),"Commission")</f>
        <v>Commission</v>
      </c>
      <c r="K5" s="29" t="str">
        <f>IFERROR(__xludf.DUMMYFUNCTION("""COMPUTED_VALUE"""),"Currency")</f>
        <v>Currency</v>
      </c>
      <c r="L5" s="29" t="str">
        <f>IFERROR(__xludf.DUMMYFUNCTION("""COMPUTED_VALUE"""),"Description")</f>
        <v>Description</v>
      </c>
      <c r="M5" s="29" t="str">
        <f>IFERROR(__xludf.DUMMYFUNCTION("""COMPUTED_VALUE"""),"Entry Date")</f>
        <v>Entry Date</v>
      </c>
      <c r="N5" s="29" t="str">
        <f>IFERROR(__xludf.DUMMYFUNCTION("""COMPUTED_VALUE"""),"FX Conversion Method Operator")</f>
        <v>FX Conversion Method Operator</v>
      </c>
      <c r="O5" s="29" t="str">
        <f>IFERROR(__xludf.DUMMYFUNCTION("""COMPUTED_VALUE"""),"Fx Rate")</f>
        <v>Fx Rate</v>
      </c>
      <c r="P5" s="29" t="str">
        <f>IFERROR(__xludf.DUMMYFUNCTION("""COMPUTED_VALUE"""),"Lead Currency")</f>
        <v>Lead Currency</v>
      </c>
      <c r="Q5" s="29" t="str">
        <f>IFERROR(__xludf.DUMMYFUNCTION("""COMPUTED_VALUE"""),"Modify date")</f>
        <v>Modify date</v>
      </c>
      <c r="R5" s="29" t="str">
        <f>IFERROR(__xludf.DUMMYFUNCTION("""COMPUTED_VALUE"""),"OCC Fee")</f>
        <v>OCC Fee</v>
      </c>
      <c r="S5" s="29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40"/>
      <c r="B6" s="36" t="s">
        <v>35</v>
      </c>
      <c r="C6" s="37"/>
      <c r="D6" s="36" t="s">
        <v>49</v>
      </c>
      <c r="E6" s="37"/>
      <c r="F6" s="37"/>
      <c r="G6" s="37"/>
      <c r="H6" s="37"/>
      <c r="I6" s="37"/>
      <c r="J6" s="37"/>
      <c r="K6" s="37" t="s">
        <v>50</v>
      </c>
      <c r="L6" s="37"/>
      <c r="M6" s="37"/>
      <c r="N6" s="37"/>
      <c r="O6" s="37"/>
      <c r="P6" s="37"/>
      <c r="Q6" s="37"/>
      <c r="R6" s="37"/>
      <c r="S6" s="37"/>
      <c r="T6" s="40"/>
      <c r="U6" s="40"/>
      <c r="V6" s="41">
        <v>100.0</v>
      </c>
      <c r="W6" s="40"/>
      <c r="X6" s="40"/>
      <c r="Y6" s="40"/>
      <c r="Z6" s="40"/>
      <c r="AA6" s="40"/>
      <c r="AB6" s="40" t="s">
        <v>16</v>
      </c>
      <c r="AC6" s="40"/>
      <c r="AD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5" t="s">
        <v>36</v>
      </c>
      <c r="C7" s="40"/>
      <c r="D7" s="35" t="s">
        <v>49</v>
      </c>
      <c r="E7" s="40"/>
      <c r="F7" s="40"/>
      <c r="G7" s="40"/>
      <c r="H7" s="40"/>
      <c r="I7" s="40"/>
      <c r="J7" s="40"/>
      <c r="K7" s="40" t="s">
        <v>50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1">
        <v>100.0</v>
      </c>
      <c r="W7" s="40"/>
      <c r="X7" s="40"/>
      <c r="Y7" s="40"/>
      <c r="Z7" s="40"/>
      <c r="AA7" s="40"/>
      <c r="AB7" s="40" t="s">
        <v>16</v>
      </c>
      <c r="AC7" s="40"/>
      <c r="AD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5" t="s">
        <v>51</v>
      </c>
      <c r="C8" s="40"/>
      <c r="D8" s="35" t="s">
        <v>49</v>
      </c>
      <c r="E8" s="40"/>
      <c r="F8" s="40"/>
      <c r="G8" s="40"/>
      <c r="H8" s="40"/>
      <c r="I8" s="40"/>
      <c r="J8" s="40"/>
      <c r="K8" s="40" t="s">
        <v>50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1">
        <v>200.0</v>
      </c>
      <c r="W8" s="40"/>
      <c r="X8" s="40"/>
      <c r="Y8" s="40"/>
      <c r="Z8" s="40"/>
      <c r="AA8" s="40"/>
      <c r="AB8" s="40" t="s">
        <v>16</v>
      </c>
      <c r="AC8" s="40"/>
      <c r="AD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5" t="s">
        <v>35</v>
      </c>
      <c r="C9" s="40"/>
      <c r="D9" s="35" t="s">
        <v>49</v>
      </c>
      <c r="E9" s="40"/>
      <c r="F9" s="40"/>
      <c r="G9" s="40"/>
      <c r="H9" s="40"/>
      <c r="I9" s="40"/>
      <c r="J9" s="40"/>
      <c r="K9" s="40" t="s">
        <v>50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1">
        <v>100.0</v>
      </c>
      <c r="W9" s="40"/>
      <c r="X9" s="40"/>
      <c r="Y9" s="40"/>
      <c r="Z9" s="40"/>
      <c r="AA9" s="40"/>
      <c r="AB9" s="40" t="s">
        <v>20</v>
      </c>
      <c r="AC9" s="40"/>
      <c r="AD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35" t="s">
        <v>36</v>
      </c>
      <c r="C10" s="40"/>
      <c r="D10" s="35" t="s">
        <v>49</v>
      </c>
      <c r="E10" s="40"/>
      <c r="F10" s="40"/>
      <c r="G10" s="40"/>
      <c r="H10" s="40"/>
      <c r="I10" s="40"/>
      <c r="J10" s="40"/>
      <c r="K10" s="40" t="s">
        <v>50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1">
        <v>300.0</v>
      </c>
      <c r="W10" s="40"/>
      <c r="X10" s="40"/>
      <c r="Y10" s="40"/>
      <c r="Z10" s="40"/>
      <c r="AA10" s="40"/>
      <c r="AB10" s="40" t="s">
        <v>20</v>
      </c>
      <c r="AC10" s="40"/>
      <c r="AD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35" t="s">
        <v>24</v>
      </c>
      <c r="C11" s="40"/>
      <c r="D11" s="35" t="s">
        <v>49</v>
      </c>
      <c r="E11" s="40"/>
      <c r="F11" s="40"/>
      <c r="G11" s="40"/>
      <c r="H11" s="40"/>
      <c r="I11" s="40"/>
      <c r="J11" s="40"/>
      <c r="K11" s="40" t="s">
        <v>50</v>
      </c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1">
        <v>400.0</v>
      </c>
      <c r="W11" s="40"/>
      <c r="X11" s="40"/>
      <c r="Y11" s="40"/>
      <c r="Z11" s="40"/>
      <c r="AA11" s="40"/>
      <c r="AB11" s="40" t="s">
        <v>23</v>
      </c>
      <c r="AC11" s="40"/>
      <c r="AD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35" t="s">
        <v>35</v>
      </c>
      <c r="C12" s="40"/>
      <c r="D12" s="35" t="s">
        <v>49</v>
      </c>
      <c r="E12" s="40"/>
      <c r="F12" s="40"/>
      <c r="G12" s="40"/>
      <c r="H12" s="40"/>
      <c r="I12" s="40"/>
      <c r="J12" s="40"/>
      <c r="K12" s="40" t="s">
        <v>50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1">
        <v>50.0</v>
      </c>
      <c r="W12" s="40"/>
      <c r="X12" s="40"/>
      <c r="Y12" s="40"/>
      <c r="Z12" s="40"/>
      <c r="AA12" s="40"/>
      <c r="AB12" s="40" t="s">
        <v>16</v>
      </c>
      <c r="AC12" s="40"/>
      <c r="AD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40" t="s">
        <v>36</v>
      </c>
      <c r="C13" s="40"/>
      <c r="D13" s="40" t="s">
        <v>49</v>
      </c>
      <c r="E13" s="40"/>
      <c r="F13" s="40"/>
      <c r="G13" s="40"/>
      <c r="H13" s="40"/>
      <c r="I13" s="40"/>
      <c r="J13" s="40"/>
      <c r="K13" s="40" t="s">
        <v>50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1">
        <v>50.0</v>
      </c>
      <c r="W13" s="40"/>
      <c r="X13" s="40"/>
      <c r="Y13" s="40"/>
      <c r="Z13" s="40"/>
      <c r="AA13" s="40"/>
      <c r="AB13" s="40" t="s">
        <v>16</v>
      </c>
      <c r="AC13" s="40"/>
      <c r="AD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40" t="s">
        <v>24</v>
      </c>
      <c r="C14" s="40"/>
      <c r="D14" s="42" t="s">
        <v>49</v>
      </c>
      <c r="E14" s="40"/>
      <c r="F14" s="40"/>
      <c r="G14" s="40"/>
      <c r="H14" s="40"/>
      <c r="I14" s="40"/>
      <c r="J14" s="40"/>
      <c r="K14" s="40" t="s">
        <v>50</v>
      </c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1">
        <v>400.0</v>
      </c>
      <c r="W14" s="40"/>
      <c r="X14" s="40"/>
      <c r="Y14" s="40"/>
      <c r="Z14" s="40"/>
      <c r="AA14" s="40"/>
      <c r="AB14" s="40" t="s">
        <v>23</v>
      </c>
      <c r="AC14" s="40"/>
      <c r="AD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40" t="s">
        <v>35</v>
      </c>
      <c r="C15" s="40"/>
      <c r="D15" s="42" t="s">
        <v>52</v>
      </c>
      <c r="E15" s="40"/>
      <c r="F15" s="40"/>
      <c r="G15" s="40"/>
      <c r="H15" s="40"/>
      <c r="I15" s="40"/>
      <c r="J15" s="40"/>
      <c r="K15" s="40" t="s">
        <v>50</v>
      </c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1">
        <v>50.0</v>
      </c>
      <c r="W15" s="40"/>
      <c r="X15" s="40"/>
      <c r="Y15" s="40"/>
      <c r="Z15" s="40"/>
      <c r="AA15" s="40"/>
      <c r="AB15" s="40" t="s">
        <v>27</v>
      </c>
      <c r="AC15" s="40"/>
      <c r="AD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40"/>
      <c r="B16" s="40" t="s">
        <v>36</v>
      </c>
      <c r="C16" s="40"/>
      <c r="D16" s="42" t="s">
        <v>52</v>
      </c>
      <c r="E16" s="40"/>
      <c r="F16" s="40"/>
      <c r="G16" s="40"/>
      <c r="H16" s="40"/>
      <c r="I16" s="40"/>
      <c r="J16" s="40"/>
      <c r="K16" s="40" t="s">
        <v>50</v>
      </c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1">
        <v>50.0</v>
      </c>
      <c r="W16" s="40"/>
      <c r="X16" s="40"/>
      <c r="Y16" s="40"/>
      <c r="Z16" s="40"/>
      <c r="AA16" s="40"/>
      <c r="AB16" s="40" t="s">
        <v>27</v>
      </c>
      <c r="AC16" s="40"/>
      <c r="AD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</row>
    <row r="17" ht="15.75" customHeight="1">
      <c r="A17" s="40"/>
      <c r="B17" s="42" t="s">
        <v>35</v>
      </c>
      <c r="C17" s="40"/>
      <c r="D17" s="42" t="s">
        <v>49</v>
      </c>
      <c r="E17" s="40"/>
      <c r="F17" s="40"/>
      <c r="G17" s="40"/>
      <c r="H17" s="40"/>
      <c r="I17" s="40"/>
      <c r="J17" s="40"/>
      <c r="K17" s="42" t="s">
        <v>50</v>
      </c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2">
        <v>300.0</v>
      </c>
      <c r="W17" s="40"/>
      <c r="X17" s="40"/>
      <c r="Y17" s="40"/>
      <c r="Z17" s="40"/>
      <c r="AA17" s="40"/>
      <c r="AB17" s="42" t="s">
        <v>20</v>
      </c>
      <c r="AC17" s="40"/>
      <c r="AD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</row>
    <row r="18" ht="15.75" customHeight="1">
      <c r="A18" s="7"/>
      <c r="B18" s="10" t="s">
        <v>36</v>
      </c>
      <c r="C18" s="7"/>
      <c r="D18" s="42" t="s">
        <v>49</v>
      </c>
      <c r="E18" s="7"/>
      <c r="F18" s="7"/>
      <c r="G18" s="7"/>
      <c r="H18" s="7"/>
      <c r="I18" s="7"/>
      <c r="J18" s="7"/>
      <c r="K18" s="10" t="s">
        <v>50</v>
      </c>
      <c r="L18" s="7"/>
      <c r="M18" s="7"/>
      <c r="N18" s="7"/>
      <c r="O18" s="7"/>
      <c r="V18" s="31">
        <v>300.0</v>
      </c>
      <c r="AB18" s="31" t="s">
        <v>20</v>
      </c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8</v>
      </c>
      <c r="C3" s="23" t="s">
        <v>29</v>
      </c>
      <c r="D3" s="8" t="s">
        <v>9</v>
      </c>
      <c r="E3" s="23" t="s">
        <v>53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3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5"/>
      <c r="B6" s="39" t="s">
        <v>40</v>
      </c>
      <c r="C6" s="37"/>
      <c r="D6" s="38"/>
      <c r="E6" s="38"/>
      <c r="F6" s="39"/>
      <c r="G6" s="39"/>
      <c r="H6" s="39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8</v>
      </c>
      <c r="C3" s="23" t="s">
        <v>38</v>
      </c>
      <c r="D3" s="8" t="s">
        <v>9</v>
      </c>
      <c r="E3" s="23" t="s">
        <v>54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33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10" t="s">
        <v>35</v>
      </c>
      <c r="C6" s="7"/>
      <c r="D6" s="10"/>
      <c r="E6" s="34"/>
      <c r="F6" s="7"/>
      <c r="G6" s="7"/>
      <c r="H6" s="7"/>
      <c r="I6" s="7"/>
      <c r="J6" s="7"/>
      <c r="K6" s="7"/>
      <c r="L6" s="7"/>
      <c r="M6" s="10">
        <v>300.0</v>
      </c>
      <c r="N6" s="7"/>
      <c r="O6" s="7"/>
      <c r="P6" s="31" t="s">
        <v>26</v>
      </c>
      <c r="R6" s="31" t="s">
        <v>20</v>
      </c>
    </row>
    <row r="7" ht="15.75" customHeight="1">
      <c r="A7" s="7"/>
      <c r="B7" s="10" t="s">
        <v>36</v>
      </c>
      <c r="C7" s="7"/>
      <c r="D7" s="7"/>
      <c r="E7" s="7"/>
      <c r="F7" s="7"/>
      <c r="G7" s="7"/>
      <c r="H7" s="7"/>
      <c r="I7" s="7"/>
      <c r="J7" s="7"/>
      <c r="K7" s="7"/>
      <c r="L7" s="7"/>
      <c r="M7" s="10">
        <v>300.0</v>
      </c>
      <c r="N7" s="7"/>
      <c r="O7" s="7"/>
      <c r="P7" s="31" t="s">
        <v>26</v>
      </c>
      <c r="R7" s="31" t="s">
        <v>20</v>
      </c>
    </row>
    <row r="8" ht="15.75" customHeight="1">
      <c r="A8" s="7"/>
      <c r="B8" s="10" t="s">
        <v>35</v>
      </c>
      <c r="C8" s="7"/>
      <c r="D8" s="7"/>
      <c r="E8" s="7"/>
      <c r="F8" s="7"/>
      <c r="G8" s="7"/>
      <c r="H8" s="7"/>
      <c r="I8" s="7"/>
      <c r="J8" s="7"/>
      <c r="K8" s="7"/>
      <c r="L8" s="7"/>
      <c r="M8" s="10">
        <v>200.0</v>
      </c>
      <c r="N8" s="7"/>
      <c r="O8" s="7"/>
      <c r="P8" s="31" t="s">
        <v>26</v>
      </c>
      <c r="R8" s="31" t="s">
        <v>23</v>
      </c>
    </row>
    <row r="9" ht="15.75" customHeight="1">
      <c r="A9" s="7"/>
      <c r="B9" s="10" t="s">
        <v>36</v>
      </c>
      <c r="C9" s="7"/>
      <c r="D9" s="7"/>
      <c r="E9" s="7"/>
      <c r="F9" s="7"/>
      <c r="G9" s="7"/>
      <c r="H9" s="7"/>
      <c r="I9" s="7"/>
      <c r="J9" s="7"/>
      <c r="K9" s="7"/>
      <c r="L9" s="7"/>
      <c r="M9" s="10">
        <v>200.0</v>
      </c>
      <c r="N9" s="7"/>
      <c r="O9" s="7"/>
      <c r="P9" s="31" t="s">
        <v>26</v>
      </c>
      <c r="R9" s="31" t="s">
        <v>23</v>
      </c>
    </row>
    <row r="10" ht="15.75" customHeight="1">
      <c r="A10" s="7"/>
      <c r="B10" s="10" t="s">
        <v>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10">
        <v>50.0</v>
      </c>
      <c r="N10" s="7"/>
      <c r="O10" s="7"/>
      <c r="P10" s="31" t="s">
        <v>28</v>
      </c>
      <c r="R10" s="31" t="s">
        <v>27</v>
      </c>
    </row>
    <row r="11" ht="15.75" customHeight="1">
      <c r="A11" s="7"/>
      <c r="B11" s="10" t="s">
        <v>36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10">
        <v>50.0</v>
      </c>
      <c r="N11" s="7"/>
      <c r="O11" s="7"/>
      <c r="P11" s="31" t="s">
        <v>28</v>
      </c>
      <c r="R11" s="31" t="s">
        <v>27</v>
      </c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8" t="s">
        <v>8</v>
      </c>
      <c r="C3" s="23" t="s">
        <v>55</v>
      </c>
      <c r="D3" s="8" t="s">
        <v>9</v>
      </c>
      <c r="E3" s="23" t="s">
        <v>56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</row>
    <row r="4" ht="15.75" customHeight="1">
      <c r="A4" s="26"/>
      <c r="B4" s="26" t="str">
        <f>IFERROR(__xludf.DUMMYFUNCTION("IF(C3="""","""",Transpose(IMPORTRANGE('_Settings'!$B$3,C3&amp;""!A4:A1000"")))"),"CheckDashboardPM")</f>
        <v>CheckDashboardPM</v>
      </c>
      <c r="C4" s="26" t="str">
        <f>IFERROR(__xludf.DUMMYFUNCTION("""COMPUTED_VALUE"""),"CheckPortfolioManagement")</f>
        <v>CheckPortfolioManagement</v>
      </c>
      <c r="D4" s="26" t="str">
        <f>IFERROR(__xludf.DUMMYFUNCTION("""COMPUTED_VALUE"""),"OpenPSTFromPM")</f>
        <v>OpenPSTFromPM</v>
      </c>
      <c r="E4" s="26" t="str">
        <f>IFERROR(__xludf.DUMMYFUNCTION("""COMPUTED_VALUE"""),"ClosePM")</f>
        <v>ClosePM</v>
      </c>
      <c r="F4" s="26" t="str">
        <f>IFERROR(__xludf.DUMMYFUNCTION("""COMPUTED_VALUE"""),"FilterPM")</f>
        <v>FilterPM</v>
      </c>
      <c r="G4" s="26" t="str">
        <f>IFERROR(__xludf.DUMMYFUNCTION("""COMPUTED_VALUE"""),"GroupRowPM")</f>
        <v>GroupRowPM</v>
      </c>
      <c r="H4" s="26" t="str">
        <f>IFERROR(__xludf.DUMMYFUNCTION("""COMPUTED_VALUE"""),"CheckDashboardWithPM")</f>
        <v>CheckDashboardWithPM</v>
      </c>
      <c r="I4" s="26" t="str">
        <f>IFERROR(__xludf.DUMMYFUNCTION("""COMPUTED_VALUE"""),"RemoveFilterPM")</f>
        <v>RemoveFilterPM</v>
      </c>
      <c r="J4" s="26" t="str">
        <f>IFERROR(__xludf.DUMMYFUNCTION("""COMPUTED_VALUE"""),"CheckSummaryRowsPM")</f>
        <v>CheckSummaryRowsPM</v>
      </c>
      <c r="K4" s="26" t="str">
        <f>IFERROR(__xludf.DUMMYFUNCTION("""COMPUTED_VALUE"""),"OpenPTTFromPM")</f>
        <v>OpenPTTFromPM</v>
      </c>
      <c r="L4" s="26" t="str">
        <f>IFERROR(__xludf.DUMMYFUNCTION("""COMPUTED_VALUE"""),"OpenCreateTransactionFromPM")</f>
        <v>OpenCreateTransactionFromPM</v>
      </c>
      <c r="M4" s="26" t="str">
        <f>IFERROR(__xludf.DUMMYFUNCTION("""COMPUTED_VALUE"""),"OpenClosingFromPM")</f>
        <v>OpenClosingFromPM</v>
      </c>
      <c r="N4" s="26" t="str">
        <f>IFERROR(__xludf.DUMMYFUNCTION("""COMPUTED_VALUE"""),"OpenCorporateActionFromPM")</f>
        <v>OpenCorporateActionFromPM</v>
      </c>
      <c r="O4" s="26" t="str">
        <f>IFERROR(__xludf.DUMMYFUNCTION("""COMPUTED_VALUE"""),"OpenDailyValuationFromPM")</f>
        <v>OpenDailyValuationFromPM</v>
      </c>
      <c r="P4" s="27" t="str">
        <f>IFERROR(__xludf.DUMMYFUNCTION("""COMPUTED_VALUE"""),"ClosePositionFromPM")</f>
        <v>ClosePositionFromPM</v>
      </c>
      <c r="Q4" s="27" t="str">
        <f>IFERROR(__xludf.DUMMYFUNCTION("""COMPUTED_VALUE"""),"ShowSummaryToolFromPM")</f>
        <v>ShowSummaryToolFromPM</v>
      </c>
      <c r="R4" s="27" t="str">
        <f>IFERROR(__xludf.DUMMYFUNCTION("""COMPUTED_VALUE"""),"HideSummaryToolFromPM")</f>
        <v>HideSummaryToolFromPM</v>
      </c>
      <c r="S4" s="27" t="str">
        <f>IFERROR(__xludf.DUMMYFUNCTION("""COMPUTED_VALUE"""),"CloseAccountPositionFromPM")</f>
        <v>CloseAccountPositionFromPM</v>
      </c>
      <c r="T4" s="27" t="str">
        <f>IFERROR(__xludf.DUMMYFUNCTION("""COMPUTED_VALUE"""),"CloseSelectedTaxlotsFromPM")</f>
        <v>CloseSelectedTaxlotsFromPM</v>
      </c>
      <c r="U4" s="27" t="str">
        <f>IFERROR(__xludf.DUMMYFUNCTION("""COMPUTED_VALUE"""),"ExpandCollapsePM")</f>
        <v>ExpandCollapsePM</v>
      </c>
      <c r="V4" s="27" t="str">
        <f>IFERROR(__xludf.DUMMYFUNCTION("""COMPUTED_VALUE"""),"AddCustomViewPM")</f>
        <v>AddCustomViewPM</v>
      </c>
      <c r="W4" s="27" t="str">
        <f>IFERROR(__xludf.DUMMYFUNCTION("""COMPUTED_VALUE"""),"AddCustomViewRightClickPM")</f>
        <v>AddCustomViewRightClickPM</v>
      </c>
      <c r="X4" s="27" t="str">
        <f>IFERROR(__xludf.DUMMYFUNCTION("""COMPUTED_VALUE"""),"RenameCustomViewPM")</f>
        <v>RenameCustomViewPM</v>
      </c>
      <c r="Y4" s="27" t="str">
        <f>IFERROR(__xludf.DUMMYFUNCTION("""COMPUTED_VALUE"""),"DeleteCustomViewPM")</f>
        <v>DeleteCustomViewPM</v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  <c r="EY4" s="27" t="str">
        <f>IFERROR(__xludf.DUMMYFUNCTION("""COMPUTED_VALUE"""),"")</f>
        <v/>
      </c>
      <c r="EZ4" s="27" t="str">
        <f>IFERROR(__xludf.DUMMYFUNCTION("""COMPUTED_VALUE"""),"")</f>
        <v/>
      </c>
      <c r="FA4" s="27" t="str">
        <f>IFERROR(__xludf.DUMMYFUNCTION("""COMPUTED_VALUE"""),"")</f>
        <v/>
      </c>
      <c r="FB4" s="27" t="str">
        <f>IFERROR(__xludf.DUMMYFUNCTION("""COMPUTED_VALUE"""),"")</f>
        <v/>
      </c>
      <c r="FC4" s="27" t="str">
        <f>IFERROR(__xludf.DUMMYFUNCTION("""COMPUTED_VALUE"""),"")</f>
        <v/>
      </c>
      <c r="FD4" s="27" t="str">
        <f>IFERROR(__xludf.DUMMYFUNCTION("""COMPUTED_VALUE"""),"")</f>
        <v/>
      </c>
      <c r="FE4" s="27" t="str">
        <f>IFERROR(__xludf.DUMMYFUNCTION("""COMPUTED_VALUE"""),"")</f>
        <v/>
      </c>
      <c r="FF4" s="27" t="str">
        <f>IFERROR(__xludf.DUMMYFUNCTION("""COMPUTED_VALUE"""),"")</f>
        <v/>
      </c>
      <c r="FG4" s="27" t="str">
        <f>IFERROR(__xludf.DUMMYFUNCTION("""COMPUTED_VALUE"""),"")</f>
        <v/>
      </c>
      <c r="FH4" s="27" t="str">
        <f>IFERROR(__xludf.DUMMYFUNCTION("""COMPUTED_VALUE"""),"")</f>
        <v/>
      </c>
      <c r="FI4" s="27" t="str">
        <f>IFERROR(__xludf.DUMMYFUNCTION("""COMPUTED_VALUE"""),"")</f>
        <v/>
      </c>
      <c r="FJ4" s="27" t="str">
        <f>IFERROR(__xludf.DUMMYFUNCTION("""COMPUTED_VALUE"""),"")</f>
        <v/>
      </c>
      <c r="FK4" s="27" t="str">
        <f>IFERROR(__xludf.DUMMYFUNCTION("""COMPUTED_VALUE"""),"")</f>
        <v/>
      </c>
      <c r="FL4" s="27" t="str">
        <f>IFERROR(__xludf.DUMMYFUNCTION("""COMPUTED_VALUE"""),"")</f>
        <v/>
      </c>
      <c r="FM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3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IFERROR(__xludf.DUMMYFUNCTION("""COMPUTED_VALUE"""),"")</f>
        <v/>
      </c>
      <c r="FB5" s="30" t="str">
        <f>IFERROR(__xludf.DUMMYFUNCTION("""COMPUTED_VALUE"""),"")</f>
        <v/>
      </c>
      <c r="FC5" s="30" t="str">
        <f>IFERROR(__xludf.DUMMYFUNCTION("""COMPUTED_VALUE"""),"")</f>
        <v/>
      </c>
      <c r="FD5" s="30" t="str">
        <f>IFERROR(__xludf.DUMMYFUNCTION("""COMPUTED_VALUE"""),"")</f>
        <v/>
      </c>
      <c r="FE5" s="30" t="str">
        <f>IFERROR(__xludf.DUMMYFUNCTION("""COMPUTED_VALUE"""),"")</f>
        <v/>
      </c>
      <c r="FF5" s="30" t="str">
        <f>IFERROR(__xludf.DUMMYFUNCTION("""COMPUTED_VALUE"""),"")</f>
        <v/>
      </c>
      <c r="FG5" s="30" t="str">
        <f>IFERROR(__xludf.DUMMYFUNCTION("""COMPUTED_VALUE"""),"")</f>
        <v/>
      </c>
      <c r="FH5" s="30" t="str">
        <f>IFERROR(__xludf.DUMMYFUNCTION("""COMPUTED_VALUE"""),"")</f>
        <v/>
      </c>
      <c r="FI5" s="30" t="str">
        <f>IFERROR(__xludf.DUMMYFUNCTION("""COMPUTED_VALUE"""),"")</f>
        <v/>
      </c>
      <c r="FJ5" s="30" t="str">
        <f>IFERROR(__xludf.DUMMYFUNCTION("""COMPUTED_VALUE"""),"")</f>
        <v/>
      </c>
      <c r="FK5" s="30" t="str">
        <f>IFERROR(__xludf.DUMMYFUNCTION("""COMPUTED_VALUE"""),"")</f>
        <v/>
      </c>
      <c r="FL5" s="30" t="str">
        <f>IFERROR(__xludf.DUMMYFUNCTION("""COMPUTED_VALUE"""),"")</f>
        <v/>
      </c>
      <c r="FM5" s="30" t="str">
        <f>IFERROR(__xludf.DUMMYFUNCTION("""COMPUTED_VALUE"""),"")</f>
        <v/>
      </c>
    </row>
    <row r="6" ht="15.75" customHeight="1">
      <c r="A6" s="35"/>
      <c r="B6" s="36"/>
      <c r="C6" s="37" t="s">
        <v>16</v>
      </c>
      <c r="D6" s="43">
        <v>100.0</v>
      </c>
      <c r="E6" s="37" t="s">
        <v>35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 t="s">
        <v>17</v>
      </c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</row>
    <row r="7" ht="15.75" customHeight="1">
      <c r="A7" s="40"/>
      <c r="B7" s="40"/>
      <c r="C7" s="40" t="s">
        <v>16</v>
      </c>
      <c r="D7" s="41">
        <v>100.0</v>
      </c>
      <c r="E7" s="40" t="s">
        <v>36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 t="s">
        <v>17</v>
      </c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</row>
    <row r="8" ht="15.75" customHeight="1">
      <c r="A8" s="40"/>
      <c r="B8" s="40"/>
      <c r="C8" s="40" t="s">
        <v>16</v>
      </c>
      <c r="D8" s="41">
        <v>200.0</v>
      </c>
      <c r="E8" s="40" t="s">
        <v>51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 t="s">
        <v>17</v>
      </c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</row>
    <row r="9" ht="15.75" customHeight="1">
      <c r="A9" s="40"/>
      <c r="B9" s="40"/>
      <c r="C9" s="40" t="s">
        <v>20</v>
      </c>
      <c r="D9" s="41">
        <v>100.0</v>
      </c>
      <c r="E9" s="40" t="s">
        <v>35</v>
      </c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 t="s">
        <v>17</v>
      </c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</row>
    <row r="10" ht="15.75" customHeight="1">
      <c r="A10" s="40"/>
      <c r="B10" s="40"/>
      <c r="C10" s="40" t="s">
        <v>20</v>
      </c>
      <c r="D10" s="41">
        <v>300.0</v>
      </c>
      <c r="E10" s="40" t="s">
        <v>36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 t="s">
        <v>17</v>
      </c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</row>
    <row r="11" ht="15.75" customHeight="1">
      <c r="A11" s="40"/>
      <c r="B11" s="40"/>
      <c r="C11" s="40" t="s">
        <v>23</v>
      </c>
      <c r="D11" s="41">
        <v>400.0</v>
      </c>
      <c r="E11" s="40" t="s">
        <v>24</v>
      </c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 t="s">
        <v>17</v>
      </c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</row>
    <row r="12" ht="15.75" customHeight="1">
      <c r="A12" s="40"/>
      <c r="B12" s="40"/>
      <c r="C12" s="40" t="s">
        <v>16</v>
      </c>
      <c r="D12" s="44">
        <v>50.0</v>
      </c>
      <c r="E12" s="40" t="s">
        <v>35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 t="s">
        <v>17</v>
      </c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</row>
    <row r="13" ht="15.75" customHeight="1">
      <c r="A13" s="40"/>
      <c r="B13" s="40"/>
      <c r="C13" s="40" t="s">
        <v>16</v>
      </c>
      <c r="D13" s="44">
        <v>50.0</v>
      </c>
      <c r="E13" s="40" t="s">
        <v>36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 t="s">
        <v>17</v>
      </c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</row>
    <row r="14" ht="15.75" customHeight="1">
      <c r="A14" s="40"/>
      <c r="B14" s="40"/>
      <c r="C14" s="40" t="s">
        <v>20</v>
      </c>
      <c r="D14" s="44">
        <v>-300.0</v>
      </c>
      <c r="E14" s="42" t="s">
        <v>35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 t="s">
        <v>26</v>
      </c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</row>
    <row r="15" ht="15.75" customHeight="1">
      <c r="A15" s="40"/>
      <c r="B15" s="40"/>
      <c r="C15" s="42" t="s">
        <v>20</v>
      </c>
      <c r="D15" s="44">
        <v>-300.0</v>
      </c>
      <c r="E15" s="42" t="s">
        <v>36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2" t="s">
        <v>26</v>
      </c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</row>
    <row r="16" ht="15.75" customHeight="1">
      <c r="A16" s="40"/>
      <c r="B16" s="40"/>
      <c r="C16" s="40" t="s">
        <v>23</v>
      </c>
      <c r="D16" s="44">
        <v>-200.0</v>
      </c>
      <c r="E16" s="42" t="s">
        <v>35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 t="s">
        <v>26</v>
      </c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</row>
    <row r="17" ht="15.75" customHeight="1">
      <c r="A17" s="40"/>
      <c r="B17" s="40"/>
      <c r="C17" s="42" t="s">
        <v>23</v>
      </c>
      <c r="D17" s="44">
        <v>-200.0</v>
      </c>
      <c r="E17" s="42" t="s">
        <v>36</v>
      </c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2" t="s">
        <v>26</v>
      </c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</row>
    <row r="18" ht="15.75" customHeight="1">
      <c r="A18" s="40"/>
      <c r="B18" s="40"/>
      <c r="C18" s="40" t="s">
        <v>27</v>
      </c>
      <c r="D18" s="44">
        <v>-50.0</v>
      </c>
      <c r="E18" s="42" t="s">
        <v>35</v>
      </c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 t="s">
        <v>28</v>
      </c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</row>
    <row r="19" ht="15.75" customHeight="1">
      <c r="A19" s="40"/>
      <c r="B19" s="40"/>
      <c r="C19" s="42" t="s">
        <v>27</v>
      </c>
      <c r="D19" s="42">
        <v>-50.0</v>
      </c>
      <c r="E19" s="42" t="s">
        <v>36</v>
      </c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2" t="s">
        <v>28</v>
      </c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</row>
    <row r="20" ht="15.7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</row>
    <row r="21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</row>
    <row r="22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0"/>
      <c r="DY22" s="40"/>
      <c r="DZ22" s="40"/>
      <c r="EA22" s="40"/>
      <c r="EB22" s="40"/>
      <c r="EC22" s="40"/>
      <c r="ED22" s="40"/>
      <c r="EE22" s="40"/>
      <c r="EF22" s="40"/>
      <c r="EG22" s="40"/>
      <c r="EH22" s="40"/>
      <c r="EI22" s="40"/>
      <c r="EJ22" s="40"/>
      <c r="EK22" s="40"/>
      <c r="EL22" s="40"/>
      <c r="EM22" s="40"/>
      <c r="EN22" s="40"/>
      <c r="EO22" s="40"/>
      <c r="EP22" s="40"/>
      <c r="EQ22" s="40"/>
      <c r="ER22" s="40"/>
      <c r="ES22" s="40"/>
      <c r="ET22" s="40"/>
      <c r="EU22" s="40"/>
      <c r="EV22" s="40"/>
      <c r="EW22" s="40"/>
      <c r="EX22" s="40"/>
      <c r="EY22" s="40"/>
      <c r="EZ22" s="40"/>
      <c r="FA22" s="40"/>
      <c r="FB22" s="40"/>
      <c r="FC22" s="40"/>
      <c r="FD22" s="40"/>
      <c r="FE22" s="40"/>
      <c r="FF22" s="40"/>
      <c r="FG22" s="40"/>
      <c r="FH22" s="40"/>
      <c r="FI22" s="40"/>
      <c r="FJ22" s="40"/>
      <c r="FK22" s="40"/>
      <c r="FL22" s="40"/>
      <c r="FM22" s="40"/>
    </row>
    <row r="23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40"/>
      <c r="DU23" s="40"/>
      <c r="DV23" s="40"/>
      <c r="DW23" s="40"/>
      <c r="DX23" s="40"/>
      <c r="DY23" s="40"/>
      <c r="DZ23" s="40"/>
      <c r="EA23" s="40"/>
      <c r="EB23" s="40"/>
      <c r="EC23" s="40"/>
      <c r="ED23" s="40"/>
      <c r="EE23" s="40"/>
      <c r="EF23" s="40"/>
      <c r="EG23" s="40"/>
      <c r="EH23" s="40"/>
      <c r="EI23" s="40"/>
      <c r="EJ23" s="40"/>
      <c r="EK23" s="40"/>
      <c r="EL23" s="40"/>
      <c r="EM23" s="40"/>
      <c r="EN23" s="40"/>
      <c r="EO23" s="40"/>
      <c r="EP23" s="40"/>
      <c r="EQ23" s="40"/>
      <c r="ER23" s="40"/>
      <c r="ES23" s="40"/>
      <c r="ET23" s="40"/>
      <c r="EU23" s="40"/>
      <c r="EV23" s="40"/>
      <c r="EW23" s="40"/>
      <c r="EX23" s="40"/>
      <c r="EY23" s="40"/>
      <c r="EZ23" s="40"/>
      <c r="FA23" s="40"/>
      <c r="FB23" s="40"/>
      <c r="FC23" s="40"/>
      <c r="FD23" s="40"/>
      <c r="FE23" s="40"/>
      <c r="FF23" s="40"/>
      <c r="FG23" s="40"/>
      <c r="FH23" s="40"/>
      <c r="FI23" s="40"/>
      <c r="FJ23" s="40"/>
      <c r="FK23" s="40"/>
      <c r="FL23" s="40"/>
      <c r="FM23" s="40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1lI4loUxqzsE3IjuxIjsVY3cB4J_eTKFPPDuXngut4FE</v>
      </c>
      <c r="K2" s="21"/>
      <c r="L2" s="7"/>
      <c r="M2" s="7"/>
      <c r="N2" s="7"/>
      <c r="O2" s="7"/>
    </row>
    <row r="3" ht="15.75" customHeight="1">
      <c r="A3" s="22"/>
      <c r="B3" s="8" t="s">
        <v>8</v>
      </c>
      <c r="C3" s="23" t="s">
        <v>29</v>
      </c>
      <c r="D3" s="8" t="s">
        <v>9</v>
      </c>
      <c r="E3" s="23" t="s">
        <v>57</v>
      </c>
      <c r="F3" s="8" t="s">
        <v>14</v>
      </c>
      <c r="G3" s="24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3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10" t="b">
        <v>1</v>
      </c>
      <c r="C6" s="7"/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