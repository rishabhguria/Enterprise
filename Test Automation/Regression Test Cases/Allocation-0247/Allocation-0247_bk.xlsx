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AutoGroupingAccount" sheetId="5" r:id="rId7"/>
    <sheet state="visible" name="SetGeneralPreferences" sheetId="6" r:id="rId8"/>
    <sheet state="visible" name="AddMFPreferences" sheetId="7" r:id="rId9"/>
    <sheet state="visible" name="SetMFPreferencesDefaultRule" sheetId="8" r:id="rId10"/>
    <sheet state="visible" name="SetMFPrefFundDistribution" sheetId="9" r:id="rId11"/>
    <sheet state="visible" name="SetMFPrefFundDefaultRule" sheetId="10" r:id="rId12"/>
    <sheet state="visible" name="SetMFPrefAccountValues" sheetId="11" r:id="rId13"/>
    <sheet state="visible" name="SetMFPrefFundDefaultRule1" sheetId="12" r:id="rId14"/>
    <sheet state="visible" name="SetMFPrefAccountValues1" sheetId="13" r:id="rId15"/>
    <sheet state="visible" name="CreateLiveOrder" sheetId="14" r:id="rId16"/>
    <sheet state="visible" name="SelectTrade" sheetId="15" r:id="rId17"/>
    <sheet state="visible" name="AcknowledgeTrade" sheetId="16" r:id="rId18"/>
    <sheet state="visible" name="ExecuteTrade" sheetId="17" r:id="rId19"/>
    <sheet state="visible" name="SelectTrade1" sheetId="18" r:id="rId20"/>
    <sheet state="visible" name="AcknowledgeTrade1" sheetId="19" r:id="rId21"/>
    <sheet state="visible" name="ExecuteTrade1" sheetId="20" r:id="rId22"/>
    <sheet state="visible" name="GetDataAllocation" sheetId="21" r:id="rId23"/>
    <sheet state="visible" name="CheckAllocatedGroups" sheetId="22" r:id="rId24"/>
  </sheets>
  <definedNames/>
  <calcPr/>
</workbook>
</file>

<file path=xl/sharedStrings.xml><?xml version="1.0" encoding="utf-8"?>
<sst xmlns="http://schemas.openxmlformats.org/spreadsheetml/2006/main" count="292" uniqueCount="65">
  <si>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</si>
  <si>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</si>
  <si>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</si>
  <si>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</si>
  <si>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</si>
  <si>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</si>
  <si>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</si>
  <si>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</si>
  <si>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</si>
  <si>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</si>
  <si>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</si>
  <si>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</si>
  <si>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</si>
  <si>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</si>
  <si>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</si>
  <si>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</si>
  <si>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</si>
  <si>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OFFSHORE</t>
  </si>
  <si>
    <t>LP C/O</t>
  </si>
  <si>
    <t>Allocation2</t>
  </si>
  <si>
    <t>Allocation3</t>
  </si>
  <si>
    <t>Allocation1</t>
  </si>
  <si>
    <t>rt</t>
  </si>
  <si>
    <t>Allocation4</t>
  </si>
  <si>
    <t>Unallocated</t>
  </si>
  <si>
    <t>SetGeneralPreferences</t>
  </si>
  <si>
    <t>AddMFPreferences</t>
  </si>
  <si>
    <t>Pref5-02-11-22</t>
  </si>
  <si>
    <t>SetMFPreferencesDefaultRule</t>
  </si>
  <si>
    <t>Current Preference</t>
  </si>
  <si>
    <t>Complete Portfolio</t>
  </si>
  <si>
    <t>SetMFPrefFundDistribution</t>
  </si>
  <si>
    <t>NewMF</t>
  </si>
  <si>
    <t>NewMF1</t>
  </si>
  <si>
    <t>SetMFPrefFundDefaultRule</t>
  </si>
  <si>
    <t>Trade Quantity</t>
  </si>
  <si>
    <t>SetMFPrefAccountValues</t>
  </si>
  <si>
    <t>TradingTicket</t>
  </si>
  <si>
    <t>CreateLiveOrder</t>
  </si>
  <si>
    <t>AAPL</t>
  </si>
  <si>
    <t>Buy</t>
  </si>
  <si>
    <t>Simulator</t>
  </si>
  <si>
    <t>SelectTrade</t>
  </si>
  <si>
    <t>AcknowledgeTrade</t>
  </si>
  <si>
    <t>ExecuteTrade</t>
  </si>
  <si>
    <t>GetDataAllocation</t>
  </si>
  <si>
    <t>Historical</t>
  </si>
  <si>
    <t>1/1/1800</t>
  </si>
  <si>
    <t>CheckAllocatedGroups</t>
  </si>
  <si>
    <t>Multiple</t>
  </si>
  <si>
    <t/>
  </si>
  <si>
    <t>Equity</t>
  </si>
  <si>
    <t>AAPL US EQUITY</t>
  </si>
  <si>
    <t>MS</t>
  </si>
  <si>
    <t>Open</t>
  </si>
  <si>
    <t>APPLE</t>
  </si>
  <si>
    <t>USD</t>
  </si>
  <si>
    <t>NASDAQ</t>
  </si>
  <si>
    <t>M</t>
  </si>
  <si>
    <t>Market</t>
  </si>
  <si>
    <t>GCCAP1</t>
  </si>
  <si>
    <t>FIX</t>
  </si>
  <si>
    <t>US</t>
  </si>
  <si>
    <t>jpearce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</si>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</sst>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6" fontId="14" numFmtId="0" xfId="0" applyAlignment="1" applyFill="1" applyFont="1">
      <alignment readingOrder="0" shrinkToFit="0" vertical="bottom" wrapText="0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IFERROR(__xludf.DUMMYFUNCTION("""COMPUTED_VALUE"""),"AutoGroup")</f>
        <v>AutoGroup</v>
      </c>
      <c r="C5" s="29" t="str">
        <f>IFERROR(__xludf.DUMMYFUNCTION("""COMPUTED_VALUE"""),"TradeAttribute1")</f>
        <v>TradeAttribute1</v>
      </c>
      <c r="D5" s="29" t="str">
        <f>IFERROR(__xludf.DUMMYFUNCTION("""COMPUTED_VALUE"""),"TradeAttribute2")</f>
        <v>TradeAttribute2</v>
      </c>
      <c r="E5" s="29" t="str">
        <f>IFERROR(__xludf.DUMMYFUNCTION("""COMPUTED_VALUE"""),"TradeAttribute3")</f>
        <v>TradeAttribute3</v>
      </c>
      <c r="F5" s="30" t="str">
        <f>IFERROR(__xludf.DUMMYFUNCTION("""COMPUTED_VALUE"""),"TradeAttribute4")</f>
        <v>TradeAttribute4</v>
      </c>
      <c r="G5" s="29" t="str">
        <f>IFERROR(__xludf.DUMMYFUNCTION("""COMPUTED_VALUE"""),"TradeAttribute5")</f>
        <v>TradeAttribute5</v>
      </c>
      <c r="H5" s="29" t="str">
        <f>IFERROR(__xludf.DUMMYFUNCTION("""COMPUTED_VALUE"""),"TradeAttribute6")</f>
        <v>TradeAttribute6</v>
      </c>
      <c r="I5" s="29" t="str">
        <f>IFERROR(__xludf.DUMMYFUNCTION("""COMPUTED_VALUE"""),"Broker")</f>
        <v>Broker</v>
      </c>
      <c r="J5" s="29" t="str">
        <f>IFERROR(__xludf.DUMMYFUNCTION("""COMPUTED_VALUE"""),"Venue")</f>
        <v>Venue</v>
      </c>
      <c r="K5" s="29" t="str">
        <f>IFERROR(__xludf.DUMMYFUNCTION("""COMPUTED_VALUE"""),"TradingAC")</f>
        <v>TradingAC</v>
      </c>
      <c r="L5" s="29" t="str">
        <f>IFERROR(__xludf.DUMMYFUNCTION("""COMPUTED_VALUE"""),"TradeDate")</f>
        <v>TradeDate</v>
      </c>
      <c r="M5" s="29" t="str">
        <f>IFERROR(__xludf.DUMMYFUNCTION("""COMPUTED_VALUE"""),"ProcessDate")</f>
        <v>ProcessDate</v>
      </c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3" t="b">
        <v>1</v>
      </c>
      <c r="C6" s="34"/>
      <c r="D6" s="35"/>
      <c r="E6" s="34"/>
      <c r="F6" s="34"/>
      <c r="G6" s="34"/>
      <c r="H6" s="34"/>
      <c r="I6" s="34"/>
      <c r="J6" s="34"/>
      <c r="K6" s="36" t="b">
        <v>1</v>
      </c>
      <c r="L6" s="36" t="b">
        <v>1</v>
      </c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SetAutoGroupingPreferences!$4:$4</formula1>
    </dataValidation>
  </dataValidations>
  <hyperlinks>
    <hyperlink r:id="rId1" ref="DT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IFERROR(__xludf.DUMMYFUNCTION("""COMPUTED_VALUE"""),"FundName")</f>
        <v>FundName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38" t="s">
        <v>17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19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22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24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SetAutoGroupingAccount!$4:$4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IFERROR(__xludf.DUMMYFUNCTION("""COMPUTED_VALUE"""),"ValidateCheckSide")</f>
        <v>ValidateCheckSide</v>
      </c>
      <c r="C5" s="29" t="str">
        <f>IFERROR(__xludf.DUMMYFUNCTION("""COMPUTED_VALUE"""),"DisabledChecksideAssets")</f>
        <v>DisabledChecksideAssets</v>
      </c>
      <c r="D5" s="29" t="str">
        <f>IFERROR(__xludf.DUMMYFUNCTION("""COMPUTED_VALUE"""),"PrecisionValue")</f>
        <v>PrecisionValue</v>
      </c>
      <c r="E5" s="29" t="str">
        <f>IFERROR(__xludf.DUMMYFUNCTION("""COMPUTED_VALUE"""),"UseCommissionInNetAmount")</f>
        <v>UseCommissionInNetAmount</v>
      </c>
      <c r="F5" s="30" t="str">
        <f>IFERROR(__xludf.DUMMYFUNCTION("""COMPUTED_VALUE"""),"SaveWithoutState")</f>
        <v>SaveWithoutState</v>
      </c>
      <c r="G5" s="29" t="str">
        <f>IFERROR(__xludf.DUMMYFUNCTION("""COMPUTED_VALUE"""),"SaveWithState")</f>
        <v>SaveWithState</v>
      </c>
      <c r="H5" s="29" t="str">
        <f>IFERROR(__xludf.DUMMYFUNCTION("""COMPUTED_VALUE"""),"ClearQuantities")</f>
        <v>ClearQuantities</v>
      </c>
      <c r="I5" s="29" t="str">
        <f>IFERROR(__xludf.DUMMYFUNCTION("""COMPUTED_VALUE"""),"ReapplyAllocation")</f>
        <v>ReapplyAllocation</v>
      </c>
      <c r="J5" s="29" t="str">
        <f>IFERROR(__xludf.DUMMYFUNCTION("""COMPUTED_VALUE"""),"DefaultAllocation")</f>
        <v>DefaultAllocation</v>
      </c>
      <c r="K5" s="29" t="str">
        <f>IFERROR(__xludf.DUMMYFUNCTION("""COMPUTED_VALUE"""),"IsCustomPreference")</f>
        <v>IsCustomPreference</v>
      </c>
      <c r="L5" s="29" t="str">
        <f>IFERROR(__xludf.DUMMYFUNCTION("""COMPUTED_VALUE"""),"AllocationMethod")</f>
        <v>AllocationMethod</v>
      </c>
      <c r="M5" s="29" t="str">
        <f>IFERROR(__xludf.DUMMYFUNCTION("""COMPUTED_VALUE"""),"RemainderAllocationTo")</f>
        <v>RemainderAllocationTo</v>
      </c>
      <c r="N5" s="29" t="str">
        <f>IFERROR(__xludf.DUMMYFUNCTION("""COMPUTED_VALUE"""),"Target%AsOf")</f>
        <v>Target%AsOf</v>
      </c>
      <c r="O5" s="29" t="str">
        <f>IFERROR(__xludf.DUMMYFUNCTION("""COMPUTED_VALUE"""),"ProrataAccounts")</f>
        <v>ProrataAccounts</v>
      </c>
      <c r="P5" s="29" t="str">
        <f>IFERROR(__xludf.DUMMYFUNCTION("""COMPUTED_VALUE"""),"DateUptoDays")</f>
        <v>DateUptoDays</v>
      </c>
      <c r="Q5" s="29" t="str">
        <f>IFERROR(__xludf.DUMMYFUNCTION("""COMPUTED_VALUE"""),"MatchClosing")</f>
        <v>MatchClosing</v>
      </c>
      <c r="R5" s="29" t="str">
        <f>IFERROR(__xludf.DUMMYFUNCTION("""COMPUTED_VALUE"""),"CommissionAlertOnBrokerChange")</f>
        <v>CommissionAlertOnBrokerChange</v>
      </c>
      <c r="S5" s="29" t="str">
        <f>IFERROR(__xludf.DUMMYFUNCTION("""COMPUTED_VALUE"""),"RecalculateCommissionOnBrokerChange")</f>
        <v>RecalculateCommissionOnBrokerChange</v>
      </c>
      <c r="T5" s="31" t="str">
        <f>IFERROR(__xludf.DUMMYFUNCTION("""COMPUTED_VALUE"""),"CommissionAlertOnAllocation")</f>
        <v>CommissionAlertOnAllocation</v>
      </c>
      <c r="U5" s="31" t="str">
        <f>IFERROR(__xludf.DUMMYFUNCTION("""COMPUTED_VALUE"""),"RecalculateCommissionOnAllocation")</f>
        <v>RecalculateCommissionOnAllocation</v>
      </c>
      <c r="V5" s="31" t="str">
        <f>IFERROR(__xludf.DUMMYFUNCTION("""COMPUTED_VALUE"""),"EnableMasterFund")</f>
        <v>EnableMasterFund</v>
      </c>
      <c r="W5" s="31" t="str">
        <f>IFERROR(__xludf.DUMMYFUNCTION("""COMPUTED_VALUE"""),"1MasterFund/1Symbol")</f>
        <v>1MasterFund/1Symbol</v>
      </c>
      <c r="X5" s="31" t="str">
        <f>IFERROR(__xludf.DUMMYFUNCTION("""COMPUTED_VALUE"""),"ProrataSchemeName")</f>
        <v>ProrataSchemeName</v>
      </c>
      <c r="Y5" s="31" t="str">
        <f>IFERROR(__xludf.DUMMYFUNCTION("""COMPUTED_VALUE"""),"ProrataAllocationSchemeBasis")</f>
        <v>ProrataAllocationSchemeBasis</v>
      </c>
      <c r="Z5" s="31" t="str">
        <f>IFERROR(__xludf.DUMMYFUNCTION("""COMPUTED_VALUE"""),"ShowAdvancedProrataUI")</f>
        <v>ShowAdvancedProrataUI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5"/>
      <c r="B6" s="35"/>
      <c r="C6" s="34"/>
      <c r="D6" s="35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41" t="b">
        <v>1</v>
      </c>
      <c r="W6" s="41" t="b">
        <v>0</v>
      </c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42" t="s">
        <v>27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14.43"/>
    <col customWidth="1" min="7" max="7" width="19.71"/>
    <col customWidth="1" min="8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IFERROR(__xludf.DUMMYFUNCTION("""COMPUTED_VALUE"""),"RemainderAllocationTo")</f>
        <v>RemainderAllocationTo</v>
      </c>
      <c r="C5" s="29" t="str">
        <f>IFERROR(__xludf.DUMMYFUNCTION("""COMPUTED_VALUE"""),"Target%AsOf")</f>
        <v>Target%AsOf</v>
      </c>
      <c r="D5" s="29" t="str">
        <f>IFERROR(__xludf.DUMMYFUNCTION("""COMPUTED_VALUE"""),"ProrataAccounts")</f>
        <v>ProrataAccounts</v>
      </c>
      <c r="E5" s="29" t="str">
        <f>IFERROR(__xludf.DUMMYFUNCTION("""COMPUTED_VALUE"""),"DateUptoDays")</f>
        <v>DateUptoDays</v>
      </c>
      <c r="F5" s="30" t="str">
        <f>IFERROR(__xludf.DUMMYFUNCTION("""COMPUTED_VALUE"""),"PreferenceName")</f>
        <v>PreferenceName</v>
      </c>
      <c r="G5" s="29" t="str">
        <f>IFERROR(__xludf.DUMMYFUNCTION("""COMPUTED_VALUE"""),"MatchClosingTransaction")</f>
        <v>MatchClosingTransaction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/>
      <c r="C6" s="13" t="s">
        <v>29</v>
      </c>
      <c r="D6" s="13"/>
      <c r="E6" s="39"/>
      <c r="F6" s="42" t="s">
        <v>27</v>
      </c>
      <c r="G6" s="13" t="s">
        <v>30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IFERROR(__xludf.DUMMYFUNCTION("""COMPUTED_VALUE"""),"MasterFundName")</f>
        <v>MasterFundName</v>
      </c>
      <c r="D5" s="29" t="str">
        <f>IFERROR(__xludf.DUMMYFUNCTION("""COMPUTED_VALUE"""),"TargetPercentage")</f>
        <v>TargetPercentage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42" t="s">
        <v>27</v>
      </c>
      <c r="C6" s="37" t="s">
        <v>32</v>
      </c>
      <c r="D6" s="43">
        <v>50.0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27</v>
      </c>
      <c r="C7" s="37" t="s">
        <v>33</v>
      </c>
      <c r="D7" s="44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37"/>
      <c r="D8" s="37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IFERROR(__xludf.DUMMYFUNCTION("""COMPUTED_VALUE"""),"AllocationMethod")</f>
        <v>AllocationMethod</v>
      </c>
      <c r="E5" s="29" t="str">
        <f>IFERROR(__xludf.DUMMYFUNCTION("""COMPUTED_VALUE"""),"RemainderAllocationTo")</f>
        <v>RemainderAllocationTo</v>
      </c>
      <c r="F5" s="30" t="str">
        <f>IFERROR(__xludf.DUMMYFUNCTION("""COMPUTED_VALUE"""),"Target%AsOf")</f>
        <v>Target%AsOf</v>
      </c>
      <c r="G5" s="29" t="str">
        <f>IFERROR(__xludf.DUMMYFUNCTION("""COMPUTED_VALUE"""),"ProrataAccounts")</f>
        <v>ProrataAccounts</v>
      </c>
      <c r="H5" s="29" t="str">
        <f>IFERROR(__xludf.DUMMYFUNCTION("""COMPUTED_VALUE"""),"DateUptoDays")</f>
        <v>DateUptoDays</v>
      </c>
      <c r="I5" s="29" t="str">
        <f>IFERROR(__xludf.DUMMYFUNCTION("""COMPUTED_VALUE"""),"MatchClosingTransactions")</f>
        <v>MatchClosingTransactions</v>
      </c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42" t="s">
        <v>27</v>
      </c>
      <c r="C6" s="45" t="s">
        <v>32</v>
      </c>
      <c r="D6" s="46" t="s">
        <v>35</v>
      </c>
      <c r="E6" s="34"/>
      <c r="F6" s="47" t="s">
        <v>29</v>
      </c>
      <c r="G6" s="48"/>
      <c r="H6" s="34"/>
      <c r="I6" s="49" t="b">
        <v>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IFERROR(__xludf.DUMMYFUNCTION("""COMPUTED_VALUE"""),"AccountName")</f>
        <v>AccountName</v>
      </c>
      <c r="E5" s="29" t="str">
        <f>IFERROR(__xludf.DUMMYFUNCTION("""COMPUTED_VALUE"""),"Percentage")</f>
        <v>Percentage</v>
      </c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42" t="s">
        <v>27</v>
      </c>
      <c r="C6" s="45" t="s">
        <v>32</v>
      </c>
      <c r="D6" s="47" t="s">
        <v>21</v>
      </c>
      <c r="E6" s="50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27</v>
      </c>
      <c r="C7" s="45" t="s">
        <v>32</v>
      </c>
      <c r="D7" s="45" t="s">
        <v>20</v>
      </c>
      <c r="E7" s="50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IFERROR(__xludf.DUMMYFUNCTION("""COMPUTED_VALUE"""),"AllocationMethod")</f>
        <v>AllocationMethod</v>
      </c>
      <c r="E5" s="29" t="str">
        <f>IFERROR(__xludf.DUMMYFUNCTION("""COMPUTED_VALUE"""),"RemainderAllocationTo")</f>
        <v>RemainderAllocationTo</v>
      </c>
      <c r="F5" s="30" t="str">
        <f>IFERROR(__xludf.DUMMYFUNCTION("""COMPUTED_VALUE"""),"Target%AsOf")</f>
        <v>Target%AsOf</v>
      </c>
      <c r="G5" s="29" t="str">
        <f>IFERROR(__xludf.DUMMYFUNCTION("""COMPUTED_VALUE"""),"ProrataAccounts")</f>
        <v>ProrataAccounts</v>
      </c>
      <c r="H5" s="29" t="str">
        <f>IFERROR(__xludf.DUMMYFUNCTION("""COMPUTED_VALUE"""),"DateUptoDays")</f>
        <v>DateUptoDays</v>
      </c>
      <c r="I5" s="29" t="str">
        <f>IFERROR(__xludf.DUMMYFUNCTION("""COMPUTED_VALUE"""),"MatchClosingTransactions")</f>
        <v>MatchClosingTransactions</v>
      </c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42" t="s">
        <v>27</v>
      </c>
      <c r="C6" s="47" t="s">
        <v>33</v>
      </c>
      <c r="D6" s="46" t="s">
        <v>35</v>
      </c>
      <c r="E6" s="34"/>
      <c r="F6" s="47" t="s">
        <v>29</v>
      </c>
      <c r="G6" s="48"/>
      <c r="H6" s="34"/>
      <c r="I6" s="49" t="b">
        <v>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IFERROR(__xludf.DUMMYFUNCTION("""COMPUTED_VALUE"""),"AccountName")</f>
        <v>AccountName</v>
      </c>
      <c r="E5" s="29" t="str">
        <f>IFERROR(__xludf.DUMMYFUNCTION("""COMPUTED_VALUE"""),"Percentage")</f>
        <v>Percentage</v>
      </c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42" t="s">
        <v>27</v>
      </c>
      <c r="C6" s="47" t="s">
        <v>33</v>
      </c>
      <c r="D6" s="47" t="s">
        <v>19</v>
      </c>
      <c r="E6" s="50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27</v>
      </c>
      <c r="C7" s="47" t="s">
        <v>33</v>
      </c>
      <c r="D7" s="47" t="s">
        <v>23</v>
      </c>
      <c r="E7" s="50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IFERROR(__xludf.DUMMYFUNCTION("""COMPUTED_VALUE"""),"EditOrder")</f>
        <v>EditOrder</v>
      </c>
      <c r="AO5" s="31" t="str">
        <f>IFERROR(__xludf.DUMMYFUNCTION("""COMPUTED_VALUE"""),"AllowTrade")</f>
        <v>AllowTrade</v>
      </c>
      <c r="AP5" s="31" t="str">
        <f>IFERROR(__xludf.DUMMYFUNCTION("""COMPUTED_VALUE"""),"SharesOutstandingPopUpQty")</f>
        <v>SharesOutstandingPopUpQty</v>
      </c>
      <c r="AQ5" s="31" t="str">
        <f>IFERROR(__xludf.DUMMYFUNCTION("""COMPUTED_VALUE"""),"SharesOutstandingPopUp")</f>
        <v>SharesOutstandingPopUp</v>
      </c>
      <c r="AR5" s="31" t="str">
        <f>IFERROR(__xludf.DUMMYFUNCTION("""COMPUTED_VALUE"""),"ResAllowedListPopUp")</f>
        <v>ResAllowedListPopUp</v>
      </c>
      <c r="AS5" s="31" t="str">
        <f>IFERROR(__xludf.DUMMYFUNCTION("""COMPUTED_VALUE"""),"ChkBoxBookAsSwap")</f>
        <v>ChkBoxBookAsSwap</v>
      </c>
      <c r="AT5" s="31" t="str">
        <f>IFERROR(__xludf.DUMMYFUNCTION("""COMPUTED_VALUE"""),"Interest Rate")</f>
        <v>Interest Rate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5" t="s">
        <v>39</v>
      </c>
      <c r="C6" s="34" t="s">
        <v>40</v>
      </c>
      <c r="D6" s="43">
        <v>100.0</v>
      </c>
      <c r="E6" s="51">
        <v>100.0</v>
      </c>
      <c r="F6" s="42" t="s">
        <v>27</v>
      </c>
      <c r="G6" s="34"/>
      <c r="H6" s="34"/>
      <c r="I6" s="34"/>
      <c r="J6" s="51">
        <v>10.0</v>
      </c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39</v>
      </c>
      <c r="C7" s="37" t="s">
        <v>40</v>
      </c>
      <c r="D7" s="44">
        <v>200.0</v>
      </c>
      <c r="E7" s="44">
        <v>200.0</v>
      </c>
      <c r="F7" s="42" t="s">
        <v>27</v>
      </c>
      <c r="G7" s="37"/>
      <c r="H7" s="37"/>
      <c r="I7" s="37"/>
      <c r="J7" s="44">
        <v>10.0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5" t="s">
        <v>40</v>
      </c>
      <c r="C6" s="34" t="s">
        <v>39</v>
      </c>
      <c r="D6" s="35"/>
      <c r="E6" s="34"/>
      <c r="F6" s="34"/>
      <c r="G6" s="51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5" t="s">
        <v>40</v>
      </c>
      <c r="C6" s="34" t="s">
        <v>39</v>
      </c>
      <c r="D6" s="35"/>
      <c r="E6" s="34"/>
      <c r="F6" s="34"/>
      <c r="G6" s="51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IFERROR(__xludf.DUMMYFUNCTION("""COMPUTED_VALUE"""),"Price")</f>
        <v>Price</v>
      </c>
      <c r="C5" s="29" t="str">
        <f>IFERROR(__xludf.DUMMYFUNCTION("""COMPUTED_VALUE"""),"Shares")</f>
        <v>Shares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13">
        <v>100.0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5" t="s">
        <v>40</v>
      </c>
      <c r="C6" s="34" t="s">
        <v>39</v>
      </c>
      <c r="D6" s="35"/>
      <c r="E6" s="34"/>
      <c r="F6" s="34"/>
      <c r="G6" s="50">
        <v>200.0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5" t="s">
        <v>40</v>
      </c>
      <c r="C6" s="34" t="s">
        <v>39</v>
      </c>
      <c r="D6" s="35"/>
      <c r="E6" s="34"/>
      <c r="F6" s="34"/>
      <c r="G6" s="50">
        <v>200.0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IFERROR(__xludf.DUMMYFUNCTION("""COMPUTED_VALUE"""),"Price")</f>
        <v>Price</v>
      </c>
      <c r="C5" s="29" t="str">
        <f>IFERROR(__xludf.DUMMYFUNCTION("""COMPUTED_VALUE"""),"Shares")</f>
        <v>Shares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13">
        <v>200.0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0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46</v>
      </c>
      <c r="C6" s="52" t="s">
        <v>47</v>
      </c>
      <c r="D6" s="53">
        <f>today()</f>
        <v>44608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5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</row>
    <row r="6" ht="15.75" customHeight="1">
      <c r="A6" s="35"/>
      <c r="B6" s="46" t="s">
        <v>49</v>
      </c>
      <c r="C6" s="34" t="s">
        <v>50</v>
      </c>
      <c r="D6" s="43">
        <v>0.0</v>
      </c>
      <c r="E6" s="51">
        <v>200.0</v>
      </c>
      <c r="F6" s="34" t="s">
        <v>27</v>
      </c>
      <c r="G6" s="34" t="s">
        <v>51</v>
      </c>
      <c r="H6" s="51">
        <v>4.0</v>
      </c>
      <c r="I6" s="51">
        <v>5.0</v>
      </c>
      <c r="J6" s="51">
        <v>1.0</v>
      </c>
      <c r="K6" s="51">
        <v>45.22</v>
      </c>
      <c r="L6" s="51">
        <v>45.22</v>
      </c>
      <c r="M6" s="54" t="s">
        <v>52</v>
      </c>
      <c r="N6" s="34" t="s">
        <v>50</v>
      </c>
      <c r="O6" s="34" t="s">
        <v>53</v>
      </c>
      <c r="P6" s="34"/>
      <c r="Q6" s="55">
        <v>3.0</v>
      </c>
      <c r="R6" s="55">
        <v>0.0</v>
      </c>
      <c r="S6" s="34" t="s">
        <v>54</v>
      </c>
      <c r="T6" s="56">
        <v>0.0</v>
      </c>
      <c r="U6" s="56">
        <v>0.0</v>
      </c>
      <c r="V6" s="37" t="s">
        <v>55</v>
      </c>
      <c r="W6" s="37">
        <v>1.0</v>
      </c>
      <c r="X6" s="37" t="s">
        <v>50</v>
      </c>
      <c r="Y6" s="37" t="s">
        <v>50</v>
      </c>
      <c r="Z6" s="37" t="s">
        <v>56</v>
      </c>
      <c r="AA6" s="37" t="s">
        <v>39</v>
      </c>
      <c r="AB6" s="56">
        <v>1.0</v>
      </c>
      <c r="AC6" s="37"/>
      <c r="AD6" s="37" t="s">
        <v>57</v>
      </c>
      <c r="AE6" s="56">
        <v>200.0</v>
      </c>
      <c r="AF6" s="37" t="s">
        <v>50</v>
      </c>
      <c r="AG6" s="37"/>
      <c r="AH6" s="37" t="s">
        <v>58</v>
      </c>
      <c r="AI6" s="56">
        <v>1.0</v>
      </c>
      <c r="AJ6" s="37"/>
      <c r="AK6" s="37"/>
      <c r="AL6" s="37"/>
      <c r="AM6" s="37"/>
      <c r="AN6" s="41" t="b">
        <v>0</v>
      </c>
      <c r="AO6" s="37"/>
      <c r="AP6" s="41" t="b">
        <v>0</v>
      </c>
      <c r="AQ6" s="41" t="b">
        <v>0</v>
      </c>
      <c r="AR6" s="41" t="b">
        <v>1</v>
      </c>
      <c r="AS6" s="56">
        <v>0.0</v>
      </c>
      <c r="AT6" s="56">
        <v>9058.0051</v>
      </c>
      <c r="AU6" s="56">
        <v>9058.0051</v>
      </c>
      <c r="AV6" s="37"/>
      <c r="AW6" s="56">
        <v>0.0</v>
      </c>
      <c r="AX6" s="56">
        <v>0.0</v>
      </c>
      <c r="AY6" s="37" t="s">
        <v>59</v>
      </c>
      <c r="AZ6" s="56">
        <v>0.0</v>
      </c>
      <c r="BA6" s="37"/>
      <c r="BB6" s="37"/>
      <c r="BC6" s="37">
        <v>0.0</v>
      </c>
      <c r="BD6" s="37"/>
      <c r="BE6" s="56">
        <v>9044.0</v>
      </c>
      <c r="BF6" s="56">
        <v>9044.0</v>
      </c>
      <c r="BG6" s="37"/>
      <c r="BH6" s="37"/>
      <c r="BI6" s="37"/>
      <c r="BJ6" s="56">
        <v>200.0</v>
      </c>
      <c r="BK6" s="56">
        <v>0.0</v>
      </c>
      <c r="BL6" s="37" t="s">
        <v>50</v>
      </c>
      <c r="BM6" s="37" t="s">
        <v>56</v>
      </c>
      <c r="BN6" s="37"/>
      <c r="BO6" s="37" t="s">
        <v>40</v>
      </c>
      <c r="BP6" s="56">
        <v>0.0</v>
      </c>
      <c r="BQ6" s="56">
        <v>0.0</v>
      </c>
      <c r="BR6" s="37"/>
      <c r="BS6" s="37"/>
      <c r="BT6" s="37" t="s">
        <v>39</v>
      </c>
      <c r="BU6" s="56">
        <v>3.0</v>
      </c>
      <c r="BV6" s="56">
        <v>0.0</v>
      </c>
      <c r="BW6" s="37"/>
      <c r="BX6" s="56">
        <v>0.0</v>
      </c>
      <c r="BY6" s="37"/>
      <c r="BZ6" s="37"/>
      <c r="CA6" s="37"/>
      <c r="CB6" s="37"/>
      <c r="CC6" s="37"/>
      <c r="CD6" s="37"/>
      <c r="CE6" s="37"/>
      <c r="CF6" s="37" t="s">
        <v>60</v>
      </c>
      <c r="CG6" s="56">
        <v>2.0</v>
      </c>
      <c r="CH6" s="37" t="s">
        <v>61</v>
      </c>
      <c r="CI6" s="37" t="s">
        <v>40</v>
      </c>
      <c r="CJ6" s="56">
        <v>0.0</v>
      </c>
      <c r="CK6" s="37" t="s">
        <v>62</v>
      </c>
      <c r="CL6" s="56">
        <v>1.0</v>
      </c>
      <c r="CM6" s="37" t="s">
        <v>39</v>
      </c>
      <c r="CN6" s="37" t="s">
        <v>63</v>
      </c>
      <c r="CO6" s="37" t="s">
        <v>57</v>
      </c>
      <c r="CP6" s="37" t="s">
        <v>64</v>
      </c>
      <c r="CQ6" s="37"/>
      <c r="CR6" s="37"/>
      <c r="CS6" s="37" t="s">
        <v>50</v>
      </c>
      <c r="CT6" s="37"/>
      <c r="CU6" s="37" t="s">
        <v>50</v>
      </c>
      <c r="CV6" s="37" t="s">
        <v>50</v>
      </c>
      <c r="CW6" s="37" t="s">
        <v>50</v>
      </c>
      <c r="CX6" s="37" t="s">
        <v>50</v>
      </c>
      <c r="CY6" s="37" t="s">
        <v>50</v>
      </c>
      <c r="CZ6" s="37" t="s">
        <v>50</v>
      </c>
      <c r="DA6" s="37" t="s">
        <v>50</v>
      </c>
      <c r="DB6" s="37" t="s">
        <v>50</v>
      </c>
      <c r="DC6" s="37" t="s">
        <v>50</v>
      </c>
      <c r="DD6" s="37" t="s">
        <v>50</v>
      </c>
      <c r="DE6" s="37" t="s">
        <v>50</v>
      </c>
      <c r="DF6" s="37" t="s">
        <v>50</v>
      </c>
      <c r="DG6" s="37" t="s">
        <v>50</v>
      </c>
      <c r="DH6" s="37" t="s">
        <v>50</v>
      </c>
      <c r="DI6" s="37" t="s">
        <v>50</v>
      </c>
      <c r="DJ6" s="37" t="s">
        <v>50</v>
      </c>
      <c r="DK6" s="37" t="s">
        <v>50</v>
      </c>
      <c r="DL6" s="37" t="s">
        <v>50</v>
      </c>
      <c r="DM6" s="37" t="s">
        <v>50</v>
      </c>
      <c r="DN6" s="37" t="s">
        <v>50</v>
      </c>
      <c r="DO6" s="37" t="s">
        <v>50</v>
      </c>
      <c r="DP6" s="37" t="s">
        <v>50</v>
      </c>
      <c r="DQ6" s="37" t="s">
        <v>50</v>
      </c>
      <c r="DR6" s="37" t="s">
        <v>50</v>
      </c>
      <c r="DS6" s="37" t="s">
        <v>50</v>
      </c>
      <c r="DT6" s="37" t="s">
        <v>50</v>
      </c>
      <c r="DU6" s="37" t="s">
        <v>50</v>
      </c>
      <c r="DV6" s="37" t="s">
        <v>50</v>
      </c>
      <c r="DW6" s="37" t="s">
        <v>50</v>
      </c>
      <c r="DX6" s="37" t="s">
        <v>50</v>
      </c>
      <c r="DY6" s="37" t="s">
        <v>50</v>
      </c>
      <c r="DZ6" s="37" t="s">
        <v>50</v>
      </c>
      <c r="EA6" s="37" t="s">
        <v>50</v>
      </c>
      <c r="EB6" s="37" t="s">
        <v>50</v>
      </c>
      <c r="EC6" s="37" t="s">
        <v>50</v>
      </c>
      <c r="ED6" s="37" t="s">
        <v>50</v>
      </c>
      <c r="EE6" s="37" t="s">
        <v>50</v>
      </c>
      <c r="EF6" s="37" t="s">
        <v>50</v>
      </c>
      <c r="EG6" s="37" t="s">
        <v>50</v>
      </c>
      <c r="EH6" s="37" t="s">
        <v>50</v>
      </c>
      <c r="EI6" s="37" t="s">
        <v>50</v>
      </c>
      <c r="EJ6" s="37" t="s">
        <v>50</v>
      </c>
      <c r="EK6" s="37" t="s">
        <v>50</v>
      </c>
      <c r="EL6" s="37" t="s">
        <v>50</v>
      </c>
      <c r="EM6" s="37" t="s">
        <v>50</v>
      </c>
      <c r="EN6" s="37" t="s">
        <v>50</v>
      </c>
      <c r="EO6" s="37" t="s">
        <v>50</v>
      </c>
      <c r="EP6" s="37" t="s">
        <v>50</v>
      </c>
      <c r="EQ6" s="37" t="s">
        <v>50</v>
      </c>
      <c r="ER6" s="37" t="s">
        <v>50</v>
      </c>
      <c r="ES6" s="37" t="s">
        <v>50</v>
      </c>
      <c r="ET6" s="37" t="s">
        <v>50</v>
      </c>
      <c r="EU6" s="37" t="s">
        <v>50</v>
      </c>
      <c r="EV6" s="37" t="s">
        <v>50</v>
      </c>
      <c r="EW6" s="37" t="s">
        <v>50</v>
      </c>
      <c r="EX6" s="37" t="s">
        <v>50</v>
      </c>
      <c r="EY6" s="37" t="s">
        <v>50</v>
      </c>
      <c r="EZ6" s="37" t="s">
        <v>50</v>
      </c>
      <c r="FA6" s="37" t="s">
        <v>50</v>
      </c>
      <c r="FB6" s="37" t="s">
        <v>50</v>
      </c>
      <c r="FC6" s="37" t="s">
        <v>50</v>
      </c>
      <c r="FD6" s="37" t="s">
        <v>50</v>
      </c>
      <c r="FE6" s="37" t="s">
        <v>50</v>
      </c>
      <c r="FF6" s="37" t="s">
        <v>50</v>
      </c>
      <c r="FG6" s="37" t="s">
        <v>50</v>
      </c>
      <c r="FH6" s="37" t="s">
        <v>50</v>
      </c>
      <c r="FI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