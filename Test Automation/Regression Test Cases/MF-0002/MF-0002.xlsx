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GeneralRule" sheetId="11" r:id="rId13"/>
    <sheet state="visible" name="UpdateGRAccountValue" sheetId="12" r:id="rId14"/>
    <sheet state="visible" name="UpdateGRDefaultRule" sheetId="13" r:id="rId15"/>
    <sheet state="visible" name="SetMFPrefGeneralRule1" sheetId="14" r:id="rId16"/>
    <sheet state="visible" name="UpdateGRDefaultRule1" sheetId="15" r:id="rId17"/>
    <sheet state="visible" name="UpdateGRAccountValue1" sheetId="16" r:id="rId18"/>
    <sheet state="visible" name="SelectUnallocatedGroup" sheetId="17" r:id="rId19"/>
    <sheet state="visible" name="EnterAllocatePreference" sheetId="18" r:id="rId20"/>
    <sheet state="visible" name="CheckAllocatedGroups" sheetId="19" r:id="rId21"/>
    <sheet state="visible" name="GetDataClosing" sheetId="20" r:id="rId22"/>
    <sheet state="visible" name="VerifyLongPositionsGrid" sheetId="21" r:id="rId23"/>
    <sheet state="visible" name="VerifyShortPositionsGrid" sheetId="22" r:id="rId24"/>
    <sheet state="visible" name="GetDataAllocation" sheetId="23" r:id="rId25"/>
  </sheets>
  <definedNames/>
  <calcPr/>
</workbook>
</file>

<file path=xl/sharedStrings.xml><?xml version="1.0" encoding="utf-8"?>
<sst xmlns="http://schemas.openxmlformats.org/spreadsheetml/2006/main" count="3132" uniqueCount="842">
  <si>
    <t>Modules Info</t>
  </si>
  <si>
    <t>Settings</t>
  </si>
  <si>
    <t>Master Data Info</t>
  </si>
  <si>
    <t>Module Step Setting File</t>
  </si>
  <si>
    <t>Modules</t>
  </si>
  <si>
    <t>1x-5MIyl9niiICu-qFJd7MN3xDycv7TySrDKqPC7NSAs</t>
  </si>
  <si>
    <t>Module</t>
  </si>
  <si>
    <t>Master Data Settings File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</si>
  <si>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</si>
  <si>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</si>
  <si>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</si>
  <si>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</si>
  <si>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</si>
  <si>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</si>
  <si>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</si>
  <si>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</si>
  <si>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</si>
  <si>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</si>
  <si>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</si>
  <si>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</si>
  <si>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</si>
  <si>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</si>
  <si>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</si>
  <si>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</si>
  <si>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</si>
  <si>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</si>
  <si>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</si>
  <si>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1EGvQ4gQZof5ChEr7TLuvC_9b1eGAQgRVRtrGCIOSzkc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</si>
  <si>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</si>
  <si>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</si>
  <si>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</si>
  <si>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</si>
  <si>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</si>
  <si>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</si>
  <si>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</si>
  <si>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</si>
  <si>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</si>
  <si>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</si>
  <si>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</si>
  <si>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</si>
  <si>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</si>
  <si>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</si>
  <si>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</si>
  <si>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</si>
  <si>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</si>
  <si>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</si>
  <si>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</si>
  <si>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</si>
  <si>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</si>
  <si>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</si>
  <si>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</si>
  <si>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</si>
  <si>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</si>
  <si>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</si>
  <si>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</si>
  <si>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</si>
  <si>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</si>
  <si>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</si>
  <si>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</si>
  <si>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</si>
  <si>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</si>
  <si>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</si>
  <si>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</si>
  <si>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</si>
  <si>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</si>
  <si>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</si>
  <si>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</si>
  <si>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</si>
  <si>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</si>
  <si>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</si>
  <si>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</si>
  <si>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</si>
  <si>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</si>
  <si>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</si>
  <si>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</si>
  <si>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</si>
  <si>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</si>
  <si>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</si>
  <si>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</si>
  <si>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</si>
  <si>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</si>
  <si>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</si>
  <si>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</si>
  <si>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</si>
  <si>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</si>
  <si>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</si>
  <si>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</si>
  <si>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</si>
  <si>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</si>
  <si>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</si>
  <si>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</si>
  <si>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</si>
  <si>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</si>
  <si>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</si>
  <si>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</si>
  <si>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</si>
  <si>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</si>
  <si>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</si>
  <si>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</si>
  <si>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</si>
  <si>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</si>
  <si>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</si>
  <si>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</si>
  <si>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</si>
  <si>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</si>
  <si>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</si>
  <si>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</si>
  <si>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</si>
  <si>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</si>
  <si>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</si>
  <si>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</si>
  <si>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</si>
  <si>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</si>
  <si>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</si>
  <si>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</si>
  <si>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</si>
  <si>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</si>
  <si>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</si>
  <si>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</si>
  <si>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</si>
  <si>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</si>
  <si>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</si>
  <si>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</si>
  <si>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</si>
  <si>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</si>
  <si>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</si>
  <si>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</si>
  <si>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</si>
  <si>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</si>
  <si>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</si>
  <si>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</si>
  <si>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</si>
  <si>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</si>
  <si>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</si>
  <si>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</si>
  <si>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</si>
  <si>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</si>
  <si>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</si>
  <si>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</si>
  <si>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</si>
  <si>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</si>
  <si>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</si>
  <si>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</si>
  <si>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</si>
  <si>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</si>
  <si>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</si>
  <si>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</si>
  <si>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</si>
  <si>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</si>
  <si>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</si>
  <si>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</si>
  <si>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</si>
  <si>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</si>
  <si>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</si>
  <si>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</si>
  <si>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</si>
  <si>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</si>
  <si>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</si>
  <si>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</si>
  <si>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</si>
  <si>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</si>
  <si>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</si>
  <si>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</si>
  <si>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</si>
  <si>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</si>
  <si>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</si>
  <si>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</si>
  <si>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</si>
  <si>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</si>
  <si>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</si>
  <si>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</si>
  <si>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</si>
  <si>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</si>
  <si>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</si>
  <si>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</si>
  <si>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</si>
  <si>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</si>
  <si>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</si>
  <si>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</si>
  <si>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</si>
  <si>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</si>
  <si>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</si>
  <si>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</si>
  <si>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</si>
  <si>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</si>
  <si>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</si>
  <si>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</si>
  <si>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</si>
  <si>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</si>
  <si>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</si>
  <si>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</si>
  <si>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</si>
  <si>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</si>
  <si>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</si>
  <si>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</si>
  <si>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</si>
  <si>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</si>
  <si>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</si>
  <si>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</si>
  <si>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</si>
  <si>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</si>
  <si>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</si>
  <si>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</si>
  <si>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</si>
  <si>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</si>
  <si>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</si>
  <si>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</si>
  <si>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</si>
  <si>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</si>
  <si>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</si>
  <si>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</si>
  <si>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</si>
  <si>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</si>
  <si>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</si>
  <si>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</si>
  <si>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</si>
  <si>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</si>
  <si>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</si>
  <si>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</si>
  <si>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</si>
  <si>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</si>
  <si>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</si>
  <si>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</si>
  <si>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</si>
  <si>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</si>
  <si>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</si>
  <si>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</si>
  <si>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</si>
  <si>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</si>
  <si>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</si>
  <si>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</si>
  <si>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</si>
  <si>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</si>
  <si>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</si>
  <si>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</si>
  <si>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</si>
  <si>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</si>
  <si>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</si>
  <si>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</si>
  <si>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</si>
  <si>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</si>
  <si>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</si>
  <si>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</si>
  <si>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</si>
  <si>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</si>
  <si>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</si>
  <si>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</si>
  <si>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</si>
  <si>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</si>
  <si>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</si>
  <si>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</si>
  <si>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</si>
  <si>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</si>
  <si>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</si>
  <si>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</si>
  <si>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</si>
  <si>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</si>
  <si>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</si>
  <si>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</si>
  <si>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</si>
  <si>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</si>
  <si>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</si>
  <si>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</si>
  <si>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</si>
  <si>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</si>
  <si>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</si>
  <si>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</si>
  <si>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</si>
  <si>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</si>
  <si>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</si>
  <si>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</si>
  <si>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</si>
  <si>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</si>
  <si>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</si>
  <si>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</si>
  <si>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</si>
  <si>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</si>
  <si>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</si>
  <si>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</si>
  <si>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</si>
  <si>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</si>
  <si>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</si>
  <si>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</si>
  <si>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</si>
  <si>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</si>
  <si>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</si>
  <si>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</si>
  <si>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</si>
  <si>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</si>
  <si>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</si>
  <si>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</si>
  <si>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</si>
  <si>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</si>
  <si>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</si>
  <si>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</si>
  <si>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</si>
  <si>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</si>
  <si>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</si>
  <si>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</si>
  <si>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</si>
  <si>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</si>
  <si>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</si>
  <si>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</si>
  <si>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</si>
  <si>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</si>
  <si>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</si>
  <si>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</si>
  <si>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</si>
  <si>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</si>
  <si>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</si>
  <si>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</si>
  <si>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</si>
  <si>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</si>
  <si>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</si>
  <si>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</si>
  <si>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</si>
  <si>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</si>
  <si>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</si>
  <si>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</si>
  <si>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</si>
  <si>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</si>
  <si>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</si>
  <si>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</si>
  <si>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</si>
  <si>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</si>
  <si>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</si>
  <si>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</si>
  <si>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</si>
  <si>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</si>
  <si>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</si>
  <si>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</si>
  <si>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</si>
  <si>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</si>
  <si>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</si>
  <si>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</si>
  <si>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</si>
  <si>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</si>
  <si>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</si>
  <si>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</si>
  <si>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</si>
  <si>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</si>
  <si>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</si>
  <si>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</si>
  <si>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</si>
  <si>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</si>
  <si>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</si>
  <si>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</si>
  <si>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</si>
  <si>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</si>
  <si>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</si>
  <si>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</si>
  <si>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</si>
  <si>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</si>
  <si>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</si>
  <si>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</si>
  <si>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</si>
  <si>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Data Format</t>
  </si>
  <si>
    <t>SelectCashTransaction</t>
  </si>
  <si>
    <t>SetGeneralPreferences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</si>
  <si>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</si>
  <si>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</si>
  <si>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</si>
  <si>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</si>
  <si>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</si>
  <si>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</si>
  <si>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Input Format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</si>
  <si>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</si>
  <si>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</si>
  <si>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</si>
  <si>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</si>
  <si>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</si>
  <si>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</si>
  <si>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</si>
  <si>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</si>
  <si>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</si>
  <si>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</si>
  <si>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</si>
  <si>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</si>
  <si>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</si>
  <si>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</si>
  <si>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</si>
  <si>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</si>
  <si>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</si>
  <si>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</si>
  <si>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</si>
  <si>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</si>
  <si>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</si>
  <si>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</si>
  <si>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</si>
  <si>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</si>
  <si>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</si>
  <si>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</si>
  <si>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</si>
  <si>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</si>
  <si>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</si>
  <si>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</si>
  <si>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</si>
  <si>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</si>
  <si>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</si>
  <si>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</si>
  <si>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</si>
  <si>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</si>
  <si>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</si>
  <si>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</si>
  <si>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</si>
  <si>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</si>
  <si>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</si>
  <si>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</si>
  <si>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</si>
  <si>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</si>
  <si>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</si>
  <si>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</si>
  <si>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</si>
  <si>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</si>
  <si>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</si>
  <si>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</si>
  <si>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</si>
  <si>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</si>
  <si>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</si>
  <si>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</si>
  <si>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</si>
  <si>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CloseAllocation</t>
  </si>
  <si>
    <t>1asfjdHxDYp0HR_gnZvXHo-u4H-Fbp3Sa660-N2OHCpg</t>
  </si>
  <si>
    <t>SaveCloseMFPreference</t>
  </si>
  <si>
    <t>ModifyMFPrefGeneralRuleValues</t>
  </si>
  <si>
    <t>VerifyTransferToUserOrder</t>
  </si>
  <si>
    <t>ClearPrefetchFilters</t>
  </si>
  <si>
    <t>ExpandCollapseAllUnallocated</t>
  </si>
  <si>
    <t>ExpandCollapseAllAllocated</t>
  </si>
  <si>
    <t>1CaGQEjakKDvrvO6oiL701xCR2o3Pkjvx4n6P8miVxRE</t>
  </si>
  <si>
    <t>SaveAllocation</t>
  </si>
  <si>
    <t>CreateStageOrder</t>
  </si>
  <si>
    <t>VerifyTransferToUserSubOdr</t>
  </si>
  <si>
    <t>1WurfgGy_ncjF8ciu7o8V7G-0lseKCR_q6RIvEzunaL8</t>
  </si>
  <si>
    <t>ClickSymbolLookup</t>
  </si>
  <si>
    <t>TradeBloomberg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</si>
  <si>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</si>
  <si>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</si>
  <si>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</si>
  <si>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</si>
  <si>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</si>
  <si>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</si>
  <si>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</si>
  <si>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</si>
  <si>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CreateNewSubOrder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</si>
  <si>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</si>
  <si>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</si>
  <si>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</si>
  <si>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</si>
  <si>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</si>
  <si>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</si>
  <si>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</si>
  <si>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</si>
  <si>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</si>
  <si>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</si>
  <si>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</si>
  <si>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</si>
  <si>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</si>
  <si>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</si>
  <si>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</si>
  <si>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</si>
  <si>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</si>
  <si>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</si>
  <si>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UnallocateWithOutSave</t>
  </si>
  <si>
    <t>GenerateCashTransaction</t>
  </si>
  <si>
    <t>SelectTradeUnexpiredUnsettled</t>
  </si>
  <si>
    <t>1JkDC1FCfqwzDoW3WqRGJhNsT40Ttpe4pyTLzfBndTGc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</si>
  <si>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</si>
  <si>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</si>
  <si>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</si>
  <si>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</si>
  <si>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</si>
  <si>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</si>
  <si>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</si>
  <si>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CashSettlementAtCost</t>
  </si>
  <si>
    <t>DeleteMFPreferenceToolbar</t>
  </si>
  <si>
    <t>1pJueAVRAi97uyXM0O686g434dgncNO-iK4hh0lSer_o</t>
  </si>
  <si>
    <t>DeleteMFPreferences</t>
  </si>
  <si>
    <t>AddMFPreferenceToolbar</t>
  </si>
  <si>
    <t>AddMFPreferences</t>
  </si>
  <si>
    <t>ModifyGRPreferenceValues</t>
  </si>
  <si>
    <t>CashSettlementAtZeroPrice</t>
  </si>
  <si>
    <t>1cubrHPpfOccWfDqa1IYFihof8dsrAkjSbJP37TiVbFY</t>
  </si>
  <si>
    <t>CashSettlementAtClosingDtSpotPx</t>
  </si>
  <si>
    <t>1e2UpAqQipYsUF2gQxTX0WvJ1xe4pDdKcEJPyV77Kdr4</t>
  </si>
  <si>
    <t>UpdateGRDefaultRule</t>
  </si>
  <si>
    <t>UpdateGeneralRulePref</t>
  </si>
  <si>
    <t>UpdateGRStrategyValue</t>
  </si>
  <si>
    <t>UpdateGRAccountValue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</si>
  <si>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</si>
  <si>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</si>
  <si>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</si>
  <si>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</si>
  <si>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</si>
  <si>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</si>
  <si>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</si>
  <si>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</si>
  <si>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</si>
  <si>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</si>
  <si>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</si>
  <si>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</si>
  <si>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</si>
  <si>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</si>
  <si>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</si>
  <si>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</si>
  <si>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</si>
  <si>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</si>
  <si>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</si>
  <si>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</si>
  <si>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</si>
  <si>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</si>
  <si>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</si>
  <si>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</si>
  <si>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</si>
  <si>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</si>
  <si>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</si>
  <si>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</si>
  <si>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</si>
  <si>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</si>
  <si>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Symbol</t>
  </si>
  <si>
    <t>ValidateCheckSide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</si>
  <si>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</si>
  <si>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</si>
  <si>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</si>
  <si>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</si>
  <si>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</si>
  <si>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</si>
  <si>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</si>
  <si>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</si>
  <si>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</si>
  <si>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</si>
  <si>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</si>
  <si>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</si>
  <si>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Order Side</t>
  </si>
  <si>
    <t>DisabledChecksideAssets</t>
  </si>
  <si>
    <t>RemoveNAV</t>
  </si>
  <si>
    <t>Quantity</t>
  </si>
  <si>
    <t>PrecisionValue</t>
  </si>
  <si>
    <t>1bmqiPEJNMh2MQB7ldxgiFAQFLpQurDp8nYpuniHvI40</t>
  </si>
  <si>
    <t>TargetQuantityIn</t>
  </si>
  <si>
    <t>UseCommissionInNetAmount</t>
  </si>
  <si>
    <t>AllocationMethod</t>
  </si>
  <si>
    <t>SaveWithoutState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</si>
  <si>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</si>
  <si>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</si>
  <si>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</si>
  <si>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</si>
  <si>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</si>
  <si>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</si>
  <si>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</si>
  <si>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</si>
  <si>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</si>
  <si>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</si>
  <si>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</si>
  <si>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</si>
  <si>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</si>
  <si>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</si>
  <si>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</si>
  <si>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</si>
  <si>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</si>
  <si>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SaveWithState</t>
  </si>
  <si>
    <t>ClearQuantities</t>
  </si>
  <si>
    <t>1AfygsDsnpGgwl7cb98FkGGKUIKRzwlnl9JXr5f_-eT0</t>
  </si>
  <si>
    <t>ReapplyAllocation</t>
  </si>
  <si>
    <t>Broker</t>
  </si>
  <si>
    <t>PricingServer</t>
  </si>
  <si>
    <t>DefaultAllocation</t>
  </si>
  <si>
    <t>RestartPricingServer</t>
  </si>
  <si>
    <t>IsCustomPreference</t>
  </si>
  <si>
    <t>1FRaXNMaTnKij57TTlGrDdSc6-tS_ESI3N9rqm38xYS8</t>
  </si>
  <si>
    <t>TIF</t>
  </si>
  <si>
    <t>TradeServer</t>
  </si>
  <si>
    <t>RestartServer</t>
  </si>
  <si>
    <t>RemainderAllocationTo</t>
  </si>
  <si>
    <t>Order Type</t>
  </si>
  <si>
    <t>Target%AsOf</t>
  </si>
  <si>
    <t>Price</t>
  </si>
  <si>
    <t>1aPfyH8-9OzvyUEQWpvYP7CNdzlH2HDHs9nRkU6_Sda0</t>
  </si>
  <si>
    <t>ProrataAccounts</t>
  </si>
  <si>
    <t>Stop</t>
  </si>
  <si>
    <t>DateUptoDays</t>
  </si>
  <si>
    <t>PranaClient</t>
  </si>
  <si>
    <t>RestartClient</t>
  </si>
  <si>
    <t>MatchClosing</t>
  </si>
  <si>
    <t>Limit</t>
  </si>
  <si>
    <t>1kM-hcS7WASF2EnkdmDAnJkED_3x_YPfTldBSOa1EEeA</t>
  </si>
  <si>
    <t>CommissionAlertOnBrokerChange</t>
  </si>
  <si>
    <t>Strategy</t>
  </si>
  <si>
    <t>RecalculateCommissionOnBrokerChange</t>
  </si>
  <si>
    <t>PTT</t>
  </si>
  <si>
    <t>Trade Date</t>
  </si>
  <si>
    <t>CommissionAlertOnAllocation</t>
  </si>
  <si>
    <t>CalculatePTT</t>
  </si>
  <si>
    <t>FxRate</t>
  </si>
  <si>
    <t>1oUUGr_vpB3dnGqJ3Zkji-f-PADRGrUmIrfe6ViF95qY</t>
  </si>
  <si>
    <t>Notes</t>
  </si>
  <si>
    <t>TradeUsingPTT</t>
  </si>
  <si>
    <t>Broker Notes</t>
  </si>
  <si>
    <t>1ghvLQ7xZEjQPmO8AkKmZBcKvSxanQoYxXlgbLVTYguQ</t>
  </si>
  <si>
    <t>CommissionBasis</t>
  </si>
  <si>
    <t>StageOrderUsingPTT</t>
  </si>
  <si>
    <t>CommissionRate</t>
  </si>
  <si>
    <t>1z0jpo1O7z_Wv_JVZ2a2nBXCOqmeWuxo2pxrr7g2aGOQ</t>
  </si>
  <si>
    <t>SoftBasis</t>
  </si>
  <si>
    <t>CreateOrderPTT</t>
  </si>
  <si>
    <t>14fC5DGNkFk6izJujkwOAjPn9Fo8UmX2-zqvxx8dw_4Y</t>
  </si>
  <si>
    <t>TradePTT</t>
  </si>
  <si>
    <t>1SAxXYvgNc8tV2TYlANcNc_d7gBW1hEUVvPk0eAF80kc</t>
  </si>
  <si>
    <t>RecalculateCommissionOnAllocation</t>
  </si>
  <si>
    <t>EnableMasterFund</t>
  </si>
  <si>
    <t>SoftRate</t>
  </si>
  <si>
    <t>VerifyPTT</t>
  </si>
  <si>
    <t>1UVltVE0IMcwXPVHARWPyPUy0fxYWcdI40uUnF93bMos</t>
  </si>
  <si>
    <t>TradeAttribute1</t>
  </si>
  <si>
    <t>TradeAttribute2</t>
  </si>
  <si>
    <t>OpenPTTFromPM</t>
  </si>
  <si>
    <t>11MxxAhF3W84i_XbsKwT_ifEg0K9L3XZmLMnHOdwneyk</t>
  </si>
  <si>
    <t>TradeAttribute3</t>
  </si>
  <si>
    <t>TradeAttribute4</t>
  </si>
  <si>
    <t>OpenMultiTTFromPTT</t>
  </si>
  <si>
    <t>TradeAttribute5</t>
  </si>
  <si>
    <t>1n8gpTgN6hCL2ZNuAdm4v3hgnggCwb-jFFChuAhy3OuQ</t>
  </si>
  <si>
    <t>1MasterFund/1Symbol</t>
  </si>
  <si>
    <t>TradeAttribute6</t>
  </si>
  <si>
    <t>ProrataSchemeName</t>
  </si>
  <si>
    <t>Venue</t>
  </si>
  <si>
    <t>SelectMultiTT</t>
  </si>
  <si>
    <t>ProrataAllocationSchemeBasis</t>
  </si>
  <si>
    <t>ExecutionInstructions</t>
  </si>
  <si>
    <t>1dRf1b0kmAtcOWmiz46NOl3Bl-s-d6XuzCSApeDXfR0Q</t>
  </si>
  <si>
    <t>ShowAdvancedProrataUI</t>
  </si>
  <si>
    <t>HandlingInstructions</t>
  </si>
  <si>
    <t>Trader</t>
  </si>
  <si>
    <t>EditMultiTT</t>
  </si>
  <si>
    <t>SettlementCurrency</t>
  </si>
  <si>
    <t>1hlN_qsaKiO1AaKOpeFvujWJb4UffdYoPUTtCOnaKGgw</t>
  </si>
  <si>
    <t>SettlementFXRate</t>
  </si>
  <si>
    <t>SettlementAmount</t>
  </si>
  <si>
    <t>SettlementFXOperator</t>
  </si>
  <si>
    <t>EditTradeUsingMTT</t>
  </si>
  <si>
    <t>SettleByBroker</t>
  </si>
  <si>
    <t>1DF7cfWDEMcfadRVXT9nq-ipyvEADOK9gegv3VDzUJTU</t>
  </si>
  <si>
    <t>Account</t>
  </si>
  <si>
    <t>Account %</t>
  </si>
  <si>
    <t>Deal In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</si>
  <si>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</si>
  <si>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</si>
  <si>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</si>
  <si>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</si>
  <si>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</si>
  <si>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</si>
  <si>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</si>
  <si>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</si>
  <si>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</si>
  <si>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</si>
  <si>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</si>
  <si>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</si>
  <si>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</si>
  <si>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</si>
  <si>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</si>
  <si>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</si>
  <si>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</si>
  <si>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</si>
  <si>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</si>
  <si>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</si>
  <si>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CL F9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</si>
  <si>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</si>
  <si>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</si>
  <si>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</si>
  <si>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</si>
  <si>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</si>
  <si>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</si>
  <si>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</si>
  <si>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</si>
  <si>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</si>
  <si>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</si>
  <si>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</si>
  <si>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</si>
  <si>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</si>
  <si>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</si>
  <si>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</si>
  <si>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</si>
  <si>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</si>
  <si>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Buy to Open</t>
  </si>
  <si>
    <t>Unallocated</t>
  </si>
  <si>
    <t>MSFT</t>
  </si>
  <si>
    <t>Buy</t>
  </si>
  <si>
    <t>Allocation1</t>
  </si>
  <si>
    <t>Sell</t>
  </si>
  <si>
    <t>FLO</t>
  </si>
  <si>
    <t>Allocation3,Allocation1</t>
  </si>
  <si>
    <t>75,25</t>
  </si>
  <si>
    <t>PreferenceName</t>
  </si>
  <si>
    <t>MasterFundName</t>
  </si>
  <si>
    <t>TargetPercentage</t>
  </si>
  <si>
    <t>MatchClosingTransaction</t>
  </si>
  <si>
    <t>NewMF</t>
  </si>
  <si>
    <t>Current Preference</t>
  </si>
  <si>
    <t>NewMF1</t>
  </si>
  <si>
    <t>MasterFund</t>
  </si>
  <si>
    <t>AccountName</t>
  </si>
  <si>
    <t>Percentage</t>
  </si>
  <si>
    <t>Allocation3</t>
  </si>
  <si>
    <t>MatchClosingTransactions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</si>
  <si>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</si>
  <si>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</si>
  <si>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</si>
  <si>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</si>
  <si>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</si>
  <si>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</si>
  <si>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</si>
  <si>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</si>
  <si>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Fair Pricing</t>
  </si>
  <si>
    <t>Account Inception</t>
  </si>
  <si>
    <t>Include</t>
  </si>
  <si>
    <t>Equity</t>
  </si>
  <si>
    <t>Buy,Sell</t>
  </si>
  <si>
    <t>Prorata</t>
  </si>
  <si>
    <t>Allocation1,Allocation3</t>
  </si>
  <si>
    <t>Exclude</t>
  </si>
  <si>
    <t>Trade Quantity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</si>
  <si>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</si>
  <si>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</si>
  <si>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</si>
  <si>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</si>
  <si>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</si>
  <si>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</si>
  <si>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</si>
  <si>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</si>
  <si>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</si>
  <si>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</si>
  <si>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</si>
  <si>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</si>
  <si>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</si>
  <si>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</si>
  <si>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</si>
  <si>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</si>
  <si>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</si>
  <si>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</si>
  <si>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</si>
  <si>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</si>
  <si>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</si>
  <si>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</si>
  <si>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</si>
  <si>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</si>
  <si>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</si>
  <si>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</si>
  <si>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</si>
  <si>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</si>
  <si>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</si>
  <si>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</si>
  <si>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</si>
  <si>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</si>
  <si>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</si>
  <si>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</si>
  <si>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</si>
  <si>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</si>
  <si>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</si>
  <si>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</si>
  <si>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</si>
  <si>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</si>
  <si>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</si>
  <si>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</si>
  <si>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</si>
  <si>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</si>
  <si>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</si>
  <si>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</si>
  <si>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</si>
  <si>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</si>
  <si>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</si>
  <si>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</si>
  <si>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</si>
  <si>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</si>
  <si>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</si>
  <si>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</si>
  <si>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</si>
  <si>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</si>
  <si>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</si>
  <si>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</si>
  <si>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</si>
  <si>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</si>
  <si>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</si>
  <si>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</si>
  <si>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</si>
  <si>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</si>
  <si>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</si>
  <si>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</si>
  <si>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</si>
  <si>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</si>
  <si>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</si>
  <si>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</si>
  <si>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</si>
  <si>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</si>
  <si>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</si>
  <si>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</si>
  <si>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</si>
  <si>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</si>
  <si>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</si>
  <si>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</si>
  <si>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</si>
  <si>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</si>
  <si>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</si>
  <si>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</si>
  <si>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</si>
  <si>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</si>
  <si>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</si>
  <si>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</si>
  <si>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</si>
  <si>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</si>
  <si>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</si>
  <si>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AccountsForProrata</t>
  </si>
  <si>
    <t>Calculated</t>
  </si>
  <si>
    <t>Account Name</t>
  </si>
  <si>
    <t>Exceution Time</t>
  </si>
  <si>
    <t>IsManualGroup</t>
  </si>
  <si>
    <t>RangeType</t>
  </si>
  <si>
    <t>From</t>
  </si>
  <si>
    <t>To</t>
  </si>
  <si>
    <t>Account Filter</t>
  </si>
  <si>
    <t>Strategy Name</t>
  </si>
  <si>
    <t>Multiple</t>
  </si>
  <si>
    <t>Current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</si>
  <si>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</si>
  <si>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</si>
  <si>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</si>
  <si>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</si>
  <si>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</si>
  <si>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</si>
  <si>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</si>
  <si>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</si>
  <si>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</si>
  <si>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</si>
  <si>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</si>
  <si>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</si>
  <si>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</si>
  <si>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</si>
  <si>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FilterTabName</t>
  </si>
  <si>
    <t>Asset</t>
  </si>
  <si>
    <t>StrategyName</t>
  </si>
  <si>
    <t>TradingAccount</t>
  </si>
  <si>
    <t>PreAllocated</t>
  </si>
  <si>
    <t>ManualGroup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</si>
</sst>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14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6" fontId="13" numFmtId="14" xfId="0" applyAlignment="1" applyFont="1" applyNumberFormat="1">
      <alignment horizontal="left" vertical="bottom"/>
    </xf>
    <xf borderId="0" fillId="6" fontId="1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6" fontId="13" numFmtId="0" xfId="0" applyFont="1"/>
    <xf borderId="0" fillId="6" fontId="13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0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">
        <v>10</v>
      </c>
      <c r="C4" s="7" t="s">
        <v>11</v>
      </c>
      <c r="D4" s="7"/>
      <c r="E4" s="7"/>
      <c r="F4" s="7"/>
    </row>
    <row r="5" ht="15.75" customHeight="1">
      <c r="A5" s="6" t="s">
        <v>12</v>
      </c>
      <c r="B5" s="7" t="s">
        <v>13</v>
      </c>
      <c r="C5" s="7" t="s">
        <v>14</v>
      </c>
      <c r="D5" s="7"/>
      <c r="E5" s="7"/>
      <c r="F5" s="7"/>
    </row>
    <row r="6" ht="15.75" customHeight="1">
      <c r="A6" s="7" t="s">
        <v>12</v>
      </c>
      <c r="B6" s="7" t="s">
        <v>15</v>
      </c>
      <c r="C6" s="7" t="s">
        <v>16</v>
      </c>
      <c r="D6" s="7"/>
      <c r="E6" s="7"/>
      <c r="F6" s="7"/>
    </row>
    <row r="7" ht="15.75" customHeight="1">
      <c r="A7" s="7" t="s">
        <v>12</v>
      </c>
      <c r="B7" s="7" t="s">
        <v>17</v>
      </c>
      <c r="C7" s="7" t="s">
        <v>18</v>
      </c>
      <c r="D7" s="7"/>
      <c r="E7" s="7"/>
      <c r="F7" s="7"/>
    </row>
    <row r="8" ht="15.75" customHeight="1">
      <c r="A8" s="7" t="s">
        <v>12</v>
      </c>
      <c r="B8" s="7" t="s">
        <v>19</v>
      </c>
      <c r="C8" s="7" t="s">
        <v>20</v>
      </c>
      <c r="D8" s="7"/>
      <c r="E8" s="7"/>
      <c r="F8" s="7"/>
    </row>
    <row r="9" ht="15.75" customHeight="1">
      <c r="A9" s="7" t="s">
        <v>12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12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12</v>
      </c>
      <c r="B11" s="7" t="s">
        <v>25</v>
      </c>
      <c r="C11" s="7" t="s">
        <v>11</v>
      </c>
      <c r="D11" s="7"/>
      <c r="E11" s="7"/>
      <c r="F11" s="7"/>
    </row>
    <row r="12" ht="15.75" customHeight="1">
      <c r="A12" s="7" t="s">
        <v>26</v>
      </c>
      <c r="B12" s="7" t="s">
        <v>28</v>
      </c>
      <c r="C12" s="7" t="s">
        <v>11</v>
      </c>
      <c r="D12" s="7"/>
      <c r="E12" s="7"/>
      <c r="F12" s="7"/>
    </row>
    <row r="13" ht="15.75" customHeight="1">
      <c r="A13" s="7" t="s">
        <v>26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11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12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12</v>
      </c>
      <c r="B59" t="s">
        <v>122</v>
      </c>
      <c r="C59" t="s">
        <v>123</v>
      </c>
    </row>
    <row r="60" ht="15.75" customHeight="1">
      <c r="A60" t="s">
        <v>12</v>
      </c>
      <c r="B60" t="s">
        <v>124</v>
      </c>
      <c r="C60" t="s">
        <v>125</v>
      </c>
    </row>
    <row r="61" ht="15.75" customHeight="1">
      <c r="A61" t="s">
        <v>12</v>
      </c>
      <c r="B61" t="s">
        <v>126</v>
      </c>
      <c r="C61" t="s">
        <v>127</v>
      </c>
    </row>
    <row r="62" ht="15.75" customHeight="1">
      <c r="A62" t="s">
        <v>12</v>
      </c>
      <c r="B62" t="s">
        <v>128</v>
      </c>
      <c r="C62" t="s">
        <v>129</v>
      </c>
    </row>
    <row r="63" ht="15.75" customHeight="1">
      <c r="A63" t="s">
        <v>12</v>
      </c>
      <c r="B63" t="s">
        <v>130</v>
      </c>
      <c r="C63" t="s">
        <v>131</v>
      </c>
    </row>
    <row r="64" ht="15.75" customHeight="1">
      <c r="A64" t="s">
        <v>12</v>
      </c>
      <c r="B64" t="s">
        <v>132</v>
      </c>
      <c r="C64" t="s">
        <v>133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12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12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12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12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12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12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12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12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12</v>
      </c>
      <c r="B113" t="s">
        <v>230</v>
      </c>
      <c r="C113" t="s">
        <v>231</v>
      </c>
    </row>
    <row r="114" ht="15.75" customHeight="1">
      <c r="A114" t="s">
        <v>12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12</v>
      </c>
      <c r="B117" t="s">
        <v>238</v>
      </c>
      <c r="C117" t="s">
        <v>239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12</v>
      </c>
      <c r="B120" t="s">
        <v>245</v>
      </c>
      <c r="C120" t="s">
        <v>11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26</v>
      </c>
      <c r="B124" t="s">
        <v>252</v>
      </c>
      <c r="C124" t="s">
        <v>253</v>
      </c>
    </row>
    <row r="125" ht="15.75" customHeight="1">
      <c r="A125" t="s">
        <v>26</v>
      </c>
      <c r="B125" t="s">
        <v>254</v>
      </c>
      <c r="C125" t="s">
        <v>255</v>
      </c>
    </row>
    <row r="126" ht="15.75" customHeight="1">
      <c r="A126" t="s">
        <v>26</v>
      </c>
      <c r="B126" t="s">
        <v>256</v>
      </c>
      <c r="C126" t="s">
        <v>257</v>
      </c>
    </row>
    <row r="127" ht="15.75" customHeight="1">
      <c r="A127" t="s">
        <v>26</v>
      </c>
      <c r="B127" t="s">
        <v>258</v>
      </c>
      <c r="C127" t="s">
        <v>259</v>
      </c>
    </row>
    <row r="128" ht="15.75" customHeight="1">
      <c r="A128" t="s">
        <v>26</v>
      </c>
      <c r="B128" t="s">
        <v>260</v>
      </c>
      <c r="C128" t="s">
        <v>261</v>
      </c>
    </row>
    <row r="129" ht="15.75" customHeight="1">
      <c r="A129" t="s">
        <v>26</v>
      </c>
      <c r="B129" t="s">
        <v>262</v>
      </c>
      <c r="C129" t="s">
        <v>263</v>
      </c>
    </row>
    <row r="130" ht="15.75" customHeight="1">
      <c r="A130" t="s">
        <v>26</v>
      </c>
      <c r="B130" t="s">
        <v>264</v>
      </c>
      <c r="C130" t="s">
        <v>265</v>
      </c>
    </row>
    <row r="131" ht="15.75" customHeight="1">
      <c r="A131" t="s">
        <v>26</v>
      </c>
      <c r="B131" t="s">
        <v>266</v>
      </c>
      <c r="C131" t="s">
        <v>267</v>
      </c>
    </row>
    <row r="132" ht="15.75" customHeight="1">
      <c r="A132" t="s">
        <v>26</v>
      </c>
      <c r="B132" t="s">
        <v>268</v>
      </c>
      <c r="C132" t="s">
        <v>269</v>
      </c>
    </row>
    <row r="133" ht="15.75" customHeight="1">
      <c r="A133" t="s">
        <v>26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26</v>
      </c>
      <c r="B135" t="s">
        <v>275</v>
      </c>
      <c r="C135" t="s">
        <v>276</v>
      </c>
    </row>
    <row r="136" ht="15.75" customHeight="1">
      <c r="A136" t="s">
        <v>26</v>
      </c>
      <c r="B136" t="s">
        <v>277</v>
      </c>
      <c r="C136" t="s">
        <v>278</v>
      </c>
    </row>
    <row r="137" ht="15.75" customHeight="1">
      <c r="A137" t="s">
        <v>12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26</v>
      </c>
      <c r="B139" t="s">
        <v>282</v>
      </c>
      <c r="C139" t="s">
        <v>283</v>
      </c>
    </row>
    <row r="140" ht="15.75" customHeight="1">
      <c r="A140" t="s">
        <v>26</v>
      </c>
      <c r="B140" t="s">
        <v>284</v>
      </c>
      <c r="C140" t="s">
        <v>285</v>
      </c>
    </row>
    <row r="141" ht="15.75" customHeight="1">
      <c r="A141" t="s">
        <v>26</v>
      </c>
      <c r="B141" t="s">
        <v>286</v>
      </c>
      <c r="C141" t="s">
        <v>287</v>
      </c>
    </row>
    <row r="142" ht="15.75" customHeight="1">
      <c r="A142" t="s">
        <v>26</v>
      </c>
      <c r="B142" t="s">
        <v>288</v>
      </c>
      <c r="C142" t="s">
        <v>289</v>
      </c>
    </row>
    <row r="143" ht="15.75" customHeight="1">
      <c r="A143" t="s">
        <v>26</v>
      </c>
      <c r="B143" t="s">
        <v>290</v>
      </c>
      <c r="C143" t="s">
        <v>291</v>
      </c>
    </row>
    <row r="144" ht="15.75" customHeight="1">
      <c r="A144" t="s">
        <v>26</v>
      </c>
      <c r="B144" t="s">
        <v>292</v>
      </c>
      <c r="C144" t="s">
        <v>293</v>
      </c>
    </row>
    <row r="145" ht="15.75" customHeight="1">
      <c r="A145" t="s">
        <v>26</v>
      </c>
      <c r="B145" t="s">
        <v>294</v>
      </c>
      <c r="C145" t="s">
        <v>295</v>
      </c>
    </row>
    <row r="146" ht="15.75" customHeight="1">
      <c r="A146" t="s">
        <v>26</v>
      </c>
      <c r="B146" t="s">
        <v>296</v>
      </c>
      <c r="C146" t="s">
        <v>297</v>
      </c>
    </row>
    <row r="147" ht="15.75" customHeight="1">
      <c r="A147" t="s">
        <v>26</v>
      </c>
      <c r="B147" t="s">
        <v>298</v>
      </c>
      <c r="C147" t="s">
        <v>299</v>
      </c>
    </row>
    <row r="148" ht="15.75" customHeight="1">
      <c r="A148" t="s">
        <v>26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12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12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12</v>
      </c>
      <c r="B162" t="s">
        <v>328</v>
      </c>
      <c r="C162" t="s">
        <v>329</v>
      </c>
    </row>
    <row r="163" ht="15.75" customHeight="1">
      <c r="A163" t="s">
        <v>12</v>
      </c>
      <c r="B163" t="s">
        <v>330</v>
      </c>
      <c r="C163" t="s">
        <v>331</v>
      </c>
    </row>
    <row r="164" ht="15.75" customHeight="1">
      <c r="A164" t="s">
        <v>12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12</v>
      </c>
      <c r="B167" t="s">
        <v>336</v>
      </c>
      <c r="C167" t="s">
        <v>337</v>
      </c>
    </row>
    <row r="168" ht="15.75" customHeight="1">
      <c r="A168" t="s">
        <v>12</v>
      </c>
      <c r="B168" t="s">
        <v>338</v>
      </c>
      <c r="C168" t="s">
        <v>339</v>
      </c>
    </row>
    <row r="169" ht="15.75" customHeight="1">
      <c r="A169" t="s">
        <v>12</v>
      </c>
      <c r="B169" t="s">
        <v>340</v>
      </c>
      <c r="C169" t="s">
        <v>341</v>
      </c>
    </row>
    <row r="170" ht="15.75" customHeight="1">
      <c r="A170" t="s">
        <v>12</v>
      </c>
      <c r="B170" t="s">
        <v>342</v>
      </c>
      <c r="C170" t="s">
        <v>343</v>
      </c>
    </row>
    <row r="171" ht="15.75" customHeight="1">
      <c r="A171" t="s">
        <v>12</v>
      </c>
      <c r="B171" t="s">
        <v>344</v>
      </c>
      <c r="C171" t="s">
        <v>345</v>
      </c>
    </row>
    <row r="172" ht="15.75" customHeight="1">
      <c r="A172" t="s">
        <v>26</v>
      </c>
      <c r="B172" t="s">
        <v>346</v>
      </c>
      <c r="C172" t="s">
        <v>347</v>
      </c>
    </row>
    <row r="173" ht="15.75" customHeight="1">
      <c r="A173" t="s">
        <v>26</v>
      </c>
      <c r="B173" t="s">
        <v>348</v>
      </c>
      <c r="C173" t="s">
        <v>349</v>
      </c>
    </row>
    <row r="174" ht="15.75" customHeight="1">
      <c r="A174" t="s">
        <v>26</v>
      </c>
      <c r="B174" t="s">
        <v>350</v>
      </c>
      <c r="C174" t="s">
        <v>351</v>
      </c>
    </row>
    <row r="175" ht="15.75" customHeight="1">
      <c r="A175" t="s">
        <v>26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357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364</v>
      </c>
      <c r="C180" t="s">
        <v>366</v>
      </c>
    </row>
    <row r="181" ht="15.75" customHeight="1">
      <c r="A181" t="s">
        <v>12</v>
      </c>
      <c r="B181" t="s">
        <v>367</v>
      </c>
      <c r="C181" t="s">
        <v>368</v>
      </c>
    </row>
    <row r="182" ht="15.75" customHeight="1">
      <c r="A182" t="s">
        <v>50</v>
      </c>
      <c r="B182" t="s">
        <v>369</v>
      </c>
      <c r="C182" t="s">
        <v>370</v>
      </c>
    </row>
    <row r="183" ht="15.75" customHeight="1">
      <c r="A183" t="s">
        <v>50</v>
      </c>
      <c r="B183" t="s">
        <v>371</v>
      </c>
      <c r="C183" t="s">
        <v>372</v>
      </c>
    </row>
    <row r="184" ht="15.75" customHeight="1">
      <c r="A184" t="s">
        <v>50</v>
      </c>
      <c r="B184" t="s">
        <v>373</v>
      </c>
      <c r="C184" t="s">
        <v>374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12</v>
      </c>
      <c r="B187" t="s">
        <v>379</v>
      </c>
      <c r="C187" t="s">
        <v>380</v>
      </c>
    </row>
    <row r="188" ht="15.75" customHeight="1">
      <c r="A188" t="s">
        <v>50</v>
      </c>
      <c r="B188" t="s">
        <v>381</v>
      </c>
      <c r="C188" t="s">
        <v>382</v>
      </c>
    </row>
    <row r="189" ht="15.75" customHeight="1">
      <c r="A189" t="s">
        <v>12</v>
      </c>
      <c r="B189" t="s">
        <v>358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12</v>
      </c>
      <c r="B195" t="s">
        <v>394</v>
      </c>
      <c r="C195" t="s">
        <v>395</v>
      </c>
    </row>
    <row r="196" ht="15.75" customHeight="1">
      <c r="A196" t="s">
        <v>12</v>
      </c>
      <c r="B196" t="s">
        <v>396</v>
      </c>
      <c r="C196" t="s">
        <v>397</v>
      </c>
    </row>
    <row r="197" ht="15.75" customHeight="1">
      <c r="A197" t="s">
        <v>12</v>
      </c>
      <c r="B197" t="s">
        <v>398</v>
      </c>
      <c r="C197" t="s">
        <v>399</v>
      </c>
    </row>
    <row r="198" ht="15.75" customHeight="1">
      <c r="A198" t="s">
        <v>12</v>
      </c>
      <c r="B198" t="s">
        <v>400</v>
      </c>
      <c r="C198" t="s">
        <v>401</v>
      </c>
    </row>
    <row r="199" ht="15.75" customHeight="1">
      <c r="A199" t="s">
        <v>12</v>
      </c>
      <c r="B199" t="s">
        <v>15</v>
      </c>
      <c r="C199" t="s">
        <v>16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26</v>
      </c>
      <c r="B204" t="s">
        <v>410</v>
      </c>
      <c r="C204" t="s">
        <v>411</v>
      </c>
    </row>
    <row r="205" ht="15.75" customHeight="1">
      <c r="A205" t="s">
        <v>26</v>
      </c>
      <c r="B205" t="s">
        <v>412</v>
      </c>
      <c r="C205" t="s">
        <v>413</v>
      </c>
    </row>
    <row r="206" ht="15.75" customHeight="1">
      <c r="A206" t="s">
        <v>26</v>
      </c>
      <c r="B206" t="s">
        <v>414</v>
      </c>
      <c r="C206" t="s">
        <v>415</v>
      </c>
    </row>
    <row r="207" ht="15.75" customHeight="1">
      <c r="A207" t="s">
        <v>26</v>
      </c>
      <c r="B207" t="s">
        <v>416</v>
      </c>
      <c r="C207" t="s">
        <v>417</v>
      </c>
    </row>
    <row r="208" ht="15.75" customHeight="1">
      <c r="A208" t="s">
        <v>26</v>
      </c>
      <c r="B208" t="s">
        <v>418</v>
      </c>
      <c r="C208" t="s">
        <v>419</v>
      </c>
    </row>
    <row r="209" ht="15.75" customHeight="1">
      <c r="A209" t="s">
        <v>26</v>
      </c>
      <c r="B209" t="s">
        <v>420</v>
      </c>
      <c r="C209" t="s">
        <v>422</v>
      </c>
    </row>
    <row r="210" ht="15.75" customHeight="1">
      <c r="A210" t="s">
        <v>26</v>
      </c>
      <c r="B210" t="s">
        <v>425</v>
      </c>
      <c r="C210" t="s">
        <v>429</v>
      </c>
    </row>
    <row r="211" ht="15.75" customHeight="1">
      <c r="A211" t="s">
        <v>26</v>
      </c>
      <c r="B211" t="s">
        <v>432</v>
      </c>
      <c r="C211" t="s">
        <v>433</v>
      </c>
    </row>
    <row r="212" ht="15.75" customHeight="1">
      <c r="A212" t="s">
        <v>26</v>
      </c>
      <c r="B212" t="s">
        <v>436</v>
      </c>
      <c r="C212" t="s">
        <v>437</v>
      </c>
    </row>
    <row r="213" ht="15.75" customHeight="1">
      <c r="A213" t="s">
        <v>26</v>
      </c>
      <c r="B213" t="s">
        <v>438</v>
      </c>
      <c r="C213" t="s">
        <v>439</v>
      </c>
    </row>
    <row r="214" ht="15.75" customHeight="1">
      <c r="A214" t="s">
        <v>50</v>
      </c>
      <c r="B214" t="s">
        <v>440</v>
      </c>
      <c r="C214" t="s">
        <v>441</v>
      </c>
    </row>
    <row r="215" ht="15.75" customHeight="1">
      <c r="A215" t="s">
        <v>50</v>
      </c>
      <c r="B215" t="s">
        <v>442</v>
      </c>
      <c r="C215" t="s">
        <v>443</v>
      </c>
    </row>
    <row r="216" ht="15.75" customHeight="1">
      <c r="A216" t="s">
        <v>50</v>
      </c>
      <c r="B216" t="s">
        <v>445</v>
      </c>
      <c r="C216" t="s">
        <v>446</v>
      </c>
    </row>
    <row r="217" ht="15.75" customHeight="1">
      <c r="A217" t="s">
        <v>50</v>
      </c>
      <c r="B217" t="s">
        <v>447</v>
      </c>
      <c r="C217" t="s">
        <v>448</v>
      </c>
    </row>
    <row r="218" ht="15.75" customHeight="1">
      <c r="A218" t="s">
        <v>272</v>
      </c>
      <c r="B218" t="s">
        <v>449</v>
      </c>
      <c r="C218" t="s">
        <v>450</v>
      </c>
    </row>
    <row r="219" ht="15.75" customHeight="1">
      <c r="A219" t="s">
        <v>272</v>
      </c>
      <c r="B219" t="s">
        <v>451</v>
      </c>
      <c r="C219" t="s">
        <v>452</v>
      </c>
    </row>
    <row r="220" ht="15.75" customHeight="1">
      <c r="A220" t="s">
        <v>272</v>
      </c>
      <c r="B220" t="s">
        <v>453</v>
      </c>
      <c r="C220" t="s">
        <v>454</v>
      </c>
    </row>
    <row r="221" ht="15.75" customHeight="1">
      <c r="A221" t="s">
        <v>272</v>
      </c>
      <c r="B221" t="s">
        <v>455</v>
      </c>
      <c r="C221" t="s">
        <v>456</v>
      </c>
    </row>
    <row r="222" ht="15.75" customHeight="1">
      <c r="A222" t="s">
        <v>272</v>
      </c>
      <c r="B222" t="s">
        <v>457</v>
      </c>
      <c r="C222" t="s">
        <v>458</v>
      </c>
    </row>
    <row r="223" ht="15.75" customHeight="1">
      <c r="A223" t="s">
        <v>272</v>
      </c>
      <c r="B223" t="s">
        <v>459</v>
      </c>
      <c r="C223" t="s">
        <v>460</v>
      </c>
    </row>
    <row r="224" ht="15.75" customHeight="1">
      <c r="A224" t="s">
        <v>272</v>
      </c>
      <c r="B224" t="s">
        <v>461</v>
      </c>
      <c r="C224" t="s">
        <v>462</v>
      </c>
    </row>
    <row r="225" ht="15.75" customHeight="1">
      <c r="A225" t="s">
        <v>272</v>
      </c>
      <c r="B225" t="s">
        <v>465</v>
      </c>
      <c r="C225" t="s">
        <v>466</v>
      </c>
    </row>
    <row r="226" ht="15.75" customHeight="1">
      <c r="A226" t="s">
        <v>272</v>
      </c>
      <c r="B226" t="s">
        <v>474</v>
      </c>
      <c r="C226" t="s">
        <v>476</v>
      </c>
    </row>
    <row r="227" ht="15.75" customHeight="1">
      <c r="A227" t="s">
        <v>272</v>
      </c>
      <c r="B227" t="s">
        <v>481</v>
      </c>
      <c r="C227" t="s">
        <v>482</v>
      </c>
    </row>
    <row r="228" ht="15.75" customHeight="1">
      <c r="A228" t="s">
        <v>272</v>
      </c>
      <c r="B228" t="s">
        <v>483</v>
      </c>
      <c r="C228" t="s">
        <v>484</v>
      </c>
    </row>
    <row r="229" ht="15.75" customHeight="1">
      <c r="A229" t="s">
        <v>272</v>
      </c>
      <c r="B229" t="s">
        <v>489</v>
      </c>
      <c r="C229" t="s">
        <v>490</v>
      </c>
    </row>
    <row r="230" ht="15.75" customHeight="1">
      <c r="A230" t="s">
        <v>272</v>
      </c>
      <c r="B230" t="s">
        <v>491</v>
      </c>
      <c r="C230" t="s">
        <v>492</v>
      </c>
    </row>
    <row r="231" ht="15.75" customHeight="1">
      <c r="A231" t="s">
        <v>272</v>
      </c>
      <c r="B231" t="s">
        <v>493</v>
      </c>
      <c r="C231" t="s">
        <v>494</v>
      </c>
    </row>
    <row r="232" ht="15.75" customHeight="1">
      <c r="A232" t="s">
        <v>272</v>
      </c>
      <c r="B232" t="s">
        <v>495</v>
      </c>
      <c r="C232" t="s">
        <v>496</v>
      </c>
    </row>
    <row r="233" ht="15.75" customHeight="1">
      <c r="A233" t="s">
        <v>272</v>
      </c>
      <c r="B233" t="s">
        <v>497</v>
      </c>
      <c r="C233" t="s">
        <v>498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499</v>
      </c>
      <c r="C235" t="s">
        <v>500</v>
      </c>
    </row>
    <row r="236" ht="15.75" customHeight="1">
      <c r="A236" t="s">
        <v>272</v>
      </c>
      <c r="B236" t="s">
        <v>501</v>
      </c>
      <c r="C236" t="s">
        <v>502</v>
      </c>
    </row>
    <row r="237" ht="15.75" customHeight="1">
      <c r="A237" t="s">
        <v>272</v>
      </c>
      <c r="B237" t="s">
        <v>503</v>
      </c>
      <c r="C237" t="s">
        <v>504</v>
      </c>
    </row>
    <row r="238" ht="15.75" customHeight="1">
      <c r="A238" t="s">
        <v>272</v>
      </c>
      <c r="B238" t="s">
        <v>400</v>
      </c>
      <c r="C238" t="s">
        <v>505</v>
      </c>
    </row>
    <row r="239" ht="15.75" customHeight="1">
      <c r="A239" t="s">
        <v>272</v>
      </c>
      <c r="B239" t="s">
        <v>506</v>
      </c>
      <c r="C239" t="s">
        <v>507</v>
      </c>
    </row>
    <row r="240" ht="15.75" customHeight="1">
      <c r="A240" t="s">
        <v>272</v>
      </c>
      <c r="B240" t="s">
        <v>508</v>
      </c>
      <c r="C240" t="s">
        <v>509</v>
      </c>
    </row>
    <row r="241" ht="15.75" customHeight="1">
      <c r="A241" t="s">
        <v>272</v>
      </c>
      <c r="B241" t="s">
        <v>510</v>
      </c>
      <c r="C241" t="s">
        <v>511</v>
      </c>
    </row>
    <row r="242" ht="15.75" customHeight="1">
      <c r="A242" t="s">
        <v>272</v>
      </c>
      <c r="B242" t="s">
        <v>512</v>
      </c>
      <c r="C242" t="s">
        <v>513</v>
      </c>
    </row>
    <row r="243" ht="15.75" customHeight="1">
      <c r="A243" t="s">
        <v>31</v>
      </c>
      <c r="B243" t="s">
        <v>514</v>
      </c>
      <c r="C243" t="s">
        <v>515</v>
      </c>
    </row>
    <row r="244" ht="15.75" customHeight="1">
      <c r="A244" t="s">
        <v>31</v>
      </c>
      <c r="B244" t="s">
        <v>516</v>
      </c>
    </row>
    <row r="245" ht="15.75" customHeight="1">
      <c r="A245" t="s">
        <v>31</v>
      </c>
      <c r="B245" t="s">
        <v>517</v>
      </c>
      <c r="C245" t="s">
        <v>518</v>
      </c>
    </row>
    <row r="246" ht="15.75" customHeight="1">
      <c r="A246" t="s">
        <v>31</v>
      </c>
      <c r="B246" t="s">
        <v>521</v>
      </c>
      <c r="C246" t="s">
        <v>522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523</v>
      </c>
      <c r="C248" t="s">
        <v>524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525</v>
      </c>
      <c r="C250" t="s">
        <v>526</v>
      </c>
    </row>
    <row r="251" ht="15.75" customHeight="1">
      <c r="A251" t="s">
        <v>50</v>
      </c>
      <c r="B251" t="s">
        <v>527</v>
      </c>
      <c r="C251" t="s">
        <v>528</v>
      </c>
    </row>
    <row r="252" ht="15.75" customHeight="1">
      <c r="A252" t="s">
        <v>50</v>
      </c>
      <c r="B252" t="s">
        <v>529</v>
      </c>
      <c r="C252" t="s">
        <v>530</v>
      </c>
    </row>
    <row r="253" ht="15.75" customHeight="1">
      <c r="A253" t="s">
        <v>50</v>
      </c>
      <c r="B253" t="s">
        <v>531</v>
      </c>
      <c r="C253" t="s">
        <v>532</v>
      </c>
    </row>
    <row r="254" ht="15.75" customHeight="1">
      <c r="A254" t="s">
        <v>50</v>
      </c>
      <c r="B254" t="s">
        <v>535</v>
      </c>
      <c r="C254" t="s">
        <v>538</v>
      </c>
    </row>
    <row r="255" ht="15.75" customHeight="1">
      <c r="A255" t="s">
        <v>61</v>
      </c>
      <c r="B255" t="s">
        <v>543</v>
      </c>
      <c r="C255" t="s">
        <v>544</v>
      </c>
    </row>
    <row r="256" ht="15.75" customHeight="1">
      <c r="A256" t="s">
        <v>61</v>
      </c>
      <c r="B256" t="s">
        <v>545</v>
      </c>
      <c r="C256" t="s">
        <v>546</v>
      </c>
    </row>
    <row r="257" ht="15.75" customHeight="1">
      <c r="A257" t="s">
        <v>12</v>
      </c>
      <c r="B257" t="s">
        <v>421</v>
      </c>
    </row>
    <row r="258" ht="15.75" customHeight="1">
      <c r="A258" t="s">
        <v>61</v>
      </c>
      <c r="B258" t="s">
        <v>547</v>
      </c>
    </row>
    <row r="259" ht="15.75" customHeight="1">
      <c r="A259" t="s">
        <v>61</v>
      </c>
      <c r="B259" t="s">
        <v>548</v>
      </c>
    </row>
    <row r="260" ht="15.75" customHeight="1">
      <c r="A260" t="s">
        <v>61</v>
      </c>
      <c r="B260" t="s">
        <v>549</v>
      </c>
      <c r="C260" t="s">
        <v>550</v>
      </c>
    </row>
    <row r="261" ht="15.75" customHeight="1">
      <c r="A261" t="s">
        <v>31</v>
      </c>
      <c r="B261" t="s">
        <v>551</v>
      </c>
    </row>
    <row r="262" ht="15.75" customHeight="1">
      <c r="A262" t="s">
        <v>26</v>
      </c>
      <c r="B262" t="s">
        <v>552</v>
      </c>
      <c r="C262" t="s">
        <v>553</v>
      </c>
    </row>
    <row r="263" ht="15.75" customHeight="1">
      <c r="A263" t="s">
        <v>31</v>
      </c>
      <c r="B263" t="s">
        <v>554</v>
      </c>
      <c r="C263" t="s">
        <v>555</v>
      </c>
    </row>
    <row r="264" ht="15.75" customHeight="1">
      <c r="A264" t="s">
        <v>104</v>
      </c>
      <c r="B264" t="s">
        <v>444</v>
      </c>
      <c r="C264" t="s">
        <v>556</v>
      </c>
    </row>
    <row r="265" ht="15.75" customHeight="1">
      <c r="A265" t="s">
        <v>48</v>
      </c>
      <c r="B265" t="s">
        <v>557</v>
      </c>
      <c r="C265" t="s">
        <v>558</v>
      </c>
    </row>
    <row r="266" ht="15.75" customHeight="1">
      <c r="A266" t="s">
        <v>104</v>
      </c>
      <c r="B266" t="s">
        <v>435</v>
      </c>
      <c r="C266" t="s">
        <v>559</v>
      </c>
    </row>
    <row r="267" ht="15.75" customHeight="1">
      <c r="A267" t="s">
        <v>104</v>
      </c>
      <c r="B267" t="s">
        <v>434</v>
      </c>
      <c r="C267" t="s">
        <v>562</v>
      </c>
    </row>
    <row r="268" ht="15.75" customHeight="1">
      <c r="A268" t="s">
        <v>565</v>
      </c>
      <c r="B268" t="s">
        <v>567</v>
      </c>
      <c r="C268" t="s">
        <v>569</v>
      </c>
    </row>
    <row r="269" ht="15.75" customHeight="1">
      <c r="A269" t="s">
        <v>571</v>
      </c>
      <c r="B269" t="s">
        <v>572</v>
      </c>
      <c r="C269" t="s">
        <v>577</v>
      </c>
    </row>
    <row r="270" ht="15.75" customHeight="1">
      <c r="A270" t="s">
        <v>581</v>
      </c>
      <c r="B270" t="s">
        <v>582</v>
      </c>
      <c r="C270" t="s">
        <v>585</v>
      </c>
    </row>
    <row r="271" ht="15.75" customHeight="1">
      <c r="A271" t="s">
        <v>589</v>
      </c>
      <c r="B271" t="s">
        <v>592</v>
      </c>
      <c r="C271" t="s">
        <v>594</v>
      </c>
    </row>
    <row r="272" ht="15.75" customHeight="1">
      <c r="A272" t="s">
        <v>589</v>
      </c>
      <c r="B272" t="s">
        <v>596</v>
      </c>
      <c r="C272" t="s">
        <v>598</v>
      </c>
    </row>
    <row r="273" ht="15.75" customHeight="1">
      <c r="A273" t="s">
        <v>589</v>
      </c>
      <c r="B273" t="s">
        <v>600</v>
      </c>
      <c r="C273" t="s">
        <v>602</v>
      </c>
    </row>
    <row r="274" ht="15.75" customHeight="1">
      <c r="A274" t="s">
        <v>589</v>
      </c>
      <c r="B274" t="s">
        <v>604</v>
      </c>
      <c r="C274" t="s">
        <v>605</v>
      </c>
    </row>
    <row r="275" ht="15.75" customHeight="1">
      <c r="A275" t="s">
        <v>589</v>
      </c>
      <c r="B275" t="s">
        <v>606</v>
      </c>
      <c r="C275" t="s">
        <v>607</v>
      </c>
    </row>
    <row r="276" ht="15.75" customHeight="1">
      <c r="A276" t="s">
        <v>589</v>
      </c>
      <c r="B276" t="s">
        <v>611</v>
      </c>
      <c r="C276" t="s">
        <v>612</v>
      </c>
    </row>
    <row r="277" ht="15.75" customHeight="1">
      <c r="A277" t="s">
        <v>61</v>
      </c>
      <c r="B277" t="s">
        <v>615</v>
      </c>
      <c r="C277" t="s">
        <v>616</v>
      </c>
    </row>
    <row r="278" ht="15.75" customHeight="1">
      <c r="A278" t="s">
        <v>589</v>
      </c>
      <c r="B278" t="s">
        <v>619</v>
      </c>
      <c r="C278" t="s">
        <v>621</v>
      </c>
    </row>
    <row r="279" ht="15.75" customHeight="1">
      <c r="A279" t="s">
        <v>589</v>
      </c>
      <c r="B279" t="s">
        <v>626</v>
      </c>
      <c r="C279" t="s">
        <v>629</v>
      </c>
    </row>
    <row r="280" ht="15.75" customHeight="1">
      <c r="A280" t="s">
        <v>589</v>
      </c>
      <c r="B280" t="s">
        <v>633</v>
      </c>
      <c r="C280" t="s">
        <v>635</v>
      </c>
    </row>
    <row r="281" ht="15.75" customHeight="1">
      <c r="A281" t="s">
        <v>294</v>
      </c>
      <c r="B281" t="s">
        <v>639</v>
      </c>
      <c r="C281" t="s">
        <v>641</v>
      </c>
    </row>
    <row r="282" ht="15.75" customHeight="1">
      <c r="A282" t="s">
        <v>294</v>
      </c>
      <c r="B282" t="s">
        <v>645</v>
      </c>
      <c r="C282" t="s">
        <v>646</v>
      </c>
    </row>
    <row r="283" ht="15.75" customHeight="1">
      <c r="A283" t="s">
        <v>294</v>
      </c>
      <c r="B283" t="s">
        <v>647</v>
      </c>
      <c r="C283" t="s">
        <v>648</v>
      </c>
    </row>
    <row r="284" ht="15.75" customHeight="1">
      <c r="A284" t="s">
        <v>294</v>
      </c>
      <c r="B284" t="s">
        <v>649</v>
      </c>
      <c r="C284" t="s">
        <v>650</v>
      </c>
    </row>
    <row r="285" ht="15.75" customHeight="1">
      <c r="A285" t="s">
        <v>294</v>
      </c>
      <c r="B285" t="s">
        <v>651</v>
      </c>
      <c r="C285" t="s">
        <v>652</v>
      </c>
    </row>
    <row r="286" ht="15.75" customHeight="1">
      <c r="A286" t="s">
        <v>12</v>
      </c>
      <c r="B286" t="s">
        <v>488</v>
      </c>
      <c r="C286" t="s">
        <v>183</v>
      </c>
    </row>
    <row r="287" ht="15.75" customHeight="1">
      <c r="A287" t="s">
        <v>294</v>
      </c>
      <c r="B287" t="s">
        <v>653</v>
      </c>
      <c r="C287" t="s">
        <v>654</v>
      </c>
    </row>
    <row r="288" ht="15.75" customHeight="1">
      <c r="A288" t="s">
        <v>12</v>
      </c>
      <c r="B288" t="s">
        <v>487</v>
      </c>
      <c r="C288" t="s">
        <v>655</v>
      </c>
    </row>
    <row r="289" ht="15.75" customHeight="1">
      <c r="A289" t="s">
        <v>12</v>
      </c>
      <c r="B289" t="s">
        <v>485</v>
      </c>
      <c r="C289" t="s">
        <v>161</v>
      </c>
    </row>
    <row r="290" ht="15.75" customHeight="1">
      <c r="A290" t="s">
        <v>12</v>
      </c>
      <c r="B290" t="s">
        <v>486</v>
      </c>
    </row>
    <row r="291" ht="15.75" customHeight="1">
      <c r="A291" t="s">
        <v>26</v>
      </c>
      <c r="B291" t="s">
        <v>656</v>
      </c>
      <c r="C291" t="s">
        <v>657</v>
      </c>
    </row>
    <row r="292" ht="15.75" customHeight="1">
      <c r="A292" t="s">
        <v>90</v>
      </c>
      <c r="B292" t="s">
        <v>658</v>
      </c>
      <c r="C292" t="s">
        <v>659</v>
      </c>
    </row>
    <row r="293" ht="15.75" customHeight="1">
      <c r="A293" t="s">
        <v>12</v>
      </c>
      <c r="B293" t="s">
        <v>480</v>
      </c>
    </row>
    <row r="294" ht="15.75" customHeight="1">
      <c r="A294" t="s">
        <v>12</v>
      </c>
      <c r="B294" t="s">
        <v>479</v>
      </c>
      <c r="C294" t="s">
        <v>145</v>
      </c>
    </row>
    <row r="295" ht="15.75" customHeight="1">
      <c r="A295" t="s">
        <v>12</v>
      </c>
      <c r="B295" t="s">
        <v>478</v>
      </c>
      <c r="C295" t="s">
        <v>660</v>
      </c>
    </row>
    <row r="296" ht="15.75" customHeight="1">
      <c r="A296" t="s">
        <v>12</v>
      </c>
      <c r="B296" t="s">
        <v>477</v>
      </c>
      <c r="C296" t="s">
        <v>661</v>
      </c>
    </row>
    <row r="297" ht="15.75" customHeight="1">
      <c r="A297" t="s">
        <v>12</v>
      </c>
      <c r="B297" t="s">
        <v>475</v>
      </c>
      <c r="C297" t="s">
        <v>662</v>
      </c>
    </row>
    <row r="298" ht="15.75" customHeight="1">
      <c r="A298" t="s">
        <v>12</v>
      </c>
      <c r="B298" t="s">
        <v>473</v>
      </c>
      <c r="C298" t="s">
        <v>663</v>
      </c>
    </row>
    <row r="299" ht="15.75" customHeight="1">
      <c r="A299" t="s">
        <v>12</v>
      </c>
      <c r="B299" t="s">
        <v>423</v>
      </c>
    </row>
    <row r="300" ht="15.75" customHeight="1">
      <c r="A300" t="s">
        <v>12</v>
      </c>
      <c r="B300" t="s">
        <v>472</v>
      </c>
      <c r="C300" t="s">
        <v>664</v>
      </c>
    </row>
    <row r="301" ht="15.75" customHeight="1">
      <c r="A301" t="s">
        <v>12</v>
      </c>
      <c r="B301" t="s">
        <v>424</v>
      </c>
    </row>
    <row r="302" ht="15.75" customHeight="1">
      <c r="A302" t="s">
        <v>12</v>
      </c>
      <c r="B302" t="s">
        <v>471</v>
      </c>
      <c r="C302" t="s">
        <v>666</v>
      </c>
    </row>
    <row r="303" ht="15.75" customHeight="1">
      <c r="A303" t="s">
        <v>12</v>
      </c>
      <c r="B303" t="s">
        <v>470</v>
      </c>
      <c r="C303" t="s">
        <v>667</v>
      </c>
    </row>
    <row r="304" ht="15.75" customHeight="1">
      <c r="A304" t="s">
        <v>12</v>
      </c>
      <c r="B304" t="s">
        <v>469</v>
      </c>
      <c r="C304" t="s">
        <v>668</v>
      </c>
    </row>
    <row r="305" ht="15.75" customHeight="1">
      <c r="A305" t="s">
        <v>12</v>
      </c>
      <c r="B305" t="s">
        <v>468</v>
      </c>
      <c r="C305" t="s">
        <v>669</v>
      </c>
    </row>
    <row r="306" ht="15.75" customHeight="1">
      <c r="A306" t="s">
        <v>12</v>
      </c>
      <c r="B306" t="s">
        <v>467</v>
      </c>
      <c r="C306" t="s">
        <v>670</v>
      </c>
    </row>
    <row r="307" ht="15.75" customHeight="1">
      <c r="A307" t="s">
        <v>589</v>
      </c>
      <c r="B307" t="s">
        <v>671</v>
      </c>
      <c r="C307" t="s">
        <v>672</v>
      </c>
    </row>
    <row r="308" ht="15.75" customHeight="1">
      <c r="A308" t="s">
        <v>12</v>
      </c>
      <c r="B308" t="s">
        <v>426</v>
      </c>
    </row>
    <row r="309" ht="15.75" customHeight="1">
      <c r="A309" t="s">
        <v>12</v>
      </c>
      <c r="B309" t="s">
        <v>427</v>
      </c>
    </row>
    <row r="310" ht="15.75" customHeight="1">
      <c r="A310" t="s">
        <v>12</v>
      </c>
      <c r="B310" t="s">
        <v>428</v>
      </c>
    </row>
    <row r="311" ht="15.75" customHeight="1">
      <c r="A311" t="s">
        <v>12</v>
      </c>
      <c r="B311" t="s">
        <v>464</v>
      </c>
      <c r="C311" t="s">
        <v>673</v>
      </c>
    </row>
    <row r="312" ht="15.75" customHeight="1">
      <c r="A312" t="s">
        <v>12</v>
      </c>
      <c r="B312" t="s">
        <v>430</v>
      </c>
      <c r="C312" t="s">
        <v>11</v>
      </c>
    </row>
    <row r="313" ht="15.75" customHeight="1">
      <c r="A313" t="s">
        <v>12</v>
      </c>
      <c r="B313" t="s">
        <v>463</v>
      </c>
      <c r="C313" t="s">
        <v>674</v>
      </c>
    </row>
    <row r="314" ht="15.75" customHeight="1">
      <c r="A314" t="s">
        <v>571</v>
      </c>
      <c r="B314" t="s">
        <v>675</v>
      </c>
      <c r="C314" t="s">
        <v>676</v>
      </c>
    </row>
    <row r="315" ht="15.75" customHeight="1">
      <c r="A315" t="s">
        <v>565</v>
      </c>
      <c r="B315" t="s">
        <v>677</v>
      </c>
      <c r="C315" t="s">
        <v>678</v>
      </c>
    </row>
    <row r="316" ht="15.75" customHeight="1">
      <c r="A316" t="s">
        <v>220</v>
      </c>
      <c r="B316" t="s">
        <v>679</v>
      </c>
      <c r="C316" t="s">
        <v>680</v>
      </c>
    </row>
    <row r="317" ht="15.75" customHeight="1">
      <c r="A317" t="s">
        <v>581</v>
      </c>
      <c r="B317" t="s">
        <v>681</v>
      </c>
      <c r="C317" t="s">
        <v>682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7</v>
      </c>
      <c r="B4" s="9" t="s">
        <v>27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2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10" t="s">
        <v>6</v>
      </c>
      <c r="B3" s="11" t="s">
        <v>8</v>
      </c>
      <c r="C3" s="11" t="s">
        <v>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104</v>
      </c>
      <c r="D3" s="8" t="s">
        <v>8</v>
      </c>
      <c r="E3" s="22" t="s">
        <v>304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431</v>
      </c>
      <c r="L4" s="24" t="s">
        <v>280</v>
      </c>
      <c r="M4" s="24" t="s">
        <v>302</v>
      </c>
      <c r="N4" s="24" t="s">
        <v>304</v>
      </c>
      <c r="O4" s="24" t="s">
        <v>434</v>
      </c>
      <c r="P4" s="25" t="s">
        <v>435</v>
      </c>
      <c r="Q4" s="25" t="s">
        <v>444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519</v>
      </c>
      <c r="C5" s="27" t="s">
        <v>533</v>
      </c>
      <c r="D5" s="27" t="s">
        <v>536</v>
      </c>
      <c r="E5" s="27" t="s">
        <v>539</v>
      </c>
      <c r="F5" s="28" t="s">
        <v>541</v>
      </c>
      <c r="G5" s="27" t="s">
        <v>564</v>
      </c>
      <c r="H5" s="27" t="s">
        <v>570</v>
      </c>
      <c r="I5" s="27" t="s">
        <v>574</v>
      </c>
      <c r="J5" s="27" t="s">
        <v>576</v>
      </c>
      <c r="K5" s="27" t="s">
        <v>579</v>
      </c>
      <c r="L5" s="27" t="s">
        <v>584</v>
      </c>
      <c r="M5" s="27" t="s">
        <v>587</v>
      </c>
      <c r="N5" s="27" t="s">
        <v>590</v>
      </c>
      <c r="O5" s="27" t="s">
        <v>593</v>
      </c>
      <c r="P5" s="27" t="s">
        <v>595</v>
      </c>
      <c r="Q5" s="27" t="s">
        <v>597</v>
      </c>
      <c r="R5" s="27" t="s">
        <v>599</v>
      </c>
      <c r="S5" s="27" t="s">
        <v>601</v>
      </c>
      <c r="T5" s="29" t="s">
        <v>603</v>
      </c>
      <c r="U5" s="29" t="s">
        <v>610</v>
      </c>
      <c r="V5" s="29" t="s">
        <v>613</v>
      </c>
      <c r="W5" s="29" t="s">
        <v>614</v>
      </c>
      <c r="X5" s="29" t="s">
        <v>617</v>
      </c>
      <c r="Y5" s="29" t="s">
        <v>618</v>
      </c>
      <c r="Z5" s="29" t="s">
        <v>620</v>
      </c>
      <c r="AA5" s="29" t="s">
        <v>623</v>
      </c>
      <c r="AB5" s="29" t="s">
        <v>625</v>
      </c>
      <c r="AC5" s="29" t="s">
        <v>628</v>
      </c>
      <c r="AD5" s="29" t="s">
        <v>631</v>
      </c>
      <c r="AE5" s="29" t="s">
        <v>632</v>
      </c>
      <c r="AF5" s="29" t="s">
        <v>634</v>
      </c>
      <c r="AG5" s="29" t="s">
        <v>636</v>
      </c>
      <c r="AH5" s="29" t="s">
        <v>637</v>
      </c>
      <c r="AI5" s="29" t="s">
        <v>638</v>
      </c>
      <c r="AJ5" s="29" t="s">
        <v>640</v>
      </c>
      <c r="AK5" s="29" t="s">
        <v>642</v>
      </c>
      <c r="AL5" s="29" t="s">
        <v>643</v>
      </c>
      <c r="AM5" s="29" t="s">
        <v>644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665</v>
      </c>
      <c r="C6" s="33" t="s">
        <v>683</v>
      </c>
      <c r="D6" s="34">
        <v>100.0</v>
      </c>
      <c r="E6" s="35">
        <v>100.0</v>
      </c>
      <c r="F6" s="36" t="s">
        <v>684</v>
      </c>
      <c r="G6" s="37"/>
      <c r="H6" s="37"/>
      <c r="I6" s="37"/>
      <c r="J6" s="35">
        <v>10.0</v>
      </c>
      <c r="K6" s="37"/>
      <c r="L6" s="37"/>
      <c r="M6" s="37"/>
      <c r="N6" s="38">
        <f t="shared" ref="N6:N11" si="1">TODAY()</f>
        <v>43206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</row>
    <row r="7" ht="15.75" customHeight="1">
      <c r="A7" s="37"/>
      <c r="B7" s="39" t="s">
        <v>685</v>
      </c>
      <c r="C7" s="39" t="s">
        <v>686</v>
      </c>
      <c r="D7" s="35">
        <v>100.0</v>
      </c>
      <c r="E7" s="35">
        <v>100.0</v>
      </c>
      <c r="F7" s="39" t="s">
        <v>687</v>
      </c>
      <c r="G7" s="37"/>
      <c r="H7" s="37"/>
      <c r="I7" s="37"/>
      <c r="J7" s="35">
        <v>10.0</v>
      </c>
      <c r="K7" s="37"/>
      <c r="L7" s="37"/>
      <c r="M7" s="37"/>
      <c r="N7" s="38">
        <f t="shared" si="1"/>
        <v>43206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 ht="15.75" customHeight="1">
      <c r="A8" s="37"/>
      <c r="B8" s="39" t="s">
        <v>685</v>
      </c>
      <c r="C8" s="39" t="s">
        <v>688</v>
      </c>
      <c r="D8" s="35">
        <v>100.0</v>
      </c>
      <c r="E8" s="35">
        <v>100.0</v>
      </c>
      <c r="F8" s="36" t="s">
        <v>684</v>
      </c>
      <c r="G8" s="37"/>
      <c r="H8" s="37"/>
      <c r="I8" s="37"/>
      <c r="J8" s="35">
        <v>10.0</v>
      </c>
      <c r="K8" s="37"/>
      <c r="L8" s="37"/>
      <c r="M8" s="37"/>
      <c r="N8" s="38">
        <f t="shared" si="1"/>
        <v>43206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ht="15.75" customHeight="1">
      <c r="A9" s="37"/>
      <c r="B9" s="39" t="s">
        <v>689</v>
      </c>
      <c r="C9" s="39" t="s">
        <v>686</v>
      </c>
      <c r="D9" s="35">
        <v>100.0</v>
      </c>
      <c r="E9" s="35">
        <v>100.0</v>
      </c>
      <c r="F9" s="36"/>
      <c r="G9" s="37"/>
      <c r="H9" s="37"/>
      <c r="I9" s="37"/>
      <c r="J9" s="35">
        <v>10.0</v>
      </c>
      <c r="K9" s="37"/>
      <c r="L9" s="37"/>
      <c r="M9" s="37"/>
      <c r="N9" s="38">
        <f t="shared" si="1"/>
        <v>43206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 t="s">
        <v>690</v>
      </c>
      <c r="AL9" s="37" t="s">
        <v>691</v>
      </c>
      <c r="AM9" s="37"/>
    </row>
    <row r="10" ht="15.75" customHeight="1">
      <c r="A10" s="37"/>
      <c r="B10" s="39" t="s">
        <v>689</v>
      </c>
      <c r="C10" s="39" t="s">
        <v>683</v>
      </c>
      <c r="D10" s="35">
        <v>100.0</v>
      </c>
      <c r="E10" s="35">
        <v>100.0</v>
      </c>
      <c r="F10" s="36" t="s">
        <v>684</v>
      </c>
      <c r="G10" s="37"/>
      <c r="H10" s="37"/>
      <c r="I10" s="37"/>
      <c r="J10" s="35">
        <v>10.0</v>
      </c>
      <c r="K10" s="37"/>
      <c r="L10" s="37"/>
      <c r="M10" s="37"/>
      <c r="N10" s="40">
        <f t="shared" si="1"/>
        <v>43206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</row>
    <row r="11" ht="15.75" customHeight="1">
      <c r="A11" s="37"/>
      <c r="B11" s="39" t="s">
        <v>689</v>
      </c>
      <c r="C11" s="39" t="s">
        <v>683</v>
      </c>
      <c r="D11" s="35">
        <v>200.0</v>
      </c>
      <c r="E11" s="35">
        <v>200.0</v>
      </c>
      <c r="F11" s="36" t="s">
        <v>684</v>
      </c>
      <c r="G11" s="37"/>
      <c r="H11" s="37"/>
      <c r="I11" s="37"/>
      <c r="J11" s="35">
        <v>10.0</v>
      </c>
      <c r="K11" s="37"/>
      <c r="L11" s="37"/>
      <c r="M11" s="37"/>
      <c r="N11" s="40">
        <f t="shared" si="1"/>
        <v>43206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</row>
    <row r="12" ht="15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</row>
    <row r="13" ht="15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ht="15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ht="15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ht="15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358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520</v>
      </c>
      <c r="C5" s="27" t="s">
        <v>534</v>
      </c>
      <c r="D5" s="27" t="s">
        <v>537</v>
      </c>
      <c r="E5" s="27" t="s">
        <v>540</v>
      </c>
      <c r="F5" s="28" t="s">
        <v>542</v>
      </c>
      <c r="G5" s="27" t="s">
        <v>560</v>
      </c>
      <c r="H5" s="27" t="s">
        <v>561</v>
      </c>
      <c r="I5" s="27" t="s">
        <v>563</v>
      </c>
      <c r="J5" s="27" t="s">
        <v>566</v>
      </c>
      <c r="K5" s="27" t="s">
        <v>568</v>
      </c>
      <c r="L5" s="27" t="s">
        <v>541</v>
      </c>
      <c r="M5" s="27" t="s">
        <v>573</v>
      </c>
      <c r="N5" s="27" t="s">
        <v>575</v>
      </c>
      <c r="O5" s="27" t="s">
        <v>578</v>
      </c>
      <c r="P5" s="27" t="s">
        <v>580</v>
      </c>
      <c r="Q5" s="27" t="s">
        <v>583</v>
      </c>
      <c r="R5" s="27" t="s">
        <v>586</v>
      </c>
      <c r="S5" s="27" t="s">
        <v>588</v>
      </c>
      <c r="T5" s="29" t="s">
        <v>591</v>
      </c>
      <c r="U5" s="29" t="s">
        <v>608</v>
      </c>
      <c r="V5" s="29" t="s">
        <v>609</v>
      </c>
      <c r="W5" s="29" t="s">
        <v>622</v>
      </c>
      <c r="X5" s="29" t="s">
        <v>624</v>
      </c>
      <c r="Y5" s="29" t="s">
        <v>627</v>
      </c>
      <c r="Z5" s="29" t="s">
        <v>630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b">
        <v>1</v>
      </c>
      <c r="C6" s="6"/>
      <c r="D6" s="9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V6" s="18" t="b">
        <v>1</v>
      </c>
      <c r="W6" s="18" t="b">
        <v>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479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"MFPref2-"&amp;text(TODAY(),"dd-mm-yy")</f>
        <v>MFPref2-16-04-18</v>
      </c>
      <c r="C6" s="6"/>
      <c r="D6" s="9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468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573</v>
      </c>
      <c r="C5" s="27" t="s">
        <v>575</v>
      </c>
      <c r="D5" s="27" t="s">
        <v>578</v>
      </c>
      <c r="E5" s="27" t="s">
        <v>580</v>
      </c>
      <c r="F5" s="28" t="s">
        <v>692</v>
      </c>
      <c r="G5" s="27" t="s">
        <v>695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696</v>
      </c>
      <c r="C6" s="39" t="s">
        <v>697</v>
      </c>
      <c r="D6" s="30"/>
      <c r="E6" s="37"/>
      <c r="F6" s="42" t="str">
        <f>"MFPref2-"&amp;text(TODAY(),"dd-mm-yy")</f>
        <v>MFPref2-16-04-18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469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693</v>
      </c>
      <c r="D5" s="27" t="s">
        <v>694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tr">
        <f t="shared" ref="B6:B7" si="1">"MFPref2-"&amp;text(TODAY(),"dd-mm-yy")</f>
        <v>MFPref2-16-04-18</v>
      </c>
      <c r="C6" s="39" t="s">
        <v>696</v>
      </c>
      <c r="D6" s="34">
        <v>100.0</v>
      </c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7"/>
      <c r="B7" s="42" t="str">
        <f t="shared" si="1"/>
        <v>MFPref2-16-04-18</v>
      </c>
      <c r="C7" s="39" t="s">
        <v>698</v>
      </c>
      <c r="D7" s="35">
        <v>0.0</v>
      </c>
      <c r="E7" s="37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7"/>
      <c r="B8" s="37"/>
      <c r="C8" s="37"/>
      <c r="D8" s="37"/>
      <c r="E8" s="37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37"/>
      <c r="B9" s="37"/>
      <c r="C9" s="37"/>
      <c r="D9" s="37"/>
      <c r="E9" s="37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37"/>
      <c r="B10" s="37"/>
      <c r="C10" s="37"/>
      <c r="D10" s="37"/>
      <c r="E10" s="37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472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699</v>
      </c>
      <c r="D5" s="27" t="s">
        <v>700</v>
      </c>
      <c r="E5" s="27" t="s">
        <v>701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tr">
        <f t="shared" ref="B6:B7" si="1">"MFPref2-"&amp;text(TODAY(),"dd-mm-yy")</f>
        <v>MFPref2-16-04-18</v>
      </c>
      <c r="C6" s="39" t="s">
        <v>696</v>
      </c>
      <c r="D6" s="32" t="s">
        <v>687</v>
      </c>
      <c r="E6" s="35">
        <v>50.0</v>
      </c>
      <c r="F6" s="37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7"/>
      <c r="B7" s="42" t="str">
        <f t="shared" si="1"/>
        <v>MFPref2-16-04-18</v>
      </c>
      <c r="C7" s="39" t="s">
        <v>696</v>
      </c>
      <c r="D7" s="39" t="s">
        <v>702</v>
      </c>
      <c r="E7" s="35">
        <v>50.0</v>
      </c>
      <c r="F7" s="37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7"/>
      <c r="B8" s="37"/>
      <c r="C8" s="37"/>
      <c r="D8" s="37"/>
      <c r="E8" s="37"/>
      <c r="F8" s="37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37"/>
      <c r="B9" s="37"/>
      <c r="C9" s="37"/>
      <c r="D9" s="37"/>
      <c r="E9" s="37"/>
      <c r="F9" s="37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37"/>
      <c r="B10" s="37"/>
      <c r="C10" s="37"/>
      <c r="D10" s="37"/>
      <c r="E10" s="37"/>
      <c r="F10" s="37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37"/>
      <c r="B11" s="37"/>
      <c r="C11" s="37"/>
      <c r="D11" s="37"/>
      <c r="E11" s="37"/>
      <c r="F11" s="37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37"/>
      <c r="B12" s="37"/>
      <c r="C12" s="37"/>
      <c r="D12" s="37"/>
      <c r="E12" s="37"/>
      <c r="F12" s="37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467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699</v>
      </c>
      <c r="D5" s="27" t="s">
        <v>541</v>
      </c>
      <c r="E5" s="27" t="s">
        <v>573</v>
      </c>
      <c r="F5" s="28" t="s">
        <v>575</v>
      </c>
      <c r="G5" s="27" t="s">
        <v>578</v>
      </c>
      <c r="H5" s="27" t="s">
        <v>580</v>
      </c>
      <c r="I5" s="27" t="s">
        <v>703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tr">
        <f>"MFPref2-"&amp;text(TODAY(),"dd-mm-yy")</f>
        <v>MFPref2-16-04-18</v>
      </c>
      <c r="C6" s="39" t="s">
        <v>696</v>
      </c>
      <c r="D6" s="32" t="s">
        <v>712</v>
      </c>
      <c r="E6" s="37"/>
      <c r="F6" s="39" t="s">
        <v>713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470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699</v>
      </c>
      <c r="D5" s="27" t="s">
        <v>704</v>
      </c>
      <c r="E5" s="27" t="s">
        <v>705</v>
      </c>
      <c r="F5" s="28" t="s">
        <v>706</v>
      </c>
      <c r="G5" s="27" t="s">
        <v>707</v>
      </c>
      <c r="H5" s="27" t="s">
        <v>708</v>
      </c>
      <c r="I5" s="27" t="s">
        <v>709</v>
      </c>
      <c r="J5" s="27" t="s">
        <v>710</v>
      </c>
      <c r="K5" s="27" t="s">
        <v>711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tr">
        <f>"MFPref2-"&amp;text(TODAY(),"dd-mm-yy")</f>
        <v>MFPref2-16-04-18</v>
      </c>
      <c r="C6" s="39" t="s">
        <v>696</v>
      </c>
      <c r="D6" s="30"/>
      <c r="E6" s="37"/>
      <c r="F6" s="39" t="s">
        <v>714</v>
      </c>
      <c r="G6" s="39" t="s">
        <v>715</v>
      </c>
      <c r="H6" s="37"/>
      <c r="I6" s="37"/>
      <c r="J6" s="39" t="s">
        <v>714</v>
      </c>
      <c r="K6" s="39" t="s">
        <v>716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488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700</v>
      </c>
      <c r="D5" s="27" t="s">
        <v>701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43" t="str">
        <f t="shared" ref="B6:B7" si="1">"MFPref2-"&amp;text(TODAY(),"dd-mm-yy")</f>
        <v>MFPref2-16-04-18</v>
      </c>
      <c r="C6" s="9" t="s">
        <v>687</v>
      </c>
      <c r="D6" s="9">
        <v>60.0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4" t="str">
        <f t="shared" si="1"/>
        <v>MFPref2-16-04-18</v>
      </c>
      <c r="C7" s="9" t="s">
        <v>702</v>
      </c>
      <c r="D7" s="9">
        <v>40.0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485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541</v>
      </c>
      <c r="C5" s="27" t="s">
        <v>573</v>
      </c>
      <c r="D5" s="27" t="s">
        <v>575</v>
      </c>
      <c r="E5" s="27" t="s">
        <v>578</v>
      </c>
      <c r="F5" s="28" t="s">
        <v>580</v>
      </c>
      <c r="G5" s="27" t="s">
        <v>703</v>
      </c>
      <c r="H5" s="27" t="s">
        <v>692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C6" s="9"/>
      <c r="D6" s="9" t="s">
        <v>717</v>
      </c>
      <c r="E6" s="9" t="s">
        <v>718</v>
      </c>
      <c r="F6" s="6"/>
      <c r="G6" s="6"/>
      <c r="H6" s="43" t="str">
        <f>"MFPref2-"&amp;text(TODAY(),"dd-mm-yy")</f>
        <v>MFPref2-16-04-18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44"/>
      <c r="C7" s="9"/>
      <c r="D7" s="9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470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699</v>
      </c>
      <c r="D5" s="27" t="s">
        <v>704</v>
      </c>
      <c r="E5" s="27" t="s">
        <v>705</v>
      </c>
      <c r="F5" s="28" t="s">
        <v>706</v>
      </c>
      <c r="G5" s="27" t="s">
        <v>707</v>
      </c>
      <c r="H5" s="27" t="s">
        <v>708</v>
      </c>
      <c r="I5" s="27" t="s">
        <v>709</v>
      </c>
      <c r="J5" s="27" t="s">
        <v>710</v>
      </c>
      <c r="K5" s="27" t="s">
        <v>711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43" t="str">
        <f>"MFPref2-"&amp;text(TODAY(),"dd-mm-yy")</f>
        <v>MFPref2-16-04-18</v>
      </c>
      <c r="C6" s="9" t="s">
        <v>696</v>
      </c>
      <c r="D6" s="9"/>
      <c r="E6" s="31"/>
      <c r="F6" s="18" t="s">
        <v>714</v>
      </c>
      <c r="G6" s="18" t="s">
        <v>715</v>
      </c>
      <c r="H6" s="6"/>
      <c r="I6" s="6"/>
      <c r="J6" s="9" t="s">
        <v>719</v>
      </c>
      <c r="K6" s="9" t="s">
        <v>716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485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541</v>
      </c>
      <c r="C5" s="27" t="s">
        <v>573</v>
      </c>
      <c r="D5" s="27" t="s">
        <v>575</v>
      </c>
      <c r="E5" s="27" t="s">
        <v>578</v>
      </c>
      <c r="F5" s="28" t="s">
        <v>580</v>
      </c>
      <c r="G5" s="27" t="s">
        <v>703</v>
      </c>
      <c r="H5" s="27" t="s">
        <v>692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18" t="s">
        <v>720</v>
      </c>
      <c r="C6" s="9"/>
      <c r="D6" s="9" t="s">
        <v>713</v>
      </c>
      <c r="E6" s="9"/>
      <c r="F6" s="6"/>
      <c r="G6" s="6"/>
      <c r="H6" s="43" t="str">
        <f>"MFPref2-"&amp;text(TODAY(),"dd-mm-yy")</f>
        <v>MFPref2-16-04-18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44"/>
      <c r="C7" s="9"/>
      <c r="D7" s="9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488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700</v>
      </c>
      <c r="D5" s="27" t="s">
        <v>701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9" t="s">
        <v>687</v>
      </c>
      <c r="D6" s="9">
        <v>64.0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9" t="s">
        <v>702</v>
      </c>
      <c r="D7" s="9">
        <v>36.0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208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519</v>
      </c>
      <c r="C5" s="27" t="s">
        <v>721</v>
      </c>
      <c r="D5" s="27" t="s">
        <v>536</v>
      </c>
      <c r="E5" s="27" t="s">
        <v>722</v>
      </c>
      <c r="F5" s="28" t="s">
        <v>590</v>
      </c>
      <c r="G5" s="27" t="s">
        <v>723</v>
      </c>
      <c r="H5" s="27" t="s">
        <v>724</v>
      </c>
      <c r="I5" s="27" t="s">
        <v>725</v>
      </c>
      <c r="J5" s="27" t="s">
        <v>726</v>
      </c>
      <c r="K5" s="27" t="s">
        <v>727</v>
      </c>
      <c r="L5" s="27" t="s">
        <v>728</v>
      </c>
      <c r="M5" s="27" t="s">
        <v>729</v>
      </c>
      <c r="N5" s="27" t="s">
        <v>730</v>
      </c>
      <c r="O5" s="27" t="s">
        <v>731</v>
      </c>
      <c r="P5" s="27" t="s">
        <v>564</v>
      </c>
      <c r="Q5" s="27" t="s">
        <v>732</v>
      </c>
      <c r="R5" s="27" t="s">
        <v>625</v>
      </c>
      <c r="S5" s="27" t="s">
        <v>733</v>
      </c>
      <c r="T5" s="29" t="s">
        <v>734</v>
      </c>
      <c r="U5" s="29" t="s">
        <v>735</v>
      </c>
      <c r="V5" s="29" t="s">
        <v>736</v>
      </c>
      <c r="W5" s="29" t="s">
        <v>737</v>
      </c>
      <c r="X5" s="29" t="s">
        <v>738</v>
      </c>
      <c r="Y5" s="29" t="s">
        <v>739</v>
      </c>
      <c r="Z5" s="29" t="s">
        <v>740</v>
      </c>
      <c r="AA5" s="29" t="s">
        <v>741</v>
      </c>
      <c r="AB5" s="29" t="s">
        <v>742</v>
      </c>
      <c r="AC5" s="29" t="s">
        <v>743</v>
      </c>
      <c r="AD5" s="29" t="s">
        <v>744</v>
      </c>
      <c r="AE5" s="29" t="s">
        <v>745</v>
      </c>
      <c r="AF5" s="29" t="s">
        <v>746</v>
      </c>
      <c r="AG5" s="29" t="s">
        <v>747</v>
      </c>
      <c r="AH5" s="29" t="s">
        <v>748</v>
      </c>
      <c r="AI5" s="29" t="s">
        <v>749</v>
      </c>
      <c r="AJ5" s="29" t="s">
        <v>750</v>
      </c>
      <c r="AK5" s="29" t="s">
        <v>751</v>
      </c>
      <c r="AL5" s="29" t="s">
        <v>752</v>
      </c>
      <c r="AM5" s="29" t="s">
        <v>753</v>
      </c>
      <c r="AN5" s="29" t="s">
        <v>754</v>
      </c>
      <c r="AO5" s="29" t="s">
        <v>755</v>
      </c>
      <c r="AP5" s="29" t="s">
        <v>756</v>
      </c>
      <c r="AQ5" s="29" t="s">
        <v>757</v>
      </c>
      <c r="AR5" s="29" t="s">
        <v>758</v>
      </c>
      <c r="AS5" s="29" t="s">
        <v>759</v>
      </c>
      <c r="AT5" s="29" t="s">
        <v>760</v>
      </c>
      <c r="AU5" s="29" t="s">
        <v>761</v>
      </c>
      <c r="AV5" s="29" t="s">
        <v>762</v>
      </c>
      <c r="AW5" s="29" t="s">
        <v>763</v>
      </c>
      <c r="AX5" s="29" t="s">
        <v>764</v>
      </c>
      <c r="AY5" s="29" t="s">
        <v>765</v>
      </c>
      <c r="AZ5" s="29" t="s">
        <v>766</v>
      </c>
      <c r="BA5" s="29" t="s">
        <v>767</v>
      </c>
      <c r="BB5" s="29" t="s">
        <v>768</v>
      </c>
      <c r="BC5" s="29" t="s">
        <v>769</v>
      </c>
      <c r="BD5" s="29" t="s">
        <v>770</v>
      </c>
      <c r="BE5" s="29" t="s">
        <v>771</v>
      </c>
      <c r="BF5" s="29" t="s">
        <v>772</v>
      </c>
      <c r="BG5" s="29" t="s">
        <v>773</v>
      </c>
      <c r="BH5" s="29" t="s">
        <v>774</v>
      </c>
      <c r="BI5" s="29" t="s">
        <v>775</v>
      </c>
      <c r="BJ5" s="29" t="s">
        <v>776</v>
      </c>
      <c r="BK5" s="29" t="s">
        <v>574</v>
      </c>
      <c r="BL5" s="29" t="s">
        <v>777</v>
      </c>
      <c r="BM5" s="29" t="s">
        <v>109</v>
      </c>
      <c r="BN5" s="29" t="s">
        <v>778</v>
      </c>
      <c r="BO5" s="29" t="s">
        <v>779</v>
      </c>
      <c r="BP5" s="29" t="s">
        <v>780</v>
      </c>
      <c r="BQ5" s="29" t="s">
        <v>781</v>
      </c>
      <c r="BR5" s="29" t="s">
        <v>782</v>
      </c>
      <c r="BS5" s="29" t="s">
        <v>783</v>
      </c>
      <c r="BT5" s="29" t="s">
        <v>784</v>
      </c>
      <c r="BU5" s="29" t="s">
        <v>785</v>
      </c>
      <c r="BV5" s="29" t="s">
        <v>786</v>
      </c>
      <c r="BW5" s="29" t="s">
        <v>787</v>
      </c>
      <c r="BX5" s="29" t="s">
        <v>788</v>
      </c>
      <c r="BY5" s="29" t="s">
        <v>789</v>
      </c>
      <c r="BZ5" s="29" t="s">
        <v>790</v>
      </c>
      <c r="CA5" s="29" t="s">
        <v>791</v>
      </c>
      <c r="CB5" s="29" t="s">
        <v>792</v>
      </c>
      <c r="CC5" s="29" t="s">
        <v>793</v>
      </c>
      <c r="CD5" s="29" t="s">
        <v>794</v>
      </c>
      <c r="CE5" s="29" t="s">
        <v>795</v>
      </c>
      <c r="CF5" s="29" t="s">
        <v>796</v>
      </c>
      <c r="CG5" s="29" t="s">
        <v>797</v>
      </c>
      <c r="CH5" s="29" t="s">
        <v>798</v>
      </c>
      <c r="CI5" s="29" t="s">
        <v>799</v>
      </c>
      <c r="CJ5" s="29" t="s">
        <v>800</v>
      </c>
      <c r="CK5" s="29" t="s">
        <v>801</v>
      </c>
      <c r="CL5" s="29" t="s">
        <v>802</v>
      </c>
      <c r="CM5" s="29" t="s">
        <v>803</v>
      </c>
      <c r="CN5" s="29" t="s">
        <v>804</v>
      </c>
      <c r="CO5" s="29" t="s">
        <v>805</v>
      </c>
      <c r="CP5" s="29" t="s">
        <v>806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665</v>
      </c>
      <c r="C6" s="6"/>
      <c r="D6" s="9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685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9" t="s">
        <v>689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216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807</v>
      </c>
      <c r="C5" s="27" t="s">
        <v>692</v>
      </c>
      <c r="D5" s="27" t="s">
        <v>808</v>
      </c>
      <c r="E5" s="27" t="s">
        <v>809</v>
      </c>
      <c r="F5" s="28" t="s">
        <v>541</v>
      </c>
      <c r="G5" s="27" t="s">
        <v>573</v>
      </c>
      <c r="H5" s="27" t="s">
        <v>575</v>
      </c>
      <c r="I5" s="27" t="s">
        <v>810</v>
      </c>
      <c r="J5" s="27" t="s">
        <v>580</v>
      </c>
      <c r="K5" s="27" t="s">
        <v>703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811</v>
      </c>
      <c r="C6" s="44" t="str">
        <f>"MFPref2-"&amp;text(TODAY(),"dd-mm-yy")</f>
        <v>MFPref2-16-04-18</v>
      </c>
      <c r="D6" s="9" t="b">
        <v>0</v>
      </c>
      <c r="E6" s="9" t="b">
        <v>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13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812</v>
      </c>
      <c r="C5" s="27" t="s">
        <v>792</v>
      </c>
      <c r="D5" s="27" t="s">
        <v>791</v>
      </c>
      <c r="E5" s="27" t="s">
        <v>755</v>
      </c>
      <c r="F5" s="28" t="s">
        <v>775</v>
      </c>
      <c r="G5" s="27" t="s">
        <v>735</v>
      </c>
      <c r="H5" s="27" t="s">
        <v>763</v>
      </c>
      <c r="I5" s="27" t="s">
        <v>765</v>
      </c>
      <c r="J5" s="27" t="s">
        <v>779</v>
      </c>
      <c r="K5" s="27" t="s">
        <v>731</v>
      </c>
      <c r="L5" s="27" t="s">
        <v>730</v>
      </c>
      <c r="M5" s="27" t="s">
        <v>796</v>
      </c>
      <c r="N5" s="27" t="s">
        <v>793</v>
      </c>
      <c r="O5" s="27" t="s">
        <v>564</v>
      </c>
      <c r="P5" s="27" t="s">
        <v>776</v>
      </c>
      <c r="Q5" s="27" t="s">
        <v>740</v>
      </c>
      <c r="R5" s="27" t="s">
        <v>759</v>
      </c>
      <c r="S5" s="27" t="s">
        <v>772</v>
      </c>
      <c r="T5" s="29" t="s">
        <v>756</v>
      </c>
      <c r="U5" s="29" t="s">
        <v>737</v>
      </c>
      <c r="V5" s="29" t="s">
        <v>782</v>
      </c>
      <c r="W5" s="29" t="s">
        <v>781</v>
      </c>
      <c r="X5" s="29" t="s">
        <v>794</v>
      </c>
      <c r="Y5" s="29" t="s">
        <v>780</v>
      </c>
      <c r="Z5" s="29" t="s">
        <v>778</v>
      </c>
      <c r="AA5" s="29" t="s">
        <v>798</v>
      </c>
      <c r="AB5" s="29" t="s">
        <v>795</v>
      </c>
      <c r="AC5" s="29" t="s">
        <v>789</v>
      </c>
      <c r="AD5" s="29" t="s">
        <v>109</v>
      </c>
      <c r="AE5" s="29" t="s">
        <v>722</v>
      </c>
      <c r="AF5" s="29" t="s">
        <v>813</v>
      </c>
      <c r="AG5" s="29" t="s">
        <v>788</v>
      </c>
      <c r="AH5" s="29" t="s">
        <v>733</v>
      </c>
      <c r="AI5" s="29" t="s">
        <v>732</v>
      </c>
      <c r="AJ5" s="29" t="s">
        <v>774</v>
      </c>
      <c r="AK5" s="29" t="s">
        <v>801</v>
      </c>
      <c r="AL5" s="29" t="s">
        <v>806</v>
      </c>
      <c r="AM5" s="29" t="s">
        <v>803</v>
      </c>
      <c r="AN5" s="29" t="s">
        <v>749</v>
      </c>
      <c r="AO5" s="29" t="s">
        <v>799</v>
      </c>
      <c r="AP5" s="29" t="s">
        <v>814</v>
      </c>
      <c r="AQ5" s="29" t="s">
        <v>750</v>
      </c>
      <c r="AR5" s="29" t="s">
        <v>747</v>
      </c>
      <c r="AS5" s="29" t="s">
        <v>751</v>
      </c>
      <c r="AT5" s="29" t="s">
        <v>724</v>
      </c>
      <c r="AU5" s="29" t="s">
        <v>723</v>
      </c>
      <c r="AV5" s="29" t="s">
        <v>783</v>
      </c>
      <c r="AW5" s="29" t="s">
        <v>767</v>
      </c>
      <c r="AX5" s="29" t="s">
        <v>769</v>
      </c>
      <c r="AY5" s="29" t="s">
        <v>574</v>
      </c>
      <c r="AZ5" s="29" t="s">
        <v>768</v>
      </c>
      <c r="BA5" s="29" t="s">
        <v>785</v>
      </c>
      <c r="BB5" s="29" t="s">
        <v>800</v>
      </c>
      <c r="BC5" s="29" t="s">
        <v>758</v>
      </c>
      <c r="BD5" s="29" t="s">
        <v>770</v>
      </c>
      <c r="BE5" s="29" t="s">
        <v>727</v>
      </c>
      <c r="BF5" s="29" t="s">
        <v>725</v>
      </c>
      <c r="BG5" s="29" t="s">
        <v>784</v>
      </c>
      <c r="BH5" s="29" t="s">
        <v>804</v>
      </c>
      <c r="BI5" s="29" t="s">
        <v>752</v>
      </c>
      <c r="BJ5" s="29" t="s">
        <v>536</v>
      </c>
      <c r="BK5" s="29" t="s">
        <v>766</v>
      </c>
      <c r="BL5" s="29" t="s">
        <v>797</v>
      </c>
      <c r="BM5" s="29" t="s">
        <v>736</v>
      </c>
      <c r="BN5" s="29" t="s">
        <v>787</v>
      </c>
      <c r="BO5" s="29" t="s">
        <v>721</v>
      </c>
      <c r="BP5" s="29" t="s">
        <v>757</v>
      </c>
      <c r="BQ5" s="29" t="s">
        <v>738</v>
      </c>
      <c r="BR5" s="29" t="s">
        <v>762</v>
      </c>
      <c r="BS5" s="29" t="s">
        <v>819</v>
      </c>
      <c r="BT5" s="29" t="s">
        <v>519</v>
      </c>
      <c r="BU5" s="29" t="s">
        <v>764</v>
      </c>
      <c r="BV5" s="29" t="s">
        <v>771</v>
      </c>
      <c r="BW5" s="29" t="s">
        <v>760</v>
      </c>
      <c r="BX5" s="29" t="s">
        <v>739</v>
      </c>
      <c r="BY5" s="29" t="s">
        <v>741</v>
      </c>
      <c r="BZ5" s="29" t="s">
        <v>742</v>
      </c>
      <c r="CA5" s="29" t="s">
        <v>743</v>
      </c>
      <c r="CB5" s="29" t="s">
        <v>744</v>
      </c>
      <c r="CC5" s="29" t="s">
        <v>745</v>
      </c>
      <c r="CD5" s="29" t="s">
        <v>746</v>
      </c>
      <c r="CE5" s="29" t="s">
        <v>590</v>
      </c>
      <c r="CF5" s="29" t="s">
        <v>729</v>
      </c>
      <c r="CG5" s="29" t="s">
        <v>761</v>
      </c>
      <c r="CH5" s="29" t="s">
        <v>805</v>
      </c>
      <c r="CI5" s="29" t="s">
        <v>726</v>
      </c>
      <c r="CJ5" s="29" t="s">
        <v>754</v>
      </c>
      <c r="CK5" s="29" t="s">
        <v>777</v>
      </c>
      <c r="CL5" s="29" t="s">
        <v>802</v>
      </c>
      <c r="CM5" s="29" t="s">
        <v>790</v>
      </c>
      <c r="CN5" s="29" t="s">
        <v>734</v>
      </c>
      <c r="CO5" s="29" t="s">
        <v>625</v>
      </c>
      <c r="CP5" s="29" t="s">
        <v>773</v>
      </c>
      <c r="CQ5" s="29" t="s">
        <v>786</v>
      </c>
      <c r="CR5" s="29" t="s">
        <v>753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820</v>
      </c>
      <c r="C6" s="37"/>
      <c r="D6" s="30"/>
      <c r="E6" s="35">
        <v>100.0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45">
        <v>100.0</v>
      </c>
      <c r="AF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5">
        <v>100.0</v>
      </c>
      <c r="BK6" s="37"/>
      <c r="BL6" s="37"/>
      <c r="BN6" s="37"/>
      <c r="BO6" s="46" t="s">
        <v>683</v>
      </c>
      <c r="BP6" s="37"/>
      <c r="BQ6" s="37"/>
      <c r="BR6" s="37"/>
      <c r="BS6" s="37"/>
      <c r="BT6" s="37" t="s">
        <v>665</v>
      </c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</row>
    <row r="7" ht="15.75" customHeight="1">
      <c r="A7" s="37"/>
      <c r="B7" s="39" t="s">
        <v>687</v>
      </c>
      <c r="C7" s="37"/>
      <c r="D7" s="37"/>
      <c r="E7" s="35">
        <v>100.0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45">
        <v>100.0</v>
      </c>
      <c r="AF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45">
        <v>100.0</v>
      </c>
      <c r="BK7" s="37"/>
      <c r="BL7" s="37"/>
      <c r="BN7" s="37"/>
      <c r="BO7" s="37" t="s">
        <v>686</v>
      </c>
      <c r="BP7" s="37"/>
      <c r="BQ7" s="37"/>
      <c r="BR7" s="37"/>
      <c r="BS7" s="37"/>
      <c r="BT7" s="37" t="s">
        <v>685</v>
      </c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</row>
    <row r="8" ht="15.75" customHeight="1">
      <c r="A8" s="37"/>
      <c r="B8" s="39" t="s">
        <v>687</v>
      </c>
      <c r="C8" s="37"/>
      <c r="D8" s="37"/>
      <c r="E8" s="35">
        <v>100.0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45">
        <v>100.0</v>
      </c>
      <c r="AF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45">
        <v>100.0</v>
      </c>
      <c r="BK8" s="37"/>
      <c r="BL8" s="37"/>
      <c r="BN8" s="37"/>
      <c r="BO8" s="37" t="s">
        <v>688</v>
      </c>
      <c r="BP8" s="37"/>
      <c r="BQ8" s="37"/>
      <c r="BR8" s="37"/>
      <c r="BS8" s="37"/>
      <c r="BT8" s="37" t="s">
        <v>685</v>
      </c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</row>
    <row r="9" ht="15.75" customHeight="1">
      <c r="A9" s="37"/>
      <c r="B9" s="39" t="s">
        <v>820</v>
      </c>
      <c r="C9" s="37"/>
      <c r="D9" s="37"/>
      <c r="E9" s="35">
        <v>100.0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45">
        <v>100.0</v>
      </c>
      <c r="AF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45">
        <v>100.0</v>
      </c>
      <c r="BK9" s="37"/>
      <c r="BL9" s="37"/>
      <c r="BN9" s="37"/>
      <c r="BO9" s="37" t="s">
        <v>686</v>
      </c>
      <c r="BP9" s="37"/>
      <c r="BQ9" s="37"/>
      <c r="BR9" s="37"/>
      <c r="BS9" s="37"/>
      <c r="BT9" s="37" t="s">
        <v>689</v>
      </c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</row>
    <row r="10" ht="15.75" customHeight="1">
      <c r="A10" s="37"/>
      <c r="B10" s="39" t="s">
        <v>820</v>
      </c>
      <c r="C10" s="37"/>
      <c r="D10" s="37"/>
      <c r="E10" s="35">
        <v>100.0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45">
        <v>100.0</v>
      </c>
      <c r="AF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45">
        <v>100.0</v>
      </c>
      <c r="BK10" s="37"/>
      <c r="BL10" s="37"/>
      <c r="BN10" s="37"/>
      <c r="BO10" s="37" t="s">
        <v>683</v>
      </c>
      <c r="BP10" s="37"/>
      <c r="BQ10" s="37"/>
      <c r="BR10" s="37"/>
      <c r="BS10" s="37"/>
      <c r="BT10" s="37" t="s">
        <v>689</v>
      </c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</row>
    <row r="11" ht="15.75" customHeight="1">
      <c r="A11" s="37"/>
      <c r="B11" s="39" t="s">
        <v>820</v>
      </c>
      <c r="C11" s="37"/>
      <c r="D11" s="37"/>
      <c r="E11" s="35">
        <v>200.0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45">
        <v>200.0</v>
      </c>
      <c r="AF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45">
        <v>200.0</v>
      </c>
      <c r="BK11" s="37"/>
      <c r="BL11" s="37"/>
      <c r="BN11" s="37"/>
      <c r="BO11" s="37" t="s">
        <v>683</v>
      </c>
      <c r="BP11" s="37"/>
      <c r="BQ11" s="37"/>
      <c r="BR11" s="37"/>
      <c r="BS11" s="37"/>
      <c r="BT11" s="37" t="s">
        <v>689</v>
      </c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</row>
    <row r="12" ht="15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</row>
    <row r="13" ht="15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</row>
    <row r="14" ht="15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272</v>
      </c>
      <c r="D3" s="8" t="s">
        <v>8</v>
      </c>
      <c r="E3" s="22" t="s">
        <v>449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451</v>
      </c>
      <c r="D4" s="24" t="s">
        <v>455</v>
      </c>
      <c r="E4" s="24" t="s">
        <v>457</v>
      </c>
      <c r="F4" s="24" t="s">
        <v>459</v>
      </c>
      <c r="G4" s="24" t="s">
        <v>461</v>
      </c>
      <c r="H4" s="24" t="s">
        <v>465</v>
      </c>
      <c r="I4" s="24" t="s">
        <v>474</v>
      </c>
      <c r="J4" s="24" t="s">
        <v>481</v>
      </c>
      <c r="K4" s="24" t="s">
        <v>483</v>
      </c>
      <c r="L4" s="24" t="s">
        <v>489</v>
      </c>
      <c r="M4" s="24" t="s">
        <v>453</v>
      </c>
      <c r="N4" s="24" t="s">
        <v>491</v>
      </c>
      <c r="O4" s="24" t="s">
        <v>493</v>
      </c>
      <c r="P4" s="25" t="s">
        <v>495</v>
      </c>
      <c r="Q4" s="25" t="s">
        <v>497</v>
      </c>
      <c r="R4" s="25" t="s">
        <v>273</v>
      </c>
      <c r="S4" s="25" t="s">
        <v>499</v>
      </c>
      <c r="T4" s="25" t="s">
        <v>501</v>
      </c>
      <c r="U4" s="25" t="s">
        <v>503</v>
      </c>
      <c r="V4" s="25" t="s">
        <v>400</v>
      </c>
      <c r="W4" s="25" t="s">
        <v>506</v>
      </c>
      <c r="X4" s="25" t="s">
        <v>508</v>
      </c>
      <c r="Y4" s="25" t="s">
        <v>510</v>
      </c>
      <c r="Z4" s="25" t="s">
        <v>512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815</v>
      </c>
      <c r="C5" s="27" t="s">
        <v>816</v>
      </c>
      <c r="D5" s="27" t="s">
        <v>817</v>
      </c>
      <c r="E5" s="27" t="s">
        <v>818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821</v>
      </c>
      <c r="C6" s="6"/>
      <c r="D6" s="9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272</v>
      </c>
      <c r="D3" s="8" t="s">
        <v>8</v>
      </c>
      <c r="E3" s="22" t="s">
        <v>459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451</v>
      </c>
      <c r="D4" s="24" t="s">
        <v>455</v>
      </c>
      <c r="E4" s="24" t="s">
        <v>457</v>
      </c>
      <c r="F4" s="24" t="s">
        <v>459</v>
      </c>
      <c r="G4" s="24" t="s">
        <v>461</v>
      </c>
      <c r="H4" s="24" t="s">
        <v>465</v>
      </c>
      <c r="I4" s="24" t="s">
        <v>474</v>
      </c>
      <c r="J4" s="24" t="s">
        <v>481</v>
      </c>
      <c r="K4" s="24" t="s">
        <v>483</v>
      </c>
      <c r="L4" s="24" t="s">
        <v>489</v>
      </c>
      <c r="M4" s="24" t="s">
        <v>453</v>
      </c>
      <c r="N4" s="24" t="s">
        <v>491</v>
      </c>
      <c r="O4" s="24" t="s">
        <v>493</v>
      </c>
      <c r="P4" s="25" t="s">
        <v>495</v>
      </c>
      <c r="Q4" s="25" t="s">
        <v>497</v>
      </c>
      <c r="R4" s="25" t="s">
        <v>273</v>
      </c>
      <c r="S4" s="25" t="s">
        <v>499</v>
      </c>
      <c r="T4" s="25" t="s">
        <v>501</v>
      </c>
      <c r="U4" s="25" t="s">
        <v>503</v>
      </c>
      <c r="V4" s="25" t="s">
        <v>400</v>
      </c>
      <c r="W4" s="25" t="s">
        <v>506</v>
      </c>
      <c r="X4" s="25" t="s">
        <v>508</v>
      </c>
      <c r="Y4" s="25" t="s">
        <v>510</v>
      </c>
      <c r="Z4" s="25" t="s">
        <v>512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642</v>
      </c>
      <c r="C5" s="27" t="s">
        <v>822</v>
      </c>
      <c r="D5" s="27" t="s">
        <v>779</v>
      </c>
      <c r="E5" s="27" t="s">
        <v>823</v>
      </c>
      <c r="F5" s="28" t="s">
        <v>824</v>
      </c>
      <c r="G5" s="27" t="s">
        <v>825</v>
      </c>
      <c r="H5" s="27" t="s">
        <v>826</v>
      </c>
      <c r="I5" s="27" t="s">
        <v>827</v>
      </c>
      <c r="J5" s="27" t="s">
        <v>785</v>
      </c>
      <c r="K5" s="27" t="s">
        <v>828</v>
      </c>
      <c r="L5" s="27" t="s">
        <v>784</v>
      </c>
      <c r="M5" s="27" t="s">
        <v>536</v>
      </c>
      <c r="N5" s="27" t="s">
        <v>829</v>
      </c>
      <c r="O5" s="27" t="s">
        <v>736</v>
      </c>
      <c r="P5" s="27" t="s">
        <v>721</v>
      </c>
      <c r="Q5" s="27" t="s">
        <v>587</v>
      </c>
      <c r="R5" s="27" t="s">
        <v>519</v>
      </c>
      <c r="S5" s="27" t="s">
        <v>830</v>
      </c>
      <c r="T5" s="29" t="s">
        <v>831</v>
      </c>
      <c r="U5" s="29" t="s">
        <v>590</v>
      </c>
      <c r="V5" s="29" t="s">
        <v>726</v>
      </c>
      <c r="W5" s="29" t="s">
        <v>832</v>
      </c>
      <c r="X5" s="29" t="s">
        <v>833</v>
      </c>
      <c r="Y5" s="29" t="s">
        <v>834</v>
      </c>
      <c r="Z5" s="29" t="s">
        <v>835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702</v>
      </c>
      <c r="C6" s="37"/>
      <c r="D6" s="30"/>
      <c r="E6" s="37"/>
      <c r="F6" s="37"/>
      <c r="G6" s="37"/>
      <c r="H6" s="37"/>
      <c r="I6" s="37"/>
      <c r="J6" s="37"/>
      <c r="K6" s="37"/>
      <c r="L6" s="37"/>
      <c r="M6" s="35">
        <v>50.0</v>
      </c>
      <c r="N6" s="37"/>
      <c r="O6" s="37"/>
      <c r="P6" s="46" t="s">
        <v>683</v>
      </c>
      <c r="Q6" s="37"/>
      <c r="R6" s="37" t="s">
        <v>665</v>
      </c>
      <c r="S6" s="37"/>
      <c r="W6" s="37"/>
      <c r="X6" s="37"/>
      <c r="Y6" s="37"/>
      <c r="Z6" s="37"/>
      <c r="AA6" s="37"/>
      <c r="AB6" s="37"/>
    </row>
    <row r="7" ht="15.75" customHeight="1">
      <c r="A7" s="37"/>
      <c r="B7" s="39" t="s">
        <v>687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5">
        <v>50.0</v>
      </c>
      <c r="N7" s="37"/>
      <c r="O7" s="37"/>
      <c r="P7" s="46" t="s">
        <v>683</v>
      </c>
      <c r="Q7" s="37"/>
      <c r="R7" s="37" t="s">
        <v>665</v>
      </c>
      <c r="S7" s="37"/>
      <c r="W7" s="37"/>
      <c r="X7" s="37"/>
      <c r="Y7" s="37"/>
      <c r="Z7" s="37"/>
      <c r="AA7" s="37"/>
      <c r="AB7" s="37"/>
    </row>
    <row r="8" ht="15.75" customHeight="1">
      <c r="A8" s="37"/>
      <c r="B8" s="39" t="s">
        <v>687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5">
        <v>100.0</v>
      </c>
      <c r="N8" s="37"/>
      <c r="O8" s="37"/>
      <c r="P8" s="37" t="s">
        <v>686</v>
      </c>
      <c r="Q8" s="37"/>
      <c r="R8" s="37" t="s">
        <v>685</v>
      </c>
      <c r="S8" s="37"/>
      <c r="W8" s="37"/>
      <c r="X8" s="37"/>
      <c r="Y8" s="37"/>
      <c r="Z8" s="37"/>
      <c r="AA8" s="37"/>
      <c r="AB8" s="37"/>
    </row>
    <row r="9" ht="15.75" customHeight="1">
      <c r="A9" s="37"/>
      <c r="B9" s="39" t="s">
        <v>702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5">
        <v>75.0</v>
      </c>
      <c r="N9" s="37"/>
      <c r="O9" s="37"/>
      <c r="P9" s="37" t="s">
        <v>686</v>
      </c>
      <c r="Q9" s="37"/>
      <c r="R9" s="37" t="s">
        <v>689</v>
      </c>
      <c r="S9" s="37"/>
      <c r="W9" s="37"/>
      <c r="X9" s="37"/>
      <c r="Y9" s="37"/>
      <c r="Z9" s="37"/>
      <c r="AA9" s="37"/>
      <c r="AB9" s="37"/>
    </row>
    <row r="10" ht="15.75" customHeight="1">
      <c r="A10" s="37"/>
      <c r="B10" s="39" t="s">
        <v>687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5">
        <v>25.0</v>
      </c>
      <c r="N10" s="37"/>
      <c r="O10" s="37"/>
      <c r="P10" s="37" t="s">
        <v>686</v>
      </c>
      <c r="Q10" s="37"/>
      <c r="R10" s="37" t="s">
        <v>689</v>
      </c>
      <c r="S10" s="37"/>
      <c r="W10" s="37"/>
      <c r="X10" s="37"/>
      <c r="Y10" s="37"/>
      <c r="Z10" s="37"/>
      <c r="AA10" s="37"/>
      <c r="AB10" s="37"/>
    </row>
    <row r="11" ht="15.75" customHeight="1">
      <c r="A11" s="37"/>
      <c r="B11" s="39" t="s">
        <v>702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47">
        <v>23.0</v>
      </c>
      <c r="N11" s="37"/>
      <c r="O11" s="37"/>
      <c r="P11" s="37" t="s">
        <v>683</v>
      </c>
      <c r="Q11" s="37"/>
      <c r="R11" s="37" t="s">
        <v>689</v>
      </c>
      <c r="S11" s="37"/>
      <c r="W11" s="37"/>
      <c r="X11" s="37"/>
      <c r="Y11" s="37"/>
      <c r="Z11" s="37"/>
      <c r="AA11" s="37"/>
      <c r="AB11" s="37"/>
    </row>
    <row r="12" ht="15.75" customHeight="1">
      <c r="A12" s="37"/>
      <c r="B12" s="39" t="s">
        <v>687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47">
        <v>77.0</v>
      </c>
      <c r="N12" s="37"/>
      <c r="O12" s="37"/>
      <c r="P12" s="37" t="s">
        <v>683</v>
      </c>
      <c r="Q12" s="37"/>
      <c r="R12" s="37" t="s">
        <v>689</v>
      </c>
      <c r="S12" s="37"/>
      <c r="W12" s="37"/>
      <c r="X12" s="37"/>
      <c r="Y12" s="37"/>
      <c r="Z12" s="37"/>
      <c r="AA12" s="37"/>
      <c r="AB12" s="37"/>
    </row>
    <row r="13" ht="15.75" customHeight="1">
      <c r="A13" s="37"/>
      <c r="B13" s="39" t="s">
        <v>702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47">
        <v>46.0</v>
      </c>
      <c r="N13" s="37"/>
      <c r="O13" s="37"/>
      <c r="P13" s="37" t="s">
        <v>683</v>
      </c>
      <c r="Q13" s="37"/>
      <c r="R13" s="37" t="s">
        <v>689</v>
      </c>
      <c r="S13" s="37"/>
      <c r="W13" s="37"/>
      <c r="X13" s="37"/>
      <c r="Y13" s="37"/>
      <c r="Z13" s="37"/>
      <c r="AA13" s="37"/>
      <c r="AB13" s="37"/>
    </row>
    <row r="14" ht="15.75" customHeight="1">
      <c r="A14" s="37"/>
      <c r="B14" s="39" t="s">
        <v>687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47">
        <v>154.0</v>
      </c>
      <c r="N14" s="37"/>
      <c r="O14" s="37"/>
      <c r="P14" s="37" t="s">
        <v>683</v>
      </c>
      <c r="Q14" s="37"/>
      <c r="R14" s="37" t="s">
        <v>689</v>
      </c>
      <c r="S14" s="37"/>
      <c r="W14" s="37"/>
      <c r="X14" s="37"/>
      <c r="Y14" s="37"/>
      <c r="Z14" s="37"/>
      <c r="AA14" s="37"/>
      <c r="AB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</row>
    <row r="17" ht="15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272</v>
      </c>
      <c r="D3" s="8" t="s">
        <v>8</v>
      </c>
      <c r="E3" s="22" t="s">
        <v>461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451</v>
      </c>
      <c r="D4" s="24" t="s">
        <v>455</v>
      </c>
      <c r="E4" s="24" t="s">
        <v>457</v>
      </c>
      <c r="F4" s="24" t="s">
        <v>459</v>
      </c>
      <c r="G4" s="24" t="s">
        <v>461</v>
      </c>
      <c r="H4" s="24" t="s">
        <v>465</v>
      </c>
      <c r="I4" s="24" t="s">
        <v>474</v>
      </c>
      <c r="J4" s="24" t="s">
        <v>481</v>
      </c>
      <c r="K4" s="24" t="s">
        <v>483</v>
      </c>
      <c r="L4" s="24" t="s">
        <v>489</v>
      </c>
      <c r="M4" s="24" t="s">
        <v>453</v>
      </c>
      <c r="N4" s="24" t="s">
        <v>491</v>
      </c>
      <c r="O4" s="24" t="s">
        <v>493</v>
      </c>
      <c r="P4" s="25" t="s">
        <v>495</v>
      </c>
      <c r="Q4" s="25" t="s">
        <v>497</v>
      </c>
      <c r="R4" s="25" t="s">
        <v>273</v>
      </c>
      <c r="S4" s="25" t="s">
        <v>499</v>
      </c>
      <c r="T4" s="25" t="s">
        <v>501</v>
      </c>
      <c r="U4" s="25" t="s">
        <v>503</v>
      </c>
      <c r="V4" s="25" t="s">
        <v>400</v>
      </c>
      <c r="W4" s="25" t="s">
        <v>506</v>
      </c>
      <c r="X4" s="25" t="s">
        <v>508</v>
      </c>
      <c r="Y4" s="25" t="s">
        <v>510</v>
      </c>
      <c r="Z4" s="25" t="s">
        <v>512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642</v>
      </c>
      <c r="C5" s="27" t="s">
        <v>822</v>
      </c>
      <c r="D5" s="27" t="s">
        <v>779</v>
      </c>
      <c r="E5" s="27" t="s">
        <v>823</v>
      </c>
      <c r="F5" s="28" t="s">
        <v>824</v>
      </c>
      <c r="G5" s="27" t="s">
        <v>825</v>
      </c>
      <c r="H5" s="27" t="s">
        <v>826</v>
      </c>
      <c r="I5" s="27" t="s">
        <v>827</v>
      </c>
      <c r="J5" s="27" t="s">
        <v>785</v>
      </c>
      <c r="K5" s="27" t="s">
        <v>828</v>
      </c>
      <c r="L5" s="27" t="s">
        <v>784</v>
      </c>
      <c r="M5" s="27" t="s">
        <v>536</v>
      </c>
      <c r="N5" s="27" t="s">
        <v>829</v>
      </c>
      <c r="O5" s="27" t="s">
        <v>736</v>
      </c>
      <c r="P5" s="27" t="s">
        <v>721</v>
      </c>
      <c r="Q5" s="27" t="s">
        <v>587</v>
      </c>
      <c r="R5" s="27" t="s">
        <v>519</v>
      </c>
      <c r="S5" s="27" t="s">
        <v>830</v>
      </c>
      <c r="T5" s="29" t="s">
        <v>831</v>
      </c>
      <c r="U5" s="29" t="s">
        <v>590</v>
      </c>
      <c r="V5" s="29" t="s">
        <v>726</v>
      </c>
      <c r="W5" s="29" t="s">
        <v>832</v>
      </c>
      <c r="X5" s="29" t="s">
        <v>833</v>
      </c>
      <c r="Y5" s="29" t="s">
        <v>834</v>
      </c>
      <c r="Z5" s="29" t="s">
        <v>835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687</v>
      </c>
      <c r="C6" s="37"/>
      <c r="D6" s="30"/>
      <c r="E6" s="37"/>
      <c r="F6" s="37"/>
      <c r="G6" s="37"/>
      <c r="H6" s="37"/>
      <c r="I6" s="37"/>
      <c r="J6" s="37"/>
      <c r="K6" s="37"/>
      <c r="L6" s="37"/>
      <c r="M6" s="35">
        <v>100.0</v>
      </c>
      <c r="N6" s="37"/>
      <c r="O6" s="37"/>
      <c r="P6" s="37" t="s">
        <v>688</v>
      </c>
      <c r="Q6" s="37"/>
      <c r="R6" s="37" t="s">
        <v>685</v>
      </c>
      <c r="S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17</v>
      </c>
      <c r="F3" s="8" t="s">
        <v>356</v>
      </c>
      <c r="G3" s="16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279</v>
      </c>
      <c r="G4" s="24" t="s">
        <v>421</v>
      </c>
      <c r="H4" s="24" t="s">
        <v>423</v>
      </c>
      <c r="I4" s="24" t="s">
        <v>424</v>
      </c>
      <c r="J4" s="24" t="s">
        <v>426</v>
      </c>
      <c r="K4" s="24" t="s">
        <v>427</v>
      </c>
      <c r="L4" s="24" t="s">
        <v>428</v>
      </c>
      <c r="M4" s="24" t="s">
        <v>430</v>
      </c>
      <c r="N4" s="24" t="s">
        <v>13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463</v>
      </c>
      <c r="AY4" s="25" t="s">
        <v>464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467</v>
      </c>
      <c r="BE4" s="25" t="s">
        <v>468</v>
      </c>
      <c r="BF4" s="25" t="s">
        <v>469</v>
      </c>
      <c r="BG4" s="25" t="s">
        <v>470</v>
      </c>
      <c r="BH4" s="25" t="s">
        <v>471</v>
      </c>
      <c r="BI4" s="25" t="s">
        <v>472</v>
      </c>
      <c r="BJ4" s="25" t="s">
        <v>473</v>
      </c>
      <c r="BK4" s="25" t="s">
        <v>306</v>
      </c>
      <c r="BL4" s="25" t="s">
        <v>475</v>
      </c>
      <c r="BM4" s="25" t="s">
        <v>477</v>
      </c>
      <c r="BN4" s="25" t="s">
        <v>478</v>
      </c>
      <c r="BO4" s="25" t="s">
        <v>479</v>
      </c>
      <c r="BP4" s="25" t="s">
        <v>480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485</v>
      </c>
      <c r="CA4" s="25" t="s">
        <v>486</v>
      </c>
      <c r="CB4" s="25" t="s">
        <v>367</v>
      </c>
      <c r="CC4" s="25" t="s">
        <v>487</v>
      </c>
      <c r="CD4" s="25" t="s">
        <v>488</v>
      </c>
      <c r="CE4" s="25" t="s">
        <v>379</v>
      </c>
      <c r="CF4" s="25" t="s">
        <v>358</v>
      </c>
      <c r="CG4" s="25" t="s">
        <v>396</v>
      </c>
      <c r="CH4" s="25" t="s">
        <v>394</v>
      </c>
      <c r="CI4" s="25" t="s">
        <v>398</v>
      </c>
      <c r="CJ4" s="25" t="s">
        <v>15</v>
      </c>
      <c r="CK4" s="25" t="s">
        <v>486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815</v>
      </c>
      <c r="C5" s="27" t="s">
        <v>816</v>
      </c>
      <c r="D5" s="27" t="s">
        <v>817</v>
      </c>
      <c r="E5" s="27" t="s">
        <v>836</v>
      </c>
      <c r="F5" s="28" t="s">
        <v>519</v>
      </c>
      <c r="G5" s="27" t="s">
        <v>837</v>
      </c>
      <c r="H5" s="27" t="s">
        <v>721</v>
      </c>
      <c r="I5" s="27" t="s">
        <v>642</v>
      </c>
      <c r="J5" s="27" t="s">
        <v>564</v>
      </c>
      <c r="K5" s="27" t="s">
        <v>778</v>
      </c>
      <c r="L5" s="27" t="s">
        <v>109</v>
      </c>
      <c r="M5" s="27" t="s">
        <v>838</v>
      </c>
      <c r="N5" s="27" t="s">
        <v>777</v>
      </c>
      <c r="O5" s="27" t="s">
        <v>625</v>
      </c>
      <c r="P5" s="27" t="s">
        <v>839</v>
      </c>
      <c r="Q5" s="27" t="s">
        <v>840</v>
      </c>
      <c r="R5" s="27" t="s">
        <v>841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821</v>
      </c>
      <c r="C6" s="6"/>
      <c r="D6" s="9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