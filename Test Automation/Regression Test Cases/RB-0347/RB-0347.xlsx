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reateDoneAwayOrder" sheetId="7" r:id="rId9"/>
    <sheet state="visible" name="CustomOrderTT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SelectAllocatedGroup" sheetId="13" r:id="rId15"/>
    <sheet state="visible" name="BookOrUpdateSwap" sheetId="14" r:id="rId16"/>
    <sheet state="visible" name="SelectAllocatedGroup1" sheetId="15" r:id="rId17"/>
    <sheet state="visible" name="BookOrUpdateSwap1" sheetId="16" r:id="rId18"/>
    <sheet state="visible" name="CustomOrderTT1" sheetId="17" r:id="rId19"/>
    <sheet state="visible" name="CreateDoneAwayOrder1" sheetId="18" r:id="rId20"/>
    <sheet state="visible" name="PricingInput1" sheetId="19" r:id="rId21"/>
    <sheet state="visible" name="GetDailyCash" sheetId="20" r:id="rId22"/>
    <sheet state="visible" name="UpdateMultipleDailyCash" sheetId="21" r:id="rId23"/>
    <sheet state="visible" name="GetCashTransaction" sheetId="22" r:id="rId24"/>
    <sheet state="visible" name="AddCashTransaction" sheetId="23" r:id="rId25"/>
    <sheet state="visible" name="RunRevaluation" sheetId="24" r:id="rId26"/>
    <sheet state="visible" name="FetchAccountPositions" sheetId="25" r:id="rId27"/>
    <sheet state="visible" name="AddCash" sheetId="26" r:id="rId28"/>
    <sheet state="visible" name="RunRebalance" sheetId="27" r:id="rId29"/>
    <sheet state="visible" name="RebalanceAcrossSecurities" sheetId="28" r:id="rId30"/>
    <sheet state="visible" name="ModifyRebalance" sheetId="29" r:id="rId31"/>
    <sheet state="visible" name="SendtoStaging" sheetId="30" r:id="rId32"/>
    <sheet state="visible" name="RunRebalance1" sheetId="31" r:id="rId33"/>
    <sheet state="visible" name="SendtoStaging1" sheetId="32" r:id="rId34"/>
    <sheet state="visible" name="RunRebalance2" sheetId="33" r:id="rId35"/>
    <sheet state="visible" name="SendtoStaging2" sheetId="34" r:id="rId36"/>
    <sheet state="visible" name="SelectTradeOnOrderGrid" sheetId="35" r:id="rId37"/>
    <sheet state="visible" name="TradeNewSubOrder" sheetId="36" r:id="rId38"/>
    <sheet state="visible" name="CreateNewSubLiveOrder" sheetId="37" r:id="rId39"/>
    <sheet state="visible" name="SelectTradeOnOrderGrid1" sheetId="38" r:id="rId40"/>
    <sheet state="visible" name="TradeNewSubOrder1" sheetId="39" r:id="rId41"/>
    <sheet state="visible" name="CreateNewSubLiveOrder1" sheetId="40" r:id="rId42"/>
    <sheet state="visible" name="SelectTrade" sheetId="41" r:id="rId43"/>
    <sheet state="visible" name="AcknowledgeTrade" sheetId="42" r:id="rId44"/>
    <sheet state="visible" name="ExecuteTrade" sheetId="43" r:id="rId45"/>
    <sheet state="visible" name="SelectTrade1" sheetId="44" r:id="rId46"/>
    <sheet state="visible" name="AcknowledgeTrade1" sheetId="45" r:id="rId47"/>
    <sheet state="visible" name="ExecuteTrade1" sheetId="46" r:id="rId48"/>
    <sheet state="visible" name="CheckAllocatedGroups" sheetId="47" r:id="rId49"/>
    <sheet state="visible" name="CheckPortfolioManagement" sheetId="48" r:id="rId50"/>
    <sheet state="visible" name="diff" sheetId="49" r:id="rId51"/>
    <sheet state="visible" name="CloseRebalancer" sheetId="50" r:id="rId52"/>
  </sheets>
  <calcPr fullCalcOnLoad="1" fullPrecision="1"/>
</workbook>
</file>

<file path=xl/sharedStrings.xml><?xml version="1.0" encoding="utf-8"?>
<sst xmlns="http://schemas.openxmlformats.org/spreadsheetml/2006/main" count="141" uniqueCount="141">
  <si>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</si>
  <si>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</si>
  <si>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</si>
  <si>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</si>
  <si>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</si>
  <si>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</si>
  <si>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</si>
  <si>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</si>
  <si>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</si>
  <si>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</si>
  <si>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</si>
  <si>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</si>
  <si>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</si>
  <si>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</si>
  <si>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</si>
  <si>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</si>
  <si>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</si>
  <si>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</si>
  <si>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</si>
  <si>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</si>
  <si>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</si>
  <si>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</si>
  <si>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</si>
  <si>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</si>
  <si>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</si>
  <si>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</si>
  <si>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</si>
  <si>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</si>
  <si>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</si>
  <si>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</si>
  <si>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CreateDoneAwayOrder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</si>
  <si>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</si>
  <si>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</si>
  <si>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</si>
  <si>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</si>
  <si>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</si>
  <si>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</si>
  <si>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</si>
  <si>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</si>
  <si>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CustomOrderTT</t>
  </si>
  <si>
    <t>DoneAway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</si>
  <si>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</si>
  <si>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</si>
  <si>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</si>
  <si>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</si>
  <si>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</si>
  <si>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</si>
  <si>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</si>
  <si>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</si>
  <si>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</si>
  <si>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</si>
  <si>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</si>
  <si>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</si>
  <si>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</si>
  <si>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</si>
  <si>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</si>
  <si>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</si>
  <si>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</si>
  <si>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</si>
  <si>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</si>
  <si>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</si>
  <si>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</si>
  <si>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</si>
  <si>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</si>
  <si>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</si>
  <si>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</si>
  <si>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</si>
  <si>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</si>
  <si>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</si>
  <si>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</si>
  <si>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</si>
  <si>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</si>
  <si>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</si>
  <si>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</si>
  <si>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</si>
  <si>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</si>
  <si>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</si>
  <si>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</si>
  <si>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</si>
  <si>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</si>
  <si>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</si>
  <si>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</si>
  <si>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</si>
  <si>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</si>
  <si>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</si>
  <si>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</si>
  <si>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</si>
  <si>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</si>
  <si>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</si>
  <si>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SendtoStaging</t>
  </si>
  <si>
    <t>SellShort</t>
  </si>
  <si>
    <t>Round Down</t>
  </si>
  <si>
    <t>Nearest Round Off</t>
  </si>
  <si>
    <t>Blotter</t>
  </si>
  <si>
    <t>SelectTradeOnOrderGrid</t>
  </si>
  <si>
    <t>New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</si>
  <si>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</si>
  <si>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</si>
  <si>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</si>
  <si>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</si>
  <si>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</si>
  <si>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</si>
  <si>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</si>
  <si>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</si>
  <si>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</si>
  <si>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</si>
  <si>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</si>
  <si>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</si>
  <si>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</si>
  <si>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</si>
  <si>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</si>
  <si>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</si>
  <si>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</si>
  <si>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</si>
  <si>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</si>
  <si>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</si>
  <si>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</si>
  <si>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</si>
  <si>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</si>
  <si>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</si>
  <si>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</si>
  <si>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</si>
  <si>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</si>
  <si>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</si>
  <si>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</si>
  <si>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</si>
  <si>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</si>
  <si>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</si>
  <si>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</si>
  <si>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</si>
  <si>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</si>
  <si>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</si>
  <si>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</si>
  <si>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</si>
  <si>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</si>
  <si>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</si>
  <si>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</si>
  <si>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</si>
  <si>
    <t>CloseRebalancer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</si>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</sst>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5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/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14" applyNumberFormat="1" fontId="3" applyFont="1" fillId="0" borderId="0" xfId="0" applyAlignment="1"/>
    <xf numFmtId="164" applyNumberFormat="1" fontId="3" applyFont="1" fillId="0" borderId="0" xfId="0" applyAlignment="1">
      <alignment horizontal="right"/>
    </xf>
    <xf numFmtId="0" fontId="13" applyFont="1" fillId="6" applyFill="1" borderId="0" xfId="0" applyAlignment="1"/>
    <xf numFmtId="0" fontId="13" applyFont="1" fillId="6" applyFill="1" borderId="0" xfId="0" applyAlignment="1">
      <alignment horizontal="right"/>
    </xf>
    <xf numFmtId="0" fontId="13" applyFont="1" fillId="6" applyFill="1" borderId="0" xfId="0" applyAlignment="1"/>
    <xf numFmtId="0" fontId="3" applyFont="1" fillId="0" borderId="5" applyBorder="1" xfId="0" applyAlignment="1"/>
    <xf numFmtId="0" fontId="3" applyFont="1" fillId="0" borderId="6" applyBorder="1" xfId="0" applyAlignment="1"/>
    <xf numFmtId="0" fontId="3" applyFont="1" fillId="0" borderId="6" applyBorder="1" xfId="0" applyAlignment="1"/>
    <xf numFmtId="0" fontId="5" applyFont="1" fillId="0" borderId="0" xfId="0" applyAlignment="1">
      <alignment horizontal="right"/>
    </xf>
    <xf numFmtId="0" fontId="14" applyFont="1" fillId="0" borderId="0" xfId="0" applyAlignment="1"/>
    <xf numFmtId="0" fontId="14" applyFont="1" fillId="0" borderId="0" xfId="0" applyAlignment="1">
      <alignment horizontal="right"/>
    </xf>
    <xf numFmtId="3" applyNumberFormat="1" fontId="14" applyFont="1" fillId="0" borderId="0" xfId="0" applyAlignment="1">
      <alignment horizontal="right"/>
    </xf>
    <xf numFmtId="0" fontId="14" applyFont="1" fillId="0" borderId="0" xfId="0" applyAlignment="1"/>
    <xf numFmtId="0" fontId="15" applyFont="1" fillId="0" borderId="0" xfId="0" applyAlignment="1"/>
    <xf numFmtId="0" fontId="5" applyFont="1" fillId="0" borderId="0" xfId="0" applyAlignment="1"/>
    <xf numFmtId="164" applyNumberFormat="1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IFERROR(__xludf.DUMMYFUNCTION("""COMPUTED_VALUE"""),"RTPNL")</f>
        <v>RTPNL</v>
      </c>
      <c r="B767" s="0" t="str">
        <f>IFERROR(__xludf.DUMMYFUNCTION("""COMPUTED_VALUE"""),"RenameTabs")</f>
        <v>RenameTabs</v>
      </c>
      <c r="C767" s="0" t="str">
        <f>IFERROR(__xludf.DUMMYFUNCTION("""COMPUTED_VALUE"""),"1K7LcioEl1sTwLRhqHc9go_7jNmUIRZNy9zBQLMgtBw8")</f>
        <v>1K7LcioEl1sTwLRhqHc9go_7jNmUIRZNy9zBQLMgtBw8</v>
      </c>
    </row>
    <row r="768" ht="15.75" customHeight="1">
      <c r="A768" s="0" t="str">
        <f>IFERROR(__xludf.DUMMYFUNCTION("""COMPUTED_VALUE"""),"RTPNL")</f>
        <v>RTPNL</v>
      </c>
      <c r="B768" s="0" t="str">
        <f>IFERROR(__xludf.DUMMYFUNCTION("""COMPUTED_VALUE"""),"ResizeEnsure")</f>
        <v>ResizeEnsure</v>
      </c>
      <c r="C768" s="0" t="str">
        <f>IFERROR(__xludf.DUMMYFUNCTION("""COMPUTED_VALUE"""),"1-peVyQ_nIwd8owwmtDtNW-yx12KQx2nHeYee6duB46M")</f>
        <v>1-peVyQ_nIwd8owwmtDtNW-yx12KQx2nHeYee6duB46M</v>
      </c>
    </row>
    <row r="769" ht="15.75" customHeight="1">
      <c r="A769" s="0" t="str">
        <f>IFERROR(__xludf.DUMMYFUNCTION("""COMPUTED_VALUE"""),"Admin")</f>
        <v>Admin</v>
      </c>
      <c r="B769" s="0" t="str">
        <f>IFERROR(__xludf.DUMMYFUNCTION("""COMPUTED_VALUE"""),"ClearRTPNLtabs")</f>
        <v>ClearRTPNLtabs</v>
      </c>
      <c r="C769" s="0" t="str">
        <f>IFERROR(__xludf.DUMMYFUNCTION("""COMPUTED_VALUE"""),"Undefined")</f>
        <v>Undefined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IFERROR(__xludf.DUMMYFUNCTION("""COMPUTED_VALUE"""),"AddTabRTPNL")</f>
        <v>AddTabRTPNL</v>
      </c>
      <c r="C770" s="0" t="str">
        <f>IFERROR(__xludf.DUMMYFUNCTION("""COMPUTED_VALUE"""),"18kG7vS-CfSLW8Q-ho416lyPlP36XJPPHA0cRbCk3vjU")</f>
        <v>18kG7vS-CfSLW8Q-ho416lyPlP36XJPPHA0cRbCk3vjU</v>
      </c>
    </row>
    <row r="771" ht="15.75" customHeight="1">
      <c r="A771" s="0" t="str">
        <f>IFERROR(__xludf.DUMMYFUNCTION("""COMPUTED_VALUE"""),"PortfolioManagement")</f>
        <v>PortfolioManagement</v>
      </c>
      <c r="B771" s="0" t="str">
        <f>IFERROR(__xludf.DUMMYFUNCTION("""COMPUTED_VALUE"""),"SelectTradeOnPM")</f>
        <v>SelectTradeOnPM</v>
      </c>
      <c r="C771" s="0" t="str">
        <f>IFERROR(__xludf.DUMMYFUNCTION("""COMPUTED_VALUE"""),"1_tBJjps2mULQyHra_AnC6BBvPbOko3FAY-kc11l7eTg")</f>
        <v>1_tBJjps2mULQyHra_AnC6BBvPbOko3FAY-kc11l7eTg</v>
      </c>
    </row>
    <row r="772" ht="15.75" customHeight="1">
      <c r="A772" s="0" t="str">
        <f>IFERROR(__xludf.DUMMYFUNCTION("""COMPUTED_VALUE"""),"Unknown")</f>
        <v>Unknown</v>
      </c>
      <c r="B772" s="0" t="str">
        <f>IFERROR(__xludf.DUMMYFUNCTION("""COMPUTED_VALUE"""),"RightClickOperations")</f>
        <v>RightClickOperations</v>
      </c>
      <c r="C772" s="0" t="str">
        <f>IFERROR(__xludf.DUMMYFUNCTION("""COMPUTED_VALUE"""),"17jhCujI-0V0U3n5lzlkc-azSuwCa7rf-4KwcSInm9ts")</f>
        <v>17jhCujI-0V0U3n5lzlkc-azSuwCa7rf-4KwcSInm9ts</v>
      </c>
    </row>
    <row r="773" ht="15.75" customHeight="1">
      <c r="A773" s="0" t="str">
        <f>IFERROR(__xludf.DUMMYFUNCTION("""COMPUTED_VALUE"""),"Unknown")</f>
        <v>Unknown</v>
      </c>
      <c r="B773" s="0" t="str">
        <f>IFERROR(__xludf.DUMMYFUNCTION("""COMPUTED_VALUE"""),"RightClickAndClickOperations")</f>
        <v>RightClickAndClickOperations</v>
      </c>
      <c r="C773" s="0" t="str">
        <f>IFERROR(__xludf.DUMMYFUNCTION("""COMPUTED_VALUE"""),"1e9jtl9r57SkbYm3S4wbHtvkeG2KExZEiFSIkkRSaq-8")</f>
        <v>1e9jtl9r57SkbYm3S4wbHtvkeG2KExZEiFSIkkRSaq-8</v>
      </c>
    </row>
    <row r="774" ht="15.75" customHeight="1">
      <c r="A774" s="0" t="str">
        <f>IFERROR(__xludf.DUMMYFUNCTION("""COMPUTED_VALUE"""),"Blotter")</f>
        <v>Blotter</v>
      </c>
      <c r="B774" s="0" t="str">
        <f>IFERROR(__xludf.DUMMYFUNCTION("""COMPUTED_VALUE"""),"BlotterToolBarAction")</f>
        <v>BlotterToolBarAction</v>
      </c>
      <c r="C774" s="0" t="str">
        <f>IFERROR(__xludf.DUMMYFUNCTION("""COMPUTED_VALUE"""),"1bI1kIBxH6qy8zi5tx46rN3vNgbmxbdwtAo1inrXDALs")</f>
        <v>1bI1kIBxH6qy8zi5tx46rN3vNgbmxbdwtAo1inrXDALs</v>
      </c>
    </row>
    <row r="775" ht="15.75" customHeight="1">
      <c r="A775" s="0" t="str">
        <f>IFERROR(__xludf.DUMMYFUNCTION("""COMPUTED_VALUE"""),"TradingTicket")</f>
        <v>TradingTicket</v>
      </c>
      <c r="B775" s="0" t="str">
        <f>IFERROR(__xludf.DUMMYFUNCTION("""COMPUTED_VALUE"""),"MergeTT")</f>
        <v>MergeTT</v>
      </c>
      <c r="C775" s="0" t="str">
        <f>IFERROR(__xludf.DUMMYFUNCTION("""COMPUTED_VALUE"""),"1BEiRPdwHXsXVZ0ioude04Me5qSQ_YU6xh1ZwMWgExVU")</f>
        <v>1BEiRPdwHXsXVZ0ioude04Me5qSQ_YU6xh1ZwMWgExVU</v>
      </c>
    </row>
    <row r="776" ht="15.75" customHeight="1">
      <c r="A776" s="0" t="str">
        <f>IFERROR(__xludf.DUMMYFUNCTION("""COMPUTED_VALUE"""),"PortfolioManagement")</f>
        <v>PortfolioManagement</v>
      </c>
      <c r="B776" s="0" t="str">
        <f>IFERROR(__xludf.DUMMYFUNCTION("""COMPUTED_VALUE"""),"OperationsonPM")</f>
        <v>OperationsonPM</v>
      </c>
      <c r="C776" s="0" t="str">
        <f>IFERROR(__xludf.DUMMYFUNCTION("""COMPUTED_VALUE"""),"13hKVogBv66c752V1EGUyqXp4dGESQOZLmMqIB56fbAs")</f>
        <v>13hKVogBv66c752V1EGUyqXp4dGESQOZLmMqIB56fbAs</v>
      </c>
    </row>
    <row r="777" ht="15.75" customHeight="1">
      <c r="A777" s="0" t="str">
        <f>IFERROR(__xludf.DUMMYFUNCTION("""COMPUTED_VALUE"""),"Rebalancer")</f>
        <v>Rebalancer</v>
      </c>
      <c r="B777" s="0" t="str">
        <f>IFERROR(__xludf.DUMMYFUNCTION("""COMPUTED_VALUE"""),"CreateOrViewModelPortfolio")</f>
        <v>CreateOrViewModelPortfolio</v>
      </c>
      <c r="C777" s="0" t="str">
        <f>IFERROR(__xludf.DUMMYFUNCTION("""COMPUTED_VALUE"""),"1vejknW_QiO0r5pMzMjOGCCsgwLVes4a3Ubx1l-0Mg1k")</f>
        <v>1vejknW_QiO0r5pMzMjOGCCsgwLVes4a3Ubx1l-0Mg1k</v>
      </c>
    </row>
    <row r="778" ht="15.75" customHeight="1">
      <c r="A778" s="0" t="str">
        <f>IFERROR(__xludf.DUMMYFUNCTION("""COMPUTED_VALUE"""),"Rebalancer")</f>
        <v>Rebalancer</v>
      </c>
      <c r="B778" s="0" t="str">
        <f>IFERROR(__xludf.DUMMYFUNCTION("""COMPUTED_VALUE"""),"VerifyModelPortfolio")</f>
        <v>VerifyModelPortfolio</v>
      </c>
      <c r="C778" s="0" t="str">
        <f>IFERROR(__xludf.DUMMYFUNCTION("""COMPUTED_VALUE"""),"1Tza5cx7NJ2J8vr_f6DC-KPhnXCzf7l1m0EERc6z_T-U")</f>
        <v>1Tza5cx7NJ2J8vr_f6DC-KPhnXCzf7l1m0EERc6z_T-U</v>
      </c>
    </row>
    <row r="779" ht="15.75" customHeight="1">
      <c r="A779" s="0" t="str">
        <f>IFERROR(__xludf.DUMMYFUNCTION("""COMPUTED_VALUE"""),"Allocation")</f>
        <v>Allocation</v>
      </c>
      <c r="B779" s="0" t="str">
        <f>IFERROR(__xludf.DUMMYFUNCTION("""COMPUTED_VALUE"""),"ReviewExistingPositions")</f>
        <v>ReviewExistingPositions</v>
      </c>
      <c r="C779" s="0" t="str">
        <f>IFERROR(__xludf.DUMMYFUNCTION("""COMPUTED_VALUE"""),"1KwYoTdpeW6LDhzloVKHp5buZqc8IjXEShjwnUx45Ql8")</f>
        <v>1KwYoTdpeW6LDhzloVKHp5buZqc8IjXEShjwnUx45Ql8</v>
      </c>
    </row>
    <row r="780" ht="15.75" customHeight="1">
      <c r="A780" s="0" t="str">
        <f>IFERROR(__xludf.DUMMYFUNCTION("""COMPUTED_VALUE"""),"PTT")</f>
        <v>PTT</v>
      </c>
      <c r="B780" s="0" t="str">
        <f>IFERROR(__xludf.DUMMYFUNCTION("""COMPUTED_VALUE"""),"OperationsonPTT")</f>
        <v>OperationsonPTT</v>
      </c>
      <c r="C780" s="0" t="str">
        <f>IFERROR(__xludf.DUMMYFUNCTION("""COMPUTED_VALUE"""),"1J40rCXEDilLEF_x0Wkeeg1lwGfejucV1VSY9UcyeSlw")</f>
        <v>1J40rCXEDilLEF_x0Wkeeg1lwGfejucV1VSY9UcyeSlw</v>
      </c>
    </row>
    <row r="781" ht="15.75" customHeight="1">
      <c r="A781" s="0" t="str">
        <f>IFERROR(__xludf.DUMMYFUNCTION("""COMPUTED_VALUE"""),"PricingInput")</f>
        <v>PricingInput</v>
      </c>
      <c r="B781" s="0" t="str">
        <f>IFERROR(__xludf.DUMMYFUNCTION("""COMPUTED_VALUE"""),"UpdatePricingInput")</f>
        <v>UpdatePricingInput</v>
      </c>
      <c r="C781" s="0" t="str">
        <f>IFERROR(__xludf.DUMMYFUNCTION("""COMPUTED_VALUE"""),"1CG9iYOkRKzlGEsKh7QuEyMdGRQea_W4KDWwlnjE2BdE")</f>
        <v>1CG9iYOkRKzlGEsKh7QuEyMdGRQea_W4KDWwlnjE2BdE</v>
      </c>
    </row>
    <row r="782" ht="15.75" customHeight="1">
      <c r="A782" s="0" t="str">
        <f>IFERROR(__xludf.DUMMYFUNCTION("""COMPUTED_VALUE"""),"DailyValuation")</f>
        <v>DailyValuation</v>
      </c>
      <c r="B782" s="0" t="str">
        <f>IFERROR(__xludf.DUMMYFUNCTION("""COMPUTED_VALUE"""),"UpdateMPAndFC")</f>
        <v>UpdateMPAndFC</v>
      </c>
      <c r="C782" s="0" t="str">
        <f>IFERROR(__xludf.DUMMYFUNCTION("""COMPUTED_VALUE"""),"1UCNfZng94LprScqCmSKImRjCwiKlLQU_e1kY1tum91I")</f>
        <v>1UCNfZng94LprScqCmSKImRjCwiKlLQU_e1kY1tum91I</v>
      </c>
    </row>
    <row r="783" ht="15.75" customHeight="1">
      <c r="A783" s="0" t="str">
        <f>IFERROR(__xludf.DUMMYFUNCTION("""COMPUTED_VALUE"""),"Rebalancer")</f>
        <v>Rebalancer</v>
      </c>
      <c r="B783" s="0" t="str">
        <f>IFERROR(__xludf.DUMMYFUNCTION("""COMPUTED_VALUE"""),"SelectAndVerifyTradeList")</f>
        <v>SelectAndVerifyTradeList</v>
      </c>
      <c r="C783" s="0" t="str">
        <f>IFERROR(__xludf.DUMMYFUNCTION("""COMPUTED_VALUE"""),"1fXJG--hBH0hPvU7g5jtXyZnD1GiwJXfYX9HdEyhGyGs")</f>
        <v>1fXJG--hBH0hPvU7g5jtXyZnD1GiwJXfYX9HdEyhGyGs</v>
      </c>
    </row>
    <row r="784" ht="15.75" customHeight="1">
      <c r="A784" s="0" t="str">
        <f>IFERROR(__xludf.DUMMYFUNCTION("""COMPUTED_VALUE"""),"Rebalancer")</f>
        <v>Rebalancer</v>
      </c>
      <c r="B784" s="0" t="str">
        <f>IFERROR(__xludf.DUMMYFUNCTION("""COMPUTED_VALUE"""),"ActionOnTradeBuySellListView")</f>
        <v>ActionOnTradeBuySellListView</v>
      </c>
      <c r="C784" s="0" t="str">
        <f>IFERROR(__xludf.DUMMYFUNCTION("""COMPUTED_VALUE"""),"1xeJEpkdxtbik3vPUTkxALkXsnL-Vl5dF07PBUoheM3k")</f>
        <v>1xeJEpkdxtbik3vPUTkxALkXsnL-Vl5dF07PBUoheM3k</v>
      </c>
    </row>
    <row r="785" ht="15.75" customHeight="1">
      <c r="A785" s="0" t="str">
        <f>IFERROR(__xludf.DUMMYFUNCTION("""COMPUTED_VALUE"""),"Blotter")</f>
        <v>Blotter</v>
      </c>
      <c r="B785" s="0" t="str">
        <f>IFERROR(__xludf.DUMMYFUNCTION("""COMPUTED_VALUE"""),"AddTabToFav")</f>
        <v>AddTabToFav</v>
      </c>
      <c r="C785" s="0" t="str">
        <f>IFERROR(__xludf.DUMMYFUNCTION("""COMPUTED_VALUE"""),"1Hrblc1gk4JIYboQ1lGHgl7HatAXp5amAl9mS58vzT-0")</f>
        <v>1Hrblc1gk4JIYboQ1lGHgl7HatAXp5amAl9mS58vzT-0</v>
      </c>
    </row>
    <row r="786" ht="15.75" customHeight="1">
      <c r="A786" s="0" t="str">
        <f>IFERROR(__xludf.DUMMYFUNCTION("""COMPUTED_VALUE"""),"TradingTicket")</f>
        <v>TradingTicket</v>
      </c>
      <c r="B786" s="0" t="str">
        <f>IFERROR(__xludf.DUMMYFUNCTION("""COMPUTED_VALUE"""),"VerifyExecutionType")</f>
        <v>VerifyExecutionType</v>
      </c>
      <c r="C786" s="0" t="str">
        <f>IFERROR(__xludf.DUMMYFUNCTION("""COMPUTED_VALUE"""),"1GeLKG0YL6nDFQYX8NohWSG0yonppxuSHWgOuwLzEWwI")</f>
        <v>1GeLKG0YL6nDFQYX8NohWSG0yonppxuSHWgOuwLzEWwI</v>
      </c>
    </row>
    <row r="787" ht="15.75" customHeight="1">
      <c r="A787" s="0" t="str">
        <f>IFERROR(__xludf.DUMMYFUNCTION("""COMPUTED_VALUE"""),"OpenFin")</f>
        <v>OpenFin</v>
      </c>
      <c r="B787" s="0" t="str">
        <f>IFERROR(__xludf.DUMMYFUNCTION("""COMPUTED_VALUE"""),"VerifyNotification")</f>
        <v>VerifyNotification</v>
      </c>
      <c r="C787" s="0" t="str">
        <f>IFERROR(__xludf.DUMMYFUNCTION("""COMPUTED_VALUE"""),"1rm7dGZ4-j6MPtyiMlJDHnZgIjnFk8Hv19VRPaPCgUMY")</f>
        <v>1rm7dGZ4-j6MPtyiMlJDHnZgIjnFk8Hv19VRPaPCgUMY</v>
      </c>
    </row>
    <row r="788" ht="15.75" customHeight="1">
      <c r="A788" s="0" t="str">
        <f>IFERROR(__xludf.DUMMYFUNCTION("""COMPUTED_VALUE"""),"Blotter")</f>
        <v>Blotter</v>
      </c>
      <c r="B788" s="0" t="str">
        <f>IFERROR(__xludf.DUMMYFUNCTION("""COMPUTED_VALUE"""),"RollOverContextMenu")</f>
        <v>RollOverContextMenu</v>
      </c>
      <c r="C788" s="0" t="str">
        <f>IFERROR(__xludf.DUMMYFUNCTION("""COMPUTED_VALUE"""),"1d45ieJRLC6DQ7t19pclAZz5EI6hBsZ5_VdNJYb3VsNc")</f>
        <v>1d45ieJRLC6DQ7t19pclAZz5EI6hBsZ5_VdNJYb3VsNc</v>
      </c>
    </row>
    <row r="789" ht="15.75" customHeight="1">
      <c r="A789" s="0" t="str">
        <f>IFERROR(__xludf.DUMMYFUNCTION("""COMPUTED_VALUE"""),"PTT")</f>
        <v>PTT</v>
      </c>
      <c r="B789" s="0" t="str">
        <f>IFERROR(__xludf.DUMMYFUNCTION("""COMPUTED_VALUE"""),"RefreshCalculation")</f>
        <v>RefreshCalculation</v>
      </c>
    </row>
    <row r="790" ht="15.75" customHeight="1">
      <c r="A790" s="0" t="str">
        <f>IFERROR(__xludf.DUMMYFUNCTION("""COMPUTED_VALUE"""),"Blotter")</f>
        <v>Blotter</v>
      </c>
      <c r="B790" s="0" t="str">
        <f>IFERROR(__xludf.DUMMYFUNCTION("""COMPUTED_VALUE"""),"BookAsSwap")</f>
        <v>BookAsSwap</v>
      </c>
      <c r="C790" s="0" t="str">
        <f>IFERROR(__xludf.DUMMYFUNCTION("""COMPUTED_VALUE"""),"1tnkP5eD3WH53SXu2O-MWk6774J7b5ihwlD7r9dGtpiY")</f>
        <v>1tnkP5eD3WH53SXu2O-MWk6774J7b5ihwlD7r9dGtpiY</v>
      </c>
    </row>
    <row r="791" ht="15.75" customHeight="1">
      <c r="A791" s="0" t="str">
        <f>IFERROR(__xludf.DUMMYFUNCTION("""COMPUTED_VALUE"""),"Blotter")</f>
        <v>Blotter</v>
      </c>
      <c r="B791" s="0" t="str">
        <f>IFERROR(__xludf.DUMMYFUNCTION("""COMPUTED_VALUE"""),"ActionOnFloatingWindow")</f>
        <v>ActionOnFloatingWindow</v>
      </c>
      <c r="C791" s="0" t="str">
        <f>IFERROR(__xludf.DUMMYFUNCTION("""COMPUTED_VALUE"""),"1tFNUPT3PXgCKRnnehGwo6OF7EhLu13UJ8Elfq83HArE")</f>
        <v>1tFNUPT3PXgCKRnnehGwo6OF7EhLu13UJ8Elfq83HArE</v>
      </c>
    </row>
    <row r="792" ht="15.75" customHeight="1">
      <c r="A792" s="0" t="str">
        <f>IFERROR(__xludf.DUMMYFUNCTION("""COMPUTED_VALUE"""),"OpenFin")</f>
        <v>OpenFin</v>
      </c>
      <c r="B792" s="0" t="str">
        <f>IFERROR(__xludf.DUMMYFUNCTION("""COMPUTED_VALUE"""),"LockUnlockModule")</f>
        <v>LockUnlockModule</v>
      </c>
      <c r="C792" s="0" t="str">
        <f>IFERROR(__xludf.DUMMYFUNCTION("""COMPUTED_VALUE"""),"179D0kPRO8f_KLxd7hs6seM9XGxpL-u1rhIhNgFVePsQ")</f>
        <v>179D0kPRO8f_KLxd7hs6seM9XGxpL-u1rhIhNgFVePsQ</v>
      </c>
    </row>
    <row r="793" ht="15.75" customHeight="1">
      <c r="A793" s="0" t="str">
        <f>IFERROR(__xludf.DUMMYFUNCTION("""COMPUTED_VALUE"""),"OpenFin")</f>
        <v>OpenFin</v>
      </c>
      <c r="B793" s="0" t="str">
        <f>IFERROR(__xludf.DUMMYFUNCTION("""COMPUTED_VALUE"""),"OpenModule")</f>
        <v>OpenModule</v>
      </c>
      <c r="C793" s="0" t="str">
        <f>IFERROR(__xludf.DUMMYFUNCTION("""COMPUTED_VALUE"""),"1IdmD7l42pWNjFNVt_7UwbOO7y5tDxaXr7tE60c9ETLw")</f>
        <v>1IdmD7l42pWNjFNVt_7UwbOO7y5tDxaXr7tE60c9ETLw</v>
      </c>
    </row>
    <row r="794" ht="15.75" customHeight="1">
      <c r="A794" s="0" t="str">
        <f>IFERROR(__xludf.DUMMYFUNCTION("""COMPUTED_VALUE"""),"TradingTicket")</f>
        <v>TradingTicket</v>
      </c>
      <c r="B794" s="0" t="str">
        <f>IFERROR(__xludf.DUMMYFUNCTION("""COMPUTED_VALUE"""),"SymbolSuggestionVerify")</f>
        <v>SymbolSuggestionVerify</v>
      </c>
      <c r="C794" s="0" t="str">
        <f>IFERROR(__xludf.DUMMYFUNCTION("""COMPUTED_VALUE"""),"14aTeLjmUbS-nhaQwjtZAMGxdQ5DS6UsBjE5OTWN-LQU")</f>
        <v>14aTeLjmUbS-nhaQwjtZAMGxdQ5DS6UsBjE5OTWN-LQU</v>
      </c>
    </row>
    <row r="795" ht="15.75" customHeight="1">
      <c r="A795" s="0" t="str">
        <f>IFERROR(__xludf.DUMMYFUNCTION("""COMPUTED_VALUE"""),"Blotter")</f>
        <v>Blotter</v>
      </c>
      <c r="B795" s="0" t="str">
        <f>IFERROR(__xludf.DUMMYFUNCTION("""COMPUTED_VALUE"""),"CreateHotButtonOnBlotter")</f>
        <v>CreateHotButtonOnBlotter</v>
      </c>
      <c r="C795" s="0" t="str">
        <f>IFERROR(__xludf.DUMMYFUNCTION("""COMPUTED_VALUE"""),"1Yu7Fb6AjhUP8b-KuRJvgAwq8TykNK6BDh9F0Xpf12Ek")</f>
        <v>1Yu7Fb6AjhUP8b-KuRJvgAwq8TykNK6BDh9F0Xpf12Ek</v>
      </c>
    </row>
    <row r="796" ht="15.75" customHeight="1">
      <c r="A796" s="0" t="str">
        <f>IFERROR(__xludf.DUMMYFUNCTION("""COMPUTED_VALUE"""),"Blotter")</f>
        <v>Blotter</v>
      </c>
      <c r="B796" s="0" t="str">
        <f>IFERROR(__xludf.DUMMYFUNCTION("""COMPUTED_VALUE"""),"FillHBdetailsOnBlotter")</f>
        <v>FillHBdetailsOnBlotter</v>
      </c>
      <c r="C796" s="0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1BAD42-D3C7-4617-B694-0726F206C2C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D53CD01-3A6A-4F9B-913E-1B4D2792F24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CCBF673-0BE7-47C4-ABBB-1F6E461E0DB3}">
          <x14:formula1>
            <xm:f>EditSMGridUi!$4:$4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5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8BFD56D-04CD-47E0-8BF0-3FE7B118997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40EBD66-7B34-473B-B6DB-A8454757FCE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7322C94-7557-437D-8648-AB97D9B6571A}">
          <x14:formula1>
            <xm:f>UpdateExpnlConfig!$4:$4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3">
        <v>100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3">
        <v>200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3">
        <v>400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33">
        <v>500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27</v>
      </c>
      <c r="C10" s="33">
        <v>600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3">
        <v>300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70A20B1-C4FA-42DA-81DF-3706832A049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59A5B01-8D20-4588-9508-43DECA705F2C}">
          <x14:formula1>
            <xm:f>UpdateRoundLot!$4:$4</xm:f>
          </x14:formula1>
          <xm:sqref>E3</xm:sqref>
        </x14:dataValidation>
        <x14:dataValidation type="list" allowBlank="1" showInputMessage="1" showErrorMessage="1" prompt="Choose an available module" xr:uid="{2808B55F-935A-4E53-A2F4-6CD5815B6010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2" t="s">
        <v>31</v>
      </c>
      <c r="D6" s="33">
        <v>100</v>
      </c>
      <c r="E6" s="36"/>
      <c r="F6" s="8"/>
      <c r="G6" s="8"/>
      <c r="H6" s="8"/>
      <c r="I6" s="8"/>
      <c r="J6" s="37">
        <v>26.47</v>
      </c>
      <c r="K6" s="8"/>
      <c r="L6" s="8"/>
      <c r="M6" s="8"/>
      <c r="N6" s="38">
        <f ref="N6:N15" t="shared" si="1">TODAY()-1</f>
        <v>45854</v>
      </c>
      <c r="O6" s="8"/>
    </row>
    <row r="7" ht="15.75" customHeight="1">
      <c r="A7" s="8"/>
      <c r="B7" s="32" t="s">
        <v>28</v>
      </c>
      <c r="C7" s="32" t="s">
        <v>31</v>
      </c>
      <c r="D7" s="33">
        <v>100</v>
      </c>
      <c r="E7" s="8"/>
      <c r="F7" s="8"/>
      <c r="G7" s="8"/>
      <c r="H7" s="8"/>
      <c r="I7" s="8"/>
      <c r="J7" s="33">
        <v>10</v>
      </c>
      <c r="K7" s="8"/>
      <c r="L7" s="8"/>
      <c r="M7" s="8"/>
      <c r="N7" s="38">
        <f t="shared" si="1"/>
        <v>45854</v>
      </c>
      <c r="O7" s="8"/>
    </row>
    <row r="8" ht="15.75" customHeight="1">
      <c r="A8" s="8"/>
      <c r="B8" s="33">
        <v>123456789</v>
      </c>
      <c r="C8" s="32" t="s">
        <v>31</v>
      </c>
      <c r="D8" s="33">
        <v>12000</v>
      </c>
      <c r="E8" s="8"/>
      <c r="F8" s="8"/>
      <c r="G8" s="8"/>
      <c r="H8" s="8"/>
      <c r="I8" s="8"/>
      <c r="J8" s="33">
        <v>25</v>
      </c>
      <c r="K8" s="8"/>
      <c r="L8" s="8"/>
      <c r="M8" s="8"/>
      <c r="N8" s="38">
        <f t="shared" si="1"/>
        <v>45854</v>
      </c>
      <c r="O8" s="8"/>
    </row>
    <row r="9" ht="15.75" customHeight="1">
      <c r="A9" s="8"/>
      <c r="B9" s="32" t="s">
        <v>27</v>
      </c>
      <c r="C9" s="32" t="s">
        <v>32</v>
      </c>
      <c r="D9" s="33">
        <v>10</v>
      </c>
      <c r="E9" s="8"/>
      <c r="F9" s="8"/>
      <c r="G9" s="8"/>
      <c r="H9" s="8"/>
      <c r="I9" s="8"/>
      <c r="J9" s="33">
        <v>20</v>
      </c>
      <c r="K9" s="8"/>
      <c r="L9" s="8"/>
      <c r="M9" s="8"/>
      <c r="N9" s="38">
        <f t="shared" si="1"/>
        <v>45854</v>
      </c>
      <c r="O9" s="8"/>
    </row>
    <row r="10" ht="15.75" customHeight="1">
      <c r="A10" s="8"/>
      <c r="B10" s="32" t="s">
        <v>26</v>
      </c>
      <c r="C10" s="32" t="s">
        <v>33</v>
      </c>
      <c r="D10" s="33">
        <v>100</v>
      </c>
      <c r="E10" s="8"/>
      <c r="F10" s="8"/>
      <c r="G10" s="8"/>
      <c r="H10" s="8"/>
      <c r="I10" s="8"/>
      <c r="J10" s="33">
        <v>10</v>
      </c>
      <c r="K10" s="8"/>
      <c r="L10" s="8"/>
      <c r="M10" s="8"/>
      <c r="N10" s="38">
        <f t="shared" si="1"/>
        <v>45854</v>
      </c>
      <c r="O10" s="8"/>
    </row>
    <row r="11" ht="15.75" customHeight="1">
      <c r="A11" s="8"/>
      <c r="B11" s="32" t="s">
        <v>25</v>
      </c>
      <c r="C11" s="32" t="s">
        <v>33</v>
      </c>
      <c r="D11" s="33">
        <v>10</v>
      </c>
      <c r="E11" s="8"/>
      <c r="F11" s="8"/>
      <c r="G11" s="8"/>
      <c r="H11" s="8"/>
      <c r="I11" s="8"/>
      <c r="J11" s="33">
        <v>36.6</v>
      </c>
      <c r="K11" s="8"/>
      <c r="L11" s="8"/>
      <c r="M11" s="8"/>
      <c r="N11" s="38">
        <f t="shared" si="1"/>
        <v>45854</v>
      </c>
      <c r="O11" s="8"/>
    </row>
    <row r="12" ht="15.75" customHeight="1">
      <c r="A12" s="8"/>
      <c r="B12" s="32" t="s">
        <v>23</v>
      </c>
      <c r="C12" s="32" t="s">
        <v>31</v>
      </c>
      <c r="D12" s="33">
        <v>100</v>
      </c>
      <c r="E12" s="8"/>
      <c r="F12" s="8"/>
      <c r="G12" s="8"/>
      <c r="H12" s="8"/>
      <c r="I12" s="8"/>
      <c r="J12" s="33">
        <v>8</v>
      </c>
      <c r="K12" s="8"/>
      <c r="L12" s="8"/>
      <c r="M12" s="8"/>
      <c r="N12" s="38">
        <f t="shared" si="1"/>
        <v>45854</v>
      </c>
      <c r="O12" s="8"/>
    </row>
    <row r="13" ht="15.75" customHeight="1">
      <c r="A13" s="8"/>
      <c r="B13" s="32" t="s">
        <v>34</v>
      </c>
      <c r="C13" s="32" t="s">
        <v>32</v>
      </c>
      <c r="D13" s="33">
        <v>20000</v>
      </c>
      <c r="E13" s="8"/>
      <c r="F13" s="8"/>
      <c r="G13" s="8"/>
      <c r="H13" s="8"/>
      <c r="I13" s="8"/>
      <c r="J13" s="33">
        <v>5</v>
      </c>
      <c r="K13" s="8"/>
      <c r="L13" s="8"/>
      <c r="M13" s="8"/>
      <c r="N13" s="38">
        <f t="shared" si="1"/>
        <v>45854</v>
      </c>
      <c r="O13" s="8"/>
    </row>
    <row r="14" ht="15.75" customHeight="1">
      <c r="A14" s="8"/>
      <c r="B14" s="31" t="s">
        <v>35</v>
      </c>
      <c r="C14" s="32" t="s">
        <v>36</v>
      </c>
      <c r="D14" s="33">
        <v>100</v>
      </c>
      <c r="E14" s="8"/>
      <c r="F14" s="8"/>
      <c r="G14" s="8"/>
      <c r="H14" s="8"/>
      <c r="I14" s="8"/>
      <c r="J14" s="33">
        <v>8</v>
      </c>
      <c r="K14" s="8"/>
      <c r="L14" s="8"/>
      <c r="M14" s="8"/>
      <c r="N14" s="38">
        <f t="shared" si="1"/>
        <v>45854</v>
      </c>
      <c r="O14" s="8"/>
    </row>
    <row r="15" ht="15.75" customHeight="1">
      <c r="A15" s="8"/>
      <c r="B15" s="32" t="s">
        <v>37</v>
      </c>
      <c r="C15" s="32" t="s">
        <v>38</v>
      </c>
      <c r="D15" s="33">
        <v>10</v>
      </c>
      <c r="E15" s="8"/>
      <c r="F15" s="8"/>
      <c r="G15" s="8"/>
      <c r="H15" s="8"/>
      <c r="I15" s="8"/>
      <c r="J15" s="33">
        <v>5</v>
      </c>
      <c r="K15" s="8"/>
      <c r="L15" s="8"/>
      <c r="M15" s="8"/>
      <c r="N15" s="38">
        <f t="shared" si="1"/>
        <v>45854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0BFA04-5ED4-4273-A7AA-A5944C91FAC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4C132C2-5858-4730-9D3D-FBFE55E5699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CE2FC2B-E1EF-4DF3-B4C3-E8B2651DCAFE}">
          <x14:formula1>
            <xm:f>CreateDoneAwayOrder!$4:$4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</v>
      </c>
      <c r="D6" s="37">
        <v>26.47</v>
      </c>
      <c r="E6" s="31" t="s">
        <v>40</v>
      </c>
      <c r="F6" s="31"/>
      <c r="G6" s="31"/>
      <c r="H6" s="31"/>
      <c r="I6" s="31"/>
      <c r="J6" s="32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ref="Z6:Z15" t="shared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</v>
      </c>
      <c r="D7" s="33">
        <v>10</v>
      </c>
      <c r="E7" s="31" t="s">
        <v>40</v>
      </c>
      <c r="F7" s="31"/>
      <c r="G7" s="31"/>
      <c r="H7" s="31"/>
      <c r="I7" s="31"/>
      <c r="J7" s="32" t="s">
        <v>31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123456789</v>
      </c>
      <c r="C8" s="33">
        <v>12000</v>
      </c>
      <c r="D8" s="33">
        <v>25</v>
      </c>
      <c r="E8" s="31" t="s">
        <v>40</v>
      </c>
      <c r="F8" s="31"/>
      <c r="G8" s="31"/>
      <c r="H8" s="31"/>
      <c r="I8" s="31"/>
      <c r="J8" s="32" t="s">
        <v>31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</v>
      </c>
      <c r="D9" s="33">
        <v>20</v>
      </c>
      <c r="E9" s="31" t="s">
        <v>40</v>
      </c>
      <c r="F9" s="31"/>
      <c r="G9" s="31"/>
      <c r="H9" s="31"/>
      <c r="I9" s="31"/>
      <c r="J9" s="32" t="s">
        <v>32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</v>
      </c>
      <c r="D10" s="33">
        <v>10</v>
      </c>
      <c r="E10" s="31" t="s">
        <v>40</v>
      </c>
      <c r="F10" s="31"/>
      <c r="G10" s="31"/>
      <c r="H10" s="31"/>
      <c r="I10" s="31"/>
      <c r="J10" s="32" t="s">
        <v>33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</v>
      </c>
      <c r="D11" s="33">
        <v>36.6</v>
      </c>
      <c r="E11" s="31" t="s">
        <v>40</v>
      </c>
      <c r="F11" s="31"/>
      <c r="G11" s="31"/>
      <c r="H11" s="31"/>
      <c r="I11" s="31"/>
      <c r="J11" s="32" t="s">
        <v>33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</v>
      </c>
      <c r="D12" s="33">
        <v>8</v>
      </c>
      <c r="E12" s="31" t="s">
        <v>40</v>
      </c>
      <c r="F12" s="31"/>
      <c r="G12" s="31"/>
      <c r="H12" s="31"/>
      <c r="I12" s="31"/>
      <c r="J12" s="32" t="s">
        <v>31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20000</v>
      </c>
      <c r="D13" s="33">
        <v>5</v>
      </c>
      <c r="E13" s="31" t="s">
        <v>40</v>
      </c>
      <c r="F13" s="31"/>
      <c r="G13" s="31"/>
      <c r="H13" s="31"/>
      <c r="I13" s="31"/>
      <c r="J13" s="32" t="s">
        <v>32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100</v>
      </c>
      <c r="D14" s="33">
        <v>8</v>
      </c>
      <c r="E14" s="31" t="s">
        <v>40</v>
      </c>
      <c r="F14" s="31"/>
      <c r="G14" s="31"/>
      <c r="H14" s="31"/>
      <c r="I14" s="31"/>
      <c r="J14" s="32" t="s">
        <v>36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10</v>
      </c>
      <c r="D15" s="33">
        <v>5</v>
      </c>
      <c r="E15" s="31" t="s">
        <v>40</v>
      </c>
      <c r="F15" s="31"/>
      <c r="G15" s="31"/>
      <c r="H15" s="31"/>
      <c r="I15" s="31"/>
      <c r="J15" s="32" t="s">
        <v>38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C2DFBC2-1179-4A58-A5AA-3D95CED5E1D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988A520-3207-4DED-A417-932C3BDBE28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DF1DCA8-7233-4D4C-A761-F2B6CCBA0F8D}">
          <x14:formula1>
            <xm:f>CustomOrderTT!$4:$4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3">
        <v>25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>
        <v>123456789</v>
      </c>
      <c r="C8" s="33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27</v>
      </c>
      <c r="C9" s="33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26</v>
      </c>
      <c r="C10" s="33">
        <v>10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3">
        <v>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3">
        <v>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34</v>
      </c>
      <c r="C13" s="33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35</v>
      </c>
      <c r="C14" s="33">
        <v>25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37</v>
      </c>
      <c r="C15" s="33">
        <v>15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15596AB-F2A0-4AA0-86A5-FBF24CA6DBA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3B9BD6D-DDB9-40AB-B4C0-D6BEC23ECD4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86C2846-0BCD-4CBB-90E7-DCC596638897}">
          <x14:formula1>
            <xm:f>PricingInput!$4:$4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8">
        <f>TODAY()</f>
        <v>45855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091268-5515-490B-9420-D9A809B86F7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38C59D9-4D84-49AE-B2E2-6590089993B9}">
          <x14:formula1>
            <xm:f>GetForexConversion!$4:$4</xm:f>
          </x14:formula1>
          <xm:sqref>E3</xm:sqref>
        </x14:dataValidation>
        <x14:dataValidation type="list" allowBlank="1" showInputMessage="1" showErrorMessage="1" prompt="Choose an available module" xr:uid="{E2EF81EE-E0C9-47C3-8279-8D5A86389E95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45</v>
      </c>
      <c r="C6" s="32" t="s">
        <v>46</v>
      </c>
      <c r="D6" s="34" t="s">
        <v>47</v>
      </c>
      <c r="E6" s="33">
        <v>1.0588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48</v>
      </c>
      <c r="C7" s="32" t="s">
        <v>46</v>
      </c>
      <c r="D7" s="32" t="s">
        <v>49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880DB25-02C2-4675-9527-DE724B5E9E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48AA16D-561E-4184-9B93-BD9794CFB59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7165786-A0DA-4F0F-AD09-C19674C9BFFC}">
          <x14:formula1>
            <xm:f>UpdateForexConversion!$4:$4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52</v>
      </c>
      <c r="C6" s="38">
        <f>TODAY()-1</f>
        <v>45854</v>
      </c>
      <c r="D6" s="38">
        <f>TODAY()</f>
        <v>45855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D74A852-AF33-4381-84AF-AE35C1D354C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34E95DC-CF28-46CE-A954-349829F0A8D3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98DC783F-DA70-40CD-9E09-3DA9A22989EC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D8C723C-1B78-4265-8CF3-9A884DFACDE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273E1DA-FD31-4366-8B37-88FD419CF081}">
          <x14:formula1>
            <xm:f>SelectAllocatedGroup!$4:$4</xm:f>
          </x14:formula1>
          <xm:sqref>E3</xm:sqref>
        </x14:dataValidation>
        <x14:dataValidation type="list" allowBlank="1" showInputMessage="1" showErrorMessage="1" prompt="Choose an available module" xr:uid="{03F5AE21-F5CB-48AE-822A-83D4BAFFCBC0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</v>
      </c>
      <c r="C6" s="31"/>
      <c r="D6" s="30"/>
      <c r="E6" s="31"/>
      <c r="F6" s="33">
        <v>365</v>
      </c>
      <c r="G6" s="31"/>
      <c r="H6" s="33">
        <v>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049393-5D6A-4038-8A54-54185ACEACA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C5B3C3C-F649-47D1-AC8C-0AB3FD2A628A}">
          <x14:formula1>
            <xm:f>BookOrUpdateSwap!$4:$4</xm:f>
          </x14:formula1>
          <xm:sqref>E3</xm:sqref>
        </x14:dataValidation>
        <x14:dataValidation type="list" allowBlank="1" showInputMessage="1" showErrorMessage="1" prompt="Choose an available module" xr:uid="{8E3D6655-4D0B-42E5-9B3F-AD7C4963B663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261CBE-5CD5-462C-82D6-9315AD02BCF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C1D7BE1-414A-4EFA-BDCF-17EB6412E1F4}">
          <x14:formula1>
            <xm:f>SelectAllocatedGroup1!$4:$4</xm:f>
          </x14:formula1>
          <xm:sqref>E3</xm:sqref>
        </x14:dataValidation>
        <x14:dataValidation type="list" allowBlank="1" showInputMessage="1" showErrorMessage="1" prompt="Choose an available module" xr:uid="{E3564156-C1AA-41B9-B58F-4D0471D4F268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</v>
      </c>
      <c r="C6" s="31"/>
      <c r="D6" s="30"/>
      <c r="E6" s="31"/>
      <c r="F6" s="33">
        <v>365</v>
      </c>
      <c r="G6" s="31"/>
      <c r="H6" s="33">
        <v>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41EE20-EDA1-43A9-A874-4034916F40B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4F7BE0C-C597-4605-B9CA-C4C4D7803CD9}">
          <x14:formula1>
            <xm:f>BookOrUpdateSwap1!$4:$4</xm:f>
          </x14:formula1>
          <xm:sqref>E3</xm:sqref>
        </x14:dataValidation>
        <x14:dataValidation type="list" allowBlank="1" showInputMessage="1" showErrorMessage="1" prompt="Choose an available module" xr:uid="{36ABAF9C-869C-4E30-99F6-839CB7FF322A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33">
        <v>100</v>
      </c>
      <c r="D6" s="37">
        <v>50</v>
      </c>
      <c r="E6" s="31" t="s">
        <v>40</v>
      </c>
      <c r="F6" s="31"/>
      <c r="G6" s="31"/>
      <c r="H6" s="31"/>
      <c r="I6" s="31"/>
      <c r="J6" s="32" t="s">
        <v>31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55</v>
      </c>
      <c r="C7" s="33">
        <v>1</v>
      </c>
      <c r="D7" s="33">
        <v>50</v>
      </c>
      <c r="E7" s="31" t="s">
        <v>40</v>
      </c>
      <c r="F7" s="31"/>
      <c r="G7" s="31"/>
      <c r="H7" s="31"/>
      <c r="I7" s="31"/>
      <c r="J7" s="32" t="s">
        <v>32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55</v>
      </c>
      <c r="C8" s="33">
        <v>98</v>
      </c>
      <c r="D8" s="33">
        <v>50</v>
      </c>
      <c r="E8" s="31" t="s">
        <v>40</v>
      </c>
      <c r="F8" s="31"/>
      <c r="G8" s="31"/>
      <c r="H8" s="31"/>
      <c r="I8" s="31"/>
      <c r="J8" s="32" t="s">
        <v>32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56</v>
      </c>
      <c r="C9" s="33">
        <v>10</v>
      </c>
      <c r="D9" s="33">
        <v>5</v>
      </c>
      <c r="E9" s="31" t="s">
        <v>40</v>
      </c>
      <c r="F9" s="31"/>
      <c r="G9" s="31"/>
      <c r="H9" s="31"/>
      <c r="I9" s="31"/>
      <c r="J9" s="32" t="s">
        <v>32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B90C6C7-9D9E-4748-90B2-12C4EBDDA74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E654BEE-69CB-412F-B6D7-1B03574E4CD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AC6994D-E60A-4CE3-BC19-44A2029F7E69}">
          <x14:formula1>
            <xm:f>CustomOrderTT1!$4:$4</xm:f>
          </x14:formula1>
          <xm:sqref>E3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55</v>
      </c>
      <c r="C6" s="32" t="s">
        <v>31</v>
      </c>
      <c r="D6" s="33">
        <v>100</v>
      </c>
      <c r="E6" s="36"/>
      <c r="F6" s="8"/>
      <c r="G6" s="8"/>
      <c r="H6" s="8"/>
      <c r="I6" s="8"/>
      <c r="J6" s="37">
        <v>50</v>
      </c>
      <c r="K6" s="8"/>
      <c r="L6" s="8"/>
      <c r="M6" s="8"/>
      <c r="N6" s="8"/>
      <c r="O6" s="8"/>
    </row>
    <row r="7" ht="15.75" customHeight="1">
      <c r="A7" s="8"/>
      <c r="B7" s="32" t="s">
        <v>55</v>
      </c>
      <c r="C7" s="32" t="s">
        <v>32</v>
      </c>
      <c r="D7" s="33">
        <v>1</v>
      </c>
      <c r="E7" s="8"/>
      <c r="F7" s="8"/>
      <c r="G7" s="8"/>
      <c r="H7" s="8"/>
      <c r="I7" s="8"/>
      <c r="J7" s="33">
        <v>50</v>
      </c>
      <c r="K7" s="8"/>
      <c r="L7" s="8"/>
      <c r="M7" s="8"/>
      <c r="N7" s="8"/>
      <c r="O7" s="8"/>
    </row>
    <row r="8" ht="15.75" customHeight="1">
      <c r="A8" s="8"/>
      <c r="B8" s="32" t="s">
        <v>55</v>
      </c>
      <c r="C8" s="32" t="s">
        <v>32</v>
      </c>
      <c r="D8" s="33">
        <v>98</v>
      </c>
      <c r="E8" s="8"/>
      <c r="F8" s="8"/>
      <c r="G8" s="8"/>
      <c r="H8" s="8"/>
      <c r="I8" s="8"/>
      <c r="J8" s="33">
        <v>50</v>
      </c>
      <c r="K8" s="8"/>
      <c r="L8" s="8"/>
      <c r="M8" s="8"/>
      <c r="N8" s="8"/>
      <c r="O8" s="8"/>
    </row>
    <row r="9" ht="15.75" customHeight="1">
      <c r="A9" s="8"/>
      <c r="B9" s="32" t="s">
        <v>56</v>
      </c>
      <c r="C9" s="32" t="s">
        <v>32</v>
      </c>
      <c r="D9" s="33">
        <v>10</v>
      </c>
      <c r="E9" s="8"/>
      <c r="F9" s="8"/>
      <c r="G9" s="8"/>
      <c r="H9" s="8"/>
      <c r="I9" s="8"/>
      <c r="J9" s="33">
        <v>5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A37144-69CF-4077-AFDC-0F51BE7C0BD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7AF1780-C6EC-40A9-965B-448B3EBB2239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99032673-9A55-4C48-8549-B9B598815175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33">
        <v>15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56</v>
      </c>
      <c r="C7" s="33">
        <v>20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6D1A1FA-76F8-4578-9487-5AD4A8B0AD7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33F2EED-5C45-410F-9923-FA5BC7AE3BC5}">
          <x14:formula1>
            <xm:f>PricingInput1!$4:$4</xm:f>
          </x14:formula1>
          <xm:sqref>E3</xm:sqref>
        </x14:dataValidation>
        <x14:dataValidation type="list" allowBlank="1" showInputMessage="1" showErrorMessage="1" prompt="Choose an available module" xr:uid="{A879021C-F3EF-4F4F-B9D6-327434EF1253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ref="B6:C6" t="shared" si="1">TODAY()-1</f>
        <v>45854</v>
      </c>
      <c r="C6" s="38">
        <f t="shared" si="1"/>
        <v>45854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7D859DD-A73F-427E-8607-A6ED776091D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4232232-2408-4D28-B7C1-C4CE34AB3F9D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28E920BF-4FD9-4ADF-8BFA-86D3324084B2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59</v>
      </c>
      <c r="C6" s="32" t="s">
        <v>46</v>
      </c>
      <c r="D6" s="12">
        <v>4662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8A24CE-91D2-4B38-BC22-499DA784E53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09A97B-A587-408A-BDD5-259FA86D577E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5E4DC547-2FEC-412F-BC8E-3745375ACC76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59</v>
      </c>
      <c r="C6" s="31" t="s">
        <v>62</v>
      </c>
      <c r="D6" s="40">
        <f ref="D6:E6" t="shared" si="1">TODAY()</f>
        <v>45855</v>
      </c>
      <c r="E6" s="40">
        <f t="shared" si="1"/>
        <v>45855</v>
      </c>
      <c r="F6" s="31"/>
      <c r="G6" s="31" t="s">
        <v>63</v>
      </c>
      <c r="H6" s="31" t="s">
        <v>64</v>
      </c>
      <c r="I6" s="31" t="s">
        <v>63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DCEA927-016E-4324-A42F-52BE8D05FD8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75E033E-6B87-4AE0-A9D4-0B1ECFD36DE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09CFDEC-5E7C-4FD5-B5AF-021C335EA53B}">
          <x14:formula1>
            <xm:f>GetCashTransaction!$4:$4</xm:f>
          </x14:formula1>
          <xm:sqref>E3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66</v>
      </c>
      <c r="D6" s="34" t="s">
        <v>67</v>
      </c>
      <c r="E6" s="31" t="s">
        <v>68</v>
      </c>
      <c r="F6" s="32" t="s">
        <v>59</v>
      </c>
      <c r="G6" s="32" t="s">
        <v>46</v>
      </c>
      <c r="H6" s="33">
        <v>1500</v>
      </c>
      <c r="I6" s="38">
        <f>TODAY()-1</f>
        <v>45854</v>
      </c>
      <c r="J6" s="38">
        <f>TODAY()+2</f>
        <v>45857</v>
      </c>
      <c r="K6" s="38">
        <f>TODAY()</f>
        <v>45855</v>
      </c>
      <c r="L6" s="31"/>
      <c r="M6" s="41" t="s">
        <v>69</v>
      </c>
      <c r="N6" s="41" t="s">
        <v>46</v>
      </c>
      <c r="O6" s="42">
        <v>1</v>
      </c>
      <c r="P6" s="41" t="s">
        <v>70</v>
      </c>
      <c r="Q6" s="43" t="s">
        <v>71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FD92D7-6017-42D8-9CBB-23B9843E57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1EEC580-3CC8-49A0-8879-345376961320}">
          <x14:formula1>
            <xm:f>AddCashTransaction!$4:$4</xm:f>
          </x14:formula1>
          <xm:sqref>E3</xm:sqref>
        </x14:dataValidation>
        <x14:dataValidation type="list" allowBlank="1" showInputMessage="1" showErrorMessage="1" prompt="Choose an available module" xr:uid="{BFB7A94B-CC2B-4C81-A199-3875162FC290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73</v>
      </c>
      <c r="C6" s="32" t="s">
        <v>59</v>
      </c>
      <c r="D6" s="38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FB454F6-7FBE-4AA4-94F4-0E68A98AF4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AA099DD-8BD4-47BA-9C84-3BF7973B92AF}">
          <x14:formula1>
            <xm:f>RunRevaluation!$4:$4</xm:f>
          </x14:formula1>
          <xm:sqref>E3</xm:sqref>
        </x14:dataValidation>
        <x14:dataValidation type="list" allowBlank="1" showInputMessage="1" showErrorMessage="1" prompt="Choose an available module" xr:uid="{5AEAC028-A0E4-4852-9DE9-CFFD88338268}">
          <x14:formula1>
            <xm:f>'_Modules'!$A$4:$A$1000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59</v>
      </c>
      <c r="C6" s="44" t="s">
        <v>76</v>
      </c>
      <c r="D6" s="45" t="s">
        <v>77</v>
      </c>
      <c r="E6" s="46" t="s">
        <v>78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11B7A3-B9D0-4280-9085-3E7B984D428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46811B1-F772-4FB6-B321-D9C760969A9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994DEB2-1E49-4169-9489-9AF01BDD378C}">
          <x14:formula1>
            <xm:f>FetchAccountPositions!$4:$4</xm:f>
          </x14:formula1>
          <xm:sqref>E3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>
        <v>50000</v>
      </c>
      <c r="C6" s="31" t="s">
        <v>80</v>
      </c>
      <c r="D6" s="34" t="s">
        <v>81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9ACB0BD-4383-4641-BB0A-65D84C7D00E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303FAB9-C869-43A8-BA43-6A46BD55BAE1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9C1E92E7-07E1-4BDC-B70F-2A933652EE9D}">
          <x14:formula1>
            <xm:f>'_Modules'!$A$4:$A$1000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942CF53-6E28-40A0-BA96-66D9332DF80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7132344-1D30-4EF8-9D3D-19941A81C412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8563459F-345C-474E-AA7C-F6A7CE17794E}">
          <x14:formula1>
            <xm:f>'_Modules'!$A$4:$A$1000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12" t="s">
        <v>86</v>
      </c>
      <c r="D6" s="12">
        <v>1</v>
      </c>
      <c r="E6" s="36"/>
      <c r="F6" s="8"/>
      <c r="G6" s="8"/>
      <c r="H6" s="8"/>
      <c r="I6" s="8"/>
      <c r="J6" s="12">
        <v>10</v>
      </c>
      <c r="K6" s="12">
        <v>1</v>
      </c>
      <c r="L6" s="12" t="s">
        <v>87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F00D0E-2DD4-49B5-9083-06E122DB441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636F6D5-501B-4436-B61C-7694F427A635}">
          <x14:formula1>
            <xm:f>RebalanceAcrossSecurities!$4:$4</xm:f>
          </x14:formula1>
          <xm:sqref>E3</xm:sqref>
        </x14:dataValidation>
        <x14:dataValidation type="list" allowBlank="1" showInputMessage="1" showErrorMessage="1" prompt="Choose an available module" xr:uid="{0FECC009-F158-4ADC-AECB-F9447B3C6226}">
          <x14:formula1>
            <xm:f>'_Modules'!$A$4:$A$1000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5EF82D1-1510-4878-8228-2750DFE7066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BE152AB-B8FE-48CA-99B8-17B56D9FE42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DCB9979-203E-439A-AF15-57BEEB0801EF}">
          <x14:formula1>
            <xm:f>ModifyRebalance!$4:$4</xm:f>
          </x14:formula1>
          <xm:sqref>E3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59</v>
      </c>
      <c r="C6" s="48" t="s">
        <v>31</v>
      </c>
      <c r="D6" s="48" t="s">
        <v>24</v>
      </c>
      <c r="E6" s="49">
        <v>501</v>
      </c>
      <c r="F6" s="49">
        <v>25</v>
      </c>
      <c r="G6" s="50">
        <v>13261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59</v>
      </c>
      <c r="C7" s="48" t="s">
        <v>31</v>
      </c>
      <c r="D7" s="48">
        <v>123456789</v>
      </c>
      <c r="E7" s="49">
        <v>60063</v>
      </c>
      <c r="F7" s="49">
        <v>25</v>
      </c>
      <c r="G7" s="50">
        <v>15016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59</v>
      </c>
      <c r="C8" s="48" t="s">
        <v>90</v>
      </c>
      <c r="D8" s="48" t="s">
        <v>34</v>
      </c>
      <c r="E8" s="49">
        <v>100105</v>
      </c>
      <c r="F8" s="49">
        <v>5</v>
      </c>
      <c r="G8" s="50">
        <v>-5005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59</v>
      </c>
      <c r="C9" s="48" t="s">
        <v>31</v>
      </c>
      <c r="D9" s="48" t="s">
        <v>28</v>
      </c>
      <c r="E9" s="49">
        <v>501</v>
      </c>
      <c r="F9" s="49">
        <v>10</v>
      </c>
      <c r="G9" s="50">
        <v>5010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59</v>
      </c>
      <c r="C10" s="48" t="s">
        <v>90</v>
      </c>
      <c r="D10" s="48" t="s">
        <v>27</v>
      </c>
      <c r="E10" s="49">
        <v>51</v>
      </c>
      <c r="F10" s="49">
        <v>20</v>
      </c>
      <c r="G10" s="50">
        <v>-1020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59</v>
      </c>
      <c r="C11" s="48" t="s">
        <v>90</v>
      </c>
      <c r="D11" s="48" t="s">
        <v>25</v>
      </c>
      <c r="E11" s="49">
        <v>51</v>
      </c>
      <c r="F11" s="49">
        <v>30</v>
      </c>
      <c r="G11" s="50">
        <v>-1867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59</v>
      </c>
      <c r="C12" s="48" t="s">
        <v>90</v>
      </c>
      <c r="D12" s="48" t="s">
        <v>26</v>
      </c>
      <c r="E12" s="49">
        <v>501</v>
      </c>
      <c r="F12" s="49">
        <v>10</v>
      </c>
      <c r="G12" s="50">
        <v>-5010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59</v>
      </c>
      <c r="C13" s="48" t="s">
        <v>31</v>
      </c>
      <c r="D13" s="48" t="s">
        <v>23</v>
      </c>
      <c r="E13" s="49">
        <v>501</v>
      </c>
      <c r="F13" s="49">
        <v>8</v>
      </c>
      <c r="G13" s="50">
        <v>4008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59</v>
      </c>
      <c r="C14" s="48" t="s">
        <v>31</v>
      </c>
      <c r="D14" s="48" t="s">
        <v>85</v>
      </c>
      <c r="E14" s="49">
        <v>62</v>
      </c>
      <c r="F14" s="49">
        <v>10</v>
      </c>
      <c r="G14" s="49">
        <v>620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25DF6DD-144D-4630-BD5B-92B43739447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1484897-F653-41FF-B347-5298E776C8C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1FCCEAB-363B-4075-AF9D-6305817C470B}">
          <x14:formula1>
            <xm:f>SendtoStaging!$4:$4</xm:f>
          </x14:formula1>
          <xm:sqref>E3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109A110-6CA6-4B2A-8205-E784A094A51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89AAB4B-348B-47AD-83ED-3F2EE01B0FB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BFDB95A-2E4F-419B-B335-529F5E660306}">
          <x14:formula1>
            <xm:f>RunRebalance1!$4:$4</xm:f>
          </x14:formula1>
          <xm:sqref>E3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59</v>
      </c>
      <c r="C6" s="48" t="s">
        <v>31</v>
      </c>
      <c r="D6" s="48" t="s">
        <v>24</v>
      </c>
      <c r="E6" s="49">
        <v>500</v>
      </c>
      <c r="F6" s="49">
        <v>25</v>
      </c>
      <c r="G6" s="50">
        <v>13235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59</v>
      </c>
      <c r="C7" s="48" t="s">
        <v>31</v>
      </c>
      <c r="D7" s="48">
        <v>123456789</v>
      </c>
      <c r="E7" s="49">
        <v>60062</v>
      </c>
      <c r="F7" s="49">
        <v>25</v>
      </c>
      <c r="G7" s="50">
        <v>15016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59</v>
      </c>
      <c r="C8" s="48" t="s">
        <v>90</v>
      </c>
      <c r="D8" s="48" t="s">
        <v>34</v>
      </c>
      <c r="E8" s="49">
        <v>100104</v>
      </c>
      <c r="F8" s="49">
        <v>5</v>
      </c>
      <c r="G8" s="50">
        <v>-5005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59</v>
      </c>
      <c r="C9" s="48" t="s">
        <v>31</v>
      </c>
      <c r="D9" s="48" t="s">
        <v>28</v>
      </c>
      <c r="E9" s="49">
        <v>500</v>
      </c>
      <c r="F9" s="49">
        <v>10</v>
      </c>
      <c r="G9" s="50">
        <v>5000</v>
      </c>
      <c r="H9" s="49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59</v>
      </c>
      <c r="C10" s="48" t="s">
        <v>90</v>
      </c>
      <c r="D10" s="48" t="s">
        <v>27</v>
      </c>
      <c r="E10" s="49">
        <v>50</v>
      </c>
      <c r="F10" s="49">
        <v>20</v>
      </c>
      <c r="G10" s="50">
        <v>-1000</v>
      </c>
      <c r="H10" s="49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59</v>
      </c>
      <c r="C11" s="48" t="s">
        <v>90</v>
      </c>
      <c r="D11" s="48" t="s">
        <v>25</v>
      </c>
      <c r="E11" s="49">
        <v>50</v>
      </c>
      <c r="F11" s="49">
        <v>30</v>
      </c>
      <c r="G11" s="50">
        <v>-1830</v>
      </c>
      <c r="H11" s="49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59</v>
      </c>
      <c r="C12" s="48" t="s">
        <v>90</v>
      </c>
      <c r="D12" s="48" t="s">
        <v>26</v>
      </c>
      <c r="E12" s="49">
        <v>500</v>
      </c>
      <c r="F12" s="49">
        <v>10</v>
      </c>
      <c r="G12" s="50">
        <v>-5000</v>
      </c>
      <c r="H12" s="49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59</v>
      </c>
      <c r="C13" s="48" t="s">
        <v>31</v>
      </c>
      <c r="D13" s="48" t="s">
        <v>23</v>
      </c>
      <c r="E13" s="49">
        <v>500</v>
      </c>
      <c r="F13" s="49">
        <v>8</v>
      </c>
      <c r="G13" s="50">
        <v>4000</v>
      </c>
      <c r="H13" s="49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59</v>
      </c>
      <c r="C14" s="48" t="s">
        <v>31</v>
      </c>
      <c r="D14" s="48" t="s">
        <v>85</v>
      </c>
      <c r="E14" s="49">
        <v>61</v>
      </c>
      <c r="F14" s="49">
        <v>10</v>
      </c>
      <c r="G14" s="49">
        <v>610</v>
      </c>
      <c r="H14" s="49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1"/>
      <c r="C15" s="51"/>
      <c r="D15" s="51"/>
      <c r="E15" s="51"/>
      <c r="F15" s="51"/>
      <c r="G15" s="51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52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9A0F153-33A9-4481-8AF1-594239A6245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C38F1BA-A0BE-4C53-9538-19D66DBAF373}">
          <x14:formula1>
            <xm:f>SendtoStaging1!$4:$4</xm:f>
          </x14:formula1>
          <xm:sqref>E3</xm:sqref>
        </x14:dataValidation>
        <x14:dataValidation type="list" allowBlank="1" showInputMessage="1" showErrorMessage="1" prompt="Choose an available module" xr:uid="{689FFE29-86DC-4CD2-9E49-92387A750EA0}">
          <x14:formula1>
            <xm:f>'_Modules'!$A$4:$A$1000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5A6873-559D-4260-8ABB-48A3992F5A4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5954571-A8AA-4224-A122-1BA996D9B27C}">
          <x14:formula1>
            <xm:f>RunRebalance2!$4:$4</xm:f>
          </x14:formula1>
          <xm:sqref>E3</xm:sqref>
        </x14:dataValidation>
        <x14:dataValidation type="list" allowBlank="1" showInputMessage="1" showErrorMessage="1" prompt="Choose an available module" xr:uid="{A6682B56-4460-4D5E-BE13-C7FC159DF220}">
          <x14:formula1>
            <xm:f>'_Modules'!$A$4:$A$1000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59</v>
      </c>
      <c r="C6" s="48" t="s">
        <v>31</v>
      </c>
      <c r="D6" s="48">
        <v>123456789</v>
      </c>
      <c r="E6" s="49">
        <v>60063</v>
      </c>
      <c r="F6" s="49">
        <v>25</v>
      </c>
      <c r="G6" s="50">
        <v>15016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59</v>
      </c>
      <c r="C7" s="48" t="s">
        <v>90</v>
      </c>
      <c r="D7" s="48" t="s">
        <v>34</v>
      </c>
      <c r="E7" s="49">
        <v>100105</v>
      </c>
      <c r="F7" s="49">
        <v>5</v>
      </c>
      <c r="G7" s="50">
        <v>-5005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59</v>
      </c>
      <c r="C8" s="48" t="s">
        <v>31</v>
      </c>
      <c r="D8" s="48" t="s">
        <v>23</v>
      </c>
      <c r="E8" s="49">
        <v>501</v>
      </c>
      <c r="F8" s="49">
        <v>8</v>
      </c>
      <c r="G8" s="50">
        <v>4008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59</v>
      </c>
      <c r="C9" s="48" t="s">
        <v>31</v>
      </c>
      <c r="D9" s="48" t="s">
        <v>85</v>
      </c>
      <c r="E9" s="49">
        <v>61</v>
      </c>
      <c r="F9" s="49">
        <v>10</v>
      </c>
      <c r="G9" s="50">
        <v>610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59</v>
      </c>
      <c r="C10" s="48" t="s">
        <v>31</v>
      </c>
      <c r="D10" s="48" t="s">
        <v>24</v>
      </c>
      <c r="E10" s="49">
        <v>501</v>
      </c>
      <c r="F10" s="49">
        <v>25</v>
      </c>
      <c r="G10" s="50">
        <v>13261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59</v>
      </c>
      <c r="C11" s="48" t="s">
        <v>90</v>
      </c>
      <c r="D11" s="48" t="s">
        <v>25</v>
      </c>
      <c r="E11" s="49">
        <v>50</v>
      </c>
      <c r="F11" s="49">
        <v>30</v>
      </c>
      <c r="G11" s="50">
        <v>-1830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59</v>
      </c>
      <c r="C12" s="48" t="s">
        <v>90</v>
      </c>
      <c r="D12" s="48" t="s">
        <v>26</v>
      </c>
      <c r="E12" s="49">
        <v>501</v>
      </c>
      <c r="F12" s="49">
        <v>10</v>
      </c>
      <c r="G12" s="50">
        <v>-5010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59</v>
      </c>
      <c r="C13" s="48" t="s">
        <v>90</v>
      </c>
      <c r="D13" s="48" t="s">
        <v>27</v>
      </c>
      <c r="E13" s="49">
        <v>50</v>
      </c>
      <c r="F13" s="49">
        <v>20</v>
      </c>
      <c r="G13" s="50">
        <v>-1000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59</v>
      </c>
      <c r="C14" s="48" t="s">
        <v>31</v>
      </c>
      <c r="D14" s="48" t="s">
        <v>28</v>
      </c>
      <c r="E14" s="49">
        <v>501</v>
      </c>
      <c r="F14" s="49">
        <v>10</v>
      </c>
      <c r="G14" s="50">
        <v>5010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2E9788C-2181-4A48-968D-0D2295763B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E996D5-FB4E-4112-87BF-782C85EB01B9}">
          <x14:formula1>
            <xm:f>SendtoStaging2!$4:$4</xm:f>
          </x14:formula1>
          <xm:sqref>E3</xm:sqref>
        </x14:dataValidation>
        <x14:dataValidation type="list" allowBlank="1" showInputMessage="1" showErrorMessage="1" prompt="Choose an available module" xr:uid="{E145CC60-E235-42E1-9116-A5EBC13216CC}">
          <x14:formula1>
            <xm:f>'_Modules'!$A$4:$A$1000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6"/>
      <c r="F6" s="12" t="s">
        <v>33</v>
      </c>
      <c r="G6" s="12" t="s">
        <v>95</v>
      </c>
      <c r="H6" s="12">
        <v>51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6A7ED7-50D7-454E-AA21-EF965C006BF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DA46995-C43A-4190-9F0C-3DD71EE7E88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2B072D2-FC57-4EAF-A46D-8652A45C167B}">
          <x14:formula1>
            <xm:f>SelectTradeOnOrderGrid!$4:$4</xm:f>
          </x14:formula1>
          <xm:sqref>E3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33</v>
      </c>
      <c r="AK6" s="9" t="s">
        <v>95</v>
      </c>
      <c r="AL6" s="9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4152AB-CDA0-45E3-B465-71FA67BE4DD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F0B293E-1270-490A-8EEB-069DA5513E43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19486BA8-2B0D-442F-A935-8E87CDD2AB8D}">
          <x14:formula1>
            <xm:f>'_Modules'!$A$4:$A$1000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27</v>
      </c>
      <c r="C6" s="9" t="s">
        <v>33</v>
      </c>
      <c r="D6" s="9">
        <v>51</v>
      </c>
      <c r="E6" s="9">
        <v>51</v>
      </c>
      <c r="F6" s="8"/>
      <c r="G6" s="8"/>
      <c r="H6" s="8"/>
      <c r="I6" s="8"/>
      <c r="J6" s="12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38F30F8-884C-4701-BE01-7D25A7F9A9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B3A53EC-5DEA-4F4E-9310-3F5DB413354D}">
          <x14:formula1>
            <xm:f>CreateNewSubLiveOrder!$4:$4</xm:f>
          </x14:formula1>
          <xm:sqref>E3</xm:sqref>
        </x14:dataValidation>
        <x14:dataValidation type="list" allowBlank="1" showInputMessage="1" showErrorMessage="1" prompt="Choose an available module" xr:uid="{65DA36FD-639E-41EB-9F2A-29BA3FE8DDA3}">
          <x14:formula1>
            <xm:f>'_Modules'!$A$4:$A$1000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 t="s">
        <v>23</v>
      </c>
      <c r="F6" s="9" t="s">
        <v>31</v>
      </c>
      <c r="G6" s="9" t="s">
        <v>95</v>
      </c>
      <c r="H6" s="9">
        <v>500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8540D5-DF61-46F5-946F-412237E9AA3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21289E3-A6DC-41B1-9220-F7491FC237A4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2F3224CC-AA09-4EC1-AECA-00CD07CE7A3B}">
          <x14:formula1>
            <xm:f>'_Modules'!$A$4:$A$1000</xm:f>
          </x14:formula1>
          <xm:sqref>C3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31</v>
      </c>
      <c r="AK6" s="9" t="s">
        <v>95</v>
      </c>
      <c r="AL6" s="9">
        <v>500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6844D4C-D909-4E54-9E2B-96112053792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C9DA3B7-09CF-4F27-8143-362C9CCA580E}">
          <x14:formula1>
            <xm:f>TradeNewSubOrder1!$4:$4</xm:f>
          </x14:formula1>
          <xm:sqref>E3</xm:sqref>
        </x14:dataValidation>
        <x14:dataValidation type="list" allowBlank="1" showInputMessage="1" showErrorMessage="1" prompt="Choose an available module" xr:uid="{909C4F4F-52B5-49BC-86A6-D49328F01234}">
          <x14:formula1>
            <xm:f>'_Modules'!$A$4:$A$1000</xm:f>
          </x14:formula1>
          <xm:sqref>C3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500</v>
      </c>
      <c r="E6" s="12">
        <v>500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BDF7F77-9359-451D-8605-AC65F578C50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A4A6F15-0BF3-4DBF-A6AE-5AD873A7AA18}">
          <x14:formula1>
            <xm:f>CreateNewSubLiveOrder1!$4:$4</xm:f>
          </x14:formula1>
          <xm:sqref>E3</xm:sqref>
        </x14:dataValidation>
        <x14:dataValidation type="list" allowBlank="1" showInputMessage="1" showErrorMessage="1" prompt="Choose an available module" xr:uid="{E55600F5-8237-44D9-B50B-E2B85DE344DC}">
          <x14:formula1>
            <xm:f>'_Modules'!$A$4:$A$1000</xm:f>
          </x14:formula1>
          <xm:sqref>C3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87C083-3A6C-4424-B0D6-505AA3669E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47B27FF-49AD-4AC4-88BB-482E9F75C360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05B5937F-FFC0-457E-BE21-FEC61DDB5553}">
          <x14:formula1>
            <xm:f>'_Modules'!$A$4:$A$1000</xm:f>
          </x14:formula1>
          <xm:sqref>C3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EFD50E-C525-49D1-9A57-E4168DAFF37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D27351B-8B39-4A3C-80E1-DD029C7777D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6315458-30CC-46C7-936A-CD61CED249CD}">
          <x14:formula1>
            <xm:f>AcknowledgeTrade!$4:$4</xm:f>
          </x14:formula1>
          <xm:sqref>E3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51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E0D51EF-C660-478D-862D-7D89EAF78A3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F8E9FCE-C751-4D4D-BD8F-A66B618FC643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1EB22F78-5DCD-40F4-8C3D-01A9F0FE07E3}">
          <x14:formula1>
            <xm:f>'_Modules'!$A$4:$A$1000</xm:f>
          </x14:formula1>
          <xm:sqref>C3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E2B08C-71A5-4756-B2C2-9E377FF977B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766B9CF-5FA1-4600-BFC6-E175017A86DF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B1758CF7-8BB5-4B34-859E-95575B65641F}">
          <x14:formula1>
            <xm:f>'_Modules'!$A$4:$A$1000</xm:f>
          </x14:formula1>
          <xm:sqref>C3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3418CF2-40B7-4CA7-AC4E-B6D0D7FD4A0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C152CBF-B35A-4857-886D-906225148AD5}">
          <x14:formula1>
            <xm:f>AcknowledgeTrade1!$4:$4</xm:f>
          </x14:formula1>
          <xm:sqref>E3</xm:sqref>
        </x14:dataValidation>
        <x14:dataValidation type="list" allowBlank="1" showInputMessage="1" showErrorMessage="1" prompt="Choose an available module" xr:uid="{8D6FAF6D-2156-4B48-8348-EA733E00976A}">
          <x14:formula1>
            <xm:f>'_Modules'!$A$4:$A$1000</xm:f>
          </x14:formula1>
          <xm:sqref>C3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500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4757F4-07CC-4C30-A0F9-EFD505E3888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E789EF2-7836-457E-AC88-AAB3E01B7F91}">
          <x14:formula1>
            <xm:f>ExecuteTrade1!$4:$4</xm:f>
          </x14:formula1>
          <xm:sqref>E3</xm:sqref>
        </x14:dataValidation>
        <x14:dataValidation type="list" allowBlank="1" showInputMessage="1" showErrorMessage="1" prompt="Choose an available module" xr:uid="{B1F85E46-CB77-4F4D-9B8E-948EDCAF9360}">
          <x14:formula1>
            <xm:f>'_Modules'!$A$4:$A$1000</xm:f>
          </x14:formula1>
          <xm:sqref>C3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3" t="s">
        <v>103</v>
      </c>
      <c r="B6" s="53" t="s">
        <v>59</v>
      </c>
      <c r="C6" s="8" t="s">
        <v>104</v>
      </c>
      <c r="D6" s="53"/>
      <c r="E6" s="8">
        <v>51</v>
      </c>
      <c r="F6" s="8" t="s">
        <v>105</v>
      </c>
      <c r="G6" s="8" t="s">
        <v>106</v>
      </c>
      <c r="H6" s="8">
        <v>9</v>
      </c>
      <c r="I6" s="8">
        <v>0</v>
      </c>
      <c r="J6" s="8">
        <v>15</v>
      </c>
      <c r="K6" s="8">
        <v>20</v>
      </c>
      <c r="L6" s="8">
        <v>20</v>
      </c>
      <c r="M6" s="8" t="s">
        <v>107</v>
      </c>
      <c r="N6" s="8" t="s">
        <v>108</v>
      </c>
      <c r="O6" s="8" t="s">
        <v>109</v>
      </c>
      <c r="Q6" s="0">
        <v>2</v>
      </c>
      <c r="S6" s="0" t="s">
        <v>110</v>
      </c>
      <c r="V6" s="0" t="s">
        <v>111</v>
      </c>
      <c r="W6" s="0">
        <v>1</v>
      </c>
      <c r="Y6" s="0" t="s">
        <v>103</v>
      </c>
      <c r="Z6" s="0" t="s">
        <v>46</v>
      </c>
      <c r="AB6" s="0">
        <v>1</v>
      </c>
      <c r="AD6" s="0" t="s">
        <v>112</v>
      </c>
      <c r="AE6" s="0">
        <v>51</v>
      </c>
      <c r="AF6" s="0" t="s">
        <v>103</v>
      </c>
      <c r="AH6" s="0" t="s">
        <v>70</v>
      </c>
      <c r="AI6" s="0">
        <v>1</v>
      </c>
      <c r="AJ6" s="0" t="s">
        <v>81</v>
      </c>
      <c r="AN6" s="0" t="b">
        <v>0</v>
      </c>
      <c r="AP6" s="0" t="b">
        <v>0</v>
      </c>
      <c r="AQ6" s="0" t="b">
        <v>0</v>
      </c>
      <c r="AR6" s="0" t="b">
        <v>1</v>
      </c>
      <c r="AT6" s="0">
        <v>1008.8215</v>
      </c>
      <c r="AU6" s="0">
        <v>1008.8215</v>
      </c>
      <c r="AY6" s="0" t="s">
        <v>113</v>
      </c>
      <c r="BD6" s="0" t="s">
        <v>114</v>
      </c>
      <c r="BE6" s="0">
        <v>1020</v>
      </c>
      <c r="BF6" s="0">
        <v>1020</v>
      </c>
      <c r="BJ6" s="0">
        <v>51</v>
      </c>
      <c r="BL6" s="0" t="s">
        <v>103</v>
      </c>
      <c r="BM6" s="0" t="s">
        <v>46</v>
      </c>
      <c r="BO6" s="0" t="s">
        <v>33</v>
      </c>
      <c r="BR6" s="0">
        <v>0.1785</v>
      </c>
      <c r="BS6" s="0" t="s">
        <v>115</v>
      </c>
      <c r="BT6" s="0" t="s">
        <v>27</v>
      </c>
      <c r="BU6" s="0">
        <v>2</v>
      </c>
      <c r="BW6" s="0">
        <v>11.1785</v>
      </c>
      <c r="BX6" s="0">
        <v>0</v>
      </c>
      <c r="CF6" s="0" t="s">
        <v>116</v>
      </c>
      <c r="CH6" s="0" t="s">
        <v>74</v>
      </c>
      <c r="CI6" s="0" t="s">
        <v>90</v>
      </c>
      <c r="CK6" s="0" t="s">
        <v>117</v>
      </c>
      <c r="CL6" s="0">
        <v>1</v>
      </c>
      <c r="CM6" s="0" t="s">
        <v>27</v>
      </c>
      <c r="CN6" s="0" t="s">
        <v>118</v>
      </c>
      <c r="CO6" s="0" t="s">
        <v>119</v>
      </c>
      <c r="CP6" s="0" t="s">
        <v>120</v>
      </c>
      <c r="CS6" s="0" t="s">
        <v>103</v>
      </c>
      <c r="CW6" s="0">
        <v>0</v>
      </c>
      <c r="CX6" s="0" t="s">
        <v>73</v>
      </c>
      <c r="CY6" s="0" t="s">
        <v>103</v>
      </c>
      <c r="CZ6" s="0" t="s">
        <v>103</v>
      </c>
      <c r="DA6" s="0" t="s">
        <v>103</v>
      </c>
      <c r="DB6" s="0" t="s">
        <v>103</v>
      </c>
      <c r="DC6" s="0" t="s">
        <v>103</v>
      </c>
      <c r="DD6" s="0" t="s">
        <v>103</v>
      </c>
      <c r="DE6" s="0" t="s">
        <v>103</v>
      </c>
      <c r="DF6" s="0" t="s">
        <v>103</v>
      </c>
      <c r="DG6" s="0" t="s">
        <v>103</v>
      </c>
      <c r="DH6" s="0" t="s">
        <v>103</v>
      </c>
      <c r="DI6" s="0" t="s">
        <v>103</v>
      </c>
      <c r="DJ6" s="0" t="s">
        <v>103</v>
      </c>
      <c r="DK6" s="0" t="s">
        <v>103</v>
      </c>
      <c r="DL6" s="0" t="s">
        <v>103</v>
      </c>
      <c r="DM6" s="0" t="s">
        <v>103</v>
      </c>
      <c r="DN6" s="0" t="s">
        <v>103</v>
      </c>
      <c r="DO6" s="0" t="s">
        <v>103</v>
      </c>
      <c r="DP6" s="0" t="s">
        <v>103</v>
      </c>
      <c r="DQ6" s="0" t="s">
        <v>103</v>
      </c>
      <c r="DR6" s="0" t="s">
        <v>103</v>
      </c>
      <c r="DS6" s="0" t="s">
        <v>103</v>
      </c>
      <c r="DT6" s="0" t="s">
        <v>103</v>
      </c>
      <c r="DU6" s="0" t="s">
        <v>103</v>
      </c>
      <c r="DV6" s="0" t="s">
        <v>103</v>
      </c>
      <c r="DW6" s="0" t="s">
        <v>103</v>
      </c>
      <c r="DX6" s="0" t="s">
        <v>103</v>
      </c>
      <c r="DY6" s="0" t="s">
        <v>103</v>
      </c>
      <c r="DZ6" s="0" t="s">
        <v>103</v>
      </c>
      <c r="EA6" s="0" t="s">
        <v>103</v>
      </c>
      <c r="EB6" s="0" t="s">
        <v>103</v>
      </c>
      <c r="EC6" s="0" t="s">
        <v>103</v>
      </c>
      <c r="ED6" s="0" t="s">
        <v>103</v>
      </c>
      <c r="EE6" s="0" t="s">
        <v>103</v>
      </c>
      <c r="EF6" s="0" t="s">
        <v>103</v>
      </c>
      <c r="EG6" s="0" t="s">
        <v>103</v>
      </c>
      <c r="EH6" s="0" t="s">
        <v>103</v>
      </c>
      <c r="EI6" s="0" t="s">
        <v>103</v>
      </c>
      <c r="EJ6" s="0" t="s">
        <v>103</v>
      </c>
      <c r="EK6" s="0" t="s">
        <v>103</v>
      </c>
      <c r="EL6" s="0" t="s">
        <v>103</v>
      </c>
      <c r="EM6" s="0" t="s">
        <v>103</v>
      </c>
      <c r="EN6" s="0" t="s">
        <v>103</v>
      </c>
      <c r="EO6" s="0" t="s">
        <v>103</v>
      </c>
      <c r="EP6" s="0" t="s">
        <v>103</v>
      </c>
      <c r="EQ6" s="0" t="s">
        <v>103</v>
      </c>
      <c r="ER6" s="0" t="s">
        <v>103</v>
      </c>
      <c r="ES6" s="0" t="s">
        <v>103</v>
      </c>
      <c r="ET6" s="0" t="s">
        <v>103</v>
      </c>
      <c r="EU6" s="0" t="s">
        <v>103</v>
      </c>
      <c r="EV6" s="0" t="s">
        <v>103</v>
      </c>
      <c r="EW6" s="0" t="s">
        <v>103</v>
      </c>
      <c r="EX6" s="0" t="s">
        <v>103</v>
      </c>
      <c r="FA6" s="0" t="s">
        <v>103</v>
      </c>
      <c r="FB6" s="0" t="s">
        <v>103</v>
      </c>
      <c r="FC6" s="0" t="s">
        <v>103</v>
      </c>
      <c r="FD6" s="0" t="s">
        <v>103</v>
      </c>
      <c r="FE6" s="0" t="s">
        <v>103</v>
      </c>
      <c r="FF6" s="0" t="s">
        <v>103</v>
      </c>
      <c r="FG6" s="0" t="s">
        <v>103</v>
      </c>
      <c r="FH6" s="0" t="s">
        <v>103</v>
      </c>
      <c r="FI6" s="0" t="s">
        <v>103</v>
      </c>
      <c r="FK6" s="0" t="s">
        <v>103</v>
      </c>
      <c r="FL6" s="0" t="s">
        <v>103</v>
      </c>
      <c r="FM6" s="0" t="s">
        <v>103</v>
      </c>
      <c r="FN6" s="0" t="s">
        <v>103</v>
      </c>
      <c r="FO6" s="0" t="s">
        <v>103</v>
      </c>
      <c r="FP6" s="0" t="s">
        <v>103</v>
      </c>
      <c r="FQ6" s="0" t="s">
        <v>103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8" t="s">
        <v>103</v>
      </c>
      <c r="B7" s="8" t="s">
        <v>59</v>
      </c>
      <c r="C7" s="8" t="s">
        <v>104</v>
      </c>
      <c r="D7" s="8"/>
      <c r="E7" s="8">
        <v>500</v>
      </c>
      <c r="F7" s="8" t="s">
        <v>105</v>
      </c>
      <c r="G7" s="8" t="s">
        <v>106</v>
      </c>
      <c r="H7" s="8">
        <v>4</v>
      </c>
      <c r="I7" s="8">
        <v>5</v>
      </c>
      <c r="J7" s="8">
        <v>1</v>
      </c>
      <c r="K7" s="8">
        <v>20</v>
      </c>
      <c r="L7" s="8">
        <v>20</v>
      </c>
      <c r="M7" s="8" t="s">
        <v>121</v>
      </c>
      <c r="N7" s="8" t="s">
        <v>108</v>
      </c>
      <c r="O7" s="8" t="s">
        <v>109</v>
      </c>
      <c r="Q7" s="0">
        <v>2</v>
      </c>
      <c r="S7" s="0" t="s">
        <v>110</v>
      </c>
      <c r="V7" s="0" t="s">
        <v>122</v>
      </c>
      <c r="W7" s="0">
        <v>1</v>
      </c>
      <c r="Y7" s="0" t="s">
        <v>103</v>
      </c>
      <c r="Z7" s="0" t="s">
        <v>46</v>
      </c>
      <c r="AB7" s="0">
        <v>1</v>
      </c>
      <c r="AD7" s="0" t="s">
        <v>119</v>
      </c>
      <c r="AE7" s="0">
        <v>500</v>
      </c>
      <c r="AF7" s="0" t="s">
        <v>103</v>
      </c>
      <c r="AH7" s="0" t="s">
        <v>70</v>
      </c>
      <c r="AI7" s="0">
        <v>1</v>
      </c>
      <c r="AJ7" s="0" t="s">
        <v>81</v>
      </c>
      <c r="AN7" s="0" t="b">
        <v>0</v>
      </c>
      <c r="AP7" s="0" t="b">
        <v>0</v>
      </c>
      <c r="AQ7" s="0" t="b">
        <v>0</v>
      </c>
      <c r="AR7" s="0" t="b">
        <v>1</v>
      </c>
      <c r="AT7" s="0">
        <v>10014.0056</v>
      </c>
      <c r="AU7" s="0">
        <v>10014.0056</v>
      </c>
      <c r="AY7" s="0" t="s">
        <v>113</v>
      </c>
      <c r="BD7" s="0" t="s">
        <v>114</v>
      </c>
      <c r="BE7" s="0">
        <v>10000</v>
      </c>
      <c r="BF7" s="0">
        <v>10000</v>
      </c>
      <c r="BJ7" s="0">
        <v>500</v>
      </c>
      <c r="BL7" s="0" t="s">
        <v>103</v>
      </c>
      <c r="BM7" s="0" t="s">
        <v>46</v>
      </c>
      <c r="BO7" s="0" t="s">
        <v>31</v>
      </c>
      <c r="BR7" s="0">
        <v>0.0056</v>
      </c>
      <c r="BS7" s="0" t="s">
        <v>115</v>
      </c>
      <c r="BT7" s="0" t="s">
        <v>23</v>
      </c>
      <c r="BU7" s="0">
        <v>3</v>
      </c>
      <c r="BW7" s="0">
        <v>14.0056</v>
      </c>
      <c r="BX7" s="0">
        <v>0</v>
      </c>
      <c r="CF7" s="0" t="s">
        <v>116</v>
      </c>
      <c r="CG7" s="0">
        <v>2</v>
      </c>
      <c r="CH7" s="0" t="s">
        <v>74</v>
      </c>
      <c r="CI7" s="0" t="s">
        <v>31</v>
      </c>
      <c r="CK7" s="0" t="s">
        <v>117</v>
      </c>
      <c r="CL7" s="0">
        <v>1</v>
      </c>
      <c r="CM7" s="0" t="s">
        <v>23</v>
      </c>
      <c r="CN7" s="0" t="s">
        <v>118</v>
      </c>
      <c r="CO7" s="0" t="s">
        <v>119</v>
      </c>
      <c r="CP7" s="0" t="s">
        <v>120</v>
      </c>
      <c r="CS7" s="0" t="s">
        <v>103</v>
      </c>
      <c r="CW7" s="0">
        <v>0</v>
      </c>
      <c r="CX7" s="0" t="s">
        <v>73</v>
      </c>
      <c r="CY7" s="0" t="s">
        <v>103</v>
      </c>
      <c r="CZ7" s="0" t="s">
        <v>103</v>
      </c>
      <c r="DA7" s="0" t="s">
        <v>103</v>
      </c>
      <c r="DB7" s="0" t="s">
        <v>103</v>
      </c>
      <c r="DC7" s="0" t="s">
        <v>103</v>
      </c>
      <c r="DD7" s="0" t="s">
        <v>103</v>
      </c>
      <c r="DE7" s="0" t="s">
        <v>103</v>
      </c>
      <c r="DF7" s="0" t="s">
        <v>103</v>
      </c>
      <c r="DG7" s="0" t="s">
        <v>103</v>
      </c>
      <c r="DH7" s="0" t="s">
        <v>103</v>
      </c>
      <c r="DI7" s="0" t="s">
        <v>103</v>
      </c>
      <c r="DJ7" s="0" t="s">
        <v>103</v>
      </c>
      <c r="DK7" s="0" t="s">
        <v>103</v>
      </c>
      <c r="DL7" s="0" t="s">
        <v>103</v>
      </c>
      <c r="DM7" s="0" t="s">
        <v>103</v>
      </c>
      <c r="DN7" s="0" t="s">
        <v>103</v>
      </c>
      <c r="DO7" s="0" t="s">
        <v>103</v>
      </c>
      <c r="DP7" s="0" t="s">
        <v>103</v>
      </c>
      <c r="DQ7" s="0" t="s">
        <v>103</v>
      </c>
      <c r="DR7" s="0" t="s">
        <v>103</v>
      </c>
      <c r="DS7" s="0" t="s">
        <v>103</v>
      </c>
      <c r="DT7" s="0" t="s">
        <v>103</v>
      </c>
      <c r="DU7" s="0" t="s">
        <v>103</v>
      </c>
      <c r="DV7" s="0" t="s">
        <v>103</v>
      </c>
      <c r="DW7" s="0" t="s">
        <v>103</v>
      </c>
      <c r="DX7" s="0" t="s">
        <v>103</v>
      </c>
      <c r="DY7" s="0" t="s">
        <v>103</v>
      </c>
      <c r="DZ7" s="0" t="s">
        <v>103</v>
      </c>
      <c r="EA7" s="0" t="s">
        <v>103</v>
      </c>
      <c r="EB7" s="0" t="s">
        <v>103</v>
      </c>
      <c r="EC7" s="0" t="s">
        <v>103</v>
      </c>
      <c r="ED7" s="0" t="s">
        <v>103</v>
      </c>
      <c r="EE7" s="0" t="s">
        <v>103</v>
      </c>
      <c r="EF7" s="0" t="s">
        <v>103</v>
      </c>
      <c r="EG7" s="0" t="s">
        <v>103</v>
      </c>
      <c r="EH7" s="0" t="s">
        <v>103</v>
      </c>
      <c r="EI7" s="0" t="s">
        <v>103</v>
      </c>
      <c r="EJ7" s="0" t="s">
        <v>103</v>
      </c>
      <c r="EK7" s="0" t="s">
        <v>103</v>
      </c>
      <c r="EL7" s="0" t="s">
        <v>103</v>
      </c>
      <c r="EM7" s="0" t="s">
        <v>103</v>
      </c>
      <c r="EN7" s="0" t="s">
        <v>103</v>
      </c>
      <c r="EO7" s="0" t="s">
        <v>103</v>
      </c>
      <c r="EP7" s="0" t="s">
        <v>103</v>
      </c>
      <c r="EQ7" s="0" t="s">
        <v>103</v>
      </c>
      <c r="ER7" s="0" t="s">
        <v>103</v>
      </c>
      <c r="ES7" s="0" t="s">
        <v>103</v>
      </c>
      <c r="ET7" s="0" t="s">
        <v>103</v>
      </c>
      <c r="EU7" s="0" t="s">
        <v>103</v>
      </c>
      <c r="EV7" s="0" t="s">
        <v>103</v>
      </c>
      <c r="EW7" s="0" t="s">
        <v>103</v>
      </c>
      <c r="EX7" s="0" t="s">
        <v>103</v>
      </c>
      <c r="FA7" s="0" t="s">
        <v>103</v>
      </c>
      <c r="FB7" s="0" t="s">
        <v>103</v>
      </c>
      <c r="FC7" s="0" t="s">
        <v>103</v>
      </c>
      <c r="FD7" s="0" t="s">
        <v>103</v>
      </c>
      <c r="FE7" s="0" t="s">
        <v>103</v>
      </c>
      <c r="FF7" s="0" t="s">
        <v>103</v>
      </c>
      <c r="FG7" s="0" t="s">
        <v>103</v>
      </c>
      <c r="FH7" s="0" t="s">
        <v>103</v>
      </c>
      <c r="FI7" s="0" t="s">
        <v>103</v>
      </c>
      <c r="FK7" s="0" t="s">
        <v>103</v>
      </c>
      <c r="FL7" s="0" t="s">
        <v>103</v>
      </c>
      <c r="FM7" s="0" t="s">
        <v>103</v>
      </c>
      <c r="FN7" s="0" t="s">
        <v>103</v>
      </c>
      <c r="FO7" s="0" t="s">
        <v>103</v>
      </c>
      <c r="FP7" s="0" t="s">
        <v>103</v>
      </c>
      <c r="FQ7" s="0" t="s">
        <v>103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190F8A7-D83A-4A88-A756-99B70CC5027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FBE2B3F-1678-4E36-992C-42B95DE8493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E41982F-8D9B-49EC-951D-5A34727754C7}">
          <x14:formula1>
            <xm:f>CheckAllocatedGroups!$4:$4</xm:f>
          </x14:formula1>
          <xm:sqref>E3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3" t="s">
        <v>103</v>
      </c>
      <c r="B6" s="53"/>
      <c r="C6" s="8" t="s">
        <v>27</v>
      </c>
      <c r="D6" s="53">
        <v>-51</v>
      </c>
      <c r="E6" s="8" t="s">
        <v>59</v>
      </c>
      <c r="F6" s="8" t="s">
        <v>73</v>
      </c>
      <c r="G6" s="8">
        <v>20</v>
      </c>
      <c r="H6" s="8" t="s">
        <v>125</v>
      </c>
      <c r="I6" s="8">
        <v>-1020</v>
      </c>
      <c r="J6" s="8"/>
      <c r="K6" s="8">
        <v>-1020</v>
      </c>
      <c r="L6" s="8">
        <v>1020</v>
      </c>
      <c r="M6" s="8">
        <v>1220</v>
      </c>
      <c r="N6" s="8"/>
      <c r="O6" s="8" t="s">
        <v>111</v>
      </c>
      <c r="P6" s="0" t="s">
        <v>126</v>
      </c>
      <c r="R6" s="0" t="s">
        <v>127</v>
      </c>
      <c r="S6" s="0" t="s">
        <v>115</v>
      </c>
      <c r="T6" s="0" t="s">
        <v>106</v>
      </c>
      <c r="U6" s="0" t="s">
        <v>117</v>
      </c>
      <c r="V6" s="0" t="s">
        <v>112</v>
      </c>
      <c r="W6" s="0" t="s">
        <v>46</v>
      </c>
      <c r="X6" s="0">
        <v>1</v>
      </c>
      <c r="Y6" s="0">
        <v>1</v>
      </c>
      <c r="AD6" s="0">
        <v>-1020</v>
      </c>
      <c r="AE6" s="0">
        <v>-1020</v>
      </c>
      <c r="AF6" s="0">
        <v>-51</v>
      </c>
      <c r="AG6" s="0">
        <v>-1020</v>
      </c>
      <c r="AH6" s="0">
        <v>-1020</v>
      </c>
      <c r="AI6" s="0">
        <v>-1020</v>
      </c>
      <c r="AJ6" s="48">
        <v>-42.75</v>
      </c>
      <c r="AL6" s="0">
        <v>1</v>
      </c>
      <c r="AM6" s="0">
        <v>1</v>
      </c>
      <c r="AN6" s="0" t="s">
        <v>33</v>
      </c>
      <c r="AP6" s="0" t="s">
        <v>125</v>
      </c>
      <c r="AQ6" s="0" t="s">
        <v>27</v>
      </c>
      <c r="AR6" s="0">
        <v>20</v>
      </c>
      <c r="AS6" s="0">
        <v>-1</v>
      </c>
      <c r="AV6" s="0">
        <v>1</v>
      </c>
      <c r="AZ6" s="0">
        <v>-1020</v>
      </c>
      <c r="BC6" s="0">
        <v>1</v>
      </c>
      <c r="BD6" s="0">
        <v>1020</v>
      </c>
      <c r="BE6" s="0" t="s">
        <v>106</v>
      </c>
      <c r="BF6" s="0" t="s">
        <v>128</v>
      </c>
      <c r="BG6" s="0" t="s">
        <v>129</v>
      </c>
      <c r="BH6" s="0" t="s">
        <v>126</v>
      </c>
      <c r="BI6" s="0" t="s">
        <v>130</v>
      </c>
      <c r="BO6" s="0">
        <v>1020</v>
      </c>
      <c r="BQ6" s="0" t="s">
        <v>118</v>
      </c>
      <c r="BR6" s="0" t="s">
        <v>109</v>
      </c>
      <c r="BU6" s="0" t="s">
        <v>106</v>
      </c>
      <c r="BX6" s="0">
        <v>1020</v>
      </c>
      <c r="BY6" s="0">
        <v>1020</v>
      </c>
      <c r="BZ6" s="0">
        <v>20</v>
      </c>
      <c r="CA6" s="0">
        <v>20</v>
      </c>
      <c r="CK6" s="0" t="b">
        <v>0</v>
      </c>
      <c r="CS6" s="0">
        <v>20</v>
      </c>
      <c r="CY6" s="0" t="s">
        <v>131</v>
      </c>
      <c r="CZ6" s="0" t="s">
        <v>132</v>
      </c>
      <c r="DA6" s="0">
        <v>1020</v>
      </c>
      <c r="DD6" s="0">
        <v>-51</v>
      </c>
      <c r="DH6" s="0" t="s">
        <v>126</v>
      </c>
      <c r="DJ6" s="0" t="s">
        <v>33</v>
      </c>
      <c r="DM6" s="0">
        <v>1</v>
      </c>
      <c r="DN6" s="0">
        <v>20</v>
      </c>
      <c r="DO6" s="0" t="s">
        <v>133</v>
      </c>
      <c r="DP6" s="0" t="s">
        <v>125</v>
      </c>
      <c r="DQ6" s="0" t="s">
        <v>126</v>
      </c>
      <c r="DR6" s="0" t="s">
        <v>134</v>
      </c>
      <c r="DS6" s="0" t="s">
        <v>126</v>
      </c>
      <c r="DT6" s="0" t="s">
        <v>126</v>
      </c>
      <c r="DU6" s="0" t="s">
        <v>126</v>
      </c>
      <c r="DV6" s="0" t="s">
        <v>126</v>
      </c>
      <c r="DW6" s="0" t="s">
        <v>126</v>
      </c>
      <c r="DX6" s="0" t="s">
        <v>126</v>
      </c>
      <c r="DY6" s="0" t="s">
        <v>126</v>
      </c>
      <c r="DZ6" s="0" t="s">
        <v>111</v>
      </c>
      <c r="EA6" s="0" t="s">
        <v>17</v>
      </c>
      <c r="EB6" s="0" t="s">
        <v>126</v>
      </c>
      <c r="EC6" s="0" t="s">
        <v>126</v>
      </c>
      <c r="ED6" s="0" t="s">
        <v>46</v>
      </c>
      <c r="EE6" s="0" t="s">
        <v>17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8" t="s">
        <v>103</v>
      </c>
      <c r="B7" s="8"/>
      <c r="C7" s="8" t="s">
        <v>23</v>
      </c>
      <c r="D7" s="8">
        <v>500</v>
      </c>
      <c r="E7" s="8" t="s">
        <v>59</v>
      </c>
      <c r="F7" s="8" t="s">
        <v>73</v>
      </c>
      <c r="G7" s="8">
        <v>20</v>
      </c>
      <c r="H7" s="8" t="s">
        <v>68</v>
      </c>
      <c r="I7" s="8">
        <v>4000</v>
      </c>
      <c r="J7" s="8">
        <v>-150</v>
      </c>
      <c r="K7" s="8">
        <v>4000</v>
      </c>
      <c r="L7" s="8">
        <v>4000</v>
      </c>
      <c r="M7" s="8">
        <v>4800</v>
      </c>
      <c r="N7" s="8">
        <v>-6000</v>
      </c>
      <c r="O7" s="8" t="s">
        <v>122</v>
      </c>
      <c r="P7" s="0" t="s">
        <v>126</v>
      </c>
      <c r="Q7" s="0">
        <v>-6000</v>
      </c>
      <c r="R7" s="0" t="s">
        <v>127</v>
      </c>
      <c r="S7" s="0" t="s">
        <v>115</v>
      </c>
      <c r="T7" s="0" t="s">
        <v>106</v>
      </c>
      <c r="U7" s="0" t="s">
        <v>117</v>
      </c>
      <c r="V7" s="0" t="s">
        <v>119</v>
      </c>
      <c r="W7" s="0" t="s">
        <v>46</v>
      </c>
      <c r="X7" s="0">
        <v>1</v>
      </c>
      <c r="Y7" s="0">
        <v>1</v>
      </c>
      <c r="AD7" s="0">
        <v>4000</v>
      </c>
      <c r="AE7" s="0">
        <v>4000</v>
      </c>
      <c r="AF7" s="0">
        <v>500</v>
      </c>
      <c r="AG7" s="0">
        <v>4000</v>
      </c>
      <c r="AH7" s="0">
        <v>4000</v>
      </c>
      <c r="AI7" s="0">
        <v>4000</v>
      </c>
      <c r="AJ7" s="48">
        <v>167.51</v>
      </c>
      <c r="AK7" s="0">
        <v>-6000</v>
      </c>
      <c r="AL7" s="0">
        <v>1</v>
      </c>
      <c r="AM7" s="0">
        <v>1</v>
      </c>
      <c r="AN7" s="0" t="s">
        <v>31</v>
      </c>
      <c r="AP7" s="0" t="s">
        <v>68</v>
      </c>
      <c r="AQ7" s="0" t="s">
        <v>23</v>
      </c>
      <c r="AR7" s="0">
        <v>8</v>
      </c>
      <c r="AS7" s="0">
        <v>1</v>
      </c>
      <c r="AV7" s="0">
        <v>1</v>
      </c>
      <c r="AW7" s="0">
        <v>-6000</v>
      </c>
      <c r="AZ7" s="0">
        <v>4000</v>
      </c>
      <c r="BA7" s="0">
        <v>-60</v>
      </c>
      <c r="BC7" s="0">
        <v>1</v>
      </c>
      <c r="BD7" s="0">
        <v>-10000</v>
      </c>
      <c r="BE7" s="0" t="s">
        <v>106</v>
      </c>
      <c r="BF7" s="0" t="s">
        <v>128</v>
      </c>
      <c r="BG7" s="0" t="s">
        <v>135</v>
      </c>
      <c r="BH7" s="0" t="s">
        <v>136</v>
      </c>
      <c r="BI7" s="0" t="s">
        <v>130</v>
      </c>
      <c r="BO7" s="0">
        <v>-10000</v>
      </c>
      <c r="BQ7" s="0" t="s">
        <v>118</v>
      </c>
      <c r="BR7" s="0" t="s">
        <v>109</v>
      </c>
      <c r="BU7" s="0" t="s">
        <v>106</v>
      </c>
      <c r="BX7" s="0">
        <v>4000</v>
      </c>
      <c r="BY7" s="0">
        <v>4000</v>
      </c>
      <c r="BZ7" s="0">
        <v>8</v>
      </c>
      <c r="CA7" s="0">
        <v>8</v>
      </c>
      <c r="CD7" s="0">
        <v>-6000</v>
      </c>
      <c r="CG7" s="0">
        <v>-6000</v>
      </c>
      <c r="CH7" s="0">
        <v>-60</v>
      </c>
      <c r="CK7" s="0" t="b">
        <v>0</v>
      </c>
      <c r="CS7" s="0">
        <v>20</v>
      </c>
      <c r="CY7" s="0" t="s">
        <v>131</v>
      </c>
      <c r="CZ7" s="0" t="s">
        <v>132</v>
      </c>
      <c r="DA7" s="0">
        <v>4000</v>
      </c>
      <c r="DB7" s="0">
        <v>-150</v>
      </c>
      <c r="DD7" s="0">
        <v>500</v>
      </c>
      <c r="DH7" s="0" t="s">
        <v>126</v>
      </c>
      <c r="DJ7" s="0" t="s">
        <v>31</v>
      </c>
      <c r="DM7" s="0">
        <v>1</v>
      </c>
      <c r="DN7" s="0">
        <v>8</v>
      </c>
      <c r="DO7" s="0" t="s">
        <v>137</v>
      </c>
      <c r="DP7" s="0" t="s">
        <v>68</v>
      </c>
      <c r="DQ7" s="0" t="s">
        <v>126</v>
      </c>
      <c r="DR7" s="0" t="s">
        <v>134</v>
      </c>
      <c r="DS7" s="0" t="s">
        <v>126</v>
      </c>
      <c r="DT7" s="0" t="s">
        <v>126</v>
      </c>
      <c r="DU7" s="0" t="s">
        <v>126</v>
      </c>
      <c r="DV7" s="0" t="s">
        <v>126</v>
      </c>
      <c r="DW7" s="0" t="s">
        <v>126</v>
      </c>
      <c r="DX7" s="0" t="s">
        <v>126</v>
      </c>
      <c r="DY7" s="0" t="s">
        <v>126</v>
      </c>
      <c r="DZ7" s="0" t="s">
        <v>122</v>
      </c>
      <c r="EA7" s="0" t="s">
        <v>17</v>
      </c>
      <c r="EB7" s="0" t="s">
        <v>126</v>
      </c>
      <c r="EC7" s="0" t="s">
        <v>126</v>
      </c>
      <c r="ED7" s="0" t="s">
        <v>46</v>
      </c>
      <c r="EE7" s="0" t="s">
        <v>17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3DA4333-4D1E-4FCF-810B-22FEFB5825F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88DACBB-222C-44AA-AAC5-3A31F4BB353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81ECC2A-D54A-4327-AFA8-4A98E635B8F9}">
          <x14:formula1>
            <xm:f>CheckPortfolioManagement!$4:$4</xm:f>
          </x14:formula1>
          <xm:sqref>E3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9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59</v>
      </c>
      <c r="C6" s="48" t="s">
        <v>31</v>
      </c>
      <c r="D6" s="48" t="s">
        <v>24</v>
      </c>
      <c r="E6" s="49">
        <v>500</v>
      </c>
      <c r="F6" s="49">
        <v>25</v>
      </c>
      <c r="G6" s="50">
        <v>13235</v>
      </c>
      <c r="H6" s="49">
        <v>13235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59</v>
      </c>
      <c r="C7" s="48" t="s">
        <v>31</v>
      </c>
      <c r="D7" s="48">
        <v>123456789</v>
      </c>
      <c r="E7" s="49">
        <v>60062</v>
      </c>
      <c r="F7" s="49">
        <v>25</v>
      </c>
      <c r="G7" s="50">
        <v>15016</v>
      </c>
      <c r="H7" s="49">
        <v>5000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59</v>
      </c>
      <c r="C8" s="48" t="s">
        <v>90</v>
      </c>
      <c r="D8" s="48" t="s">
        <v>34</v>
      </c>
      <c r="E8" s="49">
        <v>100104</v>
      </c>
      <c r="F8" s="49">
        <v>5</v>
      </c>
      <c r="G8" s="50">
        <v>-5005</v>
      </c>
      <c r="H8" s="49">
        <v>15015.5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59</v>
      </c>
      <c r="C9" s="48" t="s">
        <v>31</v>
      </c>
      <c r="D9" s="48" t="s">
        <v>28</v>
      </c>
      <c r="E9" s="49">
        <v>500</v>
      </c>
      <c r="F9" s="49">
        <v>10</v>
      </c>
      <c r="G9" s="50">
        <v>5000</v>
      </c>
      <c r="H9" s="49">
        <v>-1000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59</v>
      </c>
      <c r="C10" s="48" t="s">
        <v>90</v>
      </c>
      <c r="D10" s="48" t="s">
        <v>27</v>
      </c>
      <c r="E10" s="49">
        <v>50</v>
      </c>
      <c r="F10" s="49">
        <v>20</v>
      </c>
      <c r="G10" s="50">
        <v>-1000</v>
      </c>
      <c r="H10" s="49">
        <v>-5000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59</v>
      </c>
      <c r="C11" s="48" t="s">
        <v>90</v>
      </c>
      <c r="D11" s="48" t="s">
        <v>25</v>
      </c>
      <c r="E11" s="49">
        <v>50</v>
      </c>
      <c r="F11" s="49">
        <v>30</v>
      </c>
      <c r="G11" s="50">
        <v>-1830</v>
      </c>
      <c r="H11" s="49">
        <v>4000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59</v>
      </c>
      <c r="C12" s="48" t="s">
        <v>90</v>
      </c>
      <c r="D12" s="48" t="s">
        <v>26</v>
      </c>
      <c r="E12" s="49">
        <v>500</v>
      </c>
      <c r="F12" s="49">
        <v>10</v>
      </c>
      <c r="G12" s="50">
        <v>-5000</v>
      </c>
      <c r="H12" s="49">
        <v>-5005.2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59</v>
      </c>
      <c r="C13" s="48" t="s">
        <v>31</v>
      </c>
      <c r="D13" s="48" t="s">
        <v>23</v>
      </c>
      <c r="E13" s="49">
        <v>500</v>
      </c>
      <c r="F13" s="49">
        <v>8</v>
      </c>
      <c r="G13" s="50">
        <v>4000</v>
      </c>
      <c r="H13" s="49">
        <v>-1830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59</v>
      </c>
      <c r="C14" s="48" t="s">
        <v>31</v>
      </c>
      <c r="D14" s="48" t="s">
        <v>85</v>
      </c>
      <c r="E14" s="49">
        <v>61</v>
      </c>
      <c r="F14" s="49">
        <v>10</v>
      </c>
      <c r="G14" s="49">
        <v>610</v>
      </c>
      <c r="H14" s="49">
        <v>610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51"/>
      <c r="C15" s="51"/>
      <c r="D15" s="51"/>
      <c r="E15" s="51"/>
      <c r="F15" s="51"/>
      <c r="G15" s="51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52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A101" s="18"/>
      <c r="B101" s="1" t="s">
        <v>11</v>
      </c>
      <c r="C101" s="2"/>
      <c r="D101" s="2"/>
      <c r="E101" s="2"/>
      <c r="F101" s="2"/>
      <c r="G101" s="2"/>
      <c r="H101" s="3"/>
      <c r="I101" s="18"/>
      <c r="J101" s="18"/>
      <c r="K101" s="18"/>
      <c r="L101" s="18"/>
      <c r="M101" s="18"/>
      <c r="N101" s="18"/>
      <c r="O101" s="18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20" t="str">
        <f> VLOOKUP($E$3,'_MasterData'!B104:D1100,3,FALSE)</f>
        <v>#N/A</v>
      </c>
      <c r="K102" s="20"/>
      <c r="L102" s="8"/>
      <c r="M102" s="8"/>
      <c r="N102" s="8"/>
      <c r="O102" s="8"/>
    </row>
    <row r="103" ht="15.75" customHeight="1">
      <c r="A103" s="21"/>
      <c r="B103" s="5" t="s">
        <v>8</v>
      </c>
      <c r="C103" s="22" t="s">
        <v>74</v>
      </c>
      <c r="D103" s="5" t="s">
        <v>9</v>
      </c>
      <c r="E103" s="22" t="s">
        <v>89</v>
      </c>
      <c r="F103" s="5" t="s">
        <v>14</v>
      </c>
      <c r="G103" s="13" t="s">
        <v>15</v>
      </c>
      <c r="H103" s="5"/>
      <c r="I103" s="21"/>
      <c r="J103" s="21"/>
      <c r="K103" s="21"/>
      <c r="L103" s="21"/>
      <c r="M103" s="21"/>
      <c r="N103" s="21"/>
      <c r="O103" s="21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</row>
    <row r="104" ht="15.75" customHeight="1">
      <c r="A104" s="24"/>
      <c r="B104" s="24" t="str">
        <f>IFERROR(__xludf.DUMMYFUNCTION("IF(C103="""","""",Transpose(IMPORTRANGE('_Settings'!$B$3,C103&amp;""!A4:A1000"")))"),"FetchAccountPositions")</f>
        <v>FetchAccountPositions</v>
      </c>
      <c r="C104" s="24" t="str">
        <f>IFERROR(__xludf.DUMMYFUNCTION("""COMPUTED_VALUE"""),"AddCash")</f>
        <v>AddCash</v>
      </c>
      <c r="D104" s="24" t="str">
        <f>IFERROR(__xludf.DUMMYFUNCTION("""COMPUTED_VALUE"""),"VerifyGridData")</f>
        <v>VerifyGridData</v>
      </c>
      <c r="E104" s="24" t="str">
        <f>IFERROR(__xludf.DUMMYFUNCTION("""COMPUTED_VALUE"""),"RunRebalance")</f>
        <v>RunRebalance</v>
      </c>
      <c r="F104" s="24" t="str">
        <f>IFERROR(__xludf.DUMMYFUNCTION("""COMPUTED_VALUE"""),"EnableComplianceTab")</f>
        <v>EnableComplianceTab</v>
      </c>
      <c r="G104" s="24" t="str">
        <f>IFERROR(__xludf.DUMMYFUNCTION("""COMPUTED_VALUE"""),"RebalancePreference")</f>
        <v>RebalancePreference</v>
      </c>
      <c r="H104" s="24" t="str">
        <f>IFERROR(__xludf.DUMMYFUNCTION("""COMPUTED_VALUE"""),"ImportModelPortfolio")</f>
        <v>ImportModelPortfolio</v>
      </c>
      <c r="I104" s="24" t="str">
        <f>IFERROR(__xludf.DUMMYFUNCTION("""COMPUTED_VALUE"""),"RebalanceAcrossSecurities")</f>
        <v>RebalanceAcrossSecurities</v>
      </c>
      <c r="J104" s="24" t="str">
        <f>IFERROR(__xludf.DUMMYFUNCTION("""COMPUTED_VALUE"""),"CheckBasketCompliance")</f>
        <v>CheckBasketCompliance</v>
      </c>
      <c r="K104" s="24" t="str">
        <f>IFERROR(__xludf.DUMMYFUNCTION("""COMPUTED_VALUE"""),"ClearCalculations")</f>
        <v>ClearCalculations</v>
      </c>
      <c r="L104" s="24" t="str">
        <f>IFERROR(__xludf.DUMMYFUNCTION("""COMPUTED_VALUE"""),"ModifyRebalance")</f>
        <v>ModifyRebalance</v>
      </c>
      <c r="M104" s="24" t="str">
        <f>IFERROR(__xludf.DUMMYFUNCTION("""COMPUTED_VALUE"""),"ModelPortfolio")</f>
        <v>ModelPortfolio</v>
      </c>
      <c r="N104" s="24" t="str">
        <f>IFERROR(__xludf.DUMMYFUNCTION("""COMPUTED_VALUE"""),"LockandUnlockGridData")</f>
        <v>LockandUnlockGridData</v>
      </c>
      <c r="O104" s="24" t="str">
        <f>IFERROR(__xludf.DUMMYFUNCTION("""COMPUTED_VALUE"""),"RefreshGridData")</f>
        <v>RefreshGridData</v>
      </c>
      <c r="P104" s="25" t="str">
        <f>IFERROR(__xludf.DUMMYFUNCTION("""COMPUTED_VALUE"""),"SendtoStaging")</f>
        <v>SendtoStaging</v>
      </c>
      <c r="Q104" s="25" t="str">
        <f>IFERROR(__xludf.DUMMYFUNCTION("""COMPUTED_VALUE"""),"SendToStagingExport")</f>
        <v>SendToStagingExport</v>
      </c>
      <c r="R104" s="25" t="str">
        <f>IFERROR(__xludf.DUMMYFUNCTION("""COMPUTED_VALUE"""),"RebalanceViaBloomberg")</f>
        <v>RebalanceViaBloomberg</v>
      </c>
      <c r="S104" s="25" t="str">
        <f>IFERROR(__xludf.DUMMYFUNCTION("""COMPUTED_VALUE"""),"AddUserAdjustedNAV")</f>
        <v>AddUserAdjustedNAV</v>
      </c>
      <c r="T104" s="25" t="str">
        <f>IFERROR(__xludf.DUMMYFUNCTION("""COMPUTED_VALUE"""),"SymbologyChangeRB")</f>
        <v>SymbologyChangeRB</v>
      </c>
      <c r="U104" s="25" t="str">
        <f>IFERROR(__xludf.DUMMYFUNCTION("""COMPUTED_VALUE"""),"CloseRebalancer")</f>
        <v>CloseRebalancer</v>
      </c>
      <c r="V104" s="25" t="str">
        <f>IFERROR(__xludf.DUMMYFUNCTION("""COMPUTED_VALUE"""),"AddCustomCashUsingImport")</f>
        <v>AddCustomCashUsingImport</v>
      </c>
      <c r="W104" s="25" t="str">
        <f>IFERROR(__xludf.DUMMYFUNCTION("""COMPUTED_VALUE"""),"EditRebalanceGrid")</f>
        <v>EditRebalanceGrid</v>
      </c>
      <c r="X104" s="25" t="str">
        <f>IFERROR(__xludf.DUMMYFUNCTION("""COMPUTED_VALUE"""),"SaveTradeList")</f>
        <v>SaveTradeList</v>
      </c>
      <c r="Y104" s="25" t="str">
        <f>IFERROR(__xludf.DUMMYFUNCTION("""COMPUTED_VALUE"""),"NavImpactingComponent")</f>
        <v>NavImpactingComponent</v>
      </c>
      <c r="Z104" s="25" t="str">
        <f>IFERROR(__xludf.DUMMYFUNCTION("""COMPUTED_VALUE"""),"ImportUsingRebalAccrossSec")</f>
        <v>ImportUsingRebalAccrossSec</v>
      </c>
      <c r="AA104" s="25" t="str">
        <f>IFERROR(__xludf.DUMMYFUNCTION("""COMPUTED_VALUE"""),"EditImportStatus")</f>
        <v>EditImportStatus</v>
      </c>
      <c r="AB104" s="25" t="str">
        <f>IFERROR(__xludf.DUMMYFUNCTION("""COMPUTED_VALUE"""),"SelectActionsOnImportStatus")</f>
        <v>SelectActionsOnImportStatus</v>
      </c>
      <c r="AC104" s="25" t="str">
        <f>IFERROR(__xludf.DUMMYFUNCTION("""COMPUTED_VALUE"""),"VerifyImportStatus")</f>
        <v>VerifyImportStatus</v>
      </c>
      <c r="AD104" s="25" t="str">
        <f>IFERROR(__xludf.DUMMYFUNCTION("""COMPUTED_VALUE"""),"AddNewModelPortfolio")</f>
        <v>AddNewModelPortfolio</v>
      </c>
      <c r="AE104" s="25" t="str">
        <f>IFERROR(__xludf.DUMMYFUNCTION("""COMPUTED_VALUE"""),"VerifyBuySellList")</f>
        <v>VerifyBuySellList</v>
      </c>
      <c r="AF104" s="25" t="str">
        <f>IFERROR(__xludf.DUMMYFUNCTION("""COMPUTED_VALUE"""),"CreateModelPortfolio")</f>
        <v>CreateModelPortfolio</v>
      </c>
      <c r="AG104" s="25" t="str">
        <f>IFERROR(__xludf.DUMMYFUNCTION("""COMPUTED_VALUE"""),"VerifyModelPortfolio")</f>
        <v>VerifyModelPortfolio</v>
      </c>
      <c r="AH104" s="25" t="str">
        <f>IFERROR(__xludf.DUMMYFUNCTION("""COMPUTED_VALUE"""),"SelectAndVerifyTradeList")</f>
        <v>SelectAndVerifyTradeList</v>
      </c>
      <c r="AI104" s="25" t="str">
        <f>IFERROR(__xludf.DUMMYFUNCTION("""COMPUTED_VALUE"""),"ActionOnTradeBuySellListView")</f>
        <v>ActionOnTradeBuySellListView</v>
      </c>
      <c r="AJ104" s="25" t="str">
        <f>IFERROR(__xludf.DUMMYFUNCTION("""COMPUTED_VALUE"""),"ActionOnTradeBuySellListView")</f>
        <v>ActionOnTradeBuySellListView</v>
      </c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</row>
    <row r="105" ht="15.75" customHeight="1">
      <c r="A105" s="26" t="str">
        <f>IFERROR(__xludf.DUMMYFUNCTION("TRANSPOSE(IMPORTRANGE(VLOOKUP($E$3,IMPORTRANGE('_Settings'!$B$3,$C$3&amp;""!A4:B1000""),2,FALSE),$G$3&amp;""!A4:A1000""))"),"")</f>
      </c>
      <c r="B105" s="27" t="str">
        <f>IFERROR(__xludf.DUMMYFUNCTION("""COMPUTED_VALUE"""),"Account")</f>
        <v>Account</v>
      </c>
      <c r="C105" s="27" t="str">
        <f>IFERROR(__xludf.DUMMYFUNCTION("""COMPUTED_VALUE"""),"Side")</f>
        <v>Side</v>
      </c>
      <c r="D105" s="27" t="str">
        <f>IFERROR(__xludf.DUMMYFUNCTION("""COMPUTED_VALUE"""),"Symbol")</f>
        <v>Symbol</v>
      </c>
      <c r="E105" s="27" t="str">
        <f>IFERROR(__xludf.DUMMYFUNCTION("""COMPUTED_VALUE"""),"Quantity")</f>
        <v>Quantity</v>
      </c>
      <c r="F105" s="28" t="str">
        <f>IFERROR(__xludf.DUMMYFUNCTION("""COMPUTED_VALUE"""),"Price (Local)")</f>
        <v>Price (Local)</v>
      </c>
      <c r="G105" s="27" t="str">
        <f>IFERROR(__xludf.DUMMYFUNCTION("""COMPUTED_VALUE"""),"Buy/Sell Value (Base)")</f>
        <v>Buy/Sell Value (Base)</v>
      </c>
      <c r="H105" s="27" t="str">
        <f>IFERROR(__xludf.DUMMYFUNCTION("""COMPUTED_VALUE"""),"Comments")</f>
        <v>Comments</v>
      </c>
      <c r="I105" s="27" t="str">
        <f>IFERROR(__xludf.DUMMYFUNCTION("""COMPUTED_VALUE"""),"SendToStaging")</f>
        <v>SendToStaging</v>
      </c>
      <c r="J105" s="27" t="str">
        <f>IFERROR(__xludf.DUMMYFUNCTION("""COMPUTED_VALUE"""),"Use Custodian Broker")</f>
        <v>Use Custodian Broker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</row>
    <row r="106" ht="15.75" customHeight="1">
      <c r="A106" s="12"/>
      <c r="B106" s="48" t="s">
        <v>59</v>
      </c>
      <c r="C106" s="48" t="s">
        <v>31</v>
      </c>
      <c r="D106" s="48" t="s">
        <v>24</v>
      </c>
      <c r="E106" s="49">
        <v>500</v>
      </c>
      <c r="F106" s="49">
        <v>25</v>
      </c>
      <c r="G106" s="50">
        <v>13235</v>
      </c>
      <c r="H106" s="49">
        <v>13235</v>
      </c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48" t="s">
        <v>59</v>
      </c>
      <c r="C107" s="48" t="s">
        <v>31</v>
      </c>
      <c r="D107" s="48">
        <v>123456789</v>
      </c>
      <c r="E107" s="49">
        <v>60062</v>
      </c>
      <c r="F107" s="49">
        <v>25</v>
      </c>
      <c r="G107" s="50">
        <v>15016</v>
      </c>
      <c r="H107" s="49">
        <v>5000</v>
      </c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48" t="s">
        <v>59</v>
      </c>
      <c r="C108" s="48" t="s">
        <v>90</v>
      </c>
      <c r="D108" s="48" t="s">
        <v>34</v>
      </c>
      <c r="E108" s="49">
        <v>100104</v>
      </c>
      <c r="F108" s="49">
        <v>5</v>
      </c>
      <c r="G108" s="50">
        <v>-5005</v>
      </c>
      <c r="H108" s="49">
        <v>15015.5</v>
      </c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48" t="s">
        <v>59</v>
      </c>
      <c r="C109" s="48" t="s">
        <v>31</v>
      </c>
      <c r="D109" s="48" t="s">
        <v>28</v>
      </c>
      <c r="E109" s="49">
        <v>500</v>
      </c>
      <c r="F109" s="49">
        <v>10</v>
      </c>
      <c r="G109" s="50">
        <v>5000</v>
      </c>
      <c r="H109" s="49">
        <v>-1000</v>
      </c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48" t="s">
        <v>59</v>
      </c>
      <c r="C110" s="48" t="s">
        <v>90</v>
      </c>
      <c r="D110" s="48" t="s">
        <v>27</v>
      </c>
      <c r="E110" s="49">
        <v>50</v>
      </c>
      <c r="F110" s="49">
        <v>20</v>
      </c>
      <c r="G110" s="50">
        <v>-1000</v>
      </c>
      <c r="H110" s="49">
        <v>-5000</v>
      </c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48" t="s">
        <v>59</v>
      </c>
      <c r="C111" s="48" t="s">
        <v>90</v>
      </c>
      <c r="D111" s="48" t="s">
        <v>25</v>
      </c>
      <c r="E111" s="49">
        <v>50</v>
      </c>
      <c r="F111" s="49">
        <v>30</v>
      </c>
      <c r="G111" s="50">
        <v>-1830</v>
      </c>
      <c r="H111" s="49">
        <v>4000</v>
      </c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48" t="s">
        <v>59</v>
      </c>
      <c r="C112" s="48" t="s">
        <v>90</v>
      </c>
      <c r="D112" s="48" t="s">
        <v>26</v>
      </c>
      <c r="E112" s="49">
        <v>500</v>
      </c>
      <c r="F112" s="49">
        <v>10</v>
      </c>
      <c r="G112" s="50">
        <v>-5000</v>
      </c>
      <c r="H112" s="49">
        <v>-5005.2</v>
      </c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48" t="s">
        <v>59</v>
      </c>
      <c r="C113" s="48" t="s">
        <v>31</v>
      </c>
      <c r="D113" s="48" t="s">
        <v>23</v>
      </c>
      <c r="E113" s="49">
        <v>500</v>
      </c>
      <c r="F113" s="49">
        <v>8</v>
      </c>
      <c r="G113" s="50">
        <v>4000</v>
      </c>
      <c r="H113" s="49">
        <v>-1830</v>
      </c>
      <c r="I113" s="8"/>
      <c r="J113" s="8"/>
      <c r="K113" s="8"/>
      <c r="L113" s="8"/>
      <c r="M113" s="8"/>
      <c r="N113" s="8"/>
      <c r="O113" s="8"/>
    </row>
    <row r="114" ht="15.75" customHeight="1">
      <c r="A114" s="8"/>
      <c r="B114" s="48" t="s">
        <v>59</v>
      </c>
      <c r="C114" s="48" t="s">
        <v>31</v>
      </c>
      <c r="D114" s="48" t="s">
        <v>85</v>
      </c>
      <c r="E114" s="49">
        <v>61</v>
      </c>
      <c r="F114" s="49">
        <v>10</v>
      </c>
      <c r="G114" s="49">
        <v>610</v>
      </c>
      <c r="H114" s="49">
        <v>610</v>
      </c>
      <c r="I114" s="8"/>
      <c r="J114" s="8"/>
      <c r="K114" s="8"/>
      <c r="L114" s="8"/>
      <c r="M114" s="8"/>
      <c r="N114" s="8"/>
      <c r="O114" s="8"/>
    </row>
    <row r="115" ht="15.75" customHeight="1">
      <c r="A115" s="8"/>
      <c r="B115" s="51"/>
      <c r="C115" s="51"/>
      <c r="D115" s="51"/>
      <c r="E115" s="51"/>
      <c r="F115" s="51"/>
      <c r="G115" s="51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/>
      <c r="B116" s="8"/>
      <c r="C116" s="8"/>
      <c r="D116" s="8"/>
      <c r="E116" s="8"/>
      <c r="F116" s="8"/>
      <c r="G116" s="52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/>
      <c r="B117" s="8"/>
      <c r="C117" s="8"/>
      <c r="D117" s="8"/>
      <c r="E117" s="8"/>
      <c r="F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/>
      <c r="B118" s="8"/>
      <c r="C118" s="8"/>
      <c r="D118" s="8"/>
      <c r="E118" s="8"/>
      <c r="F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/>
      <c r="B119" s="8"/>
      <c r="C119" s="8"/>
      <c r="D119" s="8"/>
      <c r="E119" s="8"/>
      <c r="F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/>
      <c r="B120" s="8"/>
      <c r="C120" s="8"/>
      <c r="D120" s="8"/>
      <c r="E120" s="8"/>
      <c r="F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/>
      <c r="B121" s="8"/>
      <c r="C121" s="8"/>
      <c r="D121" s="8"/>
      <c r="E121" s="8"/>
      <c r="F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/>
      <c r="B122" s="8"/>
      <c r="C122" s="8"/>
      <c r="D122" s="8"/>
      <c r="E122" s="8"/>
      <c r="F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/>
      <c r="B123" s="8"/>
      <c r="C123" s="8"/>
      <c r="D123" s="8"/>
      <c r="E123" s="8"/>
      <c r="F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/>
      <c r="B124" s="8"/>
      <c r="C124" s="8"/>
      <c r="D124" s="8"/>
      <c r="E124" s="8"/>
      <c r="F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/>
      <c r="B125" s="8"/>
      <c r="C125" s="8"/>
      <c r="D125" s="8"/>
      <c r="E125" s="8"/>
      <c r="F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>
      <c r="A201" s="18"/>
      <c r="B201" s="1" t="s">
        <v>11</v>
      </c>
      <c r="C201" s="2"/>
      <c r="D201" s="2"/>
      <c r="E201" s="2"/>
      <c r="F201" s="2"/>
      <c r="G201" s="2"/>
      <c r="H201" s="3"/>
      <c r="I201" s="18"/>
      <c r="J201" s="18"/>
      <c r="K201" s="18"/>
      <c r="L201" s="18"/>
      <c r="M201" s="18"/>
      <c r="N201" s="18"/>
      <c r="O201" s="18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20" t="str">
        <f> VLOOKUP($E$3,'_MasterData'!B204:D1200,3,FALSE)</f>
        <v>#N/A</v>
      </c>
      <c r="K202" s="20"/>
      <c r="L202" s="8"/>
      <c r="M202" s="8"/>
      <c r="N202" s="8"/>
      <c r="O202" s="8"/>
    </row>
    <row r="203" ht="15.75" customHeight="1">
      <c r="A203" s="21"/>
      <c r="B203" s="5" t="s">
        <v>8</v>
      </c>
      <c r="C203" s="22" t="s">
        <v>74</v>
      </c>
      <c r="D203" s="5" t="s">
        <v>9</v>
      </c>
      <c r="E203" s="22" t="s">
        <v>89</v>
      </c>
      <c r="F203" s="5" t="s">
        <v>14</v>
      </c>
      <c r="G203" s="13" t="s">
        <v>15</v>
      </c>
      <c r="H203" s="5"/>
      <c r="I203" s="21"/>
      <c r="J203" s="21"/>
      <c r="K203" s="21"/>
      <c r="L203" s="21"/>
      <c r="M203" s="21"/>
      <c r="N203" s="21"/>
      <c r="O203" s="21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</row>
    <row r="204" ht="15.75" customHeight="1">
      <c r="A204" s="24"/>
      <c r="B204" s="24" t="str">
        <f>IFERROR(__xludf.DUMMYFUNCTION("IF(C203="""","""",Transpose(IMPORTRANGE('_Settings'!$B$3,C203&amp;""!A4:A1000"")))"),"FetchAccountPositions")</f>
        <v>FetchAccountPositions</v>
      </c>
      <c r="C204" s="24" t="str">
        <f>IFERROR(__xludf.DUMMYFUNCTION("""COMPUTED_VALUE"""),"AddCash")</f>
        <v>AddCash</v>
      </c>
      <c r="D204" s="24" t="str">
        <f>IFERROR(__xludf.DUMMYFUNCTION("""COMPUTED_VALUE"""),"VerifyGridData")</f>
        <v>VerifyGridData</v>
      </c>
      <c r="E204" s="24" t="str">
        <f>IFERROR(__xludf.DUMMYFUNCTION("""COMPUTED_VALUE"""),"RunRebalance")</f>
        <v>RunRebalance</v>
      </c>
      <c r="F204" s="24" t="str">
        <f>IFERROR(__xludf.DUMMYFUNCTION("""COMPUTED_VALUE"""),"EnableComplianceTab")</f>
        <v>EnableComplianceTab</v>
      </c>
      <c r="G204" s="24" t="str">
        <f>IFERROR(__xludf.DUMMYFUNCTION("""COMPUTED_VALUE"""),"RebalancePreference")</f>
        <v>RebalancePreference</v>
      </c>
      <c r="H204" s="24" t="str">
        <f>IFERROR(__xludf.DUMMYFUNCTION("""COMPUTED_VALUE"""),"ImportModelPortfolio")</f>
        <v>ImportModelPortfolio</v>
      </c>
      <c r="I204" s="24" t="str">
        <f>IFERROR(__xludf.DUMMYFUNCTION("""COMPUTED_VALUE"""),"RebalanceAcrossSecurities")</f>
        <v>RebalanceAcrossSecurities</v>
      </c>
      <c r="J204" s="24" t="str">
        <f>IFERROR(__xludf.DUMMYFUNCTION("""COMPUTED_VALUE"""),"CheckBasketCompliance")</f>
        <v>CheckBasketCompliance</v>
      </c>
      <c r="K204" s="24" t="str">
        <f>IFERROR(__xludf.DUMMYFUNCTION("""COMPUTED_VALUE"""),"ClearCalculations")</f>
        <v>ClearCalculations</v>
      </c>
      <c r="L204" s="24" t="str">
        <f>IFERROR(__xludf.DUMMYFUNCTION("""COMPUTED_VALUE"""),"ModifyRebalance")</f>
        <v>ModifyRebalance</v>
      </c>
      <c r="M204" s="24" t="str">
        <f>IFERROR(__xludf.DUMMYFUNCTION("""COMPUTED_VALUE"""),"ModelPortfolio")</f>
        <v>ModelPortfolio</v>
      </c>
      <c r="N204" s="24" t="str">
        <f>IFERROR(__xludf.DUMMYFUNCTION("""COMPUTED_VALUE"""),"LockandUnlockGridData")</f>
        <v>LockandUnlockGridData</v>
      </c>
      <c r="O204" s="24" t="str">
        <f>IFERROR(__xludf.DUMMYFUNCTION("""COMPUTED_VALUE"""),"RefreshGridData")</f>
        <v>RefreshGridData</v>
      </c>
      <c r="P204" s="25" t="str">
        <f>IFERROR(__xludf.DUMMYFUNCTION("""COMPUTED_VALUE"""),"SendtoStaging")</f>
        <v>SendtoStaging</v>
      </c>
      <c r="Q204" s="25" t="str">
        <f>IFERROR(__xludf.DUMMYFUNCTION("""COMPUTED_VALUE"""),"SendToStagingExport")</f>
        <v>SendToStagingExport</v>
      </c>
      <c r="R204" s="25" t="str">
        <f>IFERROR(__xludf.DUMMYFUNCTION("""COMPUTED_VALUE"""),"RebalanceViaBloomberg")</f>
        <v>RebalanceViaBloomberg</v>
      </c>
      <c r="S204" s="25" t="str">
        <f>IFERROR(__xludf.DUMMYFUNCTION("""COMPUTED_VALUE"""),"AddUserAdjustedNAV")</f>
        <v>AddUserAdjustedNAV</v>
      </c>
      <c r="T204" s="25" t="str">
        <f>IFERROR(__xludf.DUMMYFUNCTION("""COMPUTED_VALUE"""),"SymbologyChangeRB")</f>
        <v>SymbologyChangeRB</v>
      </c>
      <c r="U204" s="25" t="str">
        <f>IFERROR(__xludf.DUMMYFUNCTION("""COMPUTED_VALUE"""),"CloseRebalancer")</f>
        <v>CloseRebalancer</v>
      </c>
      <c r="V204" s="25" t="str">
        <f>IFERROR(__xludf.DUMMYFUNCTION("""COMPUTED_VALUE"""),"AddCustomCashUsingImport")</f>
        <v>AddCustomCashUsingImport</v>
      </c>
      <c r="W204" s="25" t="str">
        <f>IFERROR(__xludf.DUMMYFUNCTION("""COMPUTED_VALUE"""),"EditRebalanceGrid")</f>
        <v>EditRebalanceGrid</v>
      </c>
      <c r="X204" s="25" t="str">
        <f>IFERROR(__xludf.DUMMYFUNCTION("""COMPUTED_VALUE"""),"SaveTradeList")</f>
        <v>SaveTradeList</v>
      </c>
      <c r="Y204" s="25" t="str">
        <f>IFERROR(__xludf.DUMMYFUNCTION("""COMPUTED_VALUE"""),"NavImpactingComponent")</f>
        <v>NavImpactingComponent</v>
      </c>
      <c r="Z204" s="25" t="str">
        <f>IFERROR(__xludf.DUMMYFUNCTION("""COMPUTED_VALUE"""),"ImportUsingRebalAccrossSec")</f>
        <v>ImportUsingRebalAccrossSec</v>
      </c>
      <c r="AA204" s="25" t="str">
        <f>IFERROR(__xludf.DUMMYFUNCTION("""COMPUTED_VALUE"""),"EditImportStatus")</f>
        <v>EditImportStatus</v>
      </c>
      <c r="AB204" s="25" t="str">
        <f>IFERROR(__xludf.DUMMYFUNCTION("""COMPUTED_VALUE"""),"SelectActionsOnImportStatus")</f>
        <v>SelectActionsOnImportStatus</v>
      </c>
      <c r="AC204" s="25" t="str">
        <f>IFERROR(__xludf.DUMMYFUNCTION("""COMPUTED_VALUE"""),"VerifyImportStatus")</f>
        <v>VerifyImportStatus</v>
      </c>
      <c r="AD204" s="25" t="str">
        <f>IFERROR(__xludf.DUMMYFUNCTION("""COMPUTED_VALUE"""),"AddNewModelPortfolio")</f>
        <v>AddNewModelPortfolio</v>
      </c>
      <c r="AE204" s="25" t="str">
        <f>IFERROR(__xludf.DUMMYFUNCTION("""COMPUTED_VALUE"""),"VerifyBuySellList")</f>
        <v>VerifyBuySellList</v>
      </c>
      <c r="AF204" s="25" t="str">
        <f>IFERROR(__xludf.DUMMYFUNCTION("""COMPUTED_VALUE"""),"CreateModelPortfolio")</f>
        <v>CreateModelPortfolio</v>
      </c>
      <c r="AG204" s="25" t="str">
        <f>IFERROR(__xludf.DUMMYFUNCTION("""COMPUTED_VALUE"""),"VerifyModelPortfolio")</f>
        <v>VerifyModelPortfolio</v>
      </c>
      <c r="AH204" s="25" t="str">
        <f>IFERROR(__xludf.DUMMYFUNCTION("""COMPUTED_VALUE"""),"SelectAndVerifyTradeList")</f>
        <v>SelectAndVerifyTradeList</v>
      </c>
      <c r="AI204" s="25" t="str">
        <f>IFERROR(__xludf.DUMMYFUNCTION("""COMPUTED_VALUE"""),"ActionOnTradeBuySellListView")</f>
        <v>ActionOnTradeBuySellListView</v>
      </c>
      <c r="AJ204" s="25" t="str">
        <f>IFERROR(__xludf.DUMMYFUNCTION("""COMPUTED_VALUE"""),"ActionOnTradeBuySellListView")</f>
        <v>ActionOnTradeBuySellListView</v>
      </c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</row>
    <row r="205" ht="15.75" customHeight="1">
      <c r="A205" s="26" t="str">
        <f>IFERROR(__xludf.DUMMYFUNCTION("TRANSPOSE(IMPORTRANGE(VLOOKUP($E$3,IMPORTRANGE('_Settings'!$B$3,$C$3&amp;""!A4:B1000""),2,FALSE),$G$3&amp;""!A4:A1000""))"),"")</f>
      </c>
      <c r="B205" s="27" t="str">
        <f>IFERROR(__xludf.DUMMYFUNCTION("""COMPUTED_VALUE"""),"Account")</f>
        <v>Account</v>
      </c>
      <c r="C205" s="27" t="str">
        <f>IFERROR(__xludf.DUMMYFUNCTION("""COMPUTED_VALUE"""),"Side")</f>
        <v>Side</v>
      </c>
      <c r="D205" s="27" t="str">
        <f>IFERROR(__xludf.DUMMYFUNCTION("""COMPUTED_VALUE"""),"Symbol")</f>
        <v>Symbol</v>
      </c>
      <c r="E205" s="27" t="str">
        <f>IFERROR(__xludf.DUMMYFUNCTION("""COMPUTED_VALUE"""),"Quantity")</f>
        <v>Quantity</v>
      </c>
      <c r="F205" s="28" t="str">
        <f>IFERROR(__xludf.DUMMYFUNCTION("""COMPUTED_VALUE"""),"Price (Local)")</f>
        <v>Price (Local)</v>
      </c>
      <c r="G205" s="27" t="str">
        <f>IFERROR(__xludf.DUMMYFUNCTION("""COMPUTED_VALUE"""),"Buy/Sell Value (Base)")</f>
        <v>Buy/Sell Value (Base)</v>
      </c>
      <c r="H205" s="27" t="str">
        <f>IFERROR(__xludf.DUMMYFUNCTION("""COMPUTED_VALUE"""),"Comments")</f>
        <v>Comments</v>
      </c>
      <c r="I205" s="27" t="str">
        <f>IFERROR(__xludf.DUMMYFUNCTION("""COMPUTED_VALUE"""),"SendToStaging")</f>
        <v>SendToStaging</v>
      </c>
      <c r="J205" s="27" t="str">
        <f>IFERROR(__xludf.DUMMYFUNCTION("""COMPUTED_VALUE"""),"Use Custodian Broker")</f>
        <v>Use Custodian Broker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  <c r="EP205" s="29"/>
      <c r="EQ205" s="29"/>
      <c r="ER205" s="29"/>
      <c r="ES205" s="29"/>
      <c r="ET205" s="29"/>
      <c r="EU205" s="29"/>
      <c r="EV205" s="29"/>
      <c r="EW205" s="29"/>
      <c r="EX205" s="29"/>
    </row>
    <row r="206" ht="15.75" customHeight="1">
      <c r="A206" s="12"/>
      <c r="B206" s="48" t="s">
        <v>59</v>
      </c>
      <c r="C206" s="48" t="s">
        <v>31</v>
      </c>
      <c r="D206" s="48" t="s">
        <v>24</v>
      </c>
      <c r="E206" s="49">
        <v>500</v>
      </c>
      <c r="F206" s="49">
        <v>25</v>
      </c>
      <c r="G206" s="50">
        <v>13235</v>
      </c>
      <c r="H206" s="49">
        <v>13235</v>
      </c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48" t="s">
        <v>59</v>
      </c>
      <c r="C207" s="48" t="s">
        <v>31</v>
      </c>
      <c r="D207" s="48">
        <v>123456789</v>
      </c>
      <c r="E207" s="49">
        <v>60062</v>
      </c>
      <c r="F207" s="49">
        <v>25</v>
      </c>
      <c r="G207" s="50">
        <v>15016</v>
      </c>
      <c r="H207" s="49">
        <v>5000</v>
      </c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48" t="s">
        <v>59</v>
      </c>
      <c r="C208" s="48" t="s">
        <v>90</v>
      </c>
      <c r="D208" s="48" t="s">
        <v>34</v>
      </c>
      <c r="E208" s="49">
        <v>100104</v>
      </c>
      <c r="F208" s="49">
        <v>5</v>
      </c>
      <c r="G208" s="50">
        <v>-5005</v>
      </c>
      <c r="H208" s="49">
        <v>15015.5</v>
      </c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48" t="s">
        <v>59</v>
      </c>
      <c r="C209" s="48" t="s">
        <v>31</v>
      </c>
      <c r="D209" s="48" t="s">
        <v>28</v>
      </c>
      <c r="E209" s="49">
        <v>500</v>
      </c>
      <c r="F209" s="49">
        <v>10</v>
      </c>
      <c r="G209" s="50">
        <v>5000</v>
      </c>
      <c r="H209" s="49">
        <v>-1000</v>
      </c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48" t="s">
        <v>59</v>
      </c>
      <c r="C210" s="48" t="s">
        <v>90</v>
      </c>
      <c r="D210" s="48" t="s">
        <v>27</v>
      </c>
      <c r="E210" s="49">
        <v>50</v>
      </c>
      <c r="F210" s="49">
        <v>20</v>
      </c>
      <c r="G210" s="50">
        <v>-1000</v>
      </c>
      <c r="H210" s="49">
        <v>-5000</v>
      </c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48" t="s">
        <v>59</v>
      </c>
      <c r="C211" s="48" t="s">
        <v>90</v>
      </c>
      <c r="D211" s="48" t="s">
        <v>25</v>
      </c>
      <c r="E211" s="49">
        <v>50</v>
      </c>
      <c r="F211" s="49">
        <v>30</v>
      </c>
      <c r="G211" s="50">
        <v>-1830</v>
      </c>
      <c r="H211" s="49">
        <v>4000</v>
      </c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48" t="s">
        <v>59</v>
      </c>
      <c r="C212" s="48" t="s">
        <v>90</v>
      </c>
      <c r="D212" s="48" t="s">
        <v>26</v>
      </c>
      <c r="E212" s="49">
        <v>500</v>
      </c>
      <c r="F212" s="49">
        <v>10</v>
      </c>
      <c r="G212" s="50">
        <v>-5000</v>
      </c>
      <c r="H212" s="49">
        <v>-5005.2</v>
      </c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48" t="s">
        <v>59</v>
      </c>
      <c r="C213" s="48" t="s">
        <v>31</v>
      </c>
      <c r="D213" s="48" t="s">
        <v>23</v>
      </c>
      <c r="E213" s="49">
        <v>500</v>
      </c>
      <c r="F213" s="49">
        <v>8</v>
      </c>
      <c r="G213" s="50">
        <v>4000</v>
      </c>
      <c r="H213" s="49">
        <v>-1830</v>
      </c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48" t="s">
        <v>59</v>
      </c>
      <c r="C214" s="48" t="s">
        <v>31</v>
      </c>
      <c r="D214" s="48" t="s">
        <v>85</v>
      </c>
      <c r="E214" s="49">
        <v>61</v>
      </c>
      <c r="F214" s="49">
        <v>10</v>
      </c>
      <c r="G214" s="49">
        <v>610</v>
      </c>
      <c r="H214" s="49">
        <v>610</v>
      </c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51"/>
      <c r="C215" s="51"/>
      <c r="D215" s="51"/>
      <c r="E215" s="51"/>
      <c r="F215" s="51"/>
      <c r="G215" s="51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8"/>
      <c r="C216" s="8"/>
      <c r="D216" s="8"/>
      <c r="E216" s="8"/>
      <c r="F216" s="8"/>
      <c r="G216" s="52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8"/>
      <c r="C217" s="8"/>
      <c r="D217" s="8"/>
      <c r="E217" s="8"/>
      <c r="F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8"/>
      <c r="C218" s="8"/>
      <c r="D218" s="8"/>
      <c r="E218" s="8"/>
      <c r="F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8"/>
      <c r="C219" s="8"/>
      <c r="D219" s="8"/>
      <c r="E219" s="8"/>
      <c r="F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8"/>
      <c r="C220" s="8"/>
      <c r="D220" s="8"/>
      <c r="E220" s="8"/>
      <c r="F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/>
      <c r="B221" s="8"/>
      <c r="C221" s="8"/>
      <c r="D221" s="8"/>
      <c r="E221" s="8"/>
      <c r="F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/>
      <c r="B222" s="8"/>
      <c r="C222" s="8"/>
      <c r="D222" s="8"/>
      <c r="E222" s="8"/>
      <c r="F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/>
      <c r="B223" s="8"/>
      <c r="C223" s="8"/>
      <c r="D223" s="8"/>
      <c r="E223" s="8"/>
      <c r="F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/>
      <c r="B224" s="8"/>
      <c r="C224" s="8"/>
      <c r="D224" s="8"/>
      <c r="E224" s="8"/>
      <c r="F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/>
      <c r="B225" s="8"/>
      <c r="C225" s="8"/>
      <c r="D225" s="8"/>
      <c r="E225" s="8"/>
      <c r="F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>
      <c r="A301" s="18"/>
      <c r="B301" s="1" t="s">
        <v>11</v>
      </c>
      <c r="C301" s="2"/>
      <c r="D301" s="2"/>
      <c r="E301" s="2"/>
      <c r="F301" s="2"/>
      <c r="G301" s="2"/>
      <c r="H301" s="3"/>
      <c r="I301" s="18"/>
      <c r="J301" s="18"/>
      <c r="K301" s="18"/>
      <c r="L301" s="18"/>
      <c r="M301" s="18"/>
      <c r="N301" s="18"/>
      <c r="O301" s="18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20" t="str">
        <f> VLOOKUP($E$3,'_MasterData'!B304:D1300,3,FALSE)</f>
        <v>#N/A</v>
      </c>
      <c r="K302" s="20"/>
      <c r="L302" s="8"/>
      <c r="M302" s="8"/>
      <c r="N302" s="8"/>
      <c r="O302" s="8"/>
    </row>
    <row r="303" ht="15.75" customHeight="1">
      <c r="A303" s="21"/>
      <c r="B303" s="5" t="s">
        <v>8</v>
      </c>
      <c r="C303" s="22" t="s">
        <v>74</v>
      </c>
      <c r="D303" s="5" t="s">
        <v>9</v>
      </c>
      <c r="E303" s="22" t="s">
        <v>89</v>
      </c>
      <c r="F303" s="5" t="s">
        <v>14</v>
      </c>
      <c r="G303" s="13" t="s">
        <v>15</v>
      </c>
      <c r="H303" s="5"/>
      <c r="I303" s="21"/>
      <c r="J303" s="21"/>
      <c r="K303" s="21"/>
      <c r="L303" s="21"/>
      <c r="M303" s="21"/>
      <c r="N303" s="21"/>
      <c r="O303" s="21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</row>
    <row r="304" ht="15.75" customHeight="1">
      <c r="A304" s="24"/>
      <c r="B304" s="24" t="str">
        <f>IFERROR(__xludf.DUMMYFUNCTION("IF(C303="""","""",Transpose(IMPORTRANGE('_Settings'!$B$3,C303&amp;""!A4:A1000"")))"),"FetchAccountPositions")</f>
        <v>FetchAccountPositions</v>
      </c>
      <c r="C304" s="24" t="str">
        <f>IFERROR(__xludf.DUMMYFUNCTION("""COMPUTED_VALUE"""),"AddCash")</f>
        <v>AddCash</v>
      </c>
      <c r="D304" s="24" t="str">
        <f>IFERROR(__xludf.DUMMYFUNCTION("""COMPUTED_VALUE"""),"VerifyGridData")</f>
        <v>VerifyGridData</v>
      </c>
      <c r="E304" s="24" t="str">
        <f>IFERROR(__xludf.DUMMYFUNCTION("""COMPUTED_VALUE"""),"RunRebalance")</f>
        <v>RunRebalance</v>
      </c>
      <c r="F304" s="24" t="str">
        <f>IFERROR(__xludf.DUMMYFUNCTION("""COMPUTED_VALUE"""),"EnableComplianceTab")</f>
        <v>EnableComplianceTab</v>
      </c>
      <c r="G304" s="24" t="str">
        <f>IFERROR(__xludf.DUMMYFUNCTION("""COMPUTED_VALUE"""),"RebalancePreference")</f>
        <v>RebalancePreference</v>
      </c>
      <c r="H304" s="24" t="str">
        <f>IFERROR(__xludf.DUMMYFUNCTION("""COMPUTED_VALUE"""),"ImportModelPortfolio")</f>
        <v>ImportModelPortfolio</v>
      </c>
      <c r="I304" s="24" t="str">
        <f>IFERROR(__xludf.DUMMYFUNCTION("""COMPUTED_VALUE"""),"RebalanceAcrossSecurities")</f>
        <v>RebalanceAcrossSecurities</v>
      </c>
      <c r="J304" s="24" t="str">
        <f>IFERROR(__xludf.DUMMYFUNCTION("""COMPUTED_VALUE"""),"CheckBasketCompliance")</f>
        <v>CheckBasketCompliance</v>
      </c>
      <c r="K304" s="24" t="str">
        <f>IFERROR(__xludf.DUMMYFUNCTION("""COMPUTED_VALUE"""),"ClearCalculations")</f>
        <v>ClearCalculations</v>
      </c>
      <c r="L304" s="24" t="str">
        <f>IFERROR(__xludf.DUMMYFUNCTION("""COMPUTED_VALUE"""),"ModifyRebalance")</f>
        <v>ModifyRebalance</v>
      </c>
      <c r="M304" s="24" t="str">
        <f>IFERROR(__xludf.DUMMYFUNCTION("""COMPUTED_VALUE"""),"ModelPortfolio")</f>
        <v>ModelPortfolio</v>
      </c>
      <c r="N304" s="24" t="str">
        <f>IFERROR(__xludf.DUMMYFUNCTION("""COMPUTED_VALUE"""),"LockandUnlockGridData")</f>
        <v>LockandUnlockGridData</v>
      </c>
      <c r="O304" s="24" t="str">
        <f>IFERROR(__xludf.DUMMYFUNCTION("""COMPUTED_VALUE"""),"RefreshGridData")</f>
        <v>RefreshGridData</v>
      </c>
      <c r="P304" s="25" t="str">
        <f>IFERROR(__xludf.DUMMYFUNCTION("""COMPUTED_VALUE"""),"SendtoStaging")</f>
        <v>SendtoStaging</v>
      </c>
      <c r="Q304" s="25" t="str">
        <f>IFERROR(__xludf.DUMMYFUNCTION("""COMPUTED_VALUE"""),"SendToStagingExport")</f>
        <v>SendToStagingExport</v>
      </c>
      <c r="R304" s="25" t="str">
        <f>IFERROR(__xludf.DUMMYFUNCTION("""COMPUTED_VALUE"""),"RebalanceViaBloomberg")</f>
        <v>RebalanceViaBloomberg</v>
      </c>
      <c r="S304" s="25" t="str">
        <f>IFERROR(__xludf.DUMMYFUNCTION("""COMPUTED_VALUE"""),"AddUserAdjustedNAV")</f>
        <v>AddUserAdjustedNAV</v>
      </c>
      <c r="T304" s="25" t="str">
        <f>IFERROR(__xludf.DUMMYFUNCTION("""COMPUTED_VALUE"""),"SymbologyChangeRB")</f>
        <v>SymbologyChangeRB</v>
      </c>
      <c r="U304" s="25" t="str">
        <f>IFERROR(__xludf.DUMMYFUNCTION("""COMPUTED_VALUE"""),"CloseRebalancer")</f>
        <v>CloseRebalancer</v>
      </c>
      <c r="V304" s="25" t="str">
        <f>IFERROR(__xludf.DUMMYFUNCTION("""COMPUTED_VALUE"""),"AddCustomCashUsingImport")</f>
        <v>AddCustomCashUsingImport</v>
      </c>
      <c r="W304" s="25" t="str">
        <f>IFERROR(__xludf.DUMMYFUNCTION("""COMPUTED_VALUE"""),"EditRebalanceGrid")</f>
        <v>EditRebalanceGrid</v>
      </c>
      <c r="X304" s="25" t="str">
        <f>IFERROR(__xludf.DUMMYFUNCTION("""COMPUTED_VALUE"""),"SaveTradeList")</f>
        <v>SaveTradeList</v>
      </c>
      <c r="Y304" s="25" t="str">
        <f>IFERROR(__xludf.DUMMYFUNCTION("""COMPUTED_VALUE"""),"NavImpactingComponent")</f>
        <v>NavImpactingComponent</v>
      </c>
      <c r="Z304" s="25" t="str">
        <f>IFERROR(__xludf.DUMMYFUNCTION("""COMPUTED_VALUE"""),"ImportUsingRebalAccrossSec")</f>
        <v>ImportUsingRebalAccrossSec</v>
      </c>
      <c r="AA304" s="25" t="str">
        <f>IFERROR(__xludf.DUMMYFUNCTION("""COMPUTED_VALUE"""),"EditImportStatus")</f>
        <v>EditImportStatus</v>
      </c>
      <c r="AB304" s="25" t="str">
        <f>IFERROR(__xludf.DUMMYFUNCTION("""COMPUTED_VALUE"""),"SelectActionsOnImportStatus")</f>
        <v>SelectActionsOnImportStatus</v>
      </c>
      <c r="AC304" s="25" t="str">
        <f>IFERROR(__xludf.DUMMYFUNCTION("""COMPUTED_VALUE"""),"VerifyImportStatus")</f>
        <v>VerifyImportStatus</v>
      </c>
      <c r="AD304" s="25" t="str">
        <f>IFERROR(__xludf.DUMMYFUNCTION("""COMPUTED_VALUE"""),"AddNewModelPortfolio")</f>
        <v>AddNewModelPortfolio</v>
      </c>
      <c r="AE304" s="25" t="str">
        <f>IFERROR(__xludf.DUMMYFUNCTION("""COMPUTED_VALUE"""),"VerifyBuySellList")</f>
        <v>VerifyBuySellList</v>
      </c>
      <c r="AF304" s="25" t="str">
        <f>IFERROR(__xludf.DUMMYFUNCTION("""COMPUTED_VALUE"""),"CreateModelPortfolio")</f>
        <v>CreateModelPortfolio</v>
      </c>
      <c r="AG304" s="25" t="str">
        <f>IFERROR(__xludf.DUMMYFUNCTION("""COMPUTED_VALUE"""),"VerifyModelPortfolio")</f>
        <v>VerifyModelPortfolio</v>
      </c>
      <c r="AH304" s="25" t="str">
        <f>IFERROR(__xludf.DUMMYFUNCTION("""COMPUTED_VALUE"""),"SelectAndVerifyTradeList")</f>
        <v>SelectAndVerifyTradeList</v>
      </c>
      <c r="AI304" s="25" t="str">
        <f>IFERROR(__xludf.DUMMYFUNCTION("""COMPUTED_VALUE"""),"ActionOnTradeBuySellListView")</f>
        <v>ActionOnTradeBuySellListView</v>
      </c>
      <c r="AJ304" s="25" t="str">
        <f>IFERROR(__xludf.DUMMYFUNCTION("""COMPUTED_VALUE"""),"ActionOnTradeBuySellListView")</f>
        <v>ActionOnTradeBuySellListView</v>
      </c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</row>
    <row r="305" ht="15.75" customHeight="1">
      <c r="A305" s="26" t="str">
        <f>IFERROR(__xludf.DUMMYFUNCTION("TRANSPOSE(IMPORTRANGE(VLOOKUP($E$3,IMPORTRANGE('_Settings'!$B$3,$C$3&amp;""!A4:B1000""),2,FALSE),$G$3&amp;""!A4:A1000""))"),"")</f>
      </c>
      <c r="B305" s="27" t="str">
        <f>IFERROR(__xludf.DUMMYFUNCTION("""COMPUTED_VALUE"""),"Account")</f>
        <v>Account</v>
      </c>
      <c r="C305" s="27" t="str">
        <f>IFERROR(__xludf.DUMMYFUNCTION("""COMPUTED_VALUE"""),"Side")</f>
        <v>Side</v>
      </c>
      <c r="D305" s="27" t="str">
        <f>IFERROR(__xludf.DUMMYFUNCTION("""COMPUTED_VALUE"""),"Symbol")</f>
        <v>Symbol</v>
      </c>
      <c r="E305" s="27" t="str">
        <f>IFERROR(__xludf.DUMMYFUNCTION("""COMPUTED_VALUE"""),"Quantity")</f>
        <v>Quantity</v>
      </c>
      <c r="F305" s="28" t="str">
        <f>IFERROR(__xludf.DUMMYFUNCTION("""COMPUTED_VALUE"""),"Price (Local)")</f>
        <v>Price (Local)</v>
      </c>
      <c r="G305" s="27" t="str">
        <f>IFERROR(__xludf.DUMMYFUNCTION("""COMPUTED_VALUE"""),"Buy/Sell Value (Base)")</f>
        <v>Buy/Sell Value (Base)</v>
      </c>
      <c r="H305" s="27" t="str">
        <f>IFERROR(__xludf.DUMMYFUNCTION("""COMPUTED_VALUE"""),"Comments")</f>
        <v>Comments</v>
      </c>
      <c r="I305" s="27" t="str">
        <f>IFERROR(__xludf.DUMMYFUNCTION("""COMPUTED_VALUE"""),"SendToStaging")</f>
        <v>SendToStaging</v>
      </c>
      <c r="J305" s="27" t="str">
        <f>IFERROR(__xludf.DUMMYFUNCTION("""COMPUTED_VALUE"""),"Use Custodian Broker")</f>
        <v>Use Custodian Broker</v>
      </c>
      <c r="K305" s="27"/>
      <c r="L305" s="27"/>
      <c r="M305" s="27"/>
      <c r="N305" s="27"/>
      <c r="O305" s="27"/>
      <c r="P305" s="27"/>
      <c r="Q305" s="27"/>
      <c r="R305" s="27"/>
      <c r="S305" s="27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  <c r="EP305" s="29"/>
      <c r="EQ305" s="29"/>
      <c r="ER305" s="29"/>
      <c r="ES305" s="29"/>
      <c r="ET305" s="29"/>
      <c r="EU305" s="29"/>
      <c r="EV305" s="29"/>
      <c r="EW305" s="29"/>
      <c r="EX305" s="29"/>
    </row>
    <row r="306" ht="15.75" customHeight="1">
      <c r="A306" s="12"/>
      <c r="B306" s="48" t="s">
        <v>59</v>
      </c>
      <c r="C306" s="48" t="s">
        <v>31</v>
      </c>
      <c r="D306" s="48" t="s">
        <v>24</v>
      </c>
      <c r="E306" s="49">
        <v>500</v>
      </c>
      <c r="F306" s="49">
        <v>25</v>
      </c>
      <c r="G306" s="50">
        <v>13235</v>
      </c>
      <c r="H306" s="49">
        <v>13235</v>
      </c>
      <c r="I306" s="8"/>
      <c r="J306" s="8"/>
      <c r="K306" s="8"/>
      <c r="L306" s="8"/>
      <c r="M306" s="8"/>
      <c r="N306" s="8"/>
      <c r="O306" s="8"/>
    </row>
    <row r="307" ht="15.75" customHeight="1">
      <c r="A307" s="8"/>
      <c r="B307" s="48" t="s">
        <v>59</v>
      </c>
      <c r="C307" s="48" t="s">
        <v>31</v>
      </c>
      <c r="D307" s="48">
        <v>123456789</v>
      </c>
      <c r="E307" s="49">
        <v>60062</v>
      </c>
      <c r="F307" s="49">
        <v>25</v>
      </c>
      <c r="G307" s="50">
        <v>15016</v>
      </c>
      <c r="H307" s="49">
        <v>5000</v>
      </c>
      <c r="I307" s="8"/>
      <c r="J307" s="8"/>
      <c r="K307" s="8"/>
      <c r="L307" s="8"/>
      <c r="M307" s="8"/>
      <c r="N307" s="8"/>
      <c r="O307" s="8"/>
    </row>
    <row r="308" ht="15.75" customHeight="1">
      <c r="A308" s="8"/>
      <c r="B308" s="48" t="s">
        <v>59</v>
      </c>
      <c r="C308" s="48" t="s">
        <v>90</v>
      </c>
      <c r="D308" s="48" t="s">
        <v>34</v>
      </c>
      <c r="E308" s="49">
        <v>100104</v>
      </c>
      <c r="F308" s="49">
        <v>5</v>
      </c>
      <c r="G308" s="50">
        <v>-5005</v>
      </c>
      <c r="H308" s="49">
        <v>15015.5</v>
      </c>
      <c r="I308" s="8"/>
      <c r="J308" s="8"/>
      <c r="K308" s="8"/>
      <c r="L308" s="8"/>
      <c r="M308" s="8"/>
      <c r="N308" s="8"/>
      <c r="O308" s="8"/>
    </row>
    <row r="309" ht="15.75" customHeight="1">
      <c r="A309" s="8"/>
      <c r="B309" s="48" t="s">
        <v>59</v>
      </c>
      <c r="C309" s="48" t="s">
        <v>31</v>
      </c>
      <c r="D309" s="48" t="s">
        <v>28</v>
      </c>
      <c r="E309" s="49">
        <v>500</v>
      </c>
      <c r="F309" s="49">
        <v>10</v>
      </c>
      <c r="G309" s="50">
        <v>5000</v>
      </c>
      <c r="H309" s="49">
        <v>-1000</v>
      </c>
      <c r="I309" s="8"/>
      <c r="J309" s="8"/>
      <c r="K309" s="8"/>
      <c r="L309" s="8"/>
      <c r="M309" s="8"/>
      <c r="N309" s="8"/>
      <c r="O309" s="8"/>
    </row>
    <row r="310" ht="15.75" customHeight="1">
      <c r="A310" s="8"/>
      <c r="B310" s="48" t="s">
        <v>59</v>
      </c>
      <c r="C310" s="48" t="s">
        <v>90</v>
      </c>
      <c r="D310" s="48" t="s">
        <v>27</v>
      </c>
      <c r="E310" s="49">
        <v>50</v>
      </c>
      <c r="F310" s="49">
        <v>20</v>
      </c>
      <c r="G310" s="50">
        <v>-1000</v>
      </c>
      <c r="H310" s="49">
        <v>-5000</v>
      </c>
      <c r="I310" s="8"/>
      <c r="J310" s="8"/>
      <c r="K310" s="8"/>
      <c r="L310" s="8"/>
      <c r="M310" s="8"/>
      <c r="N310" s="8"/>
      <c r="O310" s="8"/>
    </row>
    <row r="311" ht="15.75" customHeight="1">
      <c r="A311" s="8"/>
      <c r="B311" s="48" t="s">
        <v>59</v>
      </c>
      <c r="C311" s="48" t="s">
        <v>90</v>
      </c>
      <c r="D311" s="48" t="s">
        <v>25</v>
      </c>
      <c r="E311" s="49">
        <v>50</v>
      </c>
      <c r="F311" s="49">
        <v>30</v>
      </c>
      <c r="G311" s="50">
        <v>-1830</v>
      </c>
      <c r="H311" s="49">
        <v>4000</v>
      </c>
      <c r="I311" s="8"/>
      <c r="J311" s="8"/>
      <c r="K311" s="8"/>
      <c r="L311" s="8"/>
      <c r="M311" s="8"/>
      <c r="N311" s="8"/>
      <c r="O311" s="8"/>
    </row>
    <row r="312" ht="15.75" customHeight="1">
      <c r="A312" s="8"/>
      <c r="B312" s="48" t="s">
        <v>59</v>
      </c>
      <c r="C312" s="48" t="s">
        <v>90</v>
      </c>
      <c r="D312" s="48" t="s">
        <v>26</v>
      </c>
      <c r="E312" s="49">
        <v>500</v>
      </c>
      <c r="F312" s="49">
        <v>10</v>
      </c>
      <c r="G312" s="50">
        <v>-5000</v>
      </c>
      <c r="H312" s="49">
        <v>-5005.2</v>
      </c>
      <c r="I312" s="8"/>
      <c r="J312" s="8"/>
      <c r="K312" s="8"/>
      <c r="L312" s="8"/>
      <c r="M312" s="8"/>
      <c r="N312" s="8"/>
      <c r="O312" s="8"/>
    </row>
    <row r="313" ht="15.75" customHeight="1">
      <c r="A313" s="8"/>
      <c r="B313" s="48" t="s">
        <v>59</v>
      </c>
      <c r="C313" s="48" t="s">
        <v>31</v>
      </c>
      <c r="D313" s="48" t="s">
        <v>23</v>
      </c>
      <c r="E313" s="49">
        <v>500</v>
      </c>
      <c r="F313" s="49">
        <v>8</v>
      </c>
      <c r="G313" s="50">
        <v>4000</v>
      </c>
      <c r="H313" s="49">
        <v>-1830</v>
      </c>
      <c r="I313" s="8"/>
      <c r="J313" s="8"/>
      <c r="K313" s="8"/>
      <c r="L313" s="8"/>
      <c r="M313" s="8"/>
      <c r="N313" s="8"/>
      <c r="O313" s="8"/>
    </row>
    <row r="314" ht="15.75" customHeight="1">
      <c r="A314" s="8"/>
      <c r="B314" s="48" t="s">
        <v>59</v>
      </c>
      <c r="C314" s="48" t="s">
        <v>31</v>
      </c>
      <c r="D314" s="48" t="s">
        <v>85</v>
      </c>
      <c r="E314" s="49">
        <v>61</v>
      </c>
      <c r="F314" s="49">
        <v>10</v>
      </c>
      <c r="G314" s="49">
        <v>610</v>
      </c>
      <c r="H314" s="49">
        <v>610</v>
      </c>
      <c r="I314" s="8"/>
      <c r="J314" s="8"/>
      <c r="K314" s="8"/>
      <c r="L314" s="8"/>
      <c r="M314" s="8"/>
      <c r="N314" s="8"/>
      <c r="O314" s="8"/>
    </row>
    <row r="315" ht="15.75" customHeight="1">
      <c r="A315" s="8"/>
      <c r="B315" s="51"/>
      <c r="C315" s="51"/>
      <c r="D315" s="51"/>
      <c r="E315" s="51"/>
      <c r="F315" s="51"/>
      <c r="G315" s="51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/>
      <c r="B316" s="8"/>
      <c r="C316" s="8"/>
      <c r="D316" s="8"/>
      <c r="E316" s="8"/>
      <c r="F316" s="8"/>
      <c r="G316" s="52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/>
      <c r="B317" s="8"/>
      <c r="C317" s="8"/>
      <c r="D317" s="8"/>
      <c r="E317" s="8"/>
      <c r="F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/>
      <c r="B318" s="8"/>
      <c r="C318" s="8"/>
      <c r="D318" s="8"/>
      <c r="E318" s="8"/>
      <c r="F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/>
      <c r="B319" s="8"/>
      <c r="C319" s="8"/>
      <c r="D319" s="8"/>
      <c r="E319" s="8"/>
      <c r="F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/>
      <c r="B320" s="8"/>
      <c r="C320" s="8"/>
      <c r="D320" s="8"/>
      <c r="E320" s="8"/>
      <c r="F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/>
      <c r="B321" s="8"/>
      <c r="C321" s="8"/>
      <c r="D321" s="8"/>
      <c r="E321" s="8"/>
      <c r="F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/>
      <c r="B322" s="8"/>
      <c r="C322" s="8"/>
      <c r="D322" s="8"/>
      <c r="E322" s="8"/>
      <c r="F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/>
      <c r="B323" s="8"/>
      <c r="C323" s="8"/>
      <c r="D323" s="8"/>
      <c r="E323" s="8"/>
      <c r="F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/>
      <c r="B324" s="8"/>
      <c r="C324" s="8"/>
      <c r="D324" s="8"/>
      <c r="E324" s="8"/>
      <c r="F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/>
      <c r="B325" s="8"/>
      <c r="C325" s="8"/>
      <c r="D325" s="8"/>
      <c r="E325" s="8"/>
      <c r="F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>
      <c r="A401" s="18"/>
      <c r="B401" s="1" t="s">
        <v>11</v>
      </c>
      <c r="C401" s="2"/>
      <c r="D401" s="2"/>
      <c r="E401" s="2"/>
      <c r="F401" s="2"/>
      <c r="G401" s="2"/>
      <c r="H401" s="3"/>
      <c r="I401" s="18"/>
      <c r="J401" s="18"/>
      <c r="K401" s="18"/>
      <c r="L401" s="18"/>
      <c r="M401" s="18"/>
      <c r="N401" s="18"/>
      <c r="O401" s="18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  <c r="EP401" s="19"/>
      <c r="EQ401" s="19"/>
      <c r="ER401" s="19"/>
      <c r="ES401" s="19"/>
      <c r="ET401" s="19"/>
      <c r="EU401" s="19"/>
      <c r="EV401" s="19"/>
      <c r="EW401" s="19"/>
      <c r="EX401" s="19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20" t="str">
        <f> VLOOKUP($E$3,'_MasterData'!B404:D1400,3,FALSE)</f>
        <v>#N/A</v>
      </c>
      <c r="K402" s="20"/>
      <c r="L402" s="8"/>
      <c r="M402" s="8"/>
      <c r="N402" s="8"/>
      <c r="O402" s="8"/>
    </row>
    <row r="403" ht="15.75" customHeight="1">
      <c r="A403" s="21"/>
      <c r="B403" s="5" t="s">
        <v>8</v>
      </c>
      <c r="C403" s="22" t="s">
        <v>74</v>
      </c>
      <c r="D403" s="5" t="s">
        <v>9</v>
      </c>
      <c r="E403" s="22" t="s">
        <v>89</v>
      </c>
      <c r="F403" s="5" t="s">
        <v>14</v>
      </c>
      <c r="G403" s="13" t="s">
        <v>15</v>
      </c>
      <c r="H403" s="5"/>
      <c r="I403" s="21"/>
      <c r="J403" s="21"/>
      <c r="K403" s="21"/>
      <c r="L403" s="21"/>
      <c r="M403" s="21"/>
      <c r="N403" s="21"/>
      <c r="O403" s="21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</row>
    <row r="404" ht="15.75" customHeight="1">
      <c r="A404" s="24"/>
      <c r="B404" s="24" t="str">
        <f>IFERROR(__xludf.DUMMYFUNCTION("IF(C403="""","""",Transpose(IMPORTRANGE('_Settings'!$B$3,C403&amp;""!A4:A1000"")))"),"FetchAccountPositions")</f>
        <v>FetchAccountPositions</v>
      </c>
      <c r="C404" s="24" t="str">
        <f>IFERROR(__xludf.DUMMYFUNCTION("""COMPUTED_VALUE"""),"AddCash")</f>
        <v>AddCash</v>
      </c>
      <c r="D404" s="24" t="str">
        <f>IFERROR(__xludf.DUMMYFUNCTION("""COMPUTED_VALUE"""),"VerifyGridData")</f>
        <v>VerifyGridData</v>
      </c>
      <c r="E404" s="24" t="str">
        <f>IFERROR(__xludf.DUMMYFUNCTION("""COMPUTED_VALUE"""),"RunRebalance")</f>
        <v>RunRebalance</v>
      </c>
      <c r="F404" s="24" t="str">
        <f>IFERROR(__xludf.DUMMYFUNCTION("""COMPUTED_VALUE"""),"EnableComplianceTab")</f>
        <v>EnableComplianceTab</v>
      </c>
      <c r="G404" s="24" t="str">
        <f>IFERROR(__xludf.DUMMYFUNCTION("""COMPUTED_VALUE"""),"RebalancePreference")</f>
        <v>RebalancePreference</v>
      </c>
      <c r="H404" s="24" t="str">
        <f>IFERROR(__xludf.DUMMYFUNCTION("""COMPUTED_VALUE"""),"ImportModelPortfolio")</f>
        <v>ImportModelPortfolio</v>
      </c>
      <c r="I404" s="24" t="str">
        <f>IFERROR(__xludf.DUMMYFUNCTION("""COMPUTED_VALUE"""),"RebalanceAcrossSecurities")</f>
        <v>RebalanceAcrossSecurities</v>
      </c>
      <c r="J404" s="24" t="str">
        <f>IFERROR(__xludf.DUMMYFUNCTION("""COMPUTED_VALUE"""),"CheckBasketCompliance")</f>
        <v>CheckBasketCompliance</v>
      </c>
      <c r="K404" s="24" t="str">
        <f>IFERROR(__xludf.DUMMYFUNCTION("""COMPUTED_VALUE"""),"ClearCalculations")</f>
        <v>ClearCalculations</v>
      </c>
      <c r="L404" s="24" t="str">
        <f>IFERROR(__xludf.DUMMYFUNCTION("""COMPUTED_VALUE"""),"ModifyRebalance")</f>
        <v>ModifyRebalance</v>
      </c>
      <c r="M404" s="24" t="str">
        <f>IFERROR(__xludf.DUMMYFUNCTION("""COMPUTED_VALUE"""),"ModelPortfolio")</f>
        <v>ModelPortfolio</v>
      </c>
      <c r="N404" s="24" t="str">
        <f>IFERROR(__xludf.DUMMYFUNCTION("""COMPUTED_VALUE"""),"LockandUnlockGridData")</f>
        <v>LockandUnlockGridData</v>
      </c>
      <c r="O404" s="24" t="str">
        <f>IFERROR(__xludf.DUMMYFUNCTION("""COMPUTED_VALUE"""),"RefreshGridData")</f>
        <v>RefreshGridData</v>
      </c>
      <c r="P404" s="25" t="str">
        <f>IFERROR(__xludf.DUMMYFUNCTION("""COMPUTED_VALUE"""),"SendtoStaging")</f>
        <v>SendtoStaging</v>
      </c>
      <c r="Q404" s="25" t="str">
        <f>IFERROR(__xludf.DUMMYFUNCTION("""COMPUTED_VALUE"""),"SendToStagingExport")</f>
        <v>SendToStagingExport</v>
      </c>
      <c r="R404" s="25" t="str">
        <f>IFERROR(__xludf.DUMMYFUNCTION("""COMPUTED_VALUE"""),"RebalanceViaBloomberg")</f>
        <v>RebalanceViaBloomberg</v>
      </c>
      <c r="S404" s="25" t="str">
        <f>IFERROR(__xludf.DUMMYFUNCTION("""COMPUTED_VALUE"""),"AddUserAdjustedNAV")</f>
        <v>AddUserAdjustedNAV</v>
      </c>
      <c r="T404" s="25" t="str">
        <f>IFERROR(__xludf.DUMMYFUNCTION("""COMPUTED_VALUE"""),"SymbologyChangeRB")</f>
        <v>SymbologyChangeRB</v>
      </c>
      <c r="U404" s="25" t="str">
        <f>IFERROR(__xludf.DUMMYFUNCTION("""COMPUTED_VALUE"""),"CloseRebalancer")</f>
        <v>CloseRebalancer</v>
      </c>
      <c r="V404" s="25" t="str">
        <f>IFERROR(__xludf.DUMMYFUNCTION("""COMPUTED_VALUE"""),"AddCustomCashUsingImport")</f>
        <v>AddCustomCashUsingImport</v>
      </c>
      <c r="W404" s="25" t="str">
        <f>IFERROR(__xludf.DUMMYFUNCTION("""COMPUTED_VALUE"""),"EditRebalanceGrid")</f>
        <v>EditRebalanceGrid</v>
      </c>
      <c r="X404" s="25" t="str">
        <f>IFERROR(__xludf.DUMMYFUNCTION("""COMPUTED_VALUE"""),"SaveTradeList")</f>
        <v>SaveTradeList</v>
      </c>
      <c r="Y404" s="25" t="str">
        <f>IFERROR(__xludf.DUMMYFUNCTION("""COMPUTED_VALUE"""),"NavImpactingComponent")</f>
        <v>NavImpactingComponent</v>
      </c>
      <c r="Z404" s="25" t="str">
        <f>IFERROR(__xludf.DUMMYFUNCTION("""COMPUTED_VALUE"""),"ImportUsingRebalAccrossSec")</f>
        <v>ImportUsingRebalAccrossSec</v>
      </c>
      <c r="AA404" s="25" t="str">
        <f>IFERROR(__xludf.DUMMYFUNCTION("""COMPUTED_VALUE"""),"EditImportStatus")</f>
        <v>EditImportStatus</v>
      </c>
      <c r="AB404" s="25" t="str">
        <f>IFERROR(__xludf.DUMMYFUNCTION("""COMPUTED_VALUE"""),"SelectActionsOnImportStatus")</f>
        <v>SelectActionsOnImportStatus</v>
      </c>
      <c r="AC404" s="25" t="str">
        <f>IFERROR(__xludf.DUMMYFUNCTION("""COMPUTED_VALUE"""),"VerifyImportStatus")</f>
        <v>VerifyImportStatus</v>
      </c>
      <c r="AD404" s="25" t="str">
        <f>IFERROR(__xludf.DUMMYFUNCTION("""COMPUTED_VALUE"""),"AddNewModelPortfolio")</f>
        <v>AddNewModelPortfolio</v>
      </c>
      <c r="AE404" s="25" t="str">
        <f>IFERROR(__xludf.DUMMYFUNCTION("""COMPUTED_VALUE"""),"VerifyBuySellList")</f>
        <v>VerifyBuySellList</v>
      </c>
      <c r="AF404" s="25" t="str">
        <f>IFERROR(__xludf.DUMMYFUNCTION("""COMPUTED_VALUE"""),"CreateModelPortfolio")</f>
        <v>CreateModelPortfolio</v>
      </c>
      <c r="AG404" s="25" t="str">
        <f>IFERROR(__xludf.DUMMYFUNCTION("""COMPUTED_VALUE"""),"VerifyModelPortfolio")</f>
        <v>VerifyModelPortfolio</v>
      </c>
      <c r="AH404" s="25" t="str">
        <f>IFERROR(__xludf.DUMMYFUNCTION("""COMPUTED_VALUE"""),"SelectAndVerifyTradeList")</f>
        <v>SelectAndVerifyTradeList</v>
      </c>
      <c r="AI404" s="25" t="str">
        <f>IFERROR(__xludf.DUMMYFUNCTION("""COMPUTED_VALUE"""),"ActionOnTradeBuySellListView")</f>
        <v>ActionOnTradeBuySellListView</v>
      </c>
      <c r="AJ404" s="25" t="str">
        <f>IFERROR(__xludf.DUMMYFUNCTION("""COMPUTED_VALUE"""),"ActionOnTradeBuySellListView")</f>
        <v>ActionOnTradeBuySellListView</v>
      </c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</row>
    <row r="405" ht="15.75" customHeight="1">
      <c r="A405" s="26" t="str">
        <f>IFERROR(__xludf.DUMMYFUNCTION("TRANSPOSE(IMPORTRANGE(VLOOKUP($E$3,IMPORTRANGE('_Settings'!$B$3,$C$3&amp;""!A4:B1000""),2,FALSE),$G$3&amp;""!A4:A1000""))"),"")</f>
      </c>
      <c r="B405" s="27" t="str">
        <f>IFERROR(__xludf.DUMMYFUNCTION("""COMPUTED_VALUE"""),"Account")</f>
        <v>Account</v>
      </c>
      <c r="C405" s="27" t="str">
        <f>IFERROR(__xludf.DUMMYFUNCTION("""COMPUTED_VALUE"""),"Side")</f>
        <v>Side</v>
      </c>
      <c r="D405" s="27" t="str">
        <f>IFERROR(__xludf.DUMMYFUNCTION("""COMPUTED_VALUE"""),"Symbol")</f>
        <v>Symbol</v>
      </c>
      <c r="E405" s="27" t="str">
        <f>IFERROR(__xludf.DUMMYFUNCTION("""COMPUTED_VALUE"""),"Quantity")</f>
        <v>Quantity</v>
      </c>
      <c r="F405" s="28" t="str">
        <f>IFERROR(__xludf.DUMMYFUNCTION("""COMPUTED_VALUE"""),"Price (Local)")</f>
        <v>Price (Local)</v>
      </c>
      <c r="G405" s="27" t="str">
        <f>IFERROR(__xludf.DUMMYFUNCTION("""COMPUTED_VALUE"""),"Buy/Sell Value (Base)")</f>
        <v>Buy/Sell Value (Base)</v>
      </c>
      <c r="H405" s="27" t="str">
        <f>IFERROR(__xludf.DUMMYFUNCTION("""COMPUTED_VALUE"""),"Comments")</f>
        <v>Comments</v>
      </c>
      <c r="I405" s="27" t="str">
        <f>IFERROR(__xludf.DUMMYFUNCTION("""COMPUTED_VALUE"""),"SendToStaging")</f>
        <v>SendToStaging</v>
      </c>
      <c r="J405" s="27" t="str">
        <f>IFERROR(__xludf.DUMMYFUNCTION("""COMPUTED_VALUE"""),"Use Custodian Broker")</f>
        <v>Use Custodian Broker</v>
      </c>
      <c r="K405" s="27"/>
      <c r="L405" s="27"/>
      <c r="M405" s="27"/>
      <c r="N405" s="27"/>
      <c r="O405" s="27"/>
      <c r="P405" s="27"/>
      <c r="Q405" s="27"/>
      <c r="R405" s="27"/>
      <c r="S405" s="27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s="29"/>
      <c r="EE405" s="29"/>
      <c r="EF405" s="29"/>
      <c r="EG405" s="29"/>
      <c r="EH405" s="29"/>
      <c r="EI405" s="29"/>
      <c r="EJ405" s="29"/>
      <c r="EK405" s="29"/>
      <c r="EL405" s="29"/>
      <c r="EM405" s="29"/>
      <c r="EN405" s="29"/>
      <c r="EO405" s="29"/>
      <c r="EP405" s="29"/>
      <c r="EQ405" s="29"/>
      <c r="ER405" s="29"/>
      <c r="ES405" s="29"/>
      <c r="ET405" s="29"/>
      <c r="EU405" s="29"/>
      <c r="EV405" s="29"/>
      <c r="EW405" s="29"/>
      <c r="EX405" s="29"/>
    </row>
    <row r="406" ht="15.75" customHeight="1">
      <c r="A406" s="12"/>
      <c r="B406" s="48" t="s">
        <v>59</v>
      </c>
      <c r="C406" s="48" t="s">
        <v>31</v>
      </c>
      <c r="D406" s="48" t="s">
        <v>24</v>
      </c>
      <c r="E406" s="49">
        <v>500</v>
      </c>
      <c r="F406" s="49">
        <v>25</v>
      </c>
      <c r="G406" s="50">
        <v>13235</v>
      </c>
      <c r="H406" s="49">
        <v>13235</v>
      </c>
      <c r="I406" s="8"/>
      <c r="J406" s="8"/>
      <c r="K406" s="8"/>
      <c r="L406" s="8"/>
      <c r="M406" s="8"/>
      <c r="N406" s="8"/>
      <c r="O406" s="8"/>
    </row>
    <row r="407" ht="15.75" customHeight="1">
      <c r="A407" s="8"/>
      <c r="B407" s="48" t="s">
        <v>59</v>
      </c>
      <c r="C407" s="48" t="s">
        <v>31</v>
      </c>
      <c r="D407" s="48">
        <v>123456789</v>
      </c>
      <c r="E407" s="49">
        <v>60062</v>
      </c>
      <c r="F407" s="49">
        <v>25</v>
      </c>
      <c r="G407" s="50">
        <v>15016</v>
      </c>
      <c r="H407" s="49">
        <v>5000</v>
      </c>
      <c r="I407" s="8"/>
      <c r="J407" s="8"/>
      <c r="K407" s="8"/>
      <c r="L407" s="8"/>
      <c r="M407" s="8"/>
      <c r="N407" s="8"/>
      <c r="O407" s="8"/>
    </row>
    <row r="408" ht="15.75" customHeight="1">
      <c r="A408" s="8"/>
      <c r="B408" s="48" t="s">
        <v>59</v>
      </c>
      <c r="C408" s="48" t="s">
        <v>90</v>
      </c>
      <c r="D408" s="48" t="s">
        <v>34</v>
      </c>
      <c r="E408" s="49">
        <v>100104</v>
      </c>
      <c r="F408" s="49">
        <v>5</v>
      </c>
      <c r="G408" s="50">
        <v>-5005</v>
      </c>
      <c r="H408" s="49">
        <v>15015.5</v>
      </c>
      <c r="I408" s="8"/>
      <c r="J408" s="8"/>
      <c r="K408" s="8"/>
      <c r="L408" s="8"/>
      <c r="M408" s="8"/>
      <c r="N408" s="8"/>
      <c r="O408" s="8"/>
    </row>
    <row r="409" ht="15.75" customHeight="1">
      <c r="A409" s="8"/>
      <c r="B409" s="48" t="s">
        <v>59</v>
      </c>
      <c r="C409" s="48" t="s">
        <v>31</v>
      </c>
      <c r="D409" s="48" t="s">
        <v>28</v>
      </c>
      <c r="E409" s="49">
        <v>500</v>
      </c>
      <c r="F409" s="49">
        <v>10</v>
      </c>
      <c r="G409" s="50">
        <v>5000</v>
      </c>
      <c r="H409" s="49">
        <v>-1000</v>
      </c>
      <c r="I409" s="8"/>
      <c r="J409" s="8"/>
      <c r="K409" s="8"/>
      <c r="L409" s="8"/>
      <c r="M409" s="8"/>
      <c r="N409" s="8"/>
      <c r="O409" s="8"/>
    </row>
    <row r="410" ht="15.75" customHeight="1">
      <c r="A410" s="8"/>
      <c r="B410" s="48" t="s">
        <v>59</v>
      </c>
      <c r="C410" s="48" t="s">
        <v>90</v>
      </c>
      <c r="D410" s="48" t="s">
        <v>27</v>
      </c>
      <c r="E410" s="49">
        <v>50</v>
      </c>
      <c r="F410" s="49">
        <v>20</v>
      </c>
      <c r="G410" s="50">
        <v>-1000</v>
      </c>
      <c r="H410" s="49">
        <v>-5000</v>
      </c>
      <c r="I410" s="8"/>
      <c r="J410" s="8"/>
      <c r="K410" s="8"/>
      <c r="L410" s="8"/>
      <c r="M410" s="8"/>
      <c r="N410" s="8"/>
      <c r="O410" s="8"/>
    </row>
    <row r="411" ht="15.75" customHeight="1">
      <c r="A411" s="8"/>
      <c r="B411" s="48" t="s">
        <v>59</v>
      </c>
      <c r="C411" s="48" t="s">
        <v>90</v>
      </c>
      <c r="D411" s="48" t="s">
        <v>25</v>
      </c>
      <c r="E411" s="49">
        <v>50</v>
      </c>
      <c r="F411" s="49">
        <v>30</v>
      </c>
      <c r="G411" s="50">
        <v>-1830</v>
      </c>
      <c r="H411" s="49">
        <v>4000</v>
      </c>
      <c r="I411" s="8"/>
      <c r="J411" s="8"/>
      <c r="K411" s="8"/>
      <c r="L411" s="8"/>
      <c r="M411" s="8"/>
      <c r="N411" s="8"/>
      <c r="O411" s="8"/>
    </row>
    <row r="412" ht="15.75" customHeight="1">
      <c r="A412" s="8"/>
      <c r="B412" s="48" t="s">
        <v>59</v>
      </c>
      <c r="C412" s="48" t="s">
        <v>90</v>
      </c>
      <c r="D412" s="48" t="s">
        <v>26</v>
      </c>
      <c r="E412" s="49">
        <v>500</v>
      </c>
      <c r="F412" s="49">
        <v>10</v>
      </c>
      <c r="G412" s="50">
        <v>-5000</v>
      </c>
      <c r="H412" s="49">
        <v>-5005.2</v>
      </c>
      <c r="I412" s="8"/>
      <c r="J412" s="8"/>
      <c r="K412" s="8"/>
      <c r="L412" s="8"/>
      <c r="M412" s="8"/>
      <c r="N412" s="8"/>
      <c r="O412" s="8"/>
    </row>
    <row r="413" ht="15.75" customHeight="1">
      <c r="A413" s="8"/>
      <c r="B413" s="48" t="s">
        <v>59</v>
      </c>
      <c r="C413" s="48" t="s">
        <v>31</v>
      </c>
      <c r="D413" s="48" t="s">
        <v>23</v>
      </c>
      <c r="E413" s="49">
        <v>500</v>
      </c>
      <c r="F413" s="49">
        <v>8</v>
      </c>
      <c r="G413" s="50">
        <v>4000</v>
      </c>
      <c r="H413" s="49">
        <v>-1830</v>
      </c>
      <c r="I413" s="8"/>
      <c r="J413" s="8"/>
      <c r="K413" s="8"/>
      <c r="L413" s="8"/>
      <c r="M413" s="8"/>
      <c r="N413" s="8"/>
      <c r="O413" s="8"/>
    </row>
    <row r="414" ht="15.75" customHeight="1">
      <c r="A414" s="8"/>
      <c r="B414" s="48" t="s">
        <v>59</v>
      </c>
      <c r="C414" s="48" t="s">
        <v>31</v>
      </c>
      <c r="D414" s="48" t="s">
        <v>85</v>
      </c>
      <c r="E414" s="49">
        <v>61</v>
      </c>
      <c r="F414" s="49">
        <v>10</v>
      </c>
      <c r="G414" s="49">
        <v>610</v>
      </c>
      <c r="H414" s="49">
        <v>610</v>
      </c>
      <c r="I414" s="8"/>
      <c r="J414" s="8"/>
      <c r="K414" s="8"/>
      <c r="L414" s="8"/>
      <c r="M414" s="8"/>
      <c r="N414" s="8"/>
      <c r="O414" s="8"/>
    </row>
    <row r="415" ht="15.75" customHeight="1">
      <c r="A415" s="8"/>
      <c r="B415" s="51"/>
      <c r="C415" s="51"/>
      <c r="D415" s="51"/>
      <c r="E415" s="51"/>
      <c r="F415" s="51"/>
      <c r="G415" s="51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A416" s="8"/>
      <c r="B416" s="8"/>
      <c r="C416" s="8"/>
      <c r="D416" s="8"/>
      <c r="E416" s="8"/>
      <c r="F416" s="8"/>
      <c r="G416" s="52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A417" s="8"/>
      <c r="B417" s="8"/>
      <c r="C417" s="8"/>
      <c r="D417" s="8"/>
      <c r="E417" s="8"/>
      <c r="F417" s="8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A418" s="8"/>
      <c r="B418" s="8"/>
      <c r="C418" s="8"/>
      <c r="D418" s="8"/>
      <c r="E418" s="8"/>
      <c r="F418" s="8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A419" s="8"/>
      <c r="B419" s="8"/>
      <c r="C419" s="8"/>
      <c r="D419" s="8"/>
      <c r="E419" s="8"/>
      <c r="F419" s="8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A420" s="8"/>
      <c r="B420" s="8"/>
      <c r="C420" s="8"/>
      <c r="D420" s="8"/>
      <c r="E420" s="8"/>
      <c r="F420" s="8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A421" s="8"/>
      <c r="B421" s="8"/>
      <c r="C421" s="8"/>
      <c r="D421" s="8"/>
      <c r="E421" s="8"/>
      <c r="F421" s="8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A422" s="8"/>
      <c r="B422" s="8"/>
      <c r="C422" s="8"/>
      <c r="D422" s="8"/>
      <c r="E422" s="8"/>
      <c r="F422" s="8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A423" s="8"/>
      <c r="B423" s="8"/>
      <c r="C423" s="8"/>
      <c r="D423" s="8"/>
      <c r="E423" s="8"/>
      <c r="F423" s="8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A424" s="8"/>
      <c r="B424" s="8"/>
      <c r="C424" s="8"/>
      <c r="D424" s="8"/>
      <c r="E424" s="8"/>
      <c r="F424" s="8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A425" s="8"/>
      <c r="B425" s="8"/>
      <c r="C425" s="8"/>
      <c r="D425" s="8"/>
      <c r="E425" s="8"/>
      <c r="F425" s="8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>
      <c r="A501" s="18"/>
      <c r="B501" s="1" t="s">
        <v>11</v>
      </c>
      <c r="C501" s="2"/>
      <c r="D501" s="2"/>
      <c r="E501" s="2"/>
      <c r="F501" s="2"/>
      <c r="G501" s="2"/>
      <c r="H501" s="3"/>
      <c r="I501" s="18"/>
      <c r="J501" s="18"/>
      <c r="K501" s="18"/>
      <c r="L501" s="18"/>
      <c r="M501" s="18"/>
      <c r="N501" s="18"/>
      <c r="O501" s="18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  <c r="EP501" s="19"/>
      <c r="EQ501" s="19"/>
      <c r="ER501" s="19"/>
      <c r="ES501" s="19"/>
      <c r="ET501" s="19"/>
      <c r="EU501" s="19"/>
      <c r="EV501" s="19"/>
      <c r="EW501" s="19"/>
      <c r="EX501" s="19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20" t="str">
        <f> VLOOKUP($E$3,'_MasterData'!B504:D1500,3,FALSE)</f>
        <v>#N/A</v>
      </c>
      <c r="K502" s="20"/>
      <c r="L502" s="8"/>
      <c r="M502" s="8"/>
      <c r="N502" s="8"/>
      <c r="O502" s="8"/>
    </row>
    <row r="503" ht="15.75" customHeight="1">
      <c r="A503" s="21"/>
      <c r="B503" s="5" t="s">
        <v>8</v>
      </c>
      <c r="C503" s="22" t="s">
        <v>74</v>
      </c>
      <c r="D503" s="5" t="s">
        <v>9</v>
      </c>
      <c r="E503" s="22" t="s">
        <v>89</v>
      </c>
      <c r="F503" s="5" t="s">
        <v>14</v>
      </c>
      <c r="G503" s="13" t="s">
        <v>15</v>
      </c>
      <c r="H503" s="5"/>
      <c r="I503" s="21"/>
      <c r="J503" s="21"/>
      <c r="K503" s="21"/>
      <c r="L503" s="21"/>
      <c r="M503" s="21"/>
      <c r="N503" s="21"/>
      <c r="O503" s="21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</row>
    <row r="504" ht="15.75" customHeight="1">
      <c r="A504" s="24"/>
      <c r="B504" s="24" t="str">
        <f>IFERROR(__xludf.DUMMYFUNCTION("IF(C503="""","""",Transpose(IMPORTRANGE('_Settings'!$B$3,C503&amp;""!A4:A1000"")))"),"FetchAccountPositions")</f>
        <v>FetchAccountPositions</v>
      </c>
      <c r="C504" s="24" t="str">
        <f>IFERROR(__xludf.DUMMYFUNCTION("""COMPUTED_VALUE"""),"AddCash")</f>
        <v>AddCash</v>
      </c>
      <c r="D504" s="24" t="str">
        <f>IFERROR(__xludf.DUMMYFUNCTION("""COMPUTED_VALUE"""),"VerifyGridData")</f>
        <v>VerifyGridData</v>
      </c>
      <c r="E504" s="24" t="str">
        <f>IFERROR(__xludf.DUMMYFUNCTION("""COMPUTED_VALUE"""),"RunRebalance")</f>
        <v>RunRebalance</v>
      </c>
      <c r="F504" s="24" t="str">
        <f>IFERROR(__xludf.DUMMYFUNCTION("""COMPUTED_VALUE"""),"EnableComplianceTab")</f>
        <v>EnableComplianceTab</v>
      </c>
      <c r="G504" s="24" t="str">
        <f>IFERROR(__xludf.DUMMYFUNCTION("""COMPUTED_VALUE"""),"RebalancePreference")</f>
        <v>RebalancePreference</v>
      </c>
      <c r="H504" s="24" t="str">
        <f>IFERROR(__xludf.DUMMYFUNCTION("""COMPUTED_VALUE"""),"ImportModelPortfolio")</f>
        <v>ImportModelPortfolio</v>
      </c>
      <c r="I504" s="24" t="str">
        <f>IFERROR(__xludf.DUMMYFUNCTION("""COMPUTED_VALUE"""),"RebalanceAcrossSecurities")</f>
        <v>RebalanceAcrossSecurities</v>
      </c>
      <c r="J504" s="24" t="str">
        <f>IFERROR(__xludf.DUMMYFUNCTION("""COMPUTED_VALUE"""),"CheckBasketCompliance")</f>
        <v>CheckBasketCompliance</v>
      </c>
      <c r="K504" s="24" t="str">
        <f>IFERROR(__xludf.DUMMYFUNCTION("""COMPUTED_VALUE"""),"ClearCalculations")</f>
        <v>ClearCalculations</v>
      </c>
      <c r="L504" s="24" t="str">
        <f>IFERROR(__xludf.DUMMYFUNCTION("""COMPUTED_VALUE"""),"ModifyRebalance")</f>
        <v>ModifyRebalance</v>
      </c>
      <c r="M504" s="24" t="str">
        <f>IFERROR(__xludf.DUMMYFUNCTION("""COMPUTED_VALUE"""),"ModelPortfolio")</f>
        <v>ModelPortfolio</v>
      </c>
      <c r="N504" s="24" t="str">
        <f>IFERROR(__xludf.DUMMYFUNCTION("""COMPUTED_VALUE"""),"LockandUnlockGridData")</f>
        <v>LockandUnlockGridData</v>
      </c>
      <c r="O504" s="24" t="str">
        <f>IFERROR(__xludf.DUMMYFUNCTION("""COMPUTED_VALUE"""),"RefreshGridData")</f>
        <v>RefreshGridData</v>
      </c>
      <c r="P504" s="25" t="str">
        <f>IFERROR(__xludf.DUMMYFUNCTION("""COMPUTED_VALUE"""),"SendtoStaging")</f>
        <v>SendtoStaging</v>
      </c>
      <c r="Q504" s="25" t="str">
        <f>IFERROR(__xludf.DUMMYFUNCTION("""COMPUTED_VALUE"""),"SendToStagingExport")</f>
        <v>SendToStagingExport</v>
      </c>
      <c r="R504" s="25" t="str">
        <f>IFERROR(__xludf.DUMMYFUNCTION("""COMPUTED_VALUE"""),"RebalanceViaBloomberg")</f>
        <v>RebalanceViaBloomberg</v>
      </c>
      <c r="S504" s="25" t="str">
        <f>IFERROR(__xludf.DUMMYFUNCTION("""COMPUTED_VALUE"""),"AddUserAdjustedNAV")</f>
        <v>AddUserAdjustedNAV</v>
      </c>
      <c r="T504" s="25" t="str">
        <f>IFERROR(__xludf.DUMMYFUNCTION("""COMPUTED_VALUE"""),"SymbologyChangeRB")</f>
        <v>SymbologyChangeRB</v>
      </c>
      <c r="U504" s="25" t="str">
        <f>IFERROR(__xludf.DUMMYFUNCTION("""COMPUTED_VALUE"""),"CloseRebalancer")</f>
        <v>CloseRebalancer</v>
      </c>
      <c r="V504" s="25" t="str">
        <f>IFERROR(__xludf.DUMMYFUNCTION("""COMPUTED_VALUE"""),"AddCustomCashUsingImport")</f>
        <v>AddCustomCashUsingImport</v>
      </c>
      <c r="W504" s="25" t="str">
        <f>IFERROR(__xludf.DUMMYFUNCTION("""COMPUTED_VALUE"""),"EditRebalanceGrid")</f>
        <v>EditRebalanceGrid</v>
      </c>
      <c r="X504" s="25" t="str">
        <f>IFERROR(__xludf.DUMMYFUNCTION("""COMPUTED_VALUE"""),"SaveTradeList")</f>
        <v>SaveTradeList</v>
      </c>
      <c r="Y504" s="25" t="str">
        <f>IFERROR(__xludf.DUMMYFUNCTION("""COMPUTED_VALUE"""),"NavImpactingComponent")</f>
        <v>NavImpactingComponent</v>
      </c>
      <c r="Z504" s="25" t="str">
        <f>IFERROR(__xludf.DUMMYFUNCTION("""COMPUTED_VALUE"""),"ImportUsingRebalAccrossSec")</f>
        <v>ImportUsingRebalAccrossSec</v>
      </c>
      <c r="AA504" s="25" t="str">
        <f>IFERROR(__xludf.DUMMYFUNCTION("""COMPUTED_VALUE"""),"EditImportStatus")</f>
        <v>EditImportStatus</v>
      </c>
      <c r="AB504" s="25" t="str">
        <f>IFERROR(__xludf.DUMMYFUNCTION("""COMPUTED_VALUE"""),"SelectActionsOnImportStatus")</f>
        <v>SelectActionsOnImportStatus</v>
      </c>
      <c r="AC504" s="25" t="str">
        <f>IFERROR(__xludf.DUMMYFUNCTION("""COMPUTED_VALUE"""),"VerifyImportStatus")</f>
        <v>VerifyImportStatus</v>
      </c>
      <c r="AD504" s="25" t="str">
        <f>IFERROR(__xludf.DUMMYFUNCTION("""COMPUTED_VALUE"""),"AddNewModelPortfolio")</f>
        <v>AddNewModelPortfolio</v>
      </c>
      <c r="AE504" s="25" t="str">
        <f>IFERROR(__xludf.DUMMYFUNCTION("""COMPUTED_VALUE"""),"VerifyBuySellList")</f>
        <v>VerifyBuySellList</v>
      </c>
      <c r="AF504" s="25" t="str">
        <f>IFERROR(__xludf.DUMMYFUNCTION("""COMPUTED_VALUE"""),"CreateModelPortfolio")</f>
        <v>CreateModelPortfolio</v>
      </c>
      <c r="AG504" s="25" t="str">
        <f>IFERROR(__xludf.DUMMYFUNCTION("""COMPUTED_VALUE"""),"VerifyModelPortfolio")</f>
        <v>VerifyModelPortfolio</v>
      </c>
      <c r="AH504" s="25" t="str">
        <f>IFERROR(__xludf.DUMMYFUNCTION("""COMPUTED_VALUE"""),"SelectAndVerifyTradeList")</f>
        <v>SelectAndVerifyTradeList</v>
      </c>
      <c r="AI504" s="25" t="str">
        <f>IFERROR(__xludf.DUMMYFUNCTION("""COMPUTED_VALUE"""),"ActionOnTradeBuySellListView")</f>
        <v>ActionOnTradeBuySellListView</v>
      </c>
      <c r="AJ504" s="25" t="str">
        <f>IFERROR(__xludf.DUMMYFUNCTION("""COMPUTED_VALUE"""),"ActionOnTradeBuySellListView")</f>
        <v>ActionOnTradeBuySellListView</v>
      </c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  <c r="EX504" s="25"/>
    </row>
    <row r="505" ht="15.75" customHeight="1">
      <c r="A505" s="26" t="str">
        <f>IFERROR(__xludf.DUMMYFUNCTION("TRANSPOSE(IMPORTRANGE(VLOOKUP($E$3,IMPORTRANGE('_Settings'!$B$3,$C$3&amp;""!A4:B1000""),2,FALSE),$G$3&amp;""!A4:A1000""))"),"")</f>
      </c>
      <c r="B505" s="27" t="str">
        <f>IFERROR(__xludf.DUMMYFUNCTION("""COMPUTED_VALUE"""),"Account")</f>
        <v>Account</v>
      </c>
      <c r="C505" s="27" t="str">
        <f>IFERROR(__xludf.DUMMYFUNCTION("""COMPUTED_VALUE"""),"Side")</f>
        <v>Side</v>
      </c>
      <c r="D505" s="27" t="str">
        <f>IFERROR(__xludf.DUMMYFUNCTION("""COMPUTED_VALUE"""),"Symbol")</f>
        <v>Symbol</v>
      </c>
      <c r="E505" s="27" t="str">
        <f>IFERROR(__xludf.DUMMYFUNCTION("""COMPUTED_VALUE"""),"Quantity")</f>
        <v>Quantity</v>
      </c>
      <c r="F505" s="28" t="str">
        <f>IFERROR(__xludf.DUMMYFUNCTION("""COMPUTED_VALUE"""),"Price (Local)")</f>
        <v>Price (Local)</v>
      </c>
      <c r="G505" s="27" t="str">
        <f>IFERROR(__xludf.DUMMYFUNCTION("""COMPUTED_VALUE"""),"Buy/Sell Value (Base)")</f>
        <v>Buy/Sell Value (Base)</v>
      </c>
      <c r="H505" s="27" t="str">
        <f>IFERROR(__xludf.DUMMYFUNCTION("""COMPUTED_VALUE"""),"Comments")</f>
        <v>Comments</v>
      </c>
      <c r="I505" s="27" t="str">
        <f>IFERROR(__xludf.DUMMYFUNCTION("""COMPUTED_VALUE"""),"SendToStaging")</f>
        <v>SendToStaging</v>
      </c>
      <c r="J505" s="27" t="str">
        <f>IFERROR(__xludf.DUMMYFUNCTION("""COMPUTED_VALUE"""),"Use Custodian Broker")</f>
        <v>Use Custodian Broker</v>
      </c>
      <c r="K505" s="27"/>
      <c r="L505" s="27"/>
      <c r="M505" s="27"/>
      <c r="N505" s="27"/>
      <c r="O505" s="27"/>
      <c r="P505" s="27"/>
      <c r="Q505" s="27"/>
      <c r="R505" s="27"/>
      <c r="S505" s="27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s="29"/>
      <c r="EE505" s="29"/>
      <c r="EF505" s="29"/>
      <c r="EG505" s="29"/>
      <c r="EH505" s="29"/>
      <c r="EI505" s="29"/>
      <c r="EJ505" s="29"/>
      <c r="EK505" s="29"/>
      <c r="EL505" s="29"/>
      <c r="EM505" s="29"/>
      <c r="EN505" s="29"/>
      <c r="EO505" s="29"/>
      <c r="EP505" s="29"/>
      <c r="EQ505" s="29"/>
      <c r="ER505" s="29"/>
      <c r="ES505" s="29"/>
      <c r="ET505" s="29"/>
      <c r="EU505" s="29"/>
      <c r="EV505" s="29"/>
      <c r="EW505" s="29"/>
      <c r="EX505" s="29"/>
    </row>
    <row r="506" ht="15.75" customHeight="1">
      <c r="A506" s="12"/>
      <c r="B506" s="48" t="s">
        <v>59</v>
      </c>
      <c r="C506" s="48" t="s">
        <v>31</v>
      </c>
      <c r="D506" s="48" t="s">
        <v>24</v>
      </c>
      <c r="E506" s="49">
        <v>500</v>
      </c>
      <c r="F506" s="49">
        <v>25</v>
      </c>
      <c r="G506" s="50">
        <v>13235</v>
      </c>
      <c r="H506" s="49">
        <v>13235</v>
      </c>
      <c r="I506" s="8"/>
      <c r="J506" s="8"/>
      <c r="K506" s="8"/>
      <c r="L506" s="8"/>
      <c r="M506" s="8"/>
      <c r="N506" s="8"/>
      <c r="O506" s="8"/>
    </row>
    <row r="507" ht="15.75" customHeight="1">
      <c r="A507" s="8"/>
      <c r="B507" s="48" t="s">
        <v>59</v>
      </c>
      <c r="C507" s="48" t="s">
        <v>31</v>
      </c>
      <c r="D507" s="48">
        <v>123456789</v>
      </c>
      <c r="E507" s="49">
        <v>60062</v>
      </c>
      <c r="F507" s="49">
        <v>25</v>
      </c>
      <c r="G507" s="50">
        <v>15016</v>
      </c>
      <c r="H507" s="49">
        <v>5000</v>
      </c>
      <c r="I507" s="8"/>
      <c r="J507" s="8"/>
      <c r="K507" s="8"/>
      <c r="L507" s="8"/>
      <c r="M507" s="8"/>
      <c r="N507" s="8"/>
      <c r="O507" s="8"/>
    </row>
    <row r="508" ht="15.75" customHeight="1">
      <c r="A508" s="8"/>
      <c r="B508" s="48" t="s">
        <v>59</v>
      </c>
      <c r="C508" s="48" t="s">
        <v>90</v>
      </c>
      <c r="D508" s="48" t="s">
        <v>34</v>
      </c>
      <c r="E508" s="49">
        <v>100104</v>
      </c>
      <c r="F508" s="49">
        <v>5</v>
      </c>
      <c r="G508" s="50">
        <v>-5005</v>
      </c>
      <c r="H508" s="49">
        <v>15015.5</v>
      </c>
      <c r="I508" s="8"/>
      <c r="J508" s="8"/>
      <c r="K508" s="8"/>
      <c r="L508" s="8"/>
      <c r="M508" s="8"/>
      <c r="N508" s="8"/>
      <c r="O508" s="8"/>
    </row>
    <row r="509" ht="15.75" customHeight="1">
      <c r="A509" s="8"/>
      <c r="B509" s="48" t="s">
        <v>59</v>
      </c>
      <c r="C509" s="48" t="s">
        <v>31</v>
      </c>
      <c r="D509" s="48" t="s">
        <v>28</v>
      </c>
      <c r="E509" s="49">
        <v>500</v>
      </c>
      <c r="F509" s="49">
        <v>10</v>
      </c>
      <c r="G509" s="50">
        <v>5000</v>
      </c>
      <c r="H509" s="49">
        <v>-1000</v>
      </c>
      <c r="I509" s="8"/>
      <c r="J509" s="8"/>
      <c r="K509" s="8"/>
      <c r="L509" s="8"/>
      <c r="M509" s="8"/>
      <c r="N509" s="8"/>
      <c r="O509" s="8"/>
    </row>
    <row r="510" ht="15.75" customHeight="1">
      <c r="A510" s="8"/>
      <c r="B510" s="48" t="s">
        <v>59</v>
      </c>
      <c r="C510" s="48" t="s">
        <v>90</v>
      </c>
      <c r="D510" s="48" t="s">
        <v>27</v>
      </c>
      <c r="E510" s="49">
        <v>50</v>
      </c>
      <c r="F510" s="49">
        <v>20</v>
      </c>
      <c r="G510" s="50">
        <v>-1000</v>
      </c>
      <c r="H510" s="49">
        <v>-5000</v>
      </c>
      <c r="I510" s="8"/>
      <c r="J510" s="8"/>
      <c r="K510" s="8"/>
      <c r="L510" s="8"/>
      <c r="M510" s="8"/>
      <c r="N510" s="8"/>
      <c r="O510" s="8"/>
    </row>
    <row r="511" ht="15.75" customHeight="1">
      <c r="A511" s="8"/>
      <c r="B511" s="48" t="s">
        <v>59</v>
      </c>
      <c r="C511" s="48" t="s">
        <v>90</v>
      </c>
      <c r="D511" s="48" t="s">
        <v>25</v>
      </c>
      <c r="E511" s="49">
        <v>50</v>
      </c>
      <c r="F511" s="49">
        <v>30</v>
      </c>
      <c r="G511" s="50">
        <v>-1830</v>
      </c>
      <c r="H511" s="49">
        <v>4000</v>
      </c>
      <c r="I511" s="8"/>
      <c r="J511" s="8"/>
      <c r="K511" s="8"/>
      <c r="L511" s="8"/>
      <c r="M511" s="8"/>
      <c r="N511" s="8"/>
      <c r="O511" s="8"/>
    </row>
    <row r="512" ht="15.75" customHeight="1">
      <c r="A512" s="8"/>
      <c r="B512" s="48" t="s">
        <v>59</v>
      </c>
      <c r="C512" s="48" t="s">
        <v>90</v>
      </c>
      <c r="D512" s="48" t="s">
        <v>26</v>
      </c>
      <c r="E512" s="49">
        <v>500</v>
      </c>
      <c r="F512" s="49">
        <v>10</v>
      </c>
      <c r="G512" s="50">
        <v>-5000</v>
      </c>
      <c r="H512" s="49">
        <v>-5005.2</v>
      </c>
      <c r="I512" s="8"/>
      <c r="J512" s="8"/>
      <c r="K512" s="8"/>
      <c r="L512" s="8"/>
      <c r="M512" s="8"/>
      <c r="N512" s="8"/>
      <c r="O512" s="8"/>
    </row>
    <row r="513" ht="15.75" customHeight="1">
      <c r="A513" s="8"/>
      <c r="B513" s="48" t="s">
        <v>59</v>
      </c>
      <c r="C513" s="48" t="s">
        <v>31</v>
      </c>
      <c r="D513" s="48" t="s">
        <v>23</v>
      </c>
      <c r="E513" s="49">
        <v>500</v>
      </c>
      <c r="F513" s="49">
        <v>8</v>
      </c>
      <c r="G513" s="50">
        <v>4000</v>
      </c>
      <c r="H513" s="49">
        <v>-1830</v>
      </c>
      <c r="I513" s="8"/>
      <c r="J513" s="8"/>
      <c r="K513" s="8"/>
      <c r="L513" s="8"/>
      <c r="M513" s="8"/>
      <c r="N513" s="8"/>
      <c r="O513" s="8"/>
    </row>
    <row r="514" ht="15.75" customHeight="1">
      <c r="A514" s="8"/>
      <c r="B514" s="48" t="s">
        <v>59</v>
      </c>
      <c r="C514" s="48" t="s">
        <v>31</v>
      </c>
      <c r="D514" s="48" t="s">
        <v>85</v>
      </c>
      <c r="E514" s="49">
        <v>61</v>
      </c>
      <c r="F514" s="49">
        <v>10</v>
      </c>
      <c r="G514" s="49">
        <v>610</v>
      </c>
      <c r="H514" s="49">
        <v>610</v>
      </c>
      <c r="I514" s="8"/>
      <c r="J514" s="8"/>
      <c r="K514" s="8"/>
      <c r="L514" s="8"/>
      <c r="M514" s="8"/>
      <c r="N514" s="8"/>
      <c r="O514" s="8"/>
    </row>
    <row r="515" ht="15.75" customHeight="1">
      <c r="A515" s="8"/>
      <c r="B515" s="51"/>
      <c r="C515" s="51"/>
      <c r="D515" s="51"/>
      <c r="E515" s="51"/>
      <c r="F515" s="51"/>
      <c r="G515" s="51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A516" s="8"/>
      <c r="B516" s="8"/>
      <c r="C516" s="8"/>
      <c r="D516" s="8"/>
      <c r="E516" s="8"/>
      <c r="F516" s="8"/>
      <c r="G516" s="52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A517" s="8"/>
      <c r="B517" s="8"/>
      <c r="C517" s="8"/>
      <c r="D517" s="8"/>
      <c r="E517" s="8"/>
      <c r="F517" s="8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A518" s="8"/>
      <c r="B518" s="8"/>
      <c r="C518" s="8"/>
      <c r="D518" s="8"/>
      <c r="E518" s="8"/>
      <c r="F518" s="8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A519" s="8"/>
      <c r="B519" s="8"/>
      <c r="C519" s="8"/>
      <c r="D519" s="8"/>
      <c r="E519" s="8"/>
      <c r="F519" s="8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A520" s="8"/>
      <c r="B520" s="8"/>
      <c r="C520" s="8"/>
      <c r="D520" s="8"/>
      <c r="E520" s="8"/>
      <c r="F520" s="8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A521" s="8"/>
      <c r="B521" s="8"/>
      <c r="C521" s="8"/>
      <c r="D521" s="8"/>
      <c r="E521" s="8"/>
      <c r="F521" s="8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A522" s="8"/>
      <c r="B522" s="8"/>
      <c r="C522" s="8"/>
      <c r="D522" s="8"/>
      <c r="E522" s="8"/>
      <c r="F522" s="8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A523" s="8"/>
      <c r="B523" s="8"/>
      <c r="C523" s="8"/>
      <c r="D523" s="8"/>
      <c r="E523" s="8"/>
      <c r="F523" s="8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A524" s="8"/>
      <c r="B524" s="8"/>
      <c r="C524" s="8"/>
      <c r="D524" s="8"/>
      <c r="E524" s="8"/>
      <c r="F524" s="8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A525" s="8"/>
      <c r="B525" s="8"/>
      <c r="C525" s="8"/>
      <c r="D525" s="8"/>
      <c r="E525" s="8"/>
      <c r="F525" s="8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>
      <c r="A601" s="18"/>
      <c r="B601" s="1" t="s">
        <v>11</v>
      </c>
      <c r="C601" s="2"/>
      <c r="D601" s="2"/>
      <c r="E601" s="2"/>
      <c r="F601" s="2"/>
      <c r="G601" s="2"/>
      <c r="H601" s="3"/>
      <c r="I601" s="18"/>
      <c r="J601" s="18"/>
      <c r="K601" s="18"/>
      <c r="L601" s="18"/>
      <c r="M601" s="18"/>
      <c r="N601" s="18"/>
      <c r="O601" s="18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19"/>
      <c r="ED601" s="19"/>
      <c r="EE601" s="19"/>
      <c r="EF601" s="19"/>
      <c r="EG601" s="19"/>
      <c r="EH601" s="19"/>
      <c r="EI601" s="19"/>
      <c r="EJ601" s="19"/>
      <c r="EK601" s="19"/>
      <c r="EL601" s="19"/>
      <c r="EM601" s="19"/>
      <c r="EN601" s="19"/>
      <c r="EO601" s="19"/>
      <c r="EP601" s="19"/>
      <c r="EQ601" s="19"/>
      <c r="ER601" s="19"/>
      <c r="ES601" s="19"/>
      <c r="ET601" s="19"/>
      <c r="EU601" s="19"/>
      <c r="EV601" s="19"/>
      <c r="EW601" s="19"/>
      <c r="EX601" s="19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20" t="str">
        <f> VLOOKUP($E$3,'_MasterData'!B604:D1600,3,FALSE)</f>
        <v>#N/A</v>
      </c>
      <c r="K602" s="20"/>
      <c r="L602" s="8"/>
      <c r="M602" s="8"/>
      <c r="N602" s="8"/>
      <c r="O602" s="8"/>
    </row>
    <row r="603" ht="15.75" customHeight="1">
      <c r="A603" s="21"/>
      <c r="B603" s="5" t="s">
        <v>8</v>
      </c>
      <c r="C603" s="22" t="s">
        <v>74</v>
      </c>
      <c r="D603" s="5" t="s">
        <v>9</v>
      </c>
      <c r="E603" s="22" t="s">
        <v>89</v>
      </c>
      <c r="F603" s="5" t="s">
        <v>14</v>
      </c>
      <c r="G603" s="13" t="s">
        <v>15</v>
      </c>
      <c r="H603" s="5"/>
      <c r="I603" s="21"/>
      <c r="J603" s="21"/>
      <c r="K603" s="21"/>
      <c r="L603" s="21"/>
      <c r="M603" s="21"/>
      <c r="N603" s="21"/>
      <c r="O603" s="21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</row>
    <row r="604" ht="15.75" customHeight="1">
      <c r="A604" s="24"/>
      <c r="B604" s="24" t="str">
        <f>IFERROR(__xludf.DUMMYFUNCTION("IF(C603="""","""",Transpose(IMPORTRANGE('_Settings'!$B$3,C603&amp;""!A4:A1000"")))"),"FetchAccountPositions")</f>
        <v>FetchAccountPositions</v>
      </c>
      <c r="C604" s="24" t="str">
        <f>IFERROR(__xludf.DUMMYFUNCTION("""COMPUTED_VALUE"""),"AddCash")</f>
        <v>AddCash</v>
      </c>
      <c r="D604" s="24" t="str">
        <f>IFERROR(__xludf.DUMMYFUNCTION("""COMPUTED_VALUE"""),"VerifyGridData")</f>
        <v>VerifyGridData</v>
      </c>
      <c r="E604" s="24" t="str">
        <f>IFERROR(__xludf.DUMMYFUNCTION("""COMPUTED_VALUE"""),"RunRebalance")</f>
        <v>RunRebalance</v>
      </c>
      <c r="F604" s="24" t="str">
        <f>IFERROR(__xludf.DUMMYFUNCTION("""COMPUTED_VALUE"""),"EnableComplianceTab")</f>
        <v>EnableComplianceTab</v>
      </c>
      <c r="G604" s="24" t="str">
        <f>IFERROR(__xludf.DUMMYFUNCTION("""COMPUTED_VALUE"""),"RebalancePreference")</f>
        <v>RebalancePreference</v>
      </c>
      <c r="H604" s="24" t="str">
        <f>IFERROR(__xludf.DUMMYFUNCTION("""COMPUTED_VALUE"""),"ImportModelPortfolio")</f>
        <v>ImportModelPortfolio</v>
      </c>
      <c r="I604" s="24" t="str">
        <f>IFERROR(__xludf.DUMMYFUNCTION("""COMPUTED_VALUE"""),"RebalanceAcrossSecurities")</f>
        <v>RebalanceAcrossSecurities</v>
      </c>
      <c r="J604" s="24" t="str">
        <f>IFERROR(__xludf.DUMMYFUNCTION("""COMPUTED_VALUE"""),"CheckBasketCompliance")</f>
        <v>CheckBasketCompliance</v>
      </c>
      <c r="K604" s="24" t="str">
        <f>IFERROR(__xludf.DUMMYFUNCTION("""COMPUTED_VALUE"""),"ClearCalculations")</f>
        <v>ClearCalculations</v>
      </c>
      <c r="L604" s="24" t="str">
        <f>IFERROR(__xludf.DUMMYFUNCTION("""COMPUTED_VALUE"""),"ModifyRebalance")</f>
        <v>ModifyRebalance</v>
      </c>
      <c r="M604" s="24" t="str">
        <f>IFERROR(__xludf.DUMMYFUNCTION("""COMPUTED_VALUE"""),"ModelPortfolio")</f>
        <v>ModelPortfolio</v>
      </c>
      <c r="N604" s="24" t="str">
        <f>IFERROR(__xludf.DUMMYFUNCTION("""COMPUTED_VALUE"""),"LockandUnlockGridData")</f>
        <v>LockandUnlockGridData</v>
      </c>
      <c r="O604" s="24" t="str">
        <f>IFERROR(__xludf.DUMMYFUNCTION("""COMPUTED_VALUE"""),"RefreshGridData")</f>
        <v>RefreshGridData</v>
      </c>
      <c r="P604" s="25" t="str">
        <f>IFERROR(__xludf.DUMMYFUNCTION("""COMPUTED_VALUE"""),"SendtoStaging")</f>
        <v>SendtoStaging</v>
      </c>
      <c r="Q604" s="25" t="str">
        <f>IFERROR(__xludf.DUMMYFUNCTION("""COMPUTED_VALUE"""),"SendToStagingExport")</f>
        <v>SendToStagingExport</v>
      </c>
      <c r="R604" s="25" t="str">
        <f>IFERROR(__xludf.DUMMYFUNCTION("""COMPUTED_VALUE"""),"RebalanceViaBloomberg")</f>
        <v>RebalanceViaBloomberg</v>
      </c>
      <c r="S604" s="25" t="str">
        <f>IFERROR(__xludf.DUMMYFUNCTION("""COMPUTED_VALUE"""),"AddUserAdjustedNAV")</f>
        <v>AddUserAdjustedNAV</v>
      </c>
      <c r="T604" s="25" t="str">
        <f>IFERROR(__xludf.DUMMYFUNCTION("""COMPUTED_VALUE"""),"SymbologyChangeRB")</f>
        <v>SymbologyChangeRB</v>
      </c>
      <c r="U604" s="25" t="str">
        <f>IFERROR(__xludf.DUMMYFUNCTION("""COMPUTED_VALUE"""),"CloseRebalancer")</f>
        <v>CloseRebalancer</v>
      </c>
      <c r="V604" s="25" t="str">
        <f>IFERROR(__xludf.DUMMYFUNCTION("""COMPUTED_VALUE"""),"AddCustomCashUsingImport")</f>
        <v>AddCustomCashUsingImport</v>
      </c>
      <c r="W604" s="25" t="str">
        <f>IFERROR(__xludf.DUMMYFUNCTION("""COMPUTED_VALUE"""),"EditRebalanceGrid")</f>
        <v>EditRebalanceGrid</v>
      </c>
      <c r="X604" s="25" t="str">
        <f>IFERROR(__xludf.DUMMYFUNCTION("""COMPUTED_VALUE"""),"SaveTradeList")</f>
        <v>SaveTradeList</v>
      </c>
      <c r="Y604" s="25" t="str">
        <f>IFERROR(__xludf.DUMMYFUNCTION("""COMPUTED_VALUE"""),"NavImpactingComponent")</f>
        <v>NavImpactingComponent</v>
      </c>
      <c r="Z604" s="25" t="str">
        <f>IFERROR(__xludf.DUMMYFUNCTION("""COMPUTED_VALUE"""),"ImportUsingRebalAccrossSec")</f>
        <v>ImportUsingRebalAccrossSec</v>
      </c>
      <c r="AA604" s="25" t="str">
        <f>IFERROR(__xludf.DUMMYFUNCTION("""COMPUTED_VALUE"""),"EditImportStatus")</f>
        <v>EditImportStatus</v>
      </c>
      <c r="AB604" s="25" t="str">
        <f>IFERROR(__xludf.DUMMYFUNCTION("""COMPUTED_VALUE"""),"SelectActionsOnImportStatus")</f>
        <v>SelectActionsOnImportStatus</v>
      </c>
      <c r="AC604" s="25" t="str">
        <f>IFERROR(__xludf.DUMMYFUNCTION("""COMPUTED_VALUE"""),"VerifyImportStatus")</f>
        <v>VerifyImportStatus</v>
      </c>
      <c r="AD604" s="25" t="str">
        <f>IFERROR(__xludf.DUMMYFUNCTION("""COMPUTED_VALUE"""),"AddNewModelPortfolio")</f>
        <v>AddNewModelPortfolio</v>
      </c>
      <c r="AE604" s="25" t="str">
        <f>IFERROR(__xludf.DUMMYFUNCTION("""COMPUTED_VALUE"""),"VerifyBuySellList")</f>
        <v>VerifyBuySellList</v>
      </c>
      <c r="AF604" s="25" t="str">
        <f>IFERROR(__xludf.DUMMYFUNCTION("""COMPUTED_VALUE"""),"CreateModelPortfolio")</f>
        <v>CreateModelPortfolio</v>
      </c>
      <c r="AG604" s="25" t="str">
        <f>IFERROR(__xludf.DUMMYFUNCTION("""COMPUTED_VALUE"""),"VerifyModelPortfolio")</f>
        <v>VerifyModelPortfolio</v>
      </c>
      <c r="AH604" s="25" t="str">
        <f>IFERROR(__xludf.DUMMYFUNCTION("""COMPUTED_VALUE"""),"SelectAndVerifyTradeList")</f>
        <v>SelectAndVerifyTradeList</v>
      </c>
      <c r="AI604" s="25" t="str">
        <f>IFERROR(__xludf.DUMMYFUNCTION("""COMPUTED_VALUE"""),"ActionOnTradeBuySellListView")</f>
        <v>ActionOnTradeBuySellListView</v>
      </c>
      <c r="AJ604" s="25" t="str">
        <f>IFERROR(__xludf.DUMMYFUNCTION("""COMPUTED_VALUE"""),"ActionOnTradeBuySellListView")</f>
        <v>ActionOnTradeBuySellListView</v>
      </c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25"/>
      <c r="EX604" s="25"/>
    </row>
    <row r="605" ht="15.75" customHeight="1">
      <c r="A605" s="26" t="str">
        <f>IFERROR(__xludf.DUMMYFUNCTION("TRANSPOSE(IMPORTRANGE(VLOOKUP($E$3,IMPORTRANGE('_Settings'!$B$3,$C$3&amp;""!A4:B1000""),2,FALSE),$G$3&amp;""!A4:A1000""))"),"")</f>
      </c>
      <c r="B605" s="27" t="str">
        <f>IFERROR(__xludf.DUMMYFUNCTION("""COMPUTED_VALUE"""),"Account")</f>
        <v>Account</v>
      </c>
      <c r="C605" s="27" t="str">
        <f>IFERROR(__xludf.DUMMYFUNCTION("""COMPUTED_VALUE"""),"Side")</f>
        <v>Side</v>
      </c>
      <c r="D605" s="27" t="str">
        <f>IFERROR(__xludf.DUMMYFUNCTION("""COMPUTED_VALUE"""),"Symbol")</f>
        <v>Symbol</v>
      </c>
      <c r="E605" s="27" t="str">
        <f>IFERROR(__xludf.DUMMYFUNCTION("""COMPUTED_VALUE"""),"Quantity")</f>
        <v>Quantity</v>
      </c>
      <c r="F605" s="28" t="str">
        <f>IFERROR(__xludf.DUMMYFUNCTION("""COMPUTED_VALUE"""),"Price (Local)")</f>
        <v>Price (Local)</v>
      </c>
      <c r="G605" s="27" t="str">
        <f>IFERROR(__xludf.DUMMYFUNCTION("""COMPUTED_VALUE"""),"Buy/Sell Value (Base)")</f>
        <v>Buy/Sell Value (Base)</v>
      </c>
      <c r="H605" s="27" t="str">
        <f>IFERROR(__xludf.DUMMYFUNCTION("""COMPUTED_VALUE"""),"Comments")</f>
        <v>Comments</v>
      </c>
      <c r="I605" s="27" t="str">
        <f>IFERROR(__xludf.DUMMYFUNCTION("""COMPUTED_VALUE"""),"SendToStaging")</f>
        <v>SendToStaging</v>
      </c>
      <c r="J605" s="27" t="str">
        <f>IFERROR(__xludf.DUMMYFUNCTION("""COMPUTED_VALUE"""),"Use Custodian Broker")</f>
        <v>Use Custodian Broker</v>
      </c>
      <c r="K605" s="27"/>
      <c r="L605" s="27"/>
      <c r="M605" s="27"/>
      <c r="N605" s="27"/>
      <c r="O605" s="27"/>
      <c r="P605" s="27"/>
      <c r="Q605" s="27"/>
      <c r="R605" s="27"/>
      <c r="S605" s="27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  <c r="DW605" s="29"/>
      <c r="DX605" s="29"/>
      <c r="DY605" s="29"/>
      <c r="DZ605" s="29"/>
      <c r="EA605" s="29"/>
      <c r="EB605" s="29"/>
      <c r="EC605" s="29"/>
      <c r="ED605" s="29"/>
      <c r="EE605" s="29"/>
      <c r="EF605" s="29"/>
      <c r="EG605" s="29"/>
      <c r="EH605" s="29"/>
      <c r="EI605" s="29"/>
      <c r="EJ605" s="29"/>
      <c r="EK605" s="29"/>
      <c r="EL605" s="29"/>
      <c r="EM605" s="29"/>
      <c r="EN605" s="29"/>
      <c r="EO605" s="29"/>
      <c r="EP605" s="29"/>
      <c r="EQ605" s="29"/>
      <c r="ER605" s="29"/>
      <c r="ES605" s="29"/>
      <c r="ET605" s="29"/>
      <c r="EU605" s="29"/>
      <c r="EV605" s="29"/>
      <c r="EW605" s="29"/>
      <c r="EX605" s="29"/>
    </row>
    <row r="606" ht="15.75" customHeight="1">
      <c r="A606" s="12"/>
      <c r="B606" s="48" t="s">
        <v>59</v>
      </c>
      <c r="C606" s="48" t="s">
        <v>31</v>
      </c>
      <c r="D606" s="48" t="s">
        <v>24</v>
      </c>
      <c r="E606" s="49">
        <v>500</v>
      </c>
      <c r="F606" s="49">
        <v>25</v>
      </c>
      <c r="G606" s="50">
        <v>13235</v>
      </c>
      <c r="H606" s="49">
        <v>13235</v>
      </c>
      <c r="I606" s="8"/>
      <c r="J606" s="8"/>
      <c r="K606" s="8"/>
      <c r="L606" s="8"/>
      <c r="M606" s="8"/>
      <c r="N606" s="8"/>
      <c r="O606" s="8"/>
    </row>
    <row r="607" ht="15.75" customHeight="1">
      <c r="A607" s="8"/>
      <c r="B607" s="48" t="s">
        <v>59</v>
      </c>
      <c r="C607" s="48" t="s">
        <v>31</v>
      </c>
      <c r="D607" s="48">
        <v>123456789</v>
      </c>
      <c r="E607" s="49">
        <v>60062</v>
      </c>
      <c r="F607" s="49">
        <v>25</v>
      </c>
      <c r="G607" s="50">
        <v>15016</v>
      </c>
      <c r="H607" s="49">
        <v>5000</v>
      </c>
      <c r="I607" s="8"/>
      <c r="J607" s="8"/>
      <c r="K607" s="8"/>
      <c r="L607" s="8"/>
      <c r="M607" s="8"/>
      <c r="N607" s="8"/>
      <c r="O607" s="8"/>
    </row>
    <row r="608" ht="15.75" customHeight="1">
      <c r="A608" s="8"/>
      <c r="B608" s="48" t="s">
        <v>59</v>
      </c>
      <c r="C608" s="48" t="s">
        <v>90</v>
      </c>
      <c r="D608" s="48" t="s">
        <v>34</v>
      </c>
      <c r="E608" s="49">
        <v>100104</v>
      </c>
      <c r="F608" s="49">
        <v>5</v>
      </c>
      <c r="G608" s="50">
        <v>-5005</v>
      </c>
      <c r="H608" s="49">
        <v>15015.5</v>
      </c>
      <c r="I608" s="8"/>
      <c r="J608" s="8"/>
      <c r="K608" s="8"/>
      <c r="L608" s="8"/>
      <c r="M608" s="8"/>
      <c r="N608" s="8"/>
      <c r="O608" s="8"/>
    </row>
    <row r="609" ht="15.75" customHeight="1">
      <c r="A609" s="8"/>
      <c r="B609" s="48" t="s">
        <v>59</v>
      </c>
      <c r="C609" s="48" t="s">
        <v>31</v>
      </c>
      <c r="D609" s="48" t="s">
        <v>28</v>
      </c>
      <c r="E609" s="49">
        <v>500</v>
      </c>
      <c r="F609" s="49">
        <v>10</v>
      </c>
      <c r="G609" s="50">
        <v>5000</v>
      </c>
      <c r="H609" s="49">
        <v>-1000</v>
      </c>
      <c r="I609" s="8"/>
      <c r="J609" s="8"/>
      <c r="K609" s="8"/>
      <c r="L609" s="8"/>
      <c r="M609" s="8"/>
      <c r="N609" s="8"/>
      <c r="O609" s="8"/>
    </row>
    <row r="610" ht="15.75" customHeight="1">
      <c r="A610" s="8"/>
      <c r="B610" s="48" t="s">
        <v>59</v>
      </c>
      <c r="C610" s="48" t="s">
        <v>90</v>
      </c>
      <c r="D610" s="48" t="s">
        <v>27</v>
      </c>
      <c r="E610" s="49">
        <v>50</v>
      </c>
      <c r="F610" s="49">
        <v>20</v>
      </c>
      <c r="G610" s="50">
        <v>-1000</v>
      </c>
      <c r="H610" s="49">
        <v>-5000</v>
      </c>
      <c r="I610" s="8"/>
      <c r="J610" s="8"/>
      <c r="K610" s="8"/>
      <c r="L610" s="8"/>
      <c r="M610" s="8"/>
      <c r="N610" s="8"/>
      <c r="O610" s="8"/>
    </row>
    <row r="611" ht="15.75" customHeight="1">
      <c r="A611" s="8"/>
      <c r="B611" s="48" t="s">
        <v>59</v>
      </c>
      <c r="C611" s="48" t="s">
        <v>90</v>
      </c>
      <c r="D611" s="48" t="s">
        <v>25</v>
      </c>
      <c r="E611" s="49">
        <v>50</v>
      </c>
      <c r="F611" s="49">
        <v>30</v>
      </c>
      <c r="G611" s="50">
        <v>-1830</v>
      </c>
      <c r="H611" s="49">
        <v>4000</v>
      </c>
      <c r="I611" s="8"/>
      <c r="J611" s="8"/>
      <c r="K611" s="8"/>
      <c r="L611" s="8"/>
      <c r="M611" s="8"/>
      <c r="N611" s="8"/>
      <c r="O611" s="8"/>
    </row>
    <row r="612" ht="15.75" customHeight="1">
      <c r="A612" s="8"/>
      <c r="B612" s="48" t="s">
        <v>59</v>
      </c>
      <c r="C612" s="48" t="s">
        <v>90</v>
      </c>
      <c r="D612" s="48" t="s">
        <v>26</v>
      </c>
      <c r="E612" s="49">
        <v>500</v>
      </c>
      <c r="F612" s="49">
        <v>10</v>
      </c>
      <c r="G612" s="50">
        <v>-5000</v>
      </c>
      <c r="H612" s="49">
        <v>-5005.2</v>
      </c>
      <c r="I612" s="8"/>
      <c r="J612" s="8"/>
      <c r="K612" s="8"/>
      <c r="L612" s="8"/>
      <c r="M612" s="8"/>
      <c r="N612" s="8"/>
      <c r="O612" s="8"/>
    </row>
    <row r="613" ht="15.75" customHeight="1">
      <c r="A613" s="8"/>
      <c r="B613" s="48" t="s">
        <v>59</v>
      </c>
      <c r="C613" s="48" t="s">
        <v>31</v>
      </c>
      <c r="D613" s="48" t="s">
        <v>23</v>
      </c>
      <c r="E613" s="49">
        <v>500</v>
      </c>
      <c r="F613" s="49">
        <v>8</v>
      </c>
      <c r="G613" s="50">
        <v>4000</v>
      </c>
      <c r="H613" s="49">
        <v>-1830</v>
      </c>
      <c r="I613" s="8"/>
      <c r="J613" s="8"/>
      <c r="K613" s="8"/>
      <c r="L613" s="8"/>
      <c r="M613" s="8"/>
      <c r="N613" s="8"/>
      <c r="O613" s="8"/>
    </row>
    <row r="614" ht="15.75" customHeight="1">
      <c r="A614" s="8"/>
      <c r="B614" s="48" t="s">
        <v>59</v>
      </c>
      <c r="C614" s="48" t="s">
        <v>31</v>
      </c>
      <c r="D614" s="48" t="s">
        <v>85</v>
      </c>
      <c r="E614" s="49">
        <v>61</v>
      </c>
      <c r="F614" s="49">
        <v>10</v>
      </c>
      <c r="G614" s="49">
        <v>610</v>
      </c>
      <c r="H614" s="49">
        <v>610</v>
      </c>
      <c r="I614" s="8"/>
      <c r="J614" s="8"/>
      <c r="K614" s="8"/>
      <c r="L614" s="8"/>
      <c r="M614" s="8"/>
      <c r="N614" s="8"/>
      <c r="O614" s="8"/>
    </row>
    <row r="615" ht="15.75" customHeight="1">
      <c r="A615" s="8"/>
      <c r="B615" s="51"/>
      <c r="C615" s="51"/>
      <c r="D615" s="51"/>
      <c r="E615" s="51"/>
      <c r="F615" s="51"/>
      <c r="G615" s="51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A616" s="8"/>
      <c r="B616" s="8"/>
      <c r="C616" s="8"/>
      <c r="D616" s="8"/>
      <c r="E616" s="8"/>
      <c r="F616" s="8"/>
      <c r="G616" s="52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A617" s="8"/>
      <c r="B617" s="8"/>
      <c r="C617" s="8"/>
      <c r="D617" s="8"/>
      <c r="E617" s="8"/>
      <c r="F617" s="8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A618" s="8"/>
      <c r="B618" s="8"/>
      <c r="C618" s="8"/>
      <c r="D618" s="8"/>
      <c r="E618" s="8"/>
      <c r="F618" s="8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A619" s="8"/>
      <c r="B619" s="8"/>
      <c r="C619" s="8"/>
      <c r="D619" s="8"/>
      <c r="E619" s="8"/>
      <c r="F619" s="8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A620" s="8"/>
      <c r="B620" s="8"/>
      <c r="C620" s="8"/>
      <c r="D620" s="8"/>
      <c r="E620" s="8"/>
      <c r="F620" s="8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A621" s="8"/>
      <c r="B621" s="8"/>
      <c r="C621" s="8"/>
      <c r="D621" s="8"/>
      <c r="E621" s="8"/>
      <c r="F621" s="8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A622" s="8"/>
      <c r="B622" s="8"/>
      <c r="C622" s="8"/>
      <c r="D622" s="8"/>
      <c r="E622" s="8"/>
      <c r="F622" s="8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A623" s="8"/>
      <c r="B623" s="8"/>
      <c r="C623" s="8"/>
      <c r="D623" s="8"/>
      <c r="E623" s="8"/>
      <c r="F623" s="8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A624" s="8"/>
      <c r="B624" s="8"/>
      <c r="C624" s="8"/>
      <c r="D624" s="8"/>
      <c r="E624" s="8"/>
      <c r="F624" s="8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A625" s="8"/>
      <c r="B625" s="8"/>
      <c r="C625" s="8"/>
      <c r="D625" s="8"/>
      <c r="E625" s="8"/>
      <c r="F625" s="8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>
      <c r="A701" s="18"/>
      <c r="B701" s="1" t="s">
        <v>11</v>
      </c>
      <c r="C701" s="2"/>
      <c r="D701" s="2"/>
      <c r="E701" s="2"/>
      <c r="F701" s="2"/>
      <c r="G701" s="2"/>
      <c r="H701" s="3"/>
      <c r="I701" s="18"/>
      <c r="J701" s="18"/>
      <c r="K701" s="18"/>
      <c r="L701" s="18"/>
      <c r="M701" s="18"/>
      <c r="N701" s="18"/>
      <c r="O701" s="18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  <c r="DT701" s="19"/>
      <c r="DU701" s="19"/>
      <c r="DV701" s="19"/>
      <c r="DW701" s="19"/>
      <c r="DX701" s="19"/>
      <c r="DY701" s="19"/>
      <c r="DZ701" s="19"/>
      <c r="EA701" s="19"/>
      <c r="EB701" s="19"/>
      <c r="EC701" s="19"/>
      <c r="ED701" s="19"/>
      <c r="EE701" s="19"/>
      <c r="EF701" s="19"/>
      <c r="EG701" s="19"/>
      <c r="EH701" s="19"/>
      <c r="EI701" s="19"/>
      <c r="EJ701" s="19"/>
      <c r="EK701" s="19"/>
      <c r="EL701" s="19"/>
      <c r="EM701" s="19"/>
      <c r="EN701" s="19"/>
      <c r="EO701" s="19"/>
      <c r="EP701" s="19"/>
      <c r="EQ701" s="19"/>
      <c r="ER701" s="19"/>
      <c r="ES701" s="19"/>
      <c r="ET701" s="19"/>
      <c r="EU701" s="19"/>
      <c r="EV701" s="19"/>
      <c r="EW701" s="19"/>
      <c r="EX701" s="19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20" t="str">
        <f> VLOOKUP($E$3,'_MasterData'!B704:D1700,3,FALSE)</f>
        <v>#N/A</v>
      </c>
      <c r="K702" s="20"/>
      <c r="L702" s="8"/>
      <c r="M702" s="8"/>
      <c r="N702" s="8"/>
      <c r="O702" s="8"/>
    </row>
    <row r="703" ht="15.75" customHeight="1">
      <c r="A703" s="21"/>
      <c r="B703" s="5" t="s">
        <v>8</v>
      </c>
      <c r="C703" s="22" t="s">
        <v>74</v>
      </c>
      <c r="D703" s="5" t="s">
        <v>9</v>
      </c>
      <c r="E703" s="22" t="s">
        <v>89</v>
      </c>
      <c r="F703" s="5" t="s">
        <v>14</v>
      </c>
      <c r="G703" s="13" t="s">
        <v>15</v>
      </c>
      <c r="H703" s="5"/>
      <c r="I703" s="21"/>
      <c r="J703" s="21"/>
      <c r="K703" s="21"/>
      <c r="L703" s="21"/>
      <c r="M703" s="21"/>
      <c r="N703" s="21"/>
      <c r="O703" s="21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</row>
    <row r="704" ht="15.75" customHeight="1">
      <c r="A704" s="24"/>
      <c r="B704" s="24" t="str">
        <f>IFERROR(__xludf.DUMMYFUNCTION("IF(C703="""","""",Transpose(IMPORTRANGE('_Settings'!$B$3,C703&amp;""!A4:A1000"")))"),"FetchAccountPositions")</f>
        <v>FetchAccountPositions</v>
      </c>
      <c r="C704" s="24" t="str">
        <f>IFERROR(__xludf.DUMMYFUNCTION("""COMPUTED_VALUE"""),"AddCash")</f>
        <v>AddCash</v>
      </c>
      <c r="D704" s="24" t="str">
        <f>IFERROR(__xludf.DUMMYFUNCTION("""COMPUTED_VALUE"""),"VerifyGridData")</f>
        <v>VerifyGridData</v>
      </c>
      <c r="E704" s="24" t="str">
        <f>IFERROR(__xludf.DUMMYFUNCTION("""COMPUTED_VALUE"""),"RunRebalance")</f>
        <v>RunRebalance</v>
      </c>
      <c r="F704" s="24" t="str">
        <f>IFERROR(__xludf.DUMMYFUNCTION("""COMPUTED_VALUE"""),"EnableComplianceTab")</f>
        <v>EnableComplianceTab</v>
      </c>
      <c r="G704" s="24" t="str">
        <f>IFERROR(__xludf.DUMMYFUNCTION("""COMPUTED_VALUE"""),"RebalancePreference")</f>
        <v>RebalancePreference</v>
      </c>
      <c r="H704" s="24" t="str">
        <f>IFERROR(__xludf.DUMMYFUNCTION("""COMPUTED_VALUE"""),"ImportModelPortfolio")</f>
        <v>ImportModelPortfolio</v>
      </c>
      <c r="I704" s="24" t="str">
        <f>IFERROR(__xludf.DUMMYFUNCTION("""COMPUTED_VALUE"""),"RebalanceAcrossSecurities")</f>
        <v>RebalanceAcrossSecurities</v>
      </c>
      <c r="J704" s="24" t="str">
        <f>IFERROR(__xludf.DUMMYFUNCTION("""COMPUTED_VALUE"""),"CheckBasketCompliance")</f>
        <v>CheckBasketCompliance</v>
      </c>
      <c r="K704" s="24" t="str">
        <f>IFERROR(__xludf.DUMMYFUNCTION("""COMPUTED_VALUE"""),"ClearCalculations")</f>
        <v>ClearCalculations</v>
      </c>
      <c r="L704" s="24" t="str">
        <f>IFERROR(__xludf.DUMMYFUNCTION("""COMPUTED_VALUE"""),"ModifyRebalance")</f>
        <v>ModifyRebalance</v>
      </c>
      <c r="M704" s="24" t="str">
        <f>IFERROR(__xludf.DUMMYFUNCTION("""COMPUTED_VALUE"""),"ModelPortfolio")</f>
        <v>ModelPortfolio</v>
      </c>
      <c r="N704" s="24" t="str">
        <f>IFERROR(__xludf.DUMMYFUNCTION("""COMPUTED_VALUE"""),"LockandUnlockGridData")</f>
        <v>LockandUnlockGridData</v>
      </c>
      <c r="O704" s="24" t="str">
        <f>IFERROR(__xludf.DUMMYFUNCTION("""COMPUTED_VALUE"""),"RefreshGridData")</f>
        <v>RefreshGridData</v>
      </c>
      <c r="P704" s="25" t="str">
        <f>IFERROR(__xludf.DUMMYFUNCTION("""COMPUTED_VALUE"""),"SendtoStaging")</f>
        <v>SendtoStaging</v>
      </c>
      <c r="Q704" s="25" t="str">
        <f>IFERROR(__xludf.DUMMYFUNCTION("""COMPUTED_VALUE"""),"SendToStagingExport")</f>
        <v>SendToStagingExport</v>
      </c>
      <c r="R704" s="25" t="str">
        <f>IFERROR(__xludf.DUMMYFUNCTION("""COMPUTED_VALUE"""),"RebalanceViaBloomberg")</f>
        <v>RebalanceViaBloomberg</v>
      </c>
      <c r="S704" s="25" t="str">
        <f>IFERROR(__xludf.DUMMYFUNCTION("""COMPUTED_VALUE"""),"AddUserAdjustedNAV")</f>
        <v>AddUserAdjustedNAV</v>
      </c>
      <c r="T704" s="25" t="str">
        <f>IFERROR(__xludf.DUMMYFUNCTION("""COMPUTED_VALUE"""),"SymbologyChangeRB")</f>
        <v>SymbologyChangeRB</v>
      </c>
      <c r="U704" s="25" t="str">
        <f>IFERROR(__xludf.DUMMYFUNCTION("""COMPUTED_VALUE"""),"CloseRebalancer")</f>
        <v>CloseRebalancer</v>
      </c>
      <c r="V704" s="25" t="str">
        <f>IFERROR(__xludf.DUMMYFUNCTION("""COMPUTED_VALUE"""),"AddCustomCashUsingImport")</f>
        <v>AddCustomCashUsingImport</v>
      </c>
      <c r="W704" s="25" t="str">
        <f>IFERROR(__xludf.DUMMYFUNCTION("""COMPUTED_VALUE"""),"EditRebalanceGrid")</f>
        <v>EditRebalanceGrid</v>
      </c>
      <c r="X704" s="25" t="str">
        <f>IFERROR(__xludf.DUMMYFUNCTION("""COMPUTED_VALUE"""),"SaveTradeList")</f>
        <v>SaveTradeList</v>
      </c>
      <c r="Y704" s="25" t="str">
        <f>IFERROR(__xludf.DUMMYFUNCTION("""COMPUTED_VALUE"""),"NavImpactingComponent")</f>
        <v>NavImpactingComponent</v>
      </c>
      <c r="Z704" s="25" t="str">
        <f>IFERROR(__xludf.DUMMYFUNCTION("""COMPUTED_VALUE"""),"ImportUsingRebalAccrossSec")</f>
        <v>ImportUsingRebalAccrossSec</v>
      </c>
      <c r="AA704" s="25" t="str">
        <f>IFERROR(__xludf.DUMMYFUNCTION("""COMPUTED_VALUE"""),"EditImportStatus")</f>
        <v>EditImportStatus</v>
      </c>
      <c r="AB704" s="25" t="str">
        <f>IFERROR(__xludf.DUMMYFUNCTION("""COMPUTED_VALUE"""),"SelectActionsOnImportStatus")</f>
        <v>SelectActionsOnImportStatus</v>
      </c>
      <c r="AC704" s="25" t="str">
        <f>IFERROR(__xludf.DUMMYFUNCTION("""COMPUTED_VALUE"""),"VerifyImportStatus")</f>
        <v>VerifyImportStatus</v>
      </c>
      <c r="AD704" s="25" t="str">
        <f>IFERROR(__xludf.DUMMYFUNCTION("""COMPUTED_VALUE"""),"AddNewModelPortfolio")</f>
        <v>AddNewModelPortfolio</v>
      </c>
      <c r="AE704" s="25" t="str">
        <f>IFERROR(__xludf.DUMMYFUNCTION("""COMPUTED_VALUE"""),"VerifyBuySellList")</f>
        <v>VerifyBuySellList</v>
      </c>
      <c r="AF704" s="25" t="str">
        <f>IFERROR(__xludf.DUMMYFUNCTION("""COMPUTED_VALUE"""),"CreateModelPortfolio")</f>
        <v>CreateModelPortfolio</v>
      </c>
      <c r="AG704" s="25" t="str">
        <f>IFERROR(__xludf.DUMMYFUNCTION("""COMPUTED_VALUE"""),"VerifyModelPortfolio")</f>
        <v>VerifyModelPortfolio</v>
      </c>
      <c r="AH704" s="25" t="str">
        <f>IFERROR(__xludf.DUMMYFUNCTION("""COMPUTED_VALUE"""),"SelectAndVerifyTradeList")</f>
        <v>SelectAndVerifyTradeList</v>
      </c>
      <c r="AI704" s="25" t="str">
        <f>IFERROR(__xludf.DUMMYFUNCTION("""COMPUTED_VALUE"""),"ActionOnTradeBuySellListView")</f>
        <v>ActionOnTradeBuySellListView</v>
      </c>
      <c r="AJ704" s="25" t="str">
        <f>IFERROR(__xludf.DUMMYFUNCTION("""COMPUTED_VALUE"""),"ActionOnTradeBuySellListView")</f>
        <v>ActionOnTradeBuySellListView</v>
      </c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25"/>
      <c r="EX704" s="25"/>
    </row>
    <row r="705" ht="15.75" customHeight="1">
      <c r="A705" s="26" t="str">
        <f>IFERROR(__xludf.DUMMYFUNCTION("TRANSPOSE(IMPORTRANGE(VLOOKUP($E$3,IMPORTRANGE('_Settings'!$B$3,$C$3&amp;""!A4:B1000""),2,FALSE),$G$3&amp;""!A4:A1000""))"),"")</f>
      </c>
      <c r="B705" s="27" t="str">
        <f>IFERROR(__xludf.DUMMYFUNCTION("""COMPUTED_VALUE"""),"Account")</f>
        <v>Account</v>
      </c>
      <c r="C705" s="27" t="str">
        <f>IFERROR(__xludf.DUMMYFUNCTION("""COMPUTED_VALUE"""),"Side")</f>
        <v>Side</v>
      </c>
      <c r="D705" s="27" t="str">
        <f>IFERROR(__xludf.DUMMYFUNCTION("""COMPUTED_VALUE"""),"Symbol")</f>
        <v>Symbol</v>
      </c>
      <c r="E705" s="27" t="str">
        <f>IFERROR(__xludf.DUMMYFUNCTION("""COMPUTED_VALUE"""),"Quantity")</f>
        <v>Quantity</v>
      </c>
      <c r="F705" s="28" t="str">
        <f>IFERROR(__xludf.DUMMYFUNCTION("""COMPUTED_VALUE"""),"Price (Local)")</f>
        <v>Price (Local)</v>
      </c>
      <c r="G705" s="27" t="str">
        <f>IFERROR(__xludf.DUMMYFUNCTION("""COMPUTED_VALUE"""),"Buy/Sell Value (Base)")</f>
        <v>Buy/Sell Value (Base)</v>
      </c>
      <c r="H705" s="27" t="str">
        <f>IFERROR(__xludf.DUMMYFUNCTION("""COMPUTED_VALUE"""),"Comments")</f>
        <v>Comments</v>
      </c>
      <c r="I705" s="27" t="str">
        <f>IFERROR(__xludf.DUMMYFUNCTION("""COMPUTED_VALUE"""),"SendToStaging")</f>
        <v>SendToStaging</v>
      </c>
      <c r="J705" s="27" t="str">
        <f>IFERROR(__xludf.DUMMYFUNCTION("""COMPUTED_VALUE"""),"Use Custodian Broker")</f>
        <v>Use Custodian Broker</v>
      </c>
      <c r="K705" s="27"/>
      <c r="L705" s="27"/>
      <c r="M705" s="27"/>
      <c r="N705" s="27"/>
      <c r="O705" s="27"/>
      <c r="P705" s="27"/>
      <c r="Q705" s="27"/>
      <c r="R705" s="27"/>
      <c r="S705" s="27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/>
      <c r="DV705" s="29"/>
      <c r="DW705" s="29"/>
      <c r="DX705" s="29"/>
      <c r="DY705" s="29"/>
      <c r="DZ705" s="29"/>
      <c r="EA705" s="29"/>
      <c r="EB705" s="29"/>
      <c r="EC705" s="29"/>
      <c r="ED705" s="29"/>
      <c r="EE705" s="29"/>
      <c r="EF705" s="29"/>
      <c r="EG705" s="29"/>
      <c r="EH705" s="29"/>
      <c r="EI705" s="29"/>
      <c r="EJ705" s="29"/>
      <c r="EK705" s="29"/>
      <c r="EL705" s="29"/>
      <c r="EM705" s="29"/>
      <c r="EN705" s="29"/>
      <c r="EO705" s="29"/>
      <c r="EP705" s="29"/>
      <c r="EQ705" s="29"/>
      <c r="ER705" s="29"/>
      <c r="ES705" s="29"/>
      <c r="ET705" s="29"/>
      <c r="EU705" s="29"/>
      <c r="EV705" s="29"/>
      <c r="EW705" s="29"/>
      <c r="EX705" s="29"/>
    </row>
    <row r="706" ht="15.75" customHeight="1">
      <c r="A706" s="12"/>
      <c r="B706" s="48" t="s">
        <v>59</v>
      </c>
      <c r="C706" s="48" t="s">
        <v>31</v>
      </c>
      <c r="D706" s="48" t="s">
        <v>24</v>
      </c>
      <c r="E706" s="49">
        <v>500</v>
      </c>
      <c r="F706" s="49">
        <v>25</v>
      </c>
      <c r="G706" s="50">
        <v>13235</v>
      </c>
      <c r="H706" s="49">
        <v>13235</v>
      </c>
      <c r="I706" s="8"/>
      <c r="J706" s="8"/>
      <c r="K706" s="8"/>
      <c r="L706" s="8"/>
      <c r="M706" s="8"/>
      <c r="N706" s="8"/>
      <c r="O706" s="8"/>
    </row>
    <row r="707" ht="15.75" customHeight="1">
      <c r="A707" s="8"/>
      <c r="B707" s="48" t="s">
        <v>59</v>
      </c>
      <c r="C707" s="48" t="s">
        <v>31</v>
      </c>
      <c r="D707" s="48">
        <v>123456789</v>
      </c>
      <c r="E707" s="49">
        <v>60062</v>
      </c>
      <c r="F707" s="49">
        <v>25</v>
      </c>
      <c r="G707" s="50">
        <v>15016</v>
      </c>
      <c r="H707" s="49">
        <v>5000</v>
      </c>
      <c r="I707" s="8"/>
      <c r="J707" s="8"/>
      <c r="K707" s="8"/>
      <c r="L707" s="8"/>
      <c r="M707" s="8"/>
      <c r="N707" s="8"/>
      <c r="O707" s="8"/>
    </row>
    <row r="708" ht="15.75" customHeight="1">
      <c r="A708" s="8"/>
      <c r="B708" s="48" t="s">
        <v>59</v>
      </c>
      <c r="C708" s="48" t="s">
        <v>90</v>
      </c>
      <c r="D708" s="48" t="s">
        <v>34</v>
      </c>
      <c r="E708" s="49">
        <v>100104</v>
      </c>
      <c r="F708" s="49">
        <v>5</v>
      </c>
      <c r="G708" s="50">
        <v>-5005</v>
      </c>
      <c r="H708" s="49">
        <v>15015.5</v>
      </c>
      <c r="I708" s="8"/>
      <c r="J708" s="8"/>
      <c r="K708" s="8"/>
      <c r="L708" s="8"/>
      <c r="M708" s="8"/>
      <c r="N708" s="8"/>
      <c r="O708" s="8"/>
    </row>
    <row r="709" ht="15.75" customHeight="1">
      <c r="A709" s="8"/>
      <c r="B709" s="48" t="s">
        <v>59</v>
      </c>
      <c r="C709" s="48" t="s">
        <v>31</v>
      </c>
      <c r="D709" s="48" t="s">
        <v>28</v>
      </c>
      <c r="E709" s="49">
        <v>500</v>
      </c>
      <c r="F709" s="49">
        <v>10</v>
      </c>
      <c r="G709" s="50">
        <v>5000</v>
      </c>
      <c r="H709" s="49">
        <v>-1000</v>
      </c>
      <c r="I709" s="8"/>
      <c r="J709" s="8"/>
      <c r="K709" s="8"/>
      <c r="L709" s="8"/>
      <c r="M709" s="8"/>
      <c r="N709" s="8"/>
      <c r="O709" s="8"/>
    </row>
    <row r="710" ht="15.75" customHeight="1">
      <c r="A710" s="8"/>
      <c r="B710" s="48" t="s">
        <v>59</v>
      </c>
      <c r="C710" s="48" t="s">
        <v>90</v>
      </c>
      <c r="D710" s="48" t="s">
        <v>27</v>
      </c>
      <c r="E710" s="49">
        <v>50</v>
      </c>
      <c r="F710" s="49">
        <v>20</v>
      </c>
      <c r="G710" s="50">
        <v>-1000</v>
      </c>
      <c r="H710" s="49">
        <v>-5000</v>
      </c>
      <c r="I710" s="8"/>
      <c r="J710" s="8"/>
      <c r="K710" s="8"/>
      <c r="L710" s="8"/>
      <c r="M710" s="8"/>
      <c r="N710" s="8"/>
      <c r="O710" s="8"/>
    </row>
    <row r="711" ht="15.75" customHeight="1">
      <c r="A711" s="8"/>
      <c r="B711" s="48" t="s">
        <v>59</v>
      </c>
      <c r="C711" s="48" t="s">
        <v>90</v>
      </c>
      <c r="D711" s="48" t="s">
        <v>25</v>
      </c>
      <c r="E711" s="49">
        <v>50</v>
      </c>
      <c r="F711" s="49">
        <v>30</v>
      </c>
      <c r="G711" s="50">
        <v>-1830</v>
      </c>
      <c r="H711" s="49">
        <v>4000</v>
      </c>
      <c r="I711" s="8"/>
      <c r="J711" s="8"/>
      <c r="K711" s="8"/>
      <c r="L711" s="8"/>
      <c r="M711" s="8"/>
      <c r="N711" s="8"/>
      <c r="O711" s="8"/>
    </row>
    <row r="712" ht="15.75" customHeight="1">
      <c r="A712" s="8"/>
      <c r="B712" s="48" t="s">
        <v>59</v>
      </c>
      <c r="C712" s="48" t="s">
        <v>90</v>
      </c>
      <c r="D712" s="48" t="s">
        <v>26</v>
      </c>
      <c r="E712" s="49">
        <v>500</v>
      </c>
      <c r="F712" s="49">
        <v>10</v>
      </c>
      <c r="G712" s="50">
        <v>-5000</v>
      </c>
      <c r="H712" s="49">
        <v>-5005.2</v>
      </c>
      <c r="I712" s="8"/>
      <c r="J712" s="8"/>
      <c r="K712" s="8"/>
      <c r="L712" s="8"/>
      <c r="M712" s="8"/>
      <c r="N712" s="8"/>
      <c r="O712" s="8"/>
    </row>
    <row r="713" ht="15.75" customHeight="1">
      <c r="A713" s="8"/>
      <c r="B713" s="48" t="s">
        <v>59</v>
      </c>
      <c r="C713" s="48" t="s">
        <v>31</v>
      </c>
      <c r="D713" s="48" t="s">
        <v>23</v>
      </c>
      <c r="E713" s="49">
        <v>500</v>
      </c>
      <c r="F713" s="49">
        <v>8</v>
      </c>
      <c r="G713" s="50">
        <v>4000</v>
      </c>
      <c r="H713" s="49">
        <v>-1830</v>
      </c>
      <c r="I713" s="8"/>
      <c r="J713" s="8"/>
      <c r="K713" s="8"/>
      <c r="L713" s="8"/>
      <c r="M713" s="8"/>
      <c r="N713" s="8"/>
      <c r="O713" s="8"/>
    </row>
    <row r="714" ht="15.75" customHeight="1">
      <c r="A714" s="8"/>
      <c r="B714" s="48" t="s">
        <v>59</v>
      </c>
      <c r="C714" s="48" t="s">
        <v>31</v>
      </c>
      <c r="D714" s="48" t="s">
        <v>85</v>
      </c>
      <c r="E714" s="49">
        <v>61</v>
      </c>
      <c r="F714" s="49">
        <v>10</v>
      </c>
      <c r="G714" s="49">
        <v>610</v>
      </c>
      <c r="H714" s="49">
        <v>610</v>
      </c>
      <c r="I714" s="8"/>
      <c r="J714" s="8"/>
      <c r="K714" s="8"/>
      <c r="L714" s="8"/>
      <c r="M714" s="8"/>
      <c r="N714" s="8"/>
      <c r="O714" s="8"/>
    </row>
    <row r="715" ht="15.75" customHeight="1">
      <c r="A715" s="8"/>
      <c r="B715" s="51"/>
      <c r="C715" s="51"/>
      <c r="D715" s="51"/>
      <c r="E715" s="51"/>
      <c r="F715" s="51"/>
      <c r="G715" s="51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A716" s="8"/>
      <c r="B716" s="8"/>
      <c r="C716" s="8"/>
      <c r="D716" s="8"/>
      <c r="E716" s="8"/>
      <c r="F716" s="8"/>
      <c r="G716" s="52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A717" s="8"/>
      <c r="B717" s="8"/>
      <c r="C717" s="8"/>
      <c r="D717" s="8"/>
      <c r="E717" s="8"/>
      <c r="F717" s="8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A718" s="8"/>
      <c r="B718" s="8"/>
      <c r="C718" s="8"/>
      <c r="D718" s="8"/>
      <c r="E718" s="8"/>
      <c r="F718" s="8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A719" s="8"/>
      <c r="B719" s="8"/>
      <c r="C719" s="8"/>
      <c r="D719" s="8"/>
      <c r="E719" s="8"/>
      <c r="F719" s="8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A720" s="8"/>
      <c r="B720" s="8"/>
      <c r="C720" s="8"/>
      <c r="D720" s="8"/>
      <c r="E720" s="8"/>
      <c r="F720" s="8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A721" s="8"/>
      <c r="B721" s="8"/>
      <c r="C721" s="8"/>
      <c r="D721" s="8"/>
      <c r="E721" s="8"/>
      <c r="F721" s="8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A722" s="8"/>
      <c r="B722" s="8"/>
      <c r="C722" s="8"/>
      <c r="D722" s="8"/>
      <c r="E722" s="8"/>
      <c r="F722" s="8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A723" s="8"/>
      <c r="B723" s="8"/>
      <c r="C723" s="8"/>
      <c r="D723" s="8"/>
      <c r="E723" s="8"/>
      <c r="F723" s="8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A724" s="8"/>
      <c r="B724" s="8"/>
      <c r="C724" s="8"/>
      <c r="D724" s="8"/>
      <c r="E724" s="8"/>
      <c r="F724" s="8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A725" s="8"/>
      <c r="B725" s="8"/>
      <c r="C725" s="8"/>
      <c r="D725" s="8"/>
      <c r="E725" s="8"/>
      <c r="F725" s="8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>
      <c r="A801" s="18"/>
      <c r="B801" s="1" t="s">
        <v>11</v>
      </c>
      <c r="C801" s="2"/>
      <c r="D801" s="2"/>
      <c r="E801" s="2"/>
      <c r="F801" s="2"/>
      <c r="G801" s="2"/>
      <c r="H801" s="3"/>
      <c r="I801" s="18"/>
      <c r="J801" s="18"/>
      <c r="K801" s="18"/>
      <c r="L801" s="18"/>
      <c r="M801" s="18"/>
      <c r="N801" s="18"/>
      <c r="O801" s="18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  <c r="DT801" s="19"/>
      <c r="DU801" s="19"/>
      <c r="DV801" s="19"/>
      <c r="DW801" s="19"/>
      <c r="DX801" s="19"/>
      <c r="DY801" s="19"/>
      <c r="DZ801" s="19"/>
      <c r="EA801" s="19"/>
      <c r="EB801" s="19"/>
      <c r="EC801" s="19"/>
      <c r="ED801" s="19"/>
      <c r="EE801" s="19"/>
      <c r="EF801" s="19"/>
      <c r="EG801" s="19"/>
      <c r="EH801" s="19"/>
      <c r="EI801" s="19"/>
      <c r="EJ801" s="19"/>
      <c r="EK801" s="19"/>
      <c r="EL801" s="19"/>
      <c r="EM801" s="19"/>
      <c r="EN801" s="19"/>
      <c r="EO801" s="19"/>
      <c r="EP801" s="19"/>
      <c r="EQ801" s="19"/>
      <c r="ER801" s="19"/>
      <c r="ES801" s="19"/>
      <c r="ET801" s="19"/>
      <c r="EU801" s="19"/>
      <c r="EV801" s="19"/>
      <c r="EW801" s="19"/>
      <c r="EX801" s="19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20" t="str">
        <f> VLOOKUP($E$3,'_MasterData'!B804:D1800,3,FALSE)</f>
        <v>#N/A</v>
      </c>
      <c r="K802" s="20"/>
      <c r="L802" s="8"/>
      <c r="M802" s="8"/>
      <c r="N802" s="8"/>
      <c r="O802" s="8"/>
    </row>
    <row r="803" ht="15.75" customHeight="1">
      <c r="A803" s="21"/>
      <c r="B803" s="5" t="s">
        <v>8</v>
      </c>
      <c r="C803" s="22" t="s">
        <v>74</v>
      </c>
      <c r="D803" s="5" t="s">
        <v>9</v>
      </c>
      <c r="E803" s="22" t="s">
        <v>89</v>
      </c>
      <c r="F803" s="5" t="s">
        <v>14</v>
      </c>
      <c r="G803" s="13" t="s">
        <v>15</v>
      </c>
      <c r="H803" s="5"/>
      <c r="I803" s="21"/>
      <c r="J803" s="21"/>
      <c r="K803" s="21"/>
      <c r="L803" s="21"/>
      <c r="M803" s="21"/>
      <c r="N803" s="21"/>
      <c r="O803" s="21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</row>
    <row r="804" ht="15.75" customHeight="1">
      <c r="A804" s="24"/>
      <c r="B804" s="24" t="str">
        <f>IFERROR(__xludf.DUMMYFUNCTION("IF(C803="""","""",Transpose(IMPORTRANGE('_Settings'!$B$3,C803&amp;""!A4:A1000"")))"),"FetchAccountPositions")</f>
        <v>FetchAccountPositions</v>
      </c>
      <c r="C804" s="24" t="str">
        <f>IFERROR(__xludf.DUMMYFUNCTION("""COMPUTED_VALUE"""),"AddCash")</f>
        <v>AddCash</v>
      </c>
      <c r="D804" s="24" t="str">
        <f>IFERROR(__xludf.DUMMYFUNCTION("""COMPUTED_VALUE"""),"VerifyGridData")</f>
        <v>VerifyGridData</v>
      </c>
      <c r="E804" s="24" t="str">
        <f>IFERROR(__xludf.DUMMYFUNCTION("""COMPUTED_VALUE"""),"RunRebalance")</f>
        <v>RunRebalance</v>
      </c>
      <c r="F804" s="24" t="str">
        <f>IFERROR(__xludf.DUMMYFUNCTION("""COMPUTED_VALUE"""),"EnableComplianceTab")</f>
        <v>EnableComplianceTab</v>
      </c>
      <c r="G804" s="24" t="str">
        <f>IFERROR(__xludf.DUMMYFUNCTION("""COMPUTED_VALUE"""),"RebalancePreference")</f>
        <v>RebalancePreference</v>
      </c>
      <c r="H804" s="24" t="str">
        <f>IFERROR(__xludf.DUMMYFUNCTION("""COMPUTED_VALUE"""),"ImportModelPortfolio")</f>
        <v>ImportModelPortfolio</v>
      </c>
      <c r="I804" s="24" t="str">
        <f>IFERROR(__xludf.DUMMYFUNCTION("""COMPUTED_VALUE"""),"RebalanceAcrossSecurities")</f>
        <v>RebalanceAcrossSecurities</v>
      </c>
      <c r="J804" s="24" t="str">
        <f>IFERROR(__xludf.DUMMYFUNCTION("""COMPUTED_VALUE"""),"CheckBasketCompliance")</f>
        <v>CheckBasketCompliance</v>
      </c>
      <c r="K804" s="24" t="str">
        <f>IFERROR(__xludf.DUMMYFUNCTION("""COMPUTED_VALUE"""),"ClearCalculations")</f>
        <v>ClearCalculations</v>
      </c>
      <c r="L804" s="24" t="str">
        <f>IFERROR(__xludf.DUMMYFUNCTION("""COMPUTED_VALUE"""),"ModifyRebalance")</f>
        <v>ModifyRebalance</v>
      </c>
      <c r="M804" s="24" t="str">
        <f>IFERROR(__xludf.DUMMYFUNCTION("""COMPUTED_VALUE"""),"ModelPortfolio")</f>
        <v>ModelPortfolio</v>
      </c>
      <c r="N804" s="24" t="str">
        <f>IFERROR(__xludf.DUMMYFUNCTION("""COMPUTED_VALUE"""),"LockandUnlockGridData")</f>
        <v>LockandUnlockGridData</v>
      </c>
      <c r="O804" s="24" t="str">
        <f>IFERROR(__xludf.DUMMYFUNCTION("""COMPUTED_VALUE"""),"RefreshGridData")</f>
        <v>RefreshGridData</v>
      </c>
      <c r="P804" s="25" t="str">
        <f>IFERROR(__xludf.DUMMYFUNCTION("""COMPUTED_VALUE"""),"SendtoStaging")</f>
        <v>SendtoStaging</v>
      </c>
      <c r="Q804" s="25" t="str">
        <f>IFERROR(__xludf.DUMMYFUNCTION("""COMPUTED_VALUE"""),"SendToStagingExport")</f>
        <v>SendToStagingExport</v>
      </c>
      <c r="R804" s="25" t="str">
        <f>IFERROR(__xludf.DUMMYFUNCTION("""COMPUTED_VALUE"""),"RebalanceViaBloomberg")</f>
        <v>RebalanceViaBloomberg</v>
      </c>
      <c r="S804" s="25" t="str">
        <f>IFERROR(__xludf.DUMMYFUNCTION("""COMPUTED_VALUE"""),"AddUserAdjustedNAV")</f>
        <v>AddUserAdjustedNAV</v>
      </c>
      <c r="T804" s="25" t="str">
        <f>IFERROR(__xludf.DUMMYFUNCTION("""COMPUTED_VALUE"""),"SymbologyChangeRB")</f>
        <v>SymbologyChangeRB</v>
      </c>
      <c r="U804" s="25" t="str">
        <f>IFERROR(__xludf.DUMMYFUNCTION("""COMPUTED_VALUE"""),"CloseRebalancer")</f>
        <v>CloseRebalancer</v>
      </c>
      <c r="V804" s="25" t="str">
        <f>IFERROR(__xludf.DUMMYFUNCTION("""COMPUTED_VALUE"""),"AddCustomCashUsingImport")</f>
        <v>AddCustomCashUsingImport</v>
      </c>
      <c r="W804" s="25" t="str">
        <f>IFERROR(__xludf.DUMMYFUNCTION("""COMPUTED_VALUE"""),"EditRebalanceGrid")</f>
        <v>EditRebalanceGrid</v>
      </c>
      <c r="X804" s="25" t="str">
        <f>IFERROR(__xludf.DUMMYFUNCTION("""COMPUTED_VALUE"""),"SaveTradeList")</f>
        <v>SaveTradeList</v>
      </c>
      <c r="Y804" s="25" t="str">
        <f>IFERROR(__xludf.DUMMYFUNCTION("""COMPUTED_VALUE"""),"NavImpactingComponent")</f>
        <v>NavImpactingComponent</v>
      </c>
      <c r="Z804" s="25" t="str">
        <f>IFERROR(__xludf.DUMMYFUNCTION("""COMPUTED_VALUE"""),"ImportUsingRebalAccrossSec")</f>
        <v>ImportUsingRebalAccrossSec</v>
      </c>
      <c r="AA804" s="25" t="str">
        <f>IFERROR(__xludf.DUMMYFUNCTION("""COMPUTED_VALUE"""),"EditImportStatus")</f>
        <v>EditImportStatus</v>
      </c>
      <c r="AB804" s="25" t="str">
        <f>IFERROR(__xludf.DUMMYFUNCTION("""COMPUTED_VALUE"""),"SelectActionsOnImportStatus")</f>
        <v>SelectActionsOnImportStatus</v>
      </c>
      <c r="AC804" s="25" t="str">
        <f>IFERROR(__xludf.DUMMYFUNCTION("""COMPUTED_VALUE"""),"VerifyImportStatus")</f>
        <v>VerifyImportStatus</v>
      </c>
      <c r="AD804" s="25" t="str">
        <f>IFERROR(__xludf.DUMMYFUNCTION("""COMPUTED_VALUE"""),"AddNewModelPortfolio")</f>
        <v>AddNewModelPortfolio</v>
      </c>
      <c r="AE804" s="25" t="str">
        <f>IFERROR(__xludf.DUMMYFUNCTION("""COMPUTED_VALUE"""),"VerifyBuySellList")</f>
        <v>VerifyBuySellList</v>
      </c>
      <c r="AF804" s="25" t="str">
        <f>IFERROR(__xludf.DUMMYFUNCTION("""COMPUTED_VALUE"""),"CreateModelPortfolio")</f>
        <v>CreateModelPortfolio</v>
      </c>
      <c r="AG804" s="25" t="str">
        <f>IFERROR(__xludf.DUMMYFUNCTION("""COMPUTED_VALUE"""),"VerifyModelPortfolio")</f>
        <v>VerifyModelPortfolio</v>
      </c>
      <c r="AH804" s="25" t="str">
        <f>IFERROR(__xludf.DUMMYFUNCTION("""COMPUTED_VALUE"""),"SelectAndVerifyTradeList")</f>
        <v>SelectAndVerifyTradeList</v>
      </c>
      <c r="AI804" s="25" t="str">
        <f>IFERROR(__xludf.DUMMYFUNCTION("""COMPUTED_VALUE"""),"ActionOnTradeBuySellListView")</f>
        <v>ActionOnTradeBuySellListView</v>
      </c>
      <c r="AJ804" s="25" t="str">
        <f>IFERROR(__xludf.DUMMYFUNCTION("""COMPUTED_VALUE"""),"ActionOnTradeBuySellListView")</f>
        <v>ActionOnTradeBuySellListView</v>
      </c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  <c r="EP804" s="25"/>
      <c r="EQ804" s="25"/>
      <c r="ER804" s="25"/>
      <c r="ES804" s="25"/>
      <c r="ET804" s="25"/>
      <c r="EU804" s="25"/>
      <c r="EV804" s="25"/>
      <c r="EW804" s="25"/>
      <c r="EX804" s="25"/>
    </row>
    <row r="805" ht="15.75" customHeight="1">
      <c r="A805" s="26" t="str">
        <f>IFERROR(__xludf.DUMMYFUNCTION("TRANSPOSE(IMPORTRANGE(VLOOKUP($E$3,IMPORTRANGE('_Settings'!$B$3,$C$3&amp;""!A4:B1000""),2,FALSE),$G$3&amp;""!A4:A1000""))"),"")</f>
      </c>
      <c r="B805" s="27" t="str">
        <f>IFERROR(__xludf.DUMMYFUNCTION("""COMPUTED_VALUE"""),"Account")</f>
        <v>Account</v>
      </c>
      <c r="C805" s="27" t="str">
        <f>IFERROR(__xludf.DUMMYFUNCTION("""COMPUTED_VALUE"""),"Side")</f>
        <v>Side</v>
      </c>
      <c r="D805" s="27" t="str">
        <f>IFERROR(__xludf.DUMMYFUNCTION("""COMPUTED_VALUE"""),"Symbol")</f>
        <v>Symbol</v>
      </c>
      <c r="E805" s="27" t="str">
        <f>IFERROR(__xludf.DUMMYFUNCTION("""COMPUTED_VALUE"""),"Quantity")</f>
        <v>Quantity</v>
      </c>
      <c r="F805" s="28" t="str">
        <f>IFERROR(__xludf.DUMMYFUNCTION("""COMPUTED_VALUE"""),"Price (Local)")</f>
        <v>Price (Local)</v>
      </c>
      <c r="G805" s="27" t="str">
        <f>IFERROR(__xludf.DUMMYFUNCTION("""COMPUTED_VALUE"""),"Buy/Sell Value (Base)")</f>
        <v>Buy/Sell Value (Base)</v>
      </c>
      <c r="H805" s="27" t="str">
        <f>IFERROR(__xludf.DUMMYFUNCTION("""COMPUTED_VALUE"""),"Comments")</f>
        <v>Comments</v>
      </c>
      <c r="I805" s="27" t="str">
        <f>IFERROR(__xludf.DUMMYFUNCTION("""COMPUTED_VALUE"""),"SendToStaging")</f>
        <v>SendToStaging</v>
      </c>
      <c r="J805" s="27" t="str">
        <f>IFERROR(__xludf.DUMMYFUNCTION("""COMPUTED_VALUE"""),"Use Custodian Broker")</f>
        <v>Use Custodian Broker</v>
      </c>
      <c r="K805" s="27"/>
      <c r="L805" s="27"/>
      <c r="M805" s="27"/>
      <c r="N805" s="27"/>
      <c r="O805" s="27"/>
      <c r="P805" s="27"/>
      <c r="Q805" s="27"/>
      <c r="R805" s="27"/>
      <c r="S805" s="27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/>
      <c r="DV805" s="29"/>
      <c r="DW805" s="29"/>
      <c r="DX805" s="29"/>
      <c r="DY805" s="29"/>
      <c r="DZ805" s="29"/>
      <c r="EA805" s="29"/>
      <c r="EB805" s="29"/>
      <c r="EC805" s="29"/>
      <c r="ED805" s="29"/>
      <c r="EE805" s="29"/>
      <c r="EF805" s="29"/>
      <c r="EG805" s="29"/>
      <c r="EH805" s="29"/>
      <c r="EI805" s="29"/>
      <c r="EJ805" s="29"/>
      <c r="EK805" s="29"/>
      <c r="EL805" s="29"/>
      <c r="EM805" s="29"/>
      <c r="EN805" s="29"/>
      <c r="EO805" s="29"/>
      <c r="EP805" s="29"/>
      <c r="EQ805" s="29"/>
      <c r="ER805" s="29"/>
      <c r="ES805" s="29"/>
      <c r="ET805" s="29"/>
      <c r="EU805" s="29"/>
      <c r="EV805" s="29"/>
      <c r="EW805" s="29"/>
      <c r="EX805" s="29"/>
    </row>
    <row r="806" ht="15.75" customHeight="1">
      <c r="A806" s="12"/>
      <c r="B806" s="48" t="s">
        <v>59</v>
      </c>
      <c r="C806" s="48" t="s">
        <v>31</v>
      </c>
      <c r="D806" s="48" t="s">
        <v>24</v>
      </c>
      <c r="E806" s="49">
        <v>500</v>
      </c>
      <c r="F806" s="49">
        <v>25</v>
      </c>
      <c r="G806" s="50">
        <v>13235</v>
      </c>
      <c r="H806" s="49">
        <v>13235</v>
      </c>
      <c r="I806" s="8"/>
      <c r="J806" s="8"/>
      <c r="K806" s="8"/>
      <c r="L806" s="8"/>
      <c r="M806" s="8"/>
      <c r="N806" s="8"/>
      <c r="O806" s="8"/>
    </row>
    <row r="807" ht="15.75" customHeight="1">
      <c r="A807" s="8"/>
      <c r="B807" s="48" t="s">
        <v>59</v>
      </c>
      <c r="C807" s="48" t="s">
        <v>31</v>
      </c>
      <c r="D807" s="48">
        <v>123456789</v>
      </c>
      <c r="E807" s="49">
        <v>60062</v>
      </c>
      <c r="F807" s="49">
        <v>25</v>
      </c>
      <c r="G807" s="50">
        <v>15016</v>
      </c>
      <c r="H807" s="49">
        <v>5000</v>
      </c>
      <c r="I807" s="8"/>
      <c r="J807" s="8"/>
      <c r="K807" s="8"/>
      <c r="L807" s="8"/>
      <c r="M807" s="8"/>
      <c r="N807" s="8"/>
      <c r="O807" s="8"/>
    </row>
    <row r="808" ht="15.75" customHeight="1">
      <c r="A808" s="8"/>
      <c r="B808" s="48" t="s">
        <v>59</v>
      </c>
      <c r="C808" s="48" t="s">
        <v>90</v>
      </c>
      <c r="D808" s="48" t="s">
        <v>34</v>
      </c>
      <c r="E808" s="49">
        <v>100104</v>
      </c>
      <c r="F808" s="49">
        <v>5</v>
      </c>
      <c r="G808" s="50">
        <v>-5005</v>
      </c>
      <c r="H808" s="49">
        <v>15015.5</v>
      </c>
      <c r="I808" s="8"/>
      <c r="J808" s="8"/>
      <c r="K808" s="8"/>
      <c r="L808" s="8"/>
      <c r="M808" s="8"/>
      <c r="N808" s="8"/>
      <c r="O808" s="8"/>
    </row>
    <row r="809" ht="15.75" customHeight="1">
      <c r="A809" s="8"/>
      <c r="B809" s="48" t="s">
        <v>59</v>
      </c>
      <c r="C809" s="48" t="s">
        <v>31</v>
      </c>
      <c r="D809" s="48" t="s">
        <v>28</v>
      </c>
      <c r="E809" s="49">
        <v>500</v>
      </c>
      <c r="F809" s="49">
        <v>10</v>
      </c>
      <c r="G809" s="50">
        <v>5000</v>
      </c>
      <c r="H809" s="49">
        <v>-1000</v>
      </c>
      <c r="I809" s="8"/>
      <c r="J809" s="8"/>
      <c r="K809" s="8"/>
      <c r="L809" s="8"/>
      <c r="M809" s="8"/>
      <c r="N809" s="8"/>
      <c r="O809" s="8"/>
    </row>
    <row r="810" ht="15.75" customHeight="1">
      <c r="A810" s="8"/>
      <c r="B810" s="48" t="s">
        <v>59</v>
      </c>
      <c r="C810" s="48" t="s">
        <v>90</v>
      </c>
      <c r="D810" s="48" t="s">
        <v>27</v>
      </c>
      <c r="E810" s="49">
        <v>50</v>
      </c>
      <c r="F810" s="49">
        <v>20</v>
      </c>
      <c r="G810" s="50">
        <v>-1000</v>
      </c>
      <c r="H810" s="49">
        <v>-5000</v>
      </c>
      <c r="I810" s="8"/>
      <c r="J810" s="8"/>
      <c r="K810" s="8"/>
      <c r="L810" s="8"/>
      <c r="M810" s="8"/>
      <c r="N810" s="8"/>
      <c r="O810" s="8"/>
    </row>
    <row r="811" ht="15.75" customHeight="1">
      <c r="A811" s="8"/>
      <c r="B811" s="48" t="s">
        <v>59</v>
      </c>
      <c r="C811" s="48" t="s">
        <v>90</v>
      </c>
      <c r="D811" s="48" t="s">
        <v>25</v>
      </c>
      <c r="E811" s="49">
        <v>50</v>
      </c>
      <c r="F811" s="49">
        <v>30</v>
      </c>
      <c r="G811" s="50">
        <v>-1830</v>
      </c>
      <c r="H811" s="49">
        <v>4000</v>
      </c>
      <c r="I811" s="8"/>
      <c r="J811" s="8"/>
      <c r="K811" s="8"/>
      <c r="L811" s="8"/>
      <c r="M811" s="8"/>
      <c r="N811" s="8"/>
      <c r="O811" s="8"/>
    </row>
    <row r="812" ht="15.75" customHeight="1">
      <c r="A812" s="8"/>
      <c r="B812" s="48" t="s">
        <v>59</v>
      </c>
      <c r="C812" s="48" t="s">
        <v>90</v>
      </c>
      <c r="D812" s="48" t="s">
        <v>26</v>
      </c>
      <c r="E812" s="49">
        <v>500</v>
      </c>
      <c r="F812" s="49">
        <v>10</v>
      </c>
      <c r="G812" s="50">
        <v>-5000</v>
      </c>
      <c r="H812" s="49">
        <v>-5005.2</v>
      </c>
      <c r="I812" s="8"/>
      <c r="J812" s="8"/>
      <c r="K812" s="8"/>
      <c r="L812" s="8"/>
      <c r="M812" s="8"/>
      <c r="N812" s="8"/>
      <c r="O812" s="8"/>
    </row>
    <row r="813" ht="15.75" customHeight="1">
      <c r="A813" s="8"/>
      <c r="B813" s="48" t="s">
        <v>59</v>
      </c>
      <c r="C813" s="48" t="s">
        <v>31</v>
      </c>
      <c r="D813" s="48" t="s">
        <v>23</v>
      </c>
      <c r="E813" s="49">
        <v>500</v>
      </c>
      <c r="F813" s="49">
        <v>8</v>
      </c>
      <c r="G813" s="50">
        <v>4000</v>
      </c>
      <c r="H813" s="49">
        <v>-1830</v>
      </c>
      <c r="I813" s="8"/>
      <c r="J813" s="8"/>
      <c r="K813" s="8"/>
      <c r="L813" s="8"/>
      <c r="M813" s="8"/>
      <c r="N813" s="8"/>
      <c r="O813" s="8"/>
    </row>
    <row r="814" ht="15.75" customHeight="1">
      <c r="A814" s="8"/>
      <c r="B814" s="48" t="s">
        <v>59</v>
      </c>
      <c r="C814" s="48" t="s">
        <v>31</v>
      </c>
      <c r="D814" s="48" t="s">
        <v>85</v>
      </c>
      <c r="E814" s="49">
        <v>61</v>
      </c>
      <c r="F814" s="49">
        <v>10</v>
      </c>
      <c r="G814" s="49">
        <v>610</v>
      </c>
      <c r="H814" s="49">
        <v>610</v>
      </c>
      <c r="I814" s="8"/>
      <c r="J814" s="8"/>
      <c r="K814" s="8"/>
      <c r="L814" s="8"/>
      <c r="M814" s="8"/>
      <c r="N814" s="8"/>
      <c r="O814" s="8"/>
    </row>
    <row r="815" ht="15.75" customHeight="1">
      <c r="A815" s="8"/>
      <c r="B815" s="51"/>
      <c r="C815" s="51"/>
      <c r="D815" s="51"/>
      <c r="E815" s="51"/>
      <c r="F815" s="51"/>
      <c r="G815" s="51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A816" s="8"/>
      <c r="B816" s="8"/>
      <c r="C816" s="8"/>
      <c r="D816" s="8"/>
      <c r="E816" s="8"/>
      <c r="F816" s="8"/>
      <c r="G816" s="52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A817" s="8"/>
      <c r="B817" s="8"/>
      <c r="C817" s="8"/>
      <c r="D817" s="8"/>
      <c r="E817" s="8"/>
      <c r="F817" s="8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A818" s="8"/>
      <c r="B818" s="8"/>
      <c r="C818" s="8"/>
      <c r="D818" s="8"/>
      <c r="E818" s="8"/>
      <c r="F818" s="8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A819" s="8"/>
      <c r="B819" s="8"/>
      <c r="C819" s="8"/>
      <c r="D819" s="8"/>
      <c r="E819" s="8"/>
      <c r="F819" s="8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A820" s="8"/>
      <c r="B820" s="8"/>
      <c r="C820" s="8"/>
      <c r="D820" s="8"/>
      <c r="E820" s="8"/>
      <c r="F820" s="8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A821" s="8"/>
      <c r="B821" s="8"/>
      <c r="C821" s="8"/>
      <c r="D821" s="8"/>
      <c r="E821" s="8"/>
      <c r="F821" s="8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A822" s="8"/>
      <c r="B822" s="8"/>
      <c r="C822" s="8"/>
      <c r="D822" s="8"/>
      <c r="E822" s="8"/>
      <c r="F822" s="8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A823" s="8"/>
      <c r="B823" s="8"/>
      <c r="C823" s="8"/>
      <c r="D823" s="8"/>
      <c r="E823" s="8"/>
      <c r="F823" s="8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A824" s="8"/>
      <c r="B824" s="8"/>
      <c r="C824" s="8"/>
      <c r="D824" s="8"/>
      <c r="E824" s="8"/>
      <c r="F824" s="8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A825" s="8"/>
      <c r="B825" s="8"/>
      <c r="C825" s="8"/>
      <c r="D825" s="8"/>
      <c r="E825" s="8"/>
      <c r="F825" s="8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>
      <c r="A901" s="18"/>
      <c r="B901" s="1" t="s">
        <v>11</v>
      </c>
      <c r="C901" s="2"/>
      <c r="D901" s="2"/>
      <c r="E901" s="2"/>
      <c r="F901" s="2"/>
      <c r="G901" s="2"/>
      <c r="H901" s="3"/>
      <c r="I901" s="18"/>
      <c r="J901" s="18"/>
      <c r="K901" s="18"/>
      <c r="L901" s="18"/>
      <c r="M901" s="18"/>
      <c r="N901" s="18"/>
      <c r="O901" s="18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  <c r="DT901" s="19"/>
      <c r="DU901" s="19"/>
      <c r="DV901" s="19"/>
      <c r="DW901" s="19"/>
      <c r="DX901" s="19"/>
      <c r="DY901" s="19"/>
      <c r="DZ901" s="19"/>
      <c r="EA901" s="19"/>
      <c r="EB901" s="19"/>
      <c r="EC901" s="19"/>
      <c r="ED901" s="19"/>
      <c r="EE901" s="19"/>
      <c r="EF901" s="19"/>
      <c r="EG901" s="19"/>
      <c r="EH901" s="19"/>
      <c r="EI901" s="19"/>
      <c r="EJ901" s="19"/>
      <c r="EK901" s="19"/>
      <c r="EL901" s="19"/>
      <c r="EM901" s="19"/>
      <c r="EN901" s="19"/>
      <c r="EO901" s="19"/>
      <c r="EP901" s="19"/>
      <c r="EQ901" s="19"/>
      <c r="ER901" s="19"/>
      <c r="ES901" s="19"/>
      <c r="ET901" s="19"/>
      <c r="EU901" s="19"/>
      <c r="EV901" s="19"/>
      <c r="EW901" s="19"/>
      <c r="EX901" s="19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20" t="str">
        <f> VLOOKUP($E$3,'_MasterData'!B904:D1900,3,FALSE)</f>
        <v>#N/A</v>
      </c>
      <c r="K902" s="20"/>
      <c r="L902" s="8"/>
      <c r="M902" s="8"/>
      <c r="N902" s="8"/>
      <c r="O902" s="8"/>
    </row>
    <row r="903" ht="15.75" customHeight="1">
      <c r="A903" s="21"/>
      <c r="B903" s="5" t="s">
        <v>8</v>
      </c>
      <c r="C903" s="22" t="s">
        <v>74</v>
      </c>
      <c r="D903" s="5" t="s">
        <v>9</v>
      </c>
      <c r="E903" s="22" t="s">
        <v>89</v>
      </c>
      <c r="F903" s="5" t="s">
        <v>14</v>
      </c>
      <c r="G903" s="13" t="s">
        <v>15</v>
      </c>
      <c r="H903" s="5"/>
      <c r="I903" s="21"/>
      <c r="J903" s="21"/>
      <c r="K903" s="21"/>
      <c r="L903" s="21"/>
      <c r="M903" s="21"/>
      <c r="N903" s="21"/>
      <c r="O903" s="21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</row>
    <row r="904" ht="15.75" customHeight="1">
      <c r="A904" s="24"/>
      <c r="B904" s="24" t="str">
        <f>IFERROR(__xludf.DUMMYFUNCTION("IF(C903="""","""",Transpose(IMPORTRANGE('_Settings'!$B$3,C903&amp;""!A4:A1000"")))"),"FetchAccountPositions")</f>
        <v>FetchAccountPositions</v>
      </c>
      <c r="C904" s="24" t="str">
        <f>IFERROR(__xludf.DUMMYFUNCTION("""COMPUTED_VALUE"""),"AddCash")</f>
        <v>AddCash</v>
      </c>
      <c r="D904" s="24" t="str">
        <f>IFERROR(__xludf.DUMMYFUNCTION("""COMPUTED_VALUE"""),"VerifyGridData")</f>
        <v>VerifyGridData</v>
      </c>
      <c r="E904" s="24" t="str">
        <f>IFERROR(__xludf.DUMMYFUNCTION("""COMPUTED_VALUE"""),"RunRebalance")</f>
        <v>RunRebalance</v>
      </c>
      <c r="F904" s="24" t="str">
        <f>IFERROR(__xludf.DUMMYFUNCTION("""COMPUTED_VALUE"""),"EnableComplianceTab")</f>
        <v>EnableComplianceTab</v>
      </c>
      <c r="G904" s="24" t="str">
        <f>IFERROR(__xludf.DUMMYFUNCTION("""COMPUTED_VALUE"""),"RebalancePreference")</f>
        <v>RebalancePreference</v>
      </c>
      <c r="H904" s="24" t="str">
        <f>IFERROR(__xludf.DUMMYFUNCTION("""COMPUTED_VALUE"""),"ImportModelPortfolio")</f>
        <v>ImportModelPortfolio</v>
      </c>
      <c r="I904" s="24" t="str">
        <f>IFERROR(__xludf.DUMMYFUNCTION("""COMPUTED_VALUE"""),"RebalanceAcrossSecurities")</f>
        <v>RebalanceAcrossSecurities</v>
      </c>
      <c r="J904" s="24" t="str">
        <f>IFERROR(__xludf.DUMMYFUNCTION("""COMPUTED_VALUE"""),"CheckBasketCompliance")</f>
        <v>CheckBasketCompliance</v>
      </c>
      <c r="K904" s="24" t="str">
        <f>IFERROR(__xludf.DUMMYFUNCTION("""COMPUTED_VALUE"""),"ClearCalculations")</f>
        <v>ClearCalculations</v>
      </c>
      <c r="L904" s="24" t="str">
        <f>IFERROR(__xludf.DUMMYFUNCTION("""COMPUTED_VALUE"""),"ModifyRebalance")</f>
        <v>ModifyRebalance</v>
      </c>
      <c r="M904" s="24" t="str">
        <f>IFERROR(__xludf.DUMMYFUNCTION("""COMPUTED_VALUE"""),"ModelPortfolio")</f>
        <v>ModelPortfolio</v>
      </c>
      <c r="N904" s="24" t="str">
        <f>IFERROR(__xludf.DUMMYFUNCTION("""COMPUTED_VALUE"""),"LockandUnlockGridData")</f>
        <v>LockandUnlockGridData</v>
      </c>
      <c r="O904" s="24" t="str">
        <f>IFERROR(__xludf.DUMMYFUNCTION("""COMPUTED_VALUE"""),"RefreshGridData")</f>
        <v>RefreshGridData</v>
      </c>
      <c r="P904" s="25" t="str">
        <f>IFERROR(__xludf.DUMMYFUNCTION("""COMPUTED_VALUE"""),"SendtoStaging")</f>
        <v>SendtoStaging</v>
      </c>
      <c r="Q904" s="25" t="str">
        <f>IFERROR(__xludf.DUMMYFUNCTION("""COMPUTED_VALUE"""),"SendToStagingExport")</f>
        <v>SendToStagingExport</v>
      </c>
      <c r="R904" s="25" t="str">
        <f>IFERROR(__xludf.DUMMYFUNCTION("""COMPUTED_VALUE"""),"RebalanceViaBloomberg")</f>
        <v>RebalanceViaBloomberg</v>
      </c>
      <c r="S904" s="25" t="str">
        <f>IFERROR(__xludf.DUMMYFUNCTION("""COMPUTED_VALUE"""),"AddUserAdjustedNAV")</f>
        <v>AddUserAdjustedNAV</v>
      </c>
      <c r="T904" s="25" t="str">
        <f>IFERROR(__xludf.DUMMYFUNCTION("""COMPUTED_VALUE"""),"SymbologyChangeRB")</f>
        <v>SymbologyChangeRB</v>
      </c>
      <c r="U904" s="25" t="str">
        <f>IFERROR(__xludf.DUMMYFUNCTION("""COMPUTED_VALUE"""),"CloseRebalancer")</f>
        <v>CloseRebalancer</v>
      </c>
      <c r="V904" s="25" t="str">
        <f>IFERROR(__xludf.DUMMYFUNCTION("""COMPUTED_VALUE"""),"AddCustomCashUsingImport")</f>
        <v>AddCustomCashUsingImport</v>
      </c>
      <c r="W904" s="25" t="str">
        <f>IFERROR(__xludf.DUMMYFUNCTION("""COMPUTED_VALUE"""),"EditRebalanceGrid")</f>
        <v>EditRebalanceGrid</v>
      </c>
      <c r="X904" s="25" t="str">
        <f>IFERROR(__xludf.DUMMYFUNCTION("""COMPUTED_VALUE"""),"SaveTradeList")</f>
        <v>SaveTradeList</v>
      </c>
      <c r="Y904" s="25" t="str">
        <f>IFERROR(__xludf.DUMMYFUNCTION("""COMPUTED_VALUE"""),"NavImpactingComponent")</f>
        <v>NavImpactingComponent</v>
      </c>
      <c r="Z904" s="25" t="str">
        <f>IFERROR(__xludf.DUMMYFUNCTION("""COMPUTED_VALUE"""),"ImportUsingRebalAccrossSec")</f>
        <v>ImportUsingRebalAccrossSec</v>
      </c>
      <c r="AA904" s="25" t="str">
        <f>IFERROR(__xludf.DUMMYFUNCTION("""COMPUTED_VALUE"""),"EditImportStatus")</f>
        <v>EditImportStatus</v>
      </c>
      <c r="AB904" s="25" t="str">
        <f>IFERROR(__xludf.DUMMYFUNCTION("""COMPUTED_VALUE"""),"SelectActionsOnImportStatus")</f>
        <v>SelectActionsOnImportStatus</v>
      </c>
      <c r="AC904" s="25" t="str">
        <f>IFERROR(__xludf.DUMMYFUNCTION("""COMPUTED_VALUE"""),"VerifyImportStatus")</f>
        <v>VerifyImportStatus</v>
      </c>
      <c r="AD904" s="25" t="str">
        <f>IFERROR(__xludf.DUMMYFUNCTION("""COMPUTED_VALUE"""),"AddNewModelPortfolio")</f>
        <v>AddNewModelPortfolio</v>
      </c>
      <c r="AE904" s="25" t="str">
        <f>IFERROR(__xludf.DUMMYFUNCTION("""COMPUTED_VALUE"""),"VerifyBuySellList")</f>
        <v>VerifyBuySellList</v>
      </c>
      <c r="AF904" s="25" t="str">
        <f>IFERROR(__xludf.DUMMYFUNCTION("""COMPUTED_VALUE"""),"CreateModelPortfolio")</f>
        <v>CreateModelPortfolio</v>
      </c>
      <c r="AG904" s="25" t="str">
        <f>IFERROR(__xludf.DUMMYFUNCTION("""COMPUTED_VALUE"""),"VerifyModelPortfolio")</f>
        <v>VerifyModelPortfolio</v>
      </c>
      <c r="AH904" s="25" t="str">
        <f>IFERROR(__xludf.DUMMYFUNCTION("""COMPUTED_VALUE"""),"SelectAndVerifyTradeList")</f>
        <v>SelectAndVerifyTradeList</v>
      </c>
      <c r="AI904" s="25" t="str">
        <f>IFERROR(__xludf.DUMMYFUNCTION("""COMPUTED_VALUE"""),"ActionOnTradeBuySellListView")</f>
        <v>ActionOnTradeBuySellListView</v>
      </c>
      <c r="AJ904" s="25" t="str">
        <f>IFERROR(__xludf.DUMMYFUNCTION("""COMPUTED_VALUE"""),"ActionOnTradeBuySellListView")</f>
        <v>ActionOnTradeBuySellListView</v>
      </c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  <c r="EP904" s="25"/>
      <c r="EQ904" s="25"/>
      <c r="ER904" s="25"/>
      <c r="ES904" s="25"/>
      <c r="ET904" s="25"/>
      <c r="EU904" s="25"/>
      <c r="EV904" s="25"/>
      <c r="EW904" s="25"/>
      <c r="EX904" s="25"/>
    </row>
    <row r="905" ht="15.75" customHeight="1">
      <c r="A905" s="26" t="str">
        <f>IFERROR(__xludf.DUMMYFUNCTION("TRANSPOSE(IMPORTRANGE(VLOOKUP($E$3,IMPORTRANGE('_Settings'!$B$3,$C$3&amp;""!A4:B1000""),2,FALSE),$G$3&amp;""!A4:A1000""))"),"")</f>
      </c>
      <c r="B905" s="27" t="str">
        <f>IFERROR(__xludf.DUMMYFUNCTION("""COMPUTED_VALUE"""),"Account")</f>
        <v>Account</v>
      </c>
      <c r="C905" s="27" t="str">
        <f>IFERROR(__xludf.DUMMYFUNCTION("""COMPUTED_VALUE"""),"Side")</f>
        <v>Side</v>
      </c>
      <c r="D905" s="27" t="str">
        <f>IFERROR(__xludf.DUMMYFUNCTION("""COMPUTED_VALUE"""),"Symbol")</f>
        <v>Symbol</v>
      </c>
      <c r="E905" s="27" t="str">
        <f>IFERROR(__xludf.DUMMYFUNCTION("""COMPUTED_VALUE"""),"Quantity")</f>
        <v>Quantity</v>
      </c>
      <c r="F905" s="28" t="str">
        <f>IFERROR(__xludf.DUMMYFUNCTION("""COMPUTED_VALUE"""),"Price (Local)")</f>
        <v>Price (Local)</v>
      </c>
      <c r="G905" s="27" t="str">
        <f>IFERROR(__xludf.DUMMYFUNCTION("""COMPUTED_VALUE"""),"Buy/Sell Value (Base)")</f>
        <v>Buy/Sell Value (Base)</v>
      </c>
      <c r="H905" s="27" t="str">
        <f>IFERROR(__xludf.DUMMYFUNCTION("""COMPUTED_VALUE"""),"Comments")</f>
        <v>Comments</v>
      </c>
      <c r="I905" s="27" t="str">
        <f>IFERROR(__xludf.DUMMYFUNCTION("""COMPUTED_VALUE"""),"SendToStaging")</f>
        <v>SendToStaging</v>
      </c>
      <c r="J905" s="27" t="str">
        <f>IFERROR(__xludf.DUMMYFUNCTION("""COMPUTED_VALUE"""),"Use Custodian Broker")</f>
        <v>Use Custodian Broker</v>
      </c>
      <c r="K905" s="27"/>
      <c r="L905" s="27"/>
      <c r="M905" s="27"/>
      <c r="N905" s="27"/>
      <c r="O905" s="27"/>
      <c r="P905" s="27"/>
      <c r="Q905" s="27"/>
      <c r="R905" s="27"/>
      <c r="S905" s="27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  <c r="DM905" s="29"/>
      <c r="DN905" s="29"/>
      <c r="DO905" s="29"/>
      <c r="DP905" s="29"/>
      <c r="DQ905" s="29"/>
      <c r="DR905" s="29"/>
      <c r="DS905" s="29"/>
      <c r="DT905" s="29"/>
      <c r="DU905" s="29"/>
      <c r="DV905" s="29"/>
      <c r="DW905" s="29"/>
      <c r="DX905" s="29"/>
      <c r="DY905" s="29"/>
      <c r="DZ905" s="29"/>
      <c r="EA905" s="29"/>
      <c r="EB905" s="29"/>
      <c r="EC905" s="29"/>
      <c r="ED905" s="29"/>
      <c r="EE905" s="29"/>
      <c r="EF905" s="29"/>
      <c r="EG905" s="29"/>
      <c r="EH905" s="29"/>
      <c r="EI905" s="29"/>
      <c r="EJ905" s="29"/>
      <c r="EK905" s="29"/>
      <c r="EL905" s="29"/>
      <c r="EM905" s="29"/>
      <c r="EN905" s="29"/>
      <c r="EO905" s="29"/>
      <c r="EP905" s="29"/>
      <c r="EQ905" s="29"/>
      <c r="ER905" s="29"/>
      <c r="ES905" s="29"/>
      <c r="ET905" s="29"/>
      <c r="EU905" s="29"/>
      <c r="EV905" s="29"/>
      <c r="EW905" s="29"/>
      <c r="EX905" s="29"/>
    </row>
    <row r="906" ht="15.75" customHeight="1">
      <c r="A906" s="12"/>
      <c r="B906" s="48" t="s">
        <v>59</v>
      </c>
      <c r="C906" s="48" t="s">
        <v>31</v>
      </c>
      <c r="D906" s="48" t="s">
        <v>24</v>
      </c>
      <c r="E906" s="49">
        <v>500</v>
      </c>
      <c r="F906" s="49">
        <v>25</v>
      </c>
      <c r="G906" s="50">
        <v>13235</v>
      </c>
      <c r="H906" s="49">
        <v>13235</v>
      </c>
      <c r="I906" s="8"/>
      <c r="J906" s="8"/>
      <c r="K906" s="8"/>
      <c r="L906" s="8"/>
      <c r="M906" s="8"/>
      <c r="N906" s="8"/>
      <c r="O906" s="8"/>
    </row>
    <row r="907" ht="15.75" customHeight="1">
      <c r="A907" s="8"/>
      <c r="B907" s="48" t="s">
        <v>59</v>
      </c>
      <c r="C907" s="48" t="s">
        <v>31</v>
      </c>
      <c r="D907" s="48">
        <v>123456789</v>
      </c>
      <c r="E907" s="49">
        <v>60062</v>
      </c>
      <c r="F907" s="49">
        <v>25</v>
      </c>
      <c r="G907" s="50">
        <v>15016</v>
      </c>
      <c r="H907" s="49">
        <v>5000</v>
      </c>
      <c r="I907" s="8"/>
      <c r="J907" s="8"/>
      <c r="K907" s="8"/>
      <c r="L907" s="8"/>
      <c r="M907" s="8"/>
      <c r="N907" s="8"/>
      <c r="O907" s="8"/>
    </row>
    <row r="908" ht="15.75" customHeight="1">
      <c r="A908" s="8"/>
      <c r="B908" s="48" t="s">
        <v>59</v>
      </c>
      <c r="C908" s="48" t="s">
        <v>90</v>
      </c>
      <c r="D908" s="48" t="s">
        <v>34</v>
      </c>
      <c r="E908" s="49">
        <v>100104</v>
      </c>
      <c r="F908" s="49">
        <v>5</v>
      </c>
      <c r="G908" s="50">
        <v>-5005</v>
      </c>
      <c r="H908" s="49">
        <v>15015.5</v>
      </c>
      <c r="I908" s="8"/>
      <c r="J908" s="8"/>
      <c r="K908" s="8"/>
      <c r="L908" s="8"/>
      <c r="M908" s="8"/>
      <c r="N908" s="8"/>
      <c r="O908" s="8"/>
    </row>
    <row r="909" ht="15.75" customHeight="1">
      <c r="A909" s="8"/>
      <c r="B909" s="48" t="s">
        <v>59</v>
      </c>
      <c r="C909" s="48" t="s">
        <v>31</v>
      </c>
      <c r="D909" s="48" t="s">
        <v>28</v>
      </c>
      <c r="E909" s="49">
        <v>500</v>
      </c>
      <c r="F909" s="49">
        <v>10</v>
      </c>
      <c r="G909" s="50">
        <v>5000</v>
      </c>
      <c r="H909" s="49">
        <v>-1000</v>
      </c>
      <c r="I909" s="8"/>
      <c r="J909" s="8"/>
      <c r="K909" s="8"/>
      <c r="L909" s="8"/>
      <c r="M909" s="8"/>
      <c r="N909" s="8"/>
      <c r="O909" s="8"/>
    </row>
    <row r="910" ht="15.75" customHeight="1">
      <c r="A910" s="8"/>
      <c r="B910" s="48" t="s">
        <v>59</v>
      </c>
      <c r="C910" s="48" t="s">
        <v>90</v>
      </c>
      <c r="D910" s="48" t="s">
        <v>27</v>
      </c>
      <c r="E910" s="49">
        <v>50</v>
      </c>
      <c r="F910" s="49">
        <v>20</v>
      </c>
      <c r="G910" s="50">
        <v>-1000</v>
      </c>
      <c r="H910" s="49">
        <v>-5000</v>
      </c>
      <c r="I910" s="8"/>
      <c r="J910" s="8"/>
      <c r="K910" s="8"/>
      <c r="L910" s="8"/>
      <c r="M910" s="8"/>
      <c r="N910" s="8"/>
      <c r="O910" s="8"/>
    </row>
    <row r="911" ht="15.75" customHeight="1">
      <c r="A911" s="8"/>
      <c r="B911" s="48" t="s">
        <v>59</v>
      </c>
      <c r="C911" s="48" t="s">
        <v>90</v>
      </c>
      <c r="D911" s="48" t="s">
        <v>25</v>
      </c>
      <c r="E911" s="49">
        <v>50</v>
      </c>
      <c r="F911" s="49">
        <v>30</v>
      </c>
      <c r="G911" s="50">
        <v>-1830</v>
      </c>
      <c r="H911" s="49">
        <v>4000</v>
      </c>
      <c r="I911" s="8"/>
      <c r="J911" s="8"/>
      <c r="K911" s="8"/>
      <c r="L911" s="8"/>
      <c r="M911" s="8"/>
      <c r="N911" s="8"/>
      <c r="O911" s="8"/>
    </row>
    <row r="912" ht="15.75" customHeight="1">
      <c r="A912" s="8"/>
      <c r="B912" s="48" t="s">
        <v>59</v>
      </c>
      <c r="C912" s="48" t="s">
        <v>90</v>
      </c>
      <c r="D912" s="48" t="s">
        <v>26</v>
      </c>
      <c r="E912" s="49">
        <v>500</v>
      </c>
      <c r="F912" s="49">
        <v>10</v>
      </c>
      <c r="G912" s="50">
        <v>-5000</v>
      </c>
      <c r="H912" s="49">
        <v>-5005.2</v>
      </c>
      <c r="I912" s="8"/>
      <c r="J912" s="8"/>
      <c r="K912" s="8"/>
      <c r="L912" s="8"/>
      <c r="M912" s="8"/>
      <c r="N912" s="8"/>
      <c r="O912" s="8"/>
    </row>
    <row r="913" ht="15.75" customHeight="1">
      <c r="A913" s="8"/>
      <c r="B913" s="48" t="s">
        <v>59</v>
      </c>
      <c r="C913" s="48" t="s">
        <v>31</v>
      </c>
      <c r="D913" s="48" t="s">
        <v>23</v>
      </c>
      <c r="E913" s="49">
        <v>500</v>
      </c>
      <c r="F913" s="49">
        <v>8</v>
      </c>
      <c r="G913" s="50">
        <v>4000</v>
      </c>
      <c r="H913" s="49">
        <v>-1830</v>
      </c>
      <c r="I913" s="8"/>
      <c r="J913" s="8"/>
      <c r="K913" s="8"/>
      <c r="L913" s="8"/>
      <c r="M913" s="8"/>
      <c r="N913" s="8"/>
      <c r="O913" s="8"/>
    </row>
    <row r="914" ht="15.75" customHeight="1">
      <c r="A914" s="8"/>
      <c r="B914" s="48" t="s">
        <v>59</v>
      </c>
      <c r="C914" s="48" t="s">
        <v>31</v>
      </c>
      <c r="D914" s="48" t="s">
        <v>85</v>
      </c>
      <c r="E914" s="49">
        <v>61</v>
      </c>
      <c r="F914" s="49">
        <v>10</v>
      </c>
      <c r="G914" s="49">
        <v>610</v>
      </c>
      <c r="H914" s="49">
        <v>610</v>
      </c>
      <c r="I914" s="8"/>
      <c r="J914" s="8"/>
      <c r="K914" s="8"/>
      <c r="L914" s="8"/>
      <c r="M914" s="8"/>
      <c r="N914" s="8"/>
      <c r="O914" s="8"/>
    </row>
    <row r="915" ht="15.75" customHeight="1">
      <c r="A915" s="8"/>
      <c r="B915" s="51"/>
      <c r="C915" s="51"/>
      <c r="D915" s="51"/>
      <c r="E915" s="51"/>
      <c r="F915" s="51"/>
      <c r="G915" s="51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A916" s="8"/>
      <c r="B916" s="8"/>
      <c r="C916" s="8"/>
      <c r="D916" s="8"/>
      <c r="E916" s="8"/>
      <c r="F916" s="8"/>
      <c r="G916" s="52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A917" s="8"/>
      <c r="B917" s="8"/>
      <c r="C917" s="8"/>
      <c r="D917" s="8"/>
      <c r="E917" s="8"/>
      <c r="F917" s="8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A918" s="8"/>
      <c r="B918" s="8"/>
      <c r="C918" s="8"/>
      <c r="D918" s="8"/>
      <c r="E918" s="8"/>
      <c r="F918" s="8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A919" s="8"/>
      <c r="B919" s="8"/>
      <c r="C919" s="8"/>
      <c r="D919" s="8"/>
      <c r="E919" s="8"/>
      <c r="F919" s="8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A920" s="8"/>
      <c r="B920" s="8"/>
      <c r="C920" s="8"/>
      <c r="D920" s="8"/>
      <c r="E920" s="8"/>
      <c r="F920" s="8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A921" s="8"/>
      <c r="B921" s="8"/>
      <c r="C921" s="8"/>
      <c r="D921" s="8"/>
      <c r="E921" s="8"/>
      <c r="F921" s="8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A922" s="8"/>
      <c r="B922" s="8"/>
      <c r="C922" s="8"/>
      <c r="D922" s="8"/>
      <c r="E922" s="8"/>
      <c r="F922" s="8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A923" s="8"/>
      <c r="B923" s="8"/>
      <c r="C923" s="8"/>
      <c r="D923" s="8"/>
      <c r="E923" s="8"/>
      <c r="F923" s="8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A924" s="8"/>
      <c r="B924" s="8"/>
      <c r="C924" s="8"/>
      <c r="D924" s="8"/>
      <c r="E924" s="8"/>
      <c r="F924" s="8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A925" s="8"/>
      <c r="B925" s="8"/>
      <c r="C925" s="8"/>
      <c r="D925" s="8"/>
      <c r="E925" s="8"/>
      <c r="F925" s="8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B701:H701"/>
    <mergeCell ref="B801:H801"/>
    <mergeCell ref="B901:H901"/>
    <mergeCell ref="B1:H1"/>
    <mergeCell ref="B101:H101"/>
    <mergeCell ref="B201:H201"/>
    <mergeCell ref="B301:H301"/>
    <mergeCell ref="B401:H401"/>
    <mergeCell ref="B501:H501"/>
    <mergeCell ref="B601:H601"/>
  </mergeCells>
  <dataValidations count="1">
    <dataValidation type="list" allowBlank="1" showInputMessage="1" showErrorMessage="1" prompt="Choose a format for current sheet" sqref="G3 G103 G203 G303 G403 G503 G603 G703 G803 G903" xr:uid="{8C245273-CF14-48E0-B277-80B58080D9B5}">
      <formula1>"Input Format,Output Format"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4E0469-E1DD-43D5-A368-6644FF06066B}">
          <x14:formula1>
            <xm:f>SendtoStaging1!$4:$4</xm:f>
          </x14:formula1>
          <xm:sqref>E3 E103 E203 E303 E403 E503 E603 E703 E803 E903</xm:sqref>
        </x14:dataValidation>
        <x14:dataValidation type="list" allowBlank="1" showInputMessage="1" showErrorMessage="1" prompt="Choose an available module" xr:uid="{FC11FEBE-FDE4-42E1-ADD3-D65C1E514955}">
          <x14:formula1>
            <xm:f>'_Modules'!$A$4:$A$1000</xm:f>
          </x14:formula1>
          <xm:sqref>C3 C103 C203 C303 C403 C503 C603 C703 C803 C903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138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/>
    <row r="6" ht="15.75" customHeight="1">
      <c r="A6" s="12"/>
      <c r="B6" s="12" t="s">
        <v>139</v>
      </c>
      <c r="C6" s="8"/>
      <c r="D6" s="12" t="s">
        <v>140</v>
      </c>
      <c r="E6" s="36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274E7F7-2C8D-4111-AA16-11D22934A61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E15EB1C-5E82-4C2C-9738-0DBEC687A54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F8FF4B2-6A47-4AD3-999C-DB0D094601B3}">
          <x14:formula1>
            <xm:f>CloseRebalancer!$4:$4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