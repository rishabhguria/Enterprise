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VerifyGridData" sheetId="9" r:id="rId11"/>
    <sheet state="visible" name="AddCash" sheetId="10" r:id="rId12"/>
    <sheet state="visible" name="RunRebalance" sheetId="11" r:id="rId13"/>
    <sheet state="visible" name="VerifyGridData1" sheetId="12" r:id="rId14"/>
    <sheet state="visible" name="RebalanceAcrossSecurities" sheetId="13" r:id="rId15"/>
    <sheet state="visible" name="ModifyRebalance" sheetId="14" r:id="rId16"/>
    <sheet state="visible" name="VerifyGridData2" sheetId="15" r:id="rId17"/>
  </sheets>
  <definedNames/>
  <calcPr/>
</workbook>
</file>

<file path=xl/sharedStrings.xml><?xml version="1.0" encoding="utf-8"?>
<sst xmlns="http://schemas.openxmlformats.org/spreadsheetml/2006/main" count="1050" uniqueCount="47">
  <si>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</si>
  <si>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</si>
  <si>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</si>
  <si>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</si>
  <si>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</si>
  <si>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</si>
  <si>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</si>
  <si>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</si>
  <si>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</si>
  <si>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</si>
  <si>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</si>
  <si>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</si>
  <si>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</si>
  <si>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</si>
  <si>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</si>
  <si>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</si>
  <si>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</si>
  <si>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</si>
  <si>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</si>
  <si>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IBM</t>
  </si>
  <si>
    <t>PricingInput</t>
  </si>
  <si>
    <t>DailyValuation</t>
  </si>
  <si>
    <t>GetDailyCash</t>
  </si>
  <si>
    <t>UpdateMultipleDailyCash</t>
  </si>
  <si>
    <t>Account</t>
  </si>
  <si>
    <t>Local Currency</t>
  </si>
  <si>
    <t>Cash Value Local</t>
  </si>
  <si>
    <t>Allocation1</t>
  </si>
  <si>
    <t>USD</t>
  </si>
  <si>
    <t>Rebalancer</t>
  </si>
  <si>
    <t>FetchAccountPositions</t>
  </si>
  <si>
    <t>VerifyGridData</t>
  </si>
  <si>
    <t/>
  </si>
  <si>
    <t>Equity</t>
  </si>
  <si>
    <t>Long</t>
  </si>
  <si>
    <t>Small Cap</t>
  </si>
  <si>
    <t>AAPL US EQUITY</t>
  </si>
  <si>
    <t>N.A.</t>
  </si>
  <si>
    <t>Technology</t>
  </si>
  <si>
    <t>IBM US EQUITY</t>
  </si>
  <si>
    <t>AddCash</t>
  </si>
  <si>
    <t>RunRebalance</t>
  </si>
  <si>
    <t>Nearest Round Off</t>
  </si>
  <si>
    <t>RebalanceAcrossSecurities</t>
  </si>
  <si>
    <t>Increase</t>
  </si>
  <si>
    <t>ModifyRebalance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</si>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</sst>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b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>
        <v>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>
        <v>100.0</v>
      </c>
      <c r="D7" s="13">
        <v>0.0</v>
      </c>
      <c r="E7" s="13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45859</v>
      </c>
      <c r="C6" s="33">
        <f>today()</f>
        <v>45860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24</v>
      </c>
      <c r="C5" s="29" t="s">
        <v>25</v>
      </c>
      <c r="D5" s="29" t="s">
        <v>26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28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32</v>
      </c>
      <c r="B6" s="34" t="s">
        <v>32</v>
      </c>
      <c r="C6" s="8" t="s">
        <v>27</v>
      </c>
      <c r="D6" s="34" t="s">
        <v>16</v>
      </c>
      <c r="E6" s="8" t="s">
        <v>33</v>
      </c>
      <c r="F6" s="8" t="s">
        <v>34</v>
      </c>
      <c r="G6" s="8">
        <v>2.0</v>
      </c>
      <c r="H6" s="8">
        <v>2.0</v>
      </c>
      <c r="I6" s="8">
        <v>1.0</v>
      </c>
      <c r="J6" s="8"/>
      <c r="K6" s="8">
        <v>10.0</v>
      </c>
      <c r="L6" s="8">
        <v>20.0</v>
      </c>
      <c r="M6" s="8">
        <v>20.0</v>
      </c>
      <c r="N6" s="8"/>
      <c r="O6" s="8">
        <v>10.0</v>
      </c>
      <c r="P6">
        <v>20.0</v>
      </c>
      <c r="Q6">
        <v>20.0</v>
      </c>
      <c r="R6">
        <v>0.0</v>
      </c>
      <c r="S6">
        <v>0.0</v>
      </c>
      <c r="T6" t="s">
        <v>35</v>
      </c>
      <c r="W6">
        <v>1.0</v>
      </c>
      <c r="X6" t="s">
        <v>36</v>
      </c>
      <c r="Y6" t="s">
        <v>32</v>
      </c>
      <c r="Z6" t="s">
        <v>32</v>
      </c>
      <c r="AB6" t="s">
        <v>37</v>
      </c>
      <c r="AC6" t="s">
        <v>37</v>
      </c>
      <c r="AD6" t="s">
        <v>32</v>
      </c>
      <c r="AE6" t="s">
        <v>32</v>
      </c>
      <c r="AF6" t="s">
        <v>32</v>
      </c>
      <c r="AG6" t="s">
        <v>32</v>
      </c>
      <c r="AH6" t="s">
        <v>32</v>
      </c>
      <c r="AI6" t="s">
        <v>32</v>
      </c>
      <c r="AJ6" t="s">
        <v>32</v>
      </c>
      <c r="AK6" t="s">
        <v>32</v>
      </c>
      <c r="AL6" t="s">
        <v>32</v>
      </c>
      <c r="AM6" t="s">
        <v>32</v>
      </c>
      <c r="AN6" t="s">
        <v>32</v>
      </c>
      <c r="AO6" t="s">
        <v>32</v>
      </c>
      <c r="AP6" t="s">
        <v>32</v>
      </c>
      <c r="AQ6" t="s">
        <v>32</v>
      </c>
      <c r="AR6" t="s">
        <v>32</v>
      </c>
      <c r="AS6" t="s">
        <v>32</v>
      </c>
      <c r="AT6" t="s">
        <v>32</v>
      </c>
      <c r="AU6" t="s">
        <v>32</v>
      </c>
      <c r="AV6" t="s">
        <v>32</v>
      </c>
      <c r="AW6" t="s">
        <v>32</v>
      </c>
      <c r="AX6" t="s">
        <v>32</v>
      </c>
      <c r="AY6" t="s">
        <v>32</v>
      </c>
      <c r="AZ6" t="s">
        <v>32</v>
      </c>
      <c r="BA6" t="s">
        <v>32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t="s">
        <v>32</v>
      </c>
      <c r="BH6" t="s">
        <v>32</v>
      </c>
      <c r="BI6" t="s">
        <v>32</v>
      </c>
      <c r="BJ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32</v>
      </c>
      <c r="B7" s="8" t="s">
        <v>32</v>
      </c>
      <c r="C7" s="8" t="s">
        <v>27</v>
      </c>
      <c r="D7" s="8" t="s">
        <v>19</v>
      </c>
      <c r="E7" s="8" t="s">
        <v>33</v>
      </c>
      <c r="F7" s="8" t="s">
        <v>34</v>
      </c>
      <c r="G7" s="8">
        <v>2.0</v>
      </c>
      <c r="H7" s="8">
        <v>2.0</v>
      </c>
      <c r="I7" s="8">
        <v>1.0</v>
      </c>
      <c r="J7" s="8"/>
      <c r="K7" s="8">
        <v>100.0</v>
      </c>
      <c r="L7" s="8">
        <v>200.0</v>
      </c>
      <c r="M7" s="8">
        <v>200.0</v>
      </c>
      <c r="N7" s="8"/>
      <c r="O7" s="8">
        <v>100.0</v>
      </c>
      <c r="P7">
        <v>200.0</v>
      </c>
      <c r="Q7">
        <v>200.0</v>
      </c>
      <c r="R7">
        <v>0.0</v>
      </c>
      <c r="S7">
        <v>0.0</v>
      </c>
      <c r="T7" t="s">
        <v>38</v>
      </c>
      <c r="W7">
        <v>1.0</v>
      </c>
      <c r="X7" t="s">
        <v>39</v>
      </c>
      <c r="Y7" t="s">
        <v>32</v>
      </c>
      <c r="Z7" t="s">
        <v>32</v>
      </c>
      <c r="AB7" t="s">
        <v>37</v>
      </c>
      <c r="AC7" t="s">
        <v>37</v>
      </c>
      <c r="AD7" t="s">
        <v>32</v>
      </c>
      <c r="AE7" t="s">
        <v>32</v>
      </c>
      <c r="AF7" t="s">
        <v>32</v>
      </c>
      <c r="AG7" t="s">
        <v>32</v>
      </c>
      <c r="AH7" t="s">
        <v>32</v>
      </c>
      <c r="AI7" t="s">
        <v>32</v>
      </c>
      <c r="AJ7" t="s">
        <v>32</v>
      </c>
      <c r="AK7" t="s">
        <v>32</v>
      </c>
      <c r="AL7" t="s">
        <v>32</v>
      </c>
      <c r="AM7" t="s">
        <v>32</v>
      </c>
      <c r="AN7" t="s">
        <v>32</v>
      </c>
      <c r="AO7" t="s">
        <v>32</v>
      </c>
      <c r="AP7" t="s">
        <v>32</v>
      </c>
      <c r="AQ7" t="s">
        <v>32</v>
      </c>
      <c r="AR7" t="s">
        <v>32</v>
      </c>
      <c r="AS7" t="s">
        <v>32</v>
      </c>
      <c r="AT7" t="s">
        <v>32</v>
      </c>
      <c r="AU7" t="s">
        <v>32</v>
      </c>
      <c r="AV7" t="s">
        <v>32</v>
      </c>
      <c r="AW7" t="s">
        <v>32</v>
      </c>
      <c r="AX7" t="s">
        <v>32</v>
      </c>
      <c r="AY7" t="s">
        <v>32</v>
      </c>
      <c r="AZ7" t="s">
        <v>32</v>
      </c>
      <c r="BA7" t="s">
        <v>32</v>
      </c>
      <c r="BB7" t="s">
        <v>32</v>
      </c>
      <c r="BC7" t="s">
        <v>32</v>
      </c>
      <c r="BD7" t="s">
        <v>32</v>
      </c>
      <c r="BE7" t="s">
        <v>32</v>
      </c>
      <c r="BF7" t="s">
        <v>32</v>
      </c>
      <c r="BG7" t="s">
        <v>32</v>
      </c>
      <c r="BH7" t="s">
        <v>32</v>
      </c>
      <c r="BI7" t="s">
        <v>32</v>
      </c>
      <c r="BJ7" t="s">
        <v>32</v>
      </c>
      <c r="BK7" t="s">
        <v>32</v>
      </c>
      <c r="BL7" t="s">
        <v>32</v>
      </c>
      <c r="BM7" t="s">
        <v>32</v>
      </c>
      <c r="BN7" t="s">
        <v>32</v>
      </c>
      <c r="BO7" t="s">
        <v>32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32</v>
      </c>
      <c r="CH7" t="s">
        <v>32</v>
      </c>
      <c r="CI7" t="s">
        <v>32</v>
      </c>
      <c r="CJ7" t="s">
        <v>32</v>
      </c>
      <c r="CK7" t="s">
        <v>32</v>
      </c>
      <c r="CL7" t="s">
        <v>32</v>
      </c>
      <c r="CM7" t="s">
        <v>32</v>
      </c>
      <c r="CN7" t="s">
        <v>32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  <c r="CU7" t="s">
        <v>32</v>
      </c>
      <c r="CV7" t="s">
        <v>32</v>
      </c>
      <c r="CW7" t="s">
        <v>32</v>
      </c>
      <c r="CX7" t="s">
        <v>32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EY7" t="s">
        <v>32</v>
      </c>
      <c r="EZ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J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10000.0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32</v>
      </c>
      <c r="B6" s="34" t="s">
        <v>32</v>
      </c>
      <c r="C6" s="8" t="s">
        <v>27</v>
      </c>
      <c r="D6" s="34" t="s">
        <v>16</v>
      </c>
      <c r="E6" s="8" t="s">
        <v>33</v>
      </c>
      <c r="F6" s="8" t="s">
        <v>34</v>
      </c>
      <c r="G6" s="8">
        <v>2.0</v>
      </c>
      <c r="H6" s="8">
        <v>2.0</v>
      </c>
      <c r="I6" s="8">
        <v>1.0</v>
      </c>
      <c r="J6" s="8"/>
      <c r="K6" s="8">
        <v>10.0</v>
      </c>
      <c r="L6" s="8">
        <v>20.0</v>
      </c>
      <c r="M6" s="8">
        <v>20.0</v>
      </c>
      <c r="N6" s="8"/>
      <c r="O6" s="8">
        <v>11.0</v>
      </c>
      <c r="P6">
        <v>22.0</v>
      </c>
      <c r="Q6">
        <v>22.0</v>
      </c>
      <c r="R6">
        <v>1.0</v>
      </c>
      <c r="S6">
        <v>2.0</v>
      </c>
      <c r="T6" t="s">
        <v>35</v>
      </c>
      <c r="W6">
        <v>1.0</v>
      </c>
      <c r="X6" t="s">
        <v>36</v>
      </c>
      <c r="Y6" t="s">
        <v>32</v>
      </c>
      <c r="Z6" t="s">
        <v>32</v>
      </c>
      <c r="AB6" t="s">
        <v>37</v>
      </c>
      <c r="AC6" t="s">
        <v>37</v>
      </c>
      <c r="AD6" t="s">
        <v>32</v>
      </c>
      <c r="AE6" t="s">
        <v>32</v>
      </c>
      <c r="AF6" t="s">
        <v>32</v>
      </c>
      <c r="AG6" t="s">
        <v>32</v>
      </c>
      <c r="AH6" t="s">
        <v>32</v>
      </c>
      <c r="AI6" t="s">
        <v>32</v>
      </c>
      <c r="AJ6" t="s">
        <v>32</v>
      </c>
      <c r="AK6" t="s">
        <v>32</v>
      </c>
      <c r="AL6" t="s">
        <v>32</v>
      </c>
      <c r="AM6" t="s">
        <v>32</v>
      </c>
      <c r="AN6" t="s">
        <v>32</v>
      </c>
      <c r="AO6" t="s">
        <v>32</v>
      </c>
      <c r="AP6" t="s">
        <v>32</v>
      </c>
      <c r="AQ6" t="s">
        <v>32</v>
      </c>
      <c r="AR6" t="s">
        <v>32</v>
      </c>
      <c r="AS6" t="s">
        <v>32</v>
      </c>
      <c r="AT6" t="s">
        <v>32</v>
      </c>
      <c r="AU6" t="s">
        <v>32</v>
      </c>
      <c r="AV6" t="s">
        <v>32</v>
      </c>
      <c r="AW6" t="s">
        <v>32</v>
      </c>
      <c r="AX6" t="s">
        <v>32</v>
      </c>
      <c r="AY6" t="s">
        <v>32</v>
      </c>
      <c r="AZ6" t="s">
        <v>32</v>
      </c>
      <c r="BA6" t="s">
        <v>32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t="s">
        <v>32</v>
      </c>
      <c r="BH6" t="s">
        <v>32</v>
      </c>
      <c r="BI6" t="s">
        <v>32</v>
      </c>
      <c r="BJ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32</v>
      </c>
      <c r="B7" s="8" t="s">
        <v>32</v>
      </c>
      <c r="C7" s="8" t="s">
        <v>27</v>
      </c>
      <c r="D7" s="8" t="s">
        <v>19</v>
      </c>
      <c r="E7" s="8" t="s">
        <v>33</v>
      </c>
      <c r="F7" s="8" t="s">
        <v>34</v>
      </c>
      <c r="G7" s="8">
        <v>2.0</v>
      </c>
      <c r="H7" s="8">
        <v>2.0</v>
      </c>
      <c r="I7" s="8">
        <v>1.0</v>
      </c>
      <c r="J7" s="8"/>
      <c r="K7" s="8">
        <v>100.0</v>
      </c>
      <c r="L7" s="8">
        <v>200.0</v>
      </c>
      <c r="M7" s="8">
        <v>200.0</v>
      </c>
      <c r="N7" s="8"/>
      <c r="O7" s="8">
        <v>110.0</v>
      </c>
      <c r="P7">
        <v>220.0</v>
      </c>
      <c r="Q7">
        <v>220.0</v>
      </c>
      <c r="R7">
        <v>10.0</v>
      </c>
      <c r="S7">
        <v>20.0</v>
      </c>
      <c r="T7" t="s">
        <v>38</v>
      </c>
      <c r="W7">
        <v>1.0</v>
      </c>
      <c r="X7" t="s">
        <v>39</v>
      </c>
      <c r="Y7" t="s">
        <v>32</v>
      </c>
      <c r="Z7" t="s">
        <v>32</v>
      </c>
      <c r="AB7" t="s">
        <v>37</v>
      </c>
      <c r="AC7" t="s">
        <v>37</v>
      </c>
      <c r="AD7" t="s">
        <v>32</v>
      </c>
      <c r="AE7" t="s">
        <v>32</v>
      </c>
      <c r="AF7" t="s">
        <v>32</v>
      </c>
      <c r="AG7" t="s">
        <v>32</v>
      </c>
      <c r="AH7" t="s">
        <v>32</v>
      </c>
      <c r="AI7" t="s">
        <v>32</v>
      </c>
      <c r="AJ7" t="s">
        <v>32</v>
      </c>
      <c r="AK7" t="s">
        <v>32</v>
      </c>
      <c r="AL7" t="s">
        <v>32</v>
      </c>
      <c r="AM7" t="s">
        <v>32</v>
      </c>
      <c r="AN7" t="s">
        <v>32</v>
      </c>
      <c r="AO7" t="s">
        <v>32</v>
      </c>
      <c r="AP7" t="s">
        <v>32</v>
      </c>
      <c r="AQ7" t="s">
        <v>32</v>
      </c>
      <c r="AR7" t="s">
        <v>32</v>
      </c>
      <c r="AS7" t="s">
        <v>32</v>
      </c>
      <c r="AT7" t="s">
        <v>32</v>
      </c>
      <c r="AU7" t="s">
        <v>32</v>
      </c>
      <c r="AV7" t="s">
        <v>32</v>
      </c>
      <c r="AW7" t="s">
        <v>32</v>
      </c>
      <c r="AX7" t="s">
        <v>32</v>
      </c>
      <c r="AY7" t="s">
        <v>32</v>
      </c>
      <c r="AZ7" t="s">
        <v>32</v>
      </c>
      <c r="BA7" t="s">
        <v>32</v>
      </c>
      <c r="BB7" t="s">
        <v>32</v>
      </c>
      <c r="BC7" t="s">
        <v>32</v>
      </c>
      <c r="BD7" t="s">
        <v>32</v>
      </c>
      <c r="BE7" t="s">
        <v>32</v>
      </c>
      <c r="BF7" t="s">
        <v>32</v>
      </c>
      <c r="BG7" t="s">
        <v>32</v>
      </c>
      <c r="BH7" t="s">
        <v>32</v>
      </c>
      <c r="BI7" t="s">
        <v>32</v>
      </c>
      <c r="BJ7" t="s">
        <v>32</v>
      </c>
      <c r="BK7" t="s">
        <v>32</v>
      </c>
      <c r="BL7" t="s">
        <v>32</v>
      </c>
      <c r="BM7" t="s">
        <v>32</v>
      </c>
      <c r="BN7" t="s">
        <v>32</v>
      </c>
      <c r="BO7" t="s">
        <v>32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32</v>
      </c>
      <c r="CH7" t="s">
        <v>32</v>
      </c>
      <c r="CI7" t="s">
        <v>32</v>
      </c>
      <c r="CJ7" t="s">
        <v>32</v>
      </c>
      <c r="CK7" t="s">
        <v>32</v>
      </c>
      <c r="CL7" t="s">
        <v>32</v>
      </c>
      <c r="CM7" t="s">
        <v>32</v>
      </c>
      <c r="CN7" t="s">
        <v>32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  <c r="CU7" t="s">
        <v>32</v>
      </c>
      <c r="CV7" t="s">
        <v>32</v>
      </c>
      <c r="CW7" t="s">
        <v>32</v>
      </c>
      <c r="CX7" t="s">
        <v>32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EY7" t="s">
        <v>32</v>
      </c>
      <c r="EZ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J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 t="str">
        <f>IFERROR(__xludf.DUMMYFUNCTION("""COMPUTED_VALUE"""),"SetCashTarget")</f>
        <v>SetCashTarget</v>
      </c>
      <c r="N5" s="28" t="str">
        <f>IFERROR(__xludf.DUMMYFUNCTION("""COMPUTED_VALUE"""),"SetCashTarget%")</f>
        <v>SetCashTarget%</v>
      </c>
      <c r="O5" s="28" t="str">
        <f>IFERROR(__xludf.DUMMYFUNCTION("""COMPUTED_VALUE"""),"SellToRaiseCashAndSetCashTarget")</f>
        <v>SellToRaiseCashAndSetCashTarget</v>
      </c>
      <c r="P5" s="28" t="str">
        <f>IFERROR(__xludf.DUMMYFUNCTION("""COMPUTED_VALUE"""),"AllowNegCashAndSetCashTarget")</f>
        <v>AllowNegCashAndSetCashTarget</v>
      </c>
      <c r="Q5" s="28" t="str">
        <f>IFERROR(__xludf.DUMMYFUNCTION("""COMPUTED_VALUE"""),"DisableCT")</f>
        <v>DisableCT</v>
      </c>
      <c r="R5" s="28" t="str">
        <f>IFERROR(__xludf.DUMMYFUNCTION("""COMPUTED_VALUE"""),"AllowNegCashAndSellToRaise")</f>
        <v>AllowNegCashAndSellToRaise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44</v>
      </c>
      <c r="D6" s="13">
        <v>10.0</v>
      </c>
      <c r="E6" s="13" t="s">
        <v>27</v>
      </c>
      <c r="F6" s="8"/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IFERROR(__xludf.DUMMYFUNCTION("""COMPUTED_VALUE"""),"Modify Rebalance")</f>
        <v>Modify Rebalance</v>
      </c>
      <c r="C5" s="28" t="str">
        <f>IFERROR(__xludf.DUMMYFUNCTION("""COMPUTED_VALUE"""),"AllowNegCash")</f>
        <v>AllowNegCash</v>
      </c>
      <c r="D5" s="28" t="str">
        <f>IFERROR(__xludf.DUMMYFUNCTION("""COMPUTED_VALUE"""),"SellToRaiseCash")</f>
        <v>SellToRaiseCash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 t="str">
        <f>IFERROR(__xludf.DUMMYFUNCTION("""COMPUTED_VALUE"""),"% Change")</f>
        <v>% Change</v>
      </c>
      <c r="AB5" s="30" t="str">
        <f>IFERROR(__xludf.DUMMYFUNCTION("""COMPUTED_VALUE"""),"Tolerance %")</f>
        <v>Tolerance %</v>
      </c>
      <c r="AC5" s="30" t="str">
        <f>IFERROR(__xludf.DUMMYFUNCTION("""COMPUTED_VALUE"""),"Model %")</f>
        <v>Model %</v>
      </c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32</v>
      </c>
      <c r="B6" s="34" t="s">
        <v>32</v>
      </c>
      <c r="C6" s="8" t="s">
        <v>27</v>
      </c>
      <c r="D6" s="34" t="s">
        <v>16</v>
      </c>
      <c r="E6" s="8" t="s">
        <v>33</v>
      </c>
      <c r="F6" s="8" t="s">
        <v>34</v>
      </c>
      <c r="G6" s="8">
        <v>2.0</v>
      </c>
      <c r="H6" s="8">
        <v>2.0</v>
      </c>
      <c r="I6" s="8">
        <v>1.0</v>
      </c>
      <c r="J6" s="8"/>
      <c r="K6" s="8">
        <v>10.0</v>
      </c>
      <c r="L6" s="8">
        <v>20.0</v>
      </c>
      <c r="M6" s="8">
        <v>20.0</v>
      </c>
      <c r="N6" s="8"/>
      <c r="O6" s="8">
        <v>5522.0</v>
      </c>
      <c r="P6">
        <v>11044.0</v>
      </c>
      <c r="Q6">
        <v>11044.0</v>
      </c>
      <c r="R6">
        <v>5512.0</v>
      </c>
      <c r="S6">
        <v>11024.0</v>
      </c>
      <c r="T6" t="s">
        <v>35</v>
      </c>
      <c r="W6">
        <v>1.0</v>
      </c>
      <c r="X6" t="s">
        <v>36</v>
      </c>
      <c r="Y6" t="s">
        <v>32</v>
      </c>
      <c r="Z6" t="s">
        <v>32</v>
      </c>
      <c r="AB6" t="s">
        <v>37</v>
      </c>
      <c r="AC6" t="s">
        <v>37</v>
      </c>
      <c r="AD6" t="s">
        <v>32</v>
      </c>
      <c r="AE6" t="s">
        <v>32</v>
      </c>
      <c r="AF6" t="s">
        <v>32</v>
      </c>
      <c r="AG6" t="s">
        <v>32</v>
      </c>
      <c r="AH6" t="s">
        <v>32</v>
      </c>
      <c r="AI6" t="s">
        <v>32</v>
      </c>
      <c r="AJ6" t="s">
        <v>32</v>
      </c>
      <c r="AK6" t="s">
        <v>32</v>
      </c>
      <c r="AL6" t="s">
        <v>32</v>
      </c>
      <c r="AM6" t="s">
        <v>32</v>
      </c>
      <c r="AN6" t="s">
        <v>32</v>
      </c>
      <c r="AO6" t="s">
        <v>32</v>
      </c>
      <c r="AP6" t="s">
        <v>32</v>
      </c>
      <c r="AQ6" t="s">
        <v>32</v>
      </c>
      <c r="AR6" t="s">
        <v>32</v>
      </c>
      <c r="AS6" t="s">
        <v>32</v>
      </c>
      <c r="AT6" t="s">
        <v>32</v>
      </c>
      <c r="AU6" t="s">
        <v>32</v>
      </c>
      <c r="AV6" t="s">
        <v>32</v>
      </c>
      <c r="AW6" t="s">
        <v>32</v>
      </c>
      <c r="AX6" t="s">
        <v>32</v>
      </c>
      <c r="AY6" t="s">
        <v>32</v>
      </c>
      <c r="AZ6" t="s">
        <v>32</v>
      </c>
      <c r="BA6" t="s">
        <v>32</v>
      </c>
      <c r="BB6" t="s">
        <v>32</v>
      </c>
      <c r="BC6" t="s">
        <v>32</v>
      </c>
      <c r="BD6" t="s">
        <v>32</v>
      </c>
      <c r="BE6" t="s">
        <v>32</v>
      </c>
      <c r="BF6" t="s">
        <v>32</v>
      </c>
      <c r="BG6" t="s">
        <v>32</v>
      </c>
      <c r="BH6" t="s">
        <v>32</v>
      </c>
      <c r="BI6" t="s">
        <v>32</v>
      </c>
      <c r="BJ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32</v>
      </c>
      <c r="B7" s="8" t="s">
        <v>32</v>
      </c>
      <c r="C7" s="8" t="s">
        <v>27</v>
      </c>
      <c r="D7" s="8" t="s">
        <v>19</v>
      </c>
      <c r="E7" s="8" t="s">
        <v>33</v>
      </c>
      <c r="F7" s="8" t="s">
        <v>34</v>
      </c>
      <c r="G7" s="8">
        <v>2.0</v>
      </c>
      <c r="H7" s="8">
        <v>2.0</v>
      </c>
      <c r="I7" s="8">
        <v>1.0</v>
      </c>
      <c r="J7" s="8"/>
      <c r="K7" s="8">
        <v>100.0</v>
      </c>
      <c r="L7" s="8">
        <v>200.0</v>
      </c>
      <c r="M7" s="8">
        <v>200.0</v>
      </c>
      <c r="N7" s="8"/>
      <c r="O7" s="8">
        <v>110.0</v>
      </c>
      <c r="P7">
        <v>220.0</v>
      </c>
      <c r="Q7">
        <v>220.0</v>
      </c>
      <c r="R7">
        <v>10.0</v>
      </c>
      <c r="S7">
        <v>20.0</v>
      </c>
      <c r="T7" t="s">
        <v>38</v>
      </c>
      <c r="W7">
        <v>1.0</v>
      </c>
      <c r="X7" t="s">
        <v>39</v>
      </c>
      <c r="Y7" t="s">
        <v>32</v>
      </c>
      <c r="Z7" t="s">
        <v>32</v>
      </c>
      <c r="AB7" t="s">
        <v>37</v>
      </c>
      <c r="AC7" t="s">
        <v>37</v>
      </c>
      <c r="AD7" t="s">
        <v>32</v>
      </c>
      <c r="AE7" t="s">
        <v>32</v>
      </c>
      <c r="AF7" t="s">
        <v>32</v>
      </c>
      <c r="AG7" t="s">
        <v>32</v>
      </c>
      <c r="AH7" t="s">
        <v>32</v>
      </c>
      <c r="AI7" t="s">
        <v>32</v>
      </c>
      <c r="AJ7" t="s">
        <v>32</v>
      </c>
      <c r="AK7" t="s">
        <v>32</v>
      </c>
      <c r="AL7" t="s">
        <v>32</v>
      </c>
      <c r="AM7" t="s">
        <v>32</v>
      </c>
      <c r="AN7" t="s">
        <v>32</v>
      </c>
      <c r="AO7" t="s">
        <v>32</v>
      </c>
      <c r="AP7" t="s">
        <v>32</v>
      </c>
      <c r="AQ7" t="s">
        <v>32</v>
      </c>
      <c r="AR7" t="s">
        <v>32</v>
      </c>
      <c r="AS7" t="s">
        <v>32</v>
      </c>
      <c r="AT7" t="s">
        <v>32</v>
      </c>
      <c r="AU7" t="s">
        <v>32</v>
      </c>
      <c r="AV7" t="s">
        <v>32</v>
      </c>
      <c r="AW7" t="s">
        <v>32</v>
      </c>
      <c r="AX7" t="s">
        <v>32</v>
      </c>
      <c r="AY7" t="s">
        <v>32</v>
      </c>
      <c r="AZ7" t="s">
        <v>32</v>
      </c>
      <c r="BA7" t="s">
        <v>32</v>
      </c>
      <c r="BB7" t="s">
        <v>32</v>
      </c>
      <c r="BC7" t="s">
        <v>32</v>
      </c>
      <c r="BD7" t="s">
        <v>32</v>
      </c>
      <c r="BE7" t="s">
        <v>32</v>
      </c>
      <c r="BF7" t="s">
        <v>32</v>
      </c>
      <c r="BG7" t="s">
        <v>32</v>
      </c>
      <c r="BH7" t="s">
        <v>32</v>
      </c>
      <c r="BI7" t="s">
        <v>32</v>
      </c>
      <c r="BJ7" t="s">
        <v>32</v>
      </c>
      <c r="BK7" t="s">
        <v>32</v>
      </c>
      <c r="BL7" t="s">
        <v>32</v>
      </c>
      <c r="BM7" t="s">
        <v>32</v>
      </c>
      <c r="BN7" t="s">
        <v>32</v>
      </c>
      <c r="BO7" t="s">
        <v>32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32</v>
      </c>
      <c r="CH7" t="s">
        <v>32</v>
      </c>
      <c r="CI7" t="s">
        <v>32</v>
      </c>
      <c r="CJ7" t="s">
        <v>32</v>
      </c>
      <c r="CK7" t="s">
        <v>32</v>
      </c>
      <c r="CL7" t="s">
        <v>32</v>
      </c>
      <c r="CM7" t="s">
        <v>32</v>
      </c>
      <c r="CN7" t="s">
        <v>32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  <c r="CU7" t="s">
        <v>32</v>
      </c>
      <c r="CV7" t="s">
        <v>32</v>
      </c>
      <c r="CW7" t="s">
        <v>32</v>
      </c>
      <c r="CX7" t="s">
        <v>32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EY7" t="s">
        <v>32</v>
      </c>
      <c r="EZ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J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