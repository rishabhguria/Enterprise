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heckUnallocatedGroups" sheetId="6" r:id="rId8"/>
    <sheet state="visible" name="AddFillsSubOrder" sheetId="7" r:id="rId9"/>
    <sheet state="visible" name="EditAddFillsDetails" sheetId="8" r:id="rId10"/>
    <sheet state="visible" name="CheckUnallocatedGroups1" sheetId="9" r:id="rId11"/>
    <sheet state="visible" name="SelectUnallocatedGroup" sheetId="10" r:id="rId12"/>
    <sheet state="visible" name="EnterAccountValuesToAllocate" sheetId="11" r:id="rId13"/>
    <sheet state="visible" name="VerifyOrder" sheetId="12" r:id="rId14"/>
    <sheet state="visible" name="AddFillsSubOrder1" sheetId="13" r:id="rId15"/>
    <sheet state="visible" name="EditAddFillsDetails1" sheetId="14" r:id="rId16"/>
    <sheet state="visible" name="CheckAllocatedGroups2" sheetId="15" r:id="rId17"/>
    <sheet state="visible" name="VerifyOrder1" sheetId="16" r:id="rId18"/>
  </sheets>
  <definedNames/>
  <calcPr/>
</workbook>
</file>

<file path=xl/sharedStrings.xml><?xml version="1.0" encoding="utf-8"?>
<sst xmlns="http://schemas.openxmlformats.org/spreadsheetml/2006/main" count="160" uniqueCount="42">
  <si>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</si>
  <si>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</si>
  <si>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</si>
  <si>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</si>
  <si>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</si>
  <si>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</si>
  <si>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</si>
  <si>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</si>
  <si>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</si>
  <si>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</si>
  <si>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</si>
  <si>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</si>
  <si>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</si>
  <si>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</si>
  <si>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</si>
  <si>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</si>
  <si>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H</t>
  </si>
  <si>
    <t>Buy</t>
  </si>
  <si>
    <t>Unallocated</t>
  </si>
  <si>
    <t>Shares/Contracts</t>
  </si>
  <si>
    <t>Allocation</t>
  </si>
  <si>
    <t>GetDataAllocation</t>
  </si>
  <si>
    <t>Current</t>
  </si>
  <si>
    <t>CheckUnallocatedGroups</t>
  </si>
  <si>
    <t>Equity</t>
  </si>
  <si>
    <t>HYATT HOTELS CORP</t>
  </si>
  <si>
    <t>USD</t>
  </si>
  <si>
    <t>NYSE</t>
  </si>
  <si>
    <t>Market</t>
  </si>
  <si>
    <t>Blotter</t>
  </si>
  <si>
    <t>AddFillsSubOrder</t>
  </si>
  <si>
    <t>PartiallyFilled</t>
  </si>
  <si>
    <t>MS</t>
  </si>
  <si>
    <t>EditAddFillsDetails</t>
  </si>
  <si>
    <t>SelectUnallocatedGroup</t>
  </si>
  <si>
    <t>M</t>
  </si>
  <si>
    <t>EnterAccountValuesToAllocate</t>
  </si>
  <si>
    <t>Allocation1</t>
  </si>
  <si>
    <t>VerifyOrder</t>
  </si>
  <si>
    <t>H US EQUITY</t>
  </si>
  <si>
    <t>CheckAllocatedGroups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</si>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</sst>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horizontal="left" readingOrder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12">
        <v>10.0</v>
      </c>
      <c r="F6" s="12" t="s">
        <v>18</v>
      </c>
      <c r="G6" s="8"/>
      <c r="H6" s="8"/>
      <c r="I6" s="8"/>
      <c r="J6" s="12">
        <v>1.0</v>
      </c>
      <c r="K6" s="8"/>
      <c r="L6" s="8"/>
      <c r="M6" s="8"/>
      <c r="N6" s="8"/>
      <c r="O6" s="8"/>
      <c r="R6" s="30" t="s">
        <v>19</v>
      </c>
      <c r="S6" s="9">
        <v>0.01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4" width="12.63"/>
    <col customWidth="1" min="45" max="45" width="10.38"/>
    <col customWidth="1" min="46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1c7aP-E18Fb8lEVGiXac03BLoNVdUNRzodD2Xjn-9pzU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8"/>
      <c r="F6" s="12" t="s">
        <v>24</v>
      </c>
      <c r="G6" s="12">
        <v>0.0</v>
      </c>
      <c r="H6" s="12">
        <v>0.0</v>
      </c>
      <c r="I6" s="32">
        <v>15.0</v>
      </c>
      <c r="J6" s="32">
        <v>1.0</v>
      </c>
      <c r="K6" s="32">
        <v>1.0</v>
      </c>
      <c r="L6" s="8"/>
      <c r="M6" s="8"/>
      <c r="N6" s="8"/>
      <c r="T6" s="32">
        <v>0.1</v>
      </c>
      <c r="V6" s="33" t="s">
        <v>25</v>
      </c>
      <c r="Z6" s="33" t="s">
        <v>26</v>
      </c>
      <c r="AD6" s="33" t="s">
        <v>27</v>
      </c>
      <c r="AE6" s="9">
        <v>10.0</v>
      </c>
      <c r="AT6" s="32">
        <v>11.10175</v>
      </c>
      <c r="AU6" s="32">
        <v>11.10175</v>
      </c>
      <c r="AY6" s="9" t="s">
        <v>28</v>
      </c>
      <c r="BE6" s="32">
        <v>10.0</v>
      </c>
      <c r="BF6" s="32">
        <v>10.0</v>
      </c>
      <c r="BJ6" s="9">
        <v>100.0</v>
      </c>
      <c r="BO6" s="9" t="s">
        <v>17</v>
      </c>
      <c r="BS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        ")</f>
        <v>Allocation Scheme Name        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IFERROR(__xludf.DUMMYFUNCTION("""COMPUTED_VALUE"""),"Allocation Status")</f>
        <v>Allocation Status</v>
      </c>
      <c r="AW5" s="29" t="str">
        <f>IFERROR(__xludf.DUMMYFUNCTION("""COMPUTED_VALUE"""),"Source")</f>
        <v>Source</v>
      </c>
      <c r="AX5" s="29" t="str">
        <f>IFERROR(__xludf.DUMMYFUNCTION("""COMPUTED_VALUE"""),"Strategy")</f>
        <v>Strategy</v>
      </c>
      <c r="AY5" s="29" t="str">
        <f>IFERROR(__xludf.DUMMYFUNCTION("""COMPUTED_VALUE"""),"Unexecuted Qty")</f>
        <v>Unexecuted Qty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1"/>
      <c r="F6" s="12" t="s">
        <v>17</v>
      </c>
      <c r="G6" s="12" t="s">
        <v>31</v>
      </c>
      <c r="H6" s="12">
        <v>100.0</v>
      </c>
      <c r="I6" s="12">
        <v>10.0</v>
      </c>
      <c r="J6" s="8"/>
      <c r="K6" s="12">
        <v>1.0</v>
      </c>
      <c r="L6" s="8"/>
      <c r="M6" s="12">
        <v>1.0</v>
      </c>
      <c r="N6" s="12" t="s">
        <v>32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1.0</v>
      </c>
      <c r="D6" s="12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1c7aP-E18Fb8lEVGiXac03BLoNVdUNRzodD2Xjn-9pzU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</row>
    <row r="6" ht="15.75" customHeight="1">
      <c r="D6" s="32"/>
      <c r="E6" s="8"/>
      <c r="F6" s="12" t="s">
        <v>24</v>
      </c>
      <c r="G6" s="12">
        <v>0.0</v>
      </c>
      <c r="H6" s="12">
        <v>0.0</v>
      </c>
      <c r="I6" s="32">
        <v>15.0</v>
      </c>
      <c r="J6" s="32">
        <v>1.0</v>
      </c>
      <c r="K6" s="32">
        <v>1.0</v>
      </c>
      <c r="L6" s="8"/>
      <c r="M6" s="8"/>
      <c r="N6" s="8"/>
      <c r="T6" s="32">
        <v>0.3</v>
      </c>
      <c r="V6" s="33" t="s">
        <v>25</v>
      </c>
      <c r="Z6" s="33" t="s">
        <v>26</v>
      </c>
      <c r="AD6" s="33" t="s">
        <v>27</v>
      </c>
      <c r="AE6" s="32">
        <v>30.0</v>
      </c>
      <c r="AT6" s="32">
        <v>31.3052675</v>
      </c>
      <c r="AU6" s="32">
        <v>31.3052675</v>
      </c>
      <c r="AY6" s="9" t="s">
        <v>28</v>
      </c>
      <c r="BE6" s="32">
        <v>30.0</v>
      </c>
      <c r="BF6" s="32">
        <v>30.0</v>
      </c>
      <c r="BJ6" s="9">
        <v>100.0</v>
      </c>
      <c r="BO6" s="9" t="s">
        <v>17</v>
      </c>
      <c r="BS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12">
        <v>30.0</v>
      </c>
      <c r="F6" s="8"/>
      <c r="G6" s="32">
        <v>31.3052675</v>
      </c>
      <c r="H6" s="32">
        <v>31.3052675</v>
      </c>
      <c r="I6" s="32">
        <v>30.0</v>
      </c>
      <c r="K6" s="32">
        <v>30.0</v>
      </c>
      <c r="L6" s="8"/>
      <c r="M6" s="8"/>
      <c r="N6" s="12">
        <v>1.0</v>
      </c>
      <c r="O6" s="12">
        <v>1.0</v>
      </c>
      <c r="P6" s="9" t="s">
        <v>32</v>
      </c>
      <c r="Q6" s="9">
        <v>1.0</v>
      </c>
      <c r="S6" s="9" t="s">
        <v>35</v>
      </c>
      <c r="U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1mOtszotVOdqHquQTLi-4CBnAUrtAF2MEABuvYJh_hzw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>
        <v>100.0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1.0</v>
      </c>
      <c r="E6" s="33" t="s">
        <v>39</v>
      </c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35</v>
      </c>
      <c r="AH6" s="9" t="s">
        <v>24</v>
      </c>
      <c r="AI6" s="9" t="s">
        <v>16</v>
      </c>
      <c r="AJ6" s="9" t="s">
        <v>17</v>
      </c>
      <c r="AK6" s="9" t="s">
        <v>31</v>
      </c>
      <c r="AL6" s="9">
        <v>100.0</v>
      </c>
      <c r="AM6" s="9">
        <v>10.0</v>
      </c>
      <c r="AQ6" s="9">
        <v>1.0</v>
      </c>
      <c r="AR6" s="9">
        <v>1.0</v>
      </c>
      <c r="AS6" s="9" t="s">
        <v>32</v>
      </c>
      <c r="AU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        ")</f>
        <v>Allocation Scheme Name        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IFERROR(__xludf.DUMMYFUNCTION("""COMPUTED_VALUE"""),"Allocation Status")</f>
        <v>Allocation Status</v>
      </c>
      <c r="AW5" s="29" t="str">
        <f>IFERROR(__xludf.DUMMYFUNCTION("""COMPUTED_VALUE"""),"Source")</f>
        <v>Source</v>
      </c>
      <c r="AX5" s="29" t="str">
        <f>IFERROR(__xludf.DUMMYFUNCTION("""COMPUTED_VALUE"""),"Strategy")</f>
        <v>Strategy</v>
      </c>
      <c r="AY5" s="29" t="str">
        <f>IFERROR(__xludf.DUMMYFUNCTION("""COMPUTED_VALUE"""),"Unexecuted Qty")</f>
        <v>Unexecuted Qty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1"/>
      <c r="F6" s="12" t="s">
        <v>17</v>
      </c>
      <c r="G6" s="12" t="s">
        <v>31</v>
      </c>
      <c r="H6" s="12">
        <v>100.0</v>
      </c>
      <c r="I6" s="12">
        <v>30.0</v>
      </c>
      <c r="J6" s="8"/>
      <c r="K6" s="12">
        <v>1.0</v>
      </c>
      <c r="L6" s="8"/>
      <c r="M6" s="12">
        <v>1.0</v>
      </c>
      <c r="N6" s="12" t="s">
        <v>32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70.0</v>
      </c>
      <c r="C6" s="12">
        <v>1.0</v>
      </c>
      <c r="D6" s="12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12" t="s">
        <v>24</v>
      </c>
      <c r="H6" s="32">
        <v>1.0</v>
      </c>
      <c r="I6" s="12">
        <v>0.0</v>
      </c>
      <c r="J6" s="32">
        <v>15.0</v>
      </c>
      <c r="K6" s="32">
        <v>1.0</v>
      </c>
      <c r="L6" s="32">
        <v>1.0</v>
      </c>
      <c r="M6" s="33" t="s">
        <v>39</v>
      </c>
      <c r="N6" s="8"/>
      <c r="O6" s="12" t="s">
        <v>32</v>
      </c>
      <c r="T6" s="32"/>
      <c r="V6" s="33" t="s">
        <v>25</v>
      </c>
      <c r="Z6" s="33" t="s">
        <v>26</v>
      </c>
      <c r="AD6" s="33" t="s">
        <v>27</v>
      </c>
      <c r="AE6" s="32">
        <v>100.0</v>
      </c>
      <c r="AT6" s="32"/>
      <c r="AU6" s="32"/>
      <c r="AY6" s="9" t="s">
        <v>28</v>
      </c>
      <c r="BE6" s="32">
        <v>100.0</v>
      </c>
      <c r="BF6" s="32">
        <v>100.0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1.0</v>
      </c>
      <c r="E6" s="33" t="s">
        <v>39</v>
      </c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35</v>
      </c>
      <c r="AH6" s="9" t="s">
        <v>24</v>
      </c>
      <c r="AI6" s="9" t="s">
        <v>16</v>
      </c>
      <c r="AJ6" s="9" t="s">
        <v>17</v>
      </c>
      <c r="AK6" s="9" t="s">
        <v>41</v>
      </c>
      <c r="AL6" s="9">
        <v>100.0</v>
      </c>
      <c r="AM6" s="9">
        <v>100.0</v>
      </c>
      <c r="AQ6" s="9">
        <v>1.0</v>
      </c>
      <c r="AR6" s="9">
        <v>1.0</v>
      </c>
      <c r="AS6" s="9" t="s">
        <v>32</v>
      </c>
      <c r="AU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