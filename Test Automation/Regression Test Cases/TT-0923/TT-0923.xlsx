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GetDailyCash" sheetId="6" r:id="rId8"/>
    <sheet state="visible" name="UpdateMultipleDailyCash" sheetId="7" r:id="rId9"/>
    <sheet state="visible" name="AddCalculatedPreferences" sheetId="8" r:id="rId10"/>
    <sheet state="visible" name="SetAccountValueCalculatedPref" sheetId="9" r:id="rId11"/>
    <sheet state="visible" name="SetDefaultRuleCalculatedPref" sheetId="10" r:id="rId12"/>
    <sheet state="visible" name="CreateDoneAwayOrder1" sheetId="11" r:id="rId13"/>
    <sheet state="visible" name="CheckAllocatedGroups" sheetId="12" r:id="rId14"/>
  </sheets>
  <definedNames/>
  <calcPr/>
</workbook>
</file>

<file path=xl/sharedStrings.xml><?xml version="1.0" encoding="utf-8"?>
<sst xmlns="http://schemas.openxmlformats.org/spreadsheetml/2006/main" count="324" uniqueCount="61">
  <si>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</si>
  <si>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</si>
  <si>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</si>
  <si>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</si>
  <si>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</si>
  <si>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</si>
  <si>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</si>
  <si>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</si>
  <si>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</si>
  <si>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</si>
  <si>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</si>
  <si>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</si>
  <si>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</si>
  <si>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</si>
  <si>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</si>
  <si>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</si>
  <si>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</si>
  <si>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</si>
  <si>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</si>
  <si>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</si>
  <si>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Allocation1,Allocation2</t>
  </si>
  <si>
    <t>60,40</t>
  </si>
  <si>
    <t>DailyValuation</t>
  </si>
  <si>
    <t>GetDailyCash</t>
  </si>
  <si>
    <t>UpdateMultipleDailyCash</t>
  </si>
  <si>
    <t>Allocation1</t>
  </si>
  <si>
    <t>USD</t>
  </si>
  <si>
    <t>Allocation2</t>
  </si>
  <si>
    <t>Allocation3</t>
  </si>
  <si>
    <t>Allocation4</t>
  </si>
  <si>
    <t>Allocation</t>
  </si>
  <si>
    <t>AddCalculatedPreferences</t>
  </si>
  <si>
    <t>TestPref</t>
  </si>
  <si>
    <t>SetAccountValueCalculatedPref</t>
  </si>
  <si>
    <t>SetDefaultRuleCalculatedPref</t>
  </si>
  <si>
    <t>Prorata</t>
  </si>
  <si>
    <t>Sell</t>
  </si>
  <si>
    <t>CheckAllocatedGroups</t>
  </si>
  <si>
    <t/>
  </si>
  <si>
    <t>Actual_365</t>
  </si>
  <si>
    <t>Manual</t>
  </si>
  <si>
    <t>Equity</t>
  </si>
  <si>
    <t>AAPL US EQUITY</t>
  </si>
  <si>
    <t>Treasury</t>
  </si>
  <si>
    <t>MS</t>
  </si>
  <si>
    <t>Open</t>
  </si>
  <si>
    <t>APPLE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</si>
  <si>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</si>
  <si>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</si>
  <si>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</si>
  <si>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</si>
  <si>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</si>
  <si>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</si>
  <si>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</si>
  <si>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</si>
  <si>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</si>
  <si>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</si>
  <si>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</si>
  <si>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</si>
  <si>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NewMF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</si>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</sst>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IFERROR(__xludf.DUMMYFUNCTION("""COMPUTED_VALUE"""),"TTMainControls")</f>
        <v>TTMainControls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IFERROR(__xludf.DUMMYFUNCTION("""COMPUTED_VALUE"""),"VerifySymStrip")</f>
        <v>VerifySymStrip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IFERROR(__xludf.DUMMYFUNCTION("""COMPUTED_VALUE"""),"TTBottomTab")</f>
        <v>TTBottomTab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IFERROR(__xludf.DUMMYFUNCTION("""COMPUTED_VALUE"""),"TradingTicket")</f>
        <v>TradingTicket</v>
      </c>
      <c r="B918" t="str">
        <f>IFERROR(__xludf.DUMMYFUNCTION("""COMPUTED_VALUE"""),"TTBottomSwap")</f>
        <v>TTBottomSwap</v>
      </c>
      <c r="C918" t="str">
        <f>IFERROR(__xludf.DUMMYFUNCTION("""COMPUTED_VALUE"""),"1DUwxSUq_47EK60XmK3LOdCXa1fkWqWJE9bLuGS3ccv412")</f>
        <v>1DUwxSUq_47EK60XmK3LOdCXa1fkWqWJE9bLuGS3ccv412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IFERROR(__xludf.DUMMYFUNCTION("""COMPUTED_VALUE"""),"CreateHotButtonOnBlotter")</f>
        <v>CreateHotButtonOnBlotter</v>
      </c>
      <c r="C919" t="str">
        <f>IFERROR(__xludf.DUMMYFUNCTION("""COMPUTED_VALUE"""),"1Yu7Fb6AjhUP8b-KuRJvgAwq8TykNK6BDh9F0Xpf12Ek")</f>
        <v>1Yu7Fb6AjhUP8b-KuRJvgAwq8TykNK6BDh9F0Xpf12Ek</v>
      </c>
    </row>
    <row r="920" ht="15.75" customHeight="1">
      <c r="A920" t="str">
        <f>IFERROR(__xludf.DUMMYFUNCTION("""COMPUTED_VALUE"""),"Blotter")</f>
        <v>Blotter</v>
      </c>
      <c r="B920" t="str">
        <f>IFERROR(__xludf.DUMMYFUNCTION("""COMPUTED_VALUE"""),"FillHBdetailsOnBlotter")</f>
        <v>FillHBdetailsOnBlotter</v>
      </c>
      <c r="C920" t="str">
        <f>IFERROR(__xludf.DUMMYFUNCTION("""COMPUTED_VALUE"""),"13Isj5c5k8kObxI-GBT6Ir9VBOz_46lzhwVxXXVP8jQU")</f>
        <v>13Isj5c5k8kObxI-GBT6Ir9VBOz_46lzhwVxXXVP8jQU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IFERROR(__xludf.DUMMYFUNCTION("""COMPUTED_VALUE"""),"EditAuecWindow")</f>
        <v>EditAuecWindow</v>
      </c>
      <c r="C921" t="str">
        <f>IFERROR(__xludf.DUMMYFUNCTION("""COMPUTED_VALUE"""),"1ottlNphVbp0AC-UFd-HlDpCLwOA2yWO1pN6eR3ML7vA")</f>
        <v>1ottlNphVbp0AC-UFd-HlDpCLwOA2yWO1pN6eR3ML7vA</v>
      </c>
    </row>
    <row r="922" ht="15.75" customHeight="1">
      <c r="A922" t="str">
        <f>IFERROR(__xludf.DUMMYFUNCTION("""COMPUTED_VALUE"""),"TradingTicket")</f>
        <v>TradingTicket</v>
      </c>
      <c r="B922" t="str">
        <f>IFERROR(__xludf.DUMMYFUNCTION("""COMPUTED_VALUE"""),"VerifyBrokerSummary")</f>
        <v>VerifyBrokerSummary</v>
      </c>
      <c r="C922" t="str">
        <f>IFERROR(__xludf.DUMMYFUNCTION("""COMPUTED_VALUE"""),"11hMxlfIQYwM8vPN2h--IGp7O02EDFbvJ4CSvjSfGsMY")</f>
        <v>11hMxlfIQYwM8vPN2h--IGp7O02EDFbvJ4CSvjSfGsMY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IFERROR(__xludf.DUMMYFUNCTION("""COMPUTED_VALUE"""),"EditAuecWindowQTT")</f>
        <v>EditAuecWindowQTT</v>
      </c>
      <c r="C923" t="str">
        <f>IFERROR(__xludf.DUMMYFUNCTION("""COMPUTED_VALUE"""),"1oI_WY3xKQgSjp5JN67BMHtm3zazX5ZiMATISa2ssGB0")</f>
        <v>1oI_WY3xKQgSjp5JN67BMHtm3zazX5ZiMATISa2ssGB0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IFERROR(__xludf.DUMMYFUNCTION("""COMPUTED_VALUE"""),"VerifyBrokerSummaryQTT")</f>
        <v>VerifyBrokerSummaryQTT</v>
      </c>
      <c r="C924" t="str">
        <f>IFERROR(__xludf.DUMMYFUNCTION("""COMPUTED_VALUE"""),"1O6-eqYsZqtvYR6DOH7UM2_Jwpq9pB9uyZvgh5vEhVAI")</f>
        <v>1O6-eqYsZqtvYR6DOH7UM2_Jwpq9pB9uyZvgh5vEhVAI</v>
      </c>
    </row>
    <row r="925" ht="15.75" customHeight="1">
      <c r="A925" t="str">
        <f>IFERROR(__xludf.DUMMYFUNCTION("""COMPUTED_VALUE"""),"QTT")</f>
        <v>QTT</v>
      </c>
      <c r="B925" t="str">
        <f>IFERROR(__xludf.DUMMYFUNCTION("""COMPUTED_VALUE"""),"SaveQTThotKey")</f>
        <v>SaveQTThotKey</v>
      </c>
      <c r="C925" t="str">
        <f>IFERROR(__xludf.DUMMYFUNCTION("""COMPUTED_VALUE"""),"Undefined")</f>
        <v>Undefined</v>
      </c>
    </row>
    <row r="926" ht="15.75" customHeight="1">
      <c r="A926" t="str">
        <f>IFERROR(__xludf.DUMMYFUNCTION("""COMPUTED_VALUE"""),"Blotter")</f>
        <v>Blotter</v>
      </c>
      <c r="B926" t="str">
        <f>IFERROR(__xludf.DUMMYFUNCTION("""COMPUTED_VALUE"""),"BlotterColumnChooser")</f>
        <v>BlotterColumnChooser</v>
      </c>
      <c r="C926" t="str">
        <f>IFERROR(__xludf.DUMMYFUNCTION("""COMPUTED_VALUE"""),"12428TbyucuJDD3KuN7QG-GyRYI3gcoyDNKTQ2UpgGMQ")</f>
        <v>12428TbyucuJDD3KuN7QG-GyRYI3gcoyDNKTQ2UpgGMQ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IFERROR(__xludf.DUMMYFUNCTION("""COMPUTED_VALUE"""),"CreateGroupingWidget")</f>
        <v>CreateGroupingWidget</v>
      </c>
      <c r="C927" t="str">
        <f>IFERROR(__xludf.DUMMYFUNCTION("""COMPUTED_VALUE"""),"1ctXhgvJgrqqe8ees0907Up0TKq9pCEhinMlZnRGqKdY")</f>
        <v>1ctXhgvJgrqqe8ees0907Up0TKq9pCEhinMlZnRGqKdY</v>
      </c>
    </row>
    <row r="928" ht="15.75" customHeight="1">
      <c r="A928" t="str">
        <f>IFERROR(__xludf.DUMMYFUNCTION("""COMPUTED_VALUE"""),"RTPNL")</f>
        <v>RTPNL</v>
      </c>
      <c r="B928" t="str">
        <f>IFERROR(__xludf.DUMMYFUNCTION("""COMPUTED_VALUE"""),"CheckGroupingWidget")</f>
        <v>CheckGroupingWidget</v>
      </c>
      <c r="C928" t="str">
        <f>IFERROR(__xludf.DUMMYFUNCTION("""COMPUTED_VALUE"""),"16mimyUFzQ0Ojogh0t4Evjy-tjzAJ67xgIrWeTNmBdw0")</f>
        <v>16mimyUFzQ0Ojogh0t4Evjy-tjzAJ67xgIrWeTNmBdw0</v>
      </c>
    </row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18</v>
      </c>
      <c r="C6" s="35" t="s">
        <v>19</v>
      </c>
      <c r="D6" s="36">
        <v>1000.0</v>
      </c>
      <c r="E6" s="37">
        <v>1000.0</v>
      </c>
      <c r="F6" s="33"/>
      <c r="G6" s="33"/>
      <c r="H6" s="33"/>
      <c r="I6" s="33"/>
      <c r="J6" s="37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 t="s">
        <v>20</v>
      </c>
      <c r="AL6" s="33" t="s">
        <v>21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>
        <f>TODAY()-1</f>
        <v>45795</v>
      </c>
      <c r="C6" s="38">
        <f>TODAY()</f>
        <v>45796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25</v>
      </c>
      <c r="C6" s="35" t="s">
        <v>26</v>
      </c>
      <c r="D6" s="36">
        <v>100000.0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 t="s">
        <v>27</v>
      </c>
      <c r="C7" s="35" t="s">
        <v>26</v>
      </c>
      <c r="D7" s="37">
        <v>200000.0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5" t="s">
        <v>28</v>
      </c>
      <c r="C8" s="35" t="s">
        <v>26</v>
      </c>
      <c r="D8" s="37">
        <v>300000.0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5" t="s">
        <v>29</v>
      </c>
      <c r="C9" s="35" t="s">
        <v>26</v>
      </c>
      <c r="D9" s="37">
        <v>400000.0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32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32</v>
      </c>
      <c r="C6" s="35" t="s">
        <v>25</v>
      </c>
      <c r="D6" s="36">
        <v>80.0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 t="s">
        <v>32</v>
      </c>
      <c r="C7" s="35" t="s">
        <v>27</v>
      </c>
      <c r="D7" s="37">
        <v>20.0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4" t="s">
        <v>35</v>
      </c>
      <c r="E6" s="35" t="s">
        <v>20</v>
      </c>
      <c r="F6" s="33"/>
      <c r="G6" s="39" t="b">
        <v>0</v>
      </c>
      <c r="H6" s="35" t="s">
        <v>32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18</v>
      </c>
      <c r="C6" s="40" t="s">
        <v>19</v>
      </c>
      <c r="D6" s="41">
        <v>200.0</v>
      </c>
      <c r="E6" s="33"/>
      <c r="F6" s="40" t="s">
        <v>25</v>
      </c>
      <c r="G6" s="33"/>
      <c r="H6" s="33"/>
      <c r="I6" s="33"/>
      <c r="J6" s="37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 t="s">
        <v>18</v>
      </c>
      <c r="C7" s="35" t="s">
        <v>36</v>
      </c>
      <c r="D7" s="37">
        <v>1200.0</v>
      </c>
      <c r="E7" s="33"/>
      <c r="F7" s="35" t="s">
        <v>32</v>
      </c>
      <c r="G7" s="33"/>
      <c r="H7" s="33"/>
      <c r="I7" s="33"/>
      <c r="J7" s="37">
        <v>1.0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2" t="s">
        <v>38</v>
      </c>
      <c r="B6" s="42" t="s">
        <v>25</v>
      </c>
      <c r="C6" s="8" t="s">
        <v>39</v>
      </c>
      <c r="D6" s="42">
        <v>0.0</v>
      </c>
      <c r="E6" s="8">
        <v>200.0</v>
      </c>
      <c r="F6" s="8" t="s">
        <v>40</v>
      </c>
      <c r="G6" s="8" t="s">
        <v>41</v>
      </c>
      <c r="H6" s="8">
        <v>4.0</v>
      </c>
      <c r="I6" s="8">
        <v>5.0</v>
      </c>
      <c r="J6" s="8">
        <v>1.0</v>
      </c>
      <c r="K6" s="8">
        <v>1.0</v>
      </c>
      <c r="L6" s="8">
        <v>1.0</v>
      </c>
      <c r="M6" s="8" t="s">
        <v>42</v>
      </c>
      <c r="N6" s="8" t="s">
        <v>43</v>
      </c>
      <c r="O6" s="8" t="s">
        <v>44</v>
      </c>
      <c r="Q6">
        <v>3.0</v>
      </c>
      <c r="R6">
        <v>0.0</v>
      </c>
      <c r="S6" t="s">
        <v>45</v>
      </c>
      <c r="T6">
        <v>0.0</v>
      </c>
      <c r="U6">
        <v>0.0</v>
      </c>
      <c r="V6" t="s">
        <v>46</v>
      </c>
      <c r="W6">
        <v>1.0</v>
      </c>
      <c r="X6">
        <v>0.0</v>
      </c>
      <c r="Y6" t="s">
        <v>38</v>
      </c>
      <c r="Z6" t="s">
        <v>26</v>
      </c>
      <c r="AA6" t="s">
        <v>18</v>
      </c>
      <c r="AB6">
        <v>1.0</v>
      </c>
      <c r="AC6" t="s">
        <v>47</v>
      </c>
      <c r="AD6" t="s">
        <v>48</v>
      </c>
      <c r="AE6">
        <v>200.0</v>
      </c>
      <c r="AF6" t="s">
        <v>38</v>
      </c>
      <c r="AH6" t="s">
        <v>49</v>
      </c>
      <c r="AI6">
        <v>1.0</v>
      </c>
      <c r="AJ6" t="s">
        <v>50</v>
      </c>
      <c r="AM6" t="s">
        <v>51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W6">
        <v>0.0</v>
      </c>
      <c r="AX6">
        <v>0.0</v>
      </c>
      <c r="AY6" t="s">
        <v>52</v>
      </c>
      <c r="AZ6">
        <v>0.0</v>
      </c>
      <c r="BC6">
        <v>0.0</v>
      </c>
      <c r="BD6" t="s">
        <v>53</v>
      </c>
      <c r="BE6">
        <v>200.0</v>
      </c>
      <c r="BF6">
        <v>200.0</v>
      </c>
      <c r="BJ6">
        <v>200.0</v>
      </c>
      <c r="BK6">
        <v>0.0</v>
      </c>
      <c r="BL6" t="s">
        <v>38</v>
      </c>
      <c r="BM6" t="s">
        <v>26</v>
      </c>
      <c r="BO6" t="s">
        <v>19</v>
      </c>
      <c r="BP6">
        <v>0.0</v>
      </c>
      <c r="BQ6">
        <v>0.0</v>
      </c>
      <c r="BR6">
        <v>1.0E-4</v>
      </c>
      <c r="BS6" t="s">
        <v>54</v>
      </c>
      <c r="BT6" t="s">
        <v>18</v>
      </c>
      <c r="BU6">
        <v>3.0</v>
      </c>
      <c r="BV6">
        <v>0.0</v>
      </c>
      <c r="BW6">
        <v>14.0001</v>
      </c>
      <c r="BX6">
        <v>0.0</v>
      </c>
      <c r="BY6" t="s">
        <v>38</v>
      </c>
      <c r="BZ6" t="s">
        <v>38</v>
      </c>
      <c r="CA6" t="s">
        <v>38</v>
      </c>
      <c r="CB6" t="s">
        <v>38</v>
      </c>
      <c r="CC6" t="s">
        <v>38</v>
      </c>
      <c r="CD6" t="s">
        <v>38</v>
      </c>
      <c r="CF6" t="s">
        <v>55</v>
      </c>
      <c r="CG6">
        <v>2.0</v>
      </c>
      <c r="CH6" t="s">
        <v>16</v>
      </c>
      <c r="CI6" t="s">
        <v>19</v>
      </c>
      <c r="CJ6">
        <v>0.0</v>
      </c>
      <c r="CK6" t="s">
        <v>56</v>
      </c>
      <c r="CL6">
        <v>1.0</v>
      </c>
      <c r="CM6" t="s">
        <v>18</v>
      </c>
      <c r="CN6" t="s">
        <v>57</v>
      </c>
      <c r="CO6" t="s">
        <v>48</v>
      </c>
      <c r="CP6" t="s">
        <v>58</v>
      </c>
      <c r="CS6" t="s">
        <v>38</v>
      </c>
      <c r="CW6">
        <v>0.0</v>
      </c>
      <c r="CX6" t="s">
        <v>59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8" t="s">
        <v>38</v>
      </c>
      <c r="B7" s="8" t="s">
        <v>60</v>
      </c>
      <c r="C7" s="8" t="s">
        <v>39</v>
      </c>
      <c r="D7" s="8">
        <v>0.0</v>
      </c>
      <c r="E7" s="8">
        <v>1200.0</v>
      </c>
      <c r="F7" s="8" t="s">
        <v>32</v>
      </c>
      <c r="G7" s="8" t="s">
        <v>41</v>
      </c>
      <c r="H7" s="8">
        <v>4.0</v>
      </c>
      <c r="I7" s="8">
        <v>5.0</v>
      </c>
      <c r="J7" s="8">
        <v>1.0</v>
      </c>
      <c r="K7" s="8">
        <v>1.0</v>
      </c>
      <c r="L7" s="8">
        <v>1.0</v>
      </c>
      <c r="M7" s="8" t="s">
        <v>42</v>
      </c>
      <c r="N7" s="8" t="s">
        <v>43</v>
      </c>
      <c r="O7" s="8" t="s">
        <v>44</v>
      </c>
      <c r="Q7">
        <v>3.0</v>
      </c>
      <c r="R7">
        <v>0.0</v>
      </c>
      <c r="S7" t="s">
        <v>45</v>
      </c>
      <c r="T7">
        <v>0.0</v>
      </c>
      <c r="U7">
        <v>0.0</v>
      </c>
      <c r="V7" t="s">
        <v>46</v>
      </c>
      <c r="W7">
        <v>1.0</v>
      </c>
      <c r="X7">
        <v>0.0</v>
      </c>
      <c r="Y7" t="s">
        <v>38</v>
      </c>
      <c r="Z7" t="s">
        <v>26</v>
      </c>
      <c r="AA7" t="s">
        <v>18</v>
      </c>
      <c r="AB7">
        <v>1.0</v>
      </c>
      <c r="AC7" t="s">
        <v>47</v>
      </c>
      <c r="AD7" t="s">
        <v>48</v>
      </c>
      <c r="AE7">
        <v>1200.0</v>
      </c>
      <c r="AF7" t="s">
        <v>38</v>
      </c>
      <c r="AH7" t="s">
        <v>49</v>
      </c>
      <c r="AI7">
        <v>1.0</v>
      </c>
      <c r="AJ7" t="s">
        <v>50</v>
      </c>
      <c r="AM7" t="s">
        <v>51</v>
      </c>
      <c r="AN7" t="b">
        <v>0</v>
      </c>
      <c r="AP7" t="b">
        <v>1</v>
      </c>
      <c r="AQ7" t="b">
        <v>0</v>
      </c>
      <c r="AR7" t="b">
        <v>1</v>
      </c>
      <c r="AS7">
        <v>0.0</v>
      </c>
      <c r="AW7">
        <v>0.0</v>
      </c>
      <c r="AX7">
        <v>0.0</v>
      </c>
      <c r="AY7" t="s">
        <v>52</v>
      </c>
      <c r="AZ7">
        <v>0.0</v>
      </c>
      <c r="BC7">
        <v>0.0</v>
      </c>
      <c r="BD7" t="s">
        <v>53</v>
      </c>
      <c r="BE7">
        <v>1200.0</v>
      </c>
      <c r="BF7">
        <v>1200.0</v>
      </c>
      <c r="BJ7">
        <v>1200.0</v>
      </c>
      <c r="BK7">
        <v>0.0</v>
      </c>
      <c r="BL7" t="s">
        <v>38</v>
      </c>
      <c r="BM7" t="s">
        <v>26</v>
      </c>
      <c r="BO7" t="s">
        <v>36</v>
      </c>
      <c r="BP7">
        <v>0.0</v>
      </c>
      <c r="BQ7">
        <v>0.0</v>
      </c>
      <c r="BR7">
        <v>7.0E-4</v>
      </c>
      <c r="BS7" t="s">
        <v>54</v>
      </c>
      <c r="BT7" t="s">
        <v>18</v>
      </c>
      <c r="BU7">
        <v>3.0</v>
      </c>
      <c r="BV7">
        <v>0.0</v>
      </c>
      <c r="BW7">
        <v>14.0007</v>
      </c>
      <c r="BX7">
        <v>0.0</v>
      </c>
      <c r="BY7" t="s">
        <v>38</v>
      </c>
      <c r="BZ7" t="s">
        <v>38</v>
      </c>
      <c r="CA7" t="s">
        <v>38</v>
      </c>
      <c r="CB7" t="s">
        <v>38</v>
      </c>
      <c r="CC7" t="s">
        <v>38</v>
      </c>
      <c r="CD7" t="s">
        <v>38</v>
      </c>
      <c r="CF7" t="s">
        <v>55</v>
      </c>
      <c r="CG7">
        <v>2.0</v>
      </c>
      <c r="CH7" t="s">
        <v>16</v>
      </c>
      <c r="CI7" t="s">
        <v>36</v>
      </c>
      <c r="CJ7">
        <v>0.0</v>
      </c>
      <c r="CK7" t="s">
        <v>56</v>
      </c>
      <c r="CL7">
        <v>1.0</v>
      </c>
      <c r="CM7" t="s">
        <v>18</v>
      </c>
      <c r="CN7" t="s">
        <v>57</v>
      </c>
      <c r="CO7" t="s">
        <v>48</v>
      </c>
      <c r="CP7" t="s">
        <v>58</v>
      </c>
      <c r="CS7" t="s">
        <v>38</v>
      </c>
      <c r="CW7">
        <v>0.0</v>
      </c>
      <c r="CX7" t="s">
        <v>60</v>
      </c>
      <c r="CY7" t="s">
        <v>38</v>
      </c>
      <c r="CZ7" t="s">
        <v>38</v>
      </c>
      <c r="DA7" t="s">
        <v>38</v>
      </c>
      <c r="DB7" t="s">
        <v>38</v>
      </c>
      <c r="DC7" t="s">
        <v>38</v>
      </c>
      <c r="DD7" t="s">
        <v>38</v>
      </c>
      <c r="DE7" t="s">
        <v>38</v>
      </c>
      <c r="DF7" t="s">
        <v>38</v>
      </c>
      <c r="DG7" t="s">
        <v>38</v>
      </c>
      <c r="DH7" t="s">
        <v>38</v>
      </c>
      <c r="DI7" t="s">
        <v>38</v>
      </c>
      <c r="DJ7" t="s">
        <v>38</v>
      </c>
      <c r="DK7" t="s">
        <v>38</v>
      </c>
      <c r="DL7" t="s">
        <v>38</v>
      </c>
      <c r="DM7" t="s">
        <v>38</v>
      </c>
      <c r="DN7" t="s">
        <v>38</v>
      </c>
      <c r="DO7" t="s">
        <v>38</v>
      </c>
      <c r="DP7" t="s">
        <v>38</v>
      </c>
      <c r="DQ7" t="s">
        <v>38</v>
      </c>
      <c r="DR7" t="s">
        <v>38</v>
      </c>
      <c r="DS7" t="s">
        <v>38</v>
      </c>
      <c r="DT7" t="s">
        <v>38</v>
      </c>
      <c r="DU7" t="s">
        <v>38</v>
      </c>
      <c r="DV7" t="s">
        <v>38</v>
      </c>
      <c r="DW7" t="s">
        <v>38</v>
      </c>
      <c r="DX7" t="s">
        <v>38</v>
      </c>
      <c r="DY7" t="s">
        <v>38</v>
      </c>
      <c r="DZ7" t="s">
        <v>38</v>
      </c>
      <c r="EA7" t="s">
        <v>38</v>
      </c>
      <c r="EB7" t="s">
        <v>38</v>
      </c>
      <c r="EC7" t="s">
        <v>38</v>
      </c>
      <c r="ED7" t="s">
        <v>38</v>
      </c>
      <c r="EE7" t="s">
        <v>38</v>
      </c>
      <c r="EF7" t="s">
        <v>38</v>
      </c>
      <c r="EG7" t="s">
        <v>38</v>
      </c>
      <c r="EH7" t="s">
        <v>38</v>
      </c>
      <c r="EI7" t="s">
        <v>38</v>
      </c>
      <c r="EJ7" t="s">
        <v>38</v>
      </c>
      <c r="EK7" t="s">
        <v>38</v>
      </c>
      <c r="EL7" t="s">
        <v>38</v>
      </c>
      <c r="EM7" t="s">
        <v>38</v>
      </c>
      <c r="EN7" t="s">
        <v>38</v>
      </c>
      <c r="EO7" t="s">
        <v>38</v>
      </c>
      <c r="EP7" t="s">
        <v>38</v>
      </c>
      <c r="EQ7" t="s">
        <v>38</v>
      </c>
      <c r="ER7" t="s">
        <v>38</v>
      </c>
      <c r="ES7" t="s">
        <v>38</v>
      </c>
      <c r="ET7" t="s">
        <v>38</v>
      </c>
      <c r="EU7" t="s">
        <v>38</v>
      </c>
      <c r="EV7" t="s">
        <v>38</v>
      </c>
      <c r="EW7" t="s">
        <v>38</v>
      </c>
      <c r="EX7" t="s">
        <v>38</v>
      </c>
      <c r="EY7" t="s">
        <v>38</v>
      </c>
      <c r="EZ7" t="s">
        <v>38</v>
      </c>
      <c r="FA7" t="s">
        <v>38</v>
      </c>
      <c r="FB7" t="s">
        <v>38</v>
      </c>
      <c r="FC7" t="s">
        <v>38</v>
      </c>
      <c r="FD7" t="s">
        <v>38</v>
      </c>
      <c r="FE7" t="s">
        <v>38</v>
      </c>
      <c r="FF7" t="s">
        <v>38</v>
      </c>
      <c r="FG7" t="s">
        <v>38</v>
      </c>
      <c r="FH7" t="s">
        <v>38</v>
      </c>
      <c r="FI7" t="s">
        <v>38</v>
      </c>
      <c r="FK7" t="s">
        <v>38</v>
      </c>
      <c r="FL7" t="s">
        <v>38</v>
      </c>
      <c r="FM7" t="s">
        <v>38</v>
      </c>
      <c r="FN7" t="s">
        <v>38</v>
      </c>
      <c r="FO7" t="s">
        <v>38</v>
      </c>
      <c r="FP7" t="s">
        <v>38</v>
      </c>
      <c r="FQ7" t="s">
        <v>38</v>
      </c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  <c r="QI7" s="43"/>
      <c r="QJ7" s="43"/>
      <c r="QK7" s="43"/>
      <c r="QL7" s="43"/>
      <c r="QM7" s="43"/>
      <c r="QN7" s="43"/>
      <c r="QO7" s="43"/>
      <c r="QP7" s="43"/>
      <c r="QQ7" s="43"/>
      <c r="QR7" s="43"/>
      <c r="QS7" s="43"/>
      <c r="QT7" s="43"/>
      <c r="QU7" s="43"/>
      <c r="QV7" s="43"/>
      <c r="QW7" s="43"/>
      <c r="QX7" s="43"/>
      <c r="QY7" s="43"/>
      <c r="QZ7" s="43"/>
      <c r="RA7" s="43"/>
      <c r="RB7" s="43"/>
      <c r="RC7" s="43"/>
      <c r="RD7" s="43"/>
      <c r="RE7" s="43"/>
      <c r="RF7" s="43"/>
      <c r="RG7" s="43"/>
      <c r="RH7" s="43"/>
      <c r="RI7" s="43"/>
      <c r="RJ7" s="43"/>
      <c r="RK7" s="43"/>
      <c r="RL7" s="43"/>
      <c r="RM7" s="43"/>
      <c r="RN7" s="43"/>
      <c r="RO7" s="43"/>
      <c r="RP7" s="43"/>
      <c r="RQ7" s="43"/>
      <c r="RR7" s="43"/>
      <c r="RS7" s="43"/>
      <c r="RT7" s="43"/>
      <c r="RU7" s="43"/>
      <c r="RV7" s="43"/>
      <c r="RW7" s="43"/>
      <c r="RX7" s="43"/>
      <c r="RY7" s="43"/>
      <c r="RZ7" s="43"/>
      <c r="SA7" s="43"/>
      <c r="SB7" s="43"/>
      <c r="SC7" s="43"/>
      <c r="SD7" s="43"/>
      <c r="SE7" s="43"/>
      <c r="SF7" s="43"/>
      <c r="SG7" s="43"/>
      <c r="SH7" s="43"/>
      <c r="SI7" s="43"/>
      <c r="SJ7" s="43"/>
      <c r="SK7" s="43"/>
      <c r="SL7" s="43"/>
      <c r="SM7" s="43"/>
      <c r="SN7" s="43"/>
      <c r="SO7" s="43"/>
      <c r="SP7" s="43"/>
      <c r="SQ7" s="43"/>
      <c r="SR7" s="43"/>
      <c r="SS7" s="43"/>
      <c r="ST7" s="43"/>
      <c r="SU7" s="43"/>
      <c r="SV7" s="43"/>
      <c r="SW7" s="43"/>
      <c r="SX7" s="43"/>
      <c r="SY7" s="43"/>
      <c r="SZ7" s="43"/>
      <c r="TA7" s="43"/>
      <c r="TB7" s="43"/>
      <c r="TC7" s="43"/>
      <c r="TD7" s="43"/>
      <c r="TE7" s="43"/>
      <c r="TF7" s="43"/>
      <c r="TG7" s="43"/>
      <c r="TH7" s="43"/>
      <c r="TI7" s="43"/>
      <c r="TJ7" s="43"/>
      <c r="TK7" s="43"/>
      <c r="TL7" s="43"/>
      <c r="TM7" s="43"/>
      <c r="TN7" s="43"/>
      <c r="TO7" s="43"/>
      <c r="TP7" s="43"/>
      <c r="TQ7" s="43"/>
      <c r="TR7" s="43"/>
      <c r="TS7" s="43"/>
      <c r="TT7" s="43"/>
      <c r="TU7" s="43"/>
      <c r="TV7" s="43"/>
      <c r="TW7" s="43"/>
      <c r="TX7" s="43"/>
      <c r="TY7" s="43"/>
      <c r="TZ7" s="43"/>
      <c r="UA7" s="43"/>
      <c r="UB7" s="43"/>
      <c r="UC7" s="43"/>
      <c r="UD7" s="43"/>
      <c r="UE7" s="43"/>
      <c r="UF7" s="43"/>
      <c r="UG7" s="43"/>
      <c r="UH7" s="43"/>
      <c r="UI7" s="43"/>
      <c r="UJ7" s="43"/>
      <c r="UK7" s="43"/>
      <c r="UL7" s="43"/>
      <c r="UM7" s="43"/>
      <c r="UN7" s="43"/>
      <c r="UO7" s="43"/>
      <c r="UP7" s="43"/>
      <c r="UQ7" s="43"/>
      <c r="UR7" s="43"/>
      <c r="US7" s="43"/>
      <c r="UT7" s="43"/>
      <c r="UU7" s="43"/>
      <c r="UV7" s="43"/>
      <c r="UW7" s="43"/>
      <c r="UX7" s="43"/>
      <c r="UY7" s="43"/>
      <c r="UZ7" s="43"/>
      <c r="VA7" s="43"/>
      <c r="VB7" s="43"/>
      <c r="VC7" s="43"/>
      <c r="VD7" s="43"/>
      <c r="VE7" s="43"/>
      <c r="VF7" s="43"/>
      <c r="VG7" s="43"/>
      <c r="VH7" s="43"/>
      <c r="VI7" s="43"/>
      <c r="VJ7" s="43"/>
      <c r="VK7" s="43"/>
      <c r="VL7" s="43"/>
      <c r="VM7" s="43"/>
      <c r="VN7" s="43"/>
      <c r="VO7" s="43"/>
      <c r="VP7" s="43"/>
      <c r="VQ7" s="43"/>
      <c r="VR7" s="43"/>
      <c r="VS7" s="43"/>
      <c r="VT7" s="43"/>
      <c r="VU7" s="43"/>
      <c r="VV7" s="43"/>
      <c r="VW7" s="43"/>
      <c r="VX7" s="43"/>
      <c r="VY7" s="43"/>
      <c r="VZ7" s="43"/>
      <c r="WA7" s="43"/>
      <c r="WB7" s="43"/>
      <c r="WC7" s="43"/>
      <c r="WD7" s="43"/>
      <c r="WE7" s="43"/>
      <c r="WF7" s="43"/>
      <c r="WG7" s="43"/>
      <c r="WH7" s="43"/>
      <c r="WI7" s="43"/>
      <c r="WJ7" s="43"/>
      <c r="WK7" s="43"/>
      <c r="WL7" s="43"/>
      <c r="WM7" s="43"/>
      <c r="WN7" s="43"/>
      <c r="WO7" s="43"/>
      <c r="WP7" s="43"/>
      <c r="WQ7" s="43"/>
      <c r="WR7" s="43"/>
      <c r="WS7" s="43"/>
      <c r="WT7" s="43"/>
      <c r="WU7" s="43"/>
      <c r="WV7" s="43"/>
      <c r="WW7" s="43"/>
      <c r="WX7" s="43"/>
      <c r="WY7" s="43"/>
      <c r="WZ7" s="43"/>
      <c r="XA7" s="43"/>
      <c r="XB7" s="43"/>
      <c r="XC7" s="43"/>
      <c r="XD7" s="43"/>
      <c r="XE7" s="43"/>
      <c r="XF7" s="43"/>
      <c r="XG7" s="43"/>
      <c r="XH7" s="43"/>
      <c r="XI7" s="43"/>
      <c r="XJ7" s="43"/>
      <c r="XK7" s="43"/>
      <c r="XL7" s="43"/>
      <c r="XM7" s="43"/>
      <c r="XN7" s="43"/>
      <c r="XO7" s="43"/>
      <c r="XP7" s="43"/>
      <c r="XQ7" s="43"/>
      <c r="XR7" s="43"/>
      <c r="XS7" s="43"/>
      <c r="XT7" s="43"/>
      <c r="XU7" s="43"/>
      <c r="XV7" s="43"/>
      <c r="XW7" s="43"/>
      <c r="XX7" s="43"/>
      <c r="XY7" s="43"/>
      <c r="XZ7" s="43"/>
      <c r="YA7" s="43"/>
      <c r="YB7" s="43"/>
      <c r="YC7" s="43"/>
      <c r="YD7" s="43"/>
      <c r="YE7" s="43"/>
      <c r="YF7" s="43"/>
      <c r="YG7" s="43"/>
      <c r="YH7" s="43"/>
      <c r="YI7" s="43"/>
      <c r="YJ7" s="43"/>
      <c r="YK7" s="43"/>
      <c r="YL7" s="43"/>
      <c r="YM7" s="43"/>
      <c r="YN7" s="43"/>
      <c r="YO7" s="43"/>
      <c r="YP7" s="43"/>
      <c r="YQ7" s="43"/>
      <c r="YR7" s="43"/>
      <c r="YS7" s="43"/>
      <c r="YT7" s="43"/>
      <c r="YU7" s="43"/>
      <c r="YV7" s="43"/>
      <c r="YW7" s="43"/>
      <c r="YX7" s="43"/>
      <c r="YY7" s="43"/>
      <c r="YZ7" s="43"/>
      <c r="ZA7" s="43"/>
      <c r="ZB7" s="43"/>
      <c r="ZC7" s="43"/>
      <c r="ZD7" s="43"/>
      <c r="ZE7" s="43"/>
      <c r="ZF7" s="43"/>
      <c r="ZG7" s="43"/>
      <c r="ZH7" s="43"/>
      <c r="ZI7" s="43"/>
      <c r="ZJ7" s="43"/>
      <c r="ZK7" s="43"/>
      <c r="ZL7" s="43"/>
      <c r="ZM7" s="43"/>
      <c r="ZN7" s="43"/>
      <c r="ZO7" s="43"/>
      <c r="ZP7" s="43"/>
      <c r="ZQ7" s="43"/>
      <c r="ZR7" s="43"/>
      <c r="ZS7" s="43"/>
      <c r="ZT7" s="43"/>
      <c r="ZU7" s="43"/>
      <c r="ZV7" s="43"/>
      <c r="ZW7" s="43"/>
      <c r="ZX7" s="43"/>
      <c r="ZY7" s="43"/>
      <c r="ZZ7" s="43"/>
      <c r="AAA7" s="43"/>
      <c r="AAB7" s="43"/>
      <c r="AAC7" s="43"/>
      <c r="AAD7" s="43"/>
      <c r="AAE7" s="43"/>
      <c r="AAF7" s="43"/>
      <c r="AAG7" s="43"/>
      <c r="AAH7" s="43"/>
      <c r="AAI7" s="43"/>
      <c r="AAJ7" s="43"/>
      <c r="AAK7" s="43"/>
      <c r="AAL7" s="43"/>
      <c r="AAM7" s="43"/>
      <c r="AAN7" s="43"/>
      <c r="AAO7" s="43"/>
      <c r="AAP7" s="43"/>
      <c r="AAQ7" s="43"/>
      <c r="AAR7" s="43"/>
      <c r="AAS7" s="43"/>
      <c r="AAT7" s="43"/>
      <c r="AAU7" s="43"/>
      <c r="AAV7" s="43"/>
      <c r="AAW7" s="43"/>
      <c r="AAX7" s="43"/>
      <c r="AAY7" s="43"/>
      <c r="AAZ7" s="43"/>
      <c r="ABA7" s="43"/>
      <c r="ABB7" s="43"/>
      <c r="ABC7" s="43"/>
      <c r="ABD7" s="43"/>
      <c r="ABE7" s="43"/>
      <c r="ABF7" s="43"/>
      <c r="ABG7" s="43"/>
      <c r="ABH7" s="43"/>
      <c r="ABI7" s="43"/>
      <c r="ABJ7" s="43"/>
      <c r="ABK7" s="43"/>
      <c r="ABL7" s="43"/>
      <c r="ABM7" s="43"/>
      <c r="ABN7" s="43"/>
      <c r="ABO7" s="43"/>
      <c r="ABP7" s="43"/>
      <c r="ABQ7" s="43"/>
      <c r="ABR7" s="43"/>
      <c r="ABS7" s="43"/>
      <c r="ABT7" s="43"/>
      <c r="ABU7" s="43"/>
      <c r="ABV7" s="43"/>
      <c r="ABW7" s="43"/>
      <c r="ABX7" s="43"/>
      <c r="ABY7" s="43"/>
      <c r="ABZ7" s="43"/>
      <c r="ACA7" s="43"/>
      <c r="ACB7" s="43"/>
      <c r="ACC7" s="43"/>
      <c r="ACD7" s="43"/>
      <c r="ACE7" s="43"/>
      <c r="ACF7" s="43"/>
      <c r="ACG7" s="43"/>
      <c r="ACH7" s="43"/>
      <c r="ACI7" s="43"/>
      <c r="ACJ7" s="43"/>
      <c r="ACK7" s="43"/>
      <c r="ACL7" s="43"/>
      <c r="ACM7" s="43"/>
      <c r="ACN7" s="43"/>
      <c r="ACO7" s="43"/>
      <c r="ACP7" s="43"/>
      <c r="ACQ7" s="43"/>
      <c r="ACR7" s="43"/>
      <c r="ACS7" s="43"/>
      <c r="ACT7" s="43"/>
      <c r="ACU7" s="43"/>
      <c r="ACV7" s="43"/>
      <c r="ACW7" s="43"/>
      <c r="ACX7" s="43"/>
      <c r="ACY7" s="43"/>
      <c r="ACZ7" s="43"/>
      <c r="ADA7" s="43"/>
      <c r="ADB7" s="43"/>
      <c r="ADC7" s="43"/>
      <c r="ADD7" s="43"/>
      <c r="ADE7" s="43"/>
      <c r="ADF7" s="43"/>
      <c r="ADG7" s="43"/>
      <c r="ADH7" s="43"/>
      <c r="ADI7" s="43"/>
      <c r="ADJ7" s="43"/>
      <c r="ADK7" s="43"/>
      <c r="ADL7" s="43"/>
      <c r="ADM7" s="43"/>
      <c r="ADN7" s="43"/>
      <c r="ADO7" s="43"/>
      <c r="ADP7" s="43"/>
      <c r="ADQ7" s="43"/>
      <c r="ADR7" s="43"/>
      <c r="ADS7" s="43"/>
      <c r="ADT7" s="43"/>
      <c r="ADU7" s="43"/>
      <c r="ADV7" s="43"/>
      <c r="ADW7" s="43"/>
      <c r="ADX7" s="43"/>
      <c r="ADY7" s="43"/>
      <c r="ADZ7" s="43"/>
      <c r="AEA7" s="43"/>
      <c r="AEB7" s="43"/>
      <c r="AEC7" s="43"/>
      <c r="AED7" s="43"/>
      <c r="AEE7" s="43"/>
      <c r="AEF7" s="43"/>
      <c r="AEG7" s="43"/>
      <c r="AEH7" s="43"/>
      <c r="AEI7" s="43"/>
      <c r="AEJ7" s="43"/>
      <c r="AEK7" s="43"/>
      <c r="AEL7" s="43"/>
      <c r="AEM7" s="43"/>
      <c r="AEN7" s="43"/>
      <c r="AEO7" s="43"/>
      <c r="AEP7" s="43"/>
      <c r="AEQ7" s="43"/>
      <c r="AER7" s="43"/>
      <c r="AES7" s="43"/>
      <c r="AET7" s="43"/>
      <c r="AEU7" s="43"/>
      <c r="AEV7" s="43"/>
      <c r="AEW7" s="43"/>
      <c r="AEX7" s="43"/>
      <c r="AEY7" s="43"/>
      <c r="AEZ7" s="43"/>
      <c r="AFA7" s="43"/>
      <c r="AFB7" s="43"/>
      <c r="AFC7" s="43"/>
      <c r="AFD7" s="43"/>
      <c r="AFE7" s="43"/>
      <c r="AFF7" s="43"/>
      <c r="AFG7" s="43"/>
      <c r="AFH7" s="43"/>
      <c r="AFI7" s="43"/>
      <c r="AFJ7" s="43"/>
      <c r="AFK7" s="43"/>
      <c r="AFL7" s="43"/>
      <c r="AFM7" s="43"/>
      <c r="AFN7" s="43"/>
      <c r="AFO7" s="43"/>
      <c r="AFP7" s="43"/>
      <c r="AFQ7" s="43"/>
      <c r="AFR7" s="43"/>
      <c r="AFS7" s="43"/>
      <c r="AFT7" s="43"/>
      <c r="AFU7" s="43"/>
      <c r="AFV7" s="43"/>
      <c r="AFW7" s="43"/>
      <c r="AFX7" s="43"/>
      <c r="AFY7" s="43"/>
      <c r="AFZ7" s="43"/>
      <c r="AGA7" s="43"/>
      <c r="AGB7" s="43"/>
      <c r="AGC7" s="43"/>
      <c r="AGD7" s="43"/>
      <c r="AGE7" s="43"/>
      <c r="AGF7" s="43"/>
      <c r="AGG7" s="43"/>
      <c r="AGH7" s="43"/>
      <c r="AGI7" s="43"/>
      <c r="AGJ7" s="43"/>
      <c r="AGK7" s="43"/>
      <c r="AGL7" s="43"/>
      <c r="AGM7" s="43"/>
      <c r="AGN7" s="43"/>
      <c r="AGO7" s="43"/>
      <c r="AGP7" s="43"/>
      <c r="AGQ7" s="43"/>
      <c r="AGR7" s="43"/>
      <c r="AGS7" s="43"/>
      <c r="AGT7" s="43"/>
      <c r="AGU7" s="43"/>
      <c r="AGV7" s="43"/>
      <c r="AGW7" s="43"/>
      <c r="AGX7" s="43"/>
      <c r="AGY7" s="43"/>
      <c r="AGZ7" s="43"/>
      <c r="AHA7" s="43"/>
      <c r="AHB7" s="43"/>
      <c r="AHC7" s="43"/>
      <c r="AHD7" s="43"/>
      <c r="AHE7" s="43"/>
      <c r="AHF7" s="43"/>
      <c r="AHG7" s="43"/>
      <c r="AHH7" s="43"/>
      <c r="AHI7" s="43"/>
      <c r="AHJ7" s="43"/>
      <c r="AHK7" s="43"/>
      <c r="AHL7" s="43"/>
      <c r="AHM7" s="43"/>
      <c r="AHN7" s="43"/>
      <c r="AHO7" s="43"/>
      <c r="AHP7" s="43"/>
      <c r="AHQ7" s="43"/>
      <c r="AHR7" s="43"/>
      <c r="AHS7" s="43"/>
      <c r="AHT7" s="43"/>
      <c r="AHU7" s="43"/>
      <c r="AHV7" s="43"/>
      <c r="AHW7" s="43"/>
      <c r="AHX7" s="43"/>
      <c r="AHY7" s="43"/>
      <c r="AHZ7" s="43"/>
      <c r="AIA7" s="43"/>
      <c r="AIB7" s="43"/>
      <c r="AIC7" s="43"/>
      <c r="AID7" s="43"/>
      <c r="AIE7" s="43"/>
      <c r="AIF7" s="43"/>
      <c r="AIG7" s="43"/>
      <c r="AIH7" s="43"/>
      <c r="AII7" s="43"/>
      <c r="AIJ7" s="43"/>
      <c r="AIK7" s="43"/>
      <c r="AIL7" s="43"/>
      <c r="AIM7" s="43"/>
      <c r="AIN7" s="43"/>
      <c r="AIO7" s="43"/>
      <c r="AIP7" s="43"/>
      <c r="AIQ7" s="43"/>
      <c r="AIR7" s="43"/>
      <c r="AIS7" s="43"/>
      <c r="AIT7" s="43"/>
      <c r="AIU7" s="43"/>
      <c r="AIV7" s="43"/>
      <c r="AIW7" s="43"/>
      <c r="AIX7" s="43"/>
      <c r="AIY7" s="43"/>
      <c r="AIZ7" s="43"/>
      <c r="AJA7" s="43"/>
      <c r="AJB7" s="43"/>
      <c r="AJC7" s="43"/>
      <c r="AJD7" s="43"/>
      <c r="AJE7" s="43"/>
      <c r="AJF7" s="43"/>
      <c r="AJG7" s="43"/>
      <c r="AJH7" s="43"/>
      <c r="AJI7" s="43"/>
      <c r="AJJ7" s="43"/>
      <c r="AJK7" s="43"/>
      <c r="AJL7" s="43"/>
      <c r="AJM7" s="43"/>
      <c r="AJN7" s="43"/>
      <c r="AJO7" s="43"/>
      <c r="AJP7" s="43"/>
      <c r="AJQ7" s="43"/>
      <c r="AJR7" s="43"/>
      <c r="AJS7" s="43"/>
      <c r="AJT7" s="43"/>
      <c r="AJU7" s="43"/>
      <c r="AJV7" s="43"/>
      <c r="AJW7" s="43"/>
      <c r="AJX7" s="43"/>
      <c r="AJY7" s="43"/>
      <c r="AJZ7" s="43"/>
      <c r="AKA7" s="43"/>
      <c r="AKB7" s="43"/>
      <c r="AKC7" s="43"/>
      <c r="AKD7" s="43"/>
      <c r="AKE7" s="43"/>
      <c r="AKF7" s="43"/>
      <c r="AKG7" s="43"/>
      <c r="AKH7" s="43"/>
      <c r="AKI7" s="43"/>
      <c r="AKJ7" s="43"/>
      <c r="AKK7" s="43"/>
      <c r="AKL7" s="43"/>
      <c r="AKM7" s="43"/>
      <c r="AKN7" s="43"/>
      <c r="AKO7" s="43"/>
      <c r="AKP7" s="43"/>
      <c r="AKQ7" s="43"/>
      <c r="AKR7" s="43"/>
      <c r="AKS7" s="43"/>
      <c r="AKT7" s="43"/>
      <c r="AKU7" s="43"/>
      <c r="AKV7" s="43"/>
      <c r="AKW7" s="43"/>
      <c r="AKX7" s="43"/>
      <c r="AKY7" s="43"/>
      <c r="AKZ7" s="43"/>
      <c r="ALA7" s="43"/>
      <c r="ALB7" s="43"/>
      <c r="ALC7" s="43"/>
      <c r="ALD7" s="43"/>
      <c r="ALE7" s="43"/>
      <c r="ALF7" s="43"/>
      <c r="ALG7" s="43"/>
      <c r="ALH7" s="43"/>
      <c r="ALI7" s="43"/>
      <c r="ALJ7" s="43"/>
      <c r="ALK7" s="43"/>
      <c r="ALL7" s="43"/>
      <c r="ALM7" s="43"/>
      <c r="ALN7" s="43"/>
      <c r="ALO7" s="43"/>
      <c r="ALP7" s="43"/>
      <c r="ALQ7" s="43"/>
      <c r="ALR7" s="43"/>
      <c r="ALS7" s="43"/>
      <c r="ALT7" s="43"/>
      <c r="ALU7" s="43"/>
      <c r="ALV7" s="43"/>
      <c r="ALW7" s="43"/>
      <c r="ALX7" s="43"/>
      <c r="ALY7" s="43"/>
      <c r="ALZ7" s="43"/>
      <c r="AMA7" s="43"/>
      <c r="AMB7" s="43"/>
      <c r="AMC7" s="43"/>
      <c r="AMD7" s="43"/>
      <c r="AME7" s="43"/>
      <c r="AMF7" s="43"/>
      <c r="AMG7" s="43"/>
      <c r="AMH7" s="43"/>
      <c r="AMI7" s="43"/>
      <c r="AMJ7" s="43"/>
      <c r="AMK7" s="43"/>
      <c r="AML7" s="4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