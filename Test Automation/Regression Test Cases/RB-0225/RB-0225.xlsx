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VerifyGridData" sheetId="8" r:id="rId10"/>
    <sheet state="visible" name="SendtoStaging" sheetId="9" r:id="rId11"/>
    <sheet state="visible" name="VerifyOrder" sheetId="10" r:id="rId12"/>
    <sheet state="visible" name="RebalanceAcrossSecurities" sheetId="11" r:id="rId13"/>
    <sheet state="visible" name="RunRebalance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<sst xmlns="http://schemas.openxmlformats.org/spreadsheetml/2006/main" count="219" uniqueCount="63">
  <si>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</si>
  <si>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</si>
  <si>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</si>
  <si>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</si>
  <si>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</si>
  <si>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</si>
  <si>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</si>
  <si>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</si>
  <si>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</si>
  <si>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</si>
  <si>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</si>
  <si>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</si>
  <si>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</si>
  <si>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</si>
  <si>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</si>
  <si>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</si>
  <si>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</si>
  <si>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</si>
  <si>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</si>
  <si>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</si>
  <si>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</si>
  <si>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</si>
  <si>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</si>
  <si>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</si>
  <si>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</si>
  <si>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</si>
  <si>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</si>
  <si>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</si>
  <si>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</si>
  <si>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</si>
  <si>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</si>
  <si>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</si>
  <si>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</si>
  <si>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</si>
  <si>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</si>
  <si>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</si>
  <si>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</si>
  <si>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</si>
  <si>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VerifyGridData</t>
  </si>
  <si>
    <t>Equity</t>
  </si>
  <si>
    <t>Long</t>
  </si>
  <si>
    <t>FixedIncome</t>
  </si>
  <si>
    <t>Short</t>
  </si>
  <si>
    <t>SendtoStaging</t>
  </si>
  <si>
    <t>SellShort</t>
  </si>
  <si>
    <t>Blotter</t>
  </si>
  <si>
    <t>VerifyOrder</t>
  </si>
  <si>
    <t>New</t>
  </si>
  <si>
    <t>MS</t>
  </si>
  <si>
    <t>Market</t>
  </si>
  <si>
    <t>Sell short</t>
  </si>
  <si>
    <t>RebalanceAcrossSecurities</t>
  </si>
  <si>
    <t>Decrease</t>
  </si>
  <si>
    <t>BPS</t>
  </si>
  <si>
    <t>RunRebalance</t>
  </si>
  <si>
    <t>Nearest Round Off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</si>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</sst>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color rgb="FF000000"/>
      <name val="Arial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4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4" fontId="17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10" si="1">TODAY()-90</f>
        <v>45714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19</v>
      </c>
      <c r="C7" s="32" t="s">
        <v>17</v>
      </c>
      <c r="D7" s="39">
        <v>100.0</v>
      </c>
      <c r="E7" s="40"/>
      <c r="F7" s="32" t="s">
        <v>18</v>
      </c>
      <c r="G7" s="40"/>
      <c r="H7" s="40"/>
      <c r="I7" s="40"/>
      <c r="J7" s="35">
        <v>2.0</v>
      </c>
      <c r="K7" s="40"/>
      <c r="L7" s="40"/>
      <c r="M7" s="40"/>
      <c r="N7" s="36">
        <f t="shared" si="1"/>
        <v>45714</v>
      </c>
      <c r="O7" s="40"/>
      <c r="P7" s="40"/>
      <c r="Q7" s="40"/>
      <c r="R7" s="40"/>
      <c r="S7" s="4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8" t="s">
        <v>20</v>
      </c>
      <c r="C8" s="32" t="s">
        <v>17</v>
      </c>
      <c r="D8" s="39">
        <v>100.0</v>
      </c>
      <c r="E8" s="40"/>
      <c r="F8" s="32" t="s">
        <v>18</v>
      </c>
      <c r="G8" s="40"/>
      <c r="H8" s="40"/>
      <c r="I8" s="40"/>
      <c r="J8" s="35">
        <v>2.0</v>
      </c>
      <c r="K8" s="40"/>
      <c r="L8" s="40"/>
      <c r="M8" s="40"/>
      <c r="N8" s="36">
        <f t="shared" si="1"/>
        <v>45714</v>
      </c>
      <c r="O8" s="40"/>
      <c r="P8" s="40"/>
      <c r="Q8" s="40"/>
      <c r="R8" s="40"/>
      <c r="S8" s="4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8" t="s">
        <v>21</v>
      </c>
      <c r="C9" s="32" t="s">
        <v>22</v>
      </c>
      <c r="D9" s="39">
        <v>100.0</v>
      </c>
      <c r="E9" s="40"/>
      <c r="F9" s="32" t="s">
        <v>18</v>
      </c>
      <c r="G9" s="40"/>
      <c r="H9" s="40"/>
      <c r="I9" s="40"/>
      <c r="J9" s="35">
        <v>2.0</v>
      </c>
      <c r="K9" s="40"/>
      <c r="L9" s="40"/>
      <c r="M9" s="40"/>
      <c r="N9" s="36">
        <f t="shared" si="1"/>
        <v>45714</v>
      </c>
      <c r="O9" s="40"/>
      <c r="P9" s="40"/>
      <c r="Q9" s="40"/>
      <c r="R9" s="40"/>
      <c r="S9" s="4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1" t="s">
        <v>23</v>
      </c>
      <c r="C10" s="32" t="s">
        <v>17</v>
      </c>
      <c r="D10" s="39">
        <v>100.0</v>
      </c>
      <c r="E10" s="40"/>
      <c r="F10" s="32" t="s">
        <v>18</v>
      </c>
      <c r="G10" s="40"/>
      <c r="H10" s="40"/>
      <c r="I10" s="40"/>
      <c r="J10" s="35">
        <v>2.0</v>
      </c>
      <c r="K10" s="40"/>
      <c r="L10" s="40"/>
      <c r="M10" s="40"/>
      <c r="N10" s="36">
        <f t="shared" si="1"/>
        <v>45714</v>
      </c>
      <c r="O10" s="40"/>
      <c r="P10" s="40"/>
      <c r="Q10" s="40"/>
      <c r="R10" s="40"/>
      <c r="S10" s="4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8" t="s">
        <v>24</v>
      </c>
      <c r="C11" s="32" t="s">
        <v>17</v>
      </c>
      <c r="D11" s="39">
        <v>100.0</v>
      </c>
      <c r="E11" s="40"/>
      <c r="F11" s="32" t="s">
        <v>18</v>
      </c>
      <c r="G11" s="40"/>
      <c r="H11" s="40"/>
      <c r="I11" s="40"/>
      <c r="J11" s="35">
        <v>2.0</v>
      </c>
      <c r="K11" s="40"/>
      <c r="L11" s="40"/>
      <c r="M11" s="40"/>
      <c r="N11" s="36">
        <f>TODAY()-89</f>
        <v>45715</v>
      </c>
      <c r="O11" s="40"/>
      <c r="P11" s="40"/>
      <c r="Q11" s="40"/>
      <c r="R11" s="40"/>
      <c r="S11" s="4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38" t="s">
        <v>25</v>
      </c>
      <c r="C12" s="32" t="s">
        <v>17</v>
      </c>
      <c r="D12" s="39">
        <v>100.0</v>
      </c>
      <c r="E12" s="40"/>
      <c r="F12" s="32" t="s">
        <v>18</v>
      </c>
      <c r="G12" s="40"/>
      <c r="H12" s="40"/>
      <c r="I12" s="40"/>
      <c r="J12" s="35">
        <v>2.0</v>
      </c>
      <c r="K12" s="40"/>
      <c r="L12" s="40"/>
      <c r="M12" s="40"/>
      <c r="N12" s="36">
        <f>TODAY()-1</f>
        <v>45803</v>
      </c>
      <c r="O12" s="40"/>
      <c r="P12" s="40"/>
      <c r="Q12" s="40"/>
      <c r="R12" s="40"/>
      <c r="S12" s="4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38" t="s">
        <v>25</v>
      </c>
      <c r="C13" s="32" t="s">
        <v>26</v>
      </c>
      <c r="D13" s="35">
        <v>50.0</v>
      </c>
      <c r="E13" s="40"/>
      <c r="F13" s="32" t="s">
        <v>18</v>
      </c>
      <c r="G13" s="40"/>
      <c r="H13" s="40"/>
      <c r="I13" s="40"/>
      <c r="J13" s="35">
        <v>2.0</v>
      </c>
      <c r="K13" s="40"/>
      <c r="L13" s="40"/>
      <c r="M13" s="40"/>
      <c r="N13" s="36">
        <f t="shared" ref="N13:N15" si="2">TODAY()-60</f>
        <v>45744</v>
      </c>
      <c r="O13" s="40"/>
      <c r="P13" s="40"/>
      <c r="Q13" s="40"/>
      <c r="R13" s="40"/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27</v>
      </c>
      <c r="C14" s="32" t="s">
        <v>26</v>
      </c>
      <c r="D14" s="42">
        <v>33333.0</v>
      </c>
      <c r="E14" s="40"/>
      <c r="F14" s="32" t="s">
        <v>18</v>
      </c>
      <c r="G14" s="40"/>
      <c r="H14" s="40"/>
      <c r="I14" s="40"/>
      <c r="J14" s="35">
        <v>0.0</v>
      </c>
      <c r="K14" s="40"/>
      <c r="L14" s="40"/>
      <c r="M14" s="40"/>
      <c r="N14" s="36">
        <f t="shared" si="2"/>
        <v>45744</v>
      </c>
      <c r="O14" s="40"/>
      <c r="P14" s="40"/>
      <c r="Q14" s="40"/>
      <c r="R14" s="40"/>
      <c r="S14" s="4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43"/>
      <c r="B15" s="43" t="s">
        <v>28</v>
      </c>
      <c r="C15" s="32" t="s">
        <v>26</v>
      </c>
      <c r="D15" s="42">
        <v>33333.0</v>
      </c>
      <c r="E15" s="40"/>
      <c r="F15" s="32" t="s">
        <v>18</v>
      </c>
      <c r="G15" s="40"/>
      <c r="H15" s="40"/>
      <c r="I15" s="40"/>
      <c r="J15" s="35">
        <v>0.0</v>
      </c>
      <c r="K15" s="40"/>
      <c r="L15" s="40"/>
      <c r="M15" s="40"/>
      <c r="N15" s="36">
        <f t="shared" si="2"/>
        <v>45744</v>
      </c>
      <c r="O15" s="40"/>
      <c r="P15" s="40"/>
      <c r="Q15" s="40"/>
      <c r="R15" s="40"/>
      <c r="S15" s="4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8"/>
      <c r="B16" s="38" t="s">
        <v>16</v>
      </c>
      <c r="C16" s="32" t="s">
        <v>17</v>
      </c>
      <c r="D16" s="35">
        <v>75.0</v>
      </c>
      <c r="E16" s="37"/>
      <c r="F16" s="32" t="s">
        <v>18</v>
      </c>
      <c r="G16" s="37"/>
      <c r="H16" s="37"/>
      <c r="I16" s="37"/>
      <c r="J16" s="35">
        <v>2.0</v>
      </c>
      <c r="K16" s="37"/>
      <c r="L16" s="37"/>
      <c r="M16" s="37"/>
      <c r="N16" s="36">
        <f t="shared" ref="N16:N17" si="3">TODAY()-6</f>
        <v>45798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8"/>
      <c r="B17" s="38" t="s">
        <v>16</v>
      </c>
      <c r="C17" s="32" t="s">
        <v>17</v>
      </c>
      <c r="D17" s="35">
        <v>75.0</v>
      </c>
      <c r="E17" s="37"/>
      <c r="F17" s="32" t="s">
        <v>18</v>
      </c>
      <c r="G17" s="37"/>
      <c r="H17" s="37"/>
      <c r="I17" s="37"/>
      <c r="J17" s="35">
        <v>2.0</v>
      </c>
      <c r="K17" s="37"/>
      <c r="L17" s="37"/>
      <c r="M17" s="37"/>
      <c r="N17" s="36">
        <f t="shared" si="3"/>
        <v>45798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37"/>
      <c r="C18" s="3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20.0</v>
      </c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20.0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20.0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20.0</v>
      </c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20.0</v>
      </c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20.0</v>
      </c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232.0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0.0</v>
      </c>
      <c r="D13" s="3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0.0</v>
      </c>
      <c r="D14" s="3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3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B17" s="37"/>
      <c r="C17" s="37"/>
      <c r="D17" s="37"/>
    </row>
    <row r="18" ht="15.75" customHeight="1">
      <c r="B18" s="37"/>
      <c r="C18" s="37"/>
      <c r="D18" s="3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4" t="s">
        <v>32</v>
      </c>
      <c r="D6" s="34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100000.0</v>
      </c>
      <c r="C6" s="34" t="s">
        <v>36</v>
      </c>
      <c r="D6" s="34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2" t="s">
        <v>18</v>
      </c>
      <c r="D6" s="32" t="s">
        <v>25</v>
      </c>
      <c r="E6" s="32" t="s">
        <v>39</v>
      </c>
      <c r="F6" s="32" t="s">
        <v>40</v>
      </c>
      <c r="G6" s="44">
        <v>232.0</v>
      </c>
      <c r="H6" s="44">
        <v>232.0</v>
      </c>
      <c r="I6" s="44">
        <v>1.0</v>
      </c>
      <c r="J6" s="32"/>
      <c r="K6" s="44">
        <v>50.0</v>
      </c>
      <c r="L6" s="44">
        <v>11600.0</v>
      </c>
      <c r="M6" s="44">
        <v>11600.0</v>
      </c>
      <c r="N6" s="44">
        <v>9.66</v>
      </c>
      <c r="O6" s="44">
        <v>50.0</v>
      </c>
      <c r="P6" s="47">
        <v>11600.0</v>
      </c>
      <c r="Q6" s="47">
        <v>11600.0</v>
      </c>
      <c r="R6" s="47">
        <v>0.0</v>
      </c>
      <c r="S6" s="37"/>
      <c r="T6" s="37"/>
      <c r="U6" s="37"/>
      <c r="V6" s="37"/>
      <c r="W6" s="47">
        <v>1.0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2" t="s">
        <v>18</v>
      </c>
      <c r="D7" s="32" t="s">
        <v>16</v>
      </c>
      <c r="E7" s="32" t="s">
        <v>39</v>
      </c>
      <c r="F7" s="32" t="s">
        <v>40</v>
      </c>
      <c r="G7" s="44">
        <v>20.0</v>
      </c>
      <c r="H7" s="44">
        <v>20.0</v>
      </c>
      <c r="I7" s="44">
        <v>1.0</v>
      </c>
      <c r="J7" s="32"/>
      <c r="K7" s="44">
        <v>250.0</v>
      </c>
      <c r="L7" s="44">
        <v>5000.0</v>
      </c>
      <c r="M7" s="44">
        <v>5000.0</v>
      </c>
      <c r="N7" s="44">
        <v>0.0</v>
      </c>
      <c r="O7" s="44">
        <v>0.0</v>
      </c>
      <c r="P7" s="47">
        <v>0.0</v>
      </c>
      <c r="Q7" s="47">
        <v>0.0</v>
      </c>
      <c r="R7" s="47">
        <v>-250.0</v>
      </c>
      <c r="S7" s="37"/>
      <c r="T7" s="37"/>
      <c r="U7" s="37"/>
      <c r="V7" s="37"/>
      <c r="W7" s="47">
        <v>1.0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2" t="s">
        <v>18</v>
      </c>
      <c r="D8" s="32" t="s">
        <v>19</v>
      </c>
      <c r="E8" s="32" t="s">
        <v>39</v>
      </c>
      <c r="F8" s="32" t="s">
        <v>40</v>
      </c>
      <c r="G8" s="44">
        <v>20.0</v>
      </c>
      <c r="H8" s="44">
        <v>14.92</v>
      </c>
      <c r="I8" s="44">
        <v>0.746</v>
      </c>
      <c r="J8" s="32"/>
      <c r="K8" s="44">
        <v>100.0</v>
      </c>
      <c r="L8" s="44">
        <v>2000.0</v>
      </c>
      <c r="M8" s="44">
        <v>1492.0</v>
      </c>
      <c r="N8" s="44">
        <v>1.24</v>
      </c>
      <c r="O8" s="44">
        <v>100.0</v>
      </c>
      <c r="P8" s="47">
        <v>2000.0</v>
      </c>
      <c r="Q8" s="47">
        <v>1492.0</v>
      </c>
      <c r="R8" s="47">
        <v>0.0</v>
      </c>
      <c r="S8" s="37"/>
      <c r="T8" s="37"/>
      <c r="U8" s="37"/>
      <c r="V8" s="37"/>
      <c r="W8" s="47">
        <v>1.0</v>
      </c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2" t="s">
        <v>18</v>
      </c>
      <c r="D9" s="32" t="s">
        <v>24</v>
      </c>
      <c r="E9" s="32" t="s">
        <v>39</v>
      </c>
      <c r="F9" s="32" t="s">
        <v>40</v>
      </c>
      <c r="G9" s="44">
        <v>20.0</v>
      </c>
      <c r="H9" s="44">
        <v>20.0</v>
      </c>
      <c r="I9" s="44">
        <v>1.0</v>
      </c>
      <c r="J9" s="32"/>
      <c r="K9" s="44">
        <v>100.0</v>
      </c>
      <c r="L9" s="44">
        <v>2000.0</v>
      </c>
      <c r="M9" s="44">
        <v>2000.0</v>
      </c>
      <c r="N9" s="44">
        <v>1.67</v>
      </c>
      <c r="O9" s="44">
        <v>100.0</v>
      </c>
      <c r="P9" s="47">
        <v>2000.0</v>
      </c>
      <c r="Q9" s="47">
        <v>2000.0</v>
      </c>
      <c r="R9" s="47">
        <v>0.0</v>
      </c>
      <c r="S9" s="37"/>
      <c r="T9" s="37"/>
      <c r="U9" s="37"/>
      <c r="V9" s="37"/>
      <c r="W9" s="47">
        <v>1.0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2" t="s">
        <v>18</v>
      </c>
      <c r="D10" s="32" t="s">
        <v>23</v>
      </c>
      <c r="E10" s="32" t="s">
        <v>41</v>
      </c>
      <c r="F10" s="32" t="s">
        <v>40</v>
      </c>
      <c r="G10" s="44">
        <v>20.0</v>
      </c>
      <c r="H10" s="44">
        <v>20.0</v>
      </c>
      <c r="I10" s="44">
        <v>1.0</v>
      </c>
      <c r="J10" s="32"/>
      <c r="K10" s="44">
        <v>100.0</v>
      </c>
      <c r="L10" s="44">
        <v>20.0</v>
      </c>
      <c r="M10" s="44">
        <v>20.0</v>
      </c>
      <c r="N10" s="44">
        <v>0.02</v>
      </c>
      <c r="O10" s="44">
        <v>100.0</v>
      </c>
      <c r="P10" s="47">
        <v>20.0</v>
      </c>
      <c r="Q10" s="47">
        <v>20.0</v>
      </c>
      <c r="R10" s="47">
        <v>0.0</v>
      </c>
      <c r="S10" s="37"/>
      <c r="T10" s="37"/>
      <c r="U10" s="37"/>
      <c r="V10" s="37"/>
      <c r="W10" s="47">
        <v>1.0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2" t="s">
        <v>18</v>
      </c>
      <c r="D11" s="32" t="s">
        <v>16</v>
      </c>
      <c r="E11" s="32" t="s">
        <v>39</v>
      </c>
      <c r="F11" s="32" t="s">
        <v>42</v>
      </c>
      <c r="G11" s="44">
        <v>20.0</v>
      </c>
      <c r="H11" s="44">
        <v>20.0</v>
      </c>
      <c r="I11" s="44">
        <v>1.0</v>
      </c>
      <c r="J11" s="32"/>
      <c r="K11" s="44">
        <v>0.0</v>
      </c>
      <c r="L11" s="44">
        <v>0.0</v>
      </c>
      <c r="M11" s="44">
        <v>0.0</v>
      </c>
      <c r="N11" s="44">
        <v>-20.83</v>
      </c>
      <c r="O11" s="44">
        <v>1251.0</v>
      </c>
      <c r="P11" s="47">
        <v>-25020.0</v>
      </c>
      <c r="Q11" s="47">
        <v>-25020.0</v>
      </c>
      <c r="R11" s="47">
        <v>1251.0</v>
      </c>
      <c r="S11" s="37"/>
      <c r="T11" s="37"/>
      <c r="U11" s="37"/>
      <c r="V11" s="37"/>
      <c r="W11" s="47">
        <v>1.0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2" t="s">
        <v>18</v>
      </c>
      <c r="D12" s="32" t="s">
        <v>27</v>
      </c>
      <c r="E12" s="32" t="s">
        <v>39</v>
      </c>
      <c r="F12" s="32" t="s">
        <v>42</v>
      </c>
      <c r="G12" s="44">
        <v>0.0</v>
      </c>
      <c r="H12" s="44">
        <v>0.0</v>
      </c>
      <c r="I12" s="44">
        <v>1.0</v>
      </c>
      <c r="J12" s="32"/>
      <c r="K12" s="44">
        <v>33333.0</v>
      </c>
      <c r="L12" s="44">
        <v>0.0</v>
      </c>
      <c r="M12" s="44">
        <v>0.0</v>
      </c>
      <c r="N12" s="44">
        <v>0.0</v>
      </c>
      <c r="O12" s="44">
        <v>33333.0</v>
      </c>
      <c r="P12" s="37"/>
      <c r="Q12" s="37"/>
      <c r="R12" s="37"/>
      <c r="S12" s="37"/>
      <c r="T12" s="37"/>
      <c r="U12" s="37"/>
      <c r="V12" s="37"/>
      <c r="W12" s="47">
        <v>1.0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2" t="s">
        <v>18</v>
      </c>
      <c r="D13" s="32" t="s">
        <v>28</v>
      </c>
      <c r="E13" s="32" t="s">
        <v>39</v>
      </c>
      <c r="F13" s="32" t="s">
        <v>42</v>
      </c>
      <c r="G13" s="44">
        <v>0.0</v>
      </c>
      <c r="H13" s="44">
        <v>0.0</v>
      </c>
      <c r="I13" s="44">
        <v>1.0</v>
      </c>
      <c r="J13" s="32"/>
      <c r="K13" s="44">
        <v>33333.0</v>
      </c>
      <c r="L13" s="44">
        <v>0.0</v>
      </c>
      <c r="M13" s="44">
        <v>0.0</v>
      </c>
      <c r="N13" s="44">
        <v>0.0</v>
      </c>
      <c r="O13" s="44">
        <v>33333.0</v>
      </c>
      <c r="P13" s="37"/>
      <c r="Q13" s="37"/>
      <c r="R13" s="37"/>
      <c r="S13" s="37"/>
      <c r="T13" s="37"/>
      <c r="U13" s="37"/>
      <c r="V13" s="37"/>
      <c r="W13" s="47">
        <v>1.0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2" t="s">
        <v>26</v>
      </c>
      <c r="D6" s="32" t="s">
        <v>16</v>
      </c>
      <c r="E6" s="44">
        <v>250.0</v>
      </c>
      <c r="F6" s="44">
        <v>20.0</v>
      </c>
      <c r="G6" s="48">
        <v>-5000.0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44</v>
      </c>
      <c r="D7" s="32" t="s">
        <v>16</v>
      </c>
      <c r="E7" s="44">
        <v>1251.0</v>
      </c>
      <c r="F7" s="44">
        <v>20.0</v>
      </c>
      <c r="G7" s="48">
        <v>-25020.0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37"/>
      <c r="F8" s="37"/>
      <c r="G8" s="37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4">
        <v>20.0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26</v>
      </c>
      <c r="AK6" s="37" t="s">
        <v>47</v>
      </c>
      <c r="AL6" s="47">
        <v>250.0</v>
      </c>
      <c r="AM6" s="37"/>
      <c r="AN6" s="37"/>
      <c r="AO6" s="37"/>
      <c r="AP6" s="37"/>
      <c r="AQ6" s="47">
        <v>20.0</v>
      </c>
      <c r="AR6" s="47">
        <v>20.0</v>
      </c>
      <c r="AS6" s="37" t="s">
        <v>48</v>
      </c>
      <c r="AT6" s="37" t="s">
        <v>18</v>
      </c>
      <c r="AU6" s="37" t="s">
        <v>49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4">
        <v>20.0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 t="s">
        <v>16</v>
      </c>
      <c r="AJ7" s="37" t="s">
        <v>50</v>
      </c>
      <c r="AK7" s="37" t="s">
        <v>47</v>
      </c>
      <c r="AL7" s="47">
        <v>1251.0</v>
      </c>
      <c r="AM7" s="37"/>
      <c r="AN7" s="37"/>
      <c r="AO7" s="37"/>
      <c r="AP7" s="37"/>
      <c r="AQ7" s="47">
        <v>20.0</v>
      </c>
      <c r="AR7" s="47">
        <v>20.0</v>
      </c>
      <c r="AS7" s="37" t="s">
        <v>48</v>
      </c>
      <c r="AT7" s="37" t="s">
        <v>18</v>
      </c>
      <c r="AU7" s="49" t="s">
        <v>49</v>
      </c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16</v>
      </c>
      <c r="C6" s="50" t="s">
        <v>52</v>
      </c>
      <c r="D6" s="51">
        <v>2500.0</v>
      </c>
      <c r="E6" s="37" t="s">
        <v>18</v>
      </c>
      <c r="F6" s="37"/>
      <c r="G6" s="37"/>
      <c r="H6" s="37"/>
      <c r="I6" s="37"/>
      <c r="J6" s="52">
        <v>20.0</v>
      </c>
      <c r="K6" s="37"/>
      <c r="L6" s="50" t="s">
        <v>53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45803</v>
      </c>
      <c r="C6" s="54">
        <f t="shared" si="1"/>
        <v>45803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19.5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0.01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209.08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12.94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241.8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45803</v>
      </c>
      <c r="C6" s="54">
        <f t="shared" si="1"/>
        <v>45803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61</v>
      </c>
      <c r="C6" s="37" t="s">
        <v>62</v>
      </c>
      <c r="D6" s="37"/>
      <c r="E6" s="44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