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SetGeneralPreference" sheetId="5" r:id="rId7"/>
    <sheet state="visible" name="CustomOrderTT" sheetId="6" r:id="rId8"/>
    <sheet state="visible" name="SelectTradeOnOrderGrid" sheetId="7" r:id="rId9"/>
    <sheet state="visible" name="VerifySubOrder" sheetId="8" r:id="rId10"/>
    <sheet state="visible" name="LoginClient" sheetId="9" r:id="rId11"/>
    <sheet state="visible" name="ApproveorRejectpendingapproval" sheetId="10" r:id="rId12"/>
    <sheet state="visible" name="ApproveorRejectpendingapproval1" sheetId="11" r:id="rId13"/>
    <sheet state="visible" name="LoginClient1" sheetId="12" r:id="rId14"/>
    <sheet state="visible" name="VerifySubOrder1" sheetId="13" r:id="rId15"/>
    <sheet state="visible" name="SelectTrade" sheetId="14" r:id="rId16"/>
    <sheet state="visible" name="AcknowledgeTrade" sheetId="15" r:id="rId17"/>
    <sheet state="visible" name="ExecuteTrade" sheetId="16" r:id="rId18"/>
    <sheet state="visible" name="VerifySubOrder2" sheetId="17" r:id="rId19"/>
    <sheet state="visible" name="SelectTradeOnOrderGrid1" sheetId="18" r:id="rId20"/>
    <sheet state="visible" name="VerifySubOrder3" sheetId="19" r:id="rId21"/>
  </sheets>
  <definedNames/>
  <calcPr/>
</workbook>
</file>

<file path=xl/sharedStrings.xml><?xml version="1.0" encoding="utf-8"?>
<sst xmlns="http://schemas.openxmlformats.org/spreadsheetml/2006/main" count="169" uniqueCount="50">
  <si>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</si>
  <si>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</si>
  <si>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</si>
  <si>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</si>
  <si>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</si>
  <si>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</si>
  <si>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</si>
  <si>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</si>
  <si>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</si>
  <si>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</si>
  <si>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</si>
  <si>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</si>
  <si>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</si>
  <si>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</si>
  <si>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</si>
  <si>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</si>
  <si>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</si>
  <si>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</si>
  <si>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TradingTicket</t>
  </si>
  <si>
    <t>SetGeneralPreference</t>
  </si>
  <si>
    <t>DefaultNotes,DefaultBrokerNotes</t>
  </si>
  <si>
    <t>CustomOrderTT</t>
  </si>
  <si>
    <t>AAPL</t>
  </si>
  <si>
    <t>Send</t>
  </si>
  <si>
    <t>Buy</t>
  </si>
  <si>
    <t>Good Till Date</t>
  </si>
  <si>
    <t>Limit</t>
  </si>
  <si>
    <t>IBM</t>
  </si>
  <si>
    <t>Blotter</t>
  </si>
  <si>
    <t>SelectTradeOnOrderGrid</t>
  </si>
  <si>
    <t>VerifySubOrder</t>
  </si>
  <si>
    <t>Pending Compliance Approval</t>
  </si>
  <si>
    <t>PranaClient</t>
  </si>
  <si>
    <t>LoginClient</t>
  </si>
  <si>
    <t>Support2</t>
  </si>
  <si>
    <t>Nirvana@1</t>
  </si>
  <si>
    <t>Compliance</t>
  </si>
  <si>
    <t>ApproveorRejectpendingapproval</t>
  </si>
  <si>
    <t>Approve</t>
  </si>
  <si>
    <t>Reject</t>
  </si>
  <si>
    <t>Support1</t>
  </si>
  <si>
    <t>CreateDoneAwayOrder</t>
  </si>
  <si>
    <t>PendingNew</t>
  </si>
  <si>
    <t>MS</t>
  </si>
  <si>
    <t>Simulator</t>
  </si>
  <si>
    <t>SelectTrade</t>
  </si>
  <si>
    <t>AcknowledgeTrade</t>
  </si>
  <si>
    <t>ExecuteTrade</t>
  </si>
  <si>
    <t>PartiallyFilled</t>
  </si>
  <si>
    <t>Blocked by Compliance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</si>
</sst>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 t="str">
        <f>IFERROR(__xludf.DUMMYFUNCTION("""COMPUTED_VALUE"""),"BasketPermission")</f>
        <v>BasketPermission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 t="s">
        <v>17</v>
      </c>
      <c r="D6" s="33">
        <v>17.0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0" width="23.38"/>
    <col customWidth="1" min="11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 t="str">
        <f>IFERROR(__xludf.DUMMYFUNCTION("""COMPUTED_VALUE"""),"Use Custodian Broker")</f>
        <v>Use Custodian Broker</v>
      </c>
      <c r="I5" s="28" t="str">
        <f>IFERROR(__xludf.DUMMYFUNCTION("""COMPUTED_VALUE"""),"Button_Status")</f>
        <v>Button_Status</v>
      </c>
      <c r="J5" s="28" t="str">
        <f>IFERROR(__xludf.DUMMYFUNCTION("""COMPUTED_VALUE"""),"ClearColumnValue")</f>
        <v>ClearColumnValue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8"/>
      <c r="H6" s="8"/>
      <c r="I6" s="8"/>
      <c r="J6" s="35" t="s">
        <v>20</v>
      </c>
      <c r="K6" s="36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8">
        <v>1000.0</v>
      </c>
      <c r="D6" s="33">
        <v>100.0</v>
      </c>
      <c r="E6" s="35" t="s">
        <v>23</v>
      </c>
      <c r="F6" s="36"/>
      <c r="G6" s="36"/>
      <c r="H6" s="36"/>
      <c r="I6" s="36"/>
      <c r="J6" s="35" t="s">
        <v>24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9" t="s">
        <v>25</v>
      </c>
      <c r="V6" s="39" t="s">
        <v>26</v>
      </c>
      <c r="W6" s="36"/>
      <c r="X6" s="40">
        <v>100.0</v>
      </c>
      <c r="Y6" s="41">
        <f t="shared" ref="Y6:Y7" si="1">today()+3</f>
        <v>45905</v>
      </c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5" t="s">
        <v>27</v>
      </c>
      <c r="C7" s="38">
        <v>1000.0</v>
      </c>
      <c r="D7" s="38">
        <v>100.0</v>
      </c>
      <c r="E7" s="35" t="s">
        <v>23</v>
      </c>
      <c r="F7" s="36"/>
      <c r="G7" s="36"/>
      <c r="H7" s="36"/>
      <c r="I7" s="36"/>
      <c r="J7" s="35" t="s">
        <v>24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9" t="s">
        <v>25</v>
      </c>
      <c r="V7" s="39" t="s">
        <v>26</v>
      </c>
      <c r="W7" s="36"/>
      <c r="X7" s="40">
        <v>100.0</v>
      </c>
      <c r="Y7" s="41">
        <f t="shared" si="1"/>
        <v>45905</v>
      </c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1" t="s">
        <v>22</v>
      </c>
      <c r="E6" s="36"/>
      <c r="F6" s="35" t="s">
        <v>24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7"/>
      <c r="E6" s="36"/>
      <c r="F6" s="36"/>
      <c r="G6" s="38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22</v>
      </c>
      <c r="AJ6" s="36" t="s">
        <v>24</v>
      </c>
      <c r="AK6" s="36" t="s">
        <v>31</v>
      </c>
      <c r="AL6" s="40">
        <v>1000.0</v>
      </c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40">
        <v>1000.0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5" t="s">
        <v>35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5" t="s">
        <v>22</v>
      </c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5" t="s">
        <v>24</v>
      </c>
      <c r="P6" s="36" t="s">
        <v>38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/>
      <c r="C7" s="35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5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/>
      <c r="C6" s="35" t="s">
        <v>27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5" t="s">
        <v>24</v>
      </c>
      <c r="P6" s="36" t="s">
        <v>39</v>
      </c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13" t="s">
        <v>35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7"/>
      <c r="E6" s="36"/>
      <c r="F6" s="36"/>
      <c r="G6" s="38">
        <v>1000.0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22</v>
      </c>
      <c r="AJ6" s="36" t="s">
        <v>24</v>
      </c>
      <c r="AK6" s="36" t="s">
        <v>42</v>
      </c>
      <c r="AL6" s="36"/>
      <c r="AM6" s="36"/>
      <c r="AN6" s="36"/>
      <c r="AO6" s="36"/>
      <c r="AP6" s="36"/>
      <c r="AQ6" s="36" t="s">
        <v>43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5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24</v>
      </c>
      <c r="C6" s="35" t="s">
        <v>22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12.0</v>
      </c>
      <c r="C6" s="38">
        <v>500.0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2"/>
      <c r="C6" s="8"/>
      <c r="D6" s="4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22</v>
      </c>
      <c r="AJ6" t="s">
        <v>24</v>
      </c>
      <c r="AK6" t="s">
        <v>48</v>
      </c>
      <c r="AL6">
        <v>1000.0</v>
      </c>
      <c r="AM6">
        <v>500.0</v>
      </c>
      <c r="AQ6" t="s">
        <v>43</v>
      </c>
      <c r="AX6">
        <v>500.0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27</v>
      </c>
      <c r="E6" s="36"/>
      <c r="F6" s="35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7"/>
      <c r="C6" s="36"/>
      <c r="D6" s="37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 t="s">
        <v>27</v>
      </c>
      <c r="AJ6" s="36" t="s">
        <v>24</v>
      </c>
      <c r="AK6" s="36" t="s">
        <v>49</v>
      </c>
      <c r="AL6" s="40">
        <v>1000.0</v>
      </c>
      <c r="AM6" s="36"/>
      <c r="AN6" s="36"/>
      <c r="AO6" s="36"/>
      <c r="AP6" s="36"/>
      <c r="AQ6" s="36" t="s">
        <v>43</v>
      </c>
      <c r="AR6" s="36"/>
      <c r="AS6" s="36"/>
      <c r="AT6" s="36"/>
      <c r="AU6" s="36"/>
      <c r="AV6" s="36"/>
      <c r="AW6" s="36"/>
      <c r="AX6" s="40">
        <v>1000.0</v>
      </c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