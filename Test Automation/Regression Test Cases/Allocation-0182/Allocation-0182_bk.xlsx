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11"/>
  </bookViews>
  <sheets>
    <sheet name="_Modules" sheetId="1" r:id="rId1"/>
    <sheet name="_Settings" sheetId="2" r:id="rId2"/>
    <sheet name="_MasterData" sheetId="3" r:id="rId3"/>
    <sheet name="SetTradeAttributePreferences" sheetId="4" r:id="rId4"/>
    <sheet name="CreateDoneAwayOrder" sheetId="5" r:id="rId5"/>
    <sheet name="GetDataAllocation" sheetId="6" r:id="rId6"/>
    <sheet name="SelectAllocatedGroup" sheetId="7" r:id="rId7"/>
    <sheet name="TradeAttributeBulkChangeGroups" sheetId="8" r:id="rId8"/>
    <sheet name="VerifyOrder" sheetId="9" r:id="rId9"/>
    <sheet name="VerifyWorkingSubs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J2" i="8"/>
  <c r="J2" i="7"/>
  <c r="J2" i="6"/>
  <c r="J2" i="5"/>
  <c r="J2" i="4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V4" i="12"/>
  <c r="N4" i="12"/>
  <c r="F4" i="12"/>
  <c r="CQ5" i="11"/>
  <c r="CI5" i="11"/>
  <c r="CA5" i="11"/>
  <c r="BS5" i="11"/>
  <c r="BK5" i="11"/>
  <c r="BC5" i="11"/>
  <c r="AU5" i="11"/>
  <c r="AM5" i="11"/>
  <c r="AE5" i="11"/>
  <c r="W5" i="11"/>
  <c r="O5" i="11"/>
  <c r="G5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AV5" i="10"/>
  <c r="AN5" i="10"/>
  <c r="AF5" i="10"/>
  <c r="X5" i="10"/>
  <c r="P5" i="10"/>
  <c r="H5" i="10"/>
  <c r="AT4" i="10"/>
  <c r="AL4" i="10"/>
  <c r="AD4" i="10"/>
  <c r="V4" i="10"/>
  <c r="N4" i="10"/>
  <c r="F4" i="10"/>
  <c r="AX5" i="9"/>
  <c r="AP5" i="9"/>
  <c r="AH5" i="9"/>
  <c r="Z5" i="9"/>
  <c r="R5" i="9"/>
  <c r="J5" i="9"/>
  <c r="B5" i="9"/>
  <c r="AN4" i="9"/>
  <c r="AF4" i="9"/>
  <c r="X4" i="9"/>
  <c r="P4" i="9"/>
  <c r="H4" i="9"/>
  <c r="G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CN5" i="7"/>
  <c r="CF5" i="7"/>
  <c r="BX5" i="7"/>
  <c r="BP5" i="7"/>
  <c r="BH5" i="7"/>
  <c r="AZ5" i="7"/>
  <c r="AR5" i="7"/>
  <c r="AJ5" i="7"/>
  <c r="AB5" i="7"/>
  <c r="T5" i="7"/>
  <c r="L5" i="7"/>
  <c r="D5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R5" i="6"/>
  <c r="J5" i="6"/>
  <c r="B5" i="6"/>
  <c r="DF4" i="6"/>
  <c r="CX4" i="6"/>
  <c r="CP4" i="6"/>
  <c r="CH4" i="6"/>
  <c r="BZ4" i="6"/>
  <c r="BR4" i="6"/>
  <c r="BJ4" i="6"/>
  <c r="BB4" i="6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U4" i="12"/>
  <c r="M4" i="12"/>
  <c r="E4" i="12"/>
  <c r="CP5" i="11"/>
  <c r="CH5" i="11"/>
  <c r="BZ5" i="11"/>
  <c r="BR5" i="11"/>
  <c r="BJ5" i="11"/>
  <c r="BB5" i="11"/>
  <c r="AT5" i="11"/>
  <c r="AL5" i="11"/>
  <c r="AD5" i="11"/>
  <c r="V5" i="11"/>
  <c r="N5" i="11"/>
  <c r="F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AU5" i="10"/>
  <c r="AM5" i="10"/>
  <c r="AE5" i="10"/>
  <c r="W5" i="10"/>
  <c r="O5" i="10"/>
  <c r="G5" i="10"/>
  <c r="AS4" i="10"/>
  <c r="AK4" i="10"/>
  <c r="AC4" i="10"/>
  <c r="U4" i="10"/>
  <c r="M4" i="10"/>
  <c r="E4" i="10"/>
  <c r="AW5" i="9"/>
  <c r="AO5" i="9"/>
  <c r="AG5" i="9"/>
  <c r="Y5" i="9"/>
  <c r="Q5" i="9"/>
  <c r="I5" i="9"/>
  <c r="A5" i="9"/>
  <c r="AM4" i="9"/>
  <c r="AE4" i="9"/>
  <c r="W4" i="9"/>
  <c r="O4" i="9"/>
  <c r="G4" i="9"/>
  <c r="F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CM5" i="7"/>
  <c r="CE5" i="7"/>
  <c r="BW5" i="7"/>
  <c r="BO5" i="7"/>
  <c r="BG5" i="7"/>
  <c r="AY5" i="7"/>
  <c r="AQ5" i="7"/>
  <c r="AI5" i="7"/>
  <c r="AA5" i="7"/>
  <c r="S5" i="7"/>
  <c r="K5" i="7"/>
  <c r="C5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Q5" i="6"/>
  <c r="I5" i="6"/>
  <c r="A5" i="6"/>
  <c r="DE4" i="6"/>
  <c r="CW4" i="6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T4" i="12"/>
  <c r="L4" i="12"/>
  <c r="D4" i="12"/>
  <c r="CO5" i="11"/>
  <c r="CG5" i="11"/>
  <c r="BY5" i="11"/>
  <c r="BQ5" i="11"/>
  <c r="BI5" i="11"/>
  <c r="BA5" i="11"/>
  <c r="AS5" i="11"/>
  <c r="AK5" i="11"/>
  <c r="AC5" i="11"/>
  <c r="U5" i="11"/>
  <c r="M5" i="11"/>
  <c r="E5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AT5" i="10"/>
  <c r="AL5" i="10"/>
  <c r="AD5" i="10"/>
  <c r="V5" i="10"/>
  <c r="N5" i="10"/>
  <c r="F5" i="10"/>
  <c r="AR4" i="10"/>
  <c r="AJ4" i="10"/>
  <c r="AB4" i="10"/>
  <c r="T4" i="10"/>
  <c r="L4" i="10"/>
  <c r="D4" i="10"/>
  <c r="AV5" i="9"/>
  <c r="AN5" i="9"/>
  <c r="AF5" i="9"/>
  <c r="X5" i="9"/>
  <c r="P5" i="9"/>
  <c r="H5" i="9"/>
  <c r="AT4" i="9"/>
  <c r="AL4" i="9"/>
  <c r="AD4" i="9"/>
  <c r="V4" i="9"/>
  <c r="N4" i="9"/>
  <c r="F4" i="9"/>
  <c r="E5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CL5" i="7"/>
  <c r="CD5" i="7"/>
  <c r="BV5" i="7"/>
  <c r="BN5" i="7"/>
  <c r="BF5" i="7"/>
  <c r="AX5" i="7"/>
  <c r="AP5" i="7"/>
  <c r="AH5" i="7"/>
  <c r="Z5" i="7"/>
  <c r="R5" i="7"/>
  <c r="J5" i="7"/>
  <c r="B5" i="7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S4" i="12"/>
  <c r="K4" i="12"/>
  <c r="C4" i="12"/>
  <c r="CN5" i="11"/>
  <c r="CF5" i="11"/>
  <c r="BX5" i="11"/>
  <c r="BP5" i="11"/>
  <c r="BH5" i="11"/>
  <c r="AZ5" i="11"/>
  <c r="AR5" i="11"/>
  <c r="AJ5" i="11"/>
  <c r="AB5" i="11"/>
  <c r="T5" i="11"/>
  <c r="L5" i="11"/>
  <c r="D5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BA5" i="10"/>
  <c r="AS5" i="10"/>
  <c r="AK5" i="10"/>
  <c r="AC5" i="10"/>
  <c r="U5" i="10"/>
  <c r="M5" i="10"/>
  <c r="E5" i="10"/>
  <c r="AQ4" i="10"/>
  <c r="AI4" i="10"/>
  <c r="AA4" i="10"/>
  <c r="S4" i="10"/>
  <c r="K4" i="10"/>
  <c r="C4" i="10"/>
  <c r="AU5" i="9"/>
  <c r="AM5" i="9"/>
  <c r="AE5" i="9"/>
  <c r="W5" i="9"/>
  <c r="O5" i="9"/>
  <c r="G5" i="9"/>
  <c r="AS4" i="9"/>
  <c r="AK4" i="9"/>
  <c r="AC4" i="9"/>
  <c r="U4" i="9"/>
  <c r="M4" i="9"/>
  <c r="E4" i="9"/>
  <c r="D5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O5" i="6"/>
  <c r="G5" i="6"/>
  <c r="DK4" i="6"/>
  <c r="DC4" i="6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R4" i="12"/>
  <c r="J4" i="12"/>
  <c r="B4" i="12"/>
  <c r="CM5" i="11"/>
  <c r="CE5" i="11"/>
  <c r="BW5" i="11"/>
  <c r="BO5" i="11"/>
  <c r="BG5" i="11"/>
  <c r="AY5" i="11"/>
  <c r="AQ5" i="11"/>
  <c r="AI5" i="11"/>
  <c r="AA5" i="11"/>
  <c r="S5" i="11"/>
  <c r="K5" i="11"/>
  <c r="C5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T5" i="9"/>
  <c r="AL5" i="9"/>
  <c r="AD5" i="9"/>
  <c r="V5" i="9"/>
  <c r="N5" i="9"/>
  <c r="F5" i="9"/>
  <c r="AR4" i="9"/>
  <c r="AJ4" i="9"/>
  <c r="AB4" i="9"/>
  <c r="T4" i="9"/>
  <c r="L4" i="9"/>
  <c r="D4" i="9"/>
  <c r="C5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CR5" i="7"/>
  <c r="CJ5" i="7"/>
  <c r="CB5" i="7"/>
  <c r="BT5" i="7"/>
  <c r="BL5" i="7"/>
  <c r="BD5" i="7"/>
  <c r="AV5" i="7"/>
  <c r="AN5" i="7"/>
  <c r="AF5" i="7"/>
  <c r="X5" i="7"/>
  <c r="P5" i="7"/>
  <c r="H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N5" i="6"/>
  <c r="F5" i="6"/>
  <c r="DJ4" i="6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Y4" i="12"/>
  <c r="Q4" i="12"/>
  <c r="I4" i="12"/>
  <c r="CL5" i="11"/>
  <c r="CD5" i="11"/>
  <c r="BV5" i="11"/>
  <c r="BN5" i="11"/>
  <c r="BF5" i="11"/>
  <c r="AX5" i="11"/>
  <c r="AP5" i="11"/>
  <c r="AH5" i="11"/>
  <c r="Z5" i="11"/>
  <c r="R5" i="11"/>
  <c r="J5" i="11"/>
  <c r="B5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AY5" i="10"/>
  <c r="AQ5" i="10"/>
  <c r="AI5" i="10"/>
  <c r="AA5" i="10"/>
  <c r="S5" i="10"/>
  <c r="K5" i="10"/>
  <c r="C5" i="10"/>
  <c r="AO4" i="10"/>
  <c r="AG4" i="10"/>
  <c r="Y4" i="10"/>
  <c r="Q4" i="10"/>
  <c r="I4" i="10"/>
  <c r="AS5" i="9"/>
  <c r="AK5" i="9"/>
  <c r="AC5" i="9"/>
  <c r="U5" i="9"/>
  <c r="M5" i="9"/>
  <c r="E5" i="9"/>
  <c r="AQ4" i="9"/>
  <c r="AI4" i="9"/>
  <c r="AA4" i="9"/>
  <c r="S4" i="9"/>
  <c r="K4" i="9"/>
  <c r="C4" i="9"/>
  <c r="B5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CQ5" i="7"/>
  <c r="CI5" i="7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X4" i="12"/>
  <c r="P4" i="12"/>
  <c r="H4" i="12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AX5" i="10"/>
  <c r="AP5" i="10"/>
  <c r="AH5" i="10"/>
  <c r="Z5" i="10"/>
  <c r="R5" i="10"/>
  <c r="J5" i="10"/>
  <c r="B5" i="10"/>
  <c r="AN4" i="10"/>
  <c r="AF4" i="10"/>
  <c r="X4" i="10"/>
  <c r="P4" i="10"/>
  <c r="H4" i="10"/>
  <c r="AZ5" i="9"/>
  <c r="AR5" i="9"/>
  <c r="AJ5" i="9"/>
  <c r="AB5" i="9"/>
  <c r="T5" i="9"/>
  <c r="L5" i="9"/>
  <c r="D5" i="9"/>
  <c r="AP4" i="9"/>
  <c r="AH4" i="9"/>
  <c r="Z4" i="9"/>
  <c r="R4" i="9"/>
  <c r="J4" i="9"/>
  <c r="B4" i="9"/>
  <c r="A5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CP5" i="7"/>
  <c r="CH5" i="7"/>
  <c r="BZ5" i="7"/>
  <c r="BR5" i="7"/>
  <c r="BJ5" i="7"/>
  <c r="BB5" i="7"/>
  <c r="AT5" i="7"/>
  <c r="AL5" i="7"/>
  <c r="AD5" i="7"/>
  <c r="V5" i="7"/>
  <c r="N5" i="7"/>
  <c r="F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L5" i="6"/>
  <c r="D5" i="6"/>
  <c r="DH4" i="6"/>
  <c r="CZ4" i="6"/>
  <c r="CR4" i="6"/>
  <c r="CJ4" i="6"/>
  <c r="CB4" i="6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W4" i="12"/>
  <c r="O4" i="12"/>
  <c r="G4" i="12"/>
  <c r="CR5" i="11"/>
  <c r="CJ5" i="11"/>
  <c r="CB5" i="11"/>
  <c r="BT5" i="11"/>
  <c r="BL5" i="11"/>
  <c r="BD5" i="11"/>
  <c r="AV5" i="11"/>
  <c r="AN5" i="11"/>
  <c r="AF5" i="11"/>
  <c r="X5" i="11"/>
  <c r="P5" i="11"/>
  <c r="H5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AW5" i="10"/>
  <c r="AO5" i="10"/>
  <c r="AG5" i="10"/>
  <c r="Y5" i="10"/>
  <c r="Q5" i="10"/>
  <c r="I5" i="10"/>
  <c r="A5" i="10"/>
  <c r="AM4" i="10"/>
  <c r="AE4" i="10"/>
  <c r="W4" i="10"/>
  <c r="O4" i="10"/>
  <c r="G4" i="10"/>
  <c r="AY5" i="9"/>
  <c r="AQ5" i="9"/>
  <c r="AI5" i="9"/>
  <c r="AA5" i="9"/>
  <c r="S5" i="9"/>
  <c r="K5" i="9"/>
  <c r="C5" i="9"/>
  <c r="AO4" i="9"/>
  <c r="AG4" i="9"/>
  <c r="Y4" i="9"/>
  <c r="Q4" i="9"/>
  <c r="I4" i="9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CO5" i="7"/>
  <c r="CG5" i="7"/>
  <c r="BY5" i="7"/>
  <c r="BQ5" i="7"/>
  <c r="BI5" i="7"/>
  <c r="BA5" i="7"/>
  <c r="AS5" i="7"/>
  <c r="AK5" i="7"/>
  <c r="AC5" i="7"/>
  <c r="U5" i="7"/>
  <c r="M5" i="7"/>
  <c r="E5" i="7"/>
  <c r="DI4" i="7"/>
  <c r="DA4" i="7"/>
  <c r="CS4" i="7"/>
  <c r="CK4" i="7"/>
  <c r="CC4" i="7"/>
  <c r="CA5" i="7"/>
  <c r="O5" i="7"/>
  <c r="CM4" i="7"/>
  <c r="BM4" i="7"/>
  <c r="AQ4" i="7"/>
  <c r="V4" i="7"/>
  <c r="DI4" i="6"/>
  <c r="CT4" i="6"/>
  <c r="CI4" i="6"/>
  <c r="BX4" i="6"/>
  <c r="BO4" i="6"/>
  <c r="BF4" i="6"/>
  <c r="AW4" i="6"/>
  <c r="AO4" i="6"/>
  <c r="AG4" i="6"/>
  <c r="Y4" i="6"/>
  <c r="Q4" i="6"/>
  <c r="I4" i="6"/>
  <c r="AH5" i="5"/>
  <c r="Z5" i="5"/>
  <c r="R5" i="5"/>
  <c r="J5" i="5"/>
  <c r="B5" i="5"/>
  <c r="N4" i="5"/>
  <c r="F4" i="5"/>
  <c r="C5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BS5" i="7"/>
  <c r="G5" i="7"/>
  <c r="CH4" i="7"/>
  <c r="BJ4" i="7"/>
  <c r="AO4" i="7"/>
  <c r="S4" i="7"/>
  <c r="P5" i="6"/>
  <c r="DG4" i="6"/>
  <c r="CS4" i="6"/>
  <c r="CG4" i="6"/>
  <c r="BW4" i="6"/>
  <c r="BN4" i="6"/>
  <c r="BE4" i="6"/>
  <c r="AV4" i="6"/>
  <c r="AN4" i="6"/>
  <c r="AF4" i="6"/>
  <c r="X4" i="6"/>
  <c r="P4" i="6"/>
  <c r="H4" i="6"/>
  <c r="AO5" i="5"/>
  <c r="AG5" i="5"/>
  <c r="Y5" i="5"/>
  <c r="Q5" i="5"/>
  <c r="I5" i="5"/>
  <c r="A5" i="5"/>
  <c r="M4" i="5"/>
  <c r="E4" i="5"/>
  <c r="B5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BK5" i="7"/>
  <c r="DK4" i="7"/>
  <c r="CE4" i="7"/>
  <c r="BG4" i="7"/>
  <c r="AL4" i="7"/>
  <c r="Q4" i="7"/>
  <c r="M5" i="6"/>
  <c r="DD4" i="6"/>
  <c r="CQ4" i="6"/>
  <c r="CF4" i="6"/>
  <c r="BV4" i="6"/>
  <c r="BM4" i="6"/>
  <c r="BD4" i="6"/>
  <c r="AU4" i="6"/>
  <c r="AM4" i="6"/>
  <c r="AE4" i="6"/>
  <c r="W4" i="6"/>
  <c r="O4" i="6"/>
  <c r="G4" i="6"/>
  <c r="AN5" i="5"/>
  <c r="AF5" i="5"/>
  <c r="X5" i="5"/>
  <c r="P5" i="5"/>
  <c r="H5" i="5"/>
  <c r="T4" i="5"/>
  <c r="L4" i="5"/>
  <c r="D4" i="5"/>
  <c r="A5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BC5" i="7"/>
  <c r="DF4" i="7"/>
  <c r="BZ4" i="7"/>
  <c r="BE4" i="7"/>
  <c r="AI4" i="7"/>
  <c r="N4" i="7"/>
  <c r="K5" i="6"/>
  <c r="DB4" i="6"/>
  <c r="CO4" i="6"/>
  <c r="CE4" i="6"/>
  <c r="BU4" i="6"/>
  <c r="BL4" i="6"/>
  <c r="BC4" i="6"/>
  <c r="AT4" i="6"/>
  <c r="AL4" i="6"/>
  <c r="AD4" i="6"/>
  <c r="V4" i="6"/>
  <c r="N4" i="6"/>
  <c r="F4" i="6"/>
  <c r="AM5" i="5"/>
  <c r="AE5" i="5"/>
  <c r="W5" i="5"/>
  <c r="O5" i="5"/>
  <c r="G5" i="5"/>
  <c r="S4" i="5"/>
  <c r="K4" i="5"/>
  <c r="C4" i="5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U5" i="7"/>
  <c r="DC4" i="7"/>
  <c r="BW4" i="7"/>
  <c r="BB4" i="7"/>
  <c r="AG4" i="7"/>
  <c r="K4" i="7"/>
  <c r="H5" i="6"/>
  <c r="DA4" i="6"/>
  <c r="CN4" i="6"/>
  <c r="CD4" i="6"/>
  <c r="BT4" i="6"/>
  <c r="BK4" i="6"/>
  <c r="BA4" i="6"/>
  <c r="AS4" i="6"/>
  <c r="AK4" i="6"/>
  <c r="AC4" i="6"/>
  <c r="U4" i="6"/>
  <c r="M4" i="6"/>
  <c r="E4" i="6"/>
  <c r="AL5" i="5"/>
  <c r="AD5" i="5"/>
  <c r="V5" i="5"/>
  <c r="N5" i="5"/>
  <c r="F5" i="5"/>
  <c r="R4" i="5"/>
  <c r="J4" i="5"/>
  <c r="B4" i="5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AM5" i="7"/>
  <c r="CX4" i="7"/>
  <c r="BU4" i="7"/>
  <c r="AY4" i="7"/>
  <c r="AD4" i="7"/>
  <c r="I4" i="7"/>
  <c r="E5" i="6"/>
  <c r="CY4" i="6"/>
  <c r="CM4" i="6"/>
  <c r="CC4" i="6"/>
  <c r="BS4" i="6"/>
  <c r="BI4" i="6"/>
  <c r="AZ4" i="6"/>
  <c r="AR4" i="6"/>
  <c r="AJ4" i="6"/>
  <c r="AB4" i="6"/>
  <c r="T4" i="6"/>
  <c r="L4" i="6"/>
  <c r="D4" i="6"/>
  <c r="AK5" i="5"/>
  <c r="AC5" i="5"/>
  <c r="U5" i="5"/>
  <c r="M5" i="5"/>
  <c r="E5" i="5"/>
  <c r="Q4" i="5"/>
  <c r="I4" i="5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AE5" i="7"/>
  <c r="CU4" i="7"/>
  <c r="BR4" i="7"/>
  <c r="AW4" i="7"/>
  <c r="AA4" i="7"/>
  <c r="F4" i="7"/>
  <c r="C5" i="6"/>
  <c r="CV4" i="6"/>
  <c r="CL4" i="6"/>
  <c r="CA4" i="6"/>
  <c r="BQ4" i="6"/>
  <c r="BH4" i="6"/>
  <c r="AY4" i="6"/>
  <c r="AQ4" i="6"/>
  <c r="AI4" i="6"/>
  <c r="AA4" i="6"/>
  <c r="S4" i="6"/>
  <c r="K4" i="6"/>
  <c r="C4" i="6"/>
  <c r="AJ5" i="5"/>
  <c r="AB5" i="5"/>
  <c r="T5" i="5"/>
  <c r="L5" i="5"/>
  <c r="D5" i="5"/>
  <c r="P4" i="5"/>
  <c r="H4" i="5"/>
  <c r="E5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W5" i="7"/>
  <c r="CP4" i="7"/>
  <c r="BO4" i="7"/>
  <c r="AT4" i="7"/>
  <c r="Y4" i="7"/>
  <c r="C4" i="7"/>
  <c r="DL4" i="6"/>
  <c r="CU4" i="6"/>
  <c r="CK4" i="6"/>
  <c r="BY4" i="6"/>
  <c r="BP4" i="6"/>
  <c r="BG4" i="6"/>
  <c r="AX4" i="6"/>
  <c r="AP4" i="6"/>
  <c r="AH4" i="6"/>
  <c r="Z4" i="6"/>
  <c r="R4" i="6"/>
  <c r="J4" i="6"/>
  <c r="B4" i="6"/>
  <c r="AI5" i="5"/>
  <c r="AA5" i="5"/>
  <c r="S5" i="5"/>
  <c r="K5" i="5"/>
  <c r="C5" i="5"/>
  <c r="O4" i="5"/>
  <c r="G4" i="5"/>
  <c r="D5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A227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14" i="1"/>
  <c r="B9" i="1"/>
  <c r="A4" i="1"/>
  <c r="C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A12" i="1"/>
  <c r="C6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</calcChain>
</file>

<file path=xl/sharedStrings.xml><?xml version="1.0" encoding="utf-8"?>
<sst xmlns="http://schemas.openxmlformats.org/spreadsheetml/2006/main" count="369" uniqueCount="58">
  <si>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</si>
  <si>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</si>
  <si>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</si>
  <si>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</si>
  <si>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</si>
  <si>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</si>
  <si>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</si>
  <si>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</si>
  <si>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</si>
  <si>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</si>
  <si>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</si>
  <si>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</si>
  <si>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</si>
  <si>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</si>
  <si>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</si>
  <si>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</si>
  <si>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</si>
  <si>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TA1,TA2,TA3,TA4,TA5</t>
  </si>
  <si>
    <t>TradeAttribute2</t>
  </si>
  <si>
    <t>TradeAttribute3</t>
  </si>
  <si>
    <t>TradeAttribute4</t>
  </si>
  <si>
    <t>TradeAttribute5</t>
  </si>
  <si>
    <t>TradeAttribute6</t>
  </si>
  <si>
    <t>TradingTicket</t>
  </si>
  <si>
    <t>CreateDoneAwayOrder</t>
  </si>
  <si>
    <t>MSFT</t>
  </si>
  <si>
    <t>Buy</t>
  </si>
  <si>
    <t>Allocation1</t>
  </si>
  <si>
    <t>TA1</t>
  </si>
  <si>
    <t>AAPL</t>
  </si>
  <si>
    <t>TA2</t>
  </si>
  <si>
    <t>IBM</t>
  </si>
  <si>
    <t>TA3</t>
  </si>
  <si>
    <t>HCI</t>
  </si>
  <si>
    <t>TA4</t>
  </si>
  <si>
    <t>HFC</t>
  </si>
  <si>
    <t>TA5</t>
  </si>
  <si>
    <t>GEN</t>
  </si>
  <si>
    <t>GetDataAllocation</t>
  </si>
  <si>
    <t>Current</t>
  </si>
  <si>
    <t>SelectAllocatedGroup</t>
  </si>
  <si>
    <t>TradeAttributeBulkChangeGroups</t>
  </si>
  <si>
    <t>Blotter</t>
  </si>
  <si>
    <t>VerifyOrder</t>
  </si>
  <si>
    <t>Equity</t>
  </si>
  <si>
    <t>Filled</t>
  </si>
  <si>
    <t>MS</t>
  </si>
  <si>
    <t>Market</t>
  </si>
  <si>
    <t>VerifyWorkingSubs</t>
  </si>
  <si>
    <t>CheckAllocatedGroups</t>
  </si>
  <si>
    <t>Open</t>
  </si>
  <si>
    <t>USD</t>
  </si>
  <si>
    <t>M</t>
  </si>
  <si>
    <t>PortfolioManagement</t>
  </si>
  <si>
    <t>CheckPortfolioManagement</t>
  </si>
  <si>
    <t>Long</t>
  </si>
  <si>
    <t>US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</si>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</sst>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0" t="s">
        <v>0</v>
      </c>
      <c r="B1" s="31"/>
      <c r="C1" s="31"/>
      <c r="D1" s="31"/>
      <c r="E1" s="31"/>
      <c r="F1" s="32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</row>
    <row r="330" spans="1:3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</row>
    <row r="331" spans="1:3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</row>
    <row r="332" spans="1:3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</row>
    <row r="334" spans="1:3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</row>
    <row r="336" spans="1:3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</row>
    <row r="337" spans="1:3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</row>
    <row r="344" spans="1:3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</row>
    <row r="346" spans="1:3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</row>
    <row r="347" spans="1:3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</row>
    <row r="349" spans="1:3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</row>
    <row r="350" spans="1:3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</row>
    <row r="351" spans="1:3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</row>
    <row r="386" spans="1:3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</row>
    <row r="390" spans="1:3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</row>
    <row r="397" spans="1:3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</row>
    <row r="399" spans="1:3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</row>
    <row r="402" spans="1:3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</row>
    <row r="409" spans="1:3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</row>
    <row r="410" spans="1:3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</row>
    <row r="412" spans="1:3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</row>
    <row r="413" spans="1:3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</row>
    <row r="414" spans="1:3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</row>
    <row r="415" spans="1:3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</row>
    <row r="416" spans="1:3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</row>
    <row r="417" spans="1:3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</row>
    <row r="418" spans="1:3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</row>
    <row r="420" spans="1:3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</row>
    <row r="421" spans="1:3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</row>
    <row r="427" spans="1:3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</row>
    <row r="432" spans="1:3" ht="15.75" customHeight="1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</row>
    <row r="433" spans="1:3" ht="15.75" customHeight="1">
      <c r="A433" t="str">
        <f ca="1">IFERROR(__xludf.DUMMYFUNCTION("""COMPUTED_VALUE"""),"Admin")</f>
        <v>Admin</v>
      </c>
      <c r="B433" t="str">
        <f ca="1">IFERROR(__xludf.DUMMYFUNCTION("""COMPUTED_VALUE"""),"SetRollover")</f>
        <v>SetRollover</v>
      </c>
      <c r="C433" t="str">
        <f ca="1">IFERROR(__xludf.DUMMYFUNCTION("""COMPUTED_VALUE"""),"1mcj3boGZkRmnkbGNVOiMK0RBd1tDfxGwoUagq09FwTM")</f>
        <v>1mcj3boGZkRmnkbGNVOiMK0RBd1tDfxGwoUagq09FwTM</v>
      </c>
    </row>
    <row r="434" spans="1:3" ht="15.75" customHeight="1">
      <c r="A434" t="str">
        <f ca="1">IFERROR(__xludf.DUMMYFUNCTION("""COMPUTED_VALUE"""),"Blotter")</f>
        <v>Blotter</v>
      </c>
      <c r="B434" t="str">
        <f ca="1">IFERROR(__xludf.DUMMYFUNCTION("""COMPUTED_VALUE"""),"VerifyRollover")</f>
        <v>VerifyRollover</v>
      </c>
      <c r="C434" t="str">
        <f ca="1">IFERROR(__xludf.DUMMYFUNCTION("""COMPUTED_VALUE"""),"1ZZ2-R1OHOoSZ9jUfqlZ7UX-MNoTL_RipoEPOEeDhUiU")</f>
        <v>1ZZ2-R1OHOoSZ9jUfqlZ7UX-MNoTL_RipoEPOEeDhUiU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IFERROR(__xludf.DUMMYFUNCTION("""COMPUTED_VALUE"""),"EditAllocatedGridTaxlot")</f>
        <v>EditAllocatedGridTaxlot</v>
      </c>
      <c r="C435" t="str">
        <f ca="1">IFERROR(__xludf.DUMMYFUNCTION("""COMPUTED_VALUE"""),"1tuNkOgVUAgmGZdePkvb6Kq4fOIVUbM2Oo-j35VwEMxU")</f>
        <v>1tuNkOgVUAgmGZdePkvb6Kq4fOIVUbM2Oo-j35VwEMxU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IFERROR(__xludf.DUMMYFUNCTION("""COMPUTED_VALUE"""),"ExpandCollapseAllocatedGrid")</f>
        <v>ExpandCollapseAllocatedGrid</v>
      </c>
      <c r="C436" t="str">
        <f ca="1">IFERROR(__xludf.DUMMYFUNCTION("""COMPUTED_VALUE"""),"1rFegPn3vtFd9CjW_Q7sLLAAJfMR24R2aIjZeDzV88kI")</f>
        <v>1rFegPn3vtFd9CjW_Q7sLLAAJfMR24R2aIjZeDzV88kI</v>
      </c>
    </row>
    <row r="437" spans="1:3" ht="15.75" customHeight="1">
      <c r="A437" t="str">
        <f ca="1">IFERROR(__xludf.DUMMYFUNCTION("""COMPUTED_VALUE"""),"Allocation")</f>
        <v>Allocation</v>
      </c>
      <c r="B437" t="str">
        <f ca="1">IFERROR(__xludf.DUMMYFUNCTION("""COMPUTED_VALUE"""),"ExpandCollapseUnallocatedGrid")</f>
        <v>ExpandCollapseUnallocatedGrid</v>
      </c>
      <c r="C437" t="str">
        <f ca="1">IFERROR(__xludf.DUMMYFUNCTION("""COMPUTED_VALUE"""),"1AUbU9P9evi80SGX-0B0OEU4EIeSy8XoX0Jxc2neUG7Y")</f>
        <v>1AUbU9P9evi80SGX-0B0OEU4EIeSy8XoX0Jxc2neUG7Y</v>
      </c>
    </row>
    <row r="438" spans="1:3" ht="15.75" customHeight="1">
      <c r="A438" t="str">
        <f ca="1">IFERROR(__xludf.DUMMYFUNCTION("""COMPUTED_VALUE"""),"Blotter")</f>
        <v>Blotter</v>
      </c>
      <c r="B438" t="str">
        <f ca="1">IFERROR(__xludf.DUMMYFUNCTION("""COMPUTED_VALUE"""),"VerifySubOrderAfterRollover")</f>
        <v>VerifySubOrderAfterRollover</v>
      </c>
      <c r="C438" t="str">
        <f ca="1">IFERROR(__xludf.DUMMYFUNCTION("""COMPUTED_VALUE"""),"1BmRHukyQ4miHL0fDoU1ytWmIfZkbbUhts6aUXOoJt1M")</f>
        <v>1BmRHukyQ4miHL0fDoU1ytWmIfZkbbUhts6aUXOoJt1M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IFERROR(__xludf.DUMMYFUNCTION("""COMPUTED_VALUE"""),"SelectTransactionImportType")</f>
        <v>SelectTransactionImportType</v>
      </c>
      <c r="C439" t="str">
        <f ca="1">IFERROR(__xludf.DUMMYFUNCTION("""COMPUTED_VALUE"""),"1ultylVChPDBFQEPMhDgNhsGAOiEjOy4yrylpQgIIDRs")</f>
        <v>1ultylVChPDBFQEPMhDgNhsGAOiEjOy4yrylpQgIIDRs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IFERROR(__xludf.DUMMYFUNCTION("""COMPUTED_VALUE"""),"SelectAllOnImport")</f>
        <v>SelectAllOnImport</v>
      </c>
      <c r="C440" t="str">
        <f ca="1">IFERROR(__xludf.DUMMYFUNCTION("""COMPUTED_VALUE"""),"1kfuraVHmWK4GQJ5l-V_xi5ZOvrVVE_6df75wO3Tczkw")</f>
        <v>1kfuraVHmWK4GQJ5l-V_xi5ZOvrVVE_6df75wO3Tczkw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IFERROR(__xludf.DUMMYFUNCTION("""COMPUTED_VALUE"""),"SelectMarkPriceImportType")</f>
        <v>SelectMarkPriceImportType</v>
      </c>
      <c r="C441" t="str">
        <f ca="1">IFERROR(__xludf.DUMMYFUNCTION("""COMPUTED_VALUE"""),"16WxFw58KivOf3P1utNNMuCYVONlWBgTIRn0wVd6Sq10")</f>
        <v>16WxFw58KivOf3P1utNNMuCYVONlWBgTIRn0wVd6Sq10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IFERROR(__xludf.DUMMYFUNCTION("""COMPUTED_VALUE"""),"SelectForexImportType")</f>
        <v>SelectForexImportType</v>
      </c>
      <c r="C442" t="str">
        <f ca="1">IFERROR(__xludf.DUMMYFUNCTION("""COMPUTED_VALUE"""),"1niCpVuSl0IoWtjAcvElNI0GeVHeA4cKvepxzq7Z4t0Y")</f>
        <v>1niCpVuSl0IoWtjAcvElNI0GeVHeA4cKvepxzq7Z4t0Y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IFERROR(__xludf.DUMMYFUNCTION("""COMPUTED_VALUE"""),"SelectDoubleEntryCashImportType")</f>
        <v>SelectDoubleEntryCashImportType</v>
      </c>
      <c r="C443" t="str">
        <f ca="1">IFERROR(__xludf.DUMMYFUNCTION("""COMPUTED_VALUE"""),"1c3AV5tCWYyTG5GupbNYTh4Y6mBGeI5Q18WF7jbA_FoE")</f>
        <v>1c3AV5tCWYyTG5GupbNYTh4Y6mBGeI5Q18WF7jbA_FoE</v>
      </c>
    </row>
    <row r="444" spans="1:3" ht="15.75" customHeight="1">
      <c r="A444" t="str">
        <f ca="1">IFERROR(__xludf.DUMMYFUNCTION("""COMPUTED_VALUE"""),"Import")</f>
        <v>Import</v>
      </c>
      <c r="B444" t="str">
        <f ca="1">IFERROR(__xludf.DUMMYFUNCTION("""COMPUTED_VALUE"""),"SelectActivitiesImportType")</f>
        <v>SelectActivitiesImportType</v>
      </c>
      <c r="C444" t="str">
        <f ca="1">IFERROR(__xludf.DUMMYFUNCTION("""COMPUTED_VALUE"""),"1X6nskWL8-xWWF-gN9qfxhhV3aBuAeoxKsrdra5tJcpQ")</f>
        <v>1X6nskWL8-xWWF-gN9qfxhhV3aBuAeoxKsrdra5tJcpQ</v>
      </c>
    </row>
    <row r="445" spans="1:3" ht="15.75" customHeight="1">
      <c r="A445" t="str">
        <f ca="1">IFERROR(__xludf.DUMMYFUNCTION("""COMPUTED_VALUE"""),"TradingTicket")</f>
        <v>TradingTicket</v>
      </c>
      <c r="B445" t="str">
        <f ca="1">IFERROR(__xludf.DUMMYFUNCTION("""COMPUTED_VALUE"""),"SetTTCompliancePreference")</f>
        <v>SetTTCompliancePreference</v>
      </c>
      <c r="C445" t="str">
        <f ca="1">IFERROR(__xludf.DUMMYFUNCTION("""COMPUTED_VALUE"""),"1OPa8vYQi1QXXNENlCNdP6ay_L5vU7WyWP5dErE2KHEA")</f>
        <v>1OPa8vYQi1QXXNENlCNdP6ay_L5vU7WyWP5dErE2KHEA</v>
      </c>
    </row>
    <row r="446" spans="1:3" ht="15.75" customHeight="1">
      <c r="A446" t="str">
        <f ca="1">IFERROR(__xludf.DUMMYFUNCTION("""COMPUTED_VALUE"""),"Rebalancer")</f>
        <v>Rebalancer</v>
      </c>
      <c r="B446" t="str">
        <f ca="1">IFERROR(__xludf.DUMMYFUNCTION("""COMPUTED_VALUE"""),"LockandUnlockGridData")</f>
        <v>LockandUnlockGridData</v>
      </c>
      <c r="C446" t="str">
        <f ca="1">IFERROR(__xludf.DUMMYFUNCTION("""COMPUTED_VALUE"""),"1Km85kIYSTzG-NQHFDL8ZVRQQ0TKLUDOYsw-kdDX29xE")</f>
        <v>1Km85kIYSTzG-NQHFDL8ZVRQQ0TKLUDOYsw-kdDX29xE</v>
      </c>
    </row>
    <row r="447" spans="1:3" ht="15.75" customHeight="1">
      <c r="A447" t="str">
        <f ca="1">IFERROR(__xludf.DUMMYFUNCTION("""COMPUTED_VALUE"""),"Allocation")</f>
        <v>Allocation</v>
      </c>
      <c r="B447" t="str">
        <f ca="1">IFERROR(__xludf.DUMMYFUNCTION("""COMPUTED_VALUE"""),"SetTradeAttributePreferences")</f>
        <v>SetTradeAttributePreferences</v>
      </c>
      <c r="C447" t="str">
        <f ca="1">IFERROR(__xludf.DUMMYFUNCTION("""COMPUTED_VALUE"""),"1jyPRPc_0lTWCpP9oldB5fgtg2dy3jSnXLkS_qYf40-I")</f>
        <v>1jyPRPc_0lTWCpP9oldB5fgtg2dy3jSnXLkS_qYf40-I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IFERROR(__xludf.DUMMYFUNCTION("""COMPUTED_VALUE"""),"VerifyAccountBalances")</f>
        <v>VerifyAccountBalances</v>
      </c>
      <c r="C448" t="str">
        <f ca="1">IFERROR(__xludf.DUMMYFUNCTION("""COMPUTED_VALUE"""),"1ym14EKcw7B3au8SvVteq2gmFR3cDcsMvQQEIm0TQjf4")</f>
        <v>1ym14EKcw7B3au8SvVteq2gmFR3cDcsMvQQEIm0TQjf4</v>
      </c>
    </row>
    <row r="449" spans="1:3" ht="15.75" customHeight="1">
      <c r="A449" t="str">
        <f ca="1">IFERROR(__xludf.DUMMYFUNCTION("""COMPUTED_VALUE"""),"Rebalancer")</f>
        <v>Rebalancer</v>
      </c>
      <c r="B449" t="str">
        <f ca="1">IFERROR(__xludf.DUMMYFUNCTION("""COMPUTED_VALUE"""),"RefreshGridData")</f>
        <v>RefreshGridData</v>
      </c>
      <c r="C449" t="str">
        <f ca="1">IFERROR(__xludf.DUMMYFUNCTION("""COMPUTED_VALUE"""),"1iFsjUbnYA0Jwd89eYQjg5OrnW3lr2WGVb5quimwHrRw")</f>
        <v>1iFsjUbnYA0Jwd89eYQjg5OrnW3lr2WGVb5quimwHrRw</v>
      </c>
    </row>
    <row r="450" spans="1:3" ht="15.75" customHeight="1">
      <c r="A450" t="str">
        <f ca="1">IFERROR(__xludf.DUMMYFUNCTION("""COMPUTED_VALUE"""),"GeneralLedger")</f>
        <v>GeneralLedger</v>
      </c>
      <c r="B450" t="str">
        <f ca="1">IFERROR(__xludf.DUMMYFUNCTION("""COMPUTED_VALUE"""),"AddMultipleOpeningBalTranItem")</f>
        <v>AddMultipleOpeningBalTranItem</v>
      </c>
      <c r="C450" t="str">
        <f ca="1">IFERROR(__xludf.DUMMYFUNCTION("""COMPUTED_VALUE"""),"14VkN8stineosylh8hvnYNK-GMxNG0uFZBKPjv00GOVc")</f>
        <v>14VkN8stineosylh8hvnYNK-GMxNG0uFZBKPjv00GOVc</v>
      </c>
    </row>
    <row r="451" spans="1:3" ht="15.75" customHeight="1">
      <c r="A451" t="str">
        <f ca="1">IFERROR(__xludf.DUMMYFUNCTION("""COMPUTED_VALUE"""),"Import")</f>
        <v>Import</v>
      </c>
      <c r="B451" t="str">
        <f ca="1">IFERROR(__xludf.DUMMYFUNCTION("""COMPUTED_VALUE"""),"ApplyFilterOnImport")</f>
        <v>ApplyFilterOnImport</v>
      </c>
      <c r="C451" t="str">
        <f ca="1">IFERROR(__xludf.DUMMYFUNCTION("""COMPUTED_VALUE"""),"1NbH6CrAG4P2-tfFJ5m9jUCbnHY9N7cAluffYy9kFrtg")</f>
        <v>1NbH6CrAG4P2-tfFJ5m9jUCbnHY9N7cAluffYy9kFrtg</v>
      </c>
    </row>
    <row r="452" spans="1:3" ht="15.75" customHeight="1"/>
    <row r="453" spans="1:3" ht="15.75" customHeight="1"/>
    <row r="454" spans="1:3" ht="15.75" customHeight="1"/>
    <row r="455" spans="1:3" ht="15.75" customHeight="1"/>
    <row r="456" spans="1:3" ht="15.75" customHeight="1"/>
    <row r="457" spans="1:3" ht="15.75" customHeight="1"/>
    <row r="458" spans="1:3" ht="15.75" customHeight="1"/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3" t="s">
        <v>2</v>
      </c>
      <c r="B1" s="31"/>
      <c r="C1" s="3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0" t="s">
        <v>7</v>
      </c>
      <c r="B1" s="31"/>
      <c r="C1" s="31"/>
      <c r="D1" s="31"/>
      <c r="E1" s="31"/>
      <c r="F1" s="3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IFERROR(__xludf.DUMMYFUNCTION("""COMPUTED_VALUE"""),"AttributeValue")</f>
        <v>AttributeValue</v>
      </c>
      <c r="C5" s="22" t="str">
        <f ca="1">IFERROR(__xludf.DUMMYFUNCTION("""COMPUTED_VALUE"""),"AttributeName")</f>
        <v>AttributeName</v>
      </c>
      <c r="D5" s="22" t="str">
        <f ca="1">IFERROR(__xludf.DUMMYFUNCTION("""COMPUTED_VALUE"""),"KeepRecord")</f>
        <v>KeepRecord</v>
      </c>
      <c r="E5" s="22" t="str">
        <f ca="1">IFERROR(__xludf.DUMMYFUNCTION("""COMPUTED_VALUE"""),"DefaultValues")</f>
        <v>DefaultValues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5"/>
      <c r="D6" s="7" t="b">
        <v>1</v>
      </c>
      <c r="E6" s="7" t="s">
        <v>17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5"/>
      <c r="D7" s="7" t="b">
        <v>1</v>
      </c>
      <c r="E7" s="7" t="s">
        <v>17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7" t="s">
        <v>19</v>
      </c>
      <c r="C8" s="5"/>
      <c r="D8" s="7" t="b">
        <v>1</v>
      </c>
      <c r="E8" s="7" t="s">
        <v>17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7" t="s">
        <v>20</v>
      </c>
      <c r="C9" s="5"/>
      <c r="D9" s="7" t="b">
        <v>1</v>
      </c>
      <c r="E9" s="7" t="s">
        <v>17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7" t="s">
        <v>21</v>
      </c>
      <c r="C10" s="5"/>
      <c r="D10" s="7" t="b">
        <v>1</v>
      </c>
      <c r="E10" s="7" t="s">
        <v>17</v>
      </c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7" t="s">
        <v>22</v>
      </c>
      <c r="C11" s="5"/>
      <c r="D11" s="7" t="b">
        <v>1</v>
      </c>
      <c r="E11" s="7" t="s">
        <v>17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26</v>
      </c>
      <c r="D6" s="7">
        <v>10</v>
      </c>
      <c r="E6" s="7">
        <v>10</v>
      </c>
      <c r="F6" s="7" t="s">
        <v>27</v>
      </c>
      <c r="G6" s="5"/>
      <c r="H6" s="5"/>
      <c r="I6" s="5"/>
      <c r="J6" s="7">
        <v>100</v>
      </c>
      <c r="K6" s="5"/>
      <c r="L6" s="5"/>
      <c r="M6" s="5"/>
      <c r="N6" s="5"/>
      <c r="O6" s="5"/>
      <c r="V6" s="6" t="s">
        <v>28</v>
      </c>
    </row>
    <row r="7" spans="1:154" ht="15.75" customHeight="1">
      <c r="A7" s="5"/>
      <c r="B7" s="7" t="s">
        <v>29</v>
      </c>
      <c r="C7" s="7" t="s">
        <v>26</v>
      </c>
      <c r="D7" s="7">
        <v>15</v>
      </c>
      <c r="E7" s="7">
        <v>15</v>
      </c>
      <c r="F7" s="7" t="s">
        <v>27</v>
      </c>
      <c r="G7" s="5"/>
      <c r="H7" s="5"/>
      <c r="I7" s="5"/>
      <c r="J7" s="7">
        <v>200</v>
      </c>
      <c r="K7" s="5"/>
      <c r="L7" s="5"/>
      <c r="M7" s="5"/>
      <c r="N7" s="5"/>
      <c r="O7" s="5"/>
      <c r="W7" s="6" t="s">
        <v>30</v>
      </c>
    </row>
    <row r="8" spans="1:154" ht="15.75" customHeight="1">
      <c r="A8" s="5"/>
      <c r="B8" s="7" t="s">
        <v>31</v>
      </c>
      <c r="C8" s="7" t="s">
        <v>26</v>
      </c>
      <c r="D8" s="7">
        <v>20</v>
      </c>
      <c r="E8" s="7">
        <v>20</v>
      </c>
      <c r="F8" s="7" t="s">
        <v>27</v>
      </c>
      <c r="G8" s="5"/>
      <c r="H8" s="5"/>
      <c r="I8" s="5"/>
      <c r="J8" s="7">
        <v>100</v>
      </c>
      <c r="K8" s="5"/>
      <c r="L8" s="5"/>
      <c r="M8" s="5"/>
      <c r="N8" s="5"/>
      <c r="O8" s="5"/>
      <c r="X8" s="6" t="s">
        <v>32</v>
      </c>
    </row>
    <row r="9" spans="1:154" ht="15.75" customHeight="1">
      <c r="A9" s="5"/>
      <c r="B9" s="7" t="s">
        <v>33</v>
      </c>
      <c r="C9" s="7" t="s">
        <v>26</v>
      </c>
      <c r="D9" s="7">
        <v>25</v>
      </c>
      <c r="E9" s="7">
        <v>25</v>
      </c>
      <c r="F9" s="7" t="s">
        <v>27</v>
      </c>
      <c r="G9" s="5"/>
      <c r="H9" s="5"/>
      <c r="I9" s="5"/>
      <c r="J9" s="7">
        <v>200</v>
      </c>
      <c r="K9" s="5"/>
      <c r="L9" s="5"/>
      <c r="M9" s="5"/>
      <c r="N9" s="5"/>
      <c r="O9" s="5"/>
      <c r="Y9" s="6" t="s">
        <v>34</v>
      </c>
    </row>
    <row r="10" spans="1:154" ht="15.75" customHeight="1">
      <c r="A10" s="5"/>
      <c r="B10" s="7" t="s">
        <v>35</v>
      </c>
      <c r="C10" s="7" t="s">
        <v>26</v>
      </c>
      <c r="D10" s="7">
        <v>30</v>
      </c>
      <c r="E10" s="7">
        <v>30</v>
      </c>
      <c r="F10" s="7" t="s">
        <v>27</v>
      </c>
      <c r="G10" s="5"/>
      <c r="H10" s="5"/>
      <c r="I10" s="5"/>
      <c r="J10" s="7">
        <v>100</v>
      </c>
      <c r="K10" s="5"/>
      <c r="L10" s="5"/>
      <c r="M10" s="5"/>
      <c r="N10" s="5"/>
      <c r="O10" s="5"/>
      <c r="Z10" s="6" t="s">
        <v>36</v>
      </c>
    </row>
    <row r="11" spans="1:154" ht="15.75" customHeight="1">
      <c r="A11" s="5"/>
      <c r="B11" s="7" t="s">
        <v>37</v>
      </c>
      <c r="C11" s="7" t="s">
        <v>26</v>
      </c>
      <c r="D11" s="7">
        <v>35</v>
      </c>
      <c r="E11" s="7">
        <v>35</v>
      </c>
      <c r="F11" s="7" t="s">
        <v>27</v>
      </c>
      <c r="G11" s="5"/>
      <c r="H11" s="5"/>
      <c r="I11" s="5"/>
      <c r="J11" s="7">
        <v>200</v>
      </c>
      <c r="K11" s="5"/>
      <c r="L11" s="5"/>
      <c r="M11" s="5"/>
      <c r="N11" s="5"/>
      <c r="O11" s="5"/>
      <c r="AA11" s="6" t="s">
        <v>28</v>
      </c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39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Price(Base)")</f>
        <v>Avg Price(Base)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IFERROR(__xludf.DUMMYFUNCTION("""COMPUTED_VALUE"""),"MasterFund")</f>
        <v>MasterFund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>
        <v>10</v>
      </c>
      <c r="E6" s="7" t="s">
        <v>27</v>
      </c>
      <c r="F6" s="7" t="s">
        <v>26</v>
      </c>
      <c r="G6" s="5"/>
      <c r="H6" s="5"/>
      <c r="I6" s="5"/>
      <c r="J6" s="7" t="s">
        <v>28</v>
      </c>
      <c r="K6" s="5"/>
      <c r="L6" s="5"/>
      <c r="M6" s="5"/>
      <c r="N6" s="5"/>
      <c r="O6" s="5"/>
    </row>
    <row r="7" spans="1:154" ht="15.75" customHeight="1">
      <c r="A7" s="5"/>
      <c r="B7" s="7" t="s">
        <v>29</v>
      </c>
      <c r="C7" s="7">
        <v>15</v>
      </c>
      <c r="E7" s="7" t="s">
        <v>27</v>
      </c>
      <c r="F7" s="7" t="s">
        <v>26</v>
      </c>
      <c r="G7" s="5"/>
      <c r="H7" s="5"/>
      <c r="I7" s="5"/>
      <c r="J7" s="5"/>
      <c r="K7" s="5"/>
      <c r="L7" s="7" t="s">
        <v>30</v>
      </c>
      <c r="M7" s="5"/>
      <c r="N7" s="5"/>
      <c r="O7" s="5"/>
    </row>
    <row r="8" spans="1:154" ht="15.75" customHeight="1">
      <c r="A8" s="5"/>
      <c r="B8" s="7" t="s">
        <v>31</v>
      </c>
      <c r="C8" s="7">
        <v>20</v>
      </c>
      <c r="E8" s="7" t="s">
        <v>27</v>
      </c>
      <c r="F8" s="7" t="s">
        <v>26</v>
      </c>
      <c r="G8" s="5"/>
      <c r="H8" s="5"/>
      <c r="I8" s="5"/>
      <c r="J8" s="5"/>
      <c r="K8" s="5"/>
      <c r="L8" s="5"/>
      <c r="M8" s="5"/>
      <c r="N8" s="5"/>
      <c r="O8" s="5"/>
      <c r="AL8" s="6" t="s">
        <v>32</v>
      </c>
    </row>
    <row r="9" spans="1:154" ht="15.75" customHeight="1">
      <c r="A9" s="5"/>
      <c r="B9" s="7" t="s">
        <v>33</v>
      </c>
      <c r="C9" s="7">
        <v>25</v>
      </c>
      <c r="E9" s="7" t="s">
        <v>27</v>
      </c>
      <c r="F9" s="7" t="s">
        <v>26</v>
      </c>
      <c r="G9" s="5"/>
      <c r="H9" s="5"/>
      <c r="I9" s="5"/>
      <c r="J9" s="5"/>
      <c r="K9" s="5"/>
      <c r="L9" s="5"/>
      <c r="M9" s="5"/>
      <c r="N9" s="5"/>
      <c r="O9" s="5"/>
      <c r="AM9" s="6" t="s">
        <v>34</v>
      </c>
    </row>
    <row r="10" spans="1:154" ht="15.75" customHeight="1">
      <c r="A10" s="5"/>
      <c r="B10" s="7" t="s">
        <v>35</v>
      </c>
      <c r="C10" s="7">
        <v>30</v>
      </c>
      <c r="E10" s="7" t="s">
        <v>27</v>
      </c>
      <c r="F10" s="7" t="s">
        <v>26</v>
      </c>
      <c r="G10" s="5"/>
      <c r="H10" s="5"/>
      <c r="I10" s="5"/>
      <c r="J10" s="5"/>
      <c r="K10" s="5"/>
      <c r="L10" s="5"/>
      <c r="M10" s="5"/>
      <c r="N10" s="5"/>
      <c r="O10" s="5"/>
      <c r="AN10" s="6" t="s">
        <v>36</v>
      </c>
    </row>
    <row r="11" spans="1:154" ht="15.75" customHeight="1">
      <c r="A11" s="5"/>
      <c r="B11" s="7" t="s">
        <v>37</v>
      </c>
      <c r="C11" s="7">
        <v>35</v>
      </c>
      <c r="E11" s="7" t="s">
        <v>27</v>
      </c>
      <c r="F11" s="7" t="s">
        <v>26</v>
      </c>
      <c r="G11" s="5"/>
      <c r="H11" s="5"/>
      <c r="I11" s="5"/>
      <c r="J11" s="5"/>
      <c r="K11" s="5"/>
      <c r="L11" s="5"/>
      <c r="M11" s="5"/>
      <c r="N11" s="5"/>
      <c r="O11" s="5"/>
      <c r="AO11" s="6" t="s">
        <v>28</v>
      </c>
    </row>
    <row r="12" spans="1:154" ht="15.75" customHeight="1">
      <c r="A12" s="5"/>
      <c r="B12" s="5"/>
      <c r="C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IFERROR(__xludf.DUMMYFUNCTION("""COMPUTED_VALUE"""),"TradeAttribute1")</f>
        <v>TradeAttribute1</v>
      </c>
      <c r="C5" s="22" t="str">
        <f ca="1">IFERROR(__xludf.DUMMYFUNCTION("""COMPUTED_VALUE"""),"TradeAttribute2")</f>
        <v>TradeAttribute2</v>
      </c>
      <c r="D5" s="22" t="str">
        <f ca="1">IFERROR(__xludf.DUMMYFUNCTION("""COMPUTED_VALUE"""),"TradeAttribute3")</f>
        <v>TradeAttribute3</v>
      </c>
      <c r="E5" s="22" t="str">
        <f ca="1">IFERROR(__xludf.DUMMYFUNCTION("""COMPUTED_VALUE"""),"TradeAttribute4")</f>
        <v>TradeAttribute4</v>
      </c>
      <c r="F5" s="23" t="str">
        <f ca="1">IFERROR(__xludf.DUMMYFUNCTION("""COMPUTED_VALUE"""),"TradeAttribute5")</f>
        <v>TradeAttribute5</v>
      </c>
      <c r="G5" s="22" t="str">
        <f ca="1">IFERROR(__xludf.DUMMYFUNCTION("""COMPUTED_VALUE"""),"TradeAttribute6")</f>
        <v>TradeAttribute6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7" t="s">
        <v>34</v>
      </c>
      <c r="D6" s="7" t="s">
        <v>36</v>
      </c>
      <c r="E6" s="7" t="s">
        <v>28</v>
      </c>
      <c r="F6" s="7" t="s">
        <v>30</v>
      </c>
      <c r="G6" s="7" t="s">
        <v>36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200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R6" s="6" t="s">
        <v>30</v>
      </c>
      <c r="AH6" s="6" t="s">
        <v>44</v>
      </c>
      <c r="AI6" s="6" t="s">
        <v>29</v>
      </c>
      <c r="AJ6" s="6" t="s">
        <v>26</v>
      </c>
      <c r="AK6" s="6" t="s">
        <v>45</v>
      </c>
      <c r="AL6" s="6">
        <v>15</v>
      </c>
      <c r="AM6" s="6">
        <v>15</v>
      </c>
      <c r="AN6" s="6">
        <v>100</v>
      </c>
      <c r="AO6" s="6">
        <v>15</v>
      </c>
      <c r="AQ6" s="7">
        <v>200</v>
      </c>
      <c r="AR6" s="7">
        <v>200</v>
      </c>
      <c r="AS6" s="6" t="s">
        <v>46</v>
      </c>
      <c r="AT6" s="6" t="s">
        <v>27</v>
      </c>
      <c r="AU6" s="6" t="s">
        <v>47</v>
      </c>
    </row>
    <row r="7" spans="1:154" ht="15.75" customHeight="1">
      <c r="A7" s="5"/>
      <c r="B7" s="5"/>
      <c r="C7" s="5"/>
      <c r="D7" s="7">
        <v>200</v>
      </c>
      <c r="E7" s="5"/>
      <c r="F7" s="5"/>
      <c r="G7" s="5"/>
      <c r="H7" s="5"/>
      <c r="I7" s="5"/>
      <c r="J7" s="5"/>
      <c r="K7" s="5"/>
      <c r="L7" s="5"/>
      <c r="M7" s="7" t="s">
        <v>28</v>
      </c>
      <c r="N7" s="5"/>
      <c r="O7" s="5"/>
      <c r="AH7" s="6" t="s">
        <v>44</v>
      </c>
      <c r="AI7" s="6" t="s">
        <v>37</v>
      </c>
      <c r="AJ7" s="6" t="s">
        <v>26</v>
      </c>
      <c r="AK7" s="6" t="s">
        <v>45</v>
      </c>
      <c r="AL7" s="6">
        <v>35</v>
      </c>
      <c r="AM7" s="6">
        <v>35</v>
      </c>
      <c r="AN7" s="6">
        <v>100</v>
      </c>
      <c r="AO7" s="6">
        <v>35</v>
      </c>
      <c r="AQ7" s="7">
        <v>200</v>
      </c>
      <c r="AR7" s="7">
        <v>200</v>
      </c>
      <c r="AS7" s="6" t="s">
        <v>46</v>
      </c>
      <c r="AT7" s="6" t="s">
        <v>27</v>
      </c>
      <c r="AU7" s="6" t="s">
        <v>47</v>
      </c>
    </row>
    <row r="8" spans="1:154" ht="15.75" customHeight="1">
      <c r="A8" s="5"/>
      <c r="B8" s="5"/>
      <c r="C8" s="5"/>
      <c r="D8" s="7">
        <v>200</v>
      </c>
      <c r="E8" s="5"/>
      <c r="F8" s="5"/>
      <c r="G8" s="5"/>
      <c r="H8" s="5"/>
      <c r="I8" s="5"/>
      <c r="J8" s="5"/>
      <c r="K8" s="5"/>
      <c r="L8" s="5"/>
      <c r="M8" s="5"/>
      <c r="N8" s="5"/>
      <c r="O8" s="7" t="s">
        <v>34</v>
      </c>
      <c r="AH8" s="6" t="s">
        <v>44</v>
      </c>
      <c r="AI8" s="6" t="s">
        <v>33</v>
      </c>
      <c r="AJ8" s="6" t="s">
        <v>26</v>
      </c>
      <c r="AK8" s="6" t="s">
        <v>45</v>
      </c>
      <c r="AL8" s="6">
        <v>25</v>
      </c>
      <c r="AM8" s="6">
        <v>25</v>
      </c>
      <c r="AN8" s="6">
        <v>100</v>
      </c>
      <c r="AO8" s="6">
        <v>25</v>
      </c>
      <c r="AQ8" s="7">
        <v>200</v>
      </c>
      <c r="AR8" s="7">
        <v>200</v>
      </c>
      <c r="AS8" s="6" t="s">
        <v>46</v>
      </c>
      <c r="AT8" s="6" t="s">
        <v>27</v>
      </c>
      <c r="AU8" s="6" t="s">
        <v>47</v>
      </c>
    </row>
    <row r="9" spans="1:154" ht="15.75" customHeight="1">
      <c r="A9" s="5"/>
      <c r="B9" s="5"/>
      <c r="C9" s="5"/>
      <c r="D9" s="7">
        <v>100</v>
      </c>
      <c r="E9" s="5"/>
      <c r="F9" s="5"/>
      <c r="G9" s="5"/>
      <c r="H9" s="5"/>
      <c r="I9" s="5"/>
      <c r="J9" s="5"/>
      <c r="K9" s="5"/>
      <c r="L9" s="5"/>
      <c r="M9" s="5"/>
      <c r="N9" s="7" t="s">
        <v>36</v>
      </c>
      <c r="O9" s="5"/>
      <c r="AH9" s="6" t="s">
        <v>44</v>
      </c>
      <c r="AI9" s="6" t="s">
        <v>35</v>
      </c>
      <c r="AJ9" s="6" t="s">
        <v>26</v>
      </c>
      <c r="AK9" s="6" t="s">
        <v>45</v>
      </c>
      <c r="AL9" s="6">
        <v>30</v>
      </c>
      <c r="AM9" s="6">
        <v>30</v>
      </c>
      <c r="AN9" s="6">
        <v>100</v>
      </c>
      <c r="AO9" s="6">
        <v>30</v>
      </c>
      <c r="AQ9" s="7">
        <v>100</v>
      </c>
      <c r="AR9" s="7">
        <v>100</v>
      </c>
      <c r="AS9" s="6" t="s">
        <v>46</v>
      </c>
      <c r="AT9" s="6" t="s">
        <v>27</v>
      </c>
      <c r="AU9" s="6" t="s">
        <v>47</v>
      </c>
    </row>
    <row r="10" spans="1:154" ht="15.75" customHeight="1">
      <c r="A10" s="5"/>
      <c r="B10" s="5"/>
      <c r="C10" s="5"/>
      <c r="D10" s="7">
        <v>100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">
        <v>32</v>
      </c>
      <c r="AH10" s="6" t="s">
        <v>44</v>
      </c>
      <c r="AI10" s="6" t="s">
        <v>31</v>
      </c>
      <c r="AJ10" s="6" t="s">
        <v>26</v>
      </c>
      <c r="AK10" s="6" t="s">
        <v>45</v>
      </c>
      <c r="AL10" s="6">
        <v>20</v>
      </c>
      <c r="AM10" s="6">
        <v>20</v>
      </c>
      <c r="AN10" s="6">
        <v>100</v>
      </c>
      <c r="AO10" s="6">
        <v>20</v>
      </c>
      <c r="AQ10" s="7">
        <v>100</v>
      </c>
      <c r="AR10" s="7">
        <v>100</v>
      </c>
      <c r="AS10" s="6" t="s">
        <v>46</v>
      </c>
      <c r="AT10" s="6" t="s">
        <v>27</v>
      </c>
      <c r="AU10" s="6" t="s">
        <v>47</v>
      </c>
    </row>
    <row r="11" spans="1:154" ht="15.75" customHeight="1">
      <c r="A11" s="5"/>
      <c r="B11" s="5"/>
      <c r="C11" s="5"/>
      <c r="D11" s="7">
        <v>100</v>
      </c>
      <c r="E11" s="5"/>
      <c r="F11" s="5"/>
      <c r="G11" s="5"/>
      <c r="H11" s="5"/>
      <c r="I11" s="5"/>
      <c r="J11" s="5"/>
      <c r="K11" s="5"/>
      <c r="L11" s="5"/>
      <c r="M11" s="7"/>
      <c r="N11" s="5"/>
      <c r="O11" s="5"/>
      <c r="Q11" s="6" t="s">
        <v>28</v>
      </c>
      <c r="AH11" s="6" t="s">
        <v>44</v>
      </c>
      <c r="AI11" s="6" t="s">
        <v>25</v>
      </c>
      <c r="AJ11" s="6" t="s">
        <v>26</v>
      </c>
      <c r="AK11" s="6" t="s">
        <v>45</v>
      </c>
      <c r="AL11" s="6">
        <v>10</v>
      </c>
      <c r="AM11" s="6">
        <v>10</v>
      </c>
      <c r="AN11" s="6">
        <v>100</v>
      </c>
      <c r="AO11" s="6">
        <v>10</v>
      </c>
      <c r="AQ11" s="7">
        <v>100</v>
      </c>
      <c r="AR11" s="7">
        <v>100</v>
      </c>
      <c r="AS11" s="6" t="s">
        <v>46</v>
      </c>
      <c r="AT11" s="6" t="s">
        <v>27</v>
      </c>
      <c r="AU11" s="6" t="s">
        <v>47</v>
      </c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42</v>
      </c>
      <c r="D3" s="2" t="s">
        <v>9</v>
      </c>
      <c r="E3" s="17" t="s">
        <v>48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25</v>
      </c>
      <c r="C6" s="7" t="s">
        <v>26</v>
      </c>
      <c r="D6" s="7">
        <v>10</v>
      </c>
      <c r="E6" s="25"/>
      <c r="F6" s="5"/>
      <c r="G6" s="6" t="s">
        <v>45</v>
      </c>
      <c r="H6" s="5"/>
      <c r="I6" s="7">
        <v>100</v>
      </c>
      <c r="J6" s="7">
        <v>100</v>
      </c>
      <c r="K6" s="6" t="s">
        <v>46</v>
      </c>
      <c r="L6" s="6" t="s">
        <v>27</v>
      </c>
      <c r="M6" s="6" t="s">
        <v>47</v>
      </c>
      <c r="N6" s="5"/>
      <c r="O6" s="7">
        <v>100</v>
      </c>
      <c r="AL6" s="6" t="s">
        <v>28</v>
      </c>
      <c r="AQ6" s="6" t="s">
        <v>36</v>
      </c>
    </row>
    <row r="7" spans="1:154" ht="15.75" customHeight="1">
      <c r="A7" s="5"/>
      <c r="B7" s="7" t="s">
        <v>29</v>
      </c>
      <c r="C7" s="7" t="s">
        <v>26</v>
      </c>
      <c r="D7" s="7">
        <v>15</v>
      </c>
      <c r="E7" s="5"/>
      <c r="F7" s="5"/>
      <c r="G7" s="6" t="s">
        <v>45</v>
      </c>
      <c r="H7" s="5"/>
      <c r="I7" s="7">
        <v>200</v>
      </c>
      <c r="J7" s="7">
        <v>200</v>
      </c>
      <c r="K7" s="6" t="s">
        <v>46</v>
      </c>
      <c r="L7" s="6" t="s">
        <v>27</v>
      </c>
      <c r="M7" s="6" t="s">
        <v>47</v>
      </c>
      <c r="N7" s="5"/>
      <c r="O7" s="7">
        <v>200</v>
      </c>
      <c r="AM7" s="6" t="s">
        <v>30</v>
      </c>
      <c r="AQ7" s="6" t="s">
        <v>36</v>
      </c>
    </row>
    <row r="8" spans="1:154" ht="15.75" customHeight="1">
      <c r="A8" s="5"/>
      <c r="B8" s="7" t="s">
        <v>31</v>
      </c>
      <c r="C8" s="7" t="s">
        <v>26</v>
      </c>
      <c r="D8" s="7">
        <v>20</v>
      </c>
      <c r="E8" s="5"/>
      <c r="F8" s="5"/>
      <c r="G8" s="6" t="s">
        <v>45</v>
      </c>
      <c r="H8" s="5"/>
      <c r="I8" s="7">
        <v>100</v>
      </c>
      <c r="J8" s="7">
        <v>100</v>
      </c>
      <c r="K8" s="6" t="s">
        <v>46</v>
      </c>
      <c r="L8" s="6" t="s">
        <v>27</v>
      </c>
      <c r="M8" s="6" t="s">
        <v>47</v>
      </c>
      <c r="N8" s="5"/>
      <c r="O8" s="7">
        <v>100</v>
      </c>
      <c r="AN8" s="6" t="s">
        <v>32</v>
      </c>
      <c r="AQ8" s="6" t="s">
        <v>36</v>
      </c>
    </row>
    <row r="9" spans="1:154" ht="15.75" customHeight="1">
      <c r="A9" s="5"/>
      <c r="B9" s="7" t="s">
        <v>33</v>
      </c>
      <c r="C9" s="7" t="s">
        <v>26</v>
      </c>
      <c r="D9" s="7">
        <v>25</v>
      </c>
      <c r="E9" s="5"/>
      <c r="F9" s="5"/>
      <c r="G9" s="6" t="s">
        <v>45</v>
      </c>
      <c r="H9" s="5"/>
      <c r="I9" s="7">
        <v>200</v>
      </c>
      <c r="J9" s="7">
        <v>200</v>
      </c>
      <c r="K9" s="6" t="s">
        <v>46</v>
      </c>
      <c r="L9" s="6" t="s">
        <v>27</v>
      </c>
      <c r="M9" s="6" t="s">
        <v>47</v>
      </c>
      <c r="N9" s="5"/>
      <c r="O9" s="7">
        <v>200</v>
      </c>
      <c r="AO9" s="6" t="s">
        <v>34</v>
      </c>
      <c r="AQ9" s="6" t="s">
        <v>36</v>
      </c>
    </row>
    <row r="10" spans="1:154" ht="15.75" customHeight="1">
      <c r="A10" s="5"/>
      <c r="B10" s="7" t="s">
        <v>35</v>
      </c>
      <c r="C10" s="7" t="s">
        <v>26</v>
      </c>
      <c r="D10" s="7">
        <v>30</v>
      </c>
      <c r="E10" s="5"/>
      <c r="F10" s="5"/>
      <c r="G10" s="6" t="s">
        <v>45</v>
      </c>
      <c r="H10" s="5"/>
      <c r="I10" s="7">
        <v>100</v>
      </c>
      <c r="J10" s="7">
        <v>100</v>
      </c>
      <c r="K10" s="6" t="s">
        <v>46</v>
      </c>
      <c r="L10" s="6" t="s">
        <v>27</v>
      </c>
      <c r="M10" s="6" t="s">
        <v>47</v>
      </c>
      <c r="N10" s="5"/>
      <c r="O10" s="7">
        <v>100</v>
      </c>
      <c r="AP10" s="6" t="s">
        <v>36</v>
      </c>
      <c r="AQ10" s="6" t="s">
        <v>36</v>
      </c>
    </row>
    <row r="11" spans="1:154" ht="15.75" customHeight="1">
      <c r="A11" s="5"/>
      <c r="B11" s="7" t="s">
        <v>37</v>
      </c>
      <c r="C11" s="7" t="s">
        <v>26</v>
      </c>
      <c r="D11" s="7">
        <v>35</v>
      </c>
      <c r="E11" s="5"/>
      <c r="F11" s="5"/>
      <c r="G11" s="6" t="s">
        <v>45</v>
      </c>
      <c r="H11" s="5"/>
      <c r="I11" s="7">
        <v>200</v>
      </c>
      <c r="J11" s="7">
        <v>200</v>
      </c>
      <c r="K11" s="6" t="s">
        <v>46</v>
      </c>
      <c r="L11" s="6" t="s">
        <v>27</v>
      </c>
      <c r="M11" s="6" t="s">
        <v>47</v>
      </c>
      <c r="N11" s="5"/>
      <c r="O11" s="7">
        <v>200</v>
      </c>
      <c r="AQ11" s="6" t="s">
        <v>36</v>
      </c>
    </row>
    <row r="12" spans="1:154" ht="15.75" customHeight="1">
      <c r="A12" s="5"/>
      <c r="B12" s="5"/>
      <c r="C12" s="5"/>
      <c r="D12" s="5"/>
      <c r="E12" s="5"/>
      <c r="F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 t="s">
        <v>27</v>
      </c>
      <c r="D6" s="27">
        <v>0</v>
      </c>
      <c r="E6" s="27">
        <v>10</v>
      </c>
      <c r="F6" s="5"/>
      <c r="G6" s="5"/>
      <c r="H6" s="27">
        <v>4</v>
      </c>
      <c r="I6" s="27">
        <v>5</v>
      </c>
      <c r="J6" s="5"/>
      <c r="K6" s="27">
        <v>100</v>
      </c>
      <c r="L6" s="27">
        <v>100</v>
      </c>
      <c r="M6" s="5"/>
      <c r="N6" s="5"/>
      <c r="O6" s="5"/>
      <c r="R6" s="27">
        <v>0</v>
      </c>
      <c r="S6" s="28" t="s">
        <v>50</v>
      </c>
      <c r="T6" s="27">
        <v>0</v>
      </c>
      <c r="U6" s="27">
        <v>0</v>
      </c>
      <c r="Z6" s="28" t="s">
        <v>51</v>
      </c>
      <c r="AE6" s="27">
        <v>10</v>
      </c>
      <c r="AH6" s="28" t="s">
        <v>52</v>
      </c>
      <c r="AI6" s="27">
        <v>1</v>
      </c>
      <c r="AT6" s="27">
        <v>1014.0006</v>
      </c>
      <c r="AU6" s="27">
        <v>1014.0006</v>
      </c>
      <c r="AW6" s="27">
        <v>0</v>
      </c>
      <c r="AX6" s="27">
        <v>0</v>
      </c>
      <c r="AZ6" s="27">
        <v>0</v>
      </c>
      <c r="BE6" s="27">
        <v>1000</v>
      </c>
      <c r="BF6" s="27">
        <v>1000</v>
      </c>
      <c r="BJ6" s="6">
        <v>10</v>
      </c>
      <c r="BO6" s="6" t="s">
        <v>26</v>
      </c>
      <c r="BT6" s="28" t="s">
        <v>25</v>
      </c>
      <c r="BY6" s="28" t="s">
        <v>32</v>
      </c>
      <c r="BZ6" s="28" t="s">
        <v>34</v>
      </c>
      <c r="CA6" s="28" t="s">
        <v>36</v>
      </c>
      <c r="CB6" s="28" t="s">
        <v>28</v>
      </c>
      <c r="CC6" s="28" t="s">
        <v>30</v>
      </c>
      <c r="CD6" s="28" t="s">
        <v>36</v>
      </c>
    </row>
    <row r="7" spans="1:154" ht="15.75" customHeight="1">
      <c r="A7" s="5"/>
      <c r="B7" s="28" t="s">
        <v>27</v>
      </c>
      <c r="D7" s="27">
        <v>0</v>
      </c>
      <c r="E7" s="27">
        <v>15</v>
      </c>
      <c r="F7" s="5"/>
      <c r="G7" s="5"/>
      <c r="H7" s="27">
        <v>4</v>
      </c>
      <c r="I7" s="27">
        <v>5</v>
      </c>
      <c r="J7" s="5"/>
      <c r="K7" s="27">
        <v>200</v>
      </c>
      <c r="L7" s="27">
        <v>200</v>
      </c>
      <c r="M7" s="5"/>
      <c r="N7" s="5"/>
      <c r="O7" s="5"/>
      <c r="R7" s="27">
        <v>0</v>
      </c>
      <c r="S7" s="28" t="s">
        <v>50</v>
      </c>
      <c r="T7" s="27">
        <v>0</v>
      </c>
      <c r="U7" s="27">
        <v>0</v>
      </c>
      <c r="Z7" s="28" t="s">
        <v>51</v>
      </c>
      <c r="AE7" s="27">
        <v>15</v>
      </c>
      <c r="AH7" s="28" t="s">
        <v>52</v>
      </c>
      <c r="AI7" s="27">
        <v>1</v>
      </c>
      <c r="AT7" s="27">
        <v>3014.0016999999998</v>
      </c>
      <c r="AU7" s="27">
        <v>3014.0016999999998</v>
      </c>
      <c r="AW7" s="27">
        <v>0</v>
      </c>
      <c r="AX7" s="27">
        <v>0</v>
      </c>
      <c r="AZ7" s="27">
        <v>0</v>
      </c>
      <c r="BE7" s="27">
        <v>3000</v>
      </c>
      <c r="BF7" s="27">
        <v>3000</v>
      </c>
      <c r="BJ7" s="6">
        <v>15</v>
      </c>
      <c r="BO7" s="6" t="s">
        <v>26</v>
      </c>
      <c r="BT7" s="28" t="s">
        <v>29</v>
      </c>
      <c r="BY7" s="28" t="s">
        <v>32</v>
      </c>
      <c r="BZ7" s="28" t="s">
        <v>34</v>
      </c>
      <c r="CA7" s="28" t="s">
        <v>36</v>
      </c>
      <c r="CB7" s="28" t="s">
        <v>28</v>
      </c>
      <c r="CC7" s="28" t="s">
        <v>30</v>
      </c>
      <c r="CD7" s="28" t="s">
        <v>36</v>
      </c>
    </row>
    <row r="8" spans="1:154" ht="15.75" customHeight="1">
      <c r="A8" s="5"/>
      <c r="B8" s="28" t="s">
        <v>27</v>
      </c>
      <c r="D8" s="27">
        <v>0</v>
      </c>
      <c r="E8" s="27">
        <v>20</v>
      </c>
      <c r="F8" s="5"/>
      <c r="G8" s="5"/>
      <c r="H8" s="27">
        <v>18</v>
      </c>
      <c r="I8" s="27">
        <v>0</v>
      </c>
      <c r="J8" s="5"/>
      <c r="K8" s="27">
        <v>100</v>
      </c>
      <c r="L8" s="27">
        <v>100</v>
      </c>
      <c r="M8" s="5"/>
      <c r="N8" s="5"/>
      <c r="O8" s="5"/>
      <c r="R8" s="27">
        <v>0</v>
      </c>
      <c r="S8" s="28" t="s">
        <v>50</v>
      </c>
      <c r="T8" s="27">
        <v>0</v>
      </c>
      <c r="U8" s="27">
        <v>0</v>
      </c>
      <c r="Z8" s="28" t="s">
        <v>51</v>
      </c>
      <c r="AE8" s="27">
        <v>20</v>
      </c>
      <c r="AH8" s="28" t="s">
        <v>52</v>
      </c>
      <c r="AI8" s="27">
        <v>1</v>
      </c>
      <c r="AT8" s="27">
        <v>2019.35</v>
      </c>
      <c r="AU8" s="27">
        <v>2019.35</v>
      </c>
      <c r="AW8" s="27">
        <v>0</v>
      </c>
      <c r="AX8" s="27">
        <v>0</v>
      </c>
      <c r="AZ8" s="27">
        <v>0</v>
      </c>
      <c r="BE8" s="27">
        <v>2000</v>
      </c>
      <c r="BF8" s="27">
        <v>2000</v>
      </c>
      <c r="BJ8" s="6">
        <v>20</v>
      </c>
      <c r="BO8" s="6" t="s">
        <v>26</v>
      </c>
      <c r="BT8" s="28" t="s">
        <v>31</v>
      </c>
      <c r="BY8" s="28" t="s">
        <v>32</v>
      </c>
      <c r="BZ8" s="28" t="s">
        <v>34</v>
      </c>
      <c r="CA8" s="28" t="s">
        <v>36</v>
      </c>
      <c r="CB8" s="28" t="s">
        <v>28</v>
      </c>
      <c r="CC8" s="28" t="s">
        <v>30</v>
      </c>
      <c r="CD8" s="28" t="s">
        <v>36</v>
      </c>
    </row>
    <row r="9" spans="1:154" ht="15.75" customHeight="1">
      <c r="A9" s="5"/>
      <c r="B9" s="28" t="s">
        <v>27</v>
      </c>
      <c r="D9" s="27">
        <v>0</v>
      </c>
      <c r="E9" s="27">
        <v>25</v>
      </c>
      <c r="F9" s="5"/>
      <c r="G9" s="5"/>
      <c r="H9" s="27">
        <v>45</v>
      </c>
      <c r="I9" s="27">
        <v>0</v>
      </c>
      <c r="J9" s="5"/>
      <c r="K9" s="27">
        <v>200</v>
      </c>
      <c r="L9" s="27">
        <v>200</v>
      </c>
      <c r="M9" s="5"/>
      <c r="N9" s="5"/>
      <c r="O9" s="5"/>
      <c r="R9" s="27">
        <v>0</v>
      </c>
      <c r="S9" s="28" t="s">
        <v>50</v>
      </c>
      <c r="T9" s="27">
        <v>0</v>
      </c>
      <c r="U9" s="27">
        <v>0</v>
      </c>
      <c r="Z9" s="28" t="s">
        <v>51</v>
      </c>
      <c r="AE9" s="27">
        <v>25</v>
      </c>
      <c r="AH9" s="28" t="s">
        <v>52</v>
      </c>
      <c r="AI9" s="27">
        <v>1</v>
      </c>
      <c r="AT9" s="27">
        <v>5046.875</v>
      </c>
      <c r="AU9" s="27">
        <v>5046.875</v>
      </c>
      <c r="AW9" s="27">
        <v>0</v>
      </c>
      <c r="AX9" s="27">
        <v>0</v>
      </c>
      <c r="AZ9" s="27">
        <v>0</v>
      </c>
      <c r="BE9" s="27">
        <v>5000</v>
      </c>
      <c r="BF9" s="27">
        <v>5000</v>
      </c>
      <c r="BJ9" s="6">
        <v>25</v>
      </c>
      <c r="BO9" s="6" t="s">
        <v>26</v>
      </c>
      <c r="BT9" s="28" t="s">
        <v>33</v>
      </c>
      <c r="BY9" s="28" t="s">
        <v>32</v>
      </c>
      <c r="BZ9" s="28" t="s">
        <v>34</v>
      </c>
      <c r="CA9" s="28" t="s">
        <v>36</v>
      </c>
      <c r="CB9" s="28" t="s">
        <v>28</v>
      </c>
      <c r="CC9" s="28" t="s">
        <v>30</v>
      </c>
      <c r="CD9" s="28" t="s">
        <v>36</v>
      </c>
    </row>
    <row r="10" spans="1:154" ht="15.75" customHeight="1">
      <c r="A10" s="5"/>
      <c r="B10" s="28" t="s">
        <v>27</v>
      </c>
      <c r="D10" s="27">
        <v>0</v>
      </c>
      <c r="E10" s="27">
        <v>30</v>
      </c>
      <c r="F10" s="5"/>
      <c r="G10" s="5"/>
      <c r="H10" s="27">
        <v>27</v>
      </c>
      <c r="I10" s="27">
        <v>0</v>
      </c>
      <c r="J10" s="5"/>
      <c r="K10" s="27">
        <v>100</v>
      </c>
      <c r="L10" s="27">
        <v>100</v>
      </c>
      <c r="M10" s="5"/>
      <c r="N10" s="5"/>
      <c r="O10" s="5"/>
      <c r="R10" s="27">
        <v>0</v>
      </c>
      <c r="S10" s="28" t="s">
        <v>50</v>
      </c>
      <c r="T10" s="27">
        <v>0</v>
      </c>
      <c r="U10" s="27">
        <v>0</v>
      </c>
      <c r="Z10" s="28" t="s">
        <v>51</v>
      </c>
      <c r="AE10" s="27">
        <v>30</v>
      </c>
      <c r="AH10" s="28" t="s">
        <v>52</v>
      </c>
      <c r="AI10" s="27">
        <v>1</v>
      </c>
      <c r="AT10" s="27">
        <v>3028.5250000000001</v>
      </c>
      <c r="AU10" s="27">
        <v>3028.5250000000001</v>
      </c>
      <c r="AW10" s="27">
        <v>0</v>
      </c>
      <c r="AX10" s="27">
        <v>0</v>
      </c>
      <c r="AZ10" s="27">
        <v>0</v>
      </c>
      <c r="BE10" s="27">
        <v>3000</v>
      </c>
      <c r="BF10" s="27">
        <v>3000</v>
      </c>
      <c r="BJ10" s="6">
        <v>30</v>
      </c>
      <c r="BO10" s="6" t="s">
        <v>26</v>
      </c>
      <c r="BT10" s="28" t="s">
        <v>35</v>
      </c>
      <c r="BY10" s="28" t="s">
        <v>32</v>
      </c>
      <c r="BZ10" s="28" t="s">
        <v>34</v>
      </c>
      <c r="CA10" s="28" t="s">
        <v>36</v>
      </c>
      <c r="CB10" s="28" t="s">
        <v>28</v>
      </c>
      <c r="CC10" s="28" t="s">
        <v>30</v>
      </c>
      <c r="CD10" s="28" t="s">
        <v>36</v>
      </c>
    </row>
    <row r="11" spans="1:154" ht="15.75" customHeight="1">
      <c r="A11" s="5"/>
      <c r="B11" s="28" t="s">
        <v>27</v>
      </c>
      <c r="D11" s="27">
        <v>0</v>
      </c>
      <c r="E11" s="27">
        <v>35</v>
      </c>
      <c r="F11" s="5"/>
      <c r="G11" s="5"/>
      <c r="H11" s="27">
        <v>63</v>
      </c>
      <c r="I11" s="27">
        <v>0</v>
      </c>
      <c r="J11" s="5"/>
      <c r="K11" s="27">
        <v>200</v>
      </c>
      <c r="L11" s="27">
        <v>200</v>
      </c>
      <c r="M11" s="5"/>
      <c r="N11" s="5"/>
      <c r="O11" s="5"/>
      <c r="R11" s="27">
        <v>0</v>
      </c>
      <c r="S11" s="28" t="s">
        <v>50</v>
      </c>
      <c r="T11" s="27">
        <v>0</v>
      </c>
      <c r="U11" s="27">
        <v>0</v>
      </c>
      <c r="Z11" s="28" t="s">
        <v>51</v>
      </c>
      <c r="AE11" s="27">
        <v>35</v>
      </c>
      <c r="AH11" s="28" t="s">
        <v>52</v>
      </c>
      <c r="AI11" s="27">
        <v>1</v>
      </c>
      <c r="AT11" s="27">
        <v>7065.2250000000004</v>
      </c>
      <c r="AU11" s="27">
        <v>7065.2250000000004</v>
      </c>
      <c r="AW11" s="27">
        <v>0</v>
      </c>
      <c r="AX11" s="27">
        <v>0</v>
      </c>
      <c r="AZ11" s="27">
        <v>0</v>
      </c>
      <c r="BE11" s="27">
        <v>7000</v>
      </c>
      <c r="BF11" s="27">
        <v>7000</v>
      </c>
      <c r="BJ11" s="6">
        <v>35</v>
      </c>
      <c r="BO11" s="6" t="s">
        <v>26</v>
      </c>
      <c r="BT11" s="28" t="s">
        <v>37</v>
      </c>
      <c r="BY11" s="28" t="s">
        <v>32</v>
      </c>
      <c r="BZ11" s="28" t="s">
        <v>34</v>
      </c>
      <c r="CA11" s="28" t="s">
        <v>36</v>
      </c>
      <c r="CB11" s="28" t="s">
        <v>28</v>
      </c>
      <c r="CC11" s="28" t="s">
        <v>30</v>
      </c>
      <c r="CD11" s="28" t="s">
        <v>36</v>
      </c>
    </row>
    <row r="12" spans="1:154" ht="15.75" customHeight="1">
      <c r="A12" s="5"/>
      <c r="B12" s="28"/>
      <c r="D12" s="28"/>
      <c r="E12" s="5"/>
      <c r="F12" s="5"/>
      <c r="G12" s="5"/>
      <c r="H12" s="5"/>
      <c r="I12" s="5"/>
      <c r="J12" s="5"/>
      <c r="K12" s="28"/>
      <c r="L12" s="28"/>
      <c r="M12" s="5"/>
      <c r="N12" s="5"/>
      <c r="O12" s="5"/>
      <c r="R12" s="28"/>
      <c r="S12" s="28"/>
      <c r="T12" s="28"/>
      <c r="U12" s="28"/>
      <c r="AI12" s="28"/>
      <c r="BE12" s="28"/>
      <c r="BF12" s="28"/>
      <c r="BT12" s="28"/>
      <c r="BY12" s="28"/>
      <c r="BZ12" s="28"/>
      <c r="CA12" s="28"/>
      <c r="CB12" s="28"/>
      <c r="CC12" s="28"/>
      <c r="CD12" s="28"/>
    </row>
    <row r="13" spans="1:154" ht="15.75" customHeight="1">
      <c r="A13" s="5"/>
      <c r="B13" s="5"/>
      <c r="D13" s="5"/>
      <c r="E13" s="5"/>
      <c r="F13" s="5"/>
      <c r="G13" s="5"/>
      <c r="H13" s="5"/>
      <c r="I13" s="5"/>
      <c r="J13" s="5"/>
      <c r="K13" s="28"/>
      <c r="L13" s="28"/>
      <c r="M13" s="5"/>
      <c r="N13" s="5"/>
      <c r="O13" s="5"/>
      <c r="BE13" s="28"/>
      <c r="BF13" s="28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BE14" s="28"/>
      <c r="BF14" s="28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53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57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25</v>
      </c>
      <c r="D6" s="7">
        <v>10</v>
      </c>
      <c r="E6" s="6" t="s">
        <v>27</v>
      </c>
      <c r="F6" s="5"/>
      <c r="G6" s="5"/>
      <c r="H6" s="6" t="s">
        <v>55</v>
      </c>
      <c r="I6" s="5"/>
      <c r="J6" s="5"/>
      <c r="K6" s="5"/>
      <c r="L6" s="5"/>
      <c r="M6" s="5"/>
      <c r="N6" s="29">
        <v>-1000</v>
      </c>
      <c r="O6" s="5"/>
      <c r="Q6" s="29">
        <v>-1000</v>
      </c>
      <c r="T6" s="6" t="s">
        <v>44</v>
      </c>
      <c r="U6" s="6" t="s">
        <v>56</v>
      </c>
      <c r="W6" s="6" t="s">
        <v>51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</v>
      </c>
      <c r="AG6" s="6">
        <v>0</v>
      </c>
      <c r="AH6" s="6">
        <v>0</v>
      </c>
      <c r="AI6" s="6">
        <v>0</v>
      </c>
      <c r="AJ6" s="6">
        <v>0</v>
      </c>
      <c r="AK6" s="29">
        <v>-1000</v>
      </c>
      <c r="AN6" s="6" t="s">
        <v>26</v>
      </c>
      <c r="AP6" s="6" t="s">
        <v>55</v>
      </c>
      <c r="AW6" s="29">
        <v>-1000</v>
      </c>
      <c r="AX6" s="6">
        <v>0</v>
      </c>
      <c r="AY6" s="6">
        <v>0</v>
      </c>
      <c r="AZ6" s="6">
        <v>0</v>
      </c>
      <c r="BJ6" s="6">
        <v>0</v>
      </c>
      <c r="BK6" s="6">
        <v>0</v>
      </c>
      <c r="BL6" s="6">
        <v>0</v>
      </c>
      <c r="BM6" s="6">
        <v>0</v>
      </c>
      <c r="BO6" s="29">
        <v>-1000</v>
      </c>
      <c r="BP6" s="6">
        <v>0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D6" s="29">
        <v>-1000</v>
      </c>
      <c r="CE6" s="6">
        <v>0</v>
      </c>
      <c r="CF6" s="6">
        <v>0</v>
      </c>
      <c r="CG6" s="29">
        <v>-1000</v>
      </c>
      <c r="DE6" s="6">
        <v>0</v>
      </c>
      <c r="DF6" s="6">
        <v>0</v>
      </c>
      <c r="DG6" s="6">
        <v>0</v>
      </c>
      <c r="DJ6" s="6" t="s">
        <v>26</v>
      </c>
      <c r="EY6" s="6" t="s">
        <v>28</v>
      </c>
    </row>
    <row r="7" spans="1:167" ht="15.75" customHeight="1">
      <c r="A7" s="5"/>
      <c r="B7" s="5"/>
      <c r="C7" s="7" t="s">
        <v>29</v>
      </c>
      <c r="D7" s="7">
        <v>15</v>
      </c>
      <c r="E7" s="6" t="s">
        <v>27</v>
      </c>
      <c r="F7" s="5"/>
      <c r="G7" s="5"/>
      <c r="H7" s="6" t="s">
        <v>55</v>
      </c>
      <c r="I7" s="5"/>
      <c r="J7" s="5"/>
      <c r="K7" s="5"/>
      <c r="L7" s="5"/>
      <c r="M7" s="5"/>
      <c r="N7" s="29">
        <v>-3000</v>
      </c>
      <c r="O7" s="5"/>
      <c r="Q7" s="29">
        <v>-3000</v>
      </c>
      <c r="T7" s="6" t="s">
        <v>44</v>
      </c>
      <c r="U7" s="6" t="s">
        <v>56</v>
      </c>
      <c r="W7" s="6" t="s">
        <v>51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15</v>
      </c>
      <c r="AG7" s="6">
        <v>0</v>
      </c>
      <c r="AH7" s="6">
        <v>0</v>
      </c>
      <c r="AI7" s="6">
        <v>0</v>
      </c>
      <c r="AJ7" s="6">
        <v>0</v>
      </c>
      <c r="AK7" s="29">
        <v>-3000</v>
      </c>
      <c r="AN7" s="6" t="s">
        <v>26</v>
      </c>
      <c r="AP7" s="6" t="s">
        <v>55</v>
      </c>
      <c r="AW7" s="29">
        <v>-3000</v>
      </c>
      <c r="AX7" s="6">
        <v>0</v>
      </c>
      <c r="AY7" s="6">
        <v>0</v>
      </c>
      <c r="AZ7" s="6">
        <v>0</v>
      </c>
      <c r="BJ7" s="6">
        <v>0</v>
      </c>
      <c r="BK7" s="6">
        <v>0</v>
      </c>
      <c r="BL7" s="6">
        <v>0</v>
      </c>
      <c r="BM7" s="6">
        <v>0</v>
      </c>
      <c r="BO7" s="29">
        <v>-3000</v>
      </c>
      <c r="BP7" s="6">
        <v>0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D7" s="29">
        <v>-3000</v>
      </c>
      <c r="CE7" s="6">
        <v>0</v>
      </c>
      <c r="CF7" s="6">
        <v>0</v>
      </c>
      <c r="CG7" s="29">
        <v>-3000</v>
      </c>
      <c r="DE7" s="6">
        <v>0</v>
      </c>
      <c r="DF7" s="6">
        <v>0</v>
      </c>
      <c r="DG7" s="6">
        <v>0</v>
      </c>
      <c r="DJ7" s="6" t="s">
        <v>26</v>
      </c>
      <c r="EZ7" s="6" t="s">
        <v>30</v>
      </c>
    </row>
    <row r="8" spans="1:167" ht="15.75" customHeight="1">
      <c r="A8" s="5"/>
      <c r="B8" s="5"/>
      <c r="C8" s="7" t="s">
        <v>31</v>
      </c>
      <c r="D8" s="7">
        <v>20</v>
      </c>
      <c r="E8" s="6" t="s">
        <v>27</v>
      </c>
      <c r="F8" s="5"/>
      <c r="G8" s="5"/>
      <c r="H8" s="6" t="s">
        <v>55</v>
      </c>
      <c r="I8" s="5"/>
      <c r="J8" s="5"/>
      <c r="K8" s="5"/>
      <c r="L8" s="5"/>
      <c r="M8" s="5"/>
      <c r="N8" s="29">
        <v>-2000</v>
      </c>
      <c r="O8" s="5"/>
      <c r="Q8" s="29">
        <v>-2000</v>
      </c>
      <c r="T8" s="6" t="s">
        <v>44</v>
      </c>
      <c r="U8" s="6" t="s">
        <v>56</v>
      </c>
      <c r="W8" s="6" t="s">
        <v>51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20</v>
      </c>
      <c r="AG8" s="6">
        <v>0</v>
      </c>
      <c r="AH8" s="6">
        <v>0</v>
      </c>
      <c r="AI8" s="6">
        <v>0</v>
      </c>
      <c r="AJ8" s="6">
        <v>0</v>
      </c>
      <c r="AK8" s="29">
        <v>-2000</v>
      </c>
      <c r="AN8" s="6" t="s">
        <v>26</v>
      </c>
      <c r="AP8" s="6" t="s">
        <v>55</v>
      </c>
      <c r="AW8" s="29">
        <v>-2000</v>
      </c>
      <c r="AX8" s="6">
        <v>0</v>
      </c>
      <c r="AY8" s="6">
        <v>0</v>
      </c>
      <c r="AZ8" s="6">
        <v>0</v>
      </c>
      <c r="BJ8" s="6">
        <v>0</v>
      </c>
      <c r="BK8" s="6">
        <v>0</v>
      </c>
      <c r="BL8" s="6">
        <v>0</v>
      </c>
      <c r="BM8" s="6">
        <v>0</v>
      </c>
      <c r="BO8" s="29">
        <v>-2000</v>
      </c>
      <c r="BP8" s="6">
        <v>0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D8" s="29">
        <v>-2000</v>
      </c>
      <c r="CE8" s="6">
        <v>0</v>
      </c>
      <c r="CF8" s="6">
        <v>0</v>
      </c>
      <c r="CG8" s="29">
        <v>-2000</v>
      </c>
      <c r="CT8" s="6" t="s">
        <v>32</v>
      </c>
      <c r="DE8" s="6">
        <v>0</v>
      </c>
      <c r="DF8" s="6">
        <v>0</v>
      </c>
      <c r="DG8" s="6">
        <v>0</v>
      </c>
      <c r="DJ8" s="6" t="s">
        <v>26</v>
      </c>
    </row>
    <row r="9" spans="1:167" ht="15.75" customHeight="1">
      <c r="A9" s="5"/>
      <c r="B9" s="5"/>
      <c r="C9" s="7" t="s">
        <v>33</v>
      </c>
      <c r="D9" s="7">
        <v>25</v>
      </c>
      <c r="E9" s="6" t="s">
        <v>27</v>
      </c>
      <c r="F9" s="5"/>
      <c r="G9" s="5"/>
      <c r="H9" s="6" t="s">
        <v>55</v>
      </c>
      <c r="I9" s="5"/>
      <c r="J9" s="5"/>
      <c r="K9" s="5"/>
      <c r="L9" s="5"/>
      <c r="M9" s="5"/>
      <c r="N9" s="29">
        <v>-5000</v>
      </c>
      <c r="O9" s="5"/>
      <c r="Q9" s="29">
        <v>-5000</v>
      </c>
      <c r="T9" s="6" t="s">
        <v>44</v>
      </c>
      <c r="U9" s="6" t="s">
        <v>56</v>
      </c>
      <c r="W9" s="6" t="s">
        <v>51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25</v>
      </c>
      <c r="AG9" s="6">
        <v>0</v>
      </c>
      <c r="AH9" s="6">
        <v>0</v>
      </c>
      <c r="AI9" s="6">
        <v>0</v>
      </c>
      <c r="AJ9" s="6">
        <v>0</v>
      </c>
      <c r="AK9" s="29">
        <v>-5000</v>
      </c>
      <c r="AN9" s="6" t="s">
        <v>26</v>
      </c>
      <c r="AP9" s="6" t="s">
        <v>55</v>
      </c>
      <c r="AW9" s="29">
        <v>-5000</v>
      </c>
      <c r="AX9" s="6">
        <v>0</v>
      </c>
      <c r="AY9" s="6">
        <v>0</v>
      </c>
      <c r="AZ9" s="6">
        <v>0</v>
      </c>
      <c r="BJ9" s="6">
        <v>0</v>
      </c>
      <c r="BK9" s="6">
        <v>0</v>
      </c>
      <c r="BL9" s="6">
        <v>0</v>
      </c>
      <c r="BM9" s="6">
        <v>0</v>
      </c>
      <c r="BO9" s="29">
        <v>-5000</v>
      </c>
      <c r="BP9" s="6">
        <v>0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D9" s="29">
        <v>-5000</v>
      </c>
      <c r="CE9" s="6">
        <v>0</v>
      </c>
      <c r="CF9" s="6">
        <v>0</v>
      </c>
      <c r="CG9" s="29">
        <v>-5000</v>
      </c>
      <c r="CU9" s="6" t="s">
        <v>34</v>
      </c>
      <c r="DE9" s="6">
        <v>0</v>
      </c>
      <c r="DF9" s="6">
        <v>0</v>
      </c>
      <c r="DG9" s="6">
        <v>0</v>
      </c>
      <c r="DJ9" s="6" t="s">
        <v>26</v>
      </c>
    </row>
    <row r="10" spans="1:167" ht="15.75" customHeight="1">
      <c r="A10" s="5"/>
      <c r="B10" s="5"/>
      <c r="C10" s="7" t="s">
        <v>35</v>
      </c>
      <c r="D10" s="7">
        <v>30</v>
      </c>
      <c r="E10" s="6" t="s">
        <v>27</v>
      </c>
      <c r="F10" s="5"/>
      <c r="G10" s="5"/>
      <c r="H10" s="6" t="s">
        <v>55</v>
      </c>
      <c r="I10" s="5"/>
      <c r="J10" s="5"/>
      <c r="K10" s="5"/>
      <c r="L10" s="5"/>
      <c r="M10" s="5"/>
      <c r="N10" s="29">
        <v>-3000</v>
      </c>
      <c r="O10" s="5"/>
      <c r="Q10" s="29">
        <v>-3000</v>
      </c>
      <c r="T10" s="6" t="s">
        <v>44</v>
      </c>
      <c r="U10" s="6" t="s">
        <v>56</v>
      </c>
      <c r="W10" s="6" t="s">
        <v>51</v>
      </c>
      <c r="Y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30</v>
      </c>
      <c r="AG10" s="6">
        <v>0</v>
      </c>
      <c r="AH10" s="6">
        <v>0</v>
      </c>
      <c r="AI10" s="6">
        <v>0</v>
      </c>
      <c r="AJ10" s="6">
        <v>0</v>
      </c>
      <c r="AK10" s="29">
        <v>-3000</v>
      </c>
      <c r="AN10" s="6" t="s">
        <v>26</v>
      </c>
      <c r="AP10" s="6" t="s">
        <v>55</v>
      </c>
      <c r="AW10" s="29">
        <v>-3000</v>
      </c>
      <c r="AX10" s="6">
        <v>0</v>
      </c>
      <c r="AY10" s="6">
        <v>0</v>
      </c>
      <c r="AZ10" s="6">
        <v>0</v>
      </c>
      <c r="BJ10" s="6">
        <v>0</v>
      </c>
      <c r="BK10" s="6">
        <v>0</v>
      </c>
      <c r="BL10" s="6">
        <v>0</v>
      </c>
      <c r="BM10" s="6">
        <v>0</v>
      </c>
      <c r="BO10" s="29">
        <v>-3000</v>
      </c>
      <c r="BP10" s="6">
        <v>0</v>
      </c>
      <c r="BS10" s="6">
        <v>0</v>
      </c>
      <c r="BT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D10" s="29">
        <v>-3000</v>
      </c>
      <c r="CE10" s="6">
        <v>0</v>
      </c>
      <c r="CF10" s="6">
        <v>0</v>
      </c>
      <c r="CG10" s="29">
        <v>-3000</v>
      </c>
      <c r="CV10" s="6" t="s">
        <v>36</v>
      </c>
      <c r="DE10" s="6">
        <v>0</v>
      </c>
      <c r="DF10" s="6">
        <v>0</v>
      </c>
      <c r="DG10" s="6">
        <v>0</v>
      </c>
      <c r="DJ10" s="6" t="s">
        <v>26</v>
      </c>
    </row>
    <row r="11" spans="1:167" ht="15.75" customHeight="1">
      <c r="A11" s="5"/>
      <c r="B11" s="5"/>
      <c r="C11" s="7" t="s">
        <v>37</v>
      </c>
      <c r="D11" s="7">
        <v>35</v>
      </c>
      <c r="E11" s="6" t="s">
        <v>27</v>
      </c>
      <c r="F11" s="5"/>
      <c r="G11" s="5"/>
      <c r="H11" s="6" t="s">
        <v>55</v>
      </c>
      <c r="I11" s="5"/>
      <c r="J11" s="5"/>
      <c r="K11" s="5"/>
      <c r="L11" s="5"/>
      <c r="M11" s="5"/>
      <c r="N11" s="29">
        <v>-7000</v>
      </c>
      <c r="O11" s="5"/>
      <c r="Q11" s="29">
        <v>-7000</v>
      </c>
      <c r="T11" s="6" t="s">
        <v>44</v>
      </c>
      <c r="U11" s="6" t="s">
        <v>56</v>
      </c>
      <c r="W11" s="6" t="s">
        <v>51</v>
      </c>
      <c r="Y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35</v>
      </c>
      <c r="AG11" s="6">
        <v>0</v>
      </c>
      <c r="AH11" s="6">
        <v>0</v>
      </c>
      <c r="AI11" s="6">
        <v>0</v>
      </c>
      <c r="AJ11" s="6">
        <v>0</v>
      </c>
      <c r="AK11" s="29">
        <v>-7000</v>
      </c>
      <c r="AN11" s="6" t="s">
        <v>26</v>
      </c>
      <c r="AP11" s="6" t="s">
        <v>55</v>
      </c>
      <c r="AW11" s="29">
        <v>-7000</v>
      </c>
      <c r="AX11" s="6">
        <v>0</v>
      </c>
      <c r="AY11" s="6">
        <v>0</v>
      </c>
      <c r="AZ11" s="6">
        <v>0</v>
      </c>
      <c r="BJ11" s="6">
        <v>0</v>
      </c>
      <c r="BK11" s="6">
        <v>0</v>
      </c>
      <c r="BL11" s="6">
        <v>0</v>
      </c>
      <c r="BM11" s="6">
        <v>0</v>
      </c>
      <c r="BO11" s="29">
        <v>-7000</v>
      </c>
      <c r="BP11" s="6">
        <v>0</v>
      </c>
      <c r="BS11" s="6">
        <v>0</v>
      </c>
      <c r="BT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D11" s="29">
        <v>-7000</v>
      </c>
      <c r="CE11" s="6">
        <v>0</v>
      </c>
      <c r="CF11" s="6">
        <v>0</v>
      </c>
      <c r="CG11" s="29">
        <v>-7000</v>
      </c>
      <c r="CW11" s="6" t="s">
        <v>28</v>
      </c>
      <c r="DE11" s="6">
        <v>0</v>
      </c>
      <c r="DF11" s="6">
        <v>0</v>
      </c>
      <c r="DG11" s="6">
        <v>0</v>
      </c>
      <c r="DJ11" s="6" t="s">
        <v>26</v>
      </c>
    </row>
    <row r="12" spans="1:167" ht="15.75" customHeight="1">
      <c r="A12" s="5"/>
      <c r="B12" s="5"/>
      <c r="C12" s="5"/>
      <c r="D12" s="5"/>
      <c r="E12" s="5"/>
      <c r="F12" s="5"/>
      <c r="G12" s="5"/>
      <c r="I12" s="5"/>
      <c r="J12" s="5"/>
      <c r="K12" s="5"/>
      <c r="L12" s="5"/>
      <c r="M12" s="5"/>
      <c r="N12" s="5"/>
      <c r="O12" s="5"/>
      <c r="Q12" s="5"/>
    </row>
    <row r="13" spans="1:167" ht="15.75" customHeight="1">
      <c r="A13" s="5"/>
      <c r="B13" s="5"/>
      <c r="C13" s="5"/>
      <c r="D13" s="5"/>
      <c r="E13" s="5"/>
      <c r="F13" s="5"/>
      <c r="G13" s="5"/>
      <c r="I13" s="5"/>
      <c r="J13" s="5"/>
      <c r="K13" s="5"/>
      <c r="L13" s="5"/>
      <c r="M13" s="5"/>
      <c r="N13" s="5"/>
      <c r="O13" s="5"/>
      <c r="Q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SetTradeAttributePreferences</vt:lpstr>
      <vt:lpstr>CreateDoneAwayOrder</vt:lpstr>
      <vt:lpstr>GetDataAllocation</vt:lpstr>
      <vt:lpstr>SelectAllocatedGroup</vt:lpstr>
      <vt:lpstr>TradeAttributeBulkChangeGroups</vt:lpstr>
      <vt:lpstr>VerifyOrder</vt:lpstr>
      <vt:lpstr>VerifyWorkingSubs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2021-08-04T10:00:18Z</dcterms:modified>
</cp:coreProperties>
</file>