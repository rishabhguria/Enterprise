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DoneAwayOrder" sheetId="5" r:id="rId7"/>
    <sheet state="visible" name="AddNavLock" sheetId="6" r:id="rId8"/>
    <sheet state="visible" name="GetDayEndCash" sheetId="7" r:id="rId9"/>
    <sheet state="visible" name="GetDayEndCash1" sheetId="8" r:id="rId10"/>
    <sheet state="visible" name="VerifyNavLockPopup" sheetId="9" r:id="rId11"/>
    <sheet state="visible" name="GetDailyCalculationsData" sheetId="10" r:id="rId12"/>
    <sheet state="visible" name="GetDailyCalculationsData1" sheetId="11" r:id="rId13"/>
    <sheet state="visible" name="VerifyNavLockPopup1" sheetId="12" r:id="rId14"/>
  </sheets>
  <definedNames/>
  <calcPr/>
</workbook>
</file>

<file path=xl/sharedStrings.xml><?xml version="1.0" encoding="utf-8"?>
<sst xmlns="http://schemas.openxmlformats.org/spreadsheetml/2006/main" count="89" uniqueCount="30">
  <si>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</si>
  <si>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</si>
  <si>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</si>
  <si>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</si>
  <si>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</si>
  <si>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</si>
  <si>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</si>
  <si>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</si>
  <si>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</si>
  <si>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</si>
  <si>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</si>
  <si>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</si>
  <si>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</si>
  <si>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</si>
  <si>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</si>
  <si>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</si>
  <si>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NAV Lock</t>
  </si>
  <si>
    <t>TradingTicket</t>
  </si>
  <si>
    <t>CreateDoneAwayOrder</t>
  </si>
  <si>
    <t>AAPL</t>
  </si>
  <si>
    <t>Buy</t>
  </si>
  <si>
    <t>MSFT</t>
  </si>
  <si>
    <t>NavLock</t>
  </si>
  <si>
    <t>AddNavLock</t>
  </si>
  <si>
    <t>GeneralLedger</t>
  </si>
  <si>
    <t>GetDayEndCash</t>
  </si>
  <si>
    <t>Allocation1</t>
  </si>
  <si>
    <t>VerifyNavLockPopup</t>
  </si>
  <si>
    <t>GL</t>
  </si>
  <si>
    <t>GetDailyCalculationsData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</si>
</sst>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4.2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100.0</v>
      </c>
      <c r="E6" s="34"/>
      <c r="F6" s="8"/>
      <c r="G6" s="8"/>
      <c r="H6" s="8"/>
      <c r="I6" s="8"/>
      <c r="J6" s="12">
        <v>2.0</v>
      </c>
      <c r="K6" s="8"/>
      <c r="L6" s="8"/>
      <c r="M6" s="8"/>
      <c r="N6" s="35">
        <f t="shared" ref="N6:N7" si="1">TODAY()-2</f>
        <v>45853</v>
      </c>
      <c r="O6" s="8"/>
    </row>
    <row r="7" ht="15.75" customHeight="1">
      <c r="A7" s="8"/>
      <c r="B7" s="12" t="s">
        <v>21</v>
      </c>
      <c r="C7" s="12" t="s">
        <v>20</v>
      </c>
      <c r="D7" s="12">
        <v>100.0</v>
      </c>
      <c r="E7" s="8"/>
      <c r="F7" s="8"/>
      <c r="G7" s="8"/>
      <c r="H7" s="8"/>
      <c r="I7" s="8"/>
      <c r="J7" s="12">
        <v>2.0</v>
      </c>
      <c r="K7" s="8"/>
      <c r="L7" s="8"/>
      <c r="M7" s="8"/>
      <c r="N7" s="35">
        <f t="shared" si="1"/>
        <v>45853</v>
      </c>
      <c r="O7" s="8"/>
    </row>
    <row r="8" ht="15.75" customHeight="1">
      <c r="A8" s="8"/>
      <c r="B8" s="12" t="s">
        <v>19</v>
      </c>
      <c r="C8" s="12" t="s">
        <v>20</v>
      </c>
      <c r="D8" s="12">
        <v>100.0</v>
      </c>
      <c r="E8" s="8"/>
      <c r="F8" s="8"/>
      <c r="G8" s="8"/>
      <c r="H8" s="8"/>
      <c r="I8" s="8"/>
      <c r="J8" s="12">
        <v>2.0</v>
      </c>
      <c r="K8" s="8"/>
      <c r="L8" s="8"/>
      <c r="M8" s="8"/>
      <c r="N8" s="35">
        <f t="shared" ref="N8:N9" si="2">TODAY()</f>
        <v>45855</v>
      </c>
      <c r="O8" s="8"/>
    </row>
    <row r="9" ht="15.75" customHeight="1">
      <c r="A9" s="8"/>
      <c r="B9" s="12" t="s">
        <v>21</v>
      </c>
      <c r="C9" s="12" t="s">
        <v>20</v>
      </c>
      <c r="D9" s="12">
        <v>100.0</v>
      </c>
      <c r="E9" s="8"/>
      <c r="F9" s="8"/>
      <c r="G9" s="8"/>
      <c r="H9" s="8"/>
      <c r="I9" s="8"/>
      <c r="J9" s="12">
        <v>2.0</v>
      </c>
      <c r="K9" s="8"/>
      <c r="L9" s="8"/>
      <c r="M9" s="8"/>
      <c r="N9" s="35">
        <f t="shared" si="2"/>
        <v>45855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>
        <f>TODAY()-1</f>
        <v>45854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AddNavLock!$4:$4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35">
        <f t="shared" ref="D6:E6" si="1">TODAY()-2</f>
        <v>45853</v>
      </c>
      <c r="E6" s="35">
        <f t="shared" si="1"/>
        <v>45853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35">
        <f t="shared" ref="D6:E6" si="1">TODAY()</f>
        <v>45855</v>
      </c>
      <c r="E6" s="35">
        <f t="shared" si="1"/>
        <v>45855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IFERROR(__xludf.DUMMYFUNCTION("""COMPUTED_VALUE"""),"Description")</f>
        <v>Description</v>
      </c>
      <c r="C5" s="27" t="str">
        <f>IFERROR(__xludf.DUMMYFUNCTION("""COMPUTED_VALUE"""),"Window Type")</f>
        <v>Window Type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tr">
        <f>"The start date you’ve chosen for this action precedes your NAV Lock date (" &amp; MONTH(TODAY()-1) &amp; "/" &amp; DAY(TODAY()-1) &amp; "/" &amp; YEAR(TODAY()-1) &amp; "). Please reach out to your Support Team for further assistance"</f>
        <v>The start date you’ve chosen for this action precedes your NAV Lock date (7/16/2025). Please reach out to your Support Team for further assistance</v>
      </c>
      <c r="C6" s="12" t="s">
        <v>28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VerifyNavLockPopup!$4:$4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35">
        <f t="shared" ref="D6:E6" si="1">TODAY()-2</f>
        <v>45853</v>
      </c>
      <c r="E6" s="35">
        <f t="shared" si="1"/>
        <v>45853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GetDailyCalculationsData!$4:$4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26</v>
      </c>
      <c r="D6" s="35">
        <f t="shared" ref="D6:E6" si="1">TODAY()</f>
        <v>45855</v>
      </c>
      <c r="E6" s="35">
        <f t="shared" si="1"/>
        <v>45855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GetDailyCalculationsData1!$4:$4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IFERROR(__xludf.DUMMYFUNCTION("""COMPUTED_VALUE"""),"Description")</f>
        <v>Description</v>
      </c>
      <c r="C5" s="27" t="str">
        <f>IFERROR(__xludf.DUMMYFUNCTION("""COMPUTED_VALUE"""),"Window Type")</f>
        <v>Window Type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tr">
        <f>"The start date you’ve chosen for this action precedes your NAV Lock date (" &amp; MONTH(TODAY()-1) &amp; "/" &amp; DAY(TODAY()-1) &amp; "/" &amp; YEAR(TODAY()-1) &amp; "). Please reach out to your Support Team for further assistance"</f>
        <v>The start date you’ve chosen for this action precedes your NAV Lock date (7/16/2025). Please reach out to your Support Team for further assistance</v>
      </c>
      <c r="C6" s="12" t="s">
        <v>28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VerifyNavLockPopup1!$4:$4</formula1>
    </dataValidation>
  </dataValidations>
  <drawing r:id="rId1"/>
</worksheet>
</file>