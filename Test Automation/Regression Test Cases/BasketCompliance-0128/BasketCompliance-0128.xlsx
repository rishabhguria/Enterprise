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CreateDoneAwayOrder" sheetId="5" r:id="rId7"/>
    <sheet state="visible" name="FetchAccountPositions" sheetId="6" r:id="rId8"/>
    <sheet state="visible" name="AddCash" sheetId="7" r:id="rId9"/>
    <sheet state="visible" name="RebalancePreference" sheetId="8" r:id="rId10"/>
    <sheet state="visible" name="RunRebalance" sheetId="9" r:id="rId11"/>
    <sheet state="visible" name="CheckBasketCompliance" sheetId="10" r:id="rId12"/>
    <sheet state="visible" name="FetchAccountPositions1" sheetId="11" r:id="rId13"/>
    <sheet state="visible" name="SendToStagingExport" sheetId="12" r:id="rId14"/>
    <sheet state="visible" name="PricingInput" sheetId="13" r:id="rId15"/>
    <sheet state="visible" name="GetDailyCash" sheetId="14" r:id="rId16"/>
    <sheet state="visible" name="UpdateDailyCash" sheetId="15" r:id="rId17"/>
    <sheet state="visible" name="GetMarkPriceData" sheetId="16" r:id="rId18"/>
    <sheet state="visible" name="UpdateMarkPrice" sheetId="17" r:id="rId19"/>
    <sheet state="visible" name="VerifyGridData" sheetId="18" r:id="rId20"/>
    <sheet state="visible" name="SendToStagingExport1" sheetId="19" r:id="rId21"/>
  </sheets>
  <definedNames/>
  <calcPr/>
</workbook>
</file>

<file path=xl/sharedStrings.xml><?xml version="1.0" encoding="utf-8"?>
<sst xmlns="http://schemas.openxmlformats.org/spreadsheetml/2006/main" count="334" uniqueCount="93">
  <si>
    <t>Modules Info</t>
  </si>
  <si>
    <t>Modules</t>
  </si>
  <si>
    <t>Settings</t>
  </si>
  <si>
    <t>Module Step Setting File</t>
  </si>
  <si>
    <t>1V117UCEKgiBm4JNwfKGO6fdzuXXiHyceS9jTaAL7ky4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</si>
  <si>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</si>
  <si>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</si>
  <si>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</si>
  <si>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</si>
  <si>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</si>
  <si>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</si>
  <si>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</si>
  <si>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</si>
  <si>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</si>
  <si>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</si>
  <si>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</si>
  <si>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FB</t>
  </si>
  <si>
    <t>DY</t>
  </si>
  <si>
    <t>ZAYO</t>
  </si>
  <si>
    <t>LSCC</t>
  </si>
  <si>
    <t>TradingTicket</t>
  </si>
  <si>
    <t>CreateDoneAwayOrder</t>
  </si>
  <si>
    <t>Buy</t>
  </si>
  <si>
    <t>Yes</t>
  </si>
  <si>
    <t>Sell short</t>
  </si>
  <si>
    <t>Rebalancer</t>
  </si>
  <si>
    <t>FetchAccountPositions</t>
  </si>
  <si>
    <t>Allocation1</t>
  </si>
  <si>
    <t>Previous Day's Positions</t>
  </si>
  <si>
    <t>Account</t>
  </si>
  <si>
    <t>Positions</t>
  </si>
  <si>
    <t>AddCash</t>
  </si>
  <si>
    <t>Impact NAV</t>
  </si>
  <si>
    <t>None</t>
  </si>
  <si>
    <t>RebalancePreference</t>
  </si>
  <si>
    <t>RunRebalance</t>
  </si>
  <si>
    <t>Nearest Round Off</t>
  </si>
  <si>
    <t>CheckBasketCompliance</t>
  </si>
  <si>
    <t>Soft</t>
  </si>
  <si>
    <t>Trade3</t>
  </si>
  <si>
    <t>If Quantity not equals to -123, Avg Price not equals to -123, Selected Feed Price not equals to -123, Net Market Value Base not equals to -123, Net Exposure Local not equals to -123, Then block the trade.</t>
  </si>
  <si>
    <t>Multiple</t>
  </si>
  <si>
    <t>quantity: 50.00, avgPrice: 6.56, selectedFeedPrice: 6.56, netMarketValueBase: -328.00, netExposureLocal: -328.00, Symbol: LSCC</t>
  </si>
  <si>
    <t>quantity: 100.00, avgPrice: 194.32, selectedFeedPrice: 194.32, netMarketValueBase: -19,432.00, netExposureLocal: -19,432.00, Symbol: FB</t>
  </si>
  <si>
    <t>quantity: 10.00, avgPrice: 94.51, selectedFeedPrice: 94.51, netMarketValueBase: -945.10, netExposureLocal: -945.10, Symbol: DY</t>
  </si>
  <si>
    <t>quantity: 10.00, avgPrice: 36.48, selectedFeedPrice: 36.48, netMarketValueBase: 364.80, netExposureLocal: 364.80, Symbol: ZAYO</t>
  </si>
  <si>
    <t>Account_Symbol3</t>
  </si>
  <si>
    <t>If Quantity not equals to -123, Day PnL Base not equals to -123, Day PnL Local not equals to -123, Net Market Value Base not equals to -123, Net Market Value Local not equals to -123, Selected Feed Price not equals to -123, Account Nav not equals to -123, Then block the trade.</t>
  </si>
  <si>
    <t>Allocation1-DY</t>
  </si>
  <si>
    <t>quantity: 90.00, dayPnLBase: 0.00, dayPnLLocal: 0.00, netMarketValueBase: 8,505.90, netMarketValueLocal: 8,505.90, selectedFeedPrice: 94.51, accountNav: 149,698.00, AccountShortName: Allocation1, Symbol: DY</t>
  </si>
  <si>
    <t>Allocation1-ZAYO</t>
  </si>
  <si>
    <t>quantity: -90.00, dayPnLBase: 0.00, dayPnLLocal: 0.00, netMarketValueBase: -3,283.20, netMarketValueLocal: -3,283.20, selectedFeedPrice: 36.48, accountNav: 149,698.00, AccountShortName: Allocation1, Symbol: ZAYO</t>
  </si>
  <si>
    <t>Allocation1-FB</t>
  </si>
  <si>
    <t>quantity: 500.00, dayPnLBase: 0.00, dayPnLLocal: 0.00, netMarketValueBase: 97,160.00, netMarketValueLocal: 97,160.00, selectedFeedPrice: 194.32, accountNav: 149,698.00, AccountShortName: Allocation1, Symbol: FB</t>
  </si>
  <si>
    <t>Allocation1-LSCC</t>
  </si>
  <si>
    <t>quantity: 550.00, dayPnLBase: 0.00, dayPnLLocal: 0.00, netMarketValueBase: 3,608.00, netMarketValueLocal: 3,608.00, selectedFeedPrice: 6.56, accountNav: 149,698.00, AccountShortName: Allocation1, Symbol: LSCC</t>
  </si>
  <si>
    <t>MasterFund_Symbol3</t>
  </si>
  <si>
    <t>If Quantity not equals to -123, Day PnL Base not equals to -123, Day PnL Local not equals to -123, Net Market Value Base not equals to -123, Net Market Value Local not equals to -123, Selected Feed Price not equals to -123, Master Fund Nav not equals to -123, Then block the trade.</t>
  </si>
  <si>
    <t>NewMF-DY</t>
  </si>
  <si>
    <t>quantity: 90.00, dayPnLBase: 0.00, dayPnLLocal: 0.00, netMarketValueBase: 8,505.90, netMarketValueLocal: 8,505.90, selectedFeedPrice: 94.51, masterFundNav: 149,698.00, MasterFundName: NewMF, Symbol: DY</t>
  </si>
  <si>
    <t>NewMF-ZAYO</t>
  </si>
  <si>
    <t>quantity: -90.00, dayPnLBase: 0.00, dayPnLLocal: 0.00, netMarketValueBase: -3,283.20, netMarketValueLocal: -3,283.20, selectedFeedPrice: 36.48, masterFundNav: 149,698.00, MasterFundName: NewMF, Symbol: ZAYO</t>
  </si>
  <si>
    <t>NewMF-FB</t>
  </si>
  <si>
    <t>quantity: 500.00, dayPnLBase: 0.00, dayPnLLocal: 0.00, netMarketValueBase: 97,160.00, netMarketValueLocal: 97,160.00, selectedFeedPrice: 194.32, masterFundNav: 149,698.00, MasterFundName: NewMF, Symbol: FB</t>
  </si>
  <si>
    <t>NewMF-LSCC</t>
  </si>
  <si>
    <t>quantity: 550.00, dayPnLBase: 0.00, dayPnLLocal: 0.00, netMarketValueBase: 3,608.00, netMarketValueLocal: 3,608.00, selectedFeedPrice: 6.56, masterFundNav: 149,698.00, MasterFundName: NewMF, Symbol: LSCC</t>
  </si>
  <si>
    <t>Symbol3</t>
  </si>
  <si>
    <t>If Quantity not equals to -123, Selected Feed Price not equals to -123, Net Market Value Base not equals to -123, Net Market Value Local not equals to -123, Then block the trade.</t>
  </si>
  <si>
    <t>quantity: 90.00, selectedFeedPrice: 94.51, netMarketValueBase: 8,505.90, netMarketValueLocal: 8,505.90, Symbol: DY</t>
  </si>
  <si>
    <t>quantity: -90.00, selectedFeedPrice: 36.48, netMarketValueBase: -3,283.20, netMarketValueLocal: -3,283.20, Symbol: ZAYO</t>
  </si>
  <si>
    <t>quantity: 500.00, selectedFeedPrice: 194.32, netMarketValueBase: 97,160.00, netMarketValueLocal: 97,160.00, Symbol: FB</t>
  </si>
  <si>
    <t>quantity: 550.00, selectedFeedPrice: 6.56, netMarketValueBase: 3,608.00, netMarketValueLocal: 3,608.00, Symbol: LSCC</t>
  </si>
  <si>
    <t>Real-Time Positions</t>
  </si>
  <si>
    <t>SendToStagingExport</t>
  </si>
  <si>
    <t>Sell</t>
  </si>
  <si>
    <t>No</t>
  </si>
  <si>
    <t>BuyToClose</t>
  </si>
  <si>
    <t>PricingInput</t>
  </si>
  <si>
    <t>DailyValuation</t>
  </si>
  <si>
    <t>GetDailyCash</t>
  </si>
  <si>
    <t>UpdateDailyCash</t>
  </si>
  <si>
    <t>USD</t>
  </si>
  <si>
    <t>GetMarkPriceData</t>
  </si>
  <si>
    <t>UpdateMarkPrice</t>
  </si>
  <si>
    <t>VerifyGridData</t>
  </si>
  <si>
    <t>Equity</t>
  </si>
  <si>
    <t>Long</t>
  </si>
  <si>
    <t>Short</t>
  </si>
  <si>
    <t>Accruals</t>
  </si>
  <si>
    <t>Cash</t>
  </si>
  <si>
    <t>Other Assets Market Value</t>
  </si>
  <si>
    <t>Swap NAV adjustment</t>
  </si>
  <si>
    <t>Unrealized P&amp;L of Swaps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</si>
</sst>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&quot;Segoe UI&quot;"/>
    </font>
    <font>
      <sz val="9.0"/>
      <color rgb="FF000000"/>
      <name val="&quot;Segoe UI&quot;"/>
    </font>
    <font>
      <sz val="9.0"/>
      <color rgb="FF000000"/>
      <name val="Arial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readingOrder="0" vertical="bottom"/>
    </xf>
    <xf borderId="7" fillId="0" fontId="5" numFmtId="0" xfId="0" applyAlignment="1" applyBorder="1" applyFont="1">
      <alignment shrinkToFit="0" vertical="bottom" wrapText="0"/>
    </xf>
    <xf borderId="6" fillId="0" fontId="5" numFmtId="0" xfId="0" applyAlignment="1" applyBorder="1" applyFont="1">
      <alignment horizontal="center" vertical="bottom"/>
    </xf>
    <xf borderId="8" fillId="6" fontId="13" numFmtId="0" xfId="0" applyAlignment="1" applyBorder="1" applyFill="1" applyFont="1">
      <alignment horizontal="left" readingOrder="0" shrinkToFit="0" vertical="top" wrapText="0"/>
    </xf>
    <xf borderId="8" fillId="7" fontId="14" numFmtId="0" xfId="0" applyAlignment="1" applyBorder="1" applyFill="1" applyFont="1">
      <alignment horizontal="left" readingOrder="0" shrinkToFit="0" vertical="top" wrapText="0"/>
    </xf>
    <xf borderId="8" fillId="7" fontId="15" numFmtId="0" xfId="0" applyAlignment="1" applyBorder="1" applyFont="1">
      <alignment horizontal="left" readingOrder="0" shrinkToFit="0" vertical="top" wrapText="0"/>
    </xf>
    <xf borderId="8" fillId="8" fontId="14" numFmtId="0" xfId="0" applyAlignment="1" applyBorder="1" applyFill="1" applyFont="1">
      <alignment horizontal="left" readingOrder="0" shrinkToFit="0" vertical="top" wrapText="0"/>
    </xf>
    <xf borderId="8" fillId="8" fontId="15" numFmtId="0" xfId="0" applyAlignment="1" applyBorder="1" applyFont="1">
      <alignment horizontal="left" readingOrder="0" shrinkToFit="0" vertical="top" wrapText="0"/>
    </xf>
    <xf borderId="0" fillId="0" fontId="16" numFmtId="0" xfId="0" applyAlignment="1" applyFont="1">
      <alignment readingOrder="0" shrinkToFit="0" vertical="bottom" wrapText="0"/>
    </xf>
    <xf borderId="0" fillId="0" fontId="16" numFmtId="0" xfId="0" applyAlignment="1" applyFont="1">
      <alignment horizontal="right" readingOrder="0" shrinkToFit="0" vertical="bottom" wrapText="0"/>
    </xf>
    <xf borderId="0" fillId="0" fontId="16" numFmtId="3" xfId="0" applyAlignment="1" applyFont="1" applyNumberFormat="1">
      <alignment horizontal="right" readingOrder="0" shrinkToFit="0" vertical="bottom" wrapText="0"/>
    </xf>
    <xf borderId="5" fillId="0" fontId="5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9" fillId="0" fontId="3" numFmtId="0" xfId="0" applyAlignment="1" applyBorder="1" applyFont="1">
      <alignment vertical="bottom"/>
    </xf>
    <xf borderId="6" fillId="0" fontId="5" numFmtId="14" xfId="0" applyAlignment="1" applyBorder="1" applyFont="1" applyNumberFormat="1">
      <alignment horizontal="right" vertical="bottom"/>
    </xf>
    <xf borderId="6" fillId="0" fontId="5" numFmtId="0" xfId="0" applyAlignment="1" applyBorder="1" applyFont="1">
      <alignment horizontal="right" vertical="bottom"/>
    </xf>
    <xf borderId="6" fillId="0" fontId="16" numFmtId="0" xfId="0" applyAlignment="1" applyBorder="1" applyFont="1">
      <alignment vertical="bottom"/>
    </xf>
    <xf borderId="6" fillId="0" fontId="16" numFmtId="0" xfId="0" applyAlignment="1" applyBorder="1" applyFont="1">
      <alignment horizontal="right" vertical="bottom"/>
    </xf>
    <xf borderId="0" fillId="0" fontId="16" numFmtId="0" xfId="0" applyAlignment="1" applyFont="1">
      <alignment vertical="bottom"/>
    </xf>
    <xf borderId="0" fillId="0" fontId="16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100.0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5">
        <v>5.0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5">
        <v>50.0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6"/>
      <c r="C10" s="36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UpdateRoundLot!$4:$4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 t="s">
        <v>16</v>
      </c>
      <c r="C6" s="36" t="s">
        <v>22</v>
      </c>
      <c r="D6" s="38">
        <v>600.0</v>
      </c>
      <c r="E6" s="36"/>
      <c r="F6" s="36"/>
      <c r="G6" s="36"/>
      <c r="H6" s="36"/>
      <c r="I6" s="36"/>
      <c r="J6" s="32">
        <v>10.0</v>
      </c>
      <c r="K6" s="36"/>
      <c r="L6" s="36"/>
      <c r="M6" s="36"/>
      <c r="N6" s="39">
        <f t="shared" ref="N6:N9" si="1">today()-1</f>
        <v>45911</v>
      </c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40" t="s">
        <v>23</v>
      </c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17</v>
      </c>
      <c r="C7" s="36" t="s">
        <v>22</v>
      </c>
      <c r="D7" s="32">
        <v>100.0</v>
      </c>
      <c r="E7" s="36"/>
      <c r="F7" s="36"/>
      <c r="G7" s="36"/>
      <c r="H7" s="36"/>
      <c r="I7" s="36"/>
      <c r="J7" s="32">
        <v>10.0</v>
      </c>
      <c r="K7" s="36"/>
      <c r="L7" s="36"/>
      <c r="M7" s="36"/>
      <c r="N7" s="39">
        <f t="shared" si="1"/>
        <v>45911</v>
      </c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40" t="s">
        <v>23</v>
      </c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 t="s">
        <v>18</v>
      </c>
      <c r="C8" s="36" t="s">
        <v>24</v>
      </c>
      <c r="D8" s="32">
        <v>100.0</v>
      </c>
      <c r="E8" s="36"/>
      <c r="F8" s="36"/>
      <c r="G8" s="36"/>
      <c r="H8" s="36"/>
      <c r="I8" s="36"/>
      <c r="J8" s="32">
        <v>10.0</v>
      </c>
      <c r="K8" s="36"/>
      <c r="L8" s="36"/>
      <c r="M8" s="36"/>
      <c r="N8" s="39">
        <f t="shared" si="1"/>
        <v>45911</v>
      </c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40" t="s">
        <v>23</v>
      </c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 t="s">
        <v>19</v>
      </c>
      <c r="C9" s="36" t="s">
        <v>22</v>
      </c>
      <c r="D9" s="32">
        <v>600.0</v>
      </c>
      <c r="E9" s="36"/>
      <c r="F9" s="36"/>
      <c r="G9" s="36"/>
      <c r="H9" s="36"/>
      <c r="I9" s="36"/>
      <c r="J9" s="32">
        <v>10.0</v>
      </c>
      <c r="K9" s="36"/>
      <c r="L9" s="36"/>
      <c r="M9" s="36"/>
      <c r="N9" s="39">
        <f t="shared" si="1"/>
        <v>45911</v>
      </c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40" t="s">
        <v>23</v>
      </c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1"/>
      <c r="B6" s="42" t="s">
        <v>27</v>
      </c>
      <c r="C6" s="43" t="s">
        <v>28</v>
      </c>
      <c r="D6" s="42" t="s">
        <v>29</v>
      </c>
      <c r="E6" s="43" t="s">
        <v>30</v>
      </c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1"/>
      <c r="B6" s="44">
        <v>-16633.0</v>
      </c>
      <c r="C6" s="43" t="s">
        <v>32</v>
      </c>
      <c r="D6" s="42" t="s">
        <v>33</v>
      </c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IFERROR(__xludf.DUMMYFUNCTION("""COMPUTED_VALUE"""),"RoundLotPreference")</f>
        <v>RoundLotPreference</v>
      </c>
      <c r="C5" s="28" t="str">
        <f>IFERROR(__xludf.DUMMYFUNCTION("""COMPUTED_VALUE"""),"ReinvestCash")</f>
        <v>ReinvestCash</v>
      </c>
      <c r="D5" s="28" t="str">
        <f>IFERROR(__xludf.DUMMYFUNCTION("""COMPUTED_VALUE"""),"Sell to Raise Cash")</f>
        <v>Sell to Raise Cash</v>
      </c>
      <c r="E5" s="28" t="str">
        <f>IFERROR(__xludf.DUMMYFUNCTION("""COMPUTED_VALUE"""),"No Shorting")</f>
        <v>No Shorting</v>
      </c>
      <c r="F5" s="29" t="str">
        <f>IFERROR(__xludf.DUMMYFUNCTION("""COMPUTED_VALUE"""),"Allow Negative Cash")</f>
        <v>Allow Negative Cash</v>
      </c>
      <c r="G5" s="28" t="str">
        <f>IFERROR(__xludf.DUMMYFUNCTION("""COMPUTED_VALUE"""),"Rebalance Across Securities")</f>
        <v>Rebalance Across Securities</v>
      </c>
      <c r="H5" s="28" t="str">
        <f>IFERROR(__xludf.DUMMYFUNCTION("""COMPUTED_VALUE"""),"Other Items Impacting NAV")</f>
        <v>Other Items Impacting NAV</v>
      </c>
      <c r="I5" s="28" t="str">
        <f>IFERROR(__xludf.DUMMYFUNCTION("""COMPUTED_VALUE"""),"NAV Calculation Preference")</f>
        <v>NAV Calculation Preference</v>
      </c>
      <c r="J5" s="28" t="str">
        <f>IFERROR(__xludf.DUMMYFUNCTION("""COMPUTED_VALUE"""),"Account/Groups Visibility")</f>
        <v>Account/Groups Visibility</v>
      </c>
      <c r="K5" s="28" t="str">
        <f>IFERROR(__xludf.DUMMYFUNCTION("""COMPUTED_VALUE"""),"Always Ask for Saving Orders")</f>
        <v>Always Ask for Saving Orders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b">
        <v>1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45" t="s">
        <v>36</v>
      </c>
      <c r="C6" s="43"/>
      <c r="D6" s="46" t="b">
        <v>1</v>
      </c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IFERROR(__xludf.DUMMYFUNCTION("""COMPUTED_VALUE"""),"Testing Type")</f>
        <v>Testing Type</v>
      </c>
      <c r="K5" s="28" t="str">
        <f>IFERROR(__xludf.DUMMYFUNCTION("""COMPUTED_VALUE"""),"Testing Column")</f>
        <v>Testing Column</v>
      </c>
      <c r="L5" s="28" t="str">
        <f>IFERROR(__xludf.DUMMYFUNCTION("""COMPUTED_VALUE"""),"Testing Col Value")</f>
        <v>Testing Col Value</v>
      </c>
      <c r="M5" s="28" t="str">
        <f>IFERROR(__xludf.DUMMYFUNCTION("""COMPUTED_VALUE"""),"DuplicateCountOnUI")</f>
        <v>DuplicateCountOnUI</v>
      </c>
      <c r="N5" s="28" t="str">
        <f>IFERROR(__xludf.DUMMYFUNCTION("""COMPUTED_VALUE"""),"DuplicateRow")</f>
        <v>DuplicateRow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7" t="s">
        <v>38</v>
      </c>
      <c r="C6" s="48" t="s">
        <v>39</v>
      </c>
      <c r="D6" s="49" t="s">
        <v>40</v>
      </c>
      <c r="E6" s="48" t="s">
        <v>19</v>
      </c>
      <c r="F6" s="48" t="s">
        <v>41</v>
      </c>
      <c r="G6" s="48" t="s">
        <v>41</v>
      </c>
      <c r="H6" s="48" t="s">
        <v>42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47" t="s">
        <v>38</v>
      </c>
      <c r="C7" s="50" t="s">
        <v>39</v>
      </c>
      <c r="D7" s="50" t="s">
        <v>40</v>
      </c>
      <c r="E7" s="50" t="s">
        <v>16</v>
      </c>
      <c r="F7" s="50" t="s">
        <v>41</v>
      </c>
      <c r="G7" s="50" t="s">
        <v>41</v>
      </c>
      <c r="H7" s="50" t="s">
        <v>43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47" t="s">
        <v>38</v>
      </c>
      <c r="C8" s="48" t="s">
        <v>39</v>
      </c>
      <c r="D8" s="48" t="s">
        <v>40</v>
      </c>
      <c r="E8" s="48" t="s">
        <v>17</v>
      </c>
      <c r="F8" s="48" t="s">
        <v>41</v>
      </c>
      <c r="G8" s="48" t="s">
        <v>41</v>
      </c>
      <c r="H8" s="48" t="s">
        <v>44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47" t="s">
        <v>38</v>
      </c>
      <c r="C9" s="50" t="s">
        <v>39</v>
      </c>
      <c r="D9" s="50" t="s">
        <v>40</v>
      </c>
      <c r="E9" s="50" t="s">
        <v>18</v>
      </c>
      <c r="F9" s="50" t="s">
        <v>41</v>
      </c>
      <c r="G9" s="50" t="s">
        <v>41</v>
      </c>
      <c r="H9" s="50" t="s">
        <v>45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47" t="s">
        <v>38</v>
      </c>
      <c r="C10" s="48" t="s">
        <v>46</v>
      </c>
      <c r="D10" s="48" t="s">
        <v>47</v>
      </c>
      <c r="E10" s="48" t="s">
        <v>48</v>
      </c>
      <c r="F10" s="48" t="s">
        <v>41</v>
      </c>
      <c r="G10" s="48" t="s">
        <v>41</v>
      </c>
      <c r="H10" s="48" t="s">
        <v>49</v>
      </c>
      <c r="I10" s="8"/>
      <c r="J10" s="8"/>
      <c r="K10" s="8"/>
      <c r="L10" s="8"/>
      <c r="M10" s="8"/>
      <c r="N10" s="8"/>
      <c r="O10" s="8"/>
    </row>
    <row r="11" ht="15.75" customHeight="1">
      <c r="A11" s="8"/>
      <c r="B11" s="47" t="s">
        <v>38</v>
      </c>
      <c r="C11" s="50" t="s">
        <v>46</v>
      </c>
      <c r="D11" s="50" t="s">
        <v>47</v>
      </c>
      <c r="E11" s="50" t="s">
        <v>50</v>
      </c>
      <c r="F11" s="50" t="s">
        <v>41</v>
      </c>
      <c r="G11" s="50" t="s">
        <v>41</v>
      </c>
      <c r="H11" s="50" t="s">
        <v>51</v>
      </c>
      <c r="I11" s="8"/>
      <c r="J11" s="8"/>
      <c r="K11" s="8"/>
      <c r="L11" s="8"/>
      <c r="M11" s="8"/>
      <c r="N11" s="8"/>
      <c r="O11" s="8"/>
    </row>
    <row r="12" ht="15.75" customHeight="1">
      <c r="A12" s="8"/>
      <c r="B12" s="47" t="s">
        <v>38</v>
      </c>
      <c r="C12" s="48" t="s">
        <v>46</v>
      </c>
      <c r="D12" s="48" t="s">
        <v>47</v>
      </c>
      <c r="E12" s="48" t="s">
        <v>52</v>
      </c>
      <c r="F12" s="48" t="s">
        <v>41</v>
      </c>
      <c r="G12" s="48" t="s">
        <v>41</v>
      </c>
      <c r="H12" s="49" t="s">
        <v>53</v>
      </c>
      <c r="I12" s="8"/>
      <c r="J12" s="8"/>
      <c r="K12" s="8"/>
      <c r="L12" s="8"/>
      <c r="M12" s="8"/>
      <c r="N12" s="8"/>
      <c r="O12" s="8"/>
    </row>
    <row r="13" ht="15.75" customHeight="1">
      <c r="A13" s="8"/>
      <c r="B13" s="47" t="s">
        <v>38</v>
      </c>
      <c r="C13" s="50" t="s">
        <v>46</v>
      </c>
      <c r="D13" s="50" t="s">
        <v>47</v>
      </c>
      <c r="E13" s="50" t="s">
        <v>54</v>
      </c>
      <c r="F13" s="50" t="s">
        <v>41</v>
      </c>
      <c r="G13" s="50" t="s">
        <v>41</v>
      </c>
      <c r="H13" s="50" t="s">
        <v>55</v>
      </c>
      <c r="I13" s="8"/>
      <c r="J13" s="8"/>
      <c r="K13" s="8"/>
      <c r="L13" s="8"/>
      <c r="M13" s="8"/>
      <c r="N13" s="8"/>
      <c r="O13" s="8"/>
    </row>
    <row r="14" ht="15.75" customHeight="1">
      <c r="A14" s="8"/>
      <c r="B14" s="47" t="s">
        <v>38</v>
      </c>
      <c r="C14" s="48" t="s">
        <v>56</v>
      </c>
      <c r="D14" s="49" t="s">
        <v>57</v>
      </c>
      <c r="E14" s="48" t="s">
        <v>58</v>
      </c>
      <c r="F14" s="48" t="s">
        <v>41</v>
      </c>
      <c r="G14" s="48" t="s">
        <v>41</v>
      </c>
      <c r="H14" s="48" t="s">
        <v>59</v>
      </c>
      <c r="I14" s="8"/>
      <c r="J14" s="8"/>
      <c r="K14" s="8"/>
      <c r="L14" s="8"/>
      <c r="M14" s="8"/>
      <c r="N14" s="8"/>
      <c r="O14" s="8"/>
    </row>
    <row r="15" ht="15.75" customHeight="1">
      <c r="A15" s="8"/>
      <c r="B15" s="47" t="s">
        <v>38</v>
      </c>
      <c r="C15" s="50" t="s">
        <v>56</v>
      </c>
      <c r="D15" s="50" t="s">
        <v>57</v>
      </c>
      <c r="E15" s="50" t="s">
        <v>60</v>
      </c>
      <c r="F15" s="50" t="s">
        <v>41</v>
      </c>
      <c r="G15" s="50" t="s">
        <v>41</v>
      </c>
      <c r="H15" s="50" t="s">
        <v>61</v>
      </c>
      <c r="I15" s="8"/>
      <c r="J15" s="8"/>
      <c r="K15" s="8"/>
      <c r="L15" s="8"/>
      <c r="M15" s="8"/>
      <c r="N15" s="8"/>
      <c r="O15" s="8"/>
    </row>
    <row r="16" ht="15.75" customHeight="1">
      <c r="A16" s="8"/>
      <c r="B16" s="47" t="s">
        <v>38</v>
      </c>
      <c r="C16" s="48" t="s">
        <v>56</v>
      </c>
      <c r="D16" s="48" t="s">
        <v>57</v>
      </c>
      <c r="E16" s="48" t="s">
        <v>62</v>
      </c>
      <c r="F16" s="48" t="s">
        <v>41</v>
      </c>
      <c r="G16" s="48" t="s">
        <v>41</v>
      </c>
      <c r="H16" s="49" t="s">
        <v>63</v>
      </c>
      <c r="I16" s="8"/>
      <c r="J16" s="8"/>
      <c r="K16" s="8"/>
      <c r="L16" s="8"/>
      <c r="M16" s="8"/>
      <c r="N16" s="8"/>
      <c r="O16" s="8"/>
    </row>
    <row r="17" ht="15.75" customHeight="1">
      <c r="A17" s="8"/>
      <c r="B17" s="47" t="s">
        <v>38</v>
      </c>
      <c r="C17" s="50" t="s">
        <v>56</v>
      </c>
      <c r="D17" s="51" t="s">
        <v>57</v>
      </c>
      <c r="E17" s="50" t="s">
        <v>64</v>
      </c>
      <c r="F17" s="50" t="s">
        <v>41</v>
      </c>
      <c r="G17" s="50" t="s">
        <v>41</v>
      </c>
      <c r="H17" s="50" t="s">
        <v>65</v>
      </c>
      <c r="I17" s="8"/>
      <c r="J17" s="8"/>
      <c r="K17" s="8"/>
      <c r="L17" s="8"/>
      <c r="M17" s="8"/>
      <c r="N17" s="8"/>
      <c r="O17" s="8"/>
    </row>
    <row r="18" ht="15.75" customHeight="1">
      <c r="A18" s="8"/>
      <c r="B18" s="47" t="s">
        <v>38</v>
      </c>
      <c r="C18" s="48" t="s">
        <v>66</v>
      </c>
      <c r="D18" s="49" t="s">
        <v>67</v>
      </c>
      <c r="E18" s="48" t="s">
        <v>17</v>
      </c>
      <c r="F18" s="48" t="s">
        <v>41</v>
      </c>
      <c r="G18" s="48" t="s">
        <v>41</v>
      </c>
      <c r="H18" s="48" t="s">
        <v>68</v>
      </c>
      <c r="I18" s="8"/>
      <c r="J18" s="8"/>
      <c r="K18" s="8"/>
      <c r="L18" s="8"/>
      <c r="M18" s="8"/>
      <c r="N18" s="8"/>
      <c r="O18" s="8"/>
    </row>
    <row r="19" ht="15.75" customHeight="1">
      <c r="A19" s="8"/>
      <c r="B19" s="47" t="s">
        <v>38</v>
      </c>
      <c r="C19" s="50" t="s">
        <v>66</v>
      </c>
      <c r="D19" s="50" t="s">
        <v>67</v>
      </c>
      <c r="E19" s="50" t="s">
        <v>18</v>
      </c>
      <c r="F19" s="50" t="s">
        <v>41</v>
      </c>
      <c r="G19" s="50" t="s">
        <v>41</v>
      </c>
      <c r="H19" s="50" t="s">
        <v>69</v>
      </c>
      <c r="I19" s="8"/>
      <c r="J19" s="8"/>
      <c r="K19" s="8"/>
      <c r="L19" s="8"/>
      <c r="M19" s="8"/>
      <c r="N19" s="8"/>
      <c r="O19" s="8"/>
    </row>
    <row r="20" ht="15.75" customHeight="1">
      <c r="A20" s="8"/>
      <c r="B20" s="47" t="s">
        <v>38</v>
      </c>
      <c r="C20" s="48" t="s">
        <v>66</v>
      </c>
      <c r="D20" s="48" t="s">
        <v>67</v>
      </c>
      <c r="E20" s="48" t="s">
        <v>16</v>
      </c>
      <c r="F20" s="48" t="s">
        <v>41</v>
      </c>
      <c r="G20" s="48" t="s">
        <v>41</v>
      </c>
      <c r="H20" s="48" t="s">
        <v>70</v>
      </c>
      <c r="I20" s="8"/>
      <c r="J20" s="8"/>
      <c r="K20" s="8"/>
      <c r="L20" s="8"/>
      <c r="M20" s="8"/>
      <c r="N20" s="8"/>
      <c r="O20" s="8"/>
    </row>
    <row r="21" ht="15.75" customHeight="1">
      <c r="A21" s="8"/>
      <c r="B21" s="47" t="s">
        <v>38</v>
      </c>
      <c r="C21" s="50" t="s">
        <v>66</v>
      </c>
      <c r="D21" s="50" t="s">
        <v>67</v>
      </c>
      <c r="E21" s="50" t="s">
        <v>19</v>
      </c>
      <c r="F21" s="50" t="s">
        <v>41</v>
      </c>
      <c r="G21" s="50" t="s">
        <v>41</v>
      </c>
      <c r="H21" s="50" t="s">
        <v>71</v>
      </c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CheckBasketCompliance!$4:$4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42" t="s">
        <v>27</v>
      </c>
      <c r="C6" s="43" t="s">
        <v>72</v>
      </c>
      <c r="D6" s="42" t="s">
        <v>29</v>
      </c>
      <c r="E6" s="43" t="s">
        <v>30</v>
      </c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73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IFERROR(__xludf.DUMMYFUNCTION("""COMPUTED_VALUE"""),"AllowTrade")</f>
        <v>AllowTrade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2" t="s">
        <v>27</v>
      </c>
      <c r="C6" s="52" t="s">
        <v>74</v>
      </c>
      <c r="D6" s="52" t="s">
        <v>17</v>
      </c>
      <c r="E6" s="53">
        <v>10.0</v>
      </c>
      <c r="F6" s="53">
        <v>94.51</v>
      </c>
      <c r="G6" s="53">
        <v>-945.0</v>
      </c>
      <c r="H6" s="8"/>
      <c r="I6" s="13" t="s">
        <v>75</v>
      </c>
      <c r="J6" s="8"/>
      <c r="K6" s="8"/>
      <c r="L6" s="8"/>
      <c r="M6" s="8"/>
      <c r="N6" s="8"/>
      <c r="O6" s="8"/>
    </row>
    <row r="7" ht="15.75" customHeight="1">
      <c r="A7" s="8"/>
      <c r="B7" s="52" t="s">
        <v>27</v>
      </c>
      <c r="C7" s="52" t="s">
        <v>74</v>
      </c>
      <c r="D7" s="52" t="s">
        <v>16</v>
      </c>
      <c r="E7" s="53">
        <v>100.0</v>
      </c>
      <c r="F7" s="53">
        <v>194.32</v>
      </c>
      <c r="G7" s="54">
        <v>-19432.0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52" t="s">
        <v>27</v>
      </c>
      <c r="C8" s="52" t="s">
        <v>74</v>
      </c>
      <c r="D8" s="52" t="s">
        <v>19</v>
      </c>
      <c r="E8" s="53">
        <v>50.0</v>
      </c>
      <c r="F8" s="53">
        <v>6.56</v>
      </c>
      <c r="G8" s="53">
        <v>-328.0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52" t="s">
        <v>27</v>
      </c>
      <c r="C9" s="52" t="s">
        <v>76</v>
      </c>
      <c r="D9" s="52" t="s">
        <v>18</v>
      </c>
      <c r="E9" s="53">
        <v>10.0</v>
      </c>
      <c r="F9" s="53">
        <v>36.48</v>
      </c>
      <c r="G9" s="53">
        <v>365.0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SendToStagingExport!$4:$4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77</v>
      </c>
      <c r="D3" s="5" t="s">
        <v>9</v>
      </c>
      <c r="E3" s="23" t="s">
        <v>77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5" t="s">
        <v>16</v>
      </c>
      <c r="C6" s="56">
        <v>194.32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v>94.51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v>36.48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2">
        <v>6.56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78</v>
      </c>
      <c r="D3" s="5" t="s">
        <v>9</v>
      </c>
      <c r="E3" s="23" t="s">
        <v>79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7"/>
      <c r="B6" s="58">
        <f t="shared" ref="B6:C6" si="1">today()-1</f>
        <v>45911</v>
      </c>
      <c r="C6" s="58">
        <f t="shared" si="1"/>
        <v>45911</v>
      </c>
      <c r="D6" s="42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78</v>
      </c>
      <c r="D3" s="5" t="s">
        <v>9</v>
      </c>
      <c r="E3" s="23" t="s">
        <v>80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7"/>
      <c r="B6" s="42" t="s">
        <v>27</v>
      </c>
      <c r="C6" s="43" t="s">
        <v>81</v>
      </c>
      <c r="D6" s="59">
        <v>40000.0</v>
      </c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78</v>
      </c>
      <c r="D3" s="5" t="s">
        <v>9</v>
      </c>
      <c r="E3" s="23" t="s">
        <v>82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7"/>
      <c r="B6" s="58">
        <f>today()-1</f>
        <v>45911</v>
      </c>
      <c r="C6" s="58">
        <f>today()</f>
        <v>45912</v>
      </c>
      <c r="D6" s="42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78</v>
      </c>
      <c r="D3" s="5" t="s">
        <v>9</v>
      </c>
      <c r="E3" s="23" t="s">
        <v>83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5" t="s">
        <v>16</v>
      </c>
      <c r="C6" s="56">
        <v>194.32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v>94.51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v>36.48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2">
        <v>6.56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84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52" t="s">
        <v>27</v>
      </c>
      <c r="D6" s="52" t="s">
        <v>17</v>
      </c>
      <c r="E6" s="52" t="s">
        <v>85</v>
      </c>
      <c r="F6" s="60" t="s">
        <v>86</v>
      </c>
      <c r="G6" s="53">
        <v>94.51</v>
      </c>
      <c r="H6" s="53">
        <v>94.51</v>
      </c>
      <c r="I6" s="53">
        <v>1.0</v>
      </c>
      <c r="J6" s="61"/>
      <c r="K6" s="53">
        <v>100.0</v>
      </c>
      <c r="L6" s="53">
        <v>9451.0</v>
      </c>
      <c r="M6" s="53">
        <v>9451.0</v>
      </c>
      <c r="N6" s="52"/>
      <c r="O6" s="53">
        <v>90.0</v>
      </c>
      <c r="P6" s="53">
        <v>8505.9</v>
      </c>
      <c r="Q6" s="53">
        <v>8505.9</v>
      </c>
      <c r="R6" s="53">
        <v>-10.0</v>
      </c>
      <c r="S6" s="53">
        <v>-945.0</v>
      </c>
    </row>
    <row r="7" ht="15.75" customHeight="1">
      <c r="A7" s="8"/>
      <c r="B7" s="8"/>
      <c r="C7" s="52" t="s">
        <v>27</v>
      </c>
      <c r="D7" s="52" t="s">
        <v>16</v>
      </c>
      <c r="E7" s="52" t="s">
        <v>85</v>
      </c>
      <c r="F7" s="62" t="s">
        <v>86</v>
      </c>
      <c r="G7" s="53">
        <v>194.32</v>
      </c>
      <c r="H7" s="53">
        <v>194.32</v>
      </c>
      <c r="I7" s="53">
        <v>1.0</v>
      </c>
      <c r="J7" s="63"/>
      <c r="K7" s="53">
        <v>600.0</v>
      </c>
      <c r="L7" s="53">
        <v>116592.0</v>
      </c>
      <c r="M7" s="53">
        <v>116592.0</v>
      </c>
      <c r="N7" s="52"/>
      <c r="O7" s="53">
        <v>500.0</v>
      </c>
      <c r="P7" s="53">
        <v>97160.0</v>
      </c>
      <c r="Q7" s="53">
        <v>97160.0</v>
      </c>
      <c r="R7" s="53">
        <v>-100.0</v>
      </c>
      <c r="S7" s="54">
        <v>-19432.0</v>
      </c>
    </row>
    <row r="8" ht="15.75" customHeight="1">
      <c r="A8" s="8"/>
      <c r="B8" s="8"/>
      <c r="C8" s="52" t="s">
        <v>27</v>
      </c>
      <c r="D8" s="52" t="s">
        <v>19</v>
      </c>
      <c r="E8" s="52" t="s">
        <v>85</v>
      </c>
      <c r="F8" s="62" t="s">
        <v>86</v>
      </c>
      <c r="G8" s="53">
        <v>6.56</v>
      </c>
      <c r="H8" s="53">
        <v>6.56</v>
      </c>
      <c r="I8" s="53">
        <v>1.0</v>
      </c>
      <c r="J8" s="63"/>
      <c r="K8" s="53">
        <v>600.0</v>
      </c>
      <c r="L8" s="53">
        <v>3936.0</v>
      </c>
      <c r="M8" s="53">
        <v>3936.0</v>
      </c>
      <c r="N8" s="52"/>
      <c r="O8" s="53">
        <v>550.0</v>
      </c>
      <c r="P8" s="53">
        <v>3608.0</v>
      </c>
      <c r="Q8" s="53">
        <v>3608.0</v>
      </c>
      <c r="R8" s="53">
        <v>-50.0</v>
      </c>
      <c r="S8" s="53">
        <v>-328.0</v>
      </c>
    </row>
    <row r="9" ht="15.75" customHeight="1">
      <c r="A9" s="8"/>
      <c r="B9" s="8"/>
      <c r="C9" s="52" t="s">
        <v>27</v>
      </c>
      <c r="D9" s="52" t="s">
        <v>18</v>
      </c>
      <c r="E9" s="52" t="s">
        <v>85</v>
      </c>
      <c r="F9" s="62" t="s">
        <v>87</v>
      </c>
      <c r="G9" s="53">
        <v>36.48</v>
      </c>
      <c r="H9" s="53">
        <v>36.48</v>
      </c>
      <c r="I9" s="53">
        <v>1.0</v>
      </c>
      <c r="J9" s="63"/>
      <c r="K9" s="53">
        <v>100.0</v>
      </c>
      <c r="L9" s="53">
        <v>-3648.0</v>
      </c>
      <c r="M9" s="53">
        <v>-3648.0</v>
      </c>
      <c r="N9" s="52"/>
      <c r="O9" s="53">
        <v>90.0</v>
      </c>
      <c r="P9" s="53">
        <v>-3283.2</v>
      </c>
      <c r="Q9" s="53">
        <v>-3283.2</v>
      </c>
      <c r="R9" s="53">
        <v>-10.0</v>
      </c>
      <c r="S9" s="53">
        <v>365.0</v>
      </c>
    </row>
    <row r="10" ht="15.75" customHeight="1">
      <c r="A10" s="8"/>
      <c r="B10" s="8"/>
      <c r="C10" s="52" t="s">
        <v>27</v>
      </c>
      <c r="D10" s="52" t="s">
        <v>88</v>
      </c>
      <c r="E10" s="52" t="s">
        <v>88</v>
      </c>
      <c r="F10" s="62" t="s">
        <v>86</v>
      </c>
      <c r="G10" s="63">
        <v>1.0</v>
      </c>
      <c r="H10" s="53">
        <v>1.0</v>
      </c>
      <c r="I10" s="53">
        <v>1.0</v>
      </c>
      <c r="J10" s="63"/>
      <c r="K10" s="53">
        <v>0.0</v>
      </c>
      <c r="L10" s="53">
        <v>0.0</v>
      </c>
      <c r="M10" s="53">
        <v>0.0</v>
      </c>
      <c r="N10" s="52"/>
      <c r="O10" s="53">
        <v>0.0</v>
      </c>
      <c r="P10" s="53">
        <v>0.0</v>
      </c>
      <c r="Q10" s="53">
        <v>0.0</v>
      </c>
      <c r="R10" s="53">
        <v>0.0</v>
      </c>
      <c r="S10" s="53">
        <v>0.0</v>
      </c>
    </row>
    <row r="11" ht="15.75" customHeight="1">
      <c r="A11" s="8"/>
      <c r="B11" s="8"/>
      <c r="C11" s="52" t="s">
        <v>27</v>
      </c>
      <c r="D11" s="52" t="s">
        <v>89</v>
      </c>
      <c r="E11" s="52" t="s">
        <v>89</v>
      </c>
      <c r="F11" s="62" t="s">
        <v>86</v>
      </c>
      <c r="G11" s="63">
        <v>1.0</v>
      </c>
      <c r="H11" s="53">
        <v>1.0</v>
      </c>
      <c r="I11" s="53">
        <v>1.0</v>
      </c>
      <c r="J11" s="63"/>
      <c r="K11" s="53">
        <v>40000.0</v>
      </c>
      <c r="L11" s="53">
        <v>40000.0</v>
      </c>
      <c r="M11" s="53">
        <v>40000.0</v>
      </c>
      <c r="N11" s="52"/>
      <c r="O11" s="53">
        <v>43707.0</v>
      </c>
      <c r="P11" s="53">
        <v>43707.0</v>
      </c>
      <c r="Q11" s="53">
        <v>43707.0</v>
      </c>
      <c r="R11" s="53">
        <v>3707.0</v>
      </c>
      <c r="S11" s="54">
        <v>3707.0</v>
      </c>
    </row>
    <row r="12" ht="15.75" customHeight="1">
      <c r="A12" s="8"/>
      <c r="B12" s="8"/>
      <c r="C12" s="52" t="s">
        <v>27</v>
      </c>
      <c r="D12" s="52" t="s">
        <v>90</v>
      </c>
      <c r="E12" s="52" t="s">
        <v>90</v>
      </c>
      <c r="F12" s="60" t="s">
        <v>86</v>
      </c>
      <c r="G12" s="53">
        <v>1.0</v>
      </c>
      <c r="H12" s="53">
        <v>1.0</v>
      </c>
      <c r="I12" s="53">
        <v>1.0</v>
      </c>
      <c r="J12" s="8"/>
      <c r="K12" s="53">
        <v>0.0</v>
      </c>
      <c r="L12" s="53">
        <v>0.0</v>
      </c>
      <c r="M12" s="53">
        <v>0.0</v>
      </c>
      <c r="N12" s="52"/>
      <c r="O12" s="53">
        <v>0.0</v>
      </c>
      <c r="P12" s="53">
        <v>0.0</v>
      </c>
      <c r="Q12" s="53">
        <v>0.0</v>
      </c>
      <c r="R12" s="53">
        <v>0.0</v>
      </c>
      <c r="S12" s="53">
        <v>0.0</v>
      </c>
    </row>
    <row r="13" ht="15.75" customHeight="1">
      <c r="A13" s="8"/>
      <c r="B13" s="8"/>
      <c r="C13" s="52" t="s">
        <v>27</v>
      </c>
      <c r="D13" s="52" t="s">
        <v>91</v>
      </c>
      <c r="E13" s="52" t="s">
        <v>91</v>
      </c>
      <c r="F13" s="62" t="s">
        <v>86</v>
      </c>
      <c r="G13" s="53">
        <v>1.0</v>
      </c>
      <c r="H13" s="53">
        <v>1.0</v>
      </c>
      <c r="I13" s="53">
        <v>1.0</v>
      </c>
      <c r="J13" s="8"/>
      <c r="K13" s="53">
        <v>0.0</v>
      </c>
      <c r="L13" s="53">
        <v>0.0</v>
      </c>
      <c r="M13" s="53">
        <v>0.0</v>
      </c>
      <c r="N13" s="52"/>
      <c r="O13" s="53">
        <v>0.0</v>
      </c>
      <c r="P13" s="53">
        <v>0.0</v>
      </c>
      <c r="Q13" s="53">
        <v>0.0</v>
      </c>
      <c r="R13" s="53">
        <v>0.0</v>
      </c>
      <c r="S13" s="53">
        <v>0.0</v>
      </c>
    </row>
    <row r="14" ht="15.75" customHeight="1">
      <c r="A14" s="8"/>
      <c r="B14" s="8"/>
      <c r="C14" s="52" t="s">
        <v>27</v>
      </c>
      <c r="D14" s="52" t="s">
        <v>92</v>
      </c>
      <c r="E14" s="52" t="s">
        <v>92</v>
      </c>
      <c r="F14" s="62" t="s">
        <v>86</v>
      </c>
      <c r="G14" s="53">
        <v>1.0</v>
      </c>
      <c r="H14" s="53">
        <v>1.0</v>
      </c>
      <c r="I14" s="53">
        <v>1.0</v>
      </c>
      <c r="J14" s="8"/>
      <c r="K14" s="53">
        <v>0.0</v>
      </c>
      <c r="L14" s="53">
        <v>0.0</v>
      </c>
      <c r="M14" s="53">
        <v>0.0</v>
      </c>
      <c r="N14" s="52"/>
      <c r="O14" s="53">
        <v>0.0</v>
      </c>
      <c r="P14" s="53">
        <v>0.0</v>
      </c>
      <c r="Q14" s="53">
        <v>0.0</v>
      </c>
      <c r="R14" s="53">
        <v>0.0</v>
      </c>
      <c r="S14" s="53">
        <v>0.0</v>
      </c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73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IFERROR(__xludf.DUMMYFUNCTION("""COMPUTED_VALUE"""),"AllowTrade")</f>
        <v>AllowTrade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2" t="s">
        <v>27</v>
      </c>
      <c r="C6" s="52" t="s">
        <v>74</v>
      </c>
      <c r="D6" s="52" t="s">
        <v>17</v>
      </c>
      <c r="E6" s="53">
        <v>10.0</v>
      </c>
      <c r="F6" s="53">
        <v>94.51</v>
      </c>
      <c r="G6" s="53">
        <v>-945.0</v>
      </c>
      <c r="H6" s="8"/>
      <c r="I6" s="13" t="s">
        <v>23</v>
      </c>
      <c r="J6" s="8"/>
      <c r="K6" s="8"/>
      <c r="L6" s="8"/>
      <c r="M6" s="8"/>
      <c r="N6" s="8"/>
      <c r="O6" s="8"/>
    </row>
    <row r="7" ht="15.75" customHeight="1">
      <c r="A7" s="8"/>
      <c r="B7" s="52" t="s">
        <v>27</v>
      </c>
      <c r="C7" s="52" t="s">
        <v>74</v>
      </c>
      <c r="D7" s="52" t="s">
        <v>16</v>
      </c>
      <c r="E7" s="53">
        <v>100.0</v>
      </c>
      <c r="F7" s="53">
        <v>194.32</v>
      </c>
      <c r="G7" s="54">
        <v>-19432.0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52" t="s">
        <v>27</v>
      </c>
      <c r="C8" s="52" t="s">
        <v>74</v>
      </c>
      <c r="D8" s="52" t="s">
        <v>19</v>
      </c>
      <c r="E8" s="53">
        <v>50.0</v>
      </c>
      <c r="F8" s="53">
        <v>6.56</v>
      </c>
      <c r="G8" s="53">
        <v>-328.0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52" t="s">
        <v>27</v>
      </c>
      <c r="C9" s="52" t="s">
        <v>76</v>
      </c>
      <c r="D9" s="52" t="s">
        <v>18</v>
      </c>
      <c r="E9" s="53">
        <v>10.0</v>
      </c>
      <c r="F9" s="53">
        <v>36.48</v>
      </c>
      <c r="G9" s="53">
        <v>365.0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SendToStagingExport1!$4:$4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