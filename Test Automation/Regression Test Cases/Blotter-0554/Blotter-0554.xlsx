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VerifySubOrder" sheetId="9" r:id="rId11"/>
    <sheet state="visible" name="VerifySubOrder1" sheetId="10" r:id="rId12"/>
    <sheet state="visible" name="ExecuteTrade1" sheetId="11" r:id="rId13"/>
    <sheet state="visible" name="ReplaceSubOrder" sheetId="12" r:id="rId14"/>
    <sheet state="visible" name="CreateReplaceOrder" sheetId="13" r:id="rId15"/>
    <sheet state="visible" name="RefreshBlotter" sheetId="14" r:id="rId16"/>
    <sheet state="visible" name="Copy of Data" sheetId="15" r:id="rId17"/>
  </sheets>
  <calcPr fullCalcOnLoad="1" fullPrecision="1"/>
</workbook>
</file>

<file path=xl/sharedStrings.xml><?xml version="1.0" encoding="utf-8"?>
<sst xmlns="http://schemas.openxmlformats.org/spreadsheetml/2006/main" count="37" uniqueCount="37">
  <si>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</si>
  <si>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</si>
  <si>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</si>
  <si>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</si>
  <si>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</si>
  <si>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</si>
  <si>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</si>
  <si>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</si>
  <si>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</si>
  <si>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</si>
  <si>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</si>
  <si>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</si>
  <si>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</si>
  <si>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</si>
  <si>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</si>
  <si>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</si>
  <si>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</si>
  <si>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SEND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</si>
  <si>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</si>
  <si>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</si>
  <si>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</si>
  <si>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</si>
  <si>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</si>
  <si>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</si>
  <si>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</si>
  <si>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</si>
  <si>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Buy</t>
  </si>
  <si>
    <t>PartiallyFilled</t>
  </si>
  <si>
    <t>VerifySubOrder</t>
  </si>
  <si>
    <t>Replaced</t>
  </si>
  <si>
    <t>MS</t>
  </si>
  <si>
    <t>Allocation1</t>
  </si>
  <si>
    <t>ReplaceSubOrder</t>
  </si>
  <si>
    <t>CreateReplaceOrder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</si>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</sst>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0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  <xf numFmtId="14" applyNumberFormat="1" fontId="3" applyFont="1" fillId="0" borderId="0" xfId="0" applyAlignment="1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IFERROR(__xludf.DUMMYFUNCTION("""COMPUTED_VALUE"""),"RTPNL")</f>
        <v>RTPNL</v>
      </c>
      <c r="B767" s="0" t="str">
        <f>IFERROR(__xludf.DUMMYFUNCTION("""COMPUTED_VALUE"""),"RenameTabs")</f>
        <v>RenameTabs</v>
      </c>
      <c r="C767" s="0" t="str">
        <f>IFERROR(__xludf.DUMMYFUNCTION("""COMPUTED_VALUE"""),"1K7LcioEl1sTwLRhqHc9go_7jNmUIRZNy9zBQLMgtBw8")</f>
        <v>1K7LcioEl1sTwLRhqHc9go_7jNmUIRZNy9zBQLMgtBw8</v>
      </c>
    </row>
    <row r="768" ht="15.75" customHeight="1">
      <c r="A768" s="0" t="str">
        <f>IFERROR(__xludf.DUMMYFUNCTION("""COMPUTED_VALUE"""),"RTPNL")</f>
        <v>RTPNL</v>
      </c>
      <c r="B768" s="0" t="str">
        <f>IFERROR(__xludf.DUMMYFUNCTION("""COMPUTED_VALUE"""),"ResizeEnsure")</f>
        <v>ResizeEnsure</v>
      </c>
      <c r="C768" s="0" t="str">
        <f>IFERROR(__xludf.DUMMYFUNCTION("""COMPUTED_VALUE"""),"1-peVyQ_nIwd8owwmtDtNW-yx12KQx2nHeYee6duB46M")</f>
        <v>1-peVyQ_nIwd8owwmtDtNW-yx12KQx2nHeYee6duB46M</v>
      </c>
    </row>
    <row r="769" ht="15.75" customHeight="1">
      <c r="A769" s="0" t="str">
        <f>IFERROR(__xludf.DUMMYFUNCTION("""COMPUTED_VALUE"""),"Admin")</f>
        <v>Admin</v>
      </c>
      <c r="B769" s="0" t="str">
        <f>IFERROR(__xludf.DUMMYFUNCTION("""COMPUTED_VALUE"""),"ClearRTPNLtabs")</f>
        <v>ClearRTPNLtabs</v>
      </c>
      <c r="C769" s="0" t="str">
        <f>IFERROR(__xludf.DUMMYFUNCTION("""COMPUTED_VALUE"""),"Undefined")</f>
        <v>Undefined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IFERROR(__xludf.DUMMYFUNCTION("""COMPUTED_VALUE"""),"AddTabRTPNL")</f>
        <v>AddTabRTPNL</v>
      </c>
      <c r="C770" s="0" t="str">
        <f>IFERROR(__xludf.DUMMYFUNCTION("""COMPUTED_VALUE"""),"18kG7vS-CfSLW8Q-ho416lyPlP36XJPPHA0cRbCk3vjU")</f>
        <v>18kG7vS-CfSLW8Q-ho416lyPlP36XJPPHA0cRbCk3vjU</v>
      </c>
    </row>
    <row r="771" ht="15.75" customHeight="1">
      <c r="A771" s="0" t="str">
        <f>IFERROR(__xludf.DUMMYFUNCTION("""COMPUTED_VALUE"""),"PortfolioManagement")</f>
        <v>PortfolioManagement</v>
      </c>
      <c r="B771" s="0" t="str">
        <f>IFERROR(__xludf.DUMMYFUNCTION("""COMPUTED_VALUE"""),"SelectTradeOnPM")</f>
        <v>SelectTradeOnPM</v>
      </c>
      <c r="C771" s="0" t="str">
        <f>IFERROR(__xludf.DUMMYFUNCTION("""COMPUTED_VALUE"""),"1_tBJjps2mULQyHra_AnC6BBvPbOko3FAY-kc11l7eTg")</f>
        <v>1_tBJjps2mULQyHra_AnC6BBvPbOko3FAY-kc11l7eTg</v>
      </c>
    </row>
    <row r="772" ht="15.75" customHeight="1">
      <c r="A772" s="0" t="str">
        <f>IFERROR(__xludf.DUMMYFUNCTION("""COMPUTED_VALUE"""),"Unknown")</f>
        <v>Unknown</v>
      </c>
      <c r="B772" s="0" t="str">
        <f>IFERROR(__xludf.DUMMYFUNCTION("""COMPUTED_VALUE"""),"RightClickOperations")</f>
        <v>RightClickOperations</v>
      </c>
      <c r="C772" s="0" t="str">
        <f>IFERROR(__xludf.DUMMYFUNCTION("""COMPUTED_VALUE"""),"17jhCujI-0V0U3n5lzlkc-azSuwCa7rf-4KwcSInm9ts")</f>
        <v>17jhCujI-0V0U3n5lzlkc-azSuwCa7rf-4KwcSInm9ts</v>
      </c>
    </row>
    <row r="773" ht="15.75" customHeight="1">
      <c r="A773" s="0" t="str">
        <f>IFERROR(__xludf.DUMMYFUNCTION("""COMPUTED_VALUE"""),"Unknown")</f>
        <v>Unknown</v>
      </c>
      <c r="B773" s="0" t="str">
        <f>IFERROR(__xludf.DUMMYFUNCTION("""COMPUTED_VALUE"""),"RightClickAndClickOperations")</f>
        <v>RightClickAndClickOperations</v>
      </c>
      <c r="C773" s="0" t="str">
        <f>IFERROR(__xludf.DUMMYFUNCTION("""COMPUTED_VALUE"""),"1e9jtl9r57SkbYm3S4wbHtvkeG2KExZEiFSIkkRSaq-8")</f>
        <v>1e9jtl9r57SkbYm3S4wbHtvkeG2KExZEiFSIkkRSaq-8</v>
      </c>
    </row>
    <row r="774" ht="15.75" customHeight="1">
      <c r="A774" s="0" t="str">
        <f>IFERROR(__xludf.DUMMYFUNCTION("""COMPUTED_VALUE"""),"Blotter")</f>
        <v>Blotter</v>
      </c>
      <c r="B774" s="0" t="str">
        <f>IFERROR(__xludf.DUMMYFUNCTION("""COMPUTED_VALUE"""),"BlotterToolBarAction")</f>
        <v>BlotterToolBarAction</v>
      </c>
      <c r="C774" s="0" t="str">
        <f>IFERROR(__xludf.DUMMYFUNCTION("""COMPUTED_VALUE"""),"1bI1kIBxH6qy8zi5tx46rN3vNgbmxbdwtAo1inrXDALs")</f>
        <v>1bI1kIBxH6qy8zi5tx46rN3vNgbmxbdwtAo1inrXDALs</v>
      </c>
    </row>
    <row r="775" ht="15.75" customHeight="1">
      <c r="A775" s="0" t="str">
        <f>IFERROR(__xludf.DUMMYFUNCTION("""COMPUTED_VALUE"""),"TradingTicket")</f>
        <v>TradingTicket</v>
      </c>
      <c r="B775" s="0" t="str">
        <f>IFERROR(__xludf.DUMMYFUNCTION("""COMPUTED_VALUE"""),"MergeTT")</f>
        <v>MergeTT</v>
      </c>
      <c r="C775" s="0" t="str">
        <f>IFERROR(__xludf.DUMMYFUNCTION("""COMPUTED_VALUE"""),"1BEiRPdwHXsXVZ0ioude04Me5qSQ_YU6xh1ZwMWgExVU")</f>
        <v>1BEiRPdwHXsXVZ0ioude04Me5qSQ_YU6xh1ZwMWgExVU</v>
      </c>
    </row>
    <row r="776" ht="15.75" customHeight="1">
      <c r="A776" s="0" t="str">
        <f>IFERROR(__xludf.DUMMYFUNCTION("""COMPUTED_VALUE"""),"PortfolioManagement")</f>
        <v>PortfolioManagement</v>
      </c>
      <c r="B776" s="0" t="str">
        <f>IFERROR(__xludf.DUMMYFUNCTION("""COMPUTED_VALUE"""),"OperationsonPM")</f>
        <v>OperationsonPM</v>
      </c>
      <c r="C776" s="0" t="str">
        <f>IFERROR(__xludf.DUMMYFUNCTION("""COMPUTED_VALUE"""),"13hKVogBv66c752V1EGUyqXp4dGESQOZLmMqIB56fbAs")</f>
        <v>13hKVogBv66c752V1EGUyqXp4dGESQOZLmMqIB56fbAs</v>
      </c>
    </row>
    <row r="777" ht="15.75" customHeight="1">
      <c r="A777" s="0" t="str">
        <f>IFERROR(__xludf.DUMMYFUNCTION("""COMPUTED_VALUE"""),"Rebalancer")</f>
        <v>Rebalancer</v>
      </c>
      <c r="B777" s="0" t="str">
        <f>IFERROR(__xludf.DUMMYFUNCTION("""COMPUTED_VALUE"""),"CreateOrViewModelPortfolio")</f>
        <v>CreateOrViewModelPortfolio</v>
      </c>
      <c r="C777" s="0" t="str">
        <f>IFERROR(__xludf.DUMMYFUNCTION("""COMPUTED_VALUE"""),"1vejknW_QiO0r5pMzMjOGCCsgwLVes4a3Ubx1l-0Mg1k")</f>
        <v>1vejknW_QiO0r5pMzMjOGCCsgwLVes4a3Ubx1l-0Mg1k</v>
      </c>
    </row>
    <row r="778" ht="15.75" customHeight="1">
      <c r="A778" s="0" t="str">
        <f>IFERROR(__xludf.DUMMYFUNCTION("""COMPUTED_VALUE"""),"Rebalancer")</f>
        <v>Rebalancer</v>
      </c>
      <c r="B778" s="0" t="str">
        <f>IFERROR(__xludf.DUMMYFUNCTION("""COMPUTED_VALUE"""),"VerifyModelPortfolio")</f>
        <v>VerifyModelPortfolio</v>
      </c>
      <c r="C778" s="0" t="str">
        <f>IFERROR(__xludf.DUMMYFUNCTION("""COMPUTED_VALUE"""),"1Tza5cx7NJ2J8vr_f6DC-KPhnXCzf7l1m0EERc6z_T-U")</f>
        <v>1Tza5cx7NJ2J8vr_f6DC-KPhnXCzf7l1m0EERc6z_T-U</v>
      </c>
    </row>
    <row r="779" ht="15.75" customHeight="1">
      <c r="A779" s="0" t="str">
        <f>IFERROR(__xludf.DUMMYFUNCTION("""COMPUTED_VALUE"""),"Allocation")</f>
        <v>Allocation</v>
      </c>
      <c r="B779" s="0" t="str">
        <f>IFERROR(__xludf.DUMMYFUNCTION("""COMPUTED_VALUE"""),"ReviewExistingPositions")</f>
        <v>ReviewExistingPositions</v>
      </c>
      <c r="C779" s="0" t="str">
        <f>IFERROR(__xludf.DUMMYFUNCTION("""COMPUTED_VALUE"""),"1KwYoTdpeW6LDhzloVKHp5buZqc8IjXEShjwnUx45Ql8")</f>
        <v>1KwYoTdpeW6LDhzloVKHp5buZqc8IjXEShjwnUx45Ql8</v>
      </c>
    </row>
    <row r="780" ht="15.75" customHeight="1">
      <c r="A780" s="0" t="str">
        <f>IFERROR(__xludf.DUMMYFUNCTION("""COMPUTED_VALUE"""),"PTT")</f>
        <v>PTT</v>
      </c>
      <c r="B780" s="0" t="str">
        <f>IFERROR(__xludf.DUMMYFUNCTION("""COMPUTED_VALUE"""),"OperationsonPTT")</f>
        <v>OperationsonPTT</v>
      </c>
      <c r="C780" s="0" t="str">
        <f>IFERROR(__xludf.DUMMYFUNCTION("""COMPUTED_VALUE"""),"1J40rCXEDilLEF_x0Wkeeg1lwGfejucV1VSY9UcyeSlw")</f>
        <v>1J40rCXEDilLEF_x0Wkeeg1lwGfejucV1VSY9UcyeSlw</v>
      </c>
    </row>
    <row r="781" ht="15.75" customHeight="1">
      <c r="A781" s="0" t="str">
        <f>IFERROR(__xludf.DUMMYFUNCTION("""COMPUTED_VALUE"""),"PricingInput")</f>
        <v>PricingInput</v>
      </c>
      <c r="B781" s="0" t="str">
        <f>IFERROR(__xludf.DUMMYFUNCTION("""COMPUTED_VALUE"""),"UpdatePricingInput")</f>
        <v>UpdatePricingInput</v>
      </c>
      <c r="C781" s="0" t="str">
        <f>IFERROR(__xludf.DUMMYFUNCTION("""COMPUTED_VALUE"""),"1CG9iYOkRKzlGEsKh7QuEyMdGRQea_W4KDWwlnjE2BdE")</f>
        <v>1CG9iYOkRKzlGEsKh7QuEyMdGRQea_W4KDWwlnjE2BdE</v>
      </c>
    </row>
    <row r="782" ht="15.75" customHeight="1">
      <c r="A782" s="0" t="str">
        <f>IFERROR(__xludf.DUMMYFUNCTION("""COMPUTED_VALUE"""),"DailyValuation")</f>
        <v>DailyValuation</v>
      </c>
      <c r="B782" s="0" t="str">
        <f>IFERROR(__xludf.DUMMYFUNCTION("""COMPUTED_VALUE"""),"UpdateMPAndFC")</f>
        <v>UpdateMPAndFC</v>
      </c>
      <c r="C782" s="0" t="str">
        <f>IFERROR(__xludf.DUMMYFUNCTION("""COMPUTED_VALUE"""),"1UCNfZng94LprScqCmSKImRjCwiKlLQU_e1kY1tum91I")</f>
        <v>1UCNfZng94LprScqCmSKImRjCwiKlLQU_e1kY1tum91I</v>
      </c>
    </row>
    <row r="783" ht="15.75" customHeight="1">
      <c r="A783" s="0" t="str">
        <f>IFERROR(__xludf.DUMMYFUNCTION("""COMPUTED_VALUE"""),"Rebalancer")</f>
        <v>Rebalancer</v>
      </c>
      <c r="B783" s="0" t="str">
        <f>IFERROR(__xludf.DUMMYFUNCTION("""COMPUTED_VALUE"""),"SelectAndVerifyTradeList")</f>
        <v>SelectAndVerifyTradeList</v>
      </c>
      <c r="C783" s="0" t="str">
        <f>IFERROR(__xludf.DUMMYFUNCTION("""COMPUTED_VALUE"""),"1fXJG--hBH0hPvU7g5jtXyZnD1GiwJXfYX9HdEyhGyGs")</f>
        <v>1fXJG--hBH0hPvU7g5jtXyZnD1GiwJXfYX9HdEyhGyGs</v>
      </c>
    </row>
    <row r="784" ht="15.75" customHeight="1">
      <c r="A784" s="0" t="str">
        <f>IFERROR(__xludf.DUMMYFUNCTION("""COMPUTED_VALUE"""),"Rebalancer")</f>
        <v>Rebalancer</v>
      </c>
      <c r="B784" s="0" t="str">
        <f>IFERROR(__xludf.DUMMYFUNCTION("""COMPUTED_VALUE"""),"ActionOnTradeBuySellListView")</f>
        <v>ActionOnTradeBuySellListView</v>
      </c>
      <c r="C784" s="0" t="str">
        <f>IFERROR(__xludf.DUMMYFUNCTION("""COMPUTED_VALUE"""),"1xeJEpkdxtbik3vPUTkxALkXsnL-Vl5dF07PBUoheM3k")</f>
        <v>1xeJEpkdxtbik3vPUTkxALkXsnL-Vl5dF07PBUoheM3k</v>
      </c>
    </row>
    <row r="785" ht="15.75" customHeight="1">
      <c r="A785" s="0" t="str">
        <f>IFERROR(__xludf.DUMMYFUNCTION("""COMPUTED_VALUE"""),"Blotter")</f>
        <v>Blotter</v>
      </c>
      <c r="B785" s="0" t="str">
        <f>IFERROR(__xludf.DUMMYFUNCTION("""COMPUTED_VALUE"""),"AddTabToFav")</f>
        <v>AddTabToFav</v>
      </c>
      <c r="C785" s="0" t="str">
        <f>IFERROR(__xludf.DUMMYFUNCTION("""COMPUTED_VALUE"""),"1Hrblc1gk4JIYboQ1lGHgl7HatAXp5amAl9mS58vzT-0")</f>
        <v>1Hrblc1gk4JIYboQ1lGHgl7HatAXp5amAl9mS58vzT-0</v>
      </c>
    </row>
    <row r="786" ht="15.75" customHeight="1">
      <c r="A786" s="0" t="str">
        <f>IFERROR(__xludf.DUMMYFUNCTION("""COMPUTED_VALUE"""),"TradingTicket")</f>
        <v>TradingTicket</v>
      </c>
      <c r="B786" s="0" t="str">
        <f>IFERROR(__xludf.DUMMYFUNCTION("""COMPUTED_VALUE"""),"VerifyExecutionType")</f>
        <v>VerifyExecutionType</v>
      </c>
      <c r="C786" s="0" t="str">
        <f>IFERROR(__xludf.DUMMYFUNCTION("""COMPUTED_VALUE"""),"1GeLKG0YL6nDFQYX8NohWSG0yonppxuSHWgOuwLzEWwI")</f>
        <v>1GeLKG0YL6nDFQYX8NohWSG0yonppxuSHWgOuwLzEWwI</v>
      </c>
    </row>
    <row r="787" ht="15.75" customHeight="1">
      <c r="A787" s="0" t="str">
        <f>IFERROR(__xludf.DUMMYFUNCTION("""COMPUTED_VALUE"""),"OpenFin")</f>
        <v>OpenFin</v>
      </c>
      <c r="B787" s="0" t="str">
        <f>IFERROR(__xludf.DUMMYFUNCTION("""COMPUTED_VALUE"""),"VerifyNotification")</f>
        <v>VerifyNotification</v>
      </c>
      <c r="C787" s="0" t="str">
        <f>IFERROR(__xludf.DUMMYFUNCTION("""COMPUTED_VALUE"""),"1rm7dGZ4-j6MPtyiMlJDHnZgIjnFk8Hv19VRPaPCgUMY")</f>
        <v>1rm7dGZ4-j6MPtyiMlJDHnZgIjnFk8Hv19VRPaPCgUMY</v>
      </c>
    </row>
    <row r="788" ht="15.75" customHeight="1">
      <c r="A788" s="0" t="str">
        <f>IFERROR(__xludf.DUMMYFUNCTION("""COMPUTED_VALUE"""),"Blotter")</f>
        <v>Blotter</v>
      </c>
      <c r="B788" s="0" t="str">
        <f>IFERROR(__xludf.DUMMYFUNCTION("""COMPUTED_VALUE"""),"RollOverContextMenu")</f>
        <v>RollOverContextMenu</v>
      </c>
      <c r="C788" s="0" t="str">
        <f>IFERROR(__xludf.DUMMYFUNCTION("""COMPUTED_VALUE"""),"1d45ieJRLC6DQ7t19pclAZz5EI6hBsZ5_VdNJYb3VsNc")</f>
        <v>1d45ieJRLC6DQ7t19pclAZz5EI6hBsZ5_VdNJYb3VsNc</v>
      </c>
    </row>
    <row r="789" ht="15.75" customHeight="1">
      <c r="A789" s="0" t="str">
        <f>IFERROR(__xludf.DUMMYFUNCTION("""COMPUTED_VALUE"""),"PTT")</f>
        <v>PTT</v>
      </c>
      <c r="B789" s="0" t="str">
        <f>IFERROR(__xludf.DUMMYFUNCTION("""COMPUTED_VALUE"""),"RefreshCalculation")</f>
        <v>RefreshCalculation</v>
      </c>
    </row>
    <row r="790" ht="15.75" customHeight="1">
      <c r="A790" s="0" t="str">
        <f>IFERROR(__xludf.DUMMYFUNCTION("""COMPUTED_VALUE"""),"Blotter")</f>
        <v>Blotter</v>
      </c>
      <c r="B790" s="0" t="str">
        <f>IFERROR(__xludf.DUMMYFUNCTION("""COMPUTED_VALUE"""),"BookAsSwap")</f>
        <v>BookAsSwap</v>
      </c>
      <c r="C790" s="0" t="str">
        <f>IFERROR(__xludf.DUMMYFUNCTION("""COMPUTED_VALUE"""),"1tnkP5eD3WH53SXu2O-MWk6774J7b5ihwlD7r9dGtpiY")</f>
        <v>1tnkP5eD3WH53SXu2O-MWk6774J7b5ihwlD7r9dGtpiY</v>
      </c>
    </row>
    <row r="791" ht="15.75" customHeight="1">
      <c r="A791" s="0" t="str">
        <f>IFERROR(__xludf.DUMMYFUNCTION("""COMPUTED_VALUE"""),"Blotter")</f>
        <v>Blotter</v>
      </c>
      <c r="B791" s="0" t="str">
        <f>IFERROR(__xludf.DUMMYFUNCTION("""COMPUTED_VALUE"""),"ActionOnFloatingWindow")</f>
        <v>ActionOnFloatingWindow</v>
      </c>
      <c r="C791" s="0" t="str">
        <f>IFERROR(__xludf.DUMMYFUNCTION("""COMPUTED_VALUE"""),"1tFNUPT3PXgCKRnnehGwo6OF7EhLu13UJ8Elfq83HArE")</f>
        <v>1tFNUPT3PXgCKRnnehGwo6OF7EhLu13UJ8Elfq83HArE</v>
      </c>
    </row>
    <row r="792" ht="15.75" customHeight="1">
      <c r="A792" s="0" t="str">
        <f>IFERROR(__xludf.DUMMYFUNCTION("""COMPUTED_VALUE"""),"OpenFin")</f>
        <v>OpenFin</v>
      </c>
      <c r="B792" s="0" t="str">
        <f>IFERROR(__xludf.DUMMYFUNCTION("""COMPUTED_VALUE"""),"LockUnlockModule")</f>
        <v>LockUnlockModule</v>
      </c>
      <c r="C792" s="0" t="str">
        <f>IFERROR(__xludf.DUMMYFUNCTION("""COMPUTED_VALUE"""),"179D0kPRO8f_KLxd7hs6seM9XGxpL-u1rhIhNgFVePsQ")</f>
        <v>179D0kPRO8f_KLxd7hs6seM9XGxpL-u1rhIhNgFVePsQ</v>
      </c>
    </row>
    <row r="793" ht="15.75" customHeight="1">
      <c r="A793" s="0" t="str">
        <f>IFERROR(__xludf.DUMMYFUNCTION("""COMPUTED_VALUE"""),"OpenFin")</f>
        <v>OpenFin</v>
      </c>
      <c r="B793" s="0" t="str">
        <f>IFERROR(__xludf.DUMMYFUNCTION("""COMPUTED_VALUE"""),"OpenModule")</f>
        <v>OpenModule</v>
      </c>
      <c r="C793" s="0" t="str">
        <f>IFERROR(__xludf.DUMMYFUNCTION("""COMPUTED_VALUE"""),"1IdmD7l42pWNjFNVt_7UwbOO7y5tDxaXr7tE60c9ETLw")</f>
        <v>1IdmD7l42pWNjFNVt_7UwbOO7y5tDxaXr7tE60c9ETLw</v>
      </c>
    </row>
    <row r="794" ht="15.75" customHeight="1">
      <c r="A794" s="0" t="str">
        <f>IFERROR(__xludf.DUMMYFUNCTION("""COMPUTED_VALUE"""),"TradingTicket")</f>
        <v>TradingTicket</v>
      </c>
      <c r="B794" s="0" t="str">
        <f>IFERROR(__xludf.DUMMYFUNCTION("""COMPUTED_VALUE"""),"SymbolSuggestionVerify")</f>
        <v>SymbolSuggestionVerify</v>
      </c>
      <c r="C794" s="0" t="str">
        <f>IFERROR(__xludf.DUMMYFUNCTION("""COMPUTED_VALUE"""),"14aTeLjmUbS-nhaQwjtZAMGxdQ5DS6UsBjE5OTWN-LQU")</f>
        <v>14aTeLjmUbS-nhaQwjtZAMGxdQ5DS6UsBjE5OTWN-LQU</v>
      </c>
    </row>
    <row r="795" ht="15.75" customHeight="1">
      <c r="A795" s="0" t="str">
        <f>IFERROR(__xludf.DUMMYFUNCTION("""COMPUTED_VALUE"""),"Blotter")</f>
        <v>Blotter</v>
      </c>
      <c r="B795" s="0" t="str">
        <f>IFERROR(__xludf.DUMMYFUNCTION("""COMPUTED_VALUE"""),"CreateHotButtonOnBlotter")</f>
        <v>CreateHotButtonOnBlotter</v>
      </c>
      <c r="C795" s="0" t="str">
        <f>IFERROR(__xludf.DUMMYFUNCTION("""COMPUTED_VALUE"""),"1Yu7Fb6AjhUP8b-KuRJvgAwq8TykNK6BDh9F0Xpf12Ek")</f>
        <v>1Yu7Fb6AjhUP8b-KuRJvgAwq8TykNK6BDh9F0Xpf12Ek</v>
      </c>
    </row>
    <row r="796" ht="15.75" customHeight="1">
      <c r="A796" s="0" t="str">
        <f>IFERROR(__xludf.DUMMYFUNCTION("""COMPUTED_VALUE"""),"Blotter")</f>
        <v>Blotter</v>
      </c>
      <c r="B796" s="0" t="str">
        <f>IFERROR(__xludf.DUMMYFUNCTION("""COMPUTED_VALUE"""),"FillHBdetailsOnBlotter")</f>
        <v>FillHBdetailsOnBlotter</v>
      </c>
      <c r="C796" s="0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</v>
      </c>
      <c r="D6" s="33">
        <v>100</v>
      </c>
      <c r="E6" s="34" t="s">
        <v>17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6" t="s">
        <v>18</v>
      </c>
      <c r="V6" s="35" t="s">
        <v>19</v>
      </c>
      <c r="W6" s="35"/>
      <c r="X6" s="37">
        <v>100</v>
      </c>
      <c r="Y6" s="38">
        <f>today()+3</f>
        <v>45858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A69B1D2-D745-4805-B42E-D188C7A29AD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818656A-7F28-4D22-873B-7280B651291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B52DB97-DE87-4748-8250-6470BC370AAE}">
          <x14:formula1>
            <xm:f>CustomOrderTT!$4:$4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68D9F4-20B2-4501-BBB5-C4FC825287F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D742EB5-B4DD-45E4-B5CD-C2F34A2E3FE6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1EB70516-E785-415D-BF28-90112DB7F652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DFA3AAD-A715-468B-B259-78EE8AB72C9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DC9F3E2-AE3E-4672-8310-CBD8C50C2A8D}">
          <x14:formula1>
            <xm:f>AcknowledgeTrade!$4:$4</xm:f>
          </x14:formula1>
          <xm:sqref>E3</xm:sqref>
        </x14:dataValidation>
        <x14:dataValidation type="list" allowBlank="1" showInputMessage="1" showErrorMessage="1" prompt="Choose an available module" xr:uid="{6453EEDB-2E27-45CC-80F3-2E701DB3B90D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12</v>
      </c>
      <c r="C6" s="32">
        <v>500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03E0DA8-A3B1-496F-BC4D-AB16D6B6BEC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C6A64F1-F903-4CEC-AEE3-120EAD93B2FC}">
          <x14:formula1>
            <xm:f>ExecuteTrade!$4:$4</xm:f>
          </x14:formula1>
          <xm:sqref>E3</xm:sqref>
        </x14:dataValidation>
        <x14:dataValidation type="list" allowBlank="1" showInputMessage="1" showErrorMessage="1" prompt="Choose an available module" xr:uid="{AA2AE4EB-D174-4328-AB1A-C5C82769AA03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16</v>
      </c>
      <c r="E6" s="35"/>
      <c r="F6" s="34" t="s">
        <v>26</v>
      </c>
      <c r="G6" s="34" t="s">
        <v>27</v>
      </c>
      <c r="H6" s="32">
        <v>1000</v>
      </c>
      <c r="I6" s="32">
        <v>500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A067280-9082-41EF-A9BE-CF16BDA52A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3B9547A-480E-47BB-BB8F-8C08D32F927B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C2DD8C51-6D8A-4235-B64B-5137846C30B5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2">
        <v>1500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26</v>
      </c>
      <c r="AK6" s="35" t="s">
        <v>29</v>
      </c>
      <c r="AL6" s="37">
        <v>2000</v>
      </c>
      <c r="AM6" s="37">
        <v>500</v>
      </c>
      <c r="AN6" s="37">
        <v>500</v>
      </c>
      <c r="AO6" s="35"/>
      <c r="AP6" s="35"/>
      <c r="AQ6" s="35" t="s">
        <v>30</v>
      </c>
      <c r="AR6" s="35" t="s">
        <v>31</v>
      </c>
      <c r="AS6" s="35"/>
      <c r="AT6" s="35"/>
      <c r="AU6" s="35"/>
      <c r="AV6" s="35"/>
      <c r="AW6" s="35"/>
      <c r="AX6" s="37">
        <v>1500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78F7F5C-5930-4E1F-B834-7382AD4FF97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FDEBB71-C3C0-481F-B32B-08155A6455A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B2C4AA2-48BD-45B2-B8FF-4A0DE53D1D8B}">
          <x14:formula1>
            <xm:f>VerifySubOrder!$4:$4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2">
        <v>1400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26</v>
      </c>
      <c r="AK6" s="35" t="s">
        <v>27</v>
      </c>
      <c r="AL6" s="37">
        <v>2000</v>
      </c>
      <c r="AM6" s="37">
        <v>600</v>
      </c>
      <c r="AN6" s="37">
        <v>600</v>
      </c>
      <c r="AO6" s="37"/>
      <c r="AP6" s="37"/>
      <c r="AQ6" s="35" t="s">
        <v>30</v>
      </c>
      <c r="AR6" s="35" t="s">
        <v>31</v>
      </c>
      <c r="AS6" s="35"/>
      <c r="AT6" s="37"/>
      <c r="AU6" s="37"/>
      <c r="AV6" s="35"/>
      <c r="AW6" s="35"/>
      <c r="AX6" s="37">
        <v>1400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ECE65E2-C0C1-4157-805A-C03021B77A7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3698F45-15D8-41FC-BCF4-CC51B866FE3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2333F0C-F576-4C76-BD4D-C9A87728A4CC}">
          <x14:formula1>
            <xm:f>VerifySubOrder1!$4:$4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12</v>
      </c>
      <c r="C6" s="32">
        <v>100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4A80B8D-5FA5-4CB7-B543-3FD51863E3A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2AA92DF-1A23-4030-9D1C-CC2321FA5A0A}">
          <x14:formula1>
            <xm:f>ExecuteTrade1!$4:$4</xm:f>
          </x14:formula1>
          <xm:sqref>E3</xm:sqref>
        </x14:dataValidation>
        <x14:dataValidation type="list" allowBlank="1" showInputMessage="1" showErrorMessage="1" prompt="Choose an available module" xr:uid="{C4E54CDB-DF4B-4B9B-B1BC-9439A98CE1A5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26</v>
      </c>
      <c r="AL6" s="35" t="s">
        <v>27</v>
      </c>
      <c r="AM6" s="37">
        <v>1000</v>
      </c>
      <c r="AN6" s="37">
        <v>500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CDCC935-1DD6-4066-B231-F4E3781423B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905758C-32FF-4E54-B46F-7C612EC56D1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2CFAA29-F704-44E3-B94E-C4A327506657}">
          <x14:formula1>
            <xm:f>ReplaceSubOrder!$4:$4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2000</v>
      </c>
      <c r="E6" s="35"/>
      <c r="F6" s="35"/>
      <c r="G6" s="35"/>
      <c r="H6" s="35"/>
      <c r="I6" s="35"/>
      <c r="J6" s="32">
        <v>12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5E60BDC-6037-49B6-B993-A7F2C462670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0426465-C165-4577-AF61-214C61DC7B7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A1C4640-C84E-45FF-AF70-2261FCD2BE26}">
          <x14:formula1>
            <xm:f>CreateReplaceOrder!$4:$4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/>
    <row r="6" ht="15.75" customHeight="1">
      <c r="A6" s="12"/>
      <c r="B6" s="12" t="s">
        <v>35</v>
      </c>
      <c r="C6" s="8"/>
      <c r="D6" s="12" t="s">
        <v>36</v>
      </c>
      <c r="E6" s="39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FEDC362-9336-4A04-AA86-A6077349EBE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DF60356-44B7-43CE-825E-B407CA78DB34}">
          <x14:formula1>
            <xm:f>RefreshBlotter!$4:$4</xm:f>
          </x14:formula1>
          <xm:sqref>E3</xm:sqref>
        </x14:dataValidation>
        <x14:dataValidation type="list" allowBlank="1" showInputMessage="1" showErrorMessage="1" prompt="Choose an available module" xr:uid="{7CFC1028-EFDF-435A-B8EC-3ECE405E509E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/>
    <row r="6" ht="15.75" customHeight="1">
      <c r="A6" s="12"/>
      <c r="B6" s="12" t="s">
        <v>35</v>
      </c>
      <c r="C6" s="8"/>
      <c r="D6" s="12" t="s">
        <v>36</v>
      </c>
      <c r="E6" s="39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247A5CA-1763-49FD-AFF3-445439A8321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AACD66B-E1AE-40C4-8FE8-2A24F65EA141}">
          <x14:formula1>
            <xm:f>'Copy of Data'!$4:$4</xm:f>
          </x14:formula1>
          <xm:sqref>E3</xm:sqref>
        </x14:dataValidation>
        <x14:dataValidation type="list" allowBlank="1" showInputMessage="1" showErrorMessage="1" prompt="Choose an available module" xr:uid="{BD994616-8C87-4137-B127-A730B4B402C4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