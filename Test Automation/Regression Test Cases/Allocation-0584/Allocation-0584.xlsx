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missionRule" sheetId="4" r:id="rId6"/>
    <sheet state="visible" name="SetGeneralPreferences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GetDataAllocation" sheetId="10" r:id="rId12"/>
    <sheet state="visible" name="CheckUnallocatedGroups" sheetId="11" r:id="rId13"/>
    <sheet state="visible" name="SelectUnallocatedGroup" sheetId="12" r:id="rId14"/>
    <sheet state="visible" name="EnterAccountValuesToAllocate" sheetId="13" r:id="rId15"/>
    <sheet state="visible" name="AllocateWithPopUp" sheetId="14" r:id="rId16"/>
    <sheet state="visible" name="CheckAllocatedGroups" sheetId="15" r:id="rId17"/>
  </sheets>
  <definedNames/>
  <calcPr/>
</workbook>
</file>

<file path=xl/sharedStrings.xml><?xml version="1.0" encoding="utf-8"?>
<sst xmlns="http://schemas.openxmlformats.org/spreadsheetml/2006/main" count="338" uniqueCount="70">
  <si>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</si>
  <si>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</si>
  <si>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</si>
  <si>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</si>
  <si>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</si>
  <si>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</si>
  <si>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</si>
  <si>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</si>
  <si>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</si>
  <si>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</si>
  <si>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</si>
  <si>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</si>
  <si>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</si>
  <si>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SetCommissionRule</t>
  </si>
  <si>
    <t>Data Format</t>
  </si>
  <si>
    <t>Input Format</t>
  </si>
  <si>
    <t>PREALLOCATION</t>
  </si>
  <si>
    <t>Allocation</t>
  </si>
  <si>
    <t>SetGeneralPreferences</t>
  </si>
  <si>
    <t>Recalculate</t>
  </si>
  <si>
    <t>TradingTicket</t>
  </si>
  <si>
    <t>CreateLiveOrder</t>
  </si>
  <si>
    <t>O:AAPL 13N715.00</t>
  </si>
  <si>
    <t>Buy to Open</t>
  </si>
  <si>
    <t>Unallocated</t>
  </si>
  <si>
    <t>MS</t>
  </si>
  <si>
    <t>Day</t>
  </si>
  <si>
    <t>Market</t>
  </si>
  <si>
    <t>Flat Amount</t>
  </si>
  <si>
    <t>TA1</t>
  </si>
  <si>
    <t>TA2</t>
  </si>
  <si>
    <t>TA3</t>
  </si>
  <si>
    <t>TA4</t>
  </si>
  <si>
    <t>TA5</t>
  </si>
  <si>
    <t>TA6</t>
  </si>
  <si>
    <t>Simulator</t>
  </si>
  <si>
    <t>SelectTrade</t>
  </si>
  <si>
    <t>AcknowledgeTrade</t>
  </si>
  <si>
    <t>ExecuteTrade</t>
  </si>
  <si>
    <t>GetDataAllocation</t>
  </si>
  <si>
    <t>Historical</t>
  </si>
  <si>
    <t>CheckAllocatedGroups</t>
  </si>
  <si>
    <t/>
  </si>
  <si>
    <t>EquityOption</t>
  </si>
  <si>
    <t>Open</t>
  </si>
  <si>
    <t>USD</t>
  </si>
  <si>
    <t>BrokerNotes</t>
  </si>
  <si>
    <t>OPTS</t>
  </si>
  <si>
    <t>M</t>
  </si>
  <si>
    <t>None</t>
  </si>
  <si>
    <t>InternalOrder</t>
  </si>
  <si>
    <t>P</t>
  </si>
  <si>
    <t>GCCAP1</t>
  </si>
  <si>
    <t>BuytoOpen</t>
  </si>
  <si>
    <t>US</t>
  </si>
  <si>
    <t>AAPL</t>
  </si>
  <si>
    <t>jpearce</t>
  </si>
  <si>
    <t>NASDAQ</t>
  </si>
  <si>
    <t>NONE</t>
  </si>
  <si>
    <t>SelectUnallocatedGroup</t>
  </si>
  <si>
    <t>EnterAccountValuesToAllocate</t>
  </si>
  <si>
    <t>Allocation1</t>
  </si>
  <si>
    <t>AllocateWithPopUp</t>
  </si>
  <si>
    <t>Yes</t>
  </si>
  <si>
    <t>Actual_365</t>
  </si>
  <si>
    <t>Manual</t>
  </si>
  <si>
    <t>Treasury</t>
  </si>
  <si>
    <t>DefaultNotes</t>
  </si>
  <si>
    <t>Strategy Unallocated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</si>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</sst>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6" fontId="13" numFmtId="0" xfId="0" applyAlignment="1" applyFill="1" applyFont="1">
      <alignment readingOrder="0"/>
    </xf>
    <xf borderId="0" fillId="0" fontId="5" numFmtId="14" xfId="0" applyAlignment="1" applyFont="1" applyNumberFormat="1">
      <alignment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>
      <c r="A682" t="str">
        <f>IFERROR(__xludf.DUMMYFUNCTION("""COMPUTED_VALUE"""),"Blotter")</f>
        <v>Blotter</v>
      </c>
      <c r="B682" t="str">
        <f>IFERROR(__xludf.DUMMYFUNCTION("""COMPUTED_VALUE"""),"AddOrRemoveColumnFromBlotter")</f>
        <v>AddOrRemoveColumnFromBlotter</v>
      </c>
      <c r="C682" t="str">
        <f>IFERROR(__xludf.DUMMYFUNCTION("""COMPUTED_VALUE"""),"1AImtOGYKAeR3YFeq_UoGYWtzjfmt90mMudYE0gCcfuY")</f>
        <v>1AImtOGYKAeR3YFeq_UoGYWtzjfmt90mMudYE0gCcfuY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IFERROR(__xludf.DUMMYFUNCTION("""COMPUTED_VALUE"""),"ApplyFilterOnBlotter")</f>
        <v>ApplyFilterOnBlotter</v>
      </c>
      <c r="C683" t="str">
        <f>IFERROR(__xludf.DUMMYFUNCTION("""COMPUTED_VALUE"""),"1HwDVyMvyOdl2-ZD1QqhAZuwUuRJSMW_PlBPxaE_76EI")</f>
        <v>1HwDVyMvyOdl2-ZD1QqhAZuwUuRJSMW_PlBPxaE_76EI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IFERROR(__xludf.DUMMYFUNCTION("""COMPUTED_VALUE"""),"SortGridOnBlotter")</f>
        <v>SortGridOnBlotter</v>
      </c>
      <c r="C684" t="str">
        <f>IFERROR(__xludf.DUMMYFUNCTION("""COMPUTED_VALUE"""),"1MvLrWPS7fBH0YzOrBIt5TdlPdCiRTwsVXBfvicm6qvY")</f>
        <v>1MvLrWPS7fBH0YzOrBIt5TdlPdCiRTwsVXBfvicm6qvY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IFERROR(__xludf.DUMMYFUNCTION("""COMPUTED_VALUE"""),"VerifyDataIndexWise")</f>
        <v>VerifyDataIndexWise</v>
      </c>
      <c r="C685" t="str">
        <f>IFERROR(__xludf.DUMMYFUNCTION("""COMPUTED_VALUE"""),"18hzviv5ObHcdclDM2TEFd2OQL7r5vS4oemcrzjwtOSk")</f>
        <v>18hzviv5ObHcdclDM2TEFd2OQL7r5vS4oemcrzjwtOSk</v>
      </c>
    </row>
    <row r="686" ht="15.75" customHeight="1">
      <c r="A686" t="str">
        <f>IFERROR(__xludf.DUMMYFUNCTION("""COMPUTED_VALUE"""),"RTPNL")</f>
        <v>RTPNL</v>
      </c>
      <c r="B686" t="str">
        <f>IFERROR(__xludf.DUMMYFUNCTION("""COMPUTED_VALUE"""),"SavePage")</f>
        <v>SavePage</v>
      </c>
      <c r="C686" t="str">
        <f>IFERROR(__xludf.DUMMYFUNCTION("""COMPUTED_VALUE"""),"1_uQYVoc5DS6NYv0EYGKjax2jWsfgKobFEjxJkQjLL3w")</f>
        <v>1_uQYVoc5DS6NYv0EYGKjax2jWsfgKobFEjxJkQjLL3w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IFERROR(__xludf.DUMMYFUNCTION("""COMPUTED_VALUE"""),"SaveLayoutBlotter")</f>
        <v>SaveLayoutBlotter</v>
      </c>
      <c r="C687" t="str">
        <f>IFERROR(__xludf.DUMMYFUNCTION("""COMPUTED_VALUE"""),"Undefined")</f>
        <v>Undefined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IFERROR(__xludf.DUMMYFUNCTION("""COMPUTED_VALUE"""),"ConfigureWidget")</f>
        <v>ConfigureWidget</v>
      </c>
      <c r="C688" t="str">
        <f>IFERROR(__xludf.DUMMYFUNCTION("""COMPUTED_VALUE"""),"1W6yBhMOu0wchoi8WJBVKvPLgngkTy6xSOF5JPGpCiJM")</f>
        <v>1W6yBhMOu0wchoi8WJBVKvPLgngkTy6xSOF5JPGpCiJM</v>
      </c>
    </row>
    <row r="689" ht="15.75" customHeight="1">
      <c r="A689" t="str">
        <f>IFERROR(__xludf.DUMMYFUNCTION("""COMPUTED_VALUE"""),"CreateTransaction")</f>
        <v>CreateTransaction</v>
      </c>
      <c r="B689" t="str">
        <f>IFERROR(__xludf.DUMMYFUNCTION("""COMPUTED_VALUE"""),"VerifyCTNavLockPopup")</f>
        <v>VerifyCTNavLockPopup</v>
      </c>
      <c r="C689" t="str">
        <f>IFERROR(__xludf.DUMMYFUNCTION("""COMPUTED_VALUE"""),"144sdIKvp1IYBLo1BR5xnXjJV08MEYXOtOle_BzmZysU")</f>
        <v>144sdIKvp1IYBLo1BR5xnXjJV08MEYXOtOle_BzmZysU</v>
      </c>
    </row>
    <row r="690" ht="15.75" customHeight="1">
      <c r="A690" t="str">
        <f>IFERROR(__xludf.DUMMYFUNCTION("""COMPUTED_VALUE"""),"DailyValuation")</f>
        <v>DailyValuation</v>
      </c>
      <c r="B690" t="str">
        <f>IFERROR(__xludf.DUMMYFUNCTION("""COMPUTED_VALUE"""),"VerifyDVNavLockPopup")</f>
        <v>VerifyDVNavLockPopup</v>
      </c>
      <c r="C690" t="str">
        <f>IFERROR(__xludf.DUMMYFUNCTION("""COMPUTED_VALUE"""),"1rXDKRADphBVDpGsYUs6Jq5ugHFrpJ_qRur3VkVbGwV4")</f>
        <v>1rXDKRADphBVDpGsYUs6Jq5ugHFrpJ_qRur3VkVbGwV4</v>
      </c>
    </row>
    <row r="691" ht="15.75" customHeight="1">
      <c r="A691" t="str">
        <f>IFERROR(__xludf.DUMMYFUNCTION("""COMPUTED_VALUE"""),"GeneralLedger")</f>
        <v>GeneralLedger</v>
      </c>
      <c r="B691" t="str">
        <f>IFERROR(__xludf.DUMMYFUNCTION("""COMPUTED_VALUE"""),"VerifyGLNavLockPopup")</f>
        <v>VerifyGLNavLockPopup</v>
      </c>
      <c r="C691" t="str">
        <f>IFERROR(__xludf.DUMMYFUNCTION("""COMPUTED_VALUE"""),"13qCmJnkjFZw_O4n_dVKtJg-5eOkymkypG_MjQGuuNAo")</f>
        <v>13qCmJnkjFZw_O4n_dVKtJg-5eOkymkypG_MjQGuuNAo</v>
      </c>
    </row>
    <row r="692" ht="15.75" customHeight="1">
      <c r="A692" t="str">
        <f>IFERROR(__xludf.DUMMYFUNCTION("""COMPUTED_VALUE"""),"Import")</f>
        <v>Import</v>
      </c>
      <c r="B692" t="str">
        <f>IFERROR(__xludf.DUMMYFUNCTION("""COMPUTED_VALUE"""),"VerifyImportNavLockPopup")</f>
        <v>VerifyImportNavLockPopup</v>
      </c>
      <c r="C692" t="str">
        <f>IFERROR(__xludf.DUMMYFUNCTION("""COMPUTED_VALUE"""),"1pXdTBlTEvtcQUfX_APkVY3rRe3gVlj4Sk_Jyd6F4sNM")</f>
        <v>1pXdTBlTEvtcQUfX_APkVY3rRe3gVlj4Sk_Jyd6F4sNM</v>
      </c>
    </row>
    <row r="693" ht="15.75" customHeight="1">
      <c r="A693" t="str">
        <f>IFERROR(__xludf.DUMMYFUNCTION("""COMPUTED_VALUE"""),"MultiTradingTicket")</f>
        <v>MultiTradingTicket</v>
      </c>
      <c r="B693" t="str">
        <f>IFERROR(__xludf.DUMMYFUNCTION("""COMPUTED_VALUE"""),"VerifyMTTNavLockPopup")</f>
        <v>VerifyMTTNavLockPopup</v>
      </c>
      <c r="C693" t="str">
        <f>IFERROR(__xludf.DUMMYFUNCTION("""COMPUTED_VALUE"""),"1hzuWfGgMcTuN77JdNWDiNq95xYqAIxYrqdk47goXdlc")</f>
        <v>1hzuWfGgMcTuN77JdNWDiNq95xYqAIxYrqdk47goXdlc</v>
      </c>
    </row>
    <row r="694" ht="15.75" customHeight="1">
      <c r="A694" t="str">
        <f>IFERROR(__xludf.DUMMYFUNCTION("""COMPUTED_VALUE"""),"PricingInput")</f>
        <v>PricingInput</v>
      </c>
      <c r="B694" t="str">
        <f>IFERROR(__xludf.DUMMYFUNCTION("""COMPUTED_VALUE"""),"VerifyPINavLockPopup")</f>
        <v>VerifyPINavLockPopup</v>
      </c>
      <c r="C694" t="str">
        <f>IFERROR(__xludf.DUMMYFUNCTION("""COMPUTED_VALUE"""),"1MqKw1Z4nex0wIRjcW-Lhchpv8ZsSNuruz2cszeIP01M")</f>
        <v>1MqKw1Z4nex0wIRjcW-Lhchpv8ZsSNuruz2cszeIP01M</v>
      </c>
    </row>
    <row r="695" ht="15.75" customHeight="1">
      <c r="A695" t="str">
        <f>IFERROR(__xludf.DUMMYFUNCTION("""COMPUTED_VALUE"""),"ShortLocate")</f>
        <v>ShortLocate</v>
      </c>
      <c r="B695" t="str">
        <f>IFERROR(__xludf.DUMMYFUNCTION("""COMPUTED_VALUE"""),"VerifySLNavLockPopup")</f>
        <v>VerifySLNavLockPopup</v>
      </c>
      <c r="C695" t="str">
        <f>IFERROR(__xludf.DUMMYFUNCTION("""COMPUTED_VALUE"""),"1sBI9JpwaQW2KTgfDWaY7h3xdvzXzeqjaP8_Vml6QbTo")</f>
        <v>1sBI9JpwaQW2KTgfDWaY7h3xdvzXzeqjaP8_Vml6QbTo</v>
      </c>
    </row>
    <row r="696" ht="15.75" customHeight="1">
      <c r="A696" t="str">
        <f>IFERROR(__xludf.DUMMYFUNCTION("""COMPUTED_VALUE"""),"TradingTicket")</f>
        <v>TradingTicket</v>
      </c>
      <c r="B696" t="str">
        <f>IFERROR(__xludf.DUMMYFUNCTION("""COMPUTED_VALUE"""),"VerifyTTNavLockPopup")</f>
        <v>VerifyTTNavLockPopup</v>
      </c>
      <c r="C696" t="str">
        <f>IFERROR(__xludf.DUMMYFUNCTION("""COMPUTED_VALUE"""),"15lRx1SPPsy7nykR6nVYUadOnwKG80Q6OfxTDuQ_dvXI")</f>
        <v>15lRx1SPPsy7nykR6nVYUadOnwKG80Q6OfxTDuQ_dvXI</v>
      </c>
    </row>
    <row r="697" ht="15.75" customHeight="1">
      <c r="A697" t="str">
        <f>IFERROR(__xludf.DUMMYFUNCTION("""COMPUTED_VALUE"""),"Blotter")</f>
        <v>Blotter</v>
      </c>
      <c r="B697" t="str">
        <f>IFERROR(__xludf.DUMMYFUNCTION("""COMPUTED_VALUE"""),"VerifyBlotterNavLockPopup")</f>
        <v>VerifyBlotterNavLockPopup</v>
      </c>
      <c r="C697" t="str">
        <f>IFERROR(__xludf.DUMMYFUNCTION("""COMPUTED_VALUE"""),"1NXDngJ54gfiJxrqVxgbEYZ7hW3c4kquifXR6Lg7EK5Y")</f>
        <v>1NXDngJ54gfiJxrqVxgbEYZ7hW3c4kquifXR6Lg7EK5Y</v>
      </c>
    </row>
    <row r="698" ht="15.75" customHeight="1">
      <c r="A698" t="str">
        <f>IFERROR(__xludf.DUMMYFUNCTION("""COMPUTED_VALUE"""),"Closing")</f>
        <v>Closing</v>
      </c>
      <c r="B698" t="str">
        <f>IFERROR(__xludf.DUMMYFUNCTION("""COMPUTED_VALUE"""),"VerifyClosingNavLockPopup")</f>
        <v>VerifyClosingNavLockPopup</v>
      </c>
      <c r="C698" t="str">
        <f>IFERROR(__xludf.DUMMYFUNCTION("""COMPUTED_VALUE"""),"1AR0JbTGvV_W-vRVG60LJNAab-sFlfdBFwEtZpVYEMPo")</f>
        <v>1AR0JbTGvV_W-vRVG60LJNAab-sFlfdBFwEtZpVYEMPo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IFERROR(__xludf.DUMMYFUNCTION("""COMPUTED_VALUE"""),"ChangeWidgetView")</f>
        <v>ChangeWidgetView</v>
      </c>
      <c r="C699" t="str">
        <f>IFERROR(__xludf.DUMMYFUNCTION("""COMPUTED_VALUE"""),"1PKf_qqqp1j7_MkyduQmNqqaKdDFTgjuq1ApwaDumMj0")</f>
        <v>1PKf_qqqp1j7_MkyduQmNqqaKdDFTgjuq1ApwaDumMj0</v>
      </c>
    </row>
    <row r="700" ht="15.75" customHeight="1">
      <c r="A700" t="str">
        <f>IFERROR(__xludf.DUMMYFUNCTION("""COMPUTED_VALUE"""),"Blotter")</f>
        <v>Blotter</v>
      </c>
      <c r="B700" t="str">
        <f>IFERROR(__xludf.DUMMYFUNCTION("""COMPUTED_VALUE"""),"CustomTabActions")</f>
        <v>CustomTabActions</v>
      </c>
      <c r="C700" t="str">
        <f>IFERROR(__xludf.DUMMYFUNCTION("""COMPUTED_VALUE"""),"163hnSm9KTeABqdRxsfyyCsrxGVcrGd0nCGT4WqLsJ9Q")</f>
        <v>163hnSm9KTeABqdRxsfyyCsrxGVcrGd0nCGT4WqLsJ9Q</v>
      </c>
    </row>
    <row r="701" ht="15.75" customHeight="1">
      <c r="A701" t="str">
        <f>IFERROR(__xludf.DUMMYFUNCTION("""COMPUTED_VALUE"""),"Blotter")</f>
        <v>Blotter</v>
      </c>
      <c r="B701" t="str">
        <f>IFERROR(__xludf.DUMMYFUNCTION("""COMPUTED_VALUE"""),"VerifyAllocationWindow")</f>
        <v>VerifyAllocationWindow</v>
      </c>
      <c r="C701" t="str">
        <f>IFERROR(__xludf.DUMMYFUNCTION("""COMPUTED_VALUE"""),"1DUwxSUq_47EK60XmK3LOdCXa1fkWqWJE9bLuGS3ccv4")</f>
        <v>1DUwxSUq_47EK60XmK3LOdCXa1fkWqWJE9bLuGS3ccv4</v>
      </c>
    </row>
    <row r="702" ht="15.75" customHeight="1">
      <c r="A702" t="str">
        <f>IFERROR(__xludf.DUMMYFUNCTION("""COMPUTED_VALUE"""),"OpenFin")</f>
        <v>OpenFin</v>
      </c>
      <c r="B702" t="str">
        <f>IFERROR(__xludf.DUMMYFUNCTION("""COMPUTED_VALUE"""),"SavePageView")</f>
        <v>SavePageView</v>
      </c>
      <c r="C702" t="str">
        <f>IFERROR(__xludf.DUMMYFUNCTION("""COMPUTED_VALUE"""),"1wFFzsxWBm8VT5o4pz2dFosHS72pEaQuVZFVkiVeZE9w")</f>
        <v>1wFFzsxWBm8VT5o4pz2dFosHS72pEaQuVZFVkiVeZE9w</v>
      </c>
    </row>
    <row r="703" ht="15.75" customHeight="1">
      <c r="A703" t="str">
        <f>IFERROR(__xludf.DUMMYFUNCTION("""COMPUTED_VALUE"""),"OpenFin")</f>
        <v>OpenFin</v>
      </c>
      <c r="B703" t="str">
        <f>IFERROR(__xludf.DUMMYFUNCTION("""COMPUTED_VALUE"""),"ActionOnPageFromSearch")</f>
        <v>ActionOnPageFromSearch</v>
      </c>
      <c r="C703" t="str">
        <f>IFERROR(__xludf.DUMMYFUNCTION("""COMPUTED_VALUE"""),"1jCpG4ETPp9dfvh-Ymdex8Mb3Taz9sYrOR-1uBd5Ceyc")</f>
        <v>1jCpG4ETPp9dfvh-Ymdex8Mb3Taz9sYrOR-1uBd5Ceyc</v>
      </c>
    </row>
    <row r="704" ht="15.75" customHeight="1">
      <c r="A704" t="str">
        <f>IFERROR(__xludf.DUMMYFUNCTION("""COMPUTED_VALUE"""),"OpenFin")</f>
        <v>OpenFin</v>
      </c>
      <c r="B704" t="str">
        <f>IFERROR(__xludf.DUMMYFUNCTION("""COMPUTED_VALUE"""),"ChangeThemeOnModule")</f>
        <v>ChangeThemeOnModule</v>
      </c>
      <c r="C704" t="str">
        <f>IFERROR(__xludf.DUMMYFUNCTION("""COMPUTED_VALUE"""),"1KKiVG313VPgZZadw3-GZ4Cbt7wTwEPpmyGsp3MHFp9Q")</f>
        <v>1KKiVG313VPgZZadw3-GZ4Cbt7wTwEPpmyGsp3MHFp9Q</v>
      </c>
    </row>
    <row r="705" ht="15.75" customHeight="1">
      <c r="A705" t="str">
        <f>IFERROR(__xludf.DUMMYFUNCTION("""COMPUTED_VALUE"""),"OpenFin")</f>
        <v>OpenFin</v>
      </c>
      <c r="B705" t="str">
        <f>IFERROR(__xludf.DUMMYFUNCTION("""COMPUTED_VALUE"""),"CloseService")</f>
        <v>CloseService</v>
      </c>
      <c r="C705" t="str">
        <f>IFERROR(__xludf.DUMMYFUNCTION("""COMPUTED_VALUE"""),"1YXPx62dgEZ9yV5qKkFLgWipyvziAW1SJVEqhiNHEONM")</f>
        <v>1YXPx62dgEZ9yV5qKkFLgWipyvziAW1SJVEqhiNHEONM</v>
      </c>
    </row>
    <row r="706" ht="15.75" customHeight="1">
      <c r="A706" t="str">
        <f>IFERROR(__xludf.DUMMYFUNCTION("""COMPUTED_VALUE"""),"OpenFin")</f>
        <v>OpenFin</v>
      </c>
      <c r="B706" t="str">
        <f>IFERROR(__xludf.DUMMYFUNCTION("""COMPUTED_VALUE"""),"LogOutSamsara")</f>
        <v>LogOutSamsara</v>
      </c>
      <c r="C706" t="str">
        <f>IFERROR(__xludf.DUMMYFUNCTION("""COMPUTED_VALUE"""),"1AHqtQRX4cdwOByK5Ip_T2FJlZFaU23rmiDk0afFhfaY")</f>
        <v>1AHqtQRX4cdwOByK5Ip_T2FJlZFaU23rmiDk0afFhfaY</v>
      </c>
    </row>
    <row r="707" ht="15.75" customHeight="1">
      <c r="A707" t="str">
        <f>IFERROR(__xludf.DUMMYFUNCTION("""COMPUTED_VALUE"""),"QTT")</f>
        <v>QTT</v>
      </c>
      <c r="B707" t="str">
        <f>IFERROR(__xludf.DUMMYFUNCTION("""COMPUTED_VALUE"""),"TradeQTT")</f>
        <v>TradeQTT</v>
      </c>
      <c r="C707" t="str">
        <f>IFERROR(__xludf.DUMMYFUNCTION("""COMPUTED_VALUE"""),"1-5lKqkX57JBaCsmy3TeMGKEVsjNdXnqCttYvBHsfJ14")</f>
        <v>1-5lKqkX57JBaCsmy3TeMGKEVsjNdXnqCttYvBHsfJ14</v>
      </c>
    </row>
    <row r="708" ht="15.75" customHeight="1">
      <c r="A708" t="str">
        <f>IFERROR(__xludf.DUMMYFUNCTION("""COMPUTED_VALUE"""),"QTT")</f>
        <v>QTT</v>
      </c>
      <c r="B708" t="str">
        <f>IFERROR(__xludf.DUMMYFUNCTION("""COMPUTED_VALUE"""),"UseOrVerifyHotKeys")</f>
        <v>UseOrVerifyHotKeys</v>
      </c>
      <c r="C708" t="str">
        <f>IFERROR(__xludf.DUMMYFUNCTION("""COMPUTED_VALUE"""),"1ajjcbjqpEui4y62RzfJ-6ARI0W8GAhrdUmWCOsG_ovE")</f>
        <v>1ajjcbjqpEui4y62RzfJ-6ARI0W8GAhrdUmWCOsG_ovE</v>
      </c>
    </row>
    <row r="709" ht="15.75" customHeight="1">
      <c r="A709" t="str">
        <f>IFERROR(__xludf.DUMMYFUNCTION("""COMPUTED_VALUE"""),"QTT")</f>
        <v>QTT</v>
      </c>
      <c r="B709" t="str">
        <f>IFERROR(__xludf.DUMMYFUNCTION("""COMPUTED_VALUE"""),"BookmarkOrVerifyHotKeyinHamberg")</f>
        <v>BookmarkOrVerifyHotKeyinHamberg</v>
      </c>
      <c r="C709" t="str">
        <f>IFERROR(__xludf.DUMMYFUNCTION("""COMPUTED_VALUE"""),"1fqeJETrWs5bkb8u-VXsfp35T-5kIzPjT669RuSWt6gg")</f>
        <v>1fqeJETrWs5bkb8u-VXsfp35T-5kIzPjT669RuSWt6gg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IFERROR(__xludf.DUMMYFUNCTION("""COMPUTED_VALUE"""),"ShortLocateFromTT")</f>
        <v>ShortLocateFromTT</v>
      </c>
      <c r="C710" t="str">
        <f>IFERROR(__xludf.DUMMYFUNCTION("""COMPUTED_VALUE"""),"1saPgjE09_MBiqASRTSQboRMwRdUlFv6nzTocBZeFm-I")</f>
        <v>1saPgjE09_MBiqASRTSQboRMwRdUlFv6nzTocBZeFm-I</v>
      </c>
    </row>
    <row r="711" ht="15.75" customHeight="1">
      <c r="A711" t="str">
        <f>IFERROR(__xludf.DUMMYFUNCTION("""COMPUTED_VALUE"""),"TradingTicket")</f>
        <v>TradingTicket</v>
      </c>
      <c r="B711" t="str">
        <f>IFERROR(__xludf.DUMMYFUNCTION("""COMPUTED_VALUE"""),"VerifyShortLocateWindowOnTT")</f>
        <v>VerifyShortLocateWindowOnTT</v>
      </c>
      <c r="C711" t="str">
        <f>IFERROR(__xludf.DUMMYFUNCTION("""COMPUTED_VALUE"""),"1ljyVPm21FKmOvEmG0-JvPMTBuyG89a_7EGFToCoHgI4")</f>
        <v>1ljyVPm21FKmOvEmG0-JvPMTBuyG89a_7EGFToCoHgI4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IFERROR(__xludf.DUMMYFUNCTION("""COMPUTED_VALUE"""),"RenameTabs")</f>
        <v>RenameTabs</v>
      </c>
      <c r="C712" t="str">
        <f>IFERROR(__xludf.DUMMYFUNCTION("""COMPUTED_VALUE"""),"1K7LcioEl1sTwLRhqHc9go_7jNmUIRZNy9zBQLMgtBw8")</f>
        <v>1K7LcioEl1sTwLRhqHc9go_7jNmUIRZNy9zBQLMgtBw8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IFERROR(__xludf.DUMMYFUNCTION("""COMPUTED_VALUE"""),"ResizeEnsure")</f>
        <v>ResizeEnsure</v>
      </c>
      <c r="C713" t="str">
        <f>IFERROR(__xludf.DUMMYFUNCTION("""COMPUTED_VALUE"""),"1-peVyQ_nIwd8owwmtDtNW-yx12KQx2nHeYee6duB46M")</f>
        <v>1-peVyQ_nIwd8owwmtDtNW-yx12KQx2nHeYee6duB46M</v>
      </c>
    </row>
    <row r="714" ht="15.75" customHeight="1">
      <c r="A714" t="str">
        <f>IFERROR(__xludf.DUMMYFUNCTION("""COMPUTED_VALUE"""),"Admin")</f>
        <v>Admin</v>
      </c>
      <c r="B714" t="str">
        <f>IFERROR(__xludf.DUMMYFUNCTION("""COMPUTED_VALUE"""),"ClearRTPNLtabs")</f>
        <v>ClearRTPNLtabs</v>
      </c>
      <c r="C714" t="str">
        <f>IFERROR(__xludf.DUMMYFUNCTION("""COMPUTED_VALUE"""),"Undefined")</f>
        <v>Undefined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IFERROR(__xludf.DUMMYFUNCTION("""COMPUTED_VALUE"""),"AddTabRTPNL")</f>
        <v>AddTabRTPNL</v>
      </c>
      <c r="C715" t="str">
        <f>IFERROR(__xludf.DUMMYFUNCTION("""COMPUTED_VALUE"""),"18kG7vS-CfSLW8Q-ho416lyPlP36XJPPHA0cRbCk3vjU")</f>
        <v>18kG7vS-CfSLW8Q-ho416lyPlP36XJPPHA0cRbCk3vjU</v>
      </c>
    </row>
    <row r="716" ht="15.75" customHeight="1">
      <c r="A716" t="str">
        <f>IFERROR(__xludf.DUMMYFUNCTION("""COMPUTED_VALUE"""),"PortfolioManagement")</f>
        <v>PortfolioManagement</v>
      </c>
      <c r="B716" t="str">
        <f>IFERROR(__xludf.DUMMYFUNCTION("""COMPUTED_VALUE"""),"SelectTradeOnPM")</f>
        <v>SelectTradeOnPM</v>
      </c>
      <c r="C716" t="str">
        <f>IFERROR(__xludf.DUMMYFUNCTION("""COMPUTED_VALUE"""),"1_tBJjps2mULQyHra_AnC6BBvPbOko3FAY-kc11l7eTg")</f>
        <v>1_tBJjps2mULQyHra_AnC6BBvPbOko3FAY-kc11l7eTg</v>
      </c>
    </row>
    <row r="717" ht="15.75" customHeight="1">
      <c r="A717" t="str">
        <f>IFERROR(__xludf.DUMMYFUNCTION("""COMPUTED_VALUE"""),"Unknown")</f>
        <v>Unknown</v>
      </c>
      <c r="B717" t="str">
        <f>IFERROR(__xludf.DUMMYFUNCTION("""COMPUTED_VALUE"""),"RightClickOperations")</f>
        <v>RightClickOperations</v>
      </c>
      <c r="C717" t="str">
        <f>IFERROR(__xludf.DUMMYFUNCTION("""COMPUTED_VALUE"""),"17jhCujI-0V0U3n5lzlkc-azSuwCa7rf-4KwcSInm9ts")</f>
        <v>17jhCujI-0V0U3n5lzlkc-azSuwCa7rf-4KwcSInm9ts</v>
      </c>
    </row>
    <row r="718" ht="15.75" customHeight="1">
      <c r="A718" t="str">
        <f>IFERROR(__xludf.DUMMYFUNCTION("""COMPUTED_VALUE"""),"Unknown")</f>
        <v>Unknown</v>
      </c>
      <c r="B718" t="str">
        <f>IFERROR(__xludf.DUMMYFUNCTION("""COMPUTED_VALUE"""),"RightClickAndClickOperations")</f>
        <v>RightClickAndClickOperations</v>
      </c>
      <c r="C718" t="str">
        <f>IFERROR(__xludf.DUMMYFUNCTION("""COMPUTED_VALUE"""),"1e9jtl9r57SkbYm3S4wbHtvkeG2KExZEiFSIkkRSaq-8")</f>
        <v>1e9jtl9r57SkbYm3S4wbHtvkeG2KExZEiFSIkkRSaq-8</v>
      </c>
    </row>
    <row r="719" ht="15.75" customHeight="1">
      <c r="A719" t="str">
        <f>IFERROR(__xludf.DUMMYFUNCTION("""COMPUTED_VALUE"""),"Blotter")</f>
        <v>Blotter</v>
      </c>
      <c r="B719" t="str">
        <f>IFERROR(__xludf.DUMMYFUNCTION("""COMPUTED_VALUE"""),"BlotterToolBarAction")</f>
        <v>BlotterToolBarAction</v>
      </c>
      <c r="C719" t="str">
        <f>IFERROR(__xludf.DUMMYFUNCTION("""COMPUTED_VALUE"""),"1bI1kIBxH6qy8zi5tx46rN3vNgbmxbdwtAo1inrXDALs")</f>
        <v>1bI1kIBxH6qy8zi5tx46rN3vNgbmxbdwtAo1inrXDALs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IFERROR(__xludf.DUMMYFUNCTION("""COMPUTED_VALUE"""),"MergeTT")</f>
        <v>MergeTT</v>
      </c>
      <c r="C720" t="str">
        <f>IFERROR(__xludf.DUMMYFUNCTION("""COMPUTED_VALUE"""),"1BEiRPdwHXsXVZ0ioude04Me5qSQ_YU6xh1ZwMWgExVU")</f>
        <v>1BEiRPdwHXsXVZ0ioude04Me5qSQ_YU6xh1ZwMWgExVU</v>
      </c>
    </row>
    <row r="721" ht="15.75" customHeight="1">
      <c r="A721" t="str">
        <f>IFERROR(__xludf.DUMMYFUNCTION("""COMPUTED_VALUE"""),"PortfolioManagement")</f>
        <v>PortfolioManagement</v>
      </c>
      <c r="B721" t="str">
        <f>IFERROR(__xludf.DUMMYFUNCTION("""COMPUTED_VALUE"""),"OperationsonPM")</f>
        <v>OperationsonPM</v>
      </c>
      <c r="C721" t="str">
        <f>IFERROR(__xludf.DUMMYFUNCTION("""COMPUTED_VALUE"""),"13hKVogBv66c752V1EGUyqXp4dGESQOZLmMqIB56fbAs")</f>
        <v>13hKVogBv66c752V1EGUyqXp4dGESQOZLmMqIB56fbAs</v>
      </c>
    </row>
    <row r="722" ht="15.75" customHeight="1">
      <c r="A722" t="str">
        <f>IFERROR(__xludf.DUMMYFUNCTION("""COMPUTED_VALUE"""),"Rebalancer")</f>
        <v>Rebalancer</v>
      </c>
      <c r="B722" t="str">
        <f>IFERROR(__xludf.DUMMYFUNCTION("""COMPUTED_VALUE"""),"CreateOrViewModelPortfolio")</f>
        <v>CreateOrViewModelPortfolio</v>
      </c>
      <c r="C722" t="str">
        <f>IFERROR(__xludf.DUMMYFUNCTION("""COMPUTED_VALUE"""),"1vejknW_QiO0r5pMzMjOGCCsgwLVes4a3Ubx1l-0Mg1k")</f>
        <v>1vejknW_QiO0r5pMzMjOGCCsgwLVes4a3Ubx1l-0Mg1k</v>
      </c>
    </row>
    <row r="723" ht="15.75" customHeight="1">
      <c r="A723" t="str">
        <f>IFERROR(__xludf.DUMMYFUNCTION("""COMPUTED_VALUE"""),"Rebalancer")</f>
        <v>Rebalancer</v>
      </c>
      <c r="B723" t="str">
        <f>IFERROR(__xludf.DUMMYFUNCTION("""COMPUTED_VALUE"""),"VerifyModelPortfolio")</f>
        <v>VerifyModelPortfolio</v>
      </c>
      <c r="C723" t="str">
        <f>IFERROR(__xludf.DUMMYFUNCTION("""COMPUTED_VALUE"""),"1Tza5cx7NJ2J8vr_f6DC-KPhnXCzf7l1m0EERc6z_T-U")</f>
        <v>1Tza5cx7NJ2J8vr_f6DC-KPhnXCzf7l1m0EERc6z_T-U</v>
      </c>
    </row>
    <row r="724" ht="15.75" customHeight="1">
      <c r="A724" t="str">
        <f>IFERROR(__xludf.DUMMYFUNCTION("""COMPUTED_VALUE"""),"Allocation")</f>
        <v>Allocation</v>
      </c>
      <c r="B724" t="str">
        <f>IFERROR(__xludf.DUMMYFUNCTION("""COMPUTED_VALUE"""),"ReviewExistingPositions")</f>
        <v>ReviewExistingPositions</v>
      </c>
      <c r="C724" t="str">
        <f>IFERROR(__xludf.DUMMYFUNCTION("""COMPUTED_VALUE"""),"1KwYoTdpeW6LDhzloVKHp5buZqc8IjXEShjwnUx45Ql8")</f>
        <v>1KwYoTdpeW6LDhzloVKHp5buZqc8IjXEShjwnUx45Ql8</v>
      </c>
    </row>
    <row r="725" ht="15.75" customHeight="1">
      <c r="A725" t="str">
        <f>IFERROR(__xludf.DUMMYFUNCTION("""COMPUTED_VALUE"""),"PTT")</f>
        <v>PTT</v>
      </c>
      <c r="B725" t="str">
        <f>IFERROR(__xludf.DUMMYFUNCTION("""COMPUTED_VALUE"""),"OperationsonPTT")</f>
        <v>OperationsonPTT</v>
      </c>
      <c r="C725" t="str">
        <f>IFERROR(__xludf.DUMMYFUNCTION("""COMPUTED_VALUE"""),"1J40rCXEDilLEF_x0Wkeeg1lwGfejucV1VSY9UcyeSlw")</f>
        <v>1J40rCXEDilLEF_x0Wkeeg1lwGfejucV1VSY9UcyeSlw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IFERROR(__xludf.DUMMYFUNCTION("""COMPUTED_VALUE"""),"CheckSummaryDashboard")</f>
        <v>CheckSummaryDashboard</v>
      </c>
      <c r="C726" t="str">
        <f>IFERROR(__xludf.DUMMYFUNCTION("""COMPUTED_VALUE"""),"19yZ--qYnhGSO8AdhnHqcmGmViOWMDkup5wR8bA3T2Os")</f>
        <v>19yZ--qYnhGSO8AdhnHqcmGmViOWMDkup5wR8bA3T2Os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IFERROR(__xludf.DUMMYFUNCTION("""COMPUTED_VALUE"""),"CheckFundLevelAggregation")</f>
        <v>CheckFundLevelAggregation</v>
      </c>
      <c r="C727" t="str">
        <f>IFERROR(__xludf.DUMMYFUNCTION("""COMPUTED_VALUE"""),"1onoHaI0svf2S0wDmLkCePbLXTpyPt2uzhxg7tVdRMeI")</f>
        <v>1onoHaI0svf2S0wDmLkCePbLXTpyPt2uzhxg7tVdRMeI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IFERROR(__xludf.DUMMYFUNCTION("""COMPUTED_VALUE"""),"CheckAccountLevelAggregation")</f>
        <v>CheckAccountLevelAggregation</v>
      </c>
      <c r="C728" t="str">
        <f>IFERROR(__xludf.DUMMYFUNCTION("""COMPUTED_VALUE"""),"1wpk-GXi0GZ8cadXtuW18V6GfYany_8NjDMShh2aobZ4")</f>
        <v>1wpk-GXi0GZ8cadXtuW18V6GfYany_8NjDMShh2aobZ4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IFERROR(__xludf.DUMMYFUNCTION("""COMPUTED_VALUE"""),"CheckSymbolLevelAggregation")</f>
        <v>CheckSymbolLevelAggregation</v>
      </c>
      <c r="C729" t="str">
        <f>IFERROR(__xludf.DUMMYFUNCTION("""COMPUTED_VALUE"""),"1j6_k8vwocZ8wAvUMMfdx9IKldUmmqzRN2HCaaoFysqc")</f>
        <v>1j6_k8vwocZ8wAvUMMfdx9IKldUmmqzRN2HCaaoFysqc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IFERROR(__xludf.DUMMYFUNCTION("""COMPUTED_VALUE"""),"CheckRealTimeSymbolFundMonitor")</f>
        <v>CheckRealTimeSymbolFundMonitor</v>
      </c>
      <c r="C730" t="str">
        <f>IFERROR(__xludf.DUMMYFUNCTION("""COMPUTED_VALUE"""),"1YeAroYmlm8GLwEhMTsKLli9Lc6cZEoPatK76WOit8ho")</f>
        <v>1YeAroYmlm8GLwEhMTsKLli9Lc6cZEoPatK76WOit8ho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IFERROR(__xludf.DUMMYFUNCTION("""COMPUTED_VALUE"""),"CheckRealTimeSymAccountMonitor")</f>
        <v>CheckRealTimeSymAccountMonitor</v>
      </c>
      <c r="C731" t="str">
        <f>IFERROR(__xludf.DUMMYFUNCTION("""COMPUTED_VALUE"""),"1YWIN_lFXkJFac_sw0d58YkjeJOr7Xa3JotKO9BAEG3Q")</f>
        <v>1YWIN_lFXkJFac_sw0d58YkjeJOr7Xa3JotKO9BAEG3Q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IFERROR(__xludf.DUMMYFUNCTION("""COMPUTED_VALUE"""),"OpenRTPNL")</f>
        <v>OpenRTPNL</v>
      </c>
      <c r="C732" t="str">
        <f>IFERROR(__xludf.DUMMYFUNCTION("""COMPUTED_VALUE"""),"1j-FWEidBpUuPYcE4AbSAw08LdLumr0SQSFYFcyX2SkM")</f>
        <v>1j-FWEidBpUuPYcE4AbSAw08LdLumr0SQSFYFcyX2SkM</v>
      </c>
    </row>
    <row r="733" ht="15.75" customHeight="1">
      <c r="A733" t="str">
        <f>IFERROR(__xludf.DUMMYFUNCTION("""COMPUTED_VALUE"""),"PricingInput")</f>
        <v>PricingInput</v>
      </c>
      <c r="B733" t="str">
        <f>IFERROR(__xludf.DUMMYFUNCTION("""COMPUTED_VALUE"""),"UpdatePricingInput")</f>
        <v>UpdatePricingInput</v>
      </c>
      <c r="C733" t="str">
        <f>IFERROR(__xludf.DUMMYFUNCTION("""COMPUTED_VALUE"""),"1CG9iYOkRKzlGEsKh7QuEyMdGRQea_W4KDWwlnjE2BdE")</f>
        <v>1CG9iYOkRKzlGEsKh7QuEyMdGRQea_W4KDWwlnjE2BdE</v>
      </c>
    </row>
    <row r="734" ht="15.75" customHeight="1">
      <c r="A734" t="str">
        <f>IFERROR(__xludf.DUMMYFUNCTION("""COMPUTED_VALUE"""),"DailyValuation")</f>
        <v>DailyValuation</v>
      </c>
      <c r="B734" t="str">
        <f>IFERROR(__xludf.DUMMYFUNCTION("""COMPUTED_VALUE"""),"UpdateMPAndFC")</f>
        <v>UpdateMPAndFC</v>
      </c>
      <c r="C734" t="str">
        <f>IFERROR(__xludf.DUMMYFUNCTION("""COMPUTED_VALUE"""),"1UCNfZng94LprScqCmSKImRjCwiKlLQU_e1kY1tum91I")</f>
        <v>1UCNfZng94LprScqCmSKImRjCwiKlLQU_e1kY1tum91I</v>
      </c>
    </row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IFERROR(__xludf.DUMMYFUNCTION("""COMPUTED_VALUE"""),"CommissionCalculation")</f>
        <v>CommissionCalculation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SetCommissionRule!$4:$4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S6" s="31" t="s">
        <v>19</v>
      </c>
      <c r="U6" s="31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IFERROR(__xludf.DUMMYFUNCTION("""COMPUTED_VALUE"""),"MergeTT")</f>
        <v>MergeTT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>
        <v>100.0</v>
      </c>
      <c r="E6" s="12">
        <v>100.0</v>
      </c>
      <c r="F6" s="12" t="s">
        <v>24</v>
      </c>
      <c r="G6" s="12" t="s">
        <v>25</v>
      </c>
      <c r="H6" s="12" t="s">
        <v>26</v>
      </c>
      <c r="I6" s="12" t="s">
        <v>27</v>
      </c>
      <c r="J6" s="12">
        <v>10.0</v>
      </c>
      <c r="K6" s="8"/>
      <c r="L6" s="8"/>
      <c r="M6" s="8"/>
      <c r="N6" s="32">
        <f>today()</f>
        <v>45849</v>
      </c>
      <c r="O6" s="8"/>
      <c r="R6" s="9" t="s">
        <v>28</v>
      </c>
      <c r="S6" s="9">
        <v>20.0</v>
      </c>
      <c r="T6" s="9" t="s">
        <v>28</v>
      </c>
      <c r="U6" s="9">
        <v>20.0</v>
      </c>
      <c r="V6" s="9" t="s">
        <v>29</v>
      </c>
      <c r="W6" s="9" t="s">
        <v>30</v>
      </c>
      <c r="X6" s="9" t="s">
        <v>31</v>
      </c>
      <c r="Y6" s="9" t="s">
        <v>32</v>
      </c>
      <c r="Z6" s="9" t="s">
        <v>33</v>
      </c>
      <c r="AA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2.63"/>
    <col customWidth="1" min="3" max="3" width="13.88"/>
    <col customWidth="1" min="4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22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35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32">
        <f>today()-1</f>
        <v>45848</v>
      </c>
      <c r="D6" s="33">
        <f>today()</f>
        <v>45849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42</v>
      </c>
      <c r="B6" s="34" t="s">
        <v>42</v>
      </c>
      <c r="C6" s="8" t="s">
        <v>42</v>
      </c>
      <c r="D6" s="34">
        <v>0.0</v>
      </c>
      <c r="E6" s="8">
        <v>0.0</v>
      </c>
      <c r="F6" s="8"/>
      <c r="G6" s="8" t="s">
        <v>43</v>
      </c>
      <c r="H6" s="8">
        <v>0.0</v>
      </c>
      <c r="I6" s="8">
        <v>0.0</v>
      </c>
      <c r="J6" s="8">
        <v>12.0</v>
      </c>
      <c r="K6" s="8">
        <v>10.0</v>
      </c>
      <c r="L6" s="8">
        <v>10.0</v>
      </c>
      <c r="M6" s="8"/>
      <c r="N6" s="8" t="s">
        <v>42</v>
      </c>
      <c r="O6" s="8" t="s">
        <v>25</v>
      </c>
      <c r="Q6">
        <v>3.0</v>
      </c>
      <c r="R6">
        <v>3.0</v>
      </c>
      <c r="S6" t="s">
        <v>44</v>
      </c>
      <c r="T6">
        <v>20.0</v>
      </c>
      <c r="U6">
        <v>0.2</v>
      </c>
      <c r="W6">
        <v>100.0</v>
      </c>
      <c r="X6" t="s">
        <v>42</v>
      </c>
      <c r="Y6" t="s">
        <v>42</v>
      </c>
      <c r="Z6" t="s">
        <v>45</v>
      </c>
      <c r="AB6">
        <v>1.0</v>
      </c>
      <c r="AC6" t="s">
        <v>46</v>
      </c>
      <c r="AD6" t="s">
        <v>47</v>
      </c>
      <c r="AE6">
        <v>100.0</v>
      </c>
      <c r="AF6" t="s">
        <v>42</v>
      </c>
      <c r="AH6" t="s">
        <v>48</v>
      </c>
      <c r="AI6">
        <v>1.0</v>
      </c>
      <c r="AJ6" t="s">
        <v>49</v>
      </c>
      <c r="AN6" t="b">
        <v>0</v>
      </c>
      <c r="AQ6" t="b">
        <v>0</v>
      </c>
      <c r="AR6" t="b">
        <v>0</v>
      </c>
      <c r="AS6">
        <v>0.0</v>
      </c>
      <c r="AT6">
        <v>100048.5</v>
      </c>
      <c r="AU6">
        <v>100048.5</v>
      </c>
      <c r="AW6">
        <v>0.0</v>
      </c>
      <c r="AX6">
        <v>0.0</v>
      </c>
      <c r="AY6" t="s">
        <v>27</v>
      </c>
      <c r="AZ6">
        <v>0.0</v>
      </c>
      <c r="BC6">
        <v>5.5</v>
      </c>
      <c r="BD6" t="s">
        <v>50</v>
      </c>
      <c r="BE6">
        <v>100000.0</v>
      </c>
      <c r="BF6">
        <v>100000.0</v>
      </c>
      <c r="BI6" t="s">
        <v>51</v>
      </c>
      <c r="BJ6">
        <v>100.0</v>
      </c>
      <c r="BK6">
        <v>0.0</v>
      </c>
      <c r="BL6" t="s">
        <v>42</v>
      </c>
      <c r="BM6" t="s">
        <v>45</v>
      </c>
      <c r="BO6" t="s">
        <v>23</v>
      </c>
      <c r="BP6">
        <v>20.0</v>
      </c>
      <c r="BQ6">
        <v>0.2</v>
      </c>
      <c r="BR6">
        <v>0.0</v>
      </c>
      <c r="BS6" t="s">
        <v>42</v>
      </c>
      <c r="BT6" t="s">
        <v>22</v>
      </c>
      <c r="BU6">
        <v>0.0</v>
      </c>
      <c r="BV6">
        <v>40.0</v>
      </c>
      <c r="BW6">
        <v>48.5</v>
      </c>
      <c r="BX6">
        <v>0.4</v>
      </c>
      <c r="BY6" t="s">
        <v>29</v>
      </c>
      <c r="BZ6" t="s">
        <v>30</v>
      </c>
      <c r="CA6" t="s">
        <v>31</v>
      </c>
      <c r="CB6" t="s">
        <v>32</v>
      </c>
      <c r="CC6" t="s">
        <v>33</v>
      </c>
      <c r="CD6" t="s">
        <v>34</v>
      </c>
      <c r="CF6" t="s">
        <v>52</v>
      </c>
      <c r="CG6">
        <v>0.0</v>
      </c>
      <c r="CH6" t="s">
        <v>20</v>
      </c>
      <c r="CI6" t="s">
        <v>53</v>
      </c>
      <c r="CJ6">
        <v>100.0</v>
      </c>
      <c r="CK6" t="s">
        <v>54</v>
      </c>
      <c r="CL6">
        <v>1.0</v>
      </c>
      <c r="CM6" t="s">
        <v>55</v>
      </c>
      <c r="CN6" t="s">
        <v>56</v>
      </c>
      <c r="CO6" t="s">
        <v>57</v>
      </c>
      <c r="CP6" t="s">
        <v>58</v>
      </c>
      <c r="CS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29</v>
      </c>
      <c r="EZ6" t="s">
        <v>30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23</v>
      </c>
      <c r="D6" s="12"/>
      <c r="E6" s="1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61</v>
      </c>
      <c r="C6" s="12">
        <v>100.0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IFERROR(__xludf.DUMMYFUNCTION("""COMPUTED_VALUE"""),"RecalculateCommPopUp")</f>
        <v>RecalculateCommPopUp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63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AllocateWithPopUp!$4:$4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4" t="s">
        <v>42</v>
      </c>
      <c r="B6" s="34" t="s">
        <v>61</v>
      </c>
      <c r="C6" s="8" t="s">
        <v>64</v>
      </c>
      <c r="D6" s="34">
        <v>0.0</v>
      </c>
      <c r="E6" s="8">
        <v>100.0</v>
      </c>
      <c r="F6" s="8" t="s">
        <v>65</v>
      </c>
      <c r="G6" s="8" t="s">
        <v>43</v>
      </c>
      <c r="H6" s="8">
        <v>0.0</v>
      </c>
      <c r="I6" s="8">
        <v>0.0</v>
      </c>
      <c r="J6" s="8">
        <v>12.0</v>
      </c>
      <c r="K6" s="8">
        <v>10.0</v>
      </c>
      <c r="L6" s="8">
        <v>10.0</v>
      </c>
      <c r="M6" s="8"/>
      <c r="N6" s="8" t="s">
        <v>66</v>
      </c>
      <c r="O6" s="8" t="s">
        <v>25</v>
      </c>
      <c r="Q6">
        <v>3.0</v>
      </c>
      <c r="R6">
        <v>3.0</v>
      </c>
      <c r="S6" t="s">
        <v>44</v>
      </c>
      <c r="T6">
        <v>20.0</v>
      </c>
      <c r="U6">
        <v>0.2</v>
      </c>
      <c r="W6">
        <v>100.0</v>
      </c>
      <c r="Y6" t="s">
        <v>42</v>
      </c>
      <c r="Z6" t="s">
        <v>45</v>
      </c>
      <c r="AB6">
        <v>1.0</v>
      </c>
      <c r="AD6" t="s">
        <v>47</v>
      </c>
      <c r="AE6">
        <v>100.0</v>
      </c>
      <c r="AF6" t="s">
        <v>42</v>
      </c>
      <c r="AH6" t="s">
        <v>48</v>
      </c>
      <c r="AI6">
        <v>1.0</v>
      </c>
      <c r="AJ6" t="s">
        <v>49</v>
      </c>
      <c r="AM6" t="s">
        <v>67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100029.5</v>
      </c>
      <c r="AU6">
        <v>100029.5</v>
      </c>
      <c r="AW6">
        <v>0.0</v>
      </c>
      <c r="AX6">
        <v>0.0</v>
      </c>
      <c r="AY6" t="s">
        <v>27</v>
      </c>
      <c r="AZ6">
        <v>0.0</v>
      </c>
      <c r="BC6">
        <v>5.5</v>
      </c>
      <c r="BD6" t="s">
        <v>50</v>
      </c>
      <c r="BE6">
        <v>100000.0</v>
      </c>
      <c r="BF6">
        <v>100000.0</v>
      </c>
      <c r="BI6" t="s">
        <v>51</v>
      </c>
      <c r="BJ6">
        <v>100.0</v>
      </c>
      <c r="BK6">
        <v>0.0</v>
      </c>
      <c r="BL6" t="s">
        <v>42</v>
      </c>
      <c r="BM6" t="s">
        <v>45</v>
      </c>
      <c r="BO6" t="s">
        <v>23</v>
      </c>
      <c r="BP6">
        <v>1.0</v>
      </c>
      <c r="BQ6">
        <v>0.01</v>
      </c>
      <c r="BR6">
        <v>0.0</v>
      </c>
      <c r="BS6" t="s">
        <v>68</v>
      </c>
      <c r="BT6" t="s">
        <v>22</v>
      </c>
      <c r="BU6">
        <v>0.0</v>
      </c>
      <c r="BV6">
        <v>21.0</v>
      </c>
      <c r="BW6">
        <v>29.5</v>
      </c>
      <c r="BX6">
        <v>0.21</v>
      </c>
      <c r="BY6" t="s">
        <v>29</v>
      </c>
      <c r="BZ6" t="s">
        <v>30</v>
      </c>
      <c r="CA6" t="s">
        <v>31</v>
      </c>
      <c r="CB6" t="s">
        <v>32</v>
      </c>
      <c r="CC6" t="s">
        <v>33</v>
      </c>
      <c r="CD6" t="s">
        <v>34</v>
      </c>
      <c r="CF6" t="s">
        <v>52</v>
      </c>
      <c r="CG6">
        <v>0.0</v>
      </c>
      <c r="CH6" t="s">
        <v>20</v>
      </c>
      <c r="CI6" t="s">
        <v>53</v>
      </c>
      <c r="CJ6">
        <v>0.0</v>
      </c>
      <c r="CK6" t="s">
        <v>54</v>
      </c>
      <c r="CL6">
        <v>1.0</v>
      </c>
      <c r="CM6" t="s">
        <v>55</v>
      </c>
      <c r="CN6" t="s">
        <v>56</v>
      </c>
      <c r="CO6" t="s">
        <v>57</v>
      </c>
      <c r="CP6" t="s">
        <v>58</v>
      </c>
      <c r="CS6" t="s">
        <v>42</v>
      </c>
      <c r="CW6">
        <v>0.0</v>
      </c>
      <c r="CX6" t="s">
        <v>69</v>
      </c>
      <c r="CY6" t="s">
        <v>42</v>
      </c>
      <c r="CZ6" t="s">
        <v>42</v>
      </c>
      <c r="DA6" t="s">
        <v>42</v>
      </c>
      <c r="DB6" t="s">
        <v>42</v>
      </c>
      <c r="DC6" t="s">
        <v>42</v>
      </c>
      <c r="DD6" t="s">
        <v>42</v>
      </c>
      <c r="DE6" t="s">
        <v>42</v>
      </c>
      <c r="DF6" t="s">
        <v>42</v>
      </c>
      <c r="DG6" t="s">
        <v>42</v>
      </c>
      <c r="DH6" t="s">
        <v>42</v>
      </c>
      <c r="DI6" t="s">
        <v>42</v>
      </c>
      <c r="DJ6" t="s">
        <v>42</v>
      </c>
      <c r="DK6" t="s">
        <v>42</v>
      </c>
      <c r="DL6" t="s">
        <v>42</v>
      </c>
      <c r="DM6" t="s">
        <v>42</v>
      </c>
      <c r="DN6" t="s">
        <v>42</v>
      </c>
      <c r="DO6" t="s">
        <v>42</v>
      </c>
      <c r="DP6" t="s">
        <v>42</v>
      </c>
      <c r="DQ6" t="s">
        <v>42</v>
      </c>
      <c r="DR6" t="s">
        <v>42</v>
      </c>
      <c r="DS6" t="s">
        <v>42</v>
      </c>
      <c r="DT6" t="s">
        <v>42</v>
      </c>
      <c r="DU6" t="s">
        <v>42</v>
      </c>
      <c r="DV6" t="s">
        <v>42</v>
      </c>
      <c r="DW6" t="s">
        <v>42</v>
      </c>
      <c r="DX6" t="s">
        <v>42</v>
      </c>
      <c r="DY6" t="s">
        <v>42</v>
      </c>
      <c r="DZ6" t="s">
        <v>42</v>
      </c>
      <c r="EA6" t="s">
        <v>42</v>
      </c>
      <c r="EB6" t="s">
        <v>42</v>
      </c>
      <c r="EC6" t="s">
        <v>42</v>
      </c>
      <c r="ED6" t="s">
        <v>42</v>
      </c>
      <c r="EE6" t="s">
        <v>42</v>
      </c>
      <c r="EF6" t="s">
        <v>42</v>
      </c>
      <c r="EG6" t="s">
        <v>42</v>
      </c>
      <c r="EH6" t="s">
        <v>42</v>
      </c>
      <c r="EI6" t="s">
        <v>42</v>
      </c>
      <c r="EJ6" t="s">
        <v>42</v>
      </c>
      <c r="EK6" t="s">
        <v>42</v>
      </c>
      <c r="EL6" t="s">
        <v>42</v>
      </c>
      <c r="EM6" t="s">
        <v>42</v>
      </c>
      <c r="EN6" t="s">
        <v>42</v>
      </c>
      <c r="EO6" t="s">
        <v>42</v>
      </c>
      <c r="EP6" t="s">
        <v>42</v>
      </c>
      <c r="EQ6" t="s">
        <v>42</v>
      </c>
      <c r="ER6" t="s">
        <v>42</v>
      </c>
      <c r="ES6" t="s">
        <v>42</v>
      </c>
      <c r="ET6" t="s">
        <v>42</v>
      </c>
      <c r="EU6" t="s">
        <v>42</v>
      </c>
      <c r="EV6" t="s">
        <v>42</v>
      </c>
      <c r="EW6" t="s">
        <v>42</v>
      </c>
      <c r="EX6" t="s">
        <v>42</v>
      </c>
      <c r="EY6" t="s">
        <v>42</v>
      </c>
      <c r="EZ6" t="s">
        <v>42</v>
      </c>
      <c r="FA6" t="s">
        <v>42</v>
      </c>
      <c r="FB6" t="s">
        <v>42</v>
      </c>
      <c r="FC6" t="s">
        <v>42</v>
      </c>
      <c r="FD6" t="s">
        <v>42</v>
      </c>
      <c r="FE6" t="s">
        <v>42</v>
      </c>
      <c r="FF6" t="s">
        <v>42</v>
      </c>
      <c r="FG6" t="s">
        <v>42</v>
      </c>
      <c r="FH6" t="s">
        <v>42</v>
      </c>
      <c r="FI6" t="s">
        <v>42</v>
      </c>
      <c r="FJ6" t="s">
        <v>42</v>
      </c>
      <c r="FK6" t="s">
        <v>42</v>
      </c>
      <c r="FL6" t="s">
        <v>42</v>
      </c>
      <c r="FM6" t="s">
        <v>42</v>
      </c>
      <c r="FN6" t="s">
        <v>42</v>
      </c>
      <c r="FO6" t="s">
        <v>42</v>
      </c>
      <c r="FP6" t="s">
        <v>42</v>
      </c>
      <c r="FQ6" t="s">
        <v>42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