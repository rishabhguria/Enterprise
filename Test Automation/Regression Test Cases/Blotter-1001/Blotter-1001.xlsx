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EditTradeAttributesOrders" sheetId="6" r:id="rId8"/>
    <sheet state="visible" name="EditTradeAttributesWindow" sheetId="7" r:id="rId9"/>
    <sheet state="visible" name="EditTradeAttributesWindow1" sheetId="8" r:id="rId10"/>
    <sheet state="visible" name="VerifySubOrder" sheetId="9" r:id="rId11"/>
    <sheet state="visible" name="GetDataAllocation" sheetId="10" r:id="rId12"/>
    <sheet state="visible" name="CheckAllocatedGroups" sheetId="11" r:id="rId13"/>
    <sheet state="visible" name="CheckPortfolioManagement" sheetId="12" r:id="rId14"/>
    <sheet state="visible" name="GetDailyCash" sheetId="13" r:id="rId15"/>
    <sheet state="visible" name="UpdateMultipleDailyCash" sheetId="14" r:id="rId16"/>
    <sheet state="visible" name="PricingInput" sheetId="15" r:id="rId17"/>
    <sheet state="visible" name="CalculatePTT" sheetId="16" r:id="rId18"/>
    <sheet state="visible" name="CustomOrderTT1" sheetId="17" r:id="rId19"/>
  </sheets>
  <definedNames/>
  <calcPr/>
</workbook>
</file>

<file path=xl/sharedStrings.xml><?xml version="1.0" encoding="utf-8"?>
<sst xmlns="http://schemas.openxmlformats.org/spreadsheetml/2006/main" count="620" uniqueCount="369">
  <si>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</si>
  <si>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</si>
  <si>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</si>
  <si>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</si>
  <si>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</si>
  <si>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</si>
  <si>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</si>
  <si>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</si>
  <si>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</si>
  <si>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</si>
  <si>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</si>
  <si>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</si>
  <si>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</si>
  <si>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</si>
  <si>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</si>
  <si>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</si>
  <si>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</si>
  <si>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</si>
  <si>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</si>
  <si>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Blotter</t>
  </si>
  <si>
    <t>SelectTradeOnOrderGrid</t>
  </si>
  <si>
    <t>Avg Fill Price (Base)</t>
  </si>
  <si>
    <t>Transaction Time</t>
  </si>
  <si>
    <t>Symbol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</si>
  <si>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</si>
  <si>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</si>
  <si>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</si>
  <si>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</si>
  <si>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</si>
  <si>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</si>
  <si>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</si>
  <si>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</si>
  <si>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</si>
  <si>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</si>
  <si>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</si>
  <si>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</si>
  <si>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</si>
  <si>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</si>
  <si>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</si>
  <si>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</si>
  <si>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</si>
  <si>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</si>
  <si>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</si>
  <si>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</si>
  <si>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</si>
  <si>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</si>
  <si>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</si>
  <si>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</si>
  <si>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</si>
  <si>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</si>
  <si>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</si>
  <si>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</si>
  <si>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</si>
  <si>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</si>
  <si>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</si>
  <si>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</si>
  <si>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</si>
  <si>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</si>
  <si>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</si>
  <si>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</si>
  <si>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</si>
  <si>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</si>
  <si>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</si>
  <si>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</si>
  <si>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</si>
  <si>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</si>
  <si>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</si>
  <si>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</si>
  <si>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Internal Comments</t>
  </si>
  <si>
    <t>Allocation Scheme Name</t>
  </si>
  <si>
    <t>Start of Day Qty</t>
  </si>
  <si>
    <t>Leaves</t>
  </si>
  <si>
    <t>CheckBox</t>
  </si>
  <si>
    <t>Action on toolbar</t>
  </si>
  <si>
    <t>Test1</t>
  </si>
  <si>
    <t>EditTradeAttributesOrders</t>
  </si>
  <si>
    <t>EditTradeAttributesWindow</t>
  </si>
  <si>
    <t>MS</t>
  </si>
  <si>
    <t>Test2</t>
  </si>
  <si>
    <t>Test3</t>
  </si>
  <si>
    <t>Test4</t>
  </si>
  <si>
    <t>Test5</t>
  </si>
  <si>
    <t>Test6</t>
  </si>
  <si>
    <t>Close</t>
  </si>
  <si>
    <t>T1</t>
  </si>
  <si>
    <t>T2</t>
  </si>
  <si>
    <t>T3</t>
  </si>
  <si>
    <t>T4</t>
  </si>
  <si>
    <t>T5</t>
  </si>
  <si>
    <t>T6</t>
  </si>
  <si>
    <t>Submit</t>
  </si>
  <si>
    <t>VerifySubOrder</t>
  </si>
  <si>
    <t>Current User</t>
  </si>
  <si>
    <t>Quantity</t>
  </si>
  <si>
    <t>Executed Qty</t>
  </si>
  <si>
    <t>Status (With Rollover)</t>
  </si>
  <si>
    <t>Unexecuted Qty</t>
  </si>
  <si>
    <t>Strategy</t>
  </si>
  <si>
    <t>Actual User</t>
  </si>
  <si>
    <t>% Completed</t>
  </si>
  <si>
    <t>MandatoryColumn</t>
  </si>
  <si>
    <t>Expiry Date</t>
  </si>
  <si>
    <t>AAPL US EQUITY</t>
  </si>
  <si>
    <t>NASDAQ</t>
  </si>
  <si>
    <t>jpearce</t>
  </si>
  <si>
    <t>GCCAP1</t>
  </si>
  <si>
    <t>Equity</t>
  </si>
  <si>
    <t>Filled</t>
  </si>
  <si>
    <t>Allocation1</t>
  </si>
  <si>
    <t>Market</t>
  </si>
  <si>
    <t>Strategy Unallocated</t>
  </si>
  <si>
    <t>Allocation</t>
  </si>
  <si>
    <t>GetDataAllocation</t>
  </si>
  <si>
    <t>Current</t>
  </si>
  <si>
    <t>CheckAllocatedGroups</t>
  </si>
  <si>
    <t>Account Name</t>
  </si>
  <si>
    <t>Accrual Basis</t>
  </si>
  <si>
    <t>Accrued Interest</t>
  </si>
  <si>
    <t>Allocated Qty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</si>
  <si>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</si>
  <si>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</si>
  <si>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</si>
  <si>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</si>
  <si>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</si>
  <si>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</si>
  <si>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</si>
  <si>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</si>
  <si>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</si>
  <si>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</si>
  <si>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</si>
  <si>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</si>
  <si>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</si>
  <si>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</si>
  <si>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</si>
  <si>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</si>
  <si>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</si>
  <si>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</si>
  <si>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</si>
  <si>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</si>
  <si>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</si>
  <si>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</si>
  <si>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</si>
  <si>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Exceution Time</t>
  </si>
  <si>
    <t>Expiration Date</t>
  </si>
  <si>
    <t>Group Status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</si>
  <si>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</si>
  <si>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</si>
  <si>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</si>
  <si>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</si>
  <si>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</si>
  <si>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</si>
  <si>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</si>
  <si>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</si>
  <si>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</si>
  <si>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</si>
  <si>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</si>
  <si>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</si>
  <si>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</si>
  <si>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</si>
  <si>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</si>
  <si>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</si>
  <si>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</si>
  <si>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</si>
  <si>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</si>
  <si>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</si>
  <si>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Proxy Symbol</t>
  </si>
  <si>
    <t>Put Or Call</t>
  </si>
  <si>
    <t>SEC Fee</t>
  </si>
  <si>
    <t>Sedol Symbol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</si>
  <si>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</si>
  <si>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</si>
  <si>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</si>
  <si>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</si>
  <si>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</si>
  <si>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</si>
  <si>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</si>
  <si>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</si>
  <si>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</si>
  <si>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</si>
  <si>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</si>
  <si>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</si>
  <si>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</si>
  <si>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</si>
  <si>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</si>
  <si>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</si>
  <si>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</si>
  <si>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</si>
  <si>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</si>
  <si>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</si>
  <si>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</si>
  <si>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</si>
  <si>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</si>
  <si>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</si>
  <si>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</si>
  <si>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Testing Type</t>
  </si>
  <si>
    <t>Testing Column</t>
  </si>
  <si>
    <t>Testing Col Value</t>
  </si>
  <si>
    <t>DuplicateRow</t>
  </si>
  <si>
    <t>DuplicateCountOnUI</t>
  </si>
  <si>
    <t>Treasury</t>
  </si>
  <si>
    <t>Open</t>
  </si>
  <si>
    <t>APPLE</t>
  </si>
  <si>
    <t>USD</t>
  </si>
  <si>
    <t>M</t>
  </si>
  <si>
    <t>None</t>
  </si>
  <si>
    <t>PST</t>
  </si>
  <si>
    <t>US</t>
  </si>
  <si>
    <t>NONE</t>
  </si>
  <si>
    <t>NewMF</t>
  </si>
  <si>
    <t>PortfolioManagement</t>
  </si>
  <si>
    <t>CheckPortfolioManagement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</si>
  <si>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</si>
  <si>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</si>
  <si>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</si>
  <si>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</si>
  <si>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</si>
  <si>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</si>
  <si>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</si>
  <si>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</si>
  <si>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</si>
  <si>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</si>
  <si>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</si>
  <si>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</si>
  <si>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</si>
  <si>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</si>
  <si>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</si>
  <si>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</si>
  <si>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</si>
  <si>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</si>
  <si>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</si>
  <si>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</si>
  <si>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</si>
  <si>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</si>
  <si>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</si>
  <si>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</si>
  <si>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</si>
  <si>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</si>
  <si>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</si>
  <si>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</si>
  <si>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</si>
  <si>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Order Side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</si>
  <si>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</si>
  <si>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</si>
  <si>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</si>
  <si>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</si>
  <si>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</si>
  <si>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</si>
  <si>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</si>
  <si>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</si>
  <si>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</si>
  <si>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</si>
  <si>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</si>
  <si>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</si>
  <si>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</si>
  <si>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</si>
  <si>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</si>
  <si>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</si>
  <si>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</si>
  <si>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</si>
  <si>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</si>
  <si>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</si>
  <si>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</si>
  <si>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</si>
  <si>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</si>
  <si>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</si>
  <si>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</si>
  <si>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</si>
  <si>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</si>
  <si>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</si>
  <si>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</si>
  <si>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</si>
  <si>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</si>
  <si>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</si>
  <si>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</si>
  <si>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</si>
  <si>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</si>
  <si>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</si>
  <si>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</si>
  <si>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</si>
  <si>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</si>
  <si>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</si>
  <si>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</si>
  <si>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</si>
  <si>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</si>
  <si>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</si>
  <si>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</si>
  <si>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</si>
  <si>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</si>
  <si>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</si>
  <si>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</si>
  <si>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</si>
  <si>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</si>
  <si>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</si>
  <si>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</si>
  <si>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</si>
  <si>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</si>
  <si>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</si>
  <si>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</si>
  <si>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</si>
  <si>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</si>
  <si>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</si>
  <si>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</si>
  <si>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</si>
  <si>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</si>
  <si>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</si>
  <si>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</si>
  <si>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</si>
  <si>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</si>
  <si>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</si>
  <si>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</si>
  <si>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</si>
  <si>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</si>
  <si>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</si>
  <si>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</si>
  <si>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</si>
  <si>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</si>
  <si>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</si>
  <si>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</si>
  <si>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</si>
  <si>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</si>
  <si>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</si>
  <si>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</si>
  <si>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</si>
  <si>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</si>
  <si>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</si>
  <si>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</si>
  <si>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</si>
  <si>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</si>
  <si>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</si>
  <si>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</si>
  <si>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</si>
  <si>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</si>
  <si>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</si>
  <si>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</si>
  <si>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</si>
  <si>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</si>
  <si>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</si>
  <si>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</si>
  <si>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</si>
  <si>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</si>
  <si>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</si>
  <si>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</si>
  <si>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</si>
  <si>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</si>
  <si>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</si>
  <si>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</si>
  <si>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</si>
  <si>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</si>
  <si>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</si>
  <si>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</si>
  <si>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</si>
  <si>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</si>
  <si>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</si>
  <si>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</si>
  <si>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</si>
  <si>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</si>
  <si>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</si>
  <si>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</si>
  <si>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Long</t>
  </si>
  <si>
    <t>Undefined</t>
  </si>
  <si>
    <t>FIMAT</t>
  </si>
  <si>
    <t>DailyValuation</t>
  </si>
  <si>
    <t>GetDailyCash</t>
  </si>
  <si>
    <t>UpdateMultipleDailyCash</t>
  </si>
  <si>
    <t>PricingInput</t>
  </si>
  <si>
    <t>PTT</t>
  </si>
  <si>
    <t>CalculatePTT</t>
  </si>
  <si>
    <t>Increase</t>
  </si>
  <si>
    <t>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</si>
</sst>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5" fontId="10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4" xfId="0" applyAlignment="1" applyFont="1" applyNumberFormat="1">
      <alignment readingOrder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2.0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7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21</v>
      </c>
      <c r="C5" s="28" t="s">
        <v>22</v>
      </c>
      <c r="D5" s="28" t="s">
        <v>23</v>
      </c>
      <c r="E5" s="28" t="s">
        <v>24</v>
      </c>
      <c r="F5" s="29" t="s">
        <v>25</v>
      </c>
      <c r="G5" s="28" t="s">
        <v>26</v>
      </c>
      <c r="H5" s="28" t="s">
        <v>27</v>
      </c>
      <c r="I5" s="28" t="s">
        <v>28</v>
      </c>
      <c r="J5" s="28" t="s">
        <v>29</v>
      </c>
      <c r="K5" s="28" t="s">
        <v>30</v>
      </c>
      <c r="L5" s="28" t="s">
        <v>31</v>
      </c>
      <c r="M5" s="28" t="s">
        <v>32</v>
      </c>
      <c r="N5" s="28" t="s">
        <v>33</v>
      </c>
      <c r="O5" s="28" t="s">
        <v>34</v>
      </c>
      <c r="P5" s="28" t="s">
        <v>35</v>
      </c>
      <c r="Q5" s="28" t="s">
        <v>36</v>
      </c>
      <c r="R5" s="28" t="s">
        <v>37</v>
      </c>
      <c r="S5" s="28" t="s">
        <v>38</v>
      </c>
      <c r="T5" s="30" t="s">
        <v>39</v>
      </c>
      <c r="U5" s="30" t="s">
        <v>40</v>
      </c>
      <c r="V5" s="30" t="s">
        <v>41</v>
      </c>
      <c r="W5" s="30" t="s">
        <v>42</v>
      </c>
      <c r="X5" s="30" t="s">
        <v>43</v>
      </c>
      <c r="Y5" s="30" t="s">
        <v>44</v>
      </c>
      <c r="Z5" s="30" t="s">
        <v>45</v>
      </c>
      <c r="AA5" s="30" t="s">
        <v>46</v>
      </c>
      <c r="AB5" s="30" t="s">
        <v>47</v>
      </c>
      <c r="AC5" s="30" t="s">
        <v>48</v>
      </c>
      <c r="AD5" s="30" t="s">
        <v>49</v>
      </c>
      <c r="AE5" s="30" t="s">
        <v>50</v>
      </c>
      <c r="AF5" s="30" t="s">
        <v>51</v>
      </c>
      <c r="AG5" s="30" t="s">
        <v>52</v>
      </c>
      <c r="AH5" s="30" t="s">
        <v>53</v>
      </c>
      <c r="AI5" s="30" t="s">
        <v>54</v>
      </c>
      <c r="AJ5" s="30" t="s">
        <v>55</v>
      </c>
      <c r="AK5" s="30" t="s">
        <v>56</v>
      </c>
      <c r="AL5" s="30" t="s">
        <v>57</v>
      </c>
      <c r="AM5" s="30" t="s">
        <v>58</v>
      </c>
      <c r="AN5" s="30" t="s">
        <v>59</v>
      </c>
      <c r="AO5" s="30" t="s">
        <v>60</v>
      </c>
      <c r="AP5" s="30" t="s">
        <v>61</v>
      </c>
      <c r="AQ5" s="38" t="s">
        <v>62</v>
      </c>
      <c r="AR5" s="38" t="s">
        <v>63</v>
      </c>
      <c r="AS5" s="38" t="s">
        <v>64</v>
      </c>
      <c r="AT5" s="38" t="s">
        <v>65</v>
      </c>
      <c r="AU5" s="38" t="s">
        <v>66</v>
      </c>
      <c r="AV5" s="38" t="s">
        <v>67</v>
      </c>
      <c r="AW5" s="30" t="s">
        <v>68</v>
      </c>
      <c r="AX5" s="30" t="s">
        <v>69</v>
      </c>
      <c r="AY5" s="30" t="s">
        <v>70</v>
      </c>
      <c r="AZ5" s="30" t="s">
        <v>71</v>
      </c>
      <c r="BA5" s="30" t="s">
        <v>72</v>
      </c>
      <c r="BB5" s="30" t="s">
        <v>73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9"/>
      <c r="F6" s="13" t="s">
        <v>18</v>
      </c>
      <c r="G6" s="8"/>
      <c r="H6" s="13"/>
      <c r="I6" s="8"/>
      <c r="J6" s="8"/>
      <c r="K6" s="8"/>
      <c r="L6" s="8"/>
      <c r="M6" s="8"/>
      <c r="N6" s="8"/>
      <c r="O6" s="8"/>
      <c r="AQ6" s="9" t="s">
        <v>74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 t="s">
        <v>16</v>
      </c>
      <c r="AK6" s="36" t="s">
        <v>18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Attribute 01")</f>
        <v>Trade Attribute 01</v>
      </c>
      <c r="C5" s="28" t="str">
        <f>IFERROR(__xludf.DUMMYFUNCTION("""COMPUTED_VALUE"""),"Trade Attribute 02")</f>
        <v>Trade Attribute 02</v>
      </c>
      <c r="D5" s="28" t="str">
        <f>IFERROR(__xludf.DUMMYFUNCTION("""COMPUTED_VALUE"""),"Trade Attribute 03")</f>
        <v>Trade Attribute 03</v>
      </c>
      <c r="E5" s="28" t="str">
        <f>IFERROR(__xludf.DUMMYFUNCTION("""COMPUTED_VALUE"""),"Trade Attribute 04")</f>
        <v>Trade Attribute 04</v>
      </c>
      <c r="F5" s="29" t="str">
        <f>IFERROR(__xludf.DUMMYFUNCTION("""COMPUTED_VALUE"""),"Trade Attribute 05")</f>
        <v>Trade Attribute 05</v>
      </c>
      <c r="G5" s="28" t="str">
        <f>IFERROR(__xludf.DUMMYFUNCTION("""COMPUTED_VALUE"""),"Trade Attribute 06")</f>
        <v>Trade Attribute 06</v>
      </c>
      <c r="H5" s="28" t="str">
        <f>IFERROR(__xludf.DUMMYFUNCTION("""COMPUTED_VALUE"""),"Trade Attribute 01 suggestion")</f>
        <v>Trade Attribute 01 suggestion</v>
      </c>
      <c r="I5" s="28" t="str">
        <f>IFERROR(__xludf.DUMMYFUNCTION("""COMPUTED_VALUE"""),"Trade Attribute 02 suggestion")</f>
        <v>Trade Attribute 02 suggestion</v>
      </c>
      <c r="J5" s="28" t="str">
        <f>IFERROR(__xludf.DUMMYFUNCTION("""COMPUTED_VALUE"""),"Trade Attribute 03 suggestion")</f>
        <v>Trade Attribute 03 suggestion</v>
      </c>
      <c r="K5" s="28" t="str">
        <f>IFERROR(__xludf.DUMMYFUNCTION("""COMPUTED_VALUE"""),"Trade Attribute 04 suggestion")</f>
        <v>Trade Attribute 04 suggestion</v>
      </c>
      <c r="L5" s="28" t="str">
        <f>IFERROR(__xludf.DUMMYFUNCTION("""COMPUTED_VALUE"""),"Trade Attribute 05 suggestion")</f>
        <v>Trade Attribute 05 suggestion</v>
      </c>
      <c r="M5" s="28" t="str">
        <f>IFERROR(__xludf.DUMMYFUNCTION("""COMPUTED_VALUE"""),"Trade Attribute 06 suggestion")</f>
        <v>Trade Attribute 06 suggestion</v>
      </c>
      <c r="N5" s="28" t="str">
        <f>IFERROR(__xludf.DUMMYFUNCTION("""COMPUTED_VALUE"""),"Symbol")</f>
        <v>Symbol</v>
      </c>
      <c r="O5" s="28" t="str">
        <f>IFERROR(__xludf.DUMMYFUNCTION("""COMPUTED_VALUE"""),"Side")</f>
        <v>Side</v>
      </c>
      <c r="P5" s="28" t="str">
        <f>IFERROR(__xludf.DUMMYFUNCTION("""COMPUTED_VALUE"""),"Broker")</f>
        <v>Broker</v>
      </c>
      <c r="Q5" s="28" t="str">
        <f>IFERROR(__xludf.DUMMYFUNCTION("""COMPUTED_VALUE"""),"Quantity")</f>
        <v>Quantity</v>
      </c>
      <c r="R5" s="28" t="str">
        <f>IFERROR(__xludf.DUMMYFUNCTION("""COMPUTED_VALUE"""),"Trade Attribute 01 value")</f>
        <v>Trade Attribute 01 value</v>
      </c>
      <c r="S5" s="28" t="str">
        <f>IFERROR(__xludf.DUMMYFUNCTION("""COMPUTED_VALUE"""),"Trade Attribute 02 value")</f>
        <v>Trade Attribute 02 value</v>
      </c>
      <c r="T5" s="30" t="str">
        <f>IFERROR(__xludf.DUMMYFUNCTION("""COMPUTED_VALUE"""),"Trade Attribute 03 value")</f>
        <v>Trade Attribute 03 value</v>
      </c>
      <c r="U5" s="30" t="str">
        <f>IFERROR(__xludf.DUMMYFUNCTION("""COMPUTED_VALUE"""),"Trade Attribute 04 value")</f>
        <v>Trade Attribute 04 value</v>
      </c>
      <c r="V5" s="30" t="str">
        <f>IFERROR(__xludf.DUMMYFUNCTION("""COMPUTED_VALUE"""),"Trade Attribute 05 value")</f>
        <v>Trade Attribute 05 value</v>
      </c>
      <c r="W5" s="30" t="str">
        <f>IFERROR(__xludf.DUMMYFUNCTION("""COMPUTED_VALUE"""),"Trade Attribute 06 value")</f>
        <v>Trade Attribute 06 value</v>
      </c>
      <c r="X5" s="30" t="str">
        <f>IFERROR(__xludf.DUMMYFUNCTION("""COMPUTED_VALUE"""),"CloseOrSubmit")</f>
        <v>CloseOrSubmit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36"/>
      <c r="L6" s="36"/>
      <c r="M6" s="36"/>
      <c r="N6" s="36" t="s">
        <v>16</v>
      </c>
      <c r="O6" s="36" t="s">
        <v>18</v>
      </c>
      <c r="P6" s="36" t="s">
        <v>77</v>
      </c>
      <c r="Q6" s="40">
        <v>108.0</v>
      </c>
      <c r="R6" s="36" t="s">
        <v>74</v>
      </c>
      <c r="S6" s="36" t="s">
        <v>78</v>
      </c>
      <c r="T6" s="36" t="s">
        <v>79</v>
      </c>
      <c r="U6" s="36" t="s">
        <v>80</v>
      </c>
      <c r="V6" s="36" t="s">
        <v>81</v>
      </c>
      <c r="W6" s="36" t="s">
        <v>82</v>
      </c>
      <c r="X6" s="36" t="s">
        <v>83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EditTradeAttributesWindow!$4:$4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Attribute 01")</f>
        <v>Trade Attribute 01</v>
      </c>
      <c r="C5" s="28" t="str">
        <f>IFERROR(__xludf.DUMMYFUNCTION("""COMPUTED_VALUE"""),"Trade Attribute 02")</f>
        <v>Trade Attribute 02</v>
      </c>
      <c r="D5" s="28" t="str">
        <f>IFERROR(__xludf.DUMMYFUNCTION("""COMPUTED_VALUE"""),"Trade Attribute 03")</f>
        <v>Trade Attribute 03</v>
      </c>
      <c r="E5" s="28" t="str">
        <f>IFERROR(__xludf.DUMMYFUNCTION("""COMPUTED_VALUE"""),"Trade Attribute 04")</f>
        <v>Trade Attribute 04</v>
      </c>
      <c r="F5" s="29" t="str">
        <f>IFERROR(__xludf.DUMMYFUNCTION("""COMPUTED_VALUE"""),"Trade Attribute 05")</f>
        <v>Trade Attribute 05</v>
      </c>
      <c r="G5" s="28" t="str">
        <f>IFERROR(__xludf.DUMMYFUNCTION("""COMPUTED_VALUE"""),"Trade Attribute 06")</f>
        <v>Trade Attribute 06</v>
      </c>
      <c r="H5" s="28" t="str">
        <f>IFERROR(__xludf.DUMMYFUNCTION("""COMPUTED_VALUE"""),"Trade Attribute 01 suggestion")</f>
        <v>Trade Attribute 01 suggestion</v>
      </c>
      <c r="I5" s="28" t="str">
        <f>IFERROR(__xludf.DUMMYFUNCTION("""COMPUTED_VALUE"""),"Trade Attribute 02 suggestion")</f>
        <v>Trade Attribute 02 suggestion</v>
      </c>
      <c r="J5" s="28" t="str">
        <f>IFERROR(__xludf.DUMMYFUNCTION("""COMPUTED_VALUE"""),"Trade Attribute 03 suggestion")</f>
        <v>Trade Attribute 03 suggestion</v>
      </c>
      <c r="K5" s="28" t="str">
        <f>IFERROR(__xludf.DUMMYFUNCTION("""COMPUTED_VALUE"""),"Trade Attribute 04 suggestion")</f>
        <v>Trade Attribute 04 suggestion</v>
      </c>
      <c r="L5" s="28" t="str">
        <f>IFERROR(__xludf.DUMMYFUNCTION("""COMPUTED_VALUE"""),"Trade Attribute 05 suggestion")</f>
        <v>Trade Attribute 05 suggestion</v>
      </c>
      <c r="M5" s="28" t="str">
        <f>IFERROR(__xludf.DUMMYFUNCTION("""COMPUTED_VALUE"""),"Trade Attribute 06 suggestion")</f>
        <v>Trade Attribute 06 suggestion</v>
      </c>
      <c r="N5" s="28" t="str">
        <f>IFERROR(__xludf.DUMMYFUNCTION("""COMPUTED_VALUE"""),"Symbol")</f>
        <v>Symbol</v>
      </c>
      <c r="O5" s="28" t="str">
        <f>IFERROR(__xludf.DUMMYFUNCTION("""COMPUTED_VALUE"""),"Side")</f>
        <v>Side</v>
      </c>
      <c r="P5" s="28" t="str">
        <f>IFERROR(__xludf.DUMMYFUNCTION("""COMPUTED_VALUE"""),"Broker")</f>
        <v>Broker</v>
      </c>
      <c r="Q5" s="28" t="str">
        <f>IFERROR(__xludf.DUMMYFUNCTION("""COMPUTED_VALUE"""),"Quantity")</f>
        <v>Quantity</v>
      </c>
      <c r="R5" s="28" t="str">
        <f>IFERROR(__xludf.DUMMYFUNCTION("""COMPUTED_VALUE"""),"Trade Attribute 01 value")</f>
        <v>Trade Attribute 01 value</v>
      </c>
      <c r="S5" s="28" t="str">
        <f>IFERROR(__xludf.DUMMYFUNCTION("""COMPUTED_VALUE"""),"Trade Attribute 02 value")</f>
        <v>Trade Attribute 02 value</v>
      </c>
      <c r="T5" s="30" t="str">
        <f>IFERROR(__xludf.DUMMYFUNCTION("""COMPUTED_VALUE"""),"Trade Attribute 03 value")</f>
        <v>Trade Attribute 03 value</v>
      </c>
      <c r="U5" s="30" t="str">
        <f>IFERROR(__xludf.DUMMYFUNCTION("""COMPUTED_VALUE"""),"Trade Attribute 04 value")</f>
        <v>Trade Attribute 04 value</v>
      </c>
      <c r="V5" s="30" t="str">
        <f>IFERROR(__xludf.DUMMYFUNCTION("""COMPUTED_VALUE"""),"Trade Attribute 05 value")</f>
        <v>Trade Attribute 05 value</v>
      </c>
      <c r="W5" s="30" t="str">
        <f>IFERROR(__xludf.DUMMYFUNCTION("""COMPUTED_VALUE"""),"Trade Attribute 06 value")</f>
        <v>Trade Attribute 06 value</v>
      </c>
      <c r="X5" s="30" t="str">
        <f>IFERROR(__xludf.DUMMYFUNCTION("""COMPUTED_VALUE"""),"CloseOrSubmit")</f>
        <v>CloseOrSubmit</v>
      </c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84</v>
      </c>
      <c r="C6" s="41" t="s">
        <v>85</v>
      </c>
      <c r="D6" s="41" t="s">
        <v>86</v>
      </c>
      <c r="E6" s="41" t="s">
        <v>87</v>
      </c>
      <c r="F6" s="41" t="s">
        <v>88</v>
      </c>
      <c r="G6" s="41" t="s">
        <v>89</v>
      </c>
      <c r="H6" s="36"/>
      <c r="I6" s="36"/>
      <c r="J6" s="36"/>
      <c r="K6" s="36"/>
      <c r="L6" s="36"/>
      <c r="M6" s="36"/>
      <c r="N6" s="36" t="s">
        <v>16</v>
      </c>
      <c r="O6" s="36" t="s">
        <v>18</v>
      </c>
      <c r="P6" s="36" t="s">
        <v>77</v>
      </c>
      <c r="Q6" s="40">
        <v>108.0</v>
      </c>
      <c r="R6" s="36"/>
      <c r="S6" s="36"/>
      <c r="T6" s="36"/>
      <c r="U6" s="36"/>
      <c r="V6" s="36"/>
      <c r="W6" s="36"/>
      <c r="X6" s="41" t="s">
        <v>90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EditTradeAttributesWindow1!$4:$4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91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22</v>
      </c>
      <c r="C5" s="28" t="s">
        <v>24</v>
      </c>
      <c r="D5" s="28" t="s">
        <v>21</v>
      </c>
      <c r="E5" s="28" t="s">
        <v>47</v>
      </c>
      <c r="F5" s="29" t="s">
        <v>32</v>
      </c>
      <c r="G5" s="28" t="s">
        <v>46</v>
      </c>
      <c r="H5" s="28" t="s">
        <v>55</v>
      </c>
      <c r="I5" s="28" t="s">
        <v>92</v>
      </c>
      <c r="J5" s="28" t="s">
        <v>59</v>
      </c>
      <c r="K5" s="28" t="s">
        <v>52</v>
      </c>
      <c r="L5" s="28" t="s">
        <v>53</v>
      </c>
      <c r="M5" s="29" t="s">
        <v>67</v>
      </c>
      <c r="N5" s="29" t="s">
        <v>66</v>
      </c>
      <c r="O5" s="29" t="s">
        <v>65</v>
      </c>
      <c r="P5" s="29" t="s">
        <v>64</v>
      </c>
      <c r="Q5" s="29" t="s">
        <v>63</v>
      </c>
      <c r="R5" s="29" t="s">
        <v>62</v>
      </c>
      <c r="S5" s="28" t="s">
        <v>44</v>
      </c>
      <c r="T5" s="30" t="s">
        <v>34</v>
      </c>
      <c r="U5" s="30" t="s">
        <v>56</v>
      </c>
      <c r="V5" s="30" t="s">
        <v>60</v>
      </c>
      <c r="W5" s="30" t="s">
        <v>58</v>
      </c>
      <c r="X5" s="30" t="s">
        <v>42</v>
      </c>
      <c r="Y5" s="30" t="s">
        <v>43</v>
      </c>
      <c r="Z5" s="30" t="s">
        <v>38</v>
      </c>
      <c r="AA5" s="30" t="s">
        <v>49</v>
      </c>
      <c r="AB5" s="30" t="s">
        <v>45</v>
      </c>
      <c r="AC5" s="30" t="s">
        <v>68</v>
      </c>
      <c r="AD5" s="30" t="s">
        <v>61</v>
      </c>
      <c r="AE5" s="30" t="s">
        <v>48</v>
      </c>
      <c r="AF5" s="30" t="s">
        <v>57</v>
      </c>
      <c r="AG5" s="30" t="s">
        <v>50</v>
      </c>
      <c r="AH5" s="30" t="s">
        <v>51</v>
      </c>
      <c r="AI5" s="30" t="s">
        <v>23</v>
      </c>
      <c r="AJ5" s="30" t="s">
        <v>25</v>
      </c>
      <c r="AK5" s="30" t="s">
        <v>26</v>
      </c>
      <c r="AL5" s="30" t="s">
        <v>93</v>
      </c>
      <c r="AM5" s="30" t="s">
        <v>94</v>
      </c>
      <c r="AN5" s="30" t="s">
        <v>30</v>
      </c>
      <c r="AO5" s="30" t="s">
        <v>33</v>
      </c>
      <c r="AP5" s="30" t="s">
        <v>35</v>
      </c>
      <c r="AQ5" s="30" t="s">
        <v>36</v>
      </c>
      <c r="AR5" s="30" t="s">
        <v>37</v>
      </c>
      <c r="AS5" s="30" t="s">
        <v>39</v>
      </c>
      <c r="AT5" s="30" t="s">
        <v>40</v>
      </c>
      <c r="AU5" s="30" t="s">
        <v>41</v>
      </c>
      <c r="AV5" s="30" t="s">
        <v>69</v>
      </c>
      <c r="AW5" s="30" t="s">
        <v>95</v>
      </c>
      <c r="AX5" s="30" t="s">
        <v>96</v>
      </c>
      <c r="AY5" s="30" t="s">
        <v>97</v>
      </c>
      <c r="AZ5" s="30" t="s">
        <v>98</v>
      </c>
      <c r="BA5" s="30" t="s">
        <v>99</v>
      </c>
      <c r="BB5" s="30" t="s">
        <v>100</v>
      </c>
      <c r="BC5" s="30" t="s">
        <v>101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42">
        <v>10.0</v>
      </c>
      <c r="E6" s="35" t="s">
        <v>102</v>
      </c>
      <c r="F6" s="36"/>
      <c r="G6" s="43"/>
      <c r="H6" s="35" t="s">
        <v>103</v>
      </c>
      <c r="I6" s="32" t="s">
        <v>104</v>
      </c>
      <c r="J6" s="36"/>
      <c r="K6" s="36"/>
      <c r="L6" s="35" t="s">
        <v>105</v>
      </c>
      <c r="M6" s="41" t="s">
        <v>89</v>
      </c>
      <c r="N6" s="41" t="s">
        <v>88</v>
      </c>
      <c r="O6" s="41" t="s">
        <v>87</v>
      </c>
      <c r="P6" s="41" t="s">
        <v>86</v>
      </c>
      <c r="Q6" s="41" t="s">
        <v>85</v>
      </c>
      <c r="R6" s="41" t="s">
        <v>84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43">
        <v>10.0</v>
      </c>
      <c r="AH6" s="36" t="s">
        <v>106</v>
      </c>
      <c r="AI6" s="36" t="s">
        <v>16</v>
      </c>
      <c r="AJ6" s="36" t="s">
        <v>18</v>
      </c>
      <c r="AK6" s="41" t="s">
        <v>107</v>
      </c>
      <c r="AL6" s="40">
        <v>108.0</v>
      </c>
      <c r="AM6" s="40">
        <v>108.0</v>
      </c>
      <c r="AN6" s="40">
        <v>108.0</v>
      </c>
      <c r="AO6" s="36"/>
      <c r="AP6" s="36"/>
      <c r="AQ6" s="36" t="s">
        <v>77</v>
      </c>
      <c r="AR6" s="36" t="s">
        <v>108</v>
      </c>
      <c r="AS6" s="36" t="s">
        <v>109</v>
      </c>
      <c r="AT6" s="36"/>
      <c r="AU6" s="36"/>
      <c r="AV6" s="36"/>
      <c r="AW6" s="41" t="s">
        <v>107</v>
      </c>
      <c r="AX6" s="36"/>
      <c r="AY6" s="36" t="s">
        <v>110</v>
      </c>
      <c r="AZ6" s="41" t="s">
        <v>104</v>
      </c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111</v>
      </c>
      <c r="D3" s="5" t="s">
        <v>9</v>
      </c>
      <c r="E3" s="23" t="s">
        <v>112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113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6" width="12.63"/>
    <col customWidth="1" min="77" max="77" width="14.75"/>
    <col customWidth="1" min="78" max="78" width="15.0"/>
    <col customWidth="1" min="79" max="79" width="15.25"/>
    <col customWidth="1" min="80" max="81" width="15.63"/>
    <col customWidth="1" min="82" max="82" width="16.5"/>
    <col customWidth="1" min="83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111</v>
      </c>
      <c r="D3" s="5" t="s">
        <v>9</v>
      </c>
      <c r="E3" s="23" t="s">
        <v>114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8" t="s">
        <v>115</v>
      </c>
      <c r="C5" s="28" t="s">
        <v>116</v>
      </c>
      <c r="D5" s="28" t="s">
        <v>117</v>
      </c>
      <c r="E5" s="28" t="s">
        <v>118</v>
      </c>
      <c r="F5" s="29" t="s">
        <v>69</v>
      </c>
      <c r="G5" s="28" t="s">
        <v>119</v>
      </c>
      <c r="H5" s="28" t="s">
        <v>120</v>
      </c>
      <c r="I5" s="28" t="s">
        <v>121</v>
      </c>
      <c r="J5" s="28" t="s">
        <v>122</v>
      </c>
      <c r="K5" s="28" t="s">
        <v>123</v>
      </c>
      <c r="L5" s="28" t="s">
        <v>124</v>
      </c>
      <c r="M5" s="28" t="s">
        <v>125</v>
      </c>
      <c r="N5" s="28" t="s">
        <v>126</v>
      </c>
      <c r="O5" s="28" t="s">
        <v>36</v>
      </c>
      <c r="P5" s="28" t="s">
        <v>127</v>
      </c>
      <c r="Q5" s="28" t="s">
        <v>128</v>
      </c>
      <c r="R5" s="28" t="s">
        <v>129</v>
      </c>
      <c r="S5" s="28" t="s">
        <v>130</v>
      </c>
      <c r="T5" s="30" t="s">
        <v>131</v>
      </c>
      <c r="U5" s="30" t="s">
        <v>132</v>
      </c>
      <c r="V5" s="30" t="s">
        <v>133</v>
      </c>
      <c r="W5" s="30" t="s">
        <v>134</v>
      </c>
      <c r="X5" s="30" t="s">
        <v>135</v>
      </c>
      <c r="Y5" s="30" t="s">
        <v>136</v>
      </c>
      <c r="Z5" s="30" t="s">
        <v>137</v>
      </c>
      <c r="AA5" s="30" t="s">
        <v>138</v>
      </c>
      <c r="AB5" s="30" t="s">
        <v>139</v>
      </c>
      <c r="AC5" s="30" t="s">
        <v>140</v>
      </c>
      <c r="AD5" s="30" t="s">
        <v>141</v>
      </c>
      <c r="AE5" s="30" t="s">
        <v>94</v>
      </c>
      <c r="AF5" s="30" t="s">
        <v>142</v>
      </c>
      <c r="AG5" s="30" t="s">
        <v>143</v>
      </c>
      <c r="AH5" s="30" t="s">
        <v>57</v>
      </c>
      <c r="AI5" s="30" t="s">
        <v>61</v>
      </c>
      <c r="AJ5" s="30" t="s">
        <v>144</v>
      </c>
      <c r="AK5" s="30" t="s">
        <v>145</v>
      </c>
      <c r="AL5" s="30" t="s">
        <v>146</v>
      </c>
      <c r="AM5" s="30" t="s">
        <v>68</v>
      </c>
      <c r="AN5" s="30" t="s">
        <v>147</v>
      </c>
      <c r="AO5" s="30" t="s">
        <v>148</v>
      </c>
      <c r="AP5" s="30" t="s">
        <v>149</v>
      </c>
      <c r="AQ5" s="30" t="s">
        <v>150</v>
      </c>
      <c r="AR5" s="30" t="s">
        <v>151</v>
      </c>
      <c r="AS5" s="30" t="s">
        <v>152</v>
      </c>
      <c r="AT5" s="30" t="s">
        <v>153</v>
      </c>
      <c r="AU5" s="30" t="s">
        <v>154</v>
      </c>
      <c r="AV5" s="30" t="s">
        <v>155</v>
      </c>
      <c r="AW5" s="30" t="s">
        <v>156</v>
      </c>
      <c r="AX5" s="30" t="s">
        <v>157</v>
      </c>
      <c r="AY5" s="30" t="s">
        <v>39</v>
      </c>
      <c r="AZ5" s="30" t="s">
        <v>158</v>
      </c>
      <c r="BA5" s="30" t="s">
        <v>159</v>
      </c>
      <c r="BB5" s="30" t="s">
        <v>160</v>
      </c>
      <c r="BC5" s="30" t="s">
        <v>161</v>
      </c>
      <c r="BD5" s="30" t="s">
        <v>162</v>
      </c>
      <c r="BE5" s="30" t="s">
        <v>163</v>
      </c>
      <c r="BF5" s="30" t="s">
        <v>164</v>
      </c>
      <c r="BG5" s="30" t="s">
        <v>58</v>
      </c>
      <c r="BH5" s="30" t="s">
        <v>165</v>
      </c>
      <c r="BI5" s="30" t="s">
        <v>166</v>
      </c>
      <c r="BJ5" s="30" t="s">
        <v>93</v>
      </c>
      <c r="BK5" s="30" t="s">
        <v>167</v>
      </c>
      <c r="BL5" s="30" t="s">
        <v>168</v>
      </c>
      <c r="BM5" s="30" t="s">
        <v>56</v>
      </c>
      <c r="BN5" s="30" t="s">
        <v>169</v>
      </c>
      <c r="BO5" s="30" t="s">
        <v>25</v>
      </c>
      <c r="BP5" s="30" t="s">
        <v>170</v>
      </c>
      <c r="BQ5" s="30" t="s">
        <v>171</v>
      </c>
      <c r="BR5" s="30" t="s">
        <v>172</v>
      </c>
      <c r="BS5" s="30" t="s">
        <v>173</v>
      </c>
      <c r="BT5" s="30" t="s">
        <v>23</v>
      </c>
      <c r="BU5" s="30" t="s">
        <v>174</v>
      </c>
      <c r="BV5" s="30" t="s">
        <v>175</v>
      </c>
      <c r="BW5" s="30" t="s">
        <v>176</v>
      </c>
      <c r="BX5" s="30" t="s">
        <v>177</v>
      </c>
      <c r="BY5" s="38" t="s">
        <v>62</v>
      </c>
      <c r="BZ5" s="38" t="s">
        <v>63</v>
      </c>
      <c r="CA5" s="38" t="s">
        <v>64</v>
      </c>
      <c r="CB5" s="38" t="s">
        <v>65</v>
      </c>
      <c r="CC5" s="38" t="s">
        <v>66</v>
      </c>
      <c r="CD5" s="38" t="s">
        <v>67</v>
      </c>
      <c r="CE5" s="30" t="s">
        <v>178</v>
      </c>
      <c r="CF5" s="30" t="s">
        <v>179</v>
      </c>
      <c r="CG5" s="30" t="s">
        <v>180</v>
      </c>
      <c r="CH5" s="30" t="s">
        <v>181</v>
      </c>
      <c r="CI5" s="30" t="s">
        <v>182</v>
      </c>
      <c r="CJ5" s="30" t="s">
        <v>183</v>
      </c>
      <c r="CK5" s="30" t="s">
        <v>184</v>
      </c>
      <c r="CL5" s="30" t="s">
        <v>185</v>
      </c>
      <c r="CM5" s="30" t="s">
        <v>59</v>
      </c>
      <c r="CN5" s="30" t="s">
        <v>54</v>
      </c>
      <c r="CO5" s="30" t="s">
        <v>55</v>
      </c>
      <c r="CP5" s="30" t="s">
        <v>186</v>
      </c>
      <c r="CQ5" s="30" t="s">
        <v>187</v>
      </c>
      <c r="CR5" s="30" t="s">
        <v>188</v>
      </c>
      <c r="CS5" s="30" t="s">
        <v>189</v>
      </c>
      <c r="CT5" s="30" t="s">
        <v>190</v>
      </c>
      <c r="CU5" s="30" t="s">
        <v>191</v>
      </c>
      <c r="CV5" s="30" t="s">
        <v>192</v>
      </c>
      <c r="CW5" s="30" t="s">
        <v>193</v>
      </c>
      <c r="CX5" s="30" t="s">
        <v>49</v>
      </c>
      <c r="CY5" s="30" t="s">
        <v>100</v>
      </c>
      <c r="CZ5" s="30" t="s">
        <v>194</v>
      </c>
      <c r="DA5" s="30" t="s">
        <v>195</v>
      </c>
      <c r="DB5" s="30" t="s">
        <v>196</v>
      </c>
      <c r="DC5" s="30" t="s">
        <v>197</v>
      </c>
      <c r="DD5" s="30" t="s">
        <v>198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108</v>
      </c>
      <c r="C6" s="8"/>
      <c r="D6" s="13"/>
      <c r="E6" s="13">
        <v>108.0</v>
      </c>
      <c r="F6" s="13"/>
      <c r="G6" s="13" t="s">
        <v>106</v>
      </c>
      <c r="H6" s="13">
        <v>4.0</v>
      </c>
      <c r="I6" s="13">
        <v>5.0</v>
      </c>
      <c r="J6" s="13">
        <v>1.0</v>
      </c>
      <c r="K6" s="13">
        <v>10.0</v>
      </c>
      <c r="L6" s="13">
        <v>10.0</v>
      </c>
      <c r="M6" s="13" t="s">
        <v>102</v>
      </c>
      <c r="N6" s="13" t="s">
        <v>199</v>
      </c>
      <c r="O6" s="13" t="s">
        <v>77</v>
      </c>
      <c r="Q6" s="9">
        <v>3.0</v>
      </c>
      <c r="R6" s="9">
        <v>0.0</v>
      </c>
      <c r="S6" s="9" t="s">
        <v>200</v>
      </c>
      <c r="T6" s="9">
        <v>0.0</v>
      </c>
      <c r="U6" s="9">
        <v>0.0</v>
      </c>
      <c r="V6" s="9" t="s">
        <v>201</v>
      </c>
      <c r="Z6" s="9" t="s">
        <v>202</v>
      </c>
      <c r="AD6" s="9" t="s">
        <v>103</v>
      </c>
      <c r="AE6" s="9">
        <v>108.0</v>
      </c>
      <c r="AH6" s="9" t="s">
        <v>203</v>
      </c>
      <c r="AI6" s="9">
        <v>1.0</v>
      </c>
      <c r="AJ6" s="9" t="s">
        <v>204</v>
      </c>
      <c r="AT6" s="44">
        <v>1094.0006</v>
      </c>
      <c r="AU6" s="44">
        <v>1094.0006</v>
      </c>
      <c r="AY6" s="9" t="s">
        <v>109</v>
      </c>
      <c r="BE6" s="44">
        <v>1080.0</v>
      </c>
      <c r="BF6" s="44">
        <v>1080.0</v>
      </c>
      <c r="BJ6" s="9">
        <v>108.0</v>
      </c>
      <c r="BM6" s="9" t="s">
        <v>202</v>
      </c>
      <c r="BO6" s="9" t="s">
        <v>18</v>
      </c>
      <c r="BT6" s="9" t="s">
        <v>16</v>
      </c>
      <c r="BY6" s="9" t="s">
        <v>84</v>
      </c>
      <c r="BZ6" s="9" t="s">
        <v>85</v>
      </c>
      <c r="CA6" s="9" t="s">
        <v>86</v>
      </c>
      <c r="CB6" s="9" t="s">
        <v>87</v>
      </c>
      <c r="CC6" s="9" t="s">
        <v>88</v>
      </c>
      <c r="CD6" s="9" t="s">
        <v>89</v>
      </c>
      <c r="CF6" s="9" t="s">
        <v>105</v>
      </c>
      <c r="CG6" s="9">
        <v>2.0</v>
      </c>
      <c r="CH6" s="9" t="s">
        <v>205</v>
      </c>
      <c r="CI6" s="9" t="s">
        <v>18</v>
      </c>
      <c r="CJ6" s="9">
        <v>0.0</v>
      </c>
      <c r="CK6" s="9" t="s">
        <v>206</v>
      </c>
      <c r="CL6" s="9">
        <v>1.0</v>
      </c>
      <c r="CM6" s="9" t="s">
        <v>16</v>
      </c>
      <c r="CN6" s="9" t="s">
        <v>104</v>
      </c>
      <c r="CO6" s="9" t="s">
        <v>103</v>
      </c>
      <c r="CP6" s="9" t="s">
        <v>207</v>
      </c>
      <c r="CX6" s="9" t="s">
        <v>208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97" width="12.63"/>
    <col customWidth="1" min="98" max="98" width="17.5"/>
    <col customWidth="1" min="99" max="99" width="16.75"/>
    <col customWidth="1" min="100" max="100" width="14.88"/>
    <col customWidth="1" min="101" max="101" width="15.0"/>
    <col customWidth="1" min="102" max="154" width="12.63"/>
    <col customWidth="1" min="155" max="155" width="14.13"/>
    <col customWidth="1" min="156" max="156" width="14.63"/>
    <col customWidth="1" min="157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209</v>
      </c>
      <c r="D3" s="5" t="s">
        <v>9</v>
      </c>
      <c r="E3" s="23" t="s">
        <v>210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/>
      <c r="B5" s="28" t="s">
        <v>178</v>
      </c>
      <c r="C5" s="28" t="s">
        <v>23</v>
      </c>
      <c r="D5" s="28" t="s">
        <v>211</v>
      </c>
      <c r="E5" s="28" t="s">
        <v>37</v>
      </c>
      <c r="F5" s="29" t="s">
        <v>212</v>
      </c>
      <c r="G5" s="28" t="s">
        <v>213</v>
      </c>
      <c r="H5" s="28" t="s">
        <v>214</v>
      </c>
      <c r="I5" s="28" t="s">
        <v>215</v>
      </c>
      <c r="J5" s="28" t="s">
        <v>216</v>
      </c>
      <c r="K5" s="28" t="s">
        <v>217</v>
      </c>
      <c r="L5" s="28" t="s">
        <v>218</v>
      </c>
      <c r="M5" s="28" t="s">
        <v>219</v>
      </c>
      <c r="N5" s="28" t="s">
        <v>220</v>
      </c>
      <c r="O5" s="28" t="s">
        <v>221</v>
      </c>
      <c r="P5" s="28" t="s">
        <v>222</v>
      </c>
      <c r="Q5" s="28" t="s">
        <v>223</v>
      </c>
      <c r="R5" s="28" t="s">
        <v>224</v>
      </c>
      <c r="S5" s="28" t="s">
        <v>97</v>
      </c>
      <c r="T5" s="30" t="s">
        <v>51</v>
      </c>
      <c r="U5" s="30" t="s">
        <v>184</v>
      </c>
      <c r="V5" s="30" t="s">
        <v>141</v>
      </c>
      <c r="W5" s="30" t="s">
        <v>225</v>
      </c>
      <c r="X5" s="30" t="s">
        <v>226</v>
      </c>
      <c r="Y5" s="30" t="s">
        <v>61</v>
      </c>
      <c r="Z5" s="30" t="s">
        <v>227</v>
      </c>
      <c r="AA5" s="30" t="s">
        <v>228</v>
      </c>
      <c r="AB5" s="30" t="s">
        <v>229</v>
      </c>
      <c r="AC5" s="30" t="s">
        <v>230</v>
      </c>
      <c r="AD5" s="30" t="s">
        <v>231</v>
      </c>
      <c r="AE5" s="30" t="s">
        <v>232</v>
      </c>
      <c r="AF5" s="30" t="s">
        <v>233</v>
      </c>
      <c r="AG5" s="30" t="s">
        <v>234</v>
      </c>
      <c r="AH5" s="30" t="s">
        <v>235</v>
      </c>
      <c r="AI5" s="30" t="s">
        <v>236</v>
      </c>
      <c r="AJ5" s="30" t="s">
        <v>237</v>
      </c>
      <c r="AK5" s="30" t="s">
        <v>238</v>
      </c>
      <c r="AL5" s="30" t="s">
        <v>139</v>
      </c>
      <c r="AM5" s="30" t="s">
        <v>239</v>
      </c>
      <c r="AN5" s="30" t="s">
        <v>240</v>
      </c>
      <c r="AO5" s="30" t="s">
        <v>241</v>
      </c>
      <c r="AP5" s="30" t="s">
        <v>242</v>
      </c>
      <c r="AQ5" s="30" t="s">
        <v>59</v>
      </c>
      <c r="AR5" s="30" t="s">
        <v>243</v>
      </c>
      <c r="AS5" s="30" t="s">
        <v>244</v>
      </c>
      <c r="AT5" s="30" t="s">
        <v>140</v>
      </c>
      <c r="AU5" s="30" t="s">
        <v>68</v>
      </c>
      <c r="AV5" s="30" t="s">
        <v>245</v>
      </c>
      <c r="AW5" s="30" t="s">
        <v>246</v>
      </c>
      <c r="AX5" s="30" t="s">
        <v>247</v>
      </c>
      <c r="AY5" s="30" t="s">
        <v>248</v>
      </c>
      <c r="AZ5" s="30" t="s">
        <v>249</v>
      </c>
      <c r="BA5" s="30" t="s">
        <v>250</v>
      </c>
      <c r="BB5" s="30" t="s">
        <v>251</v>
      </c>
      <c r="BC5" s="30" t="s">
        <v>252</v>
      </c>
      <c r="BD5" s="30" t="s">
        <v>253</v>
      </c>
      <c r="BE5" s="30" t="s">
        <v>254</v>
      </c>
      <c r="BF5" s="30" t="s">
        <v>255</v>
      </c>
      <c r="BG5" s="30" t="s">
        <v>256</v>
      </c>
      <c r="BH5" s="30" t="s">
        <v>257</v>
      </c>
      <c r="BI5" s="30" t="s">
        <v>258</v>
      </c>
      <c r="BJ5" s="30" t="s">
        <v>259</v>
      </c>
      <c r="BK5" s="30" t="s">
        <v>260</v>
      </c>
      <c r="BL5" s="30" t="s">
        <v>261</v>
      </c>
      <c r="BM5" s="30" t="s">
        <v>262</v>
      </c>
      <c r="BN5" s="30" t="s">
        <v>263</v>
      </c>
      <c r="BO5" s="30" t="s">
        <v>264</v>
      </c>
      <c r="BP5" s="30" t="s">
        <v>265</v>
      </c>
      <c r="BQ5" s="30" t="s">
        <v>54</v>
      </c>
      <c r="BR5" s="30" t="s">
        <v>36</v>
      </c>
      <c r="BS5" s="30" t="s">
        <v>266</v>
      </c>
      <c r="BT5" s="30" t="s">
        <v>267</v>
      </c>
      <c r="BU5" s="30" t="s">
        <v>60</v>
      </c>
      <c r="BV5" s="30" t="s">
        <v>143</v>
      </c>
      <c r="BW5" s="30" t="s">
        <v>44</v>
      </c>
      <c r="BX5" s="30" t="s">
        <v>268</v>
      </c>
      <c r="BY5" s="30" t="s">
        <v>269</v>
      </c>
      <c r="BZ5" s="30" t="s">
        <v>270</v>
      </c>
      <c r="CA5" s="30" t="s">
        <v>271</v>
      </c>
      <c r="CB5" s="30" t="s">
        <v>169</v>
      </c>
      <c r="CC5" s="30" t="s">
        <v>272</v>
      </c>
      <c r="CD5" s="30" t="s">
        <v>273</v>
      </c>
      <c r="CE5" s="30" t="s">
        <v>274</v>
      </c>
      <c r="CF5" s="30" t="s">
        <v>275</v>
      </c>
      <c r="CG5" s="30" t="s">
        <v>276</v>
      </c>
      <c r="CH5" s="30" t="s">
        <v>277</v>
      </c>
      <c r="CI5" s="30" t="s">
        <v>278</v>
      </c>
      <c r="CJ5" s="30" t="s">
        <v>279</v>
      </c>
      <c r="CK5" s="30" t="s">
        <v>280</v>
      </c>
      <c r="CL5" s="30" t="s">
        <v>281</v>
      </c>
      <c r="CM5" s="30" t="s">
        <v>282</v>
      </c>
      <c r="CN5" s="30" t="s">
        <v>283</v>
      </c>
      <c r="CO5" s="30" t="s">
        <v>284</v>
      </c>
      <c r="CP5" s="30" t="s">
        <v>125</v>
      </c>
      <c r="CQ5" s="30" t="s">
        <v>148</v>
      </c>
      <c r="CR5" s="30" t="s">
        <v>285</v>
      </c>
      <c r="CS5" s="30" t="s">
        <v>286</v>
      </c>
      <c r="CT5" s="38" t="s">
        <v>64</v>
      </c>
      <c r="CU5" s="38" t="s">
        <v>65</v>
      </c>
      <c r="CV5" s="38" t="s">
        <v>66</v>
      </c>
      <c r="CW5" s="38" t="s">
        <v>67</v>
      </c>
      <c r="CX5" s="30" t="s">
        <v>165</v>
      </c>
      <c r="CY5" s="30" t="s">
        <v>287</v>
      </c>
      <c r="CZ5" s="30" t="s">
        <v>288</v>
      </c>
      <c r="DA5" s="30" t="s">
        <v>289</v>
      </c>
      <c r="DB5" s="30" t="s">
        <v>290</v>
      </c>
      <c r="DC5" s="30" t="s">
        <v>291</v>
      </c>
      <c r="DD5" s="30" t="s">
        <v>292</v>
      </c>
      <c r="DE5" s="30" t="s">
        <v>293</v>
      </c>
      <c r="DF5" s="30" t="s">
        <v>294</v>
      </c>
      <c r="DG5" s="30" t="s">
        <v>295</v>
      </c>
      <c r="DH5" s="30" t="s">
        <v>296</v>
      </c>
      <c r="DI5" s="30" t="s">
        <v>297</v>
      </c>
      <c r="DJ5" s="30" t="s">
        <v>182</v>
      </c>
      <c r="DK5" s="30" t="s">
        <v>298</v>
      </c>
      <c r="DL5" s="30" t="s">
        <v>299</v>
      </c>
      <c r="DM5" s="30" t="s">
        <v>300</v>
      </c>
      <c r="DN5" s="30" t="s">
        <v>301</v>
      </c>
      <c r="DO5" s="30" t="s">
        <v>302</v>
      </c>
      <c r="DP5" s="30" t="s">
        <v>303</v>
      </c>
      <c r="DQ5" s="30" t="s">
        <v>304</v>
      </c>
      <c r="DR5" s="30" t="s">
        <v>305</v>
      </c>
      <c r="DS5" s="30" t="s">
        <v>306</v>
      </c>
      <c r="DT5" s="30" t="s">
        <v>307</v>
      </c>
      <c r="DU5" s="30" t="s">
        <v>308</v>
      </c>
      <c r="DV5" s="30" t="s">
        <v>309</v>
      </c>
      <c r="DW5" s="30" t="s">
        <v>310</v>
      </c>
      <c r="DX5" s="30" t="s">
        <v>311</v>
      </c>
      <c r="DY5" s="30" t="s">
        <v>312</v>
      </c>
      <c r="DZ5" s="30" t="s">
        <v>313</v>
      </c>
      <c r="EA5" s="30" t="s">
        <v>314</v>
      </c>
      <c r="EB5" s="30" t="s">
        <v>315</v>
      </c>
      <c r="EC5" s="30" t="s">
        <v>316</v>
      </c>
      <c r="ED5" s="30" t="s">
        <v>317</v>
      </c>
      <c r="EE5" s="30" t="s">
        <v>318</v>
      </c>
      <c r="EF5" s="30" t="s">
        <v>319</v>
      </c>
      <c r="EG5" s="30" t="s">
        <v>320</v>
      </c>
      <c r="EH5" s="30" t="s">
        <v>321</v>
      </c>
      <c r="EI5" s="30" t="s">
        <v>322</v>
      </c>
      <c r="EJ5" s="30" t="s">
        <v>323</v>
      </c>
      <c r="EK5" s="30" t="s">
        <v>324</v>
      </c>
      <c r="EL5" s="30" t="s">
        <v>325</v>
      </c>
      <c r="EM5" s="30" t="s">
        <v>326</v>
      </c>
      <c r="EN5" s="30" t="s">
        <v>327</v>
      </c>
      <c r="EO5" s="30" t="s">
        <v>328</v>
      </c>
      <c r="EP5" s="30" t="s">
        <v>329</v>
      </c>
      <c r="EQ5" s="30" t="s">
        <v>330</v>
      </c>
      <c r="ER5" s="30" t="s">
        <v>331</v>
      </c>
      <c r="ES5" s="30" t="s">
        <v>332</v>
      </c>
      <c r="ET5" s="30" t="s">
        <v>333</v>
      </c>
      <c r="EU5" s="30" t="s">
        <v>334</v>
      </c>
      <c r="EV5" s="30" t="s">
        <v>335</v>
      </c>
      <c r="EW5" s="30" t="s">
        <v>336</v>
      </c>
      <c r="EX5" s="30" t="s">
        <v>337</v>
      </c>
      <c r="EY5" s="38" t="s">
        <v>62</v>
      </c>
      <c r="EZ5" s="38" t="s">
        <v>63</v>
      </c>
      <c r="FA5" s="30" t="s">
        <v>189</v>
      </c>
      <c r="FB5" s="30" t="s">
        <v>338</v>
      </c>
      <c r="FC5" s="30" t="s">
        <v>339</v>
      </c>
      <c r="FD5" s="30" t="s">
        <v>340</v>
      </c>
      <c r="FE5" s="30" t="s">
        <v>341</v>
      </c>
      <c r="FF5" s="30" t="s">
        <v>342</v>
      </c>
      <c r="FG5" s="30" t="s">
        <v>343</v>
      </c>
      <c r="FH5" s="30" t="s">
        <v>344</v>
      </c>
      <c r="FI5" s="30" t="s">
        <v>345</v>
      </c>
      <c r="FJ5" s="30" t="s">
        <v>191</v>
      </c>
      <c r="FK5" s="30" t="s">
        <v>346</v>
      </c>
      <c r="FL5" s="30" t="s">
        <v>100</v>
      </c>
      <c r="FM5" s="30" t="s">
        <v>347</v>
      </c>
      <c r="FN5" s="30" t="s">
        <v>348</v>
      </c>
      <c r="FO5" s="30" t="s">
        <v>349</v>
      </c>
      <c r="FP5" s="30" t="s">
        <v>350</v>
      </c>
      <c r="FQ5" s="30" t="s">
        <v>351</v>
      </c>
      <c r="FR5" s="30" t="s">
        <v>352</v>
      </c>
      <c r="FS5" s="30" t="s">
        <v>353</v>
      </c>
      <c r="FT5" s="30" t="s">
        <v>354</v>
      </c>
      <c r="FU5" s="30" t="s">
        <v>355</v>
      </c>
      <c r="FV5" s="30" t="s">
        <v>356</v>
      </c>
      <c r="FW5" s="30" t="s">
        <v>357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13" t="s">
        <v>16</v>
      </c>
      <c r="D6" s="13">
        <v>108.0</v>
      </c>
      <c r="E6" s="13" t="s">
        <v>108</v>
      </c>
      <c r="F6" s="13" t="s">
        <v>208</v>
      </c>
      <c r="G6" s="13">
        <v>10.0</v>
      </c>
      <c r="H6" s="13" t="s">
        <v>358</v>
      </c>
      <c r="I6" s="13">
        <v>1080.0</v>
      </c>
      <c r="J6" s="13">
        <v>0.0</v>
      </c>
      <c r="K6" s="13">
        <v>1080.0</v>
      </c>
      <c r="L6" s="13">
        <v>1080.0</v>
      </c>
      <c r="M6" s="13"/>
      <c r="N6" s="8"/>
      <c r="O6" s="13" t="s">
        <v>201</v>
      </c>
      <c r="P6" s="9" t="s">
        <v>359</v>
      </c>
      <c r="R6" s="9" t="s">
        <v>360</v>
      </c>
      <c r="S6" s="9" t="s">
        <v>110</v>
      </c>
      <c r="T6" s="9" t="s">
        <v>106</v>
      </c>
      <c r="U6" s="9" t="s">
        <v>206</v>
      </c>
      <c r="V6" s="9" t="s">
        <v>103</v>
      </c>
      <c r="W6" s="9" t="s">
        <v>202</v>
      </c>
      <c r="X6" s="9">
        <v>1.0</v>
      </c>
      <c r="Y6" s="9">
        <v>1.0</v>
      </c>
      <c r="AD6" s="9">
        <v>1080.0</v>
      </c>
      <c r="AE6" s="9">
        <v>1080.0</v>
      </c>
      <c r="AG6" s="9">
        <v>1080.0</v>
      </c>
      <c r="AL6" s="9">
        <v>1.0</v>
      </c>
      <c r="AN6" s="9" t="s">
        <v>18</v>
      </c>
      <c r="AP6" s="9" t="s">
        <v>358</v>
      </c>
      <c r="AQ6" s="9" t="s">
        <v>16</v>
      </c>
      <c r="AR6" s="9">
        <v>10.0</v>
      </c>
      <c r="AS6" s="9">
        <v>1.0</v>
      </c>
      <c r="BQ6" s="9" t="s">
        <v>104</v>
      </c>
      <c r="BR6" s="9" t="s">
        <v>77</v>
      </c>
      <c r="BU6" s="9" t="s">
        <v>106</v>
      </c>
      <c r="CA6" s="9">
        <v>10.0</v>
      </c>
      <c r="CP6" s="9" t="s">
        <v>102</v>
      </c>
      <c r="CS6" s="9">
        <v>10.0</v>
      </c>
      <c r="CT6" s="9" t="s">
        <v>86</v>
      </c>
      <c r="CU6" s="9" t="s">
        <v>87</v>
      </c>
      <c r="CV6" s="9" t="s">
        <v>88</v>
      </c>
      <c r="CW6" s="9" t="s">
        <v>89</v>
      </c>
      <c r="EY6" s="9" t="s">
        <v>84</v>
      </c>
      <c r="EZ6" s="9" t="s">
        <v>85</v>
      </c>
      <c r="FH6" s="9">
        <v>208.0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361</v>
      </c>
      <c r="D3" s="5" t="s">
        <v>9</v>
      </c>
      <c r="E3" s="23" t="s">
        <v>362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f>TODAY()-1</f>
        <v>45910</v>
      </c>
      <c r="C6" s="45">
        <f>TODAY()</f>
        <v>45911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361</v>
      </c>
      <c r="D3" s="5" t="s">
        <v>9</v>
      </c>
      <c r="E3" s="23" t="s">
        <v>363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108</v>
      </c>
      <c r="C6" s="35" t="s">
        <v>202</v>
      </c>
      <c r="D6" s="42">
        <v>10000.0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364</v>
      </c>
      <c r="D3" s="5" t="s">
        <v>9</v>
      </c>
      <c r="E3" s="23" t="s">
        <v>364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16</v>
      </c>
      <c r="C6" s="33">
        <v>10.0</v>
      </c>
      <c r="D6" s="3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365</v>
      </c>
      <c r="D3" s="5" t="s">
        <v>9</v>
      </c>
      <c r="E3" s="23" t="s">
        <v>366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16</v>
      </c>
      <c r="C6" s="35" t="s">
        <v>367</v>
      </c>
      <c r="D6" s="46" t="s">
        <v>368</v>
      </c>
      <c r="E6" s="34">
        <v>10.0</v>
      </c>
      <c r="F6" s="41">
        <v>10.0</v>
      </c>
      <c r="G6" s="36"/>
      <c r="H6" s="35" t="s">
        <v>37</v>
      </c>
      <c r="I6" s="35" t="s">
        <v>108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42">
        <v>10.0</v>
      </c>
      <c r="E6" s="35" t="s">
        <v>17</v>
      </c>
      <c r="F6" s="36"/>
      <c r="G6" s="47" t="b">
        <v>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 t="s">
        <v>74</v>
      </c>
      <c r="AN6" s="36" t="s">
        <v>78</v>
      </c>
      <c r="AO6" s="36" t="s">
        <v>79</v>
      </c>
      <c r="AP6" s="36" t="s">
        <v>80</v>
      </c>
      <c r="AQ6" s="36" t="s">
        <v>81</v>
      </c>
      <c r="AR6" s="36" t="s">
        <v>82</v>
      </c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