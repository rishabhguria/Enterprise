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UnWindTradeSettle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VerifyLongPositionsGrid" sheetId="12" r:id="rId14"/>
    <sheet state="visible" name="GetMarkPriceData" sheetId="13" r:id="rId15"/>
    <sheet state="visible" name="UpdateMarkPrice" sheetId="14" r:id="rId16"/>
  </sheets>
  <definedNames/>
  <calcPr/>
</workbook>
</file>

<file path=xl/sharedStrings.xml><?xml version="1.0" encoding="utf-8"?>
<sst xmlns="http://schemas.openxmlformats.org/spreadsheetml/2006/main" count="121" uniqueCount="40">
  <si>
    <t>Settings</t>
  </si>
  <si>
    <t>Modules Info</t>
  </si>
  <si>
    <t>Master Data Info</t>
  </si>
  <si>
    <t>Modules</t>
  </si>
  <si>
    <t>Module</t>
  </si>
  <si>
    <t>Step</t>
  </si>
  <si>
    <t>Master Data Sheet</t>
  </si>
  <si>
    <t>Module Step Setting File</t>
  </si>
  <si>
    <t>15TZcyNzdODZnAEMI7Zyq6CaL1BTvFkhtTgtMBwN7UQA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</si>
  <si>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</si>
  <si>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</si>
  <si>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</si>
  <si>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</si>
  <si>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</si>
  <si>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</si>
  <si>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</si>
  <si>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ED H9</t>
  </si>
  <si>
    <t>Buy</t>
  </si>
  <si>
    <t>Allocation1</t>
  </si>
  <si>
    <t>Closing</t>
  </si>
  <si>
    <t>GetDataClosing</t>
  </si>
  <si>
    <t>Current</t>
  </si>
  <si>
    <t>SelectTradeUnexpiredUnsettled</t>
  </si>
  <si>
    <t>Future</t>
  </si>
  <si>
    <t>CashSettlementAtClosingDtSpotPx</t>
  </si>
  <si>
    <t>UnWindTradeSettlement</t>
  </si>
  <si>
    <t>NONE</t>
  </si>
  <si>
    <t>Cash</t>
  </si>
  <si>
    <t>Long</t>
  </si>
  <si>
    <t>VerifyExpiredSettledGrid</t>
  </si>
  <si>
    <t>Allocation</t>
  </si>
  <si>
    <t>GetDataAllocation</t>
  </si>
  <si>
    <t>CheckAllocatedGroups</t>
  </si>
  <si>
    <t>Closed</t>
  </si>
  <si>
    <t xml:space="preserve">Buy </t>
  </si>
  <si>
    <t>Sell</t>
  </si>
  <si>
    <t>VerifyLongPositionsGrid</t>
  </si>
  <si>
    <t>DailyValuation</t>
  </si>
  <si>
    <t>UpdateMarkPrice</t>
  </si>
  <si>
    <t>GetMarkPriceData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</si>
</sst>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164" xfId="0" applyAlignment="1" applyFont="1" applyNumberFormat="1">
      <alignment readingOrder="0" shrinkToFit="0" wrapText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7" numFmtId="14" xfId="0" applyAlignment="1" applyFont="1" applyNumberFormat="1">
      <alignment readingOrder="0" shrinkToFit="0" wrapText="0"/>
    </xf>
    <xf borderId="0" fillId="0" fontId="7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0"/>
      <c r="D3" s="10"/>
      <c r="E3" s="10"/>
      <c r="F3" s="10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12"/>
      <c r="B2" s="12"/>
      <c r="C2" s="12"/>
    </row>
    <row r="3" ht="15.75" customHeight="1">
      <c r="A3" s="7" t="s">
        <v>7</v>
      </c>
      <c r="B3" s="14" t="s">
        <v>8</v>
      </c>
      <c r="C3" s="12"/>
    </row>
    <row r="4" ht="15.75" customHeight="1">
      <c r="A4" s="8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1" t="s">
        <v>5</v>
      </c>
      <c r="C3" s="11" t="s">
        <v>6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1b5S4Xpp4fgZ1ez6cK92QFnVBylqz8jhwxdAyEvwDqUI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s">
        <v>16</v>
      </c>
      <c r="C6" s="30" t="s">
        <v>17</v>
      </c>
      <c r="D6" s="31">
        <v>100.0</v>
      </c>
      <c r="E6" s="32"/>
      <c r="F6" s="30" t="s">
        <v>18</v>
      </c>
      <c r="G6" s="32"/>
      <c r="H6" s="32"/>
      <c r="I6" s="32"/>
      <c r="J6" s="33">
        <v>10.0</v>
      </c>
      <c r="K6" s="32"/>
      <c r="L6" s="32"/>
      <c r="M6" s="32"/>
      <c r="N6" s="34">
        <f>TODAY()</f>
        <v>43627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s">
        <v>21</v>
      </c>
      <c r="C6" s="34"/>
      <c r="D6" s="34"/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6" t="s">
        <v>18</v>
      </c>
      <c r="C6" s="32"/>
      <c r="D6" s="37"/>
      <c r="E6" s="30" t="s">
        <v>23</v>
      </c>
      <c r="F6" s="32"/>
      <c r="G6" s="32"/>
      <c r="H6" s="32"/>
      <c r="I6" s="33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2"/>
      <c r="D6" s="14"/>
      <c r="E6" s="38"/>
      <c r="F6" s="12"/>
      <c r="G6" s="12"/>
      <c r="H6" s="12"/>
      <c r="I6" s="12"/>
      <c r="J6" s="12"/>
      <c r="K6" s="12"/>
      <c r="L6" s="12"/>
      <c r="M6" s="12"/>
      <c r="N6" s="12"/>
      <c r="O6" s="39">
        <f>TODAY()</f>
        <v>43627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6" t="s">
        <v>18</v>
      </c>
      <c r="C6" s="30" t="s">
        <v>23</v>
      </c>
      <c r="D6" s="37"/>
      <c r="E6" s="34"/>
      <c r="F6" s="33"/>
      <c r="G6" s="33">
        <v>100.0</v>
      </c>
      <c r="H6" s="30" t="s">
        <v>26</v>
      </c>
      <c r="I6" s="32"/>
      <c r="J6" s="30" t="s">
        <v>27</v>
      </c>
      <c r="K6" s="32"/>
      <c r="L6" s="30"/>
      <c r="M6" s="32"/>
      <c r="N6" s="32"/>
      <c r="O6" s="32"/>
      <c r="P6" s="32"/>
      <c r="Q6" s="32"/>
      <c r="R6" s="32"/>
      <c r="S6" s="32"/>
      <c r="T6" s="40"/>
      <c r="U6" s="32"/>
      <c r="V6" s="32" t="s">
        <v>28</v>
      </c>
      <c r="W6" s="32"/>
      <c r="X6" s="32"/>
      <c r="Y6" s="32" t="s">
        <v>17</v>
      </c>
      <c r="Z6" s="32"/>
      <c r="AA6" s="41" t="s">
        <v>16</v>
      </c>
      <c r="AC6" s="32"/>
      <c r="AD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6" t="s">
        <v>18</v>
      </c>
      <c r="C6" s="30" t="s">
        <v>23</v>
      </c>
      <c r="D6" s="37"/>
      <c r="E6" s="34">
        <f>TODAY()</f>
        <v>43627</v>
      </c>
      <c r="F6" s="33"/>
      <c r="G6" s="33">
        <v>100.0</v>
      </c>
      <c r="H6" s="30" t="s">
        <v>26</v>
      </c>
      <c r="I6" s="32"/>
      <c r="J6" s="30" t="s">
        <v>27</v>
      </c>
      <c r="K6" s="32"/>
      <c r="L6" s="30"/>
      <c r="M6" s="32"/>
      <c r="N6" s="32"/>
      <c r="O6" s="32"/>
      <c r="P6" s="32"/>
      <c r="Q6" s="32"/>
      <c r="R6" s="32"/>
      <c r="S6" s="32"/>
      <c r="T6" s="32"/>
      <c r="U6" s="40">
        <f>TODAY()</f>
        <v>43627</v>
      </c>
      <c r="V6" s="32"/>
      <c r="W6" s="32" t="s">
        <v>28</v>
      </c>
      <c r="X6" s="32"/>
      <c r="Y6" s="32"/>
      <c r="Z6" s="32" t="s">
        <v>17</v>
      </c>
      <c r="AA6" s="32"/>
      <c r="AB6" s="41" t="s">
        <v>16</v>
      </c>
      <c r="AC6" s="32"/>
      <c r="AD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30</v>
      </c>
      <c r="D3" s="7" t="s">
        <v>5</v>
      </c>
      <c r="E3" s="21" t="s">
        <v>31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4"/>
      <c r="B6" s="29" t="s">
        <v>21</v>
      </c>
      <c r="C6" s="34"/>
      <c r="D6" s="42"/>
      <c r="E6" s="38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30</v>
      </c>
      <c r="D3" s="7" t="s">
        <v>5</v>
      </c>
      <c r="E3" s="21" t="s">
        <v>32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4"/>
      <c r="B6" s="36" t="s">
        <v>18</v>
      </c>
      <c r="C6" s="32"/>
      <c r="D6" s="37"/>
      <c r="E6" s="33">
        <v>100.0</v>
      </c>
      <c r="F6" s="32"/>
      <c r="G6" s="32"/>
      <c r="H6" s="32"/>
      <c r="I6" s="43"/>
      <c r="J6" s="32"/>
      <c r="K6" s="41">
        <v>10.0</v>
      </c>
      <c r="L6" s="41">
        <v>10.0</v>
      </c>
      <c r="M6" s="32"/>
      <c r="N6" s="32"/>
      <c r="O6" s="32"/>
      <c r="P6" s="32"/>
      <c r="Q6" s="41"/>
      <c r="R6" s="32"/>
      <c r="S6" s="32" t="s">
        <v>33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44">
        <v>100.0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4">
        <v>100.0</v>
      </c>
      <c r="BK6" s="32"/>
      <c r="BL6" s="32"/>
      <c r="BN6" s="32"/>
      <c r="BO6" s="32" t="s">
        <v>34</v>
      </c>
      <c r="BP6" s="32"/>
      <c r="BQ6" s="32"/>
      <c r="BR6" s="32"/>
      <c r="BS6" s="32"/>
      <c r="BT6" s="41" t="s">
        <v>16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</row>
    <row r="7" ht="15.75" customHeight="1">
      <c r="A7" s="12"/>
      <c r="B7" s="30" t="s">
        <v>18</v>
      </c>
      <c r="C7" s="32"/>
      <c r="D7" s="32"/>
      <c r="E7" s="33">
        <v>100.0</v>
      </c>
      <c r="F7" s="32"/>
      <c r="G7" s="32"/>
      <c r="H7" s="32"/>
      <c r="I7" s="43"/>
      <c r="J7" s="32"/>
      <c r="K7" s="41">
        <v>13.0</v>
      </c>
      <c r="L7" s="41">
        <v>13.0</v>
      </c>
      <c r="M7" s="32"/>
      <c r="N7" s="32"/>
      <c r="O7" s="32"/>
      <c r="P7" s="32"/>
      <c r="Q7" s="32"/>
      <c r="R7" s="32"/>
      <c r="S7" s="41" t="s">
        <v>33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44">
        <v>100.0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44">
        <v>100.0</v>
      </c>
      <c r="BK7" s="32"/>
      <c r="BL7" s="32"/>
      <c r="BN7" s="32"/>
      <c r="BO7" s="32" t="s">
        <v>35</v>
      </c>
      <c r="BP7" s="32"/>
      <c r="BQ7" s="32"/>
      <c r="BR7" s="32"/>
      <c r="BS7" s="32"/>
      <c r="BT7" s="41" t="s">
        <v>16</v>
      </c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36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18</v>
      </c>
      <c r="C6" s="12"/>
      <c r="D6" s="14"/>
      <c r="E6" s="38"/>
      <c r="F6" s="12"/>
      <c r="G6" s="12"/>
      <c r="H6" s="12"/>
      <c r="I6" s="14">
        <v>10.0</v>
      </c>
      <c r="J6" s="12"/>
      <c r="K6" s="12"/>
      <c r="L6" s="12"/>
      <c r="M6" s="14">
        <v>100.0</v>
      </c>
      <c r="N6" s="12"/>
      <c r="O6" s="12"/>
      <c r="P6" s="35" t="s">
        <v>17</v>
      </c>
      <c r="R6" s="29" t="s">
        <v>16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37</v>
      </c>
      <c r="D3" s="7" t="s">
        <v>5</v>
      </c>
      <c r="E3" s="21" t="s">
        <v>39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5">
        <f t="shared" ref="B6:C6" si="1">TODAY()</f>
        <v>43627</v>
      </c>
      <c r="C6" s="46">
        <f t="shared" si="1"/>
        <v>43627</v>
      </c>
      <c r="D6" s="14"/>
      <c r="E6" s="38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7" t="s">
        <v>4</v>
      </c>
      <c r="C3" s="21" t="s">
        <v>37</v>
      </c>
      <c r="D3" s="7" t="s">
        <v>5</v>
      </c>
      <c r="E3" s="21" t="s">
        <v>38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s">
        <v>16</v>
      </c>
      <c r="C6" s="14">
        <v>13.0</v>
      </c>
      <c r="D6" s="14"/>
      <c r="E6" s="38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