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AddTabBlotter" sheetId="5" r:id="rId7"/>
    <sheet state="visible" name="RemoveOrderFromCustomTab" sheetId="6" r:id="rId8"/>
    <sheet state="visible" name="VerifyOrder" sheetId="7" r:id="rId9"/>
    <sheet state="visible" name="RemoveOrderFromCustomTab1" sheetId="8" r:id="rId10"/>
    <sheet state="visible" name="VerifyOrder1" sheetId="9" r:id="rId11"/>
  </sheets>
  <definedNames/>
  <calcPr/>
</workbook>
</file>

<file path=xl/sharedStrings.xml><?xml version="1.0" encoding="utf-8"?>
<sst xmlns="http://schemas.openxmlformats.org/spreadsheetml/2006/main" count="328" uniqueCount="46">
  <si>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</si>
  <si>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</si>
  <si>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</si>
  <si>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</si>
  <si>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</si>
  <si>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</si>
  <si>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</si>
  <si>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</si>
  <si>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</si>
  <si>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</si>
  <si>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</si>
  <si>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</si>
  <si>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</si>
  <si>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</si>
  <si>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</si>
  <si>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</si>
  <si>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</si>
  <si>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</si>
  <si>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MSFT</t>
  </si>
  <si>
    <t>Blotter</t>
  </si>
  <si>
    <t>AddTabBlotter</t>
  </si>
  <si>
    <t>test</t>
  </si>
  <si>
    <t>Add Tab(Order)</t>
  </si>
  <si>
    <t>RemoveOrderFromCustomTab</t>
  </si>
  <si>
    <t>New</t>
  </si>
  <si>
    <t>NO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</si>
  <si>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</si>
  <si>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</si>
  <si>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</si>
  <si>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</si>
  <si>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</si>
  <si>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</si>
  <si>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</si>
  <si>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</si>
  <si>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</si>
  <si>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</si>
  <si>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</si>
  <si>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</si>
  <si>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</si>
  <si>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MS</t>
  </si>
  <si>
    <t>Allocation1</t>
  </si>
  <si>
    <t>Market</t>
  </si>
  <si>
    <t>Manual</t>
  </si>
  <si>
    <t>YES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</si>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</sst>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IFERROR(__xludf.DUMMYFUNCTION("""COMPUTED_VALUE"""),"Transaction Time")</f>
        <v>Transaction Time</v>
      </c>
      <c r="D5" s="28" t="str">
        <f>IFERROR(__xludf.DUMMYFUNCTION("""COMPUTED_VALUE"""),"Algo")</f>
        <v>Algo</v>
      </c>
      <c r="E5" s="28" t="str">
        <f>IFERROR(__xludf.DUMMYFUNCTION("""COMPUTED_VALUE"""),"Avg Fill Price (Base)")</f>
        <v>Avg Fill Price (Base)</v>
      </c>
      <c r="F5" s="29" t="str">
        <f>IFERROR(__xludf.DUMMYFUNCTION("""COMPUTED_VALUE"""),"Bloomberg Symbol")</f>
        <v>Bloomberg Symbol</v>
      </c>
      <c r="G5" s="28" t="str">
        <f>IFERROR(__xludf.DUMMYFUNCTION("""COMPUTED_VALUE"""),"Limit Price")</f>
        <v>Limit Price</v>
      </c>
      <c r="H5" s="28" t="str">
        <f>IFERROR(__xludf.DUMMYFUNCTION("""COMPUTED_VALUE"""),"Working Qty")</f>
        <v>Working Qty</v>
      </c>
      <c r="I5" s="28" t="str">
        <f>IFERROR(__xludf.DUMMYFUNCTION("""COMPUTED_VALUE"""),"Venue")</f>
        <v>Venue</v>
      </c>
      <c r="J5" s="28" t="str">
        <f>IFERROR(__xludf.DUMMYFUNCTION("""COMPUTED_VALUE"""),"User")</f>
        <v>User</v>
      </c>
      <c r="K5" s="28" t="str">
        <f>IFERROR(__xludf.DUMMYFUNCTION("""COMPUTED_VALUE"""),"Underlying Symbol")</f>
        <v>Underlying Symbol</v>
      </c>
      <c r="L5" s="28" t="str">
        <f>IFERROR(__xludf.DUMMYFUNCTION("""COMPUTED_VALUE"""),"Underlying Country")</f>
        <v>Underlying Country</v>
      </c>
      <c r="M5" s="28" t="str">
        <f>IFERROR(__xludf.DUMMYFUNCTION("""COMPUTED_VALUE"""),"Trader")</f>
        <v>Trader</v>
      </c>
      <c r="N5" s="28" t="str">
        <f>IFERROR(__xludf.DUMMYFUNCTION("""COMPUTED_VALUE"""),"Trade Attribute 1")</f>
        <v>Trade Attribute 1</v>
      </c>
      <c r="O5" s="28" t="str">
        <f>IFERROR(__xludf.DUMMYFUNCTION("""COMPUTED_VALUE"""),"Trade Attribute 2")</f>
        <v>Trade Attribute 2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4")</f>
        <v>Trade Attribute 4</v>
      </c>
      <c r="R5" s="28" t="str">
        <f>IFERROR(__xludf.DUMMYFUNCTION("""COMPUTED_VALUE"""),"Trade Attribute 5")</f>
        <v>Trade Attribute 5</v>
      </c>
      <c r="S5" s="28" t="str">
        <f>IFERROR(__xludf.DUMMYFUNCTION("""COMPUTED_VALUE"""),"Trade Attribute 6")</f>
        <v>Trade Attribute 6</v>
      </c>
      <c r="T5" s="30" t="str">
        <f>IFERROR(__xludf.DUMMYFUNCTION("""COMPUTED_VALUE"""),"Strike Price")</f>
        <v>Strike Price</v>
      </c>
      <c r="U5" s="30" t="str">
        <f>IFERROR(__xludf.DUMMYFUNCTION("""COMPUTED_VALUE"""),"Stop Price")</f>
        <v>Stop Price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IFERROR(__xludf.DUMMYFUNCTION("""COMPUTED_VALUE"""),"Target Qty")</f>
        <v>Target Qty</v>
      </c>
      <c r="AN5" s="30" t="str">
        <f>IFERROR(__xludf.DUMMYFUNCTION("""COMPUTED_VALUE"""),"Total Executed Qty")</f>
        <v>Total 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Remove")</f>
        <v>Allow Remove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24</v>
      </c>
      <c r="AM6" s="9">
        <v>100.0</v>
      </c>
      <c r="AZ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RemoveOrderFromCustomTab!$4:$4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27</v>
      </c>
      <c r="B6" s="32"/>
      <c r="C6" s="8"/>
      <c r="D6" s="32"/>
      <c r="E6" s="8" t="s">
        <v>28</v>
      </c>
      <c r="F6" s="8"/>
      <c r="G6" s="8"/>
      <c r="H6" s="8" t="s">
        <v>29</v>
      </c>
      <c r="I6" s="8" t="s">
        <v>30</v>
      </c>
      <c r="J6" s="8" t="s">
        <v>16</v>
      </c>
      <c r="K6" s="8" t="s">
        <v>31</v>
      </c>
      <c r="L6" s="8" t="s">
        <v>32</v>
      </c>
      <c r="M6" s="8"/>
      <c r="N6" s="8"/>
      <c r="O6" s="8"/>
      <c r="U6" t="s">
        <v>33</v>
      </c>
      <c r="V6" t="s">
        <v>34</v>
      </c>
      <c r="AA6" t="s">
        <v>35</v>
      </c>
      <c r="AC6" t="s">
        <v>36</v>
      </c>
      <c r="AD6">
        <v>1.0</v>
      </c>
      <c r="AF6" t="s">
        <v>37</v>
      </c>
      <c r="AH6" t="s">
        <v>38</v>
      </c>
      <c r="AI6" t="s">
        <v>16</v>
      </c>
      <c r="AJ6" t="s">
        <v>17</v>
      </c>
      <c r="AK6" t="s">
        <v>24</v>
      </c>
      <c r="AL6">
        <v>100.0</v>
      </c>
      <c r="AS6" t="s">
        <v>39</v>
      </c>
      <c r="AT6" t="s">
        <v>40</v>
      </c>
      <c r="AU6" t="s">
        <v>41</v>
      </c>
      <c r="AV6">
        <v>0.0</v>
      </c>
      <c r="AW6">
        <v>0.0</v>
      </c>
      <c r="AX6" t="s">
        <v>42</v>
      </c>
      <c r="BA6" t="s">
        <v>30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s="9" t="s">
        <v>12</v>
      </c>
      <c r="BH6" t="s">
        <v>27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IFERROR(__xludf.DUMMYFUNCTION("""COMPUTED_VALUE"""),"Transaction Time")</f>
        <v>Transaction Time</v>
      </c>
      <c r="D5" s="28" t="str">
        <f>IFERROR(__xludf.DUMMYFUNCTION("""COMPUTED_VALUE"""),"Algo")</f>
        <v>Algo</v>
      </c>
      <c r="E5" s="28" t="str">
        <f>IFERROR(__xludf.DUMMYFUNCTION("""COMPUTED_VALUE"""),"Avg Fill Price (Base)")</f>
        <v>Avg Fill Price (Base)</v>
      </c>
      <c r="F5" s="29" t="str">
        <f>IFERROR(__xludf.DUMMYFUNCTION("""COMPUTED_VALUE"""),"Bloomberg Symbol")</f>
        <v>Bloomberg Symbol</v>
      </c>
      <c r="G5" s="28" t="str">
        <f>IFERROR(__xludf.DUMMYFUNCTION("""COMPUTED_VALUE"""),"Limit Price")</f>
        <v>Limit Price</v>
      </c>
      <c r="H5" s="28" t="str">
        <f>IFERROR(__xludf.DUMMYFUNCTION("""COMPUTED_VALUE"""),"Working Qty")</f>
        <v>Working Qty</v>
      </c>
      <c r="I5" s="28" t="str">
        <f>IFERROR(__xludf.DUMMYFUNCTION("""COMPUTED_VALUE"""),"Venue")</f>
        <v>Venue</v>
      </c>
      <c r="J5" s="28" t="str">
        <f>IFERROR(__xludf.DUMMYFUNCTION("""COMPUTED_VALUE"""),"User")</f>
        <v>User</v>
      </c>
      <c r="K5" s="28" t="str">
        <f>IFERROR(__xludf.DUMMYFUNCTION("""COMPUTED_VALUE"""),"Underlying Symbol")</f>
        <v>Underlying Symbol</v>
      </c>
      <c r="L5" s="28" t="str">
        <f>IFERROR(__xludf.DUMMYFUNCTION("""COMPUTED_VALUE"""),"Underlying Country")</f>
        <v>Underlying Country</v>
      </c>
      <c r="M5" s="28" t="str">
        <f>IFERROR(__xludf.DUMMYFUNCTION("""COMPUTED_VALUE"""),"Trader")</f>
        <v>Trader</v>
      </c>
      <c r="N5" s="28" t="str">
        <f>IFERROR(__xludf.DUMMYFUNCTION("""COMPUTED_VALUE"""),"Trade Attribute 1")</f>
        <v>Trade Attribute 1</v>
      </c>
      <c r="O5" s="28" t="str">
        <f>IFERROR(__xludf.DUMMYFUNCTION("""COMPUTED_VALUE"""),"Trade Attribute 2")</f>
        <v>Trade Attribute 2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4")</f>
        <v>Trade Attribute 4</v>
      </c>
      <c r="R5" s="28" t="str">
        <f>IFERROR(__xludf.DUMMYFUNCTION("""COMPUTED_VALUE"""),"Trade Attribute 5")</f>
        <v>Trade Attribute 5</v>
      </c>
      <c r="S5" s="28" t="str">
        <f>IFERROR(__xludf.DUMMYFUNCTION("""COMPUTED_VALUE"""),"Trade Attribute 6")</f>
        <v>Trade Attribute 6</v>
      </c>
      <c r="T5" s="30" t="str">
        <f>IFERROR(__xludf.DUMMYFUNCTION("""COMPUTED_VALUE"""),"Strike Price")</f>
        <v>Strike Price</v>
      </c>
      <c r="U5" s="30" t="str">
        <f>IFERROR(__xludf.DUMMYFUNCTION("""COMPUTED_VALUE"""),"Stop Price")</f>
        <v>Stop Price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IFERROR(__xludf.DUMMYFUNCTION("""COMPUTED_VALUE"""),"Target Qty")</f>
        <v>Target Qty</v>
      </c>
      <c r="AN5" s="30" t="str">
        <f>IFERROR(__xludf.DUMMYFUNCTION("""COMPUTED_VALUE"""),"Total Executed Qty")</f>
        <v>Total 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Remove")</f>
        <v>Allow Remove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24</v>
      </c>
      <c r="AM6" s="9">
        <v>100.0</v>
      </c>
      <c r="AZ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RemoveOrderFromCustomTab1!$4:$4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/>
      <c r="B6" s="32"/>
      <c r="C6" s="8"/>
      <c r="D6" s="32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H6" t="s">
        <v>38</v>
      </c>
      <c r="AI6" s="9" t="s">
        <v>18</v>
      </c>
      <c r="AJ6" s="9" t="s">
        <v>17</v>
      </c>
      <c r="AK6" s="9" t="s">
        <v>24</v>
      </c>
      <c r="AL6" s="9">
        <v>100.0</v>
      </c>
      <c r="BB6" s="9"/>
      <c r="BC6" s="9"/>
      <c r="BD6" s="9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2" t="s">
        <v>27</v>
      </c>
      <c r="B7" s="32"/>
      <c r="C7" s="8"/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t="s">
        <v>38</v>
      </c>
      <c r="AI7" t="s">
        <v>16</v>
      </c>
      <c r="AJ7" t="s">
        <v>17</v>
      </c>
      <c r="AK7" t="s">
        <v>24</v>
      </c>
      <c r="AL7">
        <v>100.0</v>
      </c>
      <c r="BB7" s="9" t="s">
        <v>44</v>
      </c>
      <c r="BC7" s="9" t="s">
        <v>45</v>
      </c>
      <c r="BD7" s="9" t="s">
        <v>16</v>
      </c>
      <c r="BE7" t="s">
        <v>27</v>
      </c>
      <c r="BF7" t="s">
        <v>27</v>
      </c>
      <c r="BH7" t="s">
        <v>27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