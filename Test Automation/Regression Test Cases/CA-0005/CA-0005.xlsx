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NonTradingTransaction" sheetId="4" r:id="rId6"/>
    <sheet state="visible" name="AddNonTradingTransaction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GetDayEndCash" sheetId="9" r:id="rId11"/>
    <sheet state="visible" name="GetAccountBalance" sheetId="10" r:id="rId12"/>
    <sheet state="visible" name="GetRevaluationData" sheetId="11" r:id="rId13"/>
    <sheet state="visible" name="CreateDoneAwayOrder1" sheetId="12" r:id="rId14"/>
    <sheet state="visible" name="GetDataClosing" sheetId="13" r:id="rId15"/>
    <sheet state="visible" name="AutomaticClosing" sheetId="14" r:id="rId16"/>
    <sheet state="visible" name="GetMarkPriceData1" sheetId="15" r:id="rId17"/>
    <sheet state="visible" name="UpdateMarkPrice1" sheetId="16" r:id="rId18"/>
    <sheet state="visible" name="GetDayEndCash1" sheetId="17" r:id="rId19"/>
    <sheet state="visible" name="GetAccountBalance1" sheetId="18" r:id="rId20"/>
    <sheet state="visible" name="GetRevaluationData1" sheetId="19" r:id="rId21"/>
    <sheet state="visible" name="VerifyRevaluationData" sheetId="20" r:id="rId22"/>
    <sheet state="visible" name="VerifyTradingTransaction" sheetId="21" r:id="rId23"/>
    <sheet state="visible" name="GetActivityData" sheetId="22" r:id="rId24"/>
    <sheet state="visible" name="VerifyActivity" sheetId="23" r:id="rId25"/>
    <sheet state="visible" name="OpenSpinOff" sheetId="24" r:id="rId26"/>
    <sheet state="visible" name="SpinOff" sheetId="25" r:id="rId27"/>
    <sheet state="visible" name="VerifyAndApplyCorpAction" sheetId="26" r:id="rId28"/>
    <sheet state="visible" name="GetMarkPriceData2" sheetId="27" r:id="rId29"/>
    <sheet state="visible" name="UpdateMarkPrice2" sheetId="28" r:id="rId30"/>
    <sheet state="visible" name="GetAccountBalance2" sheetId="29" r:id="rId31"/>
    <sheet state="visible" name="GetRevaluationData2" sheetId="30" r:id="rId32"/>
    <sheet state="visible" name="VerifyRevaluationData1" sheetId="31" r:id="rId33"/>
    <sheet state="visible" name="VerifyTradingTransaction1" sheetId="32" r:id="rId34"/>
    <sheet state="visible" name="GetActivityData1" sheetId="33" r:id="rId35"/>
    <sheet state="visible" name="VerifyActivity1" sheetId="34" r:id="rId36"/>
    <sheet state="visible" name="GetDataClosing1" sheetId="35" r:id="rId37"/>
    <sheet state="visible" name="VerifyLongPositionsGrid" sheetId="36" r:id="rId38"/>
    <sheet state="visible" name="GetDataAllocation" sheetId="37" r:id="rId39"/>
    <sheet state="visible" name="CheckAllocatedGroups" sheetId="38" r:id="rId40"/>
    <sheet state="visible" name="GetMarkPriceData3" sheetId="39" r:id="rId41"/>
  </sheets>
  <definedNames/>
  <calcPr/>
</workbook>
</file>

<file path=xl/sharedStrings.xml><?xml version="1.0" encoding="utf-8"?>
<sst xmlns="http://schemas.openxmlformats.org/spreadsheetml/2006/main" count="1349" uniqueCount="88">
  <si>
    <t>Modules Info</t>
  </si>
  <si>
    <t>Settings</t>
  </si>
  <si>
    <t>Master Data Info</t>
  </si>
  <si>
    <t>Modules</t>
  </si>
  <si>
    <t>Module</t>
  </si>
  <si>
    <t>Module Step Setting File</t>
  </si>
  <si>
    <t>1BICZ_GcMhh_S937ZinFvSYqvvKYtOYB2Bc4woEPpgPg</t>
  </si>
  <si>
    <t>Step</t>
  </si>
  <si>
    <t>Master Data Sheet</t>
  </si>
  <si>
    <t>Master Data Settings File</t>
  </si>
  <si>
    <t>1Nt_rf5DtgjbN9Ag4AMMlUkZYROxKZLH5m54YOl7tRT0</t>
  </si>
  <si>
    <t>Data</t>
  </si>
  <si>
    <t>GeneralLedger</t>
  </si>
  <si>
    <t>GetNonTradingTransaction</t>
  </si>
  <si>
    <t>Data Format</t>
  </si>
  <si>
    <t>Input Format</t>
  </si>
  <si>
    <t>Allocation1</t>
  </si>
  <si>
    <t>AddNonTradingTransaction</t>
  </si>
  <si>
    <t>USD</t>
  </si>
  <si>
    <t>Cash [Cash]</t>
  </si>
  <si>
    <t>M</t>
  </si>
  <si>
    <t>Cash Deposit [Equity]</t>
  </si>
  <si>
    <t>TradingTicket</t>
  </si>
  <si>
    <t>CreateDoneAwayOrder</t>
  </si>
  <si>
    <t>AAPL</t>
  </si>
  <si>
    <t>Buy</t>
  </si>
  <si>
    <t>MS</t>
  </si>
  <si>
    <t>Flat Amount</t>
  </si>
  <si>
    <t>DailyValuation</t>
  </si>
  <si>
    <t>GetMarkPriceData</t>
  </si>
  <si>
    <t>UpdateMarkPrice</t>
  </si>
  <si>
    <t>GetDayEndCash</t>
  </si>
  <si>
    <t>GetAccountBalance</t>
  </si>
  <si>
    <t>GetRevaluationData</t>
  </si>
  <si>
    <t>GOOG</t>
  </si>
  <si>
    <t>Sell</t>
  </si>
  <si>
    <t>Closing</t>
  </si>
  <si>
    <t>GetDataClosing</t>
  </si>
  <si>
    <t>AutomaticClosing</t>
  </si>
  <si>
    <t>Historical</t>
  </si>
  <si>
    <t>FIFO</t>
  </si>
  <si>
    <t>None</t>
  </si>
  <si>
    <t>Default</t>
  </si>
  <si>
    <t>VerifyRevaluationData</t>
  </si>
  <si>
    <t>Equity Long Revaluation [Asset]</t>
  </si>
  <si>
    <t>DR</t>
  </si>
  <si>
    <t>Revaluation</t>
  </si>
  <si>
    <t>UnRealized PNL Entry</t>
  </si>
  <si>
    <t>Equity UnRealized Profit And Loss [Income]</t>
  </si>
  <si>
    <t>CR</t>
  </si>
  <si>
    <t>Equity Realized Profit And Loss [Income]</t>
  </si>
  <si>
    <t>Realized PNL Entry</t>
  </si>
  <si>
    <t>Investment - Long Equity [Asset]</t>
  </si>
  <si>
    <t>Contra UnRealized PNL Entry</t>
  </si>
  <si>
    <t>VerifyTradingTransaction</t>
  </si>
  <si>
    <t>GetActivityData</t>
  </si>
  <si>
    <t>VerifyActivity</t>
  </si>
  <si>
    <t>Trading</t>
  </si>
  <si>
    <t>EquityLongUnRealizedPNL</t>
  </si>
  <si>
    <t>Cash</t>
  </si>
  <si>
    <t>CorporateAction</t>
  </si>
  <si>
    <t>OpenSpinOff</t>
  </si>
  <si>
    <t>NonTrading</t>
  </si>
  <si>
    <t>unknown5</t>
  </si>
  <si>
    <t>Manual Journal Entry</t>
  </si>
  <si>
    <t>EquityL</t>
  </si>
  <si>
    <t>BrokerNotes</t>
  </si>
  <si>
    <t>EquityLongRealizedPNL</t>
  </si>
  <si>
    <t>SpinOff</t>
  </si>
  <si>
    <t>VerifyAndApplyCorpAction</t>
  </si>
  <si>
    <t>MSFT</t>
  </si>
  <si>
    <t>Allocation</t>
  </si>
  <si>
    <t>GetDataAllocation</t>
  </si>
  <si>
    <t>VerifyLongPositionsGrid</t>
  </si>
  <si>
    <t>CheckAllocatedGroups</t>
  </si>
  <si>
    <t>Equity</t>
  </si>
  <si>
    <t>Long</t>
  </si>
  <si>
    <t>GOOGLE-A</t>
  </si>
  <si>
    <t>US</t>
  </si>
  <si>
    <t>LongAddition</t>
  </si>
  <si>
    <t>APPLE</t>
  </si>
  <si>
    <t>MICROSOFT INC</t>
  </si>
  <si>
    <t>msft</t>
  </si>
  <si>
    <t>buy</t>
  </si>
  <si>
    <t>Manual</t>
  </si>
  <si>
    <t>Closed</t>
  </si>
  <si>
    <t>Open</t>
  </si>
  <si>
    <t>CAStockSpinoff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</si>
</sst>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"/>
  </numFmts>
  <fonts count="20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sz val="14.0"/>
      <color rgb="FFFFFFFF"/>
      <name val="Calibri"/>
    </font>
    <font>
      <name val="Calibri"/>
    </font>
    <font>
      <b/>
      <color rgb="FFFFFFFF"/>
      <name val="Arial"/>
    </font>
    <font>
      <b/>
      <color rgb="FFFFFFFF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Segoe UI"/>
    </font>
    <font>
      <sz val="9.0"/>
      <color rgb="FFE7E8E9"/>
      <name val="Segoe UI"/>
    </font>
    <font>
      <sz val="9.0"/>
      <color rgb="FF868686"/>
      <name val="Segoe UI"/>
    </font>
    <font>
      <sz val="9.0"/>
      <color rgb="FF000000"/>
      <name val="Arial"/>
    </font>
    <font>
      <sz val="9.0"/>
      <color rgb="FF000000"/>
      <name val="Verdana"/>
    </font>
    <font>
      <color rgb="FF000000"/>
      <name val="Calibri"/>
    </font>
    <font>
      <sz val="11.0"/>
      <color rgb="FF000000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868686"/>
        <bgColor rgb="FF868686"/>
      </patternFill>
    </fill>
    <fill>
      <patternFill patternType="solid">
        <fgColor rgb="FFCBD6E0"/>
        <bgColor rgb="FFCBD6E0"/>
      </patternFill>
    </fill>
    <fill>
      <patternFill patternType="solid">
        <fgColor rgb="FFFFFFFF"/>
        <bgColor rgb="FFFFFFFF"/>
      </patternFill>
    </fill>
  </fills>
  <borders count="10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  <border>
      <right/>
    </border>
    <border>
      <left style="thin">
        <color rgb="FF212C39"/>
      </left>
      <right style="thin">
        <color rgb="FF212C39"/>
      </right>
      <top style="thin">
        <color rgb="FF212C39"/>
      </top>
      <bottom style="thin">
        <color rgb="FF212C3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  <top/>
    </border>
  </borders>
  <cellStyleXfs count="1">
    <xf borderId="0" fillId="0" fontId="0" numFmtId="0" applyAlignment="1" applyFont="1"/>
  </cellStyleXfs>
  <cellXfs count="8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1" fillId="2" fontId="5" numFmtId="0" xfId="0" applyAlignment="1" applyBorder="1" applyFont="1">
      <alignment horizontal="center" shrinkToFit="0" wrapText="0"/>
    </xf>
    <xf borderId="0" fillId="0" fontId="6" numFmtId="0" xfId="0" applyAlignment="1" applyFont="1">
      <alignment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0" fillId="0" fontId="6" numFmtId="0" xfId="0" applyAlignment="1" applyFont="1">
      <alignment readingOrder="0" shrinkToFit="0" wrapText="0"/>
    </xf>
    <xf borderId="0" fillId="0" fontId="8" numFmtId="0" xfId="0" applyFont="1"/>
    <xf borderId="4" fillId="3" fontId="9" numFmtId="0" xfId="0" applyAlignment="1" applyBorder="1" applyFont="1">
      <alignment shrinkToFit="0" wrapText="0"/>
    </xf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9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9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6" numFmtId="16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readingOrder="0"/>
    </xf>
    <xf borderId="5" fillId="0" fontId="6" numFmtId="0" xfId="0" applyAlignment="1" applyBorder="1" applyFont="1">
      <alignment horizontal="right" vertical="bottom"/>
    </xf>
    <xf borderId="2" fillId="0" fontId="3" numFmtId="0" xfId="0" applyAlignment="1" applyBorder="1" applyFont="1">
      <alignment vertical="bottom"/>
    </xf>
    <xf borderId="0" fillId="0" fontId="6" numFmtId="164" xfId="0" applyAlignment="1" applyFont="1" applyNumberFormat="1">
      <alignment horizontal="right" vertical="bottom"/>
    </xf>
    <xf borderId="6" fillId="0" fontId="3" numFmtId="0" xfId="0" applyAlignment="1" applyBorder="1" applyFont="1">
      <alignment shrinkToFit="0" vertical="bottom" wrapText="0"/>
    </xf>
    <xf borderId="0" fillId="0" fontId="6" numFmtId="0" xfId="0" applyAlignment="1" applyFont="1">
      <alignment horizontal="right" vertical="bottom"/>
    </xf>
    <xf borderId="5" fillId="0" fontId="6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5" fillId="0" fontId="6" numFmtId="0" xfId="0" applyAlignment="1" applyBorder="1" applyFont="1">
      <alignment horizontal="right" readingOrder="0" vertical="bottom"/>
    </xf>
    <xf borderId="5" fillId="0" fontId="3" numFmtId="0" xfId="0" applyAlignment="1" applyBorder="1" applyFont="1">
      <alignment readingOrder="0" vertical="bottom"/>
    </xf>
    <xf borderId="5" fillId="0" fontId="6" numFmtId="0" xfId="0" applyAlignment="1" applyBorder="1" applyFont="1">
      <alignment horizontal="center" vertical="bottom"/>
    </xf>
    <xf borderId="5" fillId="0" fontId="6" numFmtId="164" xfId="0" applyAlignment="1" applyBorder="1" applyFont="1" applyNumberFormat="1">
      <alignment horizontal="right" readingOrder="0" vertical="bottom"/>
    </xf>
    <xf borderId="0" fillId="0" fontId="6" numFmtId="164" xfId="0" applyAlignment="1" applyFont="1" applyNumberFormat="1">
      <alignment readingOrder="0" shrinkToFit="0" wrapText="0"/>
    </xf>
    <xf borderId="5" fillId="0" fontId="6" numFmtId="0" xfId="0" applyAlignment="1" applyBorder="1" applyFont="1">
      <alignment horizontal="center" vertical="bottom"/>
    </xf>
    <xf borderId="7" fillId="6" fontId="13" numFmtId="165" xfId="0" applyAlignment="1" applyBorder="1" applyFill="1" applyFont="1" applyNumberFormat="1">
      <alignment horizontal="left" readingOrder="0" shrinkToFit="0" wrapText="0"/>
    </xf>
    <xf borderId="7" fillId="6" fontId="13" numFmtId="0" xfId="0" applyAlignment="1" applyBorder="1" applyFont="1">
      <alignment horizontal="left" readingOrder="0" shrinkToFit="0" wrapText="0"/>
    </xf>
    <xf borderId="7" fillId="6" fontId="13" numFmtId="0" xfId="0" applyAlignment="1" applyBorder="1" applyFont="1">
      <alignment horizontal="right" readingOrder="0" shrinkToFit="0" wrapText="0"/>
    </xf>
    <xf borderId="7" fillId="6" fontId="14" numFmtId="0" xfId="0" applyAlignment="1" applyBorder="1" applyFont="1">
      <alignment horizontal="right" readingOrder="0" shrinkToFit="0" wrapText="0"/>
    </xf>
    <xf borderId="7" fillId="7" fontId="13" numFmtId="0" xfId="0" applyAlignment="1" applyBorder="1" applyFill="1" applyFont="1">
      <alignment horizontal="left" readingOrder="0" shrinkToFit="0" wrapText="0"/>
    </xf>
    <xf borderId="7" fillId="7" fontId="15" numFmtId="0" xfId="0" applyAlignment="1" applyBorder="1" applyFont="1">
      <alignment horizontal="right" readingOrder="0" shrinkToFit="0" wrapText="0"/>
    </xf>
    <xf borderId="7" fillId="7" fontId="13" numFmtId="0" xfId="0" applyAlignment="1" applyBorder="1" applyFont="1">
      <alignment horizontal="right" readingOrder="0" shrinkToFit="0" wrapText="0"/>
    </xf>
    <xf borderId="7" fillId="6" fontId="16" numFmtId="164" xfId="0" applyAlignment="1" applyBorder="1" applyFont="1" applyNumberFormat="1">
      <alignment horizontal="left" readingOrder="0" shrinkToFit="0" wrapText="0"/>
    </xf>
    <xf borderId="7" fillId="6" fontId="16" numFmtId="0" xfId="0" applyAlignment="1" applyBorder="1" applyFont="1">
      <alignment horizontal="right" readingOrder="0" shrinkToFit="0" wrapText="0"/>
    </xf>
    <xf borderId="7" fillId="7" fontId="16" numFmtId="0" xfId="0" applyAlignment="1" applyBorder="1" applyFont="1">
      <alignment horizontal="right" readingOrder="0" shrinkToFit="0" wrapText="0"/>
    </xf>
    <xf borderId="8" fillId="6" fontId="13" numFmtId="0" xfId="0" applyAlignment="1" applyBorder="1" applyFont="1">
      <alignment horizontal="left" readingOrder="0" shrinkToFit="0" wrapText="0"/>
    </xf>
    <xf borderId="8" fillId="6" fontId="13" numFmtId="0" xfId="0" applyAlignment="1" applyBorder="1" applyFont="1">
      <alignment horizontal="right" readingOrder="0" shrinkToFit="0" wrapText="0"/>
    </xf>
    <xf borderId="8" fillId="6" fontId="13" numFmtId="0" xfId="0" applyAlignment="1" applyBorder="1" applyFont="1">
      <alignment horizontal="left" shrinkToFit="0" wrapText="0"/>
    </xf>
    <xf borderId="8" fillId="6" fontId="13" numFmtId="164" xfId="0" applyAlignment="1" applyBorder="1" applyFont="1" applyNumberFormat="1">
      <alignment horizontal="left" readingOrder="0" shrinkToFit="0" wrapText="0"/>
    </xf>
    <xf borderId="8" fillId="6" fontId="17" numFmtId="0" xfId="0" applyAlignment="1" applyBorder="1" applyFont="1">
      <alignment horizontal="left" readingOrder="0" shrinkToFit="0" wrapText="0"/>
    </xf>
    <xf borderId="8" fillId="8" fontId="13" numFmtId="0" xfId="0" applyAlignment="1" applyBorder="1" applyFill="1" applyFont="1">
      <alignment horizontal="left" readingOrder="0" shrinkToFit="0" wrapText="0"/>
    </xf>
    <xf borderId="8" fillId="8" fontId="13" numFmtId="0" xfId="0" applyAlignment="1" applyBorder="1" applyFont="1">
      <alignment horizontal="right" readingOrder="0" shrinkToFit="0" wrapText="0"/>
    </xf>
    <xf borderId="8" fillId="8" fontId="13" numFmtId="0" xfId="0" applyAlignment="1" applyBorder="1" applyFont="1">
      <alignment horizontal="left" shrinkToFit="0" wrapText="0"/>
    </xf>
    <xf borderId="8" fillId="8" fontId="13" numFmtId="164" xfId="0" applyAlignment="1" applyBorder="1" applyFont="1" applyNumberFormat="1">
      <alignment horizontal="left" readingOrder="0" shrinkToFit="0" wrapText="0"/>
    </xf>
    <xf borderId="8" fillId="8" fontId="17" numFmtId="0" xfId="0" applyAlignment="1" applyBorder="1" applyFont="1">
      <alignment horizontal="left" readingOrder="0" shrinkToFit="0" wrapText="0"/>
    </xf>
    <xf borderId="8" fillId="6" fontId="16" numFmtId="0" xfId="0" applyAlignment="1" applyBorder="1" applyFont="1">
      <alignment horizontal="right" readingOrder="0" shrinkToFit="0" wrapText="0"/>
    </xf>
    <xf borderId="8" fillId="6" fontId="16" numFmtId="164" xfId="0" applyAlignment="1" applyBorder="1" applyFont="1" applyNumberFormat="1">
      <alignment horizontal="left" readingOrder="0" shrinkToFit="0" wrapText="0"/>
    </xf>
    <xf borderId="8" fillId="8" fontId="16" numFmtId="164" xfId="0" applyAlignment="1" applyBorder="1" applyFont="1" applyNumberFormat="1">
      <alignment horizontal="left" readingOrder="0" shrinkToFit="0" wrapText="0"/>
    </xf>
    <xf borderId="8" fillId="8" fontId="16" numFmtId="0" xfId="0" applyAlignment="1" applyBorder="1" applyFont="1">
      <alignment horizontal="right" readingOrder="0" shrinkToFit="0" wrapText="0"/>
    </xf>
    <xf borderId="8" fillId="8" fontId="16" numFmtId="165" xfId="0" applyAlignment="1" applyBorder="1" applyFont="1" applyNumberFormat="1">
      <alignment horizontal="left" readingOrder="0" shrinkToFit="0" wrapText="0"/>
    </xf>
    <xf borderId="8" fillId="6" fontId="16" numFmtId="165" xfId="0" applyAlignment="1" applyBorder="1" applyFont="1" applyNumberFormat="1">
      <alignment horizontal="left" readingOrder="0" shrinkToFit="0" wrapText="0"/>
    </xf>
    <xf borderId="8" fillId="6" fontId="13" numFmtId="0" xfId="0" applyAlignment="1" applyBorder="1" applyFont="1">
      <alignment horizontal="left" readingOrder="0" shrinkToFit="0" vertical="top" wrapText="0"/>
    </xf>
    <xf borderId="0" fillId="9" fontId="18" numFmtId="164" xfId="0" applyAlignment="1" applyFill="1" applyFont="1" applyNumberFormat="1">
      <alignment horizontal="right" readingOrder="0"/>
    </xf>
    <xf borderId="9" fillId="0" fontId="3" numFmtId="0" xfId="0" applyAlignment="1" applyBorder="1" applyFont="1">
      <alignment shrinkToFit="0" vertical="bottom" wrapText="0"/>
    </xf>
    <xf borderId="0" fillId="0" fontId="6" numFmtId="0" xfId="0" applyAlignment="1" applyFont="1">
      <alignment readingOrder="0" shrinkToFit="0" wrapText="0"/>
    </xf>
    <xf borderId="7" fillId="6" fontId="13" numFmtId="164" xfId="0" applyAlignment="1" applyBorder="1" applyFont="1" applyNumberFormat="1">
      <alignment horizontal="left" readingOrder="0" shrinkToFit="0" wrapText="0"/>
    </xf>
    <xf borderId="0" fillId="0" fontId="19" numFmtId="0" xfId="0" applyAlignment="1" applyFont="1">
      <alignment readingOrder="0" shrinkToFit="0" wrapText="0"/>
    </xf>
    <xf borderId="0" fillId="0" fontId="19" numFmtId="0" xfId="0" applyAlignment="1" applyFont="1">
      <alignment horizontal="right" readingOrder="0" shrinkToFit="0" wrapText="0"/>
    </xf>
    <xf borderId="0" fillId="0" fontId="19" numFmtId="165" xfId="0" applyAlignment="1" applyFont="1" applyNumberFormat="1">
      <alignment horizontal="right" readingOrder="0" shrinkToFit="0" wrapText="0"/>
    </xf>
    <xf borderId="0" fillId="0" fontId="19" numFmtId="164" xfId="0" applyAlignment="1" applyFont="1" applyNumberFormat="1">
      <alignment horizontal="right" readingOrder="0" shrinkToFit="0" wrapText="0"/>
    </xf>
    <xf borderId="0" fillId="0" fontId="19" numFmtId="0" xfId="0" applyAlignment="1" applyFont="1">
      <alignment readingOrder="0" shrinkToFit="0" vertical="bottom" wrapText="0"/>
    </xf>
    <xf borderId="0" fillId="0" fontId="19" numFmtId="0" xfId="0" applyAlignment="1" applyFont="1">
      <alignment horizontal="right" readingOrder="0" shrinkToFit="0" vertical="bottom" wrapText="0"/>
    </xf>
    <xf borderId="0" fillId="0" fontId="19" numFmtId="4" xfId="0" applyAlignment="1" applyFont="1" applyNumberFormat="1">
      <alignment horizontal="right" readingOrder="0" shrinkToFit="0" vertical="bottom" wrapText="0"/>
    </xf>
    <xf borderId="0" fillId="0" fontId="19" numFmtId="164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20" Type="http://schemas.openxmlformats.org/officeDocument/2006/relationships/worksheet" Target="worksheets/sheet18.xml"/><Relationship Id="rId41" Type="http://schemas.openxmlformats.org/officeDocument/2006/relationships/worksheet" Target="worksheets/sheet39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8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8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7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3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3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34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36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37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39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42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44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6.png"/><Relationship Id="rId2" Type="http://schemas.openxmlformats.org/officeDocument/2006/relationships/image" Target="../media/image45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8.png"/><Relationship Id="rId2" Type="http://schemas.openxmlformats.org/officeDocument/2006/relationships/image" Target="../media/image47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49.png"/><Relationship Id="rId2" Type="http://schemas.openxmlformats.org/officeDocument/2006/relationships/image" Target="../media/image50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51.png"/><Relationship Id="rId2" Type="http://schemas.openxmlformats.org/officeDocument/2006/relationships/image" Target="../media/image52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54.png"/><Relationship Id="rId2" Type="http://schemas.openxmlformats.org/officeDocument/2006/relationships/image" Target="../media/image53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56.png"/><Relationship Id="rId2" Type="http://schemas.openxmlformats.org/officeDocument/2006/relationships/image" Target="../media/image55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59.png"/><Relationship Id="rId2" Type="http://schemas.openxmlformats.org/officeDocument/2006/relationships/image" Target="../media/image60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57.png"/><Relationship Id="rId2" Type="http://schemas.openxmlformats.org/officeDocument/2006/relationships/image" Target="../media/image58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61.png"/><Relationship Id="rId2" Type="http://schemas.openxmlformats.org/officeDocument/2006/relationships/image" Target="../media/image62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63.png"/><Relationship Id="rId2" Type="http://schemas.openxmlformats.org/officeDocument/2006/relationships/image" Target="../media/image64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66.png"/><Relationship Id="rId2" Type="http://schemas.openxmlformats.org/officeDocument/2006/relationships/image" Target="../media/image65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67.png"/><Relationship Id="rId2" Type="http://schemas.openxmlformats.org/officeDocument/2006/relationships/image" Target="../media/image68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70.png"/><Relationship Id="rId2" Type="http://schemas.openxmlformats.org/officeDocument/2006/relationships/image" Target="../media/image69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71.png"/><Relationship Id="rId2" Type="http://schemas.openxmlformats.org/officeDocument/2006/relationships/image" Target="../media/image7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3</v>
      </c>
      <c r="B3" s="6"/>
      <c r="C3" s="7"/>
      <c r="D3" s="7"/>
      <c r="E3" s="7"/>
      <c r="F3" s="7"/>
    </row>
    <row r="4" ht="15.75" customHeight="1">
      <c r="A4" s="10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 t="str">
        <f>IFERROR(__xludf.DUMMYFUNCTION("""COMPUTED_VALUE"""),"")</f>
        <v/>
      </c>
      <c r="E4" s="4" t="str">
        <f>IFERROR(__xludf.DUMMYFUNCTION("""COMPUTED_VALUE"""),"")</f>
        <v/>
      </c>
      <c r="F4" s="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10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 t="str">
        <f>IFERROR(__xludf.DUMMYFUNCTION("""COMPUTED_VALUE"""),"")</f>
        <v/>
      </c>
      <c r="E5" s="4" t="str">
        <f>IFERROR(__xludf.DUMMYFUNCTION("""COMPUTED_VALUE"""),"")</f>
        <v/>
      </c>
      <c r="F5" s="4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 t="str">
        <f>IFERROR(__xludf.DUMMYFUNCTION("""COMPUTED_VALUE"""),"")</f>
        <v/>
      </c>
      <c r="E6" s="4" t="str">
        <f>IFERROR(__xludf.DUMMYFUNCTION("""COMPUTED_VALUE"""),"")</f>
        <v/>
      </c>
      <c r="F6" s="4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 t="str">
        <f>IFERROR(__xludf.DUMMYFUNCTION("""COMPUTED_VALUE"""),"")</f>
        <v/>
      </c>
      <c r="E7" s="4" t="str">
        <f>IFERROR(__xludf.DUMMYFUNCTION("""COMPUTED_VALUE"""),"")</f>
        <v/>
      </c>
      <c r="F7" s="4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 t="str">
        <f>IFERROR(__xludf.DUMMYFUNCTION("""COMPUTED_VALUE"""),"")</f>
        <v/>
      </c>
      <c r="E8" s="4" t="str">
        <f>IFERROR(__xludf.DUMMYFUNCTION("""COMPUTED_VALUE"""),"")</f>
        <v/>
      </c>
      <c r="F8" s="4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 t="str">
        <f>IFERROR(__xludf.DUMMYFUNCTION("""COMPUTED_VALUE"""),"")</f>
        <v/>
      </c>
      <c r="E9" s="4" t="str">
        <f>IFERROR(__xludf.DUMMYFUNCTION("""COMPUTED_VALUE"""),"")</f>
        <v/>
      </c>
      <c r="F9" s="4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 t="str">
        <f>IFERROR(__xludf.DUMMYFUNCTION("""COMPUTED_VALUE"""),"")</f>
        <v/>
      </c>
      <c r="E10" s="4" t="str">
        <f>IFERROR(__xludf.DUMMYFUNCTION("""COMPUTED_VALUE"""),"")</f>
        <v/>
      </c>
      <c r="F10" s="4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 t="str">
        <f>IFERROR(__xludf.DUMMYFUNCTION("""COMPUTED_VALUE"""),"")</f>
        <v/>
      </c>
      <c r="E11" s="4" t="str">
        <f>IFERROR(__xludf.DUMMYFUNCTION("""COMPUTED_VALUE"""),"")</f>
        <v/>
      </c>
      <c r="F11" s="4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 t="str">
        <f>IFERROR(__xludf.DUMMYFUNCTION("""COMPUTED_VALUE"""),"")</f>
        <v/>
      </c>
      <c r="E12" s="4" t="str">
        <f>IFERROR(__xludf.DUMMYFUNCTION("""COMPUTED_VALUE"""),"")</f>
        <v/>
      </c>
      <c r="F12" s="4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 t="str">
        <f>IFERROR(__xludf.DUMMYFUNCTION("""COMPUTED_VALUE"""),"")</f>
        <v/>
      </c>
      <c r="E13" s="4" t="str">
        <f>IFERROR(__xludf.DUMMYFUNCTION("""COMPUTED_VALUE"""),"")</f>
        <v/>
      </c>
      <c r="F13" s="4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 t="str">
        <f>IFERROR(__xludf.DUMMYFUNCTION("""COMPUTED_VALUE"""),"")</f>
        <v/>
      </c>
      <c r="E14" s="4" t="str">
        <f>IFERROR(__xludf.DUMMYFUNCTION("""COMPUTED_VALUE"""),"")</f>
        <v/>
      </c>
      <c r="F14" s="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 t="str">
        <f>IFERROR(__xludf.DUMMYFUNCTION("""COMPUTED_VALUE"""),"")</f>
        <v/>
      </c>
      <c r="E15" s="4" t="str">
        <f>IFERROR(__xludf.DUMMYFUNCTION("""COMPUTED_VALUE"""),"")</f>
        <v/>
      </c>
      <c r="F15" s="4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 t="str">
        <f>IFERROR(__xludf.DUMMYFUNCTION("""COMPUTED_VALUE"""),"")</f>
        <v/>
      </c>
      <c r="E16" s="4" t="str">
        <f>IFERROR(__xludf.DUMMYFUNCTION("""COMPUTED_VALUE"""),"")</f>
        <v/>
      </c>
      <c r="F16" s="4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 t="str">
        <f>IFERROR(__xludf.DUMMYFUNCTION("""COMPUTED_VALUE"""),"")</f>
        <v/>
      </c>
      <c r="E17" s="4" t="str">
        <f>IFERROR(__xludf.DUMMYFUNCTION("""COMPUTED_VALUE"""),"")</f>
        <v/>
      </c>
      <c r="F17" s="4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 t="str">
        <f>IFERROR(__xludf.DUMMYFUNCTION("""COMPUTED_VALUE"""),"")</f>
        <v/>
      </c>
      <c r="E18" s="4" t="str">
        <f>IFERROR(__xludf.DUMMYFUNCTION("""COMPUTED_VALUE"""),"")</f>
        <v/>
      </c>
      <c r="F18" s="4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 t="str">
        <f>IFERROR(__xludf.DUMMYFUNCTION("""COMPUTED_VALUE"""),"")</f>
        <v/>
      </c>
      <c r="E19" s="4" t="str">
        <f>IFERROR(__xludf.DUMMYFUNCTION("""COMPUTED_VALUE"""),"")</f>
        <v/>
      </c>
      <c r="F19" s="4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 t="str">
        <f>IFERROR(__xludf.DUMMYFUNCTION("""COMPUTED_VALUE"""),"")</f>
        <v/>
      </c>
      <c r="E20" s="4" t="str">
        <f>IFERROR(__xludf.DUMMYFUNCTION("""COMPUTED_VALUE"""),"")</f>
        <v/>
      </c>
      <c r="F20" s="4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 t="str">
        <f>IFERROR(__xludf.DUMMYFUNCTION("""COMPUTED_VALUE"""),"")</f>
        <v/>
      </c>
      <c r="E21" s="4" t="str">
        <f>IFERROR(__xludf.DUMMYFUNCTION("""COMPUTED_VALUE"""),"")</f>
        <v/>
      </c>
      <c r="F21" s="4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 t="str">
        <f>IFERROR(__xludf.DUMMYFUNCTION("""COMPUTED_VALUE"""),"")</f>
        <v/>
      </c>
      <c r="E22" s="4" t="str">
        <f>IFERROR(__xludf.DUMMYFUNCTION("""COMPUTED_VALUE"""),"")</f>
        <v/>
      </c>
      <c r="F22" s="4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 t="str">
        <f>IFERROR(__xludf.DUMMYFUNCTION("""COMPUTED_VALUE"""),"")</f>
        <v/>
      </c>
      <c r="E23" s="4" t="str">
        <f>IFERROR(__xludf.DUMMYFUNCTION("""COMPUTED_VALUE"""),"")</f>
        <v/>
      </c>
      <c r="F23" s="4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 t="str">
        <f>IFERROR(__xludf.DUMMYFUNCTION("""COMPUTED_VALUE"""),"")</f>
        <v/>
      </c>
      <c r="E24" s="4" t="str">
        <f>IFERROR(__xludf.DUMMYFUNCTION("""COMPUTED_VALUE"""),"")</f>
        <v/>
      </c>
      <c r="F24" s="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 t="str">
        <f>IFERROR(__xludf.DUMMYFUNCTION("""COMPUTED_VALUE"""),"")</f>
        <v/>
      </c>
      <c r="E25" s="4" t="str">
        <f>IFERROR(__xludf.DUMMYFUNCTION("""COMPUTED_VALUE"""),"")</f>
        <v/>
      </c>
      <c r="F25" s="4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 t="str">
        <f>IFERROR(__xludf.DUMMYFUNCTION("""COMPUTED_VALUE"""),"")</f>
        <v/>
      </c>
      <c r="E26" s="4" t="str">
        <f>IFERROR(__xludf.DUMMYFUNCTION("""COMPUTED_VALUE"""),"")</f>
        <v/>
      </c>
      <c r="F26" s="4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 t="str">
        <f>IFERROR(__xludf.DUMMYFUNCTION("""COMPUTED_VALUE"""),"")</f>
        <v/>
      </c>
      <c r="E27" s="4" t="str">
        <f>IFERROR(__xludf.DUMMYFUNCTION("""COMPUTED_VALUE"""),"")</f>
        <v/>
      </c>
      <c r="F27" s="4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 t="str">
        <f>IFERROR(__xludf.DUMMYFUNCTION("""COMPUTED_VALUE"""),"")</f>
        <v/>
      </c>
      <c r="E28" s="4" t="str">
        <f>IFERROR(__xludf.DUMMYFUNCTION("""COMPUTED_VALUE"""),"")</f>
        <v/>
      </c>
      <c r="F28" s="4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 t="str">
        <f>IFERROR(__xludf.DUMMYFUNCTION("""COMPUTED_VALUE"""),"")</f>
        <v/>
      </c>
      <c r="E29" s="4" t="str">
        <f>IFERROR(__xludf.DUMMYFUNCTION("""COMPUTED_VALUE"""),"")</f>
        <v/>
      </c>
      <c r="F29" s="4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 t="str">
        <f>IFERROR(__xludf.DUMMYFUNCTION("""COMPUTED_VALUE"""),"")</f>
        <v/>
      </c>
      <c r="E30" s="4" t="str">
        <f>IFERROR(__xludf.DUMMYFUNCTION("""COMPUTED_VALUE"""),"")</f>
        <v/>
      </c>
      <c r="F30" s="4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 t="str">
        <f>IFERROR(__xludf.DUMMYFUNCTION("""COMPUTED_VALUE"""),"")</f>
        <v/>
      </c>
      <c r="E31" s="4" t="str">
        <f>IFERROR(__xludf.DUMMYFUNCTION("""COMPUTED_VALUE"""),"")</f>
        <v/>
      </c>
      <c r="F31" s="4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 t="str">
        <f>IFERROR(__xludf.DUMMYFUNCTION("""COMPUTED_VALUE"""),"")</f>
        <v/>
      </c>
      <c r="E32" s="4" t="str">
        <f>IFERROR(__xludf.DUMMYFUNCTION("""COMPUTED_VALUE"""),"")</f>
        <v/>
      </c>
      <c r="F32" s="4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 t="str">
        <f>IFERROR(__xludf.DUMMYFUNCTION("""COMPUTED_VALUE"""),"")</f>
        <v/>
      </c>
      <c r="E33" s="4" t="str">
        <f>IFERROR(__xludf.DUMMYFUNCTION("""COMPUTED_VALUE"""),"")</f>
        <v/>
      </c>
      <c r="F33" s="4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34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 ht="15.75" customHeight="1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 ht="15.75" customHeight="1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9" t="s">
        <v>1</v>
      </c>
      <c r="B1" s="2"/>
      <c r="C1" s="3"/>
    </row>
    <row r="2" ht="15.75" customHeight="1">
      <c r="A2" s="10"/>
      <c r="B2" s="10"/>
      <c r="C2" s="10"/>
    </row>
    <row r="3" ht="15.75" customHeight="1">
      <c r="A3" s="5" t="s">
        <v>5</v>
      </c>
      <c r="B3" s="14" t="s">
        <v>6</v>
      </c>
      <c r="C3" s="10"/>
    </row>
    <row r="4" ht="15.75" customHeight="1">
      <c r="A4" s="11" t="s">
        <v>9</v>
      </c>
      <c r="B4" s="14" t="s">
        <v>10</v>
      </c>
      <c r="C4" s="10"/>
    </row>
    <row r="5" ht="15.75" customHeight="1">
      <c r="A5" s="16"/>
      <c r="B5" s="10"/>
      <c r="C5" s="10"/>
    </row>
    <row r="6" ht="15.75" customHeight="1">
      <c r="A6" s="16"/>
      <c r="B6" s="10"/>
      <c r="C6" s="10"/>
    </row>
    <row r="7" ht="15.75" customHeight="1">
      <c r="A7" s="16"/>
      <c r="B7" s="10"/>
      <c r="C7" s="10"/>
    </row>
    <row r="8" ht="15.75" customHeight="1">
      <c r="A8" s="16"/>
      <c r="B8" s="10"/>
      <c r="C8" s="10"/>
    </row>
    <row r="9" ht="15.75" customHeight="1">
      <c r="A9" s="16"/>
      <c r="B9" s="10"/>
      <c r="C9" s="10"/>
    </row>
    <row r="10" ht="15.75" customHeight="1">
      <c r="A10" s="16"/>
      <c r="B10" s="10"/>
      <c r="C10" s="10"/>
    </row>
    <row r="11" ht="15.75" customHeight="1">
      <c r="A11" s="16"/>
      <c r="B11" s="10"/>
      <c r="C11" s="10"/>
    </row>
    <row r="12" ht="15.75" customHeight="1">
      <c r="A12" s="16"/>
      <c r="B12" s="10"/>
      <c r="C12" s="10"/>
    </row>
    <row r="13" ht="15.75" customHeight="1">
      <c r="A13" s="16"/>
      <c r="B13" s="10"/>
      <c r="C13" s="10"/>
    </row>
    <row r="14" ht="15.75" customHeight="1">
      <c r="A14" s="16"/>
      <c r="B14" s="10"/>
      <c r="C14" s="10"/>
    </row>
    <row r="15" ht="15.75" customHeight="1">
      <c r="A15" s="16"/>
      <c r="B15" s="10"/>
      <c r="C15" s="10"/>
    </row>
    <row r="16" ht="15.75" customHeight="1">
      <c r="A16" s="16"/>
      <c r="B16" s="10"/>
      <c r="C16" s="10"/>
    </row>
    <row r="17" ht="15.75" customHeight="1">
      <c r="A17" s="16"/>
      <c r="B17" s="10"/>
      <c r="C17" s="10"/>
    </row>
    <row r="18" ht="15.75" customHeight="1">
      <c r="A18" s="16"/>
      <c r="B18" s="10"/>
      <c r="C18" s="10"/>
    </row>
    <row r="19" ht="15.75" customHeight="1">
      <c r="A19" s="16"/>
      <c r="B19" s="10"/>
      <c r="C19" s="10"/>
    </row>
    <row r="20" ht="15.75" customHeight="1">
      <c r="A20" s="16"/>
      <c r="B20" s="10"/>
      <c r="C20" s="10"/>
    </row>
    <row r="21" ht="15.75" customHeight="1">
      <c r="A21" s="16"/>
      <c r="B21" s="10"/>
      <c r="C21" s="10"/>
    </row>
    <row r="22" ht="15.75" customHeight="1">
      <c r="A22" s="16"/>
      <c r="B22" s="10"/>
      <c r="C22" s="10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8" t="s">
        <v>2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4</v>
      </c>
      <c r="B3" s="12" t="s">
        <v>7</v>
      </c>
      <c r="C3" s="12" t="s">
        <v>8</v>
      </c>
      <c r="D3" s="13"/>
      <c r="E3" s="13"/>
      <c r="F3" s="13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0"/>
      <c r="B3" s="5" t="s">
        <v>4</v>
      </c>
      <c r="C3" s="21" t="s">
        <v>12</v>
      </c>
      <c r="D3" s="5" t="s">
        <v>7</v>
      </c>
      <c r="E3" s="21" t="s">
        <v>13</v>
      </c>
      <c r="F3" s="5" t="s">
        <v>14</v>
      </c>
      <c r="G3" s="16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/>
      <c r="C6" s="31" t="s">
        <v>16</v>
      </c>
      <c r="D6" s="32">
        <v>43871.0</v>
      </c>
      <c r="E6" s="32">
        <v>43875.0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GetNonTradingTransaction!$4:$4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0"/>
      <c r="B3" s="5" t="s">
        <v>4</v>
      </c>
      <c r="C3" s="21" t="s">
        <v>12</v>
      </c>
      <c r="D3" s="5" t="s">
        <v>7</v>
      </c>
      <c r="E3" s="21" t="s">
        <v>17</v>
      </c>
      <c r="F3" s="5" t="s">
        <v>14</v>
      </c>
      <c r="G3" s="16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IFERROR(__xludf.DUMMYFUNCTION("""COMPUTED_VALUE"""),"Account")</f>
        <v>Account</v>
      </c>
      <c r="D5" s="26" t="str">
        <f>IFERROR(__xludf.DUMMYFUNCTION("""COMPUTED_VALUE"""),"Symbol")</f>
        <v>Symbol</v>
      </c>
      <c r="E5" s="26" t="str">
        <f>IFERROR(__xludf.DUMMYFUNCTION("""COMPUTED_VALUE"""),"Currency")</f>
        <v>Currency</v>
      </c>
      <c r="F5" s="27" t="str">
        <f>IFERROR(__xludf.DUMMYFUNCTION("""COMPUTED_VALUE"""),"Cash Sub-Account")</f>
        <v>Cash Sub-Account</v>
      </c>
      <c r="G5" s="26" t="str">
        <f>IFERROR(__xludf.DUMMYFUNCTION("""COMPUTED_VALUE"""),"Account Side")</f>
        <v>Account Side</v>
      </c>
      <c r="H5" s="26" t="str">
        <f>IFERROR(__xludf.DUMMYFUNCTION("""COMPUTED_VALUE"""),"DR")</f>
        <v>DR</v>
      </c>
      <c r="I5" s="26" t="str">
        <f>IFERROR(__xludf.DUMMYFUNCTION("""COMPUTED_VALUE"""),"CR")</f>
        <v>CR</v>
      </c>
      <c r="J5" s="26" t="str">
        <f>IFERROR(__xludf.DUMMYFUNCTION("""COMPUTED_VALUE"""),"Fx Rate")</f>
        <v>Fx Rate</v>
      </c>
      <c r="K5" s="26" t="str">
        <f>IFERROR(__xludf.DUMMYFUNCTION("""COMPUTED_VALUE"""),"FX Conversion Method Operator")</f>
        <v>FX Conversion Method Operator</v>
      </c>
      <c r="L5" s="26" t="str">
        <f>IFERROR(__xludf.DUMMYFUNCTION("""COMPUTED_VALUE"""),"Description")</f>
        <v>Description</v>
      </c>
      <c r="M5" s="26" t="str">
        <f>IFERROR(__xludf.DUMMYFUNCTION("""COMPUTED_VALUE"""),"Modify Date")</f>
        <v>Modify Date</v>
      </c>
      <c r="N5" s="26" t="str">
        <f>IFERROR(__xludf.DUMMYFUNCTION("""COMPUTED_VALUE"""),"Entry Date")</f>
        <v>Entry Date</v>
      </c>
      <c r="O5" s="26" t="str">
        <f>IFERROR(__xludf.DUMMYFUNCTION("""COMPUTED_VALUE"""),"User")</f>
        <v>User</v>
      </c>
      <c r="P5" s="26" t="str">
        <f>IFERROR(__xludf.DUMMYFUNCTION("""COMPUTED_VALUE"""),"TransactionSource")</f>
        <v>TransactionSource</v>
      </c>
      <c r="Q5" s="26" t="str">
        <f>IFERROR(__xludf.DUMMYFUNCTION("""COMPUTED_VALUE"""),"Base Currency")</f>
        <v>Base Currency</v>
      </c>
      <c r="R5" s="26" t="str">
        <f>IFERROR(__xludf.DUMMYFUNCTION("""COMPUTED_VALUE"""),"DR (Base)")</f>
        <v>DR (Base)</v>
      </c>
      <c r="S5" s="26" t="str">
        <f>IFERROR(__xludf.DUMMYFUNCTION("""COMPUTED_VALUE"""),"CR (Base)")</f>
        <v>CR (Base)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2">
        <v>43871.0</v>
      </c>
      <c r="C6" s="31" t="s">
        <v>16</v>
      </c>
      <c r="D6" s="30"/>
      <c r="E6" s="31" t="s">
        <v>18</v>
      </c>
      <c r="F6" s="31" t="s">
        <v>19</v>
      </c>
      <c r="G6" s="31"/>
      <c r="H6" s="35">
        <v>500000.0</v>
      </c>
      <c r="I6" s="31"/>
      <c r="J6" s="35">
        <v>1.0</v>
      </c>
      <c r="K6" s="31" t="s">
        <v>20</v>
      </c>
      <c r="L6" s="31"/>
      <c r="M6" s="31"/>
      <c r="N6" s="31"/>
      <c r="O6" s="31"/>
      <c r="P6" s="31"/>
      <c r="Q6" s="31"/>
      <c r="R6" s="35">
        <v>500000.0</v>
      </c>
      <c r="S6" s="36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7">
        <v>43871.0</v>
      </c>
      <c r="C7" s="33" t="s">
        <v>16</v>
      </c>
      <c r="D7" s="33"/>
      <c r="E7" s="33" t="s">
        <v>18</v>
      </c>
      <c r="F7" s="38" t="s">
        <v>21</v>
      </c>
      <c r="G7" s="33"/>
      <c r="H7" s="33"/>
      <c r="I7" s="39">
        <v>500000.0</v>
      </c>
      <c r="J7" s="39">
        <v>1.0</v>
      </c>
      <c r="K7" s="33" t="s">
        <v>20</v>
      </c>
      <c r="L7" s="33"/>
      <c r="M7" s="33"/>
      <c r="N7" s="33"/>
      <c r="O7" s="33"/>
      <c r="P7" s="33"/>
      <c r="Q7" s="33"/>
      <c r="R7" s="33"/>
      <c r="S7" s="39">
        <v>500000.0</v>
      </c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AddNonTradingTransaction!$4:$4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1b5S4Xpp4fgZ1ez6cK92QFnVBylqz8jhwxdAyEvwDqUI</v>
      </c>
      <c r="K2" s="19"/>
      <c r="L2" s="10"/>
      <c r="M2" s="10"/>
      <c r="N2" s="10"/>
      <c r="O2" s="10"/>
    </row>
    <row r="3" ht="15.75" customHeight="1">
      <c r="A3" s="20"/>
      <c r="B3" s="5" t="s">
        <v>4</v>
      </c>
      <c r="C3" s="21" t="s">
        <v>22</v>
      </c>
      <c r="D3" s="5" t="s">
        <v>7</v>
      </c>
      <c r="E3" s="21" t="s">
        <v>23</v>
      </c>
      <c r="F3" s="5" t="s">
        <v>14</v>
      </c>
      <c r="G3" s="16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IFERROR(__xludf.DUMMYFUNCTION("""COMPUTED_VALUE"""),"ChkBoxBookAsSwap")</f>
        <v>ChkBoxBookAsSwap</v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 t="s">
        <v>24</v>
      </c>
      <c r="C6" s="31" t="s">
        <v>25</v>
      </c>
      <c r="D6" s="40">
        <v>105.0</v>
      </c>
      <c r="E6" s="35">
        <v>105.0</v>
      </c>
      <c r="F6" s="31"/>
      <c r="G6" s="31" t="s">
        <v>26</v>
      </c>
      <c r="H6" s="31"/>
      <c r="I6" s="31"/>
      <c r="J6" s="35">
        <v>300.0</v>
      </c>
      <c r="K6" s="31"/>
      <c r="L6" s="31"/>
      <c r="M6" s="31"/>
      <c r="N6" s="32">
        <v>43871.0</v>
      </c>
      <c r="O6" s="31"/>
      <c r="P6" s="31"/>
      <c r="Q6" s="31"/>
      <c r="R6" s="31" t="s">
        <v>27</v>
      </c>
      <c r="S6" s="41">
        <v>2.5</v>
      </c>
      <c r="T6" s="33" t="s">
        <v>27</v>
      </c>
      <c r="U6" s="42">
        <v>7.5</v>
      </c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 t="s">
        <v>16</v>
      </c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0"/>
      <c r="B3" s="5" t="s">
        <v>4</v>
      </c>
      <c r="C3" s="21" t="s">
        <v>28</v>
      </c>
      <c r="D3" s="5" t="s">
        <v>7</v>
      </c>
      <c r="E3" s="21" t="s">
        <v>29</v>
      </c>
      <c r="F3" s="5" t="s">
        <v>14</v>
      </c>
      <c r="G3" s="16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 ")</f>
        <v>Copy Date 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2">
        <v>43871.0</v>
      </c>
      <c r="C6" s="32">
        <v>43871.0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0"/>
      <c r="B3" s="5" t="s">
        <v>4</v>
      </c>
      <c r="C3" s="21" t="s">
        <v>28</v>
      </c>
      <c r="D3" s="5" t="s">
        <v>7</v>
      </c>
      <c r="E3" s="21" t="s">
        <v>30</v>
      </c>
      <c r="F3" s="5" t="s">
        <v>14</v>
      </c>
      <c r="G3" s="16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IFERROR(__xludf.DUMMYFUNCTION("""COMPUTED_VALUE"""),"Price")</f>
        <v>Price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 t="s">
        <v>24</v>
      </c>
      <c r="C6" s="43">
        <v>305.0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2" width="14.43"/>
    <col customWidth="1" min="3" max="3" width="29.86"/>
    <col customWidth="1" min="4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0"/>
      <c r="B3" s="5" t="s">
        <v>4</v>
      </c>
      <c r="C3" s="21" t="s">
        <v>12</v>
      </c>
      <c r="D3" s="5" t="s">
        <v>7</v>
      </c>
      <c r="E3" s="21" t="s">
        <v>31</v>
      </c>
      <c r="F3" s="5" t="s">
        <v>14</v>
      </c>
      <c r="G3" s="16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/>
      <c r="C6" s="44" t="s">
        <v>16</v>
      </c>
      <c r="D6" s="32">
        <v>43871.0</v>
      </c>
      <c r="E6" s="32">
        <v>43871.0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GetDayEndCash!$4:$4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0"/>
      <c r="B3" s="5" t="s">
        <v>4</v>
      </c>
      <c r="C3" s="21" t="s">
        <v>12</v>
      </c>
      <c r="D3" s="5" t="s">
        <v>7</v>
      </c>
      <c r="E3" s="21" t="s">
        <v>32</v>
      </c>
      <c r="F3" s="5" t="s">
        <v>14</v>
      </c>
      <c r="G3" s="16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IFERROR(__xludf.DUMMYFUNCTION("""COMPUTED_VALUE"""),"Balances as on date")</f>
        <v>Balances as on date</v>
      </c>
      <c r="E5" s="26" t="str">
        <f>IFERROR(__xludf.DUMMYFUNCTION("""COMPUTED_VALUE"""),"IsRunRevalOnGetAccountBalances")</f>
        <v>IsRunRevalOnGetAccountBalances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/>
      <c r="C6" s="31" t="s">
        <v>16</v>
      </c>
      <c r="D6" s="32">
        <v>43871.0</v>
      </c>
      <c r="E6" s="45" t="b">
        <v>1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GetAccountBalance!$4:$4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0"/>
      <c r="B3" s="5" t="s">
        <v>4</v>
      </c>
      <c r="C3" s="21" t="s">
        <v>12</v>
      </c>
      <c r="D3" s="5" t="s">
        <v>7</v>
      </c>
      <c r="E3" s="21" t="s">
        <v>33</v>
      </c>
      <c r="F3" s="5" t="s">
        <v>14</v>
      </c>
      <c r="G3" s="16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/>
      <c r="C6" s="31" t="s">
        <v>16</v>
      </c>
      <c r="D6" s="32">
        <v>43871.0</v>
      </c>
      <c r="E6" s="46">
        <v>43871.0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GetRevaluationData!$4:$4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1b5S4Xpp4fgZ1ez6cK92QFnVBylqz8jhwxdAyEvwDqUI</v>
      </c>
      <c r="K2" s="19"/>
      <c r="L2" s="10"/>
      <c r="M2" s="10"/>
      <c r="N2" s="10"/>
      <c r="O2" s="10"/>
    </row>
    <row r="3" ht="15.75" customHeight="1">
      <c r="A3" s="20"/>
      <c r="B3" s="5" t="s">
        <v>4</v>
      </c>
      <c r="C3" s="21" t="s">
        <v>22</v>
      </c>
      <c r="D3" s="5" t="s">
        <v>7</v>
      </c>
      <c r="E3" s="21" t="s">
        <v>23</v>
      </c>
      <c r="F3" s="5" t="s">
        <v>14</v>
      </c>
      <c r="G3" s="16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IFERROR(__xludf.DUMMYFUNCTION("""COMPUTED_VALUE"""),"ChkBoxBookAsSwap")</f>
        <v>ChkBoxBookAsSwap</v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 t="s">
        <v>24</v>
      </c>
      <c r="C6" s="31" t="s">
        <v>25</v>
      </c>
      <c r="D6" s="43">
        <v>80.0</v>
      </c>
      <c r="E6" s="43">
        <v>80.0</v>
      </c>
      <c r="F6" s="31"/>
      <c r="G6" s="31" t="s">
        <v>26</v>
      </c>
      <c r="H6" s="31"/>
      <c r="I6" s="31"/>
      <c r="J6" s="35">
        <v>300.0</v>
      </c>
      <c r="K6" s="31"/>
      <c r="L6" s="31"/>
      <c r="M6" s="31"/>
      <c r="N6" s="46">
        <v>43872.0</v>
      </c>
      <c r="O6" s="31"/>
      <c r="P6" s="31"/>
      <c r="Q6" s="31"/>
      <c r="R6" s="31" t="s">
        <v>27</v>
      </c>
      <c r="S6" s="41">
        <v>2.5</v>
      </c>
      <c r="T6" s="33" t="s">
        <v>27</v>
      </c>
      <c r="U6" s="42">
        <v>7.5</v>
      </c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 t="s">
        <v>16</v>
      </c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10"/>
      <c r="B7" s="14" t="s">
        <v>34</v>
      </c>
      <c r="C7" s="14" t="s">
        <v>25</v>
      </c>
      <c r="D7" s="14">
        <v>100.0</v>
      </c>
      <c r="E7" s="14">
        <v>100.0</v>
      </c>
      <c r="F7" s="10"/>
      <c r="G7" s="14" t="s">
        <v>26</v>
      </c>
      <c r="H7" s="10"/>
      <c r="I7" s="10"/>
      <c r="J7" s="14">
        <v>1315.0</v>
      </c>
      <c r="K7" s="10"/>
      <c r="L7" s="10"/>
      <c r="M7" s="10"/>
      <c r="N7" s="47">
        <v>43872.0</v>
      </c>
      <c r="O7" s="10"/>
      <c r="R7" s="34" t="s">
        <v>27</v>
      </c>
      <c r="S7" s="34">
        <v>5.0</v>
      </c>
      <c r="T7" s="34" t="s">
        <v>27</v>
      </c>
      <c r="U7" s="34">
        <v>5.0</v>
      </c>
      <c r="AK7" s="34" t="s">
        <v>16</v>
      </c>
    </row>
    <row r="8" ht="15.75" customHeight="1">
      <c r="A8" s="10"/>
      <c r="B8" s="14" t="s">
        <v>24</v>
      </c>
      <c r="C8" s="14" t="s">
        <v>35</v>
      </c>
      <c r="D8" s="14">
        <v>55.0</v>
      </c>
      <c r="E8" s="14">
        <v>55.0</v>
      </c>
      <c r="F8" s="10"/>
      <c r="G8" s="14" t="s">
        <v>26</v>
      </c>
      <c r="H8" s="10"/>
      <c r="I8" s="10"/>
      <c r="J8" s="14">
        <v>300.0</v>
      </c>
      <c r="K8" s="10"/>
      <c r="L8" s="10"/>
      <c r="M8" s="10"/>
      <c r="N8" s="47">
        <v>43872.0</v>
      </c>
      <c r="O8" s="10"/>
      <c r="AK8" s="34" t="s">
        <v>16</v>
      </c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0"/>
      <c r="B3" s="5" t="s">
        <v>4</v>
      </c>
      <c r="C3" s="21" t="s">
        <v>36</v>
      </c>
      <c r="D3" s="5" t="s">
        <v>7</v>
      </c>
      <c r="E3" s="21" t="s">
        <v>37</v>
      </c>
      <c r="F3" s="5" t="s">
        <v>14</v>
      </c>
      <c r="G3" s="16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IFERROR(__xludf.DUMMYFUNCTION("""COMPUTED_VALUE"""),"Account Filter")</f>
        <v>Account Filter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4"/>
      <c r="B6" s="14" t="s">
        <v>39</v>
      </c>
      <c r="C6" s="47">
        <v>43871.0</v>
      </c>
      <c r="D6" s="47">
        <v>43872.0</v>
      </c>
      <c r="E6" s="14" t="s">
        <v>16</v>
      </c>
      <c r="F6" s="10"/>
      <c r="G6" s="10"/>
      <c r="H6" s="10"/>
      <c r="I6" s="10"/>
      <c r="J6" s="10"/>
      <c r="K6" s="10"/>
      <c r="L6" s="10"/>
      <c r="M6" s="10"/>
      <c r="N6" s="10"/>
      <c r="O6" s="10"/>
    </row>
    <row r="7" ht="15.7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1zwv-aZp-DRCpq8bqLR0XRiyt0av-GAm0ORqbhnV-FKI</v>
      </c>
      <c r="K2" s="19"/>
      <c r="L2" s="10"/>
      <c r="M2" s="10"/>
      <c r="N2" s="10"/>
      <c r="O2" s="10"/>
    </row>
    <row r="3" ht="15.75" customHeight="1">
      <c r="A3" s="20"/>
      <c r="B3" s="5" t="s">
        <v>4</v>
      </c>
      <c r="C3" s="21" t="s">
        <v>36</v>
      </c>
      <c r="D3" s="5" t="s">
        <v>7</v>
      </c>
      <c r="E3" s="21" t="s">
        <v>38</v>
      </c>
      <c r="F3" s="5" t="s">
        <v>14</v>
      </c>
      <c r="G3" s="16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IFERROR(__xludf.DUMMYFUNCTION("""COMPUTED_VALUE"""),"CloseSSw/BuyBTO ")</f>
        <v>CloseSSw/BuyBTO </v>
      </c>
      <c r="C5" s="26" t="str">
        <f>IFERROR(__xludf.DUMMYFUNCTION("""COMPUTED_VALUE"""),"AutoCloseStrategy")</f>
        <v>AutoCloseStrategy</v>
      </c>
      <c r="D5" s="26" t="str">
        <f>IFERROR(__xludf.DUMMYFUNCTION("""COMPUTED_VALUE"""),"Algorithm")</f>
        <v>Algorithm</v>
      </c>
      <c r="E5" s="26" t="str">
        <f>IFERROR(__xludf.DUMMYFUNCTION("""COMPUTED_VALUE"""),"SecondarySortCriteria")</f>
        <v>SecondarySortCriteria</v>
      </c>
      <c r="F5" s="27" t="str">
        <f>IFERROR(__xludf.DUMMYFUNCTION("""COMPUTED_VALUE"""),"ClosingField")</f>
        <v>ClosingField</v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48" t="b">
        <v>0</v>
      </c>
      <c r="C6" s="45" t="b">
        <v>0</v>
      </c>
      <c r="D6" s="44" t="s">
        <v>40</v>
      </c>
      <c r="E6" s="31" t="s">
        <v>41</v>
      </c>
      <c r="F6" s="44" t="s">
        <v>42</v>
      </c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AutomaticClosing!$4:$4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0"/>
      <c r="B3" s="5" t="s">
        <v>4</v>
      </c>
      <c r="C3" s="21" t="s">
        <v>28</v>
      </c>
      <c r="D3" s="5" t="s">
        <v>7</v>
      </c>
      <c r="E3" s="21" t="s">
        <v>29</v>
      </c>
      <c r="F3" s="5" t="s">
        <v>14</v>
      </c>
      <c r="G3" s="16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 ")</f>
        <v>Copy Date 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2">
        <v>43872.0</v>
      </c>
      <c r="C6" s="32">
        <v>43872.0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0"/>
      <c r="B3" s="5" t="s">
        <v>4</v>
      </c>
      <c r="C3" s="21" t="s">
        <v>28</v>
      </c>
      <c r="D3" s="5" t="s">
        <v>7</v>
      </c>
      <c r="E3" s="21" t="s">
        <v>30</v>
      </c>
      <c r="F3" s="5" t="s">
        <v>14</v>
      </c>
      <c r="G3" s="16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IFERROR(__xludf.DUMMYFUNCTION("""COMPUTED_VALUE"""),"Price")</f>
        <v>Price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 t="s">
        <v>24</v>
      </c>
      <c r="C6" s="43">
        <v>310.0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10"/>
      <c r="B7" s="14" t="s">
        <v>34</v>
      </c>
      <c r="C7" s="14">
        <v>1320.0</v>
      </c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0"/>
      <c r="B3" s="5" t="s">
        <v>4</v>
      </c>
      <c r="C3" s="21" t="s">
        <v>12</v>
      </c>
      <c r="D3" s="5" t="s">
        <v>7</v>
      </c>
      <c r="E3" s="21" t="s">
        <v>31</v>
      </c>
      <c r="F3" s="5" t="s">
        <v>14</v>
      </c>
      <c r="G3" s="16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/>
      <c r="C6" s="31" t="s">
        <v>16</v>
      </c>
      <c r="D6" s="32">
        <v>43872.0</v>
      </c>
      <c r="E6" s="32">
        <v>43872.0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GetDayEndCash1!$4:$4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0"/>
      <c r="B3" s="5" t="s">
        <v>4</v>
      </c>
      <c r="C3" s="21" t="s">
        <v>12</v>
      </c>
      <c r="D3" s="5" t="s">
        <v>7</v>
      </c>
      <c r="E3" s="21" t="s">
        <v>32</v>
      </c>
      <c r="F3" s="5" t="s">
        <v>14</v>
      </c>
      <c r="G3" s="16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IFERROR(__xludf.DUMMYFUNCTION("""COMPUTED_VALUE"""),"Balances as on date")</f>
        <v>Balances as on date</v>
      </c>
      <c r="E5" s="26" t="str">
        <f>IFERROR(__xludf.DUMMYFUNCTION("""COMPUTED_VALUE"""),"IsRunRevalOnGetAccountBalances")</f>
        <v>IsRunRevalOnGetAccountBalances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/>
      <c r="C6" s="31" t="s">
        <v>16</v>
      </c>
      <c r="D6" s="32">
        <v>43872.0</v>
      </c>
      <c r="E6" s="45" t="b">
        <v>1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GetAccountBalance1!$4:$4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0"/>
      <c r="B3" s="5" t="s">
        <v>4</v>
      </c>
      <c r="C3" s="21" t="s">
        <v>12</v>
      </c>
      <c r="D3" s="5" t="s">
        <v>7</v>
      </c>
      <c r="E3" s="21" t="s">
        <v>33</v>
      </c>
      <c r="F3" s="5" t="s">
        <v>14</v>
      </c>
      <c r="G3" s="16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/>
      <c r="C6" s="31" t="s">
        <v>16</v>
      </c>
      <c r="D6" s="32">
        <v>43871.0</v>
      </c>
      <c r="E6" s="32">
        <v>43872.0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GetRevaluationData1!$4:$4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0"/>
      <c r="B3" s="5" t="s">
        <v>4</v>
      </c>
      <c r="C3" s="21" t="s">
        <v>12</v>
      </c>
      <c r="D3" s="5" t="s">
        <v>7</v>
      </c>
      <c r="E3" s="21" t="s">
        <v>43</v>
      </c>
      <c r="F3" s="5" t="s">
        <v>14</v>
      </c>
      <c r="G3" s="16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IFERROR(__xludf.DUMMYFUNCTION("""COMPUTED_VALUE"""),"Account")</f>
        <v>Account</v>
      </c>
      <c r="D5" s="26" t="str">
        <f>IFERROR(__xludf.DUMMYFUNCTION("""COMPUTED_VALUE"""),"Symbol")</f>
        <v>Symbol</v>
      </c>
      <c r="E5" s="26" t="str">
        <f>IFERROR(__xludf.DUMMYFUNCTION("""COMPUTED_VALUE"""),"Currency")</f>
        <v>Currency</v>
      </c>
      <c r="F5" s="27" t="str">
        <f>IFERROR(__xludf.DUMMYFUNCTION("""COMPUTED_VALUE"""),"Cash Sub-Account")</f>
        <v>Cash Sub-Account</v>
      </c>
      <c r="G5" s="26" t="str">
        <f>IFERROR(__xludf.DUMMYFUNCTION("""COMPUTED_VALUE"""),"DR")</f>
        <v>DR</v>
      </c>
      <c r="H5" s="26" t="str">
        <f>IFERROR(__xludf.DUMMYFUNCTION("""COMPUTED_VALUE"""),"CR")</f>
        <v>CR</v>
      </c>
      <c r="I5" s="26" t="str">
        <f>IFERROR(__xludf.DUMMYFUNCTION("""COMPUTED_VALUE"""),"Modify Date")</f>
        <v>Modify Date</v>
      </c>
      <c r="J5" s="26" t="str">
        <f>IFERROR(__xludf.DUMMYFUNCTION("""COMPUTED_VALUE"""),"Entry Date")</f>
        <v>Entry Date</v>
      </c>
      <c r="K5" s="26" t="str">
        <f>IFERROR(__xludf.DUMMYFUNCTION("""COMPUTED_VALUE"""),"User")</f>
        <v>User</v>
      </c>
      <c r="L5" s="26" t="str">
        <f>IFERROR(__xludf.DUMMYFUNCTION("""COMPUTED_VALUE"""),"Fx Rate")</f>
        <v>Fx Rate</v>
      </c>
      <c r="M5" s="26" t="str">
        <f>IFERROR(__xludf.DUMMYFUNCTION("""COMPUTED_VALUE"""),"FX Conversion Method Operator")</f>
        <v>FX Conversion Method Operator</v>
      </c>
      <c r="N5" s="26" t="str">
        <f>IFERROR(__xludf.DUMMYFUNCTION("""COMPUTED_VALUE"""),"Account Side")</f>
        <v>Account Side</v>
      </c>
      <c r="O5" s="26" t="str">
        <f>IFERROR(__xludf.DUMMYFUNCTION("""COMPUTED_VALUE"""),"TransactionSource")</f>
        <v>TransactionSource</v>
      </c>
      <c r="P5" s="26" t="str">
        <f>IFERROR(__xludf.DUMMYFUNCTION("""COMPUTED_VALUE"""),"Base Currency")</f>
        <v>Base Currency</v>
      </c>
      <c r="Q5" s="26" t="str">
        <f>IFERROR(__xludf.DUMMYFUNCTION("""COMPUTED_VALUE"""),"Description")</f>
        <v>Description</v>
      </c>
      <c r="R5" s="26" t="str">
        <f>IFERROR(__xludf.DUMMYFUNCTION("""COMPUTED_VALUE"""),"DR (Base)")</f>
        <v>DR (Base)</v>
      </c>
      <c r="S5" s="26" t="str">
        <f>IFERROR(__xludf.DUMMYFUNCTION("""COMPUTED_VALUE"""),"CR (Base)")</f>
        <v>CR (Base)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4"/>
      <c r="B6" s="49">
        <v>43871.0</v>
      </c>
      <c r="C6" s="50" t="s">
        <v>16</v>
      </c>
      <c r="D6" s="50" t="s">
        <v>24</v>
      </c>
      <c r="E6" s="50" t="s">
        <v>18</v>
      </c>
      <c r="F6" s="50" t="s">
        <v>44</v>
      </c>
      <c r="G6" s="51">
        <v>500.98</v>
      </c>
      <c r="H6" s="52">
        <v>0.0</v>
      </c>
      <c r="I6" s="10"/>
      <c r="J6" s="10"/>
      <c r="K6" s="10"/>
      <c r="L6" s="51">
        <v>1.0</v>
      </c>
      <c r="M6" s="50" t="s">
        <v>20</v>
      </c>
      <c r="N6" s="50" t="s">
        <v>45</v>
      </c>
      <c r="O6" s="50" t="s">
        <v>46</v>
      </c>
      <c r="P6" s="50" t="s">
        <v>18</v>
      </c>
      <c r="Q6" s="50" t="s">
        <v>47</v>
      </c>
      <c r="R6" s="51">
        <v>500.98</v>
      </c>
      <c r="S6" s="51">
        <v>0.0</v>
      </c>
    </row>
    <row r="7" ht="15.75" customHeight="1">
      <c r="A7" s="10"/>
      <c r="B7" s="49">
        <v>43871.0</v>
      </c>
      <c r="C7" s="50" t="s">
        <v>16</v>
      </c>
      <c r="D7" s="50" t="s">
        <v>24</v>
      </c>
      <c r="E7" s="50" t="s">
        <v>18</v>
      </c>
      <c r="F7" s="53" t="s">
        <v>48</v>
      </c>
      <c r="G7" s="54">
        <v>0.0</v>
      </c>
      <c r="H7" s="55">
        <v>500.98</v>
      </c>
      <c r="I7" s="10"/>
      <c r="J7" s="10"/>
      <c r="K7" s="10"/>
      <c r="L7" s="55">
        <v>1.0</v>
      </c>
      <c r="M7" s="53" t="s">
        <v>20</v>
      </c>
      <c r="N7" s="53" t="s">
        <v>49</v>
      </c>
      <c r="O7" s="53" t="s">
        <v>46</v>
      </c>
      <c r="P7" s="53" t="s">
        <v>18</v>
      </c>
      <c r="Q7" s="50" t="s">
        <v>47</v>
      </c>
      <c r="R7" s="55">
        <v>0.0</v>
      </c>
      <c r="S7" s="55">
        <v>500.98</v>
      </c>
    </row>
    <row r="8" ht="15.75" customHeight="1">
      <c r="A8" s="10"/>
      <c r="B8" s="49">
        <v>43872.0</v>
      </c>
      <c r="C8" s="50" t="s">
        <v>16</v>
      </c>
      <c r="D8" s="50" t="s">
        <v>24</v>
      </c>
      <c r="E8" s="50" t="s">
        <v>18</v>
      </c>
      <c r="F8" s="50" t="s">
        <v>50</v>
      </c>
      <c r="G8" s="51">
        <v>26.59</v>
      </c>
      <c r="H8" s="52">
        <v>0.0</v>
      </c>
      <c r="I8" s="10"/>
      <c r="J8" s="10"/>
      <c r="K8" s="10"/>
      <c r="L8" s="51">
        <v>1.0</v>
      </c>
      <c r="M8" s="50" t="s">
        <v>20</v>
      </c>
      <c r="N8" s="50" t="s">
        <v>45</v>
      </c>
      <c r="O8" s="50" t="s">
        <v>46</v>
      </c>
      <c r="P8" s="50" t="s">
        <v>18</v>
      </c>
      <c r="Q8" s="50" t="s">
        <v>51</v>
      </c>
      <c r="R8" s="51">
        <v>26.59</v>
      </c>
      <c r="S8" s="51">
        <v>0.0</v>
      </c>
    </row>
    <row r="9" ht="15.75" customHeight="1">
      <c r="A9" s="10"/>
      <c r="B9" s="49">
        <v>43872.0</v>
      </c>
      <c r="C9" s="50" t="s">
        <v>16</v>
      </c>
      <c r="D9" s="50" t="s">
        <v>24</v>
      </c>
      <c r="E9" s="50" t="s">
        <v>18</v>
      </c>
      <c r="F9" s="53" t="s">
        <v>52</v>
      </c>
      <c r="G9" s="54">
        <v>0.0</v>
      </c>
      <c r="H9" s="55">
        <v>26.59</v>
      </c>
      <c r="I9" s="10"/>
      <c r="J9" s="10"/>
      <c r="K9" s="10"/>
      <c r="L9" s="55">
        <v>1.0</v>
      </c>
      <c r="M9" s="53" t="s">
        <v>20</v>
      </c>
      <c r="N9" s="53" t="s">
        <v>49</v>
      </c>
      <c r="O9" s="53" t="s">
        <v>46</v>
      </c>
      <c r="P9" s="53" t="s">
        <v>18</v>
      </c>
      <c r="Q9" s="50" t="s">
        <v>51</v>
      </c>
      <c r="R9" s="55">
        <v>0.0</v>
      </c>
      <c r="S9" s="55">
        <v>26.59</v>
      </c>
    </row>
    <row r="10" ht="15.75" customHeight="1">
      <c r="A10" s="10"/>
      <c r="B10" s="49">
        <v>43872.0</v>
      </c>
      <c r="C10" s="50" t="s">
        <v>16</v>
      </c>
      <c r="D10" s="50" t="s">
        <v>24</v>
      </c>
      <c r="E10" s="50" t="s">
        <v>18</v>
      </c>
      <c r="F10" s="50" t="s">
        <v>44</v>
      </c>
      <c r="G10" s="51">
        <v>1264.55</v>
      </c>
      <c r="H10" s="52">
        <v>0.0</v>
      </c>
      <c r="I10" s="10"/>
      <c r="J10" s="10"/>
      <c r="K10" s="10"/>
      <c r="L10" s="51">
        <v>1.0</v>
      </c>
      <c r="M10" s="50" t="s">
        <v>20</v>
      </c>
      <c r="N10" s="50" t="s">
        <v>45</v>
      </c>
      <c r="O10" s="50" t="s">
        <v>46</v>
      </c>
      <c r="P10" s="50" t="s">
        <v>18</v>
      </c>
      <c r="Q10" s="50" t="s">
        <v>47</v>
      </c>
      <c r="R10" s="51">
        <v>1264.55</v>
      </c>
      <c r="S10" s="51">
        <v>0.0</v>
      </c>
    </row>
    <row r="11" ht="15.75" customHeight="1">
      <c r="A11" s="10"/>
      <c r="B11" s="49">
        <v>43872.0</v>
      </c>
      <c r="C11" s="50" t="s">
        <v>16</v>
      </c>
      <c r="D11" s="50" t="s">
        <v>24</v>
      </c>
      <c r="E11" s="50" t="s">
        <v>18</v>
      </c>
      <c r="F11" s="53" t="s">
        <v>48</v>
      </c>
      <c r="G11" s="54">
        <v>0.0</v>
      </c>
      <c r="H11" s="55">
        <v>1264.55</v>
      </c>
      <c r="I11" s="10"/>
      <c r="J11" s="10"/>
      <c r="K11" s="10"/>
      <c r="L11" s="55">
        <v>1.0</v>
      </c>
      <c r="M11" s="53" t="s">
        <v>20</v>
      </c>
      <c r="N11" s="53" t="s">
        <v>49</v>
      </c>
      <c r="O11" s="53" t="s">
        <v>46</v>
      </c>
      <c r="P11" s="53" t="s">
        <v>18</v>
      </c>
      <c r="Q11" s="50" t="s">
        <v>47</v>
      </c>
      <c r="R11" s="55">
        <v>0.0</v>
      </c>
      <c r="S11" s="55">
        <v>1264.55</v>
      </c>
    </row>
    <row r="12" ht="15.75" customHeight="1">
      <c r="A12" s="10"/>
      <c r="B12" s="49">
        <v>43872.0</v>
      </c>
      <c r="C12" s="50" t="s">
        <v>16</v>
      </c>
      <c r="D12" s="50" t="s">
        <v>34</v>
      </c>
      <c r="E12" s="50" t="s">
        <v>18</v>
      </c>
      <c r="F12" s="50" t="s">
        <v>44</v>
      </c>
      <c r="G12" s="51">
        <v>475.93</v>
      </c>
      <c r="H12" s="52">
        <v>0.0</v>
      </c>
      <c r="I12" s="10"/>
      <c r="J12" s="10"/>
      <c r="K12" s="10"/>
      <c r="L12" s="51">
        <v>1.0</v>
      </c>
      <c r="M12" s="50" t="s">
        <v>20</v>
      </c>
      <c r="N12" s="50" t="s">
        <v>45</v>
      </c>
      <c r="O12" s="50" t="s">
        <v>46</v>
      </c>
      <c r="P12" s="50" t="s">
        <v>18</v>
      </c>
      <c r="Q12" s="50" t="s">
        <v>47</v>
      </c>
      <c r="R12" s="51">
        <v>475.93</v>
      </c>
      <c r="S12" s="51">
        <v>0.0</v>
      </c>
    </row>
    <row r="13" ht="15.75" customHeight="1">
      <c r="A13" s="10"/>
      <c r="B13" s="49">
        <v>43872.0</v>
      </c>
      <c r="C13" s="50" t="s">
        <v>16</v>
      </c>
      <c r="D13" s="50" t="s">
        <v>34</v>
      </c>
      <c r="E13" s="50" t="s">
        <v>18</v>
      </c>
      <c r="F13" s="53" t="s">
        <v>48</v>
      </c>
      <c r="G13" s="54">
        <v>0.0</v>
      </c>
      <c r="H13" s="55">
        <v>475.93</v>
      </c>
      <c r="I13" s="10"/>
      <c r="J13" s="10"/>
      <c r="K13" s="10"/>
      <c r="L13" s="55">
        <v>1.0</v>
      </c>
      <c r="M13" s="53" t="s">
        <v>20</v>
      </c>
      <c r="N13" s="53" t="s">
        <v>49</v>
      </c>
      <c r="O13" s="53" t="s">
        <v>46</v>
      </c>
      <c r="P13" s="53" t="s">
        <v>18</v>
      </c>
      <c r="Q13" s="50" t="s">
        <v>47</v>
      </c>
      <c r="R13" s="55">
        <v>0.0</v>
      </c>
      <c r="S13" s="55">
        <v>475.93</v>
      </c>
    </row>
    <row r="14" ht="15.75" customHeight="1">
      <c r="A14" s="10"/>
      <c r="B14" s="49">
        <v>43872.0</v>
      </c>
      <c r="C14" s="50" t="s">
        <v>16</v>
      </c>
      <c r="D14" s="50" t="s">
        <v>24</v>
      </c>
      <c r="E14" s="50" t="s">
        <v>18</v>
      </c>
      <c r="F14" s="50" t="s">
        <v>48</v>
      </c>
      <c r="G14" s="51">
        <v>500.98</v>
      </c>
      <c r="H14" s="52">
        <v>0.0</v>
      </c>
      <c r="I14" s="10"/>
      <c r="J14" s="10"/>
      <c r="K14" s="10"/>
      <c r="L14" s="51">
        <v>1.0</v>
      </c>
      <c r="M14" s="50" t="s">
        <v>20</v>
      </c>
      <c r="N14" s="50" t="s">
        <v>45</v>
      </c>
      <c r="O14" s="50" t="s">
        <v>46</v>
      </c>
      <c r="P14" s="50" t="s">
        <v>18</v>
      </c>
      <c r="Q14" s="50" t="s">
        <v>53</v>
      </c>
      <c r="R14" s="51">
        <v>500.98</v>
      </c>
      <c r="S14" s="51">
        <v>0.0</v>
      </c>
    </row>
    <row r="15" ht="15.75" customHeight="1">
      <c r="A15" s="10"/>
      <c r="B15" s="49">
        <v>43872.0</v>
      </c>
      <c r="C15" s="50" t="s">
        <v>16</v>
      </c>
      <c r="D15" s="50" t="s">
        <v>24</v>
      </c>
      <c r="E15" s="50" t="s">
        <v>18</v>
      </c>
      <c r="F15" s="53" t="s">
        <v>44</v>
      </c>
      <c r="G15" s="54">
        <v>0.0</v>
      </c>
      <c r="H15" s="55">
        <v>500.98</v>
      </c>
      <c r="I15" s="10"/>
      <c r="J15" s="10"/>
      <c r="K15" s="10"/>
      <c r="L15" s="55">
        <v>1.0</v>
      </c>
      <c r="M15" s="53" t="s">
        <v>20</v>
      </c>
      <c r="N15" s="53" t="s">
        <v>49</v>
      </c>
      <c r="O15" s="53" t="s">
        <v>46</v>
      </c>
      <c r="P15" s="53" t="s">
        <v>18</v>
      </c>
      <c r="Q15" s="50" t="s">
        <v>53</v>
      </c>
      <c r="R15" s="55">
        <v>0.0</v>
      </c>
      <c r="S15" s="55">
        <v>500.98</v>
      </c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VerifyRevaluationData!$4:$4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2" width="31.29"/>
    <col customWidth="1" min="3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0"/>
      <c r="B3" s="5" t="s">
        <v>4</v>
      </c>
      <c r="C3" s="21" t="s">
        <v>12</v>
      </c>
      <c r="D3" s="5" t="s">
        <v>7</v>
      </c>
      <c r="E3" s="21" t="s">
        <v>54</v>
      </c>
      <c r="F3" s="5" t="s">
        <v>14</v>
      </c>
      <c r="G3" s="16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IFERROR(__xludf.DUMMYFUNCTION("""COMPUTED_VALUE"""),"Modify Date")</f>
        <v>Modify Date</v>
      </c>
      <c r="D5" s="26" t="str">
        <f>IFERROR(__xludf.DUMMYFUNCTION("""COMPUTED_VALUE"""),"Entry Date")</f>
        <v>Entry Date</v>
      </c>
      <c r="E5" s="26" t="str">
        <f>IFERROR(__xludf.DUMMYFUNCTION("""COMPUTED_VALUE"""),"DR")</f>
        <v>DR</v>
      </c>
      <c r="F5" s="27" t="str">
        <f>IFERROR(__xludf.DUMMYFUNCTION("""COMPUTED_VALUE"""),"CR")</f>
        <v>CR</v>
      </c>
      <c r="G5" s="26" t="str">
        <f>IFERROR(__xludf.DUMMYFUNCTION("""COMPUTED_VALUE"""),"Fx Rate")</f>
        <v>Fx Rate</v>
      </c>
      <c r="H5" s="26" t="str">
        <f>IFERROR(__xludf.DUMMYFUNCTION("""COMPUTED_VALUE"""),"FX Conversion Method Operator")</f>
        <v>FX Conversion Method Operator</v>
      </c>
      <c r="I5" s="26" t="str">
        <f>IFERROR(__xludf.DUMMYFUNCTION("""COMPUTED_VALUE"""),"Account Side")</f>
        <v>Account Side</v>
      </c>
      <c r="J5" s="26" t="str">
        <f>IFERROR(__xludf.DUMMYFUNCTION("""COMPUTED_VALUE"""),"TransactionSource")</f>
        <v>TransactionSource</v>
      </c>
      <c r="K5" s="26" t="str">
        <f>IFERROR(__xludf.DUMMYFUNCTION("""COMPUTED_VALUE"""),"Currency")</f>
        <v>Currency</v>
      </c>
      <c r="L5" s="26" t="str">
        <f>IFERROR(__xludf.DUMMYFUNCTION("""COMPUTED_VALUE"""),"Base Currency")</f>
        <v>Base Currency</v>
      </c>
      <c r="M5" s="26" t="str">
        <f>IFERROR(__xludf.DUMMYFUNCTION("""COMPUTED_VALUE"""),"Symbol")</f>
        <v>Symbol</v>
      </c>
      <c r="N5" s="26" t="str">
        <f>IFERROR(__xludf.DUMMYFUNCTION("""COMPUTED_VALUE"""),"Description")</f>
        <v>Description</v>
      </c>
      <c r="O5" s="26" t="str">
        <f>IFERROR(__xludf.DUMMYFUNCTION("""COMPUTED_VALUE"""),"DR (Base)")</f>
        <v>DR (Base)</v>
      </c>
      <c r="P5" s="26" t="str">
        <f>IFERROR(__xludf.DUMMYFUNCTION("""COMPUTED_VALUE"""),"CR (Base)")</f>
        <v>CR (Base)</v>
      </c>
      <c r="Q5" s="26" t="str">
        <f>IFERROR(__xludf.DUMMYFUNCTION("""COMPUTED_VALUE"""),"Cash Sub-Account")</f>
        <v>Cash Sub-Account</v>
      </c>
      <c r="R5" s="26" t="str">
        <f>IFERROR(__xludf.DUMMYFUNCTION("""COMPUTED_VALUE"""),"Account")</f>
        <v>Account</v>
      </c>
      <c r="S5" s="26" t="str">
        <f>IFERROR(__xludf.DUMMYFUNCTION("""COMPUTED_VALUE"""),"TaxLotId")</f>
        <v>TaxLotId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4"/>
      <c r="B6" s="56">
        <v>43871.0</v>
      </c>
      <c r="C6" s="10"/>
      <c r="D6" s="14"/>
      <c r="E6" s="57">
        <v>31524.02</v>
      </c>
      <c r="F6" s="52">
        <v>0.0</v>
      </c>
      <c r="G6" s="51">
        <v>1.0</v>
      </c>
      <c r="H6" s="50" t="s">
        <v>20</v>
      </c>
      <c r="I6" s="50" t="s">
        <v>45</v>
      </c>
      <c r="J6" s="50" t="s">
        <v>57</v>
      </c>
      <c r="K6" s="50" t="s">
        <v>18</v>
      </c>
      <c r="L6" s="50" t="s">
        <v>18</v>
      </c>
      <c r="M6" s="50" t="s">
        <v>24</v>
      </c>
      <c r="N6" s="10"/>
      <c r="O6" s="57">
        <v>31524.02</v>
      </c>
      <c r="P6" s="51">
        <v>0.0</v>
      </c>
      <c r="Q6" s="50" t="s">
        <v>52</v>
      </c>
      <c r="R6" s="50" t="s">
        <v>16</v>
      </c>
    </row>
    <row r="7" ht="15.75" customHeight="1">
      <c r="A7" s="10"/>
      <c r="B7" s="56">
        <v>43871.0</v>
      </c>
      <c r="C7" s="10"/>
      <c r="D7" s="10"/>
      <c r="E7" s="54">
        <v>0.0</v>
      </c>
      <c r="F7" s="58">
        <v>31524.02</v>
      </c>
      <c r="G7" s="55">
        <v>1.0</v>
      </c>
      <c r="H7" s="53" t="s">
        <v>20</v>
      </c>
      <c r="I7" s="53" t="s">
        <v>49</v>
      </c>
      <c r="J7" s="53" t="s">
        <v>57</v>
      </c>
      <c r="K7" s="50" t="s">
        <v>18</v>
      </c>
      <c r="L7" s="53" t="s">
        <v>18</v>
      </c>
      <c r="M7" s="50" t="s">
        <v>24</v>
      </c>
      <c r="N7" s="10"/>
      <c r="O7" s="55">
        <v>0.0</v>
      </c>
      <c r="P7" s="58">
        <v>31524.02</v>
      </c>
      <c r="Q7" s="53" t="s">
        <v>19</v>
      </c>
      <c r="R7" s="50" t="s">
        <v>16</v>
      </c>
    </row>
    <row r="8" ht="15.75" customHeight="1">
      <c r="A8" s="10"/>
      <c r="B8" s="56">
        <v>43872.0</v>
      </c>
      <c r="C8" s="10"/>
      <c r="D8" s="10"/>
      <c r="E8" s="57">
        <v>24024.01</v>
      </c>
      <c r="F8" s="52">
        <v>0.0</v>
      </c>
      <c r="G8" s="51">
        <v>1.0</v>
      </c>
      <c r="H8" s="50" t="s">
        <v>20</v>
      </c>
      <c r="I8" s="50" t="s">
        <v>45</v>
      </c>
      <c r="J8" s="50" t="s">
        <v>57</v>
      </c>
      <c r="K8" s="50" t="s">
        <v>18</v>
      </c>
      <c r="L8" s="50" t="s">
        <v>18</v>
      </c>
      <c r="M8" s="50" t="s">
        <v>24</v>
      </c>
      <c r="N8" s="10"/>
      <c r="O8" s="57">
        <v>24024.01</v>
      </c>
      <c r="P8" s="51">
        <v>0.0</v>
      </c>
      <c r="Q8" s="50" t="s">
        <v>52</v>
      </c>
      <c r="R8" s="50" t="s">
        <v>16</v>
      </c>
    </row>
    <row r="9" ht="15.75" customHeight="1">
      <c r="A9" s="10"/>
      <c r="B9" s="56">
        <v>43872.0</v>
      </c>
      <c r="C9" s="10"/>
      <c r="D9" s="10"/>
      <c r="E9" s="54">
        <v>0.0</v>
      </c>
      <c r="F9" s="58">
        <v>24024.01</v>
      </c>
      <c r="G9" s="55">
        <v>1.0</v>
      </c>
      <c r="H9" s="53" t="s">
        <v>20</v>
      </c>
      <c r="I9" s="53" t="s">
        <v>49</v>
      </c>
      <c r="J9" s="53" t="s">
        <v>57</v>
      </c>
      <c r="K9" s="50" t="s">
        <v>18</v>
      </c>
      <c r="L9" s="53" t="s">
        <v>18</v>
      </c>
      <c r="M9" s="50" t="s">
        <v>24</v>
      </c>
      <c r="N9" s="10"/>
      <c r="O9" s="55">
        <v>0.0</v>
      </c>
      <c r="P9" s="58">
        <v>24024.01</v>
      </c>
      <c r="Q9" s="53" t="s">
        <v>19</v>
      </c>
      <c r="R9" s="50" t="s">
        <v>16</v>
      </c>
    </row>
    <row r="10" ht="15.75" customHeight="1">
      <c r="A10" s="10"/>
      <c r="B10" s="56">
        <v>43872.0</v>
      </c>
      <c r="C10" s="10"/>
      <c r="D10" s="10"/>
      <c r="E10" s="57">
        <v>131524.07</v>
      </c>
      <c r="F10" s="52">
        <v>0.0</v>
      </c>
      <c r="G10" s="51">
        <v>1.0</v>
      </c>
      <c r="H10" s="50" t="s">
        <v>20</v>
      </c>
      <c r="I10" s="50" t="s">
        <v>45</v>
      </c>
      <c r="J10" s="50" t="s">
        <v>57</v>
      </c>
      <c r="K10" s="50" t="s">
        <v>18</v>
      </c>
      <c r="L10" s="50" t="s">
        <v>18</v>
      </c>
      <c r="M10" s="50" t="s">
        <v>34</v>
      </c>
      <c r="N10" s="10"/>
      <c r="O10" s="57">
        <v>131524.07</v>
      </c>
      <c r="P10" s="51">
        <v>0.0</v>
      </c>
      <c r="Q10" s="50" t="s">
        <v>52</v>
      </c>
      <c r="R10" s="50" t="s">
        <v>16</v>
      </c>
    </row>
    <row r="11" ht="15.75" customHeight="1">
      <c r="A11" s="10"/>
      <c r="B11" s="56">
        <v>43872.0</v>
      </c>
      <c r="C11" s="10"/>
      <c r="D11" s="10"/>
      <c r="E11" s="54">
        <v>0.0</v>
      </c>
      <c r="F11" s="58">
        <v>131524.07</v>
      </c>
      <c r="G11" s="55">
        <v>1.0</v>
      </c>
      <c r="H11" s="53" t="s">
        <v>20</v>
      </c>
      <c r="I11" s="53" t="s">
        <v>49</v>
      </c>
      <c r="J11" s="53" t="s">
        <v>57</v>
      </c>
      <c r="K11" s="50" t="s">
        <v>18</v>
      </c>
      <c r="L11" s="53" t="s">
        <v>18</v>
      </c>
      <c r="M11" s="50" t="s">
        <v>34</v>
      </c>
      <c r="N11" s="10"/>
      <c r="O11" s="55">
        <v>0.0</v>
      </c>
      <c r="P11" s="58">
        <v>131524.07</v>
      </c>
      <c r="Q11" s="53" t="s">
        <v>19</v>
      </c>
      <c r="R11" s="50" t="s">
        <v>16</v>
      </c>
    </row>
    <row r="12" ht="15.75" customHeight="1">
      <c r="A12" s="10"/>
      <c r="B12" s="56">
        <v>43872.0</v>
      </c>
      <c r="C12" s="10"/>
      <c r="D12" s="10"/>
      <c r="E12" s="57">
        <v>14.01</v>
      </c>
      <c r="F12" s="52">
        <v>0.0</v>
      </c>
      <c r="G12" s="51">
        <v>1.0</v>
      </c>
      <c r="H12" s="50" t="s">
        <v>20</v>
      </c>
      <c r="I12" s="50" t="s">
        <v>45</v>
      </c>
      <c r="J12" s="50" t="s">
        <v>57</v>
      </c>
      <c r="K12" s="50" t="s">
        <v>18</v>
      </c>
      <c r="L12" s="50" t="s">
        <v>18</v>
      </c>
      <c r="M12" s="50" t="s">
        <v>24</v>
      </c>
      <c r="N12" s="10"/>
      <c r="O12" s="57">
        <v>14.01</v>
      </c>
      <c r="P12" s="51">
        <v>0.0</v>
      </c>
      <c r="Q12" s="50" t="s">
        <v>52</v>
      </c>
      <c r="R12" s="50" t="s">
        <v>16</v>
      </c>
    </row>
    <row r="13" ht="15.75" customHeight="1">
      <c r="A13" s="10"/>
      <c r="B13" s="56">
        <v>43872.0</v>
      </c>
      <c r="C13" s="10"/>
      <c r="D13" s="10"/>
      <c r="E13" s="54">
        <v>0.0</v>
      </c>
      <c r="F13" s="58">
        <v>14.01</v>
      </c>
      <c r="G13" s="55">
        <v>1.0</v>
      </c>
      <c r="H13" s="53" t="s">
        <v>20</v>
      </c>
      <c r="I13" s="53" t="s">
        <v>49</v>
      </c>
      <c r="J13" s="53" t="s">
        <v>57</v>
      </c>
      <c r="K13" s="50" t="s">
        <v>18</v>
      </c>
      <c r="L13" s="53" t="s">
        <v>18</v>
      </c>
      <c r="M13" s="50" t="s">
        <v>24</v>
      </c>
      <c r="N13" s="10"/>
      <c r="O13" s="55">
        <v>0.0</v>
      </c>
      <c r="P13" s="58">
        <v>14.01</v>
      </c>
      <c r="Q13" s="53" t="s">
        <v>19</v>
      </c>
      <c r="R13" s="50" t="s">
        <v>16</v>
      </c>
    </row>
    <row r="14" ht="15.75" customHeight="1">
      <c r="A14" s="10"/>
      <c r="B14" s="56">
        <v>43872.0</v>
      </c>
      <c r="C14" s="10"/>
      <c r="D14" s="10"/>
      <c r="E14" s="51">
        <v>16500.0</v>
      </c>
      <c r="F14" s="52">
        <v>0.0</v>
      </c>
      <c r="G14" s="51">
        <v>1.0</v>
      </c>
      <c r="H14" s="50" t="s">
        <v>20</v>
      </c>
      <c r="I14" s="50" t="s">
        <v>45</v>
      </c>
      <c r="J14" s="50" t="s">
        <v>57</v>
      </c>
      <c r="K14" s="50" t="s">
        <v>18</v>
      </c>
      <c r="L14" s="50" t="s">
        <v>18</v>
      </c>
      <c r="M14" s="50" t="s">
        <v>24</v>
      </c>
      <c r="N14" s="10"/>
      <c r="O14" s="51">
        <v>16500.0</v>
      </c>
      <c r="P14" s="51">
        <v>0.0</v>
      </c>
      <c r="Q14" s="50" t="s">
        <v>19</v>
      </c>
      <c r="R14" s="50" t="s">
        <v>16</v>
      </c>
    </row>
    <row r="15" ht="15.75" customHeight="1">
      <c r="A15" s="10"/>
      <c r="B15" s="56">
        <v>43872.0</v>
      </c>
      <c r="C15" s="10"/>
      <c r="D15" s="10"/>
      <c r="E15" s="54">
        <v>0.0</v>
      </c>
      <c r="F15" s="55">
        <v>16500.0</v>
      </c>
      <c r="G15" s="55">
        <v>1.0</v>
      </c>
      <c r="H15" s="53" t="s">
        <v>20</v>
      </c>
      <c r="I15" s="53" t="s">
        <v>49</v>
      </c>
      <c r="J15" s="53" t="s">
        <v>57</v>
      </c>
      <c r="K15" s="50" t="s">
        <v>18</v>
      </c>
      <c r="L15" s="53" t="s">
        <v>18</v>
      </c>
      <c r="M15" s="50" t="s">
        <v>24</v>
      </c>
      <c r="N15" s="10"/>
      <c r="O15" s="55">
        <v>0.0</v>
      </c>
      <c r="P15" s="55">
        <v>16500.0</v>
      </c>
      <c r="Q15" s="53" t="s">
        <v>52</v>
      </c>
      <c r="R15" s="50" t="s">
        <v>16</v>
      </c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VerifyTradingTransaction!$4:$4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0"/>
      <c r="B3" s="5" t="s">
        <v>4</v>
      </c>
      <c r="C3" s="21" t="s">
        <v>12</v>
      </c>
      <c r="D3" s="5" t="s">
        <v>7</v>
      </c>
      <c r="E3" s="21" t="s">
        <v>55</v>
      </c>
      <c r="F3" s="5" t="s">
        <v>14</v>
      </c>
      <c r="G3" s="16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IFERROR(__xludf.DUMMYFUNCTION("""COMPUTED_VALUE"""),"From")</f>
        <v>From</v>
      </c>
      <c r="E5" s="26" t="str">
        <f>IFERROR(__xludf.DUMMYFUNCTION("""COMPUTED_VALUE"""),"To")</f>
        <v>To</v>
      </c>
      <c r="F5" s="27" t="str">
        <f>IFERROR(__xludf.DUMMYFUNCTION("""COMPUTED_VALUE"""),"SettlementDate")</f>
        <v>SettlementDate</v>
      </c>
      <c r="G5" s="26" t="str">
        <f>IFERROR(__xludf.DUMMYFUNCTION("""COMPUTED_VALUE"""),"TradeDate")</f>
        <v>TradeDate</v>
      </c>
      <c r="H5" s="26" t="str">
        <f>IFERROR(__xludf.DUMMYFUNCTION("""COMPUTED_VALUE"""),"All")</f>
        <v>All</v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/>
      <c r="C6" s="31" t="s">
        <v>16</v>
      </c>
      <c r="D6" s="32">
        <v>43871.0</v>
      </c>
      <c r="E6" s="32">
        <v>43872.0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GetActivityData!$4:$4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0"/>
      <c r="B3" s="5" t="s">
        <v>4</v>
      </c>
      <c r="C3" s="21" t="s">
        <v>12</v>
      </c>
      <c r="D3" s="5" t="s">
        <v>7</v>
      </c>
      <c r="E3" s="21" t="s">
        <v>56</v>
      </c>
      <c r="F3" s="5" t="s">
        <v>14</v>
      </c>
      <c r="G3" s="16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IFERROR(__xludf.DUMMYFUNCTION("""COMPUTED_VALUE"""),"Activity Source")</f>
        <v>Activity Source</v>
      </c>
      <c r="D5" s="26" t="str">
        <f>IFERROR(__xludf.DUMMYFUNCTION("""COMPUTED_VALUE"""),"ActivityType")</f>
        <v>ActivityType</v>
      </c>
      <c r="E5" s="26" t="str">
        <f>IFERROR(__xludf.DUMMYFUNCTION("""COMPUTED_VALUE"""),"Net Amount(Local)")</f>
        <v>Net Amount(Local)</v>
      </c>
      <c r="F5" s="27" t="str">
        <f>IFERROR(__xludf.DUMMYFUNCTION("""COMPUTED_VALUE"""),"AUEC Fee1")</f>
        <v>AUEC Fee1</v>
      </c>
      <c r="G5" s="26" t="str">
        <f>IFERROR(__xludf.DUMMYFUNCTION("""COMPUTED_VALUE"""),"AUEC Fee2")</f>
        <v>AUEC Fee2</v>
      </c>
      <c r="H5" s="26" t="str">
        <f>IFERROR(__xludf.DUMMYFUNCTION("""COMPUTED_VALUE"""),"Balance Type")</f>
        <v>Balance Type</v>
      </c>
      <c r="I5" s="26" t="str">
        <f>IFERROR(__xludf.DUMMYFUNCTION("""COMPUTED_VALUE"""),"Clearing Broker Fees")</f>
        <v>Clearing Broker Fees</v>
      </c>
      <c r="J5" s="26" t="str">
        <f>IFERROR(__xludf.DUMMYFUNCTION("""COMPUTED_VALUE"""),"Commission")</f>
        <v>Commission</v>
      </c>
      <c r="K5" s="26" t="str">
        <f>IFERROR(__xludf.DUMMYFUNCTION("""COMPUTED_VALUE"""),"Currency")</f>
        <v>Currency</v>
      </c>
      <c r="L5" s="26" t="str">
        <f>IFERROR(__xludf.DUMMYFUNCTION("""COMPUTED_VALUE"""),"Description")</f>
        <v>Description</v>
      </c>
      <c r="M5" s="26" t="str">
        <f>IFERROR(__xludf.DUMMYFUNCTION("""COMPUTED_VALUE"""),"Entry Date")</f>
        <v>Entry Date</v>
      </c>
      <c r="N5" s="26" t="str">
        <f>IFERROR(__xludf.DUMMYFUNCTION("""COMPUTED_VALUE"""),"FX Conversion Method Operator")</f>
        <v>FX Conversion Method Operator</v>
      </c>
      <c r="O5" s="26" t="str">
        <f>IFERROR(__xludf.DUMMYFUNCTION("""COMPUTED_VALUE"""),"Fx Rate")</f>
        <v>Fx Rate</v>
      </c>
      <c r="P5" s="26" t="str">
        <f>IFERROR(__xludf.DUMMYFUNCTION("""COMPUTED_VALUE"""),"Lead Currency")</f>
        <v>Lead Currency</v>
      </c>
      <c r="Q5" s="26" t="str">
        <f>IFERROR(__xludf.DUMMYFUNCTION("""COMPUTED_VALUE"""),"Modify date")</f>
        <v>Modify date</v>
      </c>
      <c r="R5" s="26" t="str">
        <f>IFERROR(__xludf.DUMMYFUNCTION("""COMPUTED_VALUE"""),"OCC Fee")</f>
        <v>OCC Fee</v>
      </c>
      <c r="S5" s="26" t="str">
        <f>IFERROR(__xludf.DUMMYFUNCTION("""COMPUTED_VALUE"""),"OptionPremiumAdjustment")</f>
        <v>OptionPremiumAdjustment</v>
      </c>
      <c r="T5" s="28" t="str">
        <f>IFERROR(__xludf.DUMMYFUNCTION("""COMPUTED_VALUE"""),"ORF Fee")</f>
        <v>ORF Fee</v>
      </c>
      <c r="U5" s="28" t="str">
        <f>IFERROR(__xludf.DUMMYFUNCTION("""COMPUTED_VALUE"""),"Other Broker Fees")</f>
        <v>Other Broker Fees</v>
      </c>
      <c r="V5" s="28" t="str">
        <f>IFERROR(__xludf.DUMMYFUNCTION("""COMPUTED_VALUE"""),"Quantity")</f>
        <v>Quantity</v>
      </c>
      <c r="W5" s="28" t="str">
        <f>IFERROR(__xludf.DUMMYFUNCTION("""COMPUTED_VALUE"""),"SEC Fee")</f>
        <v>SEC Fee</v>
      </c>
      <c r="X5" s="28" t="str">
        <f>IFERROR(__xludf.DUMMYFUNCTION("""COMPUTED_VALUE"""),"Settlement Currency")</f>
        <v>Settlement Currency</v>
      </c>
      <c r="Y5" s="28" t="str">
        <f>IFERROR(__xludf.DUMMYFUNCTION("""COMPUTED_VALUE"""),"Settlement Date")</f>
        <v>Settlement Date</v>
      </c>
      <c r="Z5" s="28" t="str">
        <f>IFERROR(__xludf.DUMMYFUNCTION("""COMPUTED_VALUE"""),"Soft Commission")</f>
        <v>Soft Commission</v>
      </c>
      <c r="AA5" s="28" t="str">
        <f>IFERROR(__xludf.DUMMYFUNCTION("""COMPUTED_VALUE"""),"Stamp Duty")</f>
        <v>Stamp Duty</v>
      </c>
      <c r="AB5" s="28" t="str">
        <f>IFERROR(__xludf.DUMMYFUNCTION("""COMPUTED_VALUE"""),"Symbol")</f>
        <v>Symbol</v>
      </c>
      <c r="AC5" s="28" t="str">
        <f>IFERROR(__xludf.DUMMYFUNCTION("""COMPUTED_VALUE"""),"Tax On Commissions")</f>
        <v>Tax On Commissions</v>
      </c>
      <c r="AD5" s="28" t="str">
        <f>IFERROR(__xludf.DUMMYFUNCTION("""COMPUTED_VALUE"""),"Total Commissions")</f>
        <v>Total Commissions</v>
      </c>
      <c r="AE5" s="28" t="str">
        <f>IFERROR(__xludf.DUMMYFUNCTION("""COMPUTED_VALUE"""),"Trade Date")</f>
        <v>Trade Date</v>
      </c>
      <c r="AF5" s="28" t="str">
        <f>IFERROR(__xludf.DUMMYFUNCTION("""COMPUTED_VALUE"""),"Transaction Levy")</f>
        <v>Transaction Levy</v>
      </c>
      <c r="AG5" s="28" t="str">
        <f>IFERROR(__xludf.DUMMYFUNCTION("""COMPUTED_VALUE"""),"Transaction Source")</f>
        <v>Transaction Source</v>
      </c>
      <c r="AH5" s="28" t="str">
        <f>IFERROR(__xludf.DUMMYFUNCTION("""COMPUTED_VALUE"""),"User")</f>
        <v>User</v>
      </c>
      <c r="AI5" s="28" t="str">
        <f>IFERROR(__xludf.DUMMYFUNCTION("""COMPUTED_VALUE"""),"Vs Currency")</f>
        <v>Vs Currency</v>
      </c>
      <c r="AJ5" s="28" t="str">
        <f>IFERROR(__xludf.DUMMYFUNCTION("""COMPUTED_VALUE"""),"SettlCurrencyID")</f>
        <v>SettlCurrencyID</v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4"/>
      <c r="B6" s="59" t="s">
        <v>16</v>
      </c>
      <c r="C6" s="59" t="s">
        <v>46</v>
      </c>
      <c r="D6" s="59" t="s">
        <v>58</v>
      </c>
      <c r="E6" s="60">
        <v>500.98</v>
      </c>
      <c r="F6" s="60">
        <v>0.0</v>
      </c>
      <c r="G6" s="60">
        <v>0.0</v>
      </c>
      <c r="H6" s="59" t="s">
        <v>59</v>
      </c>
      <c r="I6" s="60">
        <v>0.0</v>
      </c>
      <c r="J6" s="60">
        <v>0.0</v>
      </c>
      <c r="K6" s="59" t="s">
        <v>18</v>
      </c>
      <c r="L6" s="59" t="s">
        <v>47</v>
      </c>
      <c r="M6" s="10"/>
      <c r="N6" s="59" t="s">
        <v>20</v>
      </c>
      <c r="O6" s="60">
        <v>1.0</v>
      </c>
      <c r="V6" s="60">
        <v>0.0</v>
      </c>
      <c r="X6" s="61"/>
      <c r="Z6" s="60">
        <v>0.0</v>
      </c>
      <c r="AA6" s="60">
        <v>0.0</v>
      </c>
      <c r="AB6" s="59" t="s">
        <v>24</v>
      </c>
      <c r="AC6" s="60">
        <v>0.0</v>
      </c>
      <c r="AD6" s="60">
        <v>0.0</v>
      </c>
      <c r="AE6" s="62">
        <v>43871.0</v>
      </c>
      <c r="AF6" s="60">
        <v>0.0</v>
      </c>
      <c r="AG6" s="63" t="s">
        <v>46</v>
      </c>
    </row>
    <row r="7" ht="15.75" customHeight="1">
      <c r="A7" s="10"/>
      <c r="B7" s="64" t="s">
        <v>16</v>
      </c>
      <c r="C7" s="64" t="s">
        <v>62</v>
      </c>
      <c r="D7" s="64" t="s">
        <v>63</v>
      </c>
      <c r="E7" s="65">
        <v>500000.0</v>
      </c>
      <c r="F7" s="65">
        <v>0.0</v>
      </c>
      <c r="G7" s="65">
        <v>0.0</v>
      </c>
      <c r="H7" s="64" t="s">
        <v>59</v>
      </c>
      <c r="I7" s="65">
        <v>0.0</v>
      </c>
      <c r="J7" s="65">
        <v>0.0</v>
      </c>
      <c r="K7" s="64" t="s">
        <v>18</v>
      </c>
      <c r="L7" s="66"/>
      <c r="M7" s="10"/>
      <c r="N7" s="64" t="s">
        <v>20</v>
      </c>
      <c r="O7" s="65">
        <v>1.0</v>
      </c>
      <c r="V7" s="65">
        <v>0.0</v>
      </c>
      <c r="X7" s="66"/>
      <c r="Z7" s="65">
        <v>0.0</v>
      </c>
      <c r="AA7" s="65">
        <v>0.0</v>
      </c>
      <c r="AB7" s="66"/>
      <c r="AC7" s="65">
        <v>0.0</v>
      </c>
      <c r="AD7" s="65">
        <v>0.0</v>
      </c>
      <c r="AE7" s="67">
        <v>43871.0</v>
      </c>
      <c r="AF7" s="65">
        <v>0.0</v>
      </c>
      <c r="AG7" s="68" t="s">
        <v>64</v>
      </c>
    </row>
    <row r="8" ht="15.75" customHeight="1">
      <c r="A8" s="10"/>
      <c r="B8" s="59" t="s">
        <v>16</v>
      </c>
      <c r="C8" s="59" t="s">
        <v>57</v>
      </c>
      <c r="D8" s="59" t="s">
        <v>65</v>
      </c>
      <c r="E8" s="69">
        <v>-31524.02</v>
      </c>
      <c r="F8" s="60">
        <v>4.0</v>
      </c>
      <c r="G8" s="60">
        <v>5.0</v>
      </c>
      <c r="H8" s="59" t="s">
        <v>59</v>
      </c>
      <c r="I8" s="60">
        <v>0.0</v>
      </c>
      <c r="J8" s="60">
        <v>2.5</v>
      </c>
      <c r="K8" s="59" t="s">
        <v>18</v>
      </c>
      <c r="L8" s="59" t="s">
        <v>66</v>
      </c>
      <c r="M8" s="10"/>
      <c r="N8" s="59" t="s">
        <v>20</v>
      </c>
      <c r="O8" s="60">
        <v>1.0</v>
      </c>
      <c r="V8" s="60">
        <v>105.0</v>
      </c>
      <c r="X8" s="63" t="s">
        <v>18</v>
      </c>
      <c r="Z8" s="60">
        <v>7.5</v>
      </c>
      <c r="AA8" s="60">
        <v>0.0176</v>
      </c>
      <c r="AB8" s="59" t="s">
        <v>24</v>
      </c>
      <c r="AC8" s="60">
        <v>3.0</v>
      </c>
      <c r="AD8" s="60">
        <v>24.0176</v>
      </c>
      <c r="AE8" s="70">
        <v>43871.0</v>
      </c>
      <c r="AF8" s="60">
        <v>2.0</v>
      </c>
      <c r="AG8" s="63" t="s">
        <v>57</v>
      </c>
    </row>
    <row r="9" ht="15.75" customHeight="1">
      <c r="A9" s="10"/>
      <c r="B9" s="64" t="s">
        <v>16</v>
      </c>
      <c r="C9" s="64" t="s">
        <v>46</v>
      </c>
      <c r="D9" s="64" t="s">
        <v>67</v>
      </c>
      <c r="E9" s="65">
        <v>-26.59</v>
      </c>
      <c r="F9" s="65">
        <v>0.0</v>
      </c>
      <c r="G9" s="65">
        <v>0.0</v>
      </c>
      <c r="H9" s="64" t="s">
        <v>59</v>
      </c>
      <c r="I9" s="65">
        <v>0.0</v>
      </c>
      <c r="J9" s="65">
        <v>0.0</v>
      </c>
      <c r="K9" s="64" t="s">
        <v>18</v>
      </c>
      <c r="L9" s="64" t="s">
        <v>51</v>
      </c>
      <c r="M9" s="10"/>
      <c r="N9" s="64" t="s">
        <v>20</v>
      </c>
      <c r="O9" s="65">
        <v>1.0</v>
      </c>
      <c r="V9" s="65">
        <v>0.0</v>
      </c>
      <c r="X9" s="66"/>
      <c r="Z9" s="65">
        <v>0.0</v>
      </c>
      <c r="AA9" s="65">
        <v>0.0</v>
      </c>
      <c r="AB9" s="64" t="s">
        <v>24</v>
      </c>
      <c r="AC9" s="65">
        <v>0.0</v>
      </c>
      <c r="AD9" s="65">
        <v>0.0</v>
      </c>
      <c r="AE9" s="71">
        <v>43872.0</v>
      </c>
      <c r="AF9" s="65">
        <v>0.0</v>
      </c>
      <c r="AG9" s="68" t="s">
        <v>46</v>
      </c>
    </row>
    <row r="10" ht="15.75" customHeight="1">
      <c r="A10" s="10"/>
      <c r="B10" s="59" t="s">
        <v>16</v>
      </c>
      <c r="C10" s="59" t="s">
        <v>46</v>
      </c>
      <c r="D10" s="59" t="s">
        <v>58</v>
      </c>
      <c r="E10" s="60">
        <v>1264.55</v>
      </c>
      <c r="F10" s="60">
        <v>0.0</v>
      </c>
      <c r="G10" s="60">
        <v>0.0</v>
      </c>
      <c r="H10" s="59" t="s">
        <v>59</v>
      </c>
      <c r="I10" s="60">
        <v>0.0</v>
      </c>
      <c r="J10" s="60">
        <v>0.0</v>
      </c>
      <c r="K10" s="59" t="s">
        <v>18</v>
      </c>
      <c r="L10" s="59" t="s">
        <v>47</v>
      </c>
      <c r="M10" s="10"/>
      <c r="N10" s="59" t="s">
        <v>20</v>
      </c>
      <c r="O10" s="60">
        <v>1.0</v>
      </c>
      <c r="V10" s="60">
        <v>0.0</v>
      </c>
      <c r="X10" s="61"/>
      <c r="Z10" s="60">
        <v>0.0</v>
      </c>
      <c r="AA10" s="60">
        <v>0.0</v>
      </c>
      <c r="AB10" s="59" t="s">
        <v>24</v>
      </c>
      <c r="AC10" s="60">
        <v>0.0</v>
      </c>
      <c r="AD10" s="60">
        <v>0.0</v>
      </c>
      <c r="AE10" s="70">
        <v>43872.0</v>
      </c>
      <c r="AF10" s="60">
        <v>0.0</v>
      </c>
      <c r="AG10" s="63" t="s">
        <v>46</v>
      </c>
    </row>
    <row r="11" ht="15.75" customHeight="1">
      <c r="A11" s="10"/>
      <c r="B11" s="64" t="s">
        <v>16</v>
      </c>
      <c r="C11" s="64" t="s">
        <v>46</v>
      </c>
      <c r="D11" s="64" t="s">
        <v>58</v>
      </c>
      <c r="E11" s="65">
        <v>475.93</v>
      </c>
      <c r="F11" s="65">
        <v>0.0</v>
      </c>
      <c r="G11" s="65">
        <v>0.0</v>
      </c>
      <c r="H11" s="64" t="s">
        <v>59</v>
      </c>
      <c r="I11" s="65">
        <v>0.0</v>
      </c>
      <c r="J11" s="65">
        <v>0.0</v>
      </c>
      <c r="K11" s="64" t="s">
        <v>18</v>
      </c>
      <c r="L11" s="64" t="s">
        <v>47</v>
      </c>
      <c r="M11" s="10"/>
      <c r="N11" s="64" t="s">
        <v>20</v>
      </c>
      <c r="O11" s="65">
        <v>1.0</v>
      </c>
      <c r="V11" s="65">
        <v>0.0</v>
      </c>
      <c r="X11" s="66"/>
      <c r="Z11" s="65">
        <v>0.0</v>
      </c>
      <c r="AA11" s="65">
        <v>0.0</v>
      </c>
      <c r="AB11" s="64" t="s">
        <v>34</v>
      </c>
      <c r="AC11" s="65">
        <v>0.0</v>
      </c>
      <c r="AD11" s="65">
        <v>0.0</v>
      </c>
      <c r="AE11" s="71">
        <v>43872.0</v>
      </c>
      <c r="AF11" s="65">
        <v>0.0</v>
      </c>
      <c r="AG11" s="68" t="s">
        <v>46</v>
      </c>
    </row>
    <row r="12" ht="15.75" customHeight="1">
      <c r="A12" s="10"/>
      <c r="B12" s="59" t="s">
        <v>16</v>
      </c>
      <c r="C12" s="59" t="s">
        <v>46</v>
      </c>
      <c r="D12" s="59" t="s">
        <v>58</v>
      </c>
      <c r="E12" s="60">
        <v>-500.98</v>
      </c>
      <c r="F12" s="60">
        <v>0.0</v>
      </c>
      <c r="G12" s="60">
        <v>0.0</v>
      </c>
      <c r="H12" s="59" t="s">
        <v>59</v>
      </c>
      <c r="I12" s="60">
        <v>0.0</v>
      </c>
      <c r="J12" s="60">
        <v>0.0</v>
      </c>
      <c r="K12" s="59" t="s">
        <v>18</v>
      </c>
      <c r="L12" s="59" t="s">
        <v>53</v>
      </c>
      <c r="M12" s="10"/>
      <c r="N12" s="59" t="s">
        <v>20</v>
      </c>
      <c r="O12" s="60">
        <v>1.0</v>
      </c>
      <c r="V12" s="60">
        <v>0.0</v>
      </c>
      <c r="X12" s="61"/>
      <c r="Z12" s="60">
        <v>0.0</v>
      </c>
      <c r="AA12" s="60">
        <v>0.0</v>
      </c>
      <c r="AB12" s="59" t="s">
        <v>24</v>
      </c>
      <c r="AC12" s="60">
        <v>0.0</v>
      </c>
      <c r="AD12" s="60">
        <v>0.0</v>
      </c>
      <c r="AE12" s="70">
        <v>43872.0</v>
      </c>
      <c r="AF12" s="60">
        <v>0.0</v>
      </c>
      <c r="AG12" s="63" t="s">
        <v>46</v>
      </c>
    </row>
    <row r="13" ht="15.75" customHeight="1">
      <c r="A13" s="10"/>
      <c r="B13" s="64" t="s">
        <v>16</v>
      </c>
      <c r="C13" s="64" t="s">
        <v>57</v>
      </c>
      <c r="D13" s="64" t="s">
        <v>65</v>
      </c>
      <c r="E13" s="72">
        <v>-24024.01</v>
      </c>
      <c r="F13" s="65">
        <v>4.0</v>
      </c>
      <c r="G13" s="65">
        <v>5.0</v>
      </c>
      <c r="H13" s="64" t="s">
        <v>59</v>
      </c>
      <c r="I13" s="65">
        <v>0.0</v>
      </c>
      <c r="J13" s="65">
        <v>2.5</v>
      </c>
      <c r="K13" s="64" t="s">
        <v>18</v>
      </c>
      <c r="L13" s="64" t="s">
        <v>66</v>
      </c>
      <c r="M13" s="10"/>
      <c r="N13" s="64" t="s">
        <v>20</v>
      </c>
      <c r="O13" s="65">
        <v>1.0</v>
      </c>
      <c r="V13" s="65">
        <v>80.0</v>
      </c>
      <c r="X13" s="68" t="s">
        <v>18</v>
      </c>
      <c r="Z13" s="65">
        <v>7.5</v>
      </c>
      <c r="AA13" s="65">
        <v>0.0134</v>
      </c>
      <c r="AB13" s="64" t="s">
        <v>24</v>
      </c>
      <c r="AC13" s="65">
        <v>3.0</v>
      </c>
      <c r="AD13" s="65">
        <v>24.0134</v>
      </c>
      <c r="AE13" s="73">
        <v>43872.0</v>
      </c>
      <c r="AF13" s="65">
        <v>2.0</v>
      </c>
      <c r="AG13" s="68" t="s">
        <v>57</v>
      </c>
    </row>
    <row r="14" ht="15.75" customHeight="1">
      <c r="A14" s="10"/>
      <c r="B14" s="59" t="s">
        <v>16</v>
      </c>
      <c r="C14" s="59" t="s">
        <v>57</v>
      </c>
      <c r="D14" s="59" t="s">
        <v>65</v>
      </c>
      <c r="E14" s="69">
        <v>-131524.07</v>
      </c>
      <c r="F14" s="60">
        <v>4.0</v>
      </c>
      <c r="G14" s="60">
        <v>5.0</v>
      </c>
      <c r="H14" s="59" t="s">
        <v>59</v>
      </c>
      <c r="I14" s="60">
        <v>0.0</v>
      </c>
      <c r="J14" s="60">
        <v>5.0</v>
      </c>
      <c r="K14" s="59" t="s">
        <v>18</v>
      </c>
      <c r="L14" s="59" t="s">
        <v>66</v>
      </c>
      <c r="M14" s="10"/>
      <c r="N14" s="59" t="s">
        <v>20</v>
      </c>
      <c r="O14" s="60">
        <v>1.0</v>
      </c>
      <c r="V14" s="60">
        <v>100.0</v>
      </c>
      <c r="X14" s="63" t="s">
        <v>18</v>
      </c>
      <c r="Z14" s="60">
        <v>5.0</v>
      </c>
      <c r="AA14" s="60">
        <v>0.0736</v>
      </c>
      <c r="AB14" s="59" t="s">
        <v>34</v>
      </c>
      <c r="AC14" s="60">
        <v>3.0</v>
      </c>
      <c r="AD14" s="60">
        <v>24.0736</v>
      </c>
      <c r="AE14" s="74">
        <v>43872.0</v>
      </c>
      <c r="AF14" s="60">
        <v>2.0</v>
      </c>
      <c r="AG14" s="63" t="s">
        <v>57</v>
      </c>
    </row>
    <row r="15" ht="15.75" customHeight="1">
      <c r="A15" s="10"/>
      <c r="B15" s="64" t="s">
        <v>16</v>
      </c>
      <c r="C15" s="64" t="s">
        <v>57</v>
      </c>
      <c r="D15" s="64" t="s">
        <v>65</v>
      </c>
      <c r="E15" s="72">
        <v>16485.99</v>
      </c>
      <c r="F15" s="65">
        <v>4.0</v>
      </c>
      <c r="G15" s="65">
        <v>5.0</v>
      </c>
      <c r="H15" s="64" t="s">
        <v>59</v>
      </c>
      <c r="I15" s="65">
        <v>0.0</v>
      </c>
      <c r="J15" s="65">
        <v>0.0</v>
      </c>
      <c r="K15" s="64" t="s">
        <v>18</v>
      </c>
      <c r="L15" s="64" t="s">
        <v>66</v>
      </c>
      <c r="M15" s="10"/>
      <c r="N15" s="64" t="s">
        <v>20</v>
      </c>
      <c r="O15" s="65">
        <v>1.0</v>
      </c>
      <c r="V15" s="65">
        <v>55.0</v>
      </c>
      <c r="X15" s="68" t="s">
        <v>18</v>
      </c>
      <c r="Z15" s="65">
        <v>0.0</v>
      </c>
      <c r="AA15" s="65">
        <v>0.0092</v>
      </c>
      <c r="AB15" s="64" t="s">
        <v>24</v>
      </c>
      <c r="AC15" s="65">
        <v>3.0</v>
      </c>
      <c r="AD15" s="65">
        <v>14.0092</v>
      </c>
      <c r="AE15" s="73">
        <v>43872.0</v>
      </c>
      <c r="AF15" s="65">
        <v>2.0</v>
      </c>
      <c r="AG15" s="68" t="s">
        <v>57</v>
      </c>
    </row>
    <row r="16" ht="15.75" customHeight="1">
      <c r="A16" s="10"/>
      <c r="B16" s="75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VerifyActivity!$4:$4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0"/>
      <c r="B3" s="5" t="s">
        <v>4</v>
      </c>
      <c r="C3" s="21" t="s">
        <v>60</v>
      </c>
      <c r="D3" s="5" t="s">
        <v>7</v>
      </c>
      <c r="E3" s="21" t="s">
        <v>61</v>
      </c>
      <c r="F3" s="5" t="s">
        <v>14</v>
      </c>
      <c r="G3" s="16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IFERROR(__xludf.DUMMYFUNCTION("IF(C3="""","""",Transpose(IMPORTRANGE('_Settings'!$B$3,C3&amp;""!A4:A1000"")))"),"CorporateAction")</f>
        <v>CorporateAction</v>
      </c>
      <c r="C4" s="23" t="str">
        <f>IFERROR(__xludf.DUMMYFUNCTION("""COMPUTED_VALUE"""),"CleanUp")</f>
        <v>CleanUp</v>
      </c>
      <c r="D4" s="23" t="str">
        <f>IFERROR(__xludf.DUMMYFUNCTION("""COMPUTED_VALUE"""),"CashDividend")</f>
        <v>CashDividend</v>
      </c>
      <c r="E4" s="23" t="str">
        <f>IFERROR(__xludf.DUMMYFUNCTION("""COMPUTED_VALUE"""),"Exchange")</f>
        <v>Exchange</v>
      </c>
      <c r="F4" s="23" t="str">
        <f>IFERROR(__xludf.DUMMYFUNCTION("""COMPUTED_VALUE"""),"Merger")</f>
        <v>Merger</v>
      </c>
      <c r="G4" s="23" t="str">
        <f>IFERROR(__xludf.DUMMYFUNCTION("""COMPUTED_VALUE"""),"NameChange")</f>
        <v>NameChange</v>
      </c>
      <c r="H4" s="23" t="str">
        <f>IFERROR(__xludf.DUMMYFUNCTION("""COMPUTED_VALUE"""),"SpinOff")</f>
        <v>SpinOff</v>
      </c>
      <c r="I4" s="23" t="str">
        <f>IFERROR(__xludf.DUMMYFUNCTION("""COMPUTED_VALUE"""),"Split")</f>
        <v>Split</v>
      </c>
      <c r="J4" s="23" t="str">
        <f>IFERROR(__xludf.DUMMYFUNCTION("""COMPUTED_VALUE"""),"StockDividend")</f>
        <v>StockDividend</v>
      </c>
      <c r="K4" s="23" t="str">
        <f>IFERROR(__xludf.DUMMYFUNCTION("""COMPUTED_VALUE"""),"OpenSpinOff")</f>
        <v>OpenSpinOff</v>
      </c>
      <c r="L4" s="23" t="str">
        <f>IFERROR(__xludf.DUMMYFUNCTION("""COMPUTED_VALUE"""),"SpinOff")</f>
        <v>SpinOff</v>
      </c>
      <c r="M4" s="23" t="str">
        <f>IFERROR(__xludf.DUMMYFUNCTION("""COMPUTED_VALUE"""),"VerifySpinOffGrid")</f>
        <v>VerifySpinOffGrid</v>
      </c>
      <c r="N4" s="23" t="str">
        <f>IFERROR(__xludf.DUMMYFUNCTION("""COMPUTED_VALUE"""),"SaveCorporateAction")</f>
        <v>SaveCorporateAction</v>
      </c>
      <c r="O4" s="23" t="str">
        <f>IFERROR(__xludf.DUMMYFUNCTION("""COMPUTED_VALUE"""),"VerifyAndSaveCorpAction")</f>
        <v>VerifyAndSaveCorpAction</v>
      </c>
      <c r="P4" s="24" t="str">
        <f>IFERROR(__xludf.DUMMYFUNCTION("""COMPUTED_VALUE"""),"VerifyAndApplyCorpAction")</f>
        <v>VerifyAndApplyCorpAction</v>
      </c>
      <c r="Q4" s="24" t="str">
        <f>IFERROR(__xludf.DUMMYFUNCTION("""COMPUTED_VALUE"""),"CorporateAction")</f>
        <v>CorporateAction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IFERROR(__xludf.DUMMYFUNCTION("""COMPUTED_VALUE"""),"Corporate Action")</f>
        <v>Corporate Action</v>
      </c>
      <c r="C5" s="26" t="str">
        <f>IFERROR(__xludf.DUMMYFUNCTION("""COMPUTED_VALUE"""),"Account Filter")</f>
        <v>Account Filter</v>
      </c>
      <c r="D5" s="26" t="str">
        <f>IFERROR(__xludf.DUMMYFUNCTION("""COMPUTED_VALUE"""),"Counter Party")</f>
        <v>Counter Party</v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 t="s">
        <v>68</v>
      </c>
      <c r="C6" s="31" t="s">
        <v>16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OpenSpinOff!$4:$4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0"/>
      <c r="B3" s="5" t="s">
        <v>4</v>
      </c>
      <c r="C3" s="21" t="s">
        <v>60</v>
      </c>
      <c r="D3" s="5" t="s">
        <v>7</v>
      </c>
      <c r="E3" s="21" t="s">
        <v>68</v>
      </c>
      <c r="F3" s="5" t="s">
        <v>14</v>
      </c>
      <c r="G3" s="16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IFERROR(__xludf.DUMMYFUNCTION("IF(C3="""","""",Transpose(IMPORTRANGE('_Settings'!$B$3,C3&amp;""!A4:A1000"")))"),"CorporateAction")</f>
        <v>CorporateAction</v>
      </c>
      <c r="C4" s="23" t="str">
        <f>IFERROR(__xludf.DUMMYFUNCTION("""COMPUTED_VALUE"""),"CleanUp")</f>
        <v>CleanUp</v>
      </c>
      <c r="D4" s="23" t="str">
        <f>IFERROR(__xludf.DUMMYFUNCTION("""COMPUTED_VALUE"""),"CashDividend")</f>
        <v>CashDividend</v>
      </c>
      <c r="E4" s="23" t="str">
        <f>IFERROR(__xludf.DUMMYFUNCTION("""COMPUTED_VALUE"""),"Exchange")</f>
        <v>Exchange</v>
      </c>
      <c r="F4" s="23" t="str">
        <f>IFERROR(__xludf.DUMMYFUNCTION("""COMPUTED_VALUE"""),"Merger")</f>
        <v>Merger</v>
      </c>
      <c r="G4" s="23" t="str">
        <f>IFERROR(__xludf.DUMMYFUNCTION("""COMPUTED_VALUE"""),"NameChange")</f>
        <v>NameChange</v>
      </c>
      <c r="H4" s="23" t="str">
        <f>IFERROR(__xludf.DUMMYFUNCTION("""COMPUTED_VALUE"""),"SpinOff")</f>
        <v>SpinOff</v>
      </c>
      <c r="I4" s="23" t="str">
        <f>IFERROR(__xludf.DUMMYFUNCTION("""COMPUTED_VALUE"""),"Split")</f>
        <v>Split</v>
      </c>
      <c r="J4" s="23" t="str">
        <f>IFERROR(__xludf.DUMMYFUNCTION("""COMPUTED_VALUE"""),"StockDividend")</f>
        <v>StockDividend</v>
      </c>
      <c r="K4" s="23" t="str">
        <f>IFERROR(__xludf.DUMMYFUNCTION("""COMPUTED_VALUE"""),"OpenSpinOff")</f>
        <v>OpenSpinOff</v>
      </c>
      <c r="L4" s="23" t="str">
        <f>IFERROR(__xludf.DUMMYFUNCTION("""COMPUTED_VALUE"""),"SpinOff")</f>
        <v>SpinOff</v>
      </c>
      <c r="M4" s="23" t="str">
        <f>IFERROR(__xludf.DUMMYFUNCTION("""COMPUTED_VALUE"""),"VerifySpinOffGrid")</f>
        <v>VerifySpinOffGrid</v>
      </c>
      <c r="N4" s="23" t="str">
        <f>IFERROR(__xludf.DUMMYFUNCTION("""COMPUTED_VALUE"""),"SaveCorporateAction")</f>
        <v>SaveCorporateAction</v>
      </c>
      <c r="O4" s="23" t="str">
        <f>IFERROR(__xludf.DUMMYFUNCTION("""COMPUTED_VALUE"""),"VerifyAndSaveCorpAction")</f>
        <v>VerifyAndSaveCorpAction</v>
      </c>
      <c r="P4" s="24" t="str">
        <f>IFERROR(__xludf.DUMMYFUNCTION("""COMPUTED_VALUE"""),"VerifyAndApplyCorpAction")</f>
        <v>VerifyAndApplyCorpAction</v>
      </c>
      <c r="Q4" s="24" t="str">
        <f>IFERROR(__xludf.DUMMYFUNCTION("""COMPUTED_VALUE"""),"CorporateAction")</f>
        <v>CorporateAction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IFERROR(__xludf.DUMMYFUNCTION("""COMPUTED_VALUE"""),"Effective Date")</f>
        <v>Effective Date</v>
      </c>
      <c r="C5" s="26" t="str">
        <f>IFERROR(__xludf.DUMMYFUNCTION("""COMPUTED_VALUE"""),"Company Name")</f>
        <v>Company Name</v>
      </c>
      <c r="D5" s="26" t="str">
        <f>IFERROR(__xludf.DUMMYFUNCTION("""COMPUTED_VALUE"""),"New Company Name")</f>
        <v>New Company Name</v>
      </c>
      <c r="E5" s="26" t="str">
        <f>IFERROR(__xludf.DUMMYFUNCTION("""COMPUTED_VALUE"""),"Original Symbol")</f>
        <v>Original Symbol</v>
      </c>
      <c r="F5" s="27" t="str">
        <f>IFERROR(__xludf.DUMMYFUNCTION("""COMPUTED_VALUE"""),"Symbology")</f>
        <v>Symbology</v>
      </c>
      <c r="G5" s="26" t="str">
        <f>IFERROR(__xludf.DUMMYFUNCTION("""COMPUTED_VALUE"""),"New Symbol")</f>
        <v>New Symbol</v>
      </c>
      <c r="H5" s="26" t="str">
        <f>IFERROR(__xludf.DUMMYFUNCTION("""COMPUTED_VALUE"""),"Original Security Qty Ratio")</f>
        <v>Original Security Qty Ratio</v>
      </c>
      <c r="I5" s="26" t="str">
        <f>IFERROR(__xludf.DUMMYFUNCTION("""COMPUTED_VALUE"""),"New Security Qty Ratio")</f>
        <v>New Security Qty Ratio</v>
      </c>
      <c r="J5" s="26" t="str">
        <f>IFERROR(__xludf.DUMMYFUNCTION("""COMPUTED_VALUE"""),"Adjustment Factor")</f>
        <v>Adjustment Factor</v>
      </c>
      <c r="K5" s="26" t="str">
        <f>IFERROR(__xludf.DUMMYFUNCTION("""COMPUTED_VALUE"""),"Fractional Qty PX")</f>
        <v>Fractional Qty PX</v>
      </c>
      <c r="L5" s="26" t="str">
        <f>IFERROR(__xludf.DUMMYFUNCTION("""COMPUTED_VALUE"""),"Quantity Factor")</f>
        <v>Quantity Factor</v>
      </c>
      <c r="M5" s="26" t="str">
        <f>IFERROR(__xludf.DUMMYFUNCTION("""COMPUTED_VALUE"""),"Cash in lieu")</f>
        <v>Cash in lieu</v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2">
        <v>43873.0</v>
      </c>
      <c r="C6" s="31"/>
      <c r="D6" s="30"/>
      <c r="E6" s="31" t="s">
        <v>24</v>
      </c>
      <c r="F6" s="31"/>
      <c r="G6" s="31" t="s">
        <v>70</v>
      </c>
      <c r="H6" s="35">
        <v>1.0</v>
      </c>
      <c r="I6" s="35">
        <v>0.33</v>
      </c>
      <c r="J6" s="35">
        <v>0.625</v>
      </c>
      <c r="K6" s="31"/>
      <c r="L6" s="31"/>
      <c r="M6" s="77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SpinOff!$4:$4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6" width="22.71"/>
    <col customWidth="1" min="7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0"/>
      <c r="B3" s="5" t="s">
        <v>4</v>
      </c>
      <c r="C3" s="21" t="s">
        <v>60</v>
      </c>
      <c r="D3" s="5" t="s">
        <v>7</v>
      </c>
      <c r="E3" s="21" t="s">
        <v>69</v>
      </c>
      <c r="F3" s="5" t="s">
        <v>14</v>
      </c>
      <c r="G3" s="16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IFERROR(__xludf.DUMMYFUNCTION("IF(C3="""","""",Transpose(IMPORTRANGE('_Settings'!$B$3,C3&amp;""!A4:A1000"")))"),"CorporateAction")</f>
        <v>CorporateAction</v>
      </c>
      <c r="C4" s="23" t="str">
        <f>IFERROR(__xludf.DUMMYFUNCTION("""COMPUTED_VALUE"""),"CleanUp")</f>
        <v>CleanUp</v>
      </c>
      <c r="D4" s="23" t="str">
        <f>IFERROR(__xludf.DUMMYFUNCTION("""COMPUTED_VALUE"""),"CashDividend")</f>
        <v>CashDividend</v>
      </c>
      <c r="E4" s="23" t="str">
        <f>IFERROR(__xludf.DUMMYFUNCTION("""COMPUTED_VALUE"""),"Exchange")</f>
        <v>Exchange</v>
      </c>
      <c r="F4" s="23" t="str">
        <f>IFERROR(__xludf.DUMMYFUNCTION("""COMPUTED_VALUE"""),"Merger")</f>
        <v>Merger</v>
      </c>
      <c r="G4" s="23" t="str">
        <f>IFERROR(__xludf.DUMMYFUNCTION("""COMPUTED_VALUE"""),"NameChange")</f>
        <v>NameChange</v>
      </c>
      <c r="H4" s="23" t="str">
        <f>IFERROR(__xludf.DUMMYFUNCTION("""COMPUTED_VALUE"""),"SpinOff")</f>
        <v>SpinOff</v>
      </c>
      <c r="I4" s="23" t="str">
        <f>IFERROR(__xludf.DUMMYFUNCTION("""COMPUTED_VALUE"""),"Split")</f>
        <v>Split</v>
      </c>
      <c r="J4" s="23" t="str">
        <f>IFERROR(__xludf.DUMMYFUNCTION("""COMPUTED_VALUE"""),"StockDividend")</f>
        <v>StockDividend</v>
      </c>
      <c r="K4" s="23" t="str">
        <f>IFERROR(__xludf.DUMMYFUNCTION("""COMPUTED_VALUE"""),"OpenSpinOff")</f>
        <v>OpenSpinOff</v>
      </c>
      <c r="L4" s="23" t="str">
        <f>IFERROR(__xludf.DUMMYFUNCTION("""COMPUTED_VALUE"""),"SpinOff")</f>
        <v>SpinOff</v>
      </c>
      <c r="M4" s="23" t="str">
        <f>IFERROR(__xludf.DUMMYFUNCTION("""COMPUTED_VALUE"""),"VerifySpinOffGrid")</f>
        <v>VerifySpinOffGrid</v>
      </c>
      <c r="N4" s="23" t="str">
        <f>IFERROR(__xludf.DUMMYFUNCTION("""COMPUTED_VALUE"""),"SaveCorporateAction")</f>
        <v>SaveCorporateAction</v>
      </c>
      <c r="O4" s="23" t="str">
        <f>IFERROR(__xludf.DUMMYFUNCTION("""COMPUTED_VALUE"""),"VerifyAndSaveCorpAction")</f>
        <v>VerifyAndSaveCorpAction</v>
      </c>
      <c r="P4" s="24" t="str">
        <f>IFERROR(__xludf.DUMMYFUNCTION("""COMPUTED_VALUE"""),"VerifyAndApplyCorpAction")</f>
        <v>VerifyAndApplyCorpAction</v>
      </c>
      <c r="Q4" s="24" t="str">
        <f>IFERROR(__xludf.DUMMYFUNCTION("""COMPUTED_VALUE"""),"CorporateAction")</f>
        <v>CorporateAction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IFERROR(__xludf.DUMMYFUNCTION("""COMPUTED_VALUE"""),"Currency")</f>
        <v>Currency</v>
      </c>
      <c r="D5" s="26" t="str">
        <f>IFERROR(__xludf.DUMMYFUNCTION("""COMPUTED_VALUE"""),"Side")</f>
        <v>Side</v>
      </c>
      <c r="E5" s="26" t="str">
        <f>IFERROR(__xludf.DUMMYFUNCTION("""COMPUTED_VALUE"""),"Account")</f>
        <v>Account</v>
      </c>
      <c r="F5" s="27" t="str">
        <f>IFERROR(__xludf.DUMMYFUNCTION("""COMPUTED_VALUE"""),"Unit Cost")</f>
        <v>Unit Cost</v>
      </c>
      <c r="G5" s="26" t="str">
        <f>IFERROR(__xludf.DUMMYFUNCTION("""COMPUTED_VALUE"""),"Open Qty")</f>
        <v>Open Qty</v>
      </c>
      <c r="H5" s="26" t="str">
        <f>IFERROR(__xludf.DUMMYFUNCTION("""COMPUTED_VALUE"""),"Open Total Commission and Fees")</f>
        <v>Open Total Commission and Fees</v>
      </c>
      <c r="I5" s="26" t="str">
        <f>IFERROR(__xludf.DUMMYFUNCTION("""COMPUTED_VALUE"""),"Trade Date")</f>
        <v>Trade Date</v>
      </c>
      <c r="J5" s="26" t="str">
        <f>IFERROR(__xludf.DUMMYFUNCTION("""COMPUTED_VALUE"""),"Process Date")</f>
        <v>Process Date</v>
      </c>
      <c r="K5" s="26" t="str">
        <f>IFERROR(__xludf.DUMMYFUNCTION("""COMPUTED_VALUE"""),"Original Open Date")</f>
        <v>Original Open Date</v>
      </c>
      <c r="L5" s="26" t="str">
        <f>IFERROR(__xludf.DUMMYFUNCTION("""COMPUTED_VALUE"""),"Settlement Date")</f>
        <v>Settlement Date</v>
      </c>
      <c r="M5" s="26" t="str">
        <f>IFERROR(__xludf.DUMMYFUNCTION("""COMPUTED_VALUE"""),"Broker")</f>
        <v>Broker</v>
      </c>
      <c r="N5" s="26" t="str">
        <f>IFERROR(__xludf.DUMMYFUNCTION("""COMPUTED_VALUE"""),"Fx Rate")</f>
        <v>Fx Rate</v>
      </c>
      <c r="O5" s="26" t="str">
        <f>IFERROR(__xludf.DUMMYFUNCTION("""COMPUTED_VALUE"""),"FX Conversion Operator")</f>
        <v>FX Conversion Operator</v>
      </c>
      <c r="P5" s="26" t="str">
        <f>IFERROR(__xludf.DUMMYFUNCTION("""COMPUTED_VALUE"""),"Average Price")</f>
        <v>Average Price</v>
      </c>
      <c r="Q5" s="26" t="str">
        <f>IFERROR(__xludf.DUMMYFUNCTION("""COMPUTED_VALUE"""),"Notional Value (Local)")</f>
        <v>Notional Value (Local)</v>
      </c>
      <c r="R5" s="26" t="str">
        <f>IFERROR(__xludf.DUMMYFUNCTION("""COMPUTED_VALUE"""),"Notional Value (Base)")</f>
        <v>Notional Value (Base)</v>
      </c>
      <c r="S5" s="26" t="str">
        <f>IFERROR(__xludf.DUMMYFUNCTION("""COMPUTED_VALUE"""),"Transaction Type")</f>
        <v>Transaction Type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4"/>
      <c r="B6" s="14" t="s">
        <v>24</v>
      </c>
      <c r="C6" s="14" t="s">
        <v>18</v>
      </c>
      <c r="D6" s="14" t="s">
        <v>25</v>
      </c>
      <c r="E6" s="14" t="s">
        <v>16</v>
      </c>
      <c r="F6" s="14">
        <v>300.0</v>
      </c>
      <c r="G6" s="14">
        <v>50.0</v>
      </c>
      <c r="H6" s="14">
        <v>11.4369523809524</v>
      </c>
      <c r="I6" s="47">
        <v>43871.0</v>
      </c>
      <c r="J6" s="10"/>
      <c r="K6" s="10"/>
      <c r="L6" s="10"/>
      <c r="M6" s="10"/>
      <c r="N6" s="14">
        <v>1.0</v>
      </c>
      <c r="O6" s="14" t="s">
        <v>20</v>
      </c>
      <c r="P6" s="34">
        <v>0.0</v>
      </c>
      <c r="Q6" s="34">
        <v>15011.44</v>
      </c>
      <c r="R6" s="34">
        <v>15011.44</v>
      </c>
    </row>
    <row r="7" ht="15.75" customHeight="1">
      <c r="A7" s="10"/>
      <c r="B7" s="14" t="s">
        <v>24</v>
      </c>
      <c r="C7" s="14" t="s">
        <v>18</v>
      </c>
      <c r="D7" s="14" t="s">
        <v>35</v>
      </c>
      <c r="E7" s="14" t="s">
        <v>16</v>
      </c>
      <c r="F7" s="14">
        <v>300.22873904762</v>
      </c>
      <c r="G7" s="14">
        <v>50.0</v>
      </c>
      <c r="H7" s="14">
        <v>0.0</v>
      </c>
      <c r="I7" s="76">
        <v>43873.0</v>
      </c>
      <c r="J7" s="10"/>
      <c r="K7" s="10"/>
      <c r="L7" s="10"/>
      <c r="M7" s="10"/>
      <c r="N7" s="14">
        <v>1.0</v>
      </c>
      <c r="O7" s="14" t="s">
        <v>20</v>
      </c>
      <c r="P7" s="34">
        <v>0.0</v>
      </c>
      <c r="Q7" s="34">
        <v>15011.44</v>
      </c>
      <c r="R7" s="34">
        <v>15011.44</v>
      </c>
    </row>
    <row r="8" ht="15.75" customHeight="1">
      <c r="A8" s="10"/>
      <c r="B8" s="14" t="s">
        <v>24</v>
      </c>
      <c r="C8" s="14" t="s">
        <v>18</v>
      </c>
      <c r="D8" s="14" t="s">
        <v>25</v>
      </c>
      <c r="E8" s="14" t="s">
        <v>16</v>
      </c>
      <c r="F8" s="14">
        <v>187.642961904763</v>
      </c>
      <c r="G8" s="14">
        <v>50.0</v>
      </c>
      <c r="H8" s="14">
        <v>0.0</v>
      </c>
      <c r="I8" s="76">
        <v>43873.0</v>
      </c>
      <c r="J8" s="10"/>
      <c r="K8" s="10"/>
      <c r="L8" s="10"/>
      <c r="M8" s="10"/>
      <c r="N8" s="14">
        <v>1.0</v>
      </c>
      <c r="O8" s="14" t="s">
        <v>20</v>
      </c>
      <c r="P8" s="34">
        <v>300.0</v>
      </c>
      <c r="Q8" s="34">
        <v>9382.15</v>
      </c>
      <c r="R8" s="34">
        <v>9382.15</v>
      </c>
    </row>
    <row r="9" ht="15.75" customHeight="1">
      <c r="A9" s="10"/>
      <c r="B9" s="14" t="s">
        <v>70</v>
      </c>
      <c r="C9" s="14" t="s">
        <v>18</v>
      </c>
      <c r="D9" s="14" t="s">
        <v>25</v>
      </c>
      <c r="E9" s="14" t="s">
        <v>16</v>
      </c>
      <c r="F9" s="14">
        <v>341.169021645023</v>
      </c>
      <c r="G9" s="14">
        <v>16.5</v>
      </c>
      <c r="H9" s="14">
        <v>0.0</v>
      </c>
      <c r="I9" s="76">
        <v>43873.0</v>
      </c>
      <c r="J9" s="10"/>
      <c r="K9" s="10"/>
      <c r="L9" s="10"/>
      <c r="M9" s="10"/>
      <c r="N9" s="14">
        <v>1.0</v>
      </c>
      <c r="O9" s="14" t="s">
        <v>20</v>
      </c>
      <c r="P9" s="34">
        <v>341.169</v>
      </c>
      <c r="Q9" s="34">
        <v>5629.29</v>
      </c>
      <c r="R9" s="34">
        <v>5629.29</v>
      </c>
    </row>
    <row r="10" ht="15.75" customHeight="1">
      <c r="A10" s="10"/>
      <c r="B10" s="14" t="s">
        <v>24</v>
      </c>
      <c r="C10" s="14" t="s">
        <v>18</v>
      </c>
      <c r="D10" s="14" t="s">
        <v>25</v>
      </c>
      <c r="E10" s="14" t="s">
        <v>16</v>
      </c>
      <c r="F10" s="14">
        <v>300.0</v>
      </c>
      <c r="G10" s="14">
        <v>80.0</v>
      </c>
      <c r="H10" s="14">
        <v>24.0134</v>
      </c>
      <c r="I10" s="76">
        <v>43872.0</v>
      </c>
      <c r="J10" s="10"/>
      <c r="K10" s="10"/>
      <c r="L10" s="10"/>
      <c r="M10" s="10"/>
      <c r="N10" s="14">
        <v>1.0</v>
      </c>
      <c r="O10" s="14" t="s">
        <v>20</v>
      </c>
      <c r="P10" s="34">
        <v>0.0</v>
      </c>
      <c r="Q10" s="34">
        <v>24024.01</v>
      </c>
      <c r="R10" s="34">
        <v>24024.01</v>
      </c>
    </row>
    <row r="11" ht="15.75" customHeight="1">
      <c r="A11" s="10"/>
      <c r="B11" s="14" t="s">
        <v>24</v>
      </c>
      <c r="C11" s="14" t="s">
        <v>18</v>
      </c>
      <c r="D11" s="14" t="s">
        <v>35</v>
      </c>
      <c r="E11" s="14" t="s">
        <v>16</v>
      </c>
      <c r="F11" s="14">
        <v>300.3001675</v>
      </c>
      <c r="G11" s="14">
        <v>80.0</v>
      </c>
      <c r="H11" s="14">
        <v>0.0</v>
      </c>
      <c r="I11" s="76">
        <v>43873.0</v>
      </c>
      <c r="J11" s="10"/>
      <c r="K11" s="10"/>
      <c r="L11" s="10"/>
      <c r="M11" s="10"/>
      <c r="N11" s="14">
        <v>1.0</v>
      </c>
      <c r="O11" s="14" t="s">
        <v>20</v>
      </c>
      <c r="P11" s="34">
        <v>0.0</v>
      </c>
      <c r="Q11" s="34">
        <v>24024.01</v>
      </c>
      <c r="R11" s="34">
        <v>24024.01</v>
      </c>
    </row>
    <row r="12" ht="15.75" customHeight="1">
      <c r="A12" s="10"/>
      <c r="B12" s="14" t="s">
        <v>24</v>
      </c>
      <c r="C12" s="14" t="s">
        <v>18</v>
      </c>
      <c r="D12" s="14" t="s">
        <v>25</v>
      </c>
      <c r="E12" s="14" t="s">
        <v>16</v>
      </c>
      <c r="F12" s="14">
        <v>187.6876046875</v>
      </c>
      <c r="G12" s="14">
        <v>80.0</v>
      </c>
      <c r="H12" s="14">
        <v>0.0</v>
      </c>
      <c r="I12" s="76">
        <v>43873.0</v>
      </c>
      <c r="J12" s="10"/>
      <c r="K12" s="10"/>
      <c r="L12" s="10"/>
      <c r="M12" s="10"/>
      <c r="N12" s="14">
        <v>1.0</v>
      </c>
      <c r="O12" s="14" t="s">
        <v>20</v>
      </c>
      <c r="P12" s="34">
        <v>300.0</v>
      </c>
      <c r="Q12" s="34">
        <v>15015.01</v>
      </c>
      <c r="R12" s="34">
        <v>15015.01</v>
      </c>
    </row>
    <row r="13" ht="15.75" customHeight="1">
      <c r="A13" s="10"/>
      <c r="B13" s="14" t="s">
        <v>70</v>
      </c>
      <c r="C13" s="14" t="s">
        <v>18</v>
      </c>
      <c r="D13" s="14" t="s">
        <v>25</v>
      </c>
      <c r="E13" s="14" t="s">
        <v>16</v>
      </c>
      <c r="F13" s="14">
        <v>341.250190340909</v>
      </c>
      <c r="G13" s="14">
        <v>26.4</v>
      </c>
      <c r="H13" s="14">
        <v>0.0</v>
      </c>
      <c r="I13" s="76">
        <v>43873.0</v>
      </c>
      <c r="J13" s="10"/>
      <c r="K13" s="10"/>
      <c r="L13" s="10"/>
      <c r="M13" s="10"/>
      <c r="N13" s="14">
        <v>1.0</v>
      </c>
      <c r="O13" s="14" t="s">
        <v>20</v>
      </c>
      <c r="P13" s="34">
        <v>341.25</v>
      </c>
      <c r="Q13" s="34">
        <v>9009.01</v>
      </c>
      <c r="R13" s="34">
        <v>9009.01</v>
      </c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VerifyAndApplyCorpAction!$4:$4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0"/>
      <c r="B3" s="5" t="s">
        <v>4</v>
      </c>
      <c r="C3" s="21" t="s">
        <v>28</v>
      </c>
      <c r="D3" s="5" t="s">
        <v>7</v>
      </c>
      <c r="E3" s="21" t="s">
        <v>29</v>
      </c>
      <c r="F3" s="5" t="s">
        <v>14</v>
      </c>
      <c r="G3" s="16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 ")</f>
        <v>Copy Date 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46">
        <v>43873.0</v>
      </c>
      <c r="C6" s="46">
        <v>43873.0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GetMarkPriceData2!$4:$4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0"/>
      <c r="B3" s="5" t="s">
        <v>4</v>
      </c>
      <c r="C3" s="21" t="s">
        <v>28</v>
      </c>
      <c r="D3" s="5" t="s">
        <v>7</v>
      </c>
      <c r="E3" s="21" t="s">
        <v>30</v>
      </c>
      <c r="F3" s="5" t="s">
        <v>14</v>
      </c>
      <c r="G3" s="16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IFERROR(__xludf.DUMMYFUNCTION("""COMPUTED_VALUE"""),"Price")</f>
        <v>Price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4"/>
      <c r="B6" s="14" t="s">
        <v>24</v>
      </c>
      <c r="C6" s="14">
        <v>315.0</v>
      </c>
      <c r="D6" s="14"/>
      <c r="E6" s="78"/>
      <c r="F6" s="10"/>
      <c r="G6" s="10"/>
      <c r="H6" s="10"/>
      <c r="I6" s="10"/>
      <c r="J6" s="10"/>
      <c r="K6" s="10"/>
      <c r="L6" s="10"/>
      <c r="M6" s="10"/>
      <c r="N6" s="10"/>
      <c r="O6" s="10"/>
    </row>
    <row r="7" ht="15.75" customHeight="1">
      <c r="A7" s="10"/>
      <c r="B7" s="14" t="s">
        <v>34</v>
      </c>
      <c r="C7" s="14">
        <v>1325.0</v>
      </c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14" t="s">
        <v>70</v>
      </c>
      <c r="C8" s="14">
        <v>170.0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0"/>
      <c r="B3" s="5" t="s">
        <v>4</v>
      </c>
      <c r="C3" s="21" t="s">
        <v>12</v>
      </c>
      <c r="D3" s="5" t="s">
        <v>7</v>
      </c>
      <c r="E3" s="21" t="s">
        <v>32</v>
      </c>
      <c r="F3" s="5" t="s">
        <v>14</v>
      </c>
      <c r="G3" s="16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IFERROR(__xludf.DUMMYFUNCTION("""COMPUTED_VALUE"""),"Balances as on date")</f>
        <v>Balances as on date</v>
      </c>
      <c r="E5" s="26" t="str">
        <f>IFERROR(__xludf.DUMMYFUNCTION("""COMPUTED_VALUE"""),"IsRunRevalOnGetAccountBalances")</f>
        <v>IsRunRevalOnGetAccountBalances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/>
      <c r="C6" s="31" t="s">
        <v>16</v>
      </c>
      <c r="D6" s="32">
        <v>43873.0</v>
      </c>
      <c r="E6" s="45" t="b">
        <v>1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GetAccountBalance2!$4:$4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0"/>
      <c r="B3" s="5" t="s">
        <v>4</v>
      </c>
      <c r="C3" s="21" t="s">
        <v>12</v>
      </c>
      <c r="D3" s="5" t="s">
        <v>7</v>
      </c>
      <c r="E3" s="21" t="s">
        <v>33</v>
      </c>
      <c r="F3" s="5" t="s">
        <v>14</v>
      </c>
      <c r="G3" s="16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/>
      <c r="C6" s="31" t="s">
        <v>16</v>
      </c>
      <c r="D6" s="32">
        <v>43871.0</v>
      </c>
      <c r="E6" s="32">
        <v>43873.0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GetRevaluationData2!$4:$4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0"/>
      <c r="B3" s="5" t="s">
        <v>4</v>
      </c>
      <c r="C3" s="21" t="s">
        <v>12</v>
      </c>
      <c r="D3" s="5" t="s">
        <v>7</v>
      </c>
      <c r="E3" s="21" t="s">
        <v>43</v>
      </c>
      <c r="F3" s="5" t="s">
        <v>14</v>
      </c>
      <c r="G3" s="16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IFERROR(__xludf.DUMMYFUNCTION("""COMPUTED_VALUE"""),"Account")</f>
        <v>Account</v>
      </c>
      <c r="D5" s="26" t="str">
        <f>IFERROR(__xludf.DUMMYFUNCTION("""COMPUTED_VALUE"""),"Symbol")</f>
        <v>Symbol</v>
      </c>
      <c r="E5" s="26" t="str">
        <f>IFERROR(__xludf.DUMMYFUNCTION("""COMPUTED_VALUE"""),"Currency")</f>
        <v>Currency</v>
      </c>
      <c r="F5" s="27" t="str">
        <f>IFERROR(__xludf.DUMMYFUNCTION("""COMPUTED_VALUE"""),"Cash Sub-Account")</f>
        <v>Cash Sub-Account</v>
      </c>
      <c r="G5" s="26" t="str">
        <f>IFERROR(__xludf.DUMMYFUNCTION("""COMPUTED_VALUE"""),"DR")</f>
        <v>DR</v>
      </c>
      <c r="H5" s="26" t="str">
        <f>IFERROR(__xludf.DUMMYFUNCTION("""COMPUTED_VALUE"""),"CR")</f>
        <v>CR</v>
      </c>
      <c r="I5" s="26" t="str">
        <f>IFERROR(__xludf.DUMMYFUNCTION("""COMPUTED_VALUE"""),"Modify Date")</f>
        <v>Modify Date</v>
      </c>
      <c r="J5" s="26" t="str">
        <f>IFERROR(__xludf.DUMMYFUNCTION("""COMPUTED_VALUE"""),"Entry Date")</f>
        <v>Entry Date</v>
      </c>
      <c r="K5" s="26" t="str">
        <f>IFERROR(__xludf.DUMMYFUNCTION("""COMPUTED_VALUE"""),"User")</f>
        <v>User</v>
      </c>
      <c r="L5" s="26" t="str">
        <f>IFERROR(__xludf.DUMMYFUNCTION("""COMPUTED_VALUE"""),"Fx Rate")</f>
        <v>Fx Rate</v>
      </c>
      <c r="M5" s="26" t="str">
        <f>IFERROR(__xludf.DUMMYFUNCTION("""COMPUTED_VALUE"""),"FX Conversion Method Operator")</f>
        <v>FX Conversion Method Operator</v>
      </c>
      <c r="N5" s="26" t="str">
        <f>IFERROR(__xludf.DUMMYFUNCTION("""COMPUTED_VALUE"""),"Account Side")</f>
        <v>Account Side</v>
      </c>
      <c r="O5" s="26" t="str">
        <f>IFERROR(__xludf.DUMMYFUNCTION("""COMPUTED_VALUE"""),"TransactionSource")</f>
        <v>TransactionSource</v>
      </c>
      <c r="P5" s="26" t="str">
        <f>IFERROR(__xludf.DUMMYFUNCTION("""COMPUTED_VALUE"""),"Base Currency")</f>
        <v>Base Currency</v>
      </c>
      <c r="Q5" s="26" t="str">
        <f>IFERROR(__xludf.DUMMYFUNCTION("""COMPUTED_VALUE"""),"Description")</f>
        <v>Description</v>
      </c>
      <c r="R5" s="26" t="str">
        <f>IFERROR(__xludf.DUMMYFUNCTION("""COMPUTED_VALUE"""),"DR (Base)")</f>
        <v>DR (Base)</v>
      </c>
      <c r="S5" s="26" t="str">
        <f>IFERROR(__xludf.DUMMYFUNCTION("""COMPUTED_VALUE"""),"CR (Base)")</f>
        <v>CR (Base)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4"/>
      <c r="B6" s="79">
        <v>43872.0</v>
      </c>
      <c r="C6" s="50" t="s">
        <v>16</v>
      </c>
      <c r="D6" s="50" t="s">
        <v>24</v>
      </c>
      <c r="E6" s="50" t="s">
        <v>18</v>
      </c>
      <c r="F6" s="50" t="s">
        <v>50</v>
      </c>
      <c r="G6" s="51">
        <v>26.59</v>
      </c>
      <c r="H6" s="52">
        <v>0.0</v>
      </c>
      <c r="I6" s="10"/>
      <c r="J6" s="10"/>
      <c r="K6" s="10"/>
      <c r="L6" s="51">
        <v>1.0</v>
      </c>
      <c r="M6" s="50" t="s">
        <v>20</v>
      </c>
      <c r="N6" s="50" t="s">
        <v>45</v>
      </c>
      <c r="O6" s="50" t="s">
        <v>46</v>
      </c>
      <c r="P6" s="50" t="s">
        <v>18</v>
      </c>
      <c r="Q6" s="50" t="s">
        <v>51</v>
      </c>
      <c r="R6" s="51">
        <v>26.59</v>
      </c>
      <c r="S6" s="51">
        <v>0.0</v>
      </c>
    </row>
    <row r="7" ht="15.75" customHeight="1">
      <c r="A7" s="10"/>
      <c r="B7" s="79">
        <v>43872.0</v>
      </c>
      <c r="C7" s="50" t="s">
        <v>16</v>
      </c>
      <c r="D7" s="50" t="s">
        <v>24</v>
      </c>
      <c r="E7" s="50" t="s">
        <v>18</v>
      </c>
      <c r="F7" s="53" t="s">
        <v>52</v>
      </c>
      <c r="G7" s="54">
        <v>0.0</v>
      </c>
      <c r="H7" s="55">
        <v>26.59</v>
      </c>
      <c r="I7" s="10"/>
      <c r="J7" s="10"/>
      <c r="K7" s="10"/>
      <c r="L7" s="55">
        <v>1.0</v>
      </c>
      <c r="M7" s="53" t="s">
        <v>20</v>
      </c>
      <c r="N7" s="53" t="s">
        <v>49</v>
      </c>
      <c r="O7" s="53" t="s">
        <v>46</v>
      </c>
      <c r="P7" s="53" t="s">
        <v>18</v>
      </c>
      <c r="Q7" s="50" t="s">
        <v>51</v>
      </c>
      <c r="R7" s="55">
        <v>0.0</v>
      </c>
      <c r="S7" s="55">
        <v>26.59</v>
      </c>
    </row>
    <row r="8" ht="15.75" customHeight="1">
      <c r="A8" s="10"/>
      <c r="B8" s="79">
        <v>43872.0</v>
      </c>
      <c r="C8" s="50" t="s">
        <v>16</v>
      </c>
      <c r="D8" s="50" t="s">
        <v>24</v>
      </c>
      <c r="E8" s="50" t="s">
        <v>18</v>
      </c>
      <c r="F8" s="50" t="s">
        <v>44</v>
      </c>
      <c r="G8" s="51">
        <v>1264.55</v>
      </c>
      <c r="H8" s="52">
        <v>0.0</v>
      </c>
      <c r="I8" s="10"/>
      <c r="J8" s="10"/>
      <c r="K8" s="10"/>
      <c r="L8" s="51">
        <v>1.0</v>
      </c>
      <c r="M8" s="50" t="s">
        <v>20</v>
      </c>
      <c r="N8" s="50" t="s">
        <v>45</v>
      </c>
      <c r="O8" s="50" t="s">
        <v>46</v>
      </c>
      <c r="P8" s="50" t="s">
        <v>18</v>
      </c>
      <c r="Q8" s="50" t="s">
        <v>47</v>
      </c>
      <c r="R8" s="51">
        <v>1264.55</v>
      </c>
      <c r="S8" s="51">
        <v>0.0</v>
      </c>
    </row>
    <row r="9" ht="15.75" customHeight="1">
      <c r="A9" s="10"/>
      <c r="B9" s="79">
        <v>43872.0</v>
      </c>
      <c r="C9" s="50" t="s">
        <v>16</v>
      </c>
      <c r="D9" s="50" t="s">
        <v>24</v>
      </c>
      <c r="E9" s="50" t="s">
        <v>18</v>
      </c>
      <c r="F9" s="53" t="s">
        <v>48</v>
      </c>
      <c r="G9" s="54">
        <v>0.0</v>
      </c>
      <c r="H9" s="55">
        <v>1264.55</v>
      </c>
      <c r="I9" s="10"/>
      <c r="J9" s="10"/>
      <c r="K9" s="10"/>
      <c r="L9" s="55">
        <v>1.0</v>
      </c>
      <c r="M9" s="53" t="s">
        <v>20</v>
      </c>
      <c r="N9" s="53" t="s">
        <v>49</v>
      </c>
      <c r="O9" s="53" t="s">
        <v>46</v>
      </c>
      <c r="P9" s="53" t="s">
        <v>18</v>
      </c>
      <c r="Q9" s="50" t="s">
        <v>47</v>
      </c>
      <c r="R9" s="55">
        <v>0.0</v>
      </c>
      <c r="S9" s="55">
        <v>1264.55</v>
      </c>
    </row>
    <row r="10" ht="15.75" customHeight="1">
      <c r="A10" s="10"/>
      <c r="B10" s="79">
        <v>43872.0</v>
      </c>
      <c r="C10" s="50" t="s">
        <v>16</v>
      </c>
      <c r="D10" s="50" t="s">
        <v>34</v>
      </c>
      <c r="E10" s="50" t="s">
        <v>18</v>
      </c>
      <c r="F10" s="50" t="s">
        <v>44</v>
      </c>
      <c r="G10" s="51">
        <v>475.93</v>
      </c>
      <c r="H10" s="52">
        <v>0.0</v>
      </c>
      <c r="I10" s="10"/>
      <c r="J10" s="10"/>
      <c r="K10" s="10"/>
      <c r="L10" s="51">
        <v>1.0</v>
      </c>
      <c r="M10" s="50" t="s">
        <v>20</v>
      </c>
      <c r="N10" s="50" t="s">
        <v>45</v>
      </c>
      <c r="O10" s="50" t="s">
        <v>46</v>
      </c>
      <c r="P10" s="50" t="s">
        <v>18</v>
      </c>
      <c r="Q10" s="50" t="s">
        <v>47</v>
      </c>
      <c r="R10" s="51">
        <v>475.93</v>
      </c>
      <c r="S10" s="51">
        <v>0.0</v>
      </c>
    </row>
    <row r="11" ht="15.75" customHeight="1">
      <c r="A11" s="10"/>
      <c r="B11" s="79">
        <v>43872.0</v>
      </c>
      <c r="C11" s="50" t="s">
        <v>16</v>
      </c>
      <c r="D11" s="50" t="s">
        <v>34</v>
      </c>
      <c r="E11" s="50" t="s">
        <v>18</v>
      </c>
      <c r="F11" s="53" t="s">
        <v>48</v>
      </c>
      <c r="G11" s="54">
        <v>0.0</v>
      </c>
      <c r="H11" s="55">
        <v>475.93</v>
      </c>
      <c r="I11" s="10"/>
      <c r="J11" s="10"/>
      <c r="K11" s="10"/>
      <c r="L11" s="55">
        <v>1.0</v>
      </c>
      <c r="M11" s="53" t="s">
        <v>20</v>
      </c>
      <c r="N11" s="53" t="s">
        <v>49</v>
      </c>
      <c r="O11" s="53" t="s">
        <v>46</v>
      </c>
      <c r="P11" s="53" t="s">
        <v>18</v>
      </c>
      <c r="Q11" s="50" t="s">
        <v>47</v>
      </c>
      <c r="R11" s="55">
        <v>0.0</v>
      </c>
      <c r="S11" s="55">
        <v>475.93</v>
      </c>
    </row>
    <row r="12" ht="15.75" customHeight="1">
      <c r="A12" s="10"/>
      <c r="B12" s="79">
        <v>43872.0</v>
      </c>
      <c r="C12" s="50" t="s">
        <v>16</v>
      </c>
      <c r="D12" s="50" t="s">
        <v>24</v>
      </c>
      <c r="E12" s="50" t="s">
        <v>18</v>
      </c>
      <c r="F12" s="50" t="s">
        <v>48</v>
      </c>
      <c r="G12" s="51">
        <v>500.98</v>
      </c>
      <c r="H12" s="52">
        <v>0.0</v>
      </c>
      <c r="I12" s="10"/>
      <c r="J12" s="10"/>
      <c r="K12" s="10"/>
      <c r="L12" s="51">
        <v>1.0</v>
      </c>
      <c r="M12" s="50" t="s">
        <v>20</v>
      </c>
      <c r="N12" s="50" t="s">
        <v>45</v>
      </c>
      <c r="O12" s="50" t="s">
        <v>46</v>
      </c>
      <c r="P12" s="50" t="s">
        <v>18</v>
      </c>
      <c r="Q12" s="50" t="s">
        <v>53</v>
      </c>
      <c r="R12" s="51">
        <v>500.98</v>
      </c>
      <c r="S12" s="51">
        <v>0.0</v>
      </c>
    </row>
    <row r="13" ht="15.75" customHeight="1">
      <c r="A13" s="10"/>
      <c r="B13" s="79">
        <v>43872.0</v>
      </c>
      <c r="C13" s="50" t="s">
        <v>16</v>
      </c>
      <c r="D13" s="50" t="s">
        <v>24</v>
      </c>
      <c r="E13" s="50" t="s">
        <v>18</v>
      </c>
      <c r="F13" s="53" t="s">
        <v>44</v>
      </c>
      <c r="G13" s="54">
        <v>0.0</v>
      </c>
      <c r="H13" s="55">
        <v>500.98</v>
      </c>
      <c r="I13" s="10"/>
      <c r="J13" s="10"/>
      <c r="K13" s="10"/>
      <c r="L13" s="55">
        <v>1.0</v>
      </c>
      <c r="M13" s="53" t="s">
        <v>20</v>
      </c>
      <c r="N13" s="53" t="s">
        <v>49</v>
      </c>
      <c r="O13" s="53" t="s">
        <v>46</v>
      </c>
      <c r="P13" s="53" t="s">
        <v>18</v>
      </c>
      <c r="Q13" s="50" t="s">
        <v>53</v>
      </c>
      <c r="R13" s="55">
        <v>0.0</v>
      </c>
      <c r="S13" s="55">
        <v>500.98</v>
      </c>
    </row>
    <row r="14" ht="15.75" customHeight="1">
      <c r="A14" s="10"/>
      <c r="B14" s="79">
        <v>43873.0</v>
      </c>
      <c r="C14" s="50" t="s">
        <v>16</v>
      </c>
      <c r="D14" s="50" t="s">
        <v>24</v>
      </c>
      <c r="E14" s="50" t="s">
        <v>18</v>
      </c>
      <c r="F14" s="50" t="s">
        <v>44</v>
      </c>
      <c r="G14" s="51">
        <v>16552.84</v>
      </c>
      <c r="H14" s="52">
        <v>0.0</v>
      </c>
      <c r="I14" s="10"/>
      <c r="J14" s="10"/>
      <c r="K14" s="10"/>
      <c r="L14" s="51">
        <v>1.0</v>
      </c>
      <c r="M14" s="50" t="s">
        <v>20</v>
      </c>
      <c r="N14" s="50" t="s">
        <v>45</v>
      </c>
      <c r="O14" s="50" t="s">
        <v>46</v>
      </c>
      <c r="P14" s="50" t="s">
        <v>18</v>
      </c>
      <c r="Q14" s="50" t="s">
        <v>47</v>
      </c>
      <c r="R14" s="51">
        <v>16552.84</v>
      </c>
      <c r="S14" s="51">
        <v>0.0</v>
      </c>
    </row>
    <row r="15" ht="15.75" customHeight="1">
      <c r="A15" s="10"/>
      <c r="B15" s="79">
        <v>43873.0</v>
      </c>
      <c r="C15" s="50" t="s">
        <v>16</v>
      </c>
      <c r="D15" s="50" t="s">
        <v>24</v>
      </c>
      <c r="E15" s="50" t="s">
        <v>18</v>
      </c>
      <c r="F15" s="53" t="s">
        <v>48</v>
      </c>
      <c r="G15" s="54">
        <v>0.0</v>
      </c>
      <c r="H15" s="55">
        <v>16552.84</v>
      </c>
      <c r="I15" s="10"/>
      <c r="J15" s="10"/>
      <c r="K15" s="10"/>
      <c r="L15" s="55">
        <v>1.0</v>
      </c>
      <c r="M15" s="53" t="s">
        <v>20</v>
      </c>
      <c r="N15" s="53" t="s">
        <v>49</v>
      </c>
      <c r="O15" s="53" t="s">
        <v>46</v>
      </c>
      <c r="P15" s="53" t="s">
        <v>18</v>
      </c>
      <c r="Q15" s="50" t="s">
        <v>47</v>
      </c>
      <c r="R15" s="55">
        <v>0.0</v>
      </c>
      <c r="S15" s="55">
        <v>16552.84</v>
      </c>
    </row>
    <row r="16" ht="15.75" customHeight="1">
      <c r="A16" s="10"/>
      <c r="B16" s="79">
        <v>43873.0</v>
      </c>
      <c r="C16" s="50" t="s">
        <v>16</v>
      </c>
      <c r="D16" s="50" t="s">
        <v>34</v>
      </c>
      <c r="E16" s="50" t="s">
        <v>18</v>
      </c>
      <c r="F16" s="50" t="s">
        <v>44</v>
      </c>
      <c r="G16" s="51">
        <v>975.93</v>
      </c>
      <c r="H16" s="52">
        <v>0.0</v>
      </c>
      <c r="I16" s="10"/>
      <c r="J16" s="10"/>
      <c r="K16" s="10"/>
      <c r="L16" s="51">
        <v>1.0</v>
      </c>
      <c r="M16" s="50" t="s">
        <v>20</v>
      </c>
      <c r="N16" s="50" t="s">
        <v>45</v>
      </c>
      <c r="O16" s="50" t="s">
        <v>46</v>
      </c>
      <c r="P16" s="50" t="s">
        <v>18</v>
      </c>
      <c r="Q16" s="50" t="s">
        <v>47</v>
      </c>
      <c r="R16" s="51">
        <v>975.93</v>
      </c>
      <c r="S16" s="51">
        <v>0.0</v>
      </c>
    </row>
    <row r="17" ht="15.75" customHeight="1">
      <c r="A17" s="10"/>
      <c r="B17" s="79">
        <v>43873.0</v>
      </c>
      <c r="C17" s="50" t="s">
        <v>16</v>
      </c>
      <c r="D17" s="50" t="s">
        <v>34</v>
      </c>
      <c r="E17" s="50" t="s">
        <v>18</v>
      </c>
      <c r="F17" s="53" t="s">
        <v>48</v>
      </c>
      <c r="G17" s="54">
        <v>0.0</v>
      </c>
      <c r="H17" s="55">
        <v>975.93</v>
      </c>
      <c r="I17" s="10"/>
      <c r="J17" s="10"/>
      <c r="K17" s="10"/>
      <c r="L17" s="55">
        <v>1.0</v>
      </c>
      <c r="M17" s="53" t="s">
        <v>20</v>
      </c>
      <c r="N17" s="53" t="s">
        <v>49</v>
      </c>
      <c r="O17" s="53" t="s">
        <v>46</v>
      </c>
      <c r="P17" s="53" t="s">
        <v>18</v>
      </c>
      <c r="Q17" s="50" t="s">
        <v>47</v>
      </c>
      <c r="R17" s="55">
        <v>0.0</v>
      </c>
      <c r="S17" s="55">
        <v>975.93</v>
      </c>
    </row>
    <row r="18" ht="15.75" customHeight="1">
      <c r="A18" s="10"/>
      <c r="B18" s="79">
        <v>43873.0</v>
      </c>
      <c r="C18" s="50" t="s">
        <v>16</v>
      </c>
      <c r="D18" s="50" t="s">
        <v>70</v>
      </c>
      <c r="E18" s="50" t="s">
        <v>18</v>
      </c>
      <c r="F18" s="50" t="s">
        <v>48</v>
      </c>
      <c r="G18" s="51">
        <v>7345.3</v>
      </c>
      <c r="H18" s="52">
        <v>0.0</v>
      </c>
      <c r="I18" s="10"/>
      <c r="J18" s="10"/>
      <c r="K18" s="10"/>
      <c r="L18" s="51">
        <v>1.0</v>
      </c>
      <c r="M18" s="50" t="s">
        <v>20</v>
      </c>
      <c r="N18" s="50" t="s">
        <v>45</v>
      </c>
      <c r="O18" s="50" t="s">
        <v>46</v>
      </c>
      <c r="P18" s="50" t="s">
        <v>18</v>
      </c>
      <c r="Q18" s="50" t="s">
        <v>47</v>
      </c>
      <c r="R18" s="51">
        <v>7345.3</v>
      </c>
      <c r="S18" s="51">
        <v>0.0</v>
      </c>
    </row>
    <row r="19" ht="15.75" customHeight="1">
      <c r="A19" s="10"/>
      <c r="B19" s="79">
        <v>43873.0</v>
      </c>
      <c r="C19" s="50" t="s">
        <v>16</v>
      </c>
      <c r="D19" s="50" t="s">
        <v>70</v>
      </c>
      <c r="E19" s="50" t="s">
        <v>18</v>
      </c>
      <c r="F19" s="53" t="s">
        <v>44</v>
      </c>
      <c r="G19" s="54">
        <v>0.0</v>
      </c>
      <c r="H19" s="55">
        <v>7345.3</v>
      </c>
      <c r="I19" s="10"/>
      <c r="J19" s="10"/>
      <c r="K19" s="10"/>
      <c r="L19" s="55">
        <v>1.0</v>
      </c>
      <c r="M19" s="53" t="s">
        <v>20</v>
      </c>
      <c r="N19" s="53" t="s">
        <v>49</v>
      </c>
      <c r="O19" s="53" t="s">
        <v>46</v>
      </c>
      <c r="P19" s="53" t="s">
        <v>18</v>
      </c>
      <c r="Q19" s="50" t="s">
        <v>47</v>
      </c>
      <c r="R19" s="55">
        <v>0.0</v>
      </c>
      <c r="S19" s="55">
        <v>7345.3</v>
      </c>
    </row>
    <row r="20" ht="15.75" customHeight="1">
      <c r="A20" s="10"/>
      <c r="B20" s="79">
        <v>43873.0</v>
      </c>
      <c r="C20" s="50" t="s">
        <v>16</v>
      </c>
      <c r="D20" s="50" t="s">
        <v>24</v>
      </c>
      <c r="E20" s="50" t="s">
        <v>18</v>
      </c>
      <c r="F20" s="50" t="s">
        <v>48</v>
      </c>
      <c r="G20" s="51">
        <v>1264.55</v>
      </c>
      <c r="H20" s="52">
        <v>0.0</v>
      </c>
      <c r="I20" s="10"/>
      <c r="J20" s="10"/>
      <c r="K20" s="10"/>
      <c r="L20" s="51">
        <v>1.0</v>
      </c>
      <c r="M20" s="50" t="s">
        <v>20</v>
      </c>
      <c r="N20" s="50" t="s">
        <v>45</v>
      </c>
      <c r="O20" s="50" t="s">
        <v>46</v>
      </c>
      <c r="P20" s="50" t="s">
        <v>18</v>
      </c>
      <c r="Q20" s="50" t="s">
        <v>53</v>
      </c>
      <c r="R20" s="51">
        <v>1264.55</v>
      </c>
      <c r="S20" s="51">
        <v>0.0</v>
      </c>
    </row>
    <row r="21" ht="15.75" customHeight="1">
      <c r="A21" s="10"/>
      <c r="B21" s="79">
        <v>43873.0</v>
      </c>
      <c r="C21" s="50" t="s">
        <v>16</v>
      </c>
      <c r="D21" s="50" t="s">
        <v>24</v>
      </c>
      <c r="E21" s="50" t="s">
        <v>18</v>
      </c>
      <c r="F21" s="53" t="s">
        <v>44</v>
      </c>
      <c r="G21" s="54">
        <v>0.0</v>
      </c>
      <c r="H21" s="55">
        <v>1264.55</v>
      </c>
      <c r="I21" s="10"/>
      <c r="J21" s="10"/>
      <c r="K21" s="10"/>
      <c r="L21" s="55">
        <v>1.0</v>
      </c>
      <c r="M21" s="53" t="s">
        <v>20</v>
      </c>
      <c r="N21" s="53" t="s">
        <v>49</v>
      </c>
      <c r="O21" s="53" t="s">
        <v>46</v>
      </c>
      <c r="P21" s="53" t="s">
        <v>18</v>
      </c>
      <c r="Q21" s="50" t="s">
        <v>53</v>
      </c>
      <c r="R21" s="55">
        <v>0.0</v>
      </c>
      <c r="S21" s="55">
        <v>1264.55</v>
      </c>
    </row>
    <row r="22" ht="15.75" customHeight="1">
      <c r="A22" s="10"/>
      <c r="B22" s="56">
        <v>43873.0</v>
      </c>
      <c r="C22" s="50" t="s">
        <v>16</v>
      </c>
      <c r="D22" s="50" t="s">
        <v>34</v>
      </c>
      <c r="E22" s="50" t="s">
        <v>18</v>
      </c>
      <c r="F22" s="50" t="s">
        <v>48</v>
      </c>
      <c r="G22" s="51">
        <v>475.93</v>
      </c>
      <c r="H22" s="52">
        <v>0.0</v>
      </c>
      <c r="I22" s="10"/>
      <c r="J22" s="10"/>
      <c r="K22" s="10"/>
      <c r="L22" s="51">
        <v>1.0</v>
      </c>
      <c r="M22" s="50" t="s">
        <v>20</v>
      </c>
      <c r="N22" s="50" t="s">
        <v>45</v>
      </c>
      <c r="O22" s="50" t="s">
        <v>46</v>
      </c>
      <c r="P22" s="50" t="s">
        <v>18</v>
      </c>
      <c r="Q22" s="50" t="s">
        <v>53</v>
      </c>
      <c r="R22" s="51">
        <v>475.93</v>
      </c>
      <c r="S22" s="51">
        <v>0.0</v>
      </c>
    </row>
    <row r="23" ht="15.75" customHeight="1">
      <c r="A23" s="10"/>
      <c r="B23" s="79">
        <v>43873.0</v>
      </c>
      <c r="C23" s="50" t="s">
        <v>16</v>
      </c>
      <c r="D23" s="50" t="s">
        <v>34</v>
      </c>
      <c r="E23" s="50" t="s">
        <v>18</v>
      </c>
      <c r="F23" s="53" t="s">
        <v>44</v>
      </c>
      <c r="G23" s="54">
        <v>0.0</v>
      </c>
      <c r="H23" s="55">
        <v>475.93</v>
      </c>
      <c r="I23" s="10"/>
      <c r="J23" s="10"/>
      <c r="K23" s="10"/>
      <c r="L23" s="55">
        <v>1.0</v>
      </c>
      <c r="M23" s="53" t="s">
        <v>20</v>
      </c>
      <c r="N23" s="53" t="s">
        <v>49</v>
      </c>
      <c r="O23" s="53" t="s">
        <v>46</v>
      </c>
      <c r="P23" s="53" t="s">
        <v>18</v>
      </c>
      <c r="Q23" s="50" t="s">
        <v>53</v>
      </c>
      <c r="R23" s="55">
        <v>0.0</v>
      </c>
      <c r="S23" s="55">
        <v>475.93</v>
      </c>
    </row>
    <row r="24" ht="15.75" customHeight="1">
      <c r="A24" s="10"/>
      <c r="B24" s="79">
        <v>43871.0</v>
      </c>
      <c r="C24" s="50" t="s">
        <v>16</v>
      </c>
      <c r="D24" s="50" t="s">
        <v>24</v>
      </c>
      <c r="E24" s="50" t="s">
        <v>18</v>
      </c>
      <c r="F24" s="50" t="s">
        <v>44</v>
      </c>
      <c r="G24" s="51">
        <v>500.98</v>
      </c>
      <c r="H24" s="52">
        <v>0.0</v>
      </c>
      <c r="I24" s="10"/>
      <c r="J24" s="10"/>
      <c r="K24" s="10"/>
      <c r="L24" s="51">
        <v>1.0</v>
      </c>
      <c r="M24" s="50" t="s">
        <v>20</v>
      </c>
      <c r="N24" s="50" t="s">
        <v>45</v>
      </c>
      <c r="O24" s="50" t="s">
        <v>46</v>
      </c>
      <c r="P24" s="50" t="s">
        <v>18</v>
      </c>
      <c r="Q24" s="50" t="s">
        <v>47</v>
      </c>
      <c r="R24" s="51">
        <v>500.98</v>
      </c>
      <c r="S24" s="51">
        <v>0.0</v>
      </c>
    </row>
    <row r="25" ht="15.75" customHeight="1">
      <c r="A25" s="10"/>
      <c r="B25" s="56">
        <v>43871.0</v>
      </c>
      <c r="C25" s="50" t="s">
        <v>16</v>
      </c>
      <c r="D25" s="50" t="s">
        <v>24</v>
      </c>
      <c r="E25" s="50" t="s">
        <v>18</v>
      </c>
      <c r="F25" s="53" t="s">
        <v>48</v>
      </c>
      <c r="G25" s="54">
        <v>0.0</v>
      </c>
      <c r="H25" s="55">
        <v>500.98</v>
      </c>
      <c r="I25" s="10"/>
      <c r="J25" s="10"/>
      <c r="K25" s="10"/>
      <c r="L25" s="55">
        <v>1.0</v>
      </c>
      <c r="M25" s="53" t="s">
        <v>20</v>
      </c>
      <c r="N25" s="53" t="s">
        <v>49</v>
      </c>
      <c r="O25" s="53" t="s">
        <v>46</v>
      </c>
      <c r="P25" s="53" t="s">
        <v>18</v>
      </c>
      <c r="Q25" s="50" t="s">
        <v>47</v>
      </c>
      <c r="R25" s="55">
        <v>0.0</v>
      </c>
      <c r="S25" s="55">
        <v>500.98</v>
      </c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VerifyRevaluationData1!$4:$4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0"/>
      <c r="B3" s="5" t="s">
        <v>4</v>
      </c>
      <c r="C3" s="21" t="s">
        <v>12</v>
      </c>
      <c r="D3" s="5" t="s">
        <v>7</v>
      </c>
      <c r="E3" s="21" t="s">
        <v>54</v>
      </c>
      <c r="F3" s="5" t="s">
        <v>14</v>
      </c>
      <c r="G3" s="16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IFERROR(__xludf.DUMMYFUNCTION("""COMPUTED_VALUE"""),"Modify Date")</f>
        <v>Modify Date</v>
      </c>
      <c r="D5" s="26" t="str">
        <f>IFERROR(__xludf.DUMMYFUNCTION("""COMPUTED_VALUE"""),"Entry Date")</f>
        <v>Entry Date</v>
      </c>
      <c r="E5" s="26" t="str">
        <f>IFERROR(__xludf.DUMMYFUNCTION("""COMPUTED_VALUE"""),"DR")</f>
        <v>DR</v>
      </c>
      <c r="F5" s="27" t="str">
        <f>IFERROR(__xludf.DUMMYFUNCTION("""COMPUTED_VALUE"""),"CR")</f>
        <v>CR</v>
      </c>
      <c r="G5" s="26" t="str">
        <f>IFERROR(__xludf.DUMMYFUNCTION("""COMPUTED_VALUE"""),"Fx Rate")</f>
        <v>Fx Rate</v>
      </c>
      <c r="H5" s="26" t="str">
        <f>IFERROR(__xludf.DUMMYFUNCTION("""COMPUTED_VALUE"""),"FX Conversion Method Operator")</f>
        <v>FX Conversion Method Operator</v>
      </c>
      <c r="I5" s="26" t="str">
        <f>IFERROR(__xludf.DUMMYFUNCTION("""COMPUTED_VALUE"""),"Account Side")</f>
        <v>Account Side</v>
      </c>
      <c r="J5" s="26" t="str">
        <f>IFERROR(__xludf.DUMMYFUNCTION("""COMPUTED_VALUE"""),"TransactionSource")</f>
        <v>TransactionSource</v>
      </c>
      <c r="K5" s="26" t="str">
        <f>IFERROR(__xludf.DUMMYFUNCTION("""COMPUTED_VALUE"""),"Currency")</f>
        <v>Currency</v>
      </c>
      <c r="L5" s="26" t="str">
        <f>IFERROR(__xludf.DUMMYFUNCTION("""COMPUTED_VALUE"""),"Base Currency")</f>
        <v>Base Currency</v>
      </c>
      <c r="M5" s="26" t="str">
        <f>IFERROR(__xludf.DUMMYFUNCTION("""COMPUTED_VALUE"""),"Symbol")</f>
        <v>Symbol</v>
      </c>
      <c r="N5" s="26" t="str">
        <f>IFERROR(__xludf.DUMMYFUNCTION("""COMPUTED_VALUE"""),"Description")</f>
        <v>Description</v>
      </c>
      <c r="O5" s="26" t="str">
        <f>IFERROR(__xludf.DUMMYFUNCTION("""COMPUTED_VALUE"""),"DR (Base)")</f>
        <v>DR (Base)</v>
      </c>
      <c r="P5" s="26" t="str">
        <f>IFERROR(__xludf.DUMMYFUNCTION("""COMPUTED_VALUE"""),"CR (Base)")</f>
        <v>CR (Base)</v>
      </c>
      <c r="Q5" s="26" t="str">
        <f>IFERROR(__xludf.DUMMYFUNCTION("""COMPUTED_VALUE"""),"Cash Sub-Account")</f>
        <v>Cash Sub-Account</v>
      </c>
      <c r="R5" s="26" t="str">
        <f>IFERROR(__xludf.DUMMYFUNCTION("""COMPUTED_VALUE"""),"Account")</f>
        <v>Account</v>
      </c>
      <c r="S5" s="26" t="str">
        <f>IFERROR(__xludf.DUMMYFUNCTION("""COMPUTED_VALUE"""),"TaxLotId")</f>
        <v>TaxLotId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4"/>
      <c r="B6" s="56">
        <v>43871.0</v>
      </c>
      <c r="C6" s="10"/>
      <c r="D6" s="14"/>
      <c r="E6" s="57">
        <v>31524.02</v>
      </c>
      <c r="F6" s="52">
        <v>0.0</v>
      </c>
      <c r="G6" s="51">
        <v>1.0</v>
      </c>
      <c r="H6" s="50" t="s">
        <v>20</v>
      </c>
      <c r="I6" s="50" t="s">
        <v>45</v>
      </c>
      <c r="J6" s="50" t="s">
        <v>57</v>
      </c>
      <c r="K6" s="50" t="s">
        <v>18</v>
      </c>
      <c r="L6" s="50" t="s">
        <v>18</v>
      </c>
      <c r="M6" s="50" t="s">
        <v>24</v>
      </c>
      <c r="N6" s="10"/>
      <c r="O6" s="57">
        <v>31524.02</v>
      </c>
      <c r="P6" s="51">
        <v>0.0</v>
      </c>
      <c r="Q6" s="50" t="s">
        <v>52</v>
      </c>
      <c r="R6" s="50" t="s">
        <v>16</v>
      </c>
    </row>
    <row r="7" ht="15.75" customHeight="1">
      <c r="A7" s="10"/>
      <c r="B7" s="56">
        <v>43871.0</v>
      </c>
      <c r="C7" s="10"/>
      <c r="D7" s="10"/>
      <c r="E7" s="54">
        <v>0.0</v>
      </c>
      <c r="F7" s="58">
        <v>31524.02</v>
      </c>
      <c r="G7" s="55">
        <v>1.0</v>
      </c>
      <c r="H7" s="53" t="s">
        <v>20</v>
      </c>
      <c r="I7" s="53" t="s">
        <v>49</v>
      </c>
      <c r="J7" s="53" t="s">
        <v>57</v>
      </c>
      <c r="K7" s="50" t="s">
        <v>18</v>
      </c>
      <c r="L7" s="53" t="s">
        <v>18</v>
      </c>
      <c r="M7" s="50" t="s">
        <v>24</v>
      </c>
      <c r="N7" s="10"/>
      <c r="O7" s="55">
        <v>0.0</v>
      </c>
      <c r="P7" s="57">
        <v>31524.02</v>
      </c>
      <c r="Q7" s="53" t="s">
        <v>19</v>
      </c>
      <c r="R7" s="50" t="s">
        <v>16</v>
      </c>
    </row>
    <row r="8" ht="15.75" customHeight="1">
      <c r="A8" s="10"/>
      <c r="B8" s="56">
        <v>43872.0</v>
      </c>
      <c r="C8" s="10"/>
      <c r="D8" s="10"/>
      <c r="E8" s="57">
        <v>24024.01</v>
      </c>
      <c r="F8" s="52">
        <v>0.0</v>
      </c>
      <c r="G8" s="51">
        <v>1.0</v>
      </c>
      <c r="H8" s="50" t="s">
        <v>20</v>
      </c>
      <c r="I8" s="50" t="s">
        <v>45</v>
      </c>
      <c r="J8" s="50" t="s">
        <v>57</v>
      </c>
      <c r="K8" s="50" t="s">
        <v>18</v>
      </c>
      <c r="L8" s="50" t="s">
        <v>18</v>
      </c>
      <c r="M8" s="50" t="s">
        <v>24</v>
      </c>
      <c r="N8" s="10"/>
      <c r="O8" s="57">
        <v>24024.01</v>
      </c>
      <c r="P8" s="51">
        <v>0.0</v>
      </c>
      <c r="Q8" s="50" t="s">
        <v>52</v>
      </c>
      <c r="R8" s="50" t="s">
        <v>16</v>
      </c>
    </row>
    <row r="9" ht="15.75" customHeight="1">
      <c r="A9" s="10"/>
      <c r="B9" s="56">
        <v>43872.0</v>
      </c>
      <c r="C9" s="10"/>
      <c r="D9" s="10"/>
      <c r="E9" s="54">
        <v>0.0</v>
      </c>
      <c r="F9" s="58">
        <v>24024.01</v>
      </c>
      <c r="G9" s="55">
        <v>1.0</v>
      </c>
      <c r="H9" s="53" t="s">
        <v>20</v>
      </c>
      <c r="I9" s="53" t="s">
        <v>49</v>
      </c>
      <c r="J9" s="53" t="s">
        <v>57</v>
      </c>
      <c r="K9" s="50" t="s">
        <v>18</v>
      </c>
      <c r="L9" s="53" t="s">
        <v>18</v>
      </c>
      <c r="M9" s="50" t="s">
        <v>24</v>
      </c>
      <c r="N9" s="10"/>
      <c r="O9" s="55">
        <v>0.0</v>
      </c>
      <c r="P9" s="57">
        <v>24024.01</v>
      </c>
      <c r="Q9" s="53" t="s">
        <v>19</v>
      </c>
      <c r="R9" s="50" t="s">
        <v>16</v>
      </c>
    </row>
    <row r="10" ht="15.75" customHeight="1">
      <c r="A10" s="10"/>
      <c r="B10" s="56">
        <v>43872.0</v>
      </c>
      <c r="C10" s="10"/>
      <c r="D10" s="10"/>
      <c r="E10" s="57">
        <v>131524.07</v>
      </c>
      <c r="F10" s="52">
        <v>0.0</v>
      </c>
      <c r="G10" s="51">
        <v>1.0</v>
      </c>
      <c r="H10" s="50" t="s">
        <v>20</v>
      </c>
      <c r="I10" s="50" t="s">
        <v>45</v>
      </c>
      <c r="J10" s="50" t="s">
        <v>57</v>
      </c>
      <c r="K10" s="50" t="s">
        <v>18</v>
      </c>
      <c r="L10" s="50" t="s">
        <v>18</v>
      </c>
      <c r="M10" s="50" t="s">
        <v>34</v>
      </c>
      <c r="N10" s="10"/>
      <c r="O10" s="57">
        <v>131524.07</v>
      </c>
      <c r="P10" s="51">
        <v>0.0</v>
      </c>
      <c r="Q10" s="50" t="s">
        <v>52</v>
      </c>
      <c r="R10" s="50" t="s">
        <v>16</v>
      </c>
    </row>
    <row r="11" ht="15.75" customHeight="1">
      <c r="A11" s="10"/>
      <c r="B11" s="56">
        <v>43872.0</v>
      </c>
      <c r="C11" s="10"/>
      <c r="D11" s="10"/>
      <c r="E11" s="54">
        <v>0.0</v>
      </c>
      <c r="F11" s="58">
        <v>131524.07</v>
      </c>
      <c r="G11" s="55">
        <v>1.0</v>
      </c>
      <c r="H11" s="53" t="s">
        <v>20</v>
      </c>
      <c r="I11" s="53" t="s">
        <v>49</v>
      </c>
      <c r="J11" s="53" t="s">
        <v>57</v>
      </c>
      <c r="K11" s="50" t="s">
        <v>18</v>
      </c>
      <c r="L11" s="53" t="s">
        <v>18</v>
      </c>
      <c r="M11" s="50" t="s">
        <v>34</v>
      </c>
      <c r="N11" s="10"/>
      <c r="O11" s="55">
        <v>0.0</v>
      </c>
      <c r="P11" s="57">
        <v>131524.07</v>
      </c>
      <c r="Q11" s="53" t="s">
        <v>19</v>
      </c>
      <c r="R11" s="50" t="s">
        <v>16</v>
      </c>
    </row>
    <row r="12" ht="15.75" customHeight="1">
      <c r="A12" s="10"/>
      <c r="B12" s="56">
        <v>43872.0</v>
      </c>
      <c r="C12" s="10"/>
      <c r="D12" s="10"/>
      <c r="E12" s="57">
        <v>14.01</v>
      </c>
      <c r="F12" s="52">
        <v>0.0</v>
      </c>
      <c r="G12" s="51">
        <v>1.0</v>
      </c>
      <c r="H12" s="50" t="s">
        <v>20</v>
      </c>
      <c r="I12" s="50" t="s">
        <v>45</v>
      </c>
      <c r="J12" s="50" t="s">
        <v>57</v>
      </c>
      <c r="K12" s="50" t="s">
        <v>18</v>
      </c>
      <c r="L12" s="50" t="s">
        <v>18</v>
      </c>
      <c r="M12" s="50" t="s">
        <v>24</v>
      </c>
      <c r="N12" s="10"/>
      <c r="O12" s="57">
        <v>14.01</v>
      </c>
      <c r="P12" s="51">
        <v>0.0</v>
      </c>
      <c r="Q12" s="50" t="s">
        <v>52</v>
      </c>
      <c r="R12" s="50" t="s">
        <v>16</v>
      </c>
    </row>
    <row r="13" ht="15.75" customHeight="1">
      <c r="A13" s="10"/>
      <c r="B13" s="56">
        <v>43872.0</v>
      </c>
      <c r="C13" s="10"/>
      <c r="D13" s="10"/>
      <c r="E13" s="54">
        <v>0.0</v>
      </c>
      <c r="F13" s="58">
        <v>14.01</v>
      </c>
      <c r="G13" s="55">
        <v>1.0</v>
      </c>
      <c r="H13" s="53" t="s">
        <v>20</v>
      </c>
      <c r="I13" s="53" t="s">
        <v>49</v>
      </c>
      <c r="J13" s="53" t="s">
        <v>57</v>
      </c>
      <c r="K13" s="50" t="s">
        <v>18</v>
      </c>
      <c r="L13" s="53" t="s">
        <v>18</v>
      </c>
      <c r="M13" s="50" t="s">
        <v>24</v>
      </c>
      <c r="N13" s="10"/>
      <c r="O13" s="55">
        <v>0.0</v>
      </c>
      <c r="P13" s="58">
        <v>14.01</v>
      </c>
      <c r="Q13" s="53" t="s">
        <v>19</v>
      </c>
      <c r="R13" s="50" t="s">
        <v>16</v>
      </c>
    </row>
    <row r="14" ht="15.75" customHeight="1">
      <c r="A14" s="10"/>
      <c r="B14" s="56">
        <v>43872.0</v>
      </c>
      <c r="C14" s="10"/>
      <c r="D14" s="10"/>
      <c r="E14" s="51">
        <v>16500.0</v>
      </c>
      <c r="F14" s="52">
        <v>0.0</v>
      </c>
      <c r="G14" s="51">
        <v>1.0</v>
      </c>
      <c r="H14" s="50" t="s">
        <v>20</v>
      </c>
      <c r="I14" s="50" t="s">
        <v>45</v>
      </c>
      <c r="J14" s="50" t="s">
        <v>57</v>
      </c>
      <c r="K14" s="50" t="s">
        <v>18</v>
      </c>
      <c r="L14" s="50" t="s">
        <v>18</v>
      </c>
      <c r="M14" s="50" t="s">
        <v>24</v>
      </c>
      <c r="N14" s="10"/>
      <c r="O14" s="51">
        <v>16500.0</v>
      </c>
      <c r="P14" s="51">
        <v>0.0</v>
      </c>
      <c r="Q14" s="50" t="s">
        <v>19</v>
      </c>
      <c r="R14" s="50" t="s">
        <v>16</v>
      </c>
    </row>
    <row r="15" ht="15.75" customHeight="1">
      <c r="A15" s="10"/>
      <c r="B15" s="56">
        <v>43872.0</v>
      </c>
      <c r="C15" s="10"/>
      <c r="D15" s="10"/>
      <c r="E15" s="54">
        <v>0.0</v>
      </c>
      <c r="F15" s="55">
        <v>16500.0</v>
      </c>
      <c r="G15" s="55">
        <v>1.0</v>
      </c>
      <c r="H15" s="53" t="s">
        <v>20</v>
      </c>
      <c r="I15" s="53" t="s">
        <v>49</v>
      </c>
      <c r="J15" s="53" t="s">
        <v>57</v>
      </c>
      <c r="K15" s="50" t="s">
        <v>18</v>
      </c>
      <c r="L15" s="53" t="s">
        <v>18</v>
      </c>
      <c r="M15" s="50" t="s">
        <v>24</v>
      </c>
      <c r="N15" s="10"/>
      <c r="O15" s="55">
        <v>0.0</v>
      </c>
      <c r="P15" s="55">
        <v>16500.0</v>
      </c>
      <c r="Q15" s="53" t="s">
        <v>52</v>
      </c>
      <c r="R15" s="50" t="s">
        <v>16</v>
      </c>
    </row>
    <row r="16" ht="15.75" customHeight="1">
      <c r="A16" s="10"/>
      <c r="B16" s="56">
        <v>43873.0</v>
      </c>
      <c r="C16" s="10"/>
      <c r="D16" s="10"/>
      <c r="E16" s="57">
        <v>15011.44</v>
      </c>
      <c r="F16" s="52">
        <v>0.0</v>
      </c>
      <c r="G16" s="51">
        <v>1.0</v>
      </c>
      <c r="H16" s="50" t="s">
        <v>20</v>
      </c>
      <c r="I16" s="50" t="s">
        <v>45</v>
      </c>
      <c r="J16" s="50" t="s">
        <v>57</v>
      </c>
      <c r="K16" s="50" t="s">
        <v>18</v>
      </c>
      <c r="L16" s="50" t="s">
        <v>18</v>
      </c>
      <c r="M16" s="50" t="s">
        <v>24</v>
      </c>
      <c r="N16" s="10"/>
      <c r="O16" s="57">
        <v>15011.44</v>
      </c>
      <c r="P16" s="51">
        <v>0.0</v>
      </c>
      <c r="Q16" s="50" t="s">
        <v>19</v>
      </c>
      <c r="R16" s="50" t="s">
        <v>16</v>
      </c>
    </row>
    <row r="17" ht="15.75" customHeight="1">
      <c r="A17" s="10"/>
      <c r="B17" s="56">
        <v>43873.0</v>
      </c>
      <c r="C17" s="10"/>
      <c r="D17" s="10"/>
      <c r="E17" s="54">
        <v>0.0</v>
      </c>
      <c r="F17" s="58">
        <v>15011.44</v>
      </c>
      <c r="G17" s="55">
        <v>1.0</v>
      </c>
      <c r="H17" s="53" t="s">
        <v>20</v>
      </c>
      <c r="I17" s="53" t="s">
        <v>49</v>
      </c>
      <c r="J17" s="53" t="s">
        <v>57</v>
      </c>
      <c r="K17" s="50" t="s">
        <v>18</v>
      </c>
      <c r="L17" s="53" t="s">
        <v>18</v>
      </c>
      <c r="M17" s="50" t="s">
        <v>24</v>
      </c>
      <c r="N17" s="10"/>
      <c r="O17" s="55">
        <v>0.0</v>
      </c>
      <c r="P17" s="58">
        <v>15011.44</v>
      </c>
      <c r="Q17" s="53" t="s">
        <v>52</v>
      </c>
      <c r="R17" s="50" t="s">
        <v>16</v>
      </c>
    </row>
    <row r="18" ht="15.75" customHeight="1">
      <c r="A18" s="10"/>
      <c r="B18" s="56">
        <v>43873.0</v>
      </c>
      <c r="C18" s="10"/>
      <c r="D18" s="10"/>
      <c r="E18" s="57">
        <v>24024.01</v>
      </c>
      <c r="F18" s="52">
        <v>0.0</v>
      </c>
      <c r="G18" s="51">
        <v>1.0</v>
      </c>
      <c r="H18" s="50" t="s">
        <v>20</v>
      </c>
      <c r="I18" s="50" t="s">
        <v>45</v>
      </c>
      <c r="J18" s="50" t="s">
        <v>57</v>
      </c>
      <c r="K18" s="50" t="s">
        <v>18</v>
      </c>
      <c r="L18" s="50" t="s">
        <v>18</v>
      </c>
      <c r="M18" s="50" t="s">
        <v>24</v>
      </c>
      <c r="N18" s="10"/>
      <c r="O18" s="57">
        <v>24024.01</v>
      </c>
      <c r="P18" s="51">
        <v>0.0</v>
      </c>
      <c r="Q18" s="50" t="s">
        <v>19</v>
      </c>
      <c r="R18" s="50" t="s">
        <v>16</v>
      </c>
    </row>
    <row r="19" ht="15.75" customHeight="1">
      <c r="A19" s="10"/>
      <c r="B19" s="56">
        <v>43873.0</v>
      </c>
      <c r="C19" s="10"/>
      <c r="D19" s="10"/>
      <c r="E19" s="54">
        <v>0.0</v>
      </c>
      <c r="F19" s="58">
        <v>24024.01</v>
      </c>
      <c r="G19" s="55">
        <v>1.0</v>
      </c>
      <c r="H19" s="53" t="s">
        <v>20</v>
      </c>
      <c r="I19" s="53" t="s">
        <v>49</v>
      </c>
      <c r="J19" s="53" t="s">
        <v>57</v>
      </c>
      <c r="K19" s="50" t="s">
        <v>18</v>
      </c>
      <c r="L19" s="53" t="s">
        <v>18</v>
      </c>
      <c r="M19" s="50" t="s">
        <v>24</v>
      </c>
      <c r="N19" s="10"/>
      <c r="O19" s="55">
        <v>0.0</v>
      </c>
      <c r="P19" s="58">
        <v>24024.01</v>
      </c>
      <c r="Q19" s="53" t="s">
        <v>52</v>
      </c>
      <c r="R19" s="50" t="s">
        <v>16</v>
      </c>
    </row>
    <row r="20" ht="15.75" customHeight="1">
      <c r="A20" s="10"/>
      <c r="B20" s="56">
        <v>43873.0</v>
      </c>
      <c r="C20" s="10"/>
      <c r="D20" s="10"/>
      <c r="E20" s="57">
        <v>9382.15</v>
      </c>
      <c r="F20" s="52">
        <v>0.0</v>
      </c>
      <c r="G20" s="51">
        <v>1.0</v>
      </c>
      <c r="H20" s="50" t="s">
        <v>20</v>
      </c>
      <c r="I20" s="50" t="s">
        <v>45</v>
      </c>
      <c r="J20" s="50" t="s">
        <v>57</v>
      </c>
      <c r="K20" s="50" t="s">
        <v>18</v>
      </c>
      <c r="L20" s="50" t="s">
        <v>18</v>
      </c>
      <c r="M20" s="50" t="s">
        <v>24</v>
      </c>
      <c r="N20" s="10"/>
      <c r="O20" s="57">
        <v>9382.15</v>
      </c>
      <c r="P20" s="51">
        <v>0.0</v>
      </c>
      <c r="Q20" s="50" t="s">
        <v>52</v>
      </c>
      <c r="R20" s="50" t="s">
        <v>16</v>
      </c>
    </row>
    <row r="21" ht="15.75" customHeight="1">
      <c r="A21" s="10"/>
      <c r="B21" s="56">
        <v>43873.0</v>
      </c>
      <c r="C21" s="10"/>
      <c r="D21" s="10"/>
      <c r="E21" s="54">
        <v>0.0</v>
      </c>
      <c r="F21" s="58">
        <v>9382.15</v>
      </c>
      <c r="G21" s="55">
        <v>1.0</v>
      </c>
      <c r="H21" s="53" t="s">
        <v>20</v>
      </c>
      <c r="I21" s="53" t="s">
        <v>49</v>
      </c>
      <c r="J21" s="53" t="s">
        <v>57</v>
      </c>
      <c r="K21" s="50" t="s">
        <v>18</v>
      </c>
      <c r="L21" s="53" t="s">
        <v>18</v>
      </c>
      <c r="M21" s="50" t="s">
        <v>24</v>
      </c>
      <c r="N21" s="10"/>
      <c r="O21" s="55">
        <v>0.0</v>
      </c>
      <c r="P21" s="58">
        <v>9382.15</v>
      </c>
      <c r="Q21" s="53" t="s">
        <v>19</v>
      </c>
      <c r="R21" s="50" t="s">
        <v>16</v>
      </c>
    </row>
    <row r="22" ht="15.75" customHeight="1">
      <c r="A22" s="10"/>
      <c r="B22" s="56">
        <v>43873.0</v>
      </c>
      <c r="C22" s="10"/>
      <c r="D22" s="10"/>
      <c r="E22" s="57">
        <v>5629.29</v>
      </c>
      <c r="F22" s="52">
        <v>0.0</v>
      </c>
      <c r="G22" s="51">
        <v>1.0</v>
      </c>
      <c r="H22" s="50" t="s">
        <v>20</v>
      </c>
      <c r="I22" s="50" t="s">
        <v>45</v>
      </c>
      <c r="J22" s="50" t="s">
        <v>57</v>
      </c>
      <c r="K22" s="50" t="s">
        <v>18</v>
      </c>
      <c r="L22" s="50" t="s">
        <v>18</v>
      </c>
      <c r="M22" s="50" t="s">
        <v>70</v>
      </c>
      <c r="N22" s="10"/>
      <c r="O22" s="57">
        <v>5629.29</v>
      </c>
      <c r="P22" s="51">
        <v>0.0</v>
      </c>
      <c r="Q22" s="50" t="s">
        <v>52</v>
      </c>
      <c r="R22" s="50" t="s">
        <v>16</v>
      </c>
    </row>
    <row r="23" ht="15.75" customHeight="1">
      <c r="A23" s="10"/>
      <c r="B23" s="56">
        <v>43873.0</v>
      </c>
      <c r="C23" s="10"/>
      <c r="D23" s="10"/>
      <c r="E23" s="54">
        <v>0.0</v>
      </c>
      <c r="F23" s="58">
        <v>5629.29</v>
      </c>
      <c r="G23" s="55">
        <v>1.0</v>
      </c>
      <c r="H23" s="53" t="s">
        <v>20</v>
      </c>
      <c r="I23" s="53" t="s">
        <v>49</v>
      </c>
      <c r="J23" s="53" t="s">
        <v>57</v>
      </c>
      <c r="K23" s="50" t="s">
        <v>18</v>
      </c>
      <c r="L23" s="53" t="s">
        <v>18</v>
      </c>
      <c r="M23" s="50" t="s">
        <v>70</v>
      </c>
      <c r="N23" s="10"/>
      <c r="O23" s="55">
        <v>0.0</v>
      </c>
      <c r="P23" s="58">
        <v>5629.29</v>
      </c>
      <c r="Q23" s="53" t="s">
        <v>19</v>
      </c>
      <c r="R23" s="50" t="s">
        <v>16</v>
      </c>
    </row>
    <row r="24" ht="15.75" customHeight="1">
      <c r="A24" s="10"/>
      <c r="B24" s="56">
        <v>43873.0</v>
      </c>
      <c r="C24" s="10"/>
      <c r="D24" s="10"/>
      <c r="E24" s="57">
        <v>15015.01</v>
      </c>
      <c r="F24" s="52">
        <v>0.0</v>
      </c>
      <c r="G24" s="51">
        <v>1.0</v>
      </c>
      <c r="H24" s="50" t="s">
        <v>20</v>
      </c>
      <c r="I24" s="50" t="s">
        <v>45</v>
      </c>
      <c r="J24" s="50" t="s">
        <v>57</v>
      </c>
      <c r="K24" s="50" t="s">
        <v>18</v>
      </c>
      <c r="L24" s="50" t="s">
        <v>18</v>
      </c>
      <c r="M24" s="50" t="s">
        <v>24</v>
      </c>
      <c r="N24" s="10"/>
      <c r="O24" s="57">
        <v>15015.01</v>
      </c>
      <c r="P24" s="51">
        <v>0.0</v>
      </c>
      <c r="Q24" s="50" t="s">
        <v>52</v>
      </c>
      <c r="R24" s="50" t="s">
        <v>16</v>
      </c>
    </row>
    <row r="25" ht="15.75" customHeight="1">
      <c r="A25" s="10"/>
      <c r="B25" s="56">
        <v>43873.0</v>
      </c>
      <c r="C25" s="10"/>
      <c r="D25" s="10"/>
      <c r="E25" s="54">
        <v>0.0</v>
      </c>
      <c r="F25" s="58">
        <v>15015.01</v>
      </c>
      <c r="G25" s="55">
        <v>1.0</v>
      </c>
      <c r="H25" s="53" t="s">
        <v>20</v>
      </c>
      <c r="I25" s="53" t="s">
        <v>49</v>
      </c>
      <c r="J25" s="53" t="s">
        <v>57</v>
      </c>
      <c r="K25" s="50" t="s">
        <v>18</v>
      </c>
      <c r="L25" s="53" t="s">
        <v>18</v>
      </c>
      <c r="M25" s="50" t="s">
        <v>24</v>
      </c>
      <c r="N25" s="10"/>
      <c r="O25" s="55">
        <v>0.0</v>
      </c>
      <c r="P25" s="58">
        <v>15015.01</v>
      </c>
      <c r="Q25" s="53" t="s">
        <v>19</v>
      </c>
      <c r="R25" s="50" t="s">
        <v>16</v>
      </c>
    </row>
    <row r="26" ht="15.75" customHeight="1">
      <c r="A26" s="10"/>
      <c r="B26" s="56">
        <v>43873.0</v>
      </c>
      <c r="C26" s="10"/>
      <c r="D26" s="10"/>
      <c r="E26" s="57">
        <v>9009.01</v>
      </c>
      <c r="F26" s="52">
        <v>0.0</v>
      </c>
      <c r="G26" s="51">
        <v>1.0</v>
      </c>
      <c r="H26" s="50" t="s">
        <v>20</v>
      </c>
      <c r="I26" s="50" t="s">
        <v>45</v>
      </c>
      <c r="J26" s="50" t="s">
        <v>57</v>
      </c>
      <c r="K26" s="50" t="s">
        <v>18</v>
      </c>
      <c r="L26" s="50" t="s">
        <v>18</v>
      </c>
      <c r="M26" s="50" t="s">
        <v>70</v>
      </c>
      <c r="N26" s="10"/>
      <c r="O26" s="57">
        <v>9009.01</v>
      </c>
      <c r="P26" s="51">
        <v>0.0</v>
      </c>
      <c r="Q26" s="50" t="s">
        <v>52</v>
      </c>
      <c r="R26" s="50" t="s">
        <v>16</v>
      </c>
    </row>
    <row r="27" ht="15.75" customHeight="1">
      <c r="B27" s="56">
        <v>43873.0</v>
      </c>
      <c r="E27" s="54">
        <v>0.0</v>
      </c>
      <c r="F27" s="58">
        <v>9009.01</v>
      </c>
      <c r="G27" s="55">
        <v>1.0</v>
      </c>
      <c r="H27" s="53" t="s">
        <v>20</v>
      </c>
      <c r="I27" s="53" t="s">
        <v>49</v>
      </c>
      <c r="J27" s="53" t="s">
        <v>57</v>
      </c>
      <c r="K27" s="50" t="s">
        <v>18</v>
      </c>
      <c r="L27" s="53" t="s">
        <v>18</v>
      </c>
      <c r="M27" s="50" t="s">
        <v>70</v>
      </c>
      <c r="O27" s="55">
        <v>0.0</v>
      </c>
      <c r="P27" s="58">
        <v>9009.01</v>
      </c>
      <c r="Q27" s="53" t="s">
        <v>19</v>
      </c>
      <c r="R27" s="50" t="s">
        <v>16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VerifyTradingTransaction1!$4:$4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0"/>
      <c r="B3" s="5" t="s">
        <v>4</v>
      </c>
      <c r="C3" s="21" t="s">
        <v>12</v>
      </c>
      <c r="D3" s="5" t="s">
        <v>7</v>
      </c>
      <c r="E3" s="21" t="s">
        <v>55</v>
      </c>
      <c r="F3" s="5" t="s">
        <v>14</v>
      </c>
      <c r="G3" s="16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IFERROR(__xludf.DUMMYFUNCTION("""COMPUTED_VALUE"""),"From")</f>
        <v>From</v>
      </c>
      <c r="E5" s="26" t="str">
        <f>IFERROR(__xludf.DUMMYFUNCTION("""COMPUTED_VALUE"""),"To")</f>
        <v>To</v>
      </c>
      <c r="F5" s="27" t="str">
        <f>IFERROR(__xludf.DUMMYFUNCTION("""COMPUTED_VALUE"""),"SettlementDate")</f>
        <v>SettlementDate</v>
      </c>
      <c r="G5" s="26" t="str">
        <f>IFERROR(__xludf.DUMMYFUNCTION("""COMPUTED_VALUE"""),"TradeDate")</f>
        <v>TradeDate</v>
      </c>
      <c r="H5" s="26" t="str">
        <f>IFERROR(__xludf.DUMMYFUNCTION("""COMPUTED_VALUE"""),"All")</f>
        <v>All</v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/>
      <c r="C6" s="31" t="s">
        <v>16</v>
      </c>
      <c r="D6" s="32">
        <v>43871.0</v>
      </c>
      <c r="E6" s="32">
        <v>43873.0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GetActivityData1!$4:$4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0"/>
      <c r="B3" s="5" t="s">
        <v>4</v>
      </c>
      <c r="C3" s="21" t="s">
        <v>12</v>
      </c>
      <c r="D3" s="5" t="s">
        <v>7</v>
      </c>
      <c r="E3" s="21" t="s">
        <v>56</v>
      </c>
      <c r="F3" s="5" t="s">
        <v>14</v>
      </c>
      <c r="G3" s="16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IFERROR(__xludf.DUMMYFUNCTION("""COMPUTED_VALUE"""),"Activity Source")</f>
        <v>Activity Source</v>
      </c>
      <c r="D5" s="26" t="str">
        <f>IFERROR(__xludf.DUMMYFUNCTION("""COMPUTED_VALUE"""),"ActivityType")</f>
        <v>ActivityType</v>
      </c>
      <c r="E5" s="26" t="str">
        <f>IFERROR(__xludf.DUMMYFUNCTION("""COMPUTED_VALUE"""),"Net Amount(Local)")</f>
        <v>Net Amount(Local)</v>
      </c>
      <c r="F5" s="27" t="str">
        <f>IFERROR(__xludf.DUMMYFUNCTION("""COMPUTED_VALUE"""),"AUEC Fee1")</f>
        <v>AUEC Fee1</v>
      </c>
      <c r="G5" s="26" t="str">
        <f>IFERROR(__xludf.DUMMYFUNCTION("""COMPUTED_VALUE"""),"AUEC Fee2")</f>
        <v>AUEC Fee2</v>
      </c>
      <c r="H5" s="26" t="str">
        <f>IFERROR(__xludf.DUMMYFUNCTION("""COMPUTED_VALUE"""),"Balance Type")</f>
        <v>Balance Type</v>
      </c>
      <c r="I5" s="26" t="str">
        <f>IFERROR(__xludf.DUMMYFUNCTION("""COMPUTED_VALUE"""),"Clearing Broker Fees")</f>
        <v>Clearing Broker Fees</v>
      </c>
      <c r="J5" s="26" t="str">
        <f>IFERROR(__xludf.DUMMYFUNCTION("""COMPUTED_VALUE"""),"Commission")</f>
        <v>Commission</v>
      </c>
      <c r="K5" s="26" t="str">
        <f>IFERROR(__xludf.DUMMYFUNCTION("""COMPUTED_VALUE"""),"Currency")</f>
        <v>Currency</v>
      </c>
      <c r="L5" s="26" t="str">
        <f>IFERROR(__xludf.DUMMYFUNCTION("""COMPUTED_VALUE"""),"Description")</f>
        <v>Description</v>
      </c>
      <c r="M5" s="26" t="str">
        <f>IFERROR(__xludf.DUMMYFUNCTION("""COMPUTED_VALUE"""),"Entry Date")</f>
        <v>Entry Date</v>
      </c>
      <c r="N5" s="26" t="str">
        <f>IFERROR(__xludf.DUMMYFUNCTION("""COMPUTED_VALUE"""),"FX Conversion Method Operator")</f>
        <v>FX Conversion Method Operator</v>
      </c>
      <c r="O5" s="26" t="str">
        <f>IFERROR(__xludf.DUMMYFUNCTION("""COMPUTED_VALUE"""),"Fx Rate")</f>
        <v>Fx Rate</v>
      </c>
      <c r="P5" s="26" t="str">
        <f>IFERROR(__xludf.DUMMYFUNCTION("""COMPUTED_VALUE"""),"Lead Currency")</f>
        <v>Lead Currency</v>
      </c>
      <c r="Q5" s="26" t="str">
        <f>IFERROR(__xludf.DUMMYFUNCTION("""COMPUTED_VALUE"""),"Modify date")</f>
        <v>Modify date</v>
      </c>
      <c r="R5" s="26" t="str">
        <f>IFERROR(__xludf.DUMMYFUNCTION("""COMPUTED_VALUE"""),"OCC Fee")</f>
        <v>OCC Fee</v>
      </c>
      <c r="S5" s="26" t="str">
        <f>IFERROR(__xludf.DUMMYFUNCTION("""COMPUTED_VALUE"""),"OptionPremiumAdjustment")</f>
        <v>OptionPremiumAdjustment</v>
      </c>
      <c r="T5" s="28" t="str">
        <f>IFERROR(__xludf.DUMMYFUNCTION("""COMPUTED_VALUE"""),"ORF Fee")</f>
        <v>ORF Fee</v>
      </c>
      <c r="U5" s="28" t="str">
        <f>IFERROR(__xludf.DUMMYFUNCTION("""COMPUTED_VALUE"""),"Other Broker Fees")</f>
        <v>Other Broker Fees</v>
      </c>
      <c r="V5" s="28" t="str">
        <f>IFERROR(__xludf.DUMMYFUNCTION("""COMPUTED_VALUE"""),"Quantity")</f>
        <v>Quantity</v>
      </c>
      <c r="W5" s="28" t="str">
        <f>IFERROR(__xludf.DUMMYFUNCTION("""COMPUTED_VALUE"""),"SEC Fee")</f>
        <v>SEC Fee</v>
      </c>
      <c r="X5" s="28" t="str">
        <f>IFERROR(__xludf.DUMMYFUNCTION("""COMPUTED_VALUE"""),"Settlement Currency")</f>
        <v>Settlement Currency</v>
      </c>
      <c r="Y5" s="28" t="str">
        <f>IFERROR(__xludf.DUMMYFUNCTION("""COMPUTED_VALUE"""),"Settlement Date")</f>
        <v>Settlement Date</v>
      </c>
      <c r="Z5" s="28" t="str">
        <f>IFERROR(__xludf.DUMMYFUNCTION("""COMPUTED_VALUE"""),"Soft Commission")</f>
        <v>Soft Commission</v>
      </c>
      <c r="AA5" s="28" t="str">
        <f>IFERROR(__xludf.DUMMYFUNCTION("""COMPUTED_VALUE"""),"Stamp Duty")</f>
        <v>Stamp Duty</v>
      </c>
      <c r="AB5" s="28" t="str">
        <f>IFERROR(__xludf.DUMMYFUNCTION("""COMPUTED_VALUE"""),"Symbol")</f>
        <v>Symbol</v>
      </c>
      <c r="AC5" s="28" t="str">
        <f>IFERROR(__xludf.DUMMYFUNCTION("""COMPUTED_VALUE"""),"Tax On Commissions")</f>
        <v>Tax On Commissions</v>
      </c>
      <c r="AD5" s="28" t="str">
        <f>IFERROR(__xludf.DUMMYFUNCTION("""COMPUTED_VALUE"""),"Total Commissions")</f>
        <v>Total Commissions</v>
      </c>
      <c r="AE5" s="28" t="str">
        <f>IFERROR(__xludf.DUMMYFUNCTION("""COMPUTED_VALUE"""),"Trade Date")</f>
        <v>Trade Date</v>
      </c>
      <c r="AF5" s="28" t="str">
        <f>IFERROR(__xludf.DUMMYFUNCTION("""COMPUTED_VALUE"""),"Transaction Levy")</f>
        <v>Transaction Levy</v>
      </c>
      <c r="AG5" s="28" t="str">
        <f>IFERROR(__xludf.DUMMYFUNCTION("""COMPUTED_VALUE"""),"Transaction Source")</f>
        <v>Transaction Source</v>
      </c>
      <c r="AH5" s="28" t="str">
        <f>IFERROR(__xludf.DUMMYFUNCTION("""COMPUTED_VALUE"""),"User")</f>
        <v>User</v>
      </c>
      <c r="AI5" s="28" t="str">
        <f>IFERROR(__xludf.DUMMYFUNCTION("""COMPUTED_VALUE"""),"Vs Currency")</f>
        <v>Vs Currency</v>
      </c>
      <c r="AJ5" s="28" t="str">
        <f>IFERROR(__xludf.DUMMYFUNCTION("""COMPUTED_VALUE"""),"SettlCurrencyID")</f>
        <v>SettlCurrencyID</v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4"/>
      <c r="B6" s="59" t="s">
        <v>16</v>
      </c>
      <c r="C6" s="59" t="s">
        <v>46</v>
      </c>
      <c r="D6" s="59" t="s">
        <v>58</v>
      </c>
      <c r="E6" s="60">
        <v>500.98</v>
      </c>
      <c r="F6" s="60">
        <v>0.0</v>
      </c>
      <c r="G6" s="60">
        <v>0.0</v>
      </c>
      <c r="H6" s="59" t="s">
        <v>59</v>
      </c>
      <c r="I6" s="60">
        <v>0.0</v>
      </c>
      <c r="J6" s="60">
        <v>0.0</v>
      </c>
      <c r="K6" s="59" t="s">
        <v>18</v>
      </c>
      <c r="L6" s="59" t="s">
        <v>47</v>
      </c>
      <c r="M6" s="10"/>
      <c r="N6" s="59" t="s">
        <v>20</v>
      </c>
      <c r="O6" s="60">
        <v>1.0</v>
      </c>
      <c r="V6" s="60">
        <v>0.0</v>
      </c>
      <c r="X6" s="61"/>
      <c r="Z6" s="60">
        <v>0.0</v>
      </c>
      <c r="AA6" s="60">
        <v>0.0</v>
      </c>
      <c r="AB6" s="59" t="s">
        <v>24</v>
      </c>
      <c r="AC6" s="60">
        <v>0.0</v>
      </c>
      <c r="AD6" s="60">
        <v>0.0</v>
      </c>
      <c r="AE6" s="70">
        <v>43871.0</v>
      </c>
      <c r="AF6" s="60">
        <v>0.0</v>
      </c>
      <c r="AG6" s="63" t="s">
        <v>46</v>
      </c>
    </row>
    <row r="7" ht="15.75" customHeight="1">
      <c r="A7" s="10"/>
      <c r="B7" s="64" t="s">
        <v>16</v>
      </c>
      <c r="C7" s="64" t="s">
        <v>62</v>
      </c>
      <c r="D7" s="64" t="s">
        <v>63</v>
      </c>
      <c r="E7" s="65">
        <v>500000.0</v>
      </c>
      <c r="F7" s="65">
        <v>0.0</v>
      </c>
      <c r="G7" s="65">
        <v>0.0</v>
      </c>
      <c r="H7" s="64" t="s">
        <v>59</v>
      </c>
      <c r="I7" s="65">
        <v>0.0</v>
      </c>
      <c r="J7" s="65">
        <v>0.0</v>
      </c>
      <c r="K7" s="64" t="s">
        <v>18</v>
      </c>
      <c r="L7" s="66"/>
      <c r="M7" s="10"/>
      <c r="N7" s="64" t="s">
        <v>20</v>
      </c>
      <c r="O7" s="65">
        <v>1.0</v>
      </c>
      <c r="V7" s="65">
        <v>0.0</v>
      </c>
      <c r="X7" s="66"/>
      <c r="Z7" s="65">
        <v>0.0</v>
      </c>
      <c r="AA7" s="65">
        <v>0.0</v>
      </c>
      <c r="AB7" s="66"/>
      <c r="AC7" s="65">
        <v>0.0</v>
      </c>
      <c r="AD7" s="65">
        <v>0.0</v>
      </c>
      <c r="AE7" s="71">
        <v>43871.0</v>
      </c>
      <c r="AF7" s="65">
        <v>0.0</v>
      </c>
      <c r="AG7" s="68" t="s">
        <v>64</v>
      </c>
    </row>
    <row r="8" ht="15.75" customHeight="1">
      <c r="A8" s="10"/>
      <c r="B8" s="59" t="s">
        <v>16</v>
      </c>
      <c r="C8" s="59" t="s">
        <v>57</v>
      </c>
      <c r="D8" s="59" t="s">
        <v>65</v>
      </c>
      <c r="E8" s="69">
        <v>-31524.02</v>
      </c>
      <c r="F8" s="60">
        <v>4.0</v>
      </c>
      <c r="G8" s="60">
        <v>5.0</v>
      </c>
      <c r="H8" s="59" t="s">
        <v>59</v>
      </c>
      <c r="I8" s="60">
        <v>0.0</v>
      </c>
      <c r="J8" s="60">
        <v>2.5</v>
      </c>
      <c r="K8" s="59" t="s">
        <v>18</v>
      </c>
      <c r="L8" s="59" t="s">
        <v>66</v>
      </c>
      <c r="M8" s="10"/>
      <c r="N8" s="59" t="s">
        <v>20</v>
      </c>
      <c r="O8" s="60">
        <v>1.0</v>
      </c>
      <c r="V8" s="60">
        <v>105.0</v>
      </c>
      <c r="X8" s="63" t="s">
        <v>18</v>
      </c>
      <c r="Z8" s="60">
        <v>7.5</v>
      </c>
      <c r="AA8" s="60">
        <v>0.0176</v>
      </c>
      <c r="AB8" s="59" t="s">
        <v>24</v>
      </c>
      <c r="AC8" s="60">
        <v>3.0</v>
      </c>
      <c r="AD8" s="60">
        <v>24.0176</v>
      </c>
      <c r="AE8" s="70">
        <v>43871.0</v>
      </c>
      <c r="AF8" s="60">
        <v>2.0</v>
      </c>
      <c r="AG8" s="63" t="s">
        <v>57</v>
      </c>
    </row>
    <row r="9" ht="15.75" customHeight="1">
      <c r="A9" s="10"/>
      <c r="B9" s="64" t="s">
        <v>16</v>
      </c>
      <c r="C9" s="64" t="s">
        <v>46</v>
      </c>
      <c r="D9" s="64" t="s">
        <v>67</v>
      </c>
      <c r="E9" s="72">
        <v>-26.59</v>
      </c>
      <c r="F9" s="65">
        <v>0.0</v>
      </c>
      <c r="G9" s="65">
        <v>0.0</v>
      </c>
      <c r="H9" s="64" t="s">
        <v>59</v>
      </c>
      <c r="I9" s="65">
        <v>0.0</v>
      </c>
      <c r="J9" s="65">
        <v>0.0</v>
      </c>
      <c r="K9" s="64" t="s">
        <v>18</v>
      </c>
      <c r="L9" s="64" t="s">
        <v>51</v>
      </c>
      <c r="M9" s="10"/>
      <c r="N9" s="64" t="s">
        <v>20</v>
      </c>
      <c r="O9" s="65">
        <v>1.0</v>
      </c>
      <c r="V9" s="65">
        <v>0.0</v>
      </c>
      <c r="X9" s="66"/>
      <c r="Z9" s="65">
        <v>0.0</v>
      </c>
      <c r="AA9" s="65">
        <v>0.0</v>
      </c>
      <c r="AB9" s="64" t="s">
        <v>24</v>
      </c>
      <c r="AC9" s="65">
        <v>0.0</v>
      </c>
      <c r="AD9" s="65">
        <v>0.0</v>
      </c>
      <c r="AE9" s="71">
        <v>43872.0</v>
      </c>
      <c r="AF9" s="65">
        <v>0.0</v>
      </c>
      <c r="AG9" s="68" t="s">
        <v>46</v>
      </c>
    </row>
    <row r="10" ht="15.75" customHeight="1">
      <c r="A10" s="10"/>
      <c r="B10" s="59" t="s">
        <v>16</v>
      </c>
      <c r="C10" s="59" t="s">
        <v>46</v>
      </c>
      <c r="D10" s="59" t="s">
        <v>58</v>
      </c>
      <c r="E10" s="69">
        <v>1264.55</v>
      </c>
      <c r="F10" s="60">
        <v>0.0</v>
      </c>
      <c r="G10" s="60">
        <v>0.0</v>
      </c>
      <c r="H10" s="59" t="s">
        <v>59</v>
      </c>
      <c r="I10" s="60">
        <v>0.0</v>
      </c>
      <c r="J10" s="60">
        <v>0.0</v>
      </c>
      <c r="K10" s="59" t="s">
        <v>18</v>
      </c>
      <c r="L10" s="59" t="s">
        <v>47</v>
      </c>
      <c r="M10" s="10"/>
      <c r="N10" s="59" t="s">
        <v>20</v>
      </c>
      <c r="O10" s="60">
        <v>1.0</v>
      </c>
      <c r="V10" s="60">
        <v>0.0</v>
      </c>
      <c r="X10" s="61"/>
      <c r="Z10" s="60">
        <v>0.0</v>
      </c>
      <c r="AA10" s="60">
        <v>0.0</v>
      </c>
      <c r="AB10" s="59" t="s">
        <v>24</v>
      </c>
      <c r="AC10" s="60">
        <v>0.0</v>
      </c>
      <c r="AD10" s="60">
        <v>0.0</v>
      </c>
      <c r="AE10" s="70">
        <v>43872.0</v>
      </c>
      <c r="AF10" s="60">
        <v>0.0</v>
      </c>
      <c r="AG10" s="63" t="s">
        <v>46</v>
      </c>
    </row>
    <row r="11" ht="15.75" customHeight="1">
      <c r="A11" s="10"/>
      <c r="B11" s="64" t="s">
        <v>16</v>
      </c>
      <c r="C11" s="64" t="s">
        <v>46</v>
      </c>
      <c r="D11" s="64" t="s">
        <v>58</v>
      </c>
      <c r="E11" s="72">
        <v>475.93</v>
      </c>
      <c r="F11" s="65">
        <v>0.0</v>
      </c>
      <c r="G11" s="65">
        <v>0.0</v>
      </c>
      <c r="H11" s="64" t="s">
        <v>59</v>
      </c>
      <c r="I11" s="65">
        <v>0.0</v>
      </c>
      <c r="J11" s="65">
        <v>0.0</v>
      </c>
      <c r="K11" s="64" t="s">
        <v>18</v>
      </c>
      <c r="L11" s="64" t="s">
        <v>47</v>
      </c>
      <c r="M11" s="10"/>
      <c r="N11" s="64" t="s">
        <v>20</v>
      </c>
      <c r="O11" s="65">
        <v>1.0</v>
      </c>
      <c r="V11" s="65">
        <v>0.0</v>
      </c>
      <c r="X11" s="66"/>
      <c r="Z11" s="65">
        <v>0.0</v>
      </c>
      <c r="AA11" s="65">
        <v>0.0</v>
      </c>
      <c r="AB11" s="64" t="s">
        <v>34</v>
      </c>
      <c r="AC11" s="65">
        <v>0.0</v>
      </c>
      <c r="AD11" s="65">
        <v>0.0</v>
      </c>
      <c r="AE11" s="71">
        <v>43872.0</v>
      </c>
      <c r="AF11" s="65">
        <v>0.0</v>
      </c>
      <c r="AG11" s="68" t="s">
        <v>46</v>
      </c>
    </row>
    <row r="12" ht="15.75" customHeight="1">
      <c r="A12" s="10"/>
      <c r="B12" s="59" t="s">
        <v>16</v>
      </c>
      <c r="C12" s="59" t="s">
        <v>46</v>
      </c>
      <c r="D12" s="59" t="s">
        <v>58</v>
      </c>
      <c r="E12" s="69">
        <v>-500.98</v>
      </c>
      <c r="F12" s="60">
        <v>0.0</v>
      </c>
      <c r="G12" s="60">
        <v>0.0</v>
      </c>
      <c r="H12" s="59" t="s">
        <v>59</v>
      </c>
      <c r="I12" s="60">
        <v>0.0</v>
      </c>
      <c r="J12" s="60">
        <v>0.0</v>
      </c>
      <c r="K12" s="59" t="s">
        <v>18</v>
      </c>
      <c r="L12" s="59" t="s">
        <v>53</v>
      </c>
      <c r="M12" s="10"/>
      <c r="N12" s="59" t="s">
        <v>20</v>
      </c>
      <c r="O12" s="60">
        <v>1.0</v>
      </c>
      <c r="V12" s="60">
        <v>0.0</v>
      </c>
      <c r="X12" s="61"/>
      <c r="Z12" s="60">
        <v>0.0</v>
      </c>
      <c r="AA12" s="60">
        <v>0.0</v>
      </c>
      <c r="AB12" s="59" t="s">
        <v>24</v>
      </c>
      <c r="AC12" s="60">
        <v>0.0</v>
      </c>
      <c r="AD12" s="60">
        <v>0.0</v>
      </c>
      <c r="AE12" s="70">
        <v>43872.0</v>
      </c>
      <c r="AF12" s="60">
        <v>0.0</v>
      </c>
      <c r="AG12" s="63" t="s">
        <v>46</v>
      </c>
    </row>
    <row r="13" ht="15.75" customHeight="1">
      <c r="A13" s="10"/>
      <c r="B13" s="64" t="s">
        <v>16</v>
      </c>
      <c r="C13" s="64" t="s">
        <v>57</v>
      </c>
      <c r="D13" s="64" t="s">
        <v>65</v>
      </c>
      <c r="E13" s="72">
        <v>-24024.01</v>
      </c>
      <c r="F13" s="65">
        <v>4.0</v>
      </c>
      <c r="G13" s="65">
        <v>5.0</v>
      </c>
      <c r="H13" s="64" t="s">
        <v>59</v>
      </c>
      <c r="I13" s="65">
        <v>0.0</v>
      </c>
      <c r="J13" s="65">
        <v>2.5</v>
      </c>
      <c r="K13" s="64" t="s">
        <v>18</v>
      </c>
      <c r="L13" s="64" t="s">
        <v>66</v>
      </c>
      <c r="M13" s="10"/>
      <c r="N13" s="64" t="s">
        <v>20</v>
      </c>
      <c r="O13" s="65">
        <v>1.0</v>
      </c>
      <c r="V13" s="65">
        <v>80.0</v>
      </c>
      <c r="X13" s="68" t="s">
        <v>18</v>
      </c>
      <c r="Z13" s="65">
        <v>7.5</v>
      </c>
      <c r="AA13" s="65">
        <v>0.0134</v>
      </c>
      <c r="AB13" s="64" t="s">
        <v>24</v>
      </c>
      <c r="AC13" s="65">
        <v>3.0</v>
      </c>
      <c r="AD13" s="65">
        <v>24.0134</v>
      </c>
      <c r="AE13" s="73">
        <v>43872.0</v>
      </c>
      <c r="AF13" s="65">
        <v>2.0</v>
      </c>
      <c r="AG13" s="68" t="s">
        <v>57</v>
      </c>
    </row>
    <row r="14" ht="15.75" customHeight="1">
      <c r="A14" s="10"/>
      <c r="B14" s="59" t="s">
        <v>16</v>
      </c>
      <c r="C14" s="59" t="s">
        <v>57</v>
      </c>
      <c r="D14" s="59" t="s">
        <v>65</v>
      </c>
      <c r="E14" s="69">
        <v>-131524.07</v>
      </c>
      <c r="F14" s="60">
        <v>4.0</v>
      </c>
      <c r="G14" s="60">
        <v>5.0</v>
      </c>
      <c r="H14" s="59" t="s">
        <v>59</v>
      </c>
      <c r="I14" s="60">
        <v>0.0</v>
      </c>
      <c r="J14" s="60">
        <v>5.0</v>
      </c>
      <c r="K14" s="59" t="s">
        <v>18</v>
      </c>
      <c r="L14" s="59" t="s">
        <v>66</v>
      </c>
      <c r="M14" s="10"/>
      <c r="N14" s="59" t="s">
        <v>20</v>
      </c>
      <c r="O14" s="60">
        <v>1.0</v>
      </c>
      <c r="V14" s="60">
        <v>100.0</v>
      </c>
      <c r="X14" s="63" t="s">
        <v>18</v>
      </c>
      <c r="Z14" s="60">
        <v>5.0</v>
      </c>
      <c r="AA14" s="60">
        <v>0.0736</v>
      </c>
      <c r="AB14" s="59" t="s">
        <v>34</v>
      </c>
      <c r="AC14" s="60">
        <v>3.0</v>
      </c>
      <c r="AD14" s="60">
        <v>24.0736</v>
      </c>
      <c r="AE14" s="70">
        <v>43872.0</v>
      </c>
      <c r="AF14" s="60">
        <v>2.0</v>
      </c>
      <c r="AG14" s="63" t="s">
        <v>57</v>
      </c>
    </row>
    <row r="15" ht="15.75" customHeight="1">
      <c r="A15" s="10"/>
      <c r="B15" s="64" t="s">
        <v>16</v>
      </c>
      <c r="C15" s="64" t="s">
        <v>57</v>
      </c>
      <c r="D15" s="64" t="s">
        <v>65</v>
      </c>
      <c r="E15" s="72">
        <v>16485.99</v>
      </c>
      <c r="F15" s="65">
        <v>4.0</v>
      </c>
      <c r="G15" s="65">
        <v>5.0</v>
      </c>
      <c r="H15" s="64" t="s">
        <v>59</v>
      </c>
      <c r="I15" s="65">
        <v>0.0</v>
      </c>
      <c r="J15" s="65">
        <v>0.0</v>
      </c>
      <c r="K15" s="64" t="s">
        <v>18</v>
      </c>
      <c r="L15" s="64" t="s">
        <v>66</v>
      </c>
      <c r="M15" s="10"/>
      <c r="N15" s="64" t="s">
        <v>20</v>
      </c>
      <c r="O15" s="65">
        <v>1.0</v>
      </c>
      <c r="V15" s="65">
        <v>55.0</v>
      </c>
      <c r="X15" s="68" t="s">
        <v>18</v>
      </c>
      <c r="Z15" s="65">
        <v>0.0</v>
      </c>
      <c r="AA15" s="65">
        <v>0.0092</v>
      </c>
      <c r="AB15" s="64" t="s">
        <v>24</v>
      </c>
      <c r="AC15" s="65">
        <v>3.0</v>
      </c>
      <c r="AD15" s="65">
        <v>14.0092</v>
      </c>
      <c r="AE15" s="71">
        <v>43872.0</v>
      </c>
      <c r="AF15" s="65">
        <v>2.0</v>
      </c>
      <c r="AG15" s="68" t="s">
        <v>57</v>
      </c>
    </row>
    <row r="16" ht="15.75" customHeight="1">
      <c r="A16" s="10"/>
      <c r="B16" s="59" t="s">
        <v>16</v>
      </c>
      <c r="C16" s="59" t="s">
        <v>46</v>
      </c>
      <c r="D16" s="59" t="s">
        <v>58</v>
      </c>
      <c r="E16" s="69">
        <v>16552.84</v>
      </c>
      <c r="F16" s="60">
        <v>0.0</v>
      </c>
      <c r="G16" s="60">
        <v>0.0</v>
      </c>
      <c r="H16" s="59" t="s">
        <v>59</v>
      </c>
      <c r="I16" s="60">
        <v>0.0</v>
      </c>
      <c r="J16" s="60">
        <v>0.0</v>
      </c>
      <c r="K16" s="59" t="s">
        <v>18</v>
      </c>
      <c r="L16" s="59" t="s">
        <v>47</v>
      </c>
      <c r="M16" s="10"/>
      <c r="N16" s="59" t="s">
        <v>20</v>
      </c>
      <c r="O16" s="60">
        <v>1.0</v>
      </c>
      <c r="V16" s="60">
        <v>0.0</v>
      </c>
      <c r="X16" s="61"/>
      <c r="Z16" s="60">
        <v>0.0</v>
      </c>
      <c r="AA16" s="60">
        <v>0.0</v>
      </c>
      <c r="AB16" s="59" t="s">
        <v>24</v>
      </c>
      <c r="AC16" s="60">
        <v>0.0</v>
      </c>
      <c r="AD16" s="60">
        <v>0.0</v>
      </c>
      <c r="AE16" s="70">
        <v>43873.0</v>
      </c>
      <c r="AF16" s="60">
        <v>0.0</v>
      </c>
      <c r="AG16" s="63" t="s">
        <v>46</v>
      </c>
    </row>
    <row r="17" ht="15.75" customHeight="1">
      <c r="A17" s="10"/>
      <c r="B17" s="64" t="s">
        <v>16</v>
      </c>
      <c r="C17" s="64" t="s">
        <v>46</v>
      </c>
      <c r="D17" s="64" t="s">
        <v>58</v>
      </c>
      <c r="E17" s="72">
        <v>975.93</v>
      </c>
      <c r="F17" s="65">
        <v>0.0</v>
      </c>
      <c r="G17" s="65">
        <v>0.0</v>
      </c>
      <c r="H17" s="64" t="s">
        <v>59</v>
      </c>
      <c r="I17" s="65">
        <v>0.0</v>
      </c>
      <c r="J17" s="65">
        <v>0.0</v>
      </c>
      <c r="K17" s="64" t="s">
        <v>18</v>
      </c>
      <c r="L17" s="64" t="s">
        <v>47</v>
      </c>
      <c r="M17" s="10"/>
      <c r="N17" s="64" t="s">
        <v>20</v>
      </c>
      <c r="O17" s="65">
        <v>1.0</v>
      </c>
      <c r="V17" s="65">
        <v>0.0</v>
      </c>
      <c r="X17" s="66"/>
      <c r="Z17" s="65">
        <v>0.0</v>
      </c>
      <c r="AA17" s="65">
        <v>0.0</v>
      </c>
      <c r="AB17" s="64" t="s">
        <v>34</v>
      </c>
      <c r="AC17" s="65">
        <v>0.0</v>
      </c>
      <c r="AD17" s="65">
        <v>0.0</v>
      </c>
      <c r="AE17" s="71">
        <v>43873.0</v>
      </c>
      <c r="AF17" s="65">
        <v>0.0</v>
      </c>
      <c r="AG17" s="68" t="s">
        <v>46</v>
      </c>
    </row>
    <row r="18" ht="15.75" customHeight="1">
      <c r="A18" s="10"/>
      <c r="B18" s="59" t="s">
        <v>16</v>
      </c>
      <c r="C18" s="59" t="s">
        <v>46</v>
      </c>
      <c r="D18" s="59" t="s">
        <v>58</v>
      </c>
      <c r="E18" s="69">
        <v>-7345.3</v>
      </c>
      <c r="F18" s="60">
        <v>0.0</v>
      </c>
      <c r="G18" s="60">
        <v>0.0</v>
      </c>
      <c r="H18" s="59" t="s">
        <v>59</v>
      </c>
      <c r="I18" s="60">
        <v>0.0</v>
      </c>
      <c r="J18" s="60">
        <v>0.0</v>
      </c>
      <c r="K18" s="59" t="s">
        <v>18</v>
      </c>
      <c r="L18" s="59" t="s">
        <v>47</v>
      </c>
      <c r="M18" s="10"/>
      <c r="N18" s="59" t="s">
        <v>20</v>
      </c>
      <c r="O18" s="60">
        <v>1.0</v>
      </c>
      <c r="V18" s="60">
        <v>0.0</v>
      </c>
      <c r="X18" s="61"/>
      <c r="Z18" s="60">
        <v>0.0</v>
      </c>
      <c r="AA18" s="60">
        <v>0.0</v>
      </c>
      <c r="AB18" s="59" t="s">
        <v>70</v>
      </c>
      <c r="AC18" s="60">
        <v>0.0</v>
      </c>
      <c r="AD18" s="60">
        <v>0.0</v>
      </c>
      <c r="AE18" s="70">
        <v>43873.0</v>
      </c>
      <c r="AF18" s="60">
        <v>0.0</v>
      </c>
      <c r="AG18" s="63" t="s">
        <v>46</v>
      </c>
    </row>
    <row r="19" ht="15.75" customHeight="1">
      <c r="A19" s="10"/>
      <c r="B19" s="64" t="s">
        <v>16</v>
      </c>
      <c r="C19" s="64" t="s">
        <v>46</v>
      </c>
      <c r="D19" s="64" t="s">
        <v>58</v>
      </c>
      <c r="E19" s="72">
        <v>-1264.55</v>
      </c>
      <c r="F19" s="65">
        <v>0.0</v>
      </c>
      <c r="G19" s="65">
        <v>0.0</v>
      </c>
      <c r="H19" s="64" t="s">
        <v>59</v>
      </c>
      <c r="I19" s="65">
        <v>0.0</v>
      </c>
      <c r="J19" s="65">
        <v>0.0</v>
      </c>
      <c r="K19" s="64" t="s">
        <v>18</v>
      </c>
      <c r="L19" s="64" t="s">
        <v>53</v>
      </c>
      <c r="M19" s="10"/>
      <c r="N19" s="64" t="s">
        <v>20</v>
      </c>
      <c r="O19" s="65">
        <v>1.0</v>
      </c>
      <c r="V19" s="65">
        <v>0.0</v>
      </c>
      <c r="X19" s="66"/>
      <c r="Z19" s="65">
        <v>0.0</v>
      </c>
      <c r="AA19" s="65">
        <v>0.0</v>
      </c>
      <c r="AB19" s="64" t="s">
        <v>24</v>
      </c>
      <c r="AC19" s="65">
        <v>0.0</v>
      </c>
      <c r="AD19" s="65">
        <v>0.0</v>
      </c>
      <c r="AE19" s="71">
        <v>43873.0</v>
      </c>
      <c r="AF19" s="65">
        <v>0.0</v>
      </c>
      <c r="AG19" s="68" t="s">
        <v>46</v>
      </c>
    </row>
    <row r="20" ht="15.75" customHeight="1">
      <c r="A20" s="10"/>
      <c r="B20" s="59" t="s">
        <v>16</v>
      </c>
      <c r="C20" s="59" t="s">
        <v>46</v>
      </c>
      <c r="D20" s="59" t="s">
        <v>58</v>
      </c>
      <c r="E20" s="69">
        <v>-475.93</v>
      </c>
      <c r="F20" s="60">
        <v>0.0</v>
      </c>
      <c r="G20" s="60">
        <v>0.0</v>
      </c>
      <c r="H20" s="59" t="s">
        <v>59</v>
      </c>
      <c r="I20" s="60">
        <v>0.0</v>
      </c>
      <c r="J20" s="60">
        <v>0.0</v>
      </c>
      <c r="K20" s="59" t="s">
        <v>18</v>
      </c>
      <c r="L20" s="59" t="s">
        <v>53</v>
      </c>
      <c r="M20" s="10"/>
      <c r="N20" s="59" t="s">
        <v>20</v>
      </c>
      <c r="O20" s="60">
        <v>1.0</v>
      </c>
      <c r="V20" s="60">
        <v>0.0</v>
      </c>
      <c r="X20" s="61"/>
      <c r="Z20" s="60">
        <v>0.0</v>
      </c>
      <c r="AA20" s="60">
        <v>0.0</v>
      </c>
      <c r="AB20" s="59" t="s">
        <v>34</v>
      </c>
      <c r="AC20" s="60">
        <v>0.0</v>
      </c>
      <c r="AD20" s="60">
        <v>0.0</v>
      </c>
      <c r="AE20" s="70">
        <v>43873.0</v>
      </c>
      <c r="AF20" s="60">
        <v>0.0</v>
      </c>
      <c r="AG20" s="63" t="s">
        <v>46</v>
      </c>
    </row>
    <row r="21" ht="15.75" customHeight="1">
      <c r="A21" s="10"/>
      <c r="B21" s="64" t="s">
        <v>16</v>
      </c>
      <c r="C21" s="64" t="s">
        <v>57</v>
      </c>
      <c r="D21" s="64" t="s">
        <v>65</v>
      </c>
      <c r="E21" s="72">
        <v>15011.44</v>
      </c>
      <c r="F21" s="65">
        <v>0.0</v>
      </c>
      <c r="G21" s="65">
        <v>0.0</v>
      </c>
      <c r="H21" s="64" t="s">
        <v>59</v>
      </c>
      <c r="I21" s="65">
        <v>0.0</v>
      </c>
      <c r="J21" s="65">
        <v>0.0</v>
      </c>
      <c r="K21" s="64" t="s">
        <v>18</v>
      </c>
      <c r="L21" s="64" t="s">
        <v>66</v>
      </c>
      <c r="M21" s="10"/>
      <c r="N21" s="64" t="s">
        <v>20</v>
      </c>
      <c r="O21" s="65">
        <v>1.0</v>
      </c>
      <c r="V21" s="65">
        <v>50.0</v>
      </c>
      <c r="X21" s="68" t="s">
        <v>18</v>
      </c>
      <c r="Z21" s="65">
        <v>0.0</v>
      </c>
      <c r="AA21" s="65">
        <v>0.0</v>
      </c>
      <c r="AB21" s="64" t="s">
        <v>24</v>
      </c>
      <c r="AC21" s="65">
        <v>0.0</v>
      </c>
      <c r="AD21" s="65">
        <v>0.0</v>
      </c>
      <c r="AE21" s="71">
        <v>43873.0</v>
      </c>
      <c r="AF21" s="65">
        <v>0.0</v>
      </c>
      <c r="AG21" s="68" t="s">
        <v>57</v>
      </c>
    </row>
    <row r="22" ht="15.75" customHeight="1">
      <c r="A22" s="10"/>
      <c r="B22" s="59" t="s">
        <v>16</v>
      </c>
      <c r="C22" s="59" t="s">
        <v>57</v>
      </c>
      <c r="D22" s="59" t="s">
        <v>65</v>
      </c>
      <c r="E22" s="69">
        <v>24024.01</v>
      </c>
      <c r="F22" s="60">
        <v>0.0</v>
      </c>
      <c r="G22" s="60">
        <v>0.0</v>
      </c>
      <c r="H22" s="59" t="s">
        <v>59</v>
      </c>
      <c r="I22" s="60">
        <v>0.0</v>
      </c>
      <c r="J22" s="60">
        <v>0.0</v>
      </c>
      <c r="K22" s="59" t="s">
        <v>18</v>
      </c>
      <c r="L22" s="59" t="s">
        <v>66</v>
      </c>
      <c r="M22" s="10"/>
      <c r="N22" s="59" t="s">
        <v>20</v>
      </c>
      <c r="O22" s="60">
        <v>1.0</v>
      </c>
      <c r="V22" s="60">
        <v>80.0</v>
      </c>
      <c r="X22" s="63" t="s">
        <v>18</v>
      </c>
      <c r="Z22" s="60">
        <v>0.0</v>
      </c>
      <c r="AA22" s="60">
        <v>0.0</v>
      </c>
      <c r="AB22" s="59" t="s">
        <v>24</v>
      </c>
      <c r="AC22" s="60">
        <v>0.0</v>
      </c>
      <c r="AD22" s="60">
        <v>0.0</v>
      </c>
      <c r="AE22" s="70">
        <v>43873.0</v>
      </c>
      <c r="AF22" s="60">
        <v>0.0</v>
      </c>
      <c r="AG22" s="63" t="s">
        <v>57</v>
      </c>
    </row>
    <row r="23" ht="15.75" customHeight="1">
      <c r="A23" s="10"/>
      <c r="B23" s="64" t="s">
        <v>16</v>
      </c>
      <c r="C23" s="64" t="s">
        <v>57</v>
      </c>
      <c r="D23" s="64" t="s">
        <v>65</v>
      </c>
      <c r="E23" s="72">
        <v>-9382.15</v>
      </c>
      <c r="F23" s="65">
        <v>0.0</v>
      </c>
      <c r="G23" s="65">
        <v>0.0</v>
      </c>
      <c r="H23" s="64" t="s">
        <v>59</v>
      </c>
      <c r="I23" s="65">
        <v>0.0</v>
      </c>
      <c r="J23" s="65">
        <v>0.0</v>
      </c>
      <c r="K23" s="64" t="s">
        <v>18</v>
      </c>
      <c r="L23" s="64" t="s">
        <v>66</v>
      </c>
      <c r="M23" s="10"/>
      <c r="N23" s="64" t="s">
        <v>20</v>
      </c>
      <c r="O23" s="65">
        <v>1.0</v>
      </c>
      <c r="V23" s="65">
        <v>50.0</v>
      </c>
      <c r="X23" s="68" t="s">
        <v>18</v>
      </c>
      <c r="Z23" s="65">
        <v>0.0</v>
      </c>
      <c r="AA23" s="65">
        <v>0.0</v>
      </c>
      <c r="AB23" s="64" t="s">
        <v>24</v>
      </c>
      <c r="AC23" s="65">
        <v>0.0</v>
      </c>
      <c r="AD23" s="65">
        <v>0.0</v>
      </c>
      <c r="AE23" s="71">
        <v>43873.0</v>
      </c>
      <c r="AF23" s="65">
        <v>0.0</v>
      </c>
      <c r="AG23" s="68" t="s">
        <v>57</v>
      </c>
    </row>
    <row r="24" ht="15.75" customHeight="1">
      <c r="A24" s="10"/>
      <c r="B24" s="59" t="s">
        <v>16</v>
      </c>
      <c r="C24" s="59" t="s">
        <v>57</v>
      </c>
      <c r="D24" s="59" t="s">
        <v>65</v>
      </c>
      <c r="E24" s="69">
        <v>-5629.29</v>
      </c>
      <c r="F24" s="60">
        <v>0.0</v>
      </c>
      <c r="G24" s="60">
        <v>0.0</v>
      </c>
      <c r="H24" s="59" t="s">
        <v>59</v>
      </c>
      <c r="I24" s="60">
        <v>0.0</v>
      </c>
      <c r="J24" s="60">
        <v>0.0</v>
      </c>
      <c r="K24" s="59" t="s">
        <v>18</v>
      </c>
      <c r="L24" s="59" t="s">
        <v>66</v>
      </c>
      <c r="M24" s="10"/>
      <c r="N24" s="59" t="s">
        <v>20</v>
      </c>
      <c r="O24" s="60">
        <v>1.0</v>
      </c>
      <c r="V24" s="60">
        <v>16.5</v>
      </c>
      <c r="X24" s="63" t="s">
        <v>18</v>
      </c>
      <c r="Z24" s="60">
        <v>0.0</v>
      </c>
      <c r="AA24" s="60">
        <v>0.0</v>
      </c>
      <c r="AB24" s="59" t="s">
        <v>70</v>
      </c>
      <c r="AC24" s="60">
        <v>0.0</v>
      </c>
      <c r="AD24" s="60">
        <v>0.0</v>
      </c>
      <c r="AE24" s="70">
        <v>43873.0</v>
      </c>
      <c r="AF24" s="60">
        <v>0.0</v>
      </c>
      <c r="AG24" s="63" t="s">
        <v>57</v>
      </c>
    </row>
    <row r="25" ht="15.75" customHeight="1">
      <c r="A25" s="10"/>
      <c r="B25" s="64" t="s">
        <v>16</v>
      </c>
      <c r="C25" s="64" t="s">
        <v>57</v>
      </c>
      <c r="D25" s="64" t="s">
        <v>65</v>
      </c>
      <c r="E25" s="72">
        <v>-15015.01</v>
      </c>
      <c r="F25" s="65">
        <v>0.0</v>
      </c>
      <c r="G25" s="65">
        <v>0.0</v>
      </c>
      <c r="H25" s="64" t="s">
        <v>59</v>
      </c>
      <c r="I25" s="65">
        <v>0.0</v>
      </c>
      <c r="J25" s="65">
        <v>0.0</v>
      </c>
      <c r="K25" s="64" t="s">
        <v>18</v>
      </c>
      <c r="L25" s="64" t="s">
        <v>66</v>
      </c>
      <c r="M25" s="10"/>
      <c r="N25" s="64" t="s">
        <v>20</v>
      </c>
      <c r="O25" s="65">
        <v>1.0</v>
      </c>
      <c r="V25" s="65">
        <v>80.0</v>
      </c>
      <c r="X25" s="68" t="s">
        <v>18</v>
      </c>
      <c r="Z25" s="65">
        <v>0.0</v>
      </c>
      <c r="AA25" s="65">
        <v>0.0</v>
      </c>
      <c r="AB25" s="64" t="s">
        <v>24</v>
      </c>
      <c r="AC25" s="65">
        <v>0.0</v>
      </c>
      <c r="AD25" s="65">
        <v>0.0</v>
      </c>
      <c r="AE25" s="71">
        <v>43873.0</v>
      </c>
      <c r="AF25" s="65">
        <v>0.0</v>
      </c>
      <c r="AG25" s="68" t="s">
        <v>57</v>
      </c>
    </row>
    <row r="26" ht="15.75" customHeight="1">
      <c r="A26" s="10"/>
      <c r="B26" s="59" t="s">
        <v>16</v>
      </c>
      <c r="C26" s="59" t="s">
        <v>57</v>
      </c>
      <c r="D26" s="59" t="s">
        <v>65</v>
      </c>
      <c r="E26" s="69">
        <v>-9009.01</v>
      </c>
      <c r="F26" s="60">
        <v>0.0</v>
      </c>
      <c r="G26" s="60">
        <v>0.0</v>
      </c>
      <c r="H26" s="59" t="s">
        <v>59</v>
      </c>
      <c r="I26" s="60">
        <v>0.0</v>
      </c>
      <c r="J26" s="60">
        <v>0.0</v>
      </c>
      <c r="K26" s="59" t="s">
        <v>18</v>
      </c>
      <c r="L26" s="59" t="s">
        <v>66</v>
      </c>
      <c r="M26" s="10"/>
      <c r="N26" s="59" t="s">
        <v>20</v>
      </c>
      <c r="O26" s="60">
        <v>1.0</v>
      </c>
      <c r="V26" s="60">
        <v>26.4</v>
      </c>
      <c r="X26" s="63" t="s">
        <v>18</v>
      </c>
      <c r="Z26" s="60">
        <v>0.0</v>
      </c>
      <c r="AA26" s="60">
        <v>0.0</v>
      </c>
      <c r="AB26" s="59" t="s">
        <v>70</v>
      </c>
      <c r="AC26" s="60">
        <v>0.0</v>
      </c>
      <c r="AD26" s="60">
        <v>0.0</v>
      </c>
      <c r="AE26" s="70">
        <v>43873.0</v>
      </c>
      <c r="AF26" s="60">
        <v>0.0</v>
      </c>
      <c r="AG26" s="63" t="s">
        <v>57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VerifyActivity1!$4:$4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0"/>
      <c r="B3" s="5" t="s">
        <v>4</v>
      </c>
      <c r="C3" s="21" t="s">
        <v>36</v>
      </c>
      <c r="D3" s="5" t="s">
        <v>7</v>
      </c>
      <c r="E3" s="21" t="s">
        <v>37</v>
      </c>
      <c r="F3" s="5" t="s">
        <v>14</v>
      </c>
      <c r="G3" s="16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IFERROR(__xludf.DUMMYFUNCTION("""COMPUTED_VALUE"""),"Account Filter")</f>
        <v>Account Filter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 t="s">
        <v>39</v>
      </c>
      <c r="C6" s="32">
        <v>43871.0</v>
      </c>
      <c r="D6" s="32">
        <v>43873.0</v>
      </c>
      <c r="E6" s="31" t="s">
        <v>16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GetDataClosing1!$4:$4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23" width="14.43"/>
    <col customWidth="1" min="24" max="24" width="15.29"/>
    <col customWidth="1" min="25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0"/>
      <c r="B3" s="5" t="s">
        <v>4</v>
      </c>
      <c r="C3" s="21" t="s">
        <v>36</v>
      </c>
      <c r="D3" s="5" t="s">
        <v>7</v>
      </c>
      <c r="E3" s="21" t="s">
        <v>73</v>
      </c>
      <c r="F3" s="5" t="s">
        <v>14</v>
      </c>
      <c r="G3" s="16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IFERROR(__xludf.DUMMYFUNCTION("""COMPUTED_VALUE"""),"Asset Class")</f>
        <v>Asset Class</v>
      </c>
      <c r="D5" s="26" t="str">
        <f>IFERROR(__xludf.DUMMYFUNCTION("""COMPUTED_VALUE"""),"AUECID")</f>
        <v>AUECID</v>
      </c>
      <c r="E5" s="26" t="str">
        <f>IFERROR(__xludf.DUMMYFUNCTION("""COMPUTED_VALUE"""),"ExternalTransId")</f>
        <v>ExternalTransId</v>
      </c>
      <c r="F5" s="27" t="str">
        <f>IFERROR(__xludf.DUMMYFUNCTION("""COMPUTED_VALUE"""),"IsSwapped")</f>
        <v>IsSwapped</v>
      </c>
      <c r="G5" s="26" t="str">
        <f>IFERROR(__xludf.DUMMYFUNCTION("""COMPUTED_VALUE"""),"LotId")</f>
        <v>LotId</v>
      </c>
      <c r="H5" s="26" t="str">
        <f>IFERROR(__xludf.DUMMYFUNCTION("""COMPUTED_VALUE"""),"Net Notional")</f>
        <v>Net Notional</v>
      </c>
      <c r="I5" s="26" t="str">
        <f>IFERROR(__xludf.DUMMYFUNCTION("""COMPUTED_VALUE"""),"Opening Price")</f>
        <v>Opening Price</v>
      </c>
      <c r="J5" s="26" t="str">
        <f>IFERROR(__xludf.DUMMYFUNCTION("""COMPUTED_VALUE"""),"Original Purchase Date")</f>
        <v>Original Purchase Date</v>
      </c>
      <c r="K5" s="26" t="str">
        <f>IFERROR(__xludf.DUMMYFUNCTION("""COMPUTED_VALUE"""),"PositionTag")</f>
        <v>PositionTag</v>
      </c>
      <c r="L5" s="26" t="str">
        <f>IFERROR(__xludf.DUMMYFUNCTION("""COMPUTED_VALUE"""),"Process Date")</f>
        <v>Process Date</v>
      </c>
      <c r="M5" s="26" t="str">
        <f>IFERROR(__xludf.DUMMYFUNCTION("""COMPUTED_VALUE"""),"Quantity")</f>
        <v>Quantity</v>
      </c>
      <c r="N5" s="26" t="str">
        <f>IFERROR(__xludf.DUMMYFUNCTION("""COMPUTED_VALUE"""),"Security Name")</f>
        <v>Security Name</v>
      </c>
      <c r="O5" s="26" t="str">
        <f>IFERROR(__xludf.DUMMYFUNCTION("""COMPUTED_VALUE"""),"Settlement Currency")</f>
        <v>Settlement Currency</v>
      </c>
      <c r="P5" s="26" t="str">
        <f>IFERROR(__xludf.DUMMYFUNCTION("""COMPUTED_VALUE"""),"Side")</f>
        <v>Side</v>
      </c>
      <c r="Q5" s="26" t="str">
        <f>IFERROR(__xludf.DUMMYFUNCTION("""COMPUTED_VALUE"""),"Strategy")</f>
        <v>Strategy</v>
      </c>
      <c r="R5" s="26" t="str">
        <f>IFERROR(__xludf.DUMMYFUNCTION("""COMPUTED_VALUE"""),"Symbol")</f>
        <v>Symbol</v>
      </c>
      <c r="S5" s="26" t="str">
        <f>IFERROR(__xludf.DUMMYFUNCTION("""COMPUTED_VALUE"""),"Taxlot ID")</f>
        <v>Taxlot ID</v>
      </c>
      <c r="T5" s="28" t="str">
        <f>IFERROR(__xludf.DUMMYFUNCTION("""COMPUTED_VALUE"""),"Total Fees and Commission")</f>
        <v>Total Fees and Commission</v>
      </c>
      <c r="U5" s="28" t="str">
        <f>IFERROR(__xludf.DUMMYFUNCTION("""COMPUTED_VALUE"""),"Trade Date")</f>
        <v>Trade Date</v>
      </c>
      <c r="V5" s="28" t="str">
        <f>IFERROR(__xludf.DUMMYFUNCTION("""COMPUTED_VALUE"""),"Transaction Type")</f>
        <v>Transaction Type</v>
      </c>
      <c r="W5" s="28" t="str">
        <f>IFERROR(__xludf.DUMMYFUNCTION("""COMPUTED_VALUE"""),"UnderlyingName")</f>
        <v>UnderlyingName</v>
      </c>
      <c r="X5" s="28" t="str">
        <f>IFERROR(__xludf.DUMMYFUNCTION("""COMPUTED_VALUE"""),"UnitCost")</f>
        <v>UnitCost</v>
      </c>
      <c r="Y5" s="28" t="str">
        <f>IFERROR(__xludf.DUMMYFUNCTION("""COMPUTED_VALUE"""),"Unit Cost(Base)")</f>
        <v>Unit Cost(Base)</v>
      </c>
      <c r="Z5" s="28" t="str">
        <f>IFERROR(__xludf.DUMMYFUNCTION("""COMPUTED_VALUE"""),"AvgPriceBase")</f>
        <v>AvgPriceBase</v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4"/>
      <c r="B6" s="80" t="s">
        <v>16</v>
      </c>
      <c r="C6" s="80" t="s">
        <v>75</v>
      </c>
      <c r="D6" s="14"/>
      <c r="E6" s="78"/>
      <c r="F6" s="10"/>
      <c r="G6" s="10"/>
      <c r="H6" s="81">
        <v>131524.0736</v>
      </c>
      <c r="I6" s="81">
        <v>1315.0</v>
      </c>
      <c r="J6" s="82">
        <v>43872.0</v>
      </c>
      <c r="K6" s="80" t="s">
        <v>76</v>
      </c>
      <c r="L6" s="83">
        <v>43872.0</v>
      </c>
      <c r="M6" s="81">
        <v>100.0</v>
      </c>
      <c r="N6" s="80" t="s">
        <v>77</v>
      </c>
      <c r="O6" s="10"/>
      <c r="P6" s="80" t="s">
        <v>25</v>
      </c>
      <c r="R6" s="80" t="s">
        <v>34</v>
      </c>
      <c r="T6" s="81">
        <v>24.0736</v>
      </c>
      <c r="U6" s="83">
        <v>43872.0</v>
      </c>
      <c r="V6" s="80" t="s">
        <v>25</v>
      </c>
      <c r="W6" s="80" t="s">
        <v>78</v>
      </c>
      <c r="X6" s="81">
        <v>1315.240736</v>
      </c>
      <c r="Y6" s="81">
        <v>1315.2407</v>
      </c>
    </row>
    <row r="7" ht="15.75" customHeight="1">
      <c r="A7" s="10"/>
      <c r="B7" s="80" t="s">
        <v>16</v>
      </c>
      <c r="C7" s="80" t="s">
        <v>75</v>
      </c>
      <c r="D7" s="10"/>
      <c r="E7" s="10"/>
      <c r="F7" s="10"/>
      <c r="G7" s="10"/>
      <c r="H7" s="81">
        <v>9382.1481</v>
      </c>
      <c r="I7" s="81">
        <v>187.643</v>
      </c>
      <c r="J7" s="83">
        <v>43871.0</v>
      </c>
      <c r="K7" s="80" t="s">
        <v>79</v>
      </c>
      <c r="L7" s="83">
        <v>43873.0</v>
      </c>
      <c r="M7" s="81">
        <v>50.0</v>
      </c>
      <c r="N7" s="80" t="s">
        <v>80</v>
      </c>
      <c r="O7" s="10"/>
      <c r="P7" s="80" t="s">
        <v>25</v>
      </c>
      <c r="R7" s="80" t="s">
        <v>24</v>
      </c>
      <c r="T7" s="81">
        <v>0.0</v>
      </c>
      <c r="U7" s="83">
        <v>43873.0</v>
      </c>
      <c r="V7" s="80" t="s">
        <v>25</v>
      </c>
      <c r="W7" s="80" t="s">
        <v>78</v>
      </c>
      <c r="X7" s="81">
        <v>187.642961904763</v>
      </c>
      <c r="Y7" s="81">
        <v>187.643</v>
      </c>
    </row>
    <row r="8" ht="15.75" customHeight="1">
      <c r="A8" s="10"/>
      <c r="B8" s="80" t="s">
        <v>16</v>
      </c>
      <c r="C8" s="80" t="s">
        <v>75</v>
      </c>
      <c r="D8" s="10"/>
      <c r="E8" s="10"/>
      <c r="F8" s="10"/>
      <c r="G8" s="10"/>
      <c r="H8" s="81">
        <v>5629.2889</v>
      </c>
      <c r="I8" s="81">
        <v>341.169</v>
      </c>
      <c r="J8" s="83">
        <v>43871.0</v>
      </c>
      <c r="K8" s="80" t="s">
        <v>79</v>
      </c>
      <c r="L8" s="83">
        <v>43873.0</v>
      </c>
      <c r="M8" s="81">
        <v>16.5</v>
      </c>
      <c r="N8" s="80" t="s">
        <v>81</v>
      </c>
      <c r="O8" s="10"/>
      <c r="P8" s="80" t="s">
        <v>25</v>
      </c>
      <c r="R8" s="80" t="s">
        <v>70</v>
      </c>
      <c r="T8" s="81">
        <v>0.0</v>
      </c>
      <c r="U8" s="83">
        <v>43873.0</v>
      </c>
      <c r="V8" s="80" t="s">
        <v>25</v>
      </c>
      <c r="W8" s="80" t="s">
        <v>78</v>
      </c>
      <c r="X8" s="81">
        <v>341.169021645023</v>
      </c>
      <c r="Y8" s="81">
        <v>341.169</v>
      </c>
    </row>
    <row r="9" ht="15.75" customHeight="1">
      <c r="A9" s="10"/>
      <c r="B9" s="80" t="s">
        <v>16</v>
      </c>
      <c r="C9" s="80" t="s">
        <v>75</v>
      </c>
      <c r="D9" s="10"/>
      <c r="E9" s="10"/>
      <c r="F9" s="10"/>
      <c r="G9" s="10"/>
      <c r="H9" s="81">
        <v>15015.0084</v>
      </c>
      <c r="I9" s="81">
        <v>187.6876</v>
      </c>
      <c r="J9" s="83">
        <v>43872.0</v>
      </c>
      <c r="K9" s="80" t="s">
        <v>79</v>
      </c>
      <c r="L9" s="83">
        <v>43873.0</v>
      </c>
      <c r="M9" s="81">
        <v>80.0</v>
      </c>
      <c r="N9" s="80" t="s">
        <v>80</v>
      </c>
      <c r="O9" s="10"/>
      <c r="P9" s="80" t="s">
        <v>25</v>
      </c>
      <c r="R9" s="80" t="s">
        <v>24</v>
      </c>
      <c r="T9" s="81">
        <v>0.0</v>
      </c>
      <c r="U9" s="83">
        <v>43873.0</v>
      </c>
      <c r="V9" s="80" t="s">
        <v>25</v>
      </c>
      <c r="W9" s="80" t="s">
        <v>78</v>
      </c>
      <c r="X9" s="81">
        <v>187.6876046875</v>
      </c>
      <c r="Y9" s="81">
        <v>187.6876</v>
      </c>
    </row>
    <row r="10" ht="15.75" customHeight="1">
      <c r="A10" s="10"/>
      <c r="B10" s="80" t="s">
        <v>16</v>
      </c>
      <c r="C10" s="80" t="s">
        <v>75</v>
      </c>
      <c r="D10" s="10"/>
      <c r="E10" s="10"/>
      <c r="F10" s="10"/>
      <c r="G10" s="10"/>
      <c r="H10" s="81">
        <v>9009.005</v>
      </c>
      <c r="I10" s="81">
        <v>341.2502</v>
      </c>
      <c r="J10" s="83">
        <v>43872.0</v>
      </c>
      <c r="K10" s="80" t="s">
        <v>79</v>
      </c>
      <c r="L10" s="83">
        <v>43873.0</v>
      </c>
      <c r="M10" s="81">
        <v>26.4</v>
      </c>
      <c r="N10" s="80" t="s">
        <v>81</v>
      </c>
      <c r="O10" s="10"/>
      <c r="P10" s="80" t="s">
        <v>25</v>
      </c>
      <c r="R10" s="80" t="s">
        <v>70</v>
      </c>
      <c r="T10" s="81">
        <v>0.0</v>
      </c>
      <c r="U10" s="83">
        <v>43873.0</v>
      </c>
      <c r="V10" s="80" t="s">
        <v>25</v>
      </c>
      <c r="W10" s="80" t="s">
        <v>78</v>
      </c>
      <c r="X10" s="81">
        <v>341.250190340909</v>
      </c>
      <c r="Y10" s="81">
        <v>341.2502</v>
      </c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0"/>
      <c r="B3" s="5" t="s">
        <v>4</v>
      </c>
      <c r="C3" s="21" t="s">
        <v>71</v>
      </c>
      <c r="D3" s="5" t="s">
        <v>7</v>
      </c>
      <c r="E3" s="21" t="s">
        <v>72</v>
      </c>
      <c r="F3" s="5" t="s">
        <v>14</v>
      </c>
      <c r="G3" s="16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IFERROR(__xludf.DUMMYFUNCTION("""COMPUTED_VALUE"""),"CopyCalculatedPreferenceToolbar")</f>
        <v>CopyCalculatedPreferenceToolbar</v>
      </c>
      <c r="CX4" s="24" t="str">
        <f>IFERROR(__xludf.DUMMYFUNCTION("""COMPUTED_VALUE"""),"CloseOrder")</f>
        <v>CloseOrder</v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IFERROR(__xludf.DUMMYFUNCTION("""COMPUTED_VALUE"""),"FilterTabName")</f>
        <v>FilterTabName</v>
      </c>
      <c r="F5" s="27" t="str">
        <f>IFERROR(__xludf.DUMMYFUNCTION("""COMPUTED_VALUE"""),"Symbol")</f>
        <v>Symbol</v>
      </c>
      <c r="G5" s="26" t="str">
        <f>IFERROR(__xludf.DUMMYFUNCTION("""COMPUTED_VALUE"""),"Asset")</f>
        <v>Asset</v>
      </c>
      <c r="H5" s="26" t="str">
        <f>IFERROR(__xludf.DUMMYFUNCTION("""COMPUTED_VALUE"""),"Side")</f>
        <v>Side</v>
      </c>
      <c r="I5" s="26" t="str">
        <f>IFERROR(__xludf.DUMMYFUNCTION("""COMPUTED_VALUE"""),"Account")</f>
        <v>Account</v>
      </c>
      <c r="J5" s="26" t="str">
        <f>IFERROR(__xludf.DUMMYFUNCTION("""COMPUTED_VALUE"""),"Broker")</f>
        <v>Broker</v>
      </c>
      <c r="K5" s="26" t="str">
        <f>IFERROR(__xludf.DUMMYFUNCTION("""COMPUTED_VALUE"""),"Currency")</f>
        <v>Currency</v>
      </c>
      <c r="L5" s="26" t="str">
        <f>IFERROR(__xludf.DUMMYFUNCTION("""COMPUTED_VALUE"""),"Exchange")</f>
        <v>Exchange</v>
      </c>
      <c r="M5" s="26" t="str">
        <f>IFERROR(__xludf.DUMMYFUNCTION("""COMPUTED_VALUE"""),"StrategyName")</f>
        <v>StrategyName</v>
      </c>
      <c r="N5" s="26" t="str">
        <f>IFERROR(__xludf.DUMMYFUNCTION("""COMPUTED_VALUE"""),"Underlying")</f>
        <v>Underlying</v>
      </c>
      <c r="O5" s="26" t="str">
        <f>IFERROR(__xludf.DUMMYFUNCTION("""COMPUTED_VALUE"""),"Venue")</f>
        <v>Venue</v>
      </c>
      <c r="P5" s="26" t="str">
        <f>IFERROR(__xludf.DUMMYFUNCTION("""COMPUTED_VALUE"""),"TradingAccount")</f>
        <v>TradingAccount</v>
      </c>
      <c r="Q5" s="26" t="str">
        <f>IFERROR(__xludf.DUMMYFUNCTION("""COMPUTED_VALUE"""),"PreAllocated")</f>
        <v>PreAllocated</v>
      </c>
      <c r="R5" s="26" t="str">
        <f>IFERROR(__xludf.DUMMYFUNCTION("""COMPUTED_VALUE"""),"ManualGroup")</f>
        <v>ManualGroup</v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 t="s">
        <v>39</v>
      </c>
      <c r="C6" s="32">
        <v>43871.0</v>
      </c>
      <c r="D6" s="32">
        <v>43873.0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45" width="14.43"/>
    <col customWidth="1" min="46" max="46" width="24.71"/>
    <col customWidth="1" min="47" max="56" width="14.43"/>
    <col customWidth="1" min="57" max="57" width="20.0"/>
    <col customWidth="1" min="58" max="58" width="21.14"/>
    <col customWidth="1" min="59" max="68" width="14.43"/>
    <col customWidth="1" min="69" max="69" width="24.0"/>
    <col customWidth="1" min="70" max="72" width="14.43"/>
    <col customWidth="1" min="73" max="73" width="23.0"/>
    <col customWidth="1" min="74" max="74" width="26.29"/>
    <col customWidth="1" min="75" max="75" width="22.43"/>
    <col customWidth="1" min="76" max="76" width="19.86"/>
    <col customWidth="1" min="77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0"/>
      <c r="B3" s="5" t="s">
        <v>4</v>
      </c>
      <c r="C3" s="21" t="s">
        <v>71</v>
      </c>
      <c r="D3" s="5" t="s">
        <v>7</v>
      </c>
      <c r="E3" s="21" t="s">
        <v>74</v>
      </c>
      <c r="F3" s="5" t="s">
        <v>14</v>
      </c>
      <c r="G3" s="16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IFERROR(__xludf.DUMMYFUNCTION("""COMPUTED_VALUE"""),"CopyCalculatedPreferenceToolbar")</f>
        <v>CopyCalculatedPreferenceToolbar</v>
      </c>
      <c r="CX4" s="24" t="str">
        <f>IFERROR(__xludf.DUMMYFUNCTION("""COMPUTED_VALUE"""),"CloseOrder")</f>
        <v>CloseOrder</v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 Name")</f>
        <v>Account Name</v>
      </c>
      <c r="C5" s="26" t="str">
        <f>IFERROR(__xludf.DUMMYFUNCTION("""COMPUTED_VALUE"""),"Accrual Basis")</f>
        <v>Accrual Basis</v>
      </c>
      <c r="D5" s="26" t="str">
        <f>IFERROR(__xludf.DUMMYFUNCTION("""COMPUTED_VALUE"""),"Accrued Interest")</f>
        <v>Accrued Interest</v>
      </c>
      <c r="E5" s="26" t="str">
        <f>IFERROR(__xludf.DUMMYFUNCTION("""COMPUTED_VALUE"""),"Allocated Qty")</f>
        <v>Allocated Qty</v>
      </c>
      <c r="F5" s="27" t="str">
        <f>IFERROR(__xludf.DUMMYFUNCTION("""COMPUTED_VALUE"""),"Allocation Scheme Name")</f>
        <v>Allocation Scheme Name</v>
      </c>
      <c r="G5" s="26" t="str">
        <f>IFERROR(__xludf.DUMMYFUNCTION("""COMPUTED_VALUE"""),"Asset Category")</f>
        <v>Asset Category</v>
      </c>
      <c r="H5" s="26" t="str">
        <f>IFERROR(__xludf.DUMMYFUNCTION("""COMPUTED_VALUE"""),"AUEC Fee1")</f>
        <v>AUEC Fee1</v>
      </c>
      <c r="I5" s="26" t="str">
        <f>IFERROR(__xludf.DUMMYFUNCTION("""COMPUTED_VALUE"""),"AUEC Fee2")</f>
        <v>AUEC Fee2</v>
      </c>
      <c r="J5" s="26" t="str">
        <f>IFERROR(__xludf.DUMMYFUNCTION("""COMPUTED_VALUE"""),"AUECID")</f>
        <v>AUECID</v>
      </c>
      <c r="K5" s="26" t="str">
        <f>IFERROR(__xludf.DUMMYFUNCTION("""COMPUTED_VALUE"""),"Avg Price(Base)")</f>
        <v>Avg Price(Base)</v>
      </c>
      <c r="L5" s="26" t="str">
        <f>IFERROR(__xludf.DUMMYFUNCTION("""COMPUTED_VALUE"""),"Avg Price(Local)")</f>
        <v>Avg Price(Local)</v>
      </c>
      <c r="M5" s="26" t="str">
        <f>IFERROR(__xludf.DUMMYFUNCTION("""COMPUTED_VALUE"""),"Bloomberg")</f>
        <v>Bloomberg</v>
      </c>
      <c r="N5" s="26" t="str">
        <f>IFERROR(__xludf.DUMMYFUNCTION("""COMPUTED_VALUE"""),"Bond Type")</f>
        <v>Bond Type</v>
      </c>
      <c r="O5" s="26" t="str">
        <f>IFERROR(__xludf.DUMMYFUNCTION("""COMPUTED_VALUE"""),"Broker")</f>
        <v>Broker</v>
      </c>
      <c r="P5" s="26" t="str">
        <f>IFERROR(__xludf.DUMMYFUNCTION("""COMPUTED_VALUE"""),"Change Comment")</f>
        <v>Change Comment</v>
      </c>
      <c r="Q5" s="26" t="str">
        <f>IFERROR(__xludf.DUMMYFUNCTION("""COMPUTED_VALUE"""),"Change Type")</f>
        <v>Change Type</v>
      </c>
      <c r="R5" s="26" t="str">
        <f>IFERROR(__xludf.DUMMYFUNCTION("""COMPUTED_VALUE"""),"Clearing Broker Fee")</f>
        <v>Clearing Broker Fee</v>
      </c>
      <c r="S5" s="26" t="str">
        <f>IFERROR(__xludf.DUMMYFUNCTION("""COMPUTED_VALUE"""),"Closing Status")</f>
        <v>Closing Status</v>
      </c>
      <c r="T5" s="28" t="str">
        <f>IFERROR(__xludf.DUMMYFUNCTION("""COMPUTED_VALUE"""),"Commission")</f>
        <v>Commission</v>
      </c>
      <c r="U5" s="28" t="str">
        <f>IFERROR(__xludf.DUMMYFUNCTION("""COMPUTED_VALUE"""),"Commission Per Share")</f>
        <v>Commission Per Share</v>
      </c>
      <c r="V5" s="28" t="str">
        <f>IFERROR(__xludf.DUMMYFUNCTION("""COMPUTED_VALUE"""),"Company")</f>
        <v>Company</v>
      </c>
      <c r="W5" s="28" t="str">
        <f>IFERROR(__xludf.DUMMYFUNCTION("""COMPUTED_VALUE"""),"Contract Multiplier")</f>
        <v>Contract Multiplier</v>
      </c>
      <c r="X5" s="28" t="str">
        <f>IFERROR(__xludf.DUMMYFUNCTION("""COMPUTED_VALUE"""),"Coupon Rate")</f>
        <v>Coupon Rate</v>
      </c>
      <c r="Y5" s="28" t="str">
        <f>IFERROR(__xludf.DUMMYFUNCTION("""COMPUTED_VALUE"""),"Cum Qty For Sub Order")</f>
        <v>Cum Qty For Sub Order</v>
      </c>
      <c r="Z5" s="28" t="str">
        <f>IFERROR(__xludf.DUMMYFUNCTION("""COMPUTED_VALUE"""),"Currency")</f>
        <v>Currency</v>
      </c>
      <c r="AA5" s="28" t="str">
        <f>IFERROR(__xludf.DUMMYFUNCTION("""COMPUTED_VALUE"""),"Cusip Symbol")</f>
        <v>Cusip Symbol</v>
      </c>
      <c r="AB5" s="28" t="str">
        <f>IFERROR(__xludf.DUMMYFUNCTION("""COMPUTED_VALUE"""),"Delta")</f>
        <v>Delta</v>
      </c>
      <c r="AC5" s="28" t="str">
        <f>IFERROR(__xludf.DUMMYFUNCTION("""COMPUTED_VALUE"""),"Description")</f>
        <v>Description</v>
      </c>
      <c r="AD5" s="28" t="str">
        <f>IFERROR(__xludf.DUMMYFUNCTION("""COMPUTED_VALUE"""),"Exchange")</f>
        <v>Exchange</v>
      </c>
      <c r="AE5" s="28" t="str">
        <f>IFERROR(__xludf.DUMMYFUNCTION("""COMPUTED_VALUE"""),"Executed Qty")</f>
        <v>Executed Qty</v>
      </c>
      <c r="AF5" s="28" t="str">
        <f>IFERROR(__xludf.DUMMYFUNCTION("""COMPUTED_VALUE"""),"Exceution Time")</f>
        <v>Exceution Time</v>
      </c>
      <c r="AG5" s="28" t="str">
        <f>IFERROR(__xludf.DUMMYFUNCTION("""COMPUTED_VALUE"""),"Expiration Date")</f>
        <v>Expiration Date</v>
      </c>
      <c r="AH5" s="28" t="str">
        <f>IFERROR(__xludf.DUMMYFUNCTION("""COMPUTED_VALUE"""),"FX Conversion Operator")</f>
        <v>FX Conversion Operator</v>
      </c>
      <c r="AI5" s="28" t="str">
        <f>IFERROR(__xludf.DUMMYFUNCTION("""COMPUTED_VALUE"""),"FX Rate")</f>
        <v>FX Rate</v>
      </c>
      <c r="AJ5" s="28" t="str">
        <f>IFERROR(__xludf.DUMMYFUNCTION("""COMPUTED_VALUE"""),"Group Status")</f>
        <v>Group Status</v>
      </c>
      <c r="AK5" s="28" t="str">
        <f>IFERROR(__xludf.DUMMYFUNCTION("""COMPUTED_VALUE"""),"IDCOSymbol")</f>
        <v>IDCOSymbol</v>
      </c>
      <c r="AL5" s="28" t="str">
        <f>IFERROR(__xludf.DUMMYFUNCTION("""COMPUTED_VALUE"""),"Import File Name")</f>
        <v>Import File Name</v>
      </c>
      <c r="AM5" s="28" t="str">
        <f>IFERROR(__xludf.DUMMYFUNCTION("""COMPUTED_VALUE"""),"Internal Comments")</f>
        <v>Internal Comments</v>
      </c>
      <c r="AN5" s="28" t="str">
        <f>IFERROR(__xludf.DUMMYFUNCTION("""COMPUTED_VALUE"""),"IsAnotherTaxlotAttributesUpdated")</f>
        <v>IsAnotherTaxlotAttributesUpdated</v>
      </c>
      <c r="AO5" s="28" t="str">
        <f>IFERROR(__xludf.DUMMYFUNCTION("""COMPUTED_VALUE"""),"ISIN")</f>
        <v>ISIN</v>
      </c>
      <c r="AP5" s="28" t="str">
        <f>IFERROR(__xludf.DUMMYFUNCTION("""COMPUTED_VALUE"""),"IsManualGroup")</f>
        <v>IsManualGroup</v>
      </c>
      <c r="AQ5" s="28" t="str">
        <f>IFERROR(__xludf.DUMMYFUNCTION("""COMPUTED_VALUE"""),"ISNDF")</f>
        <v>ISNDF</v>
      </c>
      <c r="AR5" s="28" t="str">
        <f>IFERROR(__xludf.DUMMYFUNCTION("""COMPUTED_VALUE"""),"IsPreAllocated")</f>
        <v>IsPreAllocated</v>
      </c>
      <c r="AS5" s="28" t="str">
        <f>IFERROR(__xludf.DUMMYFUNCTION("""COMPUTED_VALUE"""),"M2MProfitLoss")</f>
        <v>M2MProfitLoss</v>
      </c>
      <c r="AT5" s="28" t="str">
        <f>IFERROR(__xludf.DUMMYFUNCTION("""COMPUTED_VALUE"""),"Net Amount( Base)")</f>
        <v>Net Amount( Base)</v>
      </c>
      <c r="AU5" s="28" t="str">
        <f>IFERROR(__xludf.DUMMYFUNCTION("""COMPUTED_VALUE"""),"Net Amount( Local)")</f>
        <v>Net Amount( Local)</v>
      </c>
      <c r="AV5" s="28" t="str">
        <f>IFERROR(__xludf.DUMMYFUNCTION("""COMPUTED_VALUE"""),"Nirvana Process Date")</f>
        <v>Nirvana Process Date</v>
      </c>
      <c r="AW5" s="28" t="str">
        <f>IFERROR(__xludf.DUMMYFUNCTION("""COMPUTED_VALUE"""),"OCC Fee")</f>
        <v>OCC Fee</v>
      </c>
      <c r="AX5" s="28" t="str">
        <f>IFERROR(__xludf.DUMMYFUNCTION("""COMPUTED_VALUE"""),"Option Premium Adjustment")</f>
        <v>Option Premium Adjustment</v>
      </c>
      <c r="AY5" s="28" t="str">
        <f>IFERROR(__xludf.DUMMYFUNCTION("""COMPUTED_VALUE"""),"Order Type")</f>
        <v>Order Type</v>
      </c>
      <c r="AZ5" s="28" t="str">
        <f>IFERROR(__xludf.DUMMYFUNCTION("""COMPUTED_VALUE"""),"ORF Fee")</f>
        <v>ORF Fee</v>
      </c>
      <c r="BA5" s="28" t="str">
        <f>IFERROR(__xludf.DUMMYFUNCTION("""COMPUTED_VALUE"""),"Original Purchase Date")</f>
        <v>Original Purchase Date</v>
      </c>
      <c r="BB5" s="28" t="str">
        <f>IFERROR(__xludf.DUMMYFUNCTION("""COMPUTED_VALUE"""),"OSISSymbol")</f>
        <v>OSISSymbol</v>
      </c>
      <c r="BC5" s="28" t="str">
        <f>IFERROR(__xludf.DUMMYFUNCTION("""COMPUTED_VALUE"""),"Other Broker Fees")</f>
        <v>Other Broker Fees</v>
      </c>
      <c r="BD5" s="28" t="str">
        <f>IFERROR(__xludf.DUMMYFUNCTION("""COMPUTED_VALUE"""),"Prana Msg Type")</f>
        <v>Prana Msg Type</v>
      </c>
      <c r="BE5" s="28" t="str">
        <f>IFERROR(__xludf.DUMMYFUNCTION("""COMPUTED_VALUE"""),"Principal Amount( Base)")</f>
        <v>Principal Amount( Base)</v>
      </c>
      <c r="BF5" s="28" t="str">
        <f>IFERROR(__xludf.DUMMYFUNCTION("""COMPUTED_VALUE"""),"Principal Amount( Local)")</f>
        <v>Principal Amount( Local)</v>
      </c>
      <c r="BG5" s="28" t="str">
        <f>IFERROR(__xludf.DUMMYFUNCTION("""COMPUTED_VALUE"""),"Process Date")</f>
        <v>Process Date</v>
      </c>
      <c r="BH5" s="28" t="str">
        <f>IFERROR(__xludf.DUMMYFUNCTION("""COMPUTED_VALUE"""),"Proxy Symbol")</f>
        <v>Proxy Symbol</v>
      </c>
      <c r="BI5" s="28" t="str">
        <f>IFERROR(__xludf.DUMMYFUNCTION("""COMPUTED_VALUE"""),"Put Or Call")</f>
        <v>Put Or Call</v>
      </c>
      <c r="BJ5" s="28" t="str">
        <f>IFERROR(__xludf.DUMMYFUNCTION("""COMPUTED_VALUE"""),"Quantity")</f>
        <v>Quantity</v>
      </c>
      <c r="BK5" s="28" t="str">
        <f>IFERROR(__xludf.DUMMYFUNCTION("""COMPUTED_VALUE"""),"SEC Fee")</f>
        <v>SEC Fee</v>
      </c>
      <c r="BL5" s="28" t="str">
        <f>IFERROR(__xludf.DUMMYFUNCTION("""COMPUTED_VALUE"""),"Sedol Symbol")</f>
        <v>Sedol Symbol</v>
      </c>
      <c r="BM5" s="28" t="str">
        <f>IFERROR(__xludf.DUMMYFUNCTION("""COMPUTED_VALUE"""),"Settlement Currency")</f>
        <v>Settlement Currency</v>
      </c>
      <c r="BN5" s="28" t="str">
        <f>IFERROR(__xludf.DUMMYFUNCTION("""COMPUTED_VALUE"""),"Settlement Date")</f>
        <v>Settlement Date</v>
      </c>
      <c r="BO5" s="28" t="str">
        <f>IFERROR(__xludf.DUMMYFUNCTION("""COMPUTED_VALUE"""),"Side")</f>
        <v>Side</v>
      </c>
      <c r="BP5" s="28" t="str">
        <f>IFERROR(__xludf.DUMMYFUNCTION("""COMPUTED_VALUE"""),"Soft Commission")</f>
        <v>Soft Commission</v>
      </c>
      <c r="BQ5" s="28" t="str">
        <f>IFERROR(__xludf.DUMMYFUNCTION("""COMPUTED_VALUE"""),"Soft Commission Per Share")</f>
        <v>Soft Commission Per Share</v>
      </c>
      <c r="BR5" s="28" t="str">
        <f>IFERROR(__xludf.DUMMYFUNCTION("""COMPUTED_VALUE"""),"Stamp Duty")</f>
        <v>Stamp Duty</v>
      </c>
      <c r="BS5" s="28" t="str">
        <f>IFERROR(__xludf.DUMMYFUNCTION("""COMPUTED_VALUE"""),"Strategy Name")</f>
        <v>Strategy Name</v>
      </c>
      <c r="BT5" s="28" t="str">
        <f>IFERROR(__xludf.DUMMYFUNCTION("""COMPUTED_VALUE"""),"Symbol")</f>
        <v>Symbol</v>
      </c>
      <c r="BU5" s="28" t="str">
        <f>IFERROR(__xludf.DUMMYFUNCTION("""COMPUTED_VALUE"""),"Tax On Commissions")</f>
        <v>Tax On Commissions</v>
      </c>
      <c r="BV5" s="28" t="str">
        <f>IFERROR(__xludf.DUMMYFUNCTION("""COMPUTED_VALUE"""),"Total Commission")</f>
        <v>Total Commission</v>
      </c>
      <c r="BW5" s="28" t="str">
        <f>IFERROR(__xludf.DUMMYFUNCTION("""COMPUTED_VALUE"""),"Total Commission And Fee")</f>
        <v>Total Commission And Fee</v>
      </c>
      <c r="BX5" s="28" t="str">
        <f>IFERROR(__xludf.DUMMYFUNCTION("""COMPUTED_VALUE"""),"Total Commission Per Share")</f>
        <v>Total Commission Per Share</v>
      </c>
      <c r="BY5" s="28" t="str">
        <f>IFERROR(__xludf.DUMMYFUNCTION("""COMPUTED_VALUE"""),"Trade Attribute 1")</f>
        <v>Trade Attribute 1</v>
      </c>
      <c r="BZ5" s="28" t="str">
        <f>IFERROR(__xludf.DUMMYFUNCTION("""COMPUTED_VALUE"""),"Trade Attribute 2")</f>
        <v>Trade Attribute 2</v>
      </c>
      <c r="CA5" s="28" t="str">
        <f>IFERROR(__xludf.DUMMYFUNCTION("""COMPUTED_VALUE"""),"Trade Attribute 3")</f>
        <v>Trade Attribute 3</v>
      </c>
      <c r="CB5" s="28" t="str">
        <f>IFERROR(__xludf.DUMMYFUNCTION("""COMPUTED_VALUE"""),"Trade Attribute 4")</f>
        <v>Trade Attribute 4</v>
      </c>
      <c r="CC5" s="28" t="str">
        <f>IFERROR(__xludf.DUMMYFUNCTION("""COMPUTED_VALUE"""),"Trade Attribute 5")</f>
        <v>Trade Attribute 5</v>
      </c>
      <c r="CD5" s="28" t="str">
        <f>IFERROR(__xludf.DUMMYFUNCTION("""COMPUTED_VALUE"""),"Trade Attribute 6")</f>
        <v>Trade Attribute 6</v>
      </c>
      <c r="CE5" s="28" t="str">
        <f>IFERROR(__xludf.DUMMYFUNCTION("""COMPUTED_VALUE"""),"Trade Date")</f>
        <v>Trade Date</v>
      </c>
      <c r="CF5" s="28" t="str">
        <f>IFERROR(__xludf.DUMMYFUNCTION("""COMPUTED_VALUE"""),"Trading Account")</f>
        <v>Trading Account</v>
      </c>
      <c r="CG5" s="28" t="str">
        <f>IFERROR(__xludf.DUMMYFUNCTION("""COMPUTED_VALUE"""),"Transaction Levy")</f>
        <v>Transaction Levy</v>
      </c>
      <c r="CH5" s="28" t="str">
        <f>IFERROR(__xludf.DUMMYFUNCTION("""COMPUTED_VALUE"""),"Transaction Source")</f>
        <v>Transaction Source</v>
      </c>
      <c r="CI5" s="28" t="str">
        <f>IFERROR(__xludf.DUMMYFUNCTION("""COMPUTED_VALUE"""),"Transaction Type")</f>
        <v>Transaction Type</v>
      </c>
      <c r="CJ5" s="28" t="str">
        <f>IFERROR(__xludf.DUMMYFUNCTION("""COMPUTED_VALUE"""),"UnAllocatedQty")</f>
        <v>UnAllocatedQty</v>
      </c>
      <c r="CK5" s="28" t="str">
        <f>IFERROR(__xludf.DUMMYFUNCTION("""COMPUTED_VALUE"""),"Underlying")</f>
        <v>Underlying</v>
      </c>
      <c r="CL5" s="28" t="str">
        <f>IFERROR(__xludf.DUMMYFUNCTION("""COMPUTED_VALUE"""),"Underlying Delta")</f>
        <v>Underlying Delta</v>
      </c>
      <c r="CM5" s="28" t="str">
        <f>IFERROR(__xludf.DUMMYFUNCTION("""COMPUTED_VALUE"""),"Underlying Symbol")</f>
        <v>Underlying Symbol</v>
      </c>
      <c r="CN5" s="28" t="str">
        <f>IFERROR(__xludf.DUMMYFUNCTION("""COMPUTED_VALUE"""),"User")</f>
        <v>User</v>
      </c>
      <c r="CO5" s="28" t="str">
        <f>IFERROR(__xludf.DUMMYFUNCTION("""COMPUTED_VALUE"""),"Venue")</f>
        <v>Venue</v>
      </c>
      <c r="CP5" s="28" t="str">
        <f>IFERROR(__xludf.DUMMYFUNCTION("""COMPUTED_VALUE"""),"Closing Method")</f>
        <v>Closing Method</v>
      </c>
      <c r="CQ5" s="28" t="str">
        <f>IFERROR(__xludf.DUMMYFUNCTION("""COMPUTED_VALUE"""),"Closing Date")</f>
        <v>Closing Date</v>
      </c>
      <c r="CR5" s="28" t="str">
        <f>IFERROR(__xludf.DUMMYFUNCTION("""COMPUTED_VALUE"""),"GroupID")</f>
        <v>GroupID</v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4"/>
      <c r="B6" s="84" t="s">
        <v>16</v>
      </c>
      <c r="C6" s="10"/>
      <c r="D6" s="14"/>
      <c r="E6" s="85">
        <v>105.0</v>
      </c>
      <c r="F6" s="84" t="s">
        <v>84</v>
      </c>
      <c r="G6" s="84" t="s">
        <v>75</v>
      </c>
      <c r="H6" s="85">
        <v>4.0</v>
      </c>
      <c r="I6" s="85">
        <v>5.0</v>
      </c>
      <c r="J6" s="10"/>
      <c r="K6" s="85">
        <v>300.0</v>
      </c>
      <c r="L6" s="85">
        <v>300.0</v>
      </c>
      <c r="M6" s="10"/>
      <c r="N6" s="10"/>
      <c r="O6" s="10"/>
      <c r="S6" s="84" t="s">
        <v>85</v>
      </c>
      <c r="T6" s="85">
        <v>2.5</v>
      </c>
      <c r="U6" s="85">
        <v>0.0238095238095238</v>
      </c>
      <c r="Z6" s="84" t="s">
        <v>18</v>
      </c>
      <c r="AE6" s="85">
        <v>105.0</v>
      </c>
      <c r="AH6" s="84" t="s">
        <v>20</v>
      </c>
      <c r="AI6" s="85">
        <v>1.0</v>
      </c>
      <c r="AJ6" s="84" t="s">
        <v>60</v>
      </c>
      <c r="AT6" s="86">
        <v>31524.0176</v>
      </c>
      <c r="AU6" s="86">
        <v>31524.0176</v>
      </c>
      <c r="BE6" s="86">
        <v>31500.0</v>
      </c>
      <c r="BF6" s="86">
        <v>31500.0</v>
      </c>
      <c r="BJ6" s="85">
        <v>105.0</v>
      </c>
      <c r="BO6" s="84" t="s">
        <v>25</v>
      </c>
      <c r="BP6" s="85">
        <v>7.5</v>
      </c>
      <c r="BQ6" s="85">
        <v>0.0714285714285714</v>
      </c>
      <c r="BR6" s="85">
        <v>0.0176</v>
      </c>
      <c r="BT6" s="84" t="s">
        <v>24</v>
      </c>
      <c r="BU6" s="85">
        <v>3.0</v>
      </c>
      <c r="BV6" s="85">
        <v>10.0</v>
      </c>
      <c r="BW6" s="85">
        <v>24.0176</v>
      </c>
      <c r="BX6" s="85">
        <v>0.0952380952380952</v>
      </c>
      <c r="CE6" s="87">
        <v>43871.0</v>
      </c>
      <c r="CG6" s="85">
        <v>2.0</v>
      </c>
      <c r="CH6" s="84" t="s">
        <v>22</v>
      </c>
      <c r="CI6" s="84" t="s">
        <v>25</v>
      </c>
      <c r="CK6" s="84" t="s">
        <v>78</v>
      </c>
      <c r="CM6" s="84" t="s">
        <v>24</v>
      </c>
      <c r="CP6" s="84"/>
    </row>
    <row r="7" ht="15.75" customHeight="1">
      <c r="A7" s="10"/>
      <c r="B7" s="84" t="s">
        <v>16</v>
      </c>
      <c r="C7" s="10"/>
      <c r="D7" s="10"/>
      <c r="E7" s="85">
        <v>80.0</v>
      </c>
      <c r="F7" s="84" t="s">
        <v>84</v>
      </c>
      <c r="G7" s="84" t="s">
        <v>75</v>
      </c>
      <c r="H7" s="85">
        <v>4.0</v>
      </c>
      <c r="I7" s="85">
        <v>5.0</v>
      </c>
      <c r="J7" s="10"/>
      <c r="K7" s="85">
        <v>300.0</v>
      </c>
      <c r="L7" s="85">
        <v>300.0</v>
      </c>
      <c r="M7" s="10"/>
      <c r="N7" s="10"/>
      <c r="O7" s="10"/>
      <c r="S7" s="84" t="s">
        <v>86</v>
      </c>
      <c r="T7" s="85">
        <v>2.5</v>
      </c>
      <c r="U7" s="85">
        <v>0.03125</v>
      </c>
      <c r="Z7" s="84" t="s">
        <v>18</v>
      </c>
      <c r="AE7" s="85">
        <v>80.0</v>
      </c>
      <c r="AH7" s="84" t="s">
        <v>20</v>
      </c>
      <c r="AI7" s="85">
        <v>1.0</v>
      </c>
      <c r="AJ7" s="84" t="s">
        <v>60</v>
      </c>
      <c r="AT7" s="86">
        <v>24024.0134</v>
      </c>
      <c r="AU7" s="86">
        <v>24024.0134</v>
      </c>
      <c r="BE7" s="86">
        <v>24000.0</v>
      </c>
      <c r="BF7" s="86">
        <v>24000.0</v>
      </c>
      <c r="BJ7" s="85">
        <v>80.0</v>
      </c>
      <c r="BO7" s="84" t="s">
        <v>25</v>
      </c>
      <c r="BP7" s="85">
        <v>7.5</v>
      </c>
      <c r="BQ7" s="85">
        <v>0.09375</v>
      </c>
      <c r="BR7" s="85">
        <v>0.0134</v>
      </c>
      <c r="BT7" s="84" t="s">
        <v>24</v>
      </c>
      <c r="BU7" s="85">
        <v>3.0</v>
      </c>
      <c r="BV7" s="85">
        <v>10.0</v>
      </c>
      <c r="BW7" s="85">
        <v>24.0134</v>
      </c>
      <c r="BX7" s="85">
        <v>0.125</v>
      </c>
      <c r="CE7" s="87">
        <v>43872.0</v>
      </c>
      <c r="CG7" s="85">
        <v>2.0</v>
      </c>
      <c r="CH7" s="84" t="s">
        <v>22</v>
      </c>
      <c r="CI7" s="84" t="s">
        <v>25</v>
      </c>
      <c r="CK7" s="84" t="s">
        <v>78</v>
      </c>
      <c r="CM7" s="84" t="s">
        <v>24</v>
      </c>
      <c r="CP7" s="84"/>
    </row>
    <row r="8" ht="15.75" customHeight="1">
      <c r="A8" s="10"/>
      <c r="B8" s="84" t="s">
        <v>16</v>
      </c>
      <c r="C8" s="10"/>
      <c r="D8" s="10"/>
      <c r="E8" s="85">
        <v>100.0</v>
      </c>
      <c r="F8" s="84" t="s">
        <v>84</v>
      </c>
      <c r="G8" s="84" t="s">
        <v>75</v>
      </c>
      <c r="H8" s="85">
        <v>4.0</v>
      </c>
      <c r="I8" s="85">
        <v>5.0</v>
      </c>
      <c r="J8" s="10"/>
      <c r="K8" s="86">
        <v>1315.0</v>
      </c>
      <c r="L8" s="86">
        <v>1315.0</v>
      </c>
      <c r="M8" s="10"/>
      <c r="N8" s="10"/>
      <c r="O8" s="10"/>
      <c r="S8" s="84" t="s">
        <v>86</v>
      </c>
      <c r="T8" s="85">
        <v>5.0</v>
      </c>
      <c r="U8" s="85">
        <v>0.05</v>
      </c>
      <c r="Z8" s="84" t="s">
        <v>18</v>
      </c>
      <c r="AE8" s="85">
        <v>100.0</v>
      </c>
      <c r="AH8" s="84" t="s">
        <v>20</v>
      </c>
      <c r="AI8" s="85">
        <v>1.0</v>
      </c>
      <c r="AJ8" s="84" t="s">
        <v>41</v>
      </c>
      <c r="AT8" s="86">
        <v>131524.0736</v>
      </c>
      <c r="AU8" s="86">
        <v>131524.0736</v>
      </c>
      <c r="BE8" s="86">
        <v>131500.0</v>
      </c>
      <c r="BF8" s="86">
        <v>131500.0</v>
      </c>
      <c r="BJ8" s="85">
        <v>100.0</v>
      </c>
      <c r="BO8" s="84" t="s">
        <v>25</v>
      </c>
      <c r="BP8" s="85">
        <v>5.0</v>
      </c>
      <c r="BQ8" s="85">
        <v>0.05</v>
      </c>
      <c r="BR8" s="85">
        <v>0.0736</v>
      </c>
      <c r="BT8" s="84" t="s">
        <v>34</v>
      </c>
      <c r="BU8" s="85">
        <v>3.0</v>
      </c>
      <c r="BV8" s="85">
        <v>10.0</v>
      </c>
      <c r="BW8" s="85">
        <v>24.0736</v>
      </c>
      <c r="BX8" s="85">
        <v>0.1</v>
      </c>
      <c r="CE8" s="87">
        <v>43872.0</v>
      </c>
      <c r="CG8" s="85">
        <v>2.0</v>
      </c>
      <c r="CH8" s="84" t="s">
        <v>22</v>
      </c>
      <c r="CI8" s="84" t="s">
        <v>25</v>
      </c>
      <c r="CK8" s="84" t="s">
        <v>78</v>
      </c>
      <c r="CM8" s="84" t="s">
        <v>34</v>
      </c>
      <c r="CP8" s="84"/>
    </row>
    <row r="9" ht="15.75" customHeight="1">
      <c r="A9" s="10"/>
      <c r="B9" s="84" t="s">
        <v>16</v>
      </c>
      <c r="C9" s="10"/>
      <c r="D9" s="10"/>
      <c r="E9" s="85">
        <v>55.0</v>
      </c>
      <c r="F9" s="84" t="s">
        <v>84</v>
      </c>
      <c r="G9" s="84" t="s">
        <v>75</v>
      </c>
      <c r="H9" s="85">
        <v>4.0</v>
      </c>
      <c r="I9" s="85">
        <v>5.0</v>
      </c>
      <c r="J9" s="10"/>
      <c r="K9" s="85">
        <v>300.0</v>
      </c>
      <c r="L9" s="85">
        <v>300.0</v>
      </c>
      <c r="M9" s="10"/>
      <c r="N9" s="10"/>
      <c r="O9" s="10"/>
      <c r="S9" s="84" t="s">
        <v>85</v>
      </c>
      <c r="T9" s="85">
        <v>0.0</v>
      </c>
      <c r="U9" s="85">
        <v>0.0</v>
      </c>
      <c r="Z9" s="84" t="s">
        <v>18</v>
      </c>
      <c r="AE9" s="85">
        <v>55.0</v>
      </c>
      <c r="AH9" s="84" t="s">
        <v>20</v>
      </c>
      <c r="AI9" s="85">
        <v>1.0</v>
      </c>
      <c r="AJ9" s="84" t="s">
        <v>41</v>
      </c>
      <c r="AT9" s="86">
        <v>16485.9908</v>
      </c>
      <c r="AU9" s="86">
        <v>16485.9908</v>
      </c>
      <c r="BE9" s="86">
        <v>16500.0</v>
      </c>
      <c r="BF9" s="86">
        <v>16500.0</v>
      </c>
      <c r="BJ9" s="85">
        <v>55.0</v>
      </c>
      <c r="BO9" s="84" t="s">
        <v>35</v>
      </c>
      <c r="BP9" s="85">
        <v>0.0</v>
      </c>
      <c r="BQ9" s="85">
        <v>0.0</v>
      </c>
      <c r="BR9" s="85">
        <v>0.0092</v>
      </c>
      <c r="BT9" s="84" t="s">
        <v>24</v>
      </c>
      <c r="BU9" s="85">
        <v>3.0</v>
      </c>
      <c r="BV9" s="85">
        <v>0.0</v>
      </c>
      <c r="BW9" s="85">
        <v>14.0092</v>
      </c>
      <c r="BX9" s="85">
        <v>0.0</v>
      </c>
      <c r="CE9" s="87">
        <v>43872.0</v>
      </c>
      <c r="CG9" s="85">
        <v>2.0</v>
      </c>
      <c r="CH9" s="84" t="s">
        <v>22</v>
      </c>
      <c r="CI9" s="84" t="s">
        <v>35</v>
      </c>
      <c r="CK9" s="84" t="s">
        <v>78</v>
      </c>
      <c r="CM9" s="84" t="s">
        <v>24</v>
      </c>
      <c r="CP9" s="84"/>
    </row>
    <row r="10" ht="15.75" customHeight="1">
      <c r="A10" s="10"/>
      <c r="B10" s="84" t="s">
        <v>16</v>
      </c>
      <c r="C10" s="10"/>
      <c r="D10" s="10"/>
      <c r="E10" s="85">
        <v>50.0</v>
      </c>
      <c r="F10" s="84" t="s">
        <v>84</v>
      </c>
      <c r="G10" s="84" t="s">
        <v>75</v>
      </c>
      <c r="H10" s="85">
        <v>0.0</v>
      </c>
      <c r="I10" s="85">
        <v>0.0</v>
      </c>
      <c r="J10" s="10"/>
      <c r="K10" s="85">
        <v>300.22873904762</v>
      </c>
      <c r="L10" s="85">
        <v>300.22873904762</v>
      </c>
      <c r="M10" s="10"/>
      <c r="N10" s="10"/>
      <c r="O10" s="10"/>
      <c r="S10" s="84" t="s">
        <v>86</v>
      </c>
      <c r="T10" s="85">
        <v>0.0</v>
      </c>
      <c r="U10" s="85">
        <v>0.0</v>
      </c>
      <c r="Z10" s="84" t="s">
        <v>18</v>
      </c>
      <c r="AE10" s="85">
        <v>50.0</v>
      </c>
      <c r="AH10" s="84" t="s">
        <v>20</v>
      </c>
      <c r="AI10" s="85">
        <v>1.0</v>
      </c>
      <c r="AJ10" s="84" t="s">
        <v>60</v>
      </c>
      <c r="AT10" s="86">
        <v>15011.436952381</v>
      </c>
      <c r="AU10" s="86">
        <v>15011.436952381</v>
      </c>
      <c r="BE10" s="86">
        <v>15011.436952381</v>
      </c>
      <c r="BF10" s="86">
        <v>15011.436952381</v>
      </c>
      <c r="BJ10" s="85">
        <v>50.0</v>
      </c>
      <c r="BO10" s="84" t="s">
        <v>35</v>
      </c>
      <c r="BP10" s="85">
        <v>0.0</v>
      </c>
      <c r="BQ10" s="85">
        <v>0.0</v>
      </c>
      <c r="BR10" s="85">
        <v>0.0</v>
      </c>
      <c r="BT10" s="84" t="s">
        <v>24</v>
      </c>
      <c r="BU10" s="85">
        <v>0.0</v>
      </c>
      <c r="BV10" s="85">
        <v>0.0</v>
      </c>
      <c r="BW10" s="85">
        <v>0.0</v>
      </c>
      <c r="BX10" s="85">
        <v>0.0</v>
      </c>
      <c r="CE10" s="87">
        <v>43873.0</v>
      </c>
      <c r="CG10" s="85">
        <v>0.0</v>
      </c>
      <c r="CH10" s="84" t="s">
        <v>87</v>
      </c>
      <c r="CI10" s="84" t="s">
        <v>35</v>
      </c>
      <c r="CK10" s="84" t="s">
        <v>78</v>
      </c>
      <c r="CM10" s="84" t="s">
        <v>24</v>
      </c>
      <c r="CP10" s="84"/>
    </row>
    <row r="11" ht="15.75" customHeight="1">
      <c r="A11" s="10"/>
      <c r="B11" s="84" t="s">
        <v>16</v>
      </c>
      <c r="C11" s="10"/>
      <c r="D11" s="10"/>
      <c r="E11" s="85">
        <v>50.0</v>
      </c>
      <c r="F11" s="84" t="s">
        <v>84</v>
      </c>
      <c r="G11" s="84" t="s">
        <v>75</v>
      </c>
      <c r="H11" s="85">
        <v>0.0</v>
      </c>
      <c r="I11" s="85">
        <v>0.0</v>
      </c>
      <c r="J11" s="10"/>
      <c r="K11" s="85">
        <v>187.642961904763</v>
      </c>
      <c r="L11" s="85">
        <v>187.642961904763</v>
      </c>
      <c r="M11" s="10"/>
      <c r="N11" s="10"/>
      <c r="O11" s="10"/>
      <c r="S11" s="84" t="s">
        <v>86</v>
      </c>
      <c r="T11" s="85">
        <v>0.0</v>
      </c>
      <c r="U11" s="85">
        <v>0.0</v>
      </c>
      <c r="Z11" s="84" t="s">
        <v>18</v>
      </c>
      <c r="AE11" s="85">
        <v>50.0</v>
      </c>
      <c r="AH11" s="84" t="s">
        <v>20</v>
      </c>
      <c r="AI11" s="85">
        <v>1.0</v>
      </c>
      <c r="AJ11" s="84" t="s">
        <v>60</v>
      </c>
      <c r="AT11" s="86">
        <v>9382.14809523815</v>
      </c>
      <c r="AU11" s="86">
        <v>9382.14809523815</v>
      </c>
      <c r="BE11" s="86">
        <v>9382.14809523815</v>
      </c>
      <c r="BF11" s="86">
        <v>9382.14809523815</v>
      </c>
      <c r="BJ11" s="85">
        <v>50.0</v>
      </c>
      <c r="BO11" s="84" t="s">
        <v>25</v>
      </c>
      <c r="BP11" s="85">
        <v>0.0</v>
      </c>
      <c r="BQ11" s="85">
        <v>0.0</v>
      </c>
      <c r="BR11" s="85">
        <v>0.0</v>
      </c>
      <c r="BT11" s="84" t="s">
        <v>24</v>
      </c>
      <c r="BU11" s="85">
        <v>0.0</v>
      </c>
      <c r="BV11" s="85">
        <v>0.0</v>
      </c>
      <c r="BW11" s="85">
        <v>0.0</v>
      </c>
      <c r="BX11" s="85">
        <v>0.0</v>
      </c>
      <c r="CE11" s="87">
        <v>43873.0</v>
      </c>
      <c r="CG11" s="85">
        <v>0.0</v>
      </c>
      <c r="CH11" s="84" t="s">
        <v>87</v>
      </c>
      <c r="CI11" s="84" t="s">
        <v>25</v>
      </c>
      <c r="CK11" s="84" t="s">
        <v>78</v>
      </c>
      <c r="CM11" s="84" t="s">
        <v>24</v>
      </c>
      <c r="CP11" s="84"/>
    </row>
    <row r="12" ht="15.75" customHeight="1">
      <c r="A12" s="10"/>
      <c r="B12" s="84" t="s">
        <v>16</v>
      </c>
      <c r="C12" s="10"/>
      <c r="D12" s="10"/>
      <c r="E12" s="85">
        <v>16.5</v>
      </c>
      <c r="F12" s="84" t="s">
        <v>84</v>
      </c>
      <c r="G12" s="84" t="s">
        <v>75</v>
      </c>
      <c r="H12" s="85">
        <v>0.0</v>
      </c>
      <c r="I12" s="85">
        <v>0.0</v>
      </c>
      <c r="J12" s="10"/>
      <c r="K12" s="85">
        <v>341.169021645023</v>
      </c>
      <c r="L12" s="85">
        <v>341.169021645023</v>
      </c>
      <c r="M12" s="10"/>
      <c r="N12" s="10"/>
      <c r="O12" s="10"/>
      <c r="S12" s="84" t="s">
        <v>86</v>
      </c>
      <c r="T12" s="85">
        <v>0.0</v>
      </c>
      <c r="U12" s="85">
        <v>0.0</v>
      </c>
      <c r="Z12" s="84" t="s">
        <v>18</v>
      </c>
      <c r="AE12" s="85">
        <v>16.5</v>
      </c>
      <c r="AH12" s="84" t="s">
        <v>20</v>
      </c>
      <c r="AI12" s="85">
        <v>1.0</v>
      </c>
      <c r="AJ12" s="84" t="s">
        <v>60</v>
      </c>
      <c r="AT12" s="86">
        <v>5629.28885714288</v>
      </c>
      <c r="AU12" s="86">
        <v>5629.28885714288</v>
      </c>
      <c r="BE12" s="86">
        <v>5629.28885714288</v>
      </c>
      <c r="BF12" s="86">
        <v>5629.28885714288</v>
      </c>
      <c r="BJ12" s="85">
        <v>16.5</v>
      </c>
      <c r="BO12" s="84" t="s">
        <v>25</v>
      </c>
      <c r="BP12" s="85">
        <v>0.0</v>
      </c>
      <c r="BQ12" s="85">
        <v>0.0</v>
      </c>
      <c r="BR12" s="85">
        <v>0.0</v>
      </c>
      <c r="BT12" s="84" t="s">
        <v>70</v>
      </c>
      <c r="BU12" s="85">
        <v>0.0</v>
      </c>
      <c r="BV12" s="85">
        <v>0.0</v>
      </c>
      <c r="BW12" s="85">
        <v>0.0</v>
      </c>
      <c r="BX12" s="85">
        <v>0.0</v>
      </c>
      <c r="CE12" s="87">
        <v>43873.0</v>
      </c>
      <c r="CG12" s="85">
        <v>0.0</v>
      </c>
      <c r="CH12" s="84" t="s">
        <v>87</v>
      </c>
      <c r="CI12" s="84" t="s">
        <v>25</v>
      </c>
      <c r="CK12" s="84" t="s">
        <v>78</v>
      </c>
      <c r="CM12" s="84" t="s">
        <v>70</v>
      </c>
      <c r="CP12" s="84"/>
    </row>
    <row r="13" ht="15.75" customHeight="1">
      <c r="A13" s="10"/>
      <c r="B13" s="84" t="s">
        <v>16</v>
      </c>
      <c r="C13" s="10"/>
      <c r="D13" s="10"/>
      <c r="E13" s="85">
        <v>80.0</v>
      </c>
      <c r="F13" s="84" t="s">
        <v>84</v>
      </c>
      <c r="G13" s="84" t="s">
        <v>75</v>
      </c>
      <c r="H13" s="85">
        <v>0.0</v>
      </c>
      <c r="I13" s="85">
        <v>0.0</v>
      </c>
      <c r="J13" s="10"/>
      <c r="K13" s="85">
        <v>300.3001675</v>
      </c>
      <c r="L13" s="85">
        <v>300.3001675</v>
      </c>
      <c r="M13" s="10"/>
      <c r="N13" s="10"/>
      <c r="O13" s="10"/>
      <c r="S13" s="84" t="s">
        <v>86</v>
      </c>
      <c r="T13" s="85">
        <v>0.0</v>
      </c>
      <c r="U13" s="85">
        <v>0.0</v>
      </c>
      <c r="Z13" s="84" t="s">
        <v>18</v>
      </c>
      <c r="AE13" s="85">
        <v>80.0</v>
      </c>
      <c r="AH13" s="84" t="s">
        <v>20</v>
      </c>
      <c r="AI13" s="85">
        <v>1.0</v>
      </c>
      <c r="AJ13" s="84" t="s">
        <v>60</v>
      </c>
      <c r="AT13" s="86">
        <v>24024.0134</v>
      </c>
      <c r="AU13" s="86">
        <v>24024.0134</v>
      </c>
      <c r="BE13" s="86">
        <v>24024.0134</v>
      </c>
      <c r="BF13" s="86">
        <v>24024.0134</v>
      </c>
      <c r="BJ13" s="85">
        <v>80.0</v>
      </c>
      <c r="BO13" s="84" t="s">
        <v>35</v>
      </c>
      <c r="BP13" s="85">
        <v>0.0</v>
      </c>
      <c r="BQ13" s="85">
        <v>0.0</v>
      </c>
      <c r="BR13" s="85">
        <v>0.0</v>
      </c>
      <c r="BT13" s="84" t="s">
        <v>24</v>
      </c>
      <c r="BU13" s="85">
        <v>0.0</v>
      </c>
      <c r="BV13" s="85">
        <v>0.0</v>
      </c>
      <c r="BW13" s="85">
        <v>0.0</v>
      </c>
      <c r="BX13" s="85">
        <v>0.0</v>
      </c>
      <c r="CE13" s="87">
        <v>43873.0</v>
      </c>
      <c r="CG13" s="85">
        <v>0.0</v>
      </c>
      <c r="CH13" s="84" t="s">
        <v>87</v>
      </c>
      <c r="CI13" s="84" t="s">
        <v>35</v>
      </c>
      <c r="CK13" s="84" t="s">
        <v>78</v>
      </c>
      <c r="CM13" s="84" t="s">
        <v>24</v>
      </c>
      <c r="CP13" s="84"/>
    </row>
    <row r="14" ht="15.75" customHeight="1">
      <c r="A14" s="10"/>
      <c r="B14" s="84" t="s">
        <v>16</v>
      </c>
      <c r="C14" s="10"/>
      <c r="D14" s="10"/>
      <c r="E14" s="85">
        <v>80.0</v>
      </c>
      <c r="F14" s="84" t="s">
        <v>84</v>
      </c>
      <c r="G14" s="84" t="s">
        <v>75</v>
      </c>
      <c r="H14" s="85">
        <v>0.0</v>
      </c>
      <c r="I14" s="85">
        <v>0.0</v>
      </c>
      <c r="J14" s="10"/>
      <c r="K14" s="85">
        <v>187.6876046875</v>
      </c>
      <c r="L14" s="85">
        <v>187.6876046875</v>
      </c>
      <c r="M14" s="10"/>
      <c r="N14" s="10"/>
      <c r="O14" s="10"/>
      <c r="S14" s="84" t="s">
        <v>86</v>
      </c>
      <c r="T14" s="85">
        <v>0.0</v>
      </c>
      <c r="U14" s="85">
        <v>0.0</v>
      </c>
      <c r="Z14" s="84" t="s">
        <v>18</v>
      </c>
      <c r="AE14" s="85">
        <v>80.0</v>
      </c>
      <c r="AH14" s="84" t="s">
        <v>20</v>
      </c>
      <c r="AI14" s="85">
        <v>1.0</v>
      </c>
      <c r="AJ14" s="84" t="s">
        <v>60</v>
      </c>
      <c r="AT14" s="86">
        <v>15015.008375</v>
      </c>
      <c r="AU14" s="86">
        <v>15015.008375</v>
      </c>
      <c r="BE14" s="86">
        <v>15015.008375</v>
      </c>
      <c r="BF14" s="86">
        <v>15015.008375</v>
      </c>
      <c r="BJ14" s="85">
        <v>80.0</v>
      </c>
      <c r="BO14" s="84" t="s">
        <v>25</v>
      </c>
      <c r="BP14" s="85">
        <v>0.0</v>
      </c>
      <c r="BQ14" s="85">
        <v>0.0</v>
      </c>
      <c r="BR14" s="85">
        <v>0.0</v>
      </c>
      <c r="BT14" s="84" t="s">
        <v>24</v>
      </c>
      <c r="BU14" s="85">
        <v>0.0</v>
      </c>
      <c r="BV14" s="85">
        <v>0.0</v>
      </c>
      <c r="BW14" s="85">
        <v>0.0</v>
      </c>
      <c r="BX14" s="85">
        <v>0.0</v>
      </c>
      <c r="CE14" s="87">
        <v>43873.0</v>
      </c>
      <c r="CG14" s="85">
        <v>0.0</v>
      </c>
      <c r="CH14" s="84" t="s">
        <v>87</v>
      </c>
      <c r="CI14" s="84" t="s">
        <v>25</v>
      </c>
      <c r="CK14" s="84" t="s">
        <v>78</v>
      </c>
      <c r="CM14" s="84" t="s">
        <v>24</v>
      </c>
      <c r="CP14" s="84"/>
    </row>
    <row r="15" ht="15.75" customHeight="1">
      <c r="A15" s="10"/>
      <c r="B15" s="84" t="s">
        <v>16</v>
      </c>
      <c r="C15" s="10"/>
      <c r="D15" s="10"/>
      <c r="E15" s="85">
        <v>26.4</v>
      </c>
      <c r="F15" s="84" t="s">
        <v>84</v>
      </c>
      <c r="G15" s="84" t="s">
        <v>75</v>
      </c>
      <c r="H15" s="85">
        <v>0.0</v>
      </c>
      <c r="I15" s="85">
        <v>0.0</v>
      </c>
      <c r="J15" s="10"/>
      <c r="K15" s="85">
        <v>341.250190340909</v>
      </c>
      <c r="L15" s="85">
        <v>341.250190340909</v>
      </c>
      <c r="M15" s="10"/>
      <c r="N15" s="10"/>
      <c r="O15" s="10"/>
      <c r="S15" s="84" t="s">
        <v>86</v>
      </c>
      <c r="T15" s="85">
        <v>0.0</v>
      </c>
      <c r="U15" s="85">
        <v>0.0</v>
      </c>
      <c r="Z15" s="84" t="s">
        <v>18</v>
      </c>
      <c r="AE15" s="85">
        <v>26.4</v>
      </c>
      <c r="AH15" s="84" t="s">
        <v>20</v>
      </c>
      <c r="AI15" s="85">
        <v>1.0</v>
      </c>
      <c r="AJ15" s="84" t="s">
        <v>60</v>
      </c>
      <c r="AT15" s="86">
        <v>9009.005025</v>
      </c>
      <c r="AU15" s="86">
        <v>9009.005025</v>
      </c>
      <c r="BE15" s="86">
        <v>9009.005025</v>
      </c>
      <c r="BF15" s="86">
        <v>9009.005025</v>
      </c>
      <c r="BJ15" s="85">
        <v>26.4</v>
      </c>
      <c r="BO15" s="84" t="s">
        <v>25</v>
      </c>
      <c r="BP15" s="85">
        <v>0.0</v>
      </c>
      <c r="BQ15" s="85">
        <v>0.0</v>
      </c>
      <c r="BR15" s="85">
        <v>0.0</v>
      </c>
      <c r="BT15" s="84" t="s">
        <v>70</v>
      </c>
      <c r="BU15" s="85">
        <v>0.0</v>
      </c>
      <c r="BV15" s="85">
        <v>0.0</v>
      </c>
      <c r="BW15" s="85">
        <v>0.0</v>
      </c>
      <c r="BX15" s="85">
        <v>0.0</v>
      </c>
      <c r="CE15" s="87">
        <v>43873.0</v>
      </c>
      <c r="CG15" s="85">
        <v>0.0</v>
      </c>
      <c r="CH15" s="84" t="s">
        <v>87</v>
      </c>
      <c r="CI15" s="84" t="s">
        <v>25</v>
      </c>
      <c r="CK15" s="84" t="s">
        <v>78</v>
      </c>
      <c r="CM15" s="84" t="s">
        <v>70</v>
      </c>
      <c r="CP15" s="84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1b5S4Xpp4fgZ1ez6cK92QFnVBylqz8jhwxdAyEvwDqUI</v>
      </c>
      <c r="K2" s="19"/>
      <c r="L2" s="10"/>
      <c r="M2" s="10"/>
      <c r="N2" s="10"/>
      <c r="O2" s="10"/>
    </row>
    <row r="3" ht="15.75" customHeight="1">
      <c r="A3" s="20"/>
      <c r="B3" s="5" t="s">
        <v>4</v>
      </c>
      <c r="C3" s="21" t="s">
        <v>22</v>
      </c>
      <c r="D3" s="5" t="s">
        <v>7</v>
      </c>
      <c r="E3" s="21" t="s">
        <v>23</v>
      </c>
      <c r="F3" s="5" t="s">
        <v>14</v>
      </c>
      <c r="G3" s="16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IFERROR(__xludf.DUMMYFUNCTION("""COMPUTED_VALUE"""),"ChkBoxBookAsSwap")</f>
        <v>ChkBoxBookAsSwap</v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4"/>
      <c r="B6" s="14" t="s">
        <v>82</v>
      </c>
      <c r="C6" s="10"/>
      <c r="D6" s="14" t="s">
        <v>83</v>
      </c>
      <c r="E6" s="78">
        <v>1000.0</v>
      </c>
      <c r="F6" s="10"/>
      <c r="G6" s="10"/>
      <c r="H6" s="10"/>
      <c r="I6" s="10"/>
      <c r="J6" s="10"/>
      <c r="K6" s="10"/>
      <c r="L6" s="10"/>
      <c r="M6" s="10"/>
      <c r="N6" s="10"/>
      <c r="O6" s="10"/>
    </row>
    <row r="7" ht="15.7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GetMarkPriceData3!$4:$4</formula1>
    </dataValidation>
  </dataValidations>
  <drawing r:id="rId1"/>
</worksheet>
</file>