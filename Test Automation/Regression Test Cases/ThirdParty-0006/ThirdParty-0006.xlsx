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ThirdPartyGenerate" sheetId="8" r:id="rId10"/>
    <sheet state="visible" name="UnWindTradeSettlement" sheetId="9" r:id="rId11"/>
    <sheet state="visible" name="ViewThirdParty" sheetId="10" r:id="rId12"/>
    <sheet state="visible" name="VerifyThirdPartyView" sheetId="11" r:id="rId13"/>
    <sheet state="visible" name="ThirdPartySend" sheetId="12" r:id="rId14"/>
  </sheets>
  <definedNames/>
  <calcPr/>
</workbook>
</file>

<file path=xl/sharedStrings.xml><?xml version="1.0" encoding="utf-8"?>
<sst xmlns="http://schemas.openxmlformats.org/spreadsheetml/2006/main" count="114" uniqueCount="43">
  <si>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</si>
  <si>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</si>
  <si>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</si>
  <si>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</si>
  <si>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</si>
  <si>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</si>
  <si>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</si>
  <si>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</si>
  <si>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</si>
  <si>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</si>
  <si>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</si>
  <si>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</si>
  <si>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</si>
  <si>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</si>
  <si>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</si>
  <si>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</si>
  <si>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O:ABM 10D20.00</t>
  </si>
  <si>
    <t>Buy to Open</t>
  </si>
  <si>
    <t>Allocation1</t>
  </si>
  <si>
    <t>Closing</t>
  </si>
  <si>
    <t>GetDataClosing</t>
  </si>
  <si>
    <t>Current</t>
  </si>
  <si>
    <t>SelectTradeUnexpiredUnsettled</t>
  </si>
  <si>
    <t>EquityOption</t>
  </si>
  <si>
    <t>ExerciseAssignment</t>
  </si>
  <si>
    <t>Buy</t>
  </si>
  <si>
    <t>ABM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</si>
  <si>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</si>
  <si>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</si>
  <si>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</si>
  <si>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</si>
  <si>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</si>
  <si>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</si>
  <si>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</si>
  <si>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</si>
  <si>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</si>
  <si>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UnWindTradeSettlement</t>
  </si>
  <si>
    <t>Long</t>
  </si>
  <si>
    <t xml:space="preserve"> O:ABM 10D20.00</t>
  </si>
  <si>
    <t>ViewThirdParty</t>
  </si>
  <si>
    <t>VerifyThirdPartyView</t>
  </si>
  <si>
    <t>Allocated</t>
  </si>
  <si>
    <t>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</si>
</sst>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49" xfId="0" applyAlignment="1" applyBorder="1" applyFont="1" applyNumberFormat="1">
      <alignment vertical="bottom"/>
    </xf>
    <xf borderId="0" fillId="0" fontId="3" numFmtId="49" xfId="0" applyAlignment="1" applyFont="1" applyNumberForma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IFERROR(__xludf.DUMMYFUNCTION("""COMPUTED_VALUE"""),"GetExecutionReportOrders")</f>
        <v>GetExecutionReportOrders</v>
      </c>
      <c r="C495" t="str">
        <f>IFERROR(__xludf.DUMMYFUNCTION("""COMPUTED_VALUE"""),"1hQPEUlOvv9Vi1KsbHsN6z0TIt4-v9Ckko9Z170M5bto")</f>
        <v>1hQPEUlOvv9Vi1KsbHsN6z0TIt4-v9Ckko9Z170M5bto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IFERROR(__xludf.DUMMYFUNCTION("""COMPUTED_VALUE"""),"VerifyExecutionReport")</f>
        <v>VerifyExecutionReport</v>
      </c>
      <c r="C496" t="str">
        <f>IFERROR(__xludf.DUMMYFUNCTION("""COMPUTED_VALUE"""),"15sKQ6yRs5rA6j70FvZOyg9HBsLCsZF-psuPGXdEFJSg")</f>
        <v>15sKQ6yRs5rA6j70FvZOyg9HBsLCsZF-psuPGXdEFJSg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IFERROR(__xludf.DUMMYFUNCTION("""COMPUTED_VALUE"""),"EnableDisableModule")</f>
        <v>EnableDisableModule</v>
      </c>
      <c r="C497" t="str">
        <f>IFERROR(__xludf.DUMMYFUNCTION("""COMPUTED_VALUE"""),"15tD_fIpFjzJbtr_OxvY-KeLg88908v4fXmpVzi9shPk")</f>
        <v>15tD_fIpFjzJbtr_OxvY-KeLg88908v4fXmpVzi9shPk</v>
      </c>
    </row>
    <row r="498" ht="15.75" customHeight="1">
      <c r="A498" t="str">
        <f>IFERROR(__xludf.DUMMYFUNCTION("""COMPUTED_VALUE"""),"Compliance")</f>
        <v>Compliance</v>
      </c>
      <c r="B498" t="str">
        <f>IFERROR(__xludf.DUMMYFUNCTION("""COMPUTED_VALUE"""),"VerifyRowCalculationBaseWindow")</f>
        <v>VerifyRowCalculationBaseWindow</v>
      </c>
      <c r="C498" t="str">
        <f>IFERROR(__xludf.DUMMYFUNCTION("""COMPUTED_VALUE"""),"16bZAwMHOfN8bD2TadtVor3HvDM0dtF51XYU1iRUEXpQ")</f>
        <v>16bZAwMHOfN8bD2TadtVor3HvDM0dtF51XYU1iRUEXpQ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IFERROR(__xludf.DUMMYFUNCTION("""COMPUTED_VALUE"""),"IsImportOverrideOnShortLocate")</f>
        <v>IsImportOverrideOnShortLocate</v>
      </c>
      <c r="C499" t="str">
        <f>IFERROR(__xludf.DUMMYFUNCTION("""COMPUTED_VALUE"""),"1HBroiXC_lXdWfzSFEUhcmVdGFqF-7ioRbfzMIhd-D84")</f>
        <v>1HBroiXC_lXdWfzSFEUhcmVdGFqF-7ioRbfzMIhd-D84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IFERROR(__xludf.DUMMYFUNCTION("""COMPUTED_VALUE"""),"SetShortLocateStructures")</f>
        <v>SetShortLocateStructures</v>
      </c>
      <c r="C500" t="str">
        <f>IFERROR(__xludf.DUMMYFUNCTION("""COMPUTED_VALUE"""),"1GBfDhS1Qx5z0a-XwiuVZHmjNQQNldS_oLDTK5hBKigQ")</f>
        <v>1GBfDhS1Qx5z0a-XwiuVZHmjNQQNldS_oLDTK5hBKigQ</v>
      </c>
    </row>
    <row r="501" ht="15.75" customHeight="1">
      <c r="A501" t="str">
        <f>IFERROR(__xludf.DUMMYFUNCTION("""COMPUTED_VALUE"""),"ShortLocate")</f>
        <v>ShortLocate</v>
      </c>
      <c r="B501" t="str">
        <f>IFERROR(__xludf.DUMMYFUNCTION("""COMPUTED_VALUE"""),"DownloadFile")</f>
        <v>DownloadFile</v>
      </c>
      <c r="C501" t="str">
        <f>IFERROR(__xludf.DUMMYFUNCTION("""COMPUTED_VALUE"""),"1C33h6u9nbxbc0Ij8SAALe10U-bitzt_AQkClLAmfans")</f>
        <v>1C33h6u9nbxbc0Ij8SAALe10U-bitzt_AQkClLAmfans</v>
      </c>
    </row>
    <row r="502" ht="15.75" customHeight="1">
      <c r="A502" t="str">
        <f>IFERROR(__xludf.DUMMYFUNCTION("""COMPUTED_VALUE"""),"ShortLocate")</f>
        <v>ShortLocate</v>
      </c>
      <c r="B502" t="str">
        <f>IFERROR(__xludf.DUMMYFUNCTION("""COMPUTED_VALUE"""),"SearchShortLocateUI")</f>
        <v>SearchShortLocateUI</v>
      </c>
      <c r="C502" t="str">
        <f>IFERROR(__xludf.DUMMYFUNCTION("""COMPUTED_VALUE"""),"1LYgsVcCeDjfFd0czp2BHUCNhrmdgLKWUrkF_leE2jjo")</f>
        <v>1LYgsVcCeDjfFd0czp2BHUCNhrmdgLKWUrkF_leE2jjo</v>
      </c>
    </row>
    <row r="503" ht="15.75" customHeight="1">
      <c r="A503" t="str">
        <f>IFERROR(__xludf.DUMMYFUNCTION("""COMPUTED_VALUE"""),"ShortLocate")</f>
        <v>ShortLocate</v>
      </c>
      <c r="B503" t="str">
        <f>IFERROR(__xludf.DUMMYFUNCTION("""COMPUTED_VALUE"""),"SetShortLocatePreferences")</f>
        <v>SetShortLocatePreferences</v>
      </c>
      <c r="C503" t="str">
        <f>IFERROR(__xludf.DUMMYFUNCTION("""COMPUTED_VALUE"""),"1Bb8XumY_W8vYN4wPCQjnCEQbJs1H7qhZYGScbFljlsE")</f>
        <v>1Bb8XumY_W8vYN4wPCQjnCEQbJs1H7qhZYGScbFljlsE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10.0</v>
      </c>
      <c r="K6" s="35"/>
      <c r="L6" s="35"/>
      <c r="M6" s="35"/>
      <c r="N6" s="37">
        <f>TODAY()</f>
        <v>44393</v>
      </c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5"/>
      <c r="D6" s="40"/>
      <c r="E6" s="33" t="s">
        <v>23</v>
      </c>
      <c r="F6" s="35"/>
      <c r="G6" s="35"/>
      <c r="H6" s="35"/>
      <c r="I6" s="36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41" t="s">
        <v>17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1">
        <v>100.0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5"/>
      <c r="D6" s="40"/>
      <c r="E6" s="35"/>
      <c r="F6" s="35"/>
      <c r="G6" s="35"/>
      <c r="H6" s="33"/>
      <c r="I6" s="35"/>
      <c r="J6" s="35"/>
      <c r="K6" s="35"/>
      <c r="L6" s="35"/>
      <c r="M6" s="35"/>
      <c r="N6" s="35"/>
      <c r="O6" s="35"/>
      <c r="P6" s="35"/>
      <c r="Q6" s="35"/>
      <c r="R6" s="35"/>
      <c r="S6" s="42"/>
      <c r="T6" s="43"/>
      <c r="U6" s="43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41" t="s">
        <v>25</v>
      </c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41" t="s">
        <v>26</v>
      </c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29</v>
      </c>
      <c r="C6" s="35" t="s">
        <v>30</v>
      </c>
      <c r="D6" s="40" t="s">
        <v>31</v>
      </c>
      <c r="E6" s="35" t="s">
        <v>32</v>
      </c>
      <c r="F6" s="35" t="s">
        <v>33</v>
      </c>
      <c r="G6" s="35" t="s">
        <v>34</v>
      </c>
      <c r="H6" s="35" t="s">
        <v>35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IFERROR(__xludf.DUMMYFUNCTION("""COMPUTED_VALUE"""),"CostBasisGrossPNL")</f>
        <v>CostBasisGrossPNL</v>
      </c>
      <c r="O5" s="28" t="str">
        <f>IFERROR(__xludf.DUMMYFUNCTION("""COMPUTED_VALUE"""),"Currency")</f>
        <v>Currency</v>
      </c>
      <c r="P5" s="28" t="str">
        <f>IFERROR(__xludf.DUMMYFUNCTION("""COMPUTED_VALUE"""),"CurrencyID")</f>
        <v>CurrencyID</v>
      </c>
      <c r="Q5" s="28" t="str">
        <f>IFERROR(__xludf.DUMMYFUNCTION("""COMPUTED_VALUE"""),"Exchange")</f>
        <v>Exchange</v>
      </c>
      <c r="R5" s="28" t="str">
        <f>IFERROR(__xludf.DUMMYFUNCTION("""COMPUTED_VALUE"""),"NotionalChange")</f>
        <v>NotionalChange</v>
      </c>
      <c r="S5" s="28" t="str">
        <f>IFERROR(__xludf.DUMMYFUNCTION("""COMPUTED_VALUE"""),"OpenAveragePrice")</f>
        <v>OpenAveragePrice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IFERROR(__xludf.DUMMYFUNCTION("""COMPUTED_VALUE"""),"Position Type")</f>
        <v>Position Type</v>
      </c>
      <c r="V5" s="30" t="str">
        <f>IFERROR(__xludf.DUMMYFUNCTION("""COMPUTED_VALUE"""),"PositionSide")</f>
        <v>PositionSide</v>
      </c>
      <c r="W5" s="30" t="str">
        <f>IFERROR(__xludf.DUMMYFUNCTION("""COMPUTED_VALUE"""),"PositionTotalCommissionandFees")</f>
        <v>PositionTotalCommissionandFees</v>
      </c>
      <c r="X5" s="30" t="str">
        <f>IFERROR(__xludf.DUMMYFUNCTION("""COMPUTED_VALUE"""),"Realized PNL(C.B.)")</f>
        <v>Realized PNL(C.B.)</v>
      </c>
      <c r="Y5" s="30" t="str">
        <f>IFERROR(__xludf.DUMMYFUNCTION("""COMPUTED_VALUE"""),"Side")</f>
        <v>Side</v>
      </c>
      <c r="Z5" s="30" t="str">
        <f>IFERROR(__xludf.DUMMYFUNCTION("""COMPUTED_VALUE"""),"Strategy")</f>
        <v>Strategy</v>
      </c>
      <c r="AA5" s="30" t="str">
        <f>IFERROR(__xludf.DUMMYFUNCTION("""COMPUTED_VALUE"""),"Symbol")</f>
        <v>Symbol</v>
      </c>
      <c r="AB5" s="30" t="str">
        <f>IFERROR(__xludf.DUMMYFUNCTION("""COMPUTED_VALUE"""),"Taxlot ID")</f>
        <v>Taxlot ID</v>
      </c>
      <c r="AC5" s="30" t="str">
        <f>IFERROR(__xludf.DUMMYFUNCTION("""COMPUTED_VALUE"""),"UnderlyingName")</f>
        <v>UnderlyingName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23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 t="s">
        <v>37</v>
      </c>
      <c r="W6" s="38"/>
      <c r="X6" s="38"/>
      <c r="Y6" s="38" t="s">
        <v>17</v>
      </c>
      <c r="Z6" s="38"/>
      <c r="AA6" s="44" t="s">
        <v>38</v>
      </c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29</v>
      </c>
      <c r="C6" s="35" t="s">
        <v>30</v>
      </c>
      <c r="D6" s="40" t="s">
        <v>31</v>
      </c>
      <c r="E6" s="35" t="s">
        <v>32</v>
      </c>
      <c r="F6" s="35" t="s">
        <v>33</v>
      </c>
      <c r="G6" s="35" t="s">
        <v>34</v>
      </c>
      <c r="H6" s="35" t="s">
        <v>35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18</v>
      </c>
      <c r="C6" s="44" t="s">
        <v>38</v>
      </c>
      <c r="D6" s="45" t="s">
        <v>17</v>
      </c>
      <c r="E6" s="46">
        <v>10.0</v>
      </c>
      <c r="F6" s="47">
        <f>today()</f>
        <v>44393</v>
      </c>
      <c r="G6" s="46">
        <v>100.0</v>
      </c>
      <c r="H6" s="45" t="s">
        <v>41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29</v>
      </c>
      <c r="C6" s="35" t="s">
        <v>30</v>
      </c>
      <c r="D6" s="40" t="s">
        <v>31</v>
      </c>
      <c r="E6" s="35" t="s">
        <v>32</v>
      </c>
      <c r="F6" s="35" t="s">
        <v>33</v>
      </c>
      <c r="G6" s="35" t="s">
        <v>34</v>
      </c>
      <c r="H6" s="35" t="s">
        <v>35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ThirdPartySend!$4:$4</formula1>
    </dataValidation>
  </dataValidations>
  <drawing r:id="rId1"/>
</worksheet>
</file>