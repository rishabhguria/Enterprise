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FilterPM" sheetId="9" r:id="rId11"/>
    <sheet state="visible" name="CheckDashboardPM" sheetId="10" r:id="rId12"/>
    <sheet state="visible" name="FilterPM1" sheetId="11" r:id="rId13"/>
    <sheet state="visible" name="CheckPortfolioManagement" sheetId="12" r:id="rId14"/>
    <sheet state="visible" name="FilterPM2" sheetId="13" r:id="rId15"/>
    <sheet state="visible" name="CheckDashboardPM1" sheetId="14" r:id="rId16"/>
    <sheet state="visible" name="FilterPM3" sheetId="15" r:id="rId17"/>
    <sheet state="visible" name="CheckPortfolioManagement1" sheetId="16" r:id="rId18"/>
    <sheet state="visible" name="FilterPM4" sheetId="17" r:id="rId19"/>
    <sheet state="visible" name="CheckDashboardPM2" sheetId="18" r:id="rId20"/>
    <sheet state="visible" name="FilterPM5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<sst xmlns="http://schemas.openxmlformats.org/spreadsheetml/2006/main" count="490" uniqueCount="61">
  <si>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</si>
  <si>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</si>
  <si>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</si>
  <si>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</si>
  <si>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</si>
  <si>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</si>
  <si>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</si>
  <si>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</si>
  <si>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</si>
  <si>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</si>
  <si>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</si>
  <si>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</si>
  <si>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</si>
  <si>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</si>
  <si>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</si>
  <si>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</si>
  <si>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</si>
  <si>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</si>
  <si>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MSFT</t>
  </si>
  <si>
    <t>Buy</t>
  </si>
  <si>
    <t>Allocation1</t>
  </si>
  <si>
    <t>Sell</t>
  </si>
  <si>
    <t>Allocation3</t>
  </si>
  <si>
    <t>AAPL</t>
  </si>
  <si>
    <t>OFFSHORE</t>
  </si>
  <si>
    <t>DailyValuation</t>
  </si>
  <si>
    <t>GetDailyCash</t>
  </si>
  <si>
    <t>UpdateDailyCash</t>
  </si>
  <si>
    <t>USD</t>
  </si>
  <si>
    <t>PricingInput</t>
  </si>
  <si>
    <t>PortfolioManagement</t>
  </si>
  <si>
    <t>FilterPM</t>
  </si>
  <si>
    <t>MasterFund</t>
  </si>
  <si>
    <t>NewMF</t>
  </si>
  <si>
    <t>CheckDashboardPM</t>
  </si>
  <si>
    <t>CheckPortfolioManagement</t>
  </si>
  <si>
    <t>Long</t>
  </si>
  <si>
    <t>MICROSOFT INC</t>
  </si>
  <si>
    <t>Undefined</t>
  </si>
  <si>
    <t>FIMAT</t>
  </si>
  <si>
    <t>Strategy Unallocated</t>
  </si>
  <si>
    <t>Equity</t>
  </si>
  <si>
    <t>US</t>
  </si>
  <si>
    <t>NASDAQ</t>
  </si>
  <si>
    <t>Equity General</t>
  </si>
  <si>
    <t>Information Technology</t>
  </si>
  <si>
    <t>jpearce</t>
  </si>
  <si>
    <t>MS</t>
  </si>
  <si>
    <t>MSFT US EQUITY</t>
  </si>
  <si>
    <t>UNITED STATES</t>
  </si>
  <si>
    <t>MSFT UDA1</t>
  </si>
  <si>
    <t>Yes</t>
  </si>
  <si>
    <t>APPLE</t>
  </si>
  <si>
    <t>New Hedge</t>
  </si>
  <si>
    <t>Small Cap</t>
  </si>
  <si>
    <t>AAPL US EQUITY</t>
  </si>
  <si>
    <t>test1</t>
  </si>
  <si>
    <t>india</t>
  </si>
  <si>
    <t>test 1</t>
  </si>
  <si>
    <t>Account</t>
  </si>
  <si>
    <t>Allocation1,Allocation3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</si>
</sst>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0.000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14" numFmtId="0" xfId="0" applyAlignment="1" applyFont="1">
      <alignment horizontal="left" readingOrder="0"/>
    </xf>
    <xf borderId="0" fillId="0" fontId="14" numFmtId="3" xfId="0" applyAlignment="1" applyFont="1" applyNumberFormat="1">
      <alignment horizontal="right" readingOrder="0"/>
    </xf>
    <xf borderId="0" fillId="0" fontId="14" numFmtId="0" xfId="0" applyAlignment="1" applyFont="1">
      <alignment horizontal="right" readingOrder="0"/>
    </xf>
    <xf borderId="0" fillId="0" fontId="14" numFmtId="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500.0</v>
      </c>
      <c r="E7" s="13">
        <v>500.0</v>
      </c>
      <c r="F7" s="13" t="s">
        <v>22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19</v>
      </c>
      <c r="D8" s="13">
        <v>200.0</v>
      </c>
      <c r="E8" s="13">
        <v>200.0</v>
      </c>
      <c r="F8" s="13" t="s">
        <v>20</v>
      </c>
      <c r="G8" s="8"/>
      <c r="H8" s="8"/>
      <c r="I8" s="8"/>
      <c r="J8" s="13">
        <v>30.0</v>
      </c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 t="s">
        <v>19</v>
      </c>
      <c r="D9" s="13">
        <v>300.0</v>
      </c>
      <c r="E9" s="13">
        <v>300.0</v>
      </c>
      <c r="F9" s="13" t="s">
        <v>24</v>
      </c>
      <c r="G9" s="8"/>
      <c r="H9" s="8"/>
      <c r="I9" s="8"/>
      <c r="J9" s="13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44306</v>
      </c>
      <c r="C6" s="33">
        <f>today()-1</f>
        <v>44306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28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28</v>
      </c>
      <c r="D8" s="1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IFERROR(__xludf.DUMMYFUNCTION("""COMPUTED_VALUE"""),"Start Of Day Cash")</f>
        <v>Start Of Day Cash</v>
      </c>
      <c r="C5" s="28" t="str">
        <f>IFERROR(__xludf.DUMMYFUNCTION("""COMPUTED_VALUE"""),"Start Of Day Accruals")</f>
        <v>Start Of Day Accruals</v>
      </c>
      <c r="D5" s="28" t="str">
        <f>IFERROR(__xludf.DUMMYFUNCTION("""COMPUTED_VALUE"""),"Day Accruals")</f>
        <v>Day Accruals</v>
      </c>
      <c r="E5" s="28" t="str">
        <f>IFERROR(__xludf.DUMMYFUNCTION("""COMPUTED_VALUE"""),"Cash Inflow")</f>
        <v>Cash Inflow</v>
      </c>
      <c r="F5" s="29" t="str">
        <f>IFERROR(__xludf.DUMMYFUNCTION("""COMPUTED_VALUE"""),"Cash Outflow")</f>
        <v>Cash Outflow</v>
      </c>
      <c r="G5" s="28" t="str">
        <f>IFERROR(__xludf.DUMMYFUNCTION("""COMPUTED_VALUE"""),"Day P&amp;L (Long)")</f>
        <v>Day P&amp;L (Long)</v>
      </c>
      <c r="H5" s="28" t="str">
        <f>IFERROR(__xludf.DUMMYFUNCTION("""COMPUTED_VALUE"""),"Day P&amp;L (Short)")</f>
        <v>Day P&amp;L (Short)</v>
      </c>
      <c r="I5" s="28" t="str">
        <f>IFERROR(__xludf.DUMMYFUNCTION("""COMPUTED_VALUE"""),"Day P&amp;L")</f>
        <v>Day P&amp;L</v>
      </c>
      <c r="J5" s="28" t="str">
        <f>IFERROR(__xludf.DUMMYFUNCTION("""COMPUTED_VALUE"""),"LongExposure")</f>
        <v>LongExposure</v>
      </c>
      <c r="K5" s="28" t="str">
        <f>IFERROR(__xludf.DUMMYFUNCTION("""COMPUTED_VALUE"""),"ShortExposure")</f>
        <v>ShortExposure</v>
      </c>
      <c r="L5" s="28" t="str">
        <f>IFERROR(__xludf.DUMMYFUNCTION("""COMPUTED_VALUE"""),"Net Exposure")</f>
        <v>Net Exposure</v>
      </c>
      <c r="M5" s="28" t="str">
        <f>IFERROR(__xludf.DUMMYFUNCTION("""COMPUTED_VALUE"""),"NAV")</f>
        <v>NAV</v>
      </c>
      <c r="N5" s="28" t="str">
        <f>IFERROR(__xludf.DUMMYFUNCTION("""COMPUTED_VALUE"""),"Underlying Value (Options)")</f>
        <v>Underlying Value (Options)</v>
      </c>
      <c r="O5" s="28" t="str">
        <f>IFERROR(__xludf.DUMMYFUNCTION("""COMPUTED_VALUE"""),"Level1ID")</f>
        <v>Level1ID</v>
      </c>
      <c r="P5" s="28" t="str">
        <f>IFERROR(__xludf.DUMMYFUNCTION("""COMPUTED_VALUE"""),"UnderlyingSymbol")</f>
        <v>UnderlyingSymbol</v>
      </c>
      <c r="Q5" s="28" t="str">
        <f>IFERROR(__xludf.DUMMYFUNCTION("""COMPUTED_VALUE"""),"Symbol")</f>
        <v>Symbol</v>
      </c>
      <c r="R5" s="28" t="str">
        <f>IFERROR(__xludf.DUMMYFUNCTION("""COMPUTED_VALUE"""),"P&amp;L Contribution")</f>
        <v>P&amp;L Contribution</v>
      </c>
      <c r="S5" s="28" t="str">
        <f>IFERROR(__xludf.DUMMYFUNCTION("""COMPUTED_VALUE"""),"Long Market Value")</f>
        <v>Long Market Value</v>
      </c>
      <c r="T5" s="30" t="str">
        <f>IFERROR(__xludf.DUMMYFUNCTION("""COMPUTED_VALUE"""),"Short Market Value")</f>
        <v>Short Market Value</v>
      </c>
      <c r="U5" s="30" t="str">
        <f>IFERROR(__xludf.DUMMYFUNCTION("""COMPUTED_VALUE"""),"Net Market Value")</f>
        <v>Net Market Value</v>
      </c>
      <c r="V5" s="30" t="str">
        <f>IFERROR(__xludf.DUMMYFUNCTION("""COMPUTED_VALUE"""),"Cash Value")</f>
        <v>Cash Value</v>
      </c>
      <c r="W5" s="30" t="str">
        <f>IFERROR(__xludf.DUMMYFUNCTION("""COMPUTED_VALUE"""),"Closing Market Value")</f>
        <v>Closing Market Value</v>
      </c>
      <c r="X5" s="30" t="str">
        <f>IFERROR(__xludf.DUMMYFUNCTION("""COMPUTED_VALUE"""),"NetPosition")</f>
        <v>NetPosition</v>
      </c>
      <c r="Y5" s="30" t="str">
        <f>IFERROR(__xludf.DUMMYFUNCTION("""COMPUTED_VALUE"""),"PositionSideMV")</f>
        <v>PositionSideMV</v>
      </c>
      <c r="Z5" s="30" t="str">
        <f>IFERROR(__xludf.DUMMYFUNCTION("""COMPUTED_VALUE"""),"PositionSideExposure")</f>
        <v>PositionSideExposure</v>
      </c>
      <c r="AA5" s="30" t="str">
        <f>IFERROR(__xludf.DUMMYFUNCTION("""COMPUTED_VALUE"""),"NAVString")</f>
        <v>NAVString</v>
      </c>
      <c r="AB5" s="30" t="str">
        <f>IFERROR(__xludf.DUMMYFUNCTION("""COMPUTED_VALUE"""),"Net Exposure %")</f>
        <v>Net Exposure %</v>
      </c>
      <c r="AC5" s="30" t="str">
        <f>IFERROR(__xludf.DUMMYFUNCTION("""COMPUTED_VALUE"""),"Beta Adj. Exposure %")</f>
        <v>Beta Adj. Exposure %</v>
      </c>
      <c r="AD5" s="30" t="str">
        <f>IFERROR(__xludf.DUMMYFUNCTION("""COMPUTED_VALUE"""),"Cash Value %")</f>
        <v>Cash Value %</v>
      </c>
      <c r="AE5" s="30" t="str">
        <f>IFERROR(__xludf.DUMMYFUNCTION("""COMPUTED_VALUE"""),"Gross Market Value %")</f>
        <v>Gross Market Value %</v>
      </c>
      <c r="AF5" s="30" t="str">
        <f>IFERROR(__xludf.DUMMYFUNCTION("""COMPUTED_VALUE"""),"Long Market Value %")</f>
        <v>Long Market Value %</v>
      </c>
      <c r="AG5" s="30" t="str">
        <f>IFERROR(__xludf.DUMMYFUNCTION("""COMPUTED_VALUE"""),"Net Exposure % (Gross Exposure)")</f>
        <v>Net Exposure % (Gross Exposure)</v>
      </c>
      <c r="AH5" s="30" t="str">
        <f>IFERROR(__xludf.DUMMYFUNCTION("""COMPUTED_VALUE"""),"Short Market Value %")</f>
        <v>Short Market Value %</v>
      </c>
      <c r="AI5" s="30" t="str">
        <f>IFERROR(__xludf.DUMMYFUNCTION("""COMPUTED_VALUE"""),"Cost Basis P&amp;L")</f>
        <v>Cost Basis P&amp;L</v>
      </c>
      <c r="AJ5" s="30" t="str">
        <f>IFERROR(__xludf.DUMMYFUNCTION("""COMPUTED_VALUE"""),"Start of Day NAV")</f>
        <v>Start of Day NAV</v>
      </c>
      <c r="AK5" s="30" t="str">
        <f>IFERROR(__xludf.DUMMYFUNCTION("""COMPUTED_VALUE"""),"Day Return")</f>
        <v>Day Return</v>
      </c>
      <c r="AL5" s="30" t="str">
        <f>IFERROR(__xludf.DUMMYFUNCTION("""COMPUTED_VALUE"""),"Beta Adj. Exposure")</f>
        <v>Beta Adj. Exposure</v>
      </c>
      <c r="AM5" s="30" t="str">
        <f>IFERROR(__xludf.DUMMYFUNCTION("""COMPUTED_VALUE"""),"Earned Dividend Base")</f>
        <v>Earned Dividend Base</v>
      </c>
      <c r="AN5" s="30" t="str">
        <f>IFERROR(__xludf.DUMMYFUNCTION("""COMPUTED_VALUE"""),"YTD Return")</f>
        <v>YTD Return</v>
      </c>
      <c r="AO5" s="30" t="str">
        <f>IFERROR(__xludf.DUMMYFUNCTION("""COMPUTED_VALUE"""),"QTD Return")</f>
        <v>QTD Return</v>
      </c>
      <c r="AP5" s="30" t="str">
        <f>IFERROR(__xludf.DUMMYFUNCTION("""COMPUTED_VALUE"""),"MTD Return")</f>
        <v>MTD Return</v>
      </c>
      <c r="AQ5" s="30" t="str">
        <f>IFERROR(__xludf.DUMMYFUNCTION("""COMPUTED_VALUE"""),"Gross Market Value")</f>
        <v>Gross Market Value</v>
      </c>
      <c r="AR5" s="30" t="str">
        <f>IFERROR(__xludf.DUMMYFUNCTION("""COMPUTED_VALUE"""),"GrossExposure")</f>
        <v>GrossExposure</v>
      </c>
      <c r="AS5" s="30" t="str">
        <f>IFERROR(__xludf.DUMMYFUNCTION("""COMPUTED_VALUE"""),"Net Market Value %")</f>
        <v>Net Market Value %</v>
      </c>
      <c r="AT5" s="30" t="str">
        <f>IFERROR(__xludf.DUMMYFUNCTION("""COMPUTED_VALUE"""),"Net Market Value % (Gross MV)")</f>
        <v>Net Market Value % (Gross MV)</v>
      </c>
      <c r="AU5" s="30" t="str">
        <f>IFERROR(__xludf.DUMMYFUNCTION("""COMPUTED_VALUE"""),"Day Return % (Gross MV)")</f>
        <v>Day Return % (Gross MV)</v>
      </c>
      <c r="AV5" s="30" t="str">
        <f>IFERROR(__xludf.DUMMYFUNCTION("""COMPUTED_VALUE"""),"Gross Exposure")</f>
        <v>Gross Exposure</v>
      </c>
      <c r="AW5" s="30" t="str">
        <f>IFERROR(__xludf.DUMMYFUNCTION("""COMPUTED_VALUE"""),"Gross Exposure %")</f>
        <v>Gross Exposure %</v>
      </c>
      <c r="AX5" s="30" t="str">
        <f>IFERROR(__xludf.DUMMYFUNCTION("""COMPUTED_VALUE"""),"Long Debit Limit")</f>
        <v>Long Debit Limit</v>
      </c>
      <c r="AY5" s="30" t="str">
        <f>IFERROR(__xludf.DUMMYFUNCTION("""COMPUTED_VALUE"""),"Short Credit Limit")</f>
        <v>Short Credit Limit</v>
      </c>
      <c r="AZ5" s="30" t="str">
        <f>IFERROR(__xludf.DUMMYFUNCTION("""COMPUTED_VALUE"""),"Long Debit Balance")</f>
        <v>Long Debit Balance</v>
      </c>
      <c r="BA5" s="30" t="str">
        <f>IFERROR(__xludf.DUMMYFUNCTION("""COMPUTED_VALUE"""),"Short Credit Balance")</f>
        <v>Short Credit Balance</v>
      </c>
      <c r="BB5" s="30" t="str">
        <f>IFERROR(__xludf.DUMMYFUNCTION("""COMPUTED_VALUE"""),"Long Exposure")</f>
        <v>Long Exposure</v>
      </c>
      <c r="BC5" s="30" t="str">
        <f>IFERROR(__xludf.DUMMYFUNCTION("""COMPUTED_VALUE"""),"Long Exposure %")</f>
        <v>Long Exposure %</v>
      </c>
      <c r="BD5" s="30" t="str">
        <f>IFERROR(__xludf.DUMMYFUNCTION("""COMPUTED_VALUE"""),"Short Exposure")</f>
        <v>Short Exposure</v>
      </c>
      <c r="BE5" s="30" t="str">
        <f>IFERROR(__xludf.DUMMYFUNCTION("""COMPUTED_VALUE"""),"Short Exposure %")</f>
        <v>Short Exposure %</v>
      </c>
      <c r="BF5" s="30" t="str">
        <f>IFERROR(__xludf.DUMMYFUNCTION("""COMPUTED_VALUE"""),"BetaAdjustedGrossExposure")</f>
        <v>BetaAdjustedGrossExposure</v>
      </c>
      <c r="BG5" s="30" t="str">
        <f>IFERROR(__xludf.DUMMYFUNCTION("""COMPUTED_VALUE"""),"BetaAdjustedLongExposure")</f>
        <v>BetaAdjustedLongExposure</v>
      </c>
      <c r="BH5" s="30" t="str">
        <f>IFERROR(__xludf.DUMMYFUNCTION("""COMPUTED_VALUE"""),"BetaAdjustedShortExposure")</f>
        <v>BetaAdjustedShortExposure</v>
      </c>
      <c r="BI5" s="30" t="str">
        <f>IFERROR(__xludf.DUMMYFUNCTION("""COMPUTED_VALUE"""),"Beta")</f>
        <v>Beta</v>
      </c>
      <c r="BJ5" s="30" t="str">
        <f>IFERROR(__xludf.DUMMYFUNCTION("""COMPUTED_VALUE"""),"Beta Adj. Gross Exposure")</f>
        <v>Beta Adj. Gross Exposure</v>
      </c>
      <c r="BK5" s="30" t="str">
        <f>IFERROR(__xludf.DUMMYFUNCTION("""COMPUTED_VALUE"""),"Beta Adj. Gross Exposure %")</f>
        <v>Beta Adj. Gross Exposure %</v>
      </c>
      <c r="BL5" s="30" t="str">
        <f>IFERROR(__xludf.DUMMYFUNCTION("""COMPUTED_VALUE"""),"Beta Adj. Long Exposure")</f>
        <v>Beta Adj. Long Exposure</v>
      </c>
      <c r="BM5" s="30" t="str">
        <f>IFERROR(__xludf.DUMMYFUNCTION("""COMPUTED_VALUE"""),"Beta Adj. Long Exposure %")</f>
        <v>Beta Adj. Long Exposure %</v>
      </c>
      <c r="BN5" s="30" t="str">
        <f>IFERROR(__xludf.DUMMYFUNCTION("""COMPUTED_VALUE"""),"Beta Adj. Short Exposure")</f>
        <v>Beta Adj. Short Exposure</v>
      </c>
      <c r="BO5" s="30" t="str">
        <f>IFERROR(__xludf.DUMMYFUNCTION("""COMPUTED_VALUE"""),"Beta Adj. Short Exposure %")</f>
        <v>Beta Adj. Short Exposure %</v>
      </c>
      <c r="BP5" s="30" t="str">
        <f>IFERROR(__xludf.DUMMYFUNCTION("""COMPUTED_VALUE"""),"MTD P&amp;L")</f>
        <v>MTD P&amp;L</v>
      </c>
      <c r="BQ5" s="30" t="str">
        <f>IFERROR(__xludf.DUMMYFUNCTION("""COMPUTED_VALUE"""),"QTD P&amp;L")</f>
        <v>QTD P&amp;L</v>
      </c>
      <c r="BR5" s="30" t="str">
        <f>IFERROR(__xludf.DUMMYFUNCTION("""COMPUTED_VALUE"""),"YTD P&amp;L")</f>
        <v>YTD P&amp;L</v>
      </c>
      <c r="BS5" s="30" t="str">
        <f>IFERROR(__xludf.DUMMYFUNCTION("""COMPUTED_VALUE"""),"MasterfundID")</f>
        <v>MasterfundID</v>
      </c>
      <c r="BT5" s="30" t="str">
        <f>IFERROR(__xludf.DUMMYFUNCTION("""COMPUTED_VALUE"""),"NetExposureLocal")</f>
        <v>NetExposureLocal</v>
      </c>
      <c r="BU5" s="30" t="str">
        <f>IFERROR(__xludf.DUMMYFUNCTION("""COMPUTED_VALUE"""),"GrossExposureLocal")</f>
        <v>GrossExposureLocal</v>
      </c>
      <c r="BV5" s="30" t="str">
        <f>IFERROR(__xludf.DUMMYFUNCTION("""COMPUTED_VALUE"""),"BetaAdjustedGrossExposureLocal")</f>
        <v>BetaAdjustedGrossExposureLocal</v>
      </c>
      <c r="BW5" s="30" t="str">
        <f>IFERROR(__xludf.DUMMYFUNCTION("""COMPUTED_VALUE"""),"AssetCategory")</f>
        <v>AssetCategory</v>
      </c>
      <c r="BX5" s="30" t="str">
        <f>IFERROR(__xludf.DUMMYFUNCTION("""COMPUTED_VALUE"""),"Day P&amp;L (FX)")</f>
        <v>Day P&amp;L (FX)</v>
      </c>
      <c r="BY5" s="30" t="str">
        <f>IFERROR(__xludf.DUMMYFUNCTION("""COMPUTED_VALUE"""),"Day P&amp;L (Short) %")</f>
        <v>Day P&amp;L (Short) %</v>
      </c>
      <c r="BZ5" s="30" t="str">
        <f>IFERROR(__xludf.DUMMYFUNCTION("""COMPUTED_VALUE"""),"Day P&amp;L (Long) %")</f>
        <v>Day P&amp;L (Long) %</v>
      </c>
      <c r="CA5" s="30" t="str">
        <f>IFERROR(__xludf.DUMMYFUNCTION("""COMPUTED_VALUE"""),"Day P&amp;L (FX) %")</f>
        <v>Day P&amp;L (FX) %</v>
      </c>
      <c r="CB5" s="30" t="str">
        <f>IFERROR(__xludf.DUMMYFUNCTION("""COMPUTED_VALUE"""),"Long/Short Ratio")</f>
        <v>Long/Short Ratio</v>
      </c>
      <c r="CC5" s="30" t="str">
        <f>IFERROR(__xludf.DUMMYFUNCTION("""COMPUTED_VALUE"""),"LeverageFactor")</f>
        <v>LeverageFactor</v>
      </c>
      <c r="CD5" s="30" t="str">
        <f>IFERROR(__xludf.DUMMYFUNCTION("""COMPUTED_VALUE"""),"AllocatedSymbolWiseQuantity")</f>
        <v>AllocatedSymbolWiseQuantity</v>
      </c>
      <c r="CE5" s="30" t="str">
        <f>IFERROR(__xludf.DUMMYFUNCTION("""COMPUTED_VALUE"""),"CurrencyID")</f>
        <v>CurrencyID</v>
      </c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30000.0</v>
      </c>
      <c r="C6" s="13">
        <v>0.0</v>
      </c>
      <c r="D6" s="13">
        <v>0.0</v>
      </c>
      <c r="E6" s="34">
        <v>5000.0</v>
      </c>
      <c r="F6" s="34">
        <v>16000.0</v>
      </c>
      <c r="G6" s="34">
        <v>0.0</v>
      </c>
      <c r="H6" s="13">
        <v>0.0</v>
      </c>
      <c r="I6" s="34">
        <v>0.0</v>
      </c>
      <c r="J6" s="8"/>
      <c r="K6" s="8"/>
      <c r="L6" s="34">
        <v>11000.0</v>
      </c>
      <c r="M6" s="34">
        <v>30000.0</v>
      </c>
      <c r="N6" s="8"/>
      <c r="O6" s="8"/>
      <c r="S6" s="35">
        <v>11000.0</v>
      </c>
      <c r="T6" s="9">
        <v>0.0</v>
      </c>
      <c r="U6" s="35">
        <v>11000.0</v>
      </c>
      <c r="V6" s="35">
        <v>19000.0</v>
      </c>
      <c r="W6" s="9">
        <v>0.0</v>
      </c>
      <c r="AB6" s="9">
        <v>36.67</v>
      </c>
      <c r="AC6" s="9">
        <v>36.67</v>
      </c>
      <c r="AD6" s="9">
        <v>63.33</v>
      </c>
      <c r="AE6" s="9">
        <v>36.67</v>
      </c>
      <c r="AF6" s="9">
        <v>36.67</v>
      </c>
      <c r="AG6" s="36">
        <v>100.0</v>
      </c>
      <c r="AH6" s="36">
        <v>0.0</v>
      </c>
      <c r="AI6" s="35">
        <v>0.0</v>
      </c>
      <c r="AR6" s="35"/>
      <c r="AU6" s="36">
        <v>0.0</v>
      </c>
      <c r="AV6" s="35">
        <v>11000.0</v>
      </c>
      <c r="AW6" s="9">
        <v>36.67</v>
      </c>
      <c r="BB6" s="35">
        <v>11000.0</v>
      </c>
      <c r="BD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7" t="s">
        <v>18</v>
      </c>
      <c r="D6" s="38">
        <v>1000.0</v>
      </c>
      <c r="E6" s="37" t="s">
        <v>20</v>
      </c>
      <c r="F6" s="37" t="s">
        <v>33</v>
      </c>
      <c r="G6" s="39">
        <v>10.0</v>
      </c>
      <c r="H6" s="37" t="s">
        <v>36</v>
      </c>
      <c r="I6" s="38">
        <v>10000.0</v>
      </c>
      <c r="J6" s="8"/>
      <c r="K6" s="38">
        <v>10000.0</v>
      </c>
      <c r="L6" s="8"/>
      <c r="M6" s="8"/>
      <c r="N6" s="38">
        <v>0.0</v>
      </c>
      <c r="O6" s="37" t="s">
        <v>37</v>
      </c>
      <c r="P6" s="37" t="s">
        <v>38</v>
      </c>
      <c r="Q6" s="38">
        <v>0.0</v>
      </c>
      <c r="R6" s="37" t="s">
        <v>39</v>
      </c>
      <c r="S6" s="37" t="s">
        <v>40</v>
      </c>
      <c r="T6" s="37" t="s">
        <v>41</v>
      </c>
      <c r="U6" s="37" t="s">
        <v>42</v>
      </c>
      <c r="V6" s="37" t="s">
        <v>43</v>
      </c>
      <c r="W6" s="37" t="s">
        <v>28</v>
      </c>
      <c r="X6" s="9">
        <v>1.0</v>
      </c>
      <c r="Y6" s="9">
        <v>1.0</v>
      </c>
      <c r="AB6" s="39">
        <v>0.0</v>
      </c>
      <c r="AC6" s="39">
        <v>0.0</v>
      </c>
      <c r="AD6" s="38">
        <v>10000.0</v>
      </c>
      <c r="AE6" s="38">
        <v>10000.0</v>
      </c>
      <c r="AF6" s="38">
        <v>1000.0</v>
      </c>
      <c r="AG6" s="38">
        <v>10000.0</v>
      </c>
      <c r="AH6" s="38">
        <v>10000.0</v>
      </c>
      <c r="AI6" s="38">
        <v>10000.0</v>
      </c>
      <c r="AJ6" s="40"/>
      <c r="AK6" s="38">
        <v>0.0</v>
      </c>
      <c r="AL6" s="39">
        <v>1.0</v>
      </c>
      <c r="AM6" s="39">
        <v>1.0</v>
      </c>
      <c r="AN6" s="9" t="s">
        <v>19</v>
      </c>
      <c r="AP6" s="37" t="s">
        <v>36</v>
      </c>
      <c r="AQ6" s="37" t="s">
        <v>18</v>
      </c>
      <c r="AR6" s="39">
        <v>10.0</v>
      </c>
      <c r="AS6" s="39">
        <v>1.0</v>
      </c>
      <c r="AW6" s="38">
        <v>0.0</v>
      </c>
      <c r="AX6" s="39">
        <v>0.0</v>
      </c>
      <c r="AY6" s="39">
        <v>0.0</v>
      </c>
      <c r="AZ6" s="38">
        <v>10000.0</v>
      </c>
      <c r="BA6" s="39"/>
      <c r="BD6" s="38">
        <v>-10000.0</v>
      </c>
      <c r="BE6" s="37" t="s">
        <v>41</v>
      </c>
      <c r="BF6" s="37" t="s">
        <v>44</v>
      </c>
      <c r="BG6" s="37" t="s">
        <v>45</v>
      </c>
      <c r="BJ6" s="39">
        <v>0.0</v>
      </c>
      <c r="BK6" s="39">
        <v>0.0</v>
      </c>
      <c r="BL6" s="39">
        <v>0.0</v>
      </c>
      <c r="BM6" s="39">
        <v>0.0</v>
      </c>
      <c r="BO6" s="38">
        <v>-10000.0</v>
      </c>
      <c r="BP6" s="39">
        <v>0.0</v>
      </c>
      <c r="BQ6" s="37" t="s">
        <v>46</v>
      </c>
      <c r="BR6" s="37" t="s">
        <v>47</v>
      </c>
      <c r="BS6" s="39">
        <v>0.0</v>
      </c>
      <c r="BT6" s="39">
        <v>0.0</v>
      </c>
      <c r="BU6" s="37" t="s">
        <v>41</v>
      </c>
      <c r="BX6" s="38">
        <v>10000.0</v>
      </c>
      <c r="BY6" s="38">
        <v>10000.0</v>
      </c>
      <c r="BZ6" s="39">
        <v>10.0</v>
      </c>
      <c r="CA6" s="39">
        <v>10.0</v>
      </c>
      <c r="CC6" s="39">
        <v>0.0</v>
      </c>
      <c r="CD6" s="38">
        <v>0.0</v>
      </c>
      <c r="CE6" s="39">
        <v>0.0</v>
      </c>
      <c r="CF6" s="39">
        <v>0.0</v>
      </c>
      <c r="CG6" s="38">
        <v>0.0</v>
      </c>
      <c r="CH6" s="39">
        <v>0.0</v>
      </c>
      <c r="CI6" s="39">
        <v>0.0</v>
      </c>
      <c r="CJ6" s="39">
        <v>0.0</v>
      </c>
      <c r="CK6" s="39" t="b">
        <v>0</v>
      </c>
      <c r="CP6" s="37" t="s">
        <v>48</v>
      </c>
      <c r="CS6" s="39">
        <v>10.0</v>
      </c>
      <c r="DA6" s="38">
        <v>10000.0</v>
      </c>
      <c r="DB6" s="39"/>
      <c r="DD6" s="38">
        <v>1000.0</v>
      </c>
      <c r="DH6" s="37" t="s">
        <v>38</v>
      </c>
      <c r="DI6" s="39">
        <v>0.0</v>
      </c>
      <c r="DJ6" s="37" t="s">
        <v>19</v>
      </c>
      <c r="DK6" s="39">
        <v>0.0</v>
      </c>
      <c r="DL6" s="39">
        <v>0.0</v>
      </c>
      <c r="DM6" s="39">
        <v>1.0</v>
      </c>
      <c r="DN6" s="39">
        <v>10.0</v>
      </c>
      <c r="DP6" s="9" t="s">
        <v>36</v>
      </c>
      <c r="DQ6" s="9" t="s">
        <v>38</v>
      </c>
      <c r="DR6" s="9" t="s">
        <v>49</v>
      </c>
      <c r="DS6" s="9" t="s">
        <v>50</v>
      </c>
      <c r="DT6" s="9" t="s">
        <v>38</v>
      </c>
      <c r="DU6" s="9" t="s">
        <v>38</v>
      </c>
      <c r="DV6" s="9" t="s">
        <v>38</v>
      </c>
      <c r="DW6" s="41"/>
      <c r="DY6" s="9" t="s">
        <v>38</v>
      </c>
      <c r="DZ6" s="9" t="s">
        <v>37</v>
      </c>
      <c r="EA6" s="9" t="s">
        <v>51</v>
      </c>
      <c r="EB6" s="9" t="s">
        <v>38</v>
      </c>
      <c r="EC6" s="9" t="s">
        <v>38</v>
      </c>
      <c r="ED6" s="9" t="s">
        <v>28</v>
      </c>
      <c r="EG6" s="9">
        <v>33.33</v>
      </c>
      <c r="EH6" s="9">
        <v>33.33</v>
      </c>
      <c r="EI6" s="9">
        <v>33.33</v>
      </c>
      <c r="EJ6" s="9">
        <v>16.67</v>
      </c>
      <c r="EK6" s="9">
        <v>16.67</v>
      </c>
      <c r="EL6" s="9" t="s">
        <v>36</v>
      </c>
      <c r="EM6" s="35">
        <v>5000.0</v>
      </c>
      <c r="EN6" s="35">
        <v>5000.0</v>
      </c>
      <c r="EO6" s="9">
        <v>0.0</v>
      </c>
      <c r="EP6" s="9">
        <v>30000.0</v>
      </c>
      <c r="EQ6" s="9">
        <v>33.33</v>
      </c>
      <c r="ER6" s="9">
        <v>5000.0</v>
      </c>
      <c r="ES6" s="38">
        <v>30000.0</v>
      </c>
      <c r="ET6" s="9">
        <v>0.0</v>
      </c>
      <c r="EU6" s="9">
        <v>33.33</v>
      </c>
      <c r="EV6" s="9" t="s">
        <v>36</v>
      </c>
      <c r="EW6" s="9">
        <v>10000.0</v>
      </c>
      <c r="EX6" s="9" t="b">
        <v>0</v>
      </c>
    </row>
    <row r="7" ht="15.75" customHeight="1">
      <c r="A7" s="8"/>
      <c r="B7" s="8"/>
      <c r="C7" s="37" t="s">
        <v>23</v>
      </c>
      <c r="D7" s="39">
        <v>200.0</v>
      </c>
      <c r="E7" s="37" t="s">
        <v>20</v>
      </c>
      <c r="F7" s="37" t="s">
        <v>33</v>
      </c>
      <c r="G7" s="39">
        <v>30.0</v>
      </c>
      <c r="H7" s="37" t="s">
        <v>36</v>
      </c>
      <c r="I7" s="38">
        <v>6000.0</v>
      </c>
      <c r="J7" s="8"/>
      <c r="K7" s="38">
        <v>6000.0</v>
      </c>
      <c r="L7" s="8"/>
      <c r="M7" s="8"/>
      <c r="N7" s="38">
        <v>0.0</v>
      </c>
      <c r="O7" s="37" t="s">
        <v>52</v>
      </c>
      <c r="P7" s="37" t="s">
        <v>38</v>
      </c>
      <c r="Q7" s="38">
        <v>0.0</v>
      </c>
      <c r="R7" s="37" t="s">
        <v>39</v>
      </c>
      <c r="S7" s="37" t="s">
        <v>40</v>
      </c>
      <c r="T7" s="37" t="s">
        <v>41</v>
      </c>
      <c r="U7" s="37" t="s">
        <v>42</v>
      </c>
      <c r="V7" s="37" t="s">
        <v>43</v>
      </c>
      <c r="W7" s="37" t="s">
        <v>28</v>
      </c>
      <c r="X7" s="9">
        <v>1.0</v>
      </c>
      <c r="Y7" s="9">
        <v>1.0</v>
      </c>
      <c r="AB7" s="39">
        <v>0.0</v>
      </c>
      <c r="AC7" s="39">
        <v>0.0</v>
      </c>
      <c r="AD7" s="38">
        <v>6000.0</v>
      </c>
      <c r="AE7" s="38">
        <v>6000.0</v>
      </c>
      <c r="AF7" s="39">
        <v>200.0</v>
      </c>
      <c r="AG7" s="38">
        <v>6000.0</v>
      </c>
      <c r="AH7" s="38">
        <v>6000.0</v>
      </c>
      <c r="AI7" s="38">
        <v>6000.0</v>
      </c>
      <c r="AJ7" s="38"/>
      <c r="AK7" s="38">
        <v>0.0</v>
      </c>
      <c r="AL7" s="39">
        <v>1.0</v>
      </c>
      <c r="AM7" s="39">
        <v>1.0</v>
      </c>
      <c r="AN7" s="9" t="s">
        <v>19</v>
      </c>
      <c r="AP7" s="37" t="s">
        <v>36</v>
      </c>
      <c r="AQ7" s="37" t="s">
        <v>23</v>
      </c>
      <c r="AR7" s="39">
        <v>30.0</v>
      </c>
      <c r="AS7" s="39">
        <v>1.0</v>
      </c>
      <c r="AW7" s="38">
        <v>0.0</v>
      </c>
      <c r="AX7" s="39">
        <v>0.0</v>
      </c>
      <c r="AY7" s="39">
        <v>0.0</v>
      </c>
      <c r="AZ7" s="38">
        <v>6000.0</v>
      </c>
      <c r="BA7" s="39"/>
      <c r="BD7" s="38">
        <v>-6000.0</v>
      </c>
      <c r="BE7" s="37" t="s">
        <v>41</v>
      </c>
      <c r="BF7" s="37" t="s">
        <v>53</v>
      </c>
      <c r="BG7" s="37" t="s">
        <v>54</v>
      </c>
      <c r="BJ7" s="39">
        <v>0.0</v>
      </c>
      <c r="BK7" s="39">
        <v>0.0</v>
      </c>
      <c r="BL7" s="39">
        <v>0.0</v>
      </c>
      <c r="BM7" s="39">
        <v>0.0</v>
      </c>
      <c r="BO7" s="38">
        <v>-6000.0</v>
      </c>
      <c r="BP7" s="39">
        <v>0.0</v>
      </c>
      <c r="BQ7" s="37" t="s">
        <v>46</v>
      </c>
      <c r="BR7" s="37" t="s">
        <v>47</v>
      </c>
      <c r="BS7" s="39">
        <v>0.0</v>
      </c>
      <c r="BT7" s="39">
        <v>0.0</v>
      </c>
      <c r="BU7" s="37" t="s">
        <v>41</v>
      </c>
      <c r="BX7" s="38">
        <v>6000.0</v>
      </c>
      <c r="BY7" s="38">
        <v>6000.0</v>
      </c>
      <c r="BZ7" s="39">
        <v>30.0</v>
      </c>
      <c r="CA7" s="39">
        <v>30.0</v>
      </c>
      <c r="CC7" s="39">
        <v>0.0</v>
      </c>
      <c r="CD7" s="38">
        <v>0.0</v>
      </c>
      <c r="CE7" s="39">
        <v>0.0</v>
      </c>
      <c r="CF7" s="39">
        <v>0.0</v>
      </c>
      <c r="CG7" s="38">
        <v>0.0</v>
      </c>
      <c r="CH7" s="39">
        <v>0.0</v>
      </c>
      <c r="CI7" s="39">
        <v>0.0</v>
      </c>
      <c r="CJ7" s="39">
        <v>0.0</v>
      </c>
      <c r="CK7" s="39" t="b">
        <v>0</v>
      </c>
      <c r="CP7" s="37" t="s">
        <v>55</v>
      </c>
      <c r="CS7" s="39">
        <v>30.0</v>
      </c>
      <c r="DA7" s="38">
        <v>6000.0</v>
      </c>
      <c r="DB7" s="39"/>
      <c r="DD7" s="39">
        <v>200.0</v>
      </c>
      <c r="DH7" s="37" t="s">
        <v>38</v>
      </c>
      <c r="DI7" s="39">
        <v>0.0</v>
      </c>
      <c r="DJ7" s="37" t="s">
        <v>19</v>
      </c>
      <c r="DK7" s="39">
        <v>0.0</v>
      </c>
      <c r="DL7" s="39">
        <v>0.0</v>
      </c>
      <c r="DM7" s="39">
        <v>1.0</v>
      </c>
      <c r="DN7" s="39">
        <v>30.0</v>
      </c>
      <c r="DP7" s="9" t="s">
        <v>36</v>
      </c>
      <c r="DQ7" s="9" t="s">
        <v>56</v>
      </c>
      <c r="DR7" s="9" t="s">
        <v>57</v>
      </c>
      <c r="DS7" s="9" t="s">
        <v>56</v>
      </c>
      <c r="DT7" s="9" t="s">
        <v>56</v>
      </c>
      <c r="DU7" s="9" t="s">
        <v>58</v>
      </c>
      <c r="DV7" s="9" t="s">
        <v>56</v>
      </c>
      <c r="DW7" s="9" t="s">
        <v>56</v>
      </c>
      <c r="DX7" s="9" t="s">
        <v>56</v>
      </c>
      <c r="DY7" s="9" t="s">
        <v>56</v>
      </c>
      <c r="DZ7" s="9" t="s">
        <v>52</v>
      </c>
      <c r="EA7" s="9" t="s">
        <v>58</v>
      </c>
      <c r="EB7" s="9" t="s">
        <v>56</v>
      </c>
      <c r="EC7" s="9" t="s">
        <v>56</v>
      </c>
      <c r="ED7" s="9" t="s">
        <v>28</v>
      </c>
      <c r="EG7" s="9">
        <v>20.0</v>
      </c>
      <c r="EH7" s="9">
        <v>20.0</v>
      </c>
      <c r="EI7" s="9">
        <v>20.0</v>
      </c>
      <c r="EJ7" s="9">
        <v>20.0</v>
      </c>
      <c r="EK7" s="9">
        <v>20.0</v>
      </c>
      <c r="EL7" s="9" t="s">
        <v>36</v>
      </c>
      <c r="EM7" s="35">
        <v>6000.0</v>
      </c>
      <c r="EN7" s="35">
        <v>6000.0</v>
      </c>
      <c r="EO7" s="9">
        <v>0.0</v>
      </c>
      <c r="EP7" s="9">
        <v>30000.0</v>
      </c>
      <c r="EQ7" s="9">
        <v>20.0</v>
      </c>
      <c r="ER7" s="9">
        <v>6000.0</v>
      </c>
      <c r="ES7" s="35">
        <v>30000.0</v>
      </c>
      <c r="ET7" s="9">
        <v>0.0</v>
      </c>
      <c r="EU7" s="9">
        <v>20.0</v>
      </c>
      <c r="EV7" s="9" t="s">
        <v>36</v>
      </c>
      <c r="EW7" s="9">
        <v>10000.0</v>
      </c>
      <c r="EX7" s="9" t="b">
        <v>0</v>
      </c>
    </row>
    <row r="8" ht="15.75" customHeight="1">
      <c r="A8" s="8"/>
      <c r="B8" s="8"/>
      <c r="C8" s="37" t="s">
        <v>18</v>
      </c>
      <c r="D8" s="39">
        <v>-500.0</v>
      </c>
      <c r="E8" s="37" t="s">
        <v>22</v>
      </c>
      <c r="F8" s="37" t="s">
        <v>33</v>
      </c>
      <c r="G8" s="39">
        <v>10.0</v>
      </c>
      <c r="H8" s="37" t="s">
        <v>36</v>
      </c>
      <c r="I8" s="38">
        <v>-5000.0</v>
      </c>
      <c r="J8" s="8"/>
      <c r="K8" s="38">
        <v>-5000.0</v>
      </c>
      <c r="L8" s="8"/>
      <c r="M8" s="8"/>
      <c r="N8" s="38">
        <v>0.0</v>
      </c>
      <c r="O8" s="37" t="s">
        <v>37</v>
      </c>
      <c r="P8" s="37" t="s">
        <v>38</v>
      </c>
      <c r="Q8" s="38">
        <v>0.0</v>
      </c>
      <c r="R8" s="37" t="s">
        <v>47</v>
      </c>
      <c r="S8" s="37" t="s">
        <v>40</v>
      </c>
      <c r="T8" s="37" t="s">
        <v>41</v>
      </c>
      <c r="U8" s="37" t="s">
        <v>42</v>
      </c>
      <c r="V8" s="37" t="s">
        <v>43</v>
      </c>
      <c r="W8" s="37" t="s">
        <v>28</v>
      </c>
      <c r="X8" s="9">
        <v>1.0</v>
      </c>
      <c r="Y8" s="9">
        <v>1.0</v>
      </c>
      <c r="AB8" s="39">
        <v>0.0</v>
      </c>
      <c r="AC8" s="39">
        <v>0.0</v>
      </c>
      <c r="AD8" s="38">
        <v>-5000.0</v>
      </c>
      <c r="AE8" s="38">
        <v>-5000.0</v>
      </c>
      <c r="AF8" s="39">
        <v>-500.0</v>
      </c>
      <c r="AG8" s="38">
        <v>-5000.0</v>
      </c>
      <c r="AH8" s="38">
        <v>-5000.0</v>
      </c>
      <c r="AI8" s="38">
        <v>-5000.0</v>
      </c>
      <c r="AJ8" s="38"/>
      <c r="AK8" s="38">
        <v>0.0</v>
      </c>
      <c r="AL8" s="39">
        <v>1.0</v>
      </c>
      <c r="AM8" s="39">
        <v>1.0</v>
      </c>
      <c r="AN8" s="9" t="s">
        <v>21</v>
      </c>
      <c r="AP8" s="37" t="s">
        <v>36</v>
      </c>
      <c r="AQ8" s="37" t="s">
        <v>18</v>
      </c>
      <c r="AR8" s="39">
        <v>10.0</v>
      </c>
      <c r="AS8" s="39">
        <v>-1.0</v>
      </c>
      <c r="AW8" s="38">
        <v>0.0</v>
      </c>
      <c r="AX8" s="39">
        <v>0.0</v>
      </c>
      <c r="AY8" s="39">
        <v>0.0</v>
      </c>
      <c r="AZ8" s="38">
        <v>-5000.0</v>
      </c>
      <c r="BA8" s="39"/>
      <c r="BD8" s="38">
        <v>5000.0</v>
      </c>
      <c r="BE8" s="37" t="s">
        <v>41</v>
      </c>
      <c r="BF8" s="37" t="s">
        <v>44</v>
      </c>
      <c r="BG8" s="37" t="s">
        <v>45</v>
      </c>
      <c r="BJ8" s="39">
        <v>0.0</v>
      </c>
      <c r="BK8" s="39">
        <v>0.0</v>
      </c>
      <c r="BL8" s="39">
        <v>0.0</v>
      </c>
      <c r="BM8" s="39">
        <v>0.0</v>
      </c>
      <c r="BO8" s="38">
        <v>5000.0</v>
      </c>
      <c r="BP8" s="39">
        <v>0.0</v>
      </c>
      <c r="BQ8" s="37" t="s">
        <v>46</v>
      </c>
      <c r="BR8" s="37" t="s">
        <v>47</v>
      </c>
      <c r="BS8" s="39">
        <v>0.0</v>
      </c>
      <c r="BT8" s="39">
        <v>0.0</v>
      </c>
      <c r="BU8" s="37" t="s">
        <v>41</v>
      </c>
      <c r="BX8" s="38">
        <v>5000.0</v>
      </c>
      <c r="BY8" s="38">
        <v>5000.0</v>
      </c>
      <c r="BZ8" s="39">
        <v>10.0</v>
      </c>
      <c r="CA8" s="39">
        <v>10.0</v>
      </c>
      <c r="CC8" s="39">
        <v>0.0</v>
      </c>
      <c r="CD8" s="38">
        <v>0.0</v>
      </c>
      <c r="CE8" s="39">
        <v>0.0</v>
      </c>
      <c r="CF8" s="39">
        <v>0.0</v>
      </c>
      <c r="CG8" s="38">
        <v>0.0</v>
      </c>
      <c r="CH8" s="39">
        <v>0.0</v>
      </c>
      <c r="CI8" s="39">
        <v>0.0</v>
      </c>
      <c r="CJ8" s="39">
        <v>0.0</v>
      </c>
      <c r="CK8" s="39" t="b">
        <v>0</v>
      </c>
      <c r="CP8" s="37" t="s">
        <v>48</v>
      </c>
      <c r="CS8" s="39">
        <v>10.0</v>
      </c>
      <c r="DA8" s="38">
        <v>5000.0</v>
      </c>
      <c r="DB8" s="39"/>
      <c r="DD8" s="39">
        <v>-500.0</v>
      </c>
      <c r="DH8" s="37" t="s">
        <v>38</v>
      </c>
      <c r="DI8" s="39">
        <v>0.0</v>
      </c>
      <c r="DJ8" s="37" t="s">
        <v>21</v>
      </c>
      <c r="DK8" s="39">
        <v>0.0</v>
      </c>
      <c r="DL8" s="39">
        <v>0.0</v>
      </c>
      <c r="DM8" s="39">
        <v>1.0</v>
      </c>
      <c r="DN8" s="39">
        <v>10.0</v>
      </c>
      <c r="DP8" s="9" t="s">
        <v>36</v>
      </c>
      <c r="DQ8" s="9" t="s">
        <v>38</v>
      </c>
      <c r="DR8" s="9" t="s">
        <v>49</v>
      </c>
      <c r="DS8" s="9" t="s">
        <v>50</v>
      </c>
      <c r="DT8" s="9" t="s">
        <v>38</v>
      </c>
      <c r="DU8" s="9" t="s">
        <v>38</v>
      </c>
      <c r="DV8" s="9" t="s">
        <v>38</v>
      </c>
      <c r="DW8" s="41"/>
      <c r="DY8" s="9" t="s">
        <v>38</v>
      </c>
      <c r="DZ8" s="9" t="s">
        <v>37</v>
      </c>
      <c r="EA8" s="9" t="s">
        <v>51</v>
      </c>
      <c r="EB8" s="9" t="s">
        <v>38</v>
      </c>
      <c r="EC8" s="9" t="s">
        <v>38</v>
      </c>
      <c r="ED8" s="9" t="s">
        <v>28</v>
      </c>
      <c r="EG8" s="9">
        <v>-16.67</v>
      </c>
      <c r="EH8" s="9">
        <v>16.67</v>
      </c>
      <c r="EI8" s="9">
        <v>-16.67</v>
      </c>
      <c r="EJ8" s="9">
        <v>16.67</v>
      </c>
      <c r="EK8" s="9">
        <v>16.67</v>
      </c>
      <c r="EL8" s="9" t="s">
        <v>36</v>
      </c>
      <c r="EM8" s="35">
        <v>5000.0</v>
      </c>
      <c r="EN8" s="35">
        <v>5000.0</v>
      </c>
      <c r="EO8" s="9">
        <v>0.0</v>
      </c>
      <c r="EP8" s="9">
        <v>30000.0</v>
      </c>
      <c r="EQ8" s="9">
        <v>16.67</v>
      </c>
      <c r="ER8" s="9">
        <v>5000.0</v>
      </c>
      <c r="ES8" s="35">
        <v>30000.0</v>
      </c>
      <c r="ET8" s="9">
        <v>0.0</v>
      </c>
      <c r="EU8" s="9">
        <v>-16.67</v>
      </c>
      <c r="EV8" s="9" t="s">
        <v>36</v>
      </c>
      <c r="EW8" s="9">
        <v>20000.0</v>
      </c>
      <c r="EX8" s="9" t="b">
        <v>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59</v>
      </c>
      <c r="C7" s="9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IFERROR(__xludf.DUMMYFUNCTION("""COMPUTED_VALUE"""),"Start Of Day Cash")</f>
        <v>Start Of Day Cash</v>
      </c>
      <c r="C5" s="28" t="str">
        <f>IFERROR(__xludf.DUMMYFUNCTION("""COMPUTED_VALUE"""),"Start Of Day Accruals")</f>
        <v>Start Of Day Accruals</v>
      </c>
      <c r="D5" s="28" t="str">
        <f>IFERROR(__xludf.DUMMYFUNCTION("""COMPUTED_VALUE"""),"Day Accruals")</f>
        <v>Day Accruals</v>
      </c>
      <c r="E5" s="28" t="str">
        <f>IFERROR(__xludf.DUMMYFUNCTION("""COMPUTED_VALUE"""),"Cash Inflow")</f>
        <v>Cash Inflow</v>
      </c>
      <c r="F5" s="29" t="str">
        <f>IFERROR(__xludf.DUMMYFUNCTION("""COMPUTED_VALUE"""),"Cash Outflow")</f>
        <v>Cash Outflow</v>
      </c>
      <c r="G5" s="28" t="str">
        <f>IFERROR(__xludf.DUMMYFUNCTION("""COMPUTED_VALUE"""),"Day P&amp;L (Long)")</f>
        <v>Day P&amp;L (Long)</v>
      </c>
      <c r="H5" s="28" t="str">
        <f>IFERROR(__xludf.DUMMYFUNCTION("""COMPUTED_VALUE"""),"Day P&amp;L (Short)")</f>
        <v>Day P&amp;L (Short)</v>
      </c>
      <c r="I5" s="28" t="str">
        <f>IFERROR(__xludf.DUMMYFUNCTION("""COMPUTED_VALUE"""),"Day P&amp;L")</f>
        <v>Day P&amp;L</v>
      </c>
      <c r="J5" s="28" t="str">
        <f>IFERROR(__xludf.DUMMYFUNCTION("""COMPUTED_VALUE"""),"LongExposure")</f>
        <v>LongExposure</v>
      </c>
      <c r="K5" s="28" t="str">
        <f>IFERROR(__xludf.DUMMYFUNCTION("""COMPUTED_VALUE"""),"ShortExposure")</f>
        <v>ShortExposure</v>
      </c>
      <c r="L5" s="28" t="str">
        <f>IFERROR(__xludf.DUMMYFUNCTION("""COMPUTED_VALUE"""),"Net Exposure")</f>
        <v>Net Exposure</v>
      </c>
      <c r="M5" s="28" t="str">
        <f>IFERROR(__xludf.DUMMYFUNCTION("""COMPUTED_VALUE"""),"NAV")</f>
        <v>NAV</v>
      </c>
      <c r="N5" s="28" t="str">
        <f>IFERROR(__xludf.DUMMYFUNCTION("""COMPUTED_VALUE"""),"Underlying Value (Options)")</f>
        <v>Underlying Value (Options)</v>
      </c>
      <c r="O5" s="28" t="str">
        <f>IFERROR(__xludf.DUMMYFUNCTION("""COMPUTED_VALUE"""),"Level1ID")</f>
        <v>Level1ID</v>
      </c>
      <c r="P5" s="28" t="str">
        <f>IFERROR(__xludf.DUMMYFUNCTION("""COMPUTED_VALUE"""),"UnderlyingSymbol")</f>
        <v>UnderlyingSymbol</v>
      </c>
      <c r="Q5" s="28" t="str">
        <f>IFERROR(__xludf.DUMMYFUNCTION("""COMPUTED_VALUE"""),"Symbol")</f>
        <v>Symbol</v>
      </c>
      <c r="R5" s="28" t="str">
        <f>IFERROR(__xludf.DUMMYFUNCTION("""COMPUTED_VALUE"""),"P&amp;L Contribution")</f>
        <v>P&amp;L Contribution</v>
      </c>
      <c r="S5" s="28" t="str">
        <f>IFERROR(__xludf.DUMMYFUNCTION("""COMPUTED_VALUE"""),"Long Market Value")</f>
        <v>Long Market Value</v>
      </c>
      <c r="T5" s="30" t="str">
        <f>IFERROR(__xludf.DUMMYFUNCTION("""COMPUTED_VALUE"""),"Short Market Value")</f>
        <v>Short Market Value</v>
      </c>
      <c r="U5" s="30" t="str">
        <f>IFERROR(__xludf.DUMMYFUNCTION("""COMPUTED_VALUE"""),"Net Market Value")</f>
        <v>Net Market Value</v>
      </c>
      <c r="V5" s="30" t="str">
        <f>IFERROR(__xludf.DUMMYFUNCTION("""COMPUTED_VALUE"""),"Cash Value")</f>
        <v>Cash Value</v>
      </c>
      <c r="W5" s="30" t="str">
        <f>IFERROR(__xludf.DUMMYFUNCTION("""COMPUTED_VALUE"""),"Closing Market Value")</f>
        <v>Closing Market Value</v>
      </c>
      <c r="X5" s="30" t="str">
        <f>IFERROR(__xludf.DUMMYFUNCTION("""COMPUTED_VALUE"""),"NetPosition")</f>
        <v>NetPosition</v>
      </c>
      <c r="Y5" s="30" t="str">
        <f>IFERROR(__xludf.DUMMYFUNCTION("""COMPUTED_VALUE"""),"PositionSideMV")</f>
        <v>PositionSideMV</v>
      </c>
      <c r="Z5" s="30" t="str">
        <f>IFERROR(__xludf.DUMMYFUNCTION("""COMPUTED_VALUE"""),"PositionSideExposure")</f>
        <v>PositionSideExposure</v>
      </c>
      <c r="AA5" s="30" t="str">
        <f>IFERROR(__xludf.DUMMYFUNCTION("""COMPUTED_VALUE"""),"NAVString")</f>
        <v>NAVString</v>
      </c>
      <c r="AB5" s="30" t="str">
        <f>IFERROR(__xludf.DUMMYFUNCTION("""COMPUTED_VALUE"""),"Net Exposure %")</f>
        <v>Net Exposure %</v>
      </c>
      <c r="AC5" s="30" t="str">
        <f>IFERROR(__xludf.DUMMYFUNCTION("""COMPUTED_VALUE"""),"Beta Adj. Exposure %")</f>
        <v>Beta Adj. Exposure %</v>
      </c>
      <c r="AD5" s="30" t="str">
        <f>IFERROR(__xludf.DUMMYFUNCTION("""COMPUTED_VALUE"""),"Cash Value %")</f>
        <v>Cash Value %</v>
      </c>
      <c r="AE5" s="30" t="str">
        <f>IFERROR(__xludf.DUMMYFUNCTION("""COMPUTED_VALUE"""),"Gross Market Value %")</f>
        <v>Gross Market Value %</v>
      </c>
      <c r="AF5" s="30" t="str">
        <f>IFERROR(__xludf.DUMMYFUNCTION("""COMPUTED_VALUE"""),"Long Market Value %")</f>
        <v>Long Market Value %</v>
      </c>
      <c r="AG5" s="30" t="str">
        <f>IFERROR(__xludf.DUMMYFUNCTION("""COMPUTED_VALUE"""),"Net Exposure % (Gross Exposure)")</f>
        <v>Net Exposure % (Gross Exposure)</v>
      </c>
      <c r="AH5" s="30" t="str">
        <f>IFERROR(__xludf.DUMMYFUNCTION("""COMPUTED_VALUE"""),"Short Market Value %")</f>
        <v>Short Market Value %</v>
      </c>
      <c r="AI5" s="30" t="str">
        <f>IFERROR(__xludf.DUMMYFUNCTION("""COMPUTED_VALUE"""),"Cost Basis P&amp;L")</f>
        <v>Cost Basis P&amp;L</v>
      </c>
      <c r="AJ5" s="30" t="str">
        <f>IFERROR(__xludf.DUMMYFUNCTION("""COMPUTED_VALUE"""),"Start of Day NAV")</f>
        <v>Start of Day NAV</v>
      </c>
      <c r="AK5" s="30" t="str">
        <f>IFERROR(__xludf.DUMMYFUNCTION("""COMPUTED_VALUE"""),"Day Return")</f>
        <v>Day Return</v>
      </c>
      <c r="AL5" s="30" t="str">
        <f>IFERROR(__xludf.DUMMYFUNCTION("""COMPUTED_VALUE"""),"Beta Adj. Exposure")</f>
        <v>Beta Adj. Exposure</v>
      </c>
      <c r="AM5" s="30" t="str">
        <f>IFERROR(__xludf.DUMMYFUNCTION("""COMPUTED_VALUE"""),"Earned Dividend Base")</f>
        <v>Earned Dividend Base</v>
      </c>
      <c r="AN5" s="30" t="str">
        <f>IFERROR(__xludf.DUMMYFUNCTION("""COMPUTED_VALUE"""),"YTD Return")</f>
        <v>YTD Return</v>
      </c>
      <c r="AO5" s="30" t="str">
        <f>IFERROR(__xludf.DUMMYFUNCTION("""COMPUTED_VALUE"""),"QTD Return")</f>
        <v>QTD Return</v>
      </c>
      <c r="AP5" s="30" t="str">
        <f>IFERROR(__xludf.DUMMYFUNCTION("""COMPUTED_VALUE"""),"MTD Return")</f>
        <v>MTD Return</v>
      </c>
      <c r="AQ5" s="30" t="str">
        <f>IFERROR(__xludf.DUMMYFUNCTION("""COMPUTED_VALUE"""),"Gross Market Value")</f>
        <v>Gross Market Value</v>
      </c>
      <c r="AR5" s="30" t="str">
        <f>IFERROR(__xludf.DUMMYFUNCTION("""COMPUTED_VALUE"""),"GrossExposure")</f>
        <v>GrossExposure</v>
      </c>
      <c r="AS5" s="30" t="str">
        <f>IFERROR(__xludf.DUMMYFUNCTION("""COMPUTED_VALUE"""),"Net Market Value %")</f>
        <v>Net Market Value %</v>
      </c>
      <c r="AT5" s="30" t="str">
        <f>IFERROR(__xludf.DUMMYFUNCTION("""COMPUTED_VALUE"""),"Net Market Value % (Gross MV)")</f>
        <v>Net Market Value % (Gross MV)</v>
      </c>
      <c r="AU5" s="30" t="str">
        <f>IFERROR(__xludf.DUMMYFUNCTION("""COMPUTED_VALUE"""),"Day Return % (Gross MV)")</f>
        <v>Day Return % (Gross MV)</v>
      </c>
      <c r="AV5" s="30" t="str">
        <f>IFERROR(__xludf.DUMMYFUNCTION("""COMPUTED_VALUE"""),"Gross Exposure")</f>
        <v>Gross Exposure</v>
      </c>
      <c r="AW5" s="30" t="str">
        <f>IFERROR(__xludf.DUMMYFUNCTION("""COMPUTED_VALUE"""),"Gross Exposure %")</f>
        <v>Gross Exposure %</v>
      </c>
      <c r="AX5" s="30" t="str">
        <f>IFERROR(__xludf.DUMMYFUNCTION("""COMPUTED_VALUE"""),"Long Debit Limit")</f>
        <v>Long Debit Limit</v>
      </c>
      <c r="AY5" s="30" t="str">
        <f>IFERROR(__xludf.DUMMYFUNCTION("""COMPUTED_VALUE"""),"Short Credit Limit")</f>
        <v>Short Credit Limit</v>
      </c>
      <c r="AZ5" s="30" t="str">
        <f>IFERROR(__xludf.DUMMYFUNCTION("""COMPUTED_VALUE"""),"Long Debit Balance")</f>
        <v>Long Debit Balance</v>
      </c>
      <c r="BA5" s="30" t="str">
        <f>IFERROR(__xludf.DUMMYFUNCTION("""COMPUTED_VALUE"""),"Short Credit Balance")</f>
        <v>Short Credit Balance</v>
      </c>
      <c r="BB5" s="30" t="str">
        <f>IFERROR(__xludf.DUMMYFUNCTION("""COMPUTED_VALUE"""),"Long Exposure")</f>
        <v>Long Exposure</v>
      </c>
      <c r="BC5" s="30" t="str">
        <f>IFERROR(__xludf.DUMMYFUNCTION("""COMPUTED_VALUE"""),"Long Exposure %")</f>
        <v>Long Exposure %</v>
      </c>
      <c r="BD5" s="30" t="str">
        <f>IFERROR(__xludf.DUMMYFUNCTION("""COMPUTED_VALUE"""),"Short Exposure")</f>
        <v>Short Exposure</v>
      </c>
      <c r="BE5" s="30" t="str">
        <f>IFERROR(__xludf.DUMMYFUNCTION("""COMPUTED_VALUE"""),"Short Exposure %")</f>
        <v>Short Exposure %</v>
      </c>
      <c r="BF5" s="30" t="str">
        <f>IFERROR(__xludf.DUMMYFUNCTION("""COMPUTED_VALUE"""),"BetaAdjustedGrossExposure")</f>
        <v>BetaAdjustedGrossExposure</v>
      </c>
      <c r="BG5" s="30" t="str">
        <f>IFERROR(__xludf.DUMMYFUNCTION("""COMPUTED_VALUE"""),"BetaAdjustedLongExposure")</f>
        <v>BetaAdjustedLongExposure</v>
      </c>
      <c r="BH5" s="30" t="str">
        <f>IFERROR(__xludf.DUMMYFUNCTION("""COMPUTED_VALUE"""),"BetaAdjustedShortExposure")</f>
        <v>BetaAdjustedShortExposure</v>
      </c>
      <c r="BI5" s="30" t="str">
        <f>IFERROR(__xludf.DUMMYFUNCTION("""COMPUTED_VALUE"""),"Beta")</f>
        <v>Beta</v>
      </c>
      <c r="BJ5" s="30" t="str">
        <f>IFERROR(__xludf.DUMMYFUNCTION("""COMPUTED_VALUE"""),"Beta Adj. Gross Exposure")</f>
        <v>Beta Adj. Gross Exposure</v>
      </c>
      <c r="BK5" s="30" t="str">
        <f>IFERROR(__xludf.DUMMYFUNCTION("""COMPUTED_VALUE"""),"Beta Adj. Gross Exposure %")</f>
        <v>Beta Adj. Gross Exposure %</v>
      </c>
      <c r="BL5" s="30" t="str">
        <f>IFERROR(__xludf.DUMMYFUNCTION("""COMPUTED_VALUE"""),"Beta Adj. Long Exposure")</f>
        <v>Beta Adj. Long Exposure</v>
      </c>
      <c r="BM5" s="30" t="str">
        <f>IFERROR(__xludf.DUMMYFUNCTION("""COMPUTED_VALUE"""),"Beta Adj. Long Exposure %")</f>
        <v>Beta Adj. Long Exposure %</v>
      </c>
      <c r="BN5" s="30" t="str">
        <f>IFERROR(__xludf.DUMMYFUNCTION("""COMPUTED_VALUE"""),"Beta Adj. Short Exposure")</f>
        <v>Beta Adj. Short Exposure</v>
      </c>
      <c r="BO5" s="30" t="str">
        <f>IFERROR(__xludf.DUMMYFUNCTION("""COMPUTED_VALUE"""),"Beta Adj. Short Exposure %")</f>
        <v>Beta Adj. Short Exposure %</v>
      </c>
      <c r="BP5" s="30" t="str">
        <f>IFERROR(__xludf.DUMMYFUNCTION("""COMPUTED_VALUE"""),"MTD P&amp;L")</f>
        <v>MTD P&amp;L</v>
      </c>
      <c r="BQ5" s="30" t="str">
        <f>IFERROR(__xludf.DUMMYFUNCTION("""COMPUTED_VALUE"""),"QTD P&amp;L")</f>
        <v>QTD P&amp;L</v>
      </c>
      <c r="BR5" s="30" t="str">
        <f>IFERROR(__xludf.DUMMYFUNCTION("""COMPUTED_VALUE"""),"YTD P&amp;L")</f>
        <v>YTD P&amp;L</v>
      </c>
      <c r="BS5" s="30" t="str">
        <f>IFERROR(__xludf.DUMMYFUNCTION("""COMPUTED_VALUE"""),"MasterfundID")</f>
        <v>MasterfundID</v>
      </c>
      <c r="BT5" s="30" t="str">
        <f>IFERROR(__xludf.DUMMYFUNCTION("""COMPUTED_VALUE"""),"NetExposureLocal")</f>
        <v>NetExposureLocal</v>
      </c>
      <c r="BU5" s="30" t="str">
        <f>IFERROR(__xludf.DUMMYFUNCTION("""COMPUTED_VALUE"""),"GrossExposureLocal")</f>
        <v>GrossExposureLocal</v>
      </c>
      <c r="BV5" s="30" t="str">
        <f>IFERROR(__xludf.DUMMYFUNCTION("""COMPUTED_VALUE"""),"BetaAdjustedGrossExposureLocal")</f>
        <v>BetaAdjustedGrossExposureLocal</v>
      </c>
      <c r="BW5" s="30" t="str">
        <f>IFERROR(__xludf.DUMMYFUNCTION("""COMPUTED_VALUE"""),"AssetCategory")</f>
        <v>AssetCategory</v>
      </c>
      <c r="BX5" s="30" t="str">
        <f>IFERROR(__xludf.DUMMYFUNCTION("""COMPUTED_VALUE"""),"Day P&amp;L (FX)")</f>
        <v>Day P&amp;L (FX)</v>
      </c>
      <c r="BY5" s="30" t="str">
        <f>IFERROR(__xludf.DUMMYFUNCTION("""COMPUTED_VALUE"""),"Day P&amp;L (Short) %")</f>
        <v>Day P&amp;L (Short) %</v>
      </c>
      <c r="BZ5" s="30" t="str">
        <f>IFERROR(__xludf.DUMMYFUNCTION("""COMPUTED_VALUE"""),"Day P&amp;L (Long) %")</f>
        <v>Day P&amp;L (Long) %</v>
      </c>
      <c r="CA5" s="30" t="str">
        <f>IFERROR(__xludf.DUMMYFUNCTION("""COMPUTED_VALUE"""),"Day P&amp;L (FX) %")</f>
        <v>Day P&amp;L (FX) %</v>
      </c>
      <c r="CB5" s="30" t="str">
        <f>IFERROR(__xludf.DUMMYFUNCTION("""COMPUTED_VALUE"""),"Long/Short Ratio")</f>
        <v>Long/Short Ratio</v>
      </c>
      <c r="CC5" s="30" t="str">
        <f>IFERROR(__xludf.DUMMYFUNCTION("""COMPUTED_VALUE"""),"LeverageFactor")</f>
        <v>LeverageFactor</v>
      </c>
      <c r="CD5" s="30" t="str">
        <f>IFERROR(__xludf.DUMMYFUNCTION("""COMPUTED_VALUE"""),"AllocatedSymbolWiseQuantity")</f>
        <v>AllocatedSymbolWiseQuantity</v>
      </c>
      <c r="CE5" s="30" t="str">
        <f>IFERROR(__xludf.DUMMYFUNCTION("""COMPUTED_VALUE"""),"CurrencyID")</f>
        <v>CurrencyID</v>
      </c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10000.0</v>
      </c>
      <c r="C6" s="13">
        <v>0.0</v>
      </c>
      <c r="D6" s="13">
        <v>0.0</v>
      </c>
      <c r="E6" s="34">
        <v>0.0</v>
      </c>
      <c r="F6" s="34">
        <v>16000.0</v>
      </c>
      <c r="G6" s="34">
        <v>0.0</v>
      </c>
      <c r="H6" s="13">
        <v>0.0</v>
      </c>
      <c r="I6" s="34">
        <v>0.0</v>
      </c>
      <c r="J6" s="8"/>
      <c r="K6" s="8"/>
      <c r="L6" s="34">
        <v>16000.0</v>
      </c>
      <c r="M6" s="34">
        <v>10000.0</v>
      </c>
      <c r="N6" s="8"/>
      <c r="O6" s="8"/>
      <c r="S6" s="35">
        <v>16000.0</v>
      </c>
      <c r="T6" s="9">
        <v>0.0</v>
      </c>
      <c r="U6" s="35">
        <v>16000.0</v>
      </c>
      <c r="V6" s="35">
        <v>-6000.0</v>
      </c>
      <c r="W6" s="9">
        <v>0.0</v>
      </c>
      <c r="AB6" s="36">
        <v>160.0</v>
      </c>
      <c r="AC6" s="36">
        <v>160.0</v>
      </c>
      <c r="AD6" s="36">
        <v>-60.0</v>
      </c>
      <c r="AE6" s="42">
        <v>160.0</v>
      </c>
      <c r="AF6" s="42">
        <v>160.0</v>
      </c>
      <c r="AG6" s="36">
        <v>100.0</v>
      </c>
      <c r="AH6" s="36">
        <v>0.0</v>
      </c>
      <c r="AI6" s="35">
        <v>0.0</v>
      </c>
      <c r="AR6" s="35"/>
      <c r="AU6" s="43">
        <v>0.0</v>
      </c>
      <c r="AV6" s="35">
        <v>16000.0</v>
      </c>
      <c r="AW6" s="42">
        <v>160.0</v>
      </c>
      <c r="BB6" s="35">
        <v>16000.0</v>
      </c>
      <c r="BD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CheckDashboardPM1!$4:$4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7" t="s">
        <v>18</v>
      </c>
      <c r="D6" s="38">
        <v>1000.0</v>
      </c>
      <c r="E6" s="37" t="s">
        <v>20</v>
      </c>
      <c r="F6" s="37" t="s">
        <v>33</v>
      </c>
      <c r="G6" s="39">
        <v>10.0</v>
      </c>
      <c r="H6" s="37" t="s">
        <v>36</v>
      </c>
      <c r="I6" s="38">
        <v>10000.0</v>
      </c>
      <c r="J6" s="8"/>
      <c r="K6" s="38">
        <v>10000.0</v>
      </c>
      <c r="L6" s="8"/>
      <c r="M6" s="8"/>
      <c r="N6" s="38">
        <v>0.0</v>
      </c>
      <c r="O6" s="37" t="s">
        <v>37</v>
      </c>
      <c r="P6" s="37" t="s">
        <v>38</v>
      </c>
      <c r="Q6" s="38">
        <v>0.0</v>
      </c>
      <c r="R6" s="37" t="s">
        <v>39</v>
      </c>
      <c r="S6" s="37" t="s">
        <v>40</v>
      </c>
      <c r="T6" s="37" t="s">
        <v>41</v>
      </c>
      <c r="U6" s="37" t="s">
        <v>42</v>
      </c>
      <c r="V6" s="37" t="s">
        <v>43</v>
      </c>
      <c r="W6" s="37" t="s">
        <v>28</v>
      </c>
      <c r="X6" s="9">
        <v>1.0</v>
      </c>
      <c r="Y6" s="9">
        <v>1.0</v>
      </c>
      <c r="AB6" s="39">
        <v>0.0</v>
      </c>
      <c r="AC6" s="39">
        <v>0.0</v>
      </c>
      <c r="AD6" s="38">
        <v>10000.0</v>
      </c>
      <c r="AE6" s="38">
        <v>10000.0</v>
      </c>
      <c r="AF6" s="38">
        <v>1000.0</v>
      </c>
      <c r="AG6" s="38">
        <v>10000.0</v>
      </c>
      <c r="AH6" s="38">
        <v>10000.0</v>
      </c>
      <c r="AI6" s="38">
        <v>10000.0</v>
      </c>
      <c r="AJ6" s="40"/>
      <c r="AK6" s="38">
        <v>0.0</v>
      </c>
      <c r="AL6" s="39">
        <v>1.0</v>
      </c>
      <c r="AM6" s="39">
        <v>1.0</v>
      </c>
      <c r="AN6" s="9" t="s">
        <v>19</v>
      </c>
      <c r="AP6" s="37" t="s">
        <v>36</v>
      </c>
      <c r="AQ6" s="37" t="s">
        <v>18</v>
      </c>
      <c r="AR6" s="39">
        <v>10.0</v>
      </c>
      <c r="AS6" s="39">
        <v>1.0</v>
      </c>
      <c r="AW6" s="38">
        <v>0.0</v>
      </c>
      <c r="AX6" s="39">
        <v>0.0</v>
      </c>
      <c r="AY6" s="39">
        <v>0.0</v>
      </c>
      <c r="AZ6" s="38">
        <v>10000.0</v>
      </c>
      <c r="BA6" s="39"/>
      <c r="BD6" s="38">
        <v>-10000.0</v>
      </c>
      <c r="BE6" s="37" t="s">
        <v>41</v>
      </c>
      <c r="BF6" s="37" t="s">
        <v>44</v>
      </c>
      <c r="BG6" s="37" t="s">
        <v>45</v>
      </c>
      <c r="BJ6" s="39">
        <v>0.0</v>
      </c>
      <c r="BK6" s="39">
        <v>0.0</v>
      </c>
      <c r="BL6" s="39">
        <v>0.0</v>
      </c>
      <c r="BM6" s="39">
        <v>0.0</v>
      </c>
      <c r="BO6" s="38">
        <v>-10000.0</v>
      </c>
      <c r="BP6" s="39">
        <v>0.0</v>
      </c>
      <c r="BQ6" s="37" t="s">
        <v>46</v>
      </c>
      <c r="BR6" s="37" t="s">
        <v>47</v>
      </c>
      <c r="BS6" s="39">
        <v>0.0</v>
      </c>
      <c r="BT6" s="39">
        <v>0.0</v>
      </c>
      <c r="BU6" s="37" t="s">
        <v>41</v>
      </c>
      <c r="BX6" s="38">
        <v>10000.0</v>
      </c>
      <c r="BY6" s="38">
        <v>10000.0</v>
      </c>
      <c r="BZ6" s="39">
        <v>10.0</v>
      </c>
      <c r="CA6" s="39">
        <v>10.0</v>
      </c>
      <c r="CC6" s="39">
        <v>0.0</v>
      </c>
      <c r="CD6" s="38">
        <v>0.0</v>
      </c>
      <c r="CE6" s="39">
        <v>0.0</v>
      </c>
      <c r="CF6" s="39">
        <v>0.0</v>
      </c>
      <c r="CG6" s="38">
        <v>0.0</v>
      </c>
      <c r="CH6" s="39">
        <v>0.0</v>
      </c>
      <c r="CI6" s="39">
        <v>0.0</v>
      </c>
      <c r="CJ6" s="39">
        <v>0.0</v>
      </c>
      <c r="CK6" s="39" t="b">
        <v>0</v>
      </c>
      <c r="CP6" s="37" t="s">
        <v>48</v>
      </c>
      <c r="CS6" s="39">
        <v>10.0</v>
      </c>
      <c r="DA6" s="38">
        <v>10000.0</v>
      </c>
      <c r="DB6" s="39"/>
      <c r="DD6" s="38">
        <v>1000.0</v>
      </c>
      <c r="DH6" s="37" t="s">
        <v>38</v>
      </c>
      <c r="DI6" s="39">
        <v>0.0</v>
      </c>
      <c r="DJ6" s="37" t="s">
        <v>19</v>
      </c>
      <c r="DK6" s="39">
        <v>0.0</v>
      </c>
      <c r="DL6" s="39">
        <v>0.0</v>
      </c>
      <c r="DM6" s="39">
        <v>1.0</v>
      </c>
      <c r="DN6" s="39">
        <v>10.0</v>
      </c>
      <c r="DP6" s="9" t="s">
        <v>36</v>
      </c>
      <c r="DQ6" s="9" t="s">
        <v>38</v>
      </c>
      <c r="DR6" s="9" t="s">
        <v>49</v>
      </c>
      <c r="DS6" s="9" t="s">
        <v>50</v>
      </c>
      <c r="DT6" s="9" t="s">
        <v>38</v>
      </c>
      <c r="DU6" s="9" t="s">
        <v>38</v>
      </c>
      <c r="DV6" s="9" t="s">
        <v>38</v>
      </c>
      <c r="DW6" s="41"/>
      <c r="DY6" s="9" t="s">
        <v>38</v>
      </c>
      <c r="DZ6" s="9" t="s">
        <v>37</v>
      </c>
      <c r="EA6" s="9" t="s">
        <v>51</v>
      </c>
      <c r="EB6" s="9" t="s">
        <v>38</v>
      </c>
      <c r="EC6" s="9" t="s">
        <v>38</v>
      </c>
      <c r="ED6" s="9" t="s">
        <v>28</v>
      </c>
      <c r="EG6" s="9">
        <v>100.0</v>
      </c>
      <c r="EH6" s="9">
        <v>100.0</v>
      </c>
      <c r="EI6" s="9">
        <v>100.0</v>
      </c>
      <c r="EJ6" s="9">
        <v>100.0</v>
      </c>
      <c r="EK6" s="9">
        <v>100.0</v>
      </c>
      <c r="EL6" s="9" t="s">
        <v>36</v>
      </c>
      <c r="EM6" s="35">
        <v>10000.0</v>
      </c>
      <c r="EN6" s="35">
        <v>10000.0</v>
      </c>
      <c r="EO6" s="9">
        <v>0.0</v>
      </c>
      <c r="EP6" s="9">
        <v>10000.0</v>
      </c>
      <c r="EQ6" s="9">
        <v>100.0</v>
      </c>
      <c r="ER6" s="9">
        <v>10000.0</v>
      </c>
      <c r="ES6" s="35">
        <v>10000.0</v>
      </c>
      <c r="ET6" s="9">
        <v>0.0</v>
      </c>
      <c r="EU6" s="9">
        <v>100.0</v>
      </c>
      <c r="EV6" s="9" t="s">
        <v>36</v>
      </c>
      <c r="EW6" s="9">
        <v>10000.0</v>
      </c>
      <c r="EX6" s="9" t="b">
        <v>0</v>
      </c>
    </row>
    <row r="7" ht="15.75" customHeight="1">
      <c r="A7" s="8"/>
      <c r="B7" s="8"/>
      <c r="C7" s="37" t="s">
        <v>23</v>
      </c>
      <c r="D7" s="39">
        <v>200.0</v>
      </c>
      <c r="E7" s="37" t="s">
        <v>20</v>
      </c>
      <c r="F7" s="37" t="s">
        <v>33</v>
      </c>
      <c r="G7" s="39">
        <v>30.0</v>
      </c>
      <c r="H7" s="37" t="s">
        <v>36</v>
      </c>
      <c r="I7" s="38">
        <v>6000.0</v>
      </c>
      <c r="J7" s="8"/>
      <c r="K7" s="38">
        <v>6000.0</v>
      </c>
      <c r="L7" s="8"/>
      <c r="M7" s="8"/>
      <c r="N7" s="38">
        <v>0.0</v>
      </c>
      <c r="O7" s="37" t="s">
        <v>52</v>
      </c>
      <c r="P7" s="37" t="s">
        <v>38</v>
      </c>
      <c r="Q7" s="38">
        <v>0.0</v>
      </c>
      <c r="R7" s="37" t="s">
        <v>39</v>
      </c>
      <c r="S7" s="37" t="s">
        <v>40</v>
      </c>
      <c r="T7" s="37" t="s">
        <v>41</v>
      </c>
      <c r="U7" s="37" t="s">
        <v>42</v>
      </c>
      <c r="V7" s="37" t="s">
        <v>43</v>
      </c>
      <c r="W7" s="37" t="s">
        <v>28</v>
      </c>
      <c r="X7" s="9">
        <v>1.0</v>
      </c>
      <c r="Y7" s="9">
        <v>1.0</v>
      </c>
      <c r="AB7" s="39">
        <v>0.0</v>
      </c>
      <c r="AC7" s="39">
        <v>0.0</v>
      </c>
      <c r="AD7" s="38">
        <v>6000.0</v>
      </c>
      <c r="AE7" s="38">
        <v>6000.0</v>
      </c>
      <c r="AF7" s="39">
        <v>200.0</v>
      </c>
      <c r="AG7" s="38">
        <v>6000.0</v>
      </c>
      <c r="AH7" s="38">
        <v>6000.0</v>
      </c>
      <c r="AI7" s="38">
        <v>6000.0</v>
      </c>
      <c r="AJ7" s="38"/>
      <c r="AK7" s="38">
        <v>0.0</v>
      </c>
      <c r="AL7" s="39">
        <v>1.0</v>
      </c>
      <c r="AM7" s="39">
        <v>1.0</v>
      </c>
      <c r="AN7" s="9" t="s">
        <v>19</v>
      </c>
      <c r="AP7" s="37" t="s">
        <v>36</v>
      </c>
      <c r="AQ7" s="37" t="s">
        <v>23</v>
      </c>
      <c r="AR7" s="39">
        <v>30.0</v>
      </c>
      <c r="AS7" s="39">
        <v>1.0</v>
      </c>
      <c r="AW7" s="38">
        <v>0.0</v>
      </c>
      <c r="AX7" s="39">
        <v>0.0</v>
      </c>
      <c r="AY7" s="39">
        <v>0.0</v>
      </c>
      <c r="AZ7" s="38">
        <v>6000.0</v>
      </c>
      <c r="BA7" s="39"/>
      <c r="BD7" s="38">
        <v>-6000.0</v>
      </c>
      <c r="BE7" s="37" t="s">
        <v>41</v>
      </c>
      <c r="BF7" s="37" t="s">
        <v>53</v>
      </c>
      <c r="BG7" s="37" t="s">
        <v>54</v>
      </c>
      <c r="BJ7" s="39">
        <v>0.0</v>
      </c>
      <c r="BK7" s="39">
        <v>0.0</v>
      </c>
      <c r="BL7" s="39">
        <v>0.0</v>
      </c>
      <c r="BM7" s="39">
        <v>0.0</v>
      </c>
      <c r="BO7" s="38">
        <v>-6000.0</v>
      </c>
      <c r="BP7" s="39">
        <v>0.0</v>
      </c>
      <c r="BQ7" s="37" t="s">
        <v>46</v>
      </c>
      <c r="BR7" s="37" t="s">
        <v>47</v>
      </c>
      <c r="BS7" s="39">
        <v>0.0</v>
      </c>
      <c r="BT7" s="39">
        <v>0.0</v>
      </c>
      <c r="BU7" s="37" t="s">
        <v>41</v>
      </c>
      <c r="BX7" s="38">
        <v>6000.0</v>
      </c>
      <c r="BY7" s="38">
        <v>6000.0</v>
      </c>
      <c r="BZ7" s="39">
        <v>30.0</v>
      </c>
      <c r="CA7" s="39">
        <v>30.0</v>
      </c>
      <c r="CC7" s="39">
        <v>0.0</v>
      </c>
      <c r="CD7" s="38">
        <v>0.0</v>
      </c>
      <c r="CE7" s="39">
        <v>0.0</v>
      </c>
      <c r="CF7" s="39">
        <v>0.0</v>
      </c>
      <c r="CG7" s="38">
        <v>0.0</v>
      </c>
      <c r="CH7" s="39">
        <v>0.0</v>
      </c>
      <c r="CI7" s="39">
        <v>0.0</v>
      </c>
      <c r="CJ7" s="39">
        <v>0.0</v>
      </c>
      <c r="CK7" s="39" t="b">
        <v>0</v>
      </c>
      <c r="CP7" s="37" t="s">
        <v>55</v>
      </c>
      <c r="CS7" s="39">
        <v>30.0</v>
      </c>
      <c r="DA7" s="38">
        <v>6000.0</v>
      </c>
      <c r="DB7" s="39"/>
      <c r="DD7" s="39">
        <v>200.0</v>
      </c>
      <c r="DH7" s="37" t="s">
        <v>38</v>
      </c>
      <c r="DI7" s="39">
        <v>0.0</v>
      </c>
      <c r="DJ7" s="37" t="s">
        <v>19</v>
      </c>
      <c r="DK7" s="39">
        <v>0.0</v>
      </c>
      <c r="DL7" s="39">
        <v>0.0</v>
      </c>
      <c r="DM7" s="39">
        <v>1.0</v>
      </c>
      <c r="DN7" s="39">
        <v>30.0</v>
      </c>
      <c r="DP7" s="9" t="s">
        <v>36</v>
      </c>
      <c r="DQ7" s="9" t="s">
        <v>56</v>
      </c>
      <c r="DR7" s="9" t="s">
        <v>57</v>
      </c>
      <c r="DS7" s="9" t="s">
        <v>56</v>
      </c>
      <c r="DT7" s="9" t="s">
        <v>56</v>
      </c>
      <c r="DU7" s="9" t="s">
        <v>58</v>
      </c>
      <c r="DV7" s="9" t="s">
        <v>56</v>
      </c>
      <c r="DW7" s="9" t="s">
        <v>56</v>
      </c>
      <c r="DX7" s="9" t="s">
        <v>56</v>
      </c>
      <c r="DY7" s="9" t="s">
        <v>56</v>
      </c>
      <c r="DZ7" s="9" t="s">
        <v>52</v>
      </c>
      <c r="EA7" s="9" t="s">
        <v>58</v>
      </c>
      <c r="EB7" s="9" t="s">
        <v>56</v>
      </c>
      <c r="EC7" s="9" t="s">
        <v>56</v>
      </c>
      <c r="ED7" s="9" t="s">
        <v>28</v>
      </c>
      <c r="EG7" s="9">
        <v>60.0</v>
      </c>
      <c r="EH7" s="9">
        <v>60.0</v>
      </c>
      <c r="EI7" s="9">
        <v>60.0</v>
      </c>
      <c r="EJ7" s="9">
        <v>60.0</v>
      </c>
      <c r="EK7" s="9">
        <v>60.0</v>
      </c>
      <c r="EL7" s="9" t="s">
        <v>36</v>
      </c>
      <c r="EM7" s="35">
        <v>6000.0</v>
      </c>
      <c r="EN7" s="35">
        <v>6000.0</v>
      </c>
      <c r="EO7" s="9">
        <v>0.0</v>
      </c>
      <c r="EP7" s="9">
        <v>10000.0</v>
      </c>
      <c r="EQ7" s="9">
        <v>60.0</v>
      </c>
      <c r="ER7" s="9">
        <v>6000.0</v>
      </c>
      <c r="ES7" s="35">
        <v>10000.0</v>
      </c>
      <c r="ET7" s="9">
        <v>0.0</v>
      </c>
      <c r="EU7" s="9">
        <v>60.0</v>
      </c>
      <c r="EV7" s="9" t="s">
        <v>36</v>
      </c>
      <c r="EW7" s="9">
        <v>10000.0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59</v>
      </c>
      <c r="C7" s="13" t="s">
        <v>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IFERROR(__xludf.DUMMYFUNCTION("""COMPUTED_VALUE"""),"Start Of Day Cash")</f>
        <v>Start Of Day Cash</v>
      </c>
      <c r="C5" s="28" t="str">
        <f>IFERROR(__xludf.DUMMYFUNCTION("""COMPUTED_VALUE"""),"Start Of Day Accruals")</f>
        <v>Start Of Day Accruals</v>
      </c>
      <c r="D5" s="28" t="str">
        <f>IFERROR(__xludf.DUMMYFUNCTION("""COMPUTED_VALUE"""),"Day Accruals")</f>
        <v>Day Accruals</v>
      </c>
      <c r="E5" s="28" t="str">
        <f>IFERROR(__xludf.DUMMYFUNCTION("""COMPUTED_VALUE"""),"Cash Inflow")</f>
        <v>Cash Inflow</v>
      </c>
      <c r="F5" s="29" t="str">
        <f>IFERROR(__xludf.DUMMYFUNCTION("""COMPUTED_VALUE"""),"Cash Outflow")</f>
        <v>Cash Outflow</v>
      </c>
      <c r="G5" s="28" t="str">
        <f>IFERROR(__xludf.DUMMYFUNCTION("""COMPUTED_VALUE"""),"Day P&amp;L (Long)")</f>
        <v>Day P&amp;L (Long)</v>
      </c>
      <c r="H5" s="28" t="str">
        <f>IFERROR(__xludf.DUMMYFUNCTION("""COMPUTED_VALUE"""),"Day P&amp;L (Short)")</f>
        <v>Day P&amp;L (Short)</v>
      </c>
      <c r="I5" s="28" t="str">
        <f>IFERROR(__xludf.DUMMYFUNCTION("""COMPUTED_VALUE"""),"Day P&amp;L")</f>
        <v>Day P&amp;L</v>
      </c>
      <c r="J5" s="28" t="str">
        <f>IFERROR(__xludf.DUMMYFUNCTION("""COMPUTED_VALUE"""),"LongExposure")</f>
        <v>LongExposure</v>
      </c>
      <c r="K5" s="28" t="str">
        <f>IFERROR(__xludf.DUMMYFUNCTION("""COMPUTED_VALUE"""),"ShortExposure")</f>
        <v>ShortExposure</v>
      </c>
      <c r="L5" s="28" t="str">
        <f>IFERROR(__xludf.DUMMYFUNCTION("""COMPUTED_VALUE"""),"Net Exposure")</f>
        <v>Net Exposure</v>
      </c>
      <c r="M5" s="28" t="str">
        <f>IFERROR(__xludf.DUMMYFUNCTION("""COMPUTED_VALUE"""),"NAV")</f>
        <v>NAV</v>
      </c>
      <c r="N5" s="28" t="str">
        <f>IFERROR(__xludf.DUMMYFUNCTION("""COMPUTED_VALUE"""),"Underlying Value (Options)")</f>
        <v>Underlying Value (Options)</v>
      </c>
      <c r="O5" s="28" t="str">
        <f>IFERROR(__xludf.DUMMYFUNCTION("""COMPUTED_VALUE"""),"Level1ID")</f>
        <v>Level1ID</v>
      </c>
      <c r="P5" s="28" t="str">
        <f>IFERROR(__xludf.DUMMYFUNCTION("""COMPUTED_VALUE"""),"UnderlyingSymbol")</f>
        <v>UnderlyingSymbol</v>
      </c>
      <c r="Q5" s="28" t="str">
        <f>IFERROR(__xludf.DUMMYFUNCTION("""COMPUTED_VALUE"""),"Symbol")</f>
        <v>Symbol</v>
      </c>
      <c r="R5" s="28" t="str">
        <f>IFERROR(__xludf.DUMMYFUNCTION("""COMPUTED_VALUE"""),"P&amp;L Contribution")</f>
        <v>P&amp;L Contribution</v>
      </c>
      <c r="S5" s="28" t="str">
        <f>IFERROR(__xludf.DUMMYFUNCTION("""COMPUTED_VALUE"""),"Long Market Value")</f>
        <v>Long Market Value</v>
      </c>
      <c r="T5" s="30" t="str">
        <f>IFERROR(__xludf.DUMMYFUNCTION("""COMPUTED_VALUE"""),"Short Market Value")</f>
        <v>Short Market Value</v>
      </c>
      <c r="U5" s="30" t="str">
        <f>IFERROR(__xludf.DUMMYFUNCTION("""COMPUTED_VALUE"""),"Net Market Value")</f>
        <v>Net Market Value</v>
      </c>
      <c r="V5" s="30" t="str">
        <f>IFERROR(__xludf.DUMMYFUNCTION("""COMPUTED_VALUE"""),"Cash Value")</f>
        <v>Cash Value</v>
      </c>
      <c r="W5" s="30" t="str">
        <f>IFERROR(__xludf.DUMMYFUNCTION("""COMPUTED_VALUE"""),"Closing Market Value")</f>
        <v>Closing Market Value</v>
      </c>
      <c r="X5" s="30" t="str">
        <f>IFERROR(__xludf.DUMMYFUNCTION("""COMPUTED_VALUE"""),"NetPosition")</f>
        <v>NetPosition</v>
      </c>
      <c r="Y5" s="30" t="str">
        <f>IFERROR(__xludf.DUMMYFUNCTION("""COMPUTED_VALUE"""),"PositionSideMV")</f>
        <v>PositionSideMV</v>
      </c>
      <c r="Z5" s="30" t="str">
        <f>IFERROR(__xludf.DUMMYFUNCTION("""COMPUTED_VALUE"""),"PositionSideExposure")</f>
        <v>PositionSideExposure</v>
      </c>
      <c r="AA5" s="30" t="str">
        <f>IFERROR(__xludf.DUMMYFUNCTION("""COMPUTED_VALUE"""),"NAVString")</f>
        <v>NAVString</v>
      </c>
      <c r="AB5" s="30" t="str">
        <f>IFERROR(__xludf.DUMMYFUNCTION("""COMPUTED_VALUE"""),"Net Exposure %")</f>
        <v>Net Exposure %</v>
      </c>
      <c r="AC5" s="30" t="str">
        <f>IFERROR(__xludf.DUMMYFUNCTION("""COMPUTED_VALUE"""),"Beta Adj. Exposure %")</f>
        <v>Beta Adj. Exposure %</v>
      </c>
      <c r="AD5" s="30" t="str">
        <f>IFERROR(__xludf.DUMMYFUNCTION("""COMPUTED_VALUE"""),"Cash Value %")</f>
        <v>Cash Value %</v>
      </c>
      <c r="AE5" s="30" t="str">
        <f>IFERROR(__xludf.DUMMYFUNCTION("""COMPUTED_VALUE"""),"Gross Market Value %")</f>
        <v>Gross Market Value %</v>
      </c>
      <c r="AF5" s="30" t="str">
        <f>IFERROR(__xludf.DUMMYFUNCTION("""COMPUTED_VALUE"""),"Long Market Value %")</f>
        <v>Long Market Value %</v>
      </c>
      <c r="AG5" s="30" t="str">
        <f>IFERROR(__xludf.DUMMYFUNCTION("""COMPUTED_VALUE"""),"Net Exposure % (Gross Exposure)")</f>
        <v>Net Exposure % (Gross Exposure)</v>
      </c>
      <c r="AH5" s="30" t="str">
        <f>IFERROR(__xludf.DUMMYFUNCTION("""COMPUTED_VALUE"""),"Short Market Value %")</f>
        <v>Short Market Value %</v>
      </c>
      <c r="AI5" s="30" t="str">
        <f>IFERROR(__xludf.DUMMYFUNCTION("""COMPUTED_VALUE"""),"Cost Basis P&amp;L")</f>
        <v>Cost Basis P&amp;L</v>
      </c>
      <c r="AJ5" s="30" t="str">
        <f>IFERROR(__xludf.DUMMYFUNCTION("""COMPUTED_VALUE"""),"Start of Day NAV")</f>
        <v>Start of Day NAV</v>
      </c>
      <c r="AK5" s="30" t="str">
        <f>IFERROR(__xludf.DUMMYFUNCTION("""COMPUTED_VALUE"""),"Day Return")</f>
        <v>Day Return</v>
      </c>
      <c r="AL5" s="30" t="str">
        <f>IFERROR(__xludf.DUMMYFUNCTION("""COMPUTED_VALUE"""),"Beta Adj. Exposure")</f>
        <v>Beta Adj. Exposure</v>
      </c>
      <c r="AM5" s="30" t="str">
        <f>IFERROR(__xludf.DUMMYFUNCTION("""COMPUTED_VALUE"""),"Earned Dividend Base")</f>
        <v>Earned Dividend Base</v>
      </c>
      <c r="AN5" s="30" t="str">
        <f>IFERROR(__xludf.DUMMYFUNCTION("""COMPUTED_VALUE"""),"YTD Return")</f>
        <v>YTD Return</v>
      </c>
      <c r="AO5" s="30" t="str">
        <f>IFERROR(__xludf.DUMMYFUNCTION("""COMPUTED_VALUE"""),"QTD Return")</f>
        <v>QTD Return</v>
      </c>
      <c r="AP5" s="30" t="str">
        <f>IFERROR(__xludf.DUMMYFUNCTION("""COMPUTED_VALUE"""),"MTD Return")</f>
        <v>MTD Return</v>
      </c>
      <c r="AQ5" s="30" t="str">
        <f>IFERROR(__xludf.DUMMYFUNCTION("""COMPUTED_VALUE"""),"Gross Market Value")</f>
        <v>Gross Market Value</v>
      </c>
      <c r="AR5" s="30" t="str">
        <f>IFERROR(__xludf.DUMMYFUNCTION("""COMPUTED_VALUE"""),"GrossExposure")</f>
        <v>GrossExposure</v>
      </c>
      <c r="AS5" s="30" t="str">
        <f>IFERROR(__xludf.DUMMYFUNCTION("""COMPUTED_VALUE"""),"Net Market Value %")</f>
        <v>Net Market Value %</v>
      </c>
      <c r="AT5" s="30" t="str">
        <f>IFERROR(__xludf.DUMMYFUNCTION("""COMPUTED_VALUE"""),"Net Market Value % (Gross MV)")</f>
        <v>Net Market Value % (Gross MV)</v>
      </c>
      <c r="AU5" s="30" t="str">
        <f>IFERROR(__xludf.DUMMYFUNCTION("""COMPUTED_VALUE"""),"Day Return % (Gross MV)")</f>
        <v>Day Return % (Gross MV)</v>
      </c>
      <c r="AV5" s="30" t="str">
        <f>IFERROR(__xludf.DUMMYFUNCTION("""COMPUTED_VALUE"""),"Gross Exposure")</f>
        <v>Gross Exposure</v>
      </c>
      <c r="AW5" s="30" t="str">
        <f>IFERROR(__xludf.DUMMYFUNCTION("""COMPUTED_VALUE"""),"Gross Exposure %")</f>
        <v>Gross Exposure %</v>
      </c>
      <c r="AX5" s="30" t="str">
        <f>IFERROR(__xludf.DUMMYFUNCTION("""COMPUTED_VALUE"""),"Long Debit Limit")</f>
        <v>Long Debit Limit</v>
      </c>
      <c r="AY5" s="30" t="str">
        <f>IFERROR(__xludf.DUMMYFUNCTION("""COMPUTED_VALUE"""),"Short Credit Limit")</f>
        <v>Short Credit Limit</v>
      </c>
      <c r="AZ5" s="30" t="str">
        <f>IFERROR(__xludf.DUMMYFUNCTION("""COMPUTED_VALUE"""),"Long Debit Balance")</f>
        <v>Long Debit Balance</v>
      </c>
      <c r="BA5" s="30" t="str">
        <f>IFERROR(__xludf.DUMMYFUNCTION("""COMPUTED_VALUE"""),"Short Credit Balance")</f>
        <v>Short Credit Balance</v>
      </c>
      <c r="BB5" s="30" t="str">
        <f>IFERROR(__xludf.DUMMYFUNCTION("""COMPUTED_VALUE"""),"Long Exposure")</f>
        <v>Long Exposure</v>
      </c>
      <c r="BC5" s="30" t="str">
        <f>IFERROR(__xludf.DUMMYFUNCTION("""COMPUTED_VALUE"""),"Long Exposure %")</f>
        <v>Long Exposure %</v>
      </c>
      <c r="BD5" s="30" t="str">
        <f>IFERROR(__xludf.DUMMYFUNCTION("""COMPUTED_VALUE"""),"Short Exposure")</f>
        <v>Short Exposure</v>
      </c>
      <c r="BE5" s="30" t="str">
        <f>IFERROR(__xludf.DUMMYFUNCTION("""COMPUTED_VALUE"""),"Short Exposure %")</f>
        <v>Short Exposure %</v>
      </c>
      <c r="BF5" s="30" t="str">
        <f>IFERROR(__xludf.DUMMYFUNCTION("""COMPUTED_VALUE"""),"BetaAdjustedGrossExposure")</f>
        <v>BetaAdjustedGrossExposure</v>
      </c>
      <c r="BG5" s="30" t="str">
        <f>IFERROR(__xludf.DUMMYFUNCTION("""COMPUTED_VALUE"""),"BetaAdjustedLongExposure")</f>
        <v>BetaAdjustedLongExposure</v>
      </c>
      <c r="BH5" s="30" t="str">
        <f>IFERROR(__xludf.DUMMYFUNCTION("""COMPUTED_VALUE"""),"BetaAdjustedShortExposure")</f>
        <v>BetaAdjustedShortExposure</v>
      </c>
      <c r="BI5" s="30" t="str">
        <f>IFERROR(__xludf.DUMMYFUNCTION("""COMPUTED_VALUE"""),"Beta")</f>
        <v>Beta</v>
      </c>
      <c r="BJ5" s="30" t="str">
        <f>IFERROR(__xludf.DUMMYFUNCTION("""COMPUTED_VALUE"""),"Beta Adj. Gross Exposure")</f>
        <v>Beta Adj. Gross Exposure</v>
      </c>
      <c r="BK5" s="30" t="str">
        <f>IFERROR(__xludf.DUMMYFUNCTION("""COMPUTED_VALUE"""),"Beta Adj. Gross Exposure %")</f>
        <v>Beta Adj. Gross Exposure %</v>
      </c>
      <c r="BL5" s="30" t="str">
        <f>IFERROR(__xludf.DUMMYFUNCTION("""COMPUTED_VALUE"""),"Beta Adj. Long Exposure")</f>
        <v>Beta Adj. Long Exposure</v>
      </c>
      <c r="BM5" s="30" t="str">
        <f>IFERROR(__xludf.DUMMYFUNCTION("""COMPUTED_VALUE"""),"Beta Adj. Long Exposure %")</f>
        <v>Beta Adj. Long Exposure %</v>
      </c>
      <c r="BN5" s="30" t="str">
        <f>IFERROR(__xludf.DUMMYFUNCTION("""COMPUTED_VALUE"""),"Beta Adj. Short Exposure")</f>
        <v>Beta Adj. Short Exposure</v>
      </c>
      <c r="BO5" s="30" t="str">
        <f>IFERROR(__xludf.DUMMYFUNCTION("""COMPUTED_VALUE"""),"Beta Adj. Short Exposure %")</f>
        <v>Beta Adj. Short Exposure %</v>
      </c>
      <c r="BP5" s="30" t="str">
        <f>IFERROR(__xludf.DUMMYFUNCTION("""COMPUTED_VALUE"""),"MTD P&amp;L")</f>
        <v>MTD P&amp;L</v>
      </c>
      <c r="BQ5" s="30" t="str">
        <f>IFERROR(__xludf.DUMMYFUNCTION("""COMPUTED_VALUE"""),"QTD P&amp;L")</f>
        <v>QTD P&amp;L</v>
      </c>
      <c r="BR5" s="30" t="str">
        <f>IFERROR(__xludf.DUMMYFUNCTION("""COMPUTED_VALUE"""),"YTD P&amp;L")</f>
        <v>YTD P&amp;L</v>
      </c>
      <c r="BS5" s="30" t="str">
        <f>IFERROR(__xludf.DUMMYFUNCTION("""COMPUTED_VALUE"""),"MasterfundID")</f>
        <v>MasterfundID</v>
      </c>
      <c r="BT5" s="30" t="str">
        <f>IFERROR(__xludf.DUMMYFUNCTION("""COMPUTED_VALUE"""),"NetExposureLocal")</f>
        <v>NetExposureLocal</v>
      </c>
      <c r="BU5" s="30" t="str">
        <f>IFERROR(__xludf.DUMMYFUNCTION("""COMPUTED_VALUE"""),"GrossExposureLocal")</f>
        <v>GrossExposureLocal</v>
      </c>
      <c r="BV5" s="30" t="str">
        <f>IFERROR(__xludf.DUMMYFUNCTION("""COMPUTED_VALUE"""),"BetaAdjustedGrossExposureLocal")</f>
        <v>BetaAdjustedGrossExposureLocal</v>
      </c>
      <c r="BW5" s="30" t="str">
        <f>IFERROR(__xludf.DUMMYFUNCTION("""COMPUTED_VALUE"""),"AssetCategory")</f>
        <v>AssetCategory</v>
      </c>
      <c r="BX5" s="30" t="str">
        <f>IFERROR(__xludf.DUMMYFUNCTION("""COMPUTED_VALUE"""),"Day P&amp;L (FX)")</f>
        <v>Day P&amp;L (FX)</v>
      </c>
      <c r="BY5" s="30" t="str">
        <f>IFERROR(__xludf.DUMMYFUNCTION("""COMPUTED_VALUE"""),"Day P&amp;L (Short) %")</f>
        <v>Day P&amp;L (Short) %</v>
      </c>
      <c r="BZ5" s="30" t="str">
        <f>IFERROR(__xludf.DUMMYFUNCTION("""COMPUTED_VALUE"""),"Day P&amp;L (Long) %")</f>
        <v>Day P&amp;L (Long) %</v>
      </c>
      <c r="CA5" s="30" t="str">
        <f>IFERROR(__xludf.DUMMYFUNCTION("""COMPUTED_VALUE"""),"Day P&amp;L (FX) %")</f>
        <v>Day P&amp;L (FX) %</v>
      </c>
      <c r="CB5" s="30" t="str">
        <f>IFERROR(__xludf.DUMMYFUNCTION("""COMPUTED_VALUE"""),"Long/Short Ratio")</f>
        <v>Long/Short Ratio</v>
      </c>
      <c r="CC5" s="30" t="str">
        <f>IFERROR(__xludf.DUMMYFUNCTION("""COMPUTED_VALUE"""),"LeverageFactor")</f>
        <v>LeverageFactor</v>
      </c>
      <c r="CD5" s="30" t="str">
        <f>IFERROR(__xludf.DUMMYFUNCTION("""COMPUTED_VALUE"""),"AllocatedSymbolWiseQuantity")</f>
        <v>AllocatedSymbolWiseQuantity</v>
      </c>
      <c r="CE5" s="30" t="str">
        <f>IFERROR(__xludf.DUMMYFUNCTION("""COMPUTED_VALUE"""),"CurrencyID")</f>
        <v>CurrencyID</v>
      </c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30000.0</v>
      </c>
      <c r="C6" s="13">
        <v>0.0</v>
      </c>
      <c r="D6" s="13">
        <v>0.0</v>
      </c>
      <c r="E6" s="34">
        <v>5000.0</v>
      </c>
      <c r="F6" s="34">
        <v>16000.0</v>
      </c>
      <c r="G6" s="34">
        <v>0.0</v>
      </c>
      <c r="H6" s="13">
        <v>0.0</v>
      </c>
      <c r="I6" s="34">
        <v>0.0</v>
      </c>
      <c r="J6" s="8"/>
      <c r="K6" s="8"/>
      <c r="L6" s="34">
        <v>11000.0</v>
      </c>
      <c r="M6" s="34">
        <v>30000.0</v>
      </c>
      <c r="N6" s="8"/>
      <c r="O6" s="8"/>
      <c r="S6" s="35">
        <v>11000.0</v>
      </c>
      <c r="T6" s="9">
        <v>0.0</v>
      </c>
      <c r="U6" s="35">
        <v>11000.0</v>
      </c>
      <c r="V6" s="35">
        <v>19000.0</v>
      </c>
      <c r="W6" s="9">
        <v>0.0</v>
      </c>
      <c r="AB6" s="9">
        <v>36.67</v>
      </c>
      <c r="AC6" s="9">
        <v>36.67</v>
      </c>
      <c r="AD6" s="9">
        <v>63.33</v>
      </c>
      <c r="AE6" s="9">
        <v>36.67</v>
      </c>
      <c r="AF6" s="9">
        <v>36.67</v>
      </c>
      <c r="AG6" s="36">
        <v>100.0</v>
      </c>
      <c r="AH6" s="36">
        <v>0.0</v>
      </c>
      <c r="AI6" s="35">
        <v>0.0</v>
      </c>
      <c r="AR6" s="35"/>
      <c r="AU6" s="36">
        <v>0.0</v>
      </c>
      <c r="AV6" s="35">
        <v>11000.0</v>
      </c>
      <c r="AW6" s="9">
        <v>36.67</v>
      </c>
      <c r="BB6" s="35">
        <v>11000.0</v>
      </c>
      <c r="BD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59</v>
      </c>
      <c r="C7" s="13" t="s">
        <v>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7" t="s">
        <v>18</v>
      </c>
      <c r="D6" s="38">
        <v>1000.0</v>
      </c>
      <c r="E6" s="37" t="s">
        <v>20</v>
      </c>
      <c r="F6" s="37" t="s">
        <v>33</v>
      </c>
      <c r="G6" s="39">
        <v>10.0</v>
      </c>
      <c r="H6" s="37" t="s">
        <v>36</v>
      </c>
      <c r="I6" s="38">
        <v>10000.0</v>
      </c>
      <c r="J6" s="8"/>
      <c r="K6" s="38">
        <v>10000.0</v>
      </c>
      <c r="L6" s="8"/>
      <c r="M6" s="8"/>
      <c r="N6" s="38">
        <v>0.0</v>
      </c>
      <c r="O6" s="37" t="s">
        <v>37</v>
      </c>
      <c r="P6" s="37" t="s">
        <v>38</v>
      </c>
      <c r="Q6" s="38">
        <v>0.0</v>
      </c>
      <c r="R6" s="37" t="s">
        <v>39</v>
      </c>
      <c r="S6" s="37" t="s">
        <v>40</v>
      </c>
      <c r="T6" s="37" t="s">
        <v>41</v>
      </c>
      <c r="U6" s="37" t="s">
        <v>42</v>
      </c>
      <c r="V6" s="37" t="s">
        <v>43</v>
      </c>
      <c r="W6" s="37" t="s">
        <v>28</v>
      </c>
      <c r="X6" s="9">
        <v>1.0</v>
      </c>
      <c r="Y6" s="9">
        <v>1.0</v>
      </c>
      <c r="AB6" s="39">
        <v>0.0</v>
      </c>
      <c r="AC6" s="39">
        <v>0.0</v>
      </c>
      <c r="AD6" s="38">
        <v>10000.0</v>
      </c>
      <c r="AE6" s="38">
        <v>10000.0</v>
      </c>
      <c r="AF6" s="38">
        <v>1000.0</v>
      </c>
      <c r="AG6" s="38">
        <v>10000.0</v>
      </c>
      <c r="AH6" s="38">
        <v>10000.0</v>
      </c>
      <c r="AI6" s="38">
        <v>10000.0</v>
      </c>
      <c r="AJ6" s="40"/>
      <c r="AK6" s="38">
        <v>0.0</v>
      </c>
      <c r="AL6" s="39">
        <v>1.0</v>
      </c>
      <c r="AM6" s="39">
        <v>1.0</v>
      </c>
      <c r="AN6" s="9" t="s">
        <v>19</v>
      </c>
      <c r="AP6" s="37" t="s">
        <v>36</v>
      </c>
      <c r="AQ6" s="37" t="s">
        <v>18</v>
      </c>
      <c r="AR6" s="39">
        <v>10.0</v>
      </c>
      <c r="AS6" s="39">
        <v>1.0</v>
      </c>
      <c r="AW6" s="38">
        <v>0.0</v>
      </c>
      <c r="AX6" s="39">
        <v>0.0</v>
      </c>
      <c r="AY6" s="39">
        <v>0.0</v>
      </c>
      <c r="AZ6" s="38">
        <v>10000.0</v>
      </c>
      <c r="BA6" s="39"/>
      <c r="BD6" s="38">
        <v>-10000.0</v>
      </c>
      <c r="BE6" s="37" t="s">
        <v>41</v>
      </c>
      <c r="BF6" s="37" t="s">
        <v>44</v>
      </c>
      <c r="BG6" s="37" t="s">
        <v>45</v>
      </c>
      <c r="BJ6" s="39">
        <v>0.0</v>
      </c>
      <c r="BK6" s="39">
        <v>0.0</v>
      </c>
      <c r="BL6" s="39">
        <v>0.0</v>
      </c>
      <c r="BM6" s="39">
        <v>0.0</v>
      </c>
      <c r="BO6" s="38">
        <v>-10000.0</v>
      </c>
      <c r="BP6" s="39">
        <v>0.0</v>
      </c>
      <c r="BQ6" s="37" t="s">
        <v>46</v>
      </c>
      <c r="BR6" s="37" t="s">
        <v>47</v>
      </c>
      <c r="BS6" s="39">
        <v>0.0</v>
      </c>
      <c r="BT6" s="39">
        <v>0.0</v>
      </c>
      <c r="BU6" s="37" t="s">
        <v>41</v>
      </c>
      <c r="BX6" s="38">
        <v>10000.0</v>
      </c>
      <c r="BY6" s="38">
        <v>10000.0</v>
      </c>
      <c r="BZ6" s="39">
        <v>10.0</v>
      </c>
      <c r="CA6" s="39">
        <v>10.0</v>
      </c>
      <c r="CC6" s="39">
        <v>0.0</v>
      </c>
      <c r="CD6" s="38">
        <v>0.0</v>
      </c>
      <c r="CE6" s="39">
        <v>0.0</v>
      </c>
      <c r="CF6" s="39">
        <v>0.0</v>
      </c>
      <c r="CG6" s="38">
        <v>0.0</v>
      </c>
      <c r="CH6" s="39">
        <v>0.0</v>
      </c>
      <c r="CI6" s="39">
        <v>0.0</v>
      </c>
      <c r="CJ6" s="39">
        <v>0.0</v>
      </c>
      <c r="CK6" s="39" t="b">
        <v>0</v>
      </c>
      <c r="CP6" s="37" t="s">
        <v>48</v>
      </c>
      <c r="CS6" s="39">
        <v>10.0</v>
      </c>
      <c r="DA6" s="38">
        <v>10000.0</v>
      </c>
      <c r="DB6" s="39"/>
      <c r="DD6" s="38">
        <v>1000.0</v>
      </c>
      <c r="DH6" s="37" t="s">
        <v>38</v>
      </c>
      <c r="DI6" s="39">
        <v>0.0</v>
      </c>
      <c r="DJ6" s="37" t="s">
        <v>19</v>
      </c>
      <c r="DK6" s="39">
        <v>0.0</v>
      </c>
      <c r="DL6" s="39">
        <v>0.0</v>
      </c>
      <c r="DM6" s="39">
        <v>1.0</v>
      </c>
      <c r="DN6" s="39">
        <v>10.0</v>
      </c>
      <c r="DP6" s="9" t="s">
        <v>36</v>
      </c>
      <c r="DQ6" s="9" t="s">
        <v>38</v>
      </c>
      <c r="DR6" s="9" t="s">
        <v>49</v>
      </c>
      <c r="DS6" s="9" t="s">
        <v>50</v>
      </c>
      <c r="DT6" s="9" t="s">
        <v>38</v>
      </c>
      <c r="DU6" s="9" t="s">
        <v>38</v>
      </c>
      <c r="DV6" s="9" t="s">
        <v>38</v>
      </c>
      <c r="DW6" s="41"/>
      <c r="DY6" s="9" t="s">
        <v>38</v>
      </c>
      <c r="DZ6" s="9" t="s">
        <v>37</v>
      </c>
      <c r="EA6" s="9" t="s">
        <v>51</v>
      </c>
      <c r="EB6" s="9" t="s">
        <v>38</v>
      </c>
      <c r="EC6" s="9" t="s">
        <v>38</v>
      </c>
      <c r="ED6" s="9" t="s">
        <v>28</v>
      </c>
      <c r="EG6" s="9">
        <v>33.33</v>
      </c>
      <c r="EH6" s="9">
        <v>33.33</v>
      </c>
      <c r="EI6" s="9">
        <v>33.33</v>
      </c>
      <c r="EJ6" s="9">
        <v>16.67</v>
      </c>
      <c r="EK6" s="9">
        <v>16.67</v>
      </c>
      <c r="EL6" s="9" t="s">
        <v>36</v>
      </c>
      <c r="EM6" s="35">
        <v>5000.0</v>
      </c>
      <c r="EN6" s="35">
        <v>5000.0</v>
      </c>
      <c r="EO6" s="9">
        <v>0.0</v>
      </c>
      <c r="EP6" s="9">
        <v>30000.0</v>
      </c>
      <c r="EQ6" s="9">
        <v>33.33</v>
      </c>
      <c r="ER6" s="9">
        <v>5000.0</v>
      </c>
      <c r="ES6" s="38">
        <v>30000.0</v>
      </c>
      <c r="ET6" s="9">
        <v>0.0</v>
      </c>
      <c r="EU6" s="9">
        <v>33.33</v>
      </c>
      <c r="EV6" s="9" t="s">
        <v>36</v>
      </c>
      <c r="EW6" s="9">
        <v>10000.0</v>
      </c>
      <c r="EX6" s="9" t="b">
        <v>0</v>
      </c>
    </row>
    <row r="7" ht="15.75" customHeight="1">
      <c r="A7" s="8"/>
      <c r="B7" s="8"/>
      <c r="C7" s="37" t="s">
        <v>23</v>
      </c>
      <c r="D7" s="39">
        <v>200.0</v>
      </c>
      <c r="E7" s="37" t="s">
        <v>20</v>
      </c>
      <c r="F7" s="37" t="s">
        <v>33</v>
      </c>
      <c r="G7" s="39">
        <v>30.0</v>
      </c>
      <c r="H7" s="37" t="s">
        <v>36</v>
      </c>
      <c r="I7" s="38">
        <v>6000.0</v>
      </c>
      <c r="J7" s="8"/>
      <c r="K7" s="38">
        <v>6000.0</v>
      </c>
      <c r="L7" s="8"/>
      <c r="M7" s="8"/>
      <c r="N7" s="38">
        <v>0.0</v>
      </c>
      <c r="O7" s="37" t="s">
        <v>52</v>
      </c>
      <c r="P7" s="37" t="s">
        <v>38</v>
      </c>
      <c r="Q7" s="38">
        <v>0.0</v>
      </c>
      <c r="R7" s="37" t="s">
        <v>39</v>
      </c>
      <c r="S7" s="37" t="s">
        <v>40</v>
      </c>
      <c r="T7" s="37" t="s">
        <v>41</v>
      </c>
      <c r="U7" s="37" t="s">
        <v>42</v>
      </c>
      <c r="V7" s="37" t="s">
        <v>43</v>
      </c>
      <c r="W7" s="37" t="s">
        <v>28</v>
      </c>
      <c r="X7" s="9">
        <v>1.0</v>
      </c>
      <c r="Y7" s="9">
        <v>1.0</v>
      </c>
      <c r="AB7" s="39">
        <v>0.0</v>
      </c>
      <c r="AC7" s="39">
        <v>0.0</v>
      </c>
      <c r="AD7" s="38">
        <v>6000.0</v>
      </c>
      <c r="AE7" s="38">
        <v>6000.0</v>
      </c>
      <c r="AF7" s="39">
        <v>200.0</v>
      </c>
      <c r="AG7" s="38">
        <v>6000.0</v>
      </c>
      <c r="AH7" s="38">
        <v>6000.0</v>
      </c>
      <c r="AI7" s="38">
        <v>6000.0</v>
      </c>
      <c r="AJ7" s="38"/>
      <c r="AK7" s="38">
        <v>0.0</v>
      </c>
      <c r="AL7" s="39">
        <v>1.0</v>
      </c>
      <c r="AM7" s="39">
        <v>1.0</v>
      </c>
      <c r="AN7" s="9" t="s">
        <v>19</v>
      </c>
      <c r="AP7" s="37" t="s">
        <v>36</v>
      </c>
      <c r="AQ7" s="37" t="s">
        <v>23</v>
      </c>
      <c r="AR7" s="39">
        <v>30.0</v>
      </c>
      <c r="AS7" s="39">
        <v>1.0</v>
      </c>
      <c r="AW7" s="38">
        <v>0.0</v>
      </c>
      <c r="AX7" s="39">
        <v>0.0</v>
      </c>
      <c r="AY7" s="39">
        <v>0.0</v>
      </c>
      <c r="AZ7" s="38">
        <v>6000.0</v>
      </c>
      <c r="BA7" s="39"/>
      <c r="BD7" s="38">
        <v>-6000.0</v>
      </c>
      <c r="BE7" s="37" t="s">
        <v>41</v>
      </c>
      <c r="BF7" s="37" t="s">
        <v>53</v>
      </c>
      <c r="BG7" s="37" t="s">
        <v>54</v>
      </c>
      <c r="BJ7" s="39">
        <v>0.0</v>
      </c>
      <c r="BK7" s="39">
        <v>0.0</v>
      </c>
      <c r="BL7" s="39">
        <v>0.0</v>
      </c>
      <c r="BM7" s="39">
        <v>0.0</v>
      </c>
      <c r="BO7" s="38">
        <v>-6000.0</v>
      </c>
      <c r="BP7" s="39">
        <v>0.0</v>
      </c>
      <c r="BQ7" s="37" t="s">
        <v>46</v>
      </c>
      <c r="BR7" s="37" t="s">
        <v>47</v>
      </c>
      <c r="BS7" s="39">
        <v>0.0</v>
      </c>
      <c r="BT7" s="39">
        <v>0.0</v>
      </c>
      <c r="BU7" s="37" t="s">
        <v>41</v>
      </c>
      <c r="BX7" s="38">
        <v>6000.0</v>
      </c>
      <c r="BY7" s="38">
        <v>6000.0</v>
      </c>
      <c r="BZ7" s="39">
        <v>30.0</v>
      </c>
      <c r="CA7" s="39">
        <v>30.0</v>
      </c>
      <c r="CC7" s="39">
        <v>0.0</v>
      </c>
      <c r="CD7" s="38">
        <v>0.0</v>
      </c>
      <c r="CE7" s="39">
        <v>0.0</v>
      </c>
      <c r="CF7" s="39">
        <v>0.0</v>
      </c>
      <c r="CG7" s="38">
        <v>0.0</v>
      </c>
      <c r="CH7" s="39">
        <v>0.0</v>
      </c>
      <c r="CI7" s="39">
        <v>0.0</v>
      </c>
      <c r="CJ7" s="39">
        <v>0.0</v>
      </c>
      <c r="CK7" s="39" t="b">
        <v>0</v>
      </c>
      <c r="CP7" s="37" t="s">
        <v>55</v>
      </c>
      <c r="CS7" s="39">
        <v>30.0</v>
      </c>
      <c r="DA7" s="38">
        <v>6000.0</v>
      </c>
      <c r="DB7" s="39"/>
      <c r="DD7" s="39">
        <v>200.0</v>
      </c>
      <c r="DH7" s="37" t="s">
        <v>38</v>
      </c>
      <c r="DI7" s="39">
        <v>0.0</v>
      </c>
      <c r="DJ7" s="37" t="s">
        <v>19</v>
      </c>
      <c r="DK7" s="39">
        <v>0.0</v>
      </c>
      <c r="DL7" s="39">
        <v>0.0</v>
      </c>
      <c r="DM7" s="39">
        <v>1.0</v>
      </c>
      <c r="DN7" s="39">
        <v>30.0</v>
      </c>
      <c r="DP7" s="9" t="s">
        <v>36</v>
      </c>
      <c r="DQ7" s="9" t="s">
        <v>56</v>
      </c>
      <c r="DR7" s="9" t="s">
        <v>57</v>
      </c>
      <c r="DS7" s="9" t="s">
        <v>56</v>
      </c>
      <c r="DT7" s="9" t="s">
        <v>56</v>
      </c>
      <c r="DU7" s="9" t="s">
        <v>58</v>
      </c>
      <c r="DV7" s="9" t="s">
        <v>56</v>
      </c>
      <c r="DW7" s="9" t="s">
        <v>56</v>
      </c>
      <c r="DX7" s="9" t="s">
        <v>56</v>
      </c>
      <c r="DY7" s="9" t="s">
        <v>56</v>
      </c>
      <c r="DZ7" s="9" t="s">
        <v>52</v>
      </c>
      <c r="EA7" s="9" t="s">
        <v>58</v>
      </c>
      <c r="EB7" s="9" t="s">
        <v>56</v>
      </c>
      <c r="EC7" s="9" t="s">
        <v>56</v>
      </c>
      <c r="ED7" s="9" t="s">
        <v>28</v>
      </c>
      <c r="EG7" s="9">
        <v>20.0</v>
      </c>
      <c r="EH7" s="9">
        <v>20.0</v>
      </c>
      <c r="EI7" s="9">
        <v>20.0</v>
      </c>
      <c r="EJ7" s="9">
        <v>20.0</v>
      </c>
      <c r="EK7" s="9">
        <v>20.0</v>
      </c>
      <c r="EL7" s="9" t="s">
        <v>36</v>
      </c>
      <c r="EM7" s="35">
        <v>6000.0</v>
      </c>
      <c r="EN7" s="35">
        <v>6000.0</v>
      </c>
      <c r="EO7" s="9">
        <v>0.0</v>
      </c>
      <c r="EP7" s="9">
        <v>30000.0</v>
      </c>
      <c r="EQ7" s="9">
        <v>20.0</v>
      </c>
      <c r="ER7" s="9">
        <v>6000.0</v>
      </c>
      <c r="ES7" s="35">
        <v>30000.0</v>
      </c>
      <c r="ET7" s="9">
        <v>0.0</v>
      </c>
      <c r="EU7" s="9">
        <v>20.0</v>
      </c>
      <c r="EV7" s="9" t="s">
        <v>36</v>
      </c>
      <c r="EW7" s="9">
        <v>10000.0</v>
      </c>
      <c r="EX7" s="9" t="b">
        <v>0</v>
      </c>
    </row>
    <row r="8" ht="15.75" customHeight="1">
      <c r="A8" s="8"/>
      <c r="B8" s="8"/>
      <c r="C8" s="37" t="s">
        <v>18</v>
      </c>
      <c r="D8" s="39">
        <v>-500.0</v>
      </c>
      <c r="E8" s="37" t="s">
        <v>22</v>
      </c>
      <c r="F8" s="37" t="s">
        <v>33</v>
      </c>
      <c r="G8" s="39">
        <v>10.0</v>
      </c>
      <c r="H8" s="37" t="s">
        <v>36</v>
      </c>
      <c r="I8" s="38">
        <v>-5000.0</v>
      </c>
      <c r="J8" s="8"/>
      <c r="K8" s="38">
        <v>-5000.0</v>
      </c>
      <c r="L8" s="8"/>
      <c r="M8" s="8"/>
      <c r="N8" s="38">
        <v>0.0</v>
      </c>
      <c r="O8" s="37" t="s">
        <v>37</v>
      </c>
      <c r="P8" s="37" t="s">
        <v>38</v>
      </c>
      <c r="Q8" s="38">
        <v>0.0</v>
      </c>
      <c r="R8" s="37" t="s">
        <v>47</v>
      </c>
      <c r="S8" s="37" t="s">
        <v>40</v>
      </c>
      <c r="T8" s="37" t="s">
        <v>41</v>
      </c>
      <c r="U8" s="37" t="s">
        <v>42</v>
      </c>
      <c r="V8" s="37" t="s">
        <v>43</v>
      </c>
      <c r="W8" s="37" t="s">
        <v>28</v>
      </c>
      <c r="X8" s="9">
        <v>1.0</v>
      </c>
      <c r="Y8" s="9">
        <v>1.0</v>
      </c>
      <c r="AB8" s="39">
        <v>0.0</v>
      </c>
      <c r="AC8" s="39">
        <v>0.0</v>
      </c>
      <c r="AD8" s="38">
        <v>-5000.0</v>
      </c>
      <c r="AE8" s="38">
        <v>-5000.0</v>
      </c>
      <c r="AF8" s="39">
        <v>-500.0</v>
      </c>
      <c r="AG8" s="38">
        <v>-5000.0</v>
      </c>
      <c r="AH8" s="38">
        <v>-5000.0</v>
      </c>
      <c r="AI8" s="38">
        <v>-5000.0</v>
      </c>
      <c r="AJ8" s="38"/>
      <c r="AK8" s="38">
        <v>0.0</v>
      </c>
      <c r="AL8" s="39">
        <v>1.0</v>
      </c>
      <c r="AM8" s="39">
        <v>1.0</v>
      </c>
      <c r="AN8" s="9" t="s">
        <v>21</v>
      </c>
      <c r="AP8" s="37" t="s">
        <v>36</v>
      </c>
      <c r="AQ8" s="37" t="s">
        <v>18</v>
      </c>
      <c r="AR8" s="39">
        <v>10.0</v>
      </c>
      <c r="AS8" s="39">
        <v>-1.0</v>
      </c>
      <c r="AW8" s="38">
        <v>0.0</v>
      </c>
      <c r="AX8" s="39">
        <v>0.0</v>
      </c>
      <c r="AY8" s="39">
        <v>0.0</v>
      </c>
      <c r="AZ8" s="38">
        <v>-5000.0</v>
      </c>
      <c r="BA8" s="39"/>
      <c r="BD8" s="38">
        <v>5000.0</v>
      </c>
      <c r="BE8" s="37" t="s">
        <v>41</v>
      </c>
      <c r="BF8" s="37" t="s">
        <v>44</v>
      </c>
      <c r="BG8" s="37" t="s">
        <v>45</v>
      </c>
      <c r="BJ8" s="39">
        <v>0.0</v>
      </c>
      <c r="BK8" s="39">
        <v>0.0</v>
      </c>
      <c r="BL8" s="39">
        <v>0.0</v>
      </c>
      <c r="BM8" s="39">
        <v>0.0</v>
      </c>
      <c r="BO8" s="38">
        <v>5000.0</v>
      </c>
      <c r="BP8" s="39">
        <v>0.0</v>
      </c>
      <c r="BQ8" s="37" t="s">
        <v>46</v>
      </c>
      <c r="BR8" s="37" t="s">
        <v>47</v>
      </c>
      <c r="BS8" s="39">
        <v>0.0</v>
      </c>
      <c r="BT8" s="39">
        <v>0.0</v>
      </c>
      <c r="BU8" s="37" t="s">
        <v>41</v>
      </c>
      <c r="BX8" s="38">
        <v>5000.0</v>
      </c>
      <c r="BY8" s="38">
        <v>5000.0</v>
      </c>
      <c r="BZ8" s="39">
        <v>10.0</v>
      </c>
      <c r="CA8" s="39">
        <v>10.0</v>
      </c>
      <c r="CC8" s="39">
        <v>0.0</v>
      </c>
      <c r="CD8" s="38">
        <v>0.0</v>
      </c>
      <c r="CE8" s="39">
        <v>0.0</v>
      </c>
      <c r="CF8" s="39">
        <v>0.0</v>
      </c>
      <c r="CG8" s="38">
        <v>0.0</v>
      </c>
      <c r="CH8" s="39">
        <v>0.0</v>
      </c>
      <c r="CI8" s="39">
        <v>0.0</v>
      </c>
      <c r="CJ8" s="39">
        <v>0.0</v>
      </c>
      <c r="CK8" s="39" t="b">
        <v>0</v>
      </c>
      <c r="CP8" s="37" t="s">
        <v>48</v>
      </c>
      <c r="CS8" s="39">
        <v>10.0</v>
      </c>
      <c r="DA8" s="38">
        <v>5000.0</v>
      </c>
      <c r="DB8" s="39"/>
      <c r="DD8" s="39">
        <v>-500.0</v>
      </c>
      <c r="DH8" s="37" t="s">
        <v>38</v>
      </c>
      <c r="DI8" s="39">
        <v>0.0</v>
      </c>
      <c r="DJ8" s="37" t="s">
        <v>21</v>
      </c>
      <c r="DK8" s="39">
        <v>0.0</v>
      </c>
      <c r="DL8" s="39">
        <v>0.0</v>
      </c>
      <c r="DM8" s="39">
        <v>1.0</v>
      </c>
      <c r="DN8" s="39">
        <v>10.0</v>
      </c>
      <c r="DP8" s="9" t="s">
        <v>36</v>
      </c>
      <c r="DQ8" s="9" t="s">
        <v>38</v>
      </c>
      <c r="DR8" s="9" t="s">
        <v>49</v>
      </c>
      <c r="DS8" s="9" t="s">
        <v>50</v>
      </c>
      <c r="DT8" s="9" t="s">
        <v>38</v>
      </c>
      <c r="DU8" s="9" t="s">
        <v>38</v>
      </c>
      <c r="DV8" s="9" t="s">
        <v>38</v>
      </c>
      <c r="DW8" s="41"/>
      <c r="DY8" s="9" t="s">
        <v>38</v>
      </c>
      <c r="DZ8" s="9" t="s">
        <v>37</v>
      </c>
      <c r="EA8" s="9" t="s">
        <v>51</v>
      </c>
      <c r="EB8" s="9" t="s">
        <v>38</v>
      </c>
      <c r="EC8" s="9" t="s">
        <v>38</v>
      </c>
      <c r="ED8" s="9" t="s">
        <v>28</v>
      </c>
      <c r="EG8" s="9">
        <v>-16.67</v>
      </c>
      <c r="EH8" s="9">
        <v>16.67</v>
      </c>
      <c r="EI8" s="9">
        <v>-16.67</v>
      </c>
      <c r="EJ8" s="9">
        <v>16.67</v>
      </c>
      <c r="EK8" s="9">
        <v>16.67</v>
      </c>
      <c r="EL8" s="9" t="s">
        <v>36</v>
      </c>
      <c r="EM8" s="35">
        <v>5000.0</v>
      </c>
      <c r="EN8" s="35">
        <v>5000.0</v>
      </c>
      <c r="EO8" s="9">
        <v>0.0</v>
      </c>
      <c r="EP8" s="9">
        <v>30000.0</v>
      </c>
      <c r="EQ8" s="9">
        <v>16.67</v>
      </c>
      <c r="ER8" s="9">
        <v>5000.0</v>
      </c>
      <c r="ES8" s="35">
        <v>30000.0</v>
      </c>
      <c r="ET8" s="9">
        <v>0.0</v>
      </c>
      <c r="EU8" s="9">
        <v>-16.67</v>
      </c>
      <c r="EV8" s="9" t="s">
        <v>36</v>
      </c>
      <c r="EW8" s="9">
        <v>20000.0</v>
      </c>
      <c r="EX8" s="9" t="b">
        <v>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