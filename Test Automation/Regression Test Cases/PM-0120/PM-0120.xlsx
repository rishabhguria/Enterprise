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losePositionFromPM" sheetId="5" r:id="rId7"/>
    <sheet state="visible" name="CreateDoneAwayOrder1" sheetId="6" r:id="rId8"/>
    <sheet state="visible" name="ManualClosing" sheetId="7" r:id="rId9"/>
    <sheet state="visible" name="GetDataClosing" sheetId="8" r:id="rId10"/>
    <sheet state="visible" name="VerifyClosedTrades" sheetId="9" r:id="rId11"/>
    <sheet state="visible" name="VerifyOrder" sheetId="10" r:id="rId12"/>
    <sheet state="visible" name="GetDataAllocation" sheetId="11" r:id="rId13"/>
    <sheet state="visible" name="CheckPortfolioManagement" sheetId="12" r:id="rId14"/>
    <sheet state="visible" name="CheckAllocatedGroups" sheetId="13" r:id="rId15"/>
  </sheets>
  <definedNames/>
  <calcPr/>
</workbook>
</file>

<file path=xl/sharedStrings.xml><?xml version="1.0" encoding="utf-8"?>
<sst xmlns="http://schemas.openxmlformats.org/spreadsheetml/2006/main" count="200" uniqueCount="54">
  <si>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</si>
  <si>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</si>
  <si>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</si>
  <si>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</si>
  <si>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</si>
  <si>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</si>
  <si>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</si>
  <si>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</si>
  <si>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</si>
  <si>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</si>
  <si>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</si>
  <si>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</si>
  <si>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</si>
  <si>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</si>
  <si>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</si>
  <si>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</si>
  <si>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</si>
  <si>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</t>
  </si>
  <si>
    <t>Allocation1</t>
  </si>
  <si>
    <t>MS</t>
  </si>
  <si>
    <t>Market</t>
  </si>
  <si>
    <t>PortfolioManagement</t>
  </si>
  <si>
    <t>ClosePositionFromPM</t>
  </si>
  <si>
    <t>Sell</t>
  </si>
  <si>
    <t>Closing</t>
  </si>
  <si>
    <t>ManualClosing</t>
  </si>
  <si>
    <t>Equity</t>
  </si>
  <si>
    <t>GetDataClosing</t>
  </si>
  <si>
    <t>Current</t>
  </si>
  <si>
    <t>VerifyClosedTrades</t>
  </si>
  <si>
    <t>Strategy Unallocated</t>
  </si>
  <si>
    <t>Long</t>
  </si>
  <si>
    <t>MANUAL</t>
  </si>
  <si>
    <t>Short</t>
  </si>
  <si>
    <t>Blotter</t>
  </si>
  <si>
    <t>VerifyOrder</t>
  </si>
  <si>
    <t>EDV CN</t>
  </si>
  <si>
    <t>Filled</t>
  </si>
  <si>
    <t>Allocation</t>
  </si>
  <si>
    <t>GetDataAllocation</t>
  </si>
  <si>
    <t>CheckPortfolioManagement</t>
  </si>
  <si>
    <t>NewMF</t>
  </si>
  <si>
    <t>FIMAT</t>
  </si>
  <si>
    <t>US</t>
  </si>
  <si>
    <t>TSX</t>
  </si>
  <si>
    <t>CAD</t>
  </si>
  <si>
    <t>jpearce</t>
  </si>
  <si>
    <t>None</t>
  </si>
  <si>
    <t>Default</t>
  </si>
  <si>
    <t>Yes</t>
  </si>
  <si>
    <t>CheckAllocatedGroups</t>
  </si>
  <si>
    <t>Closed</t>
  </si>
  <si>
    <t>D</t>
  </si>
  <si>
    <t xml:space="preserve">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</si>
</sst>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00BFFF"/>
      <name val="&quot;Segoe UI&quot;"/>
    </font>
    <font>
      <sz val="9.0"/>
      <color rgb="FFFF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3" numFmtId="0" xfId="0" applyAlignment="1" applyFill="1" applyFont="1">
      <alignment readingOrder="0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vertical="bottom"/>
    </xf>
    <xf borderId="0" fillId="0" fontId="3" numFmtId="3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wrapText="0"/>
    </xf>
    <xf borderId="5" fillId="0" fontId="5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7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ill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14" numFmtId="3" xfId="0" applyAlignment="1" applyFont="1" applyNumberForma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horizontal="right" readingOrder="0" vertical="bottom"/>
    </xf>
    <xf borderId="0" fillId="0" fontId="14" numFmtId="0" xfId="0" applyAlignment="1" applyFont="1">
      <alignment horizontal="center" vertical="bottom"/>
    </xf>
    <xf borderId="5" fillId="0" fontId="14" numFmtId="0" xfId="0" applyAlignment="1" applyBorder="1" applyFont="1">
      <alignment vertical="bottom"/>
    </xf>
    <xf borderId="0" fillId="0" fontId="3" numFmtId="166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5" fillId="0" fontId="14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50000.0</v>
      </c>
      <c r="E6" s="34">
        <v>50000.0</v>
      </c>
      <c r="F6" s="32" t="s">
        <v>18</v>
      </c>
      <c r="G6" s="32" t="s">
        <v>19</v>
      </c>
      <c r="H6" s="32"/>
      <c r="I6" s="32" t="s">
        <v>20</v>
      </c>
      <c r="J6" s="35">
        <v>10.0</v>
      </c>
      <c r="K6" s="32"/>
      <c r="L6" s="32"/>
      <c r="M6" s="32"/>
      <c r="N6" s="36">
        <f>Today()</f>
        <v>44656</v>
      </c>
      <c r="O6" s="32"/>
      <c r="P6" s="32"/>
      <c r="Q6" s="32"/>
      <c r="R6" s="32"/>
      <c r="S6" s="32"/>
      <c r="T6" s="37"/>
      <c r="U6" s="37"/>
      <c r="V6" s="37"/>
      <c r="W6" s="37"/>
      <c r="X6" s="37"/>
      <c r="Y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31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9" t="s">
        <v>23</v>
      </c>
      <c r="D6" s="33">
        <v>50000.0</v>
      </c>
      <c r="E6" s="33"/>
      <c r="F6" s="40"/>
      <c r="G6" s="32"/>
      <c r="H6" s="32"/>
      <c r="I6" s="32"/>
      <c r="J6" s="35">
        <v>10.0</v>
      </c>
      <c r="K6" s="32"/>
      <c r="L6" s="32"/>
      <c r="M6" s="32"/>
      <c r="N6" s="41"/>
      <c r="O6" s="32"/>
      <c r="P6" s="32"/>
      <c r="Q6" s="32"/>
      <c r="R6" s="32"/>
      <c r="S6" s="32"/>
      <c r="T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IFERROR(__xludf.DUMMYFUNCTION("""COMPUTED_VALUE"""),"FilterLongPositionGrid")</f>
        <v>FilterLongPositionGrid</v>
      </c>
      <c r="AF4" s="26" t="str">
        <f>IFERROR(__xludf.DUMMYFUNCTION("""COMPUTED_VALUE"""),"FilterShortPositionGrid")</f>
        <v>FilterShortPositionGrid</v>
      </c>
      <c r="AG4" s="26" t="str">
        <f>IFERROR(__xludf.DUMMYFUNCTION("""COMPUTED_VALUE"""),"FilterClosingGrid")</f>
        <v>FilterClosingGrid</v>
      </c>
      <c r="AH4" s="26" t="str">
        <f>IFERROR(__xludf.DUMMYFUNCTION("""COMPUTED_VALUE"""),"FilterUnexpiredGrid")</f>
        <v>FilterUnexpiredGrid</v>
      </c>
      <c r="AI4" s="26" t="str">
        <f>IFERROR(__xludf.DUMMYFUNCTION("""COMPUTED_VALUE"""),"FilterExpiredGrid")</f>
        <v>FilterExpiredGrid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b">
        <v>0</v>
      </c>
      <c r="C6" s="42" t="b">
        <v>1</v>
      </c>
      <c r="D6" s="43" t="s">
        <v>18</v>
      </c>
      <c r="E6" s="40" t="s">
        <v>26</v>
      </c>
      <c r="F6" s="8"/>
      <c r="G6" s="8"/>
      <c r="H6" s="8"/>
      <c r="I6" s="8"/>
      <c r="J6" s="13">
        <v>500000.0</v>
      </c>
      <c r="K6" s="13">
        <v>10.0</v>
      </c>
      <c r="L6" s="8"/>
      <c r="M6" s="8"/>
      <c r="N6" s="8"/>
      <c r="O6" s="44">
        <v>50000.0</v>
      </c>
      <c r="V6" s="37" t="s">
        <v>17</v>
      </c>
      <c r="X6" s="9" t="s">
        <v>16</v>
      </c>
      <c r="AE6" s="9" t="s">
        <v>18</v>
      </c>
      <c r="AF6" s="9" t="s">
        <v>26</v>
      </c>
      <c r="AK6" s="13">
        <v>500000.0</v>
      </c>
      <c r="AL6" s="9">
        <v>10.0</v>
      </c>
      <c r="AP6" s="44">
        <v>50000.0</v>
      </c>
      <c r="AW6" s="37" t="s">
        <v>23</v>
      </c>
      <c r="AY6" s="37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/>
      <c r="C8" s="45"/>
      <c r="D8" s="46"/>
      <c r="E8" s="46"/>
      <c r="F8" s="46"/>
      <c r="G8" s="46"/>
      <c r="H8" s="46"/>
      <c r="I8" s="46"/>
      <c r="J8" s="46"/>
      <c r="K8" s="47"/>
      <c r="L8" s="46"/>
      <c r="M8" s="46"/>
      <c r="N8" s="46"/>
      <c r="O8" s="4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48"/>
      <c r="AM8" s="37"/>
      <c r="AN8" s="37"/>
      <c r="AO8" s="37"/>
      <c r="AP8" s="49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IFERROR(__xludf.DUMMYFUNCTION("""COMPUTED_VALUE"""),"FilterLongPositionGrid")</f>
        <v>FilterLongPositionGrid</v>
      </c>
      <c r="AF4" s="26" t="str">
        <f>IFERROR(__xludf.DUMMYFUNCTION("""COMPUTED_VALUE"""),"FilterShortPositionGrid")</f>
        <v>FilterShortPositionGrid</v>
      </c>
      <c r="AG4" s="26" t="str">
        <f>IFERROR(__xludf.DUMMYFUNCTION("""COMPUTED_VALUE"""),"FilterClosingGrid")</f>
        <v>FilterClosingGrid</v>
      </c>
      <c r="AH4" s="26" t="str">
        <f>IFERROR(__xludf.DUMMYFUNCTION("""COMPUTED_VALUE"""),"FilterUnexpiredGrid")</f>
        <v>FilterUnexpiredGrid</v>
      </c>
      <c r="AI4" s="26" t="str">
        <f>IFERROR(__xludf.DUMMYFUNCTION("""COMPUTED_VALUE"""),"FilterExpiredGrid")</f>
        <v>FilterExpiredGrid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28</v>
      </c>
      <c r="C6" s="36"/>
      <c r="D6" s="36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IFERROR(__xludf.DUMMYFUNCTION("""COMPUTED_VALUE"""),"FilterLongPositionGrid")</f>
        <v>FilterLongPositionGrid</v>
      </c>
      <c r="AF4" s="26" t="str">
        <f>IFERROR(__xludf.DUMMYFUNCTION("""COMPUTED_VALUE"""),"FilterShortPositionGrid")</f>
        <v>FilterShortPositionGrid</v>
      </c>
      <c r="AG4" s="26" t="str">
        <f>IFERROR(__xludf.DUMMYFUNCTION("""COMPUTED_VALUE"""),"FilterClosingGrid")</f>
        <v>FilterClosingGrid</v>
      </c>
      <c r="AH4" s="26" t="str">
        <f>IFERROR(__xludf.DUMMYFUNCTION("""COMPUTED_VALUE"""),"FilterUnexpiredGrid")</f>
        <v>FilterUnexpiredGrid</v>
      </c>
      <c r="AI4" s="26" t="str">
        <f>IFERROR(__xludf.DUMMYFUNCTION("""COMPUTED_VALUE"""),"FilterExpiredGrid")</f>
        <v>FilterExpiredGrid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3" t="s">
        <v>18</v>
      </c>
      <c r="E6" s="50" t="s">
        <v>30</v>
      </c>
      <c r="F6" s="40" t="s">
        <v>31</v>
      </c>
      <c r="G6" s="13" t="s">
        <v>26</v>
      </c>
      <c r="H6" s="40" t="s">
        <v>16</v>
      </c>
      <c r="I6" s="51">
        <v>50000.0</v>
      </c>
      <c r="J6" s="33">
        <v>10.0</v>
      </c>
      <c r="K6" s="35">
        <v>10.0</v>
      </c>
      <c r="L6" s="33">
        <v>0.0</v>
      </c>
      <c r="M6" s="32"/>
      <c r="N6" s="32"/>
      <c r="O6" s="40" t="s">
        <v>31</v>
      </c>
      <c r="P6" s="52">
        <v>0.0</v>
      </c>
      <c r="Q6" s="32" t="s">
        <v>23</v>
      </c>
      <c r="R6" s="9" t="s">
        <v>32</v>
      </c>
      <c r="S6" s="32"/>
      <c r="T6" s="37"/>
      <c r="U6" s="37"/>
      <c r="V6" s="37"/>
      <c r="W6" s="37"/>
      <c r="X6" s="37"/>
      <c r="Y6" s="37"/>
      <c r="Z6" s="37"/>
      <c r="AE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40"/>
      <c r="E9" s="32"/>
      <c r="F9" s="40"/>
      <c r="G9" s="32"/>
      <c r="H9" s="40"/>
      <c r="I9" s="51"/>
      <c r="J9" s="35"/>
      <c r="K9" s="35"/>
      <c r="L9" s="35"/>
      <c r="M9" s="32"/>
      <c r="N9" s="32"/>
      <c r="O9" s="32"/>
      <c r="P9" s="52"/>
      <c r="Q9" s="32"/>
      <c r="R9" s="32"/>
      <c r="S9" s="32"/>
      <c r="T9" s="37"/>
      <c r="U9" s="37"/>
      <c r="V9" s="37"/>
      <c r="W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3"/>
      <c r="D6" s="13"/>
      <c r="E6" s="53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  <c r="AD6" s="53">
        <v>0.0</v>
      </c>
      <c r="AI6" s="54" t="s">
        <v>16</v>
      </c>
      <c r="AJ6" s="53" t="s">
        <v>17</v>
      </c>
      <c r="AK6" s="53" t="s">
        <v>37</v>
      </c>
      <c r="AL6" s="53">
        <v>50000.0</v>
      </c>
      <c r="AM6" s="53">
        <v>50000.0</v>
      </c>
      <c r="AN6" s="53">
        <v>100.0</v>
      </c>
      <c r="AQ6" s="53">
        <v>10.0</v>
      </c>
      <c r="AR6" s="53">
        <v>10.0</v>
      </c>
      <c r="AS6" s="55" t="s">
        <v>19</v>
      </c>
      <c r="AT6" s="53" t="s">
        <v>18</v>
      </c>
      <c r="AU6" s="9" t="s">
        <v>20</v>
      </c>
    </row>
    <row r="7" ht="15.75" customHeight="1">
      <c r="A7" s="8"/>
      <c r="B7" s="8"/>
      <c r="C7" s="53"/>
      <c r="D7" s="8"/>
      <c r="E7" s="53" t="s">
        <v>36</v>
      </c>
      <c r="F7" s="8"/>
      <c r="G7" s="8"/>
      <c r="H7" s="8"/>
      <c r="I7" s="8"/>
      <c r="J7" s="8"/>
      <c r="K7" s="8"/>
      <c r="L7" s="8"/>
      <c r="M7" s="8"/>
      <c r="N7" s="8"/>
      <c r="O7" s="8"/>
      <c r="AD7" s="53">
        <v>0.0</v>
      </c>
      <c r="AI7" s="54" t="s">
        <v>16</v>
      </c>
      <c r="AJ7" s="54" t="s">
        <v>23</v>
      </c>
      <c r="AK7" s="53" t="s">
        <v>37</v>
      </c>
      <c r="AL7" s="53">
        <v>50000.0</v>
      </c>
      <c r="AM7" s="53">
        <v>50000.0</v>
      </c>
      <c r="AN7" s="53">
        <v>100.0</v>
      </c>
      <c r="AQ7" s="53">
        <v>10.0</v>
      </c>
      <c r="AR7" s="53">
        <v>10.0</v>
      </c>
      <c r="AS7" s="55" t="s">
        <v>19</v>
      </c>
      <c r="AT7" s="53" t="s">
        <v>18</v>
      </c>
      <c r="AU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28</v>
      </c>
      <c r="C6" s="41"/>
      <c r="D6" s="4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IFERROR(__xludf.DUMMYFUNCTION("""COMPUTED_VALUE"""),"isRowCountCheck")</f>
        <v>isRowCountCheck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56"/>
      <c r="C6" s="57" t="s">
        <v>16</v>
      </c>
      <c r="D6" s="58">
        <v>50000.0</v>
      </c>
      <c r="E6" s="59" t="s">
        <v>18</v>
      </c>
      <c r="F6" s="59" t="s">
        <v>41</v>
      </c>
      <c r="G6" s="60">
        <v>10.0</v>
      </c>
      <c r="H6" s="59" t="s">
        <v>31</v>
      </c>
      <c r="I6" s="60">
        <v>0.0</v>
      </c>
      <c r="J6" s="60">
        <v>0.0</v>
      </c>
      <c r="K6" s="60">
        <v>0.0</v>
      </c>
      <c r="L6" s="60">
        <v>0.0</v>
      </c>
      <c r="M6" s="60">
        <v>0.0</v>
      </c>
      <c r="N6" s="60">
        <v>0.0</v>
      </c>
      <c r="O6" s="57"/>
      <c r="P6" s="60"/>
      <c r="Q6" s="61">
        <v>0.0</v>
      </c>
      <c r="R6" s="59" t="s">
        <v>42</v>
      </c>
      <c r="S6" s="59" t="s">
        <v>30</v>
      </c>
      <c r="T6" s="62" t="s">
        <v>26</v>
      </c>
      <c r="U6" s="62" t="s">
        <v>43</v>
      </c>
      <c r="V6" s="57" t="s">
        <v>44</v>
      </c>
      <c r="W6" s="57" t="s">
        <v>45</v>
      </c>
      <c r="X6" s="63">
        <v>1.0</v>
      </c>
      <c r="Y6" s="61">
        <v>0.0</v>
      </c>
      <c r="Z6" s="64"/>
      <c r="AA6" s="64"/>
      <c r="AB6" s="65"/>
      <c r="AC6" s="65"/>
      <c r="AD6" s="63"/>
      <c r="AE6" s="63"/>
      <c r="AF6" s="58">
        <v>50000.0</v>
      </c>
      <c r="AG6" s="63">
        <v>0.0</v>
      </c>
      <c r="AH6" s="66">
        <v>0.0</v>
      </c>
      <c r="AI6" s="63">
        <v>0.0</v>
      </c>
      <c r="AJ6" s="63">
        <v>0.0</v>
      </c>
      <c r="AK6" s="58">
        <v>-500000.0</v>
      </c>
      <c r="AL6" s="63"/>
      <c r="AM6" s="66"/>
      <c r="AN6" s="62" t="s">
        <v>17</v>
      </c>
      <c r="AO6" s="64"/>
      <c r="AP6" s="67" t="s">
        <v>31</v>
      </c>
      <c r="AQ6" s="57" t="s">
        <v>16</v>
      </c>
      <c r="AR6" s="63"/>
      <c r="AS6" s="63">
        <v>1.0</v>
      </c>
      <c r="AT6" s="62"/>
      <c r="AU6" s="62"/>
      <c r="AV6" s="63"/>
      <c r="AW6" s="58">
        <v>-500000.0</v>
      </c>
      <c r="AX6" s="66">
        <v>0.0</v>
      </c>
      <c r="AY6" s="63">
        <v>0.0</v>
      </c>
      <c r="AZ6" s="63">
        <v>0.0</v>
      </c>
      <c r="BA6" s="63">
        <v>0.0</v>
      </c>
      <c r="BB6" s="68"/>
      <c r="BC6" s="63"/>
      <c r="BD6" s="58">
        <v>-500000.0</v>
      </c>
      <c r="BE6" s="69" t="s">
        <v>26</v>
      </c>
      <c r="BF6" s="57"/>
      <c r="BG6" s="57"/>
      <c r="BH6" s="62"/>
      <c r="BI6" s="57"/>
      <c r="BJ6" s="63"/>
      <c r="BK6" s="63"/>
      <c r="BL6" s="63"/>
      <c r="BM6" s="63"/>
      <c r="BN6" s="68"/>
      <c r="BO6" s="70"/>
      <c r="BP6" s="63">
        <v>0.0</v>
      </c>
      <c r="BQ6" s="57" t="s">
        <v>46</v>
      </c>
      <c r="BR6" s="62" t="s">
        <v>19</v>
      </c>
      <c r="BS6" s="63">
        <v>0.0</v>
      </c>
      <c r="BT6" s="63">
        <v>0.0</v>
      </c>
      <c r="BU6" s="62" t="s">
        <v>26</v>
      </c>
      <c r="BV6" s="63"/>
      <c r="BW6" s="63">
        <v>0.0</v>
      </c>
      <c r="BX6" s="63">
        <v>0.0</v>
      </c>
      <c r="BY6" s="63">
        <v>0.0</v>
      </c>
      <c r="BZ6" s="63">
        <v>0.0</v>
      </c>
      <c r="CA6" s="63">
        <v>0.0</v>
      </c>
      <c r="CB6" s="63"/>
      <c r="CC6" s="63">
        <v>0.0</v>
      </c>
      <c r="CD6" s="71">
        <v>0.0</v>
      </c>
      <c r="CE6" s="63">
        <v>0.0</v>
      </c>
      <c r="CF6" s="63">
        <v>0.0</v>
      </c>
      <c r="CG6" s="72">
        <v>0.0</v>
      </c>
      <c r="CH6" s="71">
        <v>0.0</v>
      </c>
      <c r="CI6" s="63">
        <v>0.0</v>
      </c>
      <c r="CJ6" s="63">
        <v>0.0</v>
      </c>
      <c r="CK6" s="73" t="b">
        <v>0</v>
      </c>
      <c r="CL6" s="64"/>
      <c r="CM6" s="64"/>
      <c r="CN6" s="61">
        <v>2983682.0</v>
      </c>
      <c r="CO6" s="74"/>
      <c r="CP6" s="57" t="s">
        <v>36</v>
      </c>
      <c r="CQ6" s="64"/>
      <c r="CR6" s="75"/>
      <c r="CS6" s="63">
        <v>10.0</v>
      </c>
      <c r="CT6" s="75"/>
      <c r="CU6" s="64"/>
      <c r="CV6" s="37"/>
      <c r="CW6" s="37"/>
      <c r="CX6" s="37"/>
      <c r="CY6" s="67" t="s">
        <v>47</v>
      </c>
      <c r="CZ6" s="67" t="s">
        <v>48</v>
      </c>
      <c r="DA6" s="65">
        <v>0.0</v>
      </c>
      <c r="DB6" s="65">
        <v>0.0</v>
      </c>
      <c r="DC6" s="68"/>
      <c r="DD6" s="63"/>
      <c r="DE6" s="63">
        <v>0.0</v>
      </c>
      <c r="DF6" s="63">
        <v>0.0</v>
      </c>
      <c r="DG6" s="63">
        <v>0.0</v>
      </c>
      <c r="DH6" s="70"/>
      <c r="DI6" s="66">
        <v>0.0</v>
      </c>
      <c r="DJ6" s="62" t="s">
        <v>17</v>
      </c>
      <c r="DK6" s="63">
        <v>0.0</v>
      </c>
      <c r="DL6" s="63">
        <v>0.0</v>
      </c>
      <c r="DM6" s="71">
        <v>0.0</v>
      </c>
      <c r="DN6" s="63">
        <v>0.0</v>
      </c>
      <c r="DO6" s="64"/>
      <c r="DP6" s="62" t="s">
        <v>31</v>
      </c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57" t="s">
        <v>45</v>
      </c>
      <c r="EE6" s="62" t="s">
        <v>49</v>
      </c>
      <c r="EF6" s="63">
        <v>0.0</v>
      </c>
      <c r="EG6" s="63">
        <v>0.0</v>
      </c>
      <c r="EH6" s="63">
        <v>0.0</v>
      </c>
      <c r="EI6" s="63">
        <v>0.0</v>
      </c>
      <c r="EJ6" s="63">
        <v>0.0</v>
      </c>
      <c r="EK6" s="63">
        <v>0.0</v>
      </c>
      <c r="EL6" s="62" t="s">
        <v>31</v>
      </c>
      <c r="EM6" s="63">
        <v>0.0</v>
      </c>
      <c r="EN6" s="63">
        <v>0.0</v>
      </c>
      <c r="EO6" s="63"/>
      <c r="EP6" s="63"/>
      <c r="EQ6" s="63">
        <v>0.0</v>
      </c>
      <c r="ER6" s="63">
        <v>0.0</v>
      </c>
      <c r="ES6" s="76"/>
      <c r="ET6" s="63">
        <v>0.0</v>
      </c>
      <c r="EU6" s="63">
        <v>0.0</v>
      </c>
      <c r="EV6" s="62" t="s">
        <v>31</v>
      </c>
      <c r="EW6" s="63"/>
      <c r="EX6" s="73" t="b">
        <v>0</v>
      </c>
      <c r="EY6" s="62"/>
      <c r="EZ6" s="63"/>
      <c r="FA6" s="63"/>
      <c r="FB6" s="63"/>
      <c r="FC6" s="64"/>
      <c r="FD6" s="64"/>
      <c r="FE6" s="64"/>
      <c r="FF6" s="64"/>
      <c r="FG6" s="37"/>
      <c r="FH6" s="37"/>
      <c r="FI6" s="37"/>
      <c r="FJ6" s="77"/>
      <c r="FK6" s="77"/>
      <c r="FL6" s="77"/>
      <c r="FM6" s="77"/>
      <c r="FN6" s="77"/>
      <c r="FO6" s="77"/>
      <c r="FP6" s="77"/>
      <c r="FQ6" s="77"/>
      <c r="FR6" s="77"/>
      <c r="FS6" s="77"/>
    </row>
    <row r="7" ht="15.75" customHeight="1">
      <c r="A7" s="8"/>
      <c r="B7" s="56"/>
      <c r="C7" s="57" t="s">
        <v>16</v>
      </c>
      <c r="D7" s="58">
        <v>-50000.0</v>
      </c>
      <c r="E7" s="59" t="s">
        <v>18</v>
      </c>
      <c r="F7" s="59" t="s">
        <v>41</v>
      </c>
      <c r="G7" s="60">
        <v>10.0</v>
      </c>
      <c r="H7" s="59" t="s">
        <v>31</v>
      </c>
      <c r="I7" s="60">
        <v>0.0</v>
      </c>
      <c r="J7" s="60">
        <v>0.0</v>
      </c>
      <c r="K7" s="60">
        <v>0.0</v>
      </c>
      <c r="L7" s="60">
        <v>0.0</v>
      </c>
      <c r="M7" s="60">
        <v>0.0</v>
      </c>
      <c r="N7" s="60">
        <v>0.0</v>
      </c>
      <c r="O7" s="57"/>
      <c r="P7" s="60"/>
      <c r="Q7" s="61">
        <v>0.0</v>
      </c>
      <c r="R7" s="59" t="s">
        <v>42</v>
      </c>
      <c r="S7" s="59" t="s">
        <v>30</v>
      </c>
      <c r="T7" s="62" t="s">
        <v>26</v>
      </c>
      <c r="U7" s="62" t="s">
        <v>43</v>
      </c>
      <c r="V7" s="57" t="s">
        <v>44</v>
      </c>
      <c r="W7" s="57" t="s">
        <v>45</v>
      </c>
      <c r="X7" s="63">
        <v>1.0</v>
      </c>
      <c r="Y7" s="61">
        <v>0.0</v>
      </c>
      <c r="Z7" s="64"/>
      <c r="AA7" s="64"/>
      <c r="AB7" s="65"/>
      <c r="AC7" s="65"/>
      <c r="AD7" s="63"/>
      <c r="AE7" s="63"/>
      <c r="AF7" s="58">
        <v>-50000.0</v>
      </c>
      <c r="AG7" s="63">
        <v>0.0</v>
      </c>
      <c r="AH7" s="66">
        <v>0.0</v>
      </c>
      <c r="AI7" s="63">
        <v>0.0</v>
      </c>
      <c r="AJ7" s="63">
        <v>0.0</v>
      </c>
      <c r="AK7" s="58">
        <v>500000.0</v>
      </c>
      <c r="AL7" s="63"/>
      <c r="AM7" s="66"/>
      <c r="AN7" s="78" t="s">
        <v>23</v>
      </c>
      <c r="AO7" s="64"/>
      <c r="AP7" s="67" t="s">
        <v>31</v>
      </c>
      <c r="AQ7" s="57" t="s">
        <v>16</v>
      </c>
      <c r="AR7" s="63"/>
      <c r="AS7" s="61">
        <v>-1.0</v>
      </c>
      <c r="AT7" s="62"/>
      <c r="AU7" s="67"/>
      <c r="AV7" s="65"/>
      <c r="AW7" s="58">
        <v>500000.0</v>
      </c>
      <c r="AX7" s="66">
        <v>0.0</v>
      </c>
      <c r="AY7" s="63">
        <v>0.0</v>
      </c>
      <c r="AZ7" s="63">
        <v>0.0</v>
      </c>
      <c r="BA7" s="63">
        <v>0.0</v>
      </c>
      <c r="BB7" s="68"/>
      <c r="BC7" s="63"/>
      <c r="BD7" s="58">
        <v>500000.0</v>
      </c>
      <c r="BE7" s="69" t="s">
        <v>26</v>
      </c>
      <c r="BF7" s="57"/>
      <c r="BG7" s="57"/>
      <c r="BH7" s="62"/>
      <c r="BI7" s="57"/>
      <c r="BJ7" s="63"/>
      <c r="BK7" s="63"/>
      <c r="BL7" s="63"/>
      <c r="BM7" s="63"/>
      <c r="BN7" s="68"/>
      <c r="BO7" s="70"/>
      <c r="BP7" s="63">
        <v>0.0</v>
      </c>
      <c r="BQ7" s="57" t="s">
        <v>46</v>
      </c>
      <c r="BR7" s="62" t="s">
        <v>19</v>
      </c>
      <c r="BS7" s="63">
        <v>0.0</v>
      </c>
      <c r="BT7" s="63">
        <v>0.0</v>
      </c>
      <c r="BU7" s="62" t="s">
        <v>26</v>
      </c>
      <c r="BV7" s="63"/>
      <c r="BW7" s="63">
        <v>0.0</v>
      </c>
      <c r="BX7" s="63">
        <v>0.0</v>
      </c>
      <c r="BY7" s="63">
        <v>0.0</v>
      </c>
      <c r="BZ7" s="63">
        <v>0.0</v>
      </c>
      <c r="CA7" s="63">
        <v>0.0</v>
      </c>
      <c r="CB7" s="63"/>
      <c r="CC7" s="63">
        <v>0.0</v>
      </c>
      <c r="CD7" s="71">
        <v>0.0</v>
      </c>
      <c r="CE7" s="63">
        <v>0.0</v>
      </c>
      <c r="CF7" s="63">
        <v>0.0</v>
      </c>
      <c r="CG7" s="72">
        <v>0.0</v>
      </c>
      <c r="CH7" s="71">
        <v>0.0</v>
      </c>
      <c r="CI7" s="63">
        <v>0.0</v>
      </c>
      <c r="CJ7" s="63">
        <v>0.0</v>
      </c>
      <c r="CK7" s="73" t="b">
        <v>0</v>
      </c>
      <c r="CL7" s="64"/>
      <c r="CM7" s="64"/>
      <c r="CN7" s="61">
        <v>2983682.0</v>
      </c>
      <c r="CO7" s="74"/>
      <c r="CP7" s="57" t="s">
        <v>36</v>
      </c>
      <c r="CQ7" s="64"/>
      <c r="CR7" s="75"/>
      <c r="CS7" s="63">
        <v>10.0</v>
      </c>
      <c r="CT7" s="75"/>
      <c r="CU7" s="64"/>
      <c r="CV7" s="37"/>
      <c r="CW7" s="37"/>
      <c r="CX7" s="37"/>
      <c r="CY7" s="67" t="s">
        <v>47</v>
      </c>
      <c r="CZ7" s="67" t="s">
        <v>48</v>
      </c>
      <c r="DA7" s="63">
        <v>0.0</v>
      </c>
      <c r="DB7" s="65">
        <v>0.0</v>
      </c>
      <c r="DC7" s="68"/>
      <c r="DD7" s="58"/>
      <c r="DE7" s="63">
        <v>0.0</v>
      </c>
      <c r="DF7" s="63">
        <v>0.0</v>
      </c>
      <c r="DG7" s="63">
        <v>0.0</v>
      </c>
      <c r="DH7" s="70"/>
      <c r="DI7" s="66">
        <v>0.0</v>
      </c>
      <c r="DJ7" s="78" t="s">
        <v>23</v>
      </c>
      <c r="DK7" s="63">
        <v>0.0</v>
      </c>
      <c r="DL7" s="63">
        <v>0.0</v>
      </c>
      <c r="DM7" s="71">
        <v>0.0</v>
      </c>
      <c r="DN7" s="63">
        <v>0.0</v>
      </c>
      <c r="DO7" s="64"/>
      <c r="DP7" s="62" t="s">
        <v>31</v>
      </c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57" t="s">
        <v>45</v>
      </c>
      <c r="EE7" s="62" t="s">
        <v>49</v>
      </c>
      <c r="EF7" s="63">
        <v>0.0</v>
      </c>
      <c r="EG7" s="63">
        <v>0.0</v>
      </c>
      <c r="EH7" s="63">
        <v>0.0</v>
      </c>
      <c r="EI7" s="63">
        <v>0.0</v>
      </c>
      <c r="EJ7" s="63">
        <v>0.0</v>
      </c>
      <c r="EK7" s="63">
        <v>0.0</v>
      </c>
      <c r="EL7" s="62" t="s">
        <v>31</v>
      </c>
      <c r="EM7" s="63">
        <v>0.0</v>
      </c>
      <c r="EN7" s="63">
        <v>0.0</v>
      </c>
      <c r="EO7" s="63"/>
      <c r="EP7" s="63"/>
      <c r="EQ7" s="63">
        <v>0.0</v>
      </c>
      <c r="ER7" s="63">
        <v>0.0</v>
      </c>
      <c r="ES7" s="76"/>
      <c r="ET7" s="63">
        <v>0.0</v>
      </c>
      <c r="EU7" s="63">
        <v>0.0</v>
      </c>
      <c r="EV7" s="62" t="s">
        <v>31</v>
      </c>
      <c r="EW7" s="63"/>
      <c r="EX7" s="73" t="b">
        <v>0</v>
      </c>
      <c r="EY7" s="62"/>
      <c r="EZ7" s="63"/>
      <c r="FA7" s="63"/>
      <c r="FB7" s="63"/>
      <c r="FC7" s="64"/>
      <c r="FD7" s="64"/>
      <c r="FE7" s="64"/>
      <c r="FF7" s="64"/>
      <c r="FG7" s="37"/>
      <c r="FH7" s="37"/>
      <c r="FI7" s="37"/>
      <c r="FJ7" s="77"/>
      <c r="FK7" s="77"/>
      <c r="FL7" s="77"/>
      <c r="FM7" s="77"/>
      <c r="FN7" s="77"/>
      <c r="FO7" s="77"/>
      <c r="FP7" s="77"/>
      <c r="FQ7" s="77"/>
      <c r="FR7" s="77"/>
      <c r="FS7" s="7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7" width="12.63"/>
    <col customWidth="1" min="58" max="58" width="15.0"/>
    <col customWidth="1" min="59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IFERROR(__xludf.DUMMYFUNCTION("""COMPUTED_VALUE"""),"isRowCountCheck")</f>
        <v>isRowCountCheck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9" t="s">
        <v>18</v>
      </c>
      <c r="C6" s="32"/>
      <c r="D6" s="60">
        <v>0.0</v>
      </c>
      <c r="E6" s="79">
        <v>50000.0</v>
      </c>
      <c r="F6" s="32"/>
      <c r="G6" s="74" t="s">
        <v>26</v>
      </c>
      <c r="H6" s="80">
        <v>0.0</v>
      </c>
      <c r="I6" s="80">
        <v>0.0</v>
      </c>
      <c r="J6" s="32"/>
      <c r="K6" s="80">
        <v>0.0</v>
      </c>
      <c r="L6" s="81">
        <v>10.0</v>
      </c>
      <c r="M6" s="32"/>
      <c r="N6" s="32"/>
      <c r="O6" s="40" t="s">
        <v>19</v>
      </c>
      <c r="P6" s="32"/>
      <c r="Q6" s="81">
        <v>3.0</v>
      </c>
      <c r="R6" s="81">
        <v>0.0</v>
      </c>
      <c r="S6" s="57" t="s">
        <v>51</v>
      </c>
      <c r="T6" s="65">
        <v>0.0</v>
      </c>
      <c r="U6" s="65">
        <v>0.0</v>
      </c>
      <c r="V6" s="37"/>
      <c r="W6" s="37"/>
      <c r="X6" s="37"/>
      <c r="Y6" s="37"/>
      <c r="Z6" s="57" t="s">
        <v>45</v>
      </c>
      <c r="AA6" s="37"/>
      <c r="AB6" s="37"/>
      <c r="AC6" s="37"/>
      <c r="AD6" s="78" t="s">
        <v>44</v>
      </c>
      <c r="AE6" s="79">
        <v>50000.0</v>
      </c>
      <c r="AF6" s="37"/>
      <c r="AG6" s="37"/>
      <c r="AH6" s="78" t="s">
        <v>52</v>
      </c>
      <c r="AI6" s="48"/>
      <c r="AJ6" s="37"/>
      <c r="AK6" s="37"/>
      <c r="AL6" s="37"/>
      <c r="AM6" s="37"/>
      <c r="AN6" s="82" t="b">
        <v>0</v>
      </c>
      <c r="AO6" s="37"/>
      <c r="AP6" s="82" t="b">
        <v>1</v>
      </c>
      <c r="AQ6" s="82" t="b">
        <v>0</v>
      </c>
      <c r="AR6" s="82" t="b">
        <v>1</v>
      </c>
      <c r="AS6" s="37"/>
      <c r="AT6" s="79">
        <v>0.0</v>
      </c>
      <c r="AU6" s="79">
        <v>500000.0</v>
      </c>
      <c r="AV6" s="37"/>
      <c r="AW6" s="65"/>
      <c r="AX6" s="65"/>
      <c r="AY6" s="67" t="s">
        <v>20</v>
      </c>
      <c r="AZ6" s="65">
        <v>0.0</v>
      </c>
      <c r="BA6" s="37"/>
      <c r="BB6" s="37"/>
      <c r="BC6" s="65">
        <v>0.0</v>
      </c>
      <c r="BD6" s="37"/>
      <c r="BE6" s="79">
        <v>0.0</v>
      </c>
      <c r="BF6" s="79">
        <v>500000.0</v>
      </c>
      <c r="BG6" s="37"/>
      <c r="BH6" s="37"/>
      <c r="BI6" s="37"/>
      <c r="BJ6" s="79">
        <v>50000.0</v>
      </c>
      <c r="BK6" s="48">
        <v>0.0</v>
      </c>
      <c r="BL6" s="37"/>
      <c r="BM6" s="31" t="s">
        <v>45</v>
      </c>
      <c r="BN6" s="37"/>
      <c r="BO6" s="57" t="s">
        <v>17</v>
      </c>
      <c r="BP6" s="65">
        <v>0.0</v>
      </c>
      <c r="BQ6" s="65">
        <v>0.0</v>
      </c>
      <c r="BR6" s="37"/>
      <c r="BS6" s="37"/>
      <c r="BT6" s="57" t="s">
        <v>16</v>
      </c>
      <c r="BU6" s="65"/>
      <c r="BV6" s="65">
        <v>0.0</v>
      </c>
      <c r="BW6" s="65"/>
      <c r="BX6" s="65">
        <v>0.0</v>
      </c>
      <c r="BY6" s="37"/>
      <c r="CN6" s="9" t="s">
        <v>46</v>
      </c>
    </row>
    <row r="7" ht="15.75" customHeight="1">
      <c r="A7" s="8"/>
      <c r="B7" s="67" t="s">
        <v>18</v>
      </c>
      <c r="C7" s="37"/>
      <c r="D7" s="65">
        <v>0.0</v>
      </c>
      <c r="E7" s="79">
        <v>50000.0</v>
      </c>
      <c r="F7" s="37"/>
      <c r="G7" s="67" t="s">
        <v>26</v>
      </c>
      <c r="H7" s="71">
        <v>0.0</v>
      </c>
      <c r="I7" s="71">
        <v>0.0</v>
      </c>
      <c r="J7" s="37"/>
      <c r="K7" s="71">
        <v>0.0</v>
      </c>
      <c r="L7" s="65">
        <v>10.0</v>
      </c>
      <c r="M7" s="37"/>
      <c r="N7" s="37"/>
      <c r="O7" s="46" t="s">
        <v>19</v>
      </c>
      <c r="P7" s="37"/>
      <c r="Q7" s="65">
        <v>3.0</v>
      </c>
      <c r="R7" s="65">
        <v>0.0</v>
      </c>
      <c r="S7" s="57" t="s">
        <v>51</v>
      </c>
      <c r="T7" s="65">
        <v>0.0</v>
      </c>
      <c r="U7" s="65">
        <v>0.0</v>
      </c>
      <c r="V7" s="37"/>
      <c r="W7" s="37"/>
      <c r="X7" s="37"/>
      <c r="Y7" s="37"/>
      <c r="Z7" s="57" t="s">
        <v>45</v>
      </c>
      <c r="AA7" s="37"/>
      <c r="AB7" s="37"/>
      <c r="AC7" s="37"/>
      <c r="AD7" s="78" t="s">
        <v>44</v>
      </c>
      <c r="AE7" s="79">
        <v>50000.0</v>
      </c>
      <c r="AF7" s="37"/>
      <c r="AG7" s="37"/>
      <c r="AH7" s="78" t="s">
        <v>52</v>
      </c>
      <c r="AI7" s="48"/>
      <c r="AJ7" s="37"/>
      <c r="AK7" s="37"/>
      <c r="AL7" s="37"/>
      <c r="AM7" s="37"/>
      <c r="AN7" s="82" t="b">
        <v>0</v>
      </c>
      <c r="AO7" s="37"/>
      <c r="AP7" s="82" t="b">
        <v>1</v>
      </c>
      <c r="AQ7" s="82" t="b">
        <v>0</v>
      </c>
      <c r="AR7" s="82" t="b">
        <v>1</v>
      </c>
      <c r="AS7" s="37"/>
      <c r="AT7" s="79">
        <v>0.0</v>
      </c>
      <c r="AU7" s="79">
        <v>500000.0</v>
      </c>
      <c r="AV7" s="37"/>
      <c r="AW7" s="65"/>
      <c r="AX7" s="65"/>
      <c r="AY7" s="67" t="s">
        <v>20</v>
      </c>
      <c r="AZ7" s="65">
        <v>0.0</v>
      </c>
      <c r="BA7" s="37"/>
      <c r="BB7" s="37"/>
      <c r="BC7" s="65">
        <v>0.0</v>
      </c>
      <c r="BD7" s="37"/>
      <c r="BE7" s="79">
        <v>0.0</v>
      </c>
      <c r="BF7" s="79">
        <v>500000.0</v>
      </c>
      <c r="BG7" s="37"/>
      <c r="BH7" s="37"/>
      <c r="BI7" s="37"/>
      <c r="BJ7" s="79">
        <v>50000.0</v>
      </c>
      <c r="BK7" s="48">
        <v>0.0</v>
      </c>
      <c r="BL7" s="37"/>
      <c r="BM7" s="31" t="s">
        <v>45</v>
      </c>
      <c r="BN7" s="37"/>
      <c r="BO7" s="67" t="s">
        <v>23</v>
      </c>
      <c r="BP7" s="65">
        <v>0.0</v>
      </c>
      <c r="BQ7" s="65">
        <v>0.0</v>
      </c>
      <c r="BR7" s="37"/>
      <c r="BS7" s="37"/>
      <c r="BT7" s="57" t="s">
        <v>16</v>
      </c>
      <c r="BU7" s="65"/>
      <c r="BV7" s="65">
        <v>0.0</v>
      </c>
      <c r="BW7" s="65"/>
      <c r="BX7" s="65">
        <v>0.0</v>
      </c>
      <c r="BY7" s="37"/>
      <c r="CN7" s="9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Q9" s="9" t="s">
        <v>53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