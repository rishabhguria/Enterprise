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CheckBasketCompliance" sheetId="12" r:id="rId14"/>
    <sheet state="visible" name="SetComplianceAlert" sheetId="13" r:id="rId15"/>
    <sheet state="visible" name="RestartReleasesAndServices" sheetId="14" r:id="rId16"/>
    <sheet state="visible" name="CheckBasketCompliance1" sheetId="15" r:id="rId17"/>
    <sheet state="visible" name="SetComplianceAlert1" sheetId="16" r:id="rId18"/>
    <sheet state="visible" name="CheckBasketCompliance2" sheetId="17" r:id="rId19"/>
  </sheets>
  <definedNames/>
  <calcPr/>
</workbook>
</file>

<file path=xl/sharedStrings.xml><?xml version="1.0" encoding="utf-8"?>
<sst xmlns="http://schemas.openxmlformats.org/spreadsheetml/2006/main" count="146" uniqueCount="49">
  <si>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</si>
  <si>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</si>
  <si>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</si>
  <si>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</si>
  <si>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</si>
  <si>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</si>
  <si>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</si>
  <si>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</si>
  <si>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</si>
  <si>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</si>
  <si>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</si>
  <si>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</si>
  <si>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</si>
  <si>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</si>
  <si>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</si>
  <si>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</si>
  <si>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</si>
  <si>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</si>
  <si>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</si>
  <si>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</si>
  <si>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CreateStageOrder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</si>
  <si>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</si>
  <si>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</si>
  <si>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</si>
  <si>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</si>
  <si>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</si>
  <si>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</si>
  <si>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</si>
  <si>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</si>
  <si>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</si>
  <si>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</si>
  <si>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</si>
  <si>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</si>
  <si>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</si>
  <si>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</si>
  <si>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</si>
  <si>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CheckBasketCompliance</t>
  </si>
  <si>
    <t>Soft</t>
  </si>
  <si>
    <t>GMVA</t>
  </si>
  <si>
    <t>Enter Summary</t>
  </si>
  <si>
    <t>Allocation1-IBM</t>
  </si>
  <si>
    <t>percentGrossMarketValueAccount: 1.5138, AccountShortName: Allocation1, Symbol: IBM</t>
  </si>
  <si>
    <t>Admin</t>
  </si>
  <si>
    <t>SetComplianceAlert</t>
  </si>
  <si>
    <t>Compliance</t>
  </si>
  <si>
    <t>RestartReleasesAndServices</t>
  </si>
  <si>
    <t>YES</t>
  </si>
  <si>
    <t>percentGrossMarketValueAccount: 1.055, AccountShortName: Allocation1, Symbol: IBM</t>
  </si>
  <si>
    <t>percentGrossMarketValueAccount: 0.5963,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</si>
</sst>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8" fillId="6" fontId="14" numFmtId="0" xfId="0" applyAlignment="1" applyBorder="1" applyFill="1" applyFont="1">
      <alignment horizontal="left" readingOrder="0" shrinkToFit="0" vertical="top" wrapText="0"/>
    </xf>
    <xf borderId="8" fillId="7" fontId="15" numFmtId="0" xfId="0" applyAlignment="1" applyBorder="1" applyFill="1" applyFont="1">
      <alignment horizontal="left" readingOrder="0" shrinkToFit="0" vertical="top" wrapText="0"/>
    </xf>
    <xf borderId="8" fillId="7" fontId="16" numFmtId="0" xfId="0" applyAlignment="1" applyBorder="1" applyFont="1">
      <alignment horizontal="left" readingOrder="0" shrinkToFit="0" vertical="top" wrapText="0"/>
    </xf>
    <xf borderId="0" fillId="0" fontId="17" numFmtId="0" xfId="0" applyAlignment="1" applyFont="1">
      <alignment readingOrder="0" shrinkToFit="0" vertical="bottom" wrapText="0"/>
    </xf>
    <xf borderId="8" fillId="7" fontId="15" numFmtId="0" xfId="0" applyAlignment="1" applyBorder="1" applyFont="1">
      <alignment horizontal="left" shrinkToFit="0" vertical="top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4">
        <v>100.0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19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4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45873</v>
      </c>
      <c r="C6" s="36">
        <f t="shared" si="1"/>
        <v>45873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7" t="s">
        <v>25</v>
      </c>
      <c r="D6" s="33">
        <v>335000.0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18</v>
      </c>
      <c r="C6" s="39" t="s">
        <v>28</v>
      </c>
      <c r="D6" s="38" t="s">
        <v>29</v>
      </c>
      <c r="E6" s="39" t="s">
        <v>30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>
        <v>100000.0</v>
      </c>
      <c r="C6" s="39" t="s">
        <v>32</v>
      </c>
      <c r="D6" s="38" t="s">
        <v>33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35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37</v>
      </c>
      <c r="C6" s="44" t="s">
        <v>38</v>
      </c>
      <c r="D6" s="44" t="s">
        <v>39</v>
      </c>
      <c r="E6" s="44" t="s">
        <v>40</v>
      </c>
      <c r="F6" s="44">
        <v>-10.0</v>
      </c>
      <c r="G6" s="45">
        <v>1.51</v>
      </c>
      <c r="H6" s="46" t="s">
        <v>41</v>
      </c>
      <c r="I6" s="47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8" t="b">
        <v>1</v>
      </c>
      <c r="E6" s="49" t="b">
        <v>0</v>
      </c>
      <c r="F6" s="49" t="b">
        <v>0</v>
      </c>
      <c r="G6" s="49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IFERROR(__xludf.DUMMYFUNCTION("IF(C3="""","""",Transpose(IMPORTRANGE('_Settings'!$B$3,C3&amp;""!A4:A1000"")))"),"RestartReleasesAndServices")</f>
        <v>RestartReleasesAndServices</v>
      </c>
      <c r="C4" s="25" t="str">
        <f>IFERROR(__xludf.DUMMYFUNCTION("""COMPUTED_VALUE"""),"ReplaceInterceptorFile")</f>
        <v>ReplaceInterceptorFile</v>
      </c>
      <c r="D4" s="25" t="str">
        <f>IFERROR(__xludf.DUMMYFUNCTION("""COMPUTED_VALUE"""),"EditInterceptorFile")</f>
        <v>EditInterceptorFile</v>
      </c>
      <c r="E4" s="25" t="str">
        <f>IFERROR(__xludf.DUMMYFUNCTION("""COMPUTED_VALUE"""),"VerifyAlertHistory")</f>
        <v>VerifyAlertHistory</v>
      </c>
      <c r="F4" s="25" t="str">
        <f>IFERROR(__xludf.DUMMYFUNCTION("""COMPUTED_VALUE"""),"ApproveorRejectpendingapproval")</f>
        <v>ApproveorRejectpendingapproval</v>
      </c>
      <c r="G4" s="25" t="str">
        <f>IFERROR(__xludf.DUMMYFUNCTION("""COMPUTED_VALUE"""),"VerifyAggAccountSymbolWithNav")</f>
        <v>VerifyAggAccountSymbolWithNav</v>
      </c>
      <c r="H4" s="25" t="str">
        <f>IFERROR(__xludf.DUMMYFUNCTION("""COMPUTED_VALUE"""),"RestartRuleMediator")</f>
        <v>RestartRuleMediator</v>
      </c>
      <c r="I4" s="25" t="str">
        <f>IFERROR(__xludf.DUMMYFUNCTION("""COMPUTED_VALUE"""),"VerifyMasterFundSymbolDivisorWindow")</f>
        <v>VerifyMasterFundSymbolDivisorWindow</v>
      </c>
      <c r="J4" s="25" t="str">
        <f>IFERROR(__xludf.DUMMYFUNCTION("""COMPUTED_VALUE"""),"VerifyMasterFundDivisorWindow")</f>
        <v>VerifyMasterFundDivisorWindow</v>
      </c>
      <c r="K4" s="25" t="str">
        <f>IFERROR(__xludf.DUMMYFUNCTION("""COMPUTED_VALUE"""),"VerifyGlobalDivisorWindow")</f>
        <v>VerifyGlobalDivisorWindow</v>
      </c>
      <c r="L4" s="25" t="str">
        <f>IFERROR(__xludf.DUMMYFUNCTION("""COMPUTED_VALUE"""),"VerifyAccrualForAccountWindow")</f>
        <v>VerifyAccrualForAccountWindow</v>
      </c>
      <c r="M4" s="25" t="str">
        <f>IFERROR(__xludf.DUMMYFUNCTION("""COMPUTED_VALUE"""),"VerifyGlobalDivisorWindow")</f>
        <v>VerifyGlobalDivisorWindow</v>
      </c>
      <c r="N4" s="25" t="str">
        <f>IFERROR(__xludf.DUMMYFUNCTION("""COMPUTED_VALUE"""),"VerifyAggregationGlobalWithNav")</f>
        <v>VerifyAggregationGlobalWithNav</v>
      </c>
      <c r="O4" s="25" t="str">
        <f>IFERROR(__xludf.DUMMYFUNCTION("""COMPUTED_VALUE"""),"VerifyAggregationGlobalWithNav")</f>
        <v>VerifyAggregationGlobalWithNav</v>
      </c>
      <c r="P4" s="26" t="str">
        <f>IFERROR(__xludf.DUMMYFUNCTION("""COMPUTED_VALUE"""),"VerifyAggregationSubSectorWithNav")</f>
        <v>VerifyAggregationSubSectorWithNav</v>
      </c>
      <c r="Q4" s="26" t="str">
        <f>IFERROR(__xludf.DUMMYFUNCTION("""COMPUTED_VALUE"""),"VerifyAggregationSymbolWithNav")</f>
        <v>VerifyAggregationSymbolWithNav</v>
      </c>
      <c r="R4" s="26" t="str">
        <f>IFERROR(__xludf.DUMMYFUNCTION("""COMPUTED_VALUE"""),"VerifyAggregationAssetWithNav")</f>
        <v>VerifyAggregationAssetWithNav</v>
      </c>
      <c r="S4" s="26" t="str">
        <f>IFERROR(__xludf.DUMMYFUNCTION("""COMPUTED_VALUE"""),"VerifyAggregationAccountUnderlyingSymbolWithNav")</f>
        <v>VerifyAggregationAccountUnderlyingSymbolWithNav</v>
      </c>
      <c r="T4" s="26" t="str">
        <f>IFERROR(__xludf.DUMMYFUNCTION("""COMPUTED_VALUE"""),"VerifyAccountNavPreferenceWindow")</f>
        <v>VerifyAccountNavPreferenceWindow</v>
      </c>
      <c r="U4" s="26" t="str">
        <f>IFERROR(__xludf.DUMMYFUNCTION("""COMPUTED_VALUE"""),"RestartEsper")</f>
        <v>RestartEsper</v>
      </c>
      <c r="V4" s="26" t="str">
        <f>IFERROR(__xludf.DUMMYFUNCTION("""COMPUTED_VALUE"""),"VerifyTaxlotWindow")</f>
        <v>VerifyTaxlotWindow</v>
      </c>
      <c r="W4" s="26" t="str">
        <f>IFERROR(__xludf.DUMMYFUNCTION("""COMPUTED_VALUE"""),"VerifySymbolDivisorWindow")</f>
        <v>VerifySymbolDivisorWindow</v>
      </c>
      <c r="X4" s="26" t="str">
        <f>IFERROR(__xludf.DUMMYFUNCTION("""COMPUTED_VALUE"""),"VerifySymbolDataWindow")</f>
        <v>VerifySymbolDataWindow</v>
      </c>
      <c r="Y4" s="26" t="str">
        <f>IFERROR(__xludf.DUMMYFUNCTION("""COMPUTED_VALUE"""),"VerifySecurityWindow")</f>
        <v>VerifySecurityWindow</v>
      </c>
      <c r="Z4" s="26" t="str">
        <f>IFERROR(__xludf.DUMMYFUNCTION("""COMPUTED_VALUE"""),"VerifyRowCalculationBaseWindow")</f>
        <v>VerifyRowCalculationBaseWindow</v>
      </c>
      <c r="AA4" s="26" t="str">
        <f>IFERROR(__xludf.DUMMYFUNCTION("""COMPUTED_VALUE"""),"VerifyPmCalculationPreferenceWindow")</f>
        <v>VerifyPmCalculationPreferenceWindow</v>
      </c>
      <c r="AB4" s="26" t="str">
        <f>IFERROR(__xludf.DUMMYFUNCTION("""COMPUTED_VALUE"""),"VerifyGlobalDivisorWindow")</f>
        <v>VerifyGlobalDivisorWindow</v>
      </c>
      <c r="AC4" s="26" t="str">
        <f>IFERROR(__xludf.DUMMYFUNCTION("""COMPUTED_VALUE"""),"VerifyDbNavWindow")</f>
        <v>VerifyDbNavWindow</v>
      </c>
      <c r="AD4" s="26" t="str">
        <f>IFERROR(__xludf.DUMMYFUNCTION("""COMPUTED_VALUE"""),"VerifyDayEndCashAccountWindow")</f>
        <v>VerifyDayEndCashAccountWindow</v>
      </c>
      <c r="AE4" s="26" t="str">
        <f>IFERROR(__xludf.DUMMYFUNCTION("""COMPUTED_VALUE"""),"VerifyCustomSymbolDataWindow")</f>
        <v>VerifyCustomSymbolDataWindow</v>
      </c>
      <c r="AF4" s="26" t="str">
        <f>IFERROR(__xludf.DUMMYFUNCTION("""COMPUTED_VALUE"""),"VerifyBetaWindow")</f>
        <v>VerifyBetaWindow</v>
      </c>
      <c r="AG4" s="26" t="str">
        <f>IFERROR(__xludf.DUMMYFUNCTION("""COMPUTED_VALUE"""),"VerifyAuecWindow")</f>
        <v>VerifyAuecWindow</v>
      </c>
      <c r="AH4" s="26" t="str">
        <f>IFERROR(__xludf.DUMMYFUNCTION("""COMPUTED_VALUE"""),"VerifyAggregationUnderlyingSymbolWithNav")</f>
        <v>VerifyAggregationUnderlyingSymbolWithNav</v>
      </c>
      <c r="AI4" s="26" t="str">
        <f>IFERROR(__xludf.DUMMYFUNCTION("""COMPUTED_VALUE"""),"VerifyAggregationSectorWithNav")</f>
        <v>VerifyAggregationSectorWithNav</v>
      </c>
      <c r="AJ4" s="26" t="str">
        <f>IFERROR(__xludf.DUMMYFUNCTION("""COMPUTED_VALUE"""),"VerifyAggregationMasterFundWithNav")</f>
        <v>VerifyAggregationMasterFundWithNav</v>
      </c>
      <c r="AK4" s="26" t="str">
        <f>IFERROR(__xludf.DUMMYFUNCTION("""COMPUTED_VALUE"""),"VerifyAggregationMasterFundUnderlyingSymbolWithNav")</f>
        <v>VerifyAggregationMasterFundUnderlyingSymbolWithNav</v>
      </c>
      <c r="AL4" s="26" t="str">
        <f>IFERROR(__xludf.DUMMYFUNCTION("""COMPUTED_VALUE"""),"VerifyAggregationMasterFundSymbolWithNav")</f>
        <v>VerifyAggregationMasterFundSymbolWithNav</v>
      </c>
      <c r="AM4" s="26" t="str">
        <f>IFERROR(__xludf.DUMMYFUNCTION("""COMPUTED_VALUE"""),"VerifyAggregationAccountWithNav")</f>
        <v>VerifyAggregationAccountWithNav</v>
      </c>
      <c r="AN4" s="26" t="str">
        <f>IFERROR(__xludf.DUMMYFUNCTION("""COMPUTED_VALUE"""),"VerifyAggregationAccountSymbolWithNav")</f>
        <v>VerifyAggregationAccountSymbolWithNav</v>
      </c>
      <c r="AO4" s="26" t="str">
        <f>IFERROR(__xludf.DUMMYFUNCTION("""COMPUTED_VALUE"""),"VerifyAccountSymbolDivisorWindow")</f>
        <v>VerifyAccountSymbolDivisorWindow</v>
      </c>
      <c r="AP4" s="26" t="str">
        <f>IFERROR(__xludf.DUMMYFUNCTION("""COMPUTED_VALUE"""),"VerifyAccountDivisorWindow")</f>
        <v>VerifyAccountDivisorWindow</v>
      </c>
      <c r="AQ4" s="26" t="str">
        <f>IFERROR(__xludf.DUMMYFUNCTION("""COMPUTED_VALUE"""),"CheckCompliance")</f>
        <v>CheckCompliance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37</v>
      </c>
      <c r="C6" s="44" t="s">
        <v>38</v>
      </c>
      <c r="D6" s="44" t="s">
        <v>39</v>
      </c>
      <c r="E6" s="44" t="s">
        <v>40</v>
      </c>
      <c r="F6" s="44">
        <v>-10.0</v>
      </c>
      <c r="G6" s="44">
        <v>1.06</v>
      </c>
      <c r="H6" s="45" t="s">
        <v>47</v>
      </c>
      <c r="I6" s="47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50" t="b">
        <v>0</v>
      </c>
      <c r="E6" s="49" t="b">
        <v>0</v>
      </c>
      <c r="F6" s="49" t="b">
        <v>0</v>
      </c>
      <c r="G6" s="49" t="b">
        <v>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IFERROR(__xludf.DUMMYFUNCTION("""COMPUTED_VALUE"""),"Testing Type")</f>
        <v>Testing Type</v>
      </c>
      <c r="K5" s="28" t="str">
        <f>IFERROR(__xludf.DUMMYFUNCTION("""COMPUTED_VALUE"""),"Testing Column")</f>
        <v>Testing Column</v>
      </c>
      <c r="L5" s="28" t="str">
        <f>IFERROR(__xludf.DUMMYFUNCTION("""COMPUTED_VALUE"""),"Testing Col Value")</f>
        <v>Testing Col Value</v>
      </c>
      <c r="M5" s="28" t="str">
        <f>IFERROR(__xludf.DUMMYFUNCTION("""COMPUTED_VALUE"""),"DuplicateCountOnUI")</f>
        <v>DuplicateCountOnUI</v>
      </c>
      <c r="N5" s="28" t="str">
        <f>IFERROR(__xludf.DUMMYFUNCTION("""COMPUTED_VALUE"""),"DuplicateRow")</f>
        <v>DuplicateRow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37</v>
      </c>
      <c r="C6" s="44" t="s">
        <v>38</v>
      </c>
      <c r="D6" s="44" t="s">
        <v>39</v>
      </c>
      <c r="E6" s="44" t="s">
        <v>40</v>
      </c>
      <c r="F6" s="44">
        <v>-10.0</v>
      </c>
      <c r="G6" s="44">
        <v>0.6</v>
      </c>
      <c r="H6" s="45" t="s">
        <v>48</v>
      </c>
      <c r="I6" s="47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CheckBasketCompliance2!$4:$4</formula1>
    </dataValidation>
  </dataValidations>
  <drawing r:id="rId1"/>
</worksheet>
</file>