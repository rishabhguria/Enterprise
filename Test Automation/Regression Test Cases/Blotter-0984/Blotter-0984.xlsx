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EnableOrVerifyHotButton" sheetId="5" r:id="rId7"/>
    <sheet state="visible" name="CreateHotButtonOnBlotter" sheetId="6" r:id="rId8"/>
    <sheet state="visible" name="FillHBdetailsOnBlotter" sheetId="7" r:id="rId9"/>
    <sheet state="visible" name="TradeNewSubOrder" sheetId="8" r:id="rId10"/>
    <sheet state="visible" name="CustomOrderTT1" sheetId="9" r:id="rId11"/>
    <sheet state="visible" name="SelectTradeOnOrderGrid" sheetId="10" r:id="rId12"/>
    <sheet state="visible" name="EnableOrVerifyHotButton1" sheetId="11" r:id="rId13"/>
    <sheet state="visible" name="VerifyToastMessage" sheetId="12" r:id="rId14"/>
  </sheets>
  <definedNames/>
  <calcPr/>
</workbook>
</file>

<file path=xl/sharedStrings.xml><?xml version="1.0" encoding="utf-8"?>
<sst xmlns="http://schemas.openxmlformats.org/spreadsheetml/2006/main" count="95" uniqueCount="38">
  <si>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</si>
  <si>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</si>
  <si>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</si>
  <si>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</si>
  <si>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</si>
  <si>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</si>
  <si>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</si>
  <si>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</si>
  <si>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</si>
  <si>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</si>
  <si>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</si>
  <si>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</si>
  <si>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</si>
  <si>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</si>
  <si>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</si>
  <si>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</si>
  <si>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</si>
  <si>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CreateOrder</t>
  </si>
  <si>
    <t>Allocation1</t>
  </si>
  <si>
    <t>Buy</t>
  </si>
  <si>
    <t>Blotter</t>
  </si>
  <si>
    <t>EnableOrVerifyHotButton</t>
  </si>
  <si>
    <t>CreateHotButtonOnBlotter</t>
  </si>
  <si>
    <t>Labun</t>
  </si>
  <si>
    <t>Send Order To Market</t>
  </si>
  <si>
    <t>No Confirmation</t>
  </si>
  <si>
    <t>Next</t>
  </si>
  <si>
    <t>FillHBdetailsOnBlotter</t>
  </si>
  <si>
    <t>Percentage</t>
  </si>
  <si>
    <t>Remaining Quantity</t>
  </si>
  <si>
    <t>TradeNewSubOrder</t>
  </si>
  <si>
    <t>New</t>
  </si>
  <si>
    <t>DoneAway</t>
  </si>
  <si>
    <t>SelectTradeOnOrderGrid</t>
  </si>
  <si>
    <t>favourite</t>
  </si>
  <si>
    <t>OpenFin</t>
  </si>
  <si>
    <t>VerifyToastMessage</t>
  </si>
  <si>
    <t>Cannot generate sub order since calculated quantity equals zero.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</si>
</sst>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50.0</v>
      </c>
      <c r="D6" s="34">
        <v>2.0</v>
      </c>
      <c r="E6" s="35" t="s">
        <v>17</v>
      </c>
      <c r="F6" s="36"/>
      <c r="G6" s="36"/>
      <c r="H6" s="36"/>
      <c r="I6" s="37" t="s">
        <v>18</v>
      </c>
      <c r="J6" s="35" t="s">
        <v>19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b">
        <v>1</v>
      </c>
      <c r="C6" s="36"/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EnableOrVerifyHotButton!$4:$4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23</v>
      </c>
      <c r="C6" s="35" t="s">
        <v>24</v>
      </c>
      <c r="D6" s="39" t="s">
        <v>25</v>
      </c>
      <c r="E6" s="36"/>
      <c r="F6" s="35" t="s">
        <v>26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CreateHotButtonOnBlotter!$4:$4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IFERROR(__xludf.DUMMYFUNCTION("""COMPUTED_VALUE"""),"Allocation")</f>
        <v>Allocation</v>
      </c>
      <c r="E5" s="28" t="str">
        <f>IFERROR(__xludf.DUMMYFUNCTION("""COMPUTED_VALUE"""),"Broker")</f>
        <v>Broker</v>
      </c>
      <c r="F5" s="29" t="str">
        <f>IFERROR(__xludf.DUMMYFUNCTION("""COMPUTED_VALUE"""),"Venue")</f>
        <v>Venue</v>
      </c>
      <c r="G5" s="28" t="str">
        <f>IFERROR(__xludf.DUMMYFUNCTION("""COMPUTED_VALUE"""),"TIF")</f>
        <v>TIF</v>
      </c>
      <c r="H5" s="28" t="str">
        <f>IFERROR(__xludf.DUMMYFUNCTION("""COMPUTED_VALUE"""),"Order Type")</f>
        <v>Order Type</v>
      </c>
      <c r="I5" s="28" t="str">
        <f>IFERROR(__xludf.DUMMYFUNCTION("""COMPUTED_VALUE"""),"Order Side")</f>
        <v>Order Side</v>
      </c>
      <c r="J5" s="28" t="str">
        <f>IFERROR(__xludf.DUMMYFUNCTION("""COMPUTED_VALUE"""),"Execution Type")</f>
        <v>Execution Type</v>
      </c>
      <c r="K5" s="28" t="str">
        <f>IFERROR(__xludf.DUMMYFUNCTION("""COMPUTED_VALUE"""),"Add to Favourite")</f>
        <v>Add to Favourite</v>
      </c>
      <c r="L5" s="28" t="str">
        <f>IFERROR(__xludf.DUMMYFUNCTION("""COMPUTED_VALUE"""),"Action")</f>
        <v>Action</v>
      </c>
      <c r="M5" s="28" t="str">
        <f>IFERROR(__xludf.DUMMYFUNCTION("""COMPUTED_VALUE"""),"Calculation Basis Type")</f>
        <v>Calculation Basis Type</v>
      </c>
      <c r="N5" s="28" t="str">
        <f>IFERROR(__xludf.DUMMYFUNCTION("""COMPUTED_VALUE"""),"Calculation Basis Amount")</f>
        <v>Calculation Basis Amount</v>
      </c>
      <c r="O5" s="28" t="str">
        <f>IFERROR(__xludf.DUMMYFUNCTION("""COMPUTED_VALUE"""),"Calculation ON")</f>
        <v>Calculation ON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1"/>
      <c r="E6" s="36"/>
      <c r="F6" s="36"/>
      <c r="G6" s="36"/>
      <c r="H6" s="36"/>
      <c r="I6" s="36"/>
      <c r="J6" s="36"/>
      <c r="K6" s="40" t="b">
        <v>1</v>
      </c>
      <c r="L6" s="35" t="s">
        <v>26</v>
      </c>
      <c r="M6" s="35" t="s">
        <v>28</v>
      </c>
      <c r="N6" s="41">
        <v>99.99</v>
      </c>
      <c r="O6" s="36" t="s">
        <v>29</v>
      </c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FillHBdetailsOnBlotter!$4:$4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2"/>
      <c r="E6" s="36"/>
      <c r="F6" s="35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7" t="s">
        <v>16</v>
      </c>
      <c r="AJ6" s="37" t="s">
        <v>19</v>
      </c>
      <c r="AK6" s="37" t="s">
        <v>31</v>
      </c>
      <c r="AL6" s="37">
        <v>50.0</v>
      </c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41">
        <v>49.0</v>
      </c>
      <c r="D6" s="34">
        <v>2.0</v>
      </c>
      <c r="E6" s="39" t="s">
        <v>32</v>
      </c>
      <c r="F6" s="36"/>
      <c r="G6" s="36"/>
      <c r="H6" s="36"/>
      <c r="I6" s="36"/>
      <c r="J6" s="35" t="s">
        <v>19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2" t="s">
        <v>16</v>
      </c>
      <c r="E6" s="36"/>
      <c r="F6" s="35" t="s">
        <v>19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9" t="s">
        <v>23</v>
      </c>
      <c r="E6" s="40" t="b">
        <v>1</v>
      </c>
      <c r="F6" s="35" t="s">
        <v>34</v>
      </c>
      <c r="G6" s="36"/>
      <c r="H6" s="40" t="b">
        <v>1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IFERROR(__xludf.DUMMYFUNCTION("IF(C3="""","""",Transpose(IMPORTRANGE('_Settings'!$B$3,C3&amp;""!A4:A1000"")))"),"CheckOpenFinWindowName")</f>
        <v>CheckOpenFinWindowName</v>
      </c>
      <c r="C4" s="25" t="str">
        <f>IFERROR(__xludf.DUMMYFUNCTION("""COMPUTED_VALUE"""),"OpenWindowFromSearch")</f>
        <v>OpenWindowFromSearch</v>
      </c>
      <c r="D4" s="25" t="str">
        <f>IFERROR(__xludf.DUMMYFUNCTION("""COMPUTED_VALUE"""),"VerifyColour")</f>
        <v>VerifyColour</v>
      </c>
      <c r="E4" s="25" t="str">
        <f>IFERROR(__xludf.DUMMYFUNCTION("""COMPUTED_VALUE"""),"OpenReleaseClient")</f>
        <v>OpenReleaseClient</v>
      </c>
      <c r="F4" s="25" t="str">
        <f>IFERROR(__xludf.DUMMYFUNCTION("""COMPUTED_VALUE"""),"ActionOnPageFromSearch")</f>
        <v>ActionOnPageFromSearch</v>
      </c>
      <c r="G4" s="25" t="str">
        <f>IFERROR(__xludf.DUMMYFUNCTION("""COMPUTED_VALUE"""),"SavePageView")</f>
        <v>SavePageView</v>
      </c>
      <c r="H4" s="25" t="str">
        <f>IFERROR(__xludf.DUMMYFUNCTION("""COMPUTED_VALUE"""),"ChangeThemeOnModule")</f>
        <v>ChangeThemeOnModule</v>
      </c>
      <c r="I4" s="25" t="str">
        <f>IFERROR(__xludf.DUMMYFUNCTION("""COMPUTED_VALUE"""),"CloseService")</f>
        <v>CloseService</v>
      </c>
      <c r="J4" s="25" t="str">
        <f>IFERROR(__xludf.DUMMYFUNCTION("""COMPUTED_VALUE"""),"LogOutSamsara")</f>
        <v>LogOutSamsara</v>
      </c>
      <c r="K4" s="25" t="str">
        <f>IFERROR(__xludf.DUMMYFUNCTION("""COMPUTED_VALUE"""),"ResizeEnsure")</f>
        <v>ResizeEnsure</v>
      </c>
      <c r="L4" s="25" t="str">
        <f>IFERROR(__xludf.DUMMYFUNCTION("""COMPUTED_VALUE"""),"VerifyNotification")</f>
        <v>VerifyNotification</v>
      </c>
      <c r="M4" s="25" t="str">
        <f>IFERROR(__xludf.DUMMYFUNCTION("""COMPUTED_VALUE"""),"LockUnlockModule")</f>
        <v>LockUnlockModule</v>
      </c>
      <c r="N4" s="25" t="str">
        <f>IFERROR(__xludf.DUMMYFUNCTION("""COMPUTED_VALUE"""),"OpenModuleFromDock")</f>
        <v>OpenModuleFromDock</v>
      </c>
      <c r="O4" s="25" t="str">
        <f>IFERROR(__xludf.DUMMYFUNCTION("""COMPUTED_VALUE"""),"SavePageRTPNL")</f>
        <v>SavePageRTPNL</v>
      </c>
      <c r="P4" s="26" t="str">
        <f>IFERROR(__xludf.DUMMYFUNCTION("""COMPUTED_VALUE"""),"VerifyToastMessage")</f>
        <v>VerifyToastMessage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IFERROR(__xludf.DUMMYFUNCTION("""COMPUTED_VALUE"""),"Message")</f>
        <v>Message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37</v>
      </c>
      <c r="C6" s="36"/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VerifyToastMessage!$4:$4</formula1>
    </dataValidation>
  </dataValidations>
  <drawing r:id="rId1"/>
</worksheet>
</file>