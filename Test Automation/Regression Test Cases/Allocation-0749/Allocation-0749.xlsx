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5" activeTab="17"/>
  </bookViews>
  <sheets>
    <sheet name="CustomOrderTT" sheetId="1" r:id="rId1"/>
    <sheet name="SetAutoGroupingPreferences" sheetId="28" r:id="rId2"/>
    <sheet name="SetAutoGroupingAccount" sheetId="29" r:id="rId3"/>
    <sheet name="SetAutoGroupingAccount1" sheetId="30" r:id="rId4"/>
    <sheet name="SetGeneralPreferences" sheetId="31" r:id="rId5"/>
    <sheet name="AcknowledgeTrade" sheetId="32" r:id="rId6"/>
    <sheet name="ExecuteTrade" sheetId="33" r:id="rId7"/>
    <sheet name="AcknowledgeTrade1" sheetId="34" r:id="rId8"/>
    <sheet name="ExecuteTrade1" sheetId="35" r:id="rId9"/>
    <sheet name="AcknowledgeTrade2" sheetId="36" r:id="rId10"/>
    <sheet name="ExecuteTrade2" sheetId="37" r:id="rId11"/>
    <sheet name="SelectUnallocatedGroup" sheetId="38" r:id="rId12"/>
    <sheet name="EnterAccountValuesToAllocate" sheetId="39" r:id="rId13"/>
    <sheet name="SelectAllocatedGroup" sheetId="40" r:id="rId14"/>
    <sheet name="ReviewExistingPositions" sheetId="41" r:id="rId15"/>
    <sheet name="CreateLiveOrder" sheetId="42" r:id="rId16"/>
    <sheet name="ReviewExistingPositions1" sheetId="43" r:id="rId17"/>
    <sheet name="CheckPortfolioManagement" sheetId="4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<sst xmlns="http://schemas.openxmlformats.org/spreadsheetml/2006/main" count="356" uniqueCount="261">
  <si>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</si>
  <si>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</si>
  <si>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</si>
  <si>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</si>
  <si>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</si>
  <si>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</si>
  <si>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</si>
  <si>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</si>
  <si>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</si>
  <si>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</si>
  <si>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</si>
  <si>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</si>
  <si>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</si>
  <si>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</si>
  <si>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</si>
  <si>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</si>
  <si>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</si>
  <si>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</si>
  <si>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</si>
  <si>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</si>
  <si>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</si>
  <si>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</si>
  <si>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</si>
  <si>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</si>
  <si>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</si>
  <si>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</si>
  <si>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</si>
  <si>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</si>
  <si>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</si>
  <si>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</si>
  <si>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</si>
  <si>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</si>
  <si>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</si>
  <si>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</si>
  <si>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</si>
  <si>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</si>
  <si>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</si>
  <si>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</t>
  </si>
  <si>
    <t>Buy</t>
  </si>
  <si>
    <t>Send</t>
  </si>
  <si>
    <t>Yes</t>
  </si>
  <si>
    <t>Sell</t>
  </si>
  <si>
    <t>Unallocated</t>
  </si>
  <si>
    <t>Allocation1</t>
  </si>
  <si>
    <t>SoftRate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</si>
  <si>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</si>
  <si>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</si>
  <si>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</si>
  <si>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</si>
  <si>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</si>
  <si>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</si>
  <si>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</si>
  <si>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</si>
  <si>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</si>
  <si>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</si>
  <si>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</si>
  <si>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EditOrder</t>
  </si>
  <si>
    <t>SharesOutstandingPopUpQty</t>
  </si>
  <si>
    <t>SharesOutstandingPopUp</t>
  </si>
  <si>
    <t>ResAllowedListPopUp</t>
  </si>
  <si>
    <t>ChkBoxBookAsSwap</t>
  </si>
  <si>
    <t>Interest Rate</t>
  </si>
  <si>
    <t>OrderPendingNewPopup</t>
  </si>
  <si>
    <t>Master Funds</t>
  </si>
  <si>
    <t>Allow Duplicate Trade</t>
  </si>
  <si>
    <t>TRVAccountName</t>
  </si>
  <si>
    <t>TRVTradeQuantity</t>
  </si>
  <si>
    <t>TRVCurrentPosition</t>
  </si>
  <si>
    <t>TRVNav</t>
  </si>
  <si>
    <t>SendClickOnNO</t>
  </si>
  <si>
    <t>PendingApprovalPopUp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</si>
  <si>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</si>
  <si>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</si>
  <si>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</si>
  <si>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</si>
  <si>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</si>
  <si>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</si>
  <si>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</si>
  <si>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</si>
  <si>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</si>
  <si>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</si>
  <si>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</si>
  <si>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</si>
  <si>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</si>
  <si>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</si>
  <si>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</si>
  <si>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</si>
  <si>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</si>
  <si>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</si>
  <si>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</si>
  <si>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</si>
  <si>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</si>
  <si>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</si>
  <si>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</si>
  <si>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</si>
  <si>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</si>
  <si>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</si>
  <si>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</si>
  <si>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</si>
  <si>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</si>
  <si>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</si>
  <si>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</si>
  <si>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</si>
  <si>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</si>
  <si>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</si>
  <si>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</si>
  <si>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</si>
  <si>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</si>
  <si>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</si>
  <si>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</si>
  <si>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</si>
  <si>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</si>
  <si>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</si>
  <si>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</si>
  <si>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</si>
  <si>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</si>
  <si>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</si>
  <si>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</si>
  <si>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</si>
  <si>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</si>
  <si>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</si>
  <si>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</si>
  <si>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</si>
  <si>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</si>
  <si>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</si>
  <si>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</si>
  <si>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</si>
  <si>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</si>
  <si>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</si>
  <si>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</si>
  <si>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</si>
  <si>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</si>
  <si>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</si>
  <si>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</si>
  <si>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</si>
  <si>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</si>
  <si>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</si>
  <si>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</si>
  <si>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</si>
  <si>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</si>
  <si>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</si>
  <si>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</si>
  <si>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</si>
  <si>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</si>
  <si>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</si>
  <si>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</si>
  <si>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</si>
  <si>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</si>
  <si>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</si>
  <si>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</si>
  <si>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</si>
  <si>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</si>
  <si>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</si>
  <si>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</si>
  <si>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</si>
  <si>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</si>
  <si>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</si>
  <si>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</si>
  <si>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</si>
  <si>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</si>
  <si>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</si>
  <si>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</si>
  <si>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</si>
  <si>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</si>
  <si>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</si>
  <si>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</si>
  <si>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</si>
  <si>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</si>
  <si>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</si>
  <si>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</si>
  <si>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</si>
  <si>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</si>
  <si>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</si>
  <si>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</si>
  <si>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</si>
  <si>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</si>
  <si>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</si>
  <si>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</si>
  <si>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</si>
  <si>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</si>
  <si>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</si>
  <si>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</si>
  <si>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</si>
  <si>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</si>
  <si>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</si>
  <si>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</si>
  <si>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</si>
  <si>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</si>
  <si>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</si>
  <si>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</si>
  <si>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</si>
  <si>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</si>
  <si>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</si>
  <si>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</si>
  <si>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</si>
  <si>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</si>
  <si>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</si>
  <si>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</si>
  <si>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</si>
  <si>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</si>
  <si>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</si>
  <si>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</si>
  <si>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</si>
  <si>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</si>
  <si>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</si>
  <si>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</si>
  <si>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</si>
  <si>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</si>
  <si>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</si>
  <si>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</si>
  <si>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</si>
  <si>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</si>
  <si>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</si>
  <si>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</si>
  <si>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</si>
  <si>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</si>
  <si>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</si>
  <si>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</si>
  <si>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</si>
  <si>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</si>
  <si>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</si>
  <si>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</si>
  <si>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</si>
  <si>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</si>
  <si>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</si>
  <si>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</si>
  <si>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</si>
  <si>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</si>
  <si>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</si>
  <si>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</si>
  <si>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</si>
  <si>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</si>
  <si>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</si>
  <si>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</si>
  <si>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</si>
  <si>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</si>
  <si>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</si>
  <si>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</si>
  <si>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</si>
  <si>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</si>
  <si>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</si>
  <si>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</si>
  <si>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</si>
  <si>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NewMF</t>
  </si>
  <si>
    <t>Long</t>
  </si>
  <si>
    <t>Equity</t>
  </si>
  <si>
    <t>US</t>
  </si>
  <si>
    <t>NYSE</t>
  </si>
  <si>
    <t>USD</t>
  </si>
  <si>
    <t>DefaultNotes</t>
  </si>
  <si>
    <t>New Hedge</t>
  </si>
  <si>
    <t>Industrials</t>
  </si>
  <si>
    <t>Utility E&amp;C</t>
  </si>
  <si>
    <t>KY</t>
  </si>
  <si>
    <t>MS</t>
  </si>
  <si>
    <t>None</t>
  </si>
  <si>
    <t>Default</t>
  </si>
  <si>
    <t>A.N</t>
  </si>
  <si>
    <t>ONE</t>
  </si>
  <si>
    <t>HONG KONG</t>
  </si>
  <si>
    <t>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</si>
</sst>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\ hh:mm"/>
  </numFmts>
  <fonts count="26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color rgb="FFFFFFFF"/>
      <name val="Arial"/>
      <charset val="134"/>
    </font>
    <font>
      <sz val="10"/>
      <color rgb="FF000000"/>
      <name val="Arial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180" fontId="1" fillId="0" borderId="1" xfId="0" applyNumberFormat="1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3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horizontal="center" wrapText="1" readingOrder="1"/>
    </xf>
    <xf numFmtId="0" fontId="4" fillId="0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Fill="1" applyBorder="1" applyAlignment="1"/>
    <xf numFmtId="0" fontId="3" fillId="3" borderId="0" xfId="0" applyFont="1" applyFill="1" applyBorder="1" applyAlignment="1"/>
    <xf numFmtId="0" fontId="1" fillId="0" borderId="1" xfId="0" applyFont="1" applyBorder="1" applyAlignment="1">
      <alignment wrapText="1" readingOrder="1"/>
    </xf>
    <xf numFmtId="0" fontId="5" fillId="0" borderId="1" xfId="0" applyFont="1" applyBorder="1" applyAlignment="1">
      <alignment horizontal="right" wrapText="1" readingOrder="1"/>
    </xf>
    <xf numFmtId="0" fontId="3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L8"/>
  <sheetViews>
    <sheetView workbookViewId="0">
      <selection activeCell="J9" sqref="J9"/>
    </sheetView>
  </sheetViews>
  <sheetFormatPr defaultColWidth="9" defaultRowHeight="15" outlineLevelRow="7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="8" customFormat="1" ht="15.75" customHeight="1" spans="1:37">
      <c r="A6" s="10"/>
      <c r="B6" s="10" t="s">
        <v>37</v>
      </c>
      <c r="C6" s="10" t="s">
        <v>38</v>
      </c>
      <c r="D6" s="10">
        <v>37500</v>
      </c>
      <c r="F6" s="10"/>
      <c r="G6" s="10"/>
      <c r="H6" s="10"/>
      <c r="J6" s="10">
        <v>1</v>
      </c>
      <c r="K6" s="10"/>
      <c r="M6" s="10"/>
      <c r="N6" s="10"/>
      <c r="O6" s="10"/>
      <c r="AE6" s="10" t="s">
        <v>39</v>
      </c>
      <c r="AK6" s="8" t="s">
        <v>40</v>
      </c>
    </row>
    <row r="7" s="8" customFormat="1" ht="15.75" customHeight="1" spans="1:37">
      <c r="A7" s="10"/>
      <c r="B7" s="10" t="s">
        <v>37</v>
      </c>
      <c r="C7" s="10" t="s">
        <v>41</v>
      </c>
      <c r="D7" s="10">
        <v>5000</v>
      </c>
      <c r="F7" s="10" t="s">
        <v>42</v>
      </c>
      <c r="G7" s="10"/>
      <c r="H7" s="10"/>
      <c r="J7" s="10">
        <v>1</v>
      </c>
      <c r="M7" s="10"/>
      <c r="N7" s="10"/>
      <c r="O7" s="10"/>
      <c r="AE7" s="10" t="s">
        <v>39</v>
      </c>
      <c r="AK7" s="8" t="s">
        <v>40</v>
      </c>
    </row>
    <row r="8" s="8" customFormat="1" ht="15.75" customHeight="1" spans="1:37">
      <c r="A8" s="10"/>
      <c r="B8" s="10" t="s">
        <v>37</v>
      </c>
      <c r="C8" s="10" t="s">
        <v>41</v>
      </c>
      <c r="D8" s="10">
        <v>30000</v>
      </c>
      <c r="F8" s="10" t="s">
        <v>42</v>
      </c>
      <c r="G8" s="10"/>
      <c r="H8" s="10"/>
      <c r="J8" s="10">
        <v>2</v>
      </c>
      <c r="M8" s="10"/>
      <c r="N8" s="10"/>
      <c r="O8" s="10"/>
      <c r="AE8" s="10" t="s">
        <v>39</v>
      </c>
      <c r="AK8" s="8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C6" sqref="C6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IFERROR(__xludf.DUMMYFUNCTION("""COMPUTED_VALUE"""),"AutoGroup")</f>
        <v>AutoGroup</v>
      </c>
      <c r="C5" s="9" t="str">
        <f>IFERROR(__xludf.DUMMYFUNCTION("""COMPUTED_VALUE"""),"TradeAttribute1")</f>
        <v>TradeAttribute1</v>
      </c>
      <c r="D5" s="9" t="str">
        <f>IFERROR(__xludf.DUMMYFUNCTION("""COMPUTED_VALUE"""),"TradeAttribute2")</f>
        <v>TradeAttribute2</v>
      </c>
      <c r="E5" s="9" t="str">
        <f>IFERROR(__xludf.DUMMYFUNCTION("""COMPUTED_VALUE"""),"TradeAttribute3")</f>
        <v>TradeAttribute3</v>
      </c>
      <c r="F5" s="9" t="str">
        <f>IFERROR(__xludf.DUMMYFUNCTION("""COMPUTED_VALUE"""),"TradeAttribute4")</f>
        <v>TradeAttribute4</v>
      </c>
      <c r="G5" s="9" t="str">
        <f>IFERROR(__xludf.DUMMYFUNCTION("""COMPUTED_VALUE"""),"TradeAttribute5")</f>
        <v>TradeAttribute5</v>
      </c>
      <c r="H5" s="9" t="str">
        <f>IFERROR(__xludf.DUMMYFUNCTION("""COMPUTED_VALUE"""),"TradeAttribute6")</f>
        <v>TradeAttribute6</v>
      </c>
      <c r="I5" s="9" t="str">
        <f>IFERROR(__xludf.DUMMYFUNCTION("""COMPUTED_VALUE"""),"Broker")</f>
        <v>Broker</v>
      </c>
      <c r="J5" s="9" t="str">
        <f>IFERROR(__xludf.DUMMYFUNCTION("""COMPUTED_VALUE"""),"Venue")</f>
        <v>Venue</v>
      </c>
      <c r="K5" s="9" t="str">
        <f>IFERROR(__xludf.DUMMYFUNCTION("""COMPUTED_VALUE"""),"TradingAC")</f>
        <v>TradingAC</v>
      </c>
      <c r="L5" s="9" t="str">
        <f>IFERROR(__xludf.DUMMYFUNCTION("""COMPUTED_VALUE"""),"TradeDate")</f>
        <v>TradeDate</v>
      </c>
      <c r="M5" s="9" t="str">
        <f>IFERROR(__xludf.DUMMYFUNCTION("""COMPUTED_VALUE"""),"ProcessDate")</f>
        <v>ProcessDate</v>
      </c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 t="b">
        <v>1</v>
      </c>
      <c r="C6" s="10"/>
      <c r="D6" s="10"/>
      <c r="E6" s="10"/>
      <c r="F6" s="10"/>
      <c r="G6" s="10"/>
      <c r="H6" s="10"/>
      <c r="I6" s="10"/>
      <c r="J6" s="10"/>
      <c r="K6" s="10" t="b">
        <v>1</v>
      </c>
      <c r="L6" s="10" t="b">
        <v>1</v>
      </c>
      <c r="M6" s="10"/>
      <c r="N6" s="10"/>
      <c r="O6" s="1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B5" sqref="B5:B6"/>
    </sheetView>
  </sheetViews>
  <sheetFormatPr defaultColWidth="9.14285714285714" defaultRowHeight="15" outlineLevelRow="5" outlineLevelCol="1"/>
  <sheetData>
    <row r="5" spans="2:2">
      <c r="B5" s="9" t="str">
        <f>IFERROR(__xludf.DUMMYFUNCTION("""COMPUTED_VALUE"""),"FundName")</f>
        <v>FundName</v>
      </c>
    </row>
    <row r="6" spans="2:2">
      <c r="B6" s="10" t="s">
        <v>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B5" sqref="B5:B6"/>
    </sheetView>
  </sheetViews>
  <sheetFormatPr defaultColWidth="9.14285714285714" defaultRowHeight="15" outlineLevelRow="5" outlineLevelCol="1"/>
  <sheetData>
    <row r="5" spans="2:2">
      <c r="B5" s="9" t="str">
        <f>IFERROR(__xludf.DUMMYFUNCTION("""COMPUTED_VALUE"""),"FundName")</f>
        <v>FundName</v>
      </c>
    </row>
    <row r="6" spans="2:2">
      <c r="B6" s="10" t="s">
        <v>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D12" sqref="D12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IFERROR(__xludf.DUMMYFUNCTION("""COMPUTED_VALUE"""),"ValidateCheckSide")</f>
        <v>ValidateCheckSide</v>
      </c>
      <c r="C5" s="9" t="str">
        <f>IFERROR(__xludf.DUMMYFUNCTION("""COMPUTED_VALUE"""),"DisabledChecksideAssets")</f>
        <v>DisabledChecksideAssets</v>
      </c>
      <c r="D5" s="9" t="str">
        <f>IFERROR(__xludf.DUMMYFUNCTION("""COMPUTED_VALUE"""),"PrecisionValue")</f>
        <v>PrecisionValue</v>
      </c>
      <c r="E5" s="9" t="str">
        <f>IFERROR(__xludf.DUMMYFUNCTION("""COMPUTED_VALUE"""),"UseCommissionInNetAmount")</f>
        <v>UseCommissionInNetAmount</v>
      </c>
      <c r="F5" s="9" t="str">
        <f>IFERROR(__xludf.DUMMYFUNCTION("""COMPUTED_VALUE"""),"SaveWithoutState")</f>
        <v>SaveWithoutState</v>
      </c>
      <c r="G5" s="9" t="str">
        <f>IFERROR(__xludf.DUMMYFUNCTION("""COMPUTED_VALUE"""),"SaveWithState")</f>
        <v>SaveWithState</v>
      </c>
      <c r="H5" s="9" t="str">
        <f>IFERROR(__xludf.DUMMYFUNCTION("""COMPUTED_VALUE"""),"ClearQuantities")</f>
        <v>ClearQuantities</v>
      </c>
      <c r="I5" s="9" t="str">
        <f>IFERROR(__xludf.DUMMYFUNCTION("""COMPUTED_VALUE"""),"ReapplyAllocation")</f>
        <v>ReapplyAllocation</v>
      </c>
      <c r="J5" s="9" t="str">
        <f>IFERROR(__xludf.DUMMYFUNCTION("""COMPUTED_VALUE"""),"DefaultAllocation")</f>
        <v>DefaultAllocation</v>
      </c>
      <c r="K5" s="9" t="str">
        <f>IFERROR(__xludf.DUMMYFUNCTION("""COMPUTED_VALUE"""),"IsCustomPreference")</f>
        <v>IsCustomPreference</v>
      </c>
      <c r="L5" s="9" t="str">
        <f>IFERROR(__xludf.DUMMYFUNCTION("""COMPUTED_VALUE"""),"AllocationMethod")</f>
        <v>AllocationMethod</v>
      </c>
      <c r="M5" s="9" t="str">
        <f>IFERROR(__xludf.DUMMYFUNCTION("""COMPUTED_VALUE"""),"RemainderAllocationTo")</f>
        <v>RemainderAllocationTo</v>
      </c>
      <c r="N5" s="9" t="str">
        <f>IFERROR(__xludf.DUMMYFUNCTION("""COMPUTED_VALUE"""),"Target%AsOf")</f>
        <v>Target%AsOf</v>
      </c>
      <c r="O5" s="9" t="str">
        <f>IFERROR(__xludf.DUMMYFUNCTION("""COMPUTED_VALUE"""),"ProrataAccounts")</f>
        <v>ProrataAccounts</v>
      </c>
      <c r="P5" s="9" t="str">
        <f>IFERROR(__xludf.DUMMYFUNCTION("""COMPUTED_VALUE"""),"DateUptoDays")</f>
        <v>DateUptoDays</v>
      </c>
      <c r="Q5" s="9" t="str">
        <f>IFERROR(__xludf.DUMMYFUNCTION("""COMPUTED_VALUE"""),"MatchClosing")</f>
        <v>MatchClosing</v>
      </c>
      <c r="R5" s="9" t="str">
        <f>IFERROR(__xludf.DUMMYFUNCTION("""COMPUTED_VALUE"""),"CommissionAlertOnBrokerChange")</f>
        <v>CommissionAlertOnBrokerChange</v>
      </c>
      <c r="S5" s="9" t="str">
        <f>IFERROR(__xludf.DUMMYFUNCTION("""COMPUTED_VALUE"""),"RecalculateCommissionOnBrokerChange")</f>
        <v>RecalculateCommissionOnBrokerChange</v>
      </c>
      <c r="T5" s="11" t="str">
        <f>IFERROR(__xludf.DUMMYFUNCTION("""COMPUTED_VALUE"""),"CommissionAlertOnAllocation")</f>
        <v>CommissionAlertOnAllocation</v>
      </c>
      <c r="U5" s="11" t="str">
        <f>IFERROR(__xludf.DUMMYFUNCTION("""COMPUTED_VALUE"""),"RecalculateCommissionOnAllocation")</f>
        <v>RecalculateCommissionOnAllocation</v>
      </c>
      <c r="V5" s="11" t="str">
        <f>IFERROR(__xludf.DUMMYFUNCTION("""COMPUTED_VALUE"""),"EnableMasterFund")</f>
        <v>EnableMasterFund</v>
      </c>
      <c r="W5" s="11" t="str">
        <f>IFERROR(__xludf.DUMMYFUNCTION("""COMPUTED_VALUE"""),"1MasterFund/1Symbol")</f>
        <v>1MasterFund/1Symbol</v>
      </c>
      <c r="X5" s="11" t="str">
        <f>IFERROR(__xludf.DUMMYFUNCTION("""COMPUTED_VALUE"""),"ProrataSchemeName")</f>
        <v>ProrataSchemeName</v>
      </c>
      <c r="Y5" s="11" t="str">
        <f>IFERROR(__xludf.DUMMYFUNCTION("""COMPUTED_VALUE"""),"ProrataAllocationSchemeBasis")</f>
        <v>ProrataAllocationSchemeBasis</v>
      </c>
      <c r="Z5" s="11" t="str">
        <f>IFERROR(__xludf.DUMMYFUNCTION("""COMPUTED_VALUE"""),"ShowAdvancedProrataUI")</f>
        <v>ShowAdvancedProrataUI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 t="b">
        <v>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IFERROR(__xludf.DUMMYFUNCTION("""COMPUTED_VALUE"""),"Side")</f>
        <v>Side</v>
      </c>
      <c r="C5" s="9" t="str">
        <f>IFERROR(__xludf.DUMMYFUNCTION("""COMPUTED_VALUE"""),"Symbol")</f>
        <v>Symbol</v>
      </c>
      <c r="D5" s="9" t="str">
        <f>IFERROR(__xludf.DUMMYFUNCTION("""COMPUTED_VALUE"""),"Order Type")</f>
        <v>Order Type</v>
      </c>
      <c r="E5" s="9" t="str">
        <f>IFERROR(__xludf.DUMMYFUNCTION("""COMPUTED_VALUE"""),"Price")</f>
        <v>Price</v>
      </c>
      <c r="F5" s="9" t="str">
        <f>IFERROR(__xludf.DUMMYFUNCTION("""COMPUTED_VALUE"""),"AvgPrice")</f>
        <v>AvgPrice</v>
      </c>
      <c r="G5" s="9" t="str">
        <f>IFERROR(__xludf.DUMMYFUNCTION("""COMPUTED_VALUE"""),"Quantity")</f>
        <v>Quantity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/>
      <c r="C6" s="10" t="s">
        <v>37</v>
      </c>
      <c r="E6" s="10"/>
      <c r="F6" s="10"/>
      <c r="G6" s="10">
        <v>37500</v>
      </c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IFERROR(__xludf.DUMMYFUNCTION("""COMPUTED_VALUE"""),"Price")</f>
        <v>Price</v>
      </c>
      <c r="C5" s="9" t="str">
        <f>IFERROR(__xludf.DUMMYFUNCTION("""COMPUTED_VALUE"""),"Shares")</f>
        <v>Shares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>
        <v>1</v>
      </c>
      <c r="C6" s="10">
        <v>37500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IFERROR(__xludf.DUMMYFUNCTION("""COMPUTED_VALUE"""),"Side")</f>
        <v>Side</v>
      </c>
      <c r="C5" s="9" t="str">
        <f>IFERROR(__xludf.DUMMYFUNCTION("""COMPUTED_VALUE"""),"Symbol")</f>
        <v>Symbol</v>
      </c>
      <c r="D5" s="9" t="str">
        <f>IFERROR(__xludf.DUMMYFUNCTION("""COMPUTED_VALUE"""),"Order Type")</f>
        <v>Order Type</v>
      </c>
      <c r="E5" s="9" t="str">
        <f>IFERROR(__xludf.DUMMYFUNCTION("""COMPUTED_VALUE"""),"Price")</f>
        <v>Price</v>
      </c>
      <c r="F5" s="9" t="str">
        <f>IFERROR(__xludf.DUMMYFUNCTION("""COMPUTED_VALUE"""),"AvgPrice")</f>
        <v>AvgPrice</v>
      </c>
      <c r="G5" s="9" t="str">
        <f>IFERROR(__xludf.DUMMYFUNCTION("""COMPUTED_VALUE"""),"Quantity")</f>
        <v>Quantity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/>
      <c r="C6" s="10" t="s">
        <v>37</v>
      </c>
      <c r="E6" s="10"/>
      <c r="F6" s="10"/>
      <c r="G6" s="10">
        <v>5000</v>
      </c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IFERROR(__xludf.DUMMYFUNCTION("""COMPUTED_VALUE"""),"Price")</f>
        <v>Price</v>
      </c>
      <c r="C5" s="9" t="str">
        <f>IFERROR(__xludf.DUMMYFUNCTION("""COMPUTED_VALUE"""),"Shares")</f>
        <v>Shares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>
        <v>1</v>
      </c>
      <c r="C6" s="10">
        <v>5000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F12" sqref="F12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IFERROR(__xludf.DUMMYFUNCTION("""COMPUTED_VALUE"""),"Side")</f>
        <v>Side</v>
      </c>
      <c r="C5" s="9" t="str">
        <f>IFERROR(__xludf.DUMMYFUNCTION("""COMPUTED_VALUE"""),"Symbol")</f>
        <v>Symbol</v>
      </c>
      <c r="D5" s="9" t="str">
        <f>IFERROR(__xludf.DUMMYFUNCTION("""COMPUTED_VALUE"""),"Order Type")</f>
        <v>Order Type</v>
      </c>
      <c r="E5" s="9" t="str">
        <f>IFERROR(__xludf.DUMMYFUNCTION("""COMPUTED_VALUE"""),"Price")</f>
        <v>Price</v>
      </c>
      <c r="F5" s="9" t="str">
        <f>IFERROR(__xludf.DUMMYFUNCTION("""COMPUTED_VALUE"""),"AvgPrice")</f>
        <v>AvgPrice</v>
      </c>
      <c r="G5" s="9" t="str">
        <f>IFERROR(__xludf.DUMMYFUNCTION("""COMPUTED_VALUE"""),"Quantity")</f>
        <v>Quantity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/>
      <c r="C6" s="10" t="s">
        <v>37</v>
      </c>
      <c r="E6" s="10"/>
      <c r="F6" s="10"/>
      <c r="G6" s="10">
        <v>30000</v>
      </c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D8" sqref="D8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IFERROR(__xludf.DUMMYFUNCTION("""COMPUTED_VALUE"""),"Price")</f>
        <v>Price</v>
      </c>
      <c r="C5" s="9" t="str">
        <f>IFERROR(__xludf.DUMMYFUNCTION("""COMPUTED_VALUE"""),"Shares")</f>
        <v>Shares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>
        <v>1</v>
      </c>
      <c r="C6" s="10">
        <v>30000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IFERROR(__xludf.DUMMYFUNCTION("""COMPUTED_VALUE"""),"Symbol")</f>
        <v>Symbol</v>
      </c>
      <c r="C5" s="9" t="str">
        <f>IFERROR(__xludf.DUMMYFUNCTION("""COMPUTED_VALUE"""),"Side")</f>
        <v>Side</v>
      </c>
      <c r="D5" s="9" t="str">
        <f>IFERROR(__xludf.DUMMYFUNCTION("""COMPUTED_VALUE"""),"Quantity")</f>
        <v>Quantity</v>
      </c>
      <c r="E5" s="9" t="str">
        <f>IFERROR(__xludf.DUMMYFUNCTION("""COMPUTED_VALUE"""),"Executed Qty")</f>
        <v>Executed Qty</v>
      </c>
      <c r="F5" s="9" t="str">
        <f>IFERROR(__xludf.DUMMYFUNCTION("""COMPUTED_VALUE"""),"Trade Date")</f>
        <v>Trade Date</v>
      </c>
      <c r="G5" s="9" t="str">
        <f>IFERROR(__xludf.DUMMYFUNCTION("""COMPUTED_VALUE"""),"Net Amount( Local)")</f>
        <v>Net Amount( Local)</v>
      </c>
      <c r="H5" s="9" t="str">
        <f>IFERROR(__xludf.DUMMYFUNCTION("""COMPUTED_VALUE"""),"Net Amount( Base)")</f>
        <v>Net Amount( Base)</v>
      </c>
      <c r="I5" s="9" t="str">
        <f>IFERROR(__xludf.DUMMYFUNCTION("""COMPUTED_VALUE"""),"Principal Amount( Local)")</f>
        <v>Principal Amount( Local)</v>
      </c>
      <c r="J5" s="9" t="str">
        <f>IFERROR(__xludf.DUMMYFUNCTION("""COMPUTED_VALUE"""),"Transaction Type")</f>
        <v>Transaction Type</v>
      </c>
      <c r="K5" s="9" t="str">
        <f>IFERROR(__xludf.DUMMYFUNCTION("""COMPUTED_VALUE"""),"Principal Amount( Base)")</f>
        <v>Principal Amount( Base)</v>
      </c>
      <c r="L5" s="9" t="str">
        <f>IFERROR(__xludf.DUMMYFUNCTION("""COMPUTED_VALUE"""),"Execution Time")</f>
        <v>Execution Time</v>
      </c>
      <c r="M5" s="9" t="str">
        <f>IFERROR(__xludf.DUMMYFUNCTION("""COMPUTED_VALUE"""),"Trading Account")</f>
        <v>Trading Account</v>
      </c>
      <c r="N5" s="9" t="str">
        <f>IFERROR(__xludf.DUMMYFUNCTION("""COMPUTED_VALUE"""),"Avg Price(Local)")</f>
        <v>Avg Price(Local)</v>
      </c>
      <c r="O5" s="9" t="str">
        <f>IFERROR(__xludf.DUMMYFUNCTION("""COMPUTED_VALUE"""),"Avg Price(Base)")</f>
        <v>Avg Price(Base)</v>
      </c>
      <c r="P5" s="9" t="str">
        <f>IFERROR(__xludf.DUMMYFUNCTION("""COMPUTED_VALUE"""),"Broker")</f>
        <v>Broker</v>
      </c>
      <c r="Q5" s="9" t="str">
        <f>IFERROR(__xludf.DUMMYFUNCTION("""COMPUTED_VALUE"""),"FX Rate")</f>
        <v>FX Rate</v>
      </c>
      <c r="R5" s="9" t="str">
        <f>IFERROR(__xludf.DUMMYFUNCTION("""COMPUTED_VALUE"""),"Venue")</f>
        <v>Venue</v>
      </c>
      <c r="S5" s="9" t="str">
        <f>IFERROR(__xludf.DUMMYFUNCTION("""COMPUTED_VALUE"""),"FX Conversion Operator")</f>
        <v>FX Conversion Operator</v>
      </c>
      <c r="T5" s="11" t="str">
        <f>IFERROR(__xludf.DUMMYFUNCTION("""COMPUTED_VALUE"""),"User")</f>
        <v>User</v>
      </c>
      <c r="U5" s="11" t="str">
        <f>IFERROR(__xludf.DUMMYFUNCTION("""COMPUTED_VALUE"""),"Asset Category")</f>
        <v>Asset Category</v>
      </c>
      <c r="V5" s="11" t="str">
        <f>IFERROR(__xludf.DUMMYFUNCTION("""COMPUTED_VALUE"""),"Settlement Currency")</f>
        <v>Settlement Currency</v>
      </c>
      <c r="W5" s="11" t="str">
        <f>IFERROR(__xludf.DUMMYFUNCTION("""COMPUTED_VALUE"""),"Commission Per Share")</f>
        <v>Commission Per Share</v>
      </c>
      <c r="X5" s="11" t="str">
        <f>IFERROR(__xludf.DUMMYFUNCTION("""COMPUTED_VALUE"""),"Soft Commission Per Share")</f>
        <v>Soft Commission Per Share</v>
      </c>
      <c r="Y5" s="11" t="str">
        <f>IFERROR(__xludf.DUMMYFUNCTION("""COMPUTED_VALUE"""),"Total Commission Per Share")</f>
        <v>Total Commission Per Share</v>
      </c>
      <c r="Z5" s="11" t="str">
        <f>IFERROR(__xludf.DUMMYFUNCTION("""COMPUTED_VALUE"""),"Change Type")</f>
        <v>Change Type</v>
      </c>
      <c r="AA5" s="11" t="str">
        <f>IFERROR(__xludf.DUMMYFUNCTION("""COMPUTED_VALUE"""),"Trade Attribute 1")</f>
        <v>Trade Attribute 1</v>
      </c>
      <c r="AB5" s="11" t="str">
        <f>IFERROR(__xludf.DUMMYFUNCTION("""COMPUTED_VALUE"""),"Trade Attribute 2")</f>
        <v>Trade Attribute 2</v>
      </c>
      <c r="AC5" s="11" t="str">
        <f>IFERROR(__xludf.DUMMYFUNCTION("""COMPUTED_VALUE"""),"Trade Attribute 3")</f>
        <v>Trade Attribute 3</v>
      </c>
      <c r="AD5" s="11" t="str">
        <f>IFERROR(__xludf.DUMMYFUNCTION("""COMPUTED_VALUE"""),"Trade Attribute 4")</f>
        <v>Trade Attribute 4</v>
      </c>
      <c r="AE5" s="11" t="str">
        <f>IFERROR(__xludf.DUMMYFUNCTION("""COMPUTED_VALUE"""),"Trade Attribute 5")</f>
        <v>Trade Attribute 5</v>
      </c>
      <c r="AF5" s="11" t="str">
        <f>IFERROR(__xludf.DUMMYFUNCTION("""COMPUTED_VALUE"""),"Trade Attribute 6")</f>
        <v>Trade Attribute 6</v>
      </c>
      <c r="AG5" s="11" t="str">
        <f>IFERROR(__xludf.DUMMYFUNCTION("""COMPUTED_VALUE"""),"IsPreAllocated")</f>
        <v>IsPreAllocated</v>
      </c>
      <c r="AH5" s="11" t="str">
        <f>IFERROR(__xludf.DUMMYFUNCTION("""COMPUTED_VALUE"""),"IsManual Group")</f>
        <v>IsManual Group</v>
      </c>
      <c r="AI5" s="11" t="str">
        <f>IFERROR(__xludf.DUMMYFUNCTION("""COMPUTED_VALUE"""),"IsAnotherTaxlotAttributesUpdated")</f>
        <v>IsAnotherTaxlotAttributesUpdated</v>
      </c>
      <c r="AJ5" s="11" t="str">
        <f>IFERROR(__xludf.DUMMYFUNCTION("""COMPUTED_VALUE"""),"ISNDF")</f>
        <v>ISNDF</v>
      </c>
      <c r="AK5" s="11" t="str">
        <f>IFERROR(__xludf.DUMMYFUNCTION("""COMPUTED_VALUE"""),"M2MProfitLoss")</f>
        <v>M2MProfitLoss</v>
      </c>
      <c r="AL5" s="11" t="str">
        <f>IFERROR(__xludf.DUMMYFUNCTION("""COMPUTED_VALUE"""),"Put Or Call")</f>
        <v>Put Or Call</v>
      </c>
      <c r="AM5" s="11" t="str">
        <f>IFERROR(__xludf.DUMMYFUNCTION("""COMPUTED_VALUE"""),"GroupID")</f>
        <v>GroupID</v>
      </c>
      <c r="AN5" s="11" t="str">
        <f>IFERROR(__xludf.DUMMYFUNCTION("""COMPUTED_VALUE"""),"UnAllocatedQty")</f>
        <v>UnAllocatedQty</v>
      </c>
      <c r="AO5" s="11" t="str">
        <f>IFERROR(__xludf.DUMMYFUNCTION("""COMPUTED_VALUE"""),"Allocated Qty")</f>
        <v>Allocated Qty</v>
      </c>
      <c r="AP5" s="11" t="str">
        <f>IFERROR(__xludf.DUMMYFUNCTION("""COMPUTED_VALUE"""),"Commission")</f>
        <v>Commission</v>
      </c>
      <c r="AQ5" s="11" t="str">
        <f>IFERROR(__xludf.DUMMYFUNCTION("""COMPUTED_VALUE"""),"Soft Commission")</f>
        <v>Soft Commission</v>
      </c>
      <c r="AR5" s="11" t="str">
        <f>IFERROR(__xludf.DUMMYFUNCTION("""COMPUTED_VALUE"""),"Other Broker Fees")</f>
        <v>Other Broker Fees</v>
      </c>
      <c r="AS5" s="11" t="str">
        <f>IFERROR(__xludf.DUMMYFUNCTION("""COMPUTED_VALUE"""),"Clearing Broker Fee")</f>
        <v>Clearing Broker Fee</v>
      </c>
      <c r="AT5" s="11" t="str">
        <f>IFERROR(__xludf.DUMMYFUNCTION("""COMPUTED_VALUE"""),"Total Commission And Fee")</f>
        <v>Total Commission And Fee</v>
      </c>
      <c r="AU5" s="11" t="str">
        <f>IFERROR(__xludf.DUMMYFUNCTION("""COMPUTED_VALUE"""),"Transaction Levy")</f>
        <v>Transaction Levy</v>
      </c>
      <c r="AV5" s="11" t="str">
        <f>IFERROR(__xludf.DUMMYFUNCTION("""COMPUTED_VALUE"""),"Stamp Duty")</f>
        <v>Stamp Duty</v>
      </c>
      <c r="AW5" s="11" t="str">
        <f>IFERROR(__xludf.DUMMYFUNCTION("""COMPUTED_VALUE"""),"AUEC Fee1")</f>
        <v>AUEC Fee1</v>
      </c>
      <c r="AX5" s="11" t="str">
        <f>IFERROR(__xludf.DUMMYFUNCTION("""COMPUTED_VALUE"""),"Tax On Commissions")</f>
        <v>Tax On Commissions</v>
      </c>
      <c r="AY5" s="11" t="str">
        <f>IFERROR(__xludf.DUMMYFUNCTION("""COMPUTED_VALUE"""),"AUEC Fee2")</f>
        <v>AUEC Fee2</v>
      </c>
      <c r="AZ5" s="11" t="str">
        <f>IFERROR(__xludf.DUMMYFUNCTION("""COMPUTED_VALUE"""),"SEC Fee")</f>
        <v>SEC Fee</v>
      </c>
      <c r="BA5" s="11" t="str">
        <f>IFERROR(__xludf.DUMMYFUNCTION("""COMPUTED_VALUE"""),"OCC Fee")</f>
        <v>OCC Fee</v>
      </c>
      <c r="BB5" s="11" t="str">
        <f>IFERROR(__xludf.DUMMYFUNCTION("""COMPUTED_VALUE"""),"ORF Fee")</f>
        <v>ORF Fee</v>
      </c>
      <c r="BC5" s="11" t="str">
        <f>IFERROR(__xludf.DUMMYFUNCTION("""COMPUTED_VALUE"""),"Option Premium Adjustment")</f>
        <v>Option Premium Adjustment</v>
      </c>
      <c r="BD5" s="11" t="str">
        <f>IFERROR(__xludf.DUMMYFUNCTION("""COMPUTED_VALUE"""),"Prana Msg Type")</f>
        <v>Prana Msg Type</v>
      </c>
      <c r="BE5" s="11" t="str">
        <f>IFERROR(__xludf.DUMMYFUNCTION("""COMPUTED_VALUE"""),"Total Commission")</f>
        <v>Total Commission</v>
      </c>
      <c r="BF5" s="11" t="str">
        <f>IFERROR(__xludf.DUMMYFUNCTION("""COMPUTED_VALUE"""),"Closing Status")</f>
        <v>Closing Status</v>
      </c>
      <c r="BG5" s="11" t="str">
        <f>IFERROR(__xludf.DUMMYFUNCTION("""COMPUTED_VALUE"""),"Closing Method")</f>
        <v>Closing Method</v>
      </c>
      <c r="BH5" s="11" t="str">
        <f>IFERROR(__xludf.DUMMYFUNCTION("""COMPUTED_VALUE"""),"Group Status")</f>
        <v>Group Status</v>
      </c>
      <c r="BI5" s="11" t="str">
        <f>IFERROR(__xludf.DUMMYFUNCTION("""COMPUTED_VALUE"""),"Allocation Scheme Name")</f>
        <v>Allocation Scheme Name</v>
      </c>
      <c r="BJ5" s="11" t="str">
        <f>IFERROR(__xludf.DUMMYFUNCTION("""COMPUTED_VALUE"""),"Change Comment")</f>
        <v>Change Comment</v>
      </c>
      <c r="BK5" s="11" t="str">
        <f>IFERROR(__xludf.DUMMYFUNCTION("""COMPUTED_VALUE"""),"Order Type")</f>
        <v>Order Type</v>
      </c>
      <c r="BL5" s="11" t="str">
        <f>IFERROR(__xludf.DUMMYFUNCTION("""COMPUTED_VALUE"""),"Underlying")</f>
        <v>Underlying</v>
      </c>
      <c r="BM5" s="11" t="str">
        <f>IFERROR(__xludf.DUMMYFUNCTION("""COMPUTED_VALUE"""),"Exchange")</f>
        <v>Exchange</v>
      </c>
      <c r="BN5" s="11" t="str">
        <f>IFERROR(__xludf.DUMMYFUNCTION("""COMPUTED_VALUE"""),"Currency")</f>
        <v>Currency</v>
      </c>
      <c r="BO5" s="11" t="str">
        <f>IFERROR(__xludf.DUMMYFUNCTION("""COMPUTED_VALUE"""),"AUECID")</f>
        <v>AUECID</v>
      </c>
      <c r="BP5" s="11" t="str">
        <f>IFERROR(__xludf.DUMMYFUNCTION("""COMPUTED_VALUE"""),"Cum Qty For Sub Order")</f>
        <v>Cum Qty For Sub Order</v>
      </c>
      <c r="BQ5" s="11" t="str">
        <f>IFERROR(__xludf.DUMMYFUNCTION("""COMPUTED_VALUE"""),"Contract Multiplier")</f>
        <v>Contract Multiplier</v>
      </c>
      <c r="BR5" s="11" t="str">
        <f>IFERROR(__xludf.DUMMYFUNCTION("""COMPUTED_VALUE"""),"Company")</f>
        <v>Company</v>
      </c>
      <c r="BS5" s="11" t="str">
        <f>IFERROR(__xludf.DUMMYFUNCTION("""COMPUTED_VALUE"""),"Nirvana Process Date")</f>
        <v>Nirvana Process Date</v>
      </c>
      <c r="BT5" s="11" t="str">
        <f>IFERROR(__xludf.DUMMYFUNCTION("""COMPUTED_VALUE"""),"Process Date")</f>
        <v>Process Date</v>
      </c>
      <c r="BU5" s="11" t="str">
        <f>IFERROR(__xludf.DUMMYFUNCTION("""COMPUTED_VALUE"""),"Original Purchase Date")</f>
        <v>Original Purchase Date</v>
      </c>
      <c r="BV5" s="11" t="str">
        <f>IFERROR(__xludf.DUMMYFUNCTION("""COMPUTED_VALUE"""),"Closing Date")</f>
        <v>Closing Date</v>
      </c>
      <c r="BW5" s="11" t="str">
        <f>IFERROR(__xludf.DUMMYFUNCTION("""COMPUTED_VALUE"""),"Settlement Date")</f>
        <v>Settlement Date</v>
      </c>
      <c r="BX5" s="11" t="str">
        <f>IFERROR(__xludf.DUMMYFUNCTION("""COMPUTED_VALUE"""),"Expiration Date")</f>
        <v>Expiration Date</v>
      </c>
      <c r="BY5" s="11" t="str">
        <f>IFERROR(__xludf.DUMMYFUNCTION("""COMPUTED_VALUE"""),"Description")</f>
        <v>Description</v>
      </c>
      <c r="BZ5" s="11" t="str">
        <f>IFERROR(__xludf.DUMMYFUNCTION("""COMPUTED_VALUE"""),"Underlying Symbol")</f>
        <v>Underlying Symbol</v>
      </c>
      <c r="CA5" s="11" t="str">
        <f>IFERROR(__xludf.DUMMYFUNCTION("""COMPUTED_VALUE"""),"Accrued Interest")</f>
        <v>Accrued Interest</v>
      </c>
      <c r="CB5" s="11" t="str">
        <f>IFERROR(__xludf.DUMMYFUNCTION("""COMPUTED_VALUE"""),"Accrual Basis")</f>
        <v>Accrual Basis</v>
      </c>
      <c r="CC5" s="11" t="str">
        <f>IFERROR(__xludf.DUMMYFUNCTION("""COMPUTED_VALUE"""),"Bond Type")</f>
        <v>Bond Type</v>
      </c>
      <c r="CD5" s="11" t="str">
        <f>IFERROR(__xludf.DUMMYFUNCTION("""COMPUTED_VALUE"""),"Coupon Rate")</f>
        <v>Coupon Rate</v>
      </c>
      <c r="CE5" s="11" t="str">
        <f>IFERROR(__xludf.DUMMYFUNCTION("""COMPUTED_VALUE"""),"Delta")</f>
        <v>Delta</v>
      </c>
      <c r="CF5" s="11" t="str">
        <f>IFERROR(__xludf.DUMMYFUNCTION("""COMPUTED_VALUE"""),"Bloomberg")</f>
        <v>Bloomberg</v>
      </c>
      <c r="CG5" s="11" t="str">
        <f>IFERROR(__xludf.DUMMYFUNCTION("""COMPUTED_VALUE"""),"Sedol Symbol")</f>
        <v>Sedol Symbol</v>
      </c>
      <c r="CH5" s="11" t="str">
        <f>IFERROR(__xludf.DUMMYFUNCTION("""COMPUTED_VALUE"""),"Cusip Symbol")</f>
        <v>Cusip Symbol</v>
      </c>
      <c r="CI5" s="11" t="str">
        <f>IFERROR(__xludf.DUMMYFUNCTION("""COMPUTED_VALUE"""),"ISIN")</f>
        <v>ISIN</v>
      </c>
      <c r="CJ5" s="11" t="str">
        <f>IFERROR(__xludf.DUMMYFUNCTION("""COMPUTED_VALUE"""),"OSISSymbol")</f>
        <v>OSISSymbol</v>
      </c>
      <c r="CK5" s="11" t="str">
        <f>IFERROR(__xludf.DUMMYFUNCTION("""COMPUTED_VALUE"""),"IDCOSymbol")</f>
        <v>IDCOSymbol</v>
      </c>
      <c r="CL5" s="11" t="str">
        <f>IFERROR(__xludf.DUMMYFUNCTION("""COMPUTED_VALUE"""),"Underlying Delta")</f>
        <v>Underlying Delta</v>
      </c>
      <c r="CM5" s="11" t="str">
        <f>IFERROR(__xludf.DUMMYFUNCTION("""COMPUTED_VALUE"""),"Internal Comments")</f>
        <v>Internal Comments</v>
      </c>
      <c r="CN5" s="11" t="str">
        <f>IFERROR(__xludf.DUMMYFUNCTION("""COMPUTED_VALUE"""),"Proxy Symbol")</f>
        <v>Proxy Symbol</v>
      </c>
      <c r="CO5" s="11" t="str">
        <f>IFERROR(__xludf.DUMMYFUNCTION("""COMPUTED_VALUE"""),"Transaction Source")</f>
        <v>Transaction Source</v>
      </c>
      <c r="CP5" s="11" t="str">
        <f>IFERROR(__xludf.DUMMYFUNCTION("""COMPUTED_VALUE"""),"Import File Name")</f>
        <v>Import File Name</v>
      </c>
      <c r="CQ5" s="11" t="str">
        <f>IFERROR(__xludf.DUMMYFUNCTION("""COMPUTED_VALUE"""),"Master Fund")</f>
        <v>Master Fund</v>
      </c>
      <c r="CR5" s="11" t="str">
        <f>IFERROR(__xludf.DUMMYFUNCTION("""COMPUTED_VALUE"""),"Client")</f>
        <v>Client</v>
      </c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 t="s">
        <v>37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IFERROR(__xludf.DUMMYFUNCTION("""COMPUTED_VALUE"""),"Account Name")</f>
        <v>Account Name</v>
      </c>
      <c r="C5" s="9" t="str">
        <f>IFERROR(__xludf.DUMMYFUNCTION("""COMPUTED_VALUE"""),"Account Percentage")</f>
        <v>Account Percentage</v>
      </c>
      <c r="D5" s="9" t="str">
        <f>IFERROR(__xludf.DUMMYFUNCTION("""COMPUTED_VALUE"""),"Account Quantity")</f>
        <v>Account Quantity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 t="s">
        <v>43</v>
      </c>
      <c r="C6" s="10">
        <v>100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IFERROR(__xludf.DUMMYFUNCTION("""COMPUTED_VALUE"""),"Symbol")</f>
        <v>Symbol</v>
      </c>
      <c r="C5" s="9" t="str">
        <f>IFERROR(__xludf.DUMMYFUNCTION("""COMPUTED_VALUE"""),"Quantity")</f>
        <v>Quantity</v>
      </c>
      <c r="D5" s="9" t="str">
        <f>IFERROR(__xludf.DUMMYFUNCTION("""COMPUTED_VALUE"""),"Trade Date")</f>
        <v>Trade Date</v>
      </c>
      <c r="E5" s="9" t="str">
        <f>IFERROR(__xludf.DUMMYFUNCTION("""COMPUTED_VALUE"""),"Account Name")</f>
        <v>Account Name</v>
      </c>
      <c r="F5" s="9" t="str">
        <f>IFERROR(__xludf.DUMMYFUNCTION("""COMPUTED_VALUE"""),"Side")</f>
        <v>Side</v>
      </c>
      <c r="G5" s="9" t="str">
        <f>IFERROR(__xludf.DUMMYFUNCTION("""COMPUTED_VALUE"""),"Group Status")</f>
        <v>Group Status</v>
      </c>
      <c r="H5" s="9" t="str">
        <f>IFERROR(__xludf.DUMMYFUNCTION("""COMPUTED_VALUE"""),"Avg Price(Base)")</f>
        <v>Avg Price(Base)</v>
      </c>
      <c r="I5" s="9" t="str">
        <f>IFERROR(__xludf.DUMMYFUNCTION("""COMPUTED_VALUE"""),"Execution Time")</f>
        <v>Execution Time</v>
      </c>
      <c r="J5" s="9" t="str">
        <f>IFERROR(__xludf.DUMMYFUNCTION("""COMPUTED_VALUE"""),"Trade Attribute 1")</f>
        <v>Trade Attribute 1</v>
      </c>
      <c r="K5" s="9" t="str">
        <f>IFERROR(__xludf.DUMMYFUNCTION("""COMPUTED_VALUE"""),"Avg Price(Local)")</f>
        <v>Avg Price(Local)</v>
      </c>
      <c r="L5" s="9" t="str">
        <f>IFERROR(__xludf.DUMMYFUNCTION("""COMPUTED_VALUE"""),"Trade Attribute 2")</f>
        <v>Trade Attribute 2</v>
      </c>
      <c r="M5" s="9" t="str">
        <f>IFERROR(__xludf.DUMMYFUNCTION("""COMPUTED_VALUE"""),"Accrued Interest")</f>
        <v>Accrued Interest</v>
      </c>
      <c r="N5" s="9" t="str">
        <f>IFERROR(__xludf.DUMMYFUNCTION("""COMPUTED_VALUE"""),"Commission")</f>
        <v>Commission</v>
      </c>
      <c r="O5" s="9" t="str">
        <f>IFERROR(__xludf.DUMMYFUNCTION("""COMPUTED_VALUE"""),"Soft Commission")</f>
        <v>Soft Commission</v>
      </c>
      <c r="P5" s="9" t="str">
        <f>IFERROR(__xludf.DUMMYFUNCTION("""COMPUTED_VALUE"""),"Broker")</f>
        <v>Broker</v>
      </c>
      <c r="Q5" s="9" t="str">
        <f>IFERROR(__xludf.DUMMYFUNCTION("""COMPUTED_VALUE"""),"Transaction Type")</f>
        <v>Transaction Type</v>
      </c>
      <c r="R5" s="9" t="str">
        <f>IFERROR(__xludf.DUMMYFUNCTION("""COMPUTED_VALUE"""),"AUEC Fee1")</f>
        <v>AUEC Fee1</v>
      </c>
      <c r="S5" s="9" t="str">
        <f>IFERROR(__xludf.DUMMYFUNCTION("""COMPUTED_VALUE"""),"AUEC Fee2")</f>
        <v>AUEC Fee2</v>
      </c>
      <c r="T5" s="11" t="str">
        <f>IFERROR(__xludf.DUMMYFUNCTION("""COMPUTED_VALUE"""),"Clearing Broker Fee")</f>
        <v>Clearing Broker Fee</v>
      </c>
      <c r="U5" s="11" t="str">
        <f>IFERROR(__xludf.DUMMYFUNCTION("""COMPUTED_VALUE"""),"Other Broker Fees")</f>
        <v>Other Broker Fees</v>
      </c>
      <c r="V5" s="11" t="str">
        <f>IFERROR(__xludf.DUMMYFUNCTION("""COMPUTED_VALUE"""),"OCC Fee")</f>
        <v>OCC Fee</v>
      </c>
      <c r="W5" s="11" t="str">
        <f>IFERROR(__xludf.DUMMYFUNCTION("""COMPUTED_VALUE"""),"SEC Fee")</f>
        <v>SEC Fee</v>
      </c>
      <c r="X5" s="11" t="str">
        <f>IFERROR(__xludf.DUMMYFUNCTION("""COMPUTED_VALUE"""),"ORF Fee")</f>
        <v>ORF Fee</v>
      </c>
      <c r="Y5" s="11" t="str">
        <f>IFERROR(__xludf.DUMMYFUNCTION("""COMPUTED_VALUE"""),"IsPreAllocated")</f>
        <v>IsPreAllocated</v>
      </c>
      <c r="Z5" s="11" t="str">
        <f>IFERROR(__xludf.DUMMYFUNCTION("""COMPUTED_VALUE"""),"Stamp Duty")</f>
        <v>Stamp Duty</v>
      </c>
      <c r="AA5" s="11" t="str">
        <f>IFERROR(__xludf.DUMMYFUNCTION("""COMPUTED_VALUE"""),"IsManual Group")</f>
        <v>IsManual Group</v>
      </c>
      <c r="AB5" s="11" t="str">
        <f>IFERROR(__xludf.DUMMYFUNCTION("""COMPUTED_VALUE"""),"Tax On Commissions")</f>
        <v>Tax On Commissions</v>
      </c>
      <c r="AC5" s="11" t="str">
        <f>IFERROR(__xludf.DUMMYFUNCTION("""COMPUTED_VALUE"""),"IsAnotherTaxlotAttributesUpdated")</f>
        <v>IsAnotherTaxlotAttributesUpdated</v>
      </c>
      <c r="AD5" s="11" t="str">
        <f>IFERROR(__xludf.DUMMYFUNCTION("""COMPUTED_VALUE"""),"ISNDF")</f>
        <v>ISNDF</v>
      </c>
      <c r="AE5" s="11" t="str">
        <f>IFERROR(__xludf.DUMMYFUNCTION("""COMPUTED_VALUE"""),"Transaction Levy")</f>
        <v>Transaction Levy</v>
      </c>
      <c r="AF5" s="11" t="str">
        <f>IFERROR(__xludf.DUMMYFUNCTION("""COMPUTED_VALUE"""),"Description")</f>
        <v>Description</v>
      </c>
      <c r="AG5" s="11" t="str">
        <f>IFERROR(__xludf.DUMMYFUNCTION("""COMPUTED_VALUE"""),"GroupID")</f>
        <v>GroupID</v>
      </c>
      <c r="AH5" s="11" t="str">
        <f>IFERROR(__xludf.DUMMYFUNCTION("""COMPUTED_VALUE"""),"Internal Comments")</f>
        <v>Internal Comments</v>
      </c>
      <c r="AI5" s="11" t="str">
        <f>IFERROR(__xludf.DUMMYFUNCTION("""COMPUTED_VALUE"""),"M2MProfitLoss")</f>
        <v>M2MProfitLoss</v>
      </c>
      <c r="AJ5" s="11" t="str">
        <f>IFERROR(__xludf.DUMMYFUNCTION("""COMPUTED_VALUE"""),"FX Rate")</f>
        <v>FX Rate</v>
      </c>
      <c r="AK5" s="11" t="str">
        <f>IFERROR(__xludf.DUMMYFUNCTION("""COMPUTED_VALUE"""),"FX Conversion Operator")</f>
        <v>FX Conversion Operator</v>
      </c>
      <c r="AL5" s="11" t="str">
        <f>IFERROR(__xludf.DUMMYFUNCTION("""COMPUTED_VALUE"""),"Trade Attribute 3")</f>
        <v>Trade Attribute 3</v>
      </c>
      <c r="AM5" s="11" t="str">
        <f>IFERROR(__xludf.DUMMYFUNCTION("""COMPUTED_VALUE"""),"Trade Attribute 4")</f>
        <v>Trade Attribute 4</v>
      </c>
      <c r="AN5" s="11" t="str">
        <f>IFERROR(__xludf.DUMMYFUNCTION("""COMPUTED_VALUE"""),"Trade Attribute 5")</f>
        <v>Trade Attribute 5</v>
      </c>
      <c r="AO5" s="11" t="str">
        <f>IFERROR(__xludf.DUMMYFUNCTION("""COMPUTED_VALUE"""),"Trade Attribute 6")</f>
        <v>Trade Attribute 6</v>
      </c>
      <c r="AP5" s="11" t="str">
        <f>IFERROR(__xludf.DUMMYFUNCTION("""COMPUTED_VALUE"""),"Put Or Call")</f>
        <v>Put Or Call</v>
      </c>
      <c r="AQ5" s="11" t="str">
        <f>IFERROR(__xludf.DUMMYFUNCTION("""COMPUTED_VALUE"""),"Allocated Qty")</f>
        <v>Allocated Qty</v>
      </c>
      <c r="AR5" s="11" t="str">
        <f>IFERROR(__xludf.DUMMYFUNCTION("""COMPUTED_VALUE"""),"Total Commission And Fee")</f>
        <v>Total Commission And Fee</v>
      </c>
      <c r="AS5" s="11" t="str">
        <f>IFERROR(__xludf.DUMMYFUNCTION("""COMPUTED_VALUE"""),"Executed Qty")</f>
        <v>Executed Qty</v>
      </c>
      <c r="AT5" s="11" t="str">
        <f>IFERROR(__xludf.DUMMYFUNCTION("""COMPUTED_VALUE"""),"Net Amount( Local)")</f>
        <v>Net Amount( Local)</v>
      </c>
      <c r="AU5" s="11" t="str">
        <f>IFERROR(__xludf.DUMMYFUNCTION("""COMPUTED_VALUE"""),"Net Amount( Base)")</f>
        <v>Net Amount( Base)</v>
      </c>
      <c r="AV5" s="11" t="str">
        <f>IFERROR(__xludf.DUMMYFUNCTION("""COMPUTED_VALUE"""),"UnAllocatedQty")</f>
        <v>UnAllocatedQty</v>
      </c>
      <c r="AW5" s="11" t="str">
        <f>IFERROR(__xludf.DUMMYFUNCTION("""COMPUTED_VALUE"""),"Option Premium Adjustment")</f>
        <v>Option Premium Adjustment</v>
      </c>
      <c r="AX5" s="11" t="str">
        <f>IFERROR(__xludf.DUMMYFUNCTION("""COMPUTED_VALUE"""),"Principal Amount( Local)")</f>
        <v>Principal Amount( Local)</v>
      </c>
      <c r="AY5" s="11" t="str">
        <f>IFERROR(__xludf.DUMMYFUNCTION("""COMPUTED_VALUE"""),"Principal Amount( Base)")</f>
        <v>Principal Amount( Base)</v>
      </c>
      <c r="AZ5" s="11" t="str">
        <f>IFERROR(__xludf.DUMMYFUNCTION("""COMPUTED_VALUE"""),"Settlement Currency")</f>
        <v>Settlement Currency</v>
      </c>
      <c r="BA5" s="11" t="str">
        <f>IFERROR(__xludf.DUMMYFUNCTION("""COMPUTED_VALUE"""),"User")</f>
        <v>User</v>
      </c>
      <c r="BB5" s="11" t="str">
        <f>IFERROR(__xludf.DUMMYFUNCTION("""COMPUTED_VALUE"""),"Asset Category")</f>
        <v>Asset Category</v>
      </c>
      <c r="BC5" s="11" t="str">
        <f>IFERROR(__xludf.DUMMYFUNCTION("""COMPUTED_VALUE"""),"Change Type")</f>
        <v>Change Type</v>
      </c>
      <c r="BD5" s="11" t="str">
        <f>IFERROR(__xludf.DUMMYFUNCTION("""COMPUTED_VALUE"""),"Strategy Name")</f>
        <v>Strategy Name</v>
      </c>
      <c r="BE5" s="11" t="str">
        <f>IFERROR(__xludf.DUMMYFUNCTION("""COMPUTED_VALUE"""),"Prana Msg Type")</f>
        <v>Prana Msg Type</v>
      </c>
      <c r="BF5" s="11" t="str">
        <f>IFERROR(__xludf.DUMMYFUNCTION("""COMPUTED_VALUE"""),"Total Commission")</f>
        <v>Total Commission</v>
      </c>
      <c r="BG5" s="11" t="str">
        <f>IFERROR(__xludf.DUMMYFUNCTION("""COMPUTED_VALUE"""),"Commission Per Share")</f>
        <v>Commission Per Share</v>
      </c>
      <c r="BH5" s="11" t="str">
        <f>IFERROR(__xludf.DUMMYFUNCTION("""COMPUTED_VALUE"""),"Soft Commission Per Share")</f>
        <v>Soft Commission Per Share</v>
      </c>
      <c r="BI5" s="11" t="str">
        <f>IFERROR(__xludf.DUMMYFUNCTION("""COMPUTED_VALUE"""),"Total Commission Per Share")</f>
        <v>Total Commission Per Share</v>
      </c>
      <c r="BJ5" s="11" t="str">
        <f>IFERROR(__xludf.DUMMYFUNCTION("""COMPUTED_VALUE"""),"Closing Status")</f>
        <v>Closing Status</v>
      </c>
      <c r="BK5" s="11" t="str">
        <f>IFERROR(__xludf.DUMMYFUNCTION("""COMPUTED_VALUE"""),"Closing Method")</f>
        <v>Closing Method</v>
      </c>
      <c r="BL5" s="11" t="str">
        <f>IFERROR(__xludf.DUMMYFUNCTION("""COMPUTED_VALUE"""),"Allocation Scheme Name")</f>
        <v>Allocation Scheme Name</v>
      </c>
      <c r="BM5" s="11" t="str">
        <f>IFERROR(__xludf.DUMMYFUNCTION("""COMPUTED_VALUE"""),"Change Comment")</f>
        <v>Change Comment</v>
      </c>
      <c r="BN5" s="11" t="str">
        <f>IFERROR(__xludf.DUMMYFUNCTION("""COMPUTED_VALUE"""),"Order Type")</f>
        <v>Order Type</v>
      </c>
      <c r="BO5" s="11" t="str">
        <f>IFERROR(__xludf.DUMMYFUNCTION("""COMPUTED_VALUE"""),"Underlying")</f>
        <v>Underlying</v>
      </c>
      <c r="BP5" s="11" t="str">
        <f>IFERROR(__xludf.DUMMYFUNCTION("""COMPUTED_VALUE"""),"Exchange")</f>
        <v>Exchange</v>
      </c>
      <c r="BQ5" s="11" t="str">
        <f>IFERROR(__xludf.DUMMYFUNCTION("""COMPUTED_VALUE"""),"Currency")</f>
        <v>Currency</v>
      </c>
      <c r="BR5" s="11" t="str">
        <f>IFERROR(__xludf.DUMMYFUNCTION("""COMPUTED_VALUE"""),"AUECID")</f>
        <v>AUECID</v>
      </c>
      <c r="BS5" s="11" t="str">
        <f>IFERROR(__xludf.DUMMYFUNCTION("""COMPUTED_VALUE"""),"Trading Account")</f>
        <v>Trading Account</v>
      </c>
      <c r="BT5" s="11" t="str">
        <f>IFERROR(__xludf.DUMMYFUNCTION("""COMPUTED_VALUE"""),"Venue")</f>
        <v>Venue</v>
      </c>
      <c r="BU5" s="11" t="str">
        <f>IFERROR(__xludf.DUMMYFUNCTION("""COMPUTED_VALUE"""),"Cum Qty For Sub Order")</f>
        <v>Cum Qty For Sub Order</v>
      </c>
      <c r="BV5" s="11" t="str">
        <f>IFERROR(__xludf.DUMMYFUNCTION("""COMPUTED_VALUE"""),"Contract Multiplier")</f>
        <v>Contract Multiplier</v>
      </c>
      <c r="BW5" s="11" t="str">
        <f>IFERROR(__xludf.DUMMYFUNCTION("""COMPUTED_VALUE"""),"Company")</f>
        <v>Company</v>
      </c>
      <c r="BX5" s="11" t="str">
        <f>IFERROR(__xludf.DUMMYFUNCTION("""COMPUTED_VALUE"""),"Nirvana Process Date")</f>
        <v>Nirvana Process Date</v>
      </c>
      <c r="BY5" s="11" t="str">
        <f>IFERROR(__xludf.DUMMYFUNCTION("""COMPUTED_VALUE"""),"Process Date")</f>
        <v>Process Date</v>
      </c>
      <c r="BZ5" s="11" t="str">
        <f>IFERROR(__xludf.DUMMYFUNCTION("""COMPUTED_VALUE"""),"Original Purchase Date")</f>
        <v>Original Purchase Date</v>
      </c>
      <c r="CA5" s="11" t="str">
        <f>IFERROR(__xludf.DUMMYFUNCTION("""COMPUTED_VALUE"""),"Closing Date")</f>
        <v>Closing Date</v>
      </c>
      <c r="CB5" s="11" t="str">
        <f>IFERROR(__xludf.DUMMYFUNCTION("""COMPUTED_VALUE"""),"Settlement Date")</f>
        <v>Settlement Date</v>
      </c>
      <c r="CC5" s="11" t="str">
        <f>IFERROR(__xludf.DUMMYFUNCTION("""COMPUTED_VALUE"""),"Expiration Date")</f>
        <v>Expiration Date</v>
      </c>
      <c r="CD5" s="11" t="str">
        <f>IFERROR(__xludf.DUMMYFUNCTION("""COMPUTED_VALUE"""),"Underlying Symbol")</f>
        <v>Underlying Symbol</v>
      </c>
      <c r="CE5" s="11" t="str">
        <f>IFERROR(__xludf.DUMMYFUNCTION("""COMPUTED_VALUE"""),"Accrual Basis")</f>
        <v>Accrual Basis</v>
      </c>
      <c r="CF5" s="11" t="str">
        <f>IFERROR(__xludf.DUMMYFUNCTION("""COMPUTED_VALUE"""),"Bond Type")</f>
        <v>Bond Type</v>
      </c>
      <c r="CG5" s="11" t="str">
        <f>IFERROR(__xludf.DUMMYFUNCTION("""COMPUTED_VALUE"""),"Coupon Rate")</f>
        <v>Coupon Rate</v>
      </c>
      <c r="CH5" s="11" t="str">
        <f>IFERROR(__xludf.DUMMYFUNCTION("""COMPUTED_VALUE"""),"Delta")</f>
        <v>Delta</v>
      </c>
      <c r="CI5" s="11" t="str">
        <f>IFERROR(__xludf.DUMMYFUNCTION("""COMPUTED_VALUE"""),"Bloomberg")</f>
        <v>Bloomberg</v>
      </c>
      <c r="CJ5" s="11" t="str">
        <f>IFERROR(__xludf.DUMMYFUNCTION("""COMPUTED_VALUE"""),"Sedol Symbol")</f>
        <v>Sedol Symbol</v>
      </c>
      <c r="CK5" s="11" t="str">
        <f>IFERROR(__xludf.DUMMYFUNCTION("""COMPUTED_VALUE"""),"Cusip Symbol")</f>
        <v>Cusip Symbol</v>
      </c>
      <c r="CL5" s="11" t="str">
        <f>IFERROR(__xludf.DUMMYFUNCTION("""COMPUTED_VALUE"""),"ISIN")</f>
        <v>ISIN</v>
      </c>
      <c r="CM5" s="11" t="str">
        <f>IFERROR(__xludf.DUMMYFUNCTION("""COMPUTED_VALUE"""),"OSISSymbol")</f>
        <v>OSISSymbol</v>
      </c>
      <c r="CN5" s="11" t="str">
        <f>IFERROR(__xludf.DUMMYFUNCTION("""COMPUTED_VALUE"""),"IDCOSymbol")</f>
        <v>IDCOSymbol</v>
      </c>
      <c r="CO5" s="11" t="str">
        <f>IFERROR(__xludf.DUMMYFUNCTION("""COMPUTED_VALUE"""),"Underlying Delta")</f>
        <v>Underlying Delta</v>
      </c>
      <c r="CP5" s="11" t="str">
        <f>IFERROR(__xludf.DUMMYFUNCTION("""COMPUTED_VALUE"""),"Proxy Symbol")</f>
        <v>Proxy Symbol</v>
      </c>
      <c r="CQ5" s="11" t="str">
        <f>IFERROR(__xludf.DUMMYFUNCTION("""COMPUTED_VALUE"""),"Transaction Source")</f>
        <v>Transaction Source</v>
      </c>
      <c r="CR5" s="11" t="str">
        <f>IFERROR(__xludf.DUMMYFUNCTION("""COMPUTED_VALUE"""),"Import File Name")</f>
        <v>Import File Name</v>
      </c>
      <c r="CS5" s="11" t="str">
        <f>IFERROR(__xludf.DUMMYFUNCTION("""COMPUTED_VALUE"""),"MasterFund")</f>
        <v>MasterFund</v>
      </c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 t="s">
        <v>37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A5" sqref="$A5:$XFD6"/>
    </sheetView>
  </sheetViews>
  <sheetFormatPr defaultColWidth="9.14285714285714" defaultRowHeight="15" outlineLevelRow="5"/>
  <cols>
    <col min="3" max="3" width="16.7142857142857" customWidth="1"/>
  </cols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IFERROR(__xludf.DUMMYFUNCTION("""COMPUTED_VALUE"""),"Symbol")</f>
        <v>Symbol</v>
      </c>
      <c r="C5" s="9" t="str">
        <f>IFERROR(__xludf.DUMMYFUNCTION("""COMPUTED_VALUE"""),"AccountName")</f>
        <v>AccountName</v>
      </c>
      <c r="D5" s="9" t="str">
        <f>IFERROR(__xludf.DUMMYFUNCTION("""COMPUTED_VALUE"""),"Quantity")</f>
        <v>Quantity</v>
      </c>
      <c r="E5" s="9" t="str">
        <f>IFERROR(__xludf.DUMMYFUNCTION("""COMPUTED_VALUE"""),"Notional")</f>
        <v>Notional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 t="s">
        <v>37</v>
      </c>
      <c r="C6" s="10" t="s">
        <v>43</v>
      </c>
      <c r="D6" s="10">
        <v>2500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topLeftCell="AF4" workbookViewId="0">
      <selection activeCell="AO7" sqref="B5:BC7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6" t="s">
        <v>18</v>
      </c>
      <c r="U5" s="6" t="s">
        <v>44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25</v>
      </c>
      <c r="AC5" s="6" t="s">
        <v>45</v>
      </c>
      <c r="AD5" s="6" t="s">
        <v>46</v>
      </c>
      <c r="AE5" s="6" t="s">
        <v>47</v>
      </c>
      <c r="AF5" s="6" t="s">
        <v>48</v>
      </c>
      <c r="AG5" s="6" t="s">
        <v>49</v>
      </c>
      <c r="AH5" s="6" t="s">
        <v>50</v>
      </c>
      <c r="AI5" s="6" t="s">
        <v>51</v>
      </c>
      <c r="AJ5" s="6" t="s">
        <v>52</v>
      </c>
      <c r="AK5" s="6" t="s">
        <v>53</v>
      </c>
      <c r="AL5" s="6" t="s">
        <v>54</v>
      </c>
      <c r="AM5" s="6" t="s">
        <v>55</v>
      </c>
      <c r="AN5" s="6" t="s">
        <v>56</v>
      </c>
      <c r="AO5" s="6" t="s">
        <v>35</v>
      </c>
      <c r="AP5" s="6" t="s">
        <v>57</v>
      </c>
      <c r="AQ5" s="6" t="s">
        <v>58</v>
      </c>
      <c r="AR5" s="6" t="s">
        <v>59</v>
      </c>
      <c r="AS5" s="6" t="s">
        <v>60</v>
      </c>
      <c r="AT5" s="6" t="s">
        <v>61</v>
      </c>
      <c r="AU5" s="6" t="s">
        <v>62</v>
      </c>
      <c r="AV5" s="6" t="s">
        <v>63</v>
      </c>
      <c r="AW5" s="6" t="s">
        <v>64</v>
      </c>
      <c r="AX5" s="6" t="s">
        <v>65</v>
      </c>
      <c r="AY5" s="6" t="s">
        <v>66</v>
      </c>
      <c r="AZ5" s="6" t="s">
        <v>67</v>
      </c>
      <c r="BA5" s="6" t="s">
        <v>68</v>
      </c>
      <c r="BB5" s="6" t="s">
        <v>69</v>
      </c>
      <c r="BC5" s="14" t="s">
        <v>70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1:154">
      <c r="A6" s="12"/>
      <c r="B6" s="12" t="s">
        <v>37</v>
      </c>
      <c r="C6" s="12" t="s">
        <v>38</v>
      </c>
      <c r="D6" s="13">
        <v>5000</v>
      </c>
      <c r="E6" s="12"/>
      <c r="F6" s="12"/>
      <c r="G6" s="12"/>
      <c r="H6" s="12"/>
      <c r="I6" s="12"/>
      <c r="J6" s="13">
        <v>10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 t="s">
        <v>40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X6"/>
  <sheetViews>
    <sheetView workbookViewId="0">
      <selection activeCell="D7" sqref="D7"/>
    </sheetView>
  </sheetViews>
  <sheetFormatPr defaultColWidth="9.14285714285714" defaultRowHeight="15" outlineLevelRow="5"/>
  <sheetData>
    <row r="5" s="8" customFormat="1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9" t="str">
        <f>IFERROR(__xludf.DUMMYFUNCTION("""COMPUTED_VALUE"""),"Symbol")</f>
        <v>Symbol</v>
      </c>
      <c r="C5" s="9" t="str">
        <f>IFERROR(__xludf.DUMMYFUNCTION("""COMPUTED_VALUE"""),"AccountName")</f>
        <v>AccountName</v>
      </c>
      <c r="D5" s="9" t="str">
        <f>IFERROR(__xludf.DUMMYFUNCTION("""COMPUTED_VALUE"""),"Quantity")</f>
        <v>Quantity</v>
      </c>
      <c r="E5" s="9" t="str">
        <f>IFERROR(__xludf.DUMMYFUNCTION("""COMPUTED_VALUE"""),"Notional")</f>
        <v>Notional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</row>
    <row r="6" s="8" customFormat="1" ht="15.75" customHeight="1" spans="1:15">
      <c r="A6" s="10"/>
      <c r="B6" s="10" t="s">
        <v>37</v>
      </c>
      <c r="C6" s="10" t="s">
        <v>43</v>
      </c>
      <c r="D6" s="10">
        <v>45000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7"/>
  <sheetViews>
    <sheetView tabSelected="1" topLeftCell="FK1" workbookViewId="0">
      <selection activeCell="GD8" sqref="GD8"/>
    </sheetView>
  </sheetViews>
  <sheetFormatPr defaultColWidth="9.14285714285714" defaultRowHeight="15" outlineLevelRow="6"/>
  <sheetData>
    <row r="4" ht="15.75"/>
    <row r="5" ht="64.5" spans="1:189">
      <c r="A5" s="1"/>
      <c r="B5" s="2" t="s">
        <v>12</v>
      </c>
      <c r="C5" s="2" t="s">
        <v>0</v>
      </c>
      <c r="D5" s="2" t="s">
        <v>71</v>
      </c>
      <c r="E5" s="2" t="s">
        <v>53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84</v>
      </c>
      <c r="S5" s="2" t="s">
        <v>11</v>
      </c>
      <c r="T5" s="6" t="s">
        <v>85</v>
      </c>
      <c r="U5" s="6" t="s">
        <v>86</v>
      </c>
      <c r="V5" s="6" t="s">
        <v>87</v>
      </c>
      <c r="W5" s="6" t="s">
        <v>88</v>
      </c>
      <c r="X5" s="6" t="s">
        <v>89</v>
      </c>
      <c r="Y5" s="6" t="s">
        <v>90</v>
      </c>
      <c r="Z5" s="6" t="s">
        <v>91</v>
      </c>
      <c r="AA5" s="6" t="s">
        <v>92</v>
      </c>
      <c r="AB5" s="6" t="s">
        <v>93</v>
      </c>
      <c r="AC5" s="6" t="s">
        <v>94</v>
      </c>
      <c r="AD5" s="6" t="s">
        <v>95</v>
      </c>
      <c r="AE5" s="6" t="s">
        <v>96</v>
      </c>
      <c r="AF5" s="6" t="s">
        <v>97</v>
      </c>
      <c r="AG5" s="6" t="s">
        <v>98</v>
      </c>
      <c r="AH5" s="6" t="s">
        <v>99</v>
      </c>
      <c r="AI5" s="6" t="s">
        <v>100</v>
      </c>
      <c r="AJ5" s="6" t="s">
        <v>101</v>
      </c>
      <c r="AK5" s="6" t="s">
        <v>102</v>
      </c>
      <c r="AL5" s="6" t="s">
        <v>103</v>
      </c>
      <c r="AM5" s="6" t="s">
        <v>104</v>
      </c>
      <c r="AN5" s="6" t="s">
        <v>1</v>
      </c>
      <c r="AO5" s="6" t="s">
        <v>105</v>
      </c>
      <c r="AP5" s="6" t="s">
        <v>106</v>
      </c>
      <c r="AQ5" s="6" t="s">
        <v>107</v>
      </c>
      <c r="AR5" s="6" t="s">
        <v>108</v>
      </c>
      <c r="AS5" s="6" t="s">
        <v>109</v>
      </c>
      <c r="AT5" s="6" t="s">
        <v>110</v>
      </c>
      <c r="AU5" s="6" t="s">
        <v>111</v>
      </c>
      <c r="AV5" s="6" t="s">
        <v>112</v>
      </c>
      <c r="AW5" s="6" t="s">
        <v>113</v>
      </c>
      <c r="AX5" s="6" t="s">
        <v>114</v>
      </c>
      <c r="AY5" s="6" t="s">
        <v>115</v>
      </c>
      <c r="AZ5" s="6" t="s">
        <v>116</v>
      </c>
      <c r="BA5" s="6" t="s">
        <v>117</v>
      </c>
      <c r="BB5" s="6" t="s">
        <v>118</v>
      </c>
      <c r="BC5" s="6" t="s">
        <v>119</v>
      </c>
      <c r="BD5" s="6" t="s">
        <v>120</v>
      </c>
      <c r="BE5" s="6" t="s">
        <v>121</v>
      </c>
      <c r="BF5" s="6" t="s">
        <v>122</v>
      </c>
      <c r="BG5" s="6" t="s">
        <v>123</v>
      </c>
      <c r="BH5" s="6" t="s">
        <v>124</v>
      </c>
      <c r="BI5" s="6" t="s">
        <v>125</v>
      </c>
      <c r="BJ5" s="6" t="s">
        <v>126</v>
      </c>
      <c r="BK5" s="6" t="s">
        <v>127</v>
      </c>
      <c r="BL5" s="6" t="s">
        <v>128</v>
      </c>
      <c r="BM5" s="6" t="s">
        <v>129</v>
      </c>
      <c r="BN5" s="6" t="s">
        <v>130</v>
      </c>
      <c r="BO5" s="6" t="s">
        <v>131</v>
      </c>
      <c r="BP5" s="6" t="s">
        <v>132</v>
      </c>
      <c r="BQ5" s="6" t="s">
        <v>133</v>
      </c>
      <c r="BR5" s="6" t="s">
        <v>5</v>
      </c>
      <c r="BS5" s="6" t="s">
        <v>134</v>
      </c>
      <c r="BT5" s="6" t="s">
        <v>135</v>
      </c>
      <c r="BU5" s="6" t="s">
        <v>136</v>
      </c>
      <c r="BV5" s="6" t="s">
        <v>137</v>
      </c>
      <c r="BW5" s="6" t="s">
        <v>138</v>
      </c>
      <c r="BX5" s="6" t="s">
        <v>139</v>
      </c>
      <c r="BY5" s="6" t="s">
        <v>140</v>
      </c>
      <c r="BZ5" s="6" t="s">
        <v>141</v>
      </c>
      <c r="CA5" s="6" t="s">
        <v>142</v>
      </c>
      <c r="CB5" s="6" t="s">
        <v>143</v>
      </c>
      <c r="CC5" s="6" t="s">
        <v>144</v>
      </c>
      <c r="CD5" s="6" t="s">
        <v>145</v>
      </c>
      <c r="CE5" s="6" t="s">
        <v>146</v>
      </c>
      <c r="CF5" s="6" t="s">
        <v>147</v>
      </c>
      <c r="CG5" s="6" t="s">
        <v>148</v>
      </c>
      <c r="CH5" s="6" t="s">
        <v>149</v>
      </c>
      <c r="CI5" s="6" t="s">
        <v>150</v>
      </c>
      <c r="CJ5" s="6" t="s">
        <v>151</v>
      </c>
      <c r="CK5" s="6" t="s">
        <v>152</v>
      </c>
      <c r="CL5" s="6" t="s">
        <v>153</v>
      </c>
      <c r="CM5" s="6" t="s">
        <v>154</v>
      </c>
      <c r="CN5" s="6" t="s">
        <v>155</v>
      </c>
      <c r="CO5" s="6" t="s">
        <v>156</v>
      </c>
      <c r="CP5" s="6" t="s">
        <v>157</v>
      </c>
      <c r="CQ5" s="6" t="s">
        <v>158</v>
      </c>
      <c r="CR5" s="6" t="s">
        <v>159</v>
      </c>
      <c r="CS5" s="6" t="s">
        <v>160</v>
      </c>
      <c r="CT5" s="6" t="s">
        <v>161</v>
      </c>
      <c r="CU5" s="6" t="s">
        <v>162</v>
      </c>
      <c r="CV5" s="6" t="s">
        <v>163</v>
      </c>
      <c r="CW5" s="6" t="s">
        <v>164</v>
      </c>
      <c r="CX5" s="6" t="s">
        <v>165</v>
      </c>
      <c r="CY5" s="6" t="s">
        <v>166</v>
      </c>
      <c r="CZ5" s="6" t="s">
        <v>167</v>
      </c>
      <c r="DA5" s="6" t="s">
        <v>168</v>
      </c>
      <c r="DB5" s="6" t="s">
        <v>169</v>
      </c>
      <c r="DC5" s="6" t="s">
        <v>170</v>
      </c>
      <c r="DD5" s="6" t="s">
        <v>171</v>
      </c>
      <c r="DE5" s="6" t="s">
        <v>172</v>
      </c>
      <c r="DF5" s="6" t="s">
        <v>173</v>
      </c>
      <c r="DG5" s="6" t="s">
        <v>174</v>
      </c>
      <c r="DH5" s="6" t="s">
        <v>175</v>
      </c>
      <c r="DI5" s="6" t="s">
        <v>176</v>
      </c>
      <c r="DJ5" s="6" t="s">
        <v>177</v>
      </c>
      <c r="DK5" s="6" t="s">
        <v>178</v>
      </c>
      <c r="DL5" s="6" t="s">
        <v>179</v>
      </c>
      <c r="DM5" s="6" t="s">
        <v>180</v>
      </c>
      <c r="DN5" s="6" t="s">
        <v>181</v>
      </c>
      <c r="DO5" s="6" t="s">
        <v>182</v>
      </c>
      <c r="DP5" s="6" t="s">
        <v>183</v>
      </c>
      <c r="DQ5" s="6" t="s">
        <v>184</v>
      </c>
      <c r="DR5" s="6" t="s">
        <v>185</v>
      </c>
      <c r="DS5" s="6" t="s">
        <v>186</v>
      </c>
      <c r="DT5" s="6" t="s">
        <v>187</v>
      </c>
      <c r="DU5" s="6" t="s">
        <v>188</v>
      </c>
      <c r="DV5" s="6" t="s">
        <v>189</v>
      </c>
      <c r="DW5" s="6" t="s">
        <v>190</v>
      </c>
      <c r="DX5" s="6" t="s">
        <v>191</v>
      </c>
      <c r="DY5" s="6" t="s">
        <v>192</v>
      </c>
      <c r="DZ5" s="6" t="s">
        <v>193</v>
      </c>
      <c r="EA5" s="6" t="s">
        <v>194</v>
      </c>
      <c r="EB5" s="6" t="s">
        <v>195</v>
      </c>
      <c r="EC5" s="6" t="s">
        <v>196</v>
      </c>
      <c r="ED5" s="6" t="s">
        <v>197</v>
      </c>
      <c r="EE5" s="6" t="s">
        <v>198</v>
      </c>
      <c r="EF5" s="6" t="s">
        <v>199</v>
      </c>
      <c r="EG5" s="6" t="s">
        <v>200</v>
      </c>
      <c r="EH5" s="6" t="s">
        <v>201</v>
      </c>
      <c r="EI5" s="6" t="s">
        <v>202</v>
      </c>
      <c r="EJ5" s="6" t="s">
        <v>203</v>
      </c>
      <c r="EK5" s="6" t="s">
        <v>204</v>
      </c>
      <c r="EL5" s="6" t="s">
        <v>205</v>
      </c>
      <c r="EM5" s="6" t="s">
        <v>206</v>
      </c>
      <c r="EN5" s="6" t="s">
        <v>207</v>
      </c>
      <c r="EO5" s="6" t="s">
        <v>208</v>
      </c>
      <c r="EP5" s="6" t="s">
        <v>209</v>
      </c>
      <c r="EQ5" s="6" t="s">
        <v>210</v>
      </c>
      <c r="ER5" s="6" t="s">
        <v>211</v>
      </c>
      <c r="ES5" s="6" t="s">
        <v>212</v>
      </c>
      <c r="ET5" s="6" t="s">
        <v>213</v>
      </c>
      <c r="EU5" s="6" t="s">
        <v>214</v>
      </c>
      <c r="EV5" s="6" t="s">
        <v>215</v>
      </c>
      <c r="EW5" s="6" t="s">
        <v>216</v>
      </c>
      <c r="EX5" s="6" t="s">
        <v>217</v>
      </c>
      <c r="EY5" s="6" t="s">
        <v>218</v>
      </c>
      <c r="EZ5" s="6" t="s">
        <v>219</v>
      </c>
      <c r="FA5" s="6" t="s">
        <v>220</v>
      </c>
      <c r="FB5" s="6" t="s">
        <v>221</v>
      </c>
      <c r="FC5" s="6" t="s">
        <v>222</v>
      </c>
      <c r="FD5" s="6" t="s">
        <v>223</v>
      </c>
      <c r="FE5" s="6" t="s">
        <v>224</v>
      </c>
      <c r="FF5" s="6" t="s">
        <v>225</v>
      </c>
      <c r="FG5" s="6" t="s">
        <v>226</v>
      </c>
      <c r="FH5" s="6" t="s">
        <v>227</v>
      </c>
      <c r="FI5" s="6" t="s">
        <v>228</v>
      </c>
      <c r="FJ5" s="6" t="s">
        <v>229</v>
      </c>
      <c r="FK5" s="6" t="s">
        <v>230</v>
      </c>
      <c r="FL5" s="6" t="s">
        <v>231</v>
      </c>
      <c r="FM5" s="6" t="s">
        <v>232</v>
      </c>
      <c r="FN5" s="6" t="s">
        <v>233</v>
      </c>
      <c r="FO5" s="6" t="s">
        <v>234</v>
      </c>
      <c r="FP5" s="6" t="s">
        <v>235</v>
      </c>
      <c r="FQ5" s="6" t="s">
        <v>236</v>
      </c>
      <c r="FR5" s="6" t="s">
        <v>237</v>
      </c>
      <c r="FS5" s="6" t="s">
        <v>238</v>
      </c>
      <c r="FT5" s="6" t="s">
        <v>239</v>
      </c>
      <c r="FU5" s="6" t="s">
        <v>240</v>
      </c>
      <c r="FV5" s="6" t="s">
        <v>241</v>
      </c>
      <c r="FW5" s="6" t="s">
        <v>242</v>
      </c>
      <c r="FX5" s="1"/>
      <c r="FY5" s="1"/>
      <c r="FZ5" s="1"/>
      <c r="GA5" s="1"/>
      <c r="GB5" s="1"/>
      <c r="GC5" s="1"/>
      <c r="GD5" s="1"/>
      <c r="GE5" s="1"/>
      <c r="GF5" s="1"/>
      <c r="GG5" s="1"/>
    </row>
    <row r="6" ht="25.5" spans="1:1026">
      <c r="A6" s="3"/>
      <c r="B6" s="4"/>
      <c r="C6" s="3" t="s">
        <v>37</v>
      </c>
      <c r="D6" s="5">
        <v>37500</v>
      </c>
      <c r="E6" s="3" t="s">
        <v>43</v>
      </c>
      <c r="F6" s="3" t="s">
        <v>243</v>
      </c>
      <c r="G6" s="5">
        <v>1</v>
      </c>
      <c r="H6" s="3" t="s">
        <v>244</v>
      </c>
      <c r="I6" s="5"/>
      <c r="J6" s="5"/>
      <c r="K6" s="5"/>
      <c r="L6" s="5"/>
      <c r="M6" s="5"/>
      <c r="N6" s="5"/>
      <c r="O6" s="3"/>
      <c r="P6" s="3"/>
      <c r="Q6" s="5"/>
      <c r="R6" s="3"/>
      <c r="S6" s="3"/>
      <c r="T6" s="3" t="s">
        <v>245</v>
      </c>
      <c r="U6" s="3" t="s">
        <v>246</v>
      </c>
      <c r="V6" s="3" t="s">
        <v>247</v>
      </c>
      <c r="W6" s="3" t="s">
        <v>248</v>
      </c>
      <c r="X6" s="5">
        <v>1</v>
      </c>
      <c r="Y6" s="5">
        <v>1</v>
      </c>
      <c r="Z6" s="3"/>
      <c r="AA6" s="3"/>
      <c r="AB6" s="5">
        <v>0</v>
      </c>
      <c r="AC6" s="5"/>
      <c r="AD6" s="5"/>
      <c r="AE6" s="5"/>
      <c r="AF6" s="5"/>
      <c r="AG6" s="5"/>
      <c r="AH6" s="5"/>
      <c r="AI6" s="5"/>
      <c r="AJ6" s="5"/>
      <c r="AK6" s="5">
        <v>-37500</v>
      </c>
      <c r="AL6" s="5">
        <v>1</v>
      </c>
      <c r="AM6" s="5">
        <v>1</v>
      </c>
      <c r="AN6" s="3" t="s">
        <v>38</v>
      </c>
      <c r="AO6" s="3"/>
      <c r="AP6" s="3" t="s">
        <v>244</v>
      </c>
      <c r="AQ6" s="3" t="s">
        <v>37</v>
      </c>
      <c r="AR6" s="5"/>
      <c r="AS6" s="5"/>
      <c r="AT6" s="3"/>
      <c r="AU6" s="3" t="s">
        <v>249</v>
      </c>
      <c r="AV6" s="5">
        <v>1</v>
      </c>
      <c r="AW6" s="5">
        <v>-37500</v>
      </c>
      <c r="AX6" s="5"/>
      <c r="AY6" s="5"/>
      <c r="AZ6" s="5"/>
      <c r="BA6" s="5"/>
      <c r="BB6" s="5"/>
      <c r="BC6" s="5"/>
      <c r="BD6" s="5"/>
      <c r="BE6" s="3" t="s">
        <v>245</v>
      </c>
      <c r="BF6" s="3" t="s">
        <v>250</v>
      </c>
      <c r="BG6" s="3" t="s">
        <v>251</v>
      </c>
      <c r="BH6" s="3" t="s">
        <v>252</v>
      </c>
      <c r="BI6" s="3" t="s">
        <v>253</v>
      </c>
      <c r="BJ6" s="5"/>
      <c r="BK6" s="5"/>
      <c r="BL6" s="5"/>
      <c r="BM6" s="5"/>
      <c r="BN6" s="5"/>
      <c r="BO6" s="5">
        <v>-37500</v>
      </c>
      <c r="BP6" s="5"/>
      <c r="BQ6" s="3"/>
      <c r="BR6" s="3" t="s">
        <v>254</v>
      </c>
      <c r="BS6" s="5"/>
      <c r="BT6" s="5"/>
      <c r="BU6" s="3" t="s">
        <v>245</v>
      </c>
      <c r="BV6" s="3"/>
      <c r="BW6" s="5"/>
      <c r="BX6" s="5"/>
      <c r="BY6" s="5"/>
      <c r="BZ6" s="5"/>
      <c r="CA6" s="5"/>
      <c r="CB6" s="4"/>
      <c r="CC6" s="5"/>
      <c r="CD6" s="5">
        <v>-37500</v>
      </c>
      <c r="CE6" s="5"/>
      <c r="CF6" s="5"/>
      <c r="CG6" s="5">
        <v>-37500</v>
      </c>
      <c r="CH6" s="5">
        <v>-100</v>
      </c>
      <c r="CI6" s="5"/>
      <c r="CJ6" s="5"/>
      <c r="CK6" s="7" t="b">
        <v>0</v>
      </c>
      <c r="CL6" s="3"/>
      <c r="CM6" s="3"/>
      <c r="CN6" s="3"/>
      <c r="CO6" s="5"/>
      <c r="CP6" s="3"/>
      <c r="CQ6" s="3"/>
      <c r="CR6" s="4"/>
      <c r="CS6" s="5"/>
      <c r="CT6" s="3"/>
      <c r="CU6" s="3"/>
      <c r="CV6" s="3"/>
      <c r="CW6" s="3"/>
      <c r="CX6" s="3"/>
      <c r="CY6" s="3" t="s">
        <v>255</v>
      </c>
      <c r="CZ6" s="3" t="s">
        <v>256</v>
      </c>
      <c r="DA6" s="5"/>
      <c r="DB6" s="5"/>
      <c r="DC6" s="5"/>
      <c r="DD6" s="5">
        <v>37500</v>
      </c>
      <c r="DE6" s="5"/>
      <c r="DF6" s="5"/>
      <c r="DG6" s="5"/>
      <c r="DH6" s="3"/>
      <c r="DI6" s="5"/>
      <c r="DJ6" s="3" t="s">
        <v>38</v>
      </c>
      <c r="DK6" s="5"/>
      <c r="DL6" s="5"/>
      <c r="DM6" s="5">
        <v>1</v>
      </c>
      <c r="DN6" s="5">
        <v>0</v>
      </c>
      <c r="DO6" s="3" t="s">
        <v>257</v>
      </c>
      <c r="DP6" s="3" t="s">
        <v>244</v>
      </c>
      <c r="DQ6" s="3" t="s">
        <v>258</v>
      </c>
      <c r="DR6" s="3" t="s">
        <v>259</v>
      </c>
      <c r="DS6" s="3" t="s">
        <v>260</v>
      </c>
      <c r="DT6" s="3"/>
      <c r="DU6" s="3"/>
      <c r="DV6" s="3"/>
      <c r="DW6" s="5"/>
      <c r="DX6" s="5"/>
      <c r="DY6" s="3"/>
      <c r="DZ6" s="3"/>
      <c r="EA6" s="3"/>
      <c r="EB6" s="3"/>
      <c r="EC6" s="3"/>
      <c r="ED6" s="3" t="s">
        <v>248</v>
      </c>
      <c r="EE6" s="3" t="s">
        <v>40</v>
      </c>
      <c r="EF6" s="5"/>
      <c r="EG6" s="5"/>
      <c r="EH6" s="5"/>
      <c r="EI6" s="5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5"/>
      <c r="FE6" s="3"/>
      <c r="FF6" s="5"/>
      <c r="FG6" s="5"/>
      <c r="FH6" s="5">
        <v>2500</v>
      </c>
      <c r="FI6" s="3"/>
      <c r="FJ6" s="3"/>
      <c r="FK6" s="3"/>
      <c r="FL6" s="3"/>
      <c r="FM6" s="5"/>
      <c r="FN6" s="5"/>
      <c r="FO6" s="5"/>
      <c r="FP6" s="5"/>
      <c r="FQ6" s="5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  <row r="7" ht="25.5" spans="1:1026">
      <c r="A7" s="3"/>
      <c r="B7" s="4"/>
      <c r="C7" s="3" t="s">
        <v>37</v>
      </c>
      <c r="D7" s="5">
        <v>-35000</v>
      </c>
      <c r="E7" s="3" t="s">
        <v>43</v>
      </c>
      <c r="F7" s="3" t="s">
        <v>243</v>
      </c>
      <c r="G7" s="5">
        <v>1</v>
      </c>
      <c r="H7" s="3" t="s">
        <v>244</v>
      </c>
      <c r="I7" s="5"/>
      <c r="J7" s="5"/>
      <c r="K7" s="5"/>
      <c r="L7" s="5"/>
      <c r="M7" s="5"/>
      <c r="N7" s="5"/>
      <c r="O7" s="3"/>
      <c r="P7" s="3"/>
      <c r="Q7" s="5"/>
      <c r="R7" s="3"/>
      <c r="S7" s="3"/>
      <c r="T7" s="3" t="s">
        <v>245</v>
      </c>
      <c r="U7" s="3" t="s">
        <v>246</v>
      </c>
      <c r="V7" s="3" t="s">
        <v>247</v>
      </c>
      <c r="W7" s="3" t="s">
        <v>248</v>
      </c>
      <c r="X7" s="5">
        <v>1</v>
      </c>
      <c r="Y7" s="5">
        <v>1</v>
      </c>
      <c r="Z7" s="3"/>
      <c r="AA7" s="3"/>
      <c r="AB7" s="5">
        <v>0</v>
      </c>
      <c r="AC7" s="5"/>
      <c r="AD7" s="5"/>
      <c r="AE7" s="5"/>
      <c r="AF7" s="5"/>
      <c r="AG7" s="5"/>
      <c r="AH7" s="5"/>
      <c r="AI7" s="5"/>
      <c r="AJ7" s="5"/>
      <c r="AK7" s="5">
        <v>35000</v>
      </c>
      <c r="AL7" s="5">
        <v>1</v>
      </c>
      <c r="AM7" s="5">
        <v>1</v>
      </c>
      <c r="AN7" s="3" t="s">
        <v>41</v>
      </c>
      <c r="AO7" s="3"/>
      <c r="AP7" s="3" t="s">
        <v>244</v>
      </c>
      <c r="AQ7" s="3" t="s">
        <v>37</v>
      </c>
      <c r="AR7" s="5"/>
      <c r="AS7" s="5"/>
      <c r="AT7" s="3"/>
      <c r="AU7" s="3" t="s">
        <v>249</v>
      </c>
      <c r="AV7" s="5">
        <v>1</v>
      </c>
      <c r="AW7" s="5">
        <v>35000</v>
      </c>
      <c r="AX7" s="5"/>
      <c r="AY7" s="5"/>
      <c r="AZ7" s="5"/>
      <c r="BA7" s="5"/>
      <c r="BB7" s="5"/>
      <c r="BC7" s="5"/>
      <c r="BD7" s="5"/>
      <c r="BE7" s="3" t="s">
        <v>245</v>
      </c>
      <c r="BF7" s="3" t="s">
        <v>250</v>
      </c>
      <c r="BG7" s="3" t="s">
        <v>251</v>
      </c>
      <c r="BH7" s="3" t="s">
        <v>252</v>
      </c>
      <c r="BI7" s="3" t="s">
        <v>253</v>
      </c>
      <c r="BJ7" s="5"/>
      <c r="BK7" s="5"/>
      <c r="BL7" s="5"/>
      <c r="BM7" s="5"/>
      <c r="BN7" s="5"/>
      <c r="BO7" s="5">
        <v>35000</v>
      </c>
      <c r="BP7" s="5"/>
      <c r="BQ7" s="3"/>
      <c r="BR7" s="3" t="s">
        <v>254</v>
      </c>
      <c r="BS7" s="5"/>
      <c r="BT7" s="5"/>
      <c r="BU7" s="3" t="s">
        <v>245</v>
      </c>
      <c r="BV7" s="3"/>
      <c r="BW7" s="5"/>
      <c r="BX7" s="5"/>
      <c r="BY7" s="5"/>
      <c r="BZ7" s="5"/>
      <c r="CA7" s="5"/>
      <c r="CB7" s="4"/>
      <c r="CC7" s="5"/>
      <c r="CD7" s="5">
        <v>35000</v>
      </c>
      <c r="CE7" s="5"/>
      <c r="CF7" s="5"/>
      <c r="CG7" s="5">
        <v>35000</v>
      </c>
      <c r="CH7" s="5">
        <v>100</v>
      </c>
      <c r="CI7" s="5"/>
      <c r="CJ7" s="5"/>
      <c r="CK7" s="7" t="b">
        <v>0</v>
      </c>
      <c r="CL7" s="3"/>
      <c r="CM7" s="3"/>
      <c r="CN7" s="3"/>
      <c r="CO7" s="5"/>
      <c r="CP7" s="3"/>
      <c r="CQ7" s="3"/>
      <c r="CR7" s="4"/>
      <c r="CS7" s="5"/>
      <c r="CT7" s="3"/>
      <c r="CU7" s="3"/>
      <c r="CV7" s="3"/>
      <c r="CW7" s="3"/>
      <c r="CX7" s="3"/>
      <c r="CY7" s="3" t="s">
        <v>255</v>
      </c>
      <c r="CZ7" s="3" t="s">
        <v>256</v>
      </c>
      <c r="DA7" s="5"/>
      <c r="DB7" s="5"/>
      <c r="DC7" s="5"/>
      <c r="DD7" s="5">
        <v>-35000</v>
      </c>
      <c r="DE7" s="5"/>
      <c r="DF7" s="5"/>
      <c r="DG7" s="5"/>
      <c r="DH7" s="3"/>
      <c r="DI7" s="5"/>
      <c r="DJ7" s="3" t="s">
        <v>41</v>
      </c>
      <c r="DK7" s="5"/>
      <c r="DL7" s="5"/>
      <c r="DM7" s="5">
        <v>1</v>
      </c>
      <c r="DN7" s="5">
        <v>0</v>
      </c>
      <c r="DO7" s="3" t="s">
        <v>257</v>
      </c>
      <c r="DP7" s="3" t="s">
        <v>244</v>
      </c>
      <c r="DQ7" s="3" t="s">
        <v>258</v>
      </c>
      <c r="DR7" s="3" t="s">
        <v>259</v>
      </c>
      <c r="DS7" s="3" t="s">
        <v>260</v>
      </c>
      <c r="DT7" s="3"/>
      <c r="DU7" s="3"/>
      <c r="DV7" s="3"/>
      <c r="DW7" s="5"/>
      <c r="DX7" s="5"/>
      <c r="DY7" s="3"/>
      <c r="DZ7" s="3"/>
      <c r="EA7" s="3"/>
      <c r="EB7" s="3"/>
      <c r="EC7" s="3"/>
      <c r="ED7" s="3" t="s">
        <v>248</v>
      </c>
      <c r="EE7" s="3" t="s">
        <v>40</v>
      </c>
      <c r="EF7" s="5"/>
      <c r="EG7" s="5"/>
      <c r="EH7" s="5"/>
      <c r="EI7" s="5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5"/>
      <c r="FE7" s="3"/>
      <c r="FF7" s="5"/>
      <c r="FG7" s="5"/>
      <c r="FH7" s="5">
        <v>2500</v>
      </c>
      <c r="FI7" s="3"/>
      <c r="FJ7" s="3"/>
      <c r="FK7" s="3"/>
      <c r="FL7" s="3"/>
      <c r="FM7" s="5"/>
      <c r="FN7" s="5"/>
      <c r="FO7" s="5"/>
      <c r="FP7" s="5"/>
      <c r="FQ7" s="5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CustomOrderTT</vt:lpstr>
      <vt:lpstr>SetAutoGroupingPreferences</vt:lpstr>
      <vt:lpstr>SetAutoGroupingAccount</vt:lpstr>
      <vt:lpstr>SetAutoGroupingAccount1</vt:lpstr>
      <vt:lpstr>SetGeneralPreferences</vt:lpstr>
      <vt:lpstr>AcknowledgeTrade</vt:lpstr>
      <vt:lpstr>ExecuteTrade</vt:lpstr>
      <vt:lpstr>AcknowledgeTrade1</vt:lpstr>
      <vt:lpstr>ExecuteTrade1</vt:lpstr>
      <vt:lpstr>AcknowledgeTrade2</vt:lpstr>
      <vt:lpstr>ExecuteTrade2</vt:lpstr>
      <vt:lpstr>SelectUnallocatedGroup</vt:lpstr>
      <vt:lpstr>EnterAccountValuesToAllocate</vt:lpstr>
      <vt:lpstr>SelectAllocatedGroup</vt:lpstr>
      <vt:lpstr>ReviewExistingPositions</vt:lpstr>
      <vt:lpstr>CreateLiveOrder</vt:lpstr>
      <vt:lpstr>ReviewExistingPositions1</vt:lpstr>
      <vt:lpstr>CheckPortfolioManagement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2024-12-24T10:39:00Z</dcterms:created>
  <dcterms:modified xsi:type="dcterms:W3CDTF">2024-12-26T06:25:32Z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75EB116D7CBB4EEFB2C78B4D53C4240A_12</vt:lpwstr>
  </property>
  <property fmtid="{D5CDD505-2E9C-101B-9397-08002B2CF9AE}" pid="3" name="KSOProductBuildVer">
    <vt:lpwstr>1033-12.2.0.19307</vt:lpwstr>
  </property>
</Properties>
</file>