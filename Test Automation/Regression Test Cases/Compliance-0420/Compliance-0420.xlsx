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Alert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LoginClient" sheetId="9" r:id="rId11"/>
    <sheet state="visible" name="ApproveorRejectpendingapproval" sheetId="10" r:id="rId12"/>
    <sheet state="visible" name="SelectTrade" sheetId="11" r:id="rId13"/>
    <sheet state="visible" name="AcknowledgeTrade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SelectTradeOnOrderGrid3" sheetId="17" r:id="rId19"/>
    <sheet state="visible" name="RightClickAndClickOperations" sheetId="18" r:id="rId20"/>
    <sheet state="visible" name="CreateComplianceOrder2" sheetId="19" r:id="rId21"/>
    <sheet state="visible" name="VerifyComplianceOrder2" sheetId="20" r:id="rId22"/>
    <sheet state="visible" name="ApproveorRejectpendingapproval1" sheetId="21" r:id="rId23"/>
    <sheet state="visible" name="SelectTradeOnOrderGrid1" sheetId="22" r:id="rId24"/>
    <sheet state="visible" name="ReplaceSubOrder2" sheetId="23" r:id="rId25"/>
    <sheet state="visible" name="CreateComplianceOrder3" sheetId="24" r:id="rId26"/>
    <sheet state="visible" name="VerifyComplianceOrder3" sheetId="25" r:id="rId27"/>
    <sheet state="visible" name="SelectTradeOnOrderGrid2" sheetId="26" r:id="rId28"/>
    <sheet state="visible" name="ApproveorRejectpendingapproval2" sheetId="27" r:id="rId29"/>
  </sheets>
  <definedNames/>
  <calcPr/>
</workbook>
</file>

<file path=xl/sharedStrings.xml><?xml version="1.0" encoding="utf-8"?>
<sst xmlns="http://schemas.openxmlformats.org/spreadsheetml/2006/main" count="273" uniqueCount="60">
  <si>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</si>
  <si>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</si>
  <si>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</si>
  <si>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</si>
  <si>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</si>
  <si>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</si>
  <si>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</si>
  <si>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</si>
  <si>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</si>
  <si>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</si>
  <si>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</si>
  <si>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</si>
  <si>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</si>
  <si>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</si>
  <si>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</si>
  <si>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</si>
  <si>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</si>
  <si>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</si>
  <si>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SetComplianceAlert</t>
  </si>
  <si>
    <t>Compliance</t>
  </si>
  <si>
    <t>RestartReleasesAndServices</t>
  </si>
  <si>
    <t>No</t>
  </si>
  <si>
    <t>TradingTicket</t>
  </si>
  <si>
    <t>CreateComplianceOrder</t>
  </si>
  <si>
    <t>AAPL</t>
  </si>
  <si>
    <t>Buy</t>
  </si>
  <si>
    <t>Allocation1</t>
  </si>
  <si>
    <t>Send</t>
  </si>
  <si>
    <t>VerifyComplianceOrder</t>
  </si>
  <si>
    <t>Requires Approval</t>
  </si>
  <si>
    <t>Enter Summary</t>
  </si>
  <si>
    <t>quantity: 100.00, Symbol: AAPL</t>
  </si>
  <si>
    <t>Compliance Officer - Please Approve</t>
  </si>
  <si>
    <t>PranaClient</t>
  </si>
  <si>
    <t>LoginClient</t>
  </si>
  <si>
    <t>Support2</t>
  </si>
  <si>
    <t>Nirvana@1</t>
  </si>
  <si>
    <t>ApproveorRejectpendingapproval</t>
  </si>
  <si>
    <t>Single Trade</t>
  </si>
  <si>
    <t>GCCAP1</t>
  </si>
  <si>
    <t>DefaultNotes</t>
  </si>
  <si>
    <t>jpearce</t>
  </si>
  <si>
    <t>MS</t>
  </si>
  <si>
    <t>Pending Approval</t>
  </si>
  <si>
    <t>Approve</t>
  </si>
  <si>
    <t>Simulator</t>
  </si>
  <si>
    <t>SelectTrade</t>
  </si>
  <si>
    <t>AcknowledgeTrade</t>
  </si>
  <si>
    <t>Blotter</t>
  </si>
  <si>
    <t>SelectTradeOnOrderGrid</t>
  </si>
  <si>
    <t>ReplaceSubOrder</t>
  </si>
  <si>
    <t>Replace</t>
  </si>
  <si>
    <t>quantity: 120.00, Symbol: AAPL</t>
  </si>
  <si>
    <t>UnKnown</t>
  </si>
  <si>
    <t>RightClickAndClickOperations</t>
  </si>
  <si>
    <t>Trade (New Sub)</t>
  </si>
  <si>
    <t>OrderBlotterGrid</t>
  </si>
  <si>
    <t>DoneAway</t>
  </si>
  <si>
    <t>quantity: 101.00, Symbol: AAPL</t>
  </si>
  <si>
    <t>quantity: 20.00,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</si>
</sst>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6" t="b">
        <v>1</v>
      </c>
      <c r="E6" s="37" t="b">
        <v>1</v>
      </c>
      <c r="F6" s="37" t="b">
        <v>1</v>
      </c>
      <c r="G6" s="37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34">
        <v>100.0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27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39">
        <v>100.0</v>
      </c>
      <c r="H6" s="33" t="s">
        <v>31</v>
      </c>
      <c r="I6" s="33" t="s">
        <v>32</v>
      </c>
      <c r="J6" s="35"/>
      <c r="K6" s="33" t="s">
        <v>27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35</v>
      </c>
      <c r="C6" s="33" t="s">
        <v>36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24</v>
      </c>
      <c r="D6" s="32" t="s">
        <v>38</v>
      </c>
      <c r="E6" s="33" t="s">
        <v>39</v>
      </c>
      <c r="F6" s="35"/>
      <c r="G6" s="33" t="s">
        <v>40</v>
      </c>
      <c r="H6" s="35"/>
      <c r="I6" s="33" t="s">
        <v>41</v>
      </c>
      <c r="J6" s="39">
        <v>12.0</v>
      </c>
      <c r="K6" s="35"/>
      <c r="L6" s="39">
        <v>100.0</v>
      </c>
      <c r="M6" s="33" t="s">
        <v>42</v>
      </c>
      <c r="N6" s="33" t="s">
        <v>43</v>
      </c>
      <c r="O6" s="33" t="s">
        <v>25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25</v>
      </c>
      <c r="G6" s="33"/>
      <c r="H6" s="39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32" t="s">
        <v>24</v>
      </c>
      <c r="AK6" s="33" t="s">
        <v>25</v>
      </c>
      <c r="AL6" s="33"/>
      <c r="AM6" s="3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40">
        <v>120.0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41" t="s">
        <v>51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40">
        <v>120.0</v>
      </c>
      <c r="H6" s="42" t="s">
        <v>52</v>
      </c>
      <c r="I6" s="33" t="s">
        <v>32</v>
      </c>
      <c r="J6" s="35"/>
      <c r="K6" s="33" t="s">
        <v>27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25</v>
      </c>
      <c r="G6" s="33"/>
      <c r="H6" s="40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41">
        <v>120.0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IFERROR(__xludf.DUMMYFUNCTION("""COMPUTED_VALUE"""),"GridName")</f>
        <v>GridName</v>
      </c>
      <c r="D5" s="28" t="str">
        <f>IFERROR(__xludf.DUMMYFUNCTION("""COMPUTED_VALUE"""),"PopUpsParentNames")</f>
        <v>PopUpsParentNames</v>
      </c>
      <c r="E5" s="28" t="str">
        <f>IFERROR(__xludf.DUMMYFUNCTION("""COMPUTED_VALUE"""),"SecondaryActions")</f>
        <v>SecondaryActions</v>
      </c>
      <c r="F5" s="29" t="str">
        <f>IFERROR(__xludf.DUMMYFUNCTION("""COMPUTED_VALUE"""),"Popups Text(empty AutomationID)")</f>
        <v>Popups Text(empty AutomationID)</v>
      </c>
      <c r="G5" s="28" t="str">
        <f>IFERROR(__xludf.DUMMYFUNCTION("""COMPUTED_VALUE"""),"Expected Popups(AutomationID)")</f>
        <v>Expected Popups(AutomationID)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55</v>
      </c>
      <c r="C6" s="33" t="s">
        <v>56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RightClickAndClickOperations!$4:$4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34">
        <v>101.0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57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39">
        <v>101.0</v>
      </c>
      <c r="H6" s="33" t="s">
        <v>58</v>
      </c>
      <c r="I6" s="33" t="s">
        <v>32</v>
      </c>
      <c r="J6" s="35"/>
      <c r="K6" s="33" t="s">
        <v>27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24</v>
      </c>
      <c r="D6" s="32" t="s">
        <v>38</v>
      </c>
      <c r="E6" s="33" t="s">
        <v>39</v>
      </c>
      <c r="F6" s="35"/>
      <c r="G6" s="33" t="s">
        <v>40</v>
      </c>
      <c r="H6" s="35"/>
      <c r="I6" s="33" t="s">
        <v>41</v>
      </c>
      <c r="J6" s="39">
        <v>12.0</v>
      </c>
      <c r="K6" s="35"/>
      <c r="L6" s="40">
        <v>101.0</v>
      </c>
      <c r="M6" s="33" t="s">
        <v>42</v>
      </c>
      <c r="N6" s="33" t="s">
        <v>43</v>
      </c>
      <c r="O6" s="33" t="s">
        <v>25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2" t="s">
        <v>24</v>
      </c>
      <c r="E6" s="35"/>
      <c r="F6" s="33" t="s">
        <v>25</v>
      </c>
      <c r="G6" s="33"/>
      <c r="H6" s="39">
        <v>101.0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25</v>
      </c>
      <c r="AM6" s="9">
        <v>101.0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40">
        <v>121.0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41" t="s">
        <v>51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40">
        <v>20.0</v>
      </c>
      <c r="H6" s="42" t="s">
        <v>59</v>
      </c>
      <c r="I6" s="33" t="s">
        <v>32</v>
      </c>
      <c r="J6" s="35"/>
      <c r="K6" s="33" t="s">
        <v>27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24</v>
      </c>
      <c r="E6" s="38"/>
      <c r="F6" s="13" t="s">
        <v>25</v>
      </c>
      <c r="G6" s="8"/>
      <c r="H6" s="13">
        <v>101.0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24</v>
      </c>
      <c r="D6" s="32" t="s">
        <v>38</v>
      </c>
      <c r="E6" s="33" t="s">
        <v>39</v>
      </c>
      <c r="F6" s="35"/>
      <c r="G6" s="33" t="s">
        <v>40</v>
      </c>
      <c r="H6" s="35"/>
      <c r="I6" s="33" t="s">
        <v>41</v>
      </c>
      <c r="J6" s="39">
        <v>12.0</v>
      </c>
      <c r="K6" s="35"/>
      <c r="L6" s="40">
        <v>120.0</v>
      </c>
      <c r="M6" s="33" t="s">
        <v>42</v>
      </c>
      <c r="N6" s="33" t="s">
        <v>43</v>
      </c>
      <c r="O6" s="33" t="s">
        <v>25</v>
      </c>
      <c r="P6" s="35" t="s">
        <v>44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