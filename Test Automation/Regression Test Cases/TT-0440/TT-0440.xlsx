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GetDataAllocation" sheetId="5" r:id="rId7"/>
    <sheet state="visible" name="CheckAllocatedTaxlots" sheetId="6" r:id="rId8"/>
  </sheets>
  <definedNames/>
  <calcPr/>
</workbook>
</file>

<file path=xl/sharedStrings.xml><?xml version="1.0" encoding="utf-8"?>
<sst xmlns="http://schemas.openxmlformats.org/spreadsheetml/2006/main" count="48" uniqueCount="30">
  <si>
    <t>Modules Info</t>
  </si>
  <si>
    <t>Modules</t>
  </si>
  <si>
    <t>Settings</t>
  </si>
  <si>
    <t>Module Step Setting File</t>
  </si>
  <si>
    <t>1-a9RTtZFODC_0n05aHtOszVfQ5dKJ7YpSep0EGjlOR8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</si>
  <si>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</si>
  <si>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</si>
  <si>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</si>
  <si>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</si>
  <si>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</si>
  <si>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</si>
  <si>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</si>
  <si>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</si>
  <si>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</si>
  <si>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</si>
  <si>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</si>
  <si>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AAPL</t>
  </si>
  <si>
    <t>Buy</t>
  </si>
  <si>
    <t>Unallocated</t>
  </si>
  <si>
    <t>Allocation1,Allocation2</t>
  </si>
  <si>
    <t>50,50</t>
  </si>
  <si>
    <t>Allocation</t>
  </si>
  <si>
    <t>GetDataAllocation</t>
  </si>
  <si>
    <t>Current</t>
  </si>
  <si>
    <t>CheckAllocatedTaxlots</t>
  </si>
  <si>
    <t>M</t>
  </si>
  <si>
    <t>USD</t>
  </si>
  <si>
    <t>Allocation2</t>
  </si>
  <si>
    <t>Strategy Unallocated</t>
  </si>
  <si>
    <t>Allocation1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</si>
</sst>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5" numFmtId="0" xfId="0" applyAlignment="1" applyFont="1">
      <alignment readingOrder="0" shrinkToFit="0" wrapText="0"/>
    </xf>
    <xf borderId="0" fillId="0" fontId="5" numFmtId="14" xfId="0" applyAlignment="1" applyFont="1" applyNumberFormat="1">
      <alignment shrinkToFit="0" wrapText="0"/>
    </xf>
    <xf borderId="0" fillId="0" fontId="14" numFmtId="0" xfId="0" applyAlignment="1" applyFont="1">
      <alignment horizontal="right" readingOrder="0" shrinkToFit="0" vertical="bottom" wrapText="0"/>
    </xf>
    <xf borderId="0" fillId="0" fontId="14" numFmtId="0" xfId="0" applyAlignment="1" applyFont="1">
      <alignment readingOrder="0" shrinkToFit="0" vertical="bottom" wrapText="0"/>
    </xf>
    <xf borderId="0" fillId="0" fontId="14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IFERROR(__xludf.DUMMYFUNCTION("""COMPUTED_VALUE"""),"1dAW4zy24rTGIk36aETFXuQIiGMdIekN8xCbk-P0LmLA")</f>
        <v>1dAW4zy24rTGIk36aETFXuQIiGMdIekN8xCbk-P0LmLA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IFERROR(__xludf.DUMMYFUNCTION("""COMPUTED_VALUE"""),"17z9ihiMKD6gfUvZ9W-EjVcck7eLx5-pL1aGZINvM7DM")</f>
        <v>17z9ihiMKD6gfUvZ9W-EjVcck7eLx5-pL1aGZINvM7DM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IFERROR(__xludf.DUMMYFUNCTION("""COMPUTED_VALUE"""),"19Sn1yI9trlccQAGFXG-Y-afytOt_KfoVnPQzvl6XROo")</f>
        <v>19Sn1yI9trlccQAGFXG-Y-afytOt_KfoVnPQzvl6XROo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IFERROR(__xludf.DUMMYFUNCTION("""COMPUTED_VALUE"""),"1u6KqBelmQQ2oYAB3PeSwYS-Dl3oOd1Dhuag0CXdBdWI")</f>
        <v>1u6KqBelmQQ2oYAB3PeSwYS-Dl3oOd1Dhuag0CXdBdWI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IFERROR(__xludf.DUMMYFUNCTION("""COMPUTED_VALUE"""),"1XpPlMHrXIkdrEc4GgpL4YGWBTY6izs1MK6Jy7Z3jR-Q")</f>
        <v>1XpPlMHrXIkdrEc4GgpL4YGWBTY6izs1MK6Jy7Z3jR-Q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IFERROR(__xludf.DUMMYFUNCTION("""COMPUTED_VALUE"""),"1z5unUI4CMAB-Y1nnow1quueM3t3SDsE_5x7GoqlPJdo")</f>
        <v>1z5unUI4CMAB-Y1nnow1quueM3t3SDsE_5x7GoqlPJdo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IFERROR(__xludf.DUMMYFUNCTION("""COMPUTED_VALUE"""),"1UbkLLvFc4omZgamtV9FPjYfaLw9XLbjQYRKGGO3lyPE")</f>
        <v>1UbkLLvFc4omZgamtV9FPjYfaLw9XLbjQYRKGGO3lyPE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IFERROR(__xludf.DUMMYFUNCTION("""COMPUTED_VALUE"""),"1LK3f7jczHzLHkY7I_RK-58BnR45KNGpebn0hHO3eSgo")</f>
        <v>1LK3f7jczHzLHkY7I_RK-58BnR45KNGpebn0hHO3eSgo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IFERROR(__xludf.DUMMYFUNCTION("""COMPUTED_VALUE"""),"10ici7f6_wpSFiwpn22nHeSOFsZ1dU_pzk6nMLQKHIRY")</f>
        <v>10ici7f6_wpSFiwpn22nHeSOFsZ1dU_pzk6nMLQKHIRY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IFERROR(__xludf.DUMMYFUNCTION("""COMPUTED_VALUE"""),"1RA-PKK7Kzfl_fgl03zAC8sp1VOE9HjaY5EL7ItkPBK4")</f>
        <v>1RA-PKK7Kzfl_fgl03zAC8sp1VOE9HjaY5EL7ItkPBK4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IFERROR(__xludf.DUMMYFUNCTION("""COMPUTED_VALUE"""),"1jKDiJYpLWAfkSGRoeJ_liPC1ZaTdCTC5AqjDzj9I61Q")</f>
        <v>1jKDiJYpLWAfkSGRoeJ_liPC1ZaTdCTC5AqjDzj9I61Q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IFERROR(__xludf.DUMMYFUNCTION("""COMPUTED_VALUE"""),"15s_MBgGJ0dfZ8sabmSGlh8UnFHbnEhlY_4upAbjXzmg")</f>
        <v>15s_MBgGJ0dfZ8sabmSGlh8UnFHbnEhlY_4upAbjXzmg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IFERROR(__xludf.DUMMYFUNCTION("""COMPUTED_VALUE"""),"1TqhiATlN6jhyI-VeiodnGdVQyLGZiu97o5NWbxOWr9s")</f>
        <v>1TqhiATlN6jhyI-VeiodnGdVQyLGZiu97o5NWbxOWr9s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IFERROR(__xludf.DUMMYFUNCTION("""COMPUTED_VALUE"""),"1dPK0Rp0k7gPTdi7pAXxULvjivbVrTViWALmSew6wF-0")</f>
        <v>1dPK0Rp0k7gPTdi7pAXxULvjivbVrTViWALmSew6wF-0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IFERROR(__xludf.DUMMYFUNCTION("""COMPUTED_VALUE"""),"178NOc-LsqpjkyVkksd_XD-EQcokXBH-1NEzm5ceoSAk")</f>
        <v>178NOc-LsqpjkyVkksd_XD-EQcokXBH-1NEzm5ceoSAk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IFERROR(__xludf.DUMMYFUNCTION("""COMPUTED_VALUE"""),"1Vv-FRtdz-znMa6eWfAZqSH3k0FWRSgYKVdL6W0eCjF8")</f>
        <v>1Vv-FRtdz-znMa6eWfAZqSH3k0FWRSgYKVdL6W0eCjF8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17</v>
      </c>
      <c r="D6" s="13">
        <v>100.0</v>
      </c>
      <c r="E6" s="31"/>
      <c r="F6" s="13" t="s">
        <v>18</v>
      </c>
      <c r="G6" s="8"/>
      <c r="H6" s="8"/>
      <c r="I6" s="8"/>
      <c r="J6" s="13">
        <v>1.0</v>
      </c>
      <c r="K6" s="8"/>
      <c r="L6" s="8"/>
      <c r="M6" s="8"/>
      <c r="N6" s="32">
        <f>Today()-1</f>
        <v>45064</v>
      </c>
      <c r="O6" s="8"/>
    </row>
    <row r="7" ht="15.75" customHeight="1">
      <c r="A7" s="13"/>
      <c r="B7" s="13" t="s">
        <v>16</v>
      </c>
      <c r="C7" s="13" t="s">
        <v>17</v>
      </c>
      <c r="D7" s="13">
        <v>200.0</v>
      </c>
      <c r="E7" s="31"/>
      <c r="F7" s="13"/>
      <c r="G7" s="8"/>
      <c r="H7" s="8"/>
      <c r="I7" s="8"/>
      <c r="J7" s="13">
        <v>1.0</v>
      </c>
      <c r="K7" s="8"/>
      <c r="L7" s="8"/>
      <c r="M7" s="8"/>
      <c r="N7" s="32">
        <f>Today()</f>
        <v>45065</v>
      </c>
      <c r="O7" s="8"/>
      <c r="AK7" s="9" t="s">
        <v>19</v>
      </c>
      <c r="AL7" s="9" t="s">
        <v>20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23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GetDataAllocation!$4:$4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IFERROR(__xludf.DUMMYFUNCTION("""COMPUTED_VALUE"""),"Net Amount(Local)")</f>
        <v>Net Amount(Local)</v>
      </c>
      <c r="C5" s="28" t="str">
        <f>IFERROR(__xludf.DUMMYFUNCTION("""COMPUTED_VALUE"""),"Net Amount(Base)")</f>
        <v>Net Amount(Base)</v>
      </c>
      <c r="D5" s="28" t="str">
        <f>IFERROR(__xludf.DUMMYFUNCTION("""COMPUTED_VALUE"""),"Principal Amount(Local)")</f>
        <v>Principal Amount(Local)</v>
      </c>
      <c r="E5" s="28" t="str">
        <f>IFERROR(__xludf.DUMMYFUNCTION("""COMPUTED_VALUE"""),"Principal Amount(Base)")</f>
        <v>Principal Amount(Base)</v>
      </c>
      <c r="F5" s="29" t="str">
        <f>IFERROR(__xludf.DUMMYFUNCTION("""COMPUTED_VALUE"""),"FX Conversion Operator")</f>
        <v>FX Conversion Operator</v>
      </c>
      <c r="G5" s="28" t="str">
        <f>IFERROR(__xludf.DUMMYFUNCTION("""COMPUTED_VALUE"""),"TaxLotID")</f>
        <v>TaxLotID</v>
      </c>
      <c r="H5" s="28" t="str">
        <f>IFERROR(__xludf.DUMMYFUNCTION("""COMPUTED_VALUE"""),"Settlement Currency")</f>
        <v>Settlement Currency</v>
      </c>
      <c r="I5" s="28" t="str">
        <f>IFERROR(__xludf.DUMMYFUNCTION("""COMPUTED_VALUE"""),"Trade Attribute 1")</f>
        <v>Trade Attribute 1</v>
      </c>
      <c r="J5" s="28" t="str">
        <f>IFERROR(__xludf.DUMMYFUNCTION("""COMPUTED_VALUE"""),"Trade Attribute 2")</f>
        <v>Trade Attribute 2</v>
      </c>
      <c r="K5" s="28" t="str">
        <f>IFERROR(__xludf.DUMMYFUNCTION("""COMPUTED_VALUE"""),"Trade Attribute 3")</f>
        <v>Trade Attribute 3</v>
      </c>
      <c r="L5" s="28" t="str">
        <f>IFERROR(__xludf.DUMMYFUNCTION("""COMPUTED_VALUE"""),"Trade Attribute 4")</f>
        <v>Trade Attribute 4</v>
      </c>
      <c r="M5" s="28" t="str">
        <f>IFERROR(__xludf.DUMMYFUNCTION("""COMPUTED_VALUE"""),"Trade Attribute 5")</f>
        <v>Trade Attribute 5</v>
      </c>
      <c r="N5" s="28" t="str">
        <f>IFERROR(__xludf.DUMMYFUNCTION("""COMPUTED_VALUE"""),"Trade Attribute 6")</f>
        <v>Trade Attribute 6</v>
      </c>
      <c r="O5" s="28" t="str">
        <f>IFERROR(__xludf.DUMMYFUNCTION("""COMPUTED_VALUE"""),"Account Name")</f>
        <v>Account Name</v>
      </c>
      <c r="P5" s="28" t="str">
        <f>IFERROR(__xludf.DUMMYFUNCTION("""COMPUTED_VALUE"""),"Strategy Name")</f>
        <v>Strategy Name</v>
      </c>
      <c r="Q5" s="28" t="str">
        <f>IFERROR(__xludf.DUMMYFUNCTION("""COMPUTED_VALUE"""),"Percentage")</f>
        <v>Percentage</v>
      </c>
      <c r="R5" s="28" t="str">
        <f>IFERROR(__xludf.DUMMYFUNCTION("""COMPUTED_VALUE"""),"Taxlot Qty")</f>
        <v>Taxlot Qty</v>
      </c>
      <c r="S5" s="28" t="str">
        <f>IFERROR(__xludf.DUMMYFUNCTION("""COMPUTED_VALUE"""),"Commission")</f>
        <v>Commission</v>
      </c>
      <c r="T5" s="30" t="str">
        <f>IFERROR(__xludf.DUMMYFUNCTION("""COMPUTED_VALUE"""),"Soft Commission")</f>
        <v>Soft Commission</v>
      </c>
      <c r="U5" s="30" t="str">
        <f>IFERROR(__xludf.DUMMYFUNCTION("""COMPUTED_VALUE"""),"Other Broker Fees")</f>
        <v>Other Broker Fees</v>
      </c>
      <c r="V5" s="30" t="str">
        <f>IFERROR(__xludf.DUMMYFUNCTION("""COMPUTED_VALUE"""),"Clearing Broker Fees")</f>
        <v>Clearing Broker Fees</v>
      </c>
      <c r="W5" s="30" t="str">
        <f>IFERROR(__xludf.DUMMYFUNCTION("""COMPUTED_VALUE"""),"Stamp Duty")</f>
        <v>Stamp Duty</v>
      </c>
      <c r="X5" s="30" t="str">
        <f>IFERROR(__xludf.DUMMYFUNCTION("""COMPUTED_VALUE"""),"Transaction Levy")</f>
        <v>Transaction Levy</v>
      </c>
      <c r="Y5" s="30" t="str">
        <f>IFERROR(__xludf.DUMMYFUNCTION("""COMPUTED_VALUE"""),"AUEC Fee1")</f>
        <v>AUEC Fee1</v>
      </c>
      <c r="Z5" s="30" t="str">
        <f>IFERROR(__xludf.DUMMYFUNCTION("""COMPUTED_VALUE"""),"Tax On Commissions")</f>
        <v>Tax On Commissions</v>
      </c>
      <c r="AA5" s="30" t="str">
        <f>IFERROR(__xludf.DUMMYFUNCTION("""COMPUTED_VALUE"""),"AUEC Fee2")</f>
        <v>AUEC Fee2</v>
      </c>
      <c r="AB5" s="30" t="str">
        <f>IFERROR(__xludf.DUMMYFUNCTION("""COMPUTED_VALUE"""),"SEC Fee")</f>
        <v>SEC Fee</v>
      </c>
      <c r="AC5" s="30" t="str">
        <f>IFERROR(__xludf.DUMMYFUNCTION("""COMPUTED_VALUE"""),"OCC Fee")</f>
        <v>OCC Fee</v>
      </c>
      <c r="AD5" s="30" t="str">
        <f>IFERROR(__xludf.DUMMYFUNCTION("""COMPUTED_VALUE"""),"ORF Fee")</f>
        <v>ORF Fee</v>
      </c>
      <c r="AE5" s="30" t="str">
        <f>IFERROR(__xludf.DUMMYFUNCTION("""COMPUTED_VALUE"""),"Option Premium Adjustment")</f>
        <v>Option Premium Adjustment</v>
      </c>
      <c r="AF5" s="30" t="str">
        <f>IFERROR(__xludf.DUMMYFUNCTION("""COMPUTED_VALUE"""),"Closing Status")</f>
        <v>Closing Status</v>
      </c>
      <c r="AG5" s="30" t="str">
        <f>IFERROR(__xludf.DUMMYFUNCTION("""COMPUTED_VALUE"""),"External Transaction ID")</f>
        <v>External Transaction ID</v>
      </c>
      <c r="AH5" s="30" t="str">
        <f>IFERROR(__xludf.DUMMYFUNCTION("""COMPUTED_VALUE"""),"Lot ID")</f>
        <v>Lot ID</v>
      </c>
      <c r="AI5" s="30" t="str">
        <f>IFERROR(__xludf.DUMMYFUNCTION("""COMPUTED_VALUE"""),"AvgPriceBase")</f>
        <v>AvgPriceBase</v>
      </c>
      <c r="AJ5" s="30" t="str">
        <f>IFERROR(__xludf.DUMMYFUNCTION("""COMPUTED_VALUE"""),"Accrued Interest")</f>
        <v>Accrued Interest</v>
      </c>
      <c r="AK5" s="30" t="str">
        <f>IFERROR(__xludf.DUMMYFUNCTION("""COMPUTED_VALUE"""),"FXRate")</f>
        <v>FXRate</v>
      </c>
      <c r="AL5" s="30" t="str">
        <f>IFERROR(__xludf.DUMMYFUNCTION("""COMPUTED_VALUE"""),"Change Type")</f>
        <v>Change Type</v>
      </c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3">
        <v>107.00005</v>
      </c>
      <c r="C6" s="33">
        <v>107.00005</v>
      </c>
      <c r="D6" s="33">
        <v>100.0</v>
      </c>
      <c r="E6" s="33">
        <v>100.0</v>
      </c>
      <c r="F6" s="34" t="s">
        <v>25</v>
      </c>
      <c r="G6" s="8"/>
      <c r="H6" s="34" t="s">
        <v>26</v>
      </c>
      <c r="I6" s="8"/>
      <c r="J6" s="8"/>
      <c r="K6" s="8"/>
      <c r="L6" s="8"/>
      <c r="M6" s="8"/>
      <c r="N6" s="8"/>
      <c r="O6" s="34" t="s">
        <v>27</v>
      </c>
      <c r="P6" s="34" t="s">
        <v>28</v>
      </c>
      <c r="Q6" s="33">
        <v>50.0</v>
      </c>
      <c r="R6" s="33">
        <v>100.0</v>
      </c>
      <c r="AI6" s="33">
        <v>1.0</v>
      </c>
      <c r="AJ6" s="33"/>
      <c r="AK6" s="33">
        <v>1.0</v>
      </c>
      <c r="AL6" s="33">
        <v>3.0</v>
      </c>
    </row>
    <row r="7" ht="15.75" customHeight="1">
      <c r="A7" s="8"/>
      <c r="B7" s="33">
        <v>107.00005</v>
      </c>
      <c r="C7" s="33">
        <v>107.00005</v>
      </c>
      <c r="D7" s="33">
        <v>100.0</v>
      </c>
      <c r="E7" s="33">
        <v>100.0</v>
      </c>
      <c r="F7" s="34" t="s">
        <v>25</v>
      </c>
      <c r="G7" s="8"/>
      <c r="H7" s="34" t="s">
        <v>26</v>
      </c>
      <c r="I7" s="8"/>
      <c r="J7" s="8"/>
      <c r="K7" s="8"/>
      <c r="L7" s="8"/>
      <c r="M7" s="8"/>
      <c r="N7" s="8"/>
      <c r="O7" s="34" t="s">
        <v>29</v>
      </c>
      <c r="P7" s="34" t="s">
        <v>28</v>
      </c>
      <c r="Q7" s="33">
        <v>50.0</v>
      </c>
      <c r="R7" s="33">
        <v>100.0</v>
      </c>
      <c r="AI7" s="33">
        <v>1.0</v>
      </c>
      <c r="AJ7" s="33"/>
      <c r="AK7" s="33">
        <v>1.0</v>
      </c>
      <c r="AL7" s="33">
        <v>3.0</v>
      </c>
    </row>
    <row r="8" ht="15.75" customHeight="1">
      <c r="A8" s="8"/>
      <c r="B8" s="8"/>
      <c r="C8" s="8"/>
      <c r="D8" s="8"/>
      <c r="E8" s="8"/>
      <c r="F8" s="8"/>
      <c r="G8" s="8"/>
      <c r="H8" s="35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CheckAllocatedTaxlots!$4:$4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