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SelectTradeOnOrderGrid" sheetId="9" r:id="rId11"/>
    <sheet state="visible" name="ReplaceSubOrder" sheetId="10" r:id="rId12"/>
    <sheet state="visible" name="SelectTradeOnOrderGrid1" sheetId="11" r:id="rId13"/>
    <sheet state="visible" name="ReplaceSubOrder1" sheetId="12" r:id="rId14"/>
    <sheet state="visible" name="TransferToUserOrder" sheetId="13" r:id="rId15"/>
    <sheet state="visible" name="TransferToUserOrder2" sheetId="14" r:id="rId16"/>
    <sheet state="visible" name="ExecuteTrade" sheetId="15" r:id="rId17"/>
    <sheet state="visible" name="CustomOrderTT2" sheetId="16" r:id="rId18"/>
    <sheet state="visible" name="CustomOrderTT3" sheetId="17" r:id="rId19"/>
    <sheet state="visible" name="CustomOrderTT4" sheetId="18" r:id="rId20"/>
    <sheet state="visible" name="CustomOrderTT5" sheetId="19" r:id="rId21"/>
    <sheet state="visible" name="VerifyOrder" sheetId="20" r:id="rId22"/>
    <sheet state="visible" name="CheckAllocatedGroups" sheetId="21" r:id="rId23"/>
    <sheet state="visible" name="CheckAllocatedTaxlots" sheetId="22" r:id="rId24"/>
  </sheets>
  <definedNames/>
  <calcPr/>
</workbook>
</file>

<file path=xl/sharedStrings.xml><?xml version="1.0" encoding="utf-8"?>
<sst xmlns="http://schemas.openxmlformats.org/spreadsheetml/2006/main" count="692" uniqueCount="64">
  <si>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</si>
  <si>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</si>
  <si>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</si>
  <si>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</si>
  <si>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</si>
  <si>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</si>
  <si>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</si>
  <si>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</si>
  <si>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</si>
  <si>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</si>
  <si>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</si>
  <si>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</si>
  <si>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</si>
  <si>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</si>
  <si>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</si>
  <si>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</si>
  <si>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ASX</t>
  </si>
  <si>
    <t>Send</t>
  </si>
  <si>
    <t>Buy</t>
  </si>
  <si>
    <t>Good Till Date</t>
  </si>
  <si>
    <t>Limit</t>
  </si>
  <si>
    <t>GTC</t>
  </si>
  <si>
    <t>Simulator</t>
  </si>
  <si>
    <t>SelectTrade</t>
  </si>
  <si>
    <t>AcknowledgeTrade</t>
  </si>
  <si>
    <t>Blotter</t>
  </si>
  <si>
    <t>SelectTradeOnOrderGrid</t>
  </si>
  <si>
    <t>ReplaceSubOrder</t>
  </si>
  <si>
    <t>TransferToUserOrder</t>
  </si>
  <si>
    <t>jgulbrandsen</t>
  </si>
  <si>
    <t>Yes</t>
  </si>
  <si>
    <t>abhi</t>
  </si>
  <si>
    <t>ExecuteTrade</t>
  </si>
  <si>
    <t>Replace</t>
  </si>
  <si>
    <t>VerifyOrder</t>
  </si>
  <si>
    <t/>
  </si>
  <si>
    <t>ASX US EQUITY</t>
  </si>
  <si>
    <t>NASDAQ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</si>
  <si>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</si>
  <si>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</si>
  <si>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</si>
  <si>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</si>
  <si>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</si>
  <si>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</si>
  <si>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</si>
  <si>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</si>
  <si>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PartiallyFilled</t>
  </si>
  <si>
    <t>MS</t>
  </si>
  <si>
    <t>Allocation1</t>
  </si>
  <si>
    <t>Manual</t>
  </si>
  <si>
    <t>jpearce</t>
  </si>
  <si>
    <t>Allocation</t>
  </si>
  <si>
    <t>CheckAllocatedGroups</t>
  </si>
  <si>
    <t>Actual_365</t>
  </si>
  <si>
    <t>Treasury</t>
  </si>
  <si>
    <t>Open</t>
  </si>
  <si>
    <t>ADV SEMICND SP.ADR</t>
  </si>
  <si>
    <t>00756M404</t>
  </si>
  <si>
    <t>NYSE</t>
  </si>
  <si>
    <t>None</t>
  </si>
  <si>
    <t>US00756M4042</t>
  </si>
  <si>
    <t>InternalOrder</t>
  </si>
  <si>
    <t>Strategy Unallocated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</si>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</sst>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3" t="s">
        <v>20</v>
      </c>
      <c r="W6" s="35"/>
      <c r="X6" s="36">
        <v>100.0</v>
      </c>
      <c r="Y6" s="37">
        <f>TODAY()+1</f>
        <v>45454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16</v>
      </c>
      <c r="C7" s="32">
        <v>1001.0</v>
      </c>
      <c r="D7" s="33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21</v>
      </c>
      <c r="V7" s="33" t="s">
        <v>20</v>
      </c>
      <c r="W7" s="35"/>
      <c r="X7" s="36">
        <v>100.0</v>
      </c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4" t="s">
        <v>16</v>
      </c>
      <c r="D6" s="30"/>
      <c r="E6" s="35"/>
      <c r="F6" s="35"/>
      <c r="G6" s="32">
        <v>1000.0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4" t="s">
        <v>16</v>
      </c>
      <c r="D6" s="30"/>
      <c r="E6" s="35"/>
      <c r="F6" s="35"/>
      <c r="G6" s="32">
        <v>1000.0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4" t="s">
        <v>16</v>
      </c>
      <c r="D6" s="30"/>
      <c r="E6" s="35"/>
      <c r="F6" s="35"/>
      <c r="G6" s="38">
        <v>1001.0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4" t="s">
        <v>16</v>
      </c>
      <c r="D6" s="30"/>
      <c r="E6" s="35"/>
      <c r="F6" s="35"/>
      <c r="G6" s="38">
        <v>1001.0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1" t="s">
        <v>16</v>
      </c>
      <c r="E6" s="35"/>
      <c r="F6" s="34" t="s">
        <v>18</v>
      </c>
      <c r="G6" s="35"/>
      <c r="H6" s="32">
        <v>1000.0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16</v>
      </c>
      <c r="AK6" s="35" t="s">
        <v>18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1" t="s">
        <v>16</v>
      </c>
      <c r="E6" s="35"/>
      <c r="F6" s="34" t="s">
        <v>18</v>
      </c>
      <c r="G6" s="35"/>
      <c r="H6" s="32">
        <v>1001.0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16</v>
      </c>
      <c r="AK6" s="35" t="s">
        <v>18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18</v>
      </c>
      <c r="AK6" s="35"/>
      <c r="AL6" s="39">
        <v>1000.0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29</v>
      </c>
      <c r="AY6" s="35"/>
      <c r="AZ6" s="35" t="s">
        <v>30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16</v>
      </c>
      <c r="AJ7" s="35" t="s">
        <v>18</v>
      </c>
      <c r="AK7" s="35"/>
      <c r="AL7" s="39">
        <v>1001.0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 t="s">
        <v>29</v>
      </c>
      <c r="AY7" s="35"/>
      <c r="AZ7" s="35" t="s">
        <v>30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18</v>
      </c>
      <c r="AK6" s="35"/>
      <c r="AL6" s="39">
        <v>1000.0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3" t="s">
        <v>31</v>
      </c>
      <c r="AY6" s="35"/>
      <c r="AZ6" s="35" t="s">
        <v>30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16</v>
      </c>
      <c r="AJ7" s="35" t="s">
        <v>18</v>
      </c>
      <c r="AK7" s="35"/>
      <c r="AL7" s="39">
        <v>1001.0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3" t="s">
        <v>31</v>
      </c>
      <c r="AY7" s="35"/>
      <c r="AZ7" s="35" t="s">
        <v>30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>
        <v>12.0</v>
      </c>
      <c r="C6" s="32">
        <v>250.0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>
        <v>1000.0</v>
      </c>
      <c r="D6" s="33">
        <v>100.0</v>
      </c>
      <c r="E6" s="41" t="s">
        <v>33</v>
      </c>
      <c r="F6" s="35"/>
      <c r="G6" s="35"/>
      <c r="H6" s="35"/>
      <c r="I6" s="35"/>
      <c r="J6" s="34"/>
      <c r="K6" s="35"/>
      <c r="L6" s="35"/>
      <c r="M6" s="35"/>
      <c r="N6" s="35"/>
      <c r="O6" s="35"/>
      <c r="P6" s="35"/>
      <c r="Q6" s="35"/>
      <c r="R6" s="35"/>
      <c r="S6" s="35"/>
      <c r="T6" s="35"/>
      <c r="U6" s="33" t="s">
        <v>21</v>
      </c>
      <c r="V6" s="33" t="s">
        <v>20</v>
      </c>
      <c r="W6" s="35"/>
      <c r="X6" s="36">
        <v>100.0</v>
      </c>
      <c r="Y6" s="37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>
        <v>1001.0</v>
      </c>
      <c r="D6" s="33">
        <v>100.0</v>
      </c>
      <c r="E6" s="41" t="s">
        <v>33</v>
      </c>
      <c r="F6" s="35"/>
      <c r="G6" s="35"/>
      <c r="H6" s="35"/>
      <c r="I6" s="35"/>
      <c r="J6" s="34"/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3" t="s">
        <v>20</v>
      </c>
      <c r="W6" s="35"/>
      <c r="X6" s="36">
        <v>100.0</v>
      </c>
      <c r="Y6" s="37">
        <f>TODAY()+3</f>
        <v>45456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>
        <v>1000.0</v>
      </c>
      <c r="D6" s="33">
        <v>100.0</v>
      </c>
      <c r="E6" s="41" t="s">
        <v>33</v>
      </c>
      <c r="F6" s="35"/>
      <c r="G6" s="35"/>
      <c r="H6" s="35"/>
      <c r="I6" s="35"/>
      <c r="J6" s="34"/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3" t="s">
        <v>20</v>
      </c>
      <c r="W6" s="35"/>
      <c r="X6" s="36">
        <v>100.0</v>
      </c>
      <c r="Y6" s="37">
        <f>TODAY()+3</f>
        <v>45456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>
        <v>1001.0</v>
      </c>
      <c r="D6" s="33">
        <v>100.0</v>
      </c>
      <c r="E6" s="41" t="s">
        <v>33</v>
      </c>
      <c r="F6" s="35"/>
      <c r="G6" s="35"/>
      <c r="H6" s="35"/>
      <c r="I6" s="35"/>
      <c r="J6" s="34"/>
      <c r="K6" s="35"/>
      <c r="L6" s="35"/>
      <c r="M6" s="35"/>
      <c r="N6" s="35"/>
      <c r="O6" s="35"/>
      <c r="P6" s="35"/>
      <c r="Q6" s="35"/>
      <c r="R6" s="35"/>
      <c r="S6" s="35"/>
      <c r="T6" s="35"/>
      <c r="U6" s="33" t="s">
        <v>21</v>
      </c>
      <c r="V6" s="33" t="s">
        <v>20</v>
      </c>
      <c r="W6" s="35"/>
      <c r="X6" s="36">
        <v>100.0</v>
      </c>
      <c r="Y6" s="37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35</v>
      </c>
      <c r="B6" s="42"/>
      <c r="C6" s="8"/>
      <c r="D6" s="42">
        <v>12.0</v>
      </c>
      <c r="E6" s="8" t="s">
        <v>36</v>
      </c>
      <c r="F6" s="8">
        <v>100.0</v>
      </c>
      <c r="G6" s="8">
        <v>750.0</v>
      </c>
      <c r="H6" s="8" t="s">
        <v>37</v>
      </c>
      <c r="I6" s="8" t="s">
        <v>31</v>
      </c>
      <c r="J6" s="8" t="s">
        <v>16</v>
      </c>
      <c r="K6" s="8" t="s">
        <v>38</v>
      </c>
      <c r="L6" s="8" t="s">
        <v>39</v>
      </c>
      <c r="M6" s="8"/>
      <c r="N6" s="8"/>
      <c r="O6" s="8"/>
      <c r="U6" t="s">
        <v>40</v>
      </c>
      <c r="V6" t="s">
        <v>41</v>
      </c>
      <c r="AA6" t="s">
        <v>42</v>
      </c>
      <c r="AB6">
        <v>250.0</v>
      </c>
      <c r="AC6" t="s">
        <v>43</v>
      </c>
      <c r="AD6">
        <v>1.0</v>
      </c>
      <c r="AF6" t="s">
        <v>44</v>
      </c>
      <c r="AH6" t="s">
        <v>45</v>
      </c>
      <c r="AI6" t="s">
        <v>16</v>
      </c>
      <c r="AJ6" t="s">
        <v>18</v>
      </c>
      <c r="AK6" t="s">
        <v>46</v>
      </c>
      <c r="AL6">
        <v>1000.0</v>
      </c>
      <c r="AM6">
        <v>250.0</v>
      </c>
      <c r="AQ6">
        <v>12.0</v>
      </c>
      <c r="AR6">
        <v>12.0</v>
      </c>
      <c r="AS6" t="s">
        <v>47</v>
      </c>
      <c r="AT6" t="s">
        <v>48</v>
      </c>
      <c r="AU6" t="s">
        <v>20</v>
      </c>
      <c r="AV6">
        <v>3000.0</v>
      </c>
      <c r="AW6">
        <v>3000.0</v>
      </c>
      <c r="AX6" t="s">
        <v>49</v>
      </c>
      <c r="AY6" t="s">
        <v>35</v>
      </c>
      <c r="AZ6">
        <v>750.0</v>
      </c>
      <c r="BA6" t="s">
        <v>50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12</v>
      </c>
      <c r="BH6" t="s">
        <v>19</v>
      </c>
      <c r="BK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35</v>
      </c>
      <c r="B7" s="8"/>
      <c r="C7" s="8"/>
      <c r="D7" s="8">
        <v>12.0</v>
      </c>
      <c r="E7" s="8" t="s">
        <v>36</v>
      </c>
      <c r="F7" s="8">
        <v>100.0</v>
      </c>
      <c r="G7" s="8">
        <v>751.0</v>
      </c>
      <c r="H7" s="8" t="s">
        <v>37</v>
      </c>
      <c r="I7" s="8" t="s">
        <v>31</v>
      </c>
      <c r="J7" s="8" t="s">
        <v>16</v>
      </c>
      <c r="K7" s="8" t="s">
        <v>38</v>
      </c>
      <c r="L7" s="8" t="s">
        <v>39</v>
      </c>
      <c r="M7" s="8"/>
      <c r="N7" s="8"/>
      <c r="O7" s="8"/>
      <c r="U7" t="s">
        <v>40</v>
      </c>
      <c r="V7" t="s">
        <v>41</v>
      </c>
      <c r="AA7" t="s">
        <v>42</v>
      </c>
      <c r="AB7">
        <v>250.0</v>
      </c>
      <c r="AC7" t="s">
        <v>43</v>
      </c>
      <c r="AD7">
        <v>1.0</v>
      </c>
      <c r="AF7" t="s">
        <v>44</v>
      </c>
      <c r="AH7" t="s">
        <v>45</v>
      </c>
      <c r="AI7" t="s">
        <v>16</v>
      </c>
      <c r="AJ7" t="s">
        <v>18</v>
      </c>
      <c r="AK7" t="s">
        <v>46</v>
      </c>
      <c r="AL7">
        <v>1001.0</v>
      </c>
      <c r="AM7">
        <v>250.0</v>
      </c>
      <c r="AQ7">
        <v>12.0</v>
      </c>
      <c r="AR7">
        <v>12.0</v>
      </c>
      <c r="AS7" t="s">
        <v>47</v>
      </c>
      <c r="AT7" t="s">
        <v>48</v>
      </c>
      <c r="AU7" t="s">
        <v>20</v>
      </c>
      <c r="AV7">
        <v>3000.0</v>
      </c>
      <c r="AW7">
        <v>3000.0</v>
      </c>
      <c r="AX7" t="s">
        <v>49</v>
      </c>
      <c r="AY7" t="s">
        <v>35</v>
      </c>
      <c r="AZ7">
        <v>751.0</v>
      </c>
      <c r="BA7" t="s">
        <v>50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G7" t="s">
        <v>12</v>
      </c>
      <c r="BH7" t="s">
        <v>21</v>
      </c>
      <c r="BK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35</v>
      </c>
      <c r="B6" s="42" t="s">
        <v>48</v>
      </c>
      <c r="C6" s="8" t="s">
        <v>53</v>
      </c>
      <c r="D6" s="42"/>
      <c r="E6" s="8">
        <v>250.0</v>
      </c>
      <c r="F6" s="8" t="s">
        <v>49</v>
      </c>
      <c r="G6" s="8" t="s">
        <v>45</v>
      </c>
      <c r="H6" s="8">
        <v>27.0</v>
      </c>
      <c r="I6" s="8"/>
      <c r="J6" s="8">
        <v>15.0</v>
      </c>
      <c r="K6" s="8">
        <v>12.0</v>
      </c>
      <c r="L6" s="8">
        <v>12.0</v>
      </c>
      <c r="M6" s="8" t="s">
        <v>36</v>
      </c>
      <c r="N6" s="8" t="s">
        <v>54</v>
      </c>
      <c r="O6" s="8" t="s">
        <v>47</v>
      </c>
      <c r="Q6">
        <v>3.0</v>
      </c>
      <c r="R6">
        <v>0.0</v>
      </c>
      <c r="S6" t="s">
        <v>55</v>
      </c>
      <c r="T6">
        <v>0.0</v>
      </c>
      <c r="U6">
        <v>0.0</v>
      </c>
      <c r="V6" t="s">
        <v>56</v>
      </c>
      <c r="W6">
        <v>1.0</v>
      </c>
      <c r="X6">
        <v>0.0</v>
      </c>
      <c r="Y6" t="s">
        <v>35</v>
      </c>
      <c r="Z6" t="s">
        <v>40</v>
      </c>
      <c r="AA6" t="s">
        <v>57</v>
      </c>
      <c r="AB6">
        <v>1.0</v>
      </c>
      <c r="AD6" t="s">
        <v>58</v>
      </c>
      <c r="AE6">
        <v>250.0</v>
      </c>
      <c r="AF6" t="s">
        <v>35</v>
      </c>
      <c r="AH6" t="s">
        <v>44</v>
      </c>
      <c r="AI6">
        <v>1.0</v>
      </c>
      <c r="AJ6" t="s">
        <v>59</v>
      </c>
      <c r="AM6" t="s">
        <v>43</v>
      </c>
      <c r="AN6" t="b">
        <v>0</v>
      </c>
      <c r="AO6" t="s">
        <v>60</v>
      </c>
      <c r="AP6" t="b">
        <v>0</v>
      </c>
      <c r="AQ6" t="b">
        <v>0</v>
      </c>
      <c r="AR6" s="9" t="b">
        <v>1</v>
      </c>
      <c r="AT6">
        <v>3028.525</v>
      </c>
      <c r="AU6">
        <v>3028.525</v>
      </c>
      <c r="AY6" t="s">
        <v>20</v>
      </c>
      <c r="BD6" t="s">
        <v>61</v>
      </c>
      <c r="BE6">
        <v>3000.0</v>
      </c>
      <c r="BF6">
        <v>3000.0</v>
      </c>
      <c r="BJ6">
        <v>1000.0</v>
      </c>
      <c r="BL6" t="s">
        <v>35</v>
      </c>
      <c r="BM6" t="s">
        <v>40</v>
      </c>
      <c r="BO6" t="s">
        <v>18</v>
      </c>
      <c r="BR6">
        <v>0.525</v>
      </c>
      <c r="BS6" t="s">
        <v>62</v>
      </c>
      <c r="BT6" t="s">
        <v>16</v>
      </c>
      <c r="BU6">
        <v>1.0</v>
      </c>
      <c r="CF6" t="s">
        <v>39</v>
      </c>
      <c r="CH6" t="s">
        <v>12</v>
      </c>
      <c r="CI6" t="s">
        <v>18</v>
      </c>
      <c r="CK6" t="s">
        <v>38</v>
      </c>
      <c r="CL6">
        <v>1.0</v>
      </c>
      <c r="CM6" t="s">
        <v>16</v>
      </c>
      <c r="CN6" t="s">
        <v>31</v>
      </c>
      <c r="CO6" t="s">
        <v>37</v>
      </c>
      <c r="CP6" t="s">
        <v>41</v>
      </c>
      <c r="CX6" t="s">
        <v>42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35</v>
      </c>
      <c r="B7" s="8" t="s">
        <v>48</v>
      </c>
      <c r="C7" s="8" t="s">
        <v>53</v>
      </c>
      <c r="D7" s="8"/>
      <c r="E7" s="8">
        <v>250.0</v>
      </c>
      <c r="F7" s="8" t="s">
        <v>49</v>
      </c>
      <c r="G7" s="8" t="s">
        <v>45</v>
      </c>
      <c r="H7" s="8">
        <v>27.0</v>
      </c>
      <c r="I7" s="8"/>
      <c r="J7" s="8">
        <v>15.0</v>
      </c>
      <c r="K7" s="8">
        <v>12.0</v>
      </c>
      <c r="L7" s="8">
        <v>12.0</v>
      </c>
      <c r="M7" s="8" t="s">
        <v>36</v>
      </c>
      <c r="N7" s="8" t="s">
        <v>54</v>
      </c>
      <c r="O7" s="8" t="s">
        <v>47</v>
      </c>
      <c r="Q7">
        <v>3.0</v>
      </c>
      <c r="R7">
        <v>0.0</v>
      </c>
      <c r="S7" t="s">
        <v>55</v>
      </c>
      <c r="T7">
        <v>0.0</v>
      </c>
      <c r="U7">
        <v>0.0</v>
      </c>
      <c r="V7" t="s">
        <v>56</v>
      </c>
      <c r="W7">
        <v>1.0</v>
      </c>
      <c r="X7">
        <v>0.0</v>
      </c>
      <c r="Y7" t="s">
        <v>35</v>
      </c>
      <c r="Z7" t="s">
        <v>40</v>
      </c>
      <c r="AA7" t="s">
        <v>57</v>
      </c>
      <c r="AB7">
        <v>1.0</v>
      </c>
      <c r="AD7" t="s">
        <v>58</v>
      </c>
      <c r="AE7">
        <v>250.0</v>
      </c>
      <c r="AF7" t="s">
        <v>35</v>
      </c>
      <c r="AH7" t="s">
        <v>44</v>
      </c>
      <c r="AI7">
        <v>1.0</v>
      </c>
      <c r="AJ7" t="s">
        <v>59</v>
      </c>
      <c r="AM7" t="s">
        <v>43</v>
      </c>
      <c r="AN7" t="b">
        <v>0</v>
      </c>
      <c r="AO7" t="s">
        <v>60</v>
      </c>
      <c r="AP7" t="b">
        <v>0</v>
      </c>
      <c r="AQ7" t="b">
        <v>0</v>
      </c>
      <c r="AR7" s="9" t="b">
        <v>1</v>
      </c>
      <c r="AT7">
        <v>3028.525</v>
      </c>
      <c r="AU7">
        <v>3028.525</v>
      </c>
      <c r="AY7" t="s">
        <v>20</v>
      </c>
      <c r="BD7" t="s">
        <v>61</v>
      </c>
      <c r="BE7">
        <v>3000.0</v>
      </c>
      <c r="BF7">
        <v>3000.0</v>
      </c>
      <c r="BJ7">
        <v>1001.0</v>
      </c>
      <c r="BL7" t="s">
        <v>35</v>
      </c>
      <c r="BM7" t="s">
        <v>40</v>
      </c>
      <c r="BO7" t="s">
        <v>18</v>
      </c>
      <c r="BR7">
        <v>0.525</v>
      </c>
      <c r="BS7" t="s">
        <v>62</v>
      </c>
      <c r="BT7" t="s">
        <v>16</v>
      </c>
      <c r="BU7">
        <v>1.0</v>
      </c>
      <c r="CF7" t="s">
        <v>39</v>
      </c>
      <c r="CH7" t="s">
        <v>12</v>
      </c>
      <c r="CI7" t="s">
        <v>18</v>
      </c>
      <c r="CK7" t="s">
        <v>38</v>
      </c>
      <c r="CL7">
        <v>1.0</v>
      </c>
      <c r="CM7" t="s">
        <v>16</v>
      </c>
      <c r="CN7" t="s">
        <v>31</v>
      </c>
      <c r="CO7" t="s">
        <v>37</v>
      </c>
      <c r="CP7" t="s">
        <v>41</v>
      </c>
      <c r="CX7" t="s">
        <v>42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>
        <v>3028.525</v>
      </c>
      <c r="C6" s="44">
        <v>3028.525</v>
      </c>
      <c r="D6" s="44">
        <v>3000.0</v>
      </c>
      <c r="E6" s="44">
        <v>3000.0</v>
      </c>
      <c r="F6" s="45" t="s">
        <v>44</v>
      </c>
      <c r="G6" s="8"/>
      <c r="H6" s="45" t="s">
        <v>40</v>
      </c>
      <c r="I6" s="8"/>
      <c r="J6" s="8"/>
      <c r="K6" s="8"/>
      <c r="L6" s="8"/>
      <c r="M6" s="8"/>
      <c r="N6" s="8"/>
      <c r="O6" s="45" t="s">
        <v>48</v>
      </c>
      <c r="P6" s="45" t="s">
        <v>62</v>
      </c>
      <c r="Q6" s="46">
        <v>100.0</v>
      </c>
      <c r="R6" s="46">
        <v>250.0</v>
      </c>
      <c r="S6" s="46">
        <v>0.0</v>
      </c>
      <c r="T6" s="46">
        <v>0.0</v>
      </c>
      <c r="U6" s="46">
        <v>0.0</v>
      </c>
      <c r="V6" s="46">
        <v>0.0</v>
      </c>
      <c r="W6" s="46">
        <v>0.525</v>
      </c>
      <c r="X6" s="46">
        <v>0.0</v>
      </c>
      <c r="Y6" s="46">
        <v>27.0</v>
      </c>
      <c r="Z6" s="46">
        <v>1.0</v>
      </c>
      <c r="AA6" s="46">
        <v>0.0</v>
      </c>
      <c r="AB6" s="46">
        <v>0.0</v>
      </c>
      <c r="AC6" s="46">
        <v>0.0</v>
      </c>
      <c r="AD6" s="46">
        <v>0.0</v>
      </c>
      <c r="AE6" s="46">
        <v>0.0</v>
      </c>
      <c r="AF6" s="45" t="s">
        <v>55</v>
      </c>
    </row>
    <row r="7" ht="15.75" customHeight="1">
      <c r="A7" s="8"/>
      <c r="B7" s="44">
        <v>3028.525</v>
      </c>
      <c r="C7" s="44">
        <v>3028.525</v>
      </c>
      <c r="D7" s="44">
        <v>3000.0</v>
      </c>
      <c r="E7" s="44">
        <v>3000.0</v>
      </c>
      <c r="F7" s="45" t="s">
        <v>44</v>
      </c>
      <c r="G7" s="8"/>
      <c r="H7" s="45" t="s">
        <v>40</v>
      </c>
      <c r="I7" s="8"/>
      <c r="J7" s="8"/>
      <c r="K7" s="8"/>
      <c r="L7" s="8"/>
      <c r="M7" s="8"/>
      <c r="N7" s="8"/>
      <c r="O7" s="45" t="s">
        <v>48</v>
      </c>
      <c r="P7" s="45" t="s">
        <v>62</v>
      </c>
      <c r="Q7" s="46">
        <v>100.0</v>
      </c>
      <c r="R7" s="46">
        <v>250.0</v>
      </c>
      <c r="S7" s="46">
        <v>0.0</v>
      </c>
      <c r="T7" s="46">
        <v>0.0</v>
      </c>
      <c r="U7" s="46">
        <v>0.0</v>
      </c>
      <c r="V7" s="46">
        <v>0.0</v>
      </c>
      <c r="W7" s="46">
        <v>0.525</v>
      </c>
      <c r="X7" s="46">
        <v>0.0</v>
      </c>
      <c r="Y7" s="46">
        <v>27.0</v>
      </c>
      <c r="Z7" s="46">
        <v>1.0</v>
      </c>
      <c r="AA7" s="46">
        <v>0.0</v>
      </c>
      <c r="AB7" s="46">
        <v>0.0</v>
      </c>
      <c r="AC7" s="46">
        <v>0.0</v>
      </c>
      <c r="AD7" s="46">
        <v>0.0</v>
      </c>
      <c r="AE7" s="46">
        <v>0.0</v>
      </c>
      <c r="AF7" s="45" t="s">
        <v>55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