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TransferToUserOrder" sheetId="8" r:id="rId10"/>
    <sheet state="visible" name="LoginClient" sheetId="9" r:id="rId11"/>
    <sheet state="visible" name="EditOrder" sheetId="10" r:id="rId12"/>
    <sheet state="visible" name="CreateReplaceOrder" sheetId="11" r:id="rId13"/>
    <sheet state="visible" name="VerifyOrder1" sheetId="12" r:id="rId14"/>
    <sheet state="visible" name="GetExecutionReportOrders" sheetId="13" r:id="rId15"/>
    <sheet state="visible" name="VerifyExecutionReport" sheetId="14" r:id="rId16"/>
    <sheet state="visible" name="GetDataAllocation" sheetId="15" r:id="rId17"/>
    <sheet state="visible" name="SelectAllocatedGroup" sheetId="16" r:id="rId18"/>
    <sheet state="visible" name="EditTradesAllocated" sheetId="17" r:id="rId19"/>
    <sheet state="visible" name="CheckAllocatedGroups" sheetId="18" r:id="rId20"/>
    <sheet state="visible" name="GetExecutionReportOrders2" sheetId="19" r:id="rId21"/>
    <sheet state="visible" name="VerifyExecutionReport1" sheetId="20" r:id="rId22"/>
    <sheet state="visible" name="ReplaceSubOrder" sheetId="21" r:id="rId23"/>
    <sheet state="visible" name="SelectTradeOnOrderGrid1" sheetId="22" r:id="rId24"/>
    <sheet state="visible" name="TransferToUserOrder2" sheetId="23" r:id="rId25"/>
    <sheet state="visible" name="EditAllocatedGroupSidePanel" sheetId="24" r:id="rId26"/>
  </sheets>
  <definedNames/>
  <calcPr/>
</workbook>
</file>

<file path=xl/sharedStrings.xml><?xml version="1.0" encoding="utf-8"?>
<sst xmlns="http://schemas.openxmlformats.org/spreadsheetml/2006/main" count="369" uniqueCount="65">
  <si>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</si>
  <si>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</si>
  <si>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</si>
  <si>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</si>
  <si>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</si>
  <si>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</si>
  <si>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</si>
  <si>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</si>
  <si>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</si>
  <si>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</si>
  <si>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</si>
  <si>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</si>
  <si>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</si>
  <si>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</si>
  <si>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</si>
  <si>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</si>
  <si>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</si>
  <si>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</si>
  <si>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</si>
  <si>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AAPL</t>
  </si>
  <si>
    <t>Buy</t>
  </si>
  <si>
    <t>Allocation1</t>
  </si>
  <si>
    <t>MS</t>
  </si>
  <si>
    <t>Sell</t>
  </si>
  <si>
    <t>Allocation2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</si>
  <si>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</si>
  <si>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</si>
  <si>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</si>
  <si>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</si>
  <si>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</si>
  <si>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</si>
  <si>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</si>
  <si>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</si>
  <si>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</si>
  <si>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</si>
  <si>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</si>
  <si>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</si>
  <si>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</si>
  <si>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</si>
  <si>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</si>
  <si>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Manual</t>
  </si>
  <si>
    <t>None</t>
  </si>
  <si>
    <t>SelectTradeOnOrderGrid</t>
  </si>
  <si>
    <t>TransferToUserOrder</t>
  </si>
  <si>
    <t>jgulbrandsen</t>
  </si>
  <si>
    <t>PranaClient</t>
  </si>
  <si>
    <t>LoginClient</t>
  </si>
  <si>
    <t>Nirvana@1</t>
  </si>
  <si>
    <t>EditOrder</t>
  </si>
  <si>
    <t>CreateReplaceOrder</t>
  </si>
  <si>
    <t>Replaced</t>
  </si>
  <si>
    <t>GetExecutionReportOrders</t>
  </si>
  <si>
    <t>VerifyExecutionReport</t>
  </si>
  <si>
    <t>Allocation</t>
  </si>
  <si>
    <t>GetDataAllocation</t>
  </si>
  <si>
    <t>Current</t>
  </si>
  <si>
    <t>SelectAllocatedGroup</t>
  </si>
  <si>
    <t>EditTradesAllocated</t>
  </si>
  <si>
    <t>CheckAllocatedGroups</t>
  </si>
  <si>
    <t>Open</t>
  </si>
  <si>
    <t>BrokerNotes</t>
  </si>
  <si>
    <t>InternalOrder</t>
  </si>
  <si>
    <t>Strategy Unallocated</t>
  </si>
  <si>
    <t>ReplaceSubOrder</t>
  </si>
  <si>
    <t>EditAllocatedGroupSidePanel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</si>
</sst>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9.0"/>
      <color rgb="FF000000"/>
      <name val="&quot;Segoe UI&quot;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horizontal="right" vertical="top"/>
    </xf>
    <xf borderId="0" fillId="7" fontId="13" numFmtId="0" xfId="0" applyAlignment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5" fillId="6" fontId="17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65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vertical="bottom"/>
    </xf>
    <xf borderId="5" fillId="0" fontId="18" numFmtId="0" xfId="0" applyAlignment="1" applyBorder="1" applyFont="1">
      <alignment vertical="bottom"/>
    </xf>
    <xf borderId="5" fillId="0" fontId="3" numFmtId="4" xfId="0" applyAlignment="1" applyBorder="1" applyFont="1" applyNumberFormat="1">
      <alignment vertical="bottom"/>
    </xf>
    <xf borderId="5" fillId="0" fontId="18" numFmtId="0" xfId="0" applyAlignment="1" applyBorder="1" applyFont="1">
      <alignment horizontal="right" vertical="bottom"/>
    </xf>
    <xf borderId="5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6" fontId="20" numFmtId="0" xfId="0" applyAlignment="1" applyBorder="1" applyFont="1">
      <alignment horizontal="right" readingOrder="0" vertical="top"/>
    </xf>
    <xf borderId="0" fillId="7" fontId="16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 t="s">
        <v>22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44496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19</v>
      </c>
      <c r="C7" s="38" t="s">
        <v>23</v>
      </c>
      <c r="D7" s="39">
        <v>200.0</v>
      </c>
      <c r="E7" s="39">
        <v>200.0</v>
      </c>
      <c r="F7" s="38" t="s">
        <v>24</v>
      </c>
      <c r="G7" s="33" t="s">
        <v>22</v>
      </c>
      <c r="H7" s="33"/>
      <c r="I7" s="33"/>
      <c r="J7" s="35">
        <v>10.0</v>
      </c>
      <c r="K7" s="33"/>
      <c r="L7" s="33"/>
      <c r="M7" s="33"/>
      <c r="N7" s="36">
        <f t="shared" si="1"/>
        <v>44496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/>
      <c r="C7" s="33"/>
      <c r="D7" s="40">
        <v>10.0</v>
      </c>
      <c r="E7" s="41" t="s">
        <v>27</v>
      </c>
      <c r="F7" s="41">
        <v>0.0</v>
      </c>
      <c r="G7" s="41"/>
      <c r="H7" s="41" t="s">
        <v>28</v>
      </c>
      <c r="I7" s="41" t="s">
        <v>29</v>
      </c>
      <c r="J7" s="41" t="s">
        <v>19</v>
      </c>
      <c r="K7" s="41" t="s">
        <v>30</v>
      </c>
      <c r="L7" s="41" t="s">
        <v>31</v>
      </c>
      <c r="M7" s="33"/>
      <c r="N7" s="33"/>
      <c r="O7" s="33"/>
      <c r="P7" s="33"/>
      <c r="Q7" s="33"/>
      <c r="R7" s="33"/>
      <c r="S7" s="41">
        <v>0.0</v>
      </c>
      <c r="T7" s="42">
        <v>0.0</v>
      </c>
      <c r="U7" s="43" t="s">
        <v>32</v>
      </c>
      <c r="V7" s="44" t="s">
        <v>33</v>
      </c>
      <c r="W7" s="42"/>
      <c r="X7" s="42">
        <v>0.0</v>
      </c>
      <c r="Y7" s="42"/>
      <c r="Z7" s="42"/>
      <c r="AA7" s="42"/>
      <c r="AB7" s="47">
        <v>200.0</v>
      </c>
      <c r="AC7" s="42" t="s">
        <v>35</v>
      </c>
      <c r="AD7" s="42">
        <v>1.0</v>
      </c>
      <c r="AE7" s="45"/>
      <c r="AF7" s="42" t="s">
        <v>36</v>
      </c>
      <c r="AG7" s="42">
        <v>10.0</v>
      </c>
      <c r="AH7" s="42" t="s">
        <v>37</v>
      </c>
      <c r="AI7" s="42" t="s">
        <v>19</v>
      </c>
      <c r="AJ7" s="47" t="s">
        <v>23</v>
      </c>
      <c r="AK7" s="42" t="s">
        <v>38</v>
      </c>
      <c r="AL7" s="47">
        <v>200.0</v>
      </c>
      <c r="AM7" s="47">
        <v>200.0</v>
      </c>
      <c r="AN7" s="42">
        <v>100.0</v>
      </c>
      <c r="AO7" s="47">
        <v>200.0</v>
      </c>
      <c r="AP7" s="37"/>
      <c r="AQ7" s="42">
        <v>10.0</v>
      </c>
      <c r="AR7" s="42">
        <v>10.0</v>
      </c>
      <c r="AS7" s="42" t="s">
        <v>22</v>
      </c>
      <c r="AT7" s="47" t="s">
        <v>24</v>
      </c>
      <c r="AU7" s="42" t="s">
        <v>39</v>
      </c>
      <c r="AV7" s="47">
        <v>-2000.0</v>
      </c>
      <c r="AW7" s="47">
        <v>-2000.0</v>
      </c>
      <c r="AX7" s="42" t="s">
        <v>40</v>
      </c>
      <c r="AY7" s="47">
        <v>200.0</v>
      </c>
      <c r="AZ7" s="45"/>
      <c r="BA7" s="42"/>
      <c r="BB7" s="46"/>
      <c r="BC7" s="46"/>
      <c r="BD7" s="42"/>
      <c r="BE7" s="46"/>
      <c r="BF7" s="46"/>
      <c r="BG7" s="42"/>
      <c r="BH7" s="46"/>
      <c r="BI7" s="42"/>
      <c r="BJ7" s="37"/>
      <c r="BK7" s="46"/>
      <c r="BL7" s="46"/>
      <c r="BM7" s="46"/>
      <c r="BN7" s="46"/>
      <c r="BO7" s="46"/>
      <c r="BP7" s="46"/>
      <c r="BQ7" s="42" t="s">
        <v>41</v>
      </c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3" t="s">
        <v>20</v>
      </c>
      <c r="G6" s="33" t="s">
        <v>38</v>
      </c>
      <c r="H6" s="35">
        <v>1000.0</v>
      </c>
      <c r="I6" s="35">
        <v>1000.0</v>
      </c>
      <c r="J6" s="33"/>
      <c r="K6" s="33"/>
      <c r="L6" s="33"/>
      <c r="M6" s="33"/>
      <c r="N6" s="33"/>
      <c r="O6" s="33"/>
      <c r="P6" s="33"/>
      <c r="Q6" s="33"/>
      <c r="R6" s="33" t="s">
        <v>21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47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200.0</v>
      </c>
      <c r="E6" s="50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51" t="s">
        <v>44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/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52" t="s">
        <v>50</v>
      </c>
      <c r="AL6" s="52">
        <v>200.0</v>
      </c>
      <c r="AM6" s="52">
        <v>100.0</v>
      </c>
      <c r="AN6" s="47">
        <v>50.0</v>
      </c>
      <c r="AO6" s="42">
        <v>100.0</v>
      </c>
      <c r="AP6" s="37"/>
      <c r="AQ6" s="47">
        <v>0.0</v>
      </c>
      <c r="AR6" s="42">
        <v>10.0</v>
      </c>
      <c r="AS6" s="42" t="s">
        <v>22</v>
      </c>
      <c r="AT6" s="42"/>
      <c r="AU6" s="42" t="s">
        <v>39</v>
      </c>
      <c r="AV6" s="42">
        <v>1000.0</v>
      </c>
      <c r="AW6" s="42">
        <v>1000.0</v>
      </c>
      <c r="AX6" s="42"/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44496</v>
      </c>
      <c r="C6" s="53">
        <f t="shared" si="1"/>
        <v>44496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 t="s">
        <v>19</v>
      </c>
      <c r="C6" s="9">
        <v>200.0</v>
      </c>
      <c r="E6" s="56" t="s">
        <v>24</v>
      </c>
      <c r="F6" s="9" t="s">
        <v>23</v>
      </c>
      <c r="H6" s="9">
        <v>10.0</v>
      </c>
      <c r="K6" s="9">
        <v>10.0</v>
      </c>
      <c r="P6" s="9" t="s">
        <v>22</v>
      </c>
      <c r="R6" s="9">
        <v>4.0</v>
      </c>
      <c r="S6" s="9">
        <v>5.0</v>
      </c>
      <c r="AQ6" s="9">
        <v>200.0</v>
      </c>
      <c r="AT6" s="57">
        <v>1985.9989</v>
      </c>
      <c r="AU6" s="57">
        <v>1985.9989</v>
      </c>
      <c r="AX6" s="57">
        <v>2000.0</v>
      </c>
      <c r="AY6" s="57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</row>
    <row r="11" ht="15.75" customHeight="1">
      <c r="A11" s="56"/>
      <c r="B11" s="56"/>
      <c r="C11" s="59"/>
      <c r="D11" s="59"/>
      <c r="E11" s="56"/>
      <c r="F11" s="56"/>
      <c r="G11" s="59"/>
      <c r="H11" s="59"/>
      <c r="I11" s="59"/>
      <c r="J11" s="59"/>
      <c r="K11" s="59"/>
      <c r="L11" s="56"/>
      <c r="M11" s="56"/>
      <c r="N11" s="56"/>
      <c r="O11" s="60"/>
      <c r="P11" s="59"/>
      <c r="Q11" s="59"/>
      <c r="R11" s="56"/>
      <c r="S11" s="59"/>
      <c r="T11" s="59"/>
      <c r="U11" s="56"/>
      <c r="V11" s="59"/>
      <c r="W11" s="59"/>
      <c r="X11" s="60"/>
      <c r="Y11" s="56"/>
      <c r="Z11" s="56"/>
      <c r="AA11" s="59"/>
      <c r="AB11" s="56"/>
      <c r="AC11" s="56"/>
      <c r="AD11" s="59"/>
      <c r="AE11" s="61"/>
      <c r="AF11" s="61"/>
      <c r="AG11" s="56"/>
      <c r="AH11" s="59"/>
      <c r="AI11" s="56"/>
      <c r="AJ11" s="60"/>
      <c r="AK11" s="60"/>
      <c r="AL11" s="56"/>
      <c r="AM11" s="56"/>
      <c r="AN11" s="60"/>
      <c r="AO11" s="56"/>
      <c r="AP11" s="56"/>
      <c r="AQ11" s="56"/>
      <c r="AR11" s="59"/>
      <c r="AS11" s="57"/>
      <c r="AT11" s="57"/>
      <c r="AU11" s="62"/>
      <c r="AV11" s="59"/>
      <c r="AW11" s="59"/>
      <c r="AX11" s="56"/>
      <c r="AY11" s="59"/>
      <c r="AZ11" s="62"/>
      <c r="BA11" s="60"/>
      <c r="BB11" s="59"/>
      <c r="BC11" s="56"/>
      <c r="BD11" s="57"/>
      <c r="BE11" s="57"/>
      <c r="BF11" s="62"/>
      <c r="BG11" s="60"/>
      <c r="BH11" s="60"/>
      <c r="BI11" s="59"/>
      <c r="BJ11" s="59"/>
      <c r="BK11" s="56"/>
      <c r="BL11" s="56"/>
      <c r="BM11" s="62"/>
      <c r="BN11" s="56"/>
      <c r="BO11" s="59"/>
      <c r="BP11" s="59"/>
      <c r="BQ11" s="59"/>
      <c r="BR11" s="56"/>
      <c r="BS11" s="56"/>
      <c r="BT11" s="59"/>
      <c r="BU11" s="59"/>
      <c r="BV11" s="59"/>
      <c r="BW11" s="59"/>
      <c r="BX11" s="56"/>
      <c r="BY11" s="59"/>
      <c r="BZ11" s="56"/>
      <c r="CA11" s="56"/>
      <c r="CB11" s="59"/>
      <c r="CC11" s="56"/>
      <c r="CD11" s="59"/>
      <c r="CE11" s="56"/>
      <c r="CF11" s="56"/>
      <c r="CG11" s="56"/>
      <c r="CH11" s="56"/>
      <c r="CI11" s="60"/>
      <c r="CJ11" s="60"/>
      <c r="CK11" s="60"/>
      <c r="CL11" s="60"/>
      <c r="CM11" s="60"/>
      <c r="CN11" s="60"/>
      <c r="CO11" s="60"/>
      <c r="CP11" s="60"/>
      <c r="CQ11" s="59"/>
      <c r="CR11" s="60"/>
      <c r="CS11" s="60"/>
      <c r="CT11" s="62"/>
      <c r="CU11" s="61"/>
      <c r="CV11" s="60"/>
      <c r="CW11" s="60"/>
      <c r="CX11" s="59"/>
      <c r="CY11" s="60"/>
      <c r="CZ11" s="59"/>
      <c r="DA11" s="60"/>
      <c r="DB11" s="5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IFERROR(__xludf.DUMMYFUNCTION("""COMPUTED_VALUE"""),"Commission")</f>
        <v>Commission</v>
      </c>
      <c r="D5" s="28" t="str">
        <f>IFERROR(__xludf.DUMMYFUNCTION("""COMPUTED_VALUE"""),"Soft Commission")</f>
        <v>Soft Commission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EditTradesAllocated!$4:$4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24</v>
      </c>
      <c r="C6" s="56"/>
      <c r="D6" s="59"/>
      <c r="E6" s="59">
        <v>200.0</v>
      </c>
      <c r="F6" s="56" t="s">
        <v>40</v>
      </c>
      <c r="G6" s="56" t="s">
        <v>37</v>
      </c>
      <c r="H6" s="59">
        <v>4.0</v>
      </c>
      <c r="I6" s="59">
        <v>5.0</v>
      </c>
      <c r="J6" s="59">
        <v>1.0</v>
      </c>
      <c r="K6" s="59">
        <v>10.0</v>
      </c>
      <c r="L6" s="59">
        <v>10.0</v>
      </c>
      <c r="M6" s="56" t="s">
        <v>27</v>
      </c>
      <c r="N6" s="56"/>
      <c r="O6" s="56" t="s">
        <v>22</v>
      </c>
      <c r="P6" s="60"/>
      <c r="Q6" s="59"/>
      <c r="R6" s="59">
        <v>0.0</v>
      </c>
      <c r="S6" s="56" t="s">
        <v>59</v>
      </c>
      <c r="T6" s="59">
        <v>10.0</v>
      </c>
      <c r="U6" s="59">
        <v>0.05</v>
      </c>
      <c r="V6" s="56"/>
      <c r="W6" s="59"/>
      <c r="X6" s="59"/>
      <c r="Y6" s="60"/>
      <c r="Z6" s="56" t="s">
        <v>32</v>
      </c>
      <c r="AA6" s="56"/>
      <c r="AB6" s="59">
        <v>1.0</v>
      </c>
      <c r="AC6" s="56" t="s">
        <v>60</v>
      </c>
      <c r="AD6" s="56" t="s">
        <v>28</v>
      </c>
      <c r="AE6" s="59">
        <v>200.0</v>
      </c>
      <c r="AF6" s="61"/>
      <c r="AG6" s="61"/>
      <c r="AH6" s="56" t="s">
        <v>36</v>
      </c>
      <c r="AI6" s="59">
        <v>1.0</v>
      </c>
      <c r="AJ6" s="56" t="s">
        <v>41</v>
      </c>
      <c r="AK6" s="60"/>
      <c r="AL6" s="60"/>
      <c r="AM6" s="56" t="s">
        <v>35</v>
      </c>
      <c r="AN6" s="56" t="b">
        <v>0</v>
      </c>
      <c r="AO6" s="60"/>
      <c r="AP6" s="56" t="b">
        <v>1</v>
      </c>
      <c r="AQ6" s="56" t="b">
        <v>0</v>
      </c>
      <c r="AR6" s="56" t="b">
        <v>1</v>
      </c>
      <c r="AS6" s="59">
        <v>0.0</v>
      </c>
      <c r="AT6" s="57">
        <v>1975.9989</v>
      </c>
      <c r="AU6" s="57">
        <v>1975.9989</v>
      </c>
      <c r="AV6" s="62"/>
      <c r="AW6" s="59">
        <v>0.0</v>
      </c>
      <c r="AX6" s="59">
        <v>0.0</v>
      </c>
      <c r="AY6" s="56" t="s">
        <v>39</v>
      </c>
      <c r="AZ6" s="59">
        <v>0.0</v>
      </c>
      <c r="BA6" s="62"/>
      <c r="BB6" s="60"/>
      <c r="BC6" s="59">
        <v>0.0</v>
      </c>
      <c r="BD6" s="56" t="s">
        <v>61</v>
      </c>
      <c r="BE6" s="57">
        <v>2000.0</v>
      </c>
      <c r="BF6" s="57">
        <v>2000.0</v>
      </c>
      <c r="BG6" s="62"/>
      <c r="BH6" s="60"/>
      <c r="BI6" s="60"/>
      <c r="BJ6" s="59">
        <v>200.0</v>
      </c>
      <c r="BK6" s="59">
        <v>0.0</v>
      </c>
      <c r="BL6" s="56"/>
      <c r="BM6" s="56" t="s">
        <v>32</v>
      </c>
      <c r="BN6" s="62"/>
      <c r="BO6" s="56" t="s">
        <v>23</v>
      </c>
      <c r="BP6" s="59">
        <v>0.0</v>
      </c>
      <c r="BQ6" s="59">
        <v>0.0</v>
      </c>
      <c r="BR6" s="59">
        <v>0.0011</v>
      </c>
      <c r="BS6" s="56" t="s">
        <v>62</v>
      </c>
      <c r="BT6" s="56" t="s">
        <v>19</v>
      </c>
      <c r="BU6" s="59">
        <v>3.0</v>
      </c>
      <c r="BV6" s="59">
        <v>10.0</v>
      </c>
      <c r="BW6" s="59">
        <v>24.0011</v>
      </c>
      <c r="BX6" s="59">
        <v>0.05</v>
      </c>
      <c r="CF6" s="56" t="s">
        <v>31</v>
      </c>
      <c r="CG6" s="59">
        <v>2.0</v>
      </c>
      <c r="CH6" s="56" t="s">
        <v>17</v>
      </c>
      <c r="CI6" s="56" t="s">
        <v>23</v>
      </c>
      <c r="CJ6" s="59">
        <v>0.0</v>
      </c>
      <c r="CK6" s="56" t="s">
        <v>30</v>
      </c>
      <c r="CL6" s="59">
        <v>1.0</v>
      </c>
      <c r="CM6" s="56" t="s">
        <v>19</v>
      </c>
      <c r="CN6" s="56"/>
      <c r="CO6" s="56" t="s">
        <v>28</v>
      </c>
      <c r="CP6" s="56" t="s">
        <v>33</v>
      </c>
      <c r="CQ6" s="60"/>
      <c r="CR6" s="59"/>
      <c r="CS6" s="60"/>
      <c r="CT6" s="60"/>
      <c r="CU6" s="62"/>
      <c r="CV6" s="61"/>
      <c r="CW6" s="60"/>
      <c r="CX6" s="60"/>
      <c r="CY6" s="59"/>
      <c r="CZ6" s="60"/>
      <c r="DA6" s="59"/>
      <c r="DB6" s="60"/>
      <c r="DC6" s="5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63"/>
      <c r="B8" s="64"/>
      <c r="C8" s="65"/>
      <c r="D8" s="65"/>
      <c r="E8" s="66"/>
      <c r="F8" s="64"/>
      <c r="G8" s="64"/>
      <c r="H8" s="66"/>
      <c r="I8" s="66"/>
      <c r="J8" s="66"/>
      <c r="K8" s="66"/>
      <c r="L8" s="66"/>
      <c r="M8" s="67"/>
      <c r="N8" s="64"/>
      <c r="O8" s="64"/>
      <c r="P8" s="33"/>
      <c r="Q8" s="66"/>
      <c r="R8" s="66"/>
      <c r="S8" s="64"/>
      <c r="T8" s="68"/>
      <c r="U8" s="68"/>
      <c r="V8" s="69"/>
      <c r="W8" s="68"/>
      <c r="X8" s="68"/>
      <c r="Y8" s="37"/>
      <c r="Z8" s="69"/>
      <c r="AA8" s="37"/>
      <c r="AB8" s="68"/>
      <c r="AC8" s="69"/>
      <c r="AD8" s="69"/>
      <c r="AE8" s="68"/>
      <c r="AF8" s="70"/>
      <c r="AG8" s="71"/>
      <c r="AH8" s="69"/>
      <c r="AI8" s="68"/>
      <c r="AJ8" s="69"/>
      <c r="AK8" s="69"/>
      <c r="AL8" s="37"/>
      <c r="AM8" s="69"/>
      <c r="AN8" s="72"/>
      <c r="AO8" s="37"/>
      <c r="AP8" s="72"/>
      <c r="AQ8" s="72"/>
      <c r="AR8" s="72"/>
      <c r="AS8" s="68"/>
      <c r="AT8" s="63"/>
      <c r="AU8" s="63"/>
      <c r="AV8" s="73"/>
      <c r="AW8" s="68"/>
      <c r="AX8" s="68"/>
      <c r="AY8" s="69"/>
      <c r="AZ8" s="68"/>
      <c r="BA8" s="73"/>
      <c r="BB8" s="69"/>
      <c r="BC8" s="68"/>
      <c r="BD8" s="69"/>
      <c r="BE8" s="63"/>
      <c r="BF8" s="63"/>
      <c r="BG8" s="73"/>
      <c r="BH8" s="37"/>
      <c r="BI8" s="69"/>
      <c r="BJ8" s="68"/>
      <c r="BK8" s="68"/>
      <c r="BL8" s="37"/>
      <c r="BM8" s="69"/>
      <c r="BN8" s="73"/>
      <c r="BO8" s="69"/>
      <c r="BP8" s="68"/>
      <c r="BQ8" s="68"/>
      <c r="BR8" s="68"/>
      <c r="BS8" s="69"/>
      <c r="BT8" s="69"/>
      <c r="BU8" s="68"/>
      <c r="BV8" s="68"/>
      <c r="BW8" s="68"/>
      <c r="BX8" s="68"/>
      <c r="BY8" s="37"/>
      <c r="BZ8" s="37"/>
      <c r="CA8" s="37"/>
      <c r="CB8" s="37"/>
      <c r="CC8" s="37"/>
      <c r="CD8" s="37"/>
      <c r="CE8" s="37"/>
      <c r="CF8" s="69"/>
      <c r="CG8" s="68"/>
      <c r="CH8" s="69"/>
      <c r="CI8" s="69"/>
      <c r="CJ8" s="68"/>
      <c r="CK8" s="69"/>
      <c r="CL8" s="68"/>
      <c r="CM8" s="69"/>
      <c r="CN8" s="69"/>
      <c r="CO8" s="69"/>
      <c r="CP8" s="69"/>
      <c r="CQ8" s="37"/>
      <c r="CR8" s="37"/>
      <c r="CS8" s="37"/>
      <c r="CT8" s="37"/>
      <c r="CU8" s="73"/>
      <c r="CV8" s="70"/>
      <c r="CW8" s="37"/>
      <c r="CX8" s="37"/>
      <c r="CY8" s="68"/>
      <c r="CZ8" s="37"/>
      <c r="DA8" s="68"/>
      <c r="DB8" s="37"/>
      <c r="DC8" s="69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44496</v>
      </c>
      <c r="C6" s="53">
        <f t="shared" si="1"/>
        <v>44496</v>
      </c>
      <c r="D6" s="8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54" t="s">
        <v>19</v>
      </c>
      <c r="C7" s="74" t="s">
        <v>23</v>
      </c>
      <c r="D7" s="32"/>
      <c r="E7" s="33"/>
      <c r="F7" s="74">
        <v>200.0</v>
      </c>
      <c r="G7" s="55">
        <v>10.0</v>
      </c>
      <c r="H7" s="75" t="s">
        <v>38</v>
      </c>
      <c r="I7" s="33"/>
      <c r="J7" s="33"/>
      <c r="K7" s="33"/>
      <c r="L7" s="55" t="s">
        <v>29</v>
      </c>
      <c r="M7" s="33"/>
      <c r="N7" s="55" t="s">
        <v>22</v>
      </c>
      <c r="O7" s="51" t="s">
        <v>44</v>
      </c>
      <c r="P7" s="51" t="s">
        <v>44</v>
      </c>
      <c r="Q7" s="33"/>
      <c r="R7" s="74" t="s">
        <v>24</v>
      </c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/>
      <c r="Y6" s="42"/>
      <c r="Z6" s="42"/>
      <c r="AB6" s="42" t="s">
        <v>34</v>
      </c>
      <c r="AC6" s="42">
        <v>100.0</v>
      </c>
      <c r="AD6" s="42" t="s">
        <v>35</v>
      </c>
      <c r="AE6" s="42">
        <v>1.0</v>
      </c>
      <c r="AF6" s="45"/>
      <c r="AH6" s="42">
        <v>10.0</v>
      </c>
      <c r="AI6" s="42" t="s">
        <v>37</v>
      </c>
      <c r="AJ6" s="42" t="s">
        <v>19</v>
      </c>
      <c r="AK6" s="42" t="s">
        <v>20</v>
      </c>
      <c r="AL6" s="42" t="s">
        <v>38</v>
      </c>
      <c r="AM6" s="42">
        <v>100.0</v>
      </c>
      <c r="AN6" s="42">
        <v>100.0</v>
      </c>
      <c r="AO6" s="42">
        <v>100.0</v>
      </c>
      <c r="AP6" s="42">
        <v>100.0</v>
      </c>
      <c r="AR6" s="42">
        <v>10.0</v>
      </c>
      <c r="AS6" s="42">
        <v>10.0</v>
      </c>
      <c r="AT6" s="42" t="s">
        <v>22</v>
      </c>
      <c r="AU6" s="42"/>
      <c r="AV6" s="42" t="s">
        <v>39</v>
      </c>
      <c r="AW6" s="42">
        <v>1000.0</v>
      </c>
      <c r="AX6" s="42">
        <v>1000.0</v>
      </c>
      <c r="AY6" s="42"/>
      <c r="AZ6" s="42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8" t="s">
        <v>23</v>
      </c>
      <c r="G6" s="33" t="s">
        <v>38</v>
      </c>
      <c r="H6" s="39"/>
      <c r="I6" s="39"/>
      <c r="J6" s="33"/>
      <c r="K6" s="33"/>
      <c r="L6" s="33"/>
      <c r="M6" s="33"/>
      <c r="N6" s="33"/>
      <c r="O6" s="33"/>
      <c r="P6" s="33"/>
      <c r="Q6" s="33"/>
      <c r="R6" s="38" t="s">
        <v>24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/>
      <c r="AB6" s="47">
        <v>200.0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7" t="s">
        <v>23</v>
      </c>
      <c r="AK6" s="42" t="s">
        <v>38</v>
      </c>
      <c r="AL6" s="47">
        <v>200.0</v>
      </c>
      <c r="AM6" s="47">
        <v>200.0</v>
      </c>
      <c r="AN6" s="47">
        <v>100.0</v>
      </c>
      <c r="AO6" s="42"/>
      <c r="AP6" s="37"/>
      <c r="AQ6" s="42">
        <v>10.0</v>
      </c>
      <c r="AR6" s="42">
        <v>10.0</v>
      </c>
      <c r="AS6" s="42" t="s">
        <v>22</v>
      </c>
      <c r="AT6" s="42"/>
      <c r="AU6" s="42" t="s">
        <v>39</v>
      </c>
      <c r="AV6" s="42"/>
      <c r="AW6" s="42"/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