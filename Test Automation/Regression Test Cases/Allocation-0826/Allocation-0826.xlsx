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OnOrderGrid" sheetId="5" r:id="rId7"/>
    <sheet state="visible" name="TradeNewSubOrder" sheetId="6" r:id="rId8"/>
    <sheet state="visible" name="CustomOrderTT1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SelectTradeOnOrderGrid1" sheetId="11" r:id="rId13"/>
    <sheet state="visible" name="TradeNewSubOrder1" sheetId="12" r:id="rId14"/>
    <sheet state="visible" name="CustomOrderTT2" sheetId="13" r:id="rId15"/>
    <sheet state="visible" name="SelectTrade1" sheetId="14" r:id="rId16"/>
    <sheet state="visible" name="AcknowledgeTrade1" sheetId="15" r:id="rId17"/>
    <sheet state="visible" name="ExecuteTrade1" sheetId="16" r:id="rId18"/>
    <sheet state="visible" name="SelectTradeOnOrderGrid2" sheetId="17" r:id="rId19"/>
    <sheet state="visible" name="SelectTradeSubOrderBlotter" sheetId="18" r:id="rId20"/>
    <sheet state="visible" name="ReplaceSubOrder" sheetId="19" r:id="rId21"/>
    <sheet state="visible" name="CustomOrderTT3" sheetId="20" r:id="rId22"/>
    <sheet state="visible" name="SelectTrade2" sheetId="21" r:id="rId23"/>
    <sheet state="visible" name="AcknowledgeTrade2" sheetId="22" r:id="rId24"/>
    <sheet state="visible" name="SelectTradeOnOrderGrid3" sheetId="23" r:id="rId25"/>
    <sheet state="visible" name="TransferToUserSubOrder" sheetId="24" r:id="rId26"/>
    <sheet state="visible" name="SelectTrade3" sheetId="25" r:id="rId27"/>
    <sheet state="visible" name="ExecuteTrade2" sheetId="26" r:id="rId28"/>
    <sheet state="visible" name="GetDataAllocation" sheetId="27" r:id="rId29"/>
    <sheet state="visible" name="CheckAllocatedTaxlots" sheetId="28" r:id="rId30"/>
  </sheets>
  <definedNames/>
  <calcPr/>
</workbook>
</file>

<file path=xl/sharedStrings.xml><?xml version="1.0" encoding="utf-8"?>
<sst xmlns="http://schemas.openxmlformats.org/spreadsheetml/2006/main" count="248" uniqueCount="46">
  <si>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</si>
  <si>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</si>
  <si>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</si>
  <si>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</si>
  <si>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</si>
  <si>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</si>
  <si>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</si>
  <si>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</si>
  <si>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</si>
  <si>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</si>
  <si>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</si>
  <si>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</si>
  <si>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</si>
  <si>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</si>
  <si>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</si>
  <si>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</si>
  <si>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</si>
  <si>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</si>
  <si>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Buy</t>
  </si>
  <si>
    <t>Good Till Date</t>
  </si>
  <si>
    <t>Limit</t>
  </si>
  <si>
    <t>Blotter</t>
  </si>
  <si>
    <t>SelectTradeOnOrderGrid</t>
  </si>
  <si>
    <t>New</t>
  </si>
  <si>
    <t>TradeNewSubOrder</t>
  </si>
  <si>
    <t>Send</t>
  </si>
  <si>
    <t>Simulator</t>
  </si>
  <si>
    <t>SelectTrade</t>
  </si>
  <si>
    <t>AcknowledgeTrade</t>
  </si>
  <si>
    <t>ExecuteTrade</t>
  </si>
  <si>
    <t>PartiallyFilled</t>
  </si>
  <si>
    <t>SelectTradeSubOrderBlotter</t>
  </si>
  <si>
    <t>ReplaceSubOrder</t>
  </si>
  <si>
    <t>Replace</t>
  </si>
  <si>
    <t>GTC</t>
  </si>
  <si>
    <t>TransferToUserSubOrder</t>
  </si>
  <si>
    <t>jgulbrandsen</t>
  </si>
  <si>
    <t>Allocation</t>
  </si>
  <si>
    <t>GetDataAllocation</t>
  </si>
  <si>
    <t>Historical</t>
  </si>
  <si>
    <t>CheckAllocatedTaxlots</t>
  </si>
  <si>
    <t>M</t>
  </si>
  <si>
    <t>USD</t>
  </si>
  <si>
    <t>Allocation1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</si>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</sst>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2" numFmtId="14" xfId="0" applyFont="1" applyNumberForma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1000.0</v>
      </c>
      <c r="D6" s="12">
        <v>100.0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U6" s="9" t="s">
        <v>19</v>
      </c>
      <c r="V6" s="9" t="s">
        <v>20</v>
      </c>
      <c r="X6" s="9">
        <v>100.0</v>
      </c>
      <c r="Y6" s="30">
        <f>today()+3</f>
        <v>45872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1"/>
      <c r="F6" s="12" t="s">
        <v>18</v>
      </c>
      <c r="G6" s="12" t="s">
        <v>23</v>
      </c>
      <c r="H6" s="12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400.0</v>
      </c>
      <c r="D6" s="12">
        <v>100.0</v>
      </c>
      <c r="E6" s="12" t="s">
        <v>25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16</v>
      </c>
      <c r="D6" s="12"/>
      <c r="E6" s="31"/>
      <c r="F6" s="8"/>
      <c r="G6" s="12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16</v>
      </c>
      <c r="D6" s="12"/>
      <c r="E6" s="31"/>
      <c r="F6" s="8"/>
      <c r="G6" s="12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100.0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1"/>
      <c r="F6" s="12" t="s">
        <v>18</v>
      </c>
      <c r="G6" s="12" t="s">
        <v>30</v>
      </c>
      <c r="H6" s="12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200.0</v>
      </c>
      <c r="D6" s="12">
        <v>100.0</v>
      </c>
      <c r="E6" s="12" t="s">
        <v>25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16</v>
      </c>
      <c r="D6" s="12"/>
      <c r="E6" s="31"/>
      <c r="F6" s="8"/>
      <c r="G6" s="12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16</v>
      </c>
      <c r="D6" s="12"/>
      <c r="E6" s="31"/>
      <c r="F6" s="8"/>
      <c r="G6" s="12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100.0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1"/>
      <c r="F6" s="12" t="s">
        <v>18</v>
      </c>
      <c r="G6" s="12" t="s">
        <v>30</v>
      </c>
      <c r="H6" s="12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IFERROR(__xludf.DUMMYFUNCTION("""COMPUTED_VALUE"""),"CheckBox")</f>
        <v>CheckBox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L6" s="9">
        <v>400.0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SelectTradeSubOrderBlotter!$4:$4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18</v>
      </c>
      <c r="AM6" s="9">
        <v>400.0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12" t="s">
        <v>33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U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16</v>
      </c>
      <c r="D6" s="12"/>
      <c r="E6" s="31"/>
      <c r="F6" s="8"/>
      <c r="G6" s="12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16</v>
      </c>
      <c r="D6" s="12"/>
      <c r="E6" s="31"/>
      <c r="F6" s="8"/>
      <c r="G6" s="12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1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SelectTradeOnOrderGrid3!$4:$4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IFERROR(__xludf.DUMMYFUNCTION("""COMPUTED_VALUE"""),"Status (With Rollover)")</f>
        <v>Status (With Rollover)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L6" s="9">
        <v>400.0</v>
      </c>
      <c r="AX6" s="32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16</v>
      </c>
      <c r="D6" s="12"/>
      <c r="E6" s="31"/>
      <c r="F6" s="8"/>
      <c r="G6" s="12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100.0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33">
        <f>today()-1</f>
        <v>45868</v>
      </c>
      <c r="D6" s="34">
        <f>today()</f>
        <v>45869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>
        <v>2414.0013</v>
      </c>
      <c r="C6" s="8">
        <v>2414.0013</v>
      </c>
      <c r="D6" s="35">
        <v>2400.0</v>
      </c>
      <c r="E6" s="8">
        <v>2400.0</v>
      </c>
      <c r="F6" s="8" t="s">
        <v>41</v>
      </c>
      <c r="G6" s="8"/>
      <c r="H6" s="8" t="s">
        <v>42</v>
      </c>
      <c r="I6" s="8"/>
      <c r="J6" s="8"/>
      <c r="K6" s="8"/>
      <c r="L6" s="8"/>
      <c r="M6" s="8"/>
      <c r="N6" s="8"/>
      <c r="O6" s="8" t="s">
        <v>43</v>
      </c>
      <c r="P6" t="s">
        <v>44</v>
      </c>
      <c r="Q6">
        <v>100.0</v>
      </c>
      <c r="R6">
        <v>200.0</v>
      </c>
      <c r="S6">
        <v>0.0</v>
      </c>
      <c r="T6">
        <v>0.0</v>
      </c>
      <c r="U6">
        <v>0.0</v>
      </c>
      <c r="V6">
        <v>0.0</v>
      </c>
      <c r="W6">
        <v>0.0013</v>
      </c>
      <c r="X6">
        <v>2.0</v>
      </c>
      <c r="Y6">
        <v>4.0</v>
      </c>
      <c r="Z6">
        <v>3.0</v>
      </c>
      <c r="AA6">
        <v>5.0</v>
      </c>
      <c r="AB6">
        <v>0.0</v>
      </c>
      <c r="AC6">
        <v>0.0</v>
      </c>
      <c r="AD6">
        <v>0.0</v>
      </c>
      <c r="AE6">
        <v>0.0</v>
      </c>
      <c r="AF6" t="s">
        <v>45</v>
      </c>
      <c r="AI6">
        <v>12.0</v>
      </c>
      <c r="AJ6">
        <v>0.0</v>
      </c>
      <c r="AK6">
        <v>1.0</v>
      </c>
      <c r="AL6">
        <v>3.0</v>
      </c>
    </row>
    <row r="7" ht="15.75" customHeight="1">
      <c r="A7" s="8"/>
      <c r="B7" s="8">
        <v>1214.0007</v>
      </c>
      <c r="C7" s="8">
        <v>1214.0007</v>
      </c>
      <c r="D7" s="8">
        <v>1200.0</v>
      </c>
      <c r="E7" s="8">
        <v>1200.0</v>
      </c>
      <c r="F7" s="8" t="s">
        <v>41</v>
      </c>
      <c r="G7" s="8"/>
      <c r="H7" s="8" t="s">
        <v>42</v>
      </c>
      <c r="I7" s="8"/>
      <c r="J7" s="8"/>
      <c r="K7" s="8"/>
      <c r="L7" s="8"/>
      <c r="M7" s="8"/>
      <c r="N7" s="8"/>
      <c r="O7" s="8" t="s">
        <v>43</v>
      </c>
      <c r="P7" t="s">
        <v>44</v>
      </c>
      <c r="Q7">
        <v>100.0</v>
      </c>
      <c r="R7">
        <v>100.0</v>
      </c>
      <c r="S7">
        <v>0.0</v>
      </c>
      <c r="T7">
        <v>0.0</v>
      </c>
      <c r="U7">
        <v>0.0</v>
      </c>
      <c r="V7">
        <v>0.0</v>
      </c>
      <c r="W7">
        <v>7.0E-4</v>
      </c>
      <c r="X7">
        <v>2.0</v>
      </c>
      <c r="Y7">
        <v>4.0</v>
      </c>
      <c r="Z7">
        <v>3.0</v>
      </c>
      <c r="AA7">
        <v>5.0</v>
      </c>
      <c r="AB7">
        <v>0.0</v>
      </c>
      <c r="AC7">
        <v>0.0</v>
      </c>
      <c r="AD7">
        <v>0.0</v>
      </c>
      <c r="AE7">
        <v>0.0</v>
      </c>
      <c r="AF7" t="s">
        <v>45</v>
      </c>
      <c r="AI7">
        <v>12.0</v>
      </c>
      <c r="AJ7">
        <v>0.0</v>
      </c>
      <c r="AK7">
        <v>1.0</v>
      </c>
      <c r="AL7">
        <v>3.0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