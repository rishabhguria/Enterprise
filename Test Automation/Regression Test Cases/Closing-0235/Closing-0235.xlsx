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ExerciseAssignment" sheetId="10" r:id="rId12"/>
    <sheet name="SelectTradeUnexpiredUnsettled" sheetId="11" r:id="rId13"/>
    <sheet name="GetDataAllocation" sheetId="12" r:id="rId14"/>
    <sheet name="CheckAllocatedGroups" sheetId="13" r:id="rId15"/>
    <sheet name="CheckAllocatedTaxlot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<sst xmlns="http://schemas.openxmlformats.org/spreadsheetml/2006/main" count="60" uniqueCount="60">
  <si>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</si>
  <si>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</si>
  <si>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</si>
  <si>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</si>
  <si>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</si>
  <si>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</si>
  <si>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</si>
  <si>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</si>
  <si>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</si>
  <si>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</si>
  <si>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</si>
  <si>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</si>
  <si>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</si>
  <si>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</si>
  <si>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</si>
  <si>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</si>
  <si>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23P50.00D21</t>
  </si>
  <si>
    <t>O:AAPL 23P60.00D21</t>
  </si>
  <si>
    <t>O:AAPL 23P70.00D21</t>
  </si>
  <si>
    <t>Closing</t>
  </si>
  <si>
    <t>SetClosingPreference</t>
  </si>
  <si>
    <t>BTAX</t>
  </si>
  <si>
    <t>TradingTicket</t>
  </si>
  <si>
    <t>CreateDoneAwayOrder</t>
  </si>
  <si>
    <t>AAPL</t>
  </si>
  <si>
    <t>Sell short</t>
  </si>
  <si>
    <t>Allocation1</t>
  </si>
  <si>
    <t>Buy to Open</t>
  </si>
  <si>
    <t>Short</t>
  </si>
  <si>
    <t>DailyValuation</t>
  </si>
  <si>
    <t>GetMarkPriceData</t>
  </si>
  <si>
    <t>UpdateMarkPrice</t>
  </si>
  <si>
    <t>GetDataClosing</t>
  </si>
  <si>
    <t>Historical</t>
  </si>
  <si>
    <t>1/1/1800</t>
  </si>
  <si>
    <t>ExerciseAssignment</t>
  </si>
  <si>
    <t>SelectTradeUnexpiredUnsettled</t>
  </si>
  <si>
    <t>EquityOption</t>
  </si>
  <si>
    <t>Allocation</t>
  </si>
  <si>
    <t>GetDataAllocation</t>
  </si>
  <si>
    <t>CheckAllocatedGroups</t>
  </si>
  <si>
    <t>MS</t>
  </si>
  <si>
    <t>US</t>
  </si>
  <si>
    <t>Sell to Close</t>
  </si>
  <si>
    <t>CheckAllocatedTaxlots</t>
  </si>
  <si>
    <t>M</t>
  </si>
  <si>
    <t>Strategy Unallocated</t>
  </si>
  <si>
    <t>Closed</t>
  </si>
  <si>
    <t>Open</t>
  </si>
  <si>
    <t>D</t>
  </si>
  <si>
    <t>PortfolioManagement</t>
  </si>
  <si>
    <t>CheckPortfolioManagement</t>
  </si>
  <si>
    <t>NewMF</t>
  </si>
  <si>
    <t>APPLE</t>
  </si>
  <si>
    <t>FIMAT</t>
  </si>
  <si>
    <t>Equity</t>
  </si>
  <si>
    <t>NASDAQ</t>
  </si>
  <si>
    <t>USD</t>
  </si>
  <si>
    <t>jpearce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</si>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</sst>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 h:mm am/pm"/>
  </numFmts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1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numFmtId="16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numFmtId="164" applyNumberFormat="1" fontId="3" applyFont="1" fillId="0" applyFill="1" borderId="0" applyBorder="1" xfId="0"/>
    <xf numFmtId="165" applyNumberFormat="1" fontId="3" applyFont="1" fillId="0" applyFill="1" borderId="0" applyBorder="1" xfId="0"/>
    <xf numFmtId="4" applyNumberFormat="1" fontId="5" applyFont="1" fillId="0" applyFill="1" borderId="0" applyBorder="1" xfId="0"/>
    <xf numFmtId="4" applyNumberFormat="1" fontId="2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6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6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6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6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6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6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6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6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6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6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6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6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6"/>
  <sheetViews>
    <sheetView workbookViewId="0"/>
  </sheetViews>
  <sheetFormatPr customHeight="1" defaultColWidth="15.13" defaultRowHeight="15.0"/>
  <cols>
    <col min="1" max="1" width="5.88" customWidth="1"/>
    <col min="2" max="2" width="18.88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9" t="s">
        <v>16</v>
      </c>
      <c r="C6" s="31">
        <f>TODAY()-11</f>
        <v>45032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17</v>
      </c>
      <c r="C7" s="31">
        <f ref="C7:C8" t="shared" si="1">TODAY()-10</f>
        <v>45033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17</v>
      </c>
      <c r="C8" s="31">
        <f t="shared" si="1"/>
        <v>45033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18</v>
      </c>
      <c r="C9" s="31">
        <f>TODAY()-11</f>
        <v>45032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8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 t="s">
        <v>21</v>
      </c>
      <c r="D6" s="32"/>
      <c r="E6" s="33" t="b">
        <v>1</v>
      </c>
      <c r="F6" s="32"/>
      <c r="G6" s="32"/>
      <c r="H6" s="32"/>
      <c r="I6" s="32"/>
      <c r="J6" s="33" t="b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24</v>
      </c>
      <c r="C6" s="13" t="s">
        <v>25</v>
      </c>
      <c r="D6" s="35">
        <v>1000</v>
      </c>
      <c r="E6" s="35">
        <v>1000</v>
      </c>
      <c r="F6" s="34" t="s">
        <v>26</v>
      </c>
      <c r="G6" s="32"/>
      <c r="H6" s="32"/>
      <c r="I6" s="32"/>
      <c r="J6" s="35">
        <v>1</v>
      </c>
      <c r="K6" s="32"/>
      <c r="L6" s="32"/>
      <c r="M6" s="32"/>
      <c r="N6" s="31">
        <f>TODAY()-10</f>
        <v>45033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9" t="s">
        <v>16</v>
      </c>
      <c r="C7" s="34" t="s">
        <v>27</v>
      </c>
      <c r="D7" s="35">
        <v>10</v>
      </c>
      <c r="E7" s="35">
        <v>10</v>
      </c>
      <c r="F7" s="34" t="s">
        <v>26</v>
      </c>
      <c r="G7" s="32"/>
      <c r="H7" s="32"/>
      <c r="I7" s="32"/>
      <c r="J7" s="35">
        <v>10</v>
      </c>
      <c r="K7" s="32"/>
      <c r="L7" s="32"/>
      <c r="M7" s="32"/>
      <c r="N7" s="31">
        <f ref="N7:N10" t="shared" si="1">TODAY()-15</f>
        <v>45028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17</v>
      </c>
      <c r="C8" s="34" t="s">
        <v>27</v>
      </c>
      <c r="D8" s="35">
        <v>10</v>
      </c>
      <c r="E8" s="35">
        <v>10</v>
      </c>
      <c r="F8" s="34" t="s">
        <v>26</v>
      </c>
      <c r="G8" s="32"/>
      <c r="H8" s="32"/>
      <c r="I8" s="32"/>
      <c r="J8" s="35">
        <v>10</v>
      </c>
      <c r="K8" s="32"/>
      <c r="L8" s="32"/>
      <c r="M8" s="32"/>
      <c r="N8" s="31">
        <f t="shared" si="1"/>
        <v>45028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17</v>
      </c>
      <c r="C9" s="34" t="s">
        <v>27</v>
      </c>
      <c r="D9" s="35">
        <v>10</v>
      </c>
      <c r="E9" s="35">
        <v>10</v>
      </c>
      <c r="F9" s="34" t="s">
        <v>26</v>
      </c>
      <c r="G9" s="32"/>
      <c r="H9" s="32"/>
      <c r="I9" s="32"/>
      <c r="J9" s="35">
        <v>10</v>
      </c>
      <c r="K9" s="32"/>
      <c r="L9" s="32"/>
      <c r="M9" s="34" t="s">
        <v>28</v>
      </c>
      <c r="N9" s="31">
        <f t="shared" si="1"/>
        <v>45028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18</v>
      </c>
      <c r="C10" s="34" t="s">
        <v>27</v>
      </c>
      <c r="D10" s="35">
        <v>10</v>
      </c>
      <c r="E10" s="35">
        <v>10</v>
      </c>
      <c r="F10" s="34" t="s">
        <v>26</v>
      </c>
      <c r="G10" s="32"/>
      <c r="H10" s="32"/>
      <c r="I10" s="32"/>
      <c r="J10" s="35">
        <v>10</v>
      </c>
      <c r="K10" s="32"/>
      <c r="L10" s="32"/>
      <c r="M10" s="32"/>
      <c r="N10" s="31">
        <f t="shared" si="1"/>
        <v>45028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32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>today()-1</f>
        <v>45042</v>
      </c>
      <c r="C6" s="31">
        <f>today()</f>
        <v>45043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24</v>
      </c>
      <c r="C6" s="35">
        <v>120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7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33</v>
      </c>
      <c r="C6" s="31" t="s">
        <v>34</v>
      </c>
      <c r="D6" s="31">
        <f>TODAY()</f>
        <v>45043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7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26</v>
      </c>
      <c r="C6" s="32"/>
      <c r="D6" s="32"/>
      <c r="E6" s="34" t="s">
        <v>37</v>
      </c>
      <c r="F6" s="32"/>
      <c r="G6" s="32"/>
      <c r="H6" s="32"/>
      <c r="I6" s="35">
        <v>10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6">
        <v>10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4" t="s">
        <v>27</v>
      </c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6">
        <v>10</v>
      </c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9" t="s">
        <v>16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4" t="s">
        <v>26</v>
      </c>
      <c r="C7" s="32"/>
      <c r="D7" s="32"/>
      <c r="E7" s="34" t="s">
        <v>37</v>
      </c>
      <c r="F7" s="32"/>
      <c r="G7" s="32"/>
      <c r="H7" s="32"/>
      <c r="I7" s="35">
        <v>10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6">
        <v>10</v>
      </c>
      <c r="AR7" s="37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4" t="s">
        <v>27</v>
      </c>
      <c r="BW7" s="32"/>
      <c r="BX7" s="32"/>
      <c r="BY7" s="32"/>
      <c r="BZ7" s="32"/>
      <c r="CA7" s="32"/>
      <c r="CB7" s="32"/>
      <c r="CC7" s="32"/>
      <c r="CD7" s="38"/>
      <c r="CE7" s="32"/>
      <c r="CF7" s="32"/>
      <c r="CG7" s="36">
        <v>10</v>
      </c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 t="s">
        <v>17</v>
      </c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4" t="s">
        <v>26</v>
      </c>
      <c r="C8" s="32"/>
      <c r="D8" s="32"/>
      <c r="E8" s="34" t="s">
        <v>37</v>
      </c>
      <c r="F8" s="32"/>
      <c r="G8" s="32"/>
      <c r="H8" s="32"/>
      <c r="I8" s="35">
        <v>10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6">
        <v>10</v>
      </c>
      <c r="AR8" s="37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4" t="s">
        <v>27</v>
      </c>
      <c r="BW8" s="32"/>
      <c r="BX8" s="32"/>
      <c r="BY8" s="32"/>
      <c r="BZ8" s="32"/>
      <c r="CA8" s="32"/>
      <c r="CB8" s="32"/>
      <c r="CC8" s="32"/>
      <c r="CD8" s="38"/>
      <c r="CE8" s="32"/>
      <c r="CF8" s="32"/>
      <c r="CG8" s="36">
        <v>10</v>
      </c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4" t="s">
        <v>28</v>
      </c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4" t="s">
        <v>26</v>
      </c>
      <c r="C9" s="32"/>
      <c r="D9" s="32"/>
      <c r="E9" s="34" t="s">
        <v>37</v>
      </c>
      <c r="F9" s="32"/>
      <c r="G9" s="32"/>
      <c r="H9" s="32"/>
      <c r="I9" s="35">
        <v>10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6">
        <v>10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4" t="s">
        <v>27</v>
      </c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6">
        <v>10</v>
      </c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 t="s">
        <v>18</v>
      </c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33</v>
      </c>
      <c r="C6" s="31" t="s">
        <v>34</v>
      </c>
      <c r="D6" s="31">
        <f>TODAY()</f>
        <v>45043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8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26</v>
      </c>
      <c r="C6" s="8"/>
      <c r="D6" s="8"/>
      <c r="E6" s="13">
        <v>10</v>
      </c>
      <c r="F6" s="8"/>
      <c r="G6" s="8"/>
      <c r="H6" s="8"/>
      <c r="I6" s="8"/>
      <c r="J6" s="8"/>
      <c r="K6" s="8"/>
      <c r="L6" s="8"/>
      <c r="M6" s="8"/>
      <c r="N6" s="8"/>
      <c r="O6" s="13" t="s">
        <v>41</v>
      </c>
      <c r="BO6" s="9" t="s">
        <v>27</v>
      </c>
      <c r="BT6" s="9" t="s">
        <v>17</v>
      </c>
      <c r="CK6" s="9" t="s">
        <v>42</v>
      </c>
      <c r="CM6" s="9" t="s">
        <v>24</v>
      </c>
    </row>
    <row r="7" ht="15.75" customHeight="1">
      <c r="A7" s="8"/>
      <c r="B7" s="13" t="s">
        <v>26</v>
      </c>
      <c r="C7" s="8"/>
      <c r="D7" s="8"/>
      <c r="E7" s="13">
        <v>10</v>
      </c>
      <c r="F7" s="8"/>
      <c r="G7" s="8"/>
      <c r="H7" s="8"/>
      <c r="I7" s="8"/>
      <c r="J7" s="8"/>
      <c r="K7" s="8"/>
      <c r="L7" s="8"/>
      <c r="M7" s="8"/>
      <c r="N7" s="8"/>
      <c r="O7" s="13" t="s">
        <v>41</v>
      </c>
      <c r="BO7" s="9" t="s">
        <v>27</v>
      </c>
      <c r="BT7" s="9" t="s">
        <v>16</v>
      </c>
      <c r="CK7" s="9" t="s">
        <v>42</v>
      </c>
      <c r="CM7" s="9" t="s">
        <v>24</v>
      </c>
    </row>
    <row r="8" ht="15.75" customHeight="1">
      <c r="A8" s="8"/>
      <c r="B8" s="13" t="s">
        <v>26</v>
      </c>
      <c r="C8" s="8"/>
      <c r="D8" s="8"/>
      <c r="E8" s="39">
        <v>1000</v>
      </c>
      <c r="F8" s="8"/>
      <c r="G8" s="8"/>
      <c r="H8" s="8"/>
      <c r="I8" s="8"/>
      <c r="J8" s="8"/>
      <c r="K8" s="8"/>
      <c r="L8" s="8"/>
      <c r="M8" s="8"/>
      <c r="N8" s="8"/>
      <c r="O8" s="13" t="s">
        <v>41</v>
      </c>
      <c r="BO8" s="9" t="s">
        <v>25</v>
      </c>
      <c r="BT8" s="9" t="s">
        <v>24</v>
      </c>
      <c r="CK8" s="9" t="s">
        <v>42</v>
      </c>
      <c r="CM8" s="9" t="s">
        <v>24</v>
      </c>
    </row>
    <row r="9" ht="15.75" customHeight="1">
      <c r="A9" s="8"/>
      <c r="B9" s="13" t="s">
        <v>26</v>
      </c>
      <c r="C9" s="8"/>
      <c r="D9" s="8"/>
      <c r="E9" s="13">
        <v>10</v>
      </c>
      <c r="F9" s="8"/>
      <c r="G9" s="8"/>
      <c r="H9" s="8"/>
      <c r="I9" s="8"/>
      <c r="J9" s="8"/>
      <c r="K9" s="8"/>
      <c r="L9" s="8"/>
      <c r="M9" s="8"/>
      <c r="N9" s="8"/>
      <c r="O9" s="13" t="s">
        <v>41</v>
      </c>
      <c r="BO9" s="9" t="s">
        <v>43</v>
      </c>
      <c r="BT9" s="9" t="s">
        <v>17</v>
      </c>
      <c r="CK9" s="9" t="s">
        <v>42</v>
      </c>
      <c r="CM9" s="9" t="s">
        <v>24</v>
      </c>
    </row>
    <row r="10" ht="15.75" customHeight="1">
      <c r="A10" s="8"/>
      <c r="B10" s="13" t="s">
        <v>26</v>
      </c>
      <c r="C10" s="8"/>
      <c r="D10" s="8"/>
      <c r="E10" s="39">
        <v>1000</v>
      </c>
      <c r="F10" s="8"/>
      <c r="G10" s="8"/>
      <c r="H10" s="8"/>
      <c r="I10" s="8"/>
      <c r="J10" s="8"/>
      <c r="K10" s="8"/>
      <c r="L10" s="8"/>
      <c r="M10" s="8"/>
      <c r="N10" s="8"/>
      <c r="O10" s="13" t="s">
        <v>41</v>
      </c>
      <c r="BO10" s="9" t="s">
        <v>25</v>
      </c>
      <c r="BT10" s="9" t="s">
        <v>24</v>
      </c>
      <c r="CK10" s="9" t="s">
        <v>42</v>
      </c>
      <c r="CM10" s="9" t="s">
        <v>24</v>
      </c>
    </row>
    <row r="11" ht="15.75" customHeight="1">
      <c r="A11" s="8"/>
      <c r="B11" s="13" t="s">
        <v>26</v>
      </c>
      <c r="C11" s="8"/>
      <c r="D11" s="8"/>
      <c r="E11" s="13">
        <v>10</v>
      </c>
      <c r="F11" s="8"/>
      <c r="G11" s="8"/>
      <c r="H11" s="8"/>
      <c r="I11" s="8"/>
      <c r="J11" s="8"/>
      <c r="K11" s="8"/>
      <c r="L11" s="8"/>
      <c r="M11" s="8"/>
      <c r="N11" s="8"/>
      <c r="O11" s="13" t="s">
        <v>41</v>
      </c>
      <c r="BO11" s="9" t="s">
        <v>27</v>
      </c>
      <c r="BT11" s="9" t="s">
        <v>18</v>
      </c>
      <c r="CK11" s="9" t="s">
        <v>42</v>
      </c>
      <c r="CM11" s="9" t="s">
        <v>24</v>
      </c>
    </row>
    <row r="12" ht="15.75" customHeight="1">
      <c r="A12" s="8"/>
      <c r="B12" s="13" t="s">
        <v>26</v>
      </c>
      <c r="C12" s="8"/>
      <c r="D12" s="8"/>
      <c r="E12" s="13">
        <v>10</v>
      </c>
      <c r="F12" s="8"/>
      <c r="G12" s="8"/>
      <c r="H12" s="8"/>
      <c r="I12" s="8"/>
      <c r="J12" s="8"/>
      <c r="K12" s="8"/>
      <c r="L12" s="8"/>
      <c r="M12" s="8"/>
      <c r="N12" s="8"/>
      <c r="O12" s="13" t="s">
        <v>41</v>
      </c>
      <c r="BO12" s="9" t="s">
        <v>27</v>
      </c>
      <c r="BT12" s="9" t="s">
        <v>17</v>
      </c>
      <c r="CK12" s="9" t="s">
        <v>42</v>
      </c>
      <c r="CM12" s="9" t="s">
        <v>24</v>
      </c>
    </row>
    <row r="13" ht="15.75" customHeight="1">
      <c r="B13" s="9" t="s">
        <v>26</v>
      </c>
      <c r="E13" s="9">
        <v>10</v>
      </c>
      <c r="O13" s="9" t="s">
        <v>41</v>
      </c>
      <c r="BO13" s="9" t="s">
        <v>43</v>
      </c>
      <c r="BT13" s="9" t="s">
        <v>16</v>
      </c>
      <c r="CK13" s="9" t="s">
        <v>42</v>
      </c>
      <c r="CM13" s="9" t="s">
        <v>24</v>
      </c>
    </row>
    <row r="14" ht="15.75" customHeight="1">
      <c r="B14" s="9" t="s">
        <v>26</v>
      </c>
      <c r="E14" s="9">
        <v>10</v>
      </c>
      <c r="O14" s="9" t="s">
        <v>41</v>
      </c>
      <c r="BO14" s="9" t="s">
        <v>43</v>
      </c>
      <c r="BT14" s="9" t="s">
        <v>17</v>
      </c>
      <c r="CK14" s="9" t="s">
        <v>42</v>
      </c>
      <c r="CM14" s="9" t="s">
        <v>24</v>
      </c>
    </row>
    <row r="15" ht="15.75" customHeight="1">
      <c r="B15" s="9" t="s">
        <v>26</v>
      </c>
      <c r="E15" s="9">
        <v>10</v>
      </c>
      <c r="O15" s="9" t="s">
        <v>41</v>
      </c>
      <c r="BO15" s="9" t="s">
        <v>43</v>
      </c>
      <c r="BT15" s="9" t="s">
        <v>18</v>
      </c>
      <c r="CK15" s="9" t="s">
        <v>42</v>
      </c>
      <c r="CM15" s="9" t="s">
        <v>24</v>
      </c>
    </row>
    <row r="16" ht="15.75" customHeight="1">
      <c r="B16" s="9" t="s">
        <v>26</v>
      </c>
      <c r="E16" s="40">
        <v>1000</v>
      </c>
      <c r="O16" s="9" t="s">
        <v>41</v>
      </c>
      <c r="BO16" s="9" t="s">
        <v>25</v>
      </c>
      <c r="BT16" s="9" t="s">
        <v>24</v>
      </c>
      <c r="CK16" s="9" t="s">
        <v>42</v>
      </c>
      <c r="CM16" s="9" t="s">
        <v>24</v>
      </c>
    </row>
    <row r="17" ht="15.75" customHeight="1">
      <c r="B17" s="9" t="s">
        <v>26</v>
      </c>
      <c r="E17" s="40">
        <v>1000</v>
      </c>
      <c r="O17" s="9" t="s">
        <v>41</v>
      </c>
      <c r="BO17" s="9" t="s">
        <v>25</v>
      </c>
      <c r="BT17" s="9" t="s">
        <v>24</v>
      </c>
      <c r="CK17" s="9" t="s">
        <v>42</v>
      </c>
      <c r="CM17" s="9" t="s">
        <v>24</v>
      </c>
    </row>
    <row r="18" ht="15.75" customHeight="1">
      <c r="B18" s="9" t="s">
        <v>26</v>
      </c>
      <c r="E18" s="40">
        <v>1000</v>
      </c>
      <c r="O18" s="9" t="s">
        <v>41</v>
      </c>
      <c r="BO18" s="9" t="s">
        <v>25</v>
      </c>
      <c r="BT18" s="9" t="s">
        <v>24</v>
      </c>
      <c r="CK18" s="9" t="s">
        <v>42</v>
      </c>
      <c r="CM18" s="9" t="s">
        <v>24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8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13" t="s">
        <v>45</v>
      </c>
      <c r="G6" s="8"/>
      <c r="H6" s="8"/>
      <c r="I6" s="8"/>
      <c r="J6" s="8"/>
      <c r="K6" s="8"/>
      <c r="L6" s="8"/>
      <c r="M6" s="8"/>
      <c r="N6" s="8"/>
      <c r="O6" s="13" t="s">
        <v>26</v>
      </c>
      <c r="P6" s="9" t="s">
        <v>46</v>
      </c>
      <c r="Q6" s="9">
        <v>100</v>
      </c>
      <c r="R6" s="9">
        <v>10</v>
      </c>
      <c r="AF6" s="9" t="s">
        <v>47</v>
      </c>
      <c r="AI6" s="9">
        <v>10</v>
      </c>
      <c r="AK6" s="9">
        <v>1</v>
      </c>
      <c r="AL6" s="9">
        <v>3</v>
      </c>
    </row>
    <row r="7" ht="15.75" customHeight="1">
      <c r="A7" s="8"/>
      <c r="B7" s="8"/>
      <c r="C7" s="8"/>
      <c r="D7" s="8"/>
      <c r="E7" s="8"/>
      <c r="F7" s="13" t="s">
        <v>45</v>
      </c>
      <c r="G7" s="8"/>
      <c r="H7" s="8"/>
      <c r="I7" s="8"/>
      <c r="J7" s="8"/>
      <c r="K7" s="8"/>
      <c r="L7" s="8"/>
      <c r="M7" s="8"/>
      <c r="N7" s="8"/>
      <c r="O7" s="13" t="s">
        <v>26</v>
      </c>
      <c r="P7" s="9" t="s">
        <v>46</v>
      </c>
      <c r="Q7" s="9">
        <v>100</v>
      </c>
      <c r="R7" s="9">
        <v>10</v>
      </c>
      <c r="AF7" s="9" t="s">
        <v>47</v>
      </c>
      <c r="AI7" s="9">
        <v>10</v>
      </c>
      <c r="AK7" s="9">
        <v>1</v>
      </c>
      <c r="AL7" s="9">
        <v>3</v>
      </c>
    </row>
    <row r="8" ht="15.75" customHeight="1">
      <c r="A8" s="8"/>
      <c r="B8" s="8"/>
      <c r="C8" s="8"/>
      <c r="D8" s="8"/>
      <c r="E8" s="8"/>
      <c r="F8" s="13" t="s">
        <v>45</v>
      </c>
      <c r="G8" s="8"/>
      <c r="H8" s="8"/>
      <c r="I8" s="8"/>
      <c r="J8" s="8"/>
      <c r="K8" s="8"/>
      <c r="L8" s="8"/>
      <c r="M8" s="8"/>
      <c r="N8" s="8"/>
      <c r="O8" s="13" t="s">
        <v>26</v>
      </c>
      <c r="P8" s="9" t="s">
        <v>46</v>
      </c>
      <c r="Q8" s="9">
        <v>100</v>
      </c>
      <c r="R8" s="40">
        <v>1000</v>
      </c>
      <c r="AF8" s="9" t="s">
        <v>48</v>
      </c>
      <c r="AI8" s="9">
        <v>1</v>
      </c>
      <c r="AK8" s="9">
        <v>1</v>
      </c>
      <c r="AL8" s="9">
        <v>3</v>
      </c>
    </row>
    <row r="9" ht="15.75" customHeight="1">
      <c r="A9" s="8"/>
      <c r="B9" s="8"/>
      <c r="C9" s="8"/>
      <c r="D9" s="8"/>
      <c r="E9" s="8"/>
      <c r="F9" s="13" t="s">
        <v>45</v>
      </c>
      <c r="G9" s="8"/>
      <c r="H9" s="8"/>
      <c r="I9" s="8"/>
      <c r="J9" s="8"/>
      <c r="K9" s="8"/>
      <c r="L9" s="8"/>
      <c r="M9" s="8"/>
      <c r="N9" s="8"/>
      <c r="O9" s="13" t="s">
        <v>26</v>
      </c>
      <c r="P9" s="9" t="s">
        <v>28</v>
      </c>
      <c r="Q9" s="9">
        <v>100</v>
      </c>
      <c r="R9" s="9">
        <v>10</v>
      </c>
      <c r="AF9" s="9" t="s">
        <v>47</v>
      </c>
      <c r="AK9" s="9">
        <v>1</v>
      </c>
      <c r="AL9" s="9">
        <v>3</v>
      </c>
    </row>
    <row r="10" ht="15.75" customHeight="1">
      <c r="A10" s="8"/>
      <c r="B10" s="8"/>
      <c r="C10" s="8"/>
      <c r="D10" s="8"/>
      <c r="E10" s="8"/>
      <c r="F10" s="13" t="s">
        <v>49</v>
      </c>
      <c r="G10" s="8"/>
      <c r="H10" s="8"/>
      <c r="I10" s="8"/>
      <c r="J10" s="8"/>
      <c r="K10" s="8"/>
      <c r="L10" s="8"/>
      <c r="M10" s="8"/>
      <c r="N10" s="8"/>
      <c r="O10" s="13" t="s">
        <v>26</v>
      </c>
      <c r="P10" s="9" t="s">
        <v>28</v>
      </c>
      <c r="Q10" s="9">
        <v>100</v>
      </c>
      <c r="R10" s="40">
        <v>1000</v>
      </c>
      <c r="AF10" s="9" t="s">
        <v>48</v>
      </c>
      <c r="AI10" s="9">
        <v>60</v>
      </c>
      <c r="AK10" s="9">
        <v>1</v>
      </c>
      <c r="AL10" s="9">
        <v>3</v>
      </c>
    </row>
    <row r="11" ht="15.75" customHeight="1">
      <c r="A11" s="8"/>
      <c r="B11" s="8"/>
      <c r="C11" s="8"/>
      <c r="D11" s="8"/>
      <c r="E11" s="8"/>
      <c r="F11" s="13" t="s">
        <v>45</v>
      </c>
      <c r="G11" s="8"/>
      <c r="H11" s="8"/>
      <c r="I11" s="8"/>
      <c r="J11" s="8"/>
      <c r="K11" s="8"/>
      <c r="L11" s="8"/>
      <c r="M11" s="8"/>
      <c r="N11" s="8"/>
      <c r="O11" s="13" t="s">
        <v>26</v>
      </c>
      <c r="P11" s="9" t="s">
        <v>46</v>
      </c>
      <c r="Q11" s="9">
        <v>100</v>
      </c>
      <c r="R11" s="9">
        <v>10</v>
      </c>
      <c r="AF11" s="9" t="s">
        <v>47</v>
      </c>
      <c r="AI11" s="9">
        <v>10</v>
      </c>
      <c r="AK11" s="9">
        <v>1</v>
      </c>
      <c r="AL11" s="9">
        <v>3</v>
      </c>
    </row>
    <row r="12" ht="15.75" customHeight="1">
      <c r="A12" s="8"/>
      <c r="B12" s="8"/>
      <c r="C12" s="8"/>
      <c r="D12" s="8"/>
      <c r="E12" s="8"/>
      <c r="F12" s="13" t="s">
        <v>45</v>
      </c>
      <c r="G12" s="8"/>
      <c r="H12" s="8"/>
      <c r="I12" s="8"/>
      <c r="J12" s="8"/>
      <c r="K12" s="8"/>
      <c r="L12" s="8"/>
      <c r="M12" s="8"/>
      <c r="N12" s="8"/>
      <c r="O12" s="13" t="s">
        <v>26</v>
      </c>
      <c r="P12" s="9" t="s">
        <v>28</v>
      </c>
      <c r="Q12" s="9">
        <v>100</v>
      </c>
      <c r="R12" s="9">
        <v>10</v>
      </c>
      <c r="AF12" s="9" t="s">
        <v>47</v>
      </c>
      <c r="AI12" s="9">
        <v>10</v>
      </c>
      <c r="AK12" s="9">
        <v>1</v>
      </c>
      <c r="AL12" s="9">
        <v>3</v>
      </c>
    </row>
    <row r="13" ht="15.75" customHeight="1">
      <c r="A13" s="8"/>
      <c r="B13" s="8"/>
      <c r="C13" s="8"/>
      <c r="D13" s="8"/>
      <c r="E13" s="8"/>
      <c r="F13" s="13" t="s">
        <v>45</v>
      </c>
      <c r="G13" s="8"/>
      <c r="H13" s="8"/>
      <c r="I13" s="8"/>
      <c r="J13" s="8"/>
      <c r="K13" s="8"/>
      <c r="L13" s="8"/>
      <c r="M13" s="8"/>
      <c r="N13" s="8"/>
      <c r="O13" s="13" t="s">
        <v>26</v>
      </c>
      <c r="P13" s="9" t="s">
        <v>46</v>
      </c>
      <c r="Q13" s="9">
        <v>100</v>
      </c>
      <c r="R13" s="9">
        <v>10</v>
      </c>
      <c r="AF13" s="9" t="s">
        <v>47</v>
      </c>
      <c r="AK13" s="9">
        <v>1</v>
      </c>
      <c r="AL13" s="9">
        <v>3</v>
      </c>
    </row>
    <row r="14" ht="15.75" customHeight="1">
      <c r="A14" s="8"/>
      <c r="B14" s="8"/>
      <c r="C14" s="8"/>
      <c r="D14" s="8"/>
      <c r="E14" s="8"/>
      <c r="F14" s="13" t="s">
        <v>45</v>
      </c>
      <c r="G14" s="8"/>
      <c r="H14" s="8"/>
      <c r="I14" s="8"/>
      <c r="J14" s="8"/>
      <c r="K14" s="8"/>
      <c r="L14" s="8"/>
      <c r="M14" s="8"/>
      <c r="N14" s="8"/>
      <c r="O14" s="13" t="s">
        <v>26</v>
      </c>
      <c r="P14" s="9" t="s">
        <v>46</v>
      </c>
      <c r="Q14" s="9">
        <v>100</v>
      </c>
      <c r="R14" s="9">
        <v>10</v>
      </c>
      <c r="AF14" s="9" t="s">
        <v>47</v>
      </c>
      <c r="AK14" s="9">
        <v>1</v>
      </c>
      <c r="AL14" s="9">
        <v>3</v>
      </c>
    </row>
    <row r="15" ht="15.75" customHeight="1">
      <c r="A15" s="8"/>
      <c r="B15" s="8"/>
      <c r="C15" s="8"/>
      <c r="D15" s="8"/>
      <c r="E15" s="8"/>
      <c r="F15" s="13" t="s">
        <v>45</v>
      </c>
      <c r="G15" s="8"/>
      <c r="H15" s="8"/>
      <c r="I15" s="8"/>
      <c r="J15" s="8"/>
      <c r="K15" s="8"/>
      <c r="L15" s="8"/>
      <c r="M15" s="8"/>
      <c r="N15" s="8"/>
      <c r="O15" s="13" t="s">
        <v>26</v>
      </c>
      <c r="P15" s="9" t="s">
        <v>46</v>
      </c>
      <c r="Q15" s="9">
        <v>100</v>
      </c>
      <c r="R15" s="9">
        <v>10</v>
      </c>
      <c r="AF15" s="9" t="s">
        <v>47</v>
      </c>
      <c r="AK15" s="9">
        <v>1</v>
      </c>
      <c r="AL15" s="9">
        <v>3</v>
      </c>
    </row>
    <row r="16" ht="15.75" customHeight="1">
      <c r="A16" s="8"/>
      <c r="B16" s="8"/>
      <c r="C16" s="8"/>
      <c r="D16" s="8"/>
      <c r="E16" s="8"/>
      <c r="F16" s="13" t="s">
        <v>49</v>
      </c>
      <c r="G16" s="8"/>
      <c r="H16" s="8"/>
      <c r="I16" s="8"/>
      <c r="J16" s="8"/>
      <c r="K16" s="8"/>
      <c r="L16" s="8"/>
      <c r="M16" s="8"/>
      <c r="N16" s="8"/>
      <c r="O16" s="13" t="s">
        <v>26</v>
      </c>
      <c r="P16" s="9" t="s">
        <v>46</v>
      </c>
      <c r="Q16" s="9">
        <v>100</v>
      </c>
      <c r="R16" s="40">
        <v>1000</v>
      </c>
      <c r="AF16" s="9" t="s">
        <v>48</v>
      </c>
      <c r="AI16" s="9">
        <v>70</v>
      </c>
      <c r="AK16" s="9">
        <v>1</v>
      </c>
      <c r="AL16" s="9">
        <v>3</v>
      </c>
    </row>
    <row r="17" ht="15.75" customHeight="1">
      <c r="F17" s="9" t="s">
        <v>49</v>
      </c>
      <c r="O17" s="9" t="s">
        <v>26</v>
      </c>
      <c r="P17" s="9" t="s">
        <v>46</v>
      </c>
      <c r="Q17" s="9">
        <v>100</v>
      </c>
      <c r="R17" s="40">
        <v>1000</v>
      </c>
      <c r="AF17" s="9" t="s">
        <v>48</v>
      </c>
      <c r="AI17" s="9">
        <v>60</v>
      </c>
      <c r="AK17" s="9">
        <v>1</v>
      </c>
      <c r="AL17" s="9">
        <v>3</v>
      </c>
    </row>
    <row r="18" ht="15.75" customHeight="1">
      <c r="F18" s="9" t="s">
        <v>49</v>
      </c>
      <c r="O18" s="9" t="s">
        <v>26</v>
      </c>
      <c r="P18" s="9" t="s">
        <v>46</v>
      </c>
      <c r="Q18" s="9">
        <v>100</v>
      </c>
      <c r="R18" s="40">
        <v>1000</v>
      </c>
      <c r="AF18" s="9" t="s">
        <v>48</v>
      </c>
      <c r="AI18" s="9">
        <v>50</v>
      </c>
      <c r="AK18" s="9">
        <v>1</v>
      </c>
      <c r="AL18" s="9">
        <v>3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W10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9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</row>
    <row r="6" ht="15.75" customHeight="1">
      <c r="C6" s="0" t="s">
        <v>24</v>
      </c>
      <c r="D6" s="0">
        <v>-1000</v>
      </c>
      <c r="E6" s="0" t="s">
        <v>26</v>
      </c>
      <c r="F6" s="0" t="s">
        <v>52</v>
      </c>
      <c r="H6" s="0" t="s">
        <v>28</v>
      </c>
      <c r="O6" s="0" t="s">
        <v>53</v>
      </c>
      <c r="Q6" s="0">
        <v>1000</v>
      </c>
      <c r="R6" s="0" t="s">
        <v>54</v>
      </c>
      <c r="T6" s="0" t="s">
        <v>55</v>
      </c>
      <c r="U6" s="0" t="s">
        <v>42</v>
      </c>
      <c r="V6" s="0" t="s">
        <v>56</v>
      </c>
      <c r="W6" s="0" t="s">
        <v>57</v>
      </c>
      <c r="AL6" s="0">
        <v>1</v>
      </c>
      <c r="AM6" s="0">
        <v>1</v>
      </c>
      <c r="AN6" s="0" t="s">
        <v>25</v>
      </c>
      <c r="AP6" s="0" t="s">
        <v>28</v>
      </c>
      <c r="AQ6" s="0" t="s">
        <v>24</v>
      </c>
      <c r="BQ6" s="0" t="s">
        <v>58</v>
      </c>
      <c r="BR6" s="0" t="s">
        <v>41</v>
      </c>
      <c r="BU6" s="0" t="s">
        <v>55</v>
      </c>
      <c r="CN6" s="0" t="s">
        <v>24</v>
      </c>
      <c r="CO6" s="0" t="s">
        <v>24</v>
      </c>
      <c r="FH6" s="0" t="s">
        <v>59</v>
      </c>
      <c r="FI6" s="0" t="s">
        <v>59</v>
      </c>
      <c r="FK6" s="0" t="s">
        <v>59</v>
      </c>
      <c r="FL6" s="0" t="s">
        <v>59</v>
      </c>
      <c r="FM6" s="0" t="s">
        <v>59</v>
      </c>
      <c r="FN6" s="0" t="s">
        <v>59</v>
      </c>
      <c r="FO6" s="0" t="s">
        <v>59</v>
      </c>
      <c r="FP6" s="0" t="s">
        <v>59</v>
      </c>
      <c r="FQ6" s="0" t="s">
        <v>59</v>
      </c>
    </row>
    <row r="7" ht="15.75" customHeight="1">
      <c r="C7" s="0" t="s">
        <v>24</v>
      </c>
      <c r="D7" s="0">
        <v>-1000</v>
      </c>
      <c r="E7" s="0" t="s">
        <v>26</v>
      </c>
      <c r="F7" s="0" t="s">
        <v>52</v>
      </c>
      <c r="H7" s="0" t="s">
        <v>28</v>
      </c>
      <c r="O7" s="0" t="s">
        <v>53</v>
      </c>
      <c r="Q7" s="0">
        <v>60000</v>
      </c>
      <c r="R7" s="0" t="s">
        <v>54</v>
      </c>
      <c r="T7" s="0" t="s">
        <v>55</v>
      </c>
      <c r="U7" s="0" t="s">
        <v>42</v>
      </c>
      <c r="V7" s="0" t="s">
        <v>56</v>
      </c>
      <c r="W7" s="0" t="s">
        <v>57</v>
      </c>
      <c r="AL7" s="0">
        <v>1</v>
      </c>
      <c r="AM7" s="0">
        <v>1</v>
      </c>
      <c r="AN7" s="0" t="s">
        <v>25</v>
      </c>
      <c r="AP7" s="0" t="s">
        <v>28</v>
      </c>
      <c r="AQ7" s="0" t="s">
        <v>24</v>
      </c>
      <c r="BQ7" s="0" t="s">
        <v>58</v>
      </c>
      <c r="BR7" s="0" t="s">
        <v>41</v>
      </c>
      <c r="BU7" s="0" t="s">
        <v>55</v>
      </c>
      <c r="CN7" s="0" t="s">
        <v>24</v>
      </c>
      <c r="CO7" s="0" t="s">
        <v>24</v>
      </c>
      <c r="FH7" s="0" t="s">
        <v>59</v>
      </c>
      <c r="FI7" s="0" t="s">
        <v>59</v>
      </c>
      <c r="FK7" s="0" t="s">
        <v>59</v>
      </c>
      <c r="FL7" s="0" t="s">
        <v>59</v>
      </c>
      <c r="FM7" s="0" t="s">
        <v>59</v>
      </c>
      <c r="FN7" s="0" t="s">
        <v>59</v>
      </c>
      <c r="FO7" s="0" t="s">
        <v>59</v>
      </c>
      <c r="FP7" s="0" t="s">
        <v>59</v>
      </c>
      <c r="FQ7" s="0" t="s">
        <v>59</v>
      </c>
    </row>
    <row r="8" ht="15.75" customHeight="1">
      <c r="C8" s="0" t="s">
        <v>24</v>
      </c>
      <c r="D8" s="0">
        <v>-1000</v>
      </c>
      <c r="E8" s="0" t="s">
        <v>26</v>
      </c>
      <c r="F8" s="0" t="s">
        <v>52</v>
      </c>
      <c r="H8" s="0" t="s">
        <v>28</v>
      </c>
      <c r="O8" s="0" t="s">
        <v>53</v>
      </c>
      <c r="Q8" s="0">
        <v>70000</v>
      </c>
      <c r="R8" s="0" t="s">
        <v>54</v>
      </c>
      <c r="T8" s="0" t="s">
        <v>55</v>
      </c>
      <c r="U8" s="0" t="s">
        <v>42</v>
      </c>
      <c r="V8" s="0" t="s">
        <v>56</v>
      </c>
      <c r="W8" s="0" t="s">
        <v>57</v>
      </c>
      <c r="AL8" s="0">
        <v>1</v>
      </c>
      <c r="AM8" s="0">
        <v>1</v>
      </c>
      <c r="AN8" s="0" t="s">
        <v>25</v>
      </c>
      <c r="AP8" s="0" t="s">
        <v>28</v>
      </c>
      <c r="AQ8" s="0" t="s">
        <v>24</v>
      </c>
      <c r="BQ8" s="0" t="s">
        <v>58</v>
      </c>
      <c r="BR8" s="0" t="s">
        <v>41</v>
      </c>
      <c r="BU8" s="0" t="s">
        <v>55</v>
      </c>
      <c r="CN8" s="0" t="s">
        <v>24</v>
      </c>
      <c r="CO8" s="0" t="s">
        <v>24</v>
      </c>
      <c r="FH8" s="0" t="s">
        <v>59</v>
      </c>
      <c r="FI8" s="0" t="s">
        <v>59</v>
      </c>
      <c r="FK8" s="0" t="s">
        <v>59</v>
      </c>
      <c r="FL8" s="0" t="s">
        <v>59</v>
      </c>
      <c r="FM8" s="0" t="s">
        <v>59</v>
      </c>
      <c r="FN8" s="0" t="s">
        <v>59</v>
      </c>
      <c r="FO8" s="0" t="s">
        <v>59</v>
      </c>
      <c r="FP8" s="0" t="s">
        <v>59</v>
      </c>
      <c r="FQ8" s="0" t="s">
        <v>59</v>
      </c>
    </row>
    <row r="9" ht="15.75" customHeight="1">
      <c r="C9" s="0" t="s">
        <v>24</v>
      </c>
      <c r="D9" s="0">
        <v>-1000</v>
      </c>
      <c r="E9" s="0" t="s">
        <v>26</v>
      </c>
      <c r="F9" s="0" t="s">
        <v>52</v>
      </c>
      <c r="H9" s="0" t="s">
        <v>28</v>
      </c>
      <c r="O9" s="0" t="s">
        <v>53</v>
      </c>
      <c r="Q9" s="0">
        <v>60000</v>
      </c>
      <c r="R9" s="0" t="s">
        <v>54</v>
      </c>
      <c r="T9" s="0" t="s">
        <v>55</v>
      </c>
      <c r="U9" s="0" t="s">
        <v>42</v>
      </c>
      <c r="V9" s="0" t="s">
        <v>56</v>
      </c>
      <c r="W9" s="0" t="s">
        <v>57</v>
      </c>
      <c r="AL9" s="0">
        <v>1</v>
      </c>
      <c r="AM9" s="0">
        <v>1</v>
      </c>
      <c r="AN9" s="0" t="s">
        <v>25</v>
      </c>
      <c r="AP9" s="0" t="s">
        <v>28</v>
      </c>
      <c r="AQ9" s="0" t="s">
        <v>24</v>
      </c>
      <c r="BQ9" s="0" t="s">
        <v>58</v>
      </c>
      <c r="BR9" s="0" t="s">
        <v>41</v>
      </c>
      <c r="BU9" s="0" t="s">
        <v>55</v>
      </c>
      <c r="CN9" s="0" t="s">
        <v>24</v>
      </c>
      <c r="CO9" s="0" t="s">
        <v>24</v>
      </c>
      <c r="FH9" s="0" t="s">
        <v>59</v>
      </c>
      <c r="FI9" s="0" t="s">
        <v>59</v>
      </c>
      <c r="FK9" s="0" t="s">
        <v>59</v>
      </c>
      <c r="FL9" s="0" t="s">
        <v>59</v>
      </c>
      <c r="FM9" s="0" t="s">
        <v>59</v>
      </c>
      <c r="FN9" s="0" t="s">
        <v>59</v>
      </c>
      <c r="FO9" s="0" t="s">
        <v>59</v>
      </c>
      <c r="FP9" s="0" t="s">
        <v>59</v>
      </c>
      <c r="FQ9" s="0" t="s">
        <v>59</v>
      </c>
    </row>
    <row r="10" ht="15.75" customHeight="1">
      <c r="C10" s="0" t="s">
        <v>24</v>
      </c>
      <c r="D10" s="0">
        <v>-1000</v>
      </c>
      <c r="E10" s="0" t="s">
        <v>26</v>
      </c>
      <c r="F10" s="0" t="s">
        <v>52</v>
      </c>
      <c r="H10" s="0" t="s">
        <v>28</v>
      </c>
      <c r="O10" s="0" t="s">
        <v>53</v>
      </c>
      <c r="Q10" s="0">
        <v>50000</v>
      </c>
      <c r="R10" s="0" t="s">
        <v>54</v>
      </c>
      <c r="T10" s="0" t="s">
        <v>55</v>
      </c>
      <c r="U10" s="0" t="s">
        <v>42</v>
      </c>
      <c r="V10" s="0" t="s">
        <v>56</v>
      </c>
      <c r="W10" s="0" t="s">
        <v>57</v>
      </c>
      <c r="AL10" s="0">
        <v>1</v>
      </c>
      <c r="AM10" s="0">
        <v>1</v>
      </c>
      <c r="AN10" s="0" t="s">
        <v>25</v>
      </c>
      <c r="AP10" s="0" t="s">
        <v>28</v>
      </c>
      <c r="AQ10" s="0" t="s">
        <v>24</v>
      </c>
      <c r="BQ10" s="0" t="s">
        <v>58</v>
      </c>
      <c r="BR10" s="0" t="s">
        <v>41</v>
      </c>
      <c r="BU10" s="0" t="s">
        <v>55</v>
      </c>
      <c r="CN10" s="0" t="s">
        <v>24</v>
      </c>
      <c r="CO10" s="0" t="s">
        <v>24</v>
      </c>
      <c r="FH10" s="0" t="s">
        <v>59</v>
      </c>
      <c r="FI10" s="0" t="s">
        <v>59</v>
      </c>
      <c r="FK10" s="0" t="s">
        <v>59</v>
      </c>
      <c r="FL10" s="0" t="s">
        <v>59</v>
      </c>
      <c r="FM10" s="0" t="s">
        <v>59</v>
      </c>
      <c r="FN10" s="0" t="s">
        <v>59</v>
      </c>
      <c r="FO10" s="0" t="s">
        <v>59</v>
      </c>
      <c r="FP10" s="0" t="s">
        <v>59</v>
      </c>
      <c r="FQ10" s="0" t="s">
        <v>59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