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DailyCash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SelectTrade1" sheetId="11" r:id="rId13"/>
    <sheet state="visible" name="AcknowledgeTrade1" sheetId="12" r:id="rId14"/>
    <sheet state="visible" name="ExecuteTrade1" sheetId="13" r:id="rId15"/>
    <sheet state="visible" name="SelectTrade2" sheetId="14" r:id="rId16"/>
    <sheet state="visible" name="AcknowledgeTrade2" sheetId="15" r:id="rId17"/>
    <sheet state="visible" name="ExecuteTrade2" sheetId="16" r:id="rId18"/>
    <sheet state="visible" name="SelectTrade3" sheetId="17" r:id="rId19"/>
    <sheet state="visible" name="AcknowledgeTrade3" sheetId="18" r:id="rId20"/>
    <sheet state="visible" name="ExecuteTrade3" sheetId="19" r:id="rId21"/>
    <sheet state="visible" name="VerifyOrder" sheetId="20" r:id="rId22"/>
    <sheet state="visible" name="GetDataAllocation" sheetId="21" r:id="rId23"/>
    <sheet state="visible" name="CheckAllocatedGroups" sheetId="22" r:id="rId24"/>
    <sheet state="visible" name="CheckPortfolioManagement" sheetId="23" r:id="rId25"/>
  </sheets>
  <definedNames/>
  <calcPr/>
</workbook>
</file>

<file path=xl/sharedStrings.xml><?xml version="1.0" encoding="utf-8"?>
<sst xmlns="http://schemas.openxmlformats.org/spreadsheetml/2006/main" count="316" uniqueCount="49">
  <si>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</si>
  <si>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</si>
  <si>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</si>
  <si>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</si>
  <si>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</si>
  <si>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</si>
  <si>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</si>
  <si>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</si>
  <si>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</si>
  <si>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</si>
  <si>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</si>
  <si>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</si>
  <si>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</si>
  <si>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</si>
  <si>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</si>
  <si>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</si>
  <si>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DailyValuation</t>
  </si>
  <si>
    <t>GetDailyCash</t>
  </si>
  <si>
    <t>UpdateDailyCash</t>
  </si>
  <si>
    <t>Allocation1</t>
  </si>
  <si>
    <t>USD</t>
  </si>
  <si>
    <t>Allocation2</t>
  </si>
  <si>
    <t>TradingTicket</t>
  </si>
  <si>
    <t>CreateLiveOrder</t>
  </si>
  <si>
    <t>AAPL</t>
  </si>
  <si>
    <t>Sell</t>
  </si>
  <si>
    <t>MS</t>
  </si>
  <si>
    <t>Simulator</t>
  </si>
  <si>
    <t>SelectTrade</t>
  </si>
  <si>
    <t>AcknowledgeTrade</t>
  </si>
  <si>
    <t>ExecuteTrade</t>
  </si>
  <si>
    <t>Blotter</t>
  </si>
  <si>
    <t>VerifyOrder</t>
  </si>
  <si>
    <t>NewMF1</t>
  </si>
  <si>
    <t>Equity</t>
  </si>
  <si>
    <t>Filled</t>
  </si>
  <si>
    <t>Market</t>
  </si>
  <si>
    <t>NewMF</t>
  </si>
  <si>
    <t>Allocation</t>
  </si>
  <si>
    <t>GetDataAllocation</t>
  </si>
  <si>
    <t>Current</t>
  </si>
  <si>
    <t>CheckAllocatedGroups</t>
  </si>
  <si>
    <t>Open</t>
  </si>
  <si>
    <t>NASDAQ</t>
  </si>
  <si>
    <t>PortfolioManagement</t>
  </si>
  <si>
    <t>CheckPortfolioManagement</t>
  </si>
  <si>
    <t>Short</t>
  </si>
  <si>
    <t>US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</si>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</sst>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3" xfId="0" applyAlignment="1" applyFont="1" applyNumberFormat="1">
      <alignment readingOrder="0" vertical="bottom"/>
    </xf>
    <xf borderId="0" fillId="0" fontId="13" numFmtId="0" xfId="0" applyAlignment="1" applyFont="1">
      <alignment vertical="bottom"/>
    </xf>
    <xf borderId="5" fillId="0" fontId="13" numFmtId="164" xfId="0" applyAlignment="1" applyBorder="1" applyFont="1" applyNumberFormat="1">
      <alignment horizontal="right" vertical="bottom"/>
    </xf>
    <xf borderId="0" fillId="0" fontId="13" numFmtId="164" xfId="0" applyAlignment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readingOrder="0" vertical="bottom"/>
    </xf>
    <xf borderId="5" fillId="0" fontId="5" numFmtId="3" xfId="0" applyAlignment="1" applyBorder="1" applyFont="1" applyNumberFormat="1">
      <alignment horizontal="right" readingOrder="0" vertical="bottom"/>
    </xf>
    <xf borderId="0" fillId="0" fontId="5" numFmtId="3" xfId="0" applyAlignment="1" applyFont="1" applyNumberFormat="1">
      <alignment horizontal="right" readingOrder="0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IFERROR(__xludf.DUMMYFUNCTION("""COMPUTED_VALUE"""),"ToggleBlombergOnRA")</f>
        <v>ToggleBlombergOnRA</v>
      </c>
      <c r="C486" t="str">
        <f>IFERROR(__xludf.DUMMYFUNCTION("""COMPUTED_VALUE"""),"1TKv9C1mMXj8HlEzeLMciT110iLyZ9OhIh0lSuptGP1c")</f>
        <v>1TKv9C1mMXj8HlEzeLMciT110iLyZ9OhIh0lSuptGP1c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IFERROR(__xludf.DUMMYFUNCTION("""COMPUTED_VALUE"""),"RemoveSymbolFromRAList")</f>
        <v>RemoveSymbolFromRAList</v>
      </c>
      <c r="C487" t="str">
        <f>IFERROR(__xludf.DUMMYFUNCTION("""COMPUTED_VALUE"""),"1esriqspMNcbGjPDPy2u7bJyQKd05b0Y9Sin8DcUfSEE")</f>
        <v>1esriqspMNcbGjPDPy2u7bJyQKd05b0Y9Sin8DcUfSEE</v>
      </c>
    </row>
    <row r="488" ht="15.75" customHeight="1">
      <c r="A488" t="str">
        <f>IFERROR(__xludf.DUMMYFUNCTION("""COMPUTED_VALUE"""),"Report")</f>
        <v>Report</v>
      </c>
      <c r="B488" t="str">
        <f>IFERROR(__xludf.DUMMYFUNCTION("""COMPUTED_VALUE"""),"ReportMatching")</f>
        <v>ReportMatching</v>
      </c>
      <c r="C488" t="str">
        <f>IFERROR(__xludf.DUMMYFUNCTION("""COMPUTED_VALUE"""),"1IURT1smTM6q7aOlSfUxXb-piLEDNEFM-Z_rxNUweXqU")</f>
        <v>1IURT1smTM6q7aOlSfUxXb-piLEDNEFM-Z_rxNUweXqU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IFERROR(__xludf.DUMMYFUNCTION("""COMPUTED_VALUE"""),"EnableBreakdownRealizedPNL")</f>
        <v>EnableBreakdownRealizedPNL</v>
      </c>
      <c r="C489" t="str">
        <f>IFERROR(__xludf.DUMMYFUNCTION("""COMPUTED_VALUE"""),"1MsdAMudFZTDN6c4GJMzmiY0zvgautsPJWcDY1jxOGP0")</f>
        <v>1MsdAMudFZTDN6c4GJMzmiY0zvgautsPJWcDY1jxOGP0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IFERROR(__xludf.DUMMYFUNCTION("""COMPUTED_VALUE"""),"SetTTGeneralPreferences")</f>
        <v>SetTTGeneralPreferences</v>
      </c>
      <c r="C490" t="str">
        <f>IFERROR(__xludf.DUMMYFUNCTION("""COMPUTED_VALUE"""),"1VU4CqD-ZRcRyvM1M2otqULbHS-fnUmcO_NcgQMsS9rE")</f>
        <v>1VU4CqD-ZRcRyvM1M2otqULbHS-fnUmcO_NcgQMsS9rE</v>
      </c>
    </row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1</v>
      </c>
      <c r="E6" s="31"/>
      <c r="F6" s="31"/>
      <c r="G6" s="31"/>
      <c r="H6" s="33">
        <v>10.0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>
        <f t="shared" ref="B6:C6" si="1">today()-1</f>
        <v>44236</v>
      </c>
      <c r="C6" s="36">
        <f t="shared" si="1"/>
        <v>44236</v>
      </c>
      <c r="D6" s="11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19</v>
      </c>
      <c r="C6" s="31" t="s">
        <v>20</v>
      </c>
      <c r="D6" s="38">
        <v>300000.0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21</v>
      </c>
      <c r="C7" s="34" t="s">
        <v>20</v>
      </c>
      <c r="D7" s="39">
        <v>300000.0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24</v>
      </c>
      <c r="C6" s="40" t="s">
        <v>25</v>
      </c>
      <c r="D6" s="38">
        <v>100.0</v>
      </c>
      <c r="E6" s="33">
        <v>100.0</v>
      </c>
      <c r="F6" s="31" t="s">
        <v>19</v>
      </c>
      <c r="G6" s="31" t="s">
        <v>26</v>
      </c>
      <c r="H6" s="31"/>
      <c r="I6" s="31"/>
      <c r="J6" s="33">
        <v>210.0</v>
      </c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24</v>
      </c>
      <c r="C7" s="40" t="s">
        <v>25</v>
      </c>
      <c r="D7" s="39">
        <v>100000.0</v>
      </c>
      <c r="E7" s="39">
        <v>100000.0</v>
      </c>
      <c r="F7" s="34" t="s">
        <v>19</v>
      </c>
      <c r="G7" s="34" t="s">
        <v>26</v>
      </c>
      <c r="H7" s="34"/>
      <c r="I7" s="34"/>
      <c r="J7" s="39">
        <v>210.0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24</v>
      </c>
      <c r="C8" s="40" t="s">
        <v>25</v>
      </c>
      <c r="D8" s="39">
        <v>50.0</v>
      </c>
      <c r="E8" s="39">
        <v>50.0</v>
      </c>
      <c r="F8" s="34" t="s">
        <v>21</v>
      </c>
      <c r="G8" s="34" t="s">
        <v>26</v>
      </c>
      <c r="H8" s="34"/>
      <c r="I8" s="34"/>
      <c r="J8" s="39">
        <v>310.0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24</v>
      </c>
      <c r="C9" s="40" t="s">
        <v>25</v>
      </c>
      <c r="D9" s="39">
        <v>500000.0</v>
      </c>
      <c r="E9" s="39">
        <v>500000.0</v>
      </c>
      <c r="F9" s="34" t="s">
        <v>21</v>
      </c>
      <c r="G9" s="34" t="s">
        <v>26</v>
      </c>
      <c r="H9" s="34"/>
      <c r="I9" s="34"/>
      <c r="J9" s="39">
        <v>310.0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40" t="s">
        <v>25</v>
      </c>
      <c r="C6" s="31" t="s">
        <v>24</v>
      </c>
      <c r="D6" s="30"/>
      <c r="E6" s="31"/>
      <c r="F6" s="31"/>
      <c r="G6" s="33">
        <v>100.0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40" t="s">
        <v>25</v>
      </c>
      <c r="C6" s="31" t="s">
        <v>24</v>
      </c>
      <c r="D6" s="30"/>
      <c r="E6" s="31"/>
      <c r="F6" s="31"/>
      <c r="G6" s="33">
        <v>100.0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8">
        <v>210.0</v>
      </c>
      <c r="C6" s="33">
        <v>100.0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40" t="s">
        <v>25</v>
      </c>
      <c r="C6" s="31" t="s">
        <v>24</v>
      </c>
      <c r="D6" s="30"/>
      <c r="E6" s="31"/>
      <c r="F6" s="31"/>
      <c r="G6" s="33">
        <v>100000.0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40" t="s">
        <v>25</v>
      </c>
      <c r="C6" s="31" t="s">
        <v>24</v>
      </c>
      <c r="D6" s="30"/>
      <c r="E6" s="31"/>
      <c r="F6" s="31"/>
      <c r="G6" s="33">
        <v>100000.0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8">
        <v>210.0</v>
      </c>
      <c r="C6" s="33">
        <v>100000.0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40" t="s">
        <v>25</v>
      </c>
      <c r="C6" s="31" t="s">
        <v>24</v>
      </c>
      <c r="D6" s="30"/>
      <c r="E6" s="31"/>
      <c r="F6" s="31"/>
      <c r="G6" s="33">
        <v>50.0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40" t="s">
        <v>25</v>
      </c>
      <c r="C6" s="31" t="s">
        <v>24</v>
      </c>
      <c r="D6" s="30"/>
      <c r="E6" s="31"/>
      <c r="F6" s="31"/>
      <c r="G6" s="33">
        <v>50.0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8">
        <v>310.0</v>
      </c>
      <c r="C6" s="33">
        <v>50.0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40" t="s">
        <v>25</v>
      </c>
      <c r="C6" s="31" t="s">
        <v>24</v>
      </c>
      <c r="D6" s="30"/>
      <c r="E6" s="31"/>
      <c r="F6" s="31"/>
      <c r="G6" s="33">
        <v>500000.0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SelectTrade3!$4:$4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40" t="s">
        <v>25</v>
      </c>
      <c r="C6" s="31" t="s">
        <v>24</v>
      </c>
      <c r="D6" s="30"/>
      <c r="E6" s="31"/>
      <c r="F6" s="31"/>
      <c r="G6" s="33">
        <v>500000.0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AcknowledgeTrade3!$4:$4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8">
        <v>310.0</v>
      </c>
      <c r="C6" s="33">
        <v>500000.0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0"/>
      <c r="C6" s="31"/>
      <c r="D6" s="38">
        <v>310.0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42" t="s">
        <v>33</v>
      </c>
      <c r="AB6" s="34"/>
      <c r="AC6" s="34"/>
      <c r="AD6" s="43">
        <v>1.0</v>
      </c>
      <c r="AE6" s="34"/>
      <c r="AF6" s="34"/>
      <c r="AG6" s="34"/>
      <c r="AH6" s="34" t="s">
        <v>34</v>
      </c>
      <c r="AI6" s="34" t="s">
        <v>24</v>
      </c>
      <c r="AJ6" s="42" t="s">
        <v>25</v>
      </c>
      <c r="AK6" s="34" t="s">
        <v>35</v>
      </c>
      <c r="AL6" s="43">
        <v>50.0</v>
      </c>
      <c r="AM6" s="43">
        <v>50.0</v>
      </c>
      <c r="AN6" s="43">
        <v>100.0</v>
      </c>
      <c r="AO6" s="43">
        <v>50.0</v>
      </c>
      <c r="AP6" s="34"/>
      <c r="AQ6" s="39">
        <v>310.0</v>
      </c>
      <c r="AR6" s="39">
        <v>310.0</v>
      </c>
      <c r="AS6" s="34" t="s">
        <v>26</v>
      </c>
      <c r="AT6" s="34" t="s">
        <v>21</v>
      </c>
      <c r="AU6" s="34" t="s">
        <v>36</v>
      </c>
      <c r="AV6" s="44">
        <v>-15500.0</v>
      </c>
      <c r="AW6" s="44">
        <v>-15500.0</v>
      </c>
      <c r="AX6" s="34"/>
      <c r="AY6" s="42">
        <v>50.0</v>
      </c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9">
        <v>210.0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42" t="s">
        <v>37</v>
      </c>
      <c r="AB7" s="34"/>
      <c r="AC7" s="34"/>
      <c r="AD7" s="43">
        <v>1.0</v>
      </c>
      <c r="AE7" s="34"/>
      <c r="AF7" s="34"/>
      <c r="AG7" s="34"/>
      <c r="AH7" s="34" t="s">
        <v>34</v>
      </c>
      <c r="AI7" s="34" t="s">
        <v>24</v>
      </c>
      <c r="AJ7" s="42" t="s">
        <v>25</v>
      </c>
      <c r="AK7" s="34" t="s">
        <v>35</v>
      </c>
      <c r="AL7" s="43">
        <v>100.0</v>
      </c>
      <c r="AM7" s="43">
        <v>100.0</v>
      </c>
      <c r="AN7" s="43">
        <v>100.0</v>
      </c>
      <c r="AO7" s="43">
        <v>100.0</v>
      </c>
      <c r="AP7" s="34"/>
      <c r="AQ7" s="39">
        <v>210.0</v>
      </c>
      <c r="AR7" s="39">
        <v>210.0</v>
      </c>
      <c r="AS7" s="34" t="s">
        <v>26</v>
      </c>
      <c r="AT7" s="34" t="s">
        <v>19</v>
      </c>
      <c r="AU7" s="34" t="s">
        <v>36</v>
      </c>
      <c r="AV7" s="45">
        <v>-21000.0</v>
      </c>
      <c r="AW7" s="45">
        <v>-21000.0</v>
      </c>
      <c r="AX7" s="34"/>
      <c r="AY7" s="42">
        <v>100.0</v>
      </c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39">
        <v>210.0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42" t="s">
        <v>37</v>
      </c>
      <c r="AB8" s="34"/>
      <c r="AC8" s="34"/>
      <c r="AD8" s="43">
        <v>1.0</v>
      </c>
      <c r="AE8" s="34"/>
      <c r="AF8" s="34"/>
      <c r="AG8" s="34"/>
      <c r="AH8" s="34" t="s">
        <v>34</v>
      </c>
      <c r="AI8" s="34" t="s">
        <v>24</v>
      </c>
      <c r="AJ8" s="42" t="s">
        <v>25</v>
      </c>
      <c r="AK8" s="34" t="s">
        <v>35</v>
      </c>
      <c r="AL8" s="43">
        <v>100000.0</v>
      </c>
      <c r="AM8" s="43">
        <v>100000.0</v>
      </c>
      <c r="AN8" s="43">
        <v>100.0</v>
      </c>
      <c r="AO8" s="43">
        <v>100000.0</v>
      </c>
      <c r="AP8" s="34"/>
      <c r="AQ8" s="39">
        <v>210.0</v>
      </c>
      <c r="AR8" s="39">
        <v>210.0</v>
      </c>
      <c r="AS8" s="34" t="s">
        <v>26</v>
      </c>
      <c r="AT8" s="34" t="s">
        <v>19</v>
      </c>
      <c r="AU8" s="34" t="s">
        <v>36</v>
      </c>
      <c r="AV8" s="44">
        <v>-2.1E7</v>
      </c>
      <c r="AW8" s="44">
        <v>-2.1E7</v>
      </c>
      <c r="AX8" s="34"/>
      <c r="AY8" s="46">
        <v>100000.0</v>
      </c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34"/>
      <c r="D9" s="39">
        <v>310.0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42" t="s">
        <v>33</v>
      </c>
      <c r="AB9" s="34"/>
      <c r="AC9" s="34"/>
      <c r="AD9" s="43">
        <v>1.0</v>
      </c>
      <c r="AE9" s="34"/>
      <c r="AF9" s="34"/>
      <c r="AG9" s="34"/>
      <c r="AH9" s="34" t="s">
        <v>34</v>
      </c>
      <c r="AI9" s="34" t="s">
        <v>24</v>
      </c>
      <c r="AJ9" s="42" t="s">
        <v>25</v>
      </c>
      <c r="AK9" s="34" t="s">
        <v>35</v>
      </c>
      <c r="AL9" s="43">
        <v>500000.0</v>
      </c>
      <c r="AM9" s="43">
        <v>500000.0</v>
      </c>
      <c r="AN9" s="43">
        <v>100.0</v>
      </c>
      <c r="AO9" s="43">
        <v>500000.0</v>
      </c>
      <c r="AP9" s="34"/>
      <c r="AQ9" s="39">
        <v>310.0</v>
      </c>
      <c r="AR9" s="39">
        <v>310.0</v>
      </c>
      <c r="AS9" s="34" t="s">
        <v>26</v>
      </c>
      <c r="AT9" s="34" t="s">
        <v>21</v>
      </c>
      <c r="AU9" s="34" t="s">
        <v>36</v>
      </c>
      <c r="AV9" s="44">
        <v>-1.55E8</v>
      </c>
      <c r="AW9" s="44">
        <v>-1.55E8</v>
      </c>
      <c r="AX9" s="34"/>
      <c r="AY9" s="46">
        <v>500000.0</v>
      </c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40</v>
      </c>
      <c r="C6" s="8"/>
      <c r="D6" s="11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7" t="s">
        <v>19</v>
      </c>
      <c r="C6" s="8"/>
      <c r="D6" s="48">
        <v>0.0</v>
      </c>
      <c r="E6" s="49">
        <v>100000.0</v>
      </c>
      <c r="F6" s="8"/>
      <c r="G6" s="50" t="s">
        <v>34</v>
      </c>
      <c r="H6" s="48">
        <v>4.0</v>
      </c>
      <c r="I6" s="48">
        <v>5.0</v>
      </c>
      <c r="J6" s="8"/>
      <c r="K6" s="49">
        <v>210.0</v>
      </c>
      <c r="L6" s="49">
        <v>210.0</v>
      </c>
      <c r="M6" s="8"/>
      <c r="N6" s="8"/>
      <c r="O6" s="11" t="s">
        <v>26</v>
      </c>
      <c r="Q6" s="49">
        <v>3.0</v>
      </c>
      <c r="R6" s="43">
        <v>0.0</v>
      </c>
      <c r="S6" s="31" t="s">
        <v>42</v>
      </c>
      <c r="T6" s="43">
        <v>0.0</v>
      </c>
      <c r="U6" s="43">
        <v>0.0</v>
      </c>
      <c r="V6" s="34"/>
      <c r="AD6" s="51" t="s">
        <v>43</v>
      </c>
      <c r="AE6" s="49">
        <v>100000.0</v>
      </c>
      <c r="AI6" s="9">
        <v>1.0</v>
      </c>
      <c r="AT6" s="49">
        <v>2.099997424E7</v>
      </c>
      <c r="AU6" s="49">
        <v>2.099997424E7</v>
      </c>
      <c r="AW6" s="49">
        <v>0.0</v>
      </c>
      <c r="AX6" s="49">
        <v>0.0</v>
      </c>
      <c r="AY6" s="34" t="s">
        <v>36</v>
      </c>
      <c r="AZ6" s="49">
        <v>0.0</v>
      </c>
      <c r="BC6" s="49">
        <v>0.0</v>
      </c>
      <c r="BE6" s="49">
        <v>2.1E7</v>
      </c>
      <c r="BF6" s="49">
        <v>2.1E7</v>
      </c>
      <c r="BJ6" s="49">
        <v>100000.0</v>
      </c>
      <c r="BK6" s="49">
        <v>0.0</v>
      </c>
      <c r="BO6" s="51" t="s">
        <v>25</v>
      </c>
      <c r="BP6" s="43">
        <v>0.0</v>
      </c>
      <c r="BQ6" s="34"/>
      <c r="BR6" s="34"/>
      <c r="BS6" s="34"/>
      <c r="BT6" s="34" t="s">
        <v>24</v>
      </c>
      <c r="BU6" s="43">
        <v>3.0</v>
      </c>
      <c r="BV6" s="49">
        <v>0.0</v>
      </c>
      <c r="BW6" s="49">
        <v>25.76</v>
      </c>
      <c r="BX6" s="49">
        <v>0.0</v>
      </c>
      <c r="CI6" s="51" t="s">
        <v>25</v>
      </c>
    </row>
    <row r="7" ht="15.75" customHeight="1">
      <c r="A7" s="8"/>
      <c r="B7" s="51" t="s">
        <v>21</v>
      </c>
      <c r="C7" s="8"/>
      <c r="D7" s="49">
        <v>0.0</v>
      </c>
      <c r="E7" s="49">
        <v>500000.0</v>
      </c>
      <c r="F7" s="8"/>
      <c r="G7" s="52" t="s">
        <v>34</v>
      </c>
      <c r="H7" s="49">
        <v>4.0</v>
      </c>
      <c r="I7" s="49">
        <v>5.0</v>
      </c>
      <c r="J7" s="8"/>
      <c r="K7" s="49">
        <v>310.0</v>
      </c>
      <c r="L7" s="49">
        <v>310.0</v>
      </c>
      <c r="M7" s="8"/>
      <c r="N7" s="8"/>
      <c r="O7" s="11" t="s">
        <v>26</v>
      </c>
      <c r="Q7" s="49">
        <v>3.0</v>
      </c>
      <c r="R7" s="53">
        <v>0.0</v>
      </c>
      <c r="S7" s="31" t="s">
        <v>42</v>
      </c>
      <c r="T7" s="43">
        <v>0.0</v>
      </c>
      <c r="U7" s="43">
        <v>0.0</v>
      </c>
      <c r="V7" s="34"/>
      <c r="AD7" s="51" t="s">
        <v>43</v>
      </c>
      <c r="AE7" s="49">
        <v>500000.0</v>
      </c>
      <c r="AI7" s="9">
        <v>1.0</v>
      </c>
      <c r="AT7" s="49">
        <v>1.549998992E8</v>
      </c>
      <c r="AU7" s="49">
        <v>1.549998992E8</v>
      </c>
      <c r="AW7" s="49">
        <v>0.0</v>
      </c>
      <c r="AX7" s="49">
        <v>0.0</v>
      </c>
      <c r="AY7" s="34" t="s">
        <v>36</v>
      </c>
      <c r="AZ7" s="49">
        <v>0.0</v>
      </c>
      <c r="BC7" s="49">
        <v>0.0</v>
      </c>
      <c r="BE7" s="49">
        <v>1.55E8</v>
      </c>
      <c r="BF7" s="49">
        <v>1.55E8</v>
      </c>
      <c r="BJ7" s="49">
        <v>500000.0</v>
      </c>
      <c r="BK7" s="49">
        <v>0.0</v>
      </c>
      <c r="BO7" s="51" t="s">
        <v>25</v>
      </c>
      <c r="BP7" s="43">
        <v>0.0</v>
      </c>
      <c r="BQ7" s="34"/>
      <c r="BR7" s="34"/>
      <c r="BS7" s="34"/>
      <c r="BT7" s="34" t="s">
        <v>24</v>
      </c>
      <c r="BU7" s="43">
        <v>3.0</v>
      </c>
      <c r="BV7" s="49">
        <v>0.0</v>
      </c>
      <c r="BW7" s="49">
        <v>100.8</v>
      </c>
      <c r="BX7" s="49">
        <v>0.0</v>
      </c>
      <c r="CI7" s="51" t="s">
        <v>25</v>
      </c>
    </row>
    <row r="8" ht="15.75" customHeight="1">
      <c r="A8" s="8"/>
      <c r="B8" s="51" t="s">
        <v>19</v>
      </c>
      <c r="C8" s="8"/>
      <c r="D8" s="49">
        <v>0.0</v>
      </c>
      <c r="E8" s="49">
        <v>100.0</v>
      </c>
      <c r="F8" s="8"/>
      <c r="G8" s="52" t="s">
        <v>34</v>
      </c>
      <c r="H8" s="49">
        <v>4.0</v>
      </c>
      <c r="I8" s="49">
        <v>5.0</v>
      </c>
      <c r="J8" s="8"/>
      <c r="K8" s="49">
        <v>210.0</v>
      </c>
      <c r="L8" s="49">
        <v>210.0</v>
      </c>
      <c r="M8" s="8"/>
      <c r="N8" s="8"/>
      <c r="O8" s="11" t="s">
        <v>26</v>
      </c>
      <c r="Q8" s="49">
        <v>3.0</v>
      </c>
      <c r="R8" s="53">
        <v>0.0</v>
      </c>
      <c r="S8" s="31" t="s">
        <v>42</v>
      </c>
      <c r="T8" s="43">
        <v>0.0</v>
      </c>
      <c r="U8" s="43">
        <v>0.0</v>
      </c>
      <c r="V8" s="34"/>
      <c r="AD8" s="51" t="s">
        <v>43</v>
      </c>
      <c r="AE8" s="49">
        <v>100.0</v>
      </c>
      <c r="AI8" s="9">
        <v>1.0</v>
      </c>
      <c r="AT8" s="49">
        <v>20985.9882</v>
      </c>
      <c r="AU8" s="49">
        <v>20985.9882</v>
      </c>
      <c r="AW8" s="49">
        <v>0.0</v>
      </c>
      <c r="AX8" s="49">
        <v>0.0</v>
      </c>
      <c r="AY8" s="34" t="s">
        <v>36</v>
      </c>
      <c r="AZ8" s="49">
        <v>0.0</v>
      </c>
      <c r="BC8" s="49">
        <v>0.0</v>
      </c>
      <c r="BE8" s="49">
        <v>21000.0</v>
      </c>
      <c r="BF8" s="49">
        <v>21000.0</v>
      </c>
      <c r="BJ8" s="49">
        <v>100.0</v>
      </c>
      <c r="BK8" s="49">
        <v>0.0</v>
      </c>
      <c r="BO8" s="51" t="s">
        <v>25</v>
      </c>
      <c r="BP8" s="43">
        <v>0.0</v>
      </c>
      <c r="BQ8" s="34"/>
      <c r="BR8" s="34"/>
      <c r="BS8" s="34"/>
      <c r="BT8" s="34" t="s">
        <v>24</v>
      </c>
      <c r="BU8" s="43">
        <v>3.0</v>
      </c>
      <c r="BV8" s="49">
        <v>0.0</v>
      </c>
      <c r="BW8" s="49">
        <v>14.0118</v>
      </c>
      <c r="BX8" s="49">
        <v>0.0</v>
      </c>
      <c r="CI8" s="51" t="s">
        <v>25</v>
      </c>
    </row>
    <row r="9" ht="15.75" customHeight="1">
      <c r="A9" s="8"/>
      <c r="B9" s="51" t="s">
        <v>21</v>
      </c>
      <c r="C9" s="8"/>
      <c r="D9" s="49">
        <v>0.0</v>
      </c>
      <c r="E9" s="49">
        <v>50.0</v>
      </c>
      <c r="F9" s="8"/>
      <c r="G9" s="52" t="s">
        <v>34</v>
      </c>
      <c r="H9" s="49">
        <v>4.0</v>
      </c>
      <c r="I9" s="49">
        <v>5.0</v>
      </c>
      <c r="J9" s="8"/>
      <c r="K9" s="49">
        <v>310.0</v>
      </c>
      <c r="L9" s="49">
        <v>310.0</v>
      </c>
      <c r="M9" s="8"/>
      <c r="N9" s="8"/>
      <c r="O9" s="11" t="s">
        <v>26</v>
      </c>
      <c r="Q9" s="49">
        <v>3.0</v>
      </c>
      <c r="R9" s="43">
        <v>0.0</v>
      </c>
      <c r="S9" s="34" t="s">
        <v>42</v>
      </c>
      <c r="T9" s="43">
        <v>0.0</v>
      </c>
      <c r="U9" s="43">
        <v>0.0</v>
      </c>
      <c r="V9" s="34"/>
      <c r="AD9" s="51" t="s">
        <v>43</v>
      </c>
      <c r="AE9" s="49">
        <v>50.0</v>
      </c>
      <c r="AI9" s="9">
        <v>1.0</v>
      </c>
      <c r="AT9" s="49">
        <v>15485.9913</v>
      </c>
      <c r="AU9" s="49">
        <v>15485.9913</v>
      </c>
      <c r="AW9" s="49">
        <v>0.0</v>
      </c>
      <c r="AX9" s="49">
        <v>0.0</v>
      </c>
      <c r="AY9" s="34" t="s">
        <v>36</v>
      </c>
      <c r="AZ9" s="49">
        <v>0.0</v>
      </c>
      <c r="BC9" s="49">
        <v>0.0</v>
      </c>
      <c r="BE9" s="49">
        <v>15500.0</v>
      </c>
      <c r="BF9" s="49">
        <v>15500.0</v>
      </c>
      <c r="BJ9" s="49">
        <v>50.0</v>
      </c>
      <c r="BK9" s="49">
        <v>0.0</v>
      </c>
      <c r="BO9" s="51" t="s">
        <v>25</v>
      </c>
      <c r="BP9" s="43">
        <v>0.0</v>
      </c>
      <c r="BQ9" s="34"/>
      <c r="BR9" s="34"/>
      <c r="BS9" s="34"/>
      <c r="BT9" s="34" t="s">
        <v>24</v>
      </c>
      <c r="BU9" s="43">
        <v>3.0</v>
      </c>
      <c r="BV9" s="49">
        <v>0.0</v>
      </c>
      <c r="BW9" s="49">
        <v>14.0087</v>
      </c>
      <c r="BX9" s="49">
        <v>0.0</v>
      </c>
      <c r="CI9" s="51" t="s">
        <v>25</v>
      </c>
    </row>
    <row r="10" ht="15.75" customHeight="1">
      <c r="A10" s="8"/>
      <c r="B10" s="51"/>
      <c r="C10" s="8"/>
      <c r="D10" s="8"/>
      <c r="E10" s="51"/>
      <c r="F10" s="8"/>
      <c r="G10" s="34"/>
      <c r="H10" s="34"/>
      <c r="I10" s="34"/>
      <c r="J10" s="8"/>
      <c r="K10" s="51"/>
      <c r="L10" s="51"/>
      <c r="M10" s="8"/>
      <c r="N10" s="8"/>
      <c r="O10" s="8"/>
      <c r="R10" s="34"/>
      <c r="S10" s="34"/>
      <c r="T10" s="34"/>
      <c r="U10" s="34"/>
      <c r="V10" s="34"/>
      <c r="AT10" s="51"/>
      <c r="AU10" s="51"/>
      <c r="BC10" s="51"/>
      <c r="BE10" s="51"/>
      <c r="BF10" s="51"/>
      <c r="BJ10" s="51"/>
      <c r="BK10" s="51"/>
      <c r="BO10" s="51"/>
      <c r="BV10" s="51"/>
      <c r="BX10" s="51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34"/>
      <c r="L11" s="34"/>
      <c r="M11" s="8"/>
      <c r="N11" s="8"/>
      <c r="O11" s="8"/>
      <c r="BC11" s="51"/>
      <c r="BE11" s="51"/>
      <c r="BF11" s="51"/>
      <c r="BJ11" s="51"/>
      <c r="BK11" s="51"/>
      <c r="BV11" s="51"/>
      <c r="BX11" s="5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BC12" s="51"/>
      <c r="BJ12" s="51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BC13" s="51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BC14" s="51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11"/>
      <c r="B6" s="11"/>
      <c r="C6" s="50" t="s">
        <v>24</v>
      </c>
      <c r="D6" s="54">
        <v>-100.0</v>
      </c>
      <c r="E6" s="50" t="s">
        <v>19</v>
      </c>
      <c r="F6" s="40" t="s">
        <v>37</v>
      </c>
      <c r="G6" s="33">
        <v>210.0</v>
      </c>
      <c r="H6" s="55" t="s">
        <v>46</v>
      </c>
      <c r="I6" s="33">
        <v>0.0</v>
      </c>
      <c r="J6" s="40">
        <v>0.0</v>
      </c>
      <c r="K6" s="33">
        <v>0.0</v>
      </c>
      <c r="L6" s="40">
        <v>0.0</v>
      </c>
      <c r="M6" s="8"/>
      <c r="N6" s="56">
        <v>21000.0</v>
      </c>
      <c r="O6" s="31"/>
      <c r="P6" s="31"/>
      <c r="Q6" s="56">
        <v>21000.0</v>
      </c>
      <c r="R6" s="31"/>
      <c r="S6" s="31"/>
      <c r="T6" s="34" t="s">
        <v>34</v>
      </c>
      <c r="U6" s="34" t="s">
        <v>47</v>
      </c>
      <c r="V6" s="34" t="s">
        <v>43</v>
      </c>
      <c r="W6" s="34" t="s">
        <v>20</v>
      </c>
      <c r="X6" s="34"/>
      <c r="Y6" s="43">
        <v>1.0</v>
      </c>
      <c r="Z6" s="34"/>
      <c r="AA6" s="34"/>
      <c r="AB6" s="43">
        <v>0.0</v>
      </c>
      <c r="AC6" s="43">
        <v>0.0</v>
      </c>
      <c r="AD6" s="43">
        <v>0.0</v>
      </c>
      <c r="AE6" s="43">
        <v>0.0</v>
      </c>
      <c r="AF6" s="45">
        <v>-100.0</v>
      </c>
      <c r="AG6" s="43">
        <v>0.0</v>
      </c>
      <c r="AH6" s="43">
        <v>0.0</v>
      </c>
      <c r="AI6" s="43">
        <v>0.0</v>
      </c>
      <c r="AJ6" s="43">
        <v>0.0</v>
      </c>
      <c r="AK6" s="57">
        <v>21000.0</v>
      </c>
      <c r="AL6" s="9">
        <v>1.0</v>
      </c>
      <c r="AM6" s="9">
        <v>1.0</v>
      </c>
      <c r="AN6" s="9" t="s">
        <v>25</v>
      </c>
      <c r="AP6" s="9" t="s">
        <v>48</v>
      </c>
      <c r="AQ6" s="9" t="s">
        <v>24</v>
      </c>
      <c r="AR6" s="9">
        <v>0.0</v>
      </c>
      <c r="AW6" s="57">
        <v>21000.0</v>
      </c>
      <c r="AX6" s="43">
        <v>0.0</v>
      </c>
      <c r="AY6" s="43">
        <v>0.0</v>
      </c>
      <c r="AZ6" s="43">
        <v>0.0</v>
      </c>
      <c r="BA6" s="34"/>
      <c r="BB6" s="34"/>
      <c r="BC6" s="43">
        <v>1.0</v>
      </c>
      <c r="BD6" s="57">
        <v>21000.0</v>
      </c>
      <c r="BE6" s="9" t="s">
        <v>34</v>
      </c>
      <c r="BJ6" s="43">
        <v>0.0</v>
      </c>
      <c r="BK6" s="43">
        <v>0.0</v>
      </c>
      <c r="BL6" s="43">
        <v>0.0</v>
      </c>
      <c r="BM6" s="43">
        <v>0.0</v>
      </c>
      <c r="BN6" s="34"/>
      <c r="BO6" s="57">
        <v>21000.0</v>
      </c>
      <c r="BP6" s="42">
        <v>0.0</v>
      </c>
      <c r="BQ6" s="34"/>
      <c r="BR6" s="34" t="s">
        <v>26</v>
      </c>
      <c r="BS6" s="9">
        <v>0.0</v>
      </c>
      <c r="BT6" s="9">
        <v>0.0</v>
      </c>
      <c r="BU6" s="9" t="s">
        <v>34</v>
      </c>
      <c r="BW6" s="43">
        <v>0.0</v>
      </c>
      <c r="BX6" s="42">
        <v>0.0</v>
      </c>
      <c r="BY6" s="43">
        <v>0.0</v>
      </c>
      <c r="BZ6" s="43">
        <v>0.0</v>
      </c>
      <c r="CA6" s="43">
        <v>0.0</v>
      </c>
      <c r="CC6" s="9">
        <v>0.0</v>
      </c>
      <c r="CD6" s="57">
        <v>21000.0</v>
      </c>
      <c r="CE6" s="43">
        <v>0.0</v>
      </c>
      <c r="CF6" s="43">
        <v>0.0</v>
      </c>
      <c r="CG6" s="57">
        <v>21000.0</v>
      </c>
      <c r="CH6" s="9">
        <v>100.0</v>
      </c>
      <c r="CI6" s="9">
        <v>0.0</v>
      </c>
      <c r="CJ6" s="9">
        <v>0.0</v>
      </c>
      <c r="DA6" s="9">
        <v>0.0</v>
      </c>
      <c r="DB6" s="9">
        <v>0.0</v>
      </c>
      <c r="DE6" s="9">
        <v>0.0</v>
      </c>
      <c r="DF6" s="9">
        <v>0.0</v>
      </c>
      <c r="DG6" s="9">
        <v>0.0</v>
      </c>
      <c r="DI6" s="9">
        <v>0.0</v>
      </c>
      <c r="DJ6" s="9" t="s">
        <v>25</v>
      </c>
      <c r="DK6" s="9">
        <v>0.0</v>
      </c>
      <c r="DL6" s="9">
        <v>0.0</v>
      </c>
      <c r="DM6" s="9">
        <v>1.0</v>
      </c>
      <c r="DN6" s="9">
        <v>0.0</v>
      </c>
      <c r="EF6" s="9">
        <v>0.0</v>
      </c>
      <c r="EG6" s="9">
        <v>0.0</v>
      </c>
      <c r="EH6" s="9">
        <v>0.0</v>
      </c>
      <c r="EI6" s="9">
        <v>0.0</v>
      </c>
      <c r="EJ6" s="9">
        <v>0.0</v>
      </c>
      <c r="EM6" s="9">
        <v>0.0</v>
      </c>
      <c r="EN6" s="9">
        <v>0.0</v>
      </c>
      <c r="EQ6" s="9">
        <v>0.0</v>
      </c>
      <c r="ER6" s="9">
        <v>0.0</v>
      </c>
      <c r="EU6" s="9">
        <v>0.0</v>
      </c>
    </row>
    <row r="7" ht="15.75" customHeight="1">
      <c r="A7" s="8"/>
      <c r="B7" s="8"/>
      <c r="C7" s="52" t="s">
        <v>24</v>
      </c>
      <c r="D7" s="57">
        <v>-100000.0</v>
      </c>
      <c r="E7" s="52" t="s">
        <v>19</v>
      </c>
      <c r="F7" s="42" t="s">
        <v>37</v>
      </c>
      <c r="G7" s="39">
        <v>210.0</v>
      </c>
      <c r="H7" s="55" t="s">
        <v>46</v>
      </c>
      <c r="I7" s="39">
        <v>0.0</v>
      </c>
      <c r="J7" s="42">
        <v>0.0</v>
      </c>
      <c r="K7" s="39">
        <v>0.0</v>
      </c>
      <c r="L7" s="42">
        <v>0.0</v>
      </c>
      <c r="M7" s="8"/>
      <c r="N7" s="57">
        <v>2.1E7</v>
      </c>
      <c r="O7" s="34"/>
      <c r="P7" s="34"/>
      <c r="Q7" s="57">
        <v>2.1E7</v>
      </c>
      <c r="R7" s="34"/>
      <c r="S7" s="34"/>
      <c r="T7" s="34" t="s">
        <v>34</v>
      </c>
      <c r="U7" s="34" t="s">
        <v>47</v>
      </c>
      <c r="V7" s="34" t="s">
        <v>43</v>
      </c>
      <c r="W7" s="34" t="s">
        <v>20</v>
      </c>
      <c r="X7" s="34"/>
      <c r="Y7" s="43">
        <v>1.0</v>
      </c>
      <c r="Z7" s="34"/>
      <c r="AA7" s="34"/>
      <c r="AB7" s="43">
        <v>0.0</v>
      </c>
      <c r="AC7" s="43">
        <v>0.0</v>
      </c>
      <c r="AD7" s="43">
        <v>0.0</v>
      </c>
      <c r="AE7" s="43">
        <v>0.0</v>
      </c>
      <c r="AF7" s="44">
        <v>-100000.0</v>
      </c>
      <c r="AG7" s="43">
        <v>0.0</v>
      </c>
      <c r="AH7" s="43">
        <v>0.0</v>
      </c>
      <c r="AI7" s="43">
        <v>0.0</v>
      </c>
      <c r="AJ7" s="43">
        <v>0.0</v>
      </c>
      <c r="AK7" s="57">
        <v>2.1E7</v>
      </c>
      <c r="AL7" s="9">
        <v>1.0</v>
      </c>
      <c r="AM7" s="9">
        <v>1.0</v>
      </c>
      <c r="AN7" s="9" t="s">
        <v>25</v>
      </c>
      <c r="AP7" s="9" t="s">
        <v>48</v>
      </c>
      <c r="AQ7" s="9" t="s">
        <v>24</v>
      </c>
      <c r="AR7" s="9">
        <v>0.0</v>
      </c>
      <c r="AW7" s="57">
        <v>2.1E7</v>
      </c>
      <c r="AX7" s="43">
        <v>0.0</v>
      </c>
      <c r="AY7" s="43">
        <v>0.0</v>
      </c>
      <c r="AZ7" s="43">
        <v>0.0</v>
      </c>
      <c r="BA7" s="34"/>
      <c r="BB7" s="34"/>
      <c r="BC7" s="43">
        <v>1.0</v>
      </c>
      <c r="BD7" s="57">
        <v>2.1E7</v>
      </c>
      <c r="BE7" s="9" t="s">
        <v>34</v>
      </c>
      <c r="BJ7" s="43">
        <v>0.0</v>
      </c>
      <c r="BK7" s="43">
        <v>0.0</v>
      </c>
      <c r="BL7" s="43">
        <v>0.0</v>
      </c>
      <c r="BM7" s="43">
        <v>0.0</v>
      </c>
      <c r="BN7" s="34"/>
      <c r="BO7" s="57">
        <v>2.1E7</v>
      </c>
      <c r="BP7" s="42">
        <v>0.0</v>
      </c>
      <c r="BQ7" s="34"/>
      <c r="BR7" s="34" t="s">
        <v>26</v>
      </c>
      <c r="BS7" s="9">
        <v>0.0</v>
      </c>
      <c r="BT7" s="9">
        <v>0.0</v>
      </c>
      <c r="BU7" s="9" t="s">
        <v>34</v>
      </c>
      <c r="BW7" s="43">
        <v>0.0</v>
      </c>
      <c r="BX7" s="42">
        <v>0.0</v>
      </c>
      <c r="BY7" s="43">
        <v>0.0</v>
      </c>
      <c r="BZ7" s="43">
        <v>0.0</v>
      </c>
      <c r="CA7" s="43">
        <v>0.0</v>
      </c>
      <c r="CC7" s="9">
        <v>0.0</v>
      </c>
      <c r="CD7" s="57">
        <v>2.1E7</v>
      </c>
      <c r="CE7" s="43">
        <v>0.0</v>
      </c>
      <c r="CF7" s="43">
        <v>0.0</v>
      </c>
      <c r="CG7" s="57">
        <v>2.1E7</v>
      </c>
      <c r="CH7" s="9">
        <v>100.0</v>
      </c>
      <c r="CI7" s="9">
        <v>0.0</v>
      </c>
      <c r="CJ7" s="9">
        <v>0.0</v>
      </c>
      <c r="DA7" s="9">
        <v>0.0</v>
      </c>
      <c r="DB7" s="9">
        <v>0.0</v>
      </c>
      <c r="DE7" s="9">
        <v>0.0</v>
      </c>
      <c r="DF7" s="9">
        <v>0.0</v>
      </c>
      <c r="DG7" s="9">
        <v>0.0</v>
      </c>
      <c r="DI7" s="9">
        <v>0.0</v>
      </c>
      <c r="DJ7" s="9" t="s">
        <v>25</v>
      </c>
      <c r="DK7" s="9">
        <v>0.0</v>
      </c>
      <c r="DL7" s="9">
        <v>0.0</v>
      </c>
      <c r="DM7" s="9">
        <v>1.0</v>
      </c>
      <c r="DN7" s="9">
        <v>0.0</v>
      </c>
      <c r="EF7" s="9">
        <v>0.0</v>
      </c>
      <c r="EG7" s="9">
        <v>0.0</v>
      </c>
      <c r="EH7" s="9">
        <v>0.0</v>
      </c>
      <c r="EI7" s="9">
        <v>0.0</v>
      </c>
      <c r="EJ7" s="9">
        <v>0.0</v>
      </c>
      <c r="EM7" s="9">
        <v>0.0</v>
      </c>
      <c r="EN7" s="9">
        <v>0.0</v>
      </c>
      <c r="EQ7" s="9">
        <v>0.0</v>
      </c>
      <c r="ER7" s="9">
        <v>0.0</v>
      </c>
      <c r="EU7" s="9">
        <v>0.0</v>
      </c>
    </row>
    <row r="8" ht="15.75" customHeight="1">
      <c r="A8" s="8"/>
      <c r="B8" s="8"/>
      <c r="C8" s="52" t="s">
        <v>24</v>
      </c>
      <c r="D8" s="58">
        <v>-50.0</v>
      </c>
      <c r="E8" s="52" t="s">
        <v>21</v>
      </c>
      <c r="F8" s="42" t="s">
        <v>33</v>
      </c>
      <c r="G8" s="39">
        <v>310.0</v>
      </c>
      <c r="H8" s="55" t="s">
        <v>46</v>
      </c>
      <c r="I8" s="39">
        <v>0.0</v>
      </c>
      <c r="J8" s="42">
        <v>0.0</v>
      </c>
      <c r="K8" s="39">
        <v>0.0</v>
      </c>
      <c r="L8" s="42">
        <v>0.0</v>
      </c>
      <c r="M8" s="8"/>
      <c r="N8" s="57">
        <v>15500.0</v>
      </c>
      <c r="O8" s="34"/>
      <c r="P8" s="34"/>
      <c r="Q8" s="57">
        <v>15500.0</v>
      </c>
      <c r="R8" s="34"/>
      <c r="S8" s="34"/>
      <c r="T8" s="34" t="s">
        <v>34</v>
      </c>
      <c r="U8" s="34" t="s">
        <v>47</v>
      </c>
      <c r="V8" s="34" t="s">
        <v>43</v>
      </c>
      <c r="W8" s="34" t="s">
        <v>20</v>
      </c>
      <c r="X8" s="34"/>
      <c r="Y8" s="43">
        <v>1.0</v>
      </c>
      <c r="Z8" s="34"/>
      <c r="AA8" s="34"/>
      <c r="AB8" s="43">
        <v>0.0</v>
      </c>
      <c r="AC8" s="43">
        <v>0.0</v>
      </c>
      <c r="AD8" s="43">
        <v>0.0</v>
      </c>
      <c r="AE8" s="43">
        <v>0.0</v>
      </c>
      <c r="AF8" s="45">
        <v>-50.0</v>
      </c>
      <c r="AG8" s="43">
        <v>0.0</v>
      </c>
      <c r="AH8" s="43">
        <v>0.0</v>
      </c>
      <c r="AI8" s="43">
        <v>0.0</v>
      </c>
      <c r="AJ8" s="43">
        <v>0.0</v>
      </c>
      <c r="AK8" s="57">
        <v>15500.0</v>
      </c>
      <c r="AL8" s="9">
        <v>1.0</v>
      </c>
      <c r="AM8" s="9">
        <v>1.0</v>
      </c>
      <c r="AN8" s="9" t="s">
        <v>25</v>
      </c>
      <c r="AP8" s="9" t="s">
        <v>48</v>
      </c>
      <c r="AQ8" s="9" t="s">
        <v>24</v>
      </c>
      <c r="AR8" s="9">
        <v>0.0</v>
      </c>
      <c r="AW8" s="57">
        <v>15500.0</v>
      </c>
      <c r="AX8" s="43">
        <v>0.0</v>
      </c>
      <c r="AY8" s="43">
        <v>0.0</v>
      </c>
      <c r="AZ8" s="43">
        <v>0.0</v>
      </c>
      <c r="BA8" s="34"/>
      <c r="BB8" s="34"/>
      <c r="BC8" s="43">
        <v>1.0</v>
      </c>
      <c r="BD8" s="57">
        <v>15500.0</v>
      </c>
      <c r="BE8" s="9" t="s">
        <v>34</v>
      </c>
      <c r="BJ8" s="43">
        <v>0.0</v>
      </c>
      <c r="BK8" s="43">
        <v>0.0</v>
      </c>
      <c r="BL8" s="43">
        <v>0.0</v>
      </c>
      <c r="BM8" s="43">
        <v>0.0</v>
      </c>
      <c r="BN8" s="34"/>
      <c r="BO8" s="57">
        <v>15500.0</v>
      </c>
      <c r="BP8" s="42">
        <v>0.0</v>
      </c>
      <c r="BQ8" s="34"/>
      <c r="BR8" s="34" t="s">
        <v>26</v>
      </c>
      <c r="BS8" s="9">
        <v>0.0</v>
      </c>
      <c r="BT8" s="9">
        <v>0.0</v>
      </c>
      <c r="BU8" s="9" t="s">
        <v>34</v>
      </c>
      <c r="BW8" s="43">
        <v>0.0</v>
      </c>
      <c r="BX8" s="42">
        <v>0.0</v>
      </c>
      <c r="BY8" s="43">
        <v>0.0</v>
      </c>
      <c r="BZ8" s="43">
        <v>0.0</v>
      </c>
      <c r="CA8" s="43">
        <v>0.0</v>
      </c>
      <c r="CC8" s="9">
        <v>0.0</v>
      </c>
      <c r="CD8" s="57">
        <v>15500.0</v>
      </c>
      <c r="CE8" s="43">
        <v>0.0</v>
      </c>
      <c r="CF8" s="43">
        <v>0.0</v>
      </c>
      <c r="CG8" s="57">
        <v>15500.0</v>
      </c>
      <c r="CH8" s="9">
        <v>100.0</v>
      </c>
      <c r="CI8" s="9">
        <v>0.0</v>
      </c>
      <c r="CJ8" s="9">
        <v>0.0</v>
      </c>
      <c r="DA8" s="9">
        <v>0.0</v>
      </c>
      <c r="DB8" s="9">
        <v>0.0</v>
      </c>
      <c r="DE8" s="9">
        <v>0.0</v>
      </c>
      <c r="DF8" s="9">
        <v>0.0</v>
      </c>
      <c r="DG8" s="9">
        <v>0.0</v>
      </c>
      <c r="DI8" s="9">
        <v>0.0</v>
      </c>
      <c r="DJ8" s="9" t="s">
        <v>25</v>
      </c>
      <c r="DK8" s="9">
        <v>0.0</v>
      </c>
      <c r="DL8" s="9">
        <v>0.0</v>
      </c>
      <c r="DM8" s="9">
        <v>1.0</v>
      </c>
      <c r="DN8" s="9">
        <v>0.0</v>
      </c>
      <c r="EF8" s="9">
        <v>0.0</v>
      </c>
      <c r="EG8" s="9">
        <v>0.0</v>
      </c>
      <c r="EH8" s="9">
        <v>0.0</v>
      </c>
      <c r="EI8" s="9">
        <v>0.0</v>
      </c>
      <c r="EJ8" s="9">
        <v>0.0</v>
      </c>
      <c r="EM8" s="9">
        <v>0.0</v>
      </c>
      <c r="EN8" s="9">
        <v>0.0</v>
      </c>
      <c r="EQ8" s="9">
        <v>0.0</v>
      </c>
      <c r="ER8" s="9">
        <v>0.0</v>
      </c>
      <c r="EU8" s="9">
        <v>0.0</v>
      </c>
    </row>
    <row r="9" ht="15.75" customHeight="1">
      <c r="A9" s="8"/>
      <c r="B9" s="8"/>
      <c r="C9" s="52" t="s">
        <v>24</v>
      </c>
      <c r="D9" s="57">
        <v>-500000.0</v>
      </c>
      <c r="E9" s="52" t="s">
        <v>21</v>
      </c>
      <c r="F9" s="42" t="s">
        <v>33</v>
      </c>
      <c r="G9" s="39">
        <v>310.0</v>
      </c>
      <c r="H9" s="55" t="s">
        <v>46</v>
      </c>
      <c r="I9" s="39">
        <v>0.0</v>
      </c>
      <c r="J9" s="42">
        <v>0.0</v>
      </c>
      <c r="K9" s="39">
        <v>0.0</v>
      </c>
      <c r="L9" s="42">
        <v>0.0</v>
      </c>
      <c r="M9" s="8"/>
      <c r="N9" s="57">
        <v>1.55E8</v>
      </c>
      <c r="O9" s="34"/>
      <c r="P9" s="34"/>
      <c r="Q9" s="57">
        <v>1.55E8</v>
      </c>
      <c r="R9" s="34"/>
      <c r="S9" s="34"/>
      <c r="T9" s="34" t="s">
        <v>34</v>
      </c>
      <c r="U9" s="34" t="s">
        <v>47</v>
      </c>
      <c r="V9" s="34" t="s">
        <v>43</v>
      </c>
      <c r="W9" s="34" t="s">
        <v>20</v>
      </c>
      <c r="X9" s="34"/>
      <c r="Y9" s="43">
        <v>1.0</v>
      </c>
      <c r="Z9" s="34"/>
      <c r="AA9" s="34"/>
      <c r="AB9" s="43">
        <v>0.0</v>
      </c>
      <c r="AC9" s="43">
        <v>0.0</v>
      </c>
      <c r="AD9" s="43">
        <v>0.0</v>
      </c>
      <c r="AE9" s="43">
        <v>0.0</v>
      </c>
      <c r="AF9" s="44">
        <v>-500000.0</v>
      </c>
      <c r="AG9" s="43">
        <v>0.0</v>
      </c>
      <c r="AH9" s="43">
        <v>0.0</v>
      </c>
      <c r="AI9" s="43">
        <v>0.0</v>
      </c>
      <c r="AJ9" s="43">
        <v>0.0</v>
      </c>
      <c r="AK9" s="57">
        <v>1.55E8</v>
      </c>
      <c r="AL9" s="9">
        <v>1.0</v>
      </c>
      <c r="AM9" s="9">
        <v>1.0</v>
      </c>
      <c r="AN9" s="9" t="s">
        <v>25</v>
      </c>
      <c r="AP9" s="9" t="s">
        <v>48</v>
      </c>
      <c r="AQ9" s="9" t="s">
        <v>24</v>
      </c>
      <c r="AR9" s="9">
        <v>0.0</v>
      </c>
      <c r="AW9" s="57">
        <v>1.55E8</v>
      </c>
      <c r="AX9" s="43">
        <v>0.0</v>
      </c>
      <c r="AY9" s="43">
        <v>0.0</v>
      </c>
      <c r="AZ9" s="43">
        <v>0.0</v>
      </c>
      <c r="BA9" s="34"/>
      <c r="BB9" s="34"/>
      <c r="BC9" s="43">
        <v>1.0</v>
      </c>
      <c r="BD9" s="57">
        <v>1.55E8</v>
      </c>
      <c r="BE9" s="9" t="s">
        <v>34</v>
      </c>
      <c r="BJ9" s="43">
        <v>0.0</v>
      </c>
      <c r="BK9" s="43">
        <v>0.0</v>
      </c>
      <c r="BL9" s="43">
        <v>0.0</v>
      </c>
      <c r="BM9" s="43">
        <v>0.0</v>
      </c>
      <c r="BN9" s="34"/>
      <c r="BO9" s="57">
        <v>1.55E8</v>
      </c>
      <c r="BP9" s="42">
        <v>0.0</v>
      </c>
      <c r="BQ9" s="34"/>
      <c r="BR9" s="34" t="s">
        <v>26</v>
      </c>
      <c r="BS9" s="9">
        <v>0.0</v>
      </c>
      <c r="BT9" s="9">
        <v>0.0</v>
      </c>
      <c r="BU9" s="9" t="s">
        <v>34</v>
      </c>
      <c r="BW9" s="43">
        <v>0.0</v>
      </c>
      <c r="BX9" s="42">
        <v>0.0</v>
      </c>
      <c r="BY9" s="43">
        <v>0.0</v>
      </c>
      <c r="BZ9" s="43">
        <v>0.0</v>
      </c>
      <c r="CA9" s="43">
        <v>0.0</v>
      </c>
      <c r="CC9" s="9">
        <v>0.0</v>
      </c>
      <c r="CD9" s="57">
        <v>1.55E8</v>
      </c>
      <c r="CE9" s="43">
        <v>0.0</v>
      </c>
      <c r="CF9" s="43">
        <v>0.0</v>
      </c>
      <c r="CG9" s="57">
        <v>1.55E8</v>
      </c>
      <c r="CH9" s="9">
        <v>100.0</v>
      </c>
      <c r="CI9" s="9">
        <v>0.0</v>
      </c>
      <c r="CJ9" s="9">
        <v>0.0</v>
      </c>
      <c r="DA9" s="9">
        <v>0.0</v>
      </c>
      <c r="DB9" s="9">
        <v>0.0</v>
      </c>
      <c r="DE9" s="9">
        <v>0.0</v>
      </c>
      <c r="DF9" s="9">
        <v>0.0</v>
      </c>
      <c r="DG9" s="9">
        <v>0.0</v>
      </c>
      <c r="DI9" s="9">
        <v>0.0</v>
      </c>
      <c r="DJ9" s="9" t="s">
        <v>25</v>
      </c>
      <c r="DK9" s="9">
        <v>0.0</v>
      </c>
      <c r="DL9" s="9">
        <v>0.0</v>
      </c>
      <c r="DM9" s="9">
        <v>1.0</v>
      </c>
      <c r="DN9" s="9">
        <v>0.0</v>
      </c>
      <c r="EF9" s="9">
        <v>0.0</v>
      </c>
      <c r="EG9" s="9">
        <v>0.0</v>
      </c>
      <c r="EH9" s="9">
        <v>0.0</v>
      </c>
      <c r="EI9" s="9">
        <v>0.0</v>
      </c>
      <c r="EJ9" s="9">
        <v>0.0</v>
      </c>
      <c r="EM9" s="9">
        <v>0.0</v>
      </c>
      <c r="EN9" s="9">
        <v>0.0</v>
      </c>
      <c r="EQ9" s="9">
        <v>0.0</v>
      </c>
      <c r="ER9" s="9">
        <v>0.0</v>
      </c>
      <c r="EU9" s="9">
        <v>0.0</v>
      </c>
    </row>
    <row r="10" ht="15.75" customHeight="1">
      <c r="A10" s="8"/>
      <c r="B10" s="8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8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W10" s="34"/>
      <c r="AX10" s="34"/>
      <c r="AY10" s="34"/>
      <c r="AZ10" s="34"/>
      <c r="BA10" s="34"/>
      <c r="BB10" s="34"/>
      <c r="BC10" s="34"/>
      <c r="BD10" s="34"/>
      <c r="BJ10" s="34"/>
      <c r="BK10" s="34"/>
      <c r="BL10" s="34"/>
      <c r="BM10" s="34"/>
      <c r="BN10" s="34"/>
      <c r="BO10" s="34"/>
      <c r="BP10" s="34"/>
      <c r="BQ10" s="34"/>
      <c r="BR10" s="34"/>
      <c r="BW10" s="34"/>
      <c r="BX10" s="34"/>
      <c r="BY10" s="34"/>
      <c r="BZ10" s="34"/>
      <c r="CA10" s="34"/>
      <c r="CD10" s="34"/>
      <c r="CE10" s="34"/>
      <c r="CF10" s="34"/>
      <c r="CG10" s="34"/>
    </row>
    <row r="11" ht="15.75" customHeight="1">
      <c r="A11" s="8"/>
      <c r="B11" s="8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8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W11" s="34"/>
      <c r="AX11" s="34"/>
      <c r="AY11" s="34"/>
      <c r="AZ11" s="34"/>
      <c r="BA11" s="34"/>
      <c r="BB11" s="34"/>
      <c r="BC11" s="34"/>
      <c r="BD11" s="34"/>
      <c r="CD11" s="34"/>
      <c r="CE11" s="34"/>
      <c r="CF11" s="34"/>
      <c r="CG11" s="34"/>
    </row>
    <row r="12" ht="15.75" customHeight="1">
      <c r="A12" s="8"/>
      <c r="B12" s="8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8"/>
      <c r="N12" s="8"/>
      <c r="O12" s="8"/>
      <c r="W12" s="34"/>
      <c r="X12" s="34"/>
      <c r="Y12" s="34"/>
      <c r="Z12" s="34"/>
      <c r="AA12" s="34"/>
      <c r="AB12" s="34"/>
      <c r="AC12" s="34"/>
      <c r="AD12" s="34"/>
      <c r="AE12" s="34"/>
      <c r="CD12" s="34"/>
      <c r="CE12" s="34"/>
      <c r="CF12" s="34"/>
      <c r="CG12" s="3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