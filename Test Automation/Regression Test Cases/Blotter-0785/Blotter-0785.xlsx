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RemoveManualExecution" sheetId="5" r:id="rId7"/>
    <sheet state="visible" name="SelectAllocatedGroup" sheetId="6" r:id="rId8"/>
    <sheet state="visible" name="ReviewExistingPositions" sheetId="7" r:id="rId9"/>
    <sheet state="visible" name="CreateDoneAwayOrder1" sheetId="8" r:id="rId10"/>
    <sheet state="visible" name="SelectAllocatedGroup1" sheetId="9" r:id="rId11"/>
    <sheet state="visible" name="ReviewExistingPositions1" sheetId="10" r:id="rId12"/>
    <sheet state="visible" name="RemoveManualExecution1" sheetId="11" r:id="rId13"/>
    <sheet state="visible" name="SelectAllocatedGroup2" sheetId="12" r:id="rId14"/>
    <sheet state="visible" name="ReviewExistingPositions2" sheetId="13" r:id="rId15"/>
    <sheet state="visible" name="SelectTradeOnBlotter" sheetId="14" r:id="rId16"/>
    <sheet state="visible" name="SelectTradeOnBlotter1" sheetId="15" r:id="rId17"/>
    <sheet state="visible" name="CloseAllocation" sheetId="16" r:id="rId18"/>
  </sheets>
  <definedNames/>
  <calcPr/>
</workbook>
</file>

<file path=xl/sharedStrings.xml><?xml version="1.0" encoding="utf-8"?>
<sst xmlns="http://schemas.openxmlformats.org/spreadsheetml/2006/main" count="244" uniqueCount="86">
  <si>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</si>
  <si>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</si>
  <si>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</si>
  <si>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</si>
  <si>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</si>
  <si>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</si>
  <si>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</si>
  <si>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</si>
  <si>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</si>
  <si>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</si>
  <si>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</si>
  <si>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</si>
  <si>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</si>
  <si>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</si>
  <si>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</si>
  <si>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</si>
  <si>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</si>
  <si>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</si>
  <si>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Sell</t>
  </si>
  <si>
    <t>Blotter</t>
  </si>
  <si>
    <t>RemoveManualExecution</t>
  </si>
  <si>
    <t>Allocation</t>
  </si>
  <si>
    <t>SelectAllocatedGroup</t>
  </si>
  <si>
    <t>Allocation1</t>
  </si>
  <si>
    <t>ReviewExistingPositions</t>
  </si>
  <si>
    <t>MSFT</t>
  </si>
  <si>
    <t>Sell short</t>
  </si>
  <si>
    <t>Buy to Close</t>
  </si>
  <si>
    <t>Filled</t>
  </si>
  <si>
    <t>SelectTradeOnBlotter</t>
  </si>
  <si>
    <t>Avg Fill Price (Base)</t>
  </si>
  <si>
    <t>Transaction Time</t>
  </si>
  <si>
    <t>Symbol</t>
  </si>
  <si>
    <t>Algo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</si>
  <si>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</si>
  <si>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</si>
  <si>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</si>
  <si>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</si>
  <si>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</si>
  <si>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</si>
  <si>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</si>
  <si>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Limit Price</t>
  </si>
  <si>
    <t>Last Fill Price (Local)</t>
  </si>
  <si>
    <t>Stop Price</t>
  </si>
  <si>
    <t>Avg Fill Price (Local)</t>
  </si>
  <si>
    <t>Broker</t>
  </si>
  <si>
    <t>Account</t>
  </si>
  <si>
    <t>OrderID</t>
  </si>
  <si>
    <t>Order Type</t>
  </si>
  <si>
    <t>Principal Amount (Local)</t>
  </si>
  <si>
    <t>Principal Amount (Base)</t>
  </si>
  <si>
    <t>Peg</t>
  </si>
  <si>
    <t>ParentClOrderID</t>
  </si>
  <si>
    <t>Strike Price</t>
  </si>
  <si>
    <t>Last Shares</t>
  </si>
  <si>
    <t>Working Qty</t>
  </si>
  <si>
    <t>Bloomberg Symbol</t>
  </si>
  <si>
    <t>Imported File Name</t>
  </si>
  <si>
    <t>Master Fund</t>
  </si>
  <si>
    <t>Day Average Price</t>
  </si>
  <si>
    <t>Asset Class</t>
  </si>
  <si>
    <t>Underlying Country</t>
  </si>
  <si>
    <t>Trader</t>
  </si>
  <si>
    <t>User</t>
  </si>
  <si>
    <t>Venue</t>
  </si>
  <si>
    <t>Settlement Currency</t>
  </si>
  <si>
    <t>FX Conversion Operator</t>
  </si>
  <si>
    <t>Process Date</t>
  </si>
  <si>
    <t>Underlying Symbol</t>
  </si>
  <si>
    <t>Put/Call</t>
  </si>
  <si>
    <t>FX Rate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</si>
  <si>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</si>
  <si>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</si>
  <si>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</si>
  <si>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</si>
  <si>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</si>
  <si>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</si>
  <si>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Internal Comments</t>
  </si>
  <si>
    <t>Allocation Scheme Name</t>
  </si>
  <si>
    <t>Start of Day Qty</t>
  </si>
  <si>
    <t>Leaves</t>
  </si>
  <si>
    <t>CheckBox</t>
  </si>
  <si>
    <t>Action on toolbar</t>
  </si>
  <si>
    <t>CloseAllocation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</si>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</sst>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19000.0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12" t="s">
        <v>16</v>
      </c>
      <c r="C7" s="12" t="s">
        <v>18</v>
      </c>
      <c r="D7" s="12">
        <v>18000.0</v>
      </c>
      <c r="E7" s="8"/>
      <c r="F7" s="8"/>
      <c r="G7" s="8"/>
      <c r="H7" s="8"/>
      <c r="I7" s="8"/>
      <c r="J7" s="12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RemoveManualExecution!$4:$4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19000.0</v>
      </c>
      <c r="D6" s="12"/>
      <c r="E6" s="12" t="s">
        <v>23</v>
      </c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IFERROR(__xludf.DUMMYFUNCTION("""COMPUTED_VALUE"""),"AccountName")</f>
        <v>AccountName</v>
      </c>
      <c r="D5" s="27" t="str">
        <f>IFERROR(__xludf.DUMMYFUNCTION("""COMPUTED_VALUE"""),"Quantity")</f>
        <v>Quantity</v>
      </c>
      <c r="E5" s="27" t="str">
        <f>IFERROR(__xludf.DUMMYFUNCTION("""COMPUTED_VALUE"""),"Notional")</f>
        <v>Notional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23</v>
      </c>
      <c r="D6" s="12">
        <v>19000.0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ReviewExistingPositions!$4:$4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26</v>
      </c>
      <c r="D6" s="12">
        <v>19000.0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12" t="s">
        <v>25</v>
      </c>
      <c r="C7" s="12" t="s">
        <v>27</v>
      </c>
      <c r="D7" s="12">
        <v>18000.0</v>
      </c>
      <c r="E7" s="8"/>
      <c r="F7" s="8"/>
      <c r="G7" s="8"/>
      <c r="H7" s="8"/>
      <c r="I7" s="8"/>
      <c r="J7" s="12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>
        <v>19000.0</v>
      </c>
      <c r="D6" s="12"/>
      <c r="E6" s="12" t="s">
        <v>23</v>
      </c>
      <c r="F6" s="12" t="s">
        <v>26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IFERROR(__xludf.DUMMYFUNCTION("""COMPUTED_VALUE"""),"AccountName")</f>
        <v>AccountName</v>
      </c>
      <c r="D5" s="27" t="str">
        <f>IFERROR(__xludf.DUMMYFUNCTION("""COMPUTED_VALUE"""),"Quantity")</f>
        <v>Quantity</v>
      </c>
      <c r="E5" s="27" t="str">
        <f>IFERROR(__xludf.DUMMYFUNCTION("""COMPUTED_VALUE"""),"Notional")</f>
        <v>Notional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23</v>
      </c>
      <c r="D6" s="12">
        <v>-1000.0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ReviewExistingPositions1!$4:$4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25</v>
      </c>
      <c r="AJ6" s="9" t="s">
        <v>27</v>
      </c>
      <c r="AK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RemoveManualExecution1!$4:$4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>
        <v>19000.0</v>
      </c>
      <c r="D6" s="12"/>
      <c r="E6" s="12" t="s">
        <v>23</v>
      </c>
      <c r="F6" s="12" t="s">
        <v>26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IFERROR(__xludf.DUMMYFUNCTION("""COMPUTED_VALUE"""),"AccountName")</f>
        <v>AccountName</v>
      </c>
      <c r="D5" s="27" t="str">
        <f>IFERROR(__xludf.DUMMYFUNCTION("""COMPUTED_VALUE"""),"Quantity")</f>
        <v>Quantity</v>
      </c>
      <c r="E5" s="27" t="str">
        <f>IFERROR(__xludf.DUMMYFUNCTION("""COMPUTED_VALUE"""),"Notional")</f>
        <v>Notional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23</v>
      </c>
      <c r="D6" s="12">
        <v>-19000.0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ReviewExistingPositions2!$4:$4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30</v>
      </c>
      <c r="C5" s="27" t="s">
        <v>31</v>
      </c>
      <c r="D5" s="27" t="s">
        <v>32</v>
      </c>
      <c r="E5" s="27" t="s">
        <v>33</v>
      </c>
      <c r="F5" s="28" t="s">
        <v>34</v>
      </c>
      <c r="G5" s="27" t="s">
        <v>35</v>
      </c>
      <c r="H5" s="27" t="s">
        <v>36</v>
      </c>
      <c r="I5" s="27" t="s">
        <v>37</v>
      </c>
      <c r="J5" s="27" t="s">
        <v>38</v>
      </c>
      <c r="K5" s="27" t="s">
        <v>39</v>
      </c>
      <c r="L5" s="27" t="s">
        <v>40</v>
      </c>
      <c r="M5" s="27" t="s">
        <v>41</v>
      </c>
      <c r="N5" s="27" t="s">
        <v>42</v>
      </c>
      <c r="O5" s="27" t="s">
        <v>43</v>
      </c>
      <c r="P5" s="27" t="s">
        <v>44</v>
      </c>
      <c r="Q5" s="27" t="s">
        <v>45</v>
      </c>
      <c r="R5" s="27" t="s">
        <v>46</v>
      </c>
      <c r="S5" s="27" t="s">
        <v>47</v>
      </c>
      <c r="T5" s="29" t="s">
        <v>48</v>
      </c>
      <c r="U5" s="29" t="s">
        <v>49</v>
      </c>
      <c r="V5" s="29" t="s">
        <v>50</v>
      </c>
      <c r="W5" s="29" t="s">
        <v>51</v>
      </c>
      <c r="X5" s="29" t="s">
        <v>52</v>
      </c>
      <c r="Y5" s="29" t="s">
        <v>53</v>
      </c>
      <c r="Z5" s="29" t="s">
        <v>54</v>
      </c>
      <c r="AA5" s="29" t="s">
        <v>55</v>
      </c>
      <c r="AB5" s="29" t="s">
        <v>56</v>
      </c>
      <c r="AC5" s="29" t="s">
        <v>57</v>
      </c>
      <c r="AD5" s="29" t="s">
        <v>58</v>
      </c>
      <c r="AE5" s="29" t="s">
        <v>59</v>
      </c>
      <c r="AF5" s="29" t="s">
        <v>60</v>
      </c>
      <c r="AG5" s="29" t="s">
        <v>61</v>
      </c>
      <c r="AH5" s="29" t="s">
        <v>62</v>
      </c>
      <c r="AI5" s="29" t="s">
        <v>63</v>
      </c>
      <c r="AJ5" s="29" t="s">
        <v>64</v>
      </c>
      <c r="AK5" s="29" t="s">
        <v>65</v>
      </c>
      <c r="AL5" s="29" t="s">
        <v>66</v>
      </c>
      <c r="AM5" s="29" t="s">
        <v>67</v>
      </c>
      <c r="AN5" s="29" t="s">
        <v>68</v>
      </c>
      <c r="AO5" s="29" t="s">
        <v>69</v>
      </c>
      <c r="AP5" s="29" t="s">
        <v>70</v>
      </c>
      <c r="AQ5" s="29" t="s">
        <v>71</v>
      </c>
      <c r="AR5" s="29" t="s">
        <v>72</v>
      </c>
      <c r="AS5" s="29" t="s">
        <v>73</v>
      </c>
      <c r="AT5" s="29" t="s">
        <v>74</v>
      </c>
      <c r="AU5" s="29" t="s">
        <v>75</v>
      </c>
      <c r="AV5" s="29" t="s">
        <v>76</v>
      </c>
      <c r="AW5" s="29" t="s">
        <v>77</v>
      </c>
      <c r="AX5" s="29" t="s">
        <v>78</v>
      </c>
      <c r="AY5" s="29" t="s">
        <v>79</v>
      </c>
      <c r="AZ5" s="29" t="s">
        <v>80</v>
      </c>
      <c r="BA5" s="29" t="s">
        <v>81</v>
      </c>
      <c r="BB5" s="29" t="s">
        <v>82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18</v>
      </c>
      <c r="G6" s="12" t="s">
        <v>28</v>
      </c>
      <c r="H6" s="12">
        <v>18000.0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SelectTradeOnBlotter!$4:$4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30</v>
      </c>
      <c r="C5" s="27" t="s">
        <v>31</v>
      </c>
      <c r="D5" s="27" t="s">
        <v>32</v>
      </c>
      <c r="E5" s="27" t="s">
        <v>33</v>
      </c>
      <c r="F5" s="28" t="s">
        <v>34</v>
      </c>
      <c r="G5" s="27" t="s">
        <v>35</v>
      </c>
      <c r="H5" s="27" t="s">
        <v>36</v>
      </c>
      <c r="I5" s="27" t="s">
        <v>37</v>
      </c>
      <c r="J5" s="27" t="s">
        <v>38</v>
      </c>
      <c r="K5" s="27" t="s">
        <v>39</v>
      </c>
      <c r="L5" s="27" t="s">
        <v>40</v>
      </c>
      <c r="M5" s="27" t="s">
        <v>41</v>
      </c>
      <c r="N5" s="27" t="s">
        <v>42</v>
      </c>
      <c r="O5" s="27" t="s">
        <v>43</v>
      </c>
      <c r="P5" s="27" t="s">
        <v>44</v>
      </c>
      <c r="Q5" s="27" t="s">
        <v>45</v>
      </c>
      <c r="R5" s="27" t="s">
        <v>46</v>
      </c>
      <c r="S5" s="27" t="s">
        <v>47</v>
      </c>
      <c r="T5" s="29" t="s">
        <v>48</v>
      </c>
      <c r="U5" s="29" t="s">
        <v>49</v>
      </c>
      <c r="V5" s="29" t="s">
        <v>50</v>
      </c>
      <c r="W5" s="29" t="s">
        <v>51</v>
      </c>
      <c r="X5" s="29" t="s">
        <v>52</v>
      </c>
      <c r="Y5" s="29" t="s">
        <v>53</v>
      </c>
      <c r="Z5" s="29" t="s">
        <v>54</v>
      </c>
      <c r="AA5" s="29" t="s">
        <v>55</v>
      </c>
      <c r="AB5" s="29" t="s">
        <v>56</v>
      </c>
      <c r="AC5" s="29" t="s">
        <v>57</v>
      </c>
      <c r="AD5" s="29" t="s">
        <v>58</v>
      </c>
      <c r="AE5" s="29" t="s">
        <v>59</v>
      </c>
      <c r="AF5" s="29" t="s">
        <v>60</v>
      </c>
      <c r="AG5" s="29" t="s">
        <v>61</v>
      </c>
      <c r="AH5" s="29" t="s">
        <v>62</v>
      </c>
      <c r="AI5" s="29" t="s">
        <v>63</v>
      </c>
      <c r="AJ5" s="29" t="s">
        <v>64</v>
      </c>
      <c r="AK5" s="29" t="s">
        <v>65</v>
      </c>
      <c r="AL5" s="29" t="s">
        <v>66</v>
      </c>
      <c r="AM5" s="29" t="s">
        <v>67</v>
      </c>
      <c r="AN5" s="29" t="s">
        <v>68</v>
      </c>
      <c r="AO5" s="29" t="s">
        <v>69</v>
      </c>
      <c r="AP5" s="29" t="s">
        <v>70</v>
      </c>
      <c r="AQ5" s="29" t="s">
        <v>71</v>
      </c>
      <c r="AR5" s="29" t="s">
        <v>72</v>
      </c>
      <c r="AS5" s="29" t="s">
        <v>73</v>
      </c>
      <c r="AT5" s="29" t="s">
        <v>74</v>
      </c>
      <c r="AU5" s="29" t="s">
        <v>75</v>
      </c>
      <c r="AV5" s="29" t="s">
        <v>76</v>
      </c>
      <c r="AW5" s="29" t="s">
        <v>77</v>
      </c>
      <c r="AX5" s="29" t="s">
        <v>78</v>
      </c>
      <c r="AY5" s="29" t="s">
        <v>79</v>
      </c>
      <c r="AZ5" s="29" t="s">
        <v>80</v>
      </c>
      <c r="BA5" s="29" t="s">
        <v>81</v>
      </c>
      <c r="BB5" s="29" t="s">
        <v>82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25</v>
      </c>
      <c r="E6" s="30"/>
      <c r="F6" s="12" t="s">
        <v>27</v>
      </c>
      <c r="G6" s="12" t="s">
        <v>28</v>
      </c>
      <c r="H6" s="12">
        <v>18000.0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SelectTradeOnBlotter1!$4:$4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84</v>
      </c>
      <c r="C6" s="8"/>
      <c r="D6" s="12" t="s">
        <v>85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CloseAllocation!$4:$4</formula1>
    </dataValidation>
  </dataValidations>
  <drawing r:id="rId1"/>
</worksheet>
</file>