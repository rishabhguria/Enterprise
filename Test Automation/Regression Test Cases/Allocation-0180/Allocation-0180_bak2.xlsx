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eAttributePreferences" sheetId="4" r:id="rId6"/>
    <sheet state="visible" name="CreateDoneAwayOrder" sheetId="5" r:id="rId7"/>
    <sheet state="visible" name="GetDataAllocation" sheetId="6" r:id="rId8"/>
    <sheet state="visible" name="SelectAllocatedGroup" sheetId="7" r:id="rId9"/>
    <sheet state="visible" name="EditAllocatedGridWPF" sheetId="8" r:id="rId10"/>
    <sheet state="visible" name="EditAllocatedGrid" sheetId="9" r:id="rId11"/>
    <sheet state="visible" name="CreateDoneAwayOrder1" sheetId="10" r:id="rId12"/>
    <sheet state="visible" name="VerifyOrder" sheetId="11" r:id="rId13"/>
    <sheet state="visible" name="VerifyWorkingSubs" sheetId="12" r:id="rId14"/>
    <sheet state="visible" name="CheckAllocatedGroups" sheetId="13" r:id="rId15"/>
    <sheet state="visible" name="CheckPortfolioManagement" sheetId="14" r:id="rId16"/>
    <sheet state="visible" name="SaveAllocation" sheetId="15" r:id="rId17"/>
    <sheet state="visible" name="Copy of Data" sheetId="16" r:id="rId18"/>
  </sheets>
  <definedNames/>
  <calcPr/>
</workbook>
</file>

<file path=xl/sharedStrings.xml><?xml version="1.0" encoding="utf-8"?>
<sst xmlns="http://schemas.openxmlformats.org/spreadsheetml/2006/main" count="199" uniqueCount="48">
  <si>
    <t>Modules Info</t>
  </si>
  <si>
    <t>Modules</t>
  </si>
  <si>
    <t>Settings</t>
  </si>
  <si>
    <t>Module Step Setting File</t>
  </si>
  <si>
    <t>1OGow-NI2Q57e5JKfpK3NawmxzadsuCIs7p_4sqAVjOQ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</si>
  <si>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</si>
  <si>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</si>
  <si>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</si>
  <si>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</si>
  <si>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</si>
  <si>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</si>
  <si>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</si>
  <si>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</si>
  <si>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SetTradeAttributePreferences</t>
  </si>
  <si>
    <t>Data Format</t>
  </si>
  <si>
    <t>Input Format</t>
  </si>
  <si>
    <t>TradeAttribute1</t>
  </si>
  <si>
    <t>PIPR,TA1,TA3</t>
  </si>
  <si>
    <t>TradeAttribute2</t>
  </si>
  <si>
    <t>TA4,TA5</t>
  </si>
  <si>
    <t>TradingTicket</t>
  </si>
  <si>
    <t>CreateDoneAwayOrder</t>
  </si>
  <si>
    <t>MSFT</t>
  </si>
  <si>
    <t>Buy</t>
  </si>
  <si>
    <t>Allocation1</t>
  </si>
  <si>
    <t>TA1</t>
  </si>
  <si>
    <t>GetDataAllocation</t>
  </si>
  <si>
    <t>Current</t>
  </si>
  <si>
    <t>SelectAllocatedGroup</t>
  </si>
  <si>
    <t>MS</t>
  </si>
  <si>
    <t>Equity</t>
  </si>
  <si>
    <t>Market</t>
  </si>
  <si>
    <t>EditAllocatedGridWPF</t>
  </si>
  <si>
    <t>TA2</t>
  </si>
  <si>
    <t>EditAllocatedGrid</t>
  </si>
  <si>
    <t>AAPL</t>
  </si>
  <si>
    <t>PIPR</t>
  </si>
  <si>
    <t>Blotter</t>
  </si>
  <si>
    <t>VerifyOrder</t>
  </si>
  <si>
    <t>Filled</t>
  </si>
  <si>
    <t>VerifyWorkingSubs</t>
  </si>
  <si>
    <t>CheckAllocatedGroups</t>
  </si>
  <si>
    <t>Open</t>
  </si>
  <si>
    <t>PortfolioManagement</t>
  </si>
  <si>
    <t>CheckPortfolioManagement</t>
  </si>
  <si>
    <t>Long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</si>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</sst>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164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4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5" fillId="0" fontId="5" numFmtId="3" xfId="0" applyAlignment="1" applyBorder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IFERROR(__xludf.DUMMYFUNCTION("""COMPUTED_VALUE"""),"AttributeValue")</f>
        <v>AttributeValue</v>
      </c>
      <c r="C5" s="27" t="str">
        <f>IFERROR(__xludf.DUMMYFUNCTION("""COMPUTED_VALUE"""),"AttributeName")</f>
        <v>AttributeName</v>
      </c>
      <c r="D5" s="27" t="str">
        <f>IFERROR(__xludf.DUMMYFUNCTION("""COMPUTED_VALUE"""),"KeepRecord")</f>
        <v>KeepRecord</v>
      </c>
      <c r="E5" s="27" t="str">
        <f>IFERROR(__xludf.DUMMYFUNCTION("""COMPUTED_VALUE"""),"DefaultValues")</f>
        <v>DefaultValues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8"/>
      <c r="D6" s="11" t="b">
        <v>0</v>
      </c>
      <c r="E6" s="11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18</v>
      </c>
      <c r="C7" s="8"/>
      <c r="D7" s="11" t="b">
        <v>0</v>
      </c>
      <c r="E7" s="11" t="s">
        <v>19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SetTradeAttributePreferences!$4:$4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2" t="s">
        <v>23</v>
      </c>
      <c r="D6" s="33">
        <v>100.0</v>
      </c>
      <c r="E6" s="34">
        <v>100.0</v>
      </c>
      <c r="F6" s="32" t="s">
        <v>24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6" t="s">
        <v>25</v>
      </c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27</v>
      </c>
      <c r="C6" s="8"/>
      <c r="D6" s="11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4">
        <v>100.0</v>
      </c>
      <c r="D6" s="31"/>
      <c r="E6" s="32" t="s">
        <v>24</v>
      </c>
      <c r="F6" s="32" t="s">
        <v>23</v>
      </c>
      <c r="G6" s="32"/>
      <c r="H6" s="32"/>
      <c r="I6" s="32"/>
      <c r="J6" s="38" t="s">
        <v>25</v>
      </c>
      <c r="K6" s="32"/>
      <c r="L6" s="32"/>
      <c r="M6" s="32"/>
      <c r="N6" s="32"/>
      <c r="O6" s="32"/>
      <c r="P6" s="32" t="s">
        <v>29</v>
      </c>
      <c r="Q6" s="32" t="s">
        <v>23</v>
      </c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 t="s">
        <v>30</v>
      </c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 t="s">
        <v>31</v>
      </c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IFERROR(__xludf.DUMMYFUNCTION("""COMPUTED_VALUE"""),"Accured Interest")</f>
        <v>Accured Interest</v>
      </c>
      <c r="C5" s="27" t="str">
        <f>IFERROR(__xludf.DUMMYFUNCTION("""COMPUTED_VALUE"""),"Broker")</f>
        <v>Broker</v>
      </c>
      <c r="D5" s="27" t="str">
        <f>IFERROR(__xludf.DUMMYFUNCTION("""COMPUTED_VALUE"""),"Transaction Type")</f>
        <v>Transaction Type</v>
      </c>
      <c r="E5" s="27" t="str">
        <f>IFERROR(__xludf.DUMMYFUNCTION("""COMPUTED_VALUE"""),"Trade Attribute 1")</f>
        <v>Trade Attribute 1</v>
      </c>
      <c r="F5" s="28" t="str">
        <f>IFERROR(__xludf.DUMMYFUNCTION("""COMPUTED_VALUE"""),"Trade Attribute 2")</f>
        <v>Trade Attribute 2</v>
      </c>
      <c r="G5" s="27" t="str">
        <f>IFERROR(__xludf.DUMMYFUNCTION("""COMPUTED_VALUE"""),"Trade Attribute 3")</f>
        <v>Trade Attribute 3</v>
      </c>
      <c r="H5" s="27" t="str">
        <f>IFERROR(__xludf.DUMMYFUNCTION("""COMPUTED_VALUE"""),"Trade Attribute 4")</f>
        <v>Trade Attribute 4</v>
      </c>
      <c r="I5" s="27" t="str">
        <f>IFERROR(__xludf.DUMMYFUNCTION("""COMPUTED_VALUE"""),"Trade Attribute 5")</f>
        <v>Trade Attribute 5</v>
      </c>
      <c r="J5" s="27" t="str">
        <f>IFERROR(__xludf.DUMMYFUNCTION("""COMPUTED_VALUE"""),"Trade Attribute 6")</f>
        <v>Trade Attribute 6</v>
      </c>
      <c r="K5" s="27" t="str">
        <f>IFERROR(__xludf.DUMMYFUNCTION("""COMPUTED_VALUE"""),"Commission")</f>
        <v>Commission</v>
      </c>
      <c r="L5" s="27" t="str">
        <f>IFERROR(__xludf.DUMMYFUNCTION("""COMPUTED_VALUE"""),"Soft Commission")</f>
        <v>Soft Commission</v>
      </c>
      <c r="M5" s="27" t="str">
        <f>IFERROR(__xludf.DUMMYFUNCTION("""COMPUTED_VALUE"""),"Other Broker Fees")</f>
        <v>Other Broker Fees</v>
      </c>
      <c r="N5" s="27" t="str">
        <f>IFERROR(__xludf.DUMMYFUNCTION("""COMPUTED_VALUE"""),"Clearing Broker Fee")</f>
        <v>Clearing Broker Fee</v>
      </c>
      <c r="O5" s="27" t="str">
        <f>IFERROR(__xludf.DUMMYFUNCTION("""COMPUTED_VALUE"""),"Stamp Duty")</f>
        <v>Stamp Duty</v>
      </c>
      <c r="P5" s="27" t="str">
        <f>IFERROR(__xludf.DUMMYFUNCTION("""COMPUTED_VALUE"""),"AUEC Fee1")</f>
        <v>AUEC Fee1</v>
      </c>
      <c r="Q5" s="27" t="str">
        <f>IFERROR(__xludf.DUMMYFUNCTION("""COMPUTED_VALUE"""),"Tax On Commissions")</f>
        <v>Tax On Commissions</v>
      </c>
      <c r="R5" s="27" t="str">
        <f>IFERROR(__xludf.DUMMYFUNCTION("""COMPUTED_VALUE"""),"AUEC Fee2")</f>
        <v>AUEC Fee2</v>
      </c>
      <c r="S5" s="27" t="str">
        <f>IFERROR(__xludf.DUMMYFUNCTION("""COMPUTED_VALUE"""),"SEC Fee")</f>
        <v>SEC Fee</v>
      </c>
      <c r="T5" s="29" t="str">
        <f>IFERROR(__xludf.DUMMYFUNCTION("""COMPUTED_VALUE"""),"OCC Fee")</f>
        <v>OCC Fee</v>
      </c>
      <c r="U5" s="29" t="str">
        <f>IFERROR(__xludf.DUMMYFUNCTION("""COMPUTED_VALUE"""),"ORF Fee")</f>
        <v>ORF Fee</v>
      </c>
      <c r="V5" s="29" t="str">
        <f>IFERROR(__xludf.DUMMYFUNCTION("""COMPUTED_VALUE"""),"Option Premium Adjustment")</f>
        <v>Option Premium Adjustment</v>
      </c>
      <c r="W5" s="29" t="str">
        <f>IFERROR(__xludf.DUMMYFUNCTION("""COMPUTED_VALUE"""),"Change Comment")</f>
        <v>Change Comment</v>
      </c>
      <c r="X5" s="29" t="str">
        <f>IFERROR(__xludf.DUMMYFUNCTION("""COMPUTED_VALUE"""),"Avg Price(Local)")</f>
        <v>Avg Price(Local)</v>
      </c>
      <c r="Y5" s="29" t="str">
        <f>IFERROR(__xludf.DUMMYFUNCTION("""COMPUTED_VALUE"""),"Nirvana Process Date")</f>
        <v>Nirvana Process Date</v>
      </c>
      <c r="Z5" s="29" t="str">
        <f>IFERROR(__xludf.DUMMYFUNCTION("""COMPUTED_VALUE"""),"Closing Date")</f>
        <v>Closing Date</v>
      </c>
      <c r="AA5" s="29" t="str">
        <f>IFERROR(__xludf.DUMMYFUNCTION("""COMPUTED_VALUE"""),"Description")</f>
        <v>Description</v>
      </c>
      <c r="AB5" s="29" t="str">
        <f>IFERROR(__xludf.DUMMYFUNCTION("""COMPUTED_VALUE"""),"Coupon Rate")</f>
        <v>Coupon Rate</v>
      </c>
      <c r="AC5" s="29" t="str">
        <f>IFERROR(__xludf.DUMMYFUNCTION("""COMPUTED_VALUE"""),"Delta")</f>
        <v>Delta</v>
      </c>
      <c r="AD5" s="29" t="str">
        <f>IFERROR(__xludf.DUMMYFUNCTION("""COMPUTED_VALUE"""),"Symbol")</f>
        <v>Symbol</v>
      </c>
      <c r="AE5" s="29" t="str">
        <f>IFERROR(__xludf.DUMMYFUNCTION("""COMPUTED_VALUE"""),"Quantity")</f>
        <v>Quantity</v>
      </c>
      <c r="AF5" s="29" t="str">
        <f>IFERROR(__xludf.DUMMYFUNCTION("""COMPUTED_VALUE"""),"Avg Price(Base)")</f>
        <v>Avg Price(Base)</v>
      </c>
      <c r="AG5" s="29" t="str">
        <f>IFERROR(__xludf.DUMMYFUNCTION("""COMPUTED_VALUE"""),"Transaction Levy")</f>
        <v>Transaction Levy</v>
      </c>
      <c r="AH5" s="29" t="str">
        <f>IFERROR(__xludf.DUMMYFUNCTION("""COMPUTED_VALUE"""),"Borrow Broker")</f>
        <v>Borrow Broker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11" t="s">
        <v>33</v>
      </c>
      <c r="F6" s="8"/>
      <c r="G6" s="8"/>
      <c r="H6" s="8"/>
      <c r="I6" s="8"/>
      <c r="J6" s="8"/>
      <c r="K6" s="8"/>
      <c r="L6" s="8"/>
      <c r="M6" s="8"/>
      <c r="N6" s="8"/>
      <c r="O6" s="8"/>
      <c r="AD6" s="35" t="s">
        <v>22</v>
      </c>
      <c r="AE6" s="39">
        <v>100.0</v>
      </c>
      <c r="AF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EditAllocatedGridWPF!$4:$4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IFERROR(__xludf.DUMMYFUNCTION("""COMPUTED_VALUE"""),"Accured Interest")</f>
        <v>Accured Interest</v>
      </c>
      <c r="C5" s="27" t="str">
        <f>IFERROR(__xludf.DUMMYFUNCTION("""COMPUTED_VALUE"""),"Broker")</f>
        <v>Broker</v>
      </c>
      <c r="D5" s="27" t="str">
        <f>IFERROR(__xludf.DUMMYFUNCTION("""COMPUTED_VALUE"""),"Transaction Type")</f>
        <v>Transaction Type</v>
      </c>
      <c r="E5" s="27" t="str">
        <f>IFERROR(__xludf.DUMMYFUNCTION("""COMPUTED_VALUE"""),"Trade Attribute 1")</f>
        <v>Trade Attribute 1</v>
      </c>
      <c r="F5" s="28" t="str">
        <f>IFERROR(__xludf.DUMMYFUNCTION("""COMPUTED_VALUE"""),"Trade Attribute 2")</f>
        <v>Trade Attribute 2</v>
      </c>
      <c r="G5" s="27" t="str">
        <f>IFERROR(__xludf.DUMMYFUNCTION("""COMPUTED_VALUE"""),"Trade Attribute 3")</f>
        <v>Trade Attribute 3</v>
      </c>
      <c r="H5" s="27" t="str">
        <f>IFERROR(__xludf.DUMMYFUNCTION("""COMPUTED_VALUE"""),"Trade Attribute 4")</f>
        <v>Trade Attribute 4</v>
      </c>
      <c r="I5" s="27" t="str">
        <f>IFERROR(__xludf.DUMMYFUNCTION("""COMPUTED_VALUE"""),"Trade Attribute 5")</f>
        <v>Trade Attribute 5</v>
      </c>
      <c r="J5" s="27" t="str">
        <f>IFERROR(__xludf.DUMMYFUNCTION("""COMPUTED_VALUE"""),"Trade Attribute 6")</f>
        <v>Trade Attribute 6</v>
      </c>
      <c r="K5" s="27" t="str">
        <f>IFERROR(__xludf.DUMMYFUNCTION("""COMPUTED_VALUE"""),"Commission")</f>
        <v>Commission</v>
      </c>
      <c r="L5" s="27" t="str">
        <f>IFERROR(__xludf.DUMMYFUNCTION("""COMPUTED_VALUE"""),"Soft Commission")</f>
        <v>Soft Commission</v>
      </c>
      <c r="M5" s="27" t="str">
        <f>IFERROR(__xludf.DUMMYFUNCTION("""COMPUTED_VALUE"""),"Other Broker Fees")</f>
        <v>Other Broker Fees</v>
      </c>
      <c r="N5" s="27" t="str">
        <f>IFERROR(__xludf.DUMMYFUNCTION("""COMPUTED_VALUE"""),"Clearing Broker Fee")</f>
        <v>Clearing Broker Fee</v>
      </c>
      <c r="O5" s="27" t="str">
        <f>IFERROR(__xludf.DUMMYFUNCTION("""COMPUTED_VALUE"""),"Stamp Duty")</f>
        <v>Stamp Duty</v>
      </c>
      <c r="P5" s="27" t="str">
        <f>IFERROR(__xludf.DUMMYFUNCTION("""COMPUTED_VALUE"""),"AUEC Fee1")</f>
        <v>AUEC Fee1</v>
      </c>
      <c r="Q5" s="27" t="str">
        <f>IFERROR(__xludf.DUMMYFUNCTION("""COMPUTED_VALUE"""),"Tax On Commissions")</f>
        <v>Tax On Commissions</v>
      </c>
      <c r="R5" s="27" t="str">
        <f>IFERROR(__xludf.DUMMYFUNCTION("""COMPUTED_VALUE"""),"AUEC Fee2")</f>
        <v>AUEC Fee2</v>
      </c>
      <c r="S5" s="27" t="str">
        <f>IFERROR(__xludf.DUMMYFUNCTION("""COMPUTED_VALUE"""),"SEC Fee")</f>
        <v>SEC Fee</v>
      </c>
      <c r="T5" s="29" t="str">
        <f>IFERROR(__xludf.DUMMYFUNCTION("""COMPUTED_VALUE"""),"OCC Fee")</f>
        <v>OCC Fee</v>
      </c>
      <c r="U5" s="29" t="str">
        <f>IFERROR(__xludf.DUMMYFUNCTION("""COMPUTED_VALUE"""),"ORF Fee")</f>
        <v>ORF Fee</v>
      </c>
      <c r="V5" s="29" t="str">
        <f>IFERROR(__xludf.DUMMYFUNCTION("""COMPUTED_VALUE"""),"Option Premium Adjustment")</f>
        <v>Option Premium Adjustment</v>
      </c>
      <c r="W5" s="29" t="str">
        <f>IFERROR(__xludf.DUMMYFUNCTION("""COMPUTED_VALUE"""),"Change Comment")</f>
        <v>Change Comment</v>
      </c>
      <c r="X5" s="29" t="str">
        <f>IFERROR(__xludf.DUMMYFUNCTION("""COMPUTED_VALUE"""),"Avg Price(Local)")</f>
        <v>Avg Price(Local)</v>
      </c>
      <c r="Y5" s="29" t="str">
        <f>IFERROR(__xludf.DUMMYFUNCTION("""COMPUTED_VALUE"""),"Nirvana Process Date")</f>
        <v>Nirvana Process Date</v>
      </c>
      <c r="Z5" s="29" t="str">
        <f>IFERROR(__xludf.DUMMYFUNCTION("""COMPUTED_VALUE"""),"Closing Date")</f>
        <v>Closing Date</v>
      </c>
      <c r="AA5" s="29" t="str">
        <f>IFERROR(__xludf.DUMMYFUNCTION("""COMPUTED_VALUE"""),"Description")</f>
        <v>Description</v>
      </c>
      <c r="AB5" s="29" t="str">
        <f>IFERROR(__xludf.DUMMYFUNCTION("""COMPUTED_VALUE"""),"Coupon Rate")</f>
        <v>Coupon Rate</v>
      </c>
      <c r="AC5" s="29" t="str">
        <f>IFERROR(__xludf.DUMMYFUNCTION("""COMPUTED_VALUE"""),"Delta")</f>
        <v>Delta</v>
      </c>
      <c r="AD5" s="29" t="str">
        <f>IFERROR(__xludf.DUMMYFUNCTION("""COMPUTED_VALUE"""),"Symbol")</f>
        <v>Symbol</v>
      </c>
      <c r="AE5" s="29" t="str">
        <f>IFERROR(__xludf.DUMMYFUNCTION("""COMPUTED_VALUE"""),"Quantity")</f>
        <v>Quantity</v>
      </c>
      <c r="AF5" s="29" t="str">
        <f>IFERROR(__xludf.DUMMYFUNCTION("""COMPUTED_VALUE"""),"Avg Price(Base)")</f>
        <v>Avg Price(Base)</v>
      </c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1"/>
      <c r="E6" s="38" t="s">
        <v>33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 t="s">
        <v>22</v>
      </c>
      <c r="AE6" s="39">
        <v>100.0</v>
      </c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EditAllocatedGrid!$4:$4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35</v>
      </c>
      <c r="C6" s="32" t="s">
        <v>23</v>
      </c>
      <c r="D6" s="33">
        <v>200.0</v>
      </c>
      <c r="E6" s="34">
        <v>200.0</v>
      </c>
      <c r="F6" s="32" t="s">
        <v>24</v>
      </c>
      <c r="G6" s="32"/>
      <c r="H6" s="32"/>
      <c r="I6" s="32"/>
      <c r="J6" s="34">
        <v>20.0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6" t="s">
        <v>36</v>
      </c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3">
        <v>20.0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8" t="s">
        <v>36</v>
      </c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 t="s">
        <v>30</v>
      </c>
      <c r="AI6" s="35" t="s">
        <v>35</v>
      </c>
      <c r="AJ6" s="35" t="s">
        <v>23</v>
      </c>
      <c r="AK6" s="35" t="s">
        <v>39</v>
      </c>
      <c r="AL6" s="39">
        <v>200.0</v>
      </c>
      <c r="AM6" s="39">
        <v>200.0</v>
      </c>
      <c r="AN6" s="39">
        <v>100.0</v>
      </c>
      <c r="AO6" s="35"/>
      <c r="AP6" s="35"/>
      <c r="AQ6" s="35"/>
      <c r="AR6" s="35"/>
      <c r="AS6" s="35" t="s">
        <v>29</v>
      </c>
      <c r="AT6" s="35" t="s">
        <v>24</v>
      </c>
      <c r="AU6" s="35" t="s">
        <v>31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40">
        <v>10.0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6" t="s">
        <v>33</v>
      </c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 t="s">
        <v>30</v>
      </c>
      <c r="AI7" s="35" t="s">
        <v>22</v>
      </c>
      <c r="AJ7" s="35" t="s">
        <v>23</v>
      </c>
      <c r="AK7" s="35" t="s">
        <v>39</v>
      </c>
      <c r="AL7" s="39">
        <v>100.0</v>
      </c>
      <c r="AM7" s="39">
        <v>100.0</v>
      </c>
      <c r="AN7" s="39">
        <v>100.0</v>
      </c>
      <c r="AO7" s="35"/>
      <c r="AP7" s="35"/>
      <c r="AQ7" s="35"/>
      <c r="AR7" s="35"/>
      <c r="AS7" s="35" t="s">
        <v>29</v>
      </c>
      <c r="AT7" s="35" t="s">
        <v>24</v>
      </c>
      <c r="AU7" s="35" t="s">
        <v>31</v>
      </c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2" t="s">
        <v>23</v>
      </c>
      <c r="D6" s="33">
        <v>100.0</v>
      </c>
      <c r="E6" s="34">
        <v>100.0</v>
      </c>
      <c r="F6" s="32"/>
      <c r="G6" s="32" t="s">
        <v>39</v>
      </c>
      <c r="H6" s="32"/>
      <c r="I6" s="32"/>
      <c r="J6" s="32"/>
      <c r="K6" s="32" t="s">
        <v>29</v>
      </c>
      <c r="L6" s="32" t="s">
        <v>24</v>
      </c>
      <c r="M6" s="32" t="s">
        <v>31</v>
      </c>
      <c r="N6" s="32"/>
      <c r="O6" s="32"/>
      <c r="P6" s="32"/>
      <c r="Q6" s="32"/>
      <c r="R6" s="32"/>
      <c r="S6" s="32"/>
      <c r="T6" s="35"/>
      <c r="U6" s="35"/>
      <c r="V6" s="35"/>
      <c r="W6" s="35" t="s">
        <v>30</v>
      </c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6" t="s">
        <v>33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35</v>
      </c>
      <c r="C7" s="35" t="s">
        <v>23</v>
      </c>
      <c r="D7" s="40">
        <v>200.0</v>
      </c>
      <c r="E7" s="40">
        <v>200.0</v>
      </c>
      <c r="F7" s="35"/>
      <c r="G7" s="35" t="s">
        <v>39</v>
      </c>
      <c r="H7" s="35"/>
      <c r="I7" s="35"/>
      <c r="J7" s="35"/>
      <c r="K7" s="35" t="s">
        <v>29</v>
      </c>
      <c r="L7" s="35" t="s">
        <v>24</v>
      </c>
      <c r="M7" s="35" t="s">
        <v>31</v>
      </c>
      <c r="N7" s="35"/>
      <c r="O7" s="35"/>
      <c r="P7" s="35"/>
      <c r="Q7" s="35"/>
      <c r="R7" s="35"/>
      <c r="S7" s="35"/>
      <c r="T7" s="35"/>
      <c r="U7" s="35"/>
      <c r="V7" s="35"/>
      <c r="W7" s="35" t="s">
        <v>30</v>
      </c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6" t="s">
        <v>36</v>
      </c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s">
        <v>24</v>
      </c>
      <c r="C6" s="32"/>
      <c r="D6" s="42">
        <v>0.0</v>
      </c>
      <c r="E6" s="42">
        <v>100.0</v>
      </c>
      <c r="F6" s="32"/>
      <c r="G6" s="32"/>
      <c r="H6" s="42">
        <v>4.0</v>
      </c>
      <c r="I6" s="42">
        <v>5.0</v>
      </c>
      <c r="J6" s="32"/>
      <c r="K6" s="42">
        <v>10.0</v>
      </c>
      <c r="L6" s="42">
        <v>10.0</v>
      </c>
      <c r="M6" s="32"/>
      <c r="N6" s="32"/>
      <c r="O6" s="32" t="s">
        <v>29</v>
      </c>
      <c r="P6" s="32"/>
      <c r="Q6" s="32"/>
      <c r="R6" s="42">
        <v>0.0</v>
      </c>
      <c r="S6" s="43" t="s">
        <v>42</v>
      </c>
      <c r="T6" s="44">
        <v>0.0</v>
      </c>
      <c r="U6" s="44">
        <v>0.0</v>
      </c>
      <c r="V6" s="35"/>
      <c r="W6" s="35"/>
      <c r="X6" s="35"/>
      <c r="Y6" s="35"/>
      <c r="Z6" s="35"/>
      <c r="AA6" s="35"/>
      <c r="AB6" s="35"/>
      <c r="AC6" s="35"/>
      <c r="AD6" s="35"/>
      <c r="AE6" s="44">
        <v>100.0</v>
      </c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44">
        <v>1014.0006</v>
      </c>
      <c r="AU6" s="44">
        <v>1014.0006</v>
      </c>
      <c r="AV6" s="35"/>
      <c r="AW6" s="45">
        <v>0.0</v>
      </c>
      <c r="AX6" s="45">
        <v>0.0</v>
      </c>
      <c r="AY6" s="35" t="s">
        <v>31</v>
      </c>
      <c r="AZ6" s="45">
        <v>0.0</v>
      </c>
      <c r="BA6" s="35"/>
      <c r="BB6" s="35"/>
      <c r="BC6" s="45">
        <v>0.0</v>
      </c>
      <c r="BD6" s="35"/>
      <c r="BE6" s="35"/>
      <c r="BF6" s="35"/>
      <c r="BG6" s="35"/>
      <c r="BH6" s="35"/>
      <c r="BI6" s="35"/>
      <c r="BJ6" s="44">
        <v>100.0</v>
      </c>
      <c r="BK6" s="35"/>
      <c r="BL6" s="35"/>
      <c r="BM6" s="35"/>
      <c r="BN6" s="35"/>
      <c r="BO6" s="35" t="s">
        <v>23</v>
      </c>
      <c r="BP6" s="35"/>
      <c r="BQ6" s="35"/>
      <c r="BR6" s="35"/>
      <c r="BS6" s="35"/>
      <c r="BT6" s="46" t="s">
        <v>22</v>
      </c>
      <c r="BU6" s="35"/>
      <c r="BV6" s="35"/>
      <c r="BW6" s="35"/>
      <c r="BX6" s="35"/>
      <c r="BY6" s="47" t="s">
        <v>33</v>
      </c>
      <c r="BZ6" s="35"/>
      <c r="CA6" s="35"/>
      <c r="CB6" s="35"/>
      <c r="CC6" s="35"/>
      <c r="CD6" s="35"/>
      <c r="CE6" s="35"/>
      <c r="CF6" s="35"/>
      <c r="CG6" s="35"/>
      <c r="CH6" s="35"/>
      <c r="CI6" s="35" t="s">
        <v>23</v>
      </c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6" t="s">
        <v>24</v>
      </c>
      <c r="C7" s="35"/>
      <c r="D7" s="44">
        <v>0.0</v>
      </c>
      <c r="E7" s="44">
        <v>200.0</v>
      </c>
      <c r="F7" s="35"/>
      <c r="G7" s="35"/>
      <c r="H7" s="44">
        <v>4.0</v>
      </c>
      <c r="I7" s="44">
        <v>5.0</v>
      </c>
      <c r="J7" s="35"/>
      <c r="K7" s="44">
        <v>20.0</v>
      </c>
      <c r="L7" s="44">
        <v>20.0</v>
      </c>
      <c r="M7" s="35"/>
      <c r="N7" s="35"/>
      <c r="O7" s="35" t="s">
        <v>29</v>
      </c>
      <c r="P7" s="35"/>
      <c r="Q7" s="35"/>
      <c r="R7" s="44">
        <v>0.0</v>
      </c>
      <c r="S7" s="46" t="s">
        <v>42</v>
      </c>
      <c r="T7" s="44">
        <v>0.0</v>
      </c>
      <c r="U7" s="44">
        <v>0.0</v>
      </c>
      <c r="V7" s="35"/>
      <c r="W7" s="35"/>
      <c r="X7" s="35"/>
      <c r="Y7" s="35"/>
      <c r="Z7" s="35"/>
      <c r="AA7" s="35"/>
      <c r="AB7" s="35"/>
      <c r="AC7" s="35"/>
      <c r="AD7" s="35"/>
      <c r="AE7" s="44">
        <v>200.0</v>
      </c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44">
        <v>4014.0022</v>
      </c>
      <c r="AU7" s="44">
        <v>4014.0022</v>
      </c>
      <c r="AV7" s="35"/>
      <c r="AW7" s="45">
        <v>0.0</v>
      </c>
      <c r="AX7" s="45">
        <v>0.0</v>
      </c>
      <c r="AY7" s="35" t="s">
        <v>31</v>
      </c>
      <c r="AZ7" s="45">
        <v>0.0</v>
      </c>
      <c r="BA7" s="35"/>
      <c r="BB7" s="35"/>
      <c r="BC7" s="45">
        <v>0.0</v>
      </c>
      <c r="BD7" s="35"/>
      <c r="BE7" s="35"/>
      <c r="BF7" s="35"/>
      <c r="BG7" s="35"/>
      <c r="BH7" s="35"/>
      <c r="BI7" s="35"/>
      <c r="BJ7" s="44">
        <v>200.0</v>
      </c>
      <c r="BK7" s="35"/>
      <c r="BL7" s="35"/>
      <c r="BM7" s="35"/>
      <c r="BN7" s="35"/>
      <c r="BO7" s="35" t="s">
        <v>23</v>
      </c>
      <c r="BP7" s="35"/>
      <c r="BQ7" s="35"/>
      <c r="BR7" s="35"/>
      <c r="BS7" s="35"/>
      <c r="BT7" s="46" t="s">
        <v>35</v>
      </c>
      <c r="BU7" s="35"/>
      <c r="BV7" s="35"/>
      <c r="BW7" s="35"/>
      <c r="BX7" s="35"/>
      <c r="BY7" s="47" t="s">
        <v>36</v>
      </c>
      <c r="BZ7" s="35"/>
      <c r="CA7" s="35"/>
      <c r="CB7" s="35"/>
      <c r="CC7" s="35"/>
      <c r="CD7" s="35"/>
      <c r="CE7" s="35"/>
      <c r="CF7" s="35"/>
      <c r="CG7" s="35"/>
      <c r="CH7" s="35"/>
      <c r="CI7" s="35" t="s">
        <v>23</v>
      </c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</row>
    <row r="6" ht="15.75" customHeight="1">
      <c r="A6" s="30"/>
      <c r="B6" s="31"/>
      <c r="C6" s="32" t="s">
        <v>22</v>
      </c>
      <c r="D6" s="33">
        <v>100.0</v>
      </c>
      <c r="E6" s="32" t="s">
        <v>24</v>
      </c>
      <c r="F6" s="32"/>
      <c r="G6" s="32"/>
      <c r="H6" s="32" t="s">
        <v>45</v>
      </c>
      <c r="I6" s="32"/>
      <c r="J6" s="32"/>
      <c r="K6" s="32"/>
      <c r="L6" s="32"/>
      <c r="M6" s="32"/>
      <c r="N6" s="48">
        <v>-1000.0</v>
      </c>
      <c r="O6" s="32"/>
      <c r="P6" s="32"/>
      <c r="Q6" s="48">
        <v>-1000.0</v>
      </c>
      <c r="R6" s="32"/>
      <c r="S6" s="32"/>
      <c r="T6" s="35" t="s">
        <v>30</v>
      </c>
      <c r="U6" s="35"/>
      <c r="V6" s="35"/>
      <c r="W6" s="35"/>
      <c r="X6" s="35"/>
      <c r="Y6" s="39">
        <v>1.0</v>
      </c>
      <c r="Z6" s="35"/>
      <c r="AA6" s="35"/>
      <c r="AB6" s="39">
        <v>0.0</v>
      </c>
      <c r="AC6" s="39">
        <v>0.0</v>
      </c>
      <c r="AD6" s="39">
        <v>0.0</v>
      </c>
      <c r="AE6" s="39">
        <v>0.0</v>
      </c>
      <c r="AF6" s="39">
        <v>100.0</v>
      </c>
      <c r="AG6" s="39">
        <v>0.0</v>
      </c>
      <c r="AH6" s="39">
        <v>0.0</v>
      </c>
      <c r="AI6" s="39">
        <v>0.0</v>
      </c>
      <c r="AJ6" s="39">
        <v>0.0</v>
      </c>
      <c r="AK6" s="49">
        <v>-1000.0</v>
      </c>
      <c r="AL6" s="35"/>
      <c r="AM6" s="35"/>
      <c r="AN6" s="35" t="s">
        <v>23</v>
      </c>
      <c r="AO6" s="35"/>
      <c r="AP6" s="35" t="s">
        <v>45</v>
      </c>
      <c r="AQ6" s="35" t="s">
        <v>22</v>
      </c>
      <c r="AR6" s="35"/>
      <c r="AS6" s="35"/>
      <c r="AT6" s="35"/>
      <c r="AU6" s="35"/>
      <c r="AV6" s="35"/>
      <c r="AW6" s="49">
        <v>-1000.0</v>
      </c>
      <c r="AX6" s="39">
        <v>0.0</v>
      </c>
      <c r="AY6" s="39">
        <v>0.0</v>
      </c>
      <c r="AZ6" s="39">
        <v>0.0</v>
      </c>
      <c r="BA6" s="35"/>
      <c r="BB6" s="35"/>
      <c r="BC6" s="35"/>
      <c r="BD6" s="35"/>
      <c r="BE6" s="35"/>
      <c r="BF6" s="35"/>
      <c r="BG6" s="35"/>
      <c r="BH6" s="35"/>
      <c r="BI6" s="35"/>
      <c r="BJ6" s="39">
        <v>0.0</v>
      </c>
      <c r="BK6" s="39">
        <v>0.0</v>
      </c>
      <c r="BL6" s="39">
        <v>0.0</v>
      </c>
      <c r="BM6" s="39">
        <v>0.0</v>
      </c>
      <c r="BN6" s="35"/>
      <c r="BO6" s="49">
        <v>-1000.0</v>
      </c>
      <c r="BP6" s="39">
        <v>0.0</v>
      </c>
      <c r="BQ6" s="35"/>
      <c r="BR6" s="35" t="s">
        <v>29</v>
      </c>
      <c r="BS6" s="39">
        <v>0.0</v>
      </c>
      <c r="BT6" s="39">
        <v>0.0</v>
      </c>
      <c r="BU6" s="35"/>
      <c r="BV6" s="35"/>
      <c r="BW6" s="39">
        <v>0.0</v>
      </c>
      <c r="BX6" s="39">
        <v>0.0</v>
      </c>
      <c r="BY6" s="39">
        <v>0.0</v>
      </c>
      <c r="BZ6" s="39">
        <v>0.0</v>
      </c>
      <c r="CA6" s="39">
        <v>0.0</v>
      </c>
      <c r="CB6" s="35"/>
      <c r="CC6" s="35"/>
      <c r="CD6" s="49">
        <v>-1000.0</v>
      </c>
      <c r="CE6" s="35"/>
      <c r="CF6" s="35"/>
      <c r="CG6" s="49">
        <v>-1000.0</v>
      </c>
      <c r="CH6" s="35"/>
      <c r="CI6" s="39">
        <v>0.0</v>
      </c>
      <c r="CJ6" s="39">
        <v>0.0</v>
      </c>
      <c r="CK6" s="35"/>
      <c r="CL6" s="35"/>
      <c r="CM6" s="35"/>
      <c r="CN6" s="35"/>
      <c r="CO6" s="35"/>
      <c r="CP6" s="35"/>
      <c r="CQ6" s="35"/>
      <c r="CR6" s="35"/>
      <c r="CS6" s="39">
        <v>10.0</v>
      </c>
      <c r="CT6" s="35"/>
      <c r="CU6" s="35"/>
      <c r="CV6" s="35"/>
      <c r="CW6" s="35"/>
      <c r="CX6" s="35"/>
      <c r="CY6" s="35"/>
      <c r="CZ6" s="35"/>
      <c r="DA6" s="39">
        <v>0.0</v>
      </c>
      <c r="DB6" s="39">
        <v>0.0</v>
      </c>
      <c r="DC6" s="35"/>
      <c r="DD6" s="35"/>
      <c r="DE6" s="39">
        <v>0.0</v>
      </c>
      <c r="DF6" s="39">
        <v>0.0</v>
      </c>
      <c r="DG6" s="39">
        <v>0.0</v>
      </c>
      <c r="DH6" s="35"/>
      <c r="DI6" s="39">
        <v>0.0</v>
      </c>
      <c r="DJ6" s="35" t="s">
        <v>23</v>
      </c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6" t="s">
        <v>33</v>
      </c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</row>
    <row r="7" ht="15.75" customHeight="1">
      <c r="A7" s="35"/>
      <c r="B7" s="35"/>
      <c r="C7" s="35" t="s">
        <v>35</v>
      </c>
      <c r="D7" s="40">
        <v>200.0</v>
      </c>
      <c r="E7" s="35" t="s">
        <v>24</v>
      </c>
      <c r="F7" s="35"/>
      <c r="G7" s="35"/>
      <c r="H7" s="35" t="s">
        <v>45</v>
      </c>
      <c r="I7" s="35"/>
      <c r="J7" s="35"/>
      <c r="K7" s="35"/>
      <c r="L7" s="35"/>
      <c r="M7" s="35"/>
      <c r="N7" s="49">
        <v>-4000.0</v>
      </c>
      <c r="O7" s="35"/>
      <c r="P7" s="35"/>
      <c r="Q7" s="49">
        <v>-4000.0</v>
      </c>
      <c r="R7" s="35"/>
      <c r="S7" s="35"/>
      <c r="T7" s="35" t="s">
        <v>30</v>
      </c>
      <c r="U7" s="35"/>
      <c r="V7" s="35"/>
      <c r="W7" s="35"/>
      <c r="X7" s="35"/>
      <c r="Y7" s="39">
        <v>1.0</v>
      </c>
      <c r="Z7" s="35"/>
      <c r="AA7" s="35"/>
      <c r="AB7" s="39">
        <v>0.0</v>
      </c>
      <c r="AC7" s="39">
        <v>0.0</v>
      </c>
      <c r="AD7" s="39">
        <v>0.0</v>
      </c>
      <c r="AE7" s="39">
        <v>0.0</v>
      </c>
      <c r="AF7" s="39">
        <v>200.0</v>
      </c>
      <c r="AG7" s="39">
        <v>0.0</v>
      </c>
      <c r="AH7" s="39">
        <v>0.0</v>
      </c>
      <c r="AI7" s="39">
        <v>0.0</v>
      </c>
      <c r="AJ7" s="39">
        <v>0.0</v>
      </c>
      <c r="AK7" s="49">
        <v>-4000.0</v>
      </c>
      <c r="AL7" s="35"/>
      <c r="AM7" s="35"/>
      <c r="AN7" s="35" t="s">
        <v>23</v>
      </c>
      <c r="AO7" s="35"/>
      <c r="AP7" s="35" t="s">
        <v>45</v>
      </c>
      <c r="AQ7" s="35" t="s">
        <v>35</v>
      </c>
      <c r="AR7" s="35"/>
      <c r="AS7" s="35"/>
      <c r="AT7" s="35"/>
      <c r="AU7" s="35"/>
      <c r="AV7" s="35"/>
      <c r="AW7" s="49">
        <v>-4000.0</v>
      </c>
      <c r="AX7" s="39">
        <v>0.0</v>
      </c>
      <c r="AY7" s="39">
        <v>0.0</v>
      </c>
      <c r="AZ7" s="39">
        <v>0.0</v>
      </c>
      <c r="BA7" s="35"/>
      <c r="BB7" s="35"/>
      <c r="BC7" s="35"/>
      <c r="BD7" s="35"/>
      <c r="BE7" s="35"/>
      <c r="BF7" s="35"/>
      <c r="BG7" s="35"/>
      <c r="BH7" s="35"/>
      <c r="BI7" s="35"/>
      <c r="BJ7" s="39">
        <v>0.0</v>
      </c>
      <c r="BK7" s="39">
        <v>0.0</v>
      </c>
      <c r="BL7" s="39">
        <v>0.0</v>
      </c>
      <c r="BM7" s="39">
        <v>0.0</v>
      </c>
      <c r="BN7" s="35"/>
      <c r="BO7" s="49">
        <v>-4000.0</v>
      </c>
      <c r="BP7" s="39">
        <v>0.0</v>
      </c>
      <c r="BQ7" s="35"/>
      <c r="BR7" s="35" t="s">
        <v>29</v>
      </c>
      <c r="BS7" s="39">
        <v>0.0</v>
      </c>
      <c r="BT7" s="39">
        <v>0.0</v>
      </c>
      <c r="BU7" s="35"/>
      <c r="BV7" s="35"/>
      <c r="BW7" s="39">
        <v>0.0</v>
      </c>
      <c r="BX7" s="39">
        <v>0.0</v>
      </c>
      <c r="BY7" s="39">
        <v>0.0</v>
      </c>
      <c r="BZ7" s="39">
        <v>0.0</v>
      </c>
      <c r="CA7" s="39">
        <v>0.0</v>
      </c>
      <c r="CB7" s="35"/>
      <c r="CC7" s="35"/>
      <c r="CD7" s="49">
        <v>-4000.0</v>
      </c>
      <c r="CE7" s="35"/>
      <c r="CF7" s="35"/>
      <c r="CG7" s="49">
        <v>-4000.0</v>
      </c>
      <c r="CH7" s="35"/>
      <c r="CI7" s="39">
        <v>0.0</v>
      </c>
      <c r="CJ7" s="39">
        <v>0.0</v>
      </c>
      <c r="CK7" s="35"/>
      <c r="CL7" s="35"/>
      <c r="CM7" s="35"/>
      <c r="CN7" s="35"/>
      <c r="CO7" s="35"/>
      <c r="CP7" s="35"/>
      <c r="CQ7" s="35"/>
      <c r="CR7" s="35"/>
      <c r="CS7" s="39">
        <v>20.0</v>
      </c>
      <c r="CT7" s="35"/>
      <c r="CU7" s="35"/>
      <c r="CV7" s="35"/>
      <c r="CW7" s="35"/>
      <c r="CX7" s="35"/>
      <c r="CY7" s="35"/>
      <c r="CZ7" s="35"/>
      <c r="DA7" s="39">
        <v>0.0</v>
      </c>
      <c r="DB7" s="39">
        <v>0.0</v>
      </c>
      <c r="DC7" s="35"/>
      <c r="DD7" s="35"/>
      <c r="DE7" s="39">
        <v>0.0</v>
      </c>
      <c r="DF7" s="39">
        <v>0.0</v>
      </c>
      <c r="DG7" s="39">
        <v>0.0</v>
      </c>
      <c r="DH7" s="35"/>
      <c r="DI7" s="39">
        <v>0.0</v>
      </c>
      <c r="DJ7" s="35" t="s">
        <v>23</v>
      </c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6" t="s">
        <v>36</v>
      </c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46</v>
      </c>
      <c r="C6" s="8"/>
      <c r="D6" s="11" t="s">
        <v>47</v>
      </c>
      <c r="E6" s="37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SaveAllocation!$4:$4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46</v>
      </c>
      <c r="C6" s="8"/>
      <c r="D6" s="11" t="s">
        <v>47</v>
      </c>
      <c r="E6" s="37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