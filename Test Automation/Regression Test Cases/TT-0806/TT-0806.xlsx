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CustomOrderTT1" sheetId="5" r:id="rId7"/>
    <sheet state="visible" name="CustomOrderTT2" sheetId="6" r:id="rId8"/>
    <sheet state="visible" name="SetTradingComplianceRules" sheetId="7" r:id="rId9"/>
    <sheet state="visible" name="CreateDoneAwayOrder" sheetId="8" r:id="rId10"/>
    <sheet state="visible" name="CreateDoneAwayOrder1" sheetId="9" r:id="rId11"/>
    <sheet state="visible" name="SetTradingComplianceRules1" sheetId="10" r:id="rId12"/>
    <sheet state="visible" name="AddSymbolToWatchlist" sheetId="11" r:id="rId13"/>
    <sheet state="visible" name="TradeFromWatchlist" sheetId="12" r:id="rId14"/>
    <sheet state="visible" name="SelectTradeUsingMTT" sheetId="13" r:id="rId15"/>
    <sheet state="visible" name="EditTradeUsingMTT" sheetId="14" r:id="rId16"/>
    <sheet state="visible" name="SelectTradeUsingMTT1" sheetId="15" r:id="rId17"/>
    <sheet state="visible" name="EditTradeUsingMTT1" sheetId="16" r:id="rId18"/>
    <sheet state="visible" name="SendOrderUsingMTT" sheetId="17" r:id="rId19"/>
    <sheet state="visible" name="VerifyOrder" sheetId="18" r:id="rId20"/>
  </sheets>
  <definedNames/>
  <calcPr/>
</workbook>
</file>

<file path=xl/sharedStrings.xml><?xml version="1.0" encoding="utf-8"?>
<sst xmlns="http://schemas.openxmlformats.org/spreadsheetml/2006/main" count="160" uniqueCount="43">
  <si>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</si>
  <si>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</si>
  <si>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</si>
  <si>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</si>
  <si>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</si>
  <si>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</si>
  <si>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</si>
  <si>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</si>
  <si>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</si>
  <si>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</si>
  <si>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</si>
  <si>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</si>
  <si>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</si>
  <si>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</si>
  <si>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</si>
  <si>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</si>
  <si>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GOOG</t>
  </si>
  <si>
    <t>Buy</t>
  </si>
  <si>
    <t>Allocation1,Allocation2,Allocation3,Allocation4</t>
  </si>
  <si>
    <t>25,25,25,25</t>
  </si>
  <si>
    <t>Allocation1</t>
  </si>
  <si>
    <t>DoneAway</t>
  </si>
  <si>
    <t>Custom</t>
  </si>
  <si>
    <t>Admin</t>
  </si>
  <si>
    <t>SetTradingComplianceRules</t>
  </si>
  <si>
    <t>Account</t>
  </si>
  <si>
    <t>AbsoluteAmount</t>
  </si>
  <si>
    <t>CreateDoneAwayOrder</t>
  </si>
  <si>
    <t>MSFT</t>
  </si>
  <si>
    <t>Allocation1,Allocation2</t>
  </si>
  <si>
    <t>50,50</t>
  </si>
  <si>
    <t>Watchlist</t>
  </si>
  <si>
    <t>AddSymbolToWatchlist</t>
  </si>
  <si>
    <t>AAPL</t>
  </si>
  <si>
    <t>TradeFromWatchlist</t>
  </si>
  <si>
    <t>MultiTradingTicket</t>
  </si>
  <si>
    <t>SelectTradeUsingMTT</t>
  </si>
  <si>
    <t>EditTradeUsingMTT</t>
  </si>
  <si>
    <t>SendOrderUsingMTT</t>
  </si>
  <si>
    <t>Yes</t>
  </si>
  <si>
    <t>Blotter</t>
  </si>
  <si>
    <t>VerifyOrder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</si>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</sst>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2.0</v>
      </c>
      <c r="E6" s="30"/>
      <c r="F6" s="8"/>
      <c r="G6" s="12" t="b">
        <v>1</v>
      </c>
      <c r="H6" s="8"/>
      <c r="I6" s="8"/>
      <c r="J6" s="12" t="s">
        <v>17</v>
      </c>
      <c r="K6" s="8"/>
      <c r="L6" s="8"/>
      <c r="M6" s="8"/>
      <c r="N6" s="8"/>
      <c r="O6" s="8"/>
      <c r="P6" s="9" t="s">
        <v>18</v>
      </c>
      <c r="Q6" s="9" t="s">
        <v>19</v>
      </c>
    </row>
    <row r="7" ht="15.75" customHeight="1">
      <c r="A7" s="8"/>
      <c r="B7" s="12"/>
      <c r="C7" s="12"/>
      <c r="D7" s="12"/>
      <c r="E7" s="8"/>
      <c r="F7" s="8"/>
      <c r="G7" s="12"/>
      <c r="H7" s="8"/>
      <c r="I7" s="8"/>
      <c r="J7" s="12"/>
      <c r="K7" s="8"/>
      <c r="L7" s="8"/>
      <c r="M7" s="8"/>
      <c r="N7" s="8"/>
      <c r="O7" s="8"/>
    </row>
    <row r="8" ht="15.75" customHeight="1">
      <c r="A8" s="8"/>
      <c r="B8" s="12"/>
      <c r="C8" s="12"/>
      <c r="D8" s="12"/>
      <c r="E8" s="12"/>
      <c r="F8" s="8"/>
      <c r="G8" s="8"/>
      <c r="H8" s="8"/>
      <c r="I8" s="8"/>
      <c r="J8" s="12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/>
      <c r="C6" s="12"/>
      <c r="D6" s="12"/>
      <c r="E6" s="8"/>
      <c r="F6" s="8"/>
      <c r="G6" s="12" t="b">
        <v>1</v>
      </c>
      <c r="H6" s="8"/>
      <c r="I6" s="9" t="s">
        <v>20</v>
      </c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/>
      <c r="C6" s="12"/>
      <c r="D6" s="12"/>
      <c r="E6" s="12" t="s">
        <v>21</v>
      </c>
      <c r="F6" s="8"/>
      <c r="G6" s="8"/>
      <c r="H6" s="8"/>
      <c r="I6" s="12" t="s">
        <v>22</v>
      </c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10.0</v>
      </c>
      <c r="I6" s="32"/>
      <c r="J6" s="32"/>
      <c r="K6" s="35" t="s">
        <v>25</v>
      </c>
      <c r="L6" s="35" t="s">
        <v>26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17</v>
      </c>
      <c r="D6" s="12">
        <v>10.0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K6" s="9" t="s">
        <v>29</v>
      </c>
      <c r="AL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17</v>
      </c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K6" s="9" t="s">
        <v>29</v>
      </c>
      <c r="AL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12" t="b">
        <v>1</v>
      </c>
      <c r="O6" s="12">
        <v>2.0</v>
      </c>
      <c r="P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 t="str">
        <f>IFERROR(__xludf.DUMMYFUNCTION("""COMPUTED_VALUE"""),"SelectTradeWatchlist")</f>
        <v>SelectTradeWatchlist</v>
      </c>
      <c r="K4" s="24" t="str">
        <f>IFERROR(__xludf.DUMMYFUNCTION("""COMPUTED_VALUE"""),"ActionOnWatchlist")</f>
        <v>ActionOnWatchlist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AddSymbolToWatchlist!$4:$4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 t="str">
        <f>IFERROR(__xludf.DUMMYFUNCTION("""COMPUTED_VALUE"""),"SelectTradeWatchlist")</f>
        <v>SelectTradeWatchlist</v>
      </c>
      <c r="K4" s="24" t="str">
        <f>IFERROR(__xludf.DUMMYFUNCTION("""COMPUTED_VALUE"""),"ActionOnWatchlist")</f>
        <v>ActionOnWatchlist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28</v>
      </c>
      <c r="C7" s="12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 t="str">
        <f>IFERROR(__xludf.DUMMYFUNCTION("""COMPUTED_VALUE"""),"Click Commit &amp; Send/Review")</f>
        <v>Click Commit &amp; Send/Review</v>
      </c>
      <c r="AO5" s="29" t="str">
        <f>IFERROR(__xludf.DUMMYFUNCTION("""COMPUTED_VALUE"""),"VerifyUnclickabilityOutsidePopup")</f>
        <v>VerifyUnclickabilityOutsidePopup</v>
      </c>
      <c r="AP5" s="29" t="str">
        <f>IFERROR(__xludf.DUMMYFUNCTION("""COMPUTED_VALUE"""),"AllowTrade")</f>
        <v>AllowTrade</v>
      </c>
      <c r="AQ5" s="29" t="str">
        <f>IFERROR(__xludf.DUMMYFUNCTION("""COMPUTED_VALUE"""),"PendingApprovalPopup")</f>
        <v>PendingApprovalPopup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17</v>
      </c>
      <c r="D6" s="12">
        <v>100.0</v>
      </c>
      <c r="E6" s="30"/>
      <c r="F6" s="12" t="s">
        <v>20</v>
      </c>
      <c r="G6" s="8"/>
      <c r="H6" s="8"/>
      <c r="I6" s="8"/>
      <c r="J6" s="12">
        <v>2.0</v>
      </c>
      <c r="K6" s="8"/>
      <c r="L6" s="8"/>
      <c r="M6" s="8"/>
      <c r="N6" s="8"/>
      <c r="O6" s="8"/>
      <c r="AK6" s="9" t="s">
        <v>39</v>
      </c>
      <c r="AL6" s="9">
        <v>100000.0</v>
      </c>
    </row>
    <row r="7" ht="15.75" customHeight="1">
      <c r="A7" s="8"/>
      <c r="B7" s="12" t="s">
        <v>28</v>
      </c>
      <c r="C7" s="12" t="s">
        <v>17</v>
      </c>
      <c r="D7" s="12">
        <v>100.0</v>
      </c>
      <c r="E7" s="8"/>
      <c r="F7" s="12" t="s">
        <v>20</v>
      </c>
      <c r="G7" s="8"/>
      <c r="H7" s="8"/>
      <c r="I7" s="8"/>
      <c r="J7" s="12">
        <v>2.0</v>
      </c>
      <c r="K7" s="8"/>
      <c r="L7" s="8"/>
      <c r="M7" s="8"/>
      <c r="N7" s="8"/>
      <c r="O7" s="8"/>
      <c r="AK7" s="9" t="s">
        <v>39</v>
      </c>
      <c r="AL7" s="9">
        <v>100000.0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SendOrderUsingMTT!$4:$4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33</v>
      </c>
      <c r="AJ6" s="9" t="s">
        <v>17</v>
      </c>
      <c r="AK6" s="9" t="s">
        <v>42</v>
      </c>
      <c r="AT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28</v>
      </c>
      <c r="AJ7" s="12" t="s">
        <v>17</v>
      </c>
      <c r="AK7" s="9" t="s">
        <v>42</v>
      </c>
      <c r="AT7" s="9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12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