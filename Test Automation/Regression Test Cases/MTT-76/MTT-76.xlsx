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MultipleDailyCash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SendtoStaging" sheetId="11" r:id="rId13"/>
    <sheet state="visible" name="MultiTradingTicketFromBlotter" sheetId="12" r:id="rId14"/>
    <sheet state="visible" name="BulkChangeTradeDoneAway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<sst xmlns="http://schemas.openxmlformats.org/spreadsheetml/2006/main" count="210" uniqueCount="56">
  <si>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</si>
  <si>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</si>
  <si>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</si>
  <si>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</si>
  <si>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</si>
  <si>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</si>
  <si>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</si>
  <si>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</si>
  <si>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</si>
  <si>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</si>
  <si>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</si>
  <si>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</si>
  <si>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</si>
  <si>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</si>
  <si>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</si>
  <si>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</si>
  <si>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</si>
  <si>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</si>
  <si>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</si>
  <si>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SAP</t>
  </si>
  <si>
    <t>DailyValuation</t>
  </si>
  <si>
    <t>GetDailyCash</t>
  </si>
  <si>
    <t>UpdateMultipleDailyCash</t>
  </si>
  <si>
    <t>USD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</si>
  <si>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</si>
  <si>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</si>
  <si>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</si>
  <si>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</si>
  <si>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</si>
  <si>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</si>
  <si>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</si>
  <si>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No Impact</t>
  </si>
  <si>
    <t>None</t>
  </si>
  <si>
    <t>RunRebalance</t>
  </si>
  <si>
    <t>Nearest Round Off</t>
  </si>
  <si>
    <t>SendtoStaging</t>
  </si>
  <si>
    <t>Blotter</t>
  </si>
  <si>
    <t>MultiTradingTicketFromBlotter</t>
  </si>
  <si>
    <t/>
  </si>
  <si>
    <t>US</t>
  </si>
  <si>
    <t>GCCAP1</t>
  </si>
  <si>
    <t>NewMF</t>
  </si>
  <si>
    <t>Equity</t>
  </si>
  <si>
    <t>New</t>
  </si>
  <si>
    <t>MS</t>
  </si>
  <si>
    <t>MultiTradingTicket</t>
  </si>
  <si>
    <t>BulkChangeTradeDoneAway</t>
  </si>
  <si>
    <t>GS</t>
  </si>
  <si>
    <t>Long</t>
  </si>
  <si>
    <t>Flat Amount</t>
  </si>
  <si>
    <t>Drops</t>
  </si>
  <si>
    <t>VerifyOrder</t>
  </si>
  <si>
    <t>NASDAQ</t>
  </si>
  <si>
    <t>M</t>
  </si>
  <si>
    <t>Filled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</si>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</sst>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17</v>
      </c>
      <c r="D7" s="34">
        <v>100.0</v>
      </c>
      <c r="E7" s="32"/>
      <c r="F7" s="32" t="s">
        <v>18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 t="shared" ref="B6:C6" si="1">today()-1</f>
        <v>45204</v>
      </c>
      <c r="C6" s="35">
        <f t="shared" si="1"/>
        <v>45204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23</v>
      </c>
      <c r="D6" s="13">
        <v>200000.0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37" t="s">
        <v>27</v>
      </c>
      <c r="D6" s="38" t="s">
        <v>28</v>
      </c>
      <c r="E6" s="37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100000.0</v>
      </c>
      <c r="C6" s="13" t="s">
        <v>31</v>
      </c>
      <c r="D6" s="13" t="s">
        <v>32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18</v>
      </c>
      <c r="C6" s="39" t="s">
        <v>17</v>
      </c>
      <c r="D6" s="39" t="s">
        <v>16</v>
      </c>
      <c r="E6" s="40">
        <v>50.0</v>
      </c>
      <c r="F6" s="40">
        <v>10.0</v>
      </c>
      <c r="G6" s="40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18</v>
      </c>
      <c r="C7" s="39" t="s">
        <v>17</v>
      </c>
      <c r="D7" s="39" t="s">
        <v>19</v>
      </c>
      <c r="E7" s="40">
        <v>50.0</v>
      </c>
      <c r="F7" s="40">
        <v>10.0</v>
      </c>
      <c r="G7" s="40">
        <v>500.0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1">
        <v>10.0</v>
      </c>
      <c r="E6" s="8"/>
      <c r="F6" s="8"/>
      <c r="G6" s="8"/>
      <c r="H6" s="8"/>
      <c r="I6" s="8" t="s">
        <v>38</v>
      </c>
      <c r="J6" s="8"/>
      <c r="K6" s="8" t="s">
        <v>39</v>
      </c>
      <c r="L6" s="8" t="s">
        <v>40</v>
      </c>
      <c r="M6" s="8"/>
      <c r="N6" s="8"/>
      <c r="O6" s="8"/>
      <c r="AA6" t="s">
        <v>41</v>
      </c>
      <c r="AH6" t="s">
        <v>42</v>
      </c>
      <c r="AI6" t="s">
        <v>16</v>
      </c>
      <c r="AJ6" t="s">
        <v>17</v>
      </c>
      <c r="AK6" t="s">
        <v>43</v>
      </c>
      <c r="AL6">
        <v>50.0</v>
      </c>
      <c r="AP6">
        <v>50.0</v>
      </c>
      <c r="AQ6">
        <v>10.0</v>
      </c>
      <c r="AR6">
        <v>10.0</v>
      </c>
      <c r="AS6" t="s">
        <v>44</v>
      </c>
      <c r="AT6" t="s">
        <v>18</v>
      </c>
    </row>
    <row r="7" ht="15.75" customHeight="1">
      <c r="A7" s="8"/>
      <c r="B7" s="8"/>
      <c r="C7" s="8"/>
      <c r="D7" s="8">
        <v>10.0</v>
      </c>
      <c r="E7" s="8"/>
      <c r="F7" s="8"/>
      <c r="G7" s="8"/>
      <c r="H7" s="8"/>
      <c r="I7" s="8" t="s">
        <v>38</v>
      </c>
      <c r="J7" s="8"/>
      <c r="K7" s="8" t="s">
        <v>39</v>
      </c>
      <c r="L7" s="8" t="s">
        <v>40</v>
      </c>
      <c r="M7" s="8"/>
      <c r="N7" s="8"/>
      <c r="O7" s="8"/>
      <c r="AA7" t="s">
        <v>41</v>
      </c>
      <c r="AH7" t="s">
        <v>42</v>
      </c>
      <c r="AI7" t="s">
        <v>19</v>
      </c>
      <c r="AJ7" t="s">
        <v>17</v>
      </c>
      <c r="AK7" t="s">
        <v>43</v>
      </c>
      <c r="AL7">
        <v>50.0</v>
      </c>
      <c r="AP7">
        <v>50.0</v>
      </c>
      <c r="AQ7">
        <v>10.0</v>
      </c>
      <c r="AR7">
        <v>10.0</v>
      </c>
      <c r="AS7" t="s">
        <v>44</v>
      </c>
      <c r="AT7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IFERROR(__xludf.DUMMYFUNCTION("""COMPUTED_VALUE"""),"ReviewOrderUsingMTT")</f>
        <v>ReviewOrderUsingMTT</v>
      </c>
      <c r="L4" s="25" t="str">
        <f>IFERROR(__xludf.DUMMYFUNCTION("""COMPUTED_VALUE"""),"RefreshPriceUsingMTT")</f>
        <v>RefreshPriceUsingMTT</v>
      </c>
      <c r="M4" s="25" t="str">
        <f>IFERROR(__xludf.DUMMYFUNCTION("""COMPUTED_VALUE"""),"VerifyMTT")</f>
        <v>VerifyMTT</v>
      </c>
      <c r="N4" s="25" t="str">
        <f>IFERROR(__xludf.DUMMYFUNCTION("""COMPUTED_VALUE"""),"VerifyMTT")</f>
        <v>VerifyMTT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IFERROR(__xludf.DUMMYFUNCTION("""COMPUTED_VALUE"""),"ClickClearNotUpdate")</f>
        <v>ClickClearNotUpdate</v>
      </c>
      <c r="AL5" s="30" t="str">
        <f>IFERROR(__xludf.DUMMYFUNCTION("""COMPUTED_VALUE"""),"Algo Type")</f>
        <v>Algo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13" t="s">
        <v>18</v>
      </c>
      <c r="G6" s="13" t="s">
        <v>47</v>
      </c>
      <c r="H6" s="8"/>
      <c r="I6" s="8"/>
      <c r="J6" s="8"/>
      <c r="K6" s="8"/>
      <c r="L6" s="8"/>
      <c r="M6" s="13" t="s">
        <v>48</v>
      </c>
      <c r="N6" s="8"/>
      <c r="O6" s="8"/>
      <c r="R6" s="9" t="s">
        <v>49</v>
      </c>
      <c r="S6" s="9">
        <v>5.0</v>
      </c>
      <c r="AB6" s="9" t="s">
        <v>50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BulkChangeTradeDoneAway!$4:$4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1">
        <v>0.0</v>
      </c>
      <c r="E6" s="8"/>
      <c r="F6" s="8"/>
      <c r="G6" s="8"/>
      <c r="H6" s="8" t="s">
        <v>52</v>
      </c>
      <c r="I6" s="8" t="s">
        <v>38</v>
      </c>
      <c r="J6" s="8"/>
      <c r="K6" s="8" t="s">
        <v>39</v>
      </c>
      <c r="L6" s="8"/>
      <c r="M6" s="8"/>
      <c r="N6" s="8"/>
      <c r="O6" s="8"/>
      <c r="U6" t="s">
        <v>23</v>
      </c>
      <c r="AA6" t="s">
        <v>41</v>
      </c>
      <c r="AB6">
        <v>50.0</v>
      </c>
      <c r="AD6">
        <v>1.0</v>
      </c>
      <c r="AF6" t="s">
        <v>53</v>
      </c>
      <c r="AH6" t="s">
        <v>42</v>
      </c>
      <c r="AI6" t="s">
        <v>16</v>
      </c>
      <c r="AJ6" t="s">
        <v>17</v>
      </c>
      <c r="AK6" t="s">
        <v>54</v>
      </c>
      <c r="AL6">
        <v>50.0</v>
      </c>
      <c r="AM6">
        <v>50.0</v>
      </c>
      <c r="AN6">
        <v>100.0</v>
      </c>
      <c r="AO6">
        <v>50.0</v>
      </c>
      <c r="AS6" t="s">
        <v>47</v>
      </c>
      <c r="AT6" t="s">
        <v>18</v>
      </c>
      <c r="AU6" t="s">
        <v>55</v>
      </c>
      <c r="AY6">
        <v>50.0</v>
      </c>
      <c r="BB6" t="s">
        <v>38</v>
      </c>
      <c r="BC6" t="s">
        <v>38</v>
      </c>
      <c r="BD6" t="s">
        <v>38</v>
      </c>
      <c r="BE6" t="s">
        <v>38</v>
      </c>
      <c r="BF6" t="s">
        <v>38</v>
      </c>
      <c r="BG6" t="s">
        <v>25</v>
      </c>
    </row>
    <row r="7" ht="15.75" customHeight="1">
      <c r="A7" s="8"/>
      <c r="B7" s="8"/>
      <c r="C7" s="8"/>
      <c r="D7" s="8">
        <v>0.0</v>
      </c>
      <c r="E7" s="8"/>
      <c r="F7" s="8"/>
      <c r="G7" s="8"/>
      <c r="H7" s="8" t="s">
        <v>52</v>
      </c>
      <c r="I7" s="8" t="s">
        <v>38</v>
      </c>
      <c r="J7" s="8"/>
      <c r="K7" s="8" t="s">
        <v>39</v>
      </c>
      <c r="L7" s="8"/>
      <c r="M7" s="8"/>
      <c r="N7" s="8"/>
      <c r="O7" s="8"/>
      <c r="U7" t="s">
        <v>23</v>
      </c>
      <c r="AA7" t="s">
        <v>41</v>
      </c>
      <c r="AB7">
        <v>50.0</v>
      </c>
      <c r="AD7">
        <v>1.0</v>
      </c>
      <c r="AF7" t="s">
        <v>53</v>
      </c>
      <c r="AH7" t="s">
        <v>42</v>
      </c>
      <c r="AI7" t="s">
        <v>19</v>
      </c>
      <c r="AJ7" t="s">
        <v>17</v>
      </c>
      <c r="AK7" t="s">
        <v>54</v>
      </c>
      <c r="AL7">
        <v>50.0</v>
      </c>
      <c r="AM7">
        <v>50.0</v>
      </c>
      <c r="AN7">
        <v>100.0</v>
      </c>
      <c r="AO7">
        <v>50.0</v>
      </c>
      <c r="AS7" t="s">
        <v>47</v>
      </c>
      <c r="AT7" t="s">
        <v>18</v>
      </c>
      <c r="AU7" t="s">
        <v>55</v>
      </c>
      <c r="AY7">
        <v>50.0</v>
      </c>
      <c r="BB7" t="s">
        <v>38</v>
      </c>
      <c r="BC7" t="s">
        <v>38</v>
      </c>
      <c r="BD7" t="s">
        <v>38</v>
      </c>
      <c r="BE7" t="s">
        <v>38</v>
      </c>
      <c r="BF7" t="s">
        <v>38</v>
      </c>
      <c r="BG7" t="s">
        <v>25</v>
      </c>
    </row>
    <row r="8">
      <c r="D8">
        <v>10.0</v>
      </c>
      <c r="H8" t="s">
        <v>52</v>
      </c>
      <c r="I8" t="s">
        <v>38</v>
      </c>
      <c r="K8" t="s">
        <v>39</v>
      </c>
      <c r="U8" t="s">
        <v>23</v>
      </c>
      <c r="AA8" t="s">
        <v>41</v>
      </c>
      <c r="AB8">
        <v>100.0</v>
      </c>
      <c r="AD8">
        <v>1.0</v>
      </c>
      <c r="AF8" t="s">
        <v>53</v>
      </c>
      <c r="AG8">
        <v>10.0</v>
      </c>
      <c r="AH8" t="s">
        <v>42</v>
      </c>
      <c r="AI8" t="s">
        <v>16</v>
      </c>
      <c r="AJ8" t="s">
        <v>17</v>
      </c>
      <c r="AK8" t="s">
        <v>54</v>
      </c>
      <c r="AL8">
        <v>100.0</v>
      </c>
      <c r="AM8">
        <v>100.0</v>
      </c>
      <c r="AN8">
        <v>100.0</v>
      </c>
      <c r="AO8">
        <v>100.0</v>
      </c>
      <c r="AS8" t="s">
        <v>44</v>
      </c>
      <c r="AT8" t="s">
        <v>18</v>
      </c>
      <c r="AU8" t="s">
        <v>55</v>
      </c>
      <c r="AV8">
        <v>1000.0</v>
      </c>
      <c r="AW8">
        <v>1000.0</v>
      </c>
      <c r="AY8">
        <v>100.0</v>
      </c>
      <c r="BB8" t="s">
        <v>38</v>
      </c>
      <c r="BC8" t="s">
        <v>38</v>
      </c>
      <c r="BD8" t="s">
        <v>38</v>
      </c>
      <c r="BE8" t="s">
        <v>38</v>
      </c>
      <c r="BF8" t="s">
        <v>38</v>
      </c>
    </row>
    <row r="9" ht="15.75" customHeight="1">
      <c r="A9" s="8"/>
      <c r="B9" s="8"/>
      <c r="C9" s="8"/>
      <c r="D9" s="8">
        <v>10.0</v>
      </c>
      <c r="E9" s="8"/>
      <c r="F9" s="8"/>
      <c r="G9" s="8"/>
      <c r="H9" s="8" t="s">
        <v>52</v>
      </c>
      <c r="I9" s="8" t="s">
        <v>38</v>
      </c>
      <c r="J9" s="8"/>
      <c r="K9" s="8" t="s">
        <v>39</v>
      </c>
      <c r="L9" s="8"/>
      <c r="M9" s="8"/>
      <c r="N9" s="8"/>
      <c r="O9" s="8"/>
      <c r="U9" t="s">
        <v>23</v>
      </c>
      <c r="AA9" t="s">
        <v>41</v>
      </c>
      <c r="AB9">
        <v>100.0</v>
      </c>
      <c r="AD9">
        <v>1.0</v>
      </c>
      <c r="AF9" t="s">
        <v>53</v>
      </c>
      <c r="AG9">
        <v>10.0</v>
      </c>
      <c r="AH9" t="s">
        <v>42</v>
      </c>
      <c r="AI9" t="s">
        <v>19</v>
      </c>
      <c r="AJ9" t="s">
        <v>17</v>
      </c>
      <c r="AK9" t="s">
        <v>54</v>
      </c>
      <c r="AL9">
        <v>100.0</v>
      </c>
      <c r="AM9">
        <v>100.0</v>
      </c>
      <c r="AN9">
        <v>100.0</v>
      </c>
      <c r="AO9">
        <v>100.0</v>
      </c>
      <c r="AS9" t="s">
        <v>44</v>
      </c>
      <c r="AT9" t="s">
        <v>18</v>
      </c>
      <c r="AU9" t="s">
        <v>55</v>
      </c>
      <c r="AV9">
        <v>1000.0</v>
      </c>
      <c r="AW9">
        <v>1000.0</v>
      </c>
      <c r="AY9">
        <v>100.0</v>
      </c>
      <c r="BB9" t="s">
        <v>38</v>
      </c>
      <c r="BC9" t="s">
        <v>38</v>
      </c>
      <c r="BD9" t="s">
        <v>38</v>
      </c>
      <c r="BE9" t="s">
        <v>38</v>
      </c>
      <c r="BF9" t="s">
        <v>38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