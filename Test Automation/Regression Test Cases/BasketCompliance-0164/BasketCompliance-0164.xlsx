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reateStageOrder" sheetId="5" r:id="rId7"/>
    <sheet state="visible" name="PricingInput" sheetId="6" r:id="rId8"/>
    <sheet state="visible" name="GetDailyCash" sheetId="7" r:id="rId9"/>
    <sheet state="visible" name="UpdateMultipleDailyCash" sheetId="8" r:id="rId10"/>
    <sheet state="visible" name="CreateComplianceOrder" sheetId="9" r:id="rId11"/>
    <sheet state="visible" name="VerifyComplianceOrder" sheetId="10" r:id="rId12"/>
  </sheets>
  <definedNames/>
  <calcPr/>
</workbook>
</file>

<file path=xl/sharedStrings.xml><?xml version="1.0" encoding="utf-8"?>
<sst xmlns="http://schemas.openxmlformats.org/spreadsheetml/2006/main" count="86" uniqueCount="34">
  <si>
    <t>Modules Info</t>
  </si>
  <si>
    <t>Modules</t>
  </si>
  <si>
    <t>Settings</t>
  </si>
  <si>
    <t>Module Step Setting File</t>
  </si>
  <si>
    <t>1-a9RTtZFODC_0n05aHtOszVfQ5dKJ7YpSep0EGjlOR8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</si>
  <si>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</si>
  <si>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</si>
  <si>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</si>
  <si>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</si>
  <si>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</si>
  <si>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</si>
  <si>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</si>
  <si>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</si>
  <si>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</si>
  <si>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</si>
  <si>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</si>
  <si>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IBM</t>
  </si>
  <si>
    <t>Buy</t>
  </si>
  <si>
    <t>Allocation1</t>
  </si>
  <si>
    <t>Yes</t>
  </si>
  <si>
    <t>CreateStageOrder</t>
  </si>
  <si>
    <t>PricingInput</t>
  </si>
  <si>
    <t>DailyValuation</t>
  </si>
  <si>
    <t>GetDailyCash</t>
  </si>
  <si>
    <t>UpdateMultipleDailyCash</t>
  </si>
  <si>
    <t>USD</t>
  </si>
  <si>
    <t>CreateComplianceOrder</t>
  </si>
  <si>
    <t>DoneAway</t>
  </si>
  <si>
    <t>VerifyComplianceOrder</t>
  </si>
  <si>
    <t>Soft</t>
  </si>
  <si>
    <t>GMVA</t>
  </si>
  <si>
    <t>Enter Summary</t>
  </si>
  <si>
    <t>Allocation1-IBM</t>
  </si>
  <si>
    <t>percentGrossMarketValueAccount: 2.3881, AccountShortName: Allocation1, Symbol: IBM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</si>
</sst>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FFFF"/>
      <name val="&quot;Segoe UI&quot;"/>
    </font>
    <font>
      <sz val="9.0"/>
      <color rgb="FF000000"/>
      <name val="&quot;Segoe UI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689C2E"/>
        <bgColor rgb="FF689C2E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535353"/>
      </left>
      <right style="thin">
        <color rgb="FF535353"/>
      </right>
      <top style="thin">
        <color rgb="FF535353"/>
      </top>
      <bottom style="thin">
        <color rgb="FF535353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5" fillId="6" fontId="14" numFmtId="0" xfId="0" applyAlignment="1" applyBorder="1" applyFill="1" applyFont="1">
      <alignment horizontal="left" readingOrder="0" shrinkToFit="0" vertical="top" wrapText="0"/>
    </xf>
    <xf borderId="5" fillId="7" fontId="15" numFmtId="0" xfId="0" applyAlignment="1" applyBorder="1" applyFill="1" applyFont="1">
      <alignment horizontal="left" readingOrder="0" shrinkToFit="0" vertical="top" wrapText="0"/>
    </xf>
    <xf borderId="5" fillId="7" fontId="15" numFmtId="0" xfId="0" applyAlignment="1" applyBorder="1" applyFont="1">
      <alignment horizontal="lef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IFERROR(__xludf.DUMMYFUNCTION("""COMPUTED_VALUE"""),"1dAW4zy24rTGIk36aETFXuQIiGMdIekN8xCbk-P0LmLA")</f>
        <v>1dAW4zy24rTGIk36aETFXuQIiGMdIekN8xCbk-P0LmLA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IFERROR(__xludf.DUMMYFUNCTION("""COMPUTED_VALUE"""),"17z9ihiMKD6gfUvZ9W-EjVcck7eLx5-pL1aGZINvM7DM")</f>
        <v>17z9ihiMKD6gfUvZ9W-EjVcck7eLx5-pL1aGZINvM7DM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IFERROR(__xludf.DUMMYFUNCTION("""COMPUTED_VALUE"""),"1Vq83gkZMMI1Nno_if1flIxv0iKrih-ths4OzYTya63g")</f>
        <v>1Vq83gkZMMI1Nno_if1flIxv0iKrih-ths4OzYTya63g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IFERROR(__xludf.DUMMYFUNCTION("""COMPUTED_VALUE"""),"1abQG9opjIiMJB8svr0o-Eb_RJr16g0niK_nuaKS7qpc")</f>
        <v>1abQG9opjIiMJB8svr0o-Eb_RJr16g0niK_nuaKS7qpc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IFERROR(__xludf.DUMMYFUNCTION("""COMPUTED_VALUE"""),"16vGHPpbvjKADI0ELsUMnsil9L4zXpQewyXXpGOR50e4")</f>
        <v>16vGHPpbvjKADI0ELsUMnsil9L4zXpQewyXXpGOR50e4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IFERROR(__xludf.DUMMYFUNCTION("""COMPUTED_VALUE"""),"1wm4OFdbzRVpfMu1QiZ75_PnC_AYuu9gYEOCRj5nxWrM")</f>
        <v>1wm4OFdbzRVpfMu1QiZ75_PnC_AYuu9gYEOCRj5nxWrM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IFERROR(__xludf.DUMMYFUNCTION("""COMPUTED_VALUE"""),"178NOc-LsqpjkyVkksd_XD-EQcokXBH-1NEzm5ceoSAk")</f>
        <v>178NOc-LsqpjkyVkksd_XD-EQcokXBH-1NEzm5ceoSAk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IFERROR(__xludf.DUMMYFUNCTION("""COMPUTED_VALUE"""),"1Vv-FRtdz-znMa6eWfAZqSH3k0FWRSgYKVdL6W0eCjF8")</f>
        <v>1Vv-FRtdz-znMa6eWfAZqSH3k0FWRSgYKVdL6W0eCjF8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IFERROR(__xludf.DUMMYFUNCTION("""COMPUTED_VALUE"""),"Closing")</f>
        <v>Closing</v>
      </c>
      <c r="B642" t="str">
        <f>IFERROR(__xludf.DUMMYFUNCTION("""COMPUTED_VALUE"""),"SelectCreateTransactions")</f>
        <v>SelectCreateTransactions</v>
      </c>
      <c r="C642" t="str">
        <f>IFERROR(__xludf.DUMMYFUNCTION("""COMPUTED_VALUE"""),"1H_lhrQblpnlyHkVDOXbhIVIhZoC9lIB9uTE29zuQhrM")</f>
        <v>1H_lhrQblpnlyHkVDOXbhIVIhZoC9lIB9uTE29zuQhrM</v>
      </c>
    </row>
    <row r="643" ht="15.75" customHeight="1">
      <c r="A643" t="str">
        <f>IFERROR(__xludf.DUMMYFUNCTION("""COMPUTED_VALUE"""),"Closing")</f>
        <v>Closing</v>
      </c>
      <c r="B643" t="str">
        <f>IFERROR(__xludf.DUMMYFUNCTION("""COMPUTED_VALUE"""),"EditClosingTransactions")</f>
        <v>EditClosingTransactions</v>
      </c>
      <c r="C643" t="str">
        <f>IFERROR(__xludf.DUMMYFUNCTION("""COMPUTED_VALUE"""),"15009hbvBY1YaqNloK72CjyPdL0kMpnEYl2EFB4TUG6g")</f>
        <v>15009hbvBY1YaqNloK72CjyPdL0kMpnEYl2EFB4TUG6g</v>
      </c>
    </row>
    <row r="644" ht="15.75" customHeight="1">
      <c r="A644" t="str">
        <f>IFERROR(__xludf.DUMMYFUNCTION("""COMPUTED_VALUE"""),"Admin")</f>
        <v>Admin</v>
      </c>
      <c r="B644" t="str">
        <f>IFERROR(__xludf.DUMMYFUNCTION("""COMPUTED_VALUE"""),"SetAllocationPreferences")</f>
        <v>SetAllocationPreferences</v>
      </c>
      <c r="C644" t="str">
        <f>IFERROR(__xludf.DUMMYFUNCTION("""COMPUTED_VALUE"""),"16PO4KGgITIDM3iQzFlyKHfXPBXba023pXOJQCBN_Elc")</f>
        <v>16PO4KGgITIDM3iQzFlyKHfXPBXba023pXOJQCBN_Elc</v>
      </c>
    </row>
    <row r="645" ht="15.75" customHeight="1">
      <c r="A645" t="str">
        <f>IFERROR(__xludf.DUMMYFUNCTION("""COMPUTED_VALUE"""),"Closing")</f>
        <v>Closing</v>
      </c>
      <c r="B645" t="str">
        <f>IFERROR(__xludf.DUMMYFUNCTION("""COMPUTED_VALUE"""),"AddDuplicateRow")</f>
        <v>AddDuplicateRow</v>
      </c>
      <c r="C645" t="str">
        <f>IFERROR(__xludf.DUMMYFUNCTION("""COMPUTED_VALUE"""),"Undefined")</f>
        <v>Undefined</v>
      </c>
    </row>
    <row r="646" ht="15.75" customHeight="1">
      <c r="A646" t="str">
        <f>IFERROR(__xludf.DUMMYFUNCTION("""COMPUTED_VALUE"""),"TradeServer")</f>
        <v>TradeServer</v>
      </c>
      <c r="B646" t="str">
        <f>IFERROR(__xludf.DUMMYFUNCTION("""COMPUTED_VALUE"""),"ConnectToSimAutoMan")</f>
        <v>ConnectToSimAutoMan</v>
      </c>
      <c r="C646" t="str">
        <f>IFERROR(__xludf.DUMMYFUNCTION("""COMPUTED_VALUE"""),"13IX3MrLRTuTJsyg3JaQ71o5MoHPrX4JeQ5EXnHjhkH8")</f>
        <v>13IX3MrLRTuTJsyg3JaQ71o5MoHPrX4JeQ5EXnHjhkH8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IFERROR(__xludf.DUMMYFUNCTION("""COMPUTED_VALUE"""),"NavImpactingComponent")</f>
        <v>NavImpactingComponent</v>
      </c>
      <c r="C647" t="str">
        <f>IFERROR(__xludf.DUMMYFUNCTION("""COMPUTED_VALUE"""),"1h8uyOI4WaUZMlwJvQlp6cezgxjyJ2SLa2OEiG81xpGE")</f>
        <v>1h8uyOI4WaUZMlwJvQlp6cezgxjyJ2SLa2OEiG81xpGE</v>
      </c>
    </row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4">
        <v>0.0</v>
      </c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19</v>
      </c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16</v>
      </c>
      <c r="C7" s="32" t="s">
        <v>17</v>
      </c>
      <c r="D7" s="34">
        <v>100.0</v>
      </c>
      <c r="E7" s="34">
        <v>100.0</v>
      </c>
      <c r="F7" s="32" t="s">
        <v>18</v>
      </c>
      <c r="G7" s="32"/>
      <c r="H7" s="32"/>
      <c r="I7" s="32"/>
      <c r="J7" s="34">
        <v>10.0</v>
      </c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 t="s">
        <v>19</v>
      </c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IFERROR(__xludf.DUMMYFUNCTION("""COMPUTED_VALUE"""),"UncheckDividendYield")</f>
        <v>UncheckDividendYield</v>
      </c>
      <c r="E4" s="25" t="str">
        <f>IFERROR(__xludf.DUMMYFUNCTION("""COMPUTED_VALUE"""),"EODTPreferences")</f>
        <v>EODTPreferences</v>
      </c>
      <c r="F4" s="25" t="str">
        <f>IFERROR(__xludf.DUMMYFUNCTION("""COMPUTED_VALUE"""),"LiveData")</f>
        <v>LiveData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16</v>
      </c>
      <c r="C6" s="34">
        <v>20.0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>
        <f t="shared" ref="B6:C6" si="1">today()-1</f>
        <v>45104</v>
      </c>
      <c r="C6" s="36">
        <f t="shared" si="1"/>
        <v>45104</v>
      </c>
      <c r="D6" s="31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22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5" t="s">
        <v>18</v>
      </c>
      <c r="C6" s="37" t="s">
        <v>25</v>
      </c>
      <c r="D6" s="33">
        <v>334000.0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IFERROR(__xludf.DUMMYFUNCTION("""COMPUTED_VALUE"""),"Button")</f>
        <v>Button</v>
      </c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 t="s">
        <v>17</v>
      </c>
      <c r="D6" s="33">
        <v>100.0</v>
      </c>
      <c r="E6" s="32"/>
      <c r="F6" s="32" t="s">
        <v>18</v>
      </c>
      <c r="G6" s="32"/>
      <c r="H6" s="32"/>
      <c r="I6" s="32"/>
      <c r="J6" s="38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 t="s">
        <v>19</v>
      </c>
      <c r="AR6" s="32"/>
      <c r="AS6" s="32"/>
      <c r="AT6" s="32"/>
      <c r="AU6" s="32"/>
      <c r="AV6" s="32"/>
      <c r="AW6" s="32"/>
      <c r="AX6" s="32" t="s">
        <v>27</v>
      </c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CreateComplianceOrder!$4:$4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IFERROR(__xludf.DUMMYFUNCTION("""COMPUTED_VALUE"""),"Alert Type")</f>
        <v>Alert Type</v>
      </c>
      <c r="C5" s="28" t="str">
        <f>IFERROR(__xludf.DUMMYFUNCTION("""COMPUTED_VALUE"""),"Rule Name")</f>
        <v>Rule Name</v>
      </c>
      <c r="D5" s="28" t="str">
        <f>IFERROR(__xludf.DUMMYFUNCTION("""COMPUTED_VALUE"""),"Description of Rule")</f>
        <v>Description of Rule</v>
      </c>
      <c r="E5" s="28" t="str">
        <f>IFERROR(__xludf.DUMMYFUNCTION("""COMPUTED_VALUE"""),"Dimensions")</f>
        <v>Dimensions</v>
      </c>
      <c r="F5" s="29" t="str">
        <f>IFERROR(__xludf.DUMMYFUNCTION("""COMPUTED_VALUE"""),"Threshold")</f>
        <v>Threshold</v>
      </c>
      <c r="G5" s="28" t="str">
        <f>IFERROR(__xludf.DUMMYFUNCTION("""COMPUTED_VALUE"""),"Actual Result")</f>
        <v>Actual Result</v>
      </c>
      <c r="H5" s="28" t="str">
        <f>IFERROR(__xludf.DUMMYFUNCTION("""COMPUTED_VALUE"""),"Comments")</f>
        <v>Comments</v>
      </c>
      <c r="I5" s="28" t="str">
        <f>IFERROR(__xludf.DUMMYFUNCTION("""COMPUTED_VALUE"""),"User Notes")</f>
        <v>User Notes</v>
      </c>
      <c r="J5" s="28" t="str">
        <f>IFERROR(__xludf.DUMMYFUNCTION("""COMPUTED_VALUE"""),"Write UserNote")</f>
        <v>Write UserNote</v>
      </c>
      <c r="K5" s="28" t="str">
        <f>IFERROR(__xludf.DUMMYFUNCTION("""COMPUTED_VALUE"""),"AllowTrade")</f>
        <v>AllowTrade</v>
      </c>
      <c r="L5" s="28" t="str">
        <f>IFERROR(__xludf.DUMMYFUNCTION("""COMPUTED_VALUE"""),"ClickonMultiple")</f>
        <v>ClickonMultiple</v>
      </c>
      <c r="M5" s="28" t="str">
        <f>IFERROR(__xludf.DUMMYFUNCTION("""COMPUTED_VALUE"""),"Trade")</f>
        <v>Trade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9" t="s">
        <v>29</v>
      </c>
      <c r="C6" s="40" t="s">
        <v>30</v>
      </c>
      <c r="D6" s="40" t="s">
        <v>31</v>
      </c>
      <c r="E6" s="40" t="s">
        <v>32</v>
      </c>
      <c r="F6" s="40">
        <v>-10.0</v>
      </c>
      <c r="G6" s="40">
        <v>2.39</v>
      </c>
      <c r="H6" s="40" t="s">
        <v>33</v>
      </c>
      <c r="I6" s="41"/>
      <c r="J6" s="8"/>
      <c r="K6" s="13" t="s">
        <v>19</v>
      </c>
      <c r="L6" s="8"/>
      <c r="M6" s="13" t="s">
        <v>27</v>
      </c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VerifyComplianceOrder!$4:$4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