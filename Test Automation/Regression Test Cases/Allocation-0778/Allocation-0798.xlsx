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GeneralPreferences" sheetId="4" r:id="rId6"/>
    <sheet state="visible" name="CreateDoneAwayOrder" sheetId="5" r:id="rId7"/>
    <sheet state="visible" name="CreateLiveOrder" sheetId="6" r:id="rId8"/>
    <sheet state="visible" name="SelectTrade" sheetId="7" r:id="rId9"/>
    <sheet state="visible" name="AcknowledgeTrade" sheetId="8" r:id="rId10"/>
    <sheet state="visible" name="SelectTrade1" sheetId="9" r:id="rId11"/>
    <sheet state="visible" name="AcknowledgeTrade1" sheetId="10" r:id="rId12"/>
    <sheet state="visible" name="ReviewExistingPositions" sheetId="11" r:id="rId13"/>
    <sheet state="visible" name="CheckPortfolioManagement" sheetId="12" r:id="rId14"/>
    <sheet state="visible" name="ExecuteTrade" sheetId="13" r:id="rId15"/>
    <sheet state="visible" name="ExecuteTrade1" sheetId="14" r:id="rId16"/>
    <sheet state="visible" name="GetDataAllocation" sheetId="15" r:id="rId17"/>
    <sheet state="visible" name="SelectAllocatedGroup" sheetId="16" r:id="rId18"/>
  </sheets>
  <definedNames/>
  <calcPr/>
</workbook>
</file>

<file path=xl/sharedStrings.xml><?xml version="1.0" encoding="utf-8"?>
<sst xmlns="http://schemas.openxmlformats.org/spreadsheetml/2006/main" count="155" uniqueCount="41">
  <si>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</si>
  <si>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</si>
  <si>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</si>
  <si>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</si>
  <si>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</si>
  <si>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</si>
  <si>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</si>
  <si>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</si>
  <si>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</si>
  <si>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</si>
  <si>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</si>
  <si>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</si>
  <si>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Allocation</t>
  </si>
  <si>
    <t>SetGeneralPreferences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</si>
  <si>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</si>
  <si>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</si>
  <si>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</si>
  <si>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</si>
  <si>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</si>
  <si>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</si>
  <si>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</si>
  <si>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Yes</t>
  </si>
  <si>
    <t>CreateLiveOrder</t>
  </si>
  <si>
    <t>Sell</t>
  </si>
  <si>
    <t>Simulator</t>
  </si>
  <si>
    <t>SelectTrade</t>
  </si>
  <si>
    <t>AcknowledgeTrade</t>
  </si>
  <si>
    <t>ReviewExistingPositions</t>
  </si>
  <si>
    <t>PortfolioManagement</t>
  </si>
  <si>
    <t>CheckPortfolioManagement</t>
  </si>
  <si>
    <t>NewMF</t>
  </si>
  <si>
    <t>Long</t>
  </si>
  <si>
    <t>Strategy Unallocated</t>
  </si>
  <si>
    <t>Equity</t>
  </si>
  <si>
    <t>US</t>
  </si>
  <si>
    <t>NASDAQ</t>
  </si>
  <si>
    <t>USD</t>
  </si>
  <si>
    <t>ExecuteTrade</t>
  </si>
  <si>
    <t>GetDataAllocation</t>
  </si>
  <si>
    <t>Current</t>
  </si>
  <si>
    <t>SelectAllocatedGroup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</si>
</sst>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5" numFmtId="3" xfId="0" applyAlignment="1" applyFont="1" applyNumberFormat="1">
      <alignment readingOrder="0" shrinkToFit="0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2" numFmtId="3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b">
        <v>1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SetGeneralPreferences!$4:$4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19</v>
      </c>
      <c r="D6" s="12">
        <v>37500.0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>TODAY()-1</f>
        <v>45777</v>
      </c>
      <c r="O6" s="8"/>
      <c r="AQ6" s="9" t="s">
        <v>21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22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IFERROR(__xludf.DUMMYFUNCTION("""COMPUTED_VALUE"""),"AllowTrade")</f>
        <v>AllowTrade</v>
      </c>
      <c r="AP5" s="29" t="str">
        <f>IFERROR(__xludf.DUMMYFUNCTION("""COMPUTED_VALUE"""),"SharesOutstandingPopUpQty")</f>
        <v>SharesOutstandingPopUpQty</v>
      </c>
      <c r="AQ5" s="29" t="str">
        <f>IFERROR(__xludf.DUMMYFUNCTION("""COMPUTED_VALUE"""),"SharesOutstandingPopUp")</f>
        <v>SharesOutstandingPopUp</v>
      </c>
      <c r="AR5" s="29" t="str">
        <f>IFERROR(__xludf.DUMMYFUNCTION("""COMPUTED_VALUE"""),"ResAllowedListPopUp")</f>
        <v>ResAllowedListPopUp</v>
      </c>
      <c r="AS5" s="29" t="str">
        <f>IFERROR(__xludf.DUMMYFUNCTION("""COMPUTED_VALUE"""),"ChkBoxBookAsSwap")</f>
        <v>ChkBoxBookAsSwap</v>
      </c>
      <c r="AT5" s="29" t="str">
        <f>IFERROR(__xludf.DUMMYFUNCTION("""COMPUTED_VALUE"""),"Interest Rate")</f>
        <v>Interest Rate</v>
      </c>
      <c r="AU5" s="29" t="str">
        <f>IFERROR(__xludf.DUMMYFUNCTION("""COMPUTED_VALUE"""),"OrderPendingNewPopup")</f>
        <v>OrderPendingNewPopup</v>
      </c>
      <c r="AV5" s="29" t="str">
        <f>IFERROR(__xludf.DUMMYFUNCTION("""COMPUTED_VALUE"""),"Master Funds")</f>
        <v>Master Funds</v>
      </c>
      <c r="AW5" s="29" t="str">
        <f>IFERROR(__xludf.DUMMYFUNCTION("""COMPUTED_VALUE"""),"Allow Duplicate Trade")</f>
        <v>Allow Duplicate Trade</v>
      </c>
      <c r="AX5" s="29" t="str">
        <f>IFERROR(__xludf.DUMMYFUNCTION("""COMPUTED_VALUE"""),"TRVAccountName")</f>
        <v>TRVAccountName</v>
      </c>
      <c r="AY5" s="29" t="str">
        <f>IFERROR(__xludf.DUMMYFUNCTION("""COMPUTED_VALUE"""),"TRVTradeQuantity")</f>
        <v>TRVTradeQuantity</v>
      </c>
      <c r="AZ5" s="29" t="str">
        <f>IFERROR(__xludf.DUMMYFUNCTION("""COMPUTED_VALUE"""),"TRVCurrentPosition")</f>
        <v>TRVCurrentPosition</v>
      </c>
      <c r="BA5" s="29" t="str">
        <f>IFERROR(__xludf.DUMMYFUNCTION("""COMPUTED_VALUE"""),"TRVNav")</f>
        <v>TRVNav</v>
      </c>
      <c r="BB5" s="29" t="str">
        <f>IFERROR(__xludf.DUMMYFUNCTION("""COMPUTED_VALUE"""),"SendClickOnNO")</f>
        <v>SendClickOnNO</v>
      </c>
      <c r="BC5" s="29" t="str">
        <f>IFERROR(__xludf.DUMMYFUNCTION("""COMPUTED_VALUE"""),"PendingApprovalPopUp")</f>
        <v>PendingApprovalPopUp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23</v>
      </c>
      <c r="D6" s="12">
        <v>5000.0</v>
      </c>
      <c r="E6" s="30"/>
      <c r="F6" s="12" t="s">
        <v>20</v>
      </c>
      <c r="G6" s="8"/>
      <c r="H6" s="8"/>
      <c r="I6" s="8"/>
      <c r="J6" s="12">
        <v>1.0</v>
      </c>
      <c r="K6" s="8"/>
      <c r="L6" s="8"/>
      <c r="M6" s="8"/>
      <c r="N6" s="31">
        <f t="shared" ref="N6:N7" si="1">TODAY()</f>
        <v>45778</v>
      </c>
      <c r="O6" s="8"/>
      <c r="AO6" s="9" t="s">
        <v>21</v>
      </c>
    </row>
    <row r="7" ht="15.75" customHeight="1">
      <c r="A7" s="12"/>
      <c r="B7" s="12" t="s">
        <v>18</v>
      </c>
      <c r="C7" s="12" t="s">
        <v>23</v>
      </c>
      <c r="D7" s="12">
        <v>5000.0</v>
      </c>
      <c r="E7" s="30"/>
      <c r="F7" s="12" t="s">
        <v>20</v>
      </c>
      <c r="G7" s="8"/>
      <c r="H7" s="8"/>
      <c r="I7" s="8"/>
      <c r="J7" s="12">
        <v>2.0</v>
      </c>
      <c r="K7" s="8"/>
      <c r="L7" s="8"/>
      <c r="M7" s="8"/>
      <c r="N7" s="31">
        <f t="shared" si="1"/>
        <v>45778</v>
      </c>
      <c r="O7" s="8"/>
      <c r="AO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CreateLiveOrder!$4:$4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1.0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2.0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IFERROR(__xludf.DUMMYFUNCTION("""COMPUTED_VALUE"""),"Side")</f>
        <v>Side</v>
      </c>
      <c r="C5" s="27" t="str">
        <f>IFERROR(__xludf.DUMMYFUNCTION("""COMPUTED_VALUE"""),"Symbol")</f>
        <v>Symbol</v>
      </c>
      <c r="D5" s="27" t="str">
        <f>IFERROR(__xludf.DUMMYFUNCTION("""COMPUTED_VALUE"""),"Order Type")</f>
        <v>Order Type</v>
      </c>
      <c r="E5" s="27" t="str">
        <f>IFERROR(__xludf.DUMMYFUNCTION("""COMPUTED_VALUE"""),"Price")</f>
        <v>Price</v>
      </c>
      <c r="F5" s="28" t="str">
        <f>IFERROR(__xludf.DUMMYFUNCTION("""COMPUTED_VALUE"""),"AvgPrice")</f>
        <v>AvgPrice</v>
      </c>
      <c r="G5" s="27" t="str">
        <f>IFERROR(__xludf.DUMMYFUNCTION("""COMPUTED_VALUE"""),"Quantity")</f>
        <v>Quantity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23</v>
      </c>
      <c r="C6" s="12" t="s">
        <v>18</v>
      </c>
      <c r="D6" s="12"/>
      <c r="E6" s="12">
        <v>2.0</v>
      </c>
      <c r="F6" s="8"/>
      <c r="G6" s="12">
        <v>5000.0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AcknowledgeTrade1!$4:$4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IFERROR(__xludf.DUMMYFUNCTION("""COMPUTED_VALUE"""),"AccountName")</f>
        <v>AccountName</v>
      </c>
      <c r="D5" s="27" t="str">
        <f>IFERROR(__xludf.DUMMYFUNCTION("""COMPUTED_VALUE"""),"Quantity")</f>
        <v>Quantity</v>
      </c>
      <c r="E5" s="27" t="str">
        <f>IFERROR(__xludf.DUMMYFUNCTION("""COMPUTED_VALUE"""),"Notional")</f>
        <v>Notional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 t="s">
        <v>20</v>
      </c>
      <c r="D6" s="12">
        <v>27500.0</v>
      </c>
      <c r="E6" s="12">
        <v>27500.0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ReviewExistingPositions!$4:$4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28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IFERROR(__xludf.DUMMYFUNCTION("""COMPUTED_VALUE"""),"SaveLayoutPM")</f>
        <v>SaveLayoutPM</v>
      </c>
      <c r="AH4" s="25" t="str">
        <f>IFERROR(__xludf.DUMMYFUNCTION("""COMPUTED_VALUE"""),"CustomView")</f>
        <v>CustomView</v>
      </c>
      <c r="AI4" s="25" t="str">
        <f>IFERROR(__xludf.DUMMYFUNCTION("""COMPUTED_VALUE"""),"OpenCustomView")</f>
        <v>OpenCustomView</v>
      </c>
      <c r="AJ4" s="25" t="str">
        <f>IFERROR(__xludf.DUMMYFUNCTION("""COMPUTED_VALUE"""),"CheckSummaryRowsPM")</f>
        <v>CheckSummaryRowsPM</v>
      </c>
      <c r="AK4" s="25" t="str">
        <f>IFERROR(__xludf.DUMMYFUNCTION("""COMPUTED_VALUE"""),"CheckCustomViewRowSummary")</f>
        <v>CheckCustomViewRowSummary</v>
      </c>
      <c r="AL4" s="25" t="str">
        <f>IFERROR(__xludf.DUMMYFUNCTION("""COMPUTED_VALUE"""),"GroupRowCustomView")</f>
        <v>GroupRowCustomView</v>
      </c>
      <c r="AM4" s="25" t="str">
        <f>IFERROR(__xludf.DUMMYFUNCTION("""COMPUTED_VALUE"""),"CheckCustomViewRowSummary")</f>
        <v>CheckCustomViewRowSummary</v>
      </c>
      <c r="AN4" s="25" t="str">
        <f>IFERROR(__xludf.DUMMYFUNCTION("""COMPUTED_VALUE"""),"OpenTaxlotDetails")</f>
        <v>OpenTaxlotDetails</v>
      </c>
      <c r="AO4" s="25" t="str">
        <f>IFERROR(__xludf.DUMMYFUNCTION("""COMPUTED_VALUE"""),"CheckTaxlotDetails")</f>
        <v>CheckTaxlotDetails</v>
      </c>
      <c r="AP4" s="25" t="str">
        <f>IFERROR(__xludf.DUMMYFUNCTION("""COMPUTED_VALUE"""),"SelectTradeOnPM")</f>
        <v>SelectTradeOnPM</v>
      </c>
      <c r="AQ4" s="25" t="str">
        <f>IFERROR(__xludf.DUMMYFUNCTION("""COMPUTED_VALUE"""),"OperationsonPM")</f>
        <v>OperationsonPM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12"/>
      <c r="B6" s="12"/>
      <c r="C6" s="12" t="s">
        <v>18</v>
      </c>
      <c r="D6" s="32">
        <v>37500.0</v>
      </c>
      <c r="E6" s="12" t="s">
        <v>20</v>
      </c>
      <c r="F6" s="12" t="s">
        <v>30</v>
      </c>
      <c r="G6" s="9">
        <v>1.0</v>
      </c>
      <c r="H6" s="12" t="s">
        <v>31</v>
      </c>
      <c r="I6" s="8"/>
      <c r="J6" s="8"/>
      <c r="K6" s="8"/>
      <c r="L6" s="8"/>
      <c r="M6" s="8"/>
      <c r="N6" s="12"/>
      <c r="O6" s="12"/>
      <c r="Q6" s="33">
        <v>-37500.0</v>
      </c>
      <c r="S6" s="9" t="s">
        <v>32</v>
      </c>
      <c r="T6" s="9" t="s">
        <v>33</v>
      </c>
      <c r="U6" s="9" t="s">
        <v>34</v>
      </c>
      <c r="V6" s="9" t="s">
        <v>35</v>
      </c>
      <c r="W6" s="9" t="s">
        <v>36</v>
      </c>
      <c r="X6" s="9">
        <v>1.0</v>
      </c>
      <c r="Y6" s="9">
        <v>1.0</v>
      </c>
      <c r="EW6" s="34"/>
      <c r="FH6" s="33">
        <v>-10000.0</v>
      </c>
    </row>
    <row r="7" ht="15.75" customHeight="1">
      <c r="A7" s="8"/>
      <c r="B7" s="8"/>
      <c r="C7" s="12" t="s">
        <v>18</v>
      </c>
      <c r="D7" s="32">
        <v>-5000.0</v>
      </c>
      <c r="E7" s="12" t="s">
        <v>20</v>
      </c>
      <c r="F7" s="12" t="s">
        <v>30</v>
      </c>
      <c r="G7" s="9">
        <v>1.0</v>
      </c>
      <c r="H7" s="12" t="s">
        <v>31</v>
      </c>
      <c r="I7" s="8"/>
      <c r="J7" s="8"/>
      <c r="K7" s="8"/>
      <c r="L7" s="8"/>
      <c r="M7" s="8"/>
      <c r="N7" s="32"/>
      <c r="O7" s="32"/>
      <c r="Q7" s="33">
        <v>5000.0</v>
      </c>
      <c r="S7" s="9" t="s">
        <v>32</v>
      </c>
      <c r="T7" s="9" t="s">
        <v>33</v>
      </c>
      <c r="U7" s="9" t="s">
        <v>34</v>
      </c>
      <c r="V7" s="9" t="s">
        <v>35</v>
      </c>
      <c r="W7" s="9" t="s">
        <v>36</v>
      </c>
      <c r="X7" s="9">
        <v>1.0</v>
      </c>
      <c r="Y7" s="9">
        <v>1.0</v>
      </c>
      <c r="EW7" s="34"/>
      <c r="FH7" s="33">
        <v>-10000.0</v>
      </c>
    </row>
    <row r="8" ht="15.75" customHeight="1">
      <c r="A8" s="8"/>
      <c r="B8" s="8"/>
      <c r="C8" s="12" t="s">
        <v>18</v>
      </c>
      <c r="D8" s="32">
        <v>-5000.0</v>
      </c>
      <c r="E8" s="12" t="s">
        <v>20</v>
      </c>
      <c r="F8" s="12" t="s">
        <v>30</v>
      </c>
      <c r="G8" s="9">
        <v>1.0</v>
      </c>
      <c r="H8" s="12" t="s">
        <v>31</v>
      </c>
      <c r="I8" s="8"/>
      <c r="J8" s="8"/>
      <c r="K8" s="8"/>
      <c r="L8" s="8"/>
      <c r="M8" s="8"/>
      <c r="N8" s="32"/>
      <c r="O8" s="32"/>
      <c r="Q8" s="33">
        <v>5000.0</v>
      </c>
      <c r="S8" s="9" t="s">
        <v>32</v>
      </c>
      <c r="T8" s="9" t="s">
        <v>33</v>
      </c>
      <c r="U8" s="9" t="s">
        <v>34</v>
      </c>
      <c r="V8" s="9" t="s">
        <v>35</v>
      </c>
      <c r="W8" s="9" t="s">
        <v>36</v>
      </c>
      <c r="X8" s="9">
        <v>1.0</v>
      </c>
      <c r="Y8" s="9">
        <v>1.0</v>
      </c>
      <c r="EW8" s="34"/>
      <c r="FH8" s="33">
        <v>-10000.0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ExecuteTrade!$4:$4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24</v>
      </c>
      <c r="D3" s="5" t="s">
        <v>9</v>
      </c>
      <c r="E3" s="22" t="s">
        <v>37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IFERROR(__xludf.DUMMYFUNCTION("IF(C3="""","""",Transpose(IMPORTRANGE('_Settings'!$B$3,C3&amp;""!A4:A1000"")))"),"SelectTrade")</f>
        <v>SelectTrade</v>
      </c>
      <c r="C4" s="24" t="str">
        <f>IFERROR(__xludf.DUMMYFUNCTION("""COMPUTED_VALUE"""),"AcknowledgeTrade")</f>
        <v>AcknowledgeTrade</v>
      </c>
      <c r="D4" s="24" t="str">
        <f>IFERROR(__xludf.DUMMYFUNCTION("""COMPUTED_VALUE"""),"RejectTrade")</f>
        <v>RejectTrade</v>
      </c>
      <c r="E4" s="24" t="str">
        <f>IFERROR(__xludf.DUMMYFUNCTION("""COMPUTED_VALUE"""),"ExecuteTrade")</f>
        <v>ExecuteTrade</v>
      </c>
      <c r="F4" s="24" t="str">
        <f>IFERROR(__xludf.DUMMYFUNCTION("""COMPUTED_VALUE"""),"CancelTrade")</f>
        <v>CancelTrade</v>
      </c>
      <c r="G4" s="24" t="str">
        <f>IFERROR(__xludf.DUMMYFUNCTION("""COMPUTED_VALUE"""),"OpenLiveTT")</f>
        <v>OpenLiveTT</v>
      </c>
      <c r="H4" s="24" t="str">
        <f>IFERROR(__xludf.DUMMYFUNCTION("""COMPUTED_VALUE"""),"SetManualResponse")</f>
        <v>SetManualResponse</v>
      </c>
      <c r="I4" s="24" t="str">
        <f>IFERROR(__xludf.DUMMYFUNCTION("""COMPUTED_VALUE"""),"ClearUI")</f>
        <v>ClearUI</v>
      </c>
      <c r="J4" s="24" t="str">
        <f>IFERROR(__xludf.DUMMYFUNCTION("""COMPUTED_VALUE"""),"CloseSimulator")</f>
        <v>CloseSimulator</v>
      </c>
      <c r="K4" s="24" t="str">
        <f>IFERROR(__xludf.DUMMYFUNCTION("""COMPUTED_VALUE"""),"VerifyTrades")</f>
        <v>VerifyTrades</v>
      </c>
      <c r="L4" s="24" t="str">
        <f>IFERROR(__xludf.DUMMYFUNCTION("""COMPUTED_VALUE"""),"VerifyTagInAllFixLogs")</f>
        <v>VerifyTagInAllFixLogs</v>
      </c>
      <c r="M4" s="24" t="str">
        <f>IFERROR(__xludf.DUMMYFUNCTION("""COMPUTED_VALUE"""),"SetToAutomaticResponse")</f>
        <v>SetToAutomaticResponse</v>
      </c>
      <c r="N4" s="24" t="str">
        <f>IFERROR(__xludf.DUMMYFUNCTION("""COMPUTED_VALUE"""),"DoneForDay")</f>
        <v>DoneForDay</v>
      </c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IFERROR(__xludf.DUMMYFUNCTION("""COMPUTED_VALUE"""),"Price")</f>
        <v>Price</v>
      </c>
      <c r="C5" s="27" t="str">
        <f>IFERROR(__xludf.DUMMYFUNCTION("""COMPUTED_VALUE"""),"Shares")</f>
        <v>Shares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>
        <v>1.0</v>
      </c>
      <c r="C6" s="12">
        <v>5000.0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ExecuteTrade1!$4:$4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IFERROR(__xludf.DUMMYFUNCTION("""COMPUTED_VALUE"""),"Quantity")</f>
        <v>Quantity</v>
      </c>
      <c r="D5" s="27" t="str">
        <f>IFERROR(__xludf.DUMMYFUNCTION("""COMPUTED_VALUE"""),"Trade Date")</f>
        <v>Trade Date</v>
      </c>
      <c r="E5" s="27" t="str">
        <f>IFERROR(__xludf.DUMMYFUNCTION("""COMPUTED_VALUE"""),"Account Name")</f>
        <v>Account Name</v>
      </c>
      <c r="F5" s="28" t="str">
        <f>IFERROR(__xludf.DUMMYFUNCTION("""COMPUTED_VALUE"""),"Side")</f>
        <v>Side</v>
      </c>
      <c r="G5" s="27" t="str">
        <f>IFERROR(__xludf.DUMMYFUNCTION("""COMPUTED_VALUE"""),"Group Status")</f>
        <v>Group Status</v>
      </c>
      <c r="H5" s="27" t="str">
        <f>IFERROR(__xludf.DUMMYFUNCTION("""COMPUTED_VALUE"""),"Avg Price(Base)")</f>
        <v>Avg Price(Base)</v>
      </c>
      <c r="I5" s="27" t="str">
        <f>IFERROR(__xludf.DUMMYFUNCTION("""COMPUTED_VALUE"""),"Execution Time")</f>
        <v>Execution Time</v>
      </c>
      <c r="J5" s="27" t="str">
        <f>IFERROR(__xludf.DUMMYFUNCTION("""COMPUTED_VALUE"""),"Trade Attribute 1")</f>
        <v>Trade Attribute 1</v>
      </c>
      <c r="K5" s="27" t="str">
        <f>IFERROR(__xludf.DUMMYFUNCTION("""COMPUTED_VALUE"""),"Avg Price(Local)")</f>
        <v>Avg Price(Local)</v>
      </c>
      <c r="L5" s="27" t="str">
        <f>IFERROR(__xludf.DUMMYFUNCTION("""COMPUTED_VALUE"""),"Trade Attribute 2")</f>
        <v>Trade Attribute 2</v>
      </c>
      <c r="M5" s="27" t="str">
        <f>IFERROR(__xludf.DUMMYFUNCTION("""COMPUTED_VALUE"""),"Accrued Interest")</f>
        <v>Accrued Interest</v>
      </c>
      <c r="N5" s="27" t="str">
        <f>IFERROR(__xludf.DUMMYFUNCTION("""COMPUTED_VALUE"""),"Commission")</f>
        <v>Commission</v>
      </c>
      <c r="O5" s="27" t="str">
        <f>IFERROR(__xludf.DUMMYFUNCTION("""COMPUTED_VALUE"""),"Soft Commission")</f>
        <v>Soft Commission</v>
      </c>
      <c r="P5" s="27" t="str">
        <f>IFERROR(__xludf.DUMMYFUNCTION("""COMPUTED_VALUE"""),"Broker")</f>
        <v>Broker</v>
      </c>
      <c r="Q5" s="27" t="str">
        <f>IFERROR(__xludf.DUMMYFUNCTION("""COMPUTED_VALUE"""),"Transaction Type")</f>
        <v>Transaction Type</v>
      </c>
      <c r="R5" s="27" t="str">
        <f>IFERROR(__xludf.DUMMYFUNCTION("""COMPUTED_VALUE"""),"AUEC Fee1")</f>
        <v>AUEC Fee1</v>
      </c>
      <c r="S5" s="27" t="str">
        <f>IFERROR(__xludf.DUMMYFUNCTION("""COMPUTED_VALUE"""),"AUEC Fee2")</f>
        <v>AUEC Fee2</v>
      </c>
      <c r="T5" s="29" t="str">
        <f>IFERROR(__xludf.DUMMYFUNCTION("""COMPUTED_VALUE"""),"Clearing Broker Fee")</f>
        <v>Clearing Broker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IFERROR(__xludf.DUMMYFUNCTION("""COMPUTED_VALUE"""),"OCC Fee")</f>
        <v>OCC Fee</v>
      </c>
      <c r="W5" s="29" t="str">
        <f>IFERROR(__xludf.DUMMYFUNCTION("""COMPUTED_VALUE"""),"SEC Fee")</f>
        <v>SEC Fee</v>
      </c>
      <c r="X5" s="29" t="str">
        <f>IFERROR(__xludf.DUMMYFUNCTION("""COMPUTED_VALUE"""),"ORF Fee")</f>
        <v>ORF Fee</v>
      </c>
      <c r="Y5" s="29" t="str">
        <f>IFERROR(__xludf.DUMMYFUNCTION("""COMPUTED_VALUE"""),"IsPreAllocated")</f>
        <v>IsPreAllocated</v>
      </c>
      <c r="Z5" s="29" t="str">
        <f>IFERROR(__xludf.DUMMYFUNCTION("""COMPUTED_VALUE"""),"Stamp Duty")</f>
        <v>Stamp Duty</v>
      </c>
      <c r="AA5" s="29" t="str">
        <f>IFERROR(__xludf.DUMMYFUNCTION("""COMPUTED_VALUE"""),"IsManual Group")</f>
        <v>IsManual Group</v>
      </c>
      <c r="AB5" s="29" t="str">
        <f>IFERROR(__xludf.DUMMYFUNCTION("""COMPUTED_VALUE"""),"Tax On Commissions")</f>
        <v>Tax On Commissions</v>
      </c>
      <c r="AC5" s="29" t="str">
        <f>IFERROR(__xludf.DUMMYFUNCTION("""COMPUTED_VALUE"""),"IsAnotherTaxlotAttributesUpdated")</f>
        <v>IsAnotherTaxlotAttributesUpdated</v>
      </c>
      <c r="AD5" s="29" t="str">
        <f>IFERROR(__xludf.DUMMYFUNCTION("""COMPUTED_VALUE"""),"ISNDF")</f>
        <v>ISNDF</v>
      </c>
      <c r="AE5" s="29" t="str">
        <f>IFERROR(__xludf.DUMMYFUNCTION("""COMPUTED_VALUE"""),"Transaction Levy")</f>
        <v>Transaction Levy</v>
      </c>
      <c r="AF5" s="29" t="str">
        <f>IFERROR(__xludf.DUMMYFUNCTION("""COMPUTED_VALUE"""),"Description")</f>
        <v>Description</v>
      </c>
      <c r="AG5" s="29" t="str">
        <f>IFERROR(__xludf.DUMMYFUNCTION("""COMPUTED_VALUE"""),"GroupID")</f>
        <v>GroupID</v>
      </c>
      <c r="AH5" s="29" t="str">
        <f>IFERROR(__xludf.DUMMYFUNCTION("""COMPUTED_VALUE"""),"Internal Comments")</f>
        <v>Internal Comments</v>
      </c>
      <c r="AI5" s="29" t="str">
        <f>IFERROR(__xludf.DUMMYFUNCTION("""COMPUTED_VALUE"""),"M2MProfitLoss")</f>
        <v>M2MProfitLoss</v>
      </c>
      <c r="AJ5" s="29" t="str">
        <f>IFERROR(__xludf.DUMMYFUNCTION("""COMPUTED_VALUE"""),"FX Rate")</f>
        <v>FX Rate</v>
      </c>
      <c r="AK5" s="29" t="str">
        <f>IFERROR(__xludf.DUMMYFUNCTION("""COMPUTED_VALUE"""),"FX Conversion Operator")</f>
        <v>FX Conversion Operator</v>
      </c>
      <c r="AL5" s="29" t="str">
        <f>IFERROR(__xludf.DUMMYFUNCTION("""COMPUTED_VALUE"""),"Trade Attribute 3")</f>
        <v>Trade Attribute 3</v>
      </c>
      <c r="AM5" s="29" t="str">
        <f>IFERROR(__xludf.DUMMYFUNCTION("""COMPUTED_VALUE"""),"Trade Attribute 4")</f>
        <v>Trade Attribute 4</v>
      </c>
      <c r="AN5" s="29" t="str">
        <f>IFERROR(__xludf.DUMMYFUNCTION("""COMPUTED_VALUE"""),"Trade Attribute 5")</f>
        <v>Trade Attribute 5</v>
      </c>
      <c r="AO5" s="29" t="str">
        <f>IFERROR(__xludf.DUMMYFUNCTION("""COMPUTED_VALUE"""),"Trade Attribute 6")</f>
        <v>Trade Attribute 6</v>
      </c>
      <c r="AP5" s="29" t="str">
        <f>IFERROR(__xludf.DUMMYFUNCTION("""COMPUTED_VALUE"""),"Put Or Call")</f>
        <v>Put Or Call</v>
      </c>
      <c r="AQ5" s="29" t="str">
        <f>IFERROR(__xludf.DUMMYFUNCTION("""COMPUTED_VALUE"""),"Allocated Qty")</f>
        <v>Allocated Qty</v>
      </c>
      <c r="AR5" s="29" t="str">
        <f>IFERROR(__xludf.DUMMYFUNCTION("""COMPUTED_VALUE"""),"Total Commission And Fee")</f>
        <v>Total Commission And Fee</v>
      </c>
      <c r="AS5" s="29" t="str">
        <f>IFERROR(__xludf.DUMMYFUNCTION("""COMPUTED_VALUE"""),"Executed Qty")</f>
        <v>Executed Qty</v>
      </c>
      <c r="AT5" s="29" t="str">
        <f>IFERROR(__xludf.DUMMYFUNCTION("""COMPUTED_VALUE"""),"Net Amount( Local)")</f>
        <v>Net Amount( Local)</v>
      </c>
      <c r="AU5" s="29" t="str">
        <f>IFERROR(__xludf.DUMMYFUNCTION("""COMPUTED_VALUE"""),"Net Amount( Base)")</f>
        <v>Net Amount( Base)</v>
      </c>
      <c r="AV5" s="29" t="str">
        <f>IFERROR(__xludf.DUMMYFUNCTION("""COMPUTED_VALUE"""),"UnAllocatedQty")</f>
        <v>UnAllocatedQty</v>
      </c>
      <c r="AW5" s="29" t="str">
        <f>IFERROR(__xludf.DUMMYFUNCTION("""COMPUTED_VALUE"""),"Option Premium Adjustment")</f>
        <v>Option Premium Adjustment</v>
      </c>
      <c r="AX5" s="29" t="str">
        <f>IFERROR(__xludf.DUMMYFUNCTION("""COMPUTED_VALUE"""),"Principal Amount( Local)")</f>
        <v>Principal Amount( Local)</v>
      </c>
      <c r="AY5" s="29" t="str">
        <f>IFERROR(__xludf.DUMMYFUNCTION("""COMPUTED_VALUE"""),"Principal Amount( Base)")</f>
        <v>Principal Amount( Base)</v>
      </c>
      <c r="AZ5" s="29" t="str">
        <f>IFERROR(__xludf.DUMMYFUNCTION("""COMPUTED_VALUE"""),"Settlement Currency")</f>
        <v>Settlement Currency</v>
      </c>
      <c r="BA5" s="29" t="str">
        <f>IFERROR(__xludf.DUMMYFUNCTION("""COMPUTED_VALUE"""),"User")</f>
        <v>User</v>
      </c>
      <c r="BB5" s="29" t="str">
        <f>IFERROR(__xludf.DUMMYFUNCTION("""COMPUTED_VALUE"""),"Asset Category")</f>
        <v>Asset Category</v>
      </c>
      <c r="BC5" s="29" t="str">
        <f>IFERROR(__xludf.DUMMYFUNCTION("""COMPUTED_VALUE"""),"Change Type")</f>
        <v>Change Type</v>
      </c>
      <c r="BD5" s="29" t="str">
        <f>IFERROR(__xludf.DUMMYFUNCTION("""COMPUTED_VALUE"""),"Strategy Name")</f>
        <v>Strategy Name</v>
      </c>
      <c r="BE5" s="29" t="str">
        <f>IFERROR(__xludf.DUMMYFUNCTION("""COMPUTED_VALUE"""),"Prana Msg Type")</f>
        <v>Prana Msg Type</v>
      </c>
      <c r="BF5" s="29" t="str">
        <f>IFERROR(__xludf.DUMMYFUNCTION("""COMPUTED_VALUE"""),"Total Commission")</f>
        <v>Total Commission</v>
      </c>
      <c r="BG5" s="29" t="str">
        <f>IFERROR(__xludf.DUMMYFUNCTION("""COMPUTED_VALUE"""),"Commission Per Share")</f>
        <v>Commission Per Share</v>
      </c>
      <c r="BH5" s="29" t="str">
        <f>IFERROR(__xludf.DUMMYFUNCTION("""COMPUTED_VALUE"""),"Soft Commission Per Share")</f>
        <v>Soft Commission Per Share</v>
      </c>
      <c r="BI5" s="29" t="str">
        <f>IFERROR(__xludf.DUMMYFUNCTION("""COMPUTED_VALUE"""),"Total Commission Per Share")</f>
        <v>Total Commission Per Share</v>
      </c>
      <c r="BJ5" s="29" t="str">
        <f>IFERROR(__xludf.DUMMYFUNCTION("""COMPUTED_VALUE"""),"Closing Status")</f>
        <v>Closing Status</v>
      </c>
      <c r="BK5" s="29" t="str">
        <f>IFERROR(__xludf.DUMMYFUNCTION("""COMPUTED_VALUE"""),"Closing Method")</f>
        <v>Closing Method</v>
      </c>
      <c r="BL5" s="29" t="str">
        <f>IFERROR(__xludf.DUMMYFUNCTION("""COMPUTED_VALUE"""),"Allocation Scheme Name")</f>
        <v>Allocation Scheme Name</v>
      </c>
      <c r="BM5" s="29" t="str">
        <f>IFERROR(__xludf.DUMMYFUNCTION("""COMPUTED_VALUE"""),"Change Comment")</f>
        <v>Change Comment</v>
      </c>
      <c r="BN5" s="29" t="str">
        <f>IFERROR(__xludf.DUMMYFUNCTION("""COMPUTED_VALUE"""),"Order Type")</f>
        <v>Order Type</v>
      </c>
      <c r="BO5" s="29" t="str">
        <f>IFERROR(__xludf.DUMMYFUNCTION("""COMPUTED_VALUE"""),"Underlying")</f>
        <v>Underlying</v>
      </c>
      <c r="BP5" s="29" t="str">
        <f>IFERROR(__xludf.DUMMYFUNCTION("""COMPUTED_VALUE"""),"Exchange")</f>
        <v>Exchange</v>
      </c>
      <c r="BQ5" s="29" t="str">
        <f>IFERROR(__xludf.DUMMYFUNCTION("""COMPUTED_VALUE"""),"Currency")</f>
        <v>Currency</v>
      </c>
      <c r="BR5" s="29" t="str">
        <f>IFERROR(__xludf.DUMMYFUNCTION("""COMPUTED_VALUE"""),"AUECID")</f>
        <v>AUECID</v>
      </c>
      <c r="BS5" s="29" t="str">
        <f>IFERROR(__xludf.DUMMYFUNCTION("""COMPUTED_VALUE"""),"Trading Account")</f>
        <v>Trading Account</v>
      </c>
      <c r="BT5" s="29" t="str">
        <f>IFERROR(__xludf.DUMMYFUNCTION("""COMPUTED_VALUE"""),"Venue")</f>
        <v>Venue</v>
      </c>
      <c r="BU5" s="29" t="str">
        <f>IFERROR(__xludf.DUMMYFUNCTION("""COMPUTED_VALUE"""),"Cum Qty For Sub Order")</f>
        <v>Cum Qty For Sub Order</v>
      </c>
      <c r="BV5" s="29" t="str">
        <f>IFERROR(__xludf.DUMMYFUNCTION("""COMPUTED_VALUE"""),"Contract Multiplier")</f>
        <v>Contract Multiplier</v>
      </c>
      <c r="BW5" s="29" t="str">
        <f>IFERROR(__xludf.DUMMYFUNCTION("""COMPUTED_VALUE"""),"Company")</f>
        <v>Company</v>
      </c>
      <c r="BX5" s="29" t="str">
        <f>IFERROR(__xludf.DUMMYFUNCTION("""COMPUTED_VALUE"""),"Nirvana Process Date")</f>
        <v>Nirvana Process Date</v>
      </c>
      <c r="BY5" s="29" t="str">
        <f>IFERROR(__xludf.DUMMYFUNCTION("""COMPUTED_VALUE"""),"Process Date")</f>
        <v>Process Date</v>
      </c>
      <c r="BZ5" s="29" t="str">
        <f>IFERROR(__xludf.DUMMYFUNCTION("""COMPUTED_VALUE"""),"Original Purchase Date")</f>
        <v>Original Purchase Date</v>
      </c>
      <c r="CA5" s="29" t="str">
        <f>IFERROR(__xludf.DUMMYFUNCTION("""COMPUTED_VALUE"""),"Closing Date")</f>
        <v>Closing Date</v>
      </c>
      <c r="CB5" s="29" t="str">
        <f>IFERROR(__xludf.DUMMYFUNCTION("""COMPUTED_VALUE"""),"Settlement Date")</f>
        <v>Settlement Date</v>
      </c>
      <c r="CC5" s="29" t="str">
        <f>IFERROR(__xludf.DUMMYFUNCTION("""COMPUTED_VALUE"""),"Expiration Date")</f>
        <v>Expiration Date</v>
      </c>
      <c r="CD5" s="29" t="str">
        <f>IFERROR(__xludf.DUMMYFUNCTION("""COMPUTED_VALUE"""),"Underlying Symbol")</f>
        <v>Underlying Symbol</v>
      </c>
      <c r="CE5" s="29" t="str">
        <f>IFERROR(__xludf.DUMMYFUNCTION("""COMPUTED_VALUE"""),"Accrual Basis")</f>
        <v>Accrual Basis</v>
      </c>
      <c r="CF5" s="29" t="str">
        <f>IFERROR(__xludf.DUMMYFUNCTION("""COMPUTED_VALUE"""),"Bond Type")</f>
        <v>Bond Type</v>
      </c>
      <c r="CG5" s="29" t="str">
        <f>IFERROR(__xludf.DUMMYFUNCTION("""COMPUTED_VALUE"""),"Coupon Rate")</f>
        <v>Coupon Rate</v>
      </c>
      <c r="CH5" s="29" t="str">
        <f>IFERROR(__xludf.DUMMYFUNCTION("""COMPUTED_VALUE"""),"Delta")</f>
        <v>Delta</v>
      </c>
      <c r="CI5" s="29" t="str">
        <f>IFERROR(__xludf.DUMMYFUNCTION("""COMPUTED_VALUE"""),"Bloomberg")</f>
        <v>Bloomberg</v>
      </c>
      <c r="CJ5" s="29" t="str">
        <f>IFERROR(__xludf.DUMMYFUNCTION("""COMPUTED_VALUE"""),"Sedol Symbol")</f>
        <v>Sedol Symbol</v>
      </c>
      <c r="CK5" s="29" t="str">
        <f>IFERROR(__xludf.DUMMYFUNCTION("""COMPUTED_VALUE"""),"Cusip Symbol")</f>
        <v>Cusip Symbol</v>
      </c>
      <c r="CL5" s="29" t="str">
        <f>IFERROR(__xludf.DUMMYFUNCTION("""COMPUTED_VALUE"""),"ISIN")</f>
        <v>ISIN</v>
      </c>
      <c r="CM5" s="29" t="str">
        <f>IFERROR(__xludf.DUMMYFUNCTION("""COMPUTED_VALUE"""),"OSISSymbol")</f>
        <v>OSISSymbol</v>
      </c>
      <c r="CN5" s="29" t="str">
        <f>IFERROR(__xludf.DUMMYFUNCTION("""COMPUTED_VALUE"""),"IDCOSymbol")</f>
        <v>IDCOSymbol</v>
      </c>
      <c r="CO5" s="29" t="str">
        <f>IFERROR(__xludf.DUMMYFUNCTION("""COMPUTED_VALUE"""),"Underlying Delta")</f>
        <v>Underlying Delta</v>
      </c>
      <c r="CP5" s="29" t="str">
        <f>IFERROR(__xludf.DUMMYFUNCTION("""COMPUTED_VALUE"""),"Proxy Symbol")</f>
        <v>Proxy Symbol</v>
      </c>
      <c r="CQ5" s="29" t="str">
        <f>IFERROR(__xludf.DUMMYFUNCTION("""COMPUTED_VALUE"""),"Transaction Source")</f>
        <v>Transaction Source</v>
      </c>
      <c r="CR5" s="29" t="str">
        <f>IFERROR(__xludf.DUMMYFUNCTION("""COMPUTED_VALUE"""),"Import File Name")</f>
        <v>Import File Name</v>
      </c>
      <c r="CS5" s="29" t="str">
        <f>IFERROR(__xludf.DUMMYFUNCTION("""COMPUTED_VALUE"""),"MasterFund")</f>
        <v>MasterFund</v>
      </c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12">
        <v>5000.0</v>
      </c>
      <c r="E6" s="12" t="s">
        <v>20</v>
      </c>
      <c r="F6" s="12" t="s">
        <v>23</v>
      </c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SelectAllocatedGroup!$4:$4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