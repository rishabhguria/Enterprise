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Import" sheetId="5" r:id="rId7"/>
    <sheet state="visible" name="SelectAllOnImport" sheetId="6" r:id="rId8"/>
    <sheet state="visible" name="ActionOnImport" sheetId="7" r:id="rId9"/>
    <sheet state="visible" name="ValidateImportPositions" sheetId="8" r:id="rId10"/>
    <sheet state="visible" name="ValidateImportPositions1" sheetId="9" r:id="rId11"/>
    <sheet state="visible" name="ActionOnImport1" sheetId="10" r:id="rId12"/>
    <sheet state="visible" name="ValidateImportPositions2" sheetId="11" r:id="rId13"/>
    <sheet state="visible" name="ValidateImportPositions3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  <sheet state="visible" name="CheckDashboardPM" sheetId="17" r:id="rId19"/>
    <sheet state="visible" name="PricingInput" sheetId="18" r:id="rId20"/>
  </sheets>
  <definedNames/>
  <calcPr/>
</workbook>
</file>

<file path=xl/sharedStrings.xml><?xml version="1.0" encoding="utf-8"?>
<sst xmlns="http://schemas.openxmlformats.org/spreadsheetml/2006/main" count="306" uniqueCount="118">
  <si>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</si>
  <si>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</si>
  <si>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</si>
  <si>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</si>
  <si>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</si>
  <si>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</si>
  <si>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</si>
  <si>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</si>
  <si>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</si>
  <si>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</si>
  <si>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</si>
  <si>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</si>
  <si>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</si>
  <si>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</si>
  <si>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</si>
  <si>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</si>
  <si>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 xml:space="preserve">AAPL </t>
  </si>
  <si>
    <t>MSFT</t>
  </si>
  <si>
    <t>FRU-TC</t>
  </si>
  <si>
    <t>GLE-LON</t>
  </si>
  <si>
    <t>Import</t>
  </si>
  <si>
    <t>\\192.168.2.108\DistributedAutomation_Master\Import Cases\Transaction_Import8.csv</t>
  </si>
  <si>
    <t>Cameron</t>
  </si>
  <si>
    <t>Transaction</t>
  </si>
  <si>
    <t>Transaction Import</t>
  </si>
  <si>
    <t>SelectAllOnImport</t>
  </si>
  <si>
    <t>Import Positions</t>
  </si>
  <si>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</si>
  <si>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</si>
  <si>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</si>
  <si>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</si>
  <si>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</si>
  <si>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</si>
  <si>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</si>
  <si>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</si>
  <si>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</si>
  <si>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</si>
  <si>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</si>
  <si>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</si>
  <si>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</si>
  <si>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</si>
  <si>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</si>
  <si>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</si>
  <si>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Account</t>
  </si>
  <si>
    <t>Select Date</t>
  </si>
  <si>
    <t>Date</t>
  </si>
  <si>
    <t>FIMAT</t>
  </si>
  <si>
    <t>ToggleState_Off</t>
  </si>
  <si>
    <t>Test</t>
  </si>
  <si>
    <t>Mark Price</t>
  </si>
  <si>
    <t>ToggleState_On</t>
  </si>
  <si>
    <t>TODAY()-1</t>
  </si>
  <si>
    <t>DB</t>
  </si>
  <si>
    <t>Forex Price</t>
  </si>
  <si>
    <t>GS</t>
  </si>
  <si>
    <t>Multileg Journal Import</t>
  </si>
  <si>
    <t>BNY</t>
  </si>
  <si>
    <t>USB</t>
  </si>
  <si>
    <t>Double Entry Cash</t>
  </si>
  <si>
    <t>Application Asset Type</t>
  </si>
  <si>
    <t>Application Symbol</t>
  </si>
  <si>
    <t>Side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</si>
  <si>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</si>
  <si>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</si>
  <si>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</si>
  <si>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</si>
  <si>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</si>
  <si>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</si>
  <si>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</si>
  <si>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</si>
  <si>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</si>
  <si>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</si>
  <si>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</si>
  <si>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</si>
  <si>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</si>
  <si>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</si>
  <si>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</si>
  <si>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</si>
  <si>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</si>
  <si>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</si>
  <si>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</si>
  <si>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</si>
  <si>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</si>
  <si>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</si>
  <si>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</si>
  <si>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</si>
  <si>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CreateDoneAwayOrder</t>
  </si>
  <si>
    <t>Continue</t>
  </si>
  <si>
    <t>Abort</t>
  </si>
  <si>
    <t>Security Master</t>
  </si>
  <si>
    <t>\\192.168.2.108\DistributedAutomation_Master\Import Cases\Import_Mark_Price1.csv</t>
  </si>
  <si>
    <t>DailyValuation</t>
  </si>
  <si>
    <t>GetMarkPriceData</t>
  </si>
  <si>
    <t>UpdateMarkPrice</t>
  </si>
  <si>
    <t>KGF-LON</t>
  </si>
  <si>
    <t>AAPL</t>
  </si>
  <si>
    <t>AMZN</t>
  </si>
  <si>
    <t>FB</t>
  </si>
  <si>
    <t>BMW-FRA</t>
  </si>
  <si>
    <t>ES U5</t>
  </si>
  <si>
    <t>O:AAPL 13N715.00</t>
  </si>
  <si>
    <t>SNOW</t>
  </si>
  <si>
    <t>A</t>
  </si>
  <si>
    <t>GetForexConversion</t>
  </si>
  <si>
    <t>UpdateForexConversion</t>
  </si>
  <si>
    <t>USD</t>
  </si>
  <si>
    <t>CAD</t>
  </si>
  <si>
    <t>CAD A0-FX</t>
  </si>
  <si>
    <t>GBP</t>
  </si>
  <si>
    <t>GBP A0-FX</t>
  </si>
  <si>
    <t>EUR</t>
  </si>
  <si>
    <t>USD A0-FX</t>
  </si>
  <si>
    <t>AUD</t>
  </si>
  <si>
    <t>AUD A0-FX</t>
  </si>
  <si>
    <t>PortfolioManagement</t>
  </si>
  <si>
    <t>CheckDashboardPM</t>
  </si>
  <si>
    <t>PricingInput</t>
  </si>
  <si>
    <t>2109-TSE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</si>
</sst>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1"/>
    </xf>
    <xf borderId="0" fillId="0" fontId="5" numFmtId="14" xfId="0" applyAlignment="1" applyFont="1" applyNumberFormat="1">
      <alignment readingOrder="0" shrinkToFit="0" wrapText="0"/>
    </xf>
    <xf borderId="0" fillId="5" fontId="4" numFmtId="0" xfId="0" applyAlignment="1" applyFont="1">
      <alignment readingOrder="0" shrinkToFit="0" wrapText="0"/>
    </xf>
    <xf borderId="0" fillId="5" fontId="10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1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34">
        <f>TODAY()-1</f>
        <v>45809</v>
      </c>
      <c r="E6" s="12" t="s">
        <v>21</v>
      </c>
      <c r="F6" s="12" t="s">
        <v>22</v>
      </c>
      <c r="G6" s="12" t="s">
        <v>23</v>
      </c>
      <c r="H6" s="12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/>
      <c r="C21" s="8"/>
      <c r="D21" s="8"/>
      <c r="E21" s="8"/>
      <c r="F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>
      <c r="B30" s="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B48" s="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>
      <c r="B62" s="1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5"/>
      <c r="B5" s="28" t="s">
        <v>27</v>
      </c>
      <c r="C5" s="28" t="s">
        <v>28</v>
      </c>
      <c r="D5" s="28" t="s">
        <v>29</v>
      </c>
      <c r="E5" s="28" t="s">
        <v>30</v>
      </c>
      <c r="F5" s="28" t="s">
        <v>31</v>
      </c>
      <c r="G5" s="28" t="s">
        <v>32</v>
      </c>
      <c r="H5" s="28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8" t="s">
        <v>40</v>
      </c>
      <c r="P5" s="28" t="s">
        <v>41</v>
      </c>
      <c r="Q5" s="28" t="s">
        <v>42</v>
      </c>
      <c r="R5" s="28" t="s">
        <v>43</v>
      </c>
      <c r="S5" s="28" t="s">
        <v>44</v>
      </c>
      <c r="T5" s="36" t="s">
        <v>45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12" t="s">
        <v>46</v>
      </c>
      <c r="D6" s="12"/>
      <c r="F6" s="12" t="s">
        <v>23</v>
      </c>
      <c r="G6" s="12"/>
      <c r="H6" s="8"/>
      <c r="I6" s="8"/>
      <c r="J6" s="8"/>
      <c r="K6" s="8"/>
      <c r="L6" s="8"/>
      <c r="M6" s="8"/>
      <c r="N6" s="8"/>
      <c r="O6" s="8"/>
      <c r="R6" s="9">
        <v>-2.147483648E9</v>
      </c>
      <c r="S6" s="9" t="s">
        <v>47</v>
      </c>
      <c r="T6" s="9"/>
    </row>
    <row r="7" ht="15.75" customHeight="1">
      <c r="A7" s="8"/>
      <c r="B7" s="8"/>
      <c r="C7" s="12" t="s">
        <v>48</v>
      </c>
      <c r="D7" s="8"/>
      <c r="E7" s="8"/>
      <c r="F7" s="12" t="s">
        <v>49</v>
      </c>
      <c r="G7" s="8"/>
      <c r="H7" s="8"/>
      <c r="I7" s="8"/>
      <c r="J7" s="8"/>
      <c r="K7" s="8"/>
      <c r="L7" s="8"/>
      <c r="M7" s="8"/>
      <c r="N7" s="8"/>
      <c r="O7" s="8"/>
      <c r="R7" s="9">
        <v>-2.147483648E9</v>
      </c>
      <c r="S7" s="9" t="s">
        <v>47</v>
      </c>
    </row>
    <row r="8" ht="15.75" customHeight="1">
      <c r="A8" s="8"/>
      <c r="B8" s="8"/>
      <c r="C8" s="12" t="s">
        <v>22</v>
      </c>
      <c r="D8" s="8"/>
      <c r="E8" s="8"/>
      <c r="F8" s="12" t="s">
        <v>23</v>
      </c>
      <c r="G8" s="12" t="s">
        <v>21</v>
      </c>
      <c r="H8" s="8"/>
      <c r="I8" s="8"/>
      <c r="J8" s="8"/>
      <c r="K8" s="8"/>
      <c r="L8" s="8"/>
      <c r="M8" s="8"/>
      <c r="N8" s="8"/>
      <c r="O8" s="8"/>
      <c r="R8" s="9">
        <v>-2.147483648E9</v>
      </c>
      <c r="S8" s="9" t="s">
        <v>50</v>
      </c>
      <c r="T8" s="9" t="s">
        <v>51</v>
      </c>
    </row>
    <row r="9" ht="15.75" customHeight="1">
      <c r="A9" s="8"/>
      <c r="B9" s="8"/>
      <c r="C9" s="12" t="s">
        <v>52</v>
      </c>
      <c r="D9" s="8"/>
      <c r="E9" s="8"/>
      <c r="F9" s="12" t="s">
        <v>53</v>
      </c>
      <c r="G9" s="8"/>
      <c r="H9" s="8"/>
      <c r="I9" s="8"/>
      <c r="J9" s="8"/>
      <c r="K9" s="8"/>
      <c r="L9" s="8"/>
      <c r="M9" s="8"/>
      <c r="N9" s="8"/>
      <c r="O9" s="8"/>
      <c r="R9" s="9">
        <v>-2.147483648E9</v>
      </c>
      <c r="S9" s="9" t="s">
        <v>47</v>
      </c>
    </row>
    <row r="10" ht="15.75" customHeight="1">
      <c r="A10" s="8"/>
      <c r="B10" s="8"/>
      <c r="C10" s="12" t="s">
        <v>54</v>
      </c>
      <c r="D10" s="8"/>
      <c r="E10" s="8"/>
      <c r="F10" s="12" t="s">
        <v>55</v>
      </c>
      <c r="G10" s="8"/>
      <c r="H10" s="8"/>
      <c r="I10" s="8"/>
      <c r="J10" s="8"/>
      <c r="K10" s="8"/>
      <c r="L10" s="8"/>
      <c r="M10" s="8"/>
      <c r="N10" s="8"/>
      <c r="O10" s="8"/>
      <c r="R10" s="9">
        <v>-2.147483648E9</v>
      </c>
      <c r="S10" s="9" t="s">
        <v>47</v>
      </c>
    </row>
    <row r="11" ht="15.75" customHeight="1">
      <c r="A11" s="8"/>
      <c r="B11" s="8"/>
      <c r="C11" s="12" t="s">
        <v>56</v>
      </c>
      <c r="D11" s="8"/>
      <c r="E11" s="8"/>
      <c r="F11" s="12" t="s">
        <v>55</v>
      </c>
      <c r="G11" s="8"/>
      <c r="H11" s="8"/>
      <c r="I11" s="8"/>
      <c r="J11" s="8"/>
      <c r="K11" s="8"/>
      <c r="L11" s="8"/>
      <c r="M11" s="8"/>
      <c r="N11" s="8"/>
      <c r="O11" s="8"/>
      <c r="R11" s="9">
        <v>-2.147483648E9</v>
      </c>
      <c r="S11" s="9" t="s">
        <v>47</v>
      </c>
    </row>
    <row r="12" ht="15.75" customHeight="1">
      <c r="A12" s="8"/>
      <c r="B12" s="8"/>
      <c r="C12" s="12" t="s">
        <v>57</v>
      </c>
      <c r="D12" s="8"/>
      <c r="E12" s="8"/>
      <c r="F12" s="12" t="s">
        <v>58</v>
      </c>
      <c r="G12" s="8"/>
      <c r="H12" s="8"/>
      <c r="I12" s="8"/>
      <c r="J12" s="8"/>
      <c r="K12" s="8"/>
      <c r="L12" s="8"/>
      <c r="M12" s="8"/>
      <c r="N12" s="8"/>
      <c r="O12" s="8"/>
      <c r="R12" s="9">
        <v>-2.147483648E9</v>
      </c>
      <c r="S12" s="9" t="s">
        <v>47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7" t="s">
        <v>59</v>
      </c>
      <c r="C5" s="37" t="s">
        <v>60</v>
      </c>
      <c r="D5" s="37" t="s">
        <v>61</v>
      </c>
      <c r="E5" s="37" t="s">
        <v>62</v>
      </c>
      <c r="F5" s="37" t="s">
        <v>63</v>
      </c>
      <c r="G5" s="37" t="s">
        <v>64</v>
      </c>
      <c r="H5" s="37" t="s">
        <v>65</v>
      </c>
      <c r="I5" s="37" t="s">
        <v>66</v>
      </c>
      <c r="J5" s="37" t="s">
        <v>67</v>
      </c>
      <c r="K5" s="37" t="s">
        <v>68</v>
      </c>
      <c r="L5" s="37" t="s">
        <v>69</v>
      </c>
      <c r="M5" s="37" t="s">
        <v>70</v>
      </c>
      <c r="N5" s="37" t="s">
        <v>43</v>
      </c>
      <c r="O5" s="37" t="s">
        <v>71</v>
      </c>
      <c r="P5" s="37" t="s">
        <v>72</v>
      </c>
      <c r="Q5" s="37" t="s">
        <v>73</v>
      </c>
      <c r="R5" s="37" t="s">
        <v>74</v>
      </c>
      <c r="S5" s="37" t="s">
        <v>75</v>
      </c>
      <c r="T5" s="37" t="s">
        <v>76</v>
      </c>
      <c r="U5" s="37" t="s">
        <v>77</v>
      </c>
      <c r="V5" s="37" t="s">
        <v>78</v>
      </c>
      <c r="W5" s="37" t="s">
        <v>79</v>
      </c>
      <c r="X5" s="37" t="s">
        <v>80</v>
      </c>
      <c r="Y5" s="37" t="s">
        <v>81</v>
      </c>
      <c r="Z5" s="37" t="s">
        <v>82</v>
      </c>
      <c r="AA5" s="37" t="s">
        <v>83</v>
      </c>
      <c r="AB5" s="37" t="s">
        <v>84</v>
      </c>
      <c r="AC5" s="37" t="s">
        <v>85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ValidateImportPositions!$4:$4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7" t="s">
        <v>87</v>
      </c>
      <c r="C5" s="37" t="s">
        <v>88</v>
      </c>
      <c r="D5" s="37" t="s">
        <v>89</v>
      </c>
      <c r="E5" s="3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6"/>
      <c r="U5" s="36"/>
      <c r="V5" s="36"/>
      <c r="W5" s="36"/>
      <c r="X5" s="36"/>
      <c r="Y5" s="36"/>
      <c r="Z5" s="36"/>
      <c r="AA5" s="36"/>
      <c r="AB5" s="36"/>
      <c r="AC5" s="36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87</v>
      </c>
      <c r="C6" s="39"/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ValidateImportPositions1!$4:$4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5"/>
      <c r="B5" s="28" t="s">
        <v>27</v>
      </c>
      <c r="C5" s="28" t="s">
        <v>28</v>
      </c>
      <c r="D5" s="28" t="s">
        <v>29</v>
      </c>
      <c r="E5" s="28" t="s">
        <v>30</v>
      </c>
      <c r="F5" s="28" t="s">
        <v>31</v>
      </c>
      <c r="G5" s="28" t="s">
        <v>32</v>
      </c>
      <c r="H5" s="28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8" t="s">
        <v>40</v>
      </c>
      <c r="P5" s="28" t="s">
        <v>41</v>
      </c>
      <c r="Q5" s="28" t="s">
        <v>42</v>
      </c>
      <c r="R5" s="28" t="s">
        <v>43</v>
      </c>
      <c r="S5" s="28" t="s">
        <v>44</v>
      </c>
      <c r="T5" s="36" t="s">
        <v>45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C6" s="12" t="s">
        <v>46</v>
      </c>
      <c r="D6" s="12"/>
      <c r="F6" s="12" t="s">
        <v>23</v>
      </c>
      <c r="G6" s="12"/>
      <c r="H6" s="8"/>
      <c r="I6" s="8"/>
      <c r="J6" s="8"/>
      <c r="K6" s="8"/>
      <c r="L6" s="8"/>
      <c r="M6" s="8"/>
      <c r="N6" s="8"/>
      <c r="O6" s="8"/>
      <c r="R6" s="9">
        <v>-2.147483648E9</v>
      </c>
      <c r="S6" s="9" t="s">
        <v>47</v>
      </c>
      <c r="T6" s="9"/>
    </row>
    <row r="7" ht="15.75" customHeight="1">
      <c r="A7" s="8"/>
      <c r="B7" s="8"/>
      <c r="C7" s="12" t="s">
        <v>48</v>
      </c>
      <c r="D7" s="8"/>
      <c r="E7" s="8"/>
      <c r="F7" s="12" t="s">
        <v>49</v>
      </c>
      <c r="G7" s="40" t="s">
        <v>90</v>
      </c>
      <c r="H7" s="8"/>
      <c r="I7" s="8"/>
      <c r="J7" s="8"/>
      <c r="K7" s="8"/>
      <c r="L7" s="8"/>
      <c r="M7" s="8"/>
      <c r="N7" s="8"/>
      <c r="O7" s="8"/>
      <c r="R7" s="9">
        <v>-2.147483648E9</v>
      </c>
      <c r="S7" s="9" t="s">
        <v>50</v>
      </c>
      <c r="T7" s="9" t="s">
        <v>51</v>
      </c>
    </row>
    <row r="8" ht="15.75" customHeight="1">
      <c r="A8" s="8"/>
      <c r="B8" s="8"/>
      <c r="C8" s="12" t="s">
        <v>22</v>
      </c>
      <c r="D8" s="8"/>
      <c r="E8" s="8"/>
      <c r="F8" s="12" t="s">
        <v>23</v>
      </c>
      <c r="G8" s="12"/>
      <c r="H8" s="8"/>
      <c r="I8" s="8"/>
      <c r="J8" s="8"/>
      <c r="K8" s="8"/>
      <c r="L8" s="8"/>
      <c r="M8" s="8"/>
      <c r="N8" s="8"/>
      <c r="O8" s="8"/>
      <c r="R8" s="9">
        <v>-2.147483648E9</v>
      </c>
      <c r="S8" s="9" t="s">
        <v>47</v>
      </c>
    </row>
    <row r="9" ht="15.75" customHeight="1">
      <c r="A9" s="8"/>
      <c r="B9" s="8"/>
      <c r="C9" s="12" t="s">
        <v>52</v>
      </c>
      <c r="D9" s="8"/>
      <c r="E9" s="8"/>
      <c r="F9" s="12" t="s">
        <v>53</v>
      </c>
      <c r="G9" s="8"/>
      <c r="H9" s="8"/>
      <c r="I9" s="8"/>
      <c r="J9" s="8"/>
      <c r="K9" s="8"/>
      <c r="L9" s="8"/>
      <c r="M9" s="8"/>
      <c r="N9" s="8"/>
      <c r="O9" s="8"/>
      <c r="R9" s="9">
        <v>-2.147483648E9</v>
      </c>
      <c r="S9" s="9" t="s">
        <v>47</v>
      </c>
    </row>
    <row r="10" ht="15.75" customHeight="1">
      <c r="A10" s="8"/>
      <c r="B10" s="8"/>
      <c r="C10" s="12" t="s">
        <v>54</v>
      </c>
      <c r="D10" s="8"/>
      <c r="E10" s="8"/>
      <c r="F10" s="12" t="s">
        <v>55</v>
      </c>
      <c r="G10" s="8"/>
      <c r="H10" s="8"/>
      <c r="I10" s="8"/>
      <c r="J10" s="8"/>
      <c r="K10" s="8"/>
      <c r="L10" s="8"/>
      <c r="M10" s="8"/>
      <c r="N10" s="8"/>
      <c r="O10" s="8"/>
      <c r="R10" s="9">
        <v>-2.147483648E9</v>
      </c>
      <c r="S10" s="9" t="s">
        <v>47</v>
      </c>
    </row>
    <row r="11" ht="15.75" customHeight="1">
      <c r="A11" s="8"/>
      <c r="B11" s="8"/>
      <c r="C11" s="12" t="s">
        <v>56</v>
      </c>
      <c r="D11" s="8"/>
      <c r="E11" s="8"/>
      <c r="F11" s="12" t="s">
        <v>55</v>
      </c>
      <c r="G11" s="8"/>
      <c r="H11" s="8"/>
      <c r="I11" s="8"/>
      <c r="J11" s="8"/>
      <c r="K11" s="8"/>
      <c r="L11" s="8"/>
      <c r="M11" s="8"/>
      <c r="N11" s="8"/>
      <c r="O11" s="8"/>
      <c r="R11" s="9">
        <v>-2.147483648E9</v>
      </c>
      <c r="S11" s="9" t="s">
        <v>47</v>
      </c>
    </row>
    <row r="12" ht="15.75" customHeight="1">
      <c r="A12" s="8"/>
      <c r="B12" s="8"/>
      <c r="C12" s="12" t="s">
        <v>57</v>
      </c>
      <c r="D12" s="8"/>
      <c r="E12" s="8"/>
      <c r="F12" s="12" t="s">
        <v>58</v>
      </c>
      <c r="G12" s="8"/>
      <c r="H12" s="8"/>
      <c r="I12" s="8"/>
      <c r="J12" s="8"/>
      <c r="K12" s="8"/>
      <c r="L12" s="8"/>
      <c r="M12" s="8"/>
      <c r="N12" s="8"/>
      <c r="O12" s="8"/>
      <c r="R12" s="9">
        <v>-2.147483648E9</v>
      </c>
      <c r="S12" s="9" t="s">
        <v>47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7" t="s">
        <v>59</v>
      </c>
      <c r="C5" s="37" t="s">
        <v>60</v>
      </c>
      <c r="D5" s="37" t="s">
        <v>61</v>
      </c>
      <c r="E5" s="37" t="s">
        <v>62</v>
      </c>
      <c r="F5" s="37" t="s">
        <v>63</v>
      </c>
      <c r="G5" s="37" t="s">
        <v>64</v>
      </c>
      <c r="H5" s="37" t="s">
        <v>65</v>
      </c>
      <c r="I5" s="37" t="s">
        <v>66</v>
      </c>
      <c r="J5" s="37" t="s">
        <v>67</v>
      </c>
      <c r="K5" s="37" t="s">
        <v>68</v>
      </c>
      <c r="L5" s="37" t="s">
        <v>69</v>
      </c>
      <c r="M5" s="37" t="s">
        <v>70</v>
      </c>
      <c r="N5" s="37" t="s">
        <v>43</v>
      </c>
      <c r="O5" s="37" t="s">
        <v>71</v>
      </c>
      <c r="P5" s="37" t="s">
        <v>72</v>
      </c>
      <c r="Q5" s="37" t="s">
        <v>73</v>
      </c>
      <c r="R5" s="37" t="s">
        <v>74</v>
      </c>
      <c r="S5" s="37" t="s">
        <v>75</v>
      </c>
      <c r="T5" s="37" t="s">
        <v>76</v>
      </c>
      <c r="U5" s="37" t="s">
        <v>77</v>
      </c>
      <c r="V5" s="37" t="s">
        <v>78</v>
      </c>
      <c r="W5" s="37" t="s">
        <v>79</v>
      </c>
      <c r="X5" s="37" t="s">
        <v>80</v>
      </c>
      <c r="Y5" s="37" t="s">
        <v>81</v>
      </c>
      <c r="Z5" s="37" t="s">
        <v>82</v>
      </c>
      <c r="AA5" s="37" t="s">
        <v>83</v>
      </c>
      <c r="AB5" s="37" t="s">
        <v>84</v>
      </c>
      <c r="AC5" s="37" t="s">
        <v>85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ValidateImportPositions2!$4:$4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7" t="s">
        <v>87</v>
      </c>
      <c r="C5" s="37" t="s">
        <v>88</v>
      </c>
      <c r="D5" s="37" t="s">
        <v>89</v>
      </c>
      <c r="E5" s="3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6"/>
      <c r="U5" s="36"/>
      <c r="V5" s="36"/>
      <c r="W5" s="36"/>
      <c r="X5" s="36"/>
      <c r="Y5" s="36"/>
      <c r="Z5" s="36"/>
      <c r="AA5" s="36"/>
      <c r="AB5" s="36"/>
      <c r="AC5" s="36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87</v>
      </c>
      <c r="C6" s="39"/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ValidateImportPositions3!$4:$4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 t="shared" ref="B6:C6" si="1">TODAY()-1</f>
        <v>45809</v>
      </c>
      <c r="C6" s="34">
        <f t="shared" si="1"/>
        <v>45809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19</v>
      </c>
      <c r="C6" s="12">
        <v>3.0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94</v>
      </c>
      <c r="C7" s="12">
        <v>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18</v>
      </c>
      <c r="C8" s="12">
        <v>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95</v>
      </c>
      <c r="C9" s="12">
        <v>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96</v>
      </c>
      <c r="C10" s="12">
        <v>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17</v>
      </c>
      <c r="C11" s="12">
        <v>250.0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97</v>
      </c>
      <c r="C12" s="12">
        <v>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98</v>
      </c>
      <c r="C13" s="12">
        <v>3.0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99</v>
      </c>
      <c r="C14" s="12">
        <v>3.0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100</v>
      </c>
      <c r="C15" s="12">
        <v>3.0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>
        <v>1.23456789E8</v>
      </c>
      <c r="C16" s="12">
        <v>3.0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101</v>
      </c>
      <c r="C17" s="44">
        <v>184.67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102</v>
      </c>
      <c r="C18" s="12">
        <v>77.95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>
        <f t="shared" ref="B6:C6" si="1">TODAY()-1</f>
        <v>45809</v>
      </c>
      <c r="C6" s="45">
        <f t="shared" si="1"/>
        <v>45809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105</v>
      </c>
      <c r="C6" s="12" t="s">
        <v>106</v>
      </c>
      <c r="D6" s="41" t="s">
        <v>107</v>
      </c>
      <c r="E6" s="31">
        <v>1.25</v>
      </c>
      <c r="F6" s="8"/>
      <c r="G6" s="8"/>
      <c r="H6" s="12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108</v>
      </c>
      <c r="C7" s="12" t="s">
        <v>105</v>
      </c>
      <c r="D7" s="41" t="s">
        <v>109</v>
      </c>
      <c r="E7" s="31">
        <v>1.2703</v>
      </c>
      <c r="F7" s="8"/>
      <c r="G7" s="8"/>
      <c r="H7" s="12"/>
      <c r="I7" s="12"/>
      <c r="J7" s="8"/>
      <c r="K7" s="8"/>
      <c r="L7" s="8"/>
      <c r="M7" s="8"/>
      <c r="N7" s="8"/>
      <c r="O7" s="8"/>
    </row>
    <row r="8" ht="15.75" customHeight="1">
      <c r="A8" s="8"/>
      <c r="B8" s="12" t="s">
        <v>110</v>
      </c>
      <c r="C8" s="12" t="s">
        <v>105</v>
      </c>
      <c r="D8" s="41" t="s">
        <v>111</v>
      </c>
      <c r="E8" s="46">
        <v>2.25</v>
      </c>
      <c r="F8" s="8"/>
      <c r="G8" s="8"/>
      <c r="H8" s="12"/>
      <c r="I8" s="12"/>
      <c r="J8" s="8"/>
      <c r="K8" s="8"/>
      <c r="L8" s="8"/>
      <c r="M8" s="8"/>
      <c r="N8" s="8"/>
      <c r="O8" s="8"/>
    </row>
    <row r="9" ht="15.75" customHeight="1">
      <c r="A9" s="8"/>
      <c r="B9" s="12" t="s">
        <v>112</v>
      </c>
      <c r="C9" s="12" t="s">
        <v>105</v>
      </c>
      <c r="D9" s="41" t="s">
        <v>113</v>
      </c>
      <c r="E9" s="46">
        <v>1.5</v>
      </c>
      <c r="F9" s="8"/>
      <c r="G9" s="8"/>
      <c r="H9" s="12"/>
      <c r="I9" s="12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12"/>
      <c r="I10" s="12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12"/>
      <c r="I11" s="12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12"/>
      <c r="I12" s="12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12"/>
      <c r="I13" s="12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12"/>
      <c r="I14" s="12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12"/>
      <c r="I15" s="12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12"/>
      <c r="I16" s="12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12"/>
      <c r="I17" s="12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12"/>
      <c r="I18" s="12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12"/>
      <c r="I19" s="12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12"/>
      <c r="I20" s="12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12"/>
      <c r="I21" s="12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12"/>
      <c r="I22" s="12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12"/>
      <c r="I23" s="12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12"/>
      <c r="I24" s="12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12"/>
      <c r="I25" s="12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12"/>
      <c r="I26" s="12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>
      <c r="H30" s="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H36" s="12"/>
    </row>
    <row r="37" ht="15.75" customHeight="1"/>
    <row r="38" ht="15.75" customHeight="1"/>
    <row r="39" ht="15.75" customHeight="1"/>
    <row r="40" ht="15.75" customHeight="1">
      <c r="H40" s="12"/>
    </row>
    <row r="41" ht="15.75" customHeight="1">
      <c r="H41" s="12"/>
    </row>
    <row r="42" ht="15.75" customHeight="1"/>
    <row r="43" ht="15.75" customHeight="1"/>
    <row r="44" ht="15.75" customHeight="1"/>
    <row r="45" ht="15.75" customHeight="1">
      <c r="H45" s="12"/>
    </row>
    <row r="46" ht="15.75" customHeight="1"/>
    <row r="47" ht="15.75" customHeight="1"/>
    <row r="48" ht="15.75" customHeight="1">
      <c r="H48" s="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H54" s="12"/>
    </row>
    <row r="55" ht="15.75" customHeight="1"/>
    <row r="56" ht="15.75" customHeight="1"/>
    <row r="57" ht="15.75" customHeight="1"/>
    <row r="58" ht="15.75" customHeight="1"/>
    <row r="59" ht="15.75" customHeight="1">
      <c r="H59" s="12"/>
    </row>
    <row r="60" ht="15.75" customHeight="1"/>
    <row r="61" ht="15.75" customHeight="1"/>
    <row r="62" ht="15.75" customHeight="1">
      <c r="H62" s="1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114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IFERROR(__xludf.DUMMYFUNCTION("""COMPUTED_VALUE"""),"Start Of Day Cash")</f>
        <v>Start Of Day Cash</v>
      </c>
      <c r="C5" s="27" t="str">
        <f>IFERROR(__xludf.DUMMYFUNCTION("""COMPUTED_VALUE"""),"Start Of Day Accruals")</f>
        <v>Start Of Day Accruals</v>
      </c>
      <c r="D5" s="27" t="str">
        <f>IFERROR(__xludf.DUMMYFUNCTION("""COMPUTED_VALUE"""),"Day Accruals")</f>
        <v>Day Accruals</v>
      </c>
      <c r="E5" s="27" t="str">
        <f>IFERROR(__xludf.DUMMYFUNCTION("""COMPUTED_VALUE"""),"Cash Inflow")</f>
        <v>Cash Inflow</v>
      </c>
      <c r="F5" s="28" t="str">
        <f>IFERROR(__xludf.DUMMYFUNCTION("""COMPUTED_VALUE"""),"Cash Outflow")</f>
        <v>Cash Outflow</v>
      </c>
      <c r="G5" s="27" t="str">
        <f>IFERROR(__xludf.DUMMYFUNCTION("""COMPUTED_VALUE"""),"Day P&amp;L (Long)")</f>
        <v>Day P&amp;L (Long)</v>
      </c>
      <c r="H5" s="27" t="str">
        <f>IFERROR(__xludf.DUMMYFUNCTION("""COMPUTED_VALUE"""),"Day P&amp;L (Short)")</f>
        <v>Day P&amp;L (Short)</v>
      </c>
      <c r="I5" s="27" t="str">
        <f>IFERROR(__xludf.DUMMYFUNCTION("""COMPUTED_VALUE"""),"Day P&amp;L")</f>
        <v>Day P&amp;L</v>
      </c>
      <c r="J5" s="27" t="str">
        <f>IFERROR(__xludf.DUMMYFUNCTION("""COMPUTED_VALUE"""),"LongExposure")</f>
        <v>LongExposure</v>
      </c>
      <c r="K5" s="27" t="str">
        <f>IFERROR(__xludf.DUMMYFUNCTION("""COMPUTED_VALUE"""),"ShortExposure")</f>
        <v>ShortExposure</v>
      </c>
      <c r="L5" s="27" t="str">
        <f>IFERROR(__xludf.DUMMYFUNCTION("""COMPUTED_VALUE"""),"Net Exposure")</f>
        <v>Net Exposure</v>
      </c>
      <c r="M5" s="27" t="str">
        <f>IFERROR(__xludf.DUMMYFUNCTION("""COMPUTED_VALUE"""),"NAV")</f>
        <v>NAV</v>
      </c>
      <c r="N5" s="27" t="str">
        <f>IFERROR(__xludf.DUMMYFUNCTION("""COMPUTED_VALUE"""),"Underlying Value (Options)")</f>
        <v>Underlying Value (Options)</v>
      </c>
      <c r="O5" s="27" t="str">
        <f>IFERROR(__xludf.DUMMYFUNCTION("""COMPUTED_VALUE"""),"Level1ID")</f>
        <v>Level1ID</v>
      </c>
      <c r="P5" s="27" t="str">
        <f>IFERROR(__xludf.DUMMYFUNCTION("""COMPUTED_VALUE"""),"UnderlyingSymbol")</f>
        <v>UnderlyingSymbol</v>
      </c>
      <c r="Q5" s="27" t="str">
        <f>IFERROR(__xludf.DUMMYFUNCTION("""COMPUTED_VALUE"""),"Symbol")</f>
        <v>Symbol</v>
      </c>
      <c r="R5" s="27" t="str">
        <f>IFERROR(__xludf.DUMMYFUNCTION("""COMPUTED_VALUE"""),"P&amp;L Contribution")</f>
        <v>P&amp;L Contribution</v>
      </c>
      <c r="S5" s="27" t="str">
        <f>IFERROR(__xludf.DUMMYFUNCTION("""COMPUTED_VALUE"""),"Long Market Value")</f>
        <v>Long Market Value</v>
      </c>
      <c r="T5" s="29" t="str">
        <f>IFERROR(__xludf.DUMMYFUNCTION("""COMPUTED_VALUE"""),"Short Market Value")</f>
        <v>Short Market Value</v>
      </c>
      <c r="U5" s="29" t="str">
        <f>IFERROR(__xludf.DUMMYFUNCTION("""COMPUTED_VALUE"""),"Net Market Value")</f>
        <v>Net Market Value</v>
      </c>
      <c r="V5" s="29" t="str">
        <f>IFERROR(__xludf.DUMMYFUNCTION("""COMPUTED_VALUE"""),"Cash Value")</f>
        <v>Cash Value</v>
      </c>
      <c r="W5" s="29" t="str">
        <f>IFERROR(__xludf.DUMMYFUNCTION("""COMPUTED_VALUE"""),"Closing Market Value")</f>
        <v>Closing Market Value</v>
      </c>
      <c r="X5" s="29" t="str">
        <f>IFERROR(__xludf.DUMMYFUNCTION("""COMPUTED_VALUE"""),"NetPosition")</f>
        <v>NetPosition</v>
      </c>
      <c r="Y5" s="29" t="str">
        <f>IFERROR(__xludf.DUMMYFUNCTION("""COMPUTED_VALUE"""),"PositionSideMV")</f>
        <v>PositionSideMV</v>
      </c>
      <c r="Z5" s="29" t="str">
        <f>IFERROR(__xludf.DUMMYFUNCTION("""COMPUTED_VALUE"""),"PositionSideExposure")</f>
        <v>PositionSideExposure</v>
      </c>
      <c r="AA5" s="29" t="str">
        <f>IFERROR(__xludf.DUMMYFUNCTION("""COMPUTED_VALUE"""),"NAVString")</f>
        <v>NAVString</v>
      </c>
      <c r="AB5" s="29" t="str">
        <f>IFERROR(__xludf.DUMMYFUNCTION("""COMPUTED_VALUE"""),"Net Exposure %")</f>
        <v>Net Exposure %</v>
      </c>
      <c r="AC5" s="29" t="str">
        <f>IFERROR(__xludf.DUMMYFUNCTION("""COMPUTED_VALUE"""),"Beta Adj. Exposure %")</f>
        <v>Beta Adj. Exposure %</v>
      </c>
      <c r="AD5" s="29" t="str">
        <f>IFERROR(__xludf.DUMMYFUNCTION("""COMPUTED_VALUE"""),"Cash Value %")</f>
        <v>Cash Value %</v>
      </c>
      <c r="AE5" s="29" t="str">
        <f>IFERROR(__xludf.DUMMYFUNCTION("""COMPUTED_VALUE"""),"Gross Market Value %")</f>
        <v>Gross Market Value %</v>
      </c>
      <c r="AF5" s="29" t="str">
        <f>IFERROR(__xludf.DUMMYFUNCTION("""COMPUTED_VALUE"""),"Long Market Value %")</f>
        <v>Long Market Value %</v>
      </c>
      <c r="AG5" s="29" t="str">
        <f>IFERROR(__xludf.DUMMYFUNCTION("""COMPUTED_VALUE"""),"Net Exposure % (Gross Exposure)")</f>
        <v>Net Exposure % (Gross Exposure)</v>
      </c>
      <c r="AH5" s="29" t="str">
        <f>IFERROR(__xludf.DUMMYFUNCTION("""COMPUTED_VALUE"""),"Short Market Value %")</f>
        <v>Short Market Value %</v>
      </c>
      <c r="AI5" s="29" t="str">
        <f>IFERROR(__xludf.DUMMYFUNCTION("""COMPUTED_VALUE"""),"Cost Basis P&amp;L")</f>
        <v>Cost Basis P&amp;L</v>
      </c>
      <c r="AJ5" s="29" t="str">
        <f>IFERROR(__xludf.DUMMYFUNCTION("""COMPUTED_VALUE"""),"Start of Day NAV")</f>
        <v>Start of Day NAV</v>
      </c>
      <c r="AK5" s="29" t="str">
        <f>IFERROR(__xludf.DUMMYFUNCTION("""COMPUTED_VALUE"""),"Day Return")</f>
        <v>Day Return</v>
      </c>
      <c r="AL5" s="29" t="str">
        <f>IFERROR(__xludf.DUMMYFUNCTION("""COMPUTED_VALUE"""),"Beta Adj. Exposure")</f>
        <v>Beta Adj. Exposure</v>
      </c>
      <c r="AM5" s="29" t="str">
        <f>IFERROR(__xludf.DUMMYFUNCTION("""COMPUTED_VALUE"""),"Earned Dividend Base")</f>
        <v>Earned Dividend Base</v>
      </c>
      <c r="AN5" s="29" t="str">
        <f>IFERROR(__xludf.DUMMYFUNCTION("""COMPUTED_VALUE"""),"YTD Return")</f>
        <v>YTD Return</v>
      </c>
      <c r="AO5" s="29" t="str">
        <f>IFERROR(__xludf.DUMMYFUNCTION("""COMPUTED_VALUE"""),"QTD Return")</f>
        <v>QTD Return</v>
      </c>
      <c r="AP5" s="29" t="str">
        <f>IFERROR(__xludf.DUMMYFUNCTION("""COMPUTED_VALUE"""),"MTD Return")</f>
        <v>MTD Return</v>
      </c>
      <c r="AQ5" s="29" t="str">
        <f>IFERROR(__xludf.DUMMYFUNCTION("""COMPUTED_VALUE"""),"Gross Market Value")</f>
        <v>Gross Market Value</v>
      </c>
      <c r="AR5" s="29" t="str">
        <f>IFERROR(__xludf.DUMMYFUNCTION("""COMPUTED_VALUE"""),"GrossExposure")</f>
        <v>GrossExposure</v>
      </c>
      <c r="AS5" s="29" t="str">
        <f>IFERROR(__xludf.DUMMYFUNCTION("""COMPUTED_VALUE"""),"Net Market Value %")</f>
        <v>Net Market Value %</v>
      </c>
      <c r="AT5" s="29" t="str">
        <f>IFERROR(__xludf.DUMMYFUNCTION("""COMPUTED_VALUE"""),"Net Market Value % (Gross MV)")</f>
        <v>Net Market Value % (Gross MV)</v>
      </c>
      <c r="AU5" s="29" t="str">
        <f>IFERROR(__xludf.DUMMYFUNCTION("""COMPUTED_VALUE"""),"Day Return % (Gross MV)")</f>
        <v>Day Return % (Gross MV)</v>
      </c>
      <c r="AV5" s="29" t="str">
        <f>IFERROR(__xludf.DUMMYFUNCTION("""COMPUTED_VALUE"""),"Gross Exposure")</f>
        <v>Gross Exposure</v>
      </c>
      <c r="AW5" s="29" t="str">
        <f>IFERROR(__xludf.DUMMYFUNCTION("""COMPUTED_VALUE"""),"Gross Exposure %")</f>
        <v>Gross Exposure %</v>
      </c>
      <c r="AX5" s="29" t="str">
        <f>IFERROR(__xludf.DUMMYFUNCTION("""COMPUTED_VALUE"""),"Long Debit Limit")</f>
        <v>Long Debit Limit</v>
      </c>
      <c r="AY5" s="29" t="str">
        <f>IFERROR(__xludf.DUMMYFUNCTION("""COMPUTED_VALUE"""),"Short Credit Limit")</f>
        <v>Short Credit Limit</v>
      </c>
      <c r="AZ5" s="29" t="str">
        <f>IFERROR(__xludf.DUMMYFUNCTION("""COMPUTED_VALUE"""),"Long Debit Balance")</f>
        <v>Long Debit Balance</v>
      </c>
      <c r="BA5" s="29" t="str">
        <f>IFERROR(__xludf.DUMMYFUNCTION("""COMPUTED_VALUE"""),"Short Credit Balance")</f>
        <v>Short Credit Balance</v>
      </c>
      <c r="BB5" s="29" t="str">
        <f>IFERROR(__xludf.DUMMYFUNCTION("""COMPUTED_VALUE"""),"Long Exposure")</f>
        <v>Long Exposure</v>
      </c>
      <c r="BC5" s="29" t="str">
        <f>IFERROR(__xludf.DUMMYFUNCTION("""COMPUTED_VALUE"""),"Long Exposure %")</f>
        <v>Long Exposure %</v>
      </c>
      <c r="BD5" s="29" t="str">
        <f>IFERROR(__xludf.DUMMYFUNCTION("""COMPUTED_VALUE"""),"Short Exposure")</f>
        <v>Short Exposure</v>
      </c>
      <c r="BE5" s="29" t="str">
        <f>IFERROR(__xludf.DUMMYFUNCTION("""COMPUTED_VALUE"""),"Short Exposure %")</f>
        <v>Short Exposure %</v>
      </c>
      <c r="BF5" s="29" t="str">
        <f>IFERROR(__xludf.DUMMYFUNCTION("""COMPUTED_VALUE"""),"BetaAdjustedGrossExposure")</f>
        <v>BetaAdjustedGrossExposure</v>
      </c>
      <c r="BG5" s="29" t="str">
        <f>IFERROR(__xludf.DUMMYFUNCTION("""COMPUTED_VALUE"""),"BetaAdjustedLongExposure")</f>
        <v>BetaAdjustedLongExposure</v>
      </c>
      <c r="BH5" s="29" t="str">
        <f>IFERROR(__xludf.DUMMYFUNCTION("""COMPUTED_VALUE"""),"BetaAdjustedShortExposure")</f>
        <v>BetaAdjustedShortExposure</v>
      </c>
      <c r="BI5" s="29" t="str">
        <f>IFERROR(__xludf.DUMMYFUNCTION("""COMPUTED_VALUE"""),"Beta")</f>
        <v>Beta</v>
      </c>
      <c r="BJ5" s="29" t="str">
        <f>IFERROR(__xludf.DUMMYFUNCTION("""COMPUTED_VALUE"""),"Beta Adj. Gross Exposure")</f>
        <v>Beta Adj. Gross Exposure</v>
      </c>
      <c r="BK5" s="29" t="str">
        <f>IFERROR(__xludf.DUMMYFUNCTION("""COMPUTED_VALUE"""),"Beta Adj. Gross Exposure %")</f>
        <v>Beta Adj. Gross Exposure %</v>
      </c>
      <c r="BL5" s="29" t="str">
        <f>IFERROR(__xludf.DUMMYFUNCTION("""COMPUTED_VALUE"""),"Beta Adj. Long Exposure")</f>
        <v>Beta Adj. Long Exposure</v>
      </c>
      <c r="BM5" s="29" t="str">
        <f>IFERROR(__xludf.DUMMYFUNCTION("""COMPUTED_VALUE"""),"Beta Adj. Long Exposure %")</f>
        <v>Beta Adj. Long Exposure %</v>
      </c>
      <c r="BN5" s="29" t="str">
        <f>IFERROR(__xludf.DUMMYFUNCTION("""COMPUTED_VALUE"""),"Beta Adj. Short Exposure")</f>
        <v>Beta Adj. Short Exposure</v>
      </c>
      <c r="BO5" s="29" t="str">
        <f>IFERROR(__xludf.DUMMYFUNCTION("""COMPUTED_VALUE"""),"Beta Adj. Short Exposure %")</f>
        <v>Beta Adj. Short Exposure %</v>
      </c>
      <c r="BP5" s="29" t="str">
        <f>IFERROR(__xludf.DUMMYFUNCTION("""COMPUTED_VALUE"""),"MTD P&amp;L")</f>
        <v>MTD P&amp;L</v>
      </c>
      <c r="BQ5" s="29" t="str">
        <f>IFERROR(__xludf.DUMMYFUNCTION("""COMPUTED_VALUE"""),"QTD P&amp;L")</f>
        <v>QTD P&amp;L</v>
      </c>
      <c r="BR5" s="29" t="str">
        <f>IFERROR(__xludf.DUMMYFUNCTION("""COMPUTED_VALUE"""),"YTD P&amp;L")</f>
        <v>YTD P&amp;L</v>
      </c>
      <c r="BS5" s="29" t="str">
        <f>IFERROR(__xludf.DUMMYFUNCTION("""COMPUTED_VALUE"""),"MasterfundID")</f>
        <v>MasterfundID</v>
      </c>
      <c r="BT5" s="29" t="str">
        <f>IFERROR(__xludf.DUMMYFUNCTION("""COMPUTED_VALUE"""),"NetExposureLocal")</f>
        <v>NetExposureLocal</v>
      </c>
      <c r="BU5" s="29" t="str">
        <f>IFERROR(__xludf.DUMMYFUNCTION("""COMPUTED_VALUE"""),"GrossExposureLocal")</f>
        <v>GrossExposureLocal</v>
      </c>
      <c r="BV5" s="29" t="str">
        <f>IFERROR(__xludf.DUMMYFUNCTION("""COMPUTED_VALUE"""),"BetaAdjustedGrossExposureLocal")</f>
        <v>BetaAdjustedGrossExposureLocal</v>
      </c>
      <c r="BW5" s="29" t="str">
        <f>IFERROR(__xludf.DUMMYFUNCTION("""COMPUTED_VALUE"""),"AssetCategory")</f>
        <v>AssetCategory</v>
      </c>
      <c r="BX5" s="29" t="str">
        <f>IFERROR(__xludf.DUMMYFUNCTION("""COMPUTED_VALUE"""),"Day P&amp;L (FX)")</f>
        <v>Day P&amp;L (FX)</v>
      </c>
      <c r="BY5" s="29" t="str">
        <f>IFERROR(__xludf.DUMMYFUNCTION("""COMPUTED_VALUE"""),"Day P&amp;L (Short) %")</f>
        <v>Day P&amp;L (Short) %</v>
      </c>
      <c r="BZ5" s="29" t="str">
        <f>IFERROR(__xludf.DUMMYFUNCTION("""COMPUTED_VALUE"""),"Day P&amp;L (Long) %")</f>
        <v>Day P&amp;L (Long) %</v>
      </c>
      <c r="CA5" s="29" t="str">
        <f>IFERROR(__xludf.DUMMYFUNCTION("""COMPUTED_VALUE"""),"Day P&amp;L (FX) %")</f>
        <v>Day P&amp;L (FX) %</v>
      </c>
      <c r="CB5" s="29" t="str">
        <f>IFERROR(__xludf.DUMMYFUNCTION("""COMPUTED_VALUE"""),"Long/Short Ratio")</f>
        <v>Long/Short Ratio</v>
      </c>
      <c r="CC5" s="29" t="str">
        <f>IFERROR(__xludf.DUMMYFUNCTION("""COMPUTED_VALUE"""),"LeverageFactor")</f>
        <v>LeverageFactor</v>
      </c>
      <c r="CD5" s="29" t="str">
        <f>IFERROR(__xludf.DUMMYFUNCTION("""COMPUTED_VALUE"""),"AllocatedSymbolWiseQuantity")</f>
        <v>AllocatedSymbolWiseQuantity</v>
      </c>
      <c r="CE5" s="29" t="str">
        <f>IFERROR(__xludf.DUMMYFUNCTION("""COMPUTED_VALUE"""),"CurrencyID")</f>
        <v>CurrencyID</v>
      </c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12">
        <v>1.3338236E7</v>
      </c>
      <c r="N6" s="8"/>
      <c r="O6" s="8"/>
      <c r="U6" s="9">
        <v>1.3359441E7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116</v>
      </c>
      <c r="D3" s="5" t="s">
        <v>9</v>
      </c>
      <c r="E3" s="22" t="s">
        <v>116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9">
        <v>32.0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94</v>
      </c>
      <c r="C7" s="4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31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95</v>
      </c>
      <c r="C9" s="12">
        <v>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96</v>
      </c>
      <c r="C10" s="1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17</v>
      </c>
      <c r="C11" s="12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97</v>
      </c>
      <c r="C12" s="12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98</v>
      </c>
      <c r="C13" s="12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99</v>
      </c>
      <c r="C14" s="12">
        <v>10.01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100</v>
      </c>
      <c r="C15" s="12">
        <v>10.0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>
        <v>1.23456789E8</v>
      </c>
      <c r="C16" s="12">
        <v>10.0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9" t="s">
        <v>117</v>
      </c>
      <c r="C17" s="12">
        <v>10.0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9" t="s">
        <v>101</v>
      </c>
      <c r="C18" s="12">
        <v>10.0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9" t="s">
        <v>102</v>
      </c>
      <c r="C19" s="9">
        <v>10.0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