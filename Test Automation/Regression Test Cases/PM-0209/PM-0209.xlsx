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TradePTT" sheetId="8" r:id="rId10"/>
    <sheet state="visible" name="CreateDoneAwayOrder1" sheetId="9" r:id="rId11"/>
    <sheet state="visible" name="GetDataAllocation" sheetId="10" r:id="rId12"/>
    <sheet state="visible" name="CheckAllocatedGroups" sheetId="11" r:id="rId13"/>
    <sheet state="visible" name="ClosePositionFromPM" sheetId="12" r:id="rId14"/>
    <sheet state="visible" name="CheckPortfolioManagement" sheetId="13" r:id="rId15"/>
    <sheet state="visible" name="CreateStageOrder" sheetId="14" r:id="rId16"/>
  </sheets>
  <definedNames/>
  <calcPr/>
</workbook>
</file>

<file path=xl/sharedStrings.xml><?xml version="1.0" encoding="utf-8"?>
<sst xmlns="http://schemas.openxmlformats.org/spreadsheetml/2006/main" count="145" uniqueCount="47">
  <si>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</si>
  <si>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</si>
  <si>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</si>
  <si>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</si>
  <si>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</si>
  <si>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</si>
  <si>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</si>
  <si>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</si>
  <si>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</si>
  <si>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</si>
  <si>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</si>
  <si>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</si>
  <si>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</si>
  <si>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</si>
  <si>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</si>
  <si>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</si>
  <si>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TSLA</t>
  </si>
  <si>
    <t>Sell short</t>
  </si>
  <si>
    <t>PricingInput</t>
  </si>
  <si>
    <t>DailyValuation</t>
  </si>
  <si>
    <t>GetDailyCash</t>
  </si>
  <si>
    <t>UpdateMultipleDailyCash</t>
  </si>
  <si>
    <t>Allocation1</t>
  </si>
  <si>
    <t>USD</t>
  </si>
  <si>
    <t>PTT</t>
  </si>
  <si>
    <t>TradePTT</t>
  </si>
  <si>
    <t>Decrease</t>
  </si>
  <si>
    <t>Percentage</t>
  </si>
  <si>
    <t>Account</t>
  </si>
  <si>
    <t>Allocation</t>
  </si>
  <si>
    <t>GetDataAllocation</t>
  </si>
  <si>
    <t>Current</t>
  </si>
  <si>
    <t>CheckAllocatedGroups</t>
  </si>
  <si>
    <t>Manual</t>
  </si>
  <si>
    <t>Equity</t>
  </si>
  <si>
    <t>MS</t>
  </si>
  <si>
    <t>Open</t>
  </si>
  <si>
    <t>NASDAQ</t>
  </si>
  <si>
    <t>M</t>
  </si>
  <si>
    <t>Market</t>
  </si>
  <si>
    <t>Buy to Close</t>
  </si>
  <si>
    <t>PortfolioManagement</t>
  </si>
  <si>
    <t>ClosePositionFromPM</t>
  </si>
  <si>
    <t>CheckPortfolioManagement</t>
  </si>
  <si>
    <t>NewMF</t>
  </si>
  <si>
    <t>FIMAT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</si>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</sst>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IFERROR(__xludf.DUMMYFUNCTION("""COMPUTED_VALUE"""),"1XzjmPmpB7IMcyzPSsbgmFfzjE_zIKdjrk0mUoMFhNZc")</f>
        <v>1XzjmPmpB7IMcyzPSsbgmFfzjE_zIKdjrk0mUoMFhNZc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>
      <c r="A812" t="str">
        <f>IFERROR(__xludf.DUMMYFUNCTION("""COMPUTED_VALUE"""),"PTT")</f>
        <v>PTT</v>
      </c>
      <c r="B812" t="str">
        <f>IFERROR(__xludf.DUMMYFUNCTION("""COMPUTED_VALUE"""),"RefreshCalculation")</f>
        <v>RefreshCalculation</v>
      </c>
    </row>
    <row r="813" ht="15.75" customHeight="1">
      <c r="A813" t="str">
        <f>IFERROR(__xludf.DUMMYFUNCTION("""COMPUTED_VALUE"""),"Blotter")</f>
        <v>Blotter</v>
      </c>
      <c r="B813" t="str">
        <f>IFERROR(__xludf.DUMMYFUNCTION("""COMPUTED_VALUE"""),"BookAsSwap")</f>
        <v>BookAsSwap</v>
      </c>
      <c r="C813" t="str">
        <f>IFERROR(__xludf.DUMMYFUNCTION("""COMPUTED_VALUE"""),"1tnkP5eD3WH53SXu2O-MWk6774J7b5ihwlD7r9dGtpiY")</f>
        <v>1tnkP5eD3WH53SXu2O-MWk6774J7b5ihwlD7r9dGtpiY</v>
      </c>
    </row>
    <row r="814" ht="15.75" customHeight="1">
      <c r="A814" t="str">
        <f>IFERROR(__xludf.DUMMYFUNCTION("""COMPUTED_VALUE"""),"QTT")</f>
        <v>QTT</v>
      </c>
      <c r="B814" t="str">
        <f>IFERROR(__xludf.DUMMYFUNCTION("""COMPUTED_VALUE"""),"VerifyQTT")</f>
        <v>VerifyQTT</v>
      </c>
      <c r="C814" t="str">
        <f>IFERROR(__xludf.DUMMYFUNCTION("""COMPUTED_VALUE"""),"1bs3VigXRg4VZR5W48lKm11EcEjEpmUCnBNDHffPRbIQ")</f>
        <v>1bs3VigXRg4VZR5W48lKm11EcEjEpmUCnBNDHffPRbIQ</v>
      </c>
    </row>
    <row r="815" ht="15.75" customHeight="1">
      <c r="A815" t="str">
        <f>IFERROR(__xludf.DUMMYFUNCTION("""COMPUTED_VALUE"""),"Blotter")</f>
        <v>Blotter</v>
      </c>
      <c r="B815" t="str">
        <f>IFERROR(__xludf.DUMMYFUNCTION("""COMPUTED_VALUE"""),"ActionOnFloatingWindow")</f>
        <v>ActionOnFloatingWindow</v>
      </c>
      <c r="C815" t="str">
        <f>IFERROR(__xludf.DUMMYFUNCTION("""COMPUTED_VALUE"""),"1tFNUPT3PXgCKRnnehGwo6OF7EhLu13UJ8Elfq83HArE")</f>
        <v>1tFNUPT3PXgCKRnnehGwo6OF7EhLu13UJ8Elfq83HArE</v>
      </c>
    </row>
    <row r="816" ht="15.75" customHeight="1">
      <c r="A816" t="str">
        <f>IFERROR(__xludf.DUMMYFUNCTION("""COMPUTED_VALUE"""),"OpenFin")</f>
        <v>OpenFin</v>
      </c>
      <c r="B816" t="str">
        <f>IFERROR(__xludf.DUMMYFUNCTION("""COMPUTED_VALUE"""),"LockUnlockModule")</f>
        <v>LockUnlockModule</v>
      </c>
      <c r="C816" t="str">
        <f>IFERROR(__xludf.DUMMYFUNCTION("""COMPUTED_VALUE"""),"179D0kPRO8f_KLxd7hs6seM9XGxpL-u1rhIhNgFVePsQ")</f>
        <v>179D0kPRO8f_KLxd7hs6seM9XGxpL-u1rhIhNgFVePsQ</v>
      </c>
    </row>
    <row r="817" ht="15.75" customHeight="1">
      <c r="A817" t="str">
        <f>IFERROR(__xludf.DUMMYFUNCTION("""COMPUTED_VALUE"""),"OpenFin")</f>
        <v>OpenFin</v>
      </c>
      <c r="B817" t="str">
        <f>IFERROR(__xludf.DUMMYFUNCTION("""COMPUTED_VALUE"""),"OpenModule")</f>
        <v>OpenModule</v>
      </c>
      <c r="C817" t="str">
        <f>IFERROR(__xludf.DUMMYFUNCTION("""COMPUTED_VALUE"""),"1IdmD7l42pWNjFNVt_7UwbOO7y5tDxaXr7tE60c9ETLw")</f>
        <v>1IdmD7l42pWNjFNVt_7UwbOO7y5tDxaXr7tE60c9ETLw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IFERROR(__xludf.DUMMYFUNCTION("""COMPUTED_VALUE"""),"EnableOrVerifyHotButton")</f>
        <v>EnableOrVerifyHotButton</v>
      </c>
      <c r="C818" t="str">
        <f>IFERROR(__xludf.DUMMYFUNCTION("""COMPUTED_VALUE"""),"1wa8x9d9kPOHEp49mT2DEW0cyjjOClvAgixk1H2w-Tos")</f>
        <v>1wa8x9d9kPOHEp49mT2DEW0cyjjOClvAgixk1H2w-Tos</v>
      </c>
    </row>
    <row r="819" ht="15.75" customHeight="1">
      <c r="A819" t="str">
        <f>IFERROR(__xludf.DUMMYFUNCTION("""COMPUTED_VALUE"""),"TradeServer")</f>
        <v>TradeServer</v>
      </c>
      <c r="B819" t="str">
        <f>IFERROR(__xludf.DUMMYFUNCTION("""COMPUTED_VALUE"""),"RestartServerOnly")</f>
        <v>RestartServerOnly</v>
      </c>
      <c r="C819" t="str">
        <f>IFERROR(__xludf.DUMMYFUNCTION("""COMPUTED_VALUE"""),"Undefined")</f>
        <v>Undefined</v>
      </c>
    </row>
    <row r="820" ht="15.75" customHeight="1">
      <c r="A820" t="str">
        <f>IFERROR(__xludf.DUMMYFUNCTION("""COMPUTED_VALUE"""),"Blotter")</f>
        <v>Blotter</v>
      </c>
      <c r="B820" t="str">
        <f>IFERROR(__xludf.DUMMYFUNCTION("""COMPUTED_VALUE"""),"VerifyFilterUiRC")</f>
        <v>VerifyFilterUiRC</v>
      </c>
      <c r="C820" t="str">
        <f>IFERROR(__xludf.DUMMYFUNCTION("""COMPUTED_VALUE"""),"1QQZEZqPXfPnxfNID2a3__xw8RnEAn77igg5Q32S3Sm0")</f>
        <v>1QQZEZqPXfPnxfNID2a3__xw8RnEAn77igg5Q32S3Sm0</v>
      </c>
    </row>
    <row r="821" ht="15.75" customHeight="1">
      <c r="A821" t="str">
        <f>IFERROR(__xludf.DUMMYFUNCTION("""COMPUTED_VALUE"""),"TradingTicket")</f>
        <v>TradingTicket</v>
      </c>
      <c r="B821" t="str">
        <f>IFERROR(__xludf.DUMMYFUNCTION("""COMPUTED_VALUE"""),"SymbolSuggestionVerify")</f>
        <v>SymbolSuggestionVerify</v>
      </c>
      <c r="C821" t="str">
        <f>IFERROR(__xludf.DUMMYFUNCTION("""COMPUTED_VALUE"""),"14aTeLjmUbS-nhaQwjtZAMGxdQ5DS6UsBjE5OTWN-LQU")</f>
        <v>14aTeLjmUbS-nhaQwjtZAMGxdQ5DS6UsBjE5OTWN-LQU</v>
      </c>
    </row>
    <row r="822" ht="15.75" customHeight="1">
      <c r="A822" t="str">
        <f>IFERROR(__xludf.DUMMYFUNCTION("""COMPUTED_VALUE"""),"Blotter")</f>
        <v>Blotter</v>
      </c>
      <c r="B822" t="str">
        <f>IFERROR(__xludf.DUMMYFUNCTION("""COMPUTED_VALUE"""),"CreateHotButtonOnBlotter")</f>
        <v>CreateHotButtonOnBlotter</v>
      </c>
      <c r="C822" t="str">
        <f>IFERROR(__xludf.DUMMYFUNCTION("""COMPUTED_VALUE"""),"1Yu7Fb6AjhUP8b-KuRJvgAwq8TykNK6BDh9F0Xpf12Ek")</f>
        <v>1Yu7Fb6AjhUP8b-KuRJvgAwq8TykNK6BDh9F0Xpf12Ek</v>
      </c>
    </row>
    <row r="823" ht="15.75" customHeight="1">
      <c r="A823" t="str">
        <f>IFERROR(__xludf.DUMMYFUNCTION("""COMPUTED_VALUE"""),"Blotter")</f>
        <v>Blotter</v>
      </c>
      <c r="B823" t="str">
        <f>IFERROR(__xludf.DUMMYFUNCTION("""COMPUTED_VALUE"""),"FillHBdetailsOnBlotter")</f>
        <v>FillHBdetailsOnBlotter</v>
      </c>
      <c r="C823" t="str">
        <f>IFERROR(__xludf.DUMMYFUNCTION("""COMPUTED_VALUE"""),"13Isj5c5k8kObxI-GBT6Ir9VBOz_46lzhwVxXXVP8jQU")</f>
        <v>13Isj5c5k8kObxI-GBT6Ir9VBOz_46lzhwVxXXVP8jQU</v>
      </c>
    </row>
    <row r="824" ht="15.75" customHeight="1">
      <c r="A824" t="str">
        <f>IFERROR(__xludf.DUMMYFUNCTION("""COMPUTED_VALUE"""),"TradingTicket")</f>
        <v>TradingTicket</v>
      </c>
      <c r="B824" t="str">
        <f>IFERROR(__xludf.DUMMYFUNCTION("""COMPUTED_VALUE"""),"EditAuecWindow")</f>
        <v>EditAuecWindow</v>
      </c>
      <c r="C824" t="str">
        <f>IFERROR(__xludf.DUMMYFUNCTION("""COMPUTED_VALUE"""),"1ottlNphVbp0AC-UFd-HlDpCLwOA2yWO1pN6eR3ML7vA")</f>
        <v>1ottlNphVbp0AC-UFd-HlDpCLwOA2yWO1pN6eR3ML7vA</v>
      </c>
    </row>
    <row r="825" ht="15.75" customHeight="1">
      <c r="A825" t="str">
        <f>IFERROR(__xludf.DUMMYFUNCTION("""COMPUTED_VALUE"""),"TradingTicket")</f>
        <v>TradingTicket</v>
      </c>
      <c r="B825" t="str">
        <f>IFERROR(__xludf.DUMMYFUNCTION("""COMPUTED_VALUE"""),"VerifyBrokerSummary")</f>
        <v>VerifyBrokerSummary</v>
      </c>
      <c r="C825" t="str">
        <f>IFERROR(__xludf.DUMMYFUNCTION("""COMPUTED_VALUE"""),"11hMxlfIQYwM8vPN2h--IGp7O02EDFbvJ4CSvjSfGsMY")</f>
        <v>11hMxlfIQYwM8vPN2h--IGp7O02EDFbvJ4CSvjSfGsMY</v>
      </c>
    </row>
    <row r="826" ht="15.75" customHeight="1">
      <c r="A826" t="str">
        <f>IFERROR(__xludf.DUMMYFUNCTION("""COMPUTED_VALUE"""),"QTT")</f>
        <v>QTT</v>
      </c>
      <c r="B826" t="str">
        <f>IFERROR(__xludf.DUMMYFUNCTION("""COMPUTED_VALUE"""),"EditAuecWindowQTT")</f>
        <v>EditAuecWindowQTT</v>
      </c>
      <c r="C826" t="str">
        <f>IFERROR(__xludf.DUMMYFUNCTION("""COMPUTED_VALUE"""),"1oI_WY3xKQgSjp5JN67BMHtm3zazX5ZiMATISa2ssGB0")</f>
        <v>1oI_WY3xKQgSjp5JN67BMHtm3zazX5ZiMATISa2ssGB0</v>
      </c>
    </row>
    <row r="827" ht="15.75" customHeight="1">
      <c r="A827" t="str">
        <f>IFERROR(__xludf.DUMMYFUNCTION("""COMPUTED_VALUE"""),"QTT")</f>
        <v>QTT</v>
      </c>
      <c r="B827" t="str">
        <f>IFERROR(__xludf.DUMMYFUNCTION("""COMPUTED_VALUE"""),"VerifyBrokerSummaryQTT")</f>
        <v>VerifyBrokerSummaryQTT</v>
      </c>
      <c r="C827" t="str">
        <f>IFERROR(__xludf.DUMMYFUNCTION("""COMPUTED_VALUE"""),"1O6-eqYsZqtvYR6DOH7UM2_Jwpq9pB9uyZvgh5vEhVAI")</f>
        <v>1O6-eqYsZqtvYR6DOH7UM2_Jwpq9pB9uyZvgh5vEhVAI</v>
      </c>
    </row>
    <row r="828" ht="15.75" customHeight="1">
      <c r="A828" t="str">
        <f>IFERROR(__xludf.DUMMYFUNCTION("""COMPUTED_VALUE"""),"QTT")</f>
        <v>QTT</v>
      </c>
      <c r="B828" t="str">
        <f>IFERROR(__xludf.DUMMYFUNCTION("""COMPUTED_VALUE"""),"SaveQTThotKey")</f>
        <v>SaveQTThotKey</v>
      </c>
      <c r="C828" t="str">
        <f>IFERROR(__xludf.DUMMYFUNCTION("""COMPUTED_VALUE"""),"Undefined")</f>
        <v>Undefined</v>
      </c>
    </row>
    <row r="829" ht="15.75" customHeight="1">
      <c r="A829" t="str">
        <f>IFERROR(__xludf.DUMMYFUNCTION("""COMPUTED_VALUE"""),"Blotter")</f>
        <v>Blotter</v>
      </c>
      <c r="B829" t="str">
        <f>IFERROR(__xludf.DUMMYFUNCTION("""COMPUTED_VALUE"""),"BlotterColumnChooser")</f>
        <v>BlotterColumnChooser</v>
      </c>
      <c r="C829" t="str">
        <f>IFERROR(__xludf.DUMMYFUNCTION("""COMPUTED_VALUE"""),"12428TbyucuJDD3KuN7QG-GyRYI3gcoyDNKTQ2UpgGMQ")</f>
        <v>12428TbyucuJDD3KuN7QG-GyRYI3gcoyDNKTQ2UpgGMQ</v>
      </c>
    </row>
    <row r="830" ht="15.75" customHeight="1">
      <c r="A830" t="str">
        <f>IFERROR(__xludf.DUMMYFUNCTION("""COMPUTED_VALUE"""),"RTPNL")</f>
        <v>RTPNL</v>
      </c>
      <c r="B830" t="str">
        <f>IFERROR(__xludf.DUMMYFUNCTION("""COMPUTED_VALUE"""),"CreateGroupingWidget")</f>
        <v>CreateGroupingWidget</v>
      </c>
      <c r="C830" t="str">
        <f>IFERROR(__xludf.DUMMYFUNCTION("""COMPUTED_VALUE"""),"1ctXhgvJgrqqe8ees0907Up0TKq9pCEhinMlZnRGqKdY")</f>
        <v>1ctXhgvJgrqqe8ees0907Up0TKq9pCEhinMlZnRGqKdY</v>
      </c>
    </row>
    <row r="831" ht="15.75" customHeight="1">
      <c r="A831" t="str">
        <f>IFERROR(__xludf.DUMMYFUNCTION("""COMPUTED_VALUE"""),"RTPNL")</f>
        <v>RTPNL</v>
      </c>
      <c r="B831" t="str">
        <f>IFERROR(__xludf.DUMMYFUNCTION("""COMPUTED_VALUE"""),"CheckGroupingWidget")</f>
        <v>CheckGroupingWidget</v>
      </c>
      <c r="C831" t="str">
        <f>IFERROR(__xludf.DUMMYFUNCTION("""COMPUTED_VALUE"""),"16mimyUFzQ0Ojogh0t4Evjy-tjzAJ67xgIrWeTNmBdw0")</f>
        <v>16mimyUFzQ0Ojogh0t4Evjy-tjzAJ67xgIrWeTNmBdw0</v>
      </c>
    </row>
    <row r="832" ht="15.75" customHeight="1">
      <c r="A832" t="str">
        <f>IFERROR(__xludf.DUMMYFUNCTION("""COMPUTED_VALUE"""),"TradingTicket")</f>
        <v>TradingTicket</v>
      </c>
      <c r="B832" t="str">
        <f>IFERROR(__xludf.DUMMYFUNCTION("""COMPUTED_VALUE"""),"QTTHamburg")</f>
        <v>QTTHamburg</v>
      </c>
      <c r="C832" t="str">
        <f>IFERROR(__xludf.DUMMYFUNCTION("""COMPUTED_VALUE"""),"1pdXDcLRWAl2b2L88lHCntj01OLBjVHaNAdGG8OHa4hA")</f>
        <v>1pdXDcLRWAl2b2L88lHCntj01OLBjVHaNAdGG8OHa4hA</v>
      </c>
    </row>
    <row r="833" ht="15.75" customHeight="1">
      <c r="A833" t="str">
        <f>IFERROR(__xludf.DUMMYFUNCTION("""COMPUTED_VALUE"""),"RTPNL")</f>
        <v>RTPNL</v>
      </c>
      <c r="B833" t="str">
        <f>IFERROR(__xludf.DUMMYFUNCTION("""COMPUTED_VALUE"""),"VerifyL1L2PanelRTPNL")</f>
        <v>VerifyL1L2PanelRTPNL</v>
      </c>
      <c r="C833" t="str">
        <f>IFERROR(__xludf.DUMMYFUNCTION("""COMPUTED_VALUE"""),"1cQo_rX9O9XHFILj0ICV1GAU_RdtTKYlclT20jg9G7hg")</f>
        <v>1cQo_rX9O9XHFILj0ICV1GAU_RdtTKYlclT20jg9G7hg</v>
      </c>
    </row>
    <row r="834" ht="15.75" customHeight="1">
      <c r="A834" t="str">
        <f>IFERROR(__xludf.DUMMYFUNCTION("""COMPUTED_VALUE"""),"Blotter")</f>
        <v>Blotter</v>
      </c>
      <c r="B834" t="str">
        <f>IFERROR(__xludf.DUMMYFUNCTION("""COMPUTED_VALUE"""),"CaptureHotButtonDetails")</f>
        <v>CaptureHotButtonDetails</v>
      </c>
      <c r="C834" t="str">
        <f>IFERROR(__xludf.DUMMYFUNCTION("""COMPUTED_VALUE"""),"16Dail-EoPWyIhwRzxyvr-EY1IE8jJTUQDarvGnXioxI")</f>
        <v>16Dail-EoPWyIhwRzxyvr-EY1IE8jJTUQDarvGnXioxI</v>
      </c>
    </row>
    <row r="835" ht="15.75" customHeight="1">
      <c r="A835" t="str">
        <f>IFERROR(__xludf.DUMMYFUNCTION("""COMPUTED_VALUE"""),"QTT")</f>
        <v>QTT</v>
      </c>
      <c r="B835" t="str">
        <f>IFERROR(__xludf.DUMMYFUNCTION("""COMPUTED_VALUE"""),"EditQuickPreference")</f>
        <v>EditQuickPreference</v>
      </c>
      <c r="C835" t="str">
        <f>IFERROR(__xludf.DUMMYFUNCTION("""COMPUTED_VALUE"""),"133vNW3loXmIKhcuaiCwGIGXOULCttZuJZtPfA4s37vw")</f>
        <v>133vNW3loXmIKhcuaiCwGIGXOULCttZuJZtPfA4s37vw</v>
      </c>
    </row>
    <row r="836" ht="15.75" customHeight="1">
      <c r="A836" t="str">
        <f>IFERROR(__xludf.DUMMYFUNCTION("""COMPUTED_VALUE"""),"Blotter")</f>
        <v>Blotter</v>
      </c>
      <c r="B836" t="str">
        <f>IFERROR(__xludf.DUMMYFUNCTION("""COMPUTED_VALUE"""),"RightClickActionVerification")</f>
        <v>RightClickActionVerification</v>
      </c>
      <c r="C836" t="str">
        <f>IFERROR(__xludf.DUMMYFUNCTION("""COMPUTED_VALUE"""),"11EX1Ln-BQAtx9NTd9zfcaia52FGNdZENDW2kwMCJ8HQ")</f>
        <v>11EX1Ln-BQAtx9NTd9zfcaia52FGNdZENDW2kwMCJ8HQ</v>
      </c>
    </row>
    <row r="837" ht="15.75" customHeight="1">
      <c r="A837" t="str">
        <f>IFERROR(__xludf.DUMMYFUNCTION("""COMPUTED_VALUE"""),"Admin")</f>
        <v>Admin</v>
      </c>
      <c r="B837" t="str">
        <f>IFERROR(__xludf.DUMMYFUNCTION("""COMPUTED_VALUE"""),"ChangeDate")</f>
        <v>ChangeDate</v>
      </c>
      <c r="C837" t="str">
        <f>IFERROR(__xludf.DUMMYFUNCTION("""COMPUTED_VALUE"""),"1P5fd0ftHTs8WR6XF70cltzN5BPur7V01OcYEMpPEMVE")</f>
        <v>1P5fd0ftHTs8WR6XF70cltzN5BPur7V01OcYEMpPEMVE</v>
      </c>
    </row>
    <row r="838" ht="15.75" customHeight="1">
      <c r="A838" t="str">
        <f>IFERROR(__xludf.DUMMYFUNCTION("""COMPUTED_VALUE"""),"Simulator")</f>
        <v>Simulator</v>
      </c>
      <c r="B838" t="str">
        <f>IFERROR(__xludf.DUMMYFUNCTION("""COMPUTED_VALUE"""),"NewAcknowledgeTrade")</f>
        <v>NewAcknowledgeTrade</v>
      </c>
      <c r="C838" t="str">
        <f>IFERROR(__xludf.DUMMYFUNCTION("""COMPUTED_VALUE"""),"1H8R-FdslnMhiBZjAanQN5V9z26E47VjoaeJWQdGZ2pU")</f>
        <v>1H8R-FdslnMhiBZjAanQN5V9z26E47VjoaeJWQdGZ2pU</v>
      </c>
    </row>
    <row r="839" ht="15.75" customHeight="1">
      <c r="A839" t="str">
        <f>IFERROR(__xludf.DUMMYFUNCTION("""COMPUTED_VALUE"""),"Expnl")</f>
        <v>Expnl</v>
      </c>
      <c r="B839" t="str">
        <f>IFERROR(__xludf.DUMMYFUNCTION("""COMPUTED_VALUE"""),"RefreshExpnlUi")</f>
        <v>RefreshExpnlUi</v>
      </c>
      <c r="C839" t="str">
        <f>IFERROR(__xludf.DUMMYFUNCTION("""COMPUTED_VALUE"""),"Undefined")</f>
        <v>Undefined</v>
      </c>
    </row>
    <row r="840" ht="15.75" customHeight="1">
      <c r="A840" t="str">
        <f>IFERROR(__xludf.DUMMYFUNCTION("""COMPUTED_VALUE"""),"Login")</f>
        <v>Login</v>
      </c>
      <c r="B840" t="str">
        <f>IFERROR(__xludf.DUMMYFUNCTION("""COMPUTED_VALUE"""),"Login")</f>
        <v>Login</v>
      </c>
      <c r="C840" t="str">
        <f>IFERROR(__xludf.DUMMYFUNCTION("""COMPUTED_VALUE"""),"1h2sRUHjYrqBoat9XZmeAKHMMSq2oOw6WueOx5S6xZsQ")</f>
        <v>1h2sRUHjYrqBoat9XZmeAKHMMSq2oOw6WueOx5S6xZsQ</v>
      </c>
    </row>
    <row r="841" ht="15.75" customHeight="1">
      <c r="A841" t="str">
        <f>IFERROR(__xludf.DUMMYFUNCTION("""COMPUTED_VALUE"""),"PranaClient")</f>
        <v>PranaClient</v>
      </c>
      <c r="B841" t="str">
        <f>IFERROR(__xludf.DUMMYFUNCTION("""COMPUTED_VALUE"""),"LoginClient")</f>
        <v>LoginClient</v>
      </c>
      <c r="C841" t="str">
        <f>IFERROR(__xludf.DUMMYFUNCTION("""COMPUTED_VALUE"""),"1zfvz-aZrAcrVcCZFJj3FAv1GqBrnIiDpgU-TteWVAOw")</f>
        <v>1zfvz-aZrAcrVcCZFJj3FAv1GqBrnIiDpgU-TteWVAOw</v>
      </c>
    </row>
    <row r="842" ht="15.75" customHeight="1">
      <c r="A842" t="str">
        <f>IFERROR(__xludf.DUMMYFUNCTION("""COMPUTED_VALUE"""),"PranaClient")</f>
        <v>PranaClient</v>
      </c>
      <c r="B842" t="str">
        <f>IFERROR(__xludf.DUMMYFUNCTION("""COMPUTED_VALUE"""),"Action")</f>
        <v>Action</v>
      </c>
      <c r="C842" t="str">
        <f>IFERROR(__xludf.DUMMYFUNCTION("""COMPUTED_VALUE"""),"16YwhwfE3ekYXCEMATeZ129RipXXg6a0WjcUVWOBSLF4")</f>
        <v>16YwhwfE3ekYXCEMATeZ129RipXXg6a0WjcUVWOBSLF4</v>
      </c>
    </row>
    <row r="843" ht="15.75" customHeight="1">
      <c r="A843" t="str">
        <f>IFERROR(__xludf.DUMMYFUNCTION("""COMPUTED_VALUE"""),"Blotter")</f>
        <v>Blotter</v>
      </c>
      <c r="B843" t="str">
        <f>IFERROR(__xludf.DUMMYFUNCTION("""COMPUTED_VALUE"""),"ManageHotButton")</f>
        <v>ManageHotButton</v>
      </c>
      <c r="C843" t="str">
        <f>IFERROR(__xludf.DUMMYFUNCTION("""COMPUTED_VALUE"""),"1kQpkPRi_1u4R3VazjhiilbOI8OkiiHRY2wfgByau1YY")</f>
        <v>1kQpkPRi_1u4R3VazjhiilbOI8OkiiHRY2wfgByau1YY</v>
      </c>
    </row>
    <row r="844" ht="15.75" customHeight="1">
      <c r="A844" t="str">
        <f>IFERROR(__xludf.DUMMYFUNCTION("""COMPUTED_VALUE"""),"RTPNL")</f>
        <v>RTPNL</v>
      </c>
      <c r="B844" t="str">
        <f>IFERROR(__xludf.DUMMYFUNCTION("""COMPUTED_VALUE"""),"UpdateLiveExcelSheetForRTPNL")</f>
        <v>UpdateLiveExcelSheetForRTPNL</v>
      </c>
      <c r="C844" t="str">
        <f>IFERROR(__xludf.DUMMYFUNCTION("""COMPUTED_VALUE"""),"1OudrUjxjY2n0zzZ-I7rurAZeLoeWMTEA6EOQyCYB7zs")</f>
        <v>1OudrUjxjY2n0zzZ-I7rurAZeLoeWMTEA6EOQyCYB7zs</v>
      </c>
    </row>
    <row r="845" ht="15.75" customHeight="1">
      <c r="A845" t="str">
        <f>IFERROR(__xludf.DUMMYFUNCTION("""COMPUTED_VALUE"""),"OpenFin")</f>
        <v>OpenFin</v>
      </c>
      <c r="B845" t="str">
        <f>IFERROR(__xludf.DUMMYFUNCTION("""COMPUTED_VALUE"""),"SavePageRTPNL")</f>
        <v>SavePageRTPNL</v>
      </c>
      <c r="C845" t="str">
        <f>IFERROR(__xludf.DUMMYFUNCTION("""COMPUTED_VALUE"""),"1YqhSG4yXo70SfhUq3fYD9CKf-eg44IFJ37IZh4WLI84")</f>
        <v>1YqhSG4yXo70SfhUq3fYD9CKf-eg44IFJ37IZh4WLI84</v>
      </c>
    </row>
    <row r="846" ht="15.75" customHeight="1">
      <c r="A846" t="str">
        <f>IFERROR(__xludf.DUMMYFUNCTION("""COMPUTED_VALUE"""),"RTPNL")</f>
        <v>RTPNL</v>
      </c>
      <c r="B846" t="str">
        <f>IFERROR(__xludf.DUMMYFUNCTION("""COMPUTED_VALUE"""),"VerifyGridThroughLiveExcel")</f>
        <v>VerifyGridThroughLiveExcel</v>
      </c>
      <c r="C846" t="str">
        <f>IFERROR(__xludf.DUMMYFUNCTION("""COMPUTED_VALUE"""),"1cCUw9lchUCKgHeNcwCDXybCOZXIeN4O0zRhkTZCVDUg")</f>
        <v>1cCUw9lchUCKgHeNcwCDXybCOZXIeN4O0zRhkTZCVDUg</v>
      </c>
    </row>
    <row r="847" ht="15.75" customHeight="1">
      <c r="A847" t="str">
        <f>IFERROR(__xludf.DUMMYFUNCTION("""COMPUTED_VALUE"""),"OpenFin")</f>
        <v>OpenFin</v>
      </c>
      <c r="B847" t="str">
        <f>IFERROR(__xludf.DUMMYFUNCTION("""COMPUTED_VALUE"""),"VerifyToastMessage")</f>
        <v>VerifyToastMessage</v>
      </c>
      <c r="C847" t="str">
        <f>IFERROR(__xludf.DUMMYFUNCTION("""COMPUTED_VALUE"""),"1DYn70fZ-UJ9bocMMWUWIW2IVfXlF5TRVuLedi7Y_LNk")</f>
        <v>1DYn70fZ-UJ9bocMMWUWIW2IVfXlF5TRVuLedi7Y_LNk</v>
      </c>
    </row>
    <row r="848" ht="15.75" customHeight="1">
      <c r="A848" t="str">
        <f>IFERROR(__xludf.DUMMYFUNCTION("""COMPUTED_VALUE"""),"RTPNL")</f>
        <v>RTPNL</v>
      </c>
      <c r="B848" t="str">
        <f>IFERROR(__xludf.DUMMYFUNCTION("""COMPUTED_VALUE"""),"ApplyColumnFilter")</f>
        <v>ApplyColumnFilter</v>
      </c>
      <c r="C848" t="str">
        <f>IFERROR(__xludf.DUMMYFUNCTION("""COMPUTED_VALUE"""),"1N9Nn6t5kuoUpj5sQRZwukYuXz8skh2F7E53j1Um1W1A")</f>
        <v>1N9Nn6t5kuoUpj5sQRZwukYuXz8skh2F7E53j1Um1W1A</v>
      </c>
    </row>
    <row r="849" ht="15.75" customHeight="1">
      <c r="A849" t="str">
        <f>IFERROR(__xludf.DUMMYFUNCTION("""COMPUTED_VALUE"""),"Simulator")</f>
        <v>Simulator</v>
      </c>
      <c r="B849" t="str">
        <f>IFERROR(__xludf.DUMMYFUNCTION("""COMPUTED_VALUE"""),"SaveTradeData")</f>
        <v>SaveTradeData</v>
      </c>
      <c r="C849" t="str">
        <f>IFERROR(__xludf.DUMMYFUNCTION("""COMPUTED_VALUE"""),"1QHe0AIblQSvVdFFnG3QZlYyVQWaiS1Idy_TPgdNyIjI")</f>
        <v>1QHe0AIblQSvVdFFnG3QZlYyVQWaiS1Idy_TPgdNyIjI</v>
      </c>
    </row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45903</v>
      </c>
      <c r="C6" s="33">
        <f>today()</f>
        <v>45904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 t="str">
        <f>IFERROR(__xludf.DUMMYFUNCTION("""COMPUTED_VALUE"""),"RefreshCalculation")</f>
        <v>RefreshCalculation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26</v>
      </c>
      <c r="D6" s="13" t="s">
        <v>27</v>
      </c>
      <c r="E6" s="13">
        <v>100.0</v>
      </c>
      <c r="F6" s="8"/>
      <c r="G6" s="8"/>
      <c r="H6" s="13" t="s">
        <v>28</v>
      </c>
      <c r="I6" s="13" t="s">
        <v>22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>
        <v>0.0</v>
      </c>
      <c r="E6" s="13">
        <v>1000.0</v>
      </c>
      <c r="F6" s="13" t="s">
        <v>33</v>
      </c>
      <c r="G6" s="13" t="s">
        <v>34</v>
      </c>
      <c r="H6" s="8"/>
      <c r="I6" s="8"/>
      <c r="J6" s="8"/>
      <c r="K6" s="13">
        <v>10.0</v>
      </c>
      <c r="L6" s="13">
        <v>10.0</v>
      </c>
      <c r="M6" s="8"/>
      <c r="N6" s="8"/>
      <c r="O6" s="13" t="s">
        <v>35</v>
      </c>
      <c r="S6" s="9" t="s">
        <v>36</v>
      </c>
      <c r="Z6" s="9" t="s">
        <v>23</v>
      </c>
      <c r="AB6" s="9">
        <v>1.0</v>
      </c>
      <c r="AD6" s="9" t="s">
        <v>37</v>
      </c>
      <c r="AE6" s="9">
        <v>1000.0</v>
      </c>
      <c r="AH6" s="9" t="s">
        <v>38</v>
      </c>
      <c r="AI6" s="9">
        <v>1.0</v>
      </c>
      <c r="AT6" s="9">
        <v>9985.994</v>
      </c>
      <c r="AU6" s="9">
        <v>9985.994</v>
      </c>
      <c r="AY6" s="9" t="s">
        <v>39</v>
      </c>
      <c r="BE6" s="9">
        <v>10000.0</v>
      </c>
      <c r="BF6" s="9">
        <v>10000.0</v>
      </c>
      <c r="BJ6" s="9">
        <v>1000.0</v>
      </c>
      <c r="BM6" s="9" t="s">
        <v>23</v>
      </c>
      <c r="BO6" s="9" t="s">
        <v>17</v>
      </c>
      <c r="BT6" s="9" t="s">
        <v>16</v>
      </c>
    </row>
    <row r="7" ht="15.75" customHeight="1">
      <c r="A7" s="8"/>
      <c r="B7" s="13" t="s">
        <v>22</v>
      </c>
      <c r="C7" s="8"/>
      <c r="D7" s="13">
        <v>0.0</v>
      </c>
      <c r="E7" s="13">
        <v>1000.0</v>
      </c>
      <c r="F7" s="13" t="s">
        <v>33</v>
      </c>
      <c r="G7" s="13" t="s">
        <v>34</v>
      </c>
      <c r="H7" s="8"/>
      <c r="I7" s="8"/>
      <c r="J7" s="8"/>
      <c r="K7" s="13">
        <v>10.0</v>
      </c>
      <c r="L7" s="13">
        <v>10.0</v>
      </c>
      <c r="M7" s="8"/>
      <c r="N7" s="8"/>
      <c r="O7" s="13" t="s">
        <v>35</v>
      </c>
      <c r="S7" s="9" t="s">
        <v>36</v>
      </c>
      <c r="Z7" s="9" t="s">
        <v>23</v>
      </c>
      <c r="AB7" s="9">
        <v>1.0</v>
      </c>
      <c r="AD7" s="9" t="s">
        <v>37</v>
      </c>
      <c r="AE7" s="9">
        <v>1000.0</v>
      </c>
      <c r="AH7" s="9" t="s">
        <v>38</v>
      </c>
      <c r="AI7" s="9">
        <v>1.0</v>
      </c>
      <c r="AT7" s="9">
        <v>10014.006</v>
      </c>
      <c r="AU7" s="9">
        <v>10014.006</v>
      </c>
      <c r="AY7" s="9" t="s">
        <v>39</v>
      </c>
      <c r="BE7" s="9">
        <v>10000.0</v>
      </c>
      <c r="BF7" s="9">
        <v>10000.0</v>
      </c>
      <c r="BJ7" s="9">
        <v>1000.0</v>
      </c>
      <c r="BM7" s="9" t="s">
        <v>23</v>
      </c>
      <c r="BO7" s="9" t="s">
        <v>40</v>
      </c>
      <c r="BT7" s="9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IFERROR(__xludf.DUMMYFUNCTION("""COMPUTED_VALUE"""),"OperationsonPM")</f>
        <v>OperationsonPM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IFERROR(__xludf.DUMMYFUNCTION("""COMPUTED_VALUE"""),"Order Side")</f>
        <v>Order Side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16</v>
      </c>
      <c r="D6" s="13">
        <v>1000.0</v>
      </c>
      <c r="E6" s="1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ClosePositionFromPM!$4:$4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IFERROR(__xludf.DUMMYFUNCTION("""COMPUTED_VALUE"""),"OperationsonPM")</f>
        <v>OperationsonPM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13"/>
      <c r="B6" s="13"/>
      <c r="C6" s="13" t="s">
        <v>16</v>
      </c>
      <c r="D6" s="13">
        <v>-1000.0</v>
      </c>
      <c r="E6" s="13" t="s">
        <v>22</v>
      </c>
      <c r="F6" s="13" t="s">
        <v>44</v>
      </c>
      <c r="G6" s="13">
        <v>10.0</v>
      </c>
      <c r="H6" s="8"/>
      <c r="I6" s="8"/>
      <c r="J6" s="8"/>
      <c r="K6" s="8"/>
      <c r="L6" s="8"/>
      <c r="M6" s="8"/>
      <c r="N6" s="8"/>
      <c r="O6" s="8"/>
      <c r="R6" s="9" t="s">
        <v>45</v>
      </c>
      <c r="T6" s="9" t="s">
        <v>34</v>
      </c>
      <c r="U6" s="9" t="s">
        <v>46</v>
      </c>
      <c r="V6" s="9" t="s">
        <v>37</v>
      </c>
      <c r="W6" s="9" t="s">
        <v>23</v>
      </c>
      <c r="X6" s="9">
        <v>1.0</v>
      </c>
      <c r="Y6" s="9">
        <v>1.0</v>
      </c>
      <c r="AN6" s="9" t="s">
        <v>17</v>
      </c>
    </row>
    <row r="7" ht="15.75" customHeight="1">
      <c r="A7" s="8"/>
      <c r="B7" s="8"/>
      <c r="C7" s="13" t="s">
        <v>16</v>
      </c>
      <c r="D7" s="13">
        <v>1000.0</v>
      </c>
      <c r="E7" s="13" t="s">
        <v>22</v>
      </c>
      <c r="F7" s="13" t="s">
        <v>44</v>
      </c>
      <c r="G7" s="13">
        <v>10.0</v>
      </c>
      <c r="H7" s="8"/>
      <c r="I7" s="8"/>
      <c r="J7" s="8"/>
      <c r="K7" s="8"/>
      <c r="L7" s="8"/>
      <c r="M7" s="8"/>
      <c r="N7" s="8"/>
      <c r="O7" s="8"/>
      <c r="R7" s="9" t="s">
        <v>45</v>
      </c>
      <c r="T7" s="9" t="s">
        <v>34</v>
      </c>
      <c r="U7" s="9" t="s">
        <v>46</v>
      </c>
      <c r="V7" s="9" t="s">
        <v>37</v>
      </c>
      <c r="W7" s="9" t="s">
        <v>23</v>
      </c>
      <c r="X7" s="9">
        <v>1.0</v>
      </c>
      <c r="Y7" s="9">
        <v>1.0</v>
      </c>
      <c r="AN7" s="9" t="s">
        <v>40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