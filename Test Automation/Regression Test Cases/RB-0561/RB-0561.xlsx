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OrViewModelPortfolio" sheetId="4" r:id="rId6"/>
    <sheet state="visible" name="VerifyModelPortfolio" sheetId="5" r:id="rId7"/>
  </sheets>
  <definedNames/>
  <calcPr/>
</workbook>
</file>

<file path=xl/sharedStrings.xml><?xml version="1.0" encoding="utf-8"?>
<sst xmlns="http://schemas.openxmlformats.org/spreadsheetml/2006/main" count="32" uniqueCount="24">
  <si>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</si>
  <si>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</si>
  <si>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</si>
  <si>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</si>
  <si>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</si>
  <si>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</si>
  <si>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</si>
  <si>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</si>
  <si>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</si>
  <si>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</si>
  <si>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</si>
  <si>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</si>
  <si>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</si>
  <si>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CreateOrViewModelPortfolio</t>
  </si>
  <si>
    <t>Data Format</t>
  </si>
  <si>
    <t>Input Format</t>
  </si>
  <si>
    <t>MPA4</t>
  </si>
  <si>
    <t>Model Portfolio</t>
  </si>
  <si>
    <t>Target Security</t>
  </si>
  <si>
    <t>\\192.168.2.108\DistributedAutomation_Master\Import Cases\ModelPortfolio2.xlsx</t>
  </si>
  <si>
    <t>No</t>
  </si>
  <si>
    <t>VerifyModelPortfolio</t>
  </si>
  <si>
    <t>AAPL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</si>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</sst>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IFERROR(__xludf.DUMMYFUNCTION("""COMPUTED_VALUE"""),"Portfolio Name")</f>
        <v>Portfolio Name</v>
      </c>
      <c r="C5" s="27" t="str">
        <f>IFERROR(__xludf.DUMMYFUNCTION("""COMPUTED_VALUE"""),"Portfolio Type")</f>
        <v>Portfolio Type</v>
      </c>
      <c r="D5" s="27" t="str">
        <f>IFERROR(__xludf.DUMMYFUNCTION("""COMPUTED_VALUE"""),"Position Type")</f>
        <v>Position Type</v>
      </c>
      <c r="E5" s="27" t="str">
        <f>IFERROR(__xludf.DUMMYFUNCTION("""COMPUTED_VALUE"""),"Model Type")</f>
        <v>Model Type</v>
      </c>
      <c r="F5" s="28" t="str">
        <f>IFERROR(__xludf.DUMMYFUNCTION("""COMPUTED_VALUE"""),"Account")</f>
        <v>Account</v>
      </c>
      <c r="G5" s="27" t="str">
        <f>IFERROR(__xludf.DUMMYFUNCTION("""COMPUTED_VALUE"""),"MasterFund")</f>
        <v>MasterFund</v>
      </c>
      <c r="H5" s="27" t="str">
        <f>IFERROR(__xludf.DUMMYFUNCTION("""COMPUTED_VALUE"""),"Custom Group")</f>
        <v>Custom Group</v>
      </c>
      <c r="I5" s="27" t="str">
        <f>IFERROR(__xludf.DUMMYFUNCTION("""COMPUTED_VALUE"""),"ImportModelPortfolioPath")</f>
        <v>ImportModelPortfolioPath</v>
      </c>
      <c r="J5" s="27" t="str">
        <f>IFERROR(__xludf.DUMMYFUNCTION("""COMPUTED_VALUE"""),"Use Tolerance")</f>
        <v>Use Tolerance</v>
      </c>
      <c r="K5" s="27" t="str">
        <f>IFERROR(__xludf.DUMMYFUNCTION("""COMPUTED_VALUE"""),"In Percentage/In BPS")</f>
        <v>In Percentage/In BPS</v>
      </c>
      <c r="L5" s="27" t="str">
        <f>IFERROR(__xludf.DUMMYFUNCTION("""COMPUTED_VALUE"""),"CheckPopUp")</f>
        <v>CheckPopUp</v>
      </c>
      <c r="M5" s="27" t="str">
        <f>IFERROR(__xludf.DUMMYFUNCTION("""COMPUTED_VALUE"""),"BringTo")</f>
        <v>BringTo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2" t="s">
        <v>18</v>
      </c>
      <c r="F6" s="33"/>
      <c r="G6" s="33"/>
      <c r="H6" s="33"/>
      <c r="I6" s="34" t="s">
        <v>19</v>
      </c>
      <c r="J6" s="34" t="s">
        <v>20</v>
      </c>
      <c r="K6" s="32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CreateOrViewModelPortfolio!$4:$4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Validity")</f>
        <v>Symbol Validity</v>
      </c>
      <c r="C5" s="27" t="str">
        <f>IFERROR(__xludf.DUMMYFUNCTION("""COMPUTED_VALUE"""),"Symbol")</f>
        <v>Symbol</v>
      </c>
      <c r="D5" s="27" t="str">
        <f>IFERROR(__xludf.DUMMYFUNCTION("""COMPUTED_VALUE"""),"Target %")</f>
        <v>Target %</v>
      </c>
      <c r="E5" s="27" t="str">
        <f>IFERROR(__xludf.DUMMYFUNCTION("""COMPUTED_VALUE"""),"Tolerance %")</f>
        <v>Tolerance %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s">
        <v>22</v>
      </c>
      <c r="D6" s="12">
        <v>75.0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b">
        <v>1</v>
      </c>
      <c r="C7" s="12" t="s">
        <v>23</v>
      </c>
      <c r="D7" s="12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VerifyModelPortfolio!$4:$4</formula1>
    </dataValidation>
  </dataValidations>
  <drawing r:id="rId1"/>
</worksheet>
</file>