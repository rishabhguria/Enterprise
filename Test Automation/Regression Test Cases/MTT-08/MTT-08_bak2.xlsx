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ultiTradingTicketFromBlotter" sheetId="4" r:id="rId6"/>
    <sheet state="visible" name="SelectTradeUsingMTT" sheetId="5" r:id="rId7"/>
    <sheet state="visible" name="EditTradeUsingMTT" sheetId="6" r:id="rId8"/>
    <sheet state="visible" name="DoneAwayUsingMTT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CreateStageOrder" sheetId="12" r:id="rId14"/>
  </sheets>
  <definedNames/>
  <calcPr/>
</workbook>
</file>

<file path=xl/sharedStrings.xml><?xml version="1.0" encoding="utf-8"?>
<sst xmlns="http://schemas.openxmlformats.org/spreadsheetml/2006/main" count="119" uniqueCount="38">
  <si>
    <t>Modules Info</t>
  </si>
  <si>
    <t>Master Data Info</t>
  </si>
  <si>
    <t>Settings</t>
  </si>
  <si>
    <t>Module Step Setting File</t>
  </si>
  <si>
    <t>Modules</t>
  </si>
  <si>
    <t>Module</t>
  </si>
  <si>
    <t>1eFq-0rBBBruaRgYp8Plf3EAV1IQUFSYg9ee_wKGGGko</t>
  </si>
  <si>
    <t>Master Data Settings File</t>
  </si>
  <si>
    <t>Step</t>
  </si>
  <si>
    <t>1Nt_rf5DtgjbN9Ag4AMMlUkZYROxKZLH5m54YOl7tRT0</t>
  </si>
  <si>
    <t>Master Data Sheet</t>
  </si>
  <si>
    <t>Data</t>
  </si>
  <si>
    <t>MultiTradingTicket</t>
  </si>
  <si>
    <t>Blotter</t>
  </si>
  <si>
    <t>SelectTradeUsingMTT</t>
  </si>
  <si>
    <t>Data Format</t>
  </si>
  <si>
    <t>MultiTradingTicketFromBlotter</t>
  </si>
  <si>
    <t>Input Format</t>
  </si>
  <si>
    <t>CSCO</t>
  </si>
  <si>
    <t>Buy</t>
  </si>
  <si>
    <t>Sell</t>
  </si>
  <si>
    <t>EditTradeUsingMTT</t>
  </si>
  <si>
    <t>DoneAwayUsingMTT</t>
  </si>
  <si>
    <t>Stop</t>
  </si>
  <si>
    <t>Limit</t>
  </si>
  <si>
    <t>Allocation</t>
  </si>
  <si>
    <t>GetDataAllocation</t>
  </si>
  <si>
    <t>VerifyWorkingSubs</t>
  </si>
  <si>
    <t>Current</t>
  </si>
  <si>
    <t>PortfolioManagement</t>
  </si>
  <si>
    <t>CheckPortfolioManagement</t>
  </si>
  <si>
    <t>CheckAllocatedGroups</t>
  </si>
  <si>
    <t>Allocation1</t>
  </si>
  <si>
    <t>Allocation2</t>
  </si>
  <si>
    <t>TradingTicket</t>
  </si>
  <si>
    <t>CreateStageOrder</t>
  </si>
  <si>
    <t>MS</t>
  </si>
  <si>
    <t>HKG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</si>
</sst>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horizontal="left" vertical="bottom"/>
    </xf>
    <xf borderId="0" fillId="0" fontId="1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2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6</v>
      </c>
      <c r="C3" s="6"/>
    </row>
    <row r="4" ht="15.75" customHeight="1">
      <c r="A4" s="12" t="s">
        <v>7</v>
      </c>
      <c r="B4" s="9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2" t="s">
        <v>5</v>
      </c>
      <c r="B3" s="13" t="s">
        <v>8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13</v>
      </c>
      <c r="D3" s="8" t="s">
        <v>8</v>
      </c>
      <c r="E3" s="21" t="s">
        <v>16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29" t="s">
        <v>18</v>
      </c>
      <c r="AJ6" s="29" t="s">
        <v>19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I7" s="29" t="s">
        <v>18</v>
      </c>
      <c r="AJ7" s="29" t="s">
        <v>20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8</v>
      </c>
      <c r="E3" s="21" t="s">
        <v>14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9"/>
      <c r="B6" s="29" t="s">
        <v>18</v>
      </c>
      <c r="C6" s="29" t="s">
        <v>19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8</v>
      </c>
      <c r="E3" s="21" t="s">
        <v>21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IFERROR(__xludf.DUMMYFUNCTION("""COMPUTED_VALUE"""),"Account")</f>
        <v>Account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33">
        <v>1000.0</v>
      </c>
      <c r="E6" s="33">
        <v>1000.0</v>
      </c>
      <c r="F6" s="34"/>
      <c r="G6" s="34"/>
      <c r="H6" s="34"/>
      <c r="I6" s="29" t="s">
        <v>23</v>
      </c>
      <c r="J6" s="33">
        <v>140.0</v>
      </c>
      <c r="K6" s="33">
        <v>100.0</v>
      </c>
      <c r="L6" s="34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35">
        <v>1000.0</v>
      </c>
      <c r="E7" s="35">
        <v>1000.0</v>
      </c>
      <c r="F7" s="34"/>
      <c r="G7" s="34"/>
      <c r="H7" s="34"/>
      <c r="I7" s="31" t="s">
        <v>24</v>
      </c>
      <c r="J7" s="35">
        <v>140.0</v>
      </c>
      <c r="K7" s="34"/>
      <c r="L7" s="35">
        <v>100.0</v>
      </c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8</v>
      </c>
      <c r="E3" s="21" t="s">
        <v>22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IFERROR(__xludf.DUMMYFUNCTION("IF(C3="""","""",Transpose(IMPORTRANGE('_Settings'!$B$3,C3&amp;""!A4:A1000"")))"),"EditTradeUsingMTT")</f>
        <v>EditTradeUsingMTT</v>
      </c>
      <c r="C4" s="23" t="str">
        <f>IFERROR(__xludf.DUMMYFUNCTION("""COMPUTED_VALUE"""),"SelectTradeUsingMTT")</f>
        <v>SelectTradeUsingMTT</v>
      </c>
      <c r="D4" s="23" t="str">
        <f>IFERROR(__xludf.DUMMYFUNCTION("""COMPUTED_VALUE"""),"GetPriceUsingMTT")</f>
        <v>GetPriceUsingMTT</v>
      </c>
      <c r="E4" s="23" t="str">
        <f>IFERROR(__xludf.DUMMYFUNCTION("""COMPUTED_VALUE"""),"DoneAwayUsingMTT")</f>
        <v>DoneAwayUsingMTT</v>
      </c>
      <c r="F4" s="23" t="str">
        <f>IFERROR(__xludf.DUMMYFUNCTION("""COMPUTED_VALUE"""),"SendOrderUsingMTT")</f>
        <v>SendOrderUsingMTT</v>
      </c>
      <c r="G4" s="23" t="str">
        <f>IFERROR(__xludf.DUMMYFUNCTION("""COMPUTED_VALUE"""),"BulkChangeTradeDoneAway")</f>
        <v>BulkChangeTradeDoneAway</v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 Quantity")</f>
        <v>Target Quantity</v>
      </c>
      <c r="F5" s="27" t="str">
        <f>IFERROR(__xludf.DUMMYFUNCTION("""COMPUTED_VALUE"""),"Allocation")</f>
        <v>Allocation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 Rate")</f>
        <v>FX 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 Basis")</f>
        <v>Commission Basis</v>
      </c>
      <c r="S5" s="26" t="str">
        <f>IFERROR(__xludf.DUMMYFUNCTION("""COMPUTED_VALUE"""),"Commission Rate")</f>
        <v>Commission Rate</v>
      </c>
      <c r="T5" s="28" t="str">
        <f>IFERROR(__xludf.DUMMYFUNCTION("""COMPUTED_VALUE"""),"Soft Basis")</f>
        <v>Soft Basis</v>
      </c>
      <c r="U5" s="28" t="str">
        <f>IFERROR(__xludf.DUMMYFUNCTION("""COMPUTED_VALUE"""),"Soft Rate")</f>
        <v>Soft Rate</v>
      </c>
      <c r="V5" s="28" t="str">
        <f>IFERROR(__xludf.DUMMYFUNCTION("""COMPUTED_VALUE"""),"Trade Attribute 1")</f>
        <v>Trade Attribute 1</v>
      </c>
      <c r="W5" s="28" t="str">
        <f>IFERROR(__xludf.DUMMYFUNCTION("""COMPUTED_VALUE"""),"Trade Attribute 2")</f>
        <v>Trade Attribute 2</v>
      </c>
      <c r="X5" s="28" t="str">
        <f>IFERROR(__xludf.DUMMYFUNCTION("""COMPUTED_VALUE"""),"Trade Attribute 3")</f>
        <v>Trade Attribute 3</v>
      </c>
      <c r="Y5" s="28" t="str">
        <f>IFERROR(__xludf.DUMMYFUNCTION("""COMPUTED_VALUE"""),"Trade Attribute 4")</f>
        <v>Trade Attribute 4</v>
      </c>
      <c r="Z5" s="28" t="str">
        <f>IFERROR(__xludf.DUMMYFUNCTION("""COMPUTED_VALUE"""),"Trade Attribute 5")</f>
        <v>Trade Attribute 5</v>
      </c>
      <c r="AA5" s="28" t="str">
        <f>IFERROR(__xludf.DUMMYFUNCTION("""COMPUTED_VALUE"""),"Trade Attribute 6")</f>
        <v>Trade Attribute 6</v>
      </c>
      <c r="AB5" s="28" t="str">
        <f>IFERROR(__xludf.DUMMYFUNCTION("""COMPUTED_VALUE"""),"Venue")</f>
        <v>Venue</v>
      </c>
      <c r="AC5" s="28" t="str">
        <f>IFERROR(__xludf.DUMMYFUNCTION("""COMPUTED_VALUE"""),"Execution Instructions")</f>
        <v>Execution Instructions</v>
      </c>
      <c r="AD5" s="28" t="str">
        <f>IFERROR(__xludf.DUMMYFUNCTION("""COMPUTED_VALUE"""),"Handling Instructions")</f>
        <v>Handling Instructions</v>
      </c>
      <c r="AE5" s="28" t="str">
        <f>IFERROR(__xludf.DUMMYFUNCTION("""COMPUTED_VALUE"""),"Trader")</f>
        <v>Trader</v>
      </c>
      <c r="AF5" s="28" t="str">
        <f>IFERROR(__xludf.DUMMYFUNCTION("""COMPUTED_VALUE"""),"Settlement Currency")</f>
        <v>Settlement Currency</v>
      </c>
      <c r="AG5" s="28" t="str">
        <f>IFERROR(__xludf.DUMMYFUNCTION("""COMPUTED_VALUE"""),"Settlement Fx Rate")</f>
        <v>Settlement Fx Rate</v>
      </c>
      <c r="AH5" s="28" t="str">
        <f>IFERROR(__xludf.DUMMYFUNCTION("""COMPUTED_VALUE"""),"Settlement Amount")</f>
        <v>Settlement Amount</v>
      </c>
      <c r="AI5" s="28" t="str">
        <f>IFERROR(__xludf.DUMMYFUNCTION("""COMPUTED_VALUE"""),"Settlement Fx Operator")</f>
        <v>Settlement Fx Operator</v>
      </c>
      <c r="AJ5" s="28" t="str">
        <f>IFERROR(__xludf.DUMMYFUNCTION("""COMPUTED_VALUE"""),"ImportFileName")</f>
        <v>ImportFileName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13</v>
      </c>
      <c r="D3" s="8" t="s">
        <v>8</v>
      </c>
      <c r="E3" s="21" t="s">
        <v>27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9"/>
      <c r="B6" s="29" t="s">
        <v>18</v>
      </c>
      <c r="C6" s="29" t="s">
        <v>19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18</v>
      </c>
      <c r="C7" s="31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9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25</v>
      </c>
      <c r="D3" s="8" t="s">
        <v>8</v>
      </c>
      <c r="E3" s="21" t="s">
        <v>26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9"/>
      <c r="B6" s="29" t="s">
        <v>28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25</v>
      </c>
      <c r="D3" s="8" t="s">
        <v>8</v>
      </c>
      <c r="E3" s="21" t="s">
        <v>31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32</v>
      </c>
      <c r="C6" s="34"/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29" t="s">
        <v>19</v>
      </c>
      <c r="BP6" s="34"/>
      <c r="BQ6" s="34"/>
      <c r="BR6" s="34"/>
      <c r="BS6" s="34"/>
      <c r="BT6" s="29" t="s">
        <v>18</v>
      </c>
    </row>
    <row r="7" ht="15.75" customHeight="1">
      <c r="A7" s="6"/>
      <c r="B7" s="29" t="s">
        <v>33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1" t="s">
        <v>20</v>
      </c>
      <c r="BP7" s="34"/>
      <c r="BQ7" s="34"/>
      <c r="BR7" s="34"/>
      <c r="BS7" s="34"/>
      <c r="BT7" s="29" t="s">
        <v>18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29</v>
      </c>
      <c r="D3" s="8" t="s">
        <v>8</v>
      </c>
      <c r="E3" s="21" t="s">
        <v>30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IFERROR(__xludf.DUMMYFUNCTION("""COMPUTED_VALUE"""),"Client")</f>
        <v>Client</v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</row>
    <row r="6" ht="15.75" customHeight="1">
      <c r="A6" s="9"/>
      <c r="B6" s="29"/>
      <c r="C6" s="29" t="s">
        <v>18</v>
      </c>
      <c r="D6" s="36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29" t="s">
        <v>19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29"/>
      <c r="BV6" s="34"/>
      <c r="BW6" s="34"/>
      <c r="BX6" s="34"/>
      <c r="BY6" s="34"/>
      <c r="BZ6" s="29"/>
    </row>
    <row r="7" ht="15.75" customHeight="1">
      <c r="A7" s="6"/>
      <c r="B7" s="29"/>
      <c r="C7" s="29" t="s">
        <v>18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1" t="s">
        <v>20</v>
      </c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1"/>
      <c r="BV7" s="34"/>
      <c r="BW7" s="34"/>
      <c r="BX7" s="34"/>
      <c r="BY7" s="34"/>
      <c r="BZ7" s="2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34</v>
      </c>
      <c r="D3" s="8" t="s">
        <v>8</v>
      </c>
      <c r="E3" s="21" t="s">
        <v>35</v>
      </c>
      <c r="F3" s="8" t="s">
        <v>15</v>
      </c>
      <c r="G3" s="14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29" t="s">
        <v>19</v>
      </c>
      <c r="D6" s="33">
        <v>12000.0</v>
      </c>
      <c r="E6" s="33">
        <v>12000.0</v>
      </c>
      <c r="F6" s="29" t="s">
        <v>32</v>
      </c>
      <c r="G6" s="29" t="s">
        <v>36</v>
      </c>
      <c r="H6" s="34"/>
      <c r="I6" s="29" t="s">
        <v>24</v>
      </c>
      <c r="J6" s="33">
        <v>120.0</v>
      </c>
      <c r="K6" s="34"/>
      <c r="L6" s="33">
        <v>100.0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7" t="s">
        <v>37</v>
      </c>
    </row>
    <row r="7" ht="15.75" customHeight="1">
      <c r="A7" s="6"/>
      <c r="B7" s="29" t="s">
        <v>18</v>
      </c>
      <c r="C7" s="31" t="s">
        <v>20</v>
      </c>
      <c r="D7" s="35">
        <v>12000.0</v>
      </c>
      <c r="E7" s="35">
        <v>12000.0</v>
      </c>
      <c r="F7" s="29" t="s">
        <v>33</v>
      </c>
      <c r="G7" s="31" t="s">
        <v>36</v>
      </c>
      <c r="H7" s="34"/>
      <c r="I7" s="31" t="s">
        <v>23</v>
      </c>
      <c r="J7" s="35">
        <v>120.0</v>
      </c>
      <c r="K7" s="35">
        <v>100.0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29" t="s">
        <v>37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