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SetTTGeneralPreferences" sheetId="4" r:id="rId6"/>
    <sheet state="visible" name="SetUIPreferencesTT" sheetId="5" r:id="rId7"/>
    <sheet state="visible" name="CreateStageOrder" sheetId="6" r:id="rId8"/>
    <sheet state="visible" name="VerifyOrder" sheetId="7" r:id="rId9"/>
  </sheets>
  <definedNames/>
  <calcPr/>
</workbook>
</file>

<file path=xl/sharedStrings.xml><?xml version="1.0" encoding="utf-8"?>
<sst xmlns="http://schemas.openxmlformats.org/spreadsheetml/2006/main" count="50" uniqueCount="27">
  <si>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</si>
  <si>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</si>
  <si>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</si>
  <si>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</si>
  <si>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</si>
  <si>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</si>
  <si>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</si>
  <si>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</si>
  <si>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</si>
  <si>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</si>
  <si>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</si>
  <si>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</si>
  <si>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</si>
  <si>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SetTTGeneralPreferences</t>
  </si>
  <si>
    <t>Data Format</t>
  </si>
  <si>
    <t>Input Format</t>
  </si>
  <si>
    <t>None</t>
  </si>
  <si>
    <t>TradingTicket</t>
  </si>
  <si>
    <t>SetUIPreferencesTT</t>
  </si>
  <si>
    <t>MS</t>
  </si>
  <si>
    <t>Limit</t>
  </si>
  <si>
    <t>Good Till Date</t>
  </si>
  <si>
    <t>CreateStageOrder</t>
  </si>
  <si>
    <t>AAPL</t>
  </si>
  <si>
    <t>Buy</t>
  </si>
  <si>
    <t>Blotter</t>
  </si>
  <si>
    <t>VerifyOrder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</si>
</sst>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3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>
      <c r="A678" t="str">
        <f>IFERROR(__xludf.DUMMYFUNCTION("""COMPUTED_VALUE"""),"PranaClient")</f>
        <v>PranaClient</v>
      </c>
      <c r="B678" t="str">
        <f>IFERROR(__xludf.DUMMYFUNCTION("""COMPUTED_VALUE"""),"DbPicker")</f>
        <v>DbPicker</v>
      </c>
      <c r="C678" t="str">
        <f>IFERROR(__xludf.DUMMYFUNCTION("""COMPUTED_VALUE"""),"1tqSr_cmWz94o-j1zOzyqKpbL44h18j2PCfFMgpuxVw0")</f>
        <v>1tqSr_cmWz94o-j1zOzyqKpbL44h18j2PCfFMgpuxVw0</v>
      </c>
    </row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IFERROR(__xludf.DUMMYFUNCTION("IF(C3="""","""",Transpose(IMPORTRANGE('_Settings'!$B$3,C3&amp;""!A4:A1000"")))"),"SetTTUIPreferences")</f>
        <v>SetTTUIPreferences</v>
      </c>
      <c r="C4" s="25" t="str">
        <f>IFERROR(__xludf.DUMMYFUNCTION("""COMPUTED_VALUE"""),"TTPermissionLevel")</f>
        <v>TTPermissionLevel</v>
      </c>
      <c r="D4" s="25" t="str">
        <f>IFERROR(__xludf.DUMMYFUNCTION("""COMPUTED_VALUE"""),"SetCheckSide")</f>
        <v>SetCheckSide</v>
      </c>
      <c r="E4" s="25" t="str">
        <f>IFERROR(__xludf.DUMMYFUNCTION("""COMPUTED_VALUE"""),"SetRollover")</f>
        <v>SetRollover</v>
      </c>
      <c r="F4" s="25" t="str">
        <f>IFERROR(__xludf.DUMMYFUNCTION("""COMPUTED_VALUE"""),"SetActive")</f>
        <v>SetActive</v>
      </c>
      <c r="G4" s="25" t="str">
        <f>IFERROR(__xludf.DUMMYFUNCTION("""COMPUTED_VALUE"""),"SetThirdPartyFormat")</f>
        <v>SetThirdPartyFormat</v>
      </c>
      <c r="H4" s="25" t="str">
        <f>IFERROR(__xludf.DUMMYFUNCTION("""COMPUTED_VALUE"""),"UpdateRoundLot")</f>
        <v>UpdateRoundLot</v>
      </c>
      <c r="I4" s="25" t="str">
        <f>IFERROR(__xludf.DUMMYFUNCTION("""COMPUTED_VALUE"""),"SetTradingComplianceRules")</f>
        <v>SetTradingComplianceRules</v>
      </c>
      <c r="J4" s="25" t="str">
        <f>IFERROR(__xludf.DUMMYFUNCTION("""COMPUTED_VALUE"""),"EnableBreakdownRealizedPNL")</f>
        <v>EnableBreakdownRealizedPNL</v>
      </c>
      <c r="K4" s="25" t="str">
        <f>IFERROR(__xludf.DUMMYFUNCTION("""COMPUTED_VALUE"""),"SetTTGeneralPreferences")</f>
        <v>SetTTGeneralPreferences</v>
      </c>
      <c r="L4" s="25" t="str">
        <f>IFERROR(__xludf.DUMMYFUNCTION("""COMPUTED_VALUE"""),"SetDollarAmountPermission")</f>
        <v>SetDollarAmountPermission</v>
      </c>
      <c r="M4" s="25" t="str">
        <f>IFERROR(__xludf.DUMMYFUNCTION("""COMPUTED_VALUE"""),"EnableDisableModule")</f>
        <v>EnableDisableModule</v>
      </c>
      <c r="N4" s="25" t="str">
        <f>IFERROR(__xludf.DUMMYFUNCTION("""COMPUTED_VALUE"""),"IsImportOverrideOnShortLocate")</f>
        <v>IsImportOverrideOnShortLocate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IFERROR(__xludf.DUMMYFUNCTION("""COMPUTED_VALUE"""),"SetComplianceAlert")</f>
        <v>SetComplianceAlert</v>
      </c>
      <c r="Q4" s="26" t="str">
        <f>IFERROR(__xludf.DUMMYFUNCTION("""COMPUTED_VALUE"""),"UpdateExpirationDate")</f>
        <v>UpdateExpirationDate</v>
      </c>
      <c r="R4" s="26" t="str">
        <f>IFERROR(__xludf.DUMMYFUNCTION("""COMPUTED_VALUE"""),"RenameMasterStrategy")</f>
        <v>RenameMasterStrategy</v>
      </c>
      <c r="S4" s="26" t="str">
        <f>IFERROR(__xludf.DUMMYFUNCTION("""COMPUTED_VALUE"""),"SetTTUIAdminPreferences")</f>
        <v>SetTTUIAdminPreferences</v>
      </c>
      <c r="T4" s="26" t="str">
        <f>IFERROR(__xludf.DUMMYFUNCTION("""COMPUTED_VALUE"""),"UpdateSecFee")</f>
        <v>UpdateSecFee</v>
      </c>
      <c r="U4" s="26" t="str">
        <f>IFERROR(__xludf.DUMMYFUNCTION("""COMPUTED_VALUE"""),"UpdateFee")</f>
        <v>UpdateFee</v>
      </c>
      <c r="V4" s="26" t="str">
        <f>IFERROR(__xludf.DUMMYFUNCTION("""COMPUTED_VALUE"""),"RevertingSMSharesOutValue")</f>
        <v>RevertingSMSharesOutValue</v>
      </c>
      <c r="W4" s="26" t="str">
        <f>IFERROR(__xludf.DUMMYFUNCTION("""COMPUTED_VALUE"""),"RestartSQL")</f>
        <v>RestartSQL</v>
      </c>
      <c r="X4" s="26" t="str">
        <f>IFERROR(__xludf.DUMMYFUNCTION("""COMPUTED_VALUE"""),"TradeAuditCleanUp")</f>
        <v>TradeAuditCleanUp</v>
      </c>
      <c r="Y4" s="26" t="str">
        <f>IFERROR(__xludf.DUMMYFUNCTION("""COMPUTED_VALUE"""),"DeleteSymbolFromSM")</f>
        <v>DeleteSymbolFromSM</v>
      </c>
      <c r="Z4" s="26" t="str">
        <f>IFERROR(__xludf.DUMMYFUNCTION("""COMPUTED_VALUE"""),"SetCompliancePermission")</f>
        <v>SetCompliancePermission</v>
      </c>
      <c r="AA4" s="26" t="str">
        <f>IFERROR(__xludf.DUMMYFUNCTION("""COMPUTED_VALUE"""),"SetMasterFundOnTT")</f>
        <v>SetMasterFundOnTT</v>
      </c>
      <c r="AB4" s="26" t="str">
        <f>IFERROR(__xludf.DUMMYFUNCTION("""COMPUTED_VALUE"""),"SetMarketDataProvider")</f>
        <v>SetMarketDataProvider</v>
      </c>
      <c r="AC4" s="26" t="str">
        <f>IFERROR(__xludf.DUMMYFUNCTION("""COMPUTED_VALUE"""),"SetAllocationPreferences")</f>
        <v>SetAllocationPreferences</v>
      </c>
      <c r="AD4" s="26" t="str">
        <f>IFERROR(__xludf.DUMMYFUNCTION("""COMPUTED_VALUE"""),"SetRegularCompliancePermission")</f>
        <v>SetRegularCompliancePermission</v>
      </c>
      <c r="AE4" s="26" t="str">
        <f>IFERROR(__xludf.DUMMYFUNCTION("""COMPUTED_VALUE"""),"SetCommissionRule")</f>
        <v>SetCommissionRule</v>
      </c>
      <c r="AF4" s="26" t="str">
        <f>IFERROR(__xludf.DUMMYFUNCTION("""COMPUTED_VALUE"""),"SetPreTradeCompliancePermission")</f>
        <v>SetPreTradeCompliancePermission</v>
      </c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IFERROR(__xludf.DUMMYFUNCTION("""COMPUTED_VALUE"""),"RestrictedSecuritiesList")</f>
        <v>RestrictedSecuritiesList</v>
      </c>
      <c r="C5" s="28" t="str">
        <f>IFERROR(__xludf.DUMMYFUNCTION("""COMPUTED_VALUE"""),"AllowedSecuritiesList")</f>
        <v>AllowedSecuritiesList</v>
      </c>
      <c r="D5" s="28" t="str">
        <f>IFERROR(__xludf.DUMMYFUNCTION("""COMPUTED_VALUE"""),"AllowAllUserToCancelReplaceRemove")</f>
        <v>AllowAllUserToCancelReplaceRemove</v>
      </c>
      <c r="E5" s="28" t="str">
        <f>IFERROR(__xludf.DUMMYFUNCTION("""COMPUTED_VALUE"""),"MasterUserPermission")</f>
        <v>MasterUserPermission</v>
      </c>
      <c r="F5" s="29" t="str">
        <f>IFERROR(__xludf.DUMMYFUNCTION("""COMPUTED_VALUE"""),"AllowAllUserToTransferTrade")</f>
        <v>AllowAllUserToTransferTrade</v>
      </c>
      <c r="G5" s="28" t="str">
        <f>IFERROR(__xludf.DUMMYFUNCTION("""COMPUTED_VALUE"""),"DefaultOrderType")</f>
        <v>DefaultOrderType</v>
      </c>
      <c r="H5" s="28" t="str">
        <f>IFERROR(__xludf.DUMMYFUNCTION("""COMPUTED_VALUE"""),"AllowAllUserToGenerateSubs")</f>
        <v>AllowAllUserToGenerateSubs</v>
      </c>
      <c r="I5" s="28" t="str">
        <f>IFERROR(__xludf.DUMMYFUNCTION("""COMPUTED_VALUE"""),"LimitPriceRulesForStageOrdersOnly")</f>
        <v>LimitPriceRulesForStageOrdersOnly</v>
      </c>
      <c r="J5" s="28" t="str">
        <f>IFERROR(__xludf.DUMMYFUNCTION("""COMPUTED_VALUE"""),"LimitRulesForSubOrders")</f>
        <v>LimitRulesForSubOrders</v>
      </c>
      <c r="K5" s="28" t="str">
        <f>IFERROR(__xludf.DUMMYFUNCTION("""COMPUTED_VALUE"""),"LimitRulesForOrdersExceptStagedAndSubOrders")</f>
        <v>LimitRulesForOrdersExceptStagedAndSubOrders</v>
      </c>
      <c r="L5" s="28" t="str">
        <f>IFERROR(__xludf.DUMMYFUNCTION("""COMPUTED_VALUE"""),"LimitPriceRules")</f>
        <v>LimitPriceRules</v>
      </c>
      <c r="M5" s="28" t="str">
        <f>IFERROR(__xludf.DUMMYFUNCTION("""COMPUTED_VALUE"""),"CancelReplaceRemoveRules")</f>
        <v>CancelReplaceRemoveRules</v>
      </c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 t="s">
        <v>16</v>
      </c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SetTTGeneralPreferences!$4:$4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IFERROR(__xludf.DUMMYFUNCTION("""COMPUTED_VALUE"""),"Broker")</f>
        <v>Broker</v>
      </c>
      <c r="C5" s="28" t="str">
        <f>IFERROR(__xludf.DUMMYFUNCTION("""COMPUTED_VALUE"""),"Venue")</f>
        <v>Venue</v>
      </c>
      <c r="D5" s="28" t="str">
        <f>IFERROR(__xludf.DUMMYFUNCTION("""COMPUTED_VALUE"""),"Order Type")</f>
        <v>Order Type</v>
      </c>
      <c r="E5" s="28" t="str">
        <f>IFERROR(__xludf.DUMMYFUNCTION("""COMPUTED_VALUE"""),"TIF")</f>
        <v>TIF</v>
      </c>
      <c r="F5" s="29" t="str">
        <f>IFERROR(__xludf.DUMMYFUNCTION("""COMPUTED_VALUE"""),"Handling Instruction")</f>
        <v>Handling Instruction</v>
      </c>
      <c r="G5" s="28" t="str">
        <f>IFERROR(__xludf.DUMMYFUNCTION("""COMPUTED_VALUE"""),"Execution Instruction")</f>
        <v>Execution Instruction</v>
      </c>
      <c r="H5" s="28" t="str">
        <f>IFERROR(__xludf.DUMMYFUNCTION("""COMPUTED_VALUE"""),"Strategy")</f>
        <v>Strategy</v>
      </c>
      <c r="I5" s="28" t="str">
        <f>IFERROR(__xludf.DUMMYFUNCTION("""COMPUTED_VALUE"""),"Account")</f>
        <v>Account</v>
      </c>
      <c r="J5" s="28" t="str">
        <f>IFERROR(__xludf.DUMMYFUNCTION("""COMPUTED_VALUE"""),"Settlement Currency")</f>
        <v>Settlement Currency</v>
      </c>
      <c r="K5" s="28" t="str">
        <f>IFERROR(__xludf.DUMMYFUNCTION("""COMPUTED_VALUE"""),"Trader")</f>
        <v>Trader</v>
      </c>
      <c r="L5" s="28" t="str">
        <f>IFERROR(__xludf.DUMMYFUNCTION("""COMPUTED_VALUE"""),"Default Quantity")</f>
        <v>Default Quantity</v>
      </c>
      <c r="M5" s="28" t="str">
        <f>IFERROR(__xludf.DUMMYFUNCTION("""COMPUTED_VALUE"""),"Apply Round Lots")</f>
        <v>Apply Round Lots</v>
      </c>
      <c r="N5" s="28" t="str">
        <f>IFERROR(__xludf.DUMMYFUNCTION("""COMPUTED_VALUE"""),"Quantity")</f>
        <v>Quantity</v>
      </c>
      <c r="O5" s="28" t="str">
        <f>IFERROR(__xludf.DUMMYFUNCTION("""COMPUTED_VALUE"""),"Increase On Quantity")</f>
        <v>Increase On Quantity</v>
      </c>
      <c r="P5" s="28" t="str">
        <f>IFERROR(__xludf.DUMMYFUNCTION("""COMPUTED_VALUE"""),"Increase On Stop")</f>
        <v>Increase On Stop</v>
      </c>
      <c r="Q5" s="28" t="str">
        <f>IFERROR(__xludf.DUMMYFUNCTION("""COMPUTED_VALUE"""),"Increase On Limit")</f>
        <v>Increase On Limit</v>
      </c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2"/>
      <c r="D6" s="31" t="s">
        <v>20</v>
      </c>
      <c r="E6" s="32" t="s">
        <v>21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SetUIPreferencesTT!$4:$4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23</v>
      </c>
      <c r="C6" s="32" t="s">
        <v>24</v>
      </c>
      <c r="D6" s="33">
        <v>100.0</v>
      </c>
      <c r="E6" s="32"/>
      <c r="F6" s="32"/>
      <c r="G6" s="32"/>
      <c r="H6" s="32"/>
      <c r="I6" s="32"/>
      <c r="J6" s="34">
        <v>10.0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25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2"/>
      <c r="D6" s="31"/>
      <c r="E6" s="32"/>
      <c r="F6" s="32"/>
      <c r="G6" s="32"/>
      <c r="H6" s="32"/>
      <c r="I6" s="32"/>
      <c r="J6" s="32" t="s">
        <v>23</v>
      </c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5">
        <v>1.0</v>
      </c>
      <c r="AE6" s="32"/>
      <c r="AF6" s="32"/>
      <c r="AG6" s="32"/>
      <c r="AH6" s="32"/>
      <c r="AI6" s="32" t="s">
        <v>23</v>
      </c>
      <c r="AJ6" s="32" t="s">
        <v>24</v>
      </c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 t="s">
        <v>20</v>
      </c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 t="s">
        <v>21</v>
      </c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