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AllocatedGroup" sheetId="7" r:id="rId9"/>
    <sheet state="visible" name="EditAllocatedGroupSidePanel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<sst xmlns="http://schemas.openxmlformats.org/spreadsheetml/2006/main" count="109" uniqueCount="41">
  <si>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</si>
  <si>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</si>
  <si>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</si>
  <si>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</si>
  <si>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</si>
  <si>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</si>
  <si>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</si>
  <si>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</si>
  <si>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</si>
  <si>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</si>
  <si>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</si>
  <si>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</si>
  <si>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</si>
  <si>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</si>
  <si>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</si>
  <si>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</si>
  <si>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</si>
  <si>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</si>
  <si>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IBM</t>
  </si>
  <si>
    <t>Buy</t>
  </si>
  <si>
    <t>Allocation1</t>
  </si>
  <si>
    <t>MS</t>
  </si>
  <si>
    <t>Market</t>
  </si>
  <si>
    <t>GetDataAllocation</t>
  </si>
  <si>
    <t>Current</t>
  </si>
  <si>
    <t>SelectAllocatedGroup</t>
  </si>
  <si>
    <t>USD</t>
  </si>
  <si>
    <t>jpearce</t>
  </si>
  <si>
    <t>Equity</t>
  </si>
  <si>
    <t>Strategy Unallocated</t>
  </si>
  <si>
    <t>Manual</t>
  </si>
  <si>
    <t>NYSE</t>
  </si>
  <si>
    <t>NASDAQ</t>
  </si>
  <si>
    <t>EditAllocatedGroupSidePanel</t>
  </si>
  <si>
    <t>CheckAllocatedGroups</t>
  </si>
  <si>
    <t>US</t>
  </si>
  <si>
    <t>PortfolioManagement</t>
  </si>
  <si>
    <t>CheckPortfolioManagement</t>
  </si>
  <si>
    <t>NewMF</t>
  </si>
  <si>
    <t>Long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</si>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</sst>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4" fontId="15" numFmtId="0" xfId="0" applyAlignment="1" applyFont="1">
      <alignment horizontal="left" readingOrder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13" t="s">
        <v>22</v>
      </c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2">
        <v>100.0</v>
      </c>
      <c r="D6" s="13"/>
      <c r="E6" s="33" t="s">
        <v>20</v>
      </c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  <c r="P6" s="9" t="s">
        <v>21</v>
      </c>
      <c r="R6" s="32">
        <v>2.0</v>
      </c>
      <c r="S6" s="32"/>
      <c r="AQ6" s="32">
        <v>100.0</v>
      </c>
      <c r="AS6" s="32">
        <v>100.0</v>
      </c>
      <c r="AZ6" s="33" t="s">
        <v>26</v>
      </c>
      <c r="BA6" s="33" t="s">
        <v>27</v>
      </c>
      <c r="BB6" s="33" t="s">
        <v>28</v>
      </c>
      <c r="BD6" s="33" t="s">
        <v>29</v>
      </c>
      <c r="BL6" s="33" t="s">
        <v>30</v>
      </c>
      <c r="BN6" s="33" t="s">
        <v>22</v>
      </c>
      <c r="BP6" s="33" t="s">
        <v>31</v>
      </c>
      <c r="BQ6" s="33" t="s">
        <v>26</v>
      </c>
      <c r="BR6" s="32">
        <v>15.0</v>
      </c>
      <c r="BT6" s="33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IFERROR(__xludf.DUMMYFUNCTION("""COMPUTED_VALUE"""),"AvgPrice")</f>
        <v>AvgPrice</v>
      </c>
      <c r="C5" s="28" t="str">
        <f>IFERROR(__xludf.DUMMYFUNCTION("""COMPUTED_VALUE"""),"Commission")</f>
        <v>Commission</v>
      </c>
      <c r="D5" s="28" t="str">
        <f>IFERROR(__xludf.DUMMYFUNCTION("""COMPUTED_VALUE"""),"SoftCommission")</f>
        <v>SoftCommission</v>
      </c>
      <c r="E5" s="28" t="str">
        <f>IFERROR(__xludf.DUMMYFUNCTION("""COMPUTED_VALUE"""),"OtherBrokerFees")</f>
        <v>OtherBrokerFees</v>
      </c>
      <c r="F5" s="29" t="str">
        <f>IFERROR(__xludf.DUMMYFUNCTION("""COMPUTED_VALUE"""),"ClearingBrokerFees")</f>
        <v>ClearingBrokerFees</v>
      </c>
      <c r="G5" s="28" t="str">
        <f>IFERROR(__xludf.DUMMYFUNCTION("""COMPUTED_VALUE"""),"StampDuty")</f>
        <v>StampDuty</v>
      </c>
      <c r="H5" s="28" t="str">
        <f>IFERROR(__xludf.DUMMYFUNCTION("""COMPUTED_VALUE"""),"TransactionLevy")</f>
        <v>TransactionLevy</v>
      </c>
      <c r="I5" s="28" t="str">
        <f>IFERROR(__xludf.DUMMYFUNCTION("""COMPUTED_VALUE"""),"AUECFee1")</f>
        <v>AUECFee1</v>
      </c>
      <c r="J5" s="28" t="str">
        <f>IFERROR(__xludf.DUMMYFUNCTION("""COMPUTED_VALUE"""),"TaxOnCommissions")</f>
        <v>TaxOnCommissions</v>
      </c>
      <c r="K5" s="28" t="str">
        <f>IFERROR(__xludf.DUMMYFUNCTION("""COMPUTED_VALUE"""),"AUECFee2")</f>
        <v>AUECFee2</v>
      </c>
      <c r="L5" s="28" t="str">
        <f>IFERROR(__xludf.DUMMYFUNCTION("""COMPUTED_VALUE"""),"SecFee")</f>
        <v>SecFee</v>
      </c>
      <c r="M5" s="28" t="str">
        <f>IFERROR(__xludf.DUMMYFUNCTION("""COMPUTED_VALUE"""),"OccFee")</f>
        <v>OccFee</v>
      </c>
      <c r="N5" s="28" t="str">
        <f>IFERROR(__xludf.DUMMYFUNCTION("""COMPUTED_VALUE"""),"OrfFee")</f>
        <v>OrfFee</v>
      </c>
      <c r="O5" s="28" t="str">
        <f>IFERROR(__xludf.DUMMYFUNCTION("""COMPUTED_VALUE"""),"Broker")</f>
        <v>Broker</v>
      </c>
      <c r="P5" s="28" t="str">
        <f>IFERROR(__xludf.DUMMYFUNCTION("""COMPUTED_VALUE"""),"Venue")</f>
        <v>Venue</v>
      </c>
      <c r="Q5" s="28" t="str">
        <f>IFERROR(__xludf.DUMMYFUNCTION("""COMPUTED_VALUE"""),"Description")</f>
        <v>Description</v>
      </c>
      <c r="R5" s="28" t="str">
        <f>IFERROR(__xludf.DUMMYFUNCTION("""COMPUTED_VALUE"""),"InternalComments")</f>
        <v>InternalComments</v>
      </c>
      <c r="S5" s="28" t="str">
        <f>IFERROR(__xludf.DUMMYFUNCTION("""COMPUTED_VALUE"""),"FXRate")</f>
        <v>FXRate</v>
      </c>
      <c r="T5" s="30" t="str">
        <f>IFERROR(__xludf.DUMMYFUNCTION("""COMPUTED_VALUE"""),"FxConvOperator")</f>
        <v>FxConvOperator</v>
      </c>
      <c r="U5" s="30" t="str">
        <f>IFERROR(__xludf.DUMMYFUNCTION("""COMPUTED_VALUE"""),"AccruedInterest")</f>
        <v>AccruedInterest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IFERROR(__xludf.DUMMYFUNCTION("""COMPUTED_VALUE"""),"SettlementCurrency")</f>
        <v>SettlementCurrency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5.98764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8"/>
      <c r="D6" s="13"/>
      <c r="E6" s="32">
        <v>100.0</v>
      </c>
      <c r="F6" s="8"/>
      <c r="G6" s="33" t="s">
        <v>28</v>
      </c>
      <c r="H6" s="32">
        <v>2.0</v>
      </c>
      <c r="I6" s="32"/>
      <c r="J6" s="32">
        <v>15.0</v>
      </c>
      <c r="K6" s="32">
        <v>5.98764</v>
      </c>
      <c r="L6" s="32">
        <v>5.98764</v>
      </c>
      <c r="M6" s="8"/>
      <c r="N6" s="8"/>
      <c r="O6" s="13" t="s">
        <v>21</v>
      </c>
      <c r="Z6" s="33" t="s">
        <v>26</v>
      </c>
      <c r="AD6" s="33" t="s">
        <v>31</v>
      </c>
      <c r="AE6" s="32">
        <v>100.0</v>
      </c>
      <c r="AI6" s="32">
        <v>1.0</v>
      </c>
      <c r="AT6" s="32"/>
      <c r="AU6" s="32"/>
      <c r="AY6" s="33" t="s">
        <v>22</v>
      </c>
      <c r="BJ6" s="32">
        <v>100.0</v>
      </c>
      <c r="BM6" s="33" t="s">
        <v>26</v>
      </c>
      <c r="BO6" s="33" t="s">
        <v>19</v>
      </c>
      <c r="BS6" s="33" t="s">
        <v>29</v>
      </c>
      <c r="BT6" s="33" t="s">
        <v>18</v>
      </c>
      <c r="CI6" s="33" t="s">
        <v>19</v>
      </c>
      <c r="CK6" s="33" t="s">
        <v>35</v>
      </c>
      <c r="CN6" s="33" t="s">
        <v>27</v>
      </c>
      <c r="CO6" s="33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3" t="s">
        <v>18</v>
      </c>
      <c r="D6" s="32">
        <v>100.0</v>
      </c>
      <c r="E6" s="33" t="s">
        <v>20</v>
      </c>
      <c r="F6" s="33" t="s">
        <v>38</v>
      </c>
      <c r="G6" s="32">
        <v>2.0</v>
      </c>
      <c r="H6" s="33" t="s">
        <v>39</v>
      </c>
      <c r="I6" s="8"/>
      <c r="J6" s="8"/>
      <c r="K6" s="8"/>
      <c r="L6" s="8"/>
      <c r="M6" s="8"/>
      <c r="N6" s="8"/>
      <c r="O6" s="8"/>
      <c r="R6" s="33" t="s">
        <v>40</v>
      </c>
      <c r="S6" s="33" t="s">
        <v>29</v>
      </c>
      <c r="T6" s="33" t="s">
        <v>28</v>
      </c>
      <c r="U6" s="33" t="s">
        <v>35</v>
      </c>
      <c r="V6" s="33" t="s">
        <v>31</v>
      </c>
      <c r="W6" s="33" t="s">
        <v>26</v>
      </c>
      <c r="X6" s="32">
        <v>1.0</v>
      </c>
      <c r="Y6" s="32">
        <v>1.0</v>
      </c>
      <c r="AN6" s="33" t="s">
        <v>19</v>
      </c>
      <c r="AO6" s="35"/>
      <c r="AP6" s="33" t="s">
        <v>39</v>
      </c>
      <c r="AQ6" s="33" t="s">
        <v>18</v>
      </c>
      <c r="BQ6" s="33" t="s">
        <v>27</v>
      </c>
      <c r="BR6" s="33" t="s">
        <v>21</v>
      </c>
      <c r="DJ6" s="33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