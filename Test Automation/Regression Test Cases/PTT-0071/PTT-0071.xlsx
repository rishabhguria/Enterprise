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CheckPortfolioManagement" sheetId="12" r:id="rId14"/>
    <sheet state="visible" name="CalculatePTT1" sheetId="13" r:id="rId15"/>
    <sheet state="visible" name="VerifyPTT1" sheetId="14" r:id="rId16"/>
    <sheet state="visible" name="TradePTT1" sheetId="15" r:id="rId17"/>
    <sheet state="visible" name="CreateDoneAwayOrder2" sheetId="16" r:id="rId18"/>
    <sheet state="visible" name="CalculatePTT2" sheetId="17" r:id="rId19"/>
    <sheet state="visible" name="VerifyPTT2" sheetId="18" r:id="rId20"/>
    <sheet state="visible" name="TradePTT2" sheetId="19" r:id="rId21"/>
    <sheet state="visible" name="CreateDoneAwayOrder3" sheetId="20" r:id="rId22"/>
    <sheet state="visible" name="CalculatePTT3" sheetId="21" r:id="rId23"/>
    <sheet state="visible" name="VerifyPTT3" sheetId="22" r:id="rId24"/>
    <sheet state="visible" name="TradePTT3" sheetId="23" r:id="rId25"/>
    <sheet state="visible" name="CreateDoneAwayOrder4" sheetId="24" r:id="rId26"/>
    <sheet state="visible" name="GetDataAllocation" sheetId="25" r:id="rId27"/>
    <sheet state="visible" name="Unallocate" sheetId="26" r:id="rId28"/>
    <sheet state="visible" name="DeleteGroup" sheetId="27" r:id="rId29"/>
    <sheet state="visible" name="CheckPortfolioManagement1" sheetId="28" r:id="rId30"/>
  </sheets>
  <definedNames/>
  <calcPr/>
</workbook>
</file>

<file path=xl/sharedStrings.xml><?xml version="1.0" encoding="utf-8"?>
<sst xmlns="http://schemas.openxmlformats.org/spreadsheetml/2006/main" count="1285" uniqueCount="63">
  <si>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</si>
  <si>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</si>
  <si>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</si>
  <si>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</si>
  <si>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</si>
  <si>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</si>
  <si>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</si>
  <si>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</si>
  <si>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</si>
  <si>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</si>
  <si>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</si>
  <si>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</si>
  <si>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</si>
  <si>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</si>
  <si>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</si>
  <si>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</si>
  <si>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</si>
  <si>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</si>
  <si>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</si>
  <si>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</si>
  <si>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Allocation2</t>
  </si>
  <si>
    <t>FB</t>
  </si>
  <si>
    <t>rt</t>
  </si>
  <si>
    <t>GOOG</t>
  </si>
  <si>
    <t>Allocation5</t>
  </si>
  <si>
    <t>Allocation10</t>
  </si>
  <si>
    <t>DailyValuation</t>
  </si>
  <si>
    <t>GetDailyCash</t>
  </si>
  <si>
    <t>UpdateMultipleDailyCash</t>
  </si>
  <si>
    <t>USD</t>
  </si>
  <si>
    <t>PricingInput</t>
  </si>
  <si>
    <t>PTT</t>
  </si>
  <si>
    <t>CalculatePTT</t>
  </si>
  <si>
    <t>Set</t>
  </si>
  <si>
    <t>Basis Point</t>
  </si>
  <si>
    <t>Yes</t>
  </si>
  <si>
    <t>Account</t>
  </si>
  <si>
    <t>VerifyPTT</t>
  </si>
  <si>
    <t/>
  </si>
  <si>
    <t>TradePTT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</si>
  <si>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</si>
  <si>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</si>
  <si>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</si>
  <si>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</si>
  <si>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</si>
  <si>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</si>
  <si>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</si>
  <si>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</si>
  <si>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</si>
  <si>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</si>
  <si>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</si>
  <si>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jpearce</t>
  </si>
  <si>
    <t>Allocation1,Allocation2</t>
  </si>
  <si>
    <t>Sell</t>
  </si>
  <si>
    <t>Allocation5,Allocation10</t>
  </si>
  <si>
    <t>Allocation</t>
  </si>
  <si>
    <t>GetDataAllocation</t>
  </si>
  <si>
    <t>Current</t>
  </si>
  <si>
    <t>Unallocate</t>
  </si>
  <si>
    <t>DeleteGroup</t>
  </si>
  <si>
    <t>NewMF2</t>
  </si>
  <si>
    <t>NewMF3</t>
  </si>
  <si>
    <t>NewMF4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</si>
</sst>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5" fillId="5" fontId="4" numFmtId="0" xfId="0" applyAlignment="1" applyBorder="1" applyFont="1">
      <alignment shrinkToFit="0" wrapText="0"/>
    </xf>
    <xf borderId="5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6" fillId="0" fontId="3" numFmtId="0" xfId="0" applyAlignment="1" applyBorder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shrinkToFit="0" wrapText="0"/>
    </xf>
    <xf borderId="6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7" fillId="0" fontId="3" numFmtId="165" xfId="0" applyAlignment="1" applyBorder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readingOrder="0" vertical="bottom"/>
    </xf>
    <xf borderId="0" fillId="0" fontId="14" numFmtId="0" xfId="0" applyAlignment="1" applyFont="1">
      <alignment horizontal="center" vertical="bottom"/>
    </xf>
    <xf borderId="0" fillId="0" fontId="14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center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10" fillId="0" fontId="3" numFmtId="0" xfId="0" applyAlignment="1" applyBorder="1" applyFont="1">
      <alignment shrinkToFit="0" vertical="bottom" wrapText="0"/>
    </xf>
    <xf borderId="9" fillId="0" fontId="5" numFmtId="0" xfId="0" applyAlignment="1" applyBorder="1" applyFont="1">
      <alignment horizontal="right" vertical="bottom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9" fillId="0" fontId="15" numFmtId="0" xfId="0" applyAlignment="1" applyBorder="1" applyFont="1">
      <alignment readingOrder="0" vertical="bottom"/>
    </xf>
    <xf borderId="9" fillId="0" fontId="15" numFmtId="0" xfId="0" applyAlignment="1" applyBorder="1" applyFont="1">
      <alignment vertical="bottom"/>
    </xf>
    <xf borderId="9" fillId="0" fontId="15" numFmtId="0" xfId="0" applyAlignment="1" applyBorder="1" applyFont="1">
      <alignment horizontal="right" vertical="bottom"/>
    </xf>
    <xf borderId="9" fillId="0" fontId="15" numFmtId="0" xfId="0" applyAlignment="1" applyBorder="1" applyFont="1">
      <alignment horizontal="right" vertical="bottom"/>
    </xf>
    <xf borderId="10" fillId="0" fontId="5" numFmtId="0" xfId="0" applyAlignment="1" applyBorder="1" applyFont="1">
      <alignment readingOrder="0" shrinkToFit="0" vertical="bottom" wrapText="0"/>
    </xf>
    <xf borderId="9" fillId="0" fontId="3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0" fillId="0" fontId="15" numFmtId="3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5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900.0</v>
      </c>
      <c r="E6" s="33">
        <v>900.0</v>
      </c>
      <c r="F6" s="34" t="s">
        <v>18</v>
      </c>
      <c r="G6" s="32" t="s">
        <v>19</v>
      </c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 t="s">
        <v>16</v>
      </c>
      <c r="C7" s="32" t="s">
        <v>17</v>
      </c>
      <c r="D7" s="35">
        <v>900.0</v>
      </c>
      <c r="E7" s="35">
        <v>900.0</v>
      </c>
      <c r="F7" s="34" t="s">
        <v>20</v>
      </c>
      <c r="G7" s="32" t="s">
        <v>19</v>
      </c>
      <c r="H7" s="32"/>
      <c r="I7" s="32"/>
      <c r="J7" s="35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4" t="s">
        <v>21</v>
      </c>
      <c r="C8" s="32" t="s">
        <v>17</v>
      </c>
      <c r="D8" s="35">
        <v>1100.0</v>
      </c>
      <c r="E8" s="35">
        <v>1100.0</v>
      </c>
      <c r="F8" s="34" t="s">
        <v>22</v>
      </c>
      <c r="G8" s="32" t="s">
        <v>19</v>
      </c>
      <c r="H8" s="32"/>
      <c r="I8" s="32"/>
      <c r="J8" s="35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4" t="s">
        <v>23</v>
      </c>
      <c r="C9" s="32" t="s">
        <v>17</v>
      </c>
      <c r="D9" s="35">
        <v>1100.0</v>
      </c>
      <c r="E9" s="35">
        <v>1100.0</v>
      </c>
      <c r="F9" s="34" t="s">
        <v>24</v>
      </c>
      <c r="G9" s="32" t="s">
        <v>19</v>
      </c>
      <c r="H9" s="32"/>
      <c r="I9" s="32"/>
      <c r="J9" s="35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4" t="s">
        <v>23</v>
      </c>
      <c r="C10" s="32" t="s">
        <v>17</v>
      </c>
      <c r="D10" s="35">
        <v>1100.0</v>
      </c>
      <c r="E10" s="35">
        <v>1100.0</v>
      </c>
      <c r="F10" s="34" t="s">
        <v>25</v>
      </c>
      <c r="G10" s="32" t="s">
        <v>19</v>
      </c>
      <c r="H10" s="32"/>
      <c r="I10" s="32"/>
      <c r="J10" s="35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IFERROR(__xludf.DUMMYFUNCTION("""COMPUTED_VALUE"""),"Select Date")</f>
        <v>Select Date</v>
      </c>
      <c r="C5" s="36" t="str">
        <f>IFERROR(__xludf.DUMMYFUNCTION("""COMPUTED_VALUE"""),"Copy From")</f>
        <v>Copy From</v>
      </c>
      <c r="D5" s="36"/>
      <c r="E5" s="36"/>
      <c r="F5" s="37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>
        <f t="shared" ref="B6:C6" si="1">today()-1</f>
        <v>45113</v>
      </c>
      <c r="C6" s="39">
        <f t="shared" si="1"/>
        <v>45113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29</v>
      </c>
      <c r="D6" s="41">
        <v>100000.0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29</v>
      </c>
      <c r="D7" s="35">
        <v>100000.0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4" t="s">
        <v>22</v>
      </c>
      <c r="C8" s="32" t="s">
        <v>29</v>
      </c>
      <c r="D8" s="35">
        <v>100000.0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4" t="s">
        <v>24</v>
      </c>
      <c r="C9" s="32" t="s">
        <v>29</v>
      </c>
      <c r="D9" s="35">
        <v>100000.0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4" t="s">
        <v>25</v>
      </c>
      <c r="C10" s="32" t="s">
        <v>29</v>
      </c>
      <c r="D10" s="35">
        <v>100000.0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IFERROR(__xludf.DUMMYFUNCTION("""COMPUTED_VALUE"""),"Symbol")</f>
        <v>Symbol</v>
      </c>
      <c r="C5" s="36" t="str">
        <f>IFERROR(__xludf.DUMMYFUNCTION("""COMPUTED_VALUE"""),"User Px")</f>
        <v>User Px</v>
      </c>
      <c r="D5" s="36" t="str">
        <f>IFERROR(__xludf.DUMMYFUNCTION("""COMPUTED_VALUE"""),"Asset Class")</f>
        <v>Asset Class</v>
      </c>
      <c r="E5" s="36" t="str">
        <f>IFERROR(__xludf.DUMMYFUNCTION("""COMPUTED_VALUE"""),"Volatility(%)")</f>
        <v>Volatility(%)</v>
      </c>
      <c r="F5" s="37" t="str">
        <f>IFERROR(__xludf.DUMMYFUNCTION("""COMPUTED_VALUE"""),"Historical Volatility")</f>
        <v>Historical Volatility</v>
      </c>
      <c r="G5" s="36" t="str">
        <f>IFERROR(__xludf.DUMMYFUNCTION("""COMPUTED_VALUE"""),"User Volatility")</f>
        <v>User Volatility</v>
      </c>
      <c r="H5" s="36" t="str">
        <f>IFERROR(__xludf.DUMMYFUNCTION("""COMPUTED_VALUE"""),"Interest Rate")</f>
        <v>Interest Rate</v>
      </c>
      <c r="I5" s="36" t="str">
        <f>IFERROR(__xludf.DUMMYFUNCTION("""COMPUTED_VALUE"""),"User Interest Rate")</f>
        <v>User Interest Rate</v>
      </c>
      <c r="J5" s="36" t="str">
        <f>IFERROR(__xludf.DUMMYFUNCTION("""COMPUTED_VALUE"""),"Dividend Yield")</f>
        <v>Dividend Yield</v>
      </c>
      <c r="K5" s="36" t="str">
        <f>IFERROR(__xludf.DUMMYFUNCTION("""COMPUTED_VALUE"""),"User Dividend Yield")</f>
        <v>User Dividend Yield</v>
      </c>
      <c r="L5" s="36" t="str">
        <f>IFERROR(__xludf.DUMMYFUNCTION("""COMPUTED_VALUE"""),"Actual Delta")</f>
        <v>Actual Delta</v>
      </c>
      <c r="M5" s="36" t="str">
        <f>IFERROR(__xludf.DUMMYFUNCTION("""COMPUTED_VALUE"""),"User Delta")</f>
        <v>User Delta</v>
      </c>
      <c r="N5" s="36" t="str">
        <f>IFERROR(__xludf.DUMMYFUNCTION("""COMPUTED_VALUE"""),"Selected Px")</f>
        <v>Selected Px</v>
      </c>
      <c r="O5" s="36" t="str">
        <f>IFERROR(__xludf.DUMMYFUNCTION("""COMPUTED_VALUE"""),"Forward Points")</f>
        <v>Forward Points</v>
      </c>
      <c r="P5" s="36" t="str">
        <f>IFERROR(__xludf.DUMMYFUNCTION("""COMPUTED_VALUE"""),"Shares Outstanding")</f>
        <v>Shares Outstanding</v>
      </c>
      <c r="Q5" s="36" t="str">
        <f>IFERROR(__xludf.DUMMYFUNCTION("""COMPUTED_VALUE"""),"User Shares Outstanding")</f>
        <v>User Shares Outstanding</v>
      </c>
      <c r="R5" s="36" t="str">
        <f>IFERROR(__xludf.DUMMYFUNCTION("""COMPUTED_VALUE"""),"LastPriceUsed")</f>
        <v>LastPriceUsed</v>
      </c>
      <c r="S5" s="36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23</v>
      </c>
      <c r="C8" s="1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IFERROR(__xludf.DUMMYFUNCTION("""COMPUTED_VALUE"""),"Ticker")</f>
        <v>Ticker</v>
      </c>
      <c r="C5" s="36" t="str">
        <f>IFERROR(__xludf.DUMMYFUNCTION("""COMPUTED_VALUE"""),"Add/Set")</f>
        <v>Add/Set</v>
      </c>
      <c r="D5" s="36" t="str">
        <f>IFERROR(__xludf.DUMMYFUNCTION("""COMPUTED_VALUE"""),"Type")</f>
        <v>Type</v>
      </c>
      <c r="E5" s="36" t="str">
        <f>IFERROR(__xludf.DUMMYFUNCTION("""COMPUTED_VALUE"""),"Target")</f>
        <v>Target</v>
      </c>
      <c r="F5" s="37" t="str">
        <f>IFERROR(__xludf.DUMMYFUNCTION("""COMPUTED_VALUE"""),"Price")</f>
        <v>Price</v>
      </c>
      <c r="G5" s="36" t="str">
        <f>IFERROR(__xludf.DUMMYFUNCTION("""COMPUTED_VALUE"""),"Combined Account Total")</f>
        <v>Combined Account Total</v>
      </c>
      <c r="H5" s="36" t="str">
        <f>IFERROR(__xludf.DUMMYFUNCTION("""COMPUTED_VALUE"""),"MasterFund/Account")</f>
        <v>MasterFund/Account</v>
      </c>
      <c r="I5" s="36" t="str">
        <f>IFERROR(__xludf.DUMMYFUNCTION("""COMPUTED_VALUE"""),"Accounts")</f>
        <v>Accounts</v>
      </c>
      <c r="J5" s="36" t="str">
        <f>IFERROR(__xludf.DUMMYFUNCTION("""COMPUTED_VALUE"""),"Master Funds")</f>
        <v>Master Funds</v>
      </c>
      <c r="K5" s="36" t="str">
        <f>IFERROR(__xludf.DUMMYFUNCTION("""COMPUTED_VALUE"""),"Round Lots")</f>
        <v>Round Lots</v>
      </c>
      <c r="L5" s="36"/>
      <c r="M5" s="36"/>
      <c r="N5" s="36"/>
      <c r="O5" s="36"/>
      <c r="P5" s="36"/>
      <c r="Q5" s="36"/>
      <c r="R5" s="36"/>
      <c r="S5" s="36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16</v>
      </c>
      <c r="C6" s="40" t="s">
        <v>33</v>
      </c>
      <c r="D6" s="38" t="s">
        <v>34</v>
      </c>
      <c r="E6" s="43">
        <v>1000.0</v>
      </c>
      <c r="F6" s="43">
        <v>10.0</v>
      </c>
      <c r="G6" s="40" t="s">
        <v>35</v>
      </c>
      <c r="H6" s="40" t="s">
        <v>36</v>
      </c>
      <c r="I6" s="44" t="s">
        <v>18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IFERROR(__xludf.DUMMYFUNCTION("""COMPUTED_VALUE"""),"Account Name")</f>
        <v>Account Name</v>
      </c>
      <c r="C5" s="36" t="str">
        <f>IFERROR(__xludf.DUMMYFUNCTION("""COMPUTED_VALUE"""),"Account NAV")</f>
        <v>Account NAV</v>
      </c>
      <c r="D5" s="36" t="str">
        <f>IFERROR(__xludf.DUMMYFUNCTION("""COMPUTED_VALUE"""),"Starting Position")</f>
        <v>Starting Position</v>
      </c>
      <c r="E5" s="36" t="str">
        <f>IFERROR(__xludf.DUMMYFUNCTION("""COMPUTED_VALUE"""),"Starting Value")</f>
        <v>Starting Value</v>
      </c>
      <c r="F5" s="37" t="str">
        <f>IFERROR(__xludf.DUMMYFUNCTION("""COMPUTED_VALUE"""),"Starting %")</f>
        <v>Starting %</v>
      </c>
      <c r="G5" s="36" t="str">
        <f>IFERROR(__xludf.DUMMYFUNCTION("""COMPUTED_VALUE"""),"% Change")</f>
        <v>% Change</v>
      </c>
      <c r="H5" s="36" t="str">
        <f>IFERROR(__xludf.DUMMYFUNCTION("""COMPUTED_VALUE"""),"Ending %")</f>
        <v>Ending %</v>
      </c>
      <c r="I5" s="36" t="str">
        <f>IFERROR(__xludf.DUMMYFUNCTION("""COMPUTED_VALUE"""),"Trade Quantity")</f>
        <v>Trade Quantity</v>
      </c>
      <c r="J5" s="36" t="str">
        <f>IFERROR(__xludf.DUMMYFUNCTION("""COMPUTED_VALUE"""),"Ending Position")</f>
        <v>Ending Position</v>
      </c>
      <c r="K5" s="36" t="str">
        <f>IFERROR(__xludf.DUMMYFUNCTION("""COMPUTED_VALUE"""),"Ending Value")</f>
        <v>Ending Value</v>
      </c>
      <c r="L5" s="36" t="str">
        <f>IFERROR(__xludf.DUMMYFUNCTION("""COMPUTED_VALUE"""),"% Allocation")</f>
        <v>% Allocation</v>
      </c>
      <c r="M5" s="36" t="str">
        <f>IFERROR(__xludf.DUMMYFUNCTION("""COMPUTED_VALUE"""),"Fx Rate")</f>
        <v>Fx Rate</v>
      </c>
      <c r="N5" s="36" t="str">
        <f>IFERROR(__xludf.DUMMYFUNCTION("""COMPUTED_VALUE"""),"Starting BP")</f>
        <v>Starting BP</v>
      </c>
      <c r="O5" s="36" t="str">
        <f>IFERROR(__xludf.DUMMYFUNCTION("""COMPUTED_VALUE"""),"BP Change")</f>
        <v>BP Change</v>
      </c>
      <c r="P5" s="36" t="str">
        <f>IFERROR(__xludf.DUMMYFUNCTION("""COMPUTED_VALUE"""),"Ending BP")</f>
        <v>Ending BP</v>
      </c>
      <c r="Q5" s="36" t="str">
        <f>IFERROR(__xludf.DUMMYFUNCTION("""COMPUTED_VALUE"""),"MasterFund Name")</f>
        <v>MasterFund Name</v>
      </c>
      <c r="R5" s="36" t="str">
        <f>IFERROR(__xludf.DUMMYFUNCTION("""COMPUTED_VALUE"""),"Order Side")</f>
        <v>Order Side</v>
      </c>
      <c r="S5" s="36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45" t="s">
        <v>38</v>
      </c>
      <c r="B6" s="45" t="s">
        <v>18</v>
      </c>
      <c r="C6" s="8">
        <v>100000.0</v>
      </c>
      <c r="D6" s="45">
        <v>900.0</v>
      </c>
      <c r="E6" s="8">
        <v>9000.0</v>
      </c>
      <c r="F6" s="8" t="s">
        <v>38</v>
      </c>
      <c r="G6" s="8" t="s">
        <v>38</v>
      </c>
      <c r="H6" s="8" t="s">
        <v>38</v>
      </c>
      <c r="I6" s="8">
        <v>100.0</v>
      </c>
      <c r="J6" s="8">
        <v>1000.0</v>
      </c>
      <c r="K6" s="8">
        <v>10000.0</v>
      </c>
      <c r="L6" s="8">
        <v>100.0</v>
      </c>
      <c r="M6" s="8" t="s">
        <v>38</v>
      </c>
      <c r="N6" s="8">
        <v>900.0</v>
      </c>
      <c r="O6" s="8">
        <v>100.0</v>
      </c>
      <c r="P6">
        <v>1000.0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  <c r="AM6" t="s">
        <v>38</v>
      </c>
      <c r="AN6" t="s">
        <v>38</v>
      </c>
      <c r="AO6" t="s">
        <v>38</v>
      </c>
      <c r="AP6" t="s">
        <v>38</v>
      </c>
      <c r="AQ6" t="s">
        <v>38</v>
      </c>
      <c r="AR6" t="s">
        <v>38</v>
      </c>
      <c r="AS6" t="s">
        <v>38</v>
      </c>
      <c r="AT6" t="s">
        <v>38</v>
      </c>
      <c r="AU6" t="s">
        <v>38</v>
      </c>
      <c r="AV6" t="s">
        <v>38</v>
      </c>
      <c r="AW6" t="s">
        <v>38</v>
      </c>
      <c r="AX6" t="s">
        <v>38</v>
      </c>
      <c r="AY6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38</v>
      </c>
      <c r="BE6" t="s">
        <v>38</v>
      </c>
      <c r="BF6" t="s">
        <v>38</v>
      </c>
      <c r="BG6" t="s">
        <v>38</v>
      </c>
      <c r="BH6" t="s">
        <v>38</v>
      </c>
      <c r="BI6" t="s">
        <v>38</v>
      </c>
      <c r="BJ6" t="s">
        <v>38</v>
      </c>
      <c r="BK6" t="s">
        <v>38</v>
      </c>
      <c r="BL6" t="s">
        <v>38</v>
      </c>
      <c r="BM6" t="s">
        <v>38</v>
      </c>
      <c r="BN6" t="s">
        <v>38</v>
      </c>
      <c r="BO6" t="s">
        <v>38</v>
      </c>
      <c r="BP6" t="s">
        <v>38</v>
      </c>
      <c r="BQ6" t="s">
        <v>38</v>
      </c>
      <c r="BR6" t="s">
        <v>38</v>
      </c>
      <c r="BS6" t="s">
        <v>38</v>
      </c>
      <c r="BT6" t="s">
        <v>38</v>
      </c>
      <c r="BU6" t="s">
        <v>38</v>
      </c>
      <c r="BV6" t="s">
        <v>38</v>
      </c>
      <c r="BW6" t="s">
        <v>38</v>
      </c>
      <c r="BX6" t="s">
        <v>38</v>
      </c>
      <c r="BY6" t="s">
        <v>38</v>
      </c>
      <c r="BZ6" t="s">
        <v>38</v>
      </c>
      <c r="CA6" t="s">
        <v>38</v>
      </c>
      <c r="CB6" t="s">
        <v>38</v>
      </c>
      <c r="CC6" t="s">
        <v>38</v>
      </c>
      <c r="CD6" t="s">
        <v>38</v>
      </c>
      <c r="CE6" t="s">
        <v>38</v>
      </c>
      <c r="CF6" t="s">
        <v>38</v>
      </c>
      <c r="CG6" t="s">
        <v>38</v>
      </c>
      <c r="CH6" t="s">
        <v>38</v>
      </c>
      <c r="CI6" t="s">
        <v>38</v>
      </c>
      <c r="CJ6" t="s">
        <v>38</v>
      </c>
      <c r="CK6" t="s">
        <v>38</v>
      </c>
      <c r="CL6" t="s">
        <v>38</v>
      </c>
      <c r="CM6" t="s">
        <v>38</v>
      </c>
      <c r="CN6" t="s">
        <v>38</v>
      </c>
      <c r="CO6" t="s">
        <v>38</v>
      </c>
      <c r="CP6" t="s">
        <v>38</v>
      </c>
      <c r="CQ6" t="s">
        <v>38</v>
      </c>
      <c r="CR6" t="s">
        <v>38</v>
      </c>
      <c r="CS6" t="s">
        <v>38</v>
      </c>
      <c r="CT6" t="s">
        <v>38</v>
      </c>
      <c r="CU6" t="s">
        <v>38</v>
      </c>
      <c r="CV6" t="s">
        <v>38</v>
      </c>
      <c r="CW6" t="s">
        <v>38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IFERROR(__xludf.DUMMYFUNCTION("""COMPUTED_VALUE"""),"Ticker")</f>
        <v>Ticker</v>
      </c>
      <c r="C5" s="36" t="str">
        <f>IFERROR(__xludf.DUMMYFUNCTION("""COMPUTED_VALUE"""),"Add/Set")</f>
        <v>Add/Set</v>
      </c>
      <c r="D5" s="36" t="str">
        <f>IFERROR(__xludf.DUMMYFUNCTION("""COMPUTED_VALUE"""),"Type")</f>
        <v>Type</v>
      </c>
      <c r="E5" s="36" t="str">
        <f>IFERROR(__xludf.DUMMYFUNCTION("""COMPUTED_VALUE"""),"Target")</f>
        <v>Target</v>
      </c>
      <c r="F5" s="37" t="str">
        <f>IFERROR(__xludf.DUMMYFUNCTION("""COMPUTED_VALUE"""),"Price")</f>
        <v>Price</v>
      </c>
      <c r="G5" s="36" t="str">
        <f>IFERROR(__xludf.DUMMYFUNCTION("""COMPUTED_VALUE"""),"Combined Account Total")</f>
        <v>Combined Account Total</v>
      </c>
      <c r="H5" s="36" t="str">
        <f>IFERROR(__xludf.DUMMYFUNCTION("""COMPUTED_VALUE"""),"MasterFund/Account")</f>
        <v>MasterFund/Account</v>
      </c>
      <c r="I5" s="36" t="str">
        <f>IFERROR(__xludf.DUMMYFUNCTION("""COMPUTED_VALUE"""),"Accounts")</f>
        <v>Accounts</v>
      </c>
      <c r="J5" s="36" t="str">
        <f>IFERROR(__xludf.DUMMYFUNCTION("""COMPUTED_VALUE"""),"MTT POP UP?")</f>
        <v>MTT POP UP?</v>
      </c>
      <c r="K5" s="36"/>
      <c r="L5" s="36"/>
      <c r="M5" s="36"/>
      <c r="N5" s="36"/>
      <c r="O5" s="36"/>
      <c r="P5" s="36"/>
      <c r="Q5" s="36"/>
      <c r="R5" s="36"/>
      <c r="S5" s="36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16</v>
      </c>
      <c r="C6" s="40" t="s">
        <v>33</v>
      </c>
      <c r="D6" s="38" t="s">
        <v>34</v>
      </c>
      <c r="E6" s="43">
        <v>1000.0</v>
      </c>
      <c r="F6" s="43">
        <v>10.0</v>
      </c>
      <c r="G6" s="40" t="s">
        <v>35</v>
      </c>
      <c r="H6" s="40" t="s">
        <v>36</v>
      </c>
      <c r="I6" s="44" t="s">
        <v>18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IFERROR(__xludf.DUMMYFUNCTION("""COMPUTED_VALUE"""),"Symbol")</f>
        <v>Symbol</v>
      </c>
      <c r="C5" s="36" t="str">
        <f>IFERROR(__xludf.DUMMYFUNCTION("""COMPUTED_VALUE"""),"Order Side")</f>
        <v>Order Side</v>
      </c>
      <c r="D5" s="36" t="str">
        <f>IFERROR(__xludf.DUMMYFUNCTION("""COMPUTED_VALUE"""),"Quantity")</f>
        <v>Quantity</v>
      </c>
      <c r="E5" s="36" t="str">
        <f>IFERROR(__xludf.DUMMYFUNCTION("""COMPUTED_VALUE"""),"TargetQuantityIn")</f>
        <v>TargetQuantityIn</v>
      </c>
      <c r="F5" s="37" t="str">
        <f>IFERROR(__xludf.DUMMYFUNCTION("""COMPUTED_VALUE"""),"AllocationMethod")</f>
        <v>AllocationMethod</v>
      </c>
      <c r="G5" s="36" t="str">
        <f>IFERROR(__xludf.DUMMYFUNCTION("""COMPUTED_VALUE"""),"Broker")</f>
        <v>Broker</v>
      </c>
      <c r="H5" s="36" t="str">
        <f>IFERROR(__xludf.DUMMYFUNCTION("""COMPUTED_VALUE"""),"TIF")</f>
        <v>TIF</v>
      </c>
      <c r="I5" s="36" t="str">
        <f>IFERROR(__xludf.DUMMYFUNCTION("""COMPUTED_VALUE"""),"Order Type")</f>
        <v>Order Type</v>
      </c>
      <c r="J5" s="36" t="str">
        <f>IFERROR(__xludf.DUMMYFUNCTION("""COMPUTED_VALUE"""),"Price")</f>
        <v>Price</v>
      </c>
      <c r="K5" s="36" t="str">
        <f>IFERROR(__xludf.DUMMYFUNCTION("""COMPUTED_VALUE"""),"Stop")</f>
        <v>Stop</v>
      </c>
      <c r="L5" s="36" t="str">
        <f>IFERROR(__xludf.DUMMYFUNCTION("""COMPUTED_VALUE"""),"Limit")</f>
        <v>Limit</v>
      </c>
      <c r="M5" s="36" t="str">
        <f>IFERROR(__xludf.DUMMYFUNCTION("""COMPUTED_VALUE"""),"Strategy")</f>
        <v>Strategy</v>
      </c>
      <c r="N5" s="36" t="str">
        <f>IFERROR(__xludf.DUMMYFUNCTION("""COMPUTED_VALUE"""),"Trade Date")</f>
        <v>Trade Date</v>
      </c>
      <c r="O5" s="36" t="str">
        <f>IFERROR(__xludf.DUMMYFUNCTION("""COMPUTED_VALUE"""),"FxRate")</f>
        <v>FxRate</v>
      </c>
      <c r="P5" s="36" t="str">
        <f>IFERROR(__xludf.DUMMYFUNCTION("""COMPUTED_VALUE"""),"Notes")</f>
        <v>Notes</v>
      </c>
      <c r="Q5" s="36" t="str">
        <f>IFERROR(__xludf.DUMMYFUNCTION("""COMPUTED_VALUE"""),"Broker Notes")</f>
        <v>Broker Notes</v>
      </c>
      <c r="R5" s="36" t="str">
        <f>IFERROR(__xludf.DUMMYFUNCTION("""COMPUTED_VALUE"""),"CommissionBasis")</f>
        <v>CommissionBasis</v>
      </c>
      <c r="S5" s="36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16</v>
      </c>
      <c r="C6" s="40" t="s">
        <v>17</v>
      </c>
      <c r="D6" s="46">
        <v>100.0</v>
      </c>
      <c r="E6" s="46">
        <v>100.0</v>
      </c>
      <c r="F6" s="40"/>
      <c r="G6" s="40" t="s">
        <v>19</v>
      </c>
      <c r="H6" s="40"/>
      <c r="I6" s="40"/>
      <c r="J6" s="43">
        <v>10.0</v>
      </c>
      <c r="K6" s="40"/>
      <c r="L6" s="40"/>
      <c r="M6" s="40"/>
      <c r="N6" s="40"/>
      <c r="O6" s="40"/>
      <c r="P6" s="40"/>
      <c r="Q6" s="40"/>
      <c r="R6" s="40"/>
      <c r="S6" s="4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IFERROR(__xludf.DUMMYFUNCTION("""COMPUTED_VALUE"""),"Trade Date")</f>
        <v>Trade Date</v>
      </c>
      <c r="C5" s="36" t="str">
        <f>IFERROR(__xludf.DUMMYFUNCTION("""COMPUTED_VALUE"""),"Symbol")</f>
        <v>Symbol</v>
      </c>
      <c r="D5" s="36" t="str">
        <f>IFERROR(__xludf.DUMMYFUNCTION("""COMPUTED_VALUE"""),"Position")</f>
        <v>Position</v>
      </c>
      <c r="E5" s="36" t="str">
        <f>IFERROR(__xludf.DUMMYFUNCTION("""COMPUTED_VALUE"""),"Account")</f>
        <v>Account</v>
      </c>
      <c r="F5" s="37" t="str">
        <f>IFERROR(__xludf.DUMMYFUNCTION("""COMPUTED_VALUE"""),"MasterFund")</f>
        <v>MasterFund</v>
      </c>
      <c r="G5" s="36" t="str">
        <f>IFERROR(__xludf.DUMMYFUNCTION("""COMPUTED_VALUE"""),"Cost Basis")</f>
        <v>Cost Basis</v>
      </c>
      <c r="H5" s="36" t="str">
        <f>IFERROR(__xludf.DUMMYFUNCTION("""COMPUTED_VALUE"""),"Position Side")</f>
        <v>Position Side</v>
      </c>
      <c r="I5" s="36" t="str">
        <f>IFERROR(__xludf.DUMMYFUNCTION("""COMPUTED_VALUE"""),"Market Value (Base)")</f>
        <v>Market Value (Base)</v>
      </c>
      <c r="J5" s="36" t="str">
        <f>IFERROR(__xludf.DUMMYFUNCTION("""COMPUTED_VALUE"""),"% Day P&amp;L (Gross MV)")</f>
        <v>% Day P&amp;L (Gross MV)</v>
      </c>
      <c r="K5" s="36" t="str">
        <f>IFERROR(__xludf.DUMMYFUNCTION("""COMPUTED_VALUE"""),"Net Exposure (Base)")</f>
        <v>Net Exposure (Base)</v>
      </c>
      <c r="L5" s="36" t="str">
        <f>IFERROR(__xludf.DUMMYFUNCTION("""COMPUTED_VALUE"""),"Beta Adj. Gross Exposure (Base)")</f>
        <v>Beta Adj. Gross Exposure (Base)</v>
      </c>
      <c r="M5" s="36" t="str">
        <f>IFERROR(__xludf.DUMMYFUNCTION("""COMPUTED_VALUE"""),"Beta Adj. Gross Exposure (Underlying) (Base)")</f>
        <v>Beta Adj. Gross Exposure (Underlying) (Base)</v>
      </c>
      <c r="N5" s="36" t="str">
        <f>IFERROR(__xludf.DUMMYFUNCTION("""COMPUTED_VALUE"""),"Day P&amp;L (Base)")</f>
        <v>Day P&amp;L (Base)</v>
      </c>
      <c r="O5" s="36" t="str">
        <f>IFERROR(__xludf.DUMMYFUNCTION("""COMPUTED_VALUE"""),"Security Name")</f>
        <v>Security Name</v>
      </c>
      <c r="P5" s="36" t="str">
        <f>IFERROR(__xludf.DUMMYFUNCTION("""COMPUTED_VALUE"""),"Closing Mark")</f>
        <v>Closing Mark</v>
      </c>
      <c r="Q5" s="36" t="str">
        <f>IFERROR(__xludf.DUMMYFUNCTION("""COMPUTED_VALUE"""),"Cost Basis P&amp;L (Base)")</f>
        <v>Cost Basis P&amp;L (Base)</v>
      </c>
      <c r="R5" s="36" t="str">
        <f>IFERROR(__xludf.DUMMYFUNCTION("""COMPUTED_VALUE"""),"Prime Broker")</f>
        <v>Prime Broker</v>
      </c>
      <c r="S5" s="36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38</v>
      </c>
      <c r="B6" s="47"/>
      <c r="C6" s="32" t="s">
        <v>16</v>
      </c>
      <c r="D6" s="47">
        <v>100.0</v>
      </c>
      <c r="E6" s="32" t="s">
        <v>18</v>
      </c>
      <c r="F6" s="32" t="s">
        <v>42</v>
      </c>
      <c r="G6" s="47">
        <v>10.0</v>
      </c>
      <c r="H6" s="48" t="s">
        <v>43</v>
      </c>
      <c r="I6" s="49">
        <v>1000.0</v>
      </c>
      <c r="J6" s="50"/>
      <c r="K6" s="49"/>
      <c r="L6" s="49"/>
      <c r="M6" s="47"/>
      <c r="N6" s="49"/>
      <c r="O6" s="32" t="s">
        <v>44</v>
      </c>
      <c r="P6" s="32" t="s">
        <v>45</v>
      </c>
      <c r="Q6" s="49"/>
      <c r="R6" s="32" t="s">
        <v>46</v>
      </c>
      <c r="S6" s="32" t="s">
        <v>47</v>
      </c>
      <c r="T6" s="32" t="s">
        <v>48</v>
      </c>
      <c r="U6" s="32" t="s">
        <v>49</v>
      </c>
      <c r="V6" s="32" t="s">
        <v>50</v>
      </c>
      <c r="W6" s="32" t="s">
        <v>29</v>
      </c>
      <c r="X6" s="47"/>
      <c r="Y6" s="47">
        <v>1.0</v>
      </c>
      <c r="Z6" s="32"/>
      <c r="AA6" s="32"/>
      <c r="AB6" s="50"/>
      <c r="AC6" s="50"/>
      <c r="AD6" s="49"/>
      <c r="AE6" s="49"/>
      <c r="AF6" s="50"/>
      <c r="AG6" s="49"/>
      <c r="AH6" s="49"/>
      <c r="AI6" s="49"/>
      <c r="AJ6" s="49"/>
      <c r="AK6" s="49"/>
      <c r="AL6" s="47"/>
      <c r="AM6" s="50"/>
      <c r="AN6" s="31" t="s">
        <v>17</v>
      </c>
      <c r="AO6" s="32"/>
      <c r="AP6" s="32"/>
      <c r="AQ6" s="32" t="s">
        <v>16</v>
      </c>
      <c r="AR6" s="50">
        <v>10.0</v>
      </c>
      <c r="AS6" s="50"/>
      <c r="AT6" s="32"/>
      <c r="AU6" s="32"/>
      <c r="AV6" s="50"/>
      <c r="AW6" s="50"/>
      <c r="AX6" s="50"/>
      <c r="AY6" s="50"/>
      <c r="AZ6" s="49"/>
      <c r="BA6" s="50"/>
      <c r="BB6" s="50"/>
      <c r="BC6" s="47"/>
      <c r="BD6" s="49"/>
      <c r="BE6" s="32"/>
      <c r="BF6" s="32"/>
      <c r="BG6" s="32"/>
      <c r="BH6" s="32"/>
      <c r="BI6" s="50"/>
      <c r="BJ6" s="50"/>
      <c r="BK6" s="50"/>
      <c r="BL6" s="50"/>
      <c r="BM6" s="50"/>
      <c r="BN6" s="50"/>
      <c r="BO6" s="49"/>
      <c r="BP6" s="50"/>
      <c r="BQ6" s="32" t="s">
        <v>51</v>
      </c>
      <c r="BR6" s="32" t="s">
        <v>19</v>
      </c>
      <c r="BS6" s="50"/>
      <c r="BT6" s="50"/>
      <c r="BU6" s="32"/>
      <c r="BV6" s="32"/>
      <c r="BW6" s="50"/>
      <c r="BX6" s="49"/>
      <c r="BY6" s="49"/>
      <c r="BZ6" s="50"/>
      <c r="CA6" s="50"/>
      <c r="CB6" s="50"/>
      <c r="CC6" s="50"/>
      <c r="CD6" s="49"/>
      <c r="CE6" s="50"/>
      <c r="CF6" s="50"/>
      <c r="CG6" s="49"/>
      <c r="CH6" s="50"/>
      <c r="CI6" s="50"/>
      <c r="CJ6" s="50"/>
      <c r="CK6" s="51"/>
      <c r="CL6" s="32"/>
      <c r="CM6" s="32"/>
      <c r="CN6" s="32"/>
      <c r="CO6" s="32"/>
      <c r="CP6" s="32"/>
      <c r="CQ6" s="32"/>
      <c r="CR6" s="50"/>
      <c r="CS6" s="50"/>
      <c r="CT6" s="32"/>
      <c r="CU6" s="32"/>
      <c r="CV6" s="32"/>
      <c r="CW6" s="32"/>
      <c r="CX6" s="32"/>
      <c r="CY6" s="32"/>
      <c r="CZ6" s="32"/>
      <c r="DA6" s="49"/>
      <c r="DB6" s="50"/>
      <c r="DC6" s="50"/>
      <c r="DD6" s="50"/>
      <c r="DE6" s="52"/>
      <c r="DF6" s="50"/>
      <c r="DG6" s="50"/>
      <c r="DH6" s="32"/>
      <c r="DI6" s="50"/>
      <c r="DJ6" s="32"/>
      <c r="DK6" s="50"/>
      <c r="DL6" s="50"/>
      <c r="DM6" s="50"/>
      <c r="DN6" s="50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50"/>
      <c r="EG6" s="47"/>
      <c r="EH6" s="47"/>
      <c r="EI6" s="47"/>
      <c r="EJ6" s="31"/>
      <c r="EK6" s="31"/>
      <c r="EL6" s="32"/>
      <c r="EM6" s="48"/>
      <c r="EN6" s="48"/>
      <c r="EO6" s="32"/>
      <c r="EP6" s="48"/>
      <c r="EQ6" s="48"/>
      <c r="ER6" s="48"/>
      <c r="ES6" s="48" t="s">
        <v>38</v>
      </c>
      <c r="ET6" s="32"/>
      <c r="EU6" s="32" t="s">
        <v>38</v>
      </c>
      <c r="EV6" s="48" t="s">
        <v>38</v>
      </c>
      <c r="EW6" s="48" t="s">
        <v>38</v>
      </c>
      <c r="EX6" s="32" t="s">
        <v>38</v>
      </c>
      <c r="EY6" s="32" t="s">
        <v>38</v>
      </c>
      <c r="EZ6" s="32" t="s">
        <v>38</v>
      </c>
      <c r="FA6" s="32" t="s">
        <v>38</v>
      </c>
      <c r="FB6" s="32" t="s">
        <v>38</v>
      </c>
      <c r="FC6" s="32"/>
      <c r="FD6" s="50"/>
      <c r="FE6" s="32"/>
      <c r="FF6" s="50"/>
      <c r="FG6" s="50"/>
      <c r="FH6" s="50"/>
      <c r="FI6" s="32"/>
      <c r="FJ6" s="32"/>
      <c r="FK6" s="32"/>
      <c r="FL6" s="32"/>
      <c r="FM6" s="32" t="s">
        <v>38</v>
      </c>
      <c r="FN6" s="32" t="s">
        <v>38</v>
      </c>
      <c r="FO6" s="32" t="s">
        <v>38</v>
      </c>
      <c r="FP6" s="32" t="s">
        <v>38</v>
      </c>
      <c r="FQ6" s="32" t="s">
        <v>38</v>
      </c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4"/>
      <c r="LO6" s="53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4"/>
      <c r="RW6" s="53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3"/>
      <c r="SQ6" s="53"/>
      <c r="SR6" s="53"/>
      <c r="SS6" s="53"/>
      <c r="ST6" s="53"/>
      <c r="SU6" s="53"/>
      <c r="SV6" s="53"/>
      <c r="SW6" s="53"/>
      <c r="SX6" s="53"/>
      <c r="SY6" s="53"/>
      <c r="SZ6" s="53"/>
      <c r="TA6" s="53"/>
      <c r="TB6" s="53"/>
      <c r="TC6" s="53"/>
      <c r="TD6" s="53"/>
      <c r="TE6" s="53"/>
      <c r="TF6" s="53"/>
      <c r="TG6" s="53"/>
      <c r="TH6" s="53"/>
      <c r="TI6" s="53"/>
      <c r="TJ6" s="53"/>
      <c r="TK6" s="53"/>
      <c r="TL6" s="53"/>
      <c r="TM6" s="53"/>
      <c r="TN6" s="53"/>
      <c r="TO6" s="53"/>
      <c r="TP6" s="53"/>
      <c r="TQ6" s="53"/>
      <c r="TR6" s="53"/>
      <c r="TS6" s="53"/>
      <c r="TT6" s="53"/>
      <c r="TU6" s="53"/>
      <c r="TV6" s="53"/>
      <c r="TW6" s="53"/>
      <c r="TX6" s="53"/>
      <c r="TY6" s="53"/>
      <c r="TZ6" s="53"/>
      <c r="UA6" s="53"/>
      <c r="UB6" s="53"/>
      <c r="UC6" s="53"/>
      <c r="UD6" s="53"/>
      <c r="UE6" s="53"/>
      <c r="UF6" s="53"/>
      <c r="UG6" s="53"/>
      <c r="UH6" s="53"/>
      <c r="UI6" s="53"/>
      <c r="UJ6" s="53"/>
      <c r="UK6" s="53"/>
      <c r="UL6" s="53"/>
      <c r="UM6" s="53"/>
      <c r="UN6" s="53"/>
      <c r="UO6" s="53"/>
      <c r="UP6" s="53"/>
      <c r="UQ6" s="53"/>
      <c r="UR6" s="53"/>
      <c r="US6" s="53"/>
      <c r="UT6" s="53"/>
      <c r="UU6" s="53"/>
      <c r="UV6" s="53"/>
      <c r="UW6" s="53"/>
      <c r="UX6" s="53"/>
      <c r="UY6" s="53"/>
      <c r="UZ6" s="53"/>
      <c r="VA6" s="53"/>
      <c r="VB6" s="53"/>
      <c r="VC6" s="53"/>
      <c r="VD6" s="53"/>
      <c r="VE6" s="53"/>
      <c r="VF6" s="53"/>
      <c r="VG6" s="53"/>
      <c r="VH6" s="53"/>
      <c r="VI6" s="53"/>
      <c r="VJ6" s="53"/>
      <c r="VK6" s="53"/>
      <c r="VL6" s="53"/>
      <c r="VM6" s="53"/>
      <c r="VN6" s="53"/>
      <c r="VO6" s="53"/>
      <c r="VP6" s="53"/>
      <c r="VQ6" s="53"/>
      <c r="VR6" s="53"/>
      <c r="VS6" s="53"/>
      <c r="VT6" s="53"/>
      <c r="VU6" s="53"/>
      <c r="VV6" s="53"/>
      <c r="VW6" s="53"/>
      <c r="VX6" s="53"/>
      <c r="VY6" s="53"/>
      <c r="VZ6" s="53"/>
      <c r="WA6" s="53"/>
      <c r="WB6" s="53"/>
      <c r="WC6" s="53"/>
      <c r="WD6" s="53"/>
      <c r="WE6" s="53"/>
      <c r="WF6" s="53"/>
      <c r="WG6" s="53"/>
      <c r="WH6" s="53"/>
      <c r="WI6" s="53"/>
      <c r="WJ6" s="53"/>
      <c r="WK6" s="53"/>
      <c r="WL6" s="53"/>
      <c r="WM6" s="53"/>
      <c r="WN6" s="53"/>
      <c r="WO6" s="53"/>
      <c r="WP6" s="53"/>
      <c r="WQ6" s="53"/>
      <c r="WR6" s="53"/>
      <c r="WS6" s="53"/>
      <c r="WT6" s="53"/>
      <c r="WU6" s="53"/>
      <c r="WV6" s="53"/>
      <c r="WW6" s="53"/>
      <c r="WX6" s="53"/>
      <c r="WY6" s="53"/>
      <c r="WZ6" s="53"/>
      <c r="XA6" s="53"/>
      <c r="XB6" s="53"/>
      <c r="XC6" s="53"/>
      <c r="XD6" s="53"/>
      <c r="XE6" s="53"/>
      <c r="XF6" s="53"/>
      <c r="XG6" s="53"/>
      <c r="XH6" s="53"/>
      <c r="XI6" s="53"/>
      <c r="XJ6" s="53"/>
      <c r="XK6" s="53"/>
      <c r="XL6" s="53"/>
      <c r="XM6" s="53"/>
      <c r="XN6" s="53"/>
      <c r="XO6" s="53"/>
      <c r="XP6" s="53"/>
      <c r="XQ6" s="53"/>
      <c r="XR6" s="53"/>
      <c r="XS6" s="53"/>
      <c r="XT6" s="53"/>
      <c r="XU6" s="53"/>
      <c r="XV6" s="53"/>
      <c r="XW6" s="53"/>
      <c r="XX6" s="53"/>
      <c r="XY6" s="53"/>
      <c r="XZ6" s="53"/>
      <c r="YA6" s="53"/>
      <c r="YB6" s="53"/>
      <c r="YC6" s="53"/>
      <c r="YD6" s="54"/>
      <c r="YE6" s="53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3"/>
      <c r="YY6" s="53"/>
      <c r="YZ6" s="53"/>
      <c r="ZA6" s="53"/>
      <c r="ZB6" s="53"/>
      <c r="ZC6" s="53"/>
      <c r="ZD6" s="53"/>
      <c r="ZE6" s="53"/>
      <c r="ZF6" s="53"/>
      <c r="ZG6" s="53"/>
      <c r="ZH6" s="53"/>
      <c r="ZI6" s="53"/>
      <c r="ZJ6" s="53"/>
      <c r="ZK6" s="53"/>
      <c r="ZL6" s="53"/>
      <c r="ZM6" s="53"/>
      <c r="ZN6" s="53"/>
      <c r="ZO6" s="53"/>
      <c r="ZP6" s="53"/>
      <c r="ZQ6" s="53"/>
      <c r="ZR6" s="53"/>
      <c r="ZS6" s="53"/>
      <c r="ZT6" s="53"/>
      <c r="ZU6" s="53"/>
      <c r="ZV6" s="53"/>
      <c r="ZW6" s="53"/>
      <c r="ZX6" s="53"/>
      <c r="ZY6" s="53"/>
      <c r="ZZ6" s="53"/>
      <c r="AAA6" s="53"/>
      <c r="AAB6" s="53"/>
      <c r="AAC6" s="53"/>
      <c r="AAD6" s="53"/>
      <c r="AAE6" s="53"/>
      <c r="AAF6" s="53"/>
      <c r="AAG6" s="53"/>
      <c r="AAH6" s="53"/>
      <c r="AAI6" s="53"/>
      <c r="AAJ6" s="53"/>
      <c r="AAK6" s="53"/>
      <c r="AAL6" s="53"/>
      <c r="AAM6" s="53"/>
      <c r="AAN6" s="53"/>
      <c r="AAO6" s="53"/>
      <c r="AAP6" s="53"/>
      <c r="AAQ6" s="53"/>
      <c r="AAR6" s="53"/>
      <c r="AAS6" s="53"/>
      <c r="AAT6" s="53"/>
      <c r="AAU6" s="53"/>
      <c r="AAV6" s="53"/>
      <c r="AAW6" s="53"/>
      <c r="AAX6" s="53"/>
      <c r="AAY6" s="53"/>
      <c r="AAZ6" s="53"/>
      <c r="ABA6" s="53"/>
      <c r="ABB6" s="53"/>
      <c r="ABC6" s="53"/>
      <c r="ABD6" s="53"/>
      <c r="ABE6" s="53"/>
      <c r="ABF6" s="53"/>
      <c r="ABG6" s="53"/>
      <c r="ABH6" s="53"/>
      <c r="ABI6" s="53"/>
      <c r="ABJ6" s="53"/>
      <c r="ABK6" s="53"/>
      <c r="ABL6" s="53"/>
      <c r="ABM6" s="53"/>
      <c r="ABN6" s="53"/>
      <c r="ABO6" s="53"/>
      <c r="ABP6" s="53"/>
      <c r="ABQ6" s="53"/>
      <c r="ABR6" s="53"/>
      <c r="ABS6" s="53"/>
      <c r="ABT6" s="53"/>
      <c r="ABU6" s="53"/>
      <c r="ABV6" s="53"/>
      <c r="ABW6" s="53"/>
      <c r="ABX6" s="53"/>
      <c r="ABY6" s="53"/>
      <c r="ABZ6" s="53"/>
      <c r="ACA6" s="53"/>
      <c r="ACB6" s="53"/>
      <c r="ACC6" s="53"/>
      <c r="ACD6" s="53"/>
      <c r="ACE6" s="53"/>
      <c r="ACF6" s="53"/>
      <c r="ACG6" s="53"/>
      <c r="ACH6" s="53"/>
      <c r="ACI6" s="53"/>
      <c r="ACJ6" s="53"/>
      <c r="ACK6" s="53"/>
      <c r="ACL6" s="53"/>
      <c r="ACM6" s="53"/>
      <c r="ACN6" s="53"/>
      <c r="ACO6" s="53"/>
      <c r="ACP6" s="53"/>
      <c r="ACQ6" s="53"/>
      <c r="ACR6" s="53"/>
      <c r="ACS6" s="53"/>
      <c r="ACT6" s="53"/>
      <c r="ACU6" s="53"/>
      <c r="ACV6" s="53"/>
      <c r="ACW6" s="53"/>
      <c r="ACX6" s="53"/>
      <c r="ACY6" s="53"/>
      <c r="ACZ6" s="53"/>
      <c r="ADA6" s="53"/>
      <c r="ADB6" s="53"/>
      <c r="ADC6" s="53"/>
      <c r="ADD6" s="53"/>
      <c r="ADE6" s="53"/>
      <c r="ADF6" s="53"/>
      <c r="ADG6" s="53"/>
      <c r="ADH6" s="53"/>
      <c r="ADI6" s="53"/>
      <c r="ADJ6" s="53"/>
      <c r="ADK6" s="53"/>
      <c r="ADL6" s="53"/>
      <c r="ADM6" s="53"/>
      <c r="ADN6" s="53"/>
      <c r="ADO6" s="53"/>
      <c r="ADP6" s="53"/>
      <c r="ADQ6" s="53"/>
      <c r="ADR6" s="53"/>
      <c r="ADS6" s="53"/>
      <c r="ADT6" s="53"/>
      <c r="ADU6" s="53"/>
      <c r="ADV6" s="53"/>
      <c r="ADW6" s="53"/>
      <c r="ADX6" s="53"/>
      <c r="ADY6" s="53"/>
      <c r="ADZ6" s="53"/>
      <c r="AEA6" s="53"/>
      <c r="AEB6" s="53"/>
      <c r="AEC6" s="53"/>
      <c r="AED6" s="53"/>
      <c r="AEE6" s="53"/>
      <c r="AEF6" s="53"/>
      <c r="AEG6" s="53"/>
      <c r="AEH6" s="53"/>
      <c r="AEI6" s="53"/>
      <c r="AEJ6" s="53"/>
      <c r="AEK6" s="53"/>
      <c r="AEL6" s="54"/>
      <c r="AEM6" s="53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3"/>
      <c r="AFG6" s="53"/>
      <c r="AFH6" s="53"/>
      <c r="AFI6" s="53"/>
      <c r="AFJ6" s="53"/>
      <c r="AFK6" s="53"/>
      <c r="AFL6" s="53"/>
      <c r="AFM6" s="53"/>
      <c r="AFN6" s="53"/>
      <c r="AFO6" s="53"/>
      <c r="AFP6" s="53"/>
      <c r="AFQ6" s="53"/>
      <c r="AFR6" s="53"/>
      <c r="AFS6" s="53"/>
      <c r="AFT6" s="53"/>
      <c r="AFU6" s="53"/>
      <c r="AFV6" s="53"/>
      <c r="AFW6" s="53"/>
      <c r="AFX6" s="53"/>
      <c r="AFY6" s="53"/>
      <c r="AFZ6" s="53"/>
      <c r="AGA6" s="53"/>
      <c r="AGB6" s="53"/>
      <c r="AGC6" s="53"/>
      <c r="AGD6" s="53"/>
      <c r="AGE6" s="53"/>
      <c r="AGF6" s="53"/>
      <c r="AGG6" s="53"/>
      <c r="AGH6" s="53"/>
      <c r="AGI6" s="53"/>
      <c r="AGJ6" s="53"/>
      <c r="AGK6" s="53"/>
      <c r="AGL6" s="53"/>
      <c r="AGM6" s="53"/>
      <c r="AGN6" s="53"/>
      <c r="AGO6" s="53"/>
      <c r="AGP6" s="53"/>
      <c r="AGQ6" s="53"/>
      <c r="AGR6" s="53"/>
      <c r="AGS6" s="53"/>
      <c r="AGT6" s="53"/>
      <c r="AGU6" s="53"/>
      <c r="AGV6" s="53"/>
      <c r="AGW6" s="53"/>
      <c r="AGX6" s="53"/>
      <c r="AGY6" s="53"/>
      <c r="AGZ6" s="53"/>
      <c r="AHA6" s="53"/>
      <c r="AHB6" s="53"/>
      <c r="AHC6" s="53"/>
      <c r="AHD6" s="53"/>
      <c r="AHE6" s="53"/>
      <c r="AHF6" s="53"/>
      <c r="AHG6" s="53"/>
      <c r="AHH6" s="53"/>
      <c r="AHI6" s="53"/>
      <c r="AHJ6" s="53"/>
      <c r="AHK6" s="53"/>
      <c r="AHL6" s="53"/>
      <c r="AHM6" s="53"/>
      <c r="AHN6" s="53"/>
      <c r="AHO6" s="53"/>
      <c r="AHP6" s="53"/>
      <c r="AHQ6" s="53"/>
      <c r="AHR6" s="53"/>
      <c r="AHS6" s="53"/>
      <c r="AHT6" s="53"/>
      <c r="AHU6" s="53"/>
      <c r="AHV6" s="53"/>
      <c r="AHW6" s="53"/>
      <c r="AHX6" s="53"/>
      <c r="AHY6" s="53"/>
      <c r="AHZ6" s="53"/>
      <c r="AIA6" s="53"/>
      <c r="AIB6" s="53"/>
      <c r="AIC6" s="53"/>
      <c r="AID6" s="53"/>
      <c r="AIE6" s="53"/>
      <c r="AIF6" s="53"/>
      <c r="AIG6" s="53"/>
      <c r="AIH6" s="53"/>
      <c r="AII6" s="53"/>
      <c r="AIJ6" s="53"/>
      <c r="AIK6" s="53"/>
      <c r="AIL6" s="53"/>
      <c r="AIM6" s="53"/>
      <c r="AIN6" s="53"/>
      <c r="AIO6" s="53"/>
      <c r="AIP6" s="53"/>
      <c r="AIQ6" s="53"/>
      <c r="AIR6" s="53"/>
      <c r="AIS6" s="53"/>
      <c r="AIT6" s="53"/>
      <c r="AIU6" s="53"/>
      <c r="AIV6" s="53"/>
      <c r="AIW6" s="53"/>
      <c r="AIX6" s="53"/>
      <c r="AIY6" s="53"/>
      <c r="AIZ6" s="53"/>
      <c r="AJA6" s="53"/>
      <c r="AJB6" s="53"/>
      <c r="AJC6" s="53"/>
      <c r="AJD6" s="53"/>
      <c r="AJE6" s="53"/>
      <c r="AJF6" s="53"/>
      <c r="AJG6" s="53"/>
      <c r="AJH6" s="53"/>
      <c r="AJI6" s="53"/>
      <c r="AJJ6" s="53"/>
      <c r="AJK6" s="53"/>
      <c r="AJL6" s="53"/>
      <c r="AJM6" s="53"/>
      <c r="AJN6" s="53"/>
      <c r="AJO6" s="53"/>
      <c r="AJP6" s="53"/>
      <c r="AJQ6" s="53"/>
      <c r="AJR6" s="53"/>
      <c r="AJS6" s="53"/>
      <c r="AJT6" s="53"/>
      <c r="AJU6" s="53"/>
      <c r="AJV6" s="53"/>
      <c r="AJW6" s="53"/>
      <c r="AJX6" s="53"/>
      <c r="AJY6" s="53"/>
      <c r="AJZ6" s="53"/>
      <c r="AKA6" s="53"/>
      <c r="AKB6" s="53"/>
      <c r="AKC6" s="53"/>
      <c r="AKD6" s="53"/>
      <c r="AKE6" s="53"/>
      <c r="AKF6" s="53"/>
      <c r="AKG6" s="53"/>
      <c r="AKH6" s="53"/>
      <c r="AKI6" s="53"/>
      <c r="AKJ6" s="53"/>
      <c r="AKK6" s="53"/>
      <c r="AKL6" s="53"/>
      <c r="AKM6" s="53"/>
      <c r="AKN6" s="53"/>
      <c r="AKO6" s="53"/>
      <c r="AKP6" s="53"/>
      <c r="AKQ6" s="53"/>
      <c r="AKR6" s="53"/>
      <c r="AKS6" s="53"/>
      <c r="AKT6" s="54"/>
      <c r="AKU6" s="53"/>
      <c r="AKV6" s="53"/>
      <c r="AKW6" s="53"/>
      <c r="AKX6" s="53"/>
      <c r="AKY6" s="53"/>
      <c r="AKZ6" s="53"/>
      <c r="ALA6" s="53"/>
      <c r="ALB6" s="53"/>
      <c r="ALC6" s="53"/>
      <c r="ALD6" s="53"/>
      <c r="ALE6" s="53"/>
      <c r="ALF6" s="53"/>
      <c r="ALG6" s="53"/>
      <c r="ALH6" s="53"/>
      <c r="ALI6" s="53"/>
      <c r="ALJ6" s="53"/>
      <c r="ALK6" s="53"/>
      <c r="ALL6" s="53"/>
      <c r="ALM6" s="53"/>
      <c r="ALN6" s="53"/>
      <c r="ALO6" s="53"/>
      <c r="ALP6" s="53"/>
      <c r="ALQ6" s="53"/>
      <c r="ALR6" s="53"/>
      <c r="ALS6" s="53"/>
      <c r="ALT6" s="53"/>
      <c r="ALU6" s="53"/>
      <c r="ALV6" s="53"/>
      <c r="ALW6" s="53"/>
      <c r="ALX6" s="53"/>
      <c r="ALY6" s="53"/>
      <c r="ALZ6" s="53"/>
      <c r="AMA6" s="53"/>
      <c r="AMB6" s="53"/>
      <c r="AMC6" s="53"/>
      <c r="AMD6" s="53"/>
      <c r="AME6" s="53"/>
      <c r="AMF6" s="53"/>
      <c r="AMG6" s="53"/>
      <c r="AMH6" s="53"/>
      <c r="AMI6" s="53"/>
      <c r="AMJ6" s="53"/>
      <c r="AMK6" s="53"/>
    </row>
    <row r="7" ht="15.75" customHeight="1">
      <c r="A7" s="8"/>
      <c r="B7" s="8"/>
      <c r="C7" s="8"/>
      <c r="D7" s="8"/>
      <c r="E7" s="8"/>
      <c r="F7" s="55"/>
      <c r="G7" s="13"/>
      <c r="H7" s="56"/>
      <c r="I7" s="57"/>
      <c r="J7" s="8"/>
      <c r="K7" s="57"/>
      <c r="L7" s="57"/>
      <c r="M7" s="58"/>
      <c r="N7" s="57"/>
      <c r="O7" s="55"/>
      <c r="P7" s="55"/>
      <c r="Q7" s="57"/>
      <c r="R7" s="55"/>
      <c r="S7" s="55"/>
      <c r="T7" s="55"/>
      <c r="U7" s="55"/>
      <c r="V7" s="55"/>
      <c r="W7" s="55"/>
      <c r="AB7" s="59"/>
      <c r="AC7" s="59"/>
      <c r="AD7" s="57"/>
      <c r="AE7" s="57"/>
      <c r="AF7" s="59"/>
      <c r="AG7" s="57"/>
      <c r="AH7" s="57"/>
      <c r="AI7" s="57"/>
      <c r="AJ7" s="60"/>
      <c r="AK7" s="57"/>
      <c r="AM7" s="59"/>
      <c r="AN7" s="58"/>
      <c r="AO7" s="32"/>
      <c r="AP7" s="55"/>
      <c r="AQ7" s="55"/>
      <c r="AR7" s="59"/>
      <c r="AS7" s="59"/>
      <c r="AV7" s="59"/>
      <c r="AW7" s="59"/>
      <c r="AX7" s="59"/>
      <c r="AY7" s="59"/>
      <c r="AZ7" s="57"/>
      <c r="BA7" s="59"/>
      <c r="BD7" s="57"/>
      <c r="BE7" s="55"/>
      <c r="BF7" s="55"/>
      <c r="BG7" s="55"/>
      <c r="BJ7" s="59"/>
      <c r="BK7" s="59"/>
      <c r="BL7" s="59"/>
      <c r="BM7" s="59"/>
      <c r="BO7" s="57"/>
      <c r="BP7" s="59"/>
      <c r="BQ7" s="55"/>
      <c r="BR7" s="55"/>
      <c r="BS7" s="59"/>
      <c r="BT7" s="59"/>
      <c r="BU7" s="55"/>
      <c r="BX7" s="57"/>
      <c r="BY7" s="57"/>
      <c r="BZ7" s="59"/>
      <c r="CA7" s="59"/>
      <c r="CC7" s="59"/>
      <c r="CD7" s="57"/>
      <c r="CE7" s="59"/>
      <c r="CF7" s="59"/>
      <c r="CG7" s="57"/>
      <c r="CH7" s="59"/>
      <c r="CI7" s="59"/>
      <c r="CJ7" s="59"/>
      <c r="CK7" s="61"/>
      <c r="CP7" s="55"/>
      <c r="DA7" s="57"/>
      <c r="DB7" s="59"/>
      <c r="DD7" s="59"/>
      <c r="DE7" s="62"/>
      <c r="DF7" s="59"/>
      <c r="DG7" s="59"/>
      <c r="DH7" s="55"/>
      <c r="DI7" s="59"/>
      <c r="DJ7" s="55"/>
      <c r="DK7" s="59"/>
      <c r="DL7" s="59"/>
      <c r="DM7" s="59"/>
      <c r="DN7" s="59"/>
      <c r="DO7" s="32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9"/>
      <c r="EG7" s="59"/>
      <c r="EH7" s="59"/>
      <c r="EI7" s="59"/>
      <c r="EJ7" s="58"/>
      <c r="EK7" s="58"/>
      <c r="EL7" s="55"/>
      <c r="EM7" s="57"/>
      <c r="EN7" s="57"/>
      <c r="EO7" s="59"/>
      <c r="EP7" s="57"/>
      <c r="EQ7" s="57"/>
      <c r="ER7" s="57"/>
      <c r="ES7" s="57"/>
      <c r="ET7" s="59"/>
      <c r="EU7" s="59"/>
      <c r="EV7" s="56"/>
      <c r="EW7" s="57"/>
    </row>
    <row r="8" ht="15.75" customHeight="1">
      <c r="A8" s="32"/>
      <c r="B8" s="32"/>
      <c r="C8" s="63"/>
      <c r="D8" s="64"/>
      <c r="E8" s="63"/>
      <c r="F8" s="32"/>
      <c r="G8" s="35"/>
      <c r="H8" s="63"/>
      <c r="I8" s="35"/>
      <c r="J8" s="32"/>
      <c r="K8" s="35"/>
      <c r="L8" s="35"/>
      <c r="M8" s="35"/>
      <c r="N8" s="64"/>
      <c r="O8" s="63"/>
      <c r="P8" s="63"/>
      <c r="Q8" s="64"/>
      <c r="R8" s="63"/>
      <c r="S8" s="63"/>
      <c r="T8" s="63"/>
      <c r="U8" s="63"/>
      <c r="V8" s="63"/>
      <c r="W8" s="63"/>
      <c r="X8" s="64"/>
      <c r="Y8" s="50"/>
      <c r="Z8" s="32"/>
      <c r="AA8" s="32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3"/>
      <c r="AO8" s="63"/>
      <c r="AP8" s="63"/>
      <c r="AQ8" s="63"/>
      <c r="AR8" s="64"/>
      <c r="AS8" s="64"/>
      <c r="AT8" s="32"/>
      <c r="AU8" s="32"/>
      <c r="AV8" s="64"/>
      <c r="AW8" s="64"/>
      <c r="AX8" s="64"/>
      <c r="AY8" s="64"/>
      <c r="AZ8" s="64"/>
      <c r="BA8" s="64"/>
      <c r="BB8" s="32"/>
      <c r="BC8" s="64"/>
      <c r="BD8" s="64"/>
      <c r="BE8" s="63"/>
      <c r="BF8" s="63"/>
      <c r="BG8" s="63"/>
      <c r="BH8" s="63"/>
      <c r="BI8" s="63"/>
      <c r="BJ8" s="64"/>
      <c r="BK8" s="64"/>
      <c r="BL8" s="64"/>
      <c r="BM8" s="64"/>
      <c r="BN8" s="32"/>
      <c r="BO8" s="64"/>
      <c r="BP8" s="64"/>
      <c r="BQ8" s="63"/>
      <c r="BR8" s="63"/>
      <c r="BS8" s="64"/>
      <c r="BT8" s="64"/>
      <c r="BU8" s="63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5"/>
      <c r="CL8" s="32"/>
      <c r="CM8" s="32"/>
      <c r="CN8" s="32"/>
      <c r="CO8" s="32"/>
      <c r="CP8" s="32"/>
      <c r="CQ8" s="32"/>
      <c r="CR8" s="32"/>
      <c r="CS8" s="50"/>
      <c r="CT8" s="32"/>
      <c r="CU8" s="32"/>
      <c r="CV8" s="32"/>
      <c r="CW8" s="32"/>
      <c r="CX8" s="32"/>
      <c r="CY8" s="63"/>
      <c r="CZ8" s="63"/>
      <c r="DA8" s="64"/>
      <c r="DB8" s="64"/>
      <c r="DC8" s="64"/>
      <c r="DD8" s="64"/>
      <c r="DE8" s="64"/>
      <c r="DF8" s="64"/>
      <c r="DG8" s="64"/>
      <c r="DH8" s="63"/>
      <c r="DI8" s="64"/>
      <c r="DJ8" s="63"/>
      <c r="DK8" s="64"/>
      <c r="DL8" s="64"/>
      <c r="DM8" s="64"/>
      <c r="DN8" s="64"/>
      <c r="DO8" s="32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4"/>
      <c r="EG8" s="64"/>
      <c r="EH8" s="64"/>
      <c r="EI8" s="64"/>
      <c r="EJ8" s="64"/>
      <c r="EK8" s="64"/>
      <c r="EL8" s="63"/>
      <c r="EM8" s="64"/>
      <c r="EN8" s="64"/>
      <c r="EO8" s="64"/>
      <c r="EP8" s="64"/>
      <c r="EQ8" s="50"/>
      <c r="ER8" s="50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IFERROR(__xludf.DUMMYFUNCTION("""COMPUTED_VALUE"""),"Ticker")</f>
        <v>Ticker</v>
      </c>
      <c r="C5" s="36" t="str">
        <f>IFERROR(__xludf.DUMMYFUNCTION("""COMPUTED_VALUE"""),"Add/Set")</f>
        <v>Add/Set</v>
      </c>
      <c r="D5" s="36" t="str">
        <f>IFERROR(__xludf.DUMMYFUNCTION("""COMPUTED_VALUE"""),"Type")</f>
        <v>Type</v>
      </c>
      <c r="E5" s="36" t="str">
        <f>IFERROR(__xludf.DUMMYFUNCTION("""COMPUTED_VALUE"""),"Target")</f>
        <v>Target</v>
      </c>
      <c r="F5" s="37" t="str">
        <f>IFERROR(__xludf.DUMMYFUNCTION("""COMPUTED_VALUE"""),"Price")</f>
        <v>Price</v>
      </c>
      <c r="G5" s="36" t="str">
        <f>IFERROR(__xludf.DUMMYFUNCTION("""COMPUTED_VALUE"""),"Combined Account Total")</f>
        <v>Combined Account Total</v>
      </c>
      <c r="H5" s="36" t="str">
        <f>IFERROR(__xludf.DUMMYFUNCTION("""COMPUTED_VALUE"""),"MasterFund/Account")</f>
        <v>MasterFund/Account</v>
      </c>
      <c r="I5" s="36" t="str">
        <f>IFERROR(__xludf.DUMMYFUNCTION("""COMPUTED_VALUE"""),"Accounts")</f>
        <v>Accounts</v>
      </c>
      <c r="J5" s="36" t="str">
        <f>IFERROR(__xludf.DUMMYFUNCTION("""COMPUTED_VALUE"""),"Master Funds")</f>
        <v>Master Funds</v>
      </c>
      <c r="K5" s="36" t="str">
        <f>IFERROR(__xludf.DUMMYFUNCTION("""COMPUTED_VALUE"""),"Round Lots")</f>
        <v>Round Lots</v>
      </c>
      <c r="L5" s="36"/>
      <c r="M5" s="36"/>
      <c r="N5" s="36"/>
      <c r="O5" s="36"/>
      <c r="P5" s="36"/>
      <c r="Q5" s="36"/>
      <c r="R5" s="36"/>
      <c r="S5" s="36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6"/>
      <c r="B6" s="67" t="s">
        <v>16</v>
      </c>
      <c r="C6" s="68" t="s">
        <v>33</v>
      </c>
      <c r="D6" s="67" t="s">
        <v>34</v>
      </c>
      <c r="E6" s="69">
        <v>1000.0</v>
      </c>
      <c r="F6" s="69">
        <v>10.0</v>
      </c>
      <c r="G6" s="68" t="s">
        <v>35</v>
      </c>
      <c r="H6" s="68" t="s">
        <v>36</v>
      </c>
      <c r="I6" s="70" t="s">
        <v>52</v>
      </c>
      <c r="J6" s="68"/>
      <c r="K6" s="68"/>
      <c r="L6" s="68"/>
      <c r="M6" s="68"/>
      <c r="N6" s="68"/>
      <c r="O6" s="68"/>
      <c r="P6" s="68"/>
      <c r="Q6" s="68"/>
      <c r="R6" s="68"/>
      <c r="S6" s="6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IFERROR(__xludf.DUMMYFUNCTION("""COMPUTED_VALUE"""),"Account Name")</f>
        <v>Account Name</v>
      </c>
      <c r="C5" s="36" t="str">
        <f>IFERROR(__xludf.DUMMYFUNCTION("""COMPUTED_VALUE"""),"Account NAV")</f>
        <v>Account NAV</v>
      </c>
      <c r="D5" s="36" t="str">
        <f>IFERROR(__xludf.DUMMYFUNCTION("""COMPUTED_VALUE"""),"Starting Position")</f>
        <v>Starting Position</v>
      </c>
      <c r="E5" s="36" t="str">
        <f>IFERROR(__xludf.DUMMYFUNCTION("""COMPUTED_VALUE"""),"Starting Value")</f>
        <v>Starting Value</v>
      </c>
      <c r="F5" s="37" t="str">
        <f>IFERROR(__xludf.DUMMYFUNCTION("""COMPUTED_VALUE"""),"Starting %")</f>
        <v>Starting %</v>
      </c>
      <c r="G5" s="36" t="str">
        <f>IFERROR(__xludf.DUMMYFUNCTION("""COMPUTED_VALUE"""),"% Change")</f>
        <v>% Change</v>
      </c>
      <c r="H5" s="36" t="str">
        <f>IFERROR(__xludf.DUMMYFUNCTION("""COMPUTED_VALUE"""),"Ending %")</f>
        <v>Ending %</v>
      </c>
      <c r="I5" s="36" t="str">
        <f>IFERROR(__xludf.DUMMYFUNCTION("""COMPUTED_VALUE"""),"Trade Quantity")</f>
        <v>Trade Quantity</v>
      </c>
      <c r="J5" s="36" t="str">
        <f>IFERROR(__xludf.DUMMYFUNCTION("""COMPUTED_VALUE"""),"Ending Position")</f>
        <v>Ending Position</v>
      </c>
      <c r="K5" s="36" t="str">
        <f>IFERROR(__xludf.DUMMYFUNCTION("""COMPUTED_VALUE"""),"Ending Value")</f>
        <v>Ending Value</v>
      </c>
      <c r="L5" s="36" t="str">
        <f>IFERROR(__xludf.DUMMYFUNCTION("""COMPUTED_VALUE"""),"% Allocation")</f>
        <v>% Allocation</v>
      </c>
      <c r="M5" s="36" t="str">
        <f>IFERROR(__xludf.DUMMYFUNCTION("""COMPUTED_VALUE"""),"Fx Rate")</f>
        <v>Fx Rate</v>
      </c>
      <c r="N5" s="36" t="str">
        <f>IFERROR(__xludf.DUMMYFUNCTION("""COMPUTED_VALUE"""),"Starting BP")</f>
        <v>Starting BP</v>
      </c>
      <c r="O5" s="36" t="str">
        <f>IFERROR(__xludf.DUMMYFUNCTION("""COMPUTED_VALUE"""),"BP Change")</f>
        <v>BP Change</v>
      </c>
      <c r="P5" s="36" t="str">
        <f>IFERROR(__xludf.DUMMYFUNCTION("""COMPUTED_VALUE"""),"Ending BP")</f>
        <v>Ending BP</v>
      </c>
      <c r="Q5" s="36" t="str">
        <f>IFERROR(__xludf.DUMMYFUNCTION("""COMPUTED_VALUE"""),"MasterFund Name")</f>
        <v>MasterFund Name</v>
      </c>
      <c r="R5" s="36" t="str">
        <f>IFERROR(__xludf.DUMMYFUNCTION("""COMPUTED_VALUE"""),"Order Side")</f>
        <v>Order Side</v>
      </c>
      <c r="S5" s="36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1" t="s">
        <v>38</v>
      </c>
      <c r="B6" s="31" t="s">
        <v>18</v>
      </c>
      <c r="C6" s="35">
        <v>100000.0</v>
      </c>
      <c r="D6" s="41">
        <v>900.0</v>
      </c>
      <c r="E6" s="35">
        <v>9000.0</v>
      </c>
      <c r="F6" s="32" t="s">
        <v>38</v>
      </c>
      <c r="G6" s="32" t="s">
        <v>38</v>
      </c>
      <c r="H6" s="32" t="s">
        <v>38</v>
      </c>
      <c r="I6" s="35">
        <v>100.0</v>
      </c>
      <c r="J6" s="35">
        <v>1000.0</v>
      </c>
      <c r="K6" s="35">
        <v>10000.0</v>
      </c>
      <c r="L6" s="35">
        <v>50.0</v>
      </c>
      <c r="M6" s="32" t="s">
        <v>38</v>
      </c>
      <c r="N6" s="35">
        <v>450.0</v>
      </c>
      <c r="O6" s="35">
        <v>50.0</v>
      </c>
      <c r="P6" s="50">
        <v>500.0</v>
      </c>
      <c r="Q6" s="32" t="s">
        <v>38</v>
      </c>
      <c r="R6" s="32" t="s">
        <v>38</v>
      </c>
      <c r="S6" s="32" t="s">
        <v>38</v>
      </c>
      <c r="T6" s="32" t="s">
        <v>38</v>
      </c>
      <c r="U6" s="32" t="s">
        <v>38</v>
      </c>
      <c r="V6" s="32" t="s">
        <v>38</v>
      </c>
      <c r="W6" s="32" t="s">
        <v>38</v>
      </c>
      <c r="X6" s="32" t="s">
        <v>38</v>
      </c>
      <c r="Y6" s="32" t="s">
        <v>38</v>
      </c>
      <c r="Z6" s="32" t="s">
        <v>38</v>
      </c>
      <c r="AA6" s="32" t="s">
        <v>38</v>
      </c>
      <c r="AB6" s="32" t="s">
        <v>38</v>
      </c>
      <c r="AC6" s="32" t="s">
        <v>38</v>
      </c>
      <c r="AD6" s="32" t="s">
        <v>38</v>
      </c>
      <c r="AE6" s="32" t="s">
        <v>38</v>
      </c>
      <c r="AF6" s="32" t="s">
        <v>38</v>
      </c>
      <c r="AG6" s="32" t="s">
        <v>38</v>
      </c>
      <c r="AH6" s="32" t="s">
        <v>38</v>
      </c>
      <c r="AI6" s="32" t="s">
        <v>38</v>
      </c>
      <c r="AJ6" s="32" t="s">
        <v>38</v>
      </c>
      <c r="AK6" s="32" t="s">
        <v>38</v>
      </c>
      <c r="AL6" s="32" t="s">
        <v>38</v>
      </c>
      <c r="AM6" s="32" t="s">
        <v>38</v>
      </c>
      <c r="AN6" s="32" t="s">
        <v>38</v>
      </c>
      <c r="AO6" s="32" t="s">
        <v>38</v>
      </c>
      <c r="AP6" s="32" t="s">
        <v>38</v>
      </c>
      <c r="AQ6" s="32" t="s">
        <v>38</v>
      </c>
      <c r="AR6" s="32" t="s">
        <v>38</v>
      </c>
      <c r="AS6" s="32" t="s">
        <v>38</v>
      </c>
      <c r="AT6" s="32" t="s">
        <v>38</v>
      </c>
      <c r="AU6" s="32" t="s">
        <v>38</v>
      </c>
      <c r="AV6" s="32" t="s">
        <v>38</v>
      </c>
      <c r="AW6" s="32" t="s">
        <v>38</v>
      </c>
      <c r="AX6" s="32" t="s">
        <v>38</v>
      </c>
      <c r="AY6" s="32" t="s">
        <v>38</v>
      </c>
      <c r="AZ6" s="32" t="s">
        <v>38</v>
      </c>
      <c r="BA6" s="32" t="s">
        <v>38</v>
      </c>
      <c r="BB6" s="32" t="s">
        <v>38</v>
      </c>
      <c r="BC6" s="32" t="s">
        <v>38</v>
      </c>
      <c r="BD6" s="32" t="s">
        <v>38</v>
      </c>
      <c r="BE6" s="32" t="s">
        <v>38</v>
      </c>
      <c r="BF6" s="32" t="s">
        <v>38</v>
      </c>
      <c r="BG6" s="32" t="s">
        <v>38</v>
      </c>
      <c r="BH6" s="32" t="s">
        <v>38</v>
      </c>
      <c r="BI6" s="32" t="s">
        <v>38</v>
      </c>
      <c r="BJ6" s="32" t="s">
        <v>38</v>
      </c>
      <c r="BK6" s="32" t="s">
        <v>38</v>
      </c>
      <c r="BL6" s="32" t="s">
        <v>38</v>
      </c>
      <c r="BM6" s="32" t="s">
        <v>38</v>
      </c>
      <c r="BN6" s="32" t="s">
        <v>38</v>
      </c>
      <c r="BO6" s="32" t="s">
        <v>38</v>
      </c>
      <c r="BP6" s="32" t="s">
        <v>38</v>
      </c>
      <c r="BQ6" s="32" t="s">
        <v>38</v>
      </c>
      <c r="BR6" s="32" t="s">
        <v>38</v>
      </c>
      <c r="BS6" s="32" t="s">
        <v>38</v>
      </c>
      <c r="BT6" s="32" t="s">
        <v>38</v>
      </c>
      <c r="BU6" s="32" t="s">
        <v>38</v>
      </c>
      <c r="BV6" s="32" t="s">
        <v>38</v>
      </c>
      <c r="BW6" s="32" t="s">
        <v>38</v>
      </c>
      <c r="BX6" s="32" t="s">
        <v>38</v>
      </c>
      <c r="BY6" s="32" t="s">
        <v>38</v>
      </c>
      <c r="BZ6" s="32" t="s">
        <v>38</v>
      </c>
      <c r="CA6" s="32" t="s">
        <v>38</v>
      </c>
      <c r="CB6" s="32" t="s">
        <v>38</v>
      </c>
      <c r="CC6" s="32" t="s">
        <v>38</v>
      </c>
      <c r="CD6" s="32" t="s">
        <v>38</v>
      </c>
      <c r="CE6" s="32" t="s">
        <v>38</v>
      </c>
      <c r="CF6" s="32" t="s">
        <v>38</v>
      </c>
      <c r="CG6" s="32" t="s">
        <v>38</v>
      </c>
      <c r="CH6" s="32" t="s">
        <v>38</v>
      </c>
      <c r="CI6" s="32" t="s">
        <v>38</v>
      </c>
      <c r="CJ6" s="32" t="s">
        <v>38</v>
      </c>
      <c r="CK6" s="32" t="s">
        <v>38</v>
      </c>
      <c r="CL6" s="32" t="s">
        <v>38</v>
      </c>
      <c r="CM6" s="32" t="s">
        <v>38</v>
      </c>
      <c r="CN6" s="32" t="s">
        <v>38</v>
      </c>
      <c r="CO6" s="32" t="s">
        <v>38</v>
      </c>
      <c r="CP6" s="32" t="s">
        <v>38</v>
      </c>
      <c r="CQ6" s="32" t="s">
        <v>38</v>
      </c>
      <c r="CR6" s="32" t="s">
        <v>38</v>
      </c>
      <c r="CS6" s="32" t="s">
        <v>38</v>
      </c>
      <c r="CT6" s="32" t="s">
        <v>38</v>
      </c>
      <c r="CU6" s="32" t="s">
        <v>38</v>
      </c>
      <c r="CV6" s="32" t="s">
        <v>38</v>
      </c>
      <c r="CW6" s="32" t="s">
        <v>38</v>
      </c>
      <c r="CX6" s="32" t="s">
        <v>38</v>
      </c>
      <c r="CY6" s="32" t="s">
        <v>38</v>
      </c>
      <c r="CZ6" s="32" t="s">
        <v>38</v>
      </c>
      <c r="DA6" s="32" t="s">
        <v>38</v>
      </c>
      <c r="DB6" s="32" t="s">
        <v>38</v>
      </c>
      <c r="DC6" s="32" t="s">
        <v>38</v>
      </c>
      <c r="DD6" s="32" t="s">
        <v>38</v>
      </c>
      <c r="DE6" s="32" t="s">
        <v>38</v>
      </c>
      <c r="DF6" s="32" t="s">
        <v>38</v>
      </c>
      <c r="DG6" s="32" t="s">
        <v>38</v>
      </c>
      <c r="DH6" s="32" t="s">
        <v>38</v>
      </c>
      <c r="DI6" s="32" t="s">
        <v>38</v>
      </c>
      <c r="DJ6" s="32" t="s">
        <v>38</v>
      </c>
      <c r="DK6" s="32" t="s">
        <v>38</v>
      </c>
      <c r="DL6" s="32" t="s">
        <v>38</v>
      </c>
      <c r="DM6" s="32" t="s">
        <v>38</v>
      </c>
      <c r="DN6" s="32" t="s">
        <v>38</v>
      </c>
      <c r="DO6" s="32" t="s">
        <v>38</v>
      </c>
      <c r="DP6" s="32" t="s">
        <v>38</v>
      </c>
      <c r="DQ6" s="32" t="s">
        <v>38</v>
      </c>
      <c r="DR6" s="32" t="s">
        <v>38</v>
      </c>
      <c r="DS6" s="32" t="s">
        <v>38</v>
      </c>
      <c r="DT6" s="32" t="s">
        <v>38</v>
      </c>
      <c r="DU6" s="32" t="s">
        <v>38</v>
      </c>
      <c r="DV6" s="32" t="s">
        <v>38</v>
      </c>
      <c r="DW6" s="32" t="s">
        <v>38</v>
      </c>
      <c r="DX6" s="32" t="s">
        <v>38</v>
      </c>
      <c r="DY6" s="32" t="s">
        <v>38</v>
      </c>
      <c r="DZ6" s="32" t="s">
        <v>38</v>
      </c>
      <c r="EA6" s="32" t="s">
        <v>38</v>
      </c>
      <c r="EB6" s="32" t="s">
        <v>38</v>
      </c>
      <c r="EC6" s="32" t="s">
        <v>38</v>
      </c>
      <c r="ED6" s="32" t="s">
        <v>38</v>
      </c>
      <c r="EE6" s="32" t="s">
        <v>38</v>
      </c>
      <c r="EF6" s="32" t="s">
        <v>38</v>
      </c>
      <c r="EG6" s="32" t="s">
        <v>38</v>
      </c>
      <c r="EH6" s="32" t="s">
        <v>38</v>
      </c>
      <c r="EI6" s="32" t="s">
        <v>38</v>
      </c>
      <c r="EJ6" s="32" t="s">
        <v>38</v>
      </c>
      <c r="EK6" s="32" t="s">
        <v>38</v>
      </c>
      <c r="EL6" s="32" t="s">
        <v>38</v>
      </c>
      <c r="EM6" s="32" t="s">
        <v>38</v>
      </c>
      <c r="EN6" s="32" t="s">
        <v>38</v>
      </c>
      <c r="EO6" s="32" t="s">
        <v>38</v>
      </c>
      <c r="EP6" s="32" t="s">
        <v>38</v>
      </c>
      <c r="EQ6" s="32" t="s">
        <v>38</v>
      </c>
      <c r="ER6" s="32" t="s">
        <v>38</v>
      </c>
      <c r="ES6" s="32" t="s">
        <v>38</v>
      </c>
      <c r="ET6" s="32" t="s">
        <v>38</v>
      </c>
      <c r="EU6" s="32" t="s">
        <v>38</v>
      </c>
      <c r="EV6" s="32" t="s">
        <v>38</v>
      </c>
      <c r="EW6" s="32" t="s">
        <v>38</v>
      </c>
      <c r="EX6" s="32" t="s">
        <v>38</v>
      </c>
      <c r="EY6" s="32" t="s">
        <v>38</v>
      </c>
      <c r="EZ6" s="32" t="s">
        <v>38</v>
      </c>
      <c r="FA6" s="32" t="s">
        <v>38</v>
      </c>
      <c r="FB6" s="32" t="s">
        <v>38</v>
      </c>
      <c r="FC6" s="32" t="s">
        <v>38</v>
      </c>
      <c r="FD6" s="32" t="s">
        <v>38</v>
      </c>
      <c r="FE6" s="32" t="s">
        <v>38</v>
      </c>
      <c r="FF6" s="32" t="s">
        <v>38</v>
      </c>
      <c r="FG6" s="32" t="s">
        <v>38</v>
      </c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</row>
    <row r="7" ht="15.75" customHeight="1">
      <c r="A7" s="32" t="s">
        <v>38</v>
      </c>
      <c r="B7" s="32" t="s">
        <v>20</v>
      </c>
      <c r="C7" s="35">
        <v>100000.0</v>
      </c>
      <c r="D7" s="35">
        <v>900.0</v>
      </c>
      <c r="E7" s="35">
        <v>9000.0</v>
      </c>
      <c r="F7" s="32" t="s">
        <v>38</v>
      </c>
      <c r="G7" s="32" t="s">
        <v>38</v>
      </c>
      <c r="H7" s="32" t="s">
        <v>38</v>
      </c>
      <c r="I7" s="35">
        <v>100.0</v>
      </c>
      <c r="J7" s="35">
        <v>1000.0</v>
      </c>
      <c r="K7" s="35">
        <v>10000.0</v>
      </c>
      <c r="L7" s="35">
        <v>50.0</v>
      </c>
      <c r="M7" s="32" t="s">
        <v>38</v>
      </c>
      <c r="N7" s="35">
        <v>450.0</v>
      </c>
      <c r="O7" s="35">
        <v>50.0</v>
      </c>
      <c r="P7" s="50">
        <v>500.0</v>
      </c>
      <c r="Q7" s="32" t="s">
        <v>38</v>
      </c>
      <c r="R7" s="32" t="s">
        <v>38</v>
      </c>
      <c r="S7" s="32" t="s">
        <v>38</v>
      </c>
      <c r="T7" s="32" t="s">
        <v>38</v>
      </c>
      <c r="U7" s="32" t="s">
        <v>38</v>
      </c>
      <c r="V7" s="32" t="s">
        <v>38</v>
      </c>
      <c r="W7" s="32" t="s">
        <v>38</v>
      </c>
      <c r="X7" s="32" t="s">
        <v>38</v>
      </c>
      <c r="Y7" s="32" t="s">
        <v>38</v>
      </c>
      <c r="Z7" s="32" t="s">
        <v>38</v>
      </c>
      <c r="AA7" s="32" t="s">
        <v>38</v>
      </c>
      <c r="AB7" s="32" t="s">
        <v>38</v>
      </c>
      <c r="AC7" s="32" t="s">
        <v>38</v>
      </c>
      <c r="AD7" s="32" t="s">
        <v>38</v>
      </c>
      <c r="AE7" s="32" t="s">
        <v>38</v>
      </c>
      <c r="AF7" s="32" t="s">
        <v>38</v>
      </c>
      <c r="AG7" s="32" t="s">
        <v>38</v>
      </c>
      <c r="AH7" s="32" t="s">
        <v>38</v>
      </c>
      <c r="AI7" s="32" t="s">
        <v>38</v>
      </c>
      <c r="AJ7" s="32" t="s">
        <v>38</v>
      </c>
      <c r="AK7" s="32" t="s">
        <v>38</v>
      </c>
      <c r="AL7" s="32" t="s">
        <v>38</v>
      </c>
      <c r="AM7" s="32" t="s">
        <v>38</v>
      </c>
      <c r="AN7" s="32" t="s">
        <v>38</v>
      </c>
      <c r="AO7" s="32" t="s">
        <v>38</v>
      </c>
      <c r="AP7" s="32" t="s">
        <v>38</v>
      </c>
      <c r="AQ7" s="32" t="s">
        <v>38</v>
      </c>
      <c r="AR7" s="32" t="s">
        <v>38</v>
      </c>
      <c r="AS7" s="32" t="s">
        <v>38</v>
      </c>
      <c r="AT7" s="32" t="s">
        <v>38</v>
      </c>
      <c r="AU7" s="32" t="s">
        <v>38</v>
      </c>
      <c r="AV7" s="32" t="s">
        <v>38</v>
      </c>
      <c r="AW7" s="32" t="s">
        <v>38</v>
      </c>
      <c r="AX7" s="32" t="s">
        <v>38</v>
      </c>
      <c r="AY7" s="32" t="s">
        <v>38</v>
      </c>
      <c r="AZ7" s="32" t="s">
        <v>38</v>
      </c>
      <c r="BA7" s="32" t="s">
        <v>38</v>
      </c>
      <c r="BB7" s="32" t="s">
        <v>38</v>
      </c>
      <c r="BC7" s="32" t="s">
        <v>38</v>
      </c>
      <c r="BD7" s="32" t="s">
        <v>38</v>
      </c>
      <c r="BE7" s="32" t="s">
        <v>38</v>
      </c>
      <c r="BF7" s="32" t="s">
        <v>38</v>
      </c>
      <c r="BG7" s="32" t="s">
        <v>38</v>
      </c>
      <c r="BH7" s="32" t="s">
        <v>38</v>
      </c>
      <c r="BI7" s="32" t="s">
        <v>38</v>
      </c>
      <c r="BJ7" s="32" t="s">
        <v>38</v>
      </c>
      <c r="BK7" s="32" t="s">
        <v>38</v>
      </c>
      <c r="BL7" s="32" t="s">
        <v>38</v>
      </c>
      <c r="BM7" s="32" t="s">
        <v>38</v>
      </c>
      <c r="BN7" s="32" t="s">
        <v>38</v>
      </c>
      <c r="BO7" s="32" t="s">
        <v>38</v>
      </c>
      <c r="BP7" s="32" t="s">
        <v>38</v>
      </c>
      <c r="BQ7" s="32" t="s">
        <v>38</v>
      </c>
      <c r="BR7" s="32" t="s">
        <v>38</v>
      </c>
      <c r="BS7" s="32" t="s">
        <v>38</v>
      </c>
      <c r="BT7" s="32" t="s">
        <v>38</v>
      </c>
      <c r="BU7" s="32" t="s">
        <v>38</v>
      </c>
      <c r="BV7" s="32" t="s">
        <v>38</v>
      </c>
      <c r="BW7" s="32" t="s">
        <v>38</v>
      </c>
      <c r="BX7" s="32" t="s">
        <v>38</v>
      </c>
      <c r="BY7" s="32" t="s">
        <v>38</v>
      </c>
      <c r="BZ7" s="32" t="s">
        <v>38</v>
      </c>
      <c r="CA7" s="32" t="s">
        <v>38</v>
      </c>
      <c r="CB7" s="32" t="s">
        <v>38</v>
      </c>
      <c r="CC7" s="32" t="s">
        <v>38</v>
      </c>
      <c r="CD7" s="32" t="s">
        <v>38</v>
      </c>
      <c r="CE7" s="32" t="s">
        <v>38</v>
      </c>
      <c r="CF7" s="32" t="s">
        <v>38</v>
      </c>
      <c r="CG7" s="32" t="s">
        <v>38</v>
      </c>
      <c r="CH7" s="32" t="s">
        <v>38</v>
      </c>
      <c r="CI7" s="32" t="s">
        <v>38</v>
      </c>
      <c r="CJ7" s="32" t="s">
        <v>38</v>
      </c>
      <c r="CK7" s="32" t="s">
        <v>38</v>
      </c>
      <c r="CL7" s="32" t="s">
        <v>38</v>
      </c>
      <c r="CM7" s="32" t="s">
        <v>38</v>
      </c>
      <c r="CN7" s="32" t="s">
        <v>38</v>
      </c>
      <c r="CO7" s="32" t="s">
        <v>38</v>
      </c>
      <c r="CP7" s="32" t="s">
        <v>38</v>
      </c>
      <c r="CQ7" s="32" t="s">
        <v>38</v>
      </c>
      <c r="CR7" s="32" t="s">
        <v>38</v>
      </c>
      <c r="CS7" s="32" t="s">
        <v>38</v>
      </c>
      <c r="CT7" s="32" t="s">
        <v>38</v>
      </c>
      <c r="CU7" s="32" t="s">
        <v>38</v>
      </c>
      <c r="CV7" s="32" t="s">
        <v>38</v>
      </c>
      <c r="CW7" s="32" t="s">
        <v>38</v>
      </c>
      <c r="CX7" s="32" t="s">
        <v>38</v>
      </c>
      <c r="CY7" s="32" t="s">
        <v>38</v>
      </c>
      <c r="CZ7" s="32" t="s">
        <v>38</v>
      </c>
      <c r="DA7" s="32" t="s">
        <v>38</v>
      </c>
      <c r="DB7" s="32" t="s">
        <v>38</v>
      </c>
      <c r="DC7" s="32" t="s">
        <v>38</v>
      </c>
      <c r="DD7" s="32" t="s">
        <v>38</v>
      </c>
      <c r="DE7" s="32" t="s">
        <v>38</v>
      </c>
      <c r="DF7" s="32" t="s">
        <v>38</v>
      </c>
      <c r="DG7" s="32" t="s">
        <v>38</v>
      </c>
      <c r="DH7" s="32" t="s">
        <v>38</v>
      </c>
      <c r="DI7" s="32" t="s">
        <v>38</v>
      </c>
      <c r="DJ7" s="32" t="s">
        <v>38</v>
      </c>
      <c r="DK7" s="32" t="s">
        <v>38</v>
      </c>
      <c r="DL7" s="32" t="s">
        <v>38</v>
      </c>
      <c r="DM7" s="32" t="s">
        <v>38</v>
      </c>
      <c r="DN7" s="32" t="s">
        <v>38</v>
      </c>
      <c r="DO7" s="32" t="s">
        <v>38</v>
      </c>
      <c r="DP7" s="32" t="s">
        <v>38</v>
      </c>
      <c r="DQ7" s="32" t="s">
        <v>38</v>
      </c>
      <c r="DR7" s="32" t="s">
        <v>38</v>
      </c>
      <c r="DS7" s="32" t="s">
        <v>38</v>
      </c>
      <c r="DT7" s="32" t="s">
        <v>38</v>
      </c>
      <c r="DU7" s="32" t="s">
        <v>38</v>
      </c>
      <c r="DV7" s="32" t="s">
        <v>38</v>
      </c>
      <c r="DW7" s="32" t="s">
        <v>38</v>
      </c>
      <c r="DX7" s="32" t="s">
        <v>38</v>
      </c>
      <c r="DY7" s="32" t="s">
        <v>38</v>
      </c>
      <c r="DZ7" s="32" t="s">
        <v>38</v>
      </c>
      <c r="EA7" s="32" t="s">
        <v>38</v>
      </c>
      <c r="EB7" s="32" t="s">
        <v>38</v>
      </c>
      <c r="EC7" s="32" t="s">
        <v>38</v>
      </c>
      <c r="ED7" s="32" t="s">
        <v>38</v>
      </c>
      <c r="EE7" s="32" t="s">
        <v>38</v>
      </c>
      <c r="EF7" s="32" t="s">
        <v>38</v>
      </c>
      <c r="EG7" s="32" t="s">
        <v>38</v>
      </c>
      <c r="EH7" s="32" t="s">
        <v>38</v>
      </c>
      <c r="EI7" s="32" t="s">
        <v>38</v>
      </c>
      <c r="EJ7" s="32" t="s">
        <v>38</v>
      </c>
      <c r="EK7" s="32" t="s">
        <v>38</v>
      </c>
      <c r="EL7" s="32" t="s">
        <v>38</v>
      </c>
      <c r="EM7" s="32" t="s">
        <v>38</v>
      </c>
      <c r="EN7" s="32" t="s">
        <v>38</v>
      </c>
      <c r="EO7" s="32" t="s">
        <v>38</v>
      </c>
      <c r="EP7" s="32" t="s">
        <v>38</v>
      </c>
      <c r="EQ7" s="32" t="s">
        <v>38</v>
      </c>
      <c r="ER7" s="32" t="s">
        <v>38</v>
      </c>
      <c r="ES7" s="32" t="s">
        <v>38</v>
      </c>
      <c r="ET7" s="32" t="s">
        <v>38</v>
      </c>
      <c r="EU7" s="32" t="s">
        <v>38</v>
      </c>
      <c r="EV7" s="32" t="s">
        <v>38</v>
      </c>
      <c r="EW7" s="32" t="s">
        <v>38</v>
      </c>
      <c r="EX7" s="32" t="s">
        <v>38</v>
      </c>
      <c r="EY7" s="32" t="s">
        <v>38</v>
      </c>
      <c r="EZ7" s="32" t="s">
        <v>38</v>
      </c>
      <c r="FA7" s="32" t="s">
        <v>38</v>
      </c>
      <c r="FB7" s="32" t="s">
        <v>38</v>
      </c>
      <c r="FC7" s="32" t="s">
        <v>38</v>
      </c>
      <c r="FD7" s="32" t="s">
        <v>38</v>
      </c>
      <c r="FE7" s="32" t="s">
        <v>38</v>
      </c>
      <c r="FF7" s="32" t="s">
        <v>38</v>
      </c>
      <c r="FG7" s="32" t="s">
        <v>38</v>
      </c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IFERROR(__xludf.DUMMYFUNCTION("""COMPUTED_VALUE"""),"Ticker")</f>
        <v>Ticker</v>
      </c>
      <c r="C5" s="36" t="str">
        <f>IFERROR(__xludf.DUMMYFUNCTION("""COMPUTED_VALUE"""),"Add/Set")</f>
        <v>Add/Set</v>
      </c>
      <c r="D5" s="36" t="str">
        <f>IFERROR(__xludf.DUMMYFUNCTION("""COMPUTED_VALUE"""),"Type")</f>
        <v>Type</v>
      </c>
      <c r="E5" s="36" t="str">
        <f>IFERROR(__xludf.DUMMYFUNCTION("""COMPUTED_VALUE"""),"Target")</f>
        <v>Target</v>
      </c>
      <c r="F5" s="37" t="str">
        <f>IFERROR(__xludf.DUMMYFUNCTION("""COMPUTED_VALUE"""),"Price")</f>
        <v>Price</v>
      </c>
      <c r="G5" s="36" t="str">
        <f>IFERROR(__xludf.DUMMYFUNCTION("""COMPUTED_VALUE"""),"Combined Account Total")</f>
        <v>Combined Account Total</v>
      </c>
      <c r="H5" s="36" t="str">
        <f>IFERROR(__xludf.DUMMYFUNCTION("""COMPUTED_VALUE"""),"MasterFund/Account")</f>
        <v>MasterFund/Account</v>
      </c>
      <c r="I5" s="36" t="str">
        <f>IFERROR(__xludf.DUMMYFUNCTION("""COMPUTED_VALUE"""),"Accounts")</f>
        <v>Accounts</v>
      </c>
      <c r="J5" s="36" t="str">
        <f>IFERROR(__xludf.DUMMYFUNCTION("""COMPUTED_VALUE"""),"MTT POP UP?")</f>
        <v>MTT POP UP?</v>
      </c>
      <c r="K5" s="36"/>
      <c r="L5" s="36"/>
      <c r="M5" s="36"/>
      <c r="N5" s="36"/>
      <c r="O5" s="36"/>
      <c r="P5" s="36"/>
      <c r="Q5" s="36"/>
      <c r="R5" s="36"/>
      <c r="S5" s="36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6"/>
      <c r="B6" s="67" t="s">
        <v>16</v>
      </c>
      <c r="C6" s="68" t="s">
        <v>33</v>
      </c>
      <c r="D6" s="67" t="s">
        <v>34</v>
      </c>
      <c r="E6" s="69">
        <v>1000.0</v>
      </c>
      <c r="F6" s="69">
        <v>10.0</v>
      </c>
      <c r="G6" s="68" t="s">
        <v>35</v>
      </c>
      <c r="H6" s="68" t="s">
        <v>36</v>
      </c>
      <c r="I6" s="70" t="s">
        <v>52</v>
      </c>
      <c r="J6" s="68"/>
      <c r="K6" s="68"/>
      <c r="L6" s="68"/>
      <c r="M6" s="68"/>
      <c r="N6" s="68"/>
      <c r="O6" s="68"/>
      <c r="P6" s="68"/>
      <c r="Q6" s="68"/>
      <c r="R6" s="68"/>
      <c r="S6" s="6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IFERROR(__xludf.DUMMYFUNCTION("""COMPUTED_VALUE"""),"Symbol")</f>
        <v>Symbol</v>
      </c>
      <c r="C5" s="36" t="str">
        <f>IFERROR(__xludf.DUMMYFUNCTION("""COMPUTED_VALUE"""),"Order Side")</f>
        <v>Order Side</v>
      </c>
      <c r="D5" s="36" t="str">
        <f>IFERROR(__xludf.DUMMYFUNCTION("""COMPUTED_VALUE"""),"Quantity")</f>
        <v>Quantity</v>
      </c>
      <c r="E5" s="36" t="str">
        <f>IFERROR(__xludf.DUMMYFUNCTION("""COMPUTED_VALUE"""),"TargetQuantityIn")</f>
        <v>TargetQuantityIn</v>
      </c>
      <c r="F5" s="37" t="str">
        <f>IFERROR(__xludf.DUMMYFUNCTION("""COMPUTED_VALUE"""),"AllocationMethod")</f>
        <v>AllocationMethod</v>
      </c>
      <c r="G5" s="36" t="str">
        <f>IFERROR(__xludf.DUMMYFUNCTION("""COMPUTED_VALUE"""),"Broker")</f>
        <v>Broker</v>
      </c>
      <c r="H5" s="36" t="str">
        <f>IFERROR(__xludf.DUMMYFUNCTION("""COMPUTED_VALUE"""),"TIF")</f>
        <v>TIF</v>
      </c>
      <c r="I5" s="36" t="str">
        <f>IFERROR(__xludf.DUMMYFUNCTION("""COMPUTED_VALUE"""),"Order Type")</f>
        <v>Order Type</v>
      </c>
      <c r="J5" s="36" t="str">
        <f>IFERROR(__xludf.DUMMYFUNCTION("""COMPUTED_VALUE"""),"Price")</f>
        <v>Price</v>
      </c>
      <c r="K5" s="36" t="str">
        <f>IFERROR(__xludf.DUMMYFUNCTION("""COMPUTED_VALUE"""),"Stop")</f>
        <v>Stop</v>
      </c>
      <c r="L5" s="36" t="str">
        <f>IFERROR(__xludf.DUMMYFUNCTION("""COMPUTED_VALUE"""),"Limit")</f>
        <v>Limit</v>
      </c>
      <c r="M5" s="36" t="str">
        <f>IFERROR(__xludf.DUMMYFUNCTION("""COMPUTED_VALUE"""),"Strategy")</f>
        <v>Strategy</v>
      </c>
      <c r="N5" s="36" t="str">
        <f>IFERROR(__xludf.DUMMYFUNCTION("""COMPUTED_VALUE"""),"Trade Date")</f>
        <v>Trade Date</v>
      </c>
      <c r="O5" s="36" t="str">
        <f>IFERROR(__xludf.DUMMYFUNCTION("""COMPUTED_VALUE"""),"FxRate")</f>
        <v>FxRate</v>
      </c>
      <c r="P5" s="36" t="str">
        <f>IFERROR(__xludf.DUMMYFUNCTION("""COMPUTED_VALUE"""),"Notes")</f>
        <v>Notes</v>
      </c>
      <c r="Q5" s="36" t="str">
        <f>IFERROR(__xludf.DUMMYFUNCTION("""COMPUTED_VALUE"""),"Broker Notes")</f>
        <v>Broker Notes</v>
      </c>
      <c r="R5" s="36" t="str">
        <f>IFERROR(__xludf.DUMMYFUNCTION("""COMPUTED_VALUE"""),"CommissionBasis")</f>
        <v>CommissionBasis</v>
      </c>
      <c r="S5" s="36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6"/>
      <c r="B6" s="67" t="s">
        <v>16</v>
      </c>
      <c r="C6" s="68" t="s">
        <v>17</v>
      </c>
      <c r="D6" s="71">
        <v>200.0</v>
      </c>
      <c r="E6" s="69">
        <v>200.0</v>
      </c>
      <c r="F6" s="68"/>
      <c r="G6" s="68" t="s">
        <v>19</v>
      </c>
      <c r="H6" s="68"/>
      <c r="I6" s="68"/>
      <c r="J6" s="69">
        <v>10.0</v>
      </c>
      <c r="K6" s="68"/>
      <c r="L6" s="68"/>
      <c r="M6" s="68"/>
      <c r="N6" s="68"/>
      <c r="O6" s="68"/>
      <c r="P6" s="68"/>
      <c r="Q6" s="68"/>
      <c r="R6" s="68"/>
      <c r="S6" s="6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IFERROR(__xludf.DUMMYFUNCTION("""COMPUTED_VALUE"""),"Ticker")</f>
        <v>Ticker</v>
      </c>
      <c r="C5" s="36" t="str">
        <f>IFERROR(__xludf.DUMMYFUNCTION("""COMPUTED_VALUE"""),"Add/Set")</f>
        <v>Add/Set</v>
      </c>
      <c r="D5" s="36" t="str">
        <f>IFERROR(__xludf.DUMMYFUNCTION("""COMPUTED_VALUE"""),"Type")</f>
        <v>Type</v>
      </c>
      <c r="E5" s="36" t="str">
        <f>IFERROR(__xludf.DUMMYFUNCTION("""COMPUTED_VALUE"""),"Target")</f>
        <v>Target</v>
      </c>
      <c r="F5" s="37" t="str">
        <f>IFERROR(__xludf.DUMMYFUNCTION("""COMPUTED_VALUE"""),"Price")</f>
        <v>Price</v>
      </c>
      <c r="G5" s="36" t="str">
        <f>IFERROR(__xludf.DUMMYFUNCTION("""COMPUTED_VALUE"""),"Combined Account Total")</f>
        <v>Combined Account Total</v>
      </c>
      <c r="H5" s="36" t="str">
        <f>IFERROR(__xludf.DUMMYFUNCTION("""COMPUTED_VALUE"""),"MasterFund/Account")</f>
        <v>MasterFund/Account</v>
      </c>
      <c r="I5" s="36" t="str">
        <f>IFERROR(__xludf.DUMMYFUNCTION("""COMPUTED_VALUE"""),"Accounts")</f>
        <v>Accounts</v>
      </c>
      <c r="J5" s="36" t="str">
        <f>IFERROR(__xludf.DUMMYFUNCTION("""COMPUTED_VALUE"""),"Master Funds")</f>
        <v>Master Funds</v>
      </c>
      <c r="K5" s="36" t="str">
        <f>IFERROR(__xludf.DUMMYFUNCTION("""COMPUTED_VALUE"""),"Round Lots")</f>
        <v>Round Lots</v>
      </c>
      <c r="L5" s="36"/>
      <c r="M5" s="36"/>
      <c r="N5" s="36"/>
      <c r="O5" s="36"/>
      <c r="P5" s="36"/>
      <c r="Q5" s="36"/>
      <c r="R5" s="36"/>
      <c r="S5" s="36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72" t="s">
        <v>21</v>
      </c>
      <c r="C6" s="63" t="s">
        <v>33</v>
      </c>
      <c r="D6" s="73" t="s">
        <v>34</v>
      </c>
      <c r="E6" s="64">
        <v>1000.0</v>
      </c>
      <c r="F6" s="64">
        <v>10.0</v>
      </c>
      <c r="G6" s="32" t="s">
        <v>35</v>
      </c>
      <c r="H6" s="63" t="s">
        <v>36</v>
      </c>
      <c r="I6" s="74" t="s">
        <v>22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IFERROR(__xludf.DUMMYFUNCTION("""COMPUTED_VALUE"""),"Account Name")</f>
        <v>Account Name</v>
      </c>
      <c r="C5" s="36" t="str">
        <f>IFERROR(__xludf.DUMMYFUNCTION("""COMPUTED_VALUE"""),"Account NAV")</f>
        <v>Account NAV</v>
      </c>
      <c r="D5" s="36" t="str">
        <f>IFERROR(__xludf.DUMMYFUNCTION("""COMPUTED_VALUE"""),"Starting Position")</f>
        <v>Starting Position</v>
      </c>
      <c r="E5" s="36" t="str">
        <f>IFERROR(__xludf.DUMMYFUNCTION("""COMPUTED_VALUE"""),"Starting Value")</f>
        <v>Starting Value</v>
      </c>
      <c r="F5" s="37" t="str">
        <f>IFERROR(__xludf.DUMMYFUNCTION("""COMPUTED_VALUE"""),"Starting %")</f>
        <v>Starting %</v>
      </c>
      <c r="G5" s="36" t="str">
        <f>IFERROR(__xludf.DUMMYFUNCTION("""COMPUTED_VALUE"""),"% Change")</f>
        <v>% Change</v>
      </c>
      <c r="H5" s="36" t="str">
        <f>IFERROR(__xludf.DUMMYFUNCTION("""COMPUTED_VALUE"""),"Ending %")</f>
        <v>Ending %</v>
      </c>
      <c r="I5" s="36" t="str">
        <f>IFERROR(__xludf.DUMMYFUNCTION("""COMPUTED_VALUE"""),"Trade Quantity")</f>
        <v>Trade Quantity</v>
      </c>
      <c r="J5" s="36" t="str">
        <f>IFERROR(__xludf.DUMMYFUNCTION("""COMPUTED_VALUE"""),"Ending Position")</f>
        <v>Ending Position</v>
      </c>
      <c r="K5" s="36" t="str">
        <f>IFERROR(__xludf.DUMMYFUNCTION("""COMPUTED_VALUE"""),"Ending Value")</f>
        <v>Ending Value</v>
      </c>
      <c r="L5" s="36" t="str">
        <f>IFERROR(__xludf.DUMMYFUNCTION("""COMPUTED_VALUE"""),"% Allocation")</f>
        <v>% Allocation</v>
      </c>
      <c r="M5" s="36" t="str">
        <f>IFERROR(__xludf.DUMMYFUNCTION("""COMPUTED_VALUE"""),"Fx Rate")</f>
        <v>Fx Rate</v>
      </c>
      <c r="N5" s="36" t="str">
        <f>IFERROR(__xludf.DUMMYFUNCTION("""COMPUTED_VALUE"""),"Starting BP")</f>
        <v>Starting BP</v>
      </c>
      <c r="O5" s="36" t="str">
        <f>IFERROR(__xludf.DUMMYFUNCTION("""COMPUTED_VALUE"""),"BP Change")</f>
        <v>BP Change</v>
      </c>
      <c r="P5" s="36" t="str">
        <f>IFERROR(__xludf.DUMMYFUNCTION("""COMPUTED_VALUE"""),"Ending BP")</f>
        <v>Ending BP</v>
      </c>
      <c r="Q5" s="36" t="str">
        <f>IFERROR(__xludf.DUMMYFUNCTION("""COMPUTED_VALUE"""),"MasterFund Name")</f>
        <v>MasterFund Name</v>
      </c>
      <c r="R5" s="36" t="str">
        <f>IFERROR(__xludf.DUMMYFUNCTION("""COMPUTED_VALUE"""),"Order Side")</f>
        <v>Order Side</v>
      </c>
      <c r="S5" s="36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1" t="s">
        <v>38</v>
      </c>
      <c r="B6" s="34" t="s">
        <v>22</v>
      </c>
      <c r="C6" s="35">
        <v>100000.0</v>
      </c>
      <c r="D6" s="41">
        <v>1100.0</v>
      </c>
      <c r="E6" s="35">
        <v>11000.0</v>
      </c>
      <c r="F6" s="32" t="s">
        <v>38</v>
      </c>
      <c r="G6" s="32" t="s">
        <v>38</v>
      </c>
      <c r="H6" s="32" t="s">
        <v>38</v>
      </c>
      <c r="I6" s="35">
        <v>100.0</v>
      </c>
      <c r="J6" s="35">
        <v>1000.0</v>
      </c>
      <c r="K6" s="35">
        <v>10000.0</v>
      </c>
      <c r="L6" s="35">
        <v>100.0</v>
      </c>
      <c r="M6" s="35">
        <v>1.0</v>
      </c>
      <c r="N6" s="35">
        <v>1100.0</v>
      </c>
      <c r="O6" s="35">
        <v>-100.0</v>
      </c>
      <c r="P6" s="50">
        <v>1000.0</v>
      </c>
      <c r="Q6" s="32" t="s">
        <v>38</v>
      </c>
      <c r="R6" s="32" t="s">
        <v>38</v>
      </c>
      <c r="S6" s="32" t="s">
        <v>38</v>
      </c>
      <c r="T6" s="32" t="s">
        <v>38</v>
      </c>
      <c r="U6" s="32" t="s">
        <v>38</v>
      </c>
      <c r="V6" s="32" t="s">
        <v>38</v>
      </c>
      <c r="W6" s="32" t="s">
        <v>38</v>
      </c>
      <c r="X6" s="32" t="s">
        <v>38</v>
      </c>
      <c r="Y6" s="32" t="s">
        <v>38</v>
      </c>
      <c r="Z6" s="32" t="s">
        <v>38</v>
      </c>
      <c r="AA6" s="32" t="s">
        <v>38</v>
      </c>
      <c r="AB6" s="32" t="s">
        <v>38</v>
      </c>
      <c r="AC6" s="32" t="s">
        <v>38</v>
      </c>
      <c r="AD6" s="32" t="s">
        <v>38</v>
      </c>
      <c r="AE6" s="32" t="s">
        <v>38</v>
      </c>
      <c r="AF6" s="32" t="s">
        <v>38</v>
      </c>
      <c r="AG6" s="32" t="s">
        <v>38</v>
      </c>
      <c r="AH6" s="32" t="s">
        <v>38</v>
      </c>
      <c r="AI6" s="32" t="s">
        <v>38</v>
      </c>
      <c r="AJ6" s="32" t="s">
        <v>38</v>
      </c>
      <c r="AK6" s="32" t="s">
        <v>38</v>
      </c>
      <c r="AL6" s="32" t="s">
        <v>38</v>
      </c>
      <c r="AM6" s="32" t="s">
        <v>38</v>
      </c>
      <c r="AN6" s="32" t="s">
        <v>38</v>
      </c>
      <c r="AO6" s="32" t="s">
        <v>38</v>
      </c>
      <c r="AP6" s="32" t="s">
        <v>38</v>
      </c>
      <c r="AQ6" s="32" t="s">
        <v>38</v>
      </c>
      <c r="AR6" s="32" t="s">
        <v>38</v>
      </c>
      <c r="AS6" s="32" t="s">
        <v>38</v>
      </c>
      <c r="AT6" s="32" t="s">
        <v>38</v>
      </c>
      <c r="AU6" s="32" t="s">
        <v>38</v>
      </c>
      <c r="AV6" s="32" t="s">
        <v>38</v>
      </c>
      <c r="AW6" s="32" t="s">
        <v>38</v>
      </c>
      <c r="AX6" s="32" t="s">
        <v>38</v>
      </c>
      <c r="AY6" s="32" t="s">
        <v>38</v>
      </c>
      <c r="AZ6" s="32" t="s">
        <v>38</v>
      </c>
      <c r="BA6" s="32" t="s">
        <v>38</v>
      </c>
      <c r="BB6" s="32" t="s">
        <v>38</v>
      </c>
      <c r="BC6" s="32" t="s">
        <v>38</v>
      </c>
      <c r="BD6" s="32" t="s">
        <v>38</v>
      </c>
      <c r="BE6" s="32" t="s">
        <v>38</v>
      </c>
      <c r="BF6" s="32" t="s">
        <v>38</v>
      </c>
      <c r="BG6" s="32" t="s">
        <v>38</v>
      </c>
      <c r="BH6" s="32" t="s">
        <v>38</v>
      </c>
      <c r="BI6" s="32" t="s">
        <v>38</v>
      </c>
      <c r="BJ6" s="32" t="s">
        <v>38</v>
      </c>
      <c r="BK6" s="32" t="s">
        <v>38</v>
      </c>
      <c r="BL6" s="32" t="s">
        <v>38</v>
      </c>
      <c r="BM6" s="32" t="s">
        <v>38</v>
      </c>
      <c r="BN6" s="32" t="s">
        <v>38</v>
      </c>
      <c r="BO6" s="32" t="s">
        <v>38</v>
      </c>
      <c r="BP6" s="32" t="s">
        <v>38</v>
      </c>
      <c r="BQ6" s="32" t="s">
        <v>38</v>
      </c>
      <c r="BR6" s="32" t="s">
        <v>38</v>
      </c>
      <c r="BS6" s="32" t="s">
        <v>38</v>
      </c>
      <c r="BT6" s="32" t="s">
        <v>38</v>
      </c>
      <c r="BU6" s="32" t="s">
        <v>38</v>
      </c>
      <c r="BV6" s="32" t="s">
        <v>38</v>
      </c>
      <c r="BW6" s="32" t="s">
        <v>38</v>
      </c>
      <c r="BX6" s="32" t="s">
        <v>38</v>
      </c>
      <c r="BY6" s="32" t="s">
        <v>38</v>
      </c>
      <c r="BZ6" s="32" t="s">
        <v>38</v>
      </c>
      <c r="CA6" s="32" t="s">
        <v>38</v>
      </c>
      <c r="CB6" s="32" t="s">
        <v>38</v>
      </c>
      <c r="CC6" s="32" t="s">
        <v>38</v>
      </c>
      <c r="CD6" s="32" t="s">
        <v>38</v>
      </c>
      <c r="CE6" s="32" t="s">
        <v>38</v>
      </c>
      <c r="CF6" s="32" t="s">
        <v>38</v>
      </c>
      <c r="CG6" s="32" t="s">
        <v>38</v>
      </c>
      <c r="CH6" s="32" t="s">
        <v>38</v>
      </c>
      <c r="CI6" s="32" t="s">
        <v>38</v>
      </c>
      <c r="CJ6" s="32" t="s">
        <v>38</v>
      </c>
      <c r="CK6" s="32" t="s">
        <v>38</v>
      </c>
      <c r="CL6" s="32" t="s">
        <v>38</v>
      </c>
      <c r="CM6" s="32" t="s">
        <v>38</v>
      </c>
      <c r="CN6" s="32" t="s">
        <v>38</v>
      </c>
      <c r="CO6" s="32" t="s">
        <v>38</v>
      </c>
      <c r="CP6" s="32" t="s">
        <v>38</v>
      </c>
      <c r="CQ6" s="32" t="s">
        <v>38</v>
      </c>
      <c r="CR6" s="32" t="s">
        <v>38</v>
      </c>
      <c r="CS6" s="32" t="s">
        <v>38</v>
      </c>
      <c r="CT6" s="32" t="s">
        <v>38</v>
      </c>
      <c r="CU6" s="32" t="s">
        <v>38</v>
      </c>
      <c r="CV6" s="32" t="s">
        <v>38</v>
      </c>
      <c r="CW6" s="32" t="s">
        <v>38</v>
      </c>
      <c r="CX6" s="32" t="s">
        <v>38</v>
      </c>
      <c r="CY6" s="32" t="s">
        <v>38</v>
      </c>
      <c r="CZ6" s="32" t="s">
        <v>38</v>
      </c>
      <c r="DA6" s="32" t="s">
        <v>38</v>
      </c>
      <c r="DB6" s="32" t="s">
        <v>38</v>
      </c>
      <c r="DC6" s="32" t="s">
        <v>38</v>
      </c>
      <c r="DD6" s="32" t="s">
        <v>38</v>
      </c>
      <c r="DE6" s="32" t="s">
        <v>38</v>
      </c>
      <c r="DF6" s="32" t="s">
        <v>38</v>
      </c>
      <c r="DG6" s="32" t="s">
        <v>38</v>
      </c>
      <c r="DH6" s="32" t="s">
        <v>38</v>
      </c>
      <c r="DI6" s="32" t="s">
        <v>38</v>
      </c>
      <c r="DJ6" s="32" t="s">
        <v>38</v>
      </c>
      <c r="DK6" s="32" t="s">
        <v>38</v>
      </c>
      <c r="DL6" s="32" t="s">
        <v>38</v>
      </c>
      <c r="DM6" s="32" t="s">
        <v>38</v>
      </c>
      <c r="DN6" s="32" t="s">
        <v>38</v>
      </c>
      <c r="DO6" s="32" t="s">
        <v>38</v>
      </c>
      <c r="DP6" s="32" t="s">
        <v>38</v>
      </c>
      <c r="DQ6" s="32" t="s">
        <v>38</v>
      </c>
      <c r="DR6" s="32" t="s">
        <v>38</v>
      </c>
      <c r="DS6" s="32" t="s">
        <v>38</v>
      </c>
      <c r="DT6" s="32" t="s">
        <v>38</v>
      </c>
      <c r="DU6" s="32" t="s">
        <v>38</v>
      </c>
      <c r="DV6" s="32" t="s">
        <v>38</v>
      </c>
      <c r="DW6" s="32" t="s">
        <v>38</v>
      </c>
      <c r="DX6" s="32" t="s">
        <v>38</v>
      </c>
      <c r="DY6" s="32" t="s">
        <v>38</v>
      </c>
      <c r="DZ6" s="32" t="s">
        <v>38</v>
      </c>
      <c r="EA6" s="32" t="s">
        <v>38</v>
      </c>
      <c r="EB6" s="32" t="s">
        <v>38</v>
      </c>
      <c r="EC6" s="32" t="s">
        <v>38</v>
      </c>
      <c r="ED6" s="32" t="s">
        <v>38</v>
      </c>
      <c r="EE6" s="32" t="s">
        <v>38</v>
      </c>
      <c r="EF6" s="32" t="s">
        <v>38</v>
      </c>
      <c r="EG6" s="32" t="s">
        <v>38</v>
      </c>
      <c r="EH6" s="32" t="s">
        <v>38</v>
      </c>
      <c r="EI6" s="32" t="s">
        <v>38</v>
      </c>
      <c r="EJ6" s="32" t="s">
        <v>38</v>
      </c>
      <c r="EK6" s="32" t="s">
        <v>38</v>
      </c>
      <c r="EL6" s="32" t="s">
        <v>38</v>
      </c>
      <c r="EM6" s="32" t="s">
        <v>38</v>
      </c>
      <c r="EN6" s="32" t="s">
        <v>38</v>
      </c>
      <c r="EO6" s="32" t="s">
        <v>38</v>
      </c>
      <c r="EP6" s="32" t="s">
        <v>38</v>
      </c>
      <c r="EQ6" s="32" t="s">
        <v>38</v>
      </c>
      <c r="ER6" s="32" t="s">
        <v>38</v>
      </c>
      <c r="ES6" s="32" t="s">
        <v>38</v>
      </c>
      <c r="ET6" s="32" t="s">
        <v>38</v>
      </c>
      <c r="EU6" s="32" t="s">
        <v>38</v>
      </c>
      <c r="EV6" s="32" t="s">
        <v>38</v>
      </c>
      <c r="EW6" s="32" t="s">
        <v>38</v>
      </c>
      <c r="EX6" s="32" t="s">
        <v>38</v>
      </c>
      <c r="EY6" s="32" t="s">
        <v>38</v>
      </c>
      <c r="EZ6" s="32" t="s">
        <v>38</v>
      </c>
      <c r="FA6" s="32" t="s">
        <v>38</v>
      </c>
      <c r="FB6" s="32" t="s">
        <v>38</v>
      </c>
      <c r="FC6" s="32" t="s">
        <v>38</v>
      </c>
      <c r="FD6" s="32" t="s">
        <v>38</v>
      </c>
      <c r="FE6" s="32" t="s">
        <v>38</v>
      </c>
      <c r="FF6" s="32" t="s">
        <v>38</v>
      </c>
      <c r="FG6" s="32" t="s">
        <v>38</v>
      </c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IFERROR(__xludf.DUMMYFUNCTION("""COMPUTED_VALUE"""),"Ticker")</f>
        <v>Ticker</v>
      </c>
      <c r="C5" s="36" t="str">
        <f>IFERROR(__xludf.DUMMYFUNCTION("""COMPUTED_VALUE"""),"Add/Set")</f>
        <v>Add/Set</v>
      </c>
      <c r="D5" s="36" t="str">
        <f>IFERROR(__xludf.DUMMYFUNCTION("""COMPUTED_VALUE"""),"Type")</f>
        <v>Type</v>
      </c>
      <c r="E5" s="36" t="str">
        <f>IFERROR(__xludf.DUMMYFUNCTION("""COMPUTED_VALUE"""),"Target")</f>
        <v>Target</v>
      </c>
      <c r="F5" s="37" t="str">
        <f>IFERROR(__xludf.DUMMYFUNCTION("""COMPUTED_VALUE"""),"Price")</f>
        <v>Price</v>
      </c>
      <c r="G5" s="36" t="str">
        <f>IFERROR(__xludf.DUMMYFUNCTION("""COMPUTED_VALUE"""),"Combined Account Total")</f>
        <v>Combined Account Total</v>
      </c>
      <c r="H5" s="36" t="str">
        <f>IFERROR(__xludf.DUMMYFUNCTION("""COMPUTED_VALUE"""),"MasterFund/Account")</f>
        <v>MasterFund/Account</v>
      </c>
      <c r="I5" s="36" t="str">
        <f>IFERROR(__xludf.DUMMYFUNCTION("""COMPUTED_VALUE"""),"Accounts")</f>
        <v>Accounts</v>
      </c>
      <c r="J5" s="36" t="str">
        <f>IFERROR(__xludf.DUMMYFUNCTION("""COMPUTED_VALUE"""),"MTT POP UP?")</f>
        <v>MTT POP UP?</v>
      </c>
      <c r="K5" s="36"/>
      <c r="L5" s="36"/>
      <c r="M5" s="36"/>
      <c r="N5" s="36"/>
      <c r="O5" s="36"/>
      <c r="P5" s="36"/>
      <c r="Q5" s="36"/>
      <c r="R5" s="36"/>
      <c r="S5" s="36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72" t="s">
        <v>21</v>
      </c>
      <c r="C6" s="63" t="s">
        <v>33</v>
      </c>
      <c r="D6" s="73" t="s">
        <v>34</v>
      </c>
      <c r="E6" s="64">
        <v>1000.0</v>
      </c>
      <c r="F6" s="64">
        <v>10.0</v>
      </c>
      <c r="G6" s="32" t="s">
        <v>35</v>
      </c>
      <c r="H6" s="63" t="s">
        <v>36</v>
      </c>
      <c r="I6" s="74" t="s">
        <v>22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IFERROR(__xludf.DUMMYFUNCTION("""COMPUTED_VALUE"""),"Symbol")</f>
        <v>Symbol</v>
      </c>
      <c r="C5" s="36" t="str">
        <f>IFERROR(__xludf.DUMMYFUNCTION("""COMPUTED_VALUE"""),"Order Side")</f>
        <v>Order Side</v>
      </c>
      <c r="D5" s="36" t="str">
        <f>IFERROR(__xludf.DUMMYFUNCTION("""COMPUTED_VALUE"""),"Quantity")</f>
        <v>Quantity</v>
      </c>
      <c r="E5" s="36" t="str">
        <f>IFERROR(__xludf.DUMMYFUNCTION("""COMPUTED_VALUE"""),"TargetQuantityIn")</f>
        <v>TargetQuantityIn</v>
      </c>
      <c r="F5" s="37" t="str">
        <f>IFERROR(__xludf.DUMMYFUNCTION("""COMPUTED_VALUE"""),"AllocationMethod")</f>
        <v>AllocationMethod</v>
      </c>
      <c r="G5" s="36" t="str">
        <f>IFERROR(__xludf.DUMMYFUNCTION("""COMPUTED_VALUE"""),"Broker")</f>
        <v>Broker</v>
      </c>
      <c r="H5" s="36" t="str">
        <f>IFERROR(__xludf.DUMMYFUNCTION("""COMPUTED_VALUE"""),"TIF")</f>
        <v>TIF</v>
      </c>
      <c r="I5" s="36" t="str">
        <f>IFERROR(__xludf.DUMMYFUNCTION("""COMPUTED_VALUE"""),"Order Type")</f>
        <v>Order Type</v>
      </c>
      <c r="J5" s="36" t="str">
        <f>IFERROR(__xludf.DUMMYFUNCTION("""COMPUTED_VALUE"""),"Price")</f>
        <v>Price</v>
      </c>
      <c r="K5" s="36" t="str">
        <f>IFERROR(__xludf.DUMMYFUNCTION("""COMPUTED_VALUE"""),"Stop")</f>
        <v>Stop</v>
      </c>
      <c r="L5" s="36" t="str">
        <f>IFERROR(__xludf.DUMMYFUNCTION("""COMPUTED_VALUE"""),"Limit")</f>
        <v>Limit</v>
      </c>
      <c r="M5" s="36" t="str">
        <f>IFERROR(__xludf.DUMMYFUNCTION("""COMPUTED_VALUE"""),"Strategy")</f>
        <v>Strategy</v>
      </c>
      <c r="N5" s="36" t="str">
        <f>IFERROR(__xludf.DUMMYFUNCTION("""COMPUTED_VALUE"""),"Trade Date")</f>
        <v>Trade Date</v>
      </c>
      <c r="O5" s="36" t="str">
        <f>IFERROR(__xludf.DUMMYFUNCTION("""COMPUTED_VALUE"""),"FxRate")</f>
        <v>FxRate</v>
      </c>
      <c r="P5" s="36" t="str">
        <f>IFERROR(__xludf.DUMMYFUNCTION("""COMPUTED_VALUE"""),"Notes")</f>
        <v>Notes</v>
      </c>
      <c r="Q5" s="36" t="str">
        <f>IFERROR(__xludf.DUMMYFUNCTION("""COMPUTED_VALUE"""),"Broker Notes")</f>
        <v>Broker Notes</v>
      </c>
      <c r="R5" s="36" t="str">
        <f>IFERROR(__xludf.DUMMYFUNCTION("""COMPUTED_VALUE"""),"CommissionBasis")</f>
        <v>CommissionBasis</v>
      </c>
      <c r="S5" s="36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2" t="s">
        <v>53</v>
      </c>
      <c r="D6" s="41">
        <v>100.0</v>
      </c>
      <c r="E6" s="35">
        <v>100.0</v>
      </c>
      <c r="F6" s="32"/>
      <c r="G6" s="32"/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IFERROR(__xludf.DUMMYFUNCTION("""COMPUTED_VALUE"""),"Ticker")</f>
        <v>Ticker</v>
      </c>
      <c r="C5" s="36" t="str">
        <f>IFERROR(__xludf.DUMMYFUNCTION("""COMPUTED_VALUE"""),"Add/Set")</f>
        <v>Add/Set</v>
      </c>
      <c r="D5" s="36" t="str">
        <f>IFERROR(__xludf.DUMMYFUNCTION("""COMPUTED_VALUE"""),"Type")</f>
        <v>Type</v>
      </c>
      <c r="E5" s="36" t="str">
        <f>IFERROR(__xludf.DUMMYFUNCTION("""COMPUTED_VALUE"""),"Target")</f>
        <v>Target</v>
      </c>
      <c r="F5" s="37" t="str">
        <f>IFERROR(__xludf.DUMMYFUNCTION("""COMPUTED_VALUE"""),"Price")</f>
        <v>Price</v>
      </c>
      <c r="G5" s="36" t="str">
        <f>IFERROR(__xludf.DUMMYFUNCTION("""COMPUTED_VALUE"""),"Combined Account Total")</f>
        <v>Combined Account Total</v>
      </c>
      <c r="H5" s="36" t="str">
        <f>IFERROR(__xludf.DUMMYFUNCTION("""COMPUTED_VALUE"""),"MasterFund/Account")</f>
        <v>MasterFund/Account</v>
      </c>
      <c r="I5" s="36" t="str">
        <f>IFERROR(__xludf.DUMMYFUNCTION("""COMPUTED_VALUE"""),"Accounts")</f>
        <v>Accounts</v>
      </c>
      <c r="J5" s="36" t="str">
        <f>IFERROR(__xludf.DUMMYFUNCTION("""COMPUTED_VALUE"""),"Master Funds")</f>
        <v>Master Funds</v>
      </c>
      <c r="K5" s="36" t="str">
        <f>IFERROR(__xludf.DUMMYFUNCTION("""COMPUTED_VALUE"""),"Round Lots")</f>
        <v>Round Lots</v>
      </c>
      <c r="L5" s="36"/>
      <c r="M5" s="36"/>
      <c r="N5" s="36"/>
      <c r="O5" s="36"/>
      <c r="P5" s="36"/>
      <c r="Q5" s="36"/>
      <c r="R5" s="36"/>
      <c r="S5" s="36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6"/>
      <c r="B6" s="75" t="s">
        <v>23</v>
      </c>
      <c r="C6" s="76" t="s">
        <v>33</v>
      </c>
      <c r="D6" s="77" t="s">
        <v>34</v>
      </c>
      <c r="E6" s="78">
        <v>1000.0</v>
      </c>
      <c r="F6" s="78">
        <v>10.0</v>
      </c>
      <c r="G6" s="76" t="s">
        <v>35</v>
      </c>
      <c r="H6" s="76" t="s">
        <v>36</v>
      </c>
      <c r="I6" s="79" t="s">
        <v>54</v>
      </c>
      <c r="J6" s="68"/>
      <c r="K6" s="68"/>
      <c r="L6" s="68"/>
      <c r="M6" s="68"/>
      <c r="N6" s="68"/>
      <c r="O6" s="68"/>
      <c r="P6" s="68"/>
      <c r="Q6" s="68"/>
      <c r="R6" s="68"/>
      <c r="S6" s="6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IFERROR(__xludf.DUMMYFUNCTION("""COMPUTED_VALUE"""),"Account Name")</f>
        <v>Account Name</v>
      </c>
      <c r="C5" s="36" t="str">
        <f>IFERROR(__xludf.DUMMYFUNCTION("""COMPUTED_VALUE"""),"Account NAV")</f>
        <v>Account NAV</v>
      </c>
      <c r="D5" s="36" t="str">
        <f>IFERROR(__xludf.DUMMYFUNCTION("""COMPUTED_VALUE"""),"Starting Position")</f>
        <v>Starting Position</v>
      </c>
      <c r="E5" s="36" t="str">
        <f>IFERROR(__xludf.DUMMYFUNCTION("""COMPUTED_VALUE"""),"Starting Value")</f>
        <v>Starting Value</v>
      </c>
      <c r="F5" s="37" t="str">
        <f>IFERROR(__xludf.DUMMYFUNCTION("""COMPUTED_VALUE"""),"Starting %")</f>
        <v>Starting %</v>
      </c>
      <c r="G5" s="36" t="str">
        <f>IFERROR(__xludf.DUMMYFUNCTION("""COMPUTED_VALUE"""),"% Change")</f>
        <v>% Change</v>
      </c>
      <c r="H5" s="36" t="str">
        <f>IFERROR(__xludf.DUMMYFUNCTION("""COMPUTED_VALUE"""),"Ending %")</f>
        <v>Ending %</v>
      </c>
      <c r="I5" s="36" t="str">
        <f>IFERROR(__xludf.DUMMYFUNCTION("""COMPUTED_VALUE"""),"Trade Quantity")</f>
        <v>Trade Quantity</v>
      </c>
      <c r="J5" s="36" t="str">
        <f>IFERROR(__xludf.DUMMYFUNCTION("""COMPUTED_VALUE"""),"Ending Position")</f>
        <v>Ending Position</v>
      </c>
      <c r="K5" s="36" t="str">
        <f>IFERROR(__xludf.DUMMYFUNCTION("""COMPUTED_VALUE"""),"Ending Value")</f>
        <v>Ending Value</v>
      </c>
      <c r="L5" s="36" t="str">
        <f>IFERROR(__xludf.DUMMYFUNCTION("""COMPUTED_VALUE"""),"% Allocation")</f>
        <v>% Allocation</v>
      </c>
      <c r="M5" s="36" t="str">
        <f>IFERROR(__xludf.DUMMYFUNCTION("""COMPUTED_VALUE"""),"Fx Rate")</f>
        <v>Fx Rate</v>
      </c>
      <c r="N5" s="36" t="str">
        <f>IFERROR(__xludf.DUMMYFUNCTION("""COMPUTED_VALUE"""),"Starting BP")</f>
        <v>Starting BP</v>
      </c>
      <c r="O5" s="36" t="str">
        <f>IFERROR(__xludf.DUMMYFUNCTION("""COMPUTED_VALUE"""),"BP Change")</f>
        <v>BP Change</v>
      </c>
      <c r="P5" s="36" t="str">
        <f>IFERROR(__xludf.DUMMYFUNCTION("""COMPUTED_VALUE"""),"Ending BP")</f>
        <v>Ending BP</v>
      </c>
      <c r="Q5" s="36" t="str">
        <f>IFERROR(__xludf.DUMMYFUNCTION("""COMPUTED_VALUE"""),"MasterFund Name")</f>
        <v>MasterFund Name</v>
      </c>
      <c r="R5" s="36" t="str">
        <f>IFERROR(__xludf.DUMMYFUNCTION("""COMPUTED_VALUE"""),"Order Side")</f>
        <v>Order Side</v>
      </c>
      <c r="S5" s="36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1" t="s">
        <v>38</v>
      </c>
      <c r="B6" s="34" t="s">
        <v>24</v>
      </c>
      <c r="C6" s="35">
        <v>100000.0</v>
      </c>
      <c r="D6" s="41">
        <v>1100.0</v>
      </c>
      <c r="E6" s="35">
        <v>11000.0</v>
      </c>
      <c r="F6" s="32" t="s">
        <v>38</v>
      </c>
      <c r="G6" s="32" t="s">
        <v>38</v>
      </c>
      <c r="H6" s="32" t="s">
        <v>38</v>
      </c>
      <c r="I6" s="35">
        <v>100.0</v>
      </c>
      <c r="J6" s="35">
        <v>1000.0</v>
      </c>
      <c r="K6" s="35">
        <v>10000.0</v>
      </c>
      <c r="L6" s="35">
        <v>50.0</v>
      </c>
      <c r="M6" s="32" t="s">
        <v>38</v>
      </c>
      <c r="N6" s="35">
        <v>550.0</v>
      </c>
      <c r="O6" s="35">
        <v>-50.0</v>
      </c>
      <c r="P6" s="50">
        <v>500.0</v>
      </c>
      <c r="Q6" s="32" t="s">
        <v>38</v>
      </c>
      <c r="R6" s="32" t="s">
        <v>38</v>
      </c>
      <c r="S6" s="32" t="s">
        <v>38</v>
      </c>
      <c r="T6" s="32" t="s">
        <v>38</v>
      </c>
      <c r="U6" s="32" t="s">
        <v>38</v>
      </c>
      <c r="V6" s="32" t="s">
        <v>38</v>
      </c>
      <c r="W6" s="32" t="s">
        <v>38</v>
      </c>
      <c r="X6" s="32" t="s">
        <v>38</v>
      </c>
      <c r="Y6" s="32" t="s">
        <v>38</v>
      </c>
      <c r="Z6" s="32" t="s">
        <v>38</v>
      </c>
      <c r="AA6" s="32" t="s">
        <v>38</v>
      </c>
      <c r="AB6" s="32" t="s">
        <v>38</v>
      </c>
      <c r="AC6" s="32" t="s">
        <v>38</v>
      </c>
      <c r="AD6" s="32" t="s">
        <v>38</v>
      </c>
      <c r="AE6" s="32" t="s">
        <v>38</v>
      </c>
      <c r="AF6" s="32" t="s">
        <v>38</v>
      </c>
      <c r="AG6" s="32" t="s">
        <v>38</v>
      </c>
      <c r="AH6" s="32" t="s">
        <v>38</v>
      </c>
      <c r="AI6" s="32" t="s">
        <v>38</v>
      </c>
      <c r="AJ6" s="32" t="s">
        <v>38</v>
      </c>
      <c r="AK6" s="32" t="s">
        <v>38</v>
      </c>
      <c r="AL6" s="32" t="s">
        <v>38</v>
      </c>
      <c r="AM6" s="32" t="s">
        <v>38</v>
      </c>
      <c r="AN6" s="32" t="s">
        <v>38</v>
      </c>
      <c r="AO6" s="32" t="s">
        <v>38</v>
      </c>
      <c r="AP6" s="32" t="s">
        <v>38</v>
      </c>
      <c r="AQ6" s="32" t="s">
        <v>38</v>
      </c>
      <c r="AR6" s="32" t="s">
        <v>38</v>
      </c>
      <c r="AS6" s="32" t="s">
        <v>38</v>
      </c>
      <c r="AT6" s="32" t="s">
        <v>38</v>
      </c>
      <c r="AU6" s="32" t="s">
        <v>38</v>
      </c>
      <c r="AV6" s="32" t="s">
        <v>38</v>
      </c>
      <c r="AW6" s="32" t="s">
        <v>38</v>
      </c>
      <c r="AX6" s="32" t="s">
        <v>38</v>
      </c>
      <c r="AY6" s="32" t="s">
        <v>38</v>
      </c>
      <c r="AZ6" s="32" t="s">
        <v>38</v>
      </c>
      <c r="BA6" s="32" t="s">
        <v>38</v>
      </c>
      <c r="BB6" s="32" t="s">
        <v>38</v>
      </c>
      <c r="BC6" s="32" t="s">
        <v>38</v>
      </c>
      <c r="BD6" s="32" t="s">
        <v>38</v>
      </c>
      <c r="BE6" s="32" t="s">
        <v>38</v>
      </c>
      <c r="BF6" s="32" t="s">
        <v>38</v>
      </c>
      <c r="BG6" s="32" t="s">
        <v>38</v>
      </c>
      <c r="BH6" s="32" t="s">
        <v>38</v>
      </c>
      <c r="BI6" s="32" t="s">
        <v>38</v>
      </c>
      <c r="BJ6" s="32" t="s">
        <v>38</v>
      </c>
      <c r="BK6" s="32" t="s">
        <v>38</v>
      </c>
      <c r="BL6" s="32" t="s">
        <v>38</v>
      </c>
      <c r="BM6" s="32" t="s">
        <v>38</v>
      </c>
      <c r="BN6" s="32" t="s">
        <v>38</v>
      </c>
      <c r="BO6" s="32" t="s">
        <v>38</v>
      </c>
      <c r="BP6" s="32" t="s">
        <v>38</v>
      </c>
      <c r="BQ6" s="32" t="s">
        <v>38</v>
      </c>
      <c r="BR6" s="32" t="s">
        <v>38</v>
      </c>
      <c r="BS6" s="32" t="s">
        <v>38</v>
      </c>
      <c r="BT6" s="32" t="s">
        <v>38</v>
      </c>
      <c r="BU6" s="32" t="s">
        <v>38</v>
      </c>
      <c r="BV6" s="32" t="s">
        <v>38</v>
      </c>
      <c r="BW6" s="32" t="s">
        <v>38</v>
      </c>
      <c r="BX6" s="32" t="s">
        <v>38</v>
      </c>
      <c r="BY6" s="32" t="s">
        <v>38</v>
      </c>
      <c r="BZ6" s="32" t="s">
        <v>38</v>
      </c>
      <c r="CA6" s="32" t="s">
        <v>38</v>
      </c>
      <c r="CB6" s="32" t="s">
        <v>38</v>
      </c>
      <c r="CC6" s="32" t="s">
        <v>38</v>
      </c>
      <c r="CD6" s="32" t="s">
        <v>38</v>
      </c>
      <c r="CE6" s="32" t="s">
        <v>38</v>
      </c>
      <c r="CF6" s="32" t="s">
        <v>38</v>
      </c>
      <c r="CG6" s="32" t="s">
        <v>38</v>
      </c>
      <c r="CH6" s="32" t="s">
        <v>38</v>
      </c>
      <c r="CI6" s="32" t="s">
        <v>38</v>
      </c>
      <c r="CJ6" s="32" t="s">
        <v>38</v>
      </c>
      <c r="CK6" s="32" t="s">
        <v>38</v>
      </c>
      <c r="CL6" s="32" t="s">
        <v>38</v>
      </c>
      <c r="CM6" s="32" t="s">
        <v>38</v>
      </c>
      <c r="CN6" s="32" t="s">
        <v>38</v>
      </c>
      <c r="CO6" s="32" t="s">
        <v>38</v>
      </c>
      <c r="CP6" s="32" t="s">
        <v>38</v>
      </c>
      <c r="CQ6" s="32" t="s">
        <v>38</v>
      </c>
      <c r="CR6" s="32" t="s">
        <v>38</v>
      </c>
      <c r="CS6" s="32" t="s">
        <v>38</v>
      </c>
      <c r="CT6" s="32" t="s">
        <v>38</v>
      </c>
      <c r="CU6" s="32" t="s">
        <v>38</v>
      </c>
      <c r="CV6" s="32" t="s">
        <v>38</v>
      </c>
      <c r="CW6" s="32" t="s">
        <v>38</v>
      </c>
      <c r="CX6" s="32" t="s">
        <v>38</v>
      </c>
      <c r="CY6" s="32" t="s">
        <v>38</v>
      </c>
      <c r="CZ6" s="32" t="s">
        <v>38</v>
      </c>
      <c r="DA6" s="32" t="s">
        <v>38</v>
      </c>
      <c r="DB6" s="32" t="s">
        <v>38</v>
      </c>
      <c r="DC6" s="32" t="s">
        <v>38</v>
      </c>
      <c r="DD6" s="32" t="s">
        <v>38</v>
      </c>
      <c r="DE6" s="32" t="s">
        <v>38</v>
      </c>
      <c r="DF6" s="32" t="s">
        <v>38</v>
      </c>
      <c r="DG6" s="32" t="s">
        <v>38</v>
      </c>
      <c r="DH6" s="32" t="s">
        <v>38</v>
      </c>
      <c r="DI6" s="32" t="s">
        <v>38</v>
      </c>
      <c r="DJ6" s="32" t="s">
        <v>38</v>
      </c>
      <c r="DK6" s="32" t="s">
        <v>38</v>
      </c>
      <c r="DL6" s="32" t="s">
        <v>38</v>
      </c>
      <c r="DM6" s="32" t="s">
        <v>38</v>
      </c>
      <c r="DN6" s="32" t="s">
        <v>38</v>
      </c>
      <c r="DO6" s="32" t="s">
        <v>38</v>
      </c>
      <c r="DP6" s="32" t="s">
        <v>38</v>
      </c>
      <c r="DQ6" s="32" t="s">
        <v>38</v>
      </c>
      <c r="DR6" s="32" t="s">
        <v>38</v>
      </c>
      <c r="DS6" s="32" t="s">
        <v>38</v>
      </c>
      <c r="DT6" s="32" t="s">
        <v>38</v>
      </c>
      <c r="DU6" s="32" t="s">
        <v>38</v>
      </c>
      <c r="DV6" s="32" t="s">
        <v>38</v>
      </c>
      <c r="DW6" s="32" t="s">
        <v>38</v>
      </c>
      <c r="DX6" s="32" t="s">
        <v>38</v>
      </c>
      <c r="DY6" s="32" t="s">
        <v>38</v>
      </c>
      <c r="DZ6" s="32" t="s">
        <v>38</v>
      </c>
      <c r="EA6" s="32" t="s">
        <v>38</v>
      </c>
      <c r="EB6" s="32" t="s">
        <v>38</v>
      </c>
      <c r="EC6" s="32" t="s">
        <v>38</v>
      </c>
      <c r="ED6" s="32" t="s">
        <v>38</v>
      </c>
      <c r="EE6" s="32" t="s">
        <v>38</v>
      </c>
      <c r="EF6" s="32" t="s">
        <v>38</v>
      </c>
      <c r="EG6" s="32" t="s">
        <v>38</v>
      </c>
      <c r="EH6" s="32" t="s">
        <v>38</v>
      </c>
      <c r="EI6" s="32" t="s">
        <v>38</v>
      </c>
      <c r="EJ6" s="32" t="s">
        <v>38</v>
      </c>
      <c r="EK6" s="32" t="s">
        <v>38</v>
      </c>
      <c r="EL6" s="32" t="s">
        <v>38</v>
      </c>
      <c r="EM6" s="32" t="s">
        <v>38</v>
      </c>
      <c r="EN6" s="32" t="s">
        <v>38</v>
      </c>
      <c r="EO6" s="32" t="s">
        <v>38</v>
      </c>
      <c r="EP6" s="32" t="s">
        <v>38</v>
      </c>
      <c r="EQ6" s="32" t="s">
        <v>38</v>
      </c>
      <c r="ER6" s="32" t="s">
        <v>38</v>
      </c>
      <c r="ES6" s="32" t="s">
        <v>38</v>
      </c>
      <c r="ET6" s="32" t="s">
        <v>38</v>
      </c>
      <c r="EU6" s="32" t="s">
        <v>38</v>
      </c>
      <c r="EV6" s="32" t="s">
        <v>38</v>
      </c>
      <c r="EW6" s="32" t="s">
        <v>38</v>
      </c>
      <c r="EX6" s="32" t="s">
        <v>38</v>
      </c>
      <c r="EY6" s="32" t="s">
        <v>38</v>
      </c>
      <c r="EZ6" s="32" t="s">
        <v>38</v>
      </c>
      <c r="FA6" s="32" t="s">
        <v>38</v>
      </c>
      <c r="FB6" s="32" t="s">
        <v>38</v>
      </c>
      <c r="FC6" s="32" t="s">
        <v>38</v>
      </c>
      <c r="FD6" s="32" t="s">
        <v>38</v>
      </c>
      <c r="FE6" s="32" t="s">
        <v>38</v>
      </c>
      <c r="FF6" s="32" t="s">
        <v>38</v>
      </c>
      <c r="FG6" s="32" t="s">
        <v>38</v>
      </c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</row>
    <row r="7" ht="15.75" customHeight="1">
      <c r="A7" s="32" t="s">
        <v>38</v>
      </c>
      <c r="B7" s="34" t="s">
        <v>25</v>
      </c>
      <c r="C7" s="35">
        <v>100000.0</v>
      </c>
      <c r="D7" s="35">
        <v>1100.0</v>
      </c>
      <c r="E7" s="35">
        <v>11000.0</v>
      </c>
      <c r="F7" s="32" t="s">
        <v>38</v>
      </c>
      <c r="G7" s="32" t="s">
        <v>38</v>
      </c>
      <c r="H7" s="32" t="s">
        <v>38</v>
      </c>
      <c r="I7" s="35">
        <v>100.0</v>
      </c>
      <c r="J7" s="35">
        <v>1000.0</v>
      </c>
      <c r="K7" s="35">
        <v>10000.0</v>
      </c>
      <c r="L7" s="35">
        <v>50.0</v>
      </c>
      <c r="M7" s="32" t="s">
        <v>38</v>
      </c>
      <c r="N7" s="35">
        <v>550.0</v>
      </c>
      <c r="O7" s="35">
        <v>-50.0</v>
      </c>
      <c r="P7" s="50">
        <v>500.0</v>
      </c>
      <c r="Q7" s="32" t="s">
        <v>38</v>
      </c>
      <c r="R7" s="32" t="s">
        <v>38</v>
      </c>
      <c r="S7" s="32" t="s">
        <v>38</v>
      </c>
      <c r="T7" s="32" t="s">
        <v>38</v>
      </c>
      <c r="U7" s="32" t="s">
        <v>38</v>
      </c>
      <c r="V7" s="32" t="s">
        <v>38</v>
      </c>
      <c r="W7" s="32" t="s">
        <v>38</v>
      </c>
      <c r="X7" s="32" t="s">
        <v>38</v>
      </c>
      <c r="Y7" s="32" t="s">
        <v>38</v>
      </c>
      <c r="Z7" s="32" t="s">
        <v>38</v>
      </c>
      <c r="AA7" s="32" t="s">
        <v>38</v>
      </c>
      <c r="AB7" s="32" t="s">
        <v>38</v>
      </c>
      <c r="AC7" s="32" t="s">
        <v>38</v>
      </c>
      <c r="AD7" s="32" t="s">
        <v>38</v>
      </c>
      <c r="AE7" s="32" t="s">
        <v>38</v>
      </c>
      <c r="AF7" s="32" t="s">
        <v>38</v>
      </c>
      <c r="AG7" s="32" t="s">
        <v>38</v>
      </c>
      <c r="AH7" s="32" t="s">
        <v>38</v>
      </c>
      <c r="AI7" s="32" t="s">
        <v>38</v>
      </c>
      <c r="AJ7" s="32" t="s">
        <v>38</v>
      </c>
      <c r="AK7" s="32" t="s">
        <v>38</v>
      </c>
      <c r="AL7" s="32" t="s">
        <v>38</v>
      </c>
      <c r="AM7" s="32" t="s">
        <v>38</v>
      </c>
      <c r="AN7" s="32" t="s">
        <v>38</v>
      </c>
      <c r="AO7" s="32" t="s">
        <v>38</v>
      </c>
      <c r="AP7" s="32" t="s">
        <v>38</v>
      </c>
      <c r="AQ7" s="32" t="s">
        <v>38</v>
      </c>
      <c r="AR7" s="32" t="s">
        <v>38</v>
      </c>
      <c r="AS7" s="32" t="s">
        <v>38</v>
      </c>
      <c r="AT7" s="32" t="s">
        <v>38</v>
      </c>
      <c r="AU7" s="32" t="s">
        <v>38</v>
      </c>
      <c r="AV7" s="32" t="s">
        <v>38</v>
      </c>
      <c r="AW7" s="32" t="s">
        <v>38</v>
      </c>
      <c r="AX7" s="32" t="s">
        <v>38</v>
      </c>
      <c r="AY7" s="32" t="s">
        <v>38</v>
      </c>
      <c r="AZ7" s="32" t="s">
        <v>38</v>
      </c>
      <c r="BA7" s="32" t="s">
        <v>38</v>
      </c>
      <c r="BB7" s="32" t="s">
        <v>38</v>
      </c>
      <c r="BC7" s="32" t="s">
        <v>38</v>
      </c>
      <c r="BD7" s="32" t="s">
        <v>38</v>
      </c>
      <c r="BE7" s="32" t="s">
        <v>38</v>
      </c>
      <c r="BF7" s="32" t="s">
        <v>38</v>
      </c>
      <c r="BG7" s="32" t="s">
        <v>38</v>
      </c>
      <c r="BH7" s="32" t="s">
        <v>38</v>
      </c>
      <c r="BI7" s="32" t="s">
        <v>38</v>
      </c>
      <c r="BJ7" s="32" t="s">
        <v>38</v>
      </c>
      <c r="BK7" s="32" t="s">
        <v>38</v>
      </c>
      <c r="BL7" s="32" t="s">
        <v>38</v>
      </c>
      <c r="BM7" s="32" t="s">
        <v>38</v>
      </c>
      <c r="BN7" s="32" t="s">
        <v>38</v>
      </c>
      <c r="BO7" s="32" t="s">
        <v>38</v>
      </c>
      <c r="BP7" s="32" t="s">
        <v>38</v>
      </c>
      <c r="BQ7" s="32" t="s">
        <v>38</v>
      </c>
      <c r="BR7" s="32" t="s">
        <v>38</v>
      </c>
      <c r="BS7" s="32" t="s">
        <v>38</v>
      </c>
      <c r="BT7" s="32" t="s">
        <v>38</v>
      </c>
      <c r="BU7" s="32" t="s">
        <v>38</v>
      </c>
      <c r="BV7" s="32" t="s">
        <v>38</v>
      </c>
      <c r="BW7" s="32" t="s">
        <v>38</v>
      </c>
      <c r="BX7" s="32" t="s">
        <v>38</v>
      </c>
      <c r="BY7" s="32" t="s">
        <v>38</v>
      </c>
      <c r="BZ7" s="32" t="s">
        <v>38</v>
      </c>
      <c r="CA7" s="32" t="s">
        <v>38</v>
      </c>
      <c r="CB7" s="32" t="s">
        <v>38</v>
      </c>
      <c r="CC7" s="32" t="s">
        <v>38</v>
      </c>
      <c r="CD7" s="32" t="s">
        <v>38</v>
      </c>
      <c r="CE7" s="32" t="s">
        <v>38</v>
      </c>
      <c r="CF7" s="32" t="s">
        <v>38</v>
      </c>
      <c r="CG7" s="32" t="s">
        <v>38</v>
      </c>
      <c r="CH7" s="32" t="s">
        <v>38</v>
      </c>
      <c r="CI7" s="32" t="s">
        <v>38</v>
      </c>
      <c r="CJ7" s="32" t="s">
        <v>38</v>
      </c>
      <c r="CK7" s="32" t="s">
        <v>38</v>
      </c>
      <c r="CL7" s="32" t="s">
        <v>38</v>
      </c>
      <c r="CM7" s="32" t="s">
        <v>38</v>
      </c>
      <c r="CN7" s="32" t="s">
        <v>38</v>
      </c>
      <c r="CO7" s="32" t="s">
        <v>38</v>
      </c>
      <c r="CP7" s="32" t="s">
        <v>38</v>
      </c>
      <c r="CQ7" s="32" t="s">
        <v>38</v>
      </c>
      <c r="CR7" s="32" t="s">
        <v>38</v>
      </c>
      <c r="CS7" s="32" t="s">
        <v>38</v>
      </c>
      <c r="CT7" s="32" t="s">
        <v>38</v>
      </c>
      <c r="CU7" s="32" t="s">
        <v>38</v>
      </c>
      <c r="CV7" s="32" t="s">
        <v>38</v>
      </c>
      <c r="CW7" s="32" t="s">
        <v>38</v>
      </c>
      <c r="CX7" s="32" t="s">
        <v>38</v>
      </c>
      <c r="CY7" s="32" t="s">
        <v>38</v>
      </c>
      <c r="CZ7" s="32" t="s">
        <v>38</v>
      </c>
      <c r="DA7" s="32" t="s">
        <v>38</v>
      </c>
      <c r="DB7" s="32" t="s">
        <v>38</v>
      </c>
      <c r="DC7" s="32" t="s">
        <v>38</v>
      </c>
      <c r="DD7" s="32" t="s">
        <v>38</v>
      </c>
      <c r="DE7" s="32" t="s">
        <v>38</v>
      </c>
      <c r="DF7" s="32" t="s">
        <v>38</v>
      </c>
      <c r="DG7" s="32" t="s">
        <v>38</v>
      </c>
      <c r="DH7" s="32" t="s">
        <v>38</v>
      </c>
      <c r="DI7" s="32" t="s">
        <v>38</v>
      </c>
      <c r="DJ7" s="32" t="s">
        <v>38</v>
      </c>
      <c r="DK7" s="32" t="s">
        <v>38</v>
      </c>
      <c r="DL7" s="32" t="s">
        <v>38</v>
      </c>
      <c r="DM7" s="32" t="s">
        <v>38</v>
      </c>
      <c r="DN7" s="32" t="s">
        <v>38</v>
      </c>
      <c r="DO7" s="32" t="s">
        <v>38</v>
      </c>
      <c r="DP7" s="32" t="s">
        <v>38</v>
      </c>
      <c r="DQ7" s="32" t="s">
        <v>38</v>
      </c>
      <c r="DR7" s="32" t="s">
        <v>38</v>
      </c>
      <c r="DS7" s="32" t="s">
        <v>38</v>
      </c>
      <c r="DT7" s="32" t="s">
        <v>38</v>
      </c>
      <c r="DU7" s="32" t="s">
        <v>38</v>
      </c>
      <c r="DV7" s="32" t="s">
        <v>38</v>
      </c>
      <c r="DW7" s="32" t="s">
        <v>38</v>
      </c>
      <c r="DX7" s="32" t="s">
        <v>38</v>
      </c>
      <c r="DY7" s="32" t="s">
        <v>38</v>
      </c>
      <c r="DZ7" s="32" t="s">
        <v>38</v>
      </c>
      <c r="EA7" s="32" t="s">
        <v>38</v>
      </c>
      <c r="EB7" s="32" t="s">
        <v>38</v>
      </c>
      <c r="EC7" s="32" t="s">
        <v>38</v>
      </c>
      <c r="ED7" s="32" t="s">
        <v>38</v>
      </c>
      <c r="EE7" s="32" t="s">
        <v>38</v>
      </c>
      <c r="EF7" s="32" t="s">
        <v>38</v>
      </c>
      <c r="EG7" s="32" t="s">
        <v>38</v>
      </c>
      <c r="EH7" s="32" t="s">
        <v>38</v>
      </c>
      <c r="EI7" s="32" t="s">
        <v>38</v>
      </c>
      <c r="EJ7" s="32" t="s">
        <v>38</v>
      </c>
      <c r="EK7" s="32" t="s">
        <v>38</v>
      </c>
      <c r="EL7" s="32" t="s">
        <v>38</v>
      </c>
      <c r="EM7" s="32" t="s">
        <v>38</v>
      </c>
      <c r="EN7" s="32" t="s">
        <v>38</v>
      </c>
      <c r="EO7" s="32" t="s">
        <v>38</v>
      </c>
      <c r="EP7" s="32" t="s">
        <v>38</v>
      </c>
      <c r="EQ7" s="32" t="s">
        <v>38</v>
      </c>
      <c r="ER7" s="32" t="s">
        <v>38</v>
      </c>
      <c r="ES7" s="32" t="s">
        <v>38</v>
      </c>
      <c r="ET7" s="32" t="s">
        <v>38</v>
      </c>
      <c r="EU7" s="32" t="s">
        <v>38</v>
      </c>
      <c r="EV7" s="32" t="s">
        <v>38</v>
      </c>
      <c r="EW7" s="32" t="s">
        <v>38</v>
      </c>
      <c r="EX7" s="32" t="s">
        <v>38</v>
      </c>
      <c r="EY7" s="32" t="s">
        <v>38</v>
      </c>
      <c r="EZ7" s="32" t="s">
        <v>38</v>
      </c>
      <c r="FA7" s="32" t="s">
        <v>38</v>
      </c>
      <c r="FB7" s="32" t="s">
        <v>38</v>
      </c>
      <c r="FC7" s="32" t="s">
        <v>38</v>
      </c>
      <c r="FD7" s="32" t="s">
        <v>38</v>
      </c>
      <c r="FE7" s="32" t="s">
        <v>38</v>
      </c>
      <c r="FF7" s="32" t="s">
        <v>38</v>
      </c>
      <c r="FG7" s="32" t="s">
        <v>38</v>
      </c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IFERROR(__xludf.DUMMYFUNCTION("""COMPUTED_VALUE"""),"Ticker")</f>
        <v>Ticker</v>
      </c>
      <c r="C5" s="36" t="str">
        <f>IFERROR(__xludf.DUMMYFUNCTION("""COMPUTED_VALUE"""),"Add/Set")</f>
        <v>Add/Set</v>
      </c>
      <c r="D5" s="36" t="str">
        <f>IFERROR(__xludf.DUMMYFUNCTION("""COMPUTED_VALUE"""),"Type")</f>
        <v>Type</v>
      </c>
      <c r="E5" s="36" t="str">
        <f>IFERROR(__xludf.DUMMYFUNCTION("""COMPUTED_VALUE"""),"Target")</f>
        <v>Target</v>
      </c>
      <c r="F5" s="37" t="str">
        <f>IFERROR(__xludf.DUMMYFUNCTION("""COMPUTED_VALUE"""),"Price")</f>
        <v>Price</v>
      </c>
      <c r="G5" s="36" t="str">
        <f>IFERROR(__xludf.DUMMYFUNCTION("""COMPUTED_VALUE"""),"Combined Account Total")</f>
        <v>Combined Account Total</v>
      </c>
      <c r="H5" s="36" t="str">
        <f>IFERROR(__xludf.DUMMYFUNCTION("""COMPUTED_VALUE"""),"MasterFund/Account")</f>
        <v>MasterFund/Account</v>
      </c>
      <c r="I5" s="36" t="str">
        <f>IFERROR(__xludf.DUMMYFUNCTION("""COMPUTED_VALUE"""),"Accounts")</f>
        <v>Accounts</v>
      </c>
      <c r="J5" s="36" t="str">
        <f>IFERROR(__xludf.DUMMYFUNCTION("""COMPUTED_VALUE"""),"MTT POP UP?")</f>
        <v>MTT POP UP?</v>
      </c>
      <c r="K5" s="36"/>
      <c r="L5" s="36"/>
      <c r="M5" s="36"/>
      <c r="N5" s="36"/>
      <c r="O5" s="36"/>
      <c r="P5" s="36"/>
      <c r="Q5" s="36"/>
      <c r="R5" s="36"/>
      <c r="S5" s="36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6"/>
      <c r="B6" s="75" t="s">
        <v>23</v>
      </c>
      <c r="C6" s="76" t="s">
        <v>33</v>
      </c>
      <c r="D6" s="77" t="s">
        <v>34</v>
      </c>
      <c r="E6" s="78">
        <v>1000.0</v>
      </c>
      <c r="F6" s="78">
        <v>10.0</v>
      </c>
      <c r="G6" s="76" t="s">
        <v>35</v>
      </c>
      <c r="H6" s="76" t="s">
        <v>36</v>
      </c>
      <c r="I6" s="79" t="s">
        <v>54</v>
      </c>
      <c r="J6" s="68"/>
      <c r="K6" s="68"/>
      <c r="L6" s="68"/>
      <c r="M6" s="68"/>
      <c r="N6" s="68"/>
      <c r="O6" s="68"/>
      <c r="P6" s="68"/>
      <c r="Q6" s="68"/>
      <c r="R6" s="68"/>
      <c r="S6" s="6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TradePTT3!$4:$4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IFERROR(__xludf.DUMMYFUNCTION("""COMPUTED_VALUE"""),"Symbol")</f>
        <v>Symbol</v>
      </c>
      <c r="C5" s="36" t="str">
        <f>IFERROR(__xludf.DUMMYFUNCTION("""COMPUTED_VALUE"""),"Order Side")</f>
        <v>Order Side</v>
      </c>
      <c r="D5" s="36" t="str">
        <f>IFERROR(__xludf.DUMMYFUNCTION("""COMPUTED_VALUE"""),"Quantity")</f>
        <v>Quantity</v>
      </c>
      <c r="E5" s="36" t="str">
        <f>IFERROR(__xludf.DUMMYFUNCTION("""COMPUTED_VALUE"""),"TargetQuantityIn")</f>
        <v>TargetQuantityIn</v>
      </c>
      <c r="F5" s="37" t="str">
        <f>IFERROR(__xludf.DUMMYFUNCTION("""COMPUTED_VALUE"""),"AllocationMethod")</f>
        <v>AllocationMethod</v>
      </c>
      <c r="G5" s="36" t="str">
        <f>IFERROR(__xludf.DUMMYFUNCTION("""COMPUTED_VALUE"""),"Broker")</f>
        <v>Broker</v>
      </c>
      <c r="H5" s="36" t="str">
        <f>IFERROR(__xludf.DUMMYFUNCTION("""COMPUTED_VALUE"""),"TIF")</f>
        <v>TIF</v>
      </c>
      <c r="I5" s="36" t="str">
        <f>IFERROR(__xludf.DUMMYFUNCTION("""COMPUTED_VALUE"""),"Order Type")</f>
        <v>Order Type</v>
      </c>
      <c r="J5" s="36" t="str">
        <f>IFERROR(__xludf.DUMMYFUNCTION("""COMPUTED_VALUE"""),"Price")</f>
        <v>Price</v>
      </c>
      <c r="K5" s="36" t="str">
        <f>IFERROR(__xludf.DUMMYFUNCTION("""COMPUTED_VALUE"""),"Stop")</f>
        <v>Stop</v>
      </c>
      <c r="L5" s="36" t="str">
        <f>IFERROR(__xludf.DUMMYFUNCTION("""COMPUTED_VALUE"""),"Limit")</f>
        <v>Limit</v>
      </c>
      <c r="M5" s="36" t="str">
        <f>IFERROR(__xludf.DUMMYFUNCTION("""COMPUTED_VALUE"""),"Strategy")</f>
        <v>Strategy</v>
      </c>
      <c r="N5" s="36" t="str">
        <f>IFERROR(__xludf.DUMMYFUNCTION("""COMPUTED_VALUE"""),"Trade Date")</f>
        <v>Trade Date</v>
      </c>
      <c r="O5" s="36" t="str">
        <f>IFERROR(__xludf.DUMMYFUNCTION("""COMPUTED_VALUE"""),"FxRate")</f>
        <v>FxRate</v>
      </c>
      <c r="P5" s="36" t="str">
        <f>IFERROR(__xludf.DUMMYFUNCTION("""COMPUTED_VALUE"""),"Notes")</f>
        <v>Notes</v>
      </c>
      <c r="Q5" s="36" t="str">
        <f>IFERROR(__xludf.DUMMYFUNCTION("""COMPUTED_VALUE"""),"Broker Notes")</f>
        <v>Broker Notes</v>
      </c>
      <c r="R5" s="36" t="str">
        <f>IFERROR(__xludf.DUMMYFUNCTION("""COMPUTED_VALUE"""),"CommissionBasis")</f>
        <v>CommissionBasis</v>
      </c>
      <c r="S5" s="36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6"/>
      <c r="B6" s="80" t="s">
        <v>23</v>
      </c>
      <c r="C6" s="68" t="s">
        <v>53</v>
      </c>
      <c r="D6" s="71">
        <v>200.0</v>
      </c>
      <c r="E6" s="69">
        <v>200.0</v>
      </c>
      <c r="F6" s="68"/>
      <c r="G6" s="68"/>
      <c r="H6" s="68"/>
      <c r="I6" s="68"/>
      <c r="J6" s="69">
        <v>10.0</v>
      </c>
      <c r="K6" s="68"/>
      <c r="L6" s="68"/>
      <c r="M6" s="68"/>
      <c r="N6" s="68"/>
      <c r="O6" s="68"/>
      <c r="P6" s="68"/>
      <c r="Q6" s="68"/>
      <c r="R6" s="68"/>
      <c r="S6" s="68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CreateDoneAwayOrder4!$4:$4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IFERROR(__xludf.DUMMYFUNCTION("""COMPUTED_VALUE"""),"RangeType")</f>
        <v>RangeType</v>
      </c>
      <c r="C5" s="36" t="str">
        <f>IFERROR(__xludf.DUMMYFUNCTION("""COMPUTED_VALUE"""),"From")</f>
        <v>From</v>
      </c>
      <c r="D5" s="36" t="str">
        <f>IFERROR(__xludf.DUMMYFUNCTION("""COMPUTED_VALUE"""),"To")</f>
        <v>To</v>
      </c>
      <c r="E5" s="36" t="str">
        <f>IFERROR(__xludf.DUMMYFUNCTION("""COMPUTED_VALUE"""),"FilterTabName")</f>
        <v>FilterTabName</v>
      </c>
      <c r="F5" s="37" t="str">
        <f>IFERROR(__xludf.DUMMYFUNCTION("""COMPUTED_VALUE"""),"Symbol")</f>
        <v>Symbol</v>
      </c>
      <c r="G5" s="36" t="str">
        <f>IFERROR(__xludf.DUMMYFUNCTION("""COMPUTED_VALUE"""),"Asset")</f>
        <v>Asset</v>
      </c>
      <c r="H5" s="36" t="str">
        <f>IFERROR(__xludf.DUMMYFUNCTION("""COMPUTED_VALUE"""),"Side")</f>
        <v>Side</v>
      </c>
      <c r="I5" s="36" t="str">
        <f>IFERROR(__xludf.DUMMYFUNCTION("""COMPUTED_VALUE"""),"Account")</f>
        <v>Account</v>
      </c>
      <c r="J5" s="36" t="str">
        <f>IFERROR(__xludf.DUMMYFUNCTION("""COMPUTED_VALUE"""),"Broker")</f>
        <v>Broker</v>
      </c>
      <c r="K5" s="36" t="str">
        <f>IFERROR(__xludf.DUMMYFUNCTION("""COMPUTED_VALUE"""),"Currency")</f>
        <v>Currency</v>
      </c>
      <c r="L5" s="36" t="str">
        <f>IFERROR(__xludf.DUMMYFUNCTION("""COMPUTED_VALUE"""),"Exchange")</f>
        <v>Exchange</v>
      </c>
      <c r="M5" s="36" t="str">
        <f>IFERROR(__xludf.DUMMYFUNCTION("""COMPUTED_VALUE"""),"StrategyName")</f>
        <v>StrategyName</v>
      </c>
      <c r="N5" s="36" t="str">
        <f>IFERROR(__xludf.DUMMYFUNCTION("""COMPUTED_VALUE"""),"Underlying")</f>
        <v>Underlying</v>
      </c>
      <c r="O5" s="36" t="str">
        <f>IFERROR(__xludf.DUMMYFUNCTION("""COMPUTED_VALUE"""),"Venue")</f>
        <v>Venue</v>
      </c>
      <c r="P5" s="36" t="str">
        <f>IFERROR(__xludf.DUMMYFUNCTION("""COMPUTED_VALUE"""),"TradingAccount")</f>
        <v>TradingAccount</v>
      </c>
      <c r="Q5" s="36" t="str">
        <f>IFERROR(__xludf.DUMMYFUNCTION("""COMPUTED_VALUE"""),"PreAllocated")</f>
        <v>PreAllocated</v>
      </c>
      <c r="R5" s="36" t="str">
        <f>IFERROR(__xludf.DUMMYFUNCTION("""COMPUTED_VALUE"""),"ManualGroup")</f>
        <v>ManualGroup</v>
      </c>
      <c r="S5" s="36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IFERROR(__xludf.DUMMYFUNCTION("""COMPUTED_VALUE"""),"Symbol")</f>
        <v>Symbol</v>
      </c>
      <c r="C5" s="36" t="str">
        <f>IFERROR(__xludf.DUMMYFUNCTION("""COMPUTED_VALUE"""),"Quantity")</f>
        <v>Quantity</v>
      </c>
      <c r="D5" s="36" t="str">
        <f>IFERROR(__xludf.DUMMYFUNCTION("""COMPUTED_VALUE"""),"Trade Date")</f>
        <v>Trade Date</v>
      </c>
      <c r="E5" s="36" t="str">
        <f>IFERROR(__xludf.DUMMYFUNCTION("""COMPUTED_VALUE"""),"Account Name")</f>
        <v>Account Name</v>
      </c>
      <c r="F5" s="37" t="str">
        <f>IFERROR(__xludf.DUMMYFUNCTION("""COMPUTED_VALUE"""),"Side")</f>
        <v>Side</v>
      </c>
      <c r="G5" s="36" t="str">
        <f>IFERROR(__xludf.DUMMYFUNCTION("""COMPUTED_VALUE"""),"Group Status")</f>
        <v>Group Status</v>
      </c>
      <c r="H5" s="36" t="str">
        <f>IFERROR(__xludf.DUMMYFUNCTION("""COMPUTED_VALUE"""),"Avg Price(Base)")</f>
        <v>Avg Price(Base)</v>
      </c>
      <c r="I5" s="36" t="str">
        <f>IFERROR(__xludf.DUMMYFUNCTION("""COMPUTED_VALUE"""),"Execution Time")</f>
        <v>Execution Time</v>
      </c>
      <c r="J5" s="36" t="str">
        <f>IFERROR(__xludf.DUMMYFUNCTION("""COMPUTED_VALUE"""),"Trade Attribute 1")</f>
        <v>Trade Attribute 1</v>
      </c>
      <c r="K5" s="36" t="str">
        <f>IFERROR(__xludf.DUMMYFUNCTION("""COMPUTED_VALUE"""),"Avg Price(Local)")</f>
        <v>Avg Price(Local)</v>
      </c>
      <c r="L5" s="36" t="str">
        <f>IFERROR(__xludf.DUMMYFUNCTION("""COMPUTED_VALUE"""),"Trade Attribute 2")</f>
        <v>Trade Attribute 2</v>
      </c>
      <c r="M5" s="36" t="str">
        <f>IFERROR(__xludf.DUMMYFUNCTION("""COMPUTED_VALUE"""),"Accrued Interest")</f>
        <v>Accrued Interest</v>
      </c>
      <c r="N5" s="36" t="str">
        <f>IFERROR(__xludf.DUMMYFUNCTION("""COMPUTED_VALUE"""),"Commission")</f>
        <v>Commission</v>
      </c>
      <c r="O5" s="36" t="str">
        <f>IFERROR(__xludf.DUMMYFUNCTION("""COMPUTED_VALUE"""),"Soft Commission")</f>
        <v>Soft Commission</v>
      </c>
      <c r="P5" s="36" t="str">
        <f>IFERROR(__xludf.DUMMYFUNCTION("""COMPUTED_VALUE"""),"Broker")</f>
        <v>Broker</v>
      </c>
      <c r="Q5" s="36" t="str">
        <f>IFERROR(__xludf.DUMMYFUNCTION("""COMPUTED_VALUE"""),"Transaction Type")</f>
        <v>Transaction Type</v>
      </c>
      <c r="R5" s="36" t="str">
        <f>IFERROR(__xludf.DUMMYFUNCTION("""COMPUTED_VALUE"""),"AUEC Fee1")</f>
        <v>AUEC Fee1</v>
      </c>
      <c r="S5" s="36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13" t="s">
        <v>18</v>
      </c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  <c r="AQ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IFERROR(__xludf.DUMMYFUNCTION("""COMPUTED_VALUE"""),"Symbol")</f>
        <v>Symbol</v>
      </c>
      <c r="C5" s="36" t="str">
        <f>IFERROR(__xludf.DUMMYFUNCTION("""COMPUTED_VALUE"""),"Side")</f>
        <v>Side</v>
      </c>
      <c r="D5" s="36" t="str">
        <f>IFERROR(__xludf.DUMMYFUNCTION("""COMPUTED_VALUE"""),"Quantity")</f>
        <v>Quantity</v>
      </c>
      <c r="E5" s="36" t="str">
        <f>IFERROR(__xludf.DUMMYFUNCTION("""COMPUTED_VALUE"""),"Executed Qty")</f>
        <v>Executed Qty</v>
      </c>
      <c r="F5" s="37" t="str">
        <f>IFERROR(__xludf.DUMMYFUNCTION("""COMPUTED_VALUE"""),"Trade Date")</f>
        <v>Trade Date</v>
      </c>
      <c r="G5" s="36" t="str">
        <f>IFERROR(__xludf.DUMMYFUNCTION("""COMPUTED_VALUE"""),"Net Amount( Local)")</f>
        <v>Net Amount( Local)</v>
      </c>
      <c r="H5" s="36" t="str">
        <f>IFERROR(__xludf.DUMMYFUNCTION("""COMPUTED_VALUE"""),"Net Amount( Base)")</f>
        <v>Net Amount( Base)</v>
      </c>
      <c r="I5" s="36" t="str">
        <f>IFERROR(__xludf.DUMMYFUNCTION("""COMPUTED_VALUE"""),"Principal Amount( Local)")</f>
        <v>Principal Amount( Local)</v>
      </c>
      <c r="J5" s="36" t="str">
        <f>IFERROR(__xludf.DUMMYFUNCTION("""COMPUTED_VALUE"""),"Transaction Type")</f>
        <v>Transaction Type</v>
      </c>
      <c r="K5" s="36" t="str">
        <f>IFERROR(__xludf.DUMMYFUNCTION("""COMPUTED_VALUE"""),"Principal Amount( Base)")</f>
        <v>Principal Amount( Base)</v>
      </c>
      <c r="L5" s="36" t="str">
        <f>IFERROR(__xludf.DUMMYFUNCTION("""COMPUTED_VALUE"""),"Execution Time")</f>
        <v>Execution Time</v>
      </c>
      <c r="M5" s="36" t="str">
        <f>IFERROR(__xludf.DUMMYFUNCTION("""COMPUTED_VALUE"""),"Trading Account")</f>
        <v>Trading Account</v>
      </c>
      <c r="N5" s="36" t="str">
        <f>IFERROR(__xludf.DUMMYFUNCTION("""COMPUTED_VALUE"""),"Avg Price(Local)")</f>
        <v>Avg Price(Local)</v>
      </c>
      <c r="O5" s="36" t="str">
        <f>IFERROR(__xludf.DUMMYFUNCTION("""COMPUTED_VALUE"""),"Avg Price(Base)")</f>
        <v>Avg Price(Base)</v>
      </c>
      <c r="P5" s="36" t="str">
        <f>IFERROR(__xludf.DUMMYFUNCTION("""COMPUTED_VALUE"""),"Broker")</f>
        <v>Broker</v>
      </c>
      <c r="Q5" s="36" t="str">
        <f>IFERROR(__xludf.DUMMYFUNCTION("""COMPUTED_VALUE"""),"FX Rate")</f>
        <v>FX Rate</v>
      </c>
      <c r="R5" s="36" t="str">
        <f>IFERROR(__xludf.DUMMYFUNCTION("""COMPUTED_VALUE"""),"Venue")</f>
        <v>Venue</v>
      </c>
      <c r="S5" s="36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DeleteGroup!$4:$4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38</v>
      </c>
      <c r="B6" s="31"/>
      <c r="C6" s="32" t="s">
        <v>21</v>
      </c>
      <c r="D6" s="41">
        <v>-100.0</v>
      </c>
      <c r="E6" s="32" t="s">
        <v>22</v>
      </c>
      <c r="F6" s="55" t="s">
        <v>60</v>
      </c>
      <c r="G6" s="35">
        <v>10.0</v>
      </c>
      <c r="H6" s="56" t="s">
        <v>43</v>
      </c>
      <c r="I6" s="57">
        <v>-1000.0</v>
      </c>
      <c r="J6" s="32"/>
      <c r="K6" s="57"/>
      <c r="L6" s="57"/>
      <c r="M6" s="59"/>
      <c r="N6" s="57"/>
      <c r="O6" s="55"/>
      <c r="P6" s="55"/>
      <c r="Q6" s="57"/>
      <c r="R6" s="55"/>
      <c r="S6" s="55" t="s">
        <v>47</v>
      </c>
      <c r="T6" s="55" t="s">
        <v>48</v>
      </c>
      <c r="U6" s="55" t="s">
        <v>49</v>
      </c>
      <c r="V6" s="55" t="s">
        <v>50</v>
      </c>
      <c r="W6" s="55" t="s">
        <v>29</v>
      </c>
      <c r="X6" s="50"/>
      <c r="Y6" s="50">
        <v>1.0</v>
      </c>
      <c r="Z6" s="32"/>
      <c r="AA6" s="32"/>
      <c r="AB6" s="59"/>
      <c r="AC6" s="59"/>
      <c r="AD6" s="57"/>
      <c r="AE6" s="57"/>
      <c r="AF6" s="59"/>
      <c r="AG6" s="57"/>
      <c r="AH6" s="57"/>
      <c r="AI6" s="57"/>
      <c r="AJ6" s="57"/>
      <c r="AK6" s="57"/>
      <c r="AL6" s="50"/>
      <c r="AM6" s="59"/>
      <c r="AN6" s="59" t="s">
        <v>53</v>
      </c>
      <c r="AO6" s="32"/>
      <c r="AP6" s="55"/>
      <c r="AQ6" s="55" t="s">
        <v>21</v>
      </c>
      <c r="AR6" s="59">
        <v>10.0</v>
      </c>
      <c r="AS6" s="59"/>
      <c r="AT6" s="32"/>
      <c r="AU6" s="32"/>
      <c r="AV6" s="59"/>
      <c r="AW6" s="59"/>
      <c r="AX6" s="59"/>
      <c r="AY6" s="59"/>
      <c r="AZ6" s="57"/>
      <c r="BA6" s="59"/>
      <c r="BB6" s="32"/>
      <c r="BC6" s="50"/>
      <c r="BD6" s="57"/>
      <c r="BE6" s="55"/>
      <c r="BF6" s="55"/>
      <c r="BG6" s="55"/>
      <c r="BH6" s="32"/>
      <c r="BI6" s="32"/>
      <c r="BJ6" s="59"/>
      <c r="BK6" s="59"/>
      <c r="BL6" s="59"/>
      <c r="BM6" s="59"/>
      <c r="BN6" s="32"/>
      <c r="BO6" s="57"/>
      <c r="BP6" s="59"/>
      <c r="BQ6" s="55" t="s">
        <v>51</v>
      </c>
      <c r="BR6" s="55" t="s">
        <v>19</v>
      </c>
      <c r="BS6" s="59"/>
      <c r="BT6" s="59"/>
      <c r="BU6" s="55"/>
      <c r="BV6" s="32"/>
      <c r="BW6" s="32"/>
      <c r="BX6" s="57"/>
      <c r="BY6" s="57"/>
      <c r="BZ6" s="59"/>
      <c r="CA6" s="59"/>
      <c r="CB6" s="32"/>
      <c r="CC6" s="59"/>
      <c r="CD6" s="57"/>
      <c r="CE6" s="59"/>
      <c r="CF6" s="59"/>
      <c r="CG6" s="57"/>
      <c r="CH6" s="59"/>
      <c r="CI6" s="59"/>
      <c r="CJ6" s="59"/>
      <c r="CK6" s="61"/>
      <c r="CL6" s="32"/>
      <c r="CM6" s="32"/>
      <c r="CN6" s="32"/>
      <c r="CO6" s="32"/>
      <c r="CP6" s="55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57"/>
      <c r="DB6" s="59"/>
      <c r="DC6" s="32"/>
      <c r="DD6" s="59"/>
      <c r="DE6" s="62"/>
      <c r="DF6" s="59"/>
      <c r="DG6" s="59"/>
      <c r="DH6" s="55"/>
      <c r="DI6" s="59"/>
      <c r="DJ6" s="55"/>
      <c r="DK6" s="59"/>
      <c r="DL6" s="59"/>
      <c r="DM6" s="59"/>
      <c r="DN6" s="59"/>
      <c r="DO6" s="32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9"/>
      <c r="EG6" s="64"/>
      <c r="EH6" s="64"/>
      <c r="EI6" s="64"/>
      <c r="EJ6" s="59"/>
      <c r="EK6" s="59"/>
      <c r="EL6" s="55"/>
      <c r="EM6" s="57"/>
      <c r="EN6" s="57"/>
      <c r="EO6" s="59"/>
      <c r="EP6" s="57"/>
      <c r="EQ6" s="57"/>
      <c r="ER6" s="57"/>
      <c r="ES6" s="57"/>
      <c r="ET6" s="59"/>
      <c r="EU6" s="59"/>
      <c r="EV6" s="48"/>
      <c r="EW6" s="57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 t="s">
        <v>38</v>
      </c>
      <c r="FO6" s="32" t="s">
        <v>38</v>
      </c>
      <c r="FP6" s="32" t="s">
        <v>38</v>
      </c>
      <c r="FQ6" s="32" t="s">
        <v>38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38</v>
      </c>
      <c r="B7" s="32"/>
      <c r="C7" s="32" t="s">
        <v>23</v>
      </c>
      <c r="D7" s="35">
        <v>-100.0</v>
      </c>
      <c r="E7" s="81" t="s">
        <v>24</v>
      </c>
      <c r="F7" s="55" t="s">
        <v>61</v>
      </c>
      <c r="G7" s="35">
        <v>10.0</v>
      </c>
      <c r="H7" s="56" t="s">
        <v>43</v>
      </c>
      <c r="I7" s="57">
        <v>-1000.0</v>
      </c>
      <c r="J7" s="32"/>
      <c r="K7" s="57"/>
      <c r="L7" s="57"/>
      <c r="M7" s="59"/>
      <c r="N7" s="57"/>
      <c r="O7" s="55"/>
      <c r="P7" s="55"/>
      <c r="Q7" s="57"/>
      <c r="R7" s="55"/>
      <c r="S7" s="55" t="s">
        <v>47</v>
      </c>
      <c r="T7" s="55" t="s">
        <v>48</v>
      </c>
      <c r="U7" s="55" t="s">
        <v>49</v>
      </c>
      <c r="V7" s="55" t="s">
        <v>50</v>
      </c>
      <c r="W7" s="55" t="s">
        <v>29</v>
      </c>
      <c r="X7" s="50"/>
      <c r="Y7" s="50">
        <v>1.0</v>
      </c>
      <c r="Z7" s="32"/>
      <c r="AA7" s="32"/>
      <c r="AB7" s="59"/>
      <c r="AC7" s="59"/>
      <c r="AD7" s="57"/>
      <c r="AE7" s="57"/>
      <c r="AF7" s="59"/>
      <c r="AG7" s="57"/>
      <c r="AH7" s="57"/>
      <c r="AI7" s="57"/>
      <c r="AJ7" s="57"/>
      <c r="AK7" s="57"/>
      <c r="AL7" s="50"/>
      <c r="AM7" s="59"/>
      <c r="AN7" s="59" t="s">
        <v>53</v>
      </c>
      <c r="AO7" s="32"/>
      <c r="AP7" s="55"/>
      <c r="AQ7" s="55" t="s">
        <v>23</v>
      </c>
      <c r="AR7" s="59">
        <v>10.0</v>
      </c>
      <c r="AS7" s="59"/>
      <c r="AT7" s="32"/>
      <c r="AU7" s="32"/>
      <c r="AV7" s="59"/>
      <c r="AW7" s="59"/>
      <c r="AX7" s="59"/>
      <c r="AY7" s="59"/>
      <c r="AZ7" s="57"/>
      <c r="BA7" s="59"/>
      <c r="BB7" s="32"/>
      <c r="BC7" s="50"/>
      <c r="BD7" s="57"/>
      <c r="BE7" s="55"/>
      <c r="BF7" s="55"/>
      <c r="BG7" s="55"/>
      <c r="BH7" s="32"/>
      <c r="BI7" s="32"/>
      <c r="BJ7" s="59"/>
      <c r="BK7" s="59"/>
      <c r="BL7" s="59"/>
      <c r="BM7" s="59"/>
      <c r="BN7" s="32"/>
      <c r="BO7" s="57"/>
      <c r="BP7" s="59"/>
      <c r="BQ7" s="55" t="s">
        <v>51</v>
      </c>
      <c r="BR7" s="55" t="s">
        <v>19</v>
      </c>
      <c r="BS7" s="59"/>
      <c r="BT7" s="59"/>
      <c r="BU7" s="55"/>
      <c r="BV7" s="32"/>
      <c r="BW7" s="32"/>
      <c r="BX7" s="57"/>
      <c r="BY7" s="57"/>
      <c r="BZ7" s="59"/>
      <c r="CA7" s="59"/>
      <c r="CB7" s="32"/>
      <c r="CC7" s="59"/>
      <c r="CD7" s="57"/>
      <c r="CE7" s="59"/>
      <c r="CF7" s="59"/>
      <c r="CG7" s="57"/>
      <c r="CH7" s="59"/>
      <c r="CI7" s="59"/>
      <c r="CJ7" s="59"/>
      <c r="CK7" s="61"/>
      <c r="CL7" s="32"/>
      <c r="CM7" s="32"/>
      <c r="CN7" s="32"/>
      <c r="CO7" s="32"/>
      <c r="CP7" s="55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57"/>
      <c r="DB7" s="59"/>
      <c r="DC7" s="32"/>
      <c r="DD7" s="59"/>
      <c r="DE7" s="62"/>
      <c r="DF7" s="59"/>
      <c r="DG7" s="59"/>
      <c r="DH7" s="55"/>
      <c r="DI7" s="59"/>
      <c r="DJ7" s="55"/>
      <c r="DK7" s="59"/>
      <c r="DL7" s="59"/>
      <c r="DM7" s="59"/>
      <c r="DN7" s="59"/>
      <c r="DO7" s="32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9"/>
      <c r="EG7" s="64"/>
      <c r="EH7" s="64"/>
      <c r="EI7" s="64"/>
      <c r="EJ7" s="59"/>
      <c r="EK7" s="59"/>
      <c r="EL7" s="55"/>
      <c r="EM7" s="57"/>
      <c r="EN7" s="57"/>
      <c r="EO7" s="59"/>
      <c r="EP7" s="57"/>
      <c r="EQ7" s="57"/>
      <c r="ER7" s="57"/>
      <c r="ES7" s="57"/>
      <c r="ET7" s="59"/>
      <c r="EU7" s="59"/>
      <c r="EV7" s="48"/>
      <c r="EW7" s="57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 t="s">
        <v>38</v>
      </c>
      <c r="FO7" s="32" t="s">
        <v>38</v>
      </c>
      <c r="FP7" s="32" t="s">
        <v>38</v>
      </c>
      <c r="FQ7" s="32" t="s">
        <v>38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 t="s">
        <v>38</v>
      </c>
      <c r="B8" s="32"/>
      <c r="C8" s="31" t="s">
        <v>23</v>
      </c>
      <c r="D8" s="35">
        <v>-100.0</v>
      </c>
      <c r="E8" s="31" t="s">
        <v>25</v>
      </c>
      <c r="F8" s="55" t="s">
        <v>62</v>
      </c>
      <c r="G8" s="32">
        <v>10.0</v>
      </c>
      <c r="H8" s="56" t="s">
        <v>43</v>
      </c>
      <c r="I8" s="57">
        <v>-1000.0</v>
      </c>
      <c r="J8" s="32"/>
      <c r="K8" s="57"/>
      <c r="L8" s="57"/>
      <c r="M8" s="59"/>
      <c r="N8" s="57"/>
      <c r="O8" s="55"/>
      <c r="P8" s="55"/>
      <c r="Q8" s="57"/>
      <c r="R8" s="55"/>
      <c r="S8" s="55" t="s">
        <v>47</v>
      </c>
      <c r="T8" s="55" t="s">
        <v>48</v>
      </c>
      <c r="U8" s="55" t="s">
        <v>49</v>
      </c>
      <c r="V8" s="55" t="s">
        <v>50</v>
      </c>
      <c r="W8" s="55" t="s">
        <v>29</v>
      </c>
      <c r="X8" s="50"/>
      <c r="Y8" s="50">
        <v>1.0</v>
      </c>
      <c r="Z8" s="32"/>
      <c r="AA8" s="32"/>
      <c r="AB8" s="64"/>
      <c r="AC8" s="64"/>
      <c r="AD8" s="82"/>
      <c r="AE8" s="82"/>
      <c r="AF8" s="64"/>
      <c r="AG8" s="82"/>
      <c r="AH8" s="82"/>
      <c r="AI8" s="82"/>
      <c r="AJ8" s="82"/>
      <c r="AK8" s="82"/>
      <c r="AL8" s="50"/>
      <c r="AM8" s="59"/>
      <c r="AN8" s="59" t="s">
        <v>53</v>
      </c>
      <c r="AO8" s="32"/>
      <c r="AP8" s="55"/>
      <c r="AQ8" s="55" t="s">
        <v>23</v>
      </c>
      <c r="AR8" s="59">
        <v>10.0</v>
      </c>
      <c r="AS8" s="59"/>
      <c r="AT8" s="32"/>
      <c r="AU8" s="32"/>
      <c r="AV8" s="59"/>
      <c r="AW8" s="59"/>
      <c r="AX8" s="59"/>
      <c r="AY8" s="59"/>
      <c r="AZ8" s="57"/>
      <c r="BA8" s="59"/>
      <c r="BB8" s="32"/>
      <c r="BC8" s="50"/>
      <c r="BD8" s="57"/>
      <c r="BE8" s="55"/>
      <c r="BF8" s="55"/>
      <c r="BG8" s="55"/>
      <c r="BH8" s="32"/>
      <c r="BI8" s="32"/>
      <c r="BJ8" s="59"/>
      <c r="BK8" s="59"/>
      <c r="BL8" s="59"/>
      <c r="BM8" s="59"/>
      <c r="BN8" s="32"/>
      <c r="BO8" s="57"/>
      <c r="BP8" s="59"/>
      <c r="BQ8" s="55" t="s">
        <v>51</v>
      </c>
      <c r="BR8" s="55" t="s">
        <v>19</v>
      </c>
      <c r="BS8" s="59"/>
      <c r="BT8" s="59"/>
      <c r="BU8" s="55"/>
      <c r="BV8" s="32"/>
      <c r="BW8" s="32"/>
      <c r="BX8" s="82"/>
      <c r="BY8" s="82"/>
      <c r="BZ8" s="64"/>
      <c r="CA8" s="64"/>
      <c r="CB8" s="32"/>
      <c r="CC8" s="59"/>
      <c r="CD8" s="57"/>
      <c r="CE8" s="59"/>
      <c r="CF8" s="59"/>
      <c r="CG8" s="57"/>
      <c r="CH8" s="59"/>
      <c r="CI8" s="59"/>
      <c r="CJ8" s="59"/>
      <c r="CK8" s="61"/>
      <c r="CL8" s="32"/>
      <c r="CM8" s="32"/>
      <c r="CN8" s="32"/>
      <c r="CO8" s="32"/>
      <c r="CP8" s="55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57"/>
      <c r="DB8" s="59"/>
      <c r="DC8" s="32"/>
      <c r="DD8" s="59"/>
      <c r="DE8" s="83"/>
      <c r="DF8" s="59"/>
      <c r="DG8" s="59"/>
      <c r="DH8" s="55"/>
      <c r="DI8" s="59"/>
      <c r="DJ8" s="55"/>
      <c r="DK8" s="59"/>
      <c r="DL8" s="59"/>
      <c r="DM8" s="59"/>
      <c r="DN8" s="59"/>
      <c r="DO8" s="32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64"/>
      <c r="EG8" s="64"/>
      <c r="EH8" s="64"/>
      <c r="EI8" s="64"/>
      <c r="EJ8" s="64"/>
      <c r="EK8" s="64"/>
      <c r="EL8" s="63"/>
      <c r="EM8" s="82"/>
      <c r="EN8" s="82"/>
      <c r="EO8" s="64"/>
      <c r="EP8" s="82"/>
      <c r="EQ8" s="82"/>
      <c r="ER8" s="82"/>
      <c r="ES8" s="82"/>
      <c r="ET8" s="64"/>
      <c r="EU8" s="64"/>
      <c r="EV8" s="84"/>
      <c r="EW8" s="57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 t="s">
        <v>38</v>
      </c>
      <c r="FO8" s="32" t="s">
        <v>38</v>
      </c>
      <c r="FP8" s="32" t="s">
        <v>38</v>
      </c>
      <c r="FQ8" s="32" t="s">
        <v>38</v>
      </c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2"/>
      <c r="B9" s="32"/>
      <c r="C9" s="34"/>
      <c r="D9" s="35"/>
      <c r="E9" s="34"/>
      <c r="F9" s="55"/>
      <c r="G9" s="32"/>
      <c r="H9" s="56"/>
      <c r="I9" s="57"/>
      <c r="J9" s="32"/>
      <c r="K9" s="57"/>
      <c r="L9" s="57"/>
      <c r="M9" s="59"/>
      <c r="N9" s="57"/>
      <c r="O9" s="55"/>
      <c r="P9" s="55"/>
      <c r="Q9" s="57"/>
      <c r="R9" s="55"/>
      <c r="S9" s="55"/>
      <c r="T9" s="55"/>
      <c r="U9" s="55"/>
      <c r="V9" s="55"/>
      <c r="W9" s="55"/>
      <c r="X9" s="50"/>
      <c r="Y9" s="50"/>
      <c r="Z9" s="32"/>
      <c r="AA9" s="32"/>
      <c r="AB9" s="64"/>
      <c r="AC9" s="64"/>
      <c r="AD9" s="82"/>
      <c r="AE9" s="82"/>
      <c r="AF9" s="64"/>
      <c r="AG9" s="82"/>
      <c r="AH9" s="82"/>
      <c r="AI9" s="82"/>
      <c r="AJ9" s="82"/>
      <c r="AK9" s="82"/>
      <c r="AL9" s="64"/>
      <c r="AM9" s="64"/>
      <c r="AN9" s="59"/>
      <c r="AO9" s="32"/>
      <c r="AP9" s="55"/>
      <c r="AQ9" s="55"/>
      <c r="AR9" s="59"/>
      <c r="AS9" s="59"/>
      <c r="AT9" s="32"/>
      <c r="AU9" s="32"/>
      <c r="AV9" s="59"/>
      <c r="AW9" s="59"/>
      <c r="AX9" s="59"/>
      <c r="AY9" s="59"/>
      <c r="AZ9" s="57"/>
      <c r="BA9" s="59"/>
      <c r="BB9" s="32"/>
      <c r="BC9" s="50"/>
      <c r="BD9" s="57"/>
      <c r="BE9" s="55"/>
      <c r="BF9" s="55"/>
      <c r="BG9" s="55"/>
      <c r="BH9" s="32"/>
      <c r="BI9" s="32"/>
      <c r="BJ9" s="59"/>
      <c r="BK9" s="59"/>
      <c r="BL9" s="59"/>
      <c r="BM9" s="59"/>
      <c r="BN9" s="32"/>
      <c r="BO9" s="57"/>
      <c r="BP9" s="59"/>
      <c r="BQ9" s="55"/>
      <c r="BR9" s="55"/>
      <c r="BS9" s="59"/>
      <c r="BT9" s="59"/>
      <c r="BU9" s="55"/>
      <c r="BV9" s="32"/>
      <c r="BW9" s="32"/>
      <c r="BX9" s="82"/>
      <c r="BY9" s="82"/>
      <c r="BZ9" s="64"/>
      <c r="CA9" s="64"/>
      <c r="CB9" s="32"/>
      <c r="CC9" s="59"/>
      <c r="CD9" s="57"/>
      <c r="CE9" s="59"/>
      <c r="CF9" s="59"/>
      <c r="CG9" s="57"/>
      <c r="CH9" s="59"/>
      <c r="CI9" s="59"/>
      <c r="CJ9" s="59"/>
      <c r="CK9" s="61"/>
      <c r="CL9" s="32"/>
      <c r="CM9" s="32"/>
      <c r="CN9" s="32"/>
      <c r="CO9" s="32"/>
      <c r="CP9" s="55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57"/>
      <c r="DB9" s="59"/>
      <c r="DC9" s="32"/>
      <c r="DD9" s="59"/>
      <c r="DE9" s="83"/>
      <c r="DF9" s="59"/>
      <c r="DG9" s="59"/>
      <c r="DH9" s="55"/>
      <c r="DI9" s="59"/>
      <c r="DJ9" s="55"/>
      <c r="DK9" s="59"/>
      <c r="DL9" s="59"/>
      <c r="DM9" s="59"/>
      <c r="DN9" s="59"/>
      <c r="DO9" s="32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64"/>
      <c r="EG9" s="64"/>
      <c r="EH9" s="64"/>
      <c r="EI9" s="64"/>
      <c r="EJ9" s="64"/>
      <c r="EK9" s="64"/>
      <c r="EL9" s="63"/>
      <c r="EM9" s="82"/>
      <c r="EN9" s="82"/>
      <c r="EO9" s="64"/>
      <c r="EP9" s="82"/>
      <c r="EQ9" s="64"/>
      <c r="ER9" s="82"/>
      <c r="ES9" s="82"/>
      <c r="ET9" s="64"/>
      <c r="EU9" s="64"/>
      <c r="EV9" s="84"/>
      <c r="EW9" s="57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</row>
    <row r="10" ht="15.75" customHeight="1">
      <c r="A10" s="32"/>
      <c r="B10" s="32"/>
      <c r="C10" s="34"/>
      <c r="D10" s="35"/>
      <c r="E10" s="74"/>
      <c r="F10" s="55"/>
      <c r="G10" s="32"/>
      <c r="H10" s="56"/>
      <c r="I10" s="57"/>
      <c r="J10" s="32"/>
      <c r="K10" s="57"/>
      <c r="L10" s="57"/>
      <c r="M10" s="59"/>
      <c r="N10" s="57"/>
      <c r="O10" s="55"/>
      <c r="P10" s="55"/>
      <c r="Q10" s="57"/>
      <c r="R10" s="55"/>
      <c r="S10" s="55"/>
      <c r="T10" s="55"/>
      <c r="U10" s="55"/>
      <c r="V10" s="55"/>
      <c r="W10" s="55"/>
      <c r="X10" s="50"/>
      <c r="Y10" s="50"/>
      <c r="Z10" s="32"/>
      <c r="AA10" s="32"/>
      <c r="AB10" s="64"/>
      <c r="AC10" s="64"/>
      <c r="AD10" s="82"/>
      <c r="AE10" s="82"/>
      <c r="AF10" s="64"/>
      <c r="AG10" s="82"/>
      <c r="AH10" s="82"/>
      <c r="AI10" s="82"/>
      <c r="AJ10" s="82"/>
      <c r="AK10" s="82"/>
      <c r="AL10" s="64"/>
      <c r="AM10" s="64"/>
      <c r="AN10" s="59"/>
      <c r="AO10" s="32"/>
      <c r="AP10" s="55"/>
      <c r="AQ10" s="55"/>
      <c r="AR10" s="59"/>
      <c r="AS10" s="59"/>
      <c r="AT10" s="32"/>
      <c r="AU10" s="32"/>
      <c r="AV10" s="59"/>
      <c r="AW10" s="59"/>
      <c r="AX10" s="59"/>
      <c r="AY10" s="59"/>
      <c r="AZ10" s="57"/>
      <c r="BA10" s="59"/>
      <c r="BB10" s="32"/>
      <c r="BC10" s="50"/>
      <c r="BD10" s="57"/>
      <c r="BE10" s="55"/>
      <c r="BF10" s="55"/>
      <c r="BG10" s="55"/>
      <c r="BH10" s="32"/>
      <c r="BI10" s="32"/>
      <c r="BJ10" s="59"/>
      <c r="BK10" s="59"/>
      <c r="BL10" s="59"/>
      <c r="BM10" s="59"/>
      <c r="BN10" s="32"/>
      <c r="BO10" s="57"/>
      <c r="BP10" s="59"/>
      <c r="BQ10" s="55"/>
      <c r="BR10" s="55"/>
      <c r="BS10" s="59"/>
      <c r="BT10" s="59"/>
      <c r="BU10" s="55"/>
      <c r="BV10" s="32"/>
      <c r="BW10" s="32"/>
      <c r="BX10" s="82"/>
      <c r="BY10" s="82"/>
      <c r="BZ10" s="64"/>
      <c r="CA10" s="64"/>
      <c r="CB10" s="32"/>
      <c r="CC10" s="59"/>
      <c r="CD10" s="57"/>
      <c r="CE10" s="59"/>
      <c r="CF10" s="59"/>
      <c r="CG10" s="57"/>
      <c r="CH10" s="59"/>
      <c r="CI10" s="59"/>
      <c r="CJ10" s="59"/>
      <c r="CK10" s="61"/>
      <c r="CL10" s="32"/>
      <c r="CM10" s="32"/>
      <c r="CN10" s="32"/>
      <c r="CO10" s="32"/>
      <c r="CP10" s="55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57"/>
      <c r="DB10" s="59"/>
      <c r="DC10" s="32"/>
      <c r="DD10" s="59"/>
      <c r="DE10" s="83"/>
      <c r="DF10" s="59"/>
      <c r="DG10" s="59"/>
      <c r="DH10" s="55"/>
      <c r="DI10" s="59"/>
      <c r="DJ10" s="55"/>
      <c r="DK10" s="59"/>
      <c r="DL10" s="59"/>
      <c r="DM10" s="59"/>
      <c r="DN10" s="59"/>
      <c r="DO10" s="32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64"/>
      <c r="EG10" s="64"/>
      <c r="EH10" s="64"/>
      <c r="EI10" s="64"/>
      <c r="EJ10" s="64"/>
      <c r="EK10" s="64"/>
      <c r="EL10" s="63"/>
      <c r="EM10" s="82"/>
      <c r="EN10" s="82"/>
      <c r="EO10" s="64"/>
      <c r="EP10" s="82"/>
      <c r="EQ10" s="64"/>
      <c r="ER10" s="82"/>
      <c r="ES10" s="82"/>
      <c r="ET10" s="64"/>
      <c r="EU10" s="64"/>
      <c r="EV10" s="84"/>
      <c r="EW10" s="57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