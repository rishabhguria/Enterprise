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SelectTradeOnOrderGrid" sheetId="5" r:id="rId7"/>
    <sheet state="visible" name="SelectTradeOnOrderGrid1" sheetId="6" r:id="rId8"/>
    <sheet state="visible" name="SelectTradeOnOrderGrid2" sheetId="7" r:id="rId9"/>
    <sheet state="visible" name="SelectTradeOnOrderGrid3" sheetId="8" r:id="rId10"/>
    <sheet state="visible" name="SelectTradeOnOrderGrid4" sheetId="9" r:id="rId11"/>
    <sheet state="visible" name="SelectTradeOnOrderGrid5" sheetId="10" r:id="rId12"/>
    <sheet state="visible" name="SelectTradeOnOrderGrid6" sheetId="11" r:id="rId13"/>
    <sheet state="visible" name="SelectTradeOnOrderGrid7" sheetId="12" r:id="rId14"/>
    <sheet state="visible" name="SelectTradeOnOrderGrid8" sheetId="13" r:id="rId15"/>
    <sheet state="visible" name="SelectTradeOnOrderGrid9" sheetId="14" r:id="rId16"/>
    <sheet state="visible" name="SelectTradeOnOrderGrid10" sheetId="15" r:id="rId17"/>
    <sheet state="visible" name="SelectTradeOnOrderGrid11" sheetId="16" r:id="rId18"/>
    <sheet state="visible" name="SelectTradeOnOrderGrid12" sheetId="17" r:id="rId19"/>
    <sheet state="visible" name="VerifyViewAllocationOrder" sheetId="18" r:id="rId20"/>
  </sheets>
  <definedNames/>
  <calcPr/>
</workbook>
</file>

<file path=xl/sharedStrings.xml><?xml version="1.0" encoding="utf-8"?>
<sst xmlns="http://schemas.openxmlformats.org/spreadsheetml/2006/main" count="205" uniqueCount="35">
  <si>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</si>
  <si>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</si>
  <si>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</si>
  <si>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</si>
  <si>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</si>
  <si>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</si>
  <si>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</si>
  <si>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</si>
  <si>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</si>
  <si>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</si>
  <si>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</si>
  <si>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</si>
  <si>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</si>
  <si>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</si>
  <si>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</si>
  <si>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</si>
  <si>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BMW-XET</t>
  </si>
  <si>
    <t>Buy</t>
  </si>
  <si>
    <t>MS</t>
  </si>
  <si>
    <t>Allocation1,Allocation2</t>
  </si>
  <si>
    <t>50,50</t>
  </si>
  <si>
    <t>Sell</t>
  </si>
  <si>
    <t xml:space="preserve">Buy to Open </t>
  </si>
  <si>
    <t>Buy to Close</t>
  </si>
  <si>
    <t>Sell short</t>
  </si>
  <si>
    <t>ES U5</t>
  </si>
  <si>
    <t>O:AAPL 13N715.00</t>
  </si>
  <si>
    <t>Buy to Open</t>
  </si>
  <si>
    <t>Sell to Open</t>
  </si>
  <si>
    <t>Sell to Close</t>
  </si>
  <si>
    <t>Blotter</t>
  </si>
  <si>
    <t>SelectTradeOnOrderGrid</t>
  </si>
  <si>
    <t>VerifyViewAllocationOrder</t>
  </si>
  <si>
    <t>Allocation1</t>
  </si>
  <si>
    <t>Allocation2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</si>
</sst>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2" width="13.88"/>
    <col customWidth="1" min="3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12">
        <v>100.0</v>
      </c>
      <c r="F6" s="8"/>
      <c r="G6" s="12" t="s">
        <v>18</v>
      </c>
      <c r="H6" s="8"/>
      <c r="I6" s="8"/>
      <c r="J6" s="12">
        <v>25.0</v>
      </c>
      <c r="K6" s="8"/>
      <c r="L6" s="8"/>
      <c r="M6" s="8"/>
      <c r="N6" s="30">
        <f t="shared" ref="N6:N18" si="1">today()</f>
        <v>45532</v>
      </c>
      <c r="O6" s="8"/>
      <c r="AK6" s="9" t="s">
        <v>19</v>
      </c>
      <c r="AL6" s="9" t="s">
        <v>20</v>
      </c>
    </row>
    <row r="7" ht="15.75" customHeight="1">
      <c r="A7" s="8"/>
      <c r="B7" s="12" t="s">
        <v>16</v>
      </c>
      <c r="C7" s="12" t="s">
        <v>21</v>
      </c>
      <c r="D7" s="12">
        <v>100.0</v>
      </c>
      <c r="E7" s="12">
        <v>100.0</v>
      </c>
      <c r="F7" s="8"/>
      <c r="G7" s="12" t="s">
        <v>18</v>
      </c>
      <c r="H7" s="8"/>
      <c r="I7" s="8"/>
      <c r="J7" s="12">
        <v>25.0</v>
      </c>
      <c r="K7" s="8"/>
      <c r="L7" s="8"/>
      <c r="M7" s="8"/>
      <c r="N7" s="30">
        <f t="shared" si="1"/>
        <v>45532</v>
      </c>
      <c r="O7" s="8"/>
      <c r="AK7" s="9" t="s">
        <v>19</v>
      </c>
      <c r="AL7" s="9" t="s">
        <v>20</v>
      </c>
    </row>
    <row r="8" ht="15.75" customHeight="1">
      <c r="A8" s="8"/>
      <c r="B8" s="12" t="s">
        <v>16</v>
      </c>
      <c r="C8" s="12" t="s">
        <v>22</v>
      </c>
      <c r="D8" s="12">
        <v>100.0</v>
      </c>
      <c r="E8" s="12">
        <v>100.0</v>
      </c>
      <c r="F8" s="8"/>
      <c r="G8" s="12" t="s">
        <v>18</v>
      </c>
      <c r="H8" s="8"/>
      <c r="I8" s="8"/>
      <c r="J8" s="12">
        <v>25.0</v>
      </c>
      <c r="K8" s="8"/>
      <c r="L8" s="8"/>
      <c r="M8" s="8"/>
      <c r="N8" s="30">
        <f t="shared" si="1"/>
        <v>45532</v>
      </c>
      <c r="O8" s="8"/>
      <c r="AK8" s="9" t="s">
        <v>19</v>
      </c>
      <c r="AL8" s="9" t="s">
        <v>20</v>
      </c>
    </row>
    <row r="9" ht="15.75" customHeight="1">
      <c r="A9" s="8"/>
      <c r="B9" s="12" t="s">
        <v>16</v>
      </c>
      <c r="C9" s="12" t="s">
        <v>23</v>
      </c>
      <c r="D9" s="12">
        <v>100.0</v>
      </c>
      <c r="E9" s="12">
        <v>100.0</v>
      </c>
      <c r="F9" s="8"/>
      <c r="G9" s="12" t="s">
        <v>18</v>
      </c>
      <c r="H9" s="8"/>
      <c r="I9" s="8"/>
      <c r="J9" s="12">
        <v>25.0</v>
      </c>
      <c r="K9" s="8"/>
      <c r="L9" s="8"/>
      <c r="M9" s="8"/>
      <c r="N9" s="30">
        <f t="shared" si="1"/>
        <v>45532</v>
      </c>
      <c r="O9" s="8"/>
      <c r="AK9" s="9" t="s">
        <v>19</v>
      </c>
      <c r="AL9" s="9" t="s">
        <v>20</v>
      </c>
    </row>
    <row r="10" ht="15.75" customHeight="1">
      <c r="A10" s="8"/>
      <c r="B10" s="12" t="s">
        <v>16</v>
      </c>
      <c r="C10" s="12" t="s">
        <v>24</v>
      </c>
      <c r="D10" s="12">
        <v>100.0</v>
      </c>
      <c r="E10" s="12">
        <v>100.0</v>
      </c>
      <c r="F10" s="8"/>
      <c r="G10" s="12" t="s">
        <v>18</v>
      </c>
      <c r="H10" s="8"/>
      <c r="I10" s="8"/>
      <c r="J10" s="12">
        <v>25.0</v>
      </c>
      <c r="K10" s="8"/>
      <c r="L10" s="8"/>
      <c r="M10" s="8"/>
      <c r="N10" s="30">
        <f t="shared" si="1"/>
        <v>45532</v>
      </c>
      <c r="O10" s="8"/>
      <c r="AK10" s="9" t="s">
        <v>19</v>
      </c>
      <c r="AL10" s="9" t="s">
        <v>20</v>
      </c>
    </row>
    <row r="11" ht="15.75" customHeight="1">
      <c r="A11" s="8"/>
      <c r="B11" s="12">
        <v>1.23456789E8</v>
      </c>
      <c r="C11" s="12" t="s">
        <v>17</v>
      </c>
      <c r="D11" s="12">
        <v>100.0</v>
      </c>
      <c r="E11" s="12">
        <v>100.0</v>
      </c>
      <c r="F11" s="8"/>
      <c r="G11" s="12" t="s">
        <v>18</v>
      </c>
      <c r="H11" s="8"/>
      <c r="I11" s="8"/>
      <c r="J11" s="12">
        <v>25.0</v>
      </c>
      <c r="K11" s="8"/>
      <c r="L11" s="8"/>
      <c r="M11" s="8"/>
      <c r="N11" s="30">
        <f t="shared" si="1"/>
        <v>45532</v>
      </c>
      <c r="O11" s="8"/>
      <c r="AK11" s="9" t="s">
        <v>19</v>
      </c>
      <c r="AL11" s="9" t="s">
        <v>20</v>
      </c>
    </row>
    <row r="12" ht="15.75" customHeight="1">
      <c r="A12" s="8"/>
      <c r="B12" s="12">
        <v>1.23456789E8</v>
      </c>
      <c r="C12" s="12" t="s">
        <v>21</v>
      </c>
      <c r="D12" s="12">
        <v>100.0</v>
      </c>
      <c r="E12" s="12">
        <v>100.0</v>
      </c>
      <c r="F12" s="8"/>
      <c r="G12" s="12" t="s">
        <v>18</v>
      </c>
      <c r="H12" s="8"/>
      <c r="I12" s="8"/>
      <c r="J12" s="12">
        <v>25.0</v>
      </c>
      <c r="K12" s="8"/>
      <c r="L12" s="8"/>
      <c r="M12" s="8"/>
      <c r="N12" s="30">
        <f t="shared" si="1"/>
        <v>45532</v>
      </c>
      <c r="O12" s="8"/>
      <c r="AK12" s="9" t="s">
        <v>19</v>
      </c>
      <c r="AL12" s="9" t="s">
        <v>20</v>
      </c>
    </row>
    <row r="13" ht="15.75" customHeight="1">
      <c r="A13" s="8"/>
      <c r="B13" s="12" t="s">
        <v>25</v>
      </c>
      <c r="C13" s="12" t="s">
        <v>17</v>
      </c>
      <c r="D13" s="12">
        <v>100.0</v>
      </c>
      <c r="E13" s="12">
        <v>100.0</v>
      </c>
      <c r="F13" s="8"/>
      <c r="G13" s="12" t="s">
        <v>18</v>
      </c>
      <c r="H13" s="8"/>
      <c r="I13" s="8"/>
      <c r="J13" s="12">
        <v>25.0</v>
      </c>
      <c r="K13" s="8"/>
      <c r="L13" s="8"/>
      <c r="M13" s="8"/>
      <c r="N13" s="30">
        <f t="shared" si="1"/>
        <v>45532</v>
      </c>
      <c r="O13" s="8"/>
      <c r="AK13" s="9" t="s">
        <v>19</v>
      </c>
      <c r="AL13" s="9" t="s">
        <v>20</v>
      </c>
    </row>
    <row r="14" ht="15.75" customHeight="1">
      <c r="A14" s="8"/>
      <c r="B14" s="12" t="s">
        <v>25</v>
      </c>
      <c r="C14" s="12" t="s">
        <v>21</v>
      </c>
      <c r="D14" s="12">
        <v>100.0</v>
      </c>
      <c r="E14" s="12">
        <v>100.0</v>
      </c>
      <c r="F14" s="8"/>
      <c r="G14" s="12" t="s">
        <v>18</v>
      </c>
      <c r="H14" s="8"/>
      <c r="I14" s="8"/>
      <c r="J14" s="12">
        <v>25.0</v>
      </c>
      <c r="K14" s="8"/>
      <c r="L14" s="8"/>
      <c r="M14" s="8"/>
      <c r="N14" s="30">
        <f t="shared" si="1"/>
        <v>45532</v>
      </c>
      <c r="O14" s="8"/>
      <c r="AK14" s="9" t="s">
        <v>19</v>
      </c>
      <c r="AL14" s="9" t="s">
        <v>20</v>
      </c>
    </row>
    <row r="15" ht="15.75" customHeight="1">
      <c r="A15" s="8"/>
      <c r="B15" s="12" t="s">
        <v>26</v>
      </c>
      <c r="C15" s="12" t="s">
        <v>27</v>
      </c>
      <c r="D15" s="12">
        <v>100.0</v>
      </c>
      <c r="E15" s="12">
        <v>100.0</v>
      </c>
      <c r="F15" s="8"/>
      <c r="G15" s="12" t="s">
        <v>18</v>
      </c>
      <c r="H15" s="8"/>
      <c r="I15" s="8"/>
      <c r="J15" s="12">
        <v>25.0</v>
      </c>
      <c r="K15" s="8"/>
      <c r="L15" s="8"/>
      <c r="M15" s="8"/>
      <c r="N15" s="30">
        <f t="shared" si="1"/>
        <v>45532</v>
      </c>
      <c r="O15" s="8"/>
      <c r="AK15" s="9" t="s">
        <v>19</v>
      </c>
      <c r="AL15" s="9" t="s">
        <v>20</v>
      </c>
    </row>
    <row r="16" ht="15.75" customHeight="1">
      <c r="A16" s="8"/>
      <c r="B16" s="12" t="s">
        <v>26</v>
      </c>
      <c r="C16" s="12" t="s">
        <v>23</v>
      </c>
      <c r="D16" s="12">
        <v>100.0</v>
      </c>
      <c r="E16" s="12">
        <v>100.0</v>
      </c>
      <c r="F16" s="8"/>
      <c r="G16" s="12" t="s">
        <v>18</v>
      </c>
      <c r="H16" s="8"/>
      <c r="I16" s="8"/>
      <c r="J16" s="12">
        <v>25.0</v>
      </c>
      <c r="K16" s="8"/>
      <c r="L16" s="8"/>
      <c r="M16" s="8"/>
      <c r="N16" s="30">
        <f t="shared" si="1"/>
        <v>45532</v>
      </c>
      <c r="O16" s="8"/>
      <c r="AK16" s="9" t="s">
        <v>19</v>
      </c>
      <c r="AL16" s="9" t="s">
        <v>20</v>
      </c>
    </row>
    <row r="17" ht="15.75" customHeight="1">
      <c r="A17" s="8"/>
      <c r="B17" s="12" t="s">
        <v>26</v>
      </c>
      <c r="C17" s="12" t="s">
        <v>28</v>
      </c>
      <c r="D17" s="12">
        <v>100.0</v>
      </c>
      <c r="E17" s="12">
        <v>100.0</v>
      </c>
      <c r="F17" s="8"/>
      <c r="G17" s="12" t="s">
        <v>18</v>
      </c>
      <c r="H17" s="8"/>
      <c r="I17" s="8"/>
      <c r="J17" s="12">
        <v>25.0</v>
      </c>
      <c r="K17" s="8"/>
      <c r="L17" s="8"/>
      <c r="M17" s="8"/>
      <c r="N17" s="30">
        <f t="shared" si="1"/>
        <v>45532</v>
      </c>
      <c r="O17" s="8"/>
      <c r="AK17" s="9" t="s">
        <v>19</v>
      </c>
      <c r="AL17" s="9" t="s">
        <v>20</v>
      </c>
    </row>
    <row r="18" ht="15.75" customHeight="1">
      <c r="A18" s="8"/>
      <c r="B18" s="12" t="s">
        <v>26</v>
      </c>
      <c r="C18" s="12" t="s">
        <v>29</v>
      </c>
      <c r="D18" s="12">
        <v>100.0</v>
      </c>
      <c r="E18" s="12">
        <v>100.0</v>
      </c>
      <c r="F18" s="8"/>
      <c r="G18" s="12" t="s">
        <v>18</v>
      </c>
      <c r="H18" s="8"/>
      <c r="I18" s="8"/>
      <c r="J18" s="12">
        <v>25.0</v>
      </c>
      <c r="K18" s="8"/>
      <c r="L18" s="8"/>
      <c r="M18" s="8"/>
      <c r="N18" s="30">
        <f t="shared" si="1"/>
        <v>45532</v>
      </c>
      <c r="O18" s="8"/>
      <c r="AK18" s="9" t="s">
        <v>19</v>
      </c>
      <c r="AL18" s="9" t="s">
        <v>20</v>
      </c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1"/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F6" s="12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SelectTradeOnOrderGrid2!$4:$4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12"/>
      <c r="F6" s="12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SelectTradeOnOrderGrid3!$4:$4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12"/>
      <c r="F6" s="12" t="s">
        <v>24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SelectTradeOnOrderGrid4!$4:$4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1.23456789E8</v>
      </c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1.23456789E8</v>
      </c>
      <c r="F6" s="12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SelectTradeOnOrderGrid6!$4:$4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25</v>
      </c>
      <c r="F6" s="12" t="s">
        <v>17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12"/>
      <c r="F7" s="12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SelectTradeOnOrderGrid7!$4:$4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2"/>
      <c r="D6" s="33" t="s">
        <v>25</v>
      </c>
      <c r="E6" s="32"/>
      <c r="F6" s="34" t="s">
        <v>21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SelectTradeOnOrderGrid8!$4:$4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F6" s="12" t="s">
        <v>27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SelectTradeOnOrderGrid9!$4:$4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F6" s="12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SelectTradeOnOrderGrid10!$4:$4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F6" s="12" t="s">
        <v>28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SelectTradeOnOrderGrid11!$4:$4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26</v>
      </c>
      <c r="F6" s="12" t="s">
        <v>29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IFERROR(__xludf.DUMMYFUNCTION("""COMPUTED_VALUE"""),"Allocated Quantity")</f>
        <v>Allocated Quantity</v>
      </c>
      <c r="D5" s="27" t="str">
        <f>IFERROR(__xludf.DUMMYFUNCTION("""COMPUTED_VALUE"""),"Allocation %")</f>
        <v>Allocation %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>
        <v>50.0</v>
      </c>
      <c r="D6" s="12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34</v>
      </c>
      <c r="C7" s="12">
        <v>50.0</v>
      </c>
      <c r="D7" s="12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VerifyViewAllocationOrder!$4:$4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