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SelectTradeOnOrderGrid" sheetId="15" r:id="rId17"/>
    <sheet state="visible" name="ReplaceSubOrder" sheetId="16" r:id="rId18"/>
    <sheet state="visible" name="CreateReplaceOrder" sheetId="17" r:id="rId19"/>
    <sheet state="visible" name="SelectTrade1" sheetId="18" r:id="rId20"/>
    <sheet state="visible" name="ExecuteTrade1" sheetId="19" r:id="rId21"/>
    <sheet state="visible" name="AcknowledgeTrade1" sheetId="20" r:id="rId22"/>
    <sheet state="visible" name="VerifyOrder1" sheetId="21" r:id="rId23"/>
    <sheet state="visible" name="CheckAllocatedGroups1" sheetId="22" r:id="rId24"/>
    <sheet state="visible" name="CheckPortfolioManagement1" sheetId="23" r:id="rId25"/>
    <sheet state="visible" name="SelectTrade2" sheetId="24" r:id="rId26"/>
    <sheet state="visible" name="ExecuteTrade2" sheetId="25" r:id="rId27"/>
    <sheet state="visible" name="VerifyOrder2" sheetId="26" r:id="rId28"/>
    <sheet state="visible" name="CheckAllocatedGroups2" sheetId="27" r:id="rId29"/>
    <sheet state="visible" name="CheckPortfolioManagement2" sheetId="28" r:id="rId30"/>
    <sheet state="visible" name="SelectTrade3" sheetId="29" r:id="rId31"/>
    <sheet state="visible" name="ExecuteTrade3" sheetId="30" r:id="rId32"/>
    <sheet state="visible" name="VerifyOrder3" sheetId="31" r:id="rId33"/>
    <sheet state="visible" name="CheckAllocatedGroups3" sheetId="32" r:id="rId34"/>
    <sheet state="visible" name="CheckPortfolioManagement3" sheetId="33" r:id="rId35"/>
  </sheets>
  <definedNames/>
  <calcPr/>
</workbook>
</file>

<file path=xl/sharedStrings.xml><?xml version="1.0" encoding="utf-8"?>
<sst xmlns="http://schemas.openxmlformats.org/spreadsheetml/2006/main" count="429" uniqueCount="51">
  <si>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</si>
  <si>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</si>
  <si>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</si>
  <si>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</si>
  <si>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</si>
  <si>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</si>
  <si>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</si>
  <si>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</si>
  <si>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</si>
  <si>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</si>
  <si>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</si>
  <si>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</si>
  <si>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</si>
  <si>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</si>
  <si>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</si>
  <si>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</si>
  <si>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</si>
  <si>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</si>
  <si>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</si>
  <si>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</si>
  <si>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</t>
  </si>
  <si>
    <t>SetGeneralPreferences</t>
  </si>
  <si>
    <t>Nirvana</t>
  </si>
  <si>
    <t>RunProrata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</si>
  <si>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</si>
  <si>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</si>
  <si>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</si>
  <si>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</si>
  <si>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</si>
  <si>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</si>
  <si>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</si>
  <si>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PartiallyFilled</t>
  </si>
  <si>
    <t>MS</t>
  </si>
  <si>
    <t>Multiple</t>
  </si>
  <si>
    <t>Market</t>
  </si>
  <si>
    <t>GetDataAllocation</t>
  </si>
  <si>
    <t>Historical</t>
  </si>
  <si>
    <t>CheckAllocatedGroups</t>
  </si>
  <si>
    <t>MSFT US EQUITY</t>
  </si>
  <si>
    <t>PortfolioManagement</t>
  </si>
  <si>
    <t>CheckPortfolioManagement</t>
  </si>
  <si>
    <t>NewMF</t>
  </si>
  <si>
    <t>Long</t>
  </si>
  <si>
    <t>Equity</t>
  </si>
  <si>
    <t>NASDAQ</t>
  </si>
  <si>
    <t>USD</t>
  </si>
  <si>
    <t>NewMF1</t>
  </si>
  <si>
    <t>SelectTradeOnOrderGrid</t>
  </si>
  <si>
    <t>ReplaceSubOrder</t>
  </si>
  <si>
    <t>CreateReplaceOrder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</si>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</sst>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FF8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13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0" fillId="0" fontId="5" numFmtId="1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7" fillId="6" fontId="14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7" fillId="6" fontId="14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50.0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4">
        <f t="shared" ref="N6:N7" si="1">today()-1</f>
        <v>45886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50.0</v>
      </c>
      <c r="E7" s="31"/>
      <c r="F7" s="31" t="s">
        <v>19</v>
      </c>
      <c r="G7" s="31"/>
      <c r="H7" s="31"/>
      <c r="I7" s="31"/>
      <c r="J7" s="33">
        <v>10.0</v>
      </c>
      <c r="K7" s="31"/>
      <c r="L7" s="31"/>
      <c r="M7" s="31"/>
      <c r="N7" s="34">
        <f t="shared" si="1"/>
        <v>45886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1lI4loUxqzsE3IjuxIjsVY3cB4J_eTKFPPDuXngut4FE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 t="s">
        <v>22</v>
      </c>
      <c r="Y6" s="31"/>
      <c r="Z6" s="36" t="b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>today()-1</f>
        <v>45886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76.0</v>
      </c>
      <c r="E6" s="33">
        <v>76.0</v>
      </c>
      <c r="F6" s="37" t="s">
        <v>22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1"/>
      <c r="F6" s="31"/>
      <c r="G6" s="32">
        <v>76.0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30"/>
      <c r="B6" s="30" t="s">
        <v>17</v>
      </c>
      <c r="C6" s="31" t="s">
        <v>16</v>
      </c>
      <c r="D6" s="30"/>
      <c r="E6" s="31"/>
      <c r="F6" s="31"/>
      <c r="G6" s="33">
        <v>76.0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10.0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8"/>
      <c r="AI6" s="39" t="s">
        <v>16</v>
      </c>
      <c r="AJ6" s="39" t="s">
        <v>17</v>
      </c>
      <c r="AK6" s="39" t="s">
        <v>31</v>
      </c>
      <c r="AL6" s="39">
        <v>76.0</v>
      </c>
      <c r="AM6" s="39">
        <v>25.0</v>
      </c>
      <c r="AN6" s="31"/>
      <c r="AO6" s="31"/>
      <c r="AP6" s="38"/>
      <c r="AQ6" s="39">
        <v>10.0</v>
      </c>
      <c r="AR6" s="39">
        <v>10.0</v>
      </c>
      <c r="AS6" s="39" t="s">
        <v>32</v>
      </c>
      <c r="AT6" s="39" t="s">
        <v>33</v>
      </c>
      <c r="AU6" s="39" t="s">
        <v>34</v>
      </c>
      <c r="AV6" s="39">
        <v>250.0</v>
      </c>
      <c r="AW6" s="39">
        <v>250.0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36</v>
      </c>
      <c r="C6" s="40">
        <f t="shared" ref="C6:D6" si="1">today()</f>
        <v>45887</v>
      </c>
      <c r="D6" s="40">
        <f t="shared" si="1"/>
        <v>45887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33</v>
      </c>
      <c r="C6" s="31"/>
      <c r="D6" s="30"/>
      <c r="E6" s="42">
        <v>25.0</v>
      </c>
      <c r="F6" s="31"/>
      <c r="G6" s="31"/>
      <c r="H6" s="42">
        <v>4.0</v>
      </c>
      <c r="I6" s="42">
        <v>5.0</v>
      </c>
      <c r="J6" s="31"/>
      <c r="K6" s="42">
        <v>10.0</v>
      </c>
      <c r="L6" s="42">
        <v>10.0</v>
      </c>
      <c r="M6" s="43" t="s">
        <v>38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2">
        <v>264.0001</v>
      </c>
      <c r="AU6" s="42">
        <v>264.0001</v>
      </c>
      <c r="AV6" s="31"/>
      <c r="AW6" s="31"/>
      <c r="AX6" s="31"/>
      <c r="AY6" s="44" t="s">
        <v>34</v>
      </c>
      <c r="AZ6" s="31"/>
      <c r="BA6" s="31"/>
      <c r="BB6" s="31"/>
      <c r="BC6" s="31"/>
      <c r="BD6" s="31"/>
      <c r="BE6" s="42">
        <v>250.0</v>
      </c>
      <c r="BF6" s="42">
        <v>250.0</v>
      </c>
      <c r="BG6" s="31"/>
      <c r="BH6" s="31"/>
      <c r="BI6" s="31"/>
      <c r="BJ6" s="42">
        <v>76.0</v>
      </c>
      <c r="BK6" s="31"/>
      <c r="BL6" s="31"/>
      <c r="BM6" s="31"/>
      <c r="BN6" s="31"/>
      <c r="BO6" s="44" t="s">
        <v>17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4" t="s">
        <v>16</v>
      </c>
      <c r="D6" s="45">
        <v>50.0</v>
      </c>
      <c r="E6" s="44" t="s">
        <v>18</v>
      </c>
      <c r="F6" s="44" t="s">
        <v>41</v>
      </c>
      <c r="G6" s="31"/>
      <c r="H6" s="44" t="s">
        <v>42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44" t="s">
        <v>43</v>
      </c>
      <c r="U6" s="31"/>
      <c r="V6" s="44" t="s">
        <v>44</v>
      </c>
      <c r="W6" s="44" t="s">
        <v>45</v>
      </c>
      <c r="X6" s="31"/>
      <c r="Y6" s="42">
        <v>1.0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44" t="s">
        <v>17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44" t="s">
        <v>16</v>
      </c>
      <c r="D7" s="42">
        <v>12.0</v>
      </c>
      <c r="E7" s="44" t="s">
        <v>18</v>
      </c>
      <c r="F7" s="44" t="s">
        <v>41</v>
      </c>
      <c r="G7" s="31"/>
      <c r="H7" s="44" t="s">
        <v>42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44" t="s">
        <v>43</v>
      </c>
      <c r="U7" s="31"/>
      <c r="V7" s="44" t="s">
        <v>44</v>
      </c>
      <c r="W7" s="44" t="s">
        <v>45</v>
      </c>
      <c r="X7" s="31"/>
      <c r="Y7" s="42">
        <v>1.0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44" t="s">
        <v>17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31"/>
      <c r="B8" s="31"/>
      <c r="C8" s="44" t="s">
        <v>16</v>
      </c>
      <c r="D8" s="42">
        <v>50.0</v>
      </c>
      <c r="E8" s="44" t="s">
        <v>19</v>
      </c>
      <c r="F8" s="44" t="s">
        <v>46</v>
      </c>
      <c r="G8" s="31"/>
      <c r="H8" s="44" t="s">
        <v>42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4" t="s">
        <v>43</v>
      </c>
      <c r="U8" s="31"/>
      <c r="V8" s="44" t="s">
        <v>44</v>
      </c>
      <c r="W8" s="44" t="s">
        <v>45</v>
      </c>
      <c r="X8" s="31"/>
      <c r="Y8" s="42">
        <v>1.0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44" t="s">
        <v>17</v>
      </c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</row>
    <row r="9" ht="15.75" customHeight="1">
      <c r="A9" s="31"/>
      <c r="B9" s="31"/>
      <c r="C9" s="44" t="s">
        <v>16</v>
      </c>
      <c r="D9" s="42">
        <v>13.0</v>
      </c>
      <c r="E9" s="44" t="s">
        <v>19</v>
      </c>
      <c r="F9" s="44" t="s">
        <v>46</v>
      </c>
      <c r="G9" s="31"/>
      <c r="H9" s="44" t="s">
        <v>42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44" t="s">
        <v>43</v>
      </c>
      <c r="U9" s="31"/>
      <c r="V9" s="44" t="s">
        <v>44</v>
      </c>
      <c r="W9" s="44" t="s">
        <v>45</v>
      </c>
      <c r="X9" s="31"/>
      <c r="Y9" s="42">
        <v>1.0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44" t="s">
        <v>17</v>
      </c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8"/>
      <c r="D6" s="47" t="s">
        <v>16</v>
      </c>
      <c r="E6" s="48"/>
      <c r="F6" s="49" t="s">
        <v>17</v>
      </c>
      <c r="G6" s="39" t="s">
        <v>31</v>
      </c>
      <c r="H6" s="39">
        <v>76.0</v>
      </c>
      <c r="I6" s="39">
        <v>25.0</v>
      </c>
      <c r="J6" s="8"/>
      <c r="K6" s="8"/>
      <c r="L6" s="8"/>
      <c r="M6" s="8"/>
      <c r="N6" s="47">
        <v>10.0</v>
      </c>
      <c r="O6" s="8"/>
      <c r="P6" s="47">
        <v>10.0</v>
      </c>
      <c r="R6" s="47" t="s">
        <v>33</v>
      </c>
      <c r="T6" s="47" t="s">
        <v>34</v>
      </c>
      <c r="U6" s="49">
        <v>250.0</v>
      </c>
      <c r="V6" s="3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8"/>
      <c r="D6" s="46"/>
      <c r="E6" s="48"/>
      <c r="F6" s="8"/>
      <c r="G6" s="8"/>
      <c r="H6" s="8"/>
      <c r="I6" s="8"/>
      <c r="J6" s="8"/>
      <c r="K6" s="8"/>
      <c r="L6" s="8"/>
      <c r="M6" s="8"/>
      <c r="N6" s="8"/>
      <c r="O6" s="8"/>
      <c r="AJ6" s="49" t="s">
        <v>16</v>
      </c>
      <c r="AK6" s="39" t="s">
        <v>17</v>
      </c>
      <c r="AL6" s="39" t="s">
        <v>31</v>
      </c>
      <c r="AM6" s="39">
        <v>76.0</v>
      </c>
      <c r="AN6" s="39">
        <v>25.0</v>
      </c>
      <c r="AR6" s="49">
        <v>10.0</v>
      </c>
      <c r="AS6" s="39">
        <v>10.0</v>
      </c>
      <c r="AU6" s="47" t="s">
        <v>33</v>
      </c>
      <c r="AV6" s="49" t="s">
        <v>34</v>
      </c>
      <c r="AW6" s="39">
        <v>250.0</v>
      </c>
      <c r="AX6" s="3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 t="s">
        <v>16</v>
      </c>
      <c r="C6" s="46" t="s">
        <v>17</v>
      </c>
      <c r="D6" s="46">
        <v>152.0</v>
      </c>
      <c r="E6" s="48"/>
      <c r="F6" s="37" t="s">
        <v>22</v>
      </c>
      <c r="G6" s="8"/>
      <c r="H6" s="8"/>
      <c r="I6" s="8"/>
      <c r="J6" s="46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1"/>
      <c r="F6" s="31"/>
      <c r="G6" s="46">
        <v>152.0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>
        <v>10.0</v>
      </c>
      <c r="C6" s="46">
        <v>10.0</v>
      </c>
      <c r="D6" s="46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1"/>
      <c r="F6" s="31"/>
      <c r="G6" s="50">
        <v>152.0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8"/>
      <c r="AI6" s="39" t="s">
        <v>16</v>
      </c>
      <c r="AJ6" s="39" t="s">
        <v>17</v>
      </c>
      <c r="AK6" s="39" t="s">
        <v>31</v>
      </c>
      <c r="AL6" s="47">
        <v>152.0</v>
      </c>
      <c r="AM6" s="47">
        <v>35.0</v>
      </c>
      <c r="AN6" s="31"/>
      <c r="AO6" s="31"/>
      <c r="AP6" s="38"/>
      <c r="AQ6" s="39">
        <v>10.0</v>
      </c>
      <c r="AR6" s="39">
        <v>10.0</v>
      </c>
      <c r="AS6" s="39" t="s">
        <v>32</v>
      </c>
      <c r="AT6" s="39" t="s">
        <v>33</v>
      </c>
      <c r="AU6" s="39" t="s">
        <v>34</v>
      </c>
      <c r="AV6" s="47">
        <v>350.0</v>
      </c>
      <c r="AW6" s="47">
        <v>350.0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33</v>
      </c>
      <c r="C6" s="31"/>
      <c r="D6" s="30"/>
      <c r="E6" s="51">
        <v>35.0</v>
      </c>
      <c r="F6" s="31"/>
      <c r="G6" s="31"/>
      <c r="H6" s="42">
        <v>4.0</v>
      </c>
      <c r="I6" s="42">
        <v>5.0</v>
      </c>
      <c r="J6" s="31"/>
      <c r="K6" s="42">
        <v>10.0</v>
      </c>
      <c r="L6" s="42">
        <v>10.0</v>
      </c>
      <c r="M6" s="43" t="s">
        <v>38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51">
        <v>364.0002</v>
      </c>
      <c r="AU6" s="51">
        <v>364.0002</v>
      </c>
      <c r="AV6" s="31"/>
      <c r="AW6" s="31"/>
      <c r="AX6" s="31"/>
      <c r="AY6" s="44" t="s">
        <v>34</v>
      </c>
      <c r="AZ6" s="31"/>
      <c r="BA6" s="31"/>
      <c r="BB6" s="31"/>
      <c r="BC6" s="31"/>
      <c r="BD6" s="31"/>
      <c r="BE6" s="52">
        <v>350.0</v>
      </c>
      <c r="BF6" s="52">
        <v>350.0</v>
      </c>
      <c r="BG6" s="31"/>
      <c r="BH6" s="31"/>
      <c r="BI6" s="31"/>
      <c r="BJ6" s="51">
        <v>152.0</v>
      </c>
      <c r="BK6" s="31"/>
      <c r="BL6" s="31"/>
      <c r="BM6" s="31"/>
      <c r="BN6" s="31"/>
      <c r="BO6" s="44" t="s">
        <v>17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4" t="s">
        <v>16</v>
      </c>
      <c r="D6" s="51">
        <v>50.0</v>
      </c>
      <c r="E6" s="53" t="s">
        <v>18</v>
      </c>
      <c r="F6" s="44" t="s">
        <v>41</v>
      </c>
      <c r="G6" s="31"/>
      <c r="H6" s="44" t="s">
        <v>42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44" t="s">
        <v>43</v>
      </c>
      <c r="U6" s="31"/>
      <c r="V6" s="44" t="s">
        <v>44</v>
      </c>
      <c r="W6" s="44" t="s">
        <v>45</v>
      </c>
      <c r="X6" s="31"/>
      <c r="Y6" s="42">
        <v>1.0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44" t="s">
        <v>17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44" t="s">
        <v>16</v>
      </c>
      <c r="D7" s="51">
        <v>17.0</v>
      </c>
      <c r="E7" s="53" t="s">
        <v>18</v>
      </c>
      <c r="F7" s="44" t="s">
        <v>41</v>
      </c>
      <c r="G7" s="31"/>
      <c r="H7" s="44" t="s">
        <v>42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44" t="s">
        <v>43</v>
      </c>
      <c r="U7" s="31"/>
      <c r="V7" s="44" t="s">
        <v>44</v>
      </c>
      <c r="W7" s="44" t="s">
        <v>45</v>
      </c>
      <c r="X7" s="31"/>
      <c r="Y7" s="42">
        <v>1.0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44" t="s">
        <v>17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31"/>
      <c r="B8" s="31"/>
      <c r="C8" s="44" t="s">
        <v>16</v>
      </c>
      <c r="D8" s="51">
        <v>50.0</v>
      </c>
      <c r="E8" s="53" t="s">
        <v>19</v>
      </c>
      <c r="F8" s="44" t="s">
        <v>46</v>
      </c>
      <c r="G8" s="31"/>
      <c r="H8" s="44" t="s">
        <v>42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4" t="s">
        <v>43</v>
      </c>
      <c r="U8" s="31"/>
      <c r="V8" s="44" t="s">
        <v>44</v>
      </c>
      <c r="W8" s="44" t="s">
        <v>45</v>
      </c>
      <c r="X8" s="31"/>
      <c r="Y8" s="42">
        <v>1.0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44" t="s">
        <v>17</v>
      </c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</row>
    <row r="9" ht="15.75" customHeight="1">
      <c r="A9" s="31"/>
      <c r="B9" s="31"/>
      <c r="C9" s="44" t="s">
        <v>16</v>
      </c>
      <c r="D9" s="51">
        <v>18.0</v>
      </c>
      <c r="E9" s="53" t="s">
        <v>19</v>
      </c>
      <c r="F9" s="44" t="s">
        <v>46</v>
      </c>
      <c r="G9" s="31"/>
      <c r="H9" s="44" t="s">
        <v>42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44" t="s">
        <v>43</v>
      </c>
      <c r="U9" s="31"/>
      <c r="V9" s="44" t="s">
        <v>44</v>
      </c>
      <c r="W9" s="44" t="s">
        <v>45</v>
      </c>
      <c r="X9" s="31"/>
      <c r="Y9" s="42">
        <v>1.0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44" t="s">
        <v>17</v>
      </c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>
        <v>10.0</v>
      </c>
      <c r="C6" s="46">
        <v>5.0</v>
      </c>
      <c r="D6" s="46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8"/>
      <c r="AI6" s="39" t="s">
        <v>16</v>
      </c>
      <c r="AJ6" s="39" t="s">
        <v>17</v>
      </c>
      <c r="AK6" s="47" t="s">
        <v>31</v>
      </c>
      <c r="AL6" s="47">
        <v>152.0</v>
      </c>
      <c r="AM6" s="47">
        <v>40.0</v>
      </c>
      <c r="AN6" s="31"/>
      <c r="AO6" s="31"/>
      <c r="AP6" s="38"/>
      <c r="AQ6" s="39">
        <v>10.0</v>
      </c>
      <c r="AR6" s="39">
        <v>10.0</v>
      </c>
      <c r="AS6" s="39" t="s">
        <v>32</v>
      </c>
      <c r="AT6" s="39" t="s">
        <v>33</v>
      </c>
      <c r="AU6" s="39" t="s">
        <v>34</v>
      </c>
      <c r="AV6" s="47">
        <v>400.0</v>
      </c>
      <c r="AW6" s="47">
        <v>400.0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33</v>
      </c>
      <c r="C6" s="31"/>
      <c r="D6" s="30"/>
      <c r="E6" s="51">
        <v>40.0</v>
      </c>
      <c r="F6" s="31"/>
      <c r="G6" s="31"/>
      <c r="H6" s="42">
        <v>4.0</v>
      </c>
      <c r="I6" s="42">
        <v>5.0</v>
      </c>
      <c r="J6" s="31"/>
      <c r="K6" s="42">
        <v>10.0</v>
      </c>
      <c r="L6" s="42">
        <v>10.0</v>
      </c>
      <c r="M6" s="43" t="s">
        <v>38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51">
        <v>414.0</v>
      </c>
      <c r="AU6" s="51">
        <v>414.0</v>
      </c>
      <c r="AV6" s="31"/>
      <c r="AW6" s="31"/>
      <c r="AX6" s="31"/>
      <c r="AY6" s="44" t="s">
        <v>34</v>
      </c>
      <c r="AZ6" s="31"/>
      <c r="BA6" s="31"/>
      <c r="BB6" s="31"/>
      <c r="BC6" s="31"/>
      <c r="BD6" s="31"/>
      <c r="BE6" s="52">
        <v>400.0</v>
      </c>
      <c r="BF6" s="52">
        <v>400.0</v>
      </c>
      <c r="BG6" s="31"/>
      <c r="BH6" s="31"/>
      <c r="BI6" s="31"/>
      <c r="BJ6" s="51">
        <v>152.0</v>
      </c>
      <c r="BK6" s="31"/>
      <c r="BL6" s="31"/>
      <c r="BM6" s="31"/>
      <c r="BN6" s="31"/>
      <c r="BO6" s="44" t="s">
        <v>17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4" t="s">
        <v>16</v>
      </c>
      <c r="D6" s="51">
        <v>50.0</v>
      </c>
      <c r="E6" s="53" t="s">
        <v>18</v>
      </c>
      <c r="F6" s="53" t="s">
        <v>41</v>
      </c>
      <c r="G6" s="31"/>
      <c r="H6" s="44" t="s">
        <v>42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44" t="s">
        <v>43</v>
      </c>
      <c r="U6" s="31"/>
      <c r="V6" s="44" t="s">
        <v>44</v>
      </c>
      <c r="W6" s="44" t="s">
        <v>45</v>
      </c>
      <c r="X6" s="31"/>
      <c r="Y6" s="42">
        <v>1.0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44" t="s">
        <v>17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44" t="s">
        <v>16</v>
      </c>
      <c r="D7" s="51">
        <v>50.0</v>
      </c>
      <c r="E7" s="53" t="s">
        <v>19</v>
      </c>
      <c r="F7" s="53" t="s">
        <v>46</v>
      </c>
      <c r="G7" s="31"/>
      <c r="H7" s="44" t="s">
        <v>42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44" t="s">
        <v>43</v>
      </c>
      <c r="U7" s="31"/>
      <c r="V7" s="44" t="s">
        <v>44</v>
      </c>
      <c r="W7" s="44" t="s">
        <v>45</v>
      </c>
      <c r="X7" s="31"/>
      <c r="Y7" s="42">
        <v>1.0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44" t="s">
        <v>17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31"/>
      <c r="B8" s="31"/>
      <c r="C8" s="44" t="s">
        <v>16</v>
      </c>
      <c r="D8" s="51">
        <v>20.0</v>
      </c>
      <c r="E8" s="53" t="s">
        <v>18</v>
      </c>
      <c r="F8" s="53" t="s">
        <v>41</v>
      </c>
      <c r="G8" s="31"/>
      <c r="H8" s="44" t="s">
        <v>42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4" t="s">
        <v>43</v>
      </c>
      <c r="U8" s="31"/>
      <c r="V8" s="44" t="s">
        <v>44</v>
      </c>
      <c r="W8" s="44" t="s">
        <v>45</v>
      </c>
      <c r="X8" s="31"/>
      <c r="Y8" s="42">
        <v>1.0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44" t="s">
        <v>17</v>
      </c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</row>
    <row r="9" ht="15.75" customHeight="1">
      <c r="A9" s="31"/>
      <c r="B9" s="31"/>
      <c r="C9" s="44" t="s">
        <v>16</v>
      </c>
      <c r="D9" s="51">
        <v>20.0</v>
      </c>
      <c r="E9" s="53" t="s">
        <v>19</v>
      </c>
      <c r="F9" s="53" t="s">
        <v>46</v>
      </c>
      <c r="G9" s="31"/>
      <c r="H9" s="44" t="s">
        <v>42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44" t="s">
        <v>43</v>
      </c>
      <c r="U9" s="31"/>
      <c r="V9" s="44" t="s">
        <v>44</v>
      </c>
      <c r="W9" s="44" t="s">
        <v>45</v>
      </c>
      <c r="X9" s="31"/>
      <c r="Y9" s="42">
        <v>1.0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44" t="s">
        <v>17</v>
      </c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>
        <v>10.0</v>
      </c>
      <c r="C6" s="46">
        <v>112.0</v>
      </c>
      <c r="D6" s="46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8"/>
      <c r="AI6" s="39" t="s">
        <v>16</v>
      </c>
      <c r="AJ6" s="39" t="s">
        <v>17</v>
      </c>
      <c r="AK6" s="47" t="s">
        <v>50</v>
      </c>
      <c r="AL6" s="47">
        <v>152.0</v>
      </c>
      <c r="AM6" s="47">
        <v>152.0</v>
      </c>
      <c r="AN6" s="31"/>
      <c r="AO6" s="31"/>
      <c r="AP6" s="38"/>
      <c r="AQ6" s="39">
        <v>10.0</v>
      </c>
      <c r="AR6" s="39">
        <v>10.0</v>
      </c>
      <c r="AS6" s="39" t="s">
        <v>32</v>
      </c>
      <c r="AT6" s="39" t="s">
        <v>33</v>
      </c>
      <c r="AU6" s="39" t="s">
        <v>34</v>
      </c>
      <c r="AV6" s="47">
        <v>1520.0</v>
      </c>
      <c r="AW6" s="47">
        <v>1520.0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33</v>
      </c>
      <c r="C6" s="31"/>
      <c r="D6" s="30"/>
      <c r="E6" s="51">
        <v>152.0</v>
      </c>
      <c r="F6" s="31"/>
      <c r="G6" s="31"/>
      <c r="H6" s="42">
        <v>4.0</v>
      </c>
      <c r="I6" s="42">
        <v>5.0</v>
      </c>
      <c r="J6" s="31"/>
      <c r="K6" s="42">
        <v>10.0</v>
      </c>
      <c r="L6" s="42">
        <v>10.0</v>
      </c>
      <c r="M6" s="43" t="s">
        <v>38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54">
        <v>1534.0009</v>
      </c>
      <c r="AU6" s="54">
        <v>1534.0009</v>
      </c>
      <c r="AV6" s="31"/>
      <c r="AW6" s="31"/>
      <c r="AX6" s="31"/>
      <c r="AY6" s="44" t="s">
        <v>34</v>
      </c>
      <c r="AZ6" s="31"/>
      <c r="BA6" s="31"/>
      <c r="BB6" s="31"/>
      <c r="BC6" s="31"/>
      <c r="BD6" s="31"/>
      <c r="BE6" s="54">
        <v>1520.0</v>
      </c>
      <c r="BF6" s="54">
        <v>1520.0</v>
      </c>
      <c r="BG6" s="31"/>
      <c r="BH6" s="31"/>
      <c r="BI6" s="31"/>
      <c r="BJ6" s="51">
        <v>152.0</v>
      </c>
      <c r="BK6" s="31"/>
      <c r="BL6" s="31"/>
      <c r="BM6" s="31"/>
      <c r="BN6" s="31"/>
      <c r="BO6" s="44" t="s">
        <v>17</v>
      </c>
      <c r="BP6" s="31"/>
      <c r="BQ6" s="31"/>
      <c r="BR6" s="31"/>
      <c r="BS6" s="31"/>
      <c r="BT6" s="31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4" t="s">
        <v>16</v>
      </c>
      <c r="D6" s="51">
        <v>50.0</v>
      </c>
      <c r="E6" s="53" t="s">
        <v>18</v>
      </c>
      <c r="F6" s="53" t="s">
        <v>41</v>
      </c>
      <c r="G6" s="31"/>
      <c r="H6" s="44" t="s">
        <v>42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44" t="s">
        <v>43</v>
      </c>
      <c r="U6" s="31"/>
      <c r="V6" s="44" t="s">
        <v>44</v>
      </c>
      <c r="W6" s="44" t="s">
        <v>45</v>
      </c>
      <c r="X6" s="31"/>
      <c r="Y6" s="42">
        <v>1.0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44" t="s">
        <v>17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44" t="s">
        <v>16</v>
      </c>
      <c r="D7" s="51">
        <v>50.0</v>
      </c>
      <c r="E7" s="53" t="s">
        <v>19</v>
      </c>
      <c r="F7" s="53" t="s">
        <v>46</v>
      </c>
      <c r="G7" s="31"/>
      <c r="H7" s="44" t="s">
        <v>42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44" t="s">
        <v>43</v>
      </c>
      <c r="U7" s="31"/>
      <c r="V7" s="44" t="s">
        <v>44</v>
      </c>
      <c r="W7" s="44" t="s">
        <v>45</v>
      </c>
      <c r="X7" s="31"/>
      <c r="Y7" s="42">
        <v>1.0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44" t="s">
        <v>17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31"/>
      <c r="B8" s="31"/>
      <c r="C8" s="44" t="s">
        <v>16</v>
      </c>
      <c r="D8" s="51">
        <v>76.0</v>
      </c>
      <c r="E8" s="53" t="s">
        <v>18</v>
      </c>
      <c r="F8" s="53" t="s">
        <v>41</v>
      </c>
      <c r="G8" s="31"/>
      <c r="H8" s="44" t="s">
        <v>42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4" t="s">
        <v>43</v>
      </c>
      <c r="U8" s="31"/>
      <c r="V8" s="44" t="s">
        <v>44</v>
      </c>
      <c r="W8" s="44" t="s">
        <v>45</v>
      </c>
      <c r="X8" s="31"/>
      <c r="Y8" s="42">
        <v>1.0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44" t="s">
        <v>17</v>
      </c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</row>
    <row r="9" ht="15.75" customHeight="1">
      <c r="A9" s="31"/>
      <c r="B9" s="31"/>
      <c r="C9" s="44" t="s">
        <v>16</v>
      </c>
      <c r="D9" s="51">
        <v>76.0</v>
      </c>
      <c r="E9" s="53" t="s">
        <v>19</v>
      </c>
      <c r="F9" s="53" t="s">
        <v>46</v>
      </c>
      <c r="G9" s="31"/>
      <c r="H9" s="44" t="s">
        <v>42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44" t="s">
        <v>43</v>
      </c>
      <c r="U9" s="31"/>
      <c r="V9" s="44" t="s">
        <v>44</v>
      </c>
      <c r="W9" s="44" t="s">
        <v>45</v>
      </c>
      <c r="X9" s="31"/>
      <c r="Y9" s="42">
        <v>1.0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44" t="s">
        <v>17</v>
      </c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