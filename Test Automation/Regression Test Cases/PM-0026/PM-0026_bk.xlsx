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yEndCash" sheetId="6" r:id="rId8"/>
    <sheet state="visible" name="CreateDoneAwayOrder1" sheetId="7" r:id="rId9"/>
    <sheet state="visible" name="GetMarkPriceData" sheetId="8" r:id="rId10"/>
    <sheet state="visible" name="UpdateMarkPrice" sheetId="9" r:id="rId11"/>
    <sheet state="visible" name="CheckPortfolioManagement" sheetId="10" r:id="rId12"/>
    <sheet state="visible" name="DeleteClientData" sheetId="11" r:id="rId13"/>
  </sheets>
  <definedNames/>
  <calcPr/>
</workbook>
</file>

<file path=xl/sharedStrings.xml><?xml version="1.0" encoding="utf-8"?>
<sst xmlns="http://schemas.openxmlformats.org/spreadsheetml/2006/main" count="347" uniqueCount="61">
  <si>
    <t>Modules Info</t>
  </si>
  <si>
    <t>Modules</t>
  </si>
  <si>
    <t>Master Data Info</t>
  </si>
  <si>
    <t>Settings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</si>
  <si>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</si>
  <si>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</si>
  <si>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</si>
  <si>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</si>
  <si>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</si>
  <si>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</si>
  <si>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</si>
  <si>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</si>
  <si>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Module Step Setting File</t>
  </si>
  <si>
    <t>1sG6uB28jAaiyaldDeMtbboQN41jJ2tAmE2rg6U9qH5o</t>
  </si>
  <si>
    <t>Master Data Settings File</t>
  </si>
  <si>
    <t>1hEhI9rg16D4Xvfk19pDaFUFF78jjfIG29BBaNg8kT0A</t>
  </si>
  <si>
    <t>PricingInput</t>
  </si>
  <si>
    <t>AAPL</t>
  </si>
  <si>
    <t>MSFT</t>
  </si>
  <si>
    <t>O:AAPL 18B177.50D2</t>
  </si>
  <si>
    <t>O:MSFT 18B104.00D2</t>
  </si>
  <si>
    <t>GeneralLedger</t>
  </si>
  <si>
    <t>GetDayEndCash</t>
  </si>
  <si>
    <t xml:space="preserve">Buy to Open </t>
  </si>
  <si>
    <t>Allocation1</t>
  </si>
  <si>
    <t>GS</t>
  </si>
  <si>
    <t>Flat Amount</t>
  </si>
  <si>
    <t xml:space="preserve">Sell to Open </t>
  </si>
  <si>
    <t xml:space="preserve">Flat Amount </t>
  </si>
  <si>
    <t>NewMF</t>
  </si>
  <si>
    <t>Allocation2</t>
  </si>
  <si>
    <t>DailyValuation</t>
  </si>
  <si>
    <t>GetMarkPriceData</t>
  </si>
  <si>
    <t>UpdateMarkPrice</t>
  </si>
  <si>
    <t>PortfolioManagement</t>
  </si>
  <si>
    <t>CheckPortfolioManagement</t>
  </si>
  <si>
    <t>Long</t>
  </si>
  <si>
    <t>FIMAT</t>
  </si>
  <si>
    <t>Strategy Unallocated</t>
  </si>
  <si>
    <t>EquityOption</t>
  </si>
  <si>
    <t>US</t>
  </si>
  <si>
    <t>OPTS</t>
  </si>
  <si>
    <t>USD</t>
  </si>
  <si>
    <t/>
  </si>
  <si>
    <t>Buy to Open</t>
  </si>
  <si>
    <t>BrokerNotes</t>
  </si>
  <si>
    <t>DefaultNotes</t>
  </si>
  <si>
    <t>Equity Call</t>
  </si>
  <si>
    <t>Undefined</t>
  </si>
  <si>
    <t>jpearce</t>
  </si>
  <si>
    <t>CALL</t>
  </si>
  <si>
    <t>User Defined</t>
  </si>
  <si>
    <t>Default</t>
  </si>
  <si>
    <t>unique</t>
  </si>
  <si>
    <t>Short</t>
  </si>
  <si>
    <t>Sell to Open</t>
  </si>
  <si>
    <t>NewMF1</t>
  </si>
  <si>
    <t>MS</t>
  </si>
  <si>
    <t>CleanUp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</si>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</sst>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b/>
      <color rgb="FFFFFFFF"/>
      <name val="Arial"/>
    </font>
    <font>
      <b/>
      <color rgb="FFFFFFFF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5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0" fontId="8" numFmtId="0" xfId="0" applyAlignment="1" applyFont="1">
      <alignment readingOrder="0" shrinkToFit="0" wrapText="0"/>
    </xf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8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8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8" numFmtId="14" xfId="0" applyAlignment="1" applyFont="1" applyNumberFormat="1">
      <alignment readingOrder="0" shrinkToFit="0" wrapText="0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8" numFmtId="4" xfId="0" applyAlignment="1" applyFont="1" applyNumberFormat="1">
      <alignment shrinkToFit="0" wrapText="0"/>
    </xf>
    <xf borderId="0" fillId="0" fontId="9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4" numFmtId="4" xfId="0" applyAlignment="1" applyFont="1" applyNumberFormat="1">
      <alignment shrinkToFit="0" wrapText="0"/>
    </xf>
    <xf borderId="4" fillId="3" fontId="4" numFmtId="4" xfId="0" applyAlignment="1" applyBorder="1" applyFont="1" applyNumberFormat="1">
      <alignment shrinkToFit="0" wrapText="0"/>
    </xf>
    <xf borderId="4" fillId="3" fontId="9" numFmtId="4" xfId="0" applyAlignment="1" applyBorder="1" applyFont="1" applyNumberFormat="1">
      <alignment readingOrder="0" shrinkToFit="0" wrapText="0"/>
    </xf>
    <xf borderId="4" fillId="3" fontId="9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4" numFmtId="4" xfId="0" applyAlignment="1" applyFont="1" applyNumberFormat="1">
      <alignment shrinkToFit="0" wrapText="0"/>
    </xf>
    <xf borderId="4" fillId="5" fontId="4" numFmtId="4" xfId="0" applyAlignment="1" applyBorder="1" applyFont="1" applyNumberFormat="1">
      <alignment shrinkToFit="0" wrapText="0"/>
    </xf>
    <xf borderId="4" fillId="5" fontId="4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8" numFmtId="4" xfId="0" applyAlignment="1" applyFont="1" applyNumberFormat="1">
      <alignment readingOrder="0" shrinkToFit="0" wrapText="0"/>
    </xf>
    <xf borderId="0" fillId="0" fontId="13" numFmtId="4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readingOrder="0" vertical="bottom"/>
    </xf>
    <xf borderId="0" fillId="0" fontId="13" numFmtId="164" xfId="0" applyAlignment="1" applyFont="1" applyNumberFormat="1">
      <alignment vertical="bottom"/>
    </xf>
    <xf borderId="0" fillId="0" fontId="13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16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6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IFERROR(__xludf.DUMMYFUNCTION("""COMPUTED_VALUE"""),"1ASulLlGAl--JRs7NVIiQ-6Q2Y2P3o7Y40cokKmMg-UA")</f>
        <v>1ASulLlGAl--JRs7NVIiQ-6Q2Y2P3o7Y40cokKmMg-UA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IFERROR(__xludf.DUMMYFUNCTION("""COMPUTED_VALUE"""),"153rAtnJuNh4UK26GjSOxUSjAHcOxzWv7CRGvmhrIJRs")</f>
        <v>153rAtnJuNh4UK26GjSOxUSjAHcOxzWv7CRGvmhrIJRs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IFERROR(__xludf.DUMMYFUNCTION("""COMPUTED_VALUE"""),"14c4GsPTH5D3eyeeKaMiqJQXOT6OiyIKnC2Ey2f-mzXU")</f>
        <v>14c4GsPTH5D3eyeeKaMiqJQXOT6OiyIKnC2Ey2f-mzXU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IFERROR(__xludf.DUMMYFUNCTION("""COMPUTED_VALUE"""),"1FoqTScZHaIaLmwoImnVY7WWuCKEwJNYw8_jsXiT_wz4")</f>
        <v>1FoqTScZHaIaLmwoImnVY7WWuCKEwJNYw8_jsXiT_wz4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IFERROR(__xludf.DUMMYFUNCTION("""COMPUTED_VALUE"""),"1nx-Ntcckcf-w1Yr5yyOw4Vmcr4UsalakHe-CHaRihg0")</f>
        <v>1nx-Ntcckcf-w1Yr5yyOw4Vmcr4UsalakHe-CHaRihg0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IFERROR(__xludf.DUMMYFUNCTION("""COMPUTED_VALUE"""),"1aOr-_cYT21IfJctqcBB50iQOXfB0qUo9bBesL3tt_2o")</f>
        <v>1aOr-_cYT21IfJctqcBB50iQOXfB0qUo9bBesL3tt_2o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IFERROR(__xludf.DUMMYFUNCTION("""COMPUTED_VALUE"""),"1NSNUZ7aVjKq-fJWvjMKU9f1Hhbf0UmIY3RQLFu0_U94")</f>
        <v>1NSNUZ7aVjKq-fJWvjMKU9f1Hhbf0UmIY3RQLFu0_U94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IFERROR(__xludf.DUMMYFUNCTION("""COMPUTED_VALUE"""),"1qcpgHRQFZbpv-NnW8K-CvX_auKXD5UD0KzrBvuBL6yQ")</f>
        <v>1qcpgHRQFZbpv-NnW8K-CvX_auKXD5UD0KzrBvuBL6yQ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IFERROR(__xludf.DUMMYFUNCTION("""COMPUTED_VALUE"""),"1AcxAZQwu6HAEJMCMK3bk08quIeXstZWKnCNeDGuqkgc")</f>
        <v>1AcxAZQwu6HAEJMCMK3bk08quIeXstZWKnCNeDGuqkgc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IFERROR(__xludf.DUMMYFUNCTION("""COMPUTED_VALUE"""),"1VLF0uNJJlumCyBscfuDhTN1tOv-0IRCkYlwfDU8GczQ")</f>
        <v>1VLF0uNJJlumCyBscfuDhTN1tOv-0IRCkYlwfDU8GczQ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IFERROR(__xludf.DUMMYFUNCTION("""COMPUTED_VALUE"""),"1_8MIcc2OK_ojl_V4NIwMLs9H7qkQkwyq9sDf1PpIqc8")</f>
        <v>1_8MIcc2OK_ojl_V4NIwMLs9H7qkQkwyq9sDf1PpIqc8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IFERROR(__xludf.DUMMYFUNCTION("""COMPUTED_VALUE"""),"1tN1tbsnXiVRytGN-WCzTnGTmfRxY2nBklQk3AQSJo2c")</f>
        <v>1tN1tbsnXiVRytGN-WCzTnGTmfRxY2nBklQk3AQSJo2c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IFERROR(__xludf.DUMMYFUNCTION("""COMPUTED_VALUE"""),"1VRRuQCPazoSKAv27NBzQzv_Yw_Kgakw-yyKn6w1zhKU")</f>
        <v>1VRRuQCPazoSKAv27NBzQzv_Yw_Kgakw-yyKn6w1zhKU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IFERROR(__xludf.DUMMYFUNCTION("""COMPUTED_VALUE"""),"1fGo94nf55bWXddEMlTwX902cb1V6cWr9GHWYy_sZ8IU")</f>
        <v>1fGo94nf55bWXddEMlTwX902cb1V6cWr9GHWYy_sZ8IU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IFERROR(__xludf.DUMMYFUNCTION("""COMPUTED_VALUE"""),"1rOMKu0Ez7NdxjtZC05lRrPUSa0tkOQSvbOhxjuijMsU")</f>
        <v>1rOMKu0Ez7NdxjtZC05lRrPUSa0tkOQSvbOhxjuijMsU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IFERROR(__xludf.DUMMYFUNCTION("""COMPUTED_VALUE"""),"1yBi-hp0jcYIFB6ymnlQIlx-pUUkfcjJU7Ap0azBbNcE")</f>
        <v>1yBi-hp0jcYIFB6ymnlQIlx-pUUkfcjJU7Ap0azBbNcE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IFERROR(__xludf.DUMMYFUNCTION("""COMPUTED_VALUE"""),"1x5iUjYB72ZJ35IOvQ_JQkWHV-d1FlgKY3bIxxTpk-f0")</f>
        <v>1x5iUjYB72ZJ35IOvQ_JQkWHV-d1FlgKY3bIxxTpk-f0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IFERROR(__xludf.DUMMYFUNCTION("""COMPUTED_VALUE"""),"1Li5RKULV7Lc2MLczTkVbzq0oDYcFGfTlBUO9__NoODc")</f>
        <v>1Li5RKULV7Lc2MLczTkVbzq0oDYcFGfTlBUO9__NoODc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IFERROR(__xludf.DUMMYFUNCTION("""COMPUTED_VALUE"""),"1vnIE6mL0eHSchRF1qTlJ2JL_Ylu6hiC6uOXpzq7M0BQ")</f>
        <v>1vnIE6mL0eHSchRF1qTlJ2JL_Ylu6hiC6uOXpzq7M0BQ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IFERROR(__xludf.DUMMYFUNCTION("""COMPUTED_VALUE"""),"1KCMHfIqMprTfc21JY7-_BuJZCbNmjdI-pAMs1UtHRgM")</f>
        <v>1KCMHfIqMprTfc21JY7-_BuJZCbNmjdI-pAMs1UtHRgM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IFERROR(__xludf.DUMMYFUNCTION("""COMPUTED_VALUE"""),"1tRgcAtzRVDm6tX53uSpBOxZNBYm4sTcJiDaR4fxdfwY")</f>
        <v>1tRgcAtzRVDm6tX53uSpBOxZNBYm4sTcJiDaR4fxdfwY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IFERROR(__xludf.DUMMYFUNCTION("""COMPUTED_VALUE"""),"12DQ8VFmnoIi6USj-pAupggGf1Uakm-iIEO9IboOJPds")</f>
        <v>12DQ8VFmnoIi6USj-pAupggGf1Uakm-iIEO9IboOJPds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IFERROR(__xludf.DUMMYFUNCTION("""COMPUTED_VALUE"""),"1EinrxkfbLK2Tdj1nGXu4y1H2zmS6g6G85Hm0vYSOHlA")</f>
        <v>1EinrxkfbLK2Tdj1nGXu4y1H2zmS6g6G85Hm0vYSOHlA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IFERROR(__xludf.DUMMYFUNCTION("""COMPUTED_VALUE"""),"1qeUVChEAj0eKA7tNZsUWM4FcqW347Jcsk_tvw1-FP3s")</f>
        <v>1qeUVChEAj0eKA7tNZsUWM4FcqW347Jcsk_tvw1-FP3s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IFERROR(__xludf.DUMMYFUNCTION("""COMPUTED_VALUE"""),"1aVxYFzFjJM4FVvXjfioQc67hI5XgzzCTHLg8f7lbJhU")</f>
        <v>1aVxYFzFjJM4FVvXjfioQc67hI5XgzzCTHLg8f7lbJhU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IFERROR(__xludf.DUMMYFUNCTION("""COMPUTED_VALUE"""),"1Fe8M8KnrsIcnAobjXa43I9IzXKCnB39xCSYterKkeEc")</f>
        <v>1Fe8M8KnrsIcnAobjXa43I9IzXKCnB39xCSYterKkeEc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IFERROR(__xludf.DUMMYFUNCTION("""COMPUTED_VALUE"""),"1qJHd_QH5ht3ZzeFZbKiVeEOBmlpAshwV72N701B28uk")</f>
        <v>1qJHd_QH5ht3ZzeFZbKiVeEOBmlpAshwV72N701B28uk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5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3</v>
      </c>
      <c r="B1" s="2"/>
      <c r="C1" s="3"/>
    </row>
    <row r="2" ht="15.75" customHeight="1">
      <c r="A2" s="16"/>
      <c r="B2" s="16"/>
      <c r="C2" s="16"/>
    </row>
    <row r="3" ht="15.75" customHeight="1">
      <c r="A3" s="5" t="s">
        <v>12</v>
      </c>
      <c r="B3" s="24" t="s">
        <v>13</v>
      </c>
      <c r="C3" s="16"/>
    </row>
    <row r="4" ht="15.75" customHeight="1">
      <c r="A4" s="10" t="s">
        <v>14</v>
      </c>
      <c r="B4" s="24" t="s">
        <v>15</v>
      </c>
      <c r="C4" s="16"/>
    </row>
    <row r="5" ht="15.75" customHeight="1">
      <c r="A5" s="20"/>
      <c r="B5" s="16"/>
      <c r="C5" s="16"/>
    </row>
    <row r="6" ht="15.75" customHeight="1">
      <c r="A6" s="20"/>
      <c r="B6" s="16"/>
      <c r="C6" s="16"/>
    </row>
    <row r="7" ht="15.75" customHeight="1">
      <c r="A7" s="20"/>
      <c r="B7" s="16"/>
      <c r="C7" s="16"/>
    </row>
    <row r="8" ht="15.75" customHeight="1">
      <c r="A8" s="20"/>
      <c r="B8" s="16"/>
      <c r="C8" s="16"/>
    </row>
    <row r="9" ht="15.75" customHeight="1">
      <c r="A9" s="20"/>
      <c r="B9" s="16"/>
      <c r="C9" s="16"/>
    </row>
    <row r="10" ht="15.75" customHeight="1">
      <c r="A10" s="20"/>
      <c r="B10" s="16"/>
      <c r="C10" s="16"/>
    </row>
    <row r="11" ht="15.75" customHeight="1">
      <c r="A11" s="20"/>
      <c r="B11" s="16"/>
      <c r="C11" s="16"/>
    </row>
    <row r="12" ht="15.75" customHeight="1">
      <c r="A12" s="20"/>
      <c r="B12" s="16"/>
      <c r="C12" s="16"/>
    </row>
    <row r="13" ht="15.75" customHeight="1">
      <c r="A13" s="20"/>
      <c r="B13" s="16"/>
      <c r="C13" s="16"/>
    </row>
    <row r="14" ht="15.75" customHeight="1">
      <c r="A14" s="20"/>
      <c r="B14" s="16"/>
      <c r="C14" s="16"/>
    </row>
    <row r="15" ht="15.75" customHeight="1">
      <c r="A15" s="20"/>
      <c r="B15" s="16"/>
      <c r="C15" s="16"/>
    </row>
    <row r="16" ht="15.75" customHeight="1">
      <c r="A16" s="20"/>
      <c r="B16" s="16"/>
      <c r="C16" s="16"/>
    </row>
    <row r="17" ht="15.75" customHeight="1">
      <c r="A17" s="20"/>
      <c r="B17" s="16"/>
      <c r="C17" s="16"/>
    </row>
    <row r="18" ht="15.75" customHeight="1">
      <c r="A18" s="20"/>
      <c r="B18" s="16"/>
      <c r="C18" s="16"/>
    </row>
    <row r="19" ht="15.75" customHeight="1">
      <c r="A19" s="20"/>
      <c r="B19" s="16"/>
      <c r="C19" s="16"/>
    </row>
    <row r="20" ht="15.75" customHeight="1">
      <c r="A20" s="20"/>
      <c r="B20" s="16"/>
      <c r="C20" s="16"/>
    </row>
    <row r="21" ht="15.75" customHeight="1">
      <c r="A21" s="20"/>
      <c r="B21" s="16"/>
      <c r="C21" s="16"/>
    </row>
    <row r="22" ht="15.75" customHeight="1">
      <c r="A22" s="20"/>
      <c r="B22" s="16"/>
      <c r="C22" s="1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8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0" t="s">
        <v>4</v>
      </c>
      <c r="B3" s="11" t="s">
        <v>5</v>
      </c>
      <c r="C3" s="11" t="s">
        <v>6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7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16"/>
      <c r="B2" s="16"/>
      <c r="C2" s="16"/>
      <c r="D2" s="16"/>
      <c r="E2" s="16"/>
      <c r="F2" s="16"/>
      <c r="G2" s="16"/>
      <c r="H2" s="16"/>
      <c r="I2" s="16"/>
      <c r="J2" s="17" t="str">
        <f> VLOOKUP($E$3,'_MasterData'!B4:D1000,3,FALSE)</f>
        <v>#N/A</v>
      </c>
      <c r="K2" s="17"/>
      <c r="L2" s="16"/>
      <c r="M2" s="16"/>
      <c r="N2" s="16"/>
      <c r="O2" s="16"/>
    </row>
    <row r="3" ht="15.75" customHeight="1">
      <c r="A3" s="18"/>
      <c r="B3" s="5" t="s">
        <v>4</v>
      </c>
      <c r="C3" s="19" t="s">
        <v>8</v>
      </c>
      <c r="D3" s="5" t="s">
        <v>5</v>
      </c>
      <c r="E3" s="19" t="s">
        <v>9</v>
      </c>
      <c r="F3" s="5" t="s">
        <v>10</v>
      </c>
      <c r="G3" s="20" t="s">
        <v>11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tr">
        <f>IFERROR(__xludf.DUMMYFUNCTION("""COMPUTED_VALUE"""),"EnterDetailsOnTT")</f>
        <v>EnterDetailsOnTT</v>
      </c>
      <c r="D4" s="22" t="str">
        <f>IFERROR(__xludf.DUMMYFUNCTION("""COMPUTED_VALUE"""),"ValidateSymbolTT")</f>
        <v>ValidateSymbolTT</v>
      </c>
      <c r="E4" s="22" t="str">
        <f>IFERROR(__xludf.DUMMYFUNCTION("""COMPUTED_VALUE"""),"VerifyDataTT")</f>
        <v>VerifyDataTT</v>
      </c>
      <c r="F4" s="22" t="str">
        <f>IFERROR(__xludf.DUMMYFUNCTION("""COMPUTED_VALUE"""),"SetUIPreferencesTT")</f>
        <v>SetUIPreferencesTT</v>
      </c>
      <c r="G4" s="22" t="str">
        <f>IFERROR(__xludf.DUMMYFUNCTION("""COMPUTED_VALUE"""),"SetBrokerWisePreferencesTT")</f>
        <v>SetBrokerWisePreferencesTT</v>
      </c>
      <c r="H4" s="22" t="str">
        <f>IFERROR(__xludf.DUMMYFUNCTION("""COMPUTED_VALUE"""),"TradeNewSub")</f>
        <v>TradeNewSub</v>
      </c>
      <c r="I4" s="22" t="str">
        <f>IFERROR(__xludf.DUMMYFUNCTION("""COMPUTED_VALUE"""),"CreateStageOrder")</f>
        <v>CreateStageOrder</v>
      </c>
      <c r="J4" s="22" t="str">
        <f>IFERROR(__xludf.DUMMYFUNCTION("""COMPUTED_VALUE"""),"CreateReplaceOrder")</f>
        <v>CreateReplaceOrder</v>
      </c>
      <c r="K4" s="22" t="str">
        <f>IFERROR(__xludf.DUMMYFUNCTION("""COMPUTED_VALUE"""),"SetGeneralPreference")</f>
        <v>SetGeneralPreference</v>
      </c>
      <c r="L4" s="22" t="str">
        <f>IFERROR(__xludf.DUMMYFUNCTION("""COMPUTED_VALUE"""),"CreateDoneAwayOrder")</f>
        <v>CreateDoneAwayOrder</v>
      </c>
      <c r="M4" s="22" t="str">
        <f>IFERROR(__xludf.DUMMYFUNCTION("""COMPUTED_VALUE"""),"CreateNewSubOrder")</f>
        <v>CreateNewSubOrder</v>
      </c>
      <c r="N4" s="22" t="str">
        <f>IFERROR(__xludf.DUMMYFUNCTION("""COMPUTED_VALUE"""),"TradeBloomberg")</f>
        <v>TradeBloomberg</v>
      </c>
      <c r="O4" s="22" t="str">
        <f>IFERROR(__xludf.DUMMYFUNCTION("""COMPUTED_VALUE"""),"ClickSymbolLookup")</f>
        <v>ClickSymbolLookup</v>
      </c>
      <c r="P4" s="23" t="str">
        <f>IFERROR(__xludf.DUMMYFUNCTION("""COMPUTED_VALUE"""),"VerifyTT")</f>
        <v>VerifyTT</v>
      </c>
      <c r="Q4" s="23" t="str">
        <f>IFERROR(__xludf.DUMMYFUNCTION("""COMPUTED_VALUE"""),"")</f>
        <v/>
      </c>
      <c r="R4" s="23" t="str">
        <f>IFERROR(__xludf.DUMMYFUNCTION("""COMPUTED_VALUE"""),"")</f>
        <v/>
      </c>
      <c r="S4" s="23" t="str">
        <f>IFERROR(__xludf.DUMMYFUNCTION("""COMPUTED_VALUE"""),"")</f>
        <v/>
      </c>
      <c r="T4" s="23" t="str">
        <f>IFERROR(__xludf.DUMMYFUNCTION("""COMPUTED_VALUE"""),"")</f>
        <v/>
      </c>
      <c r="U4" s="23" t="str">
        <f>IFERROR(__xludf.DUMMYFUNCTION("""COMPUTED_VALUE"""),"")</f>
        <v/>
      </c>
      <c r="V4" s="23" t="str">
        <f>IFERROR(__xludf.DUMMYFUNCTION("""COMPUTED_VALUE"""),"")</f>
        <v/>
      </c>
      <c r="W4" s="23" t="str">
        <f>IFERROR(__xludf.DUMMYFUNCTION("""COMPUTED_VALUE"""),"")</f>
        <v/>
      </c>
      <c r="X4" s="23" t="str">
        <f>IFERROR(__xludf.DUMMYFUNCTION("""COMPUTED_VALUE"""),"")</f>
        <v/>
      </c>
      <c r="Y4" s="23" t="str">
        <f>IFERROR(__xludf.DUMMYFUNCTION("""COMPUTED_VALUE"""),"")</f>
        <v/>
      </c>
      <c r="Z4" s="23" t="str">
        <f>IFERROR(__xludf.DUMMYFUNCTION("""COMPUTED_VALUE"""),"")</f>
        <v/>
      </c>
      <c r="AA4" s="23" t="str">
        <f>IFERROR(__xludf.DUMMYFUNCTION("""COMPUTED_VALUE"""),"")</f>
        <v/>
      </c>
      <c r="AB4" s="23" t="str">
        <f>IFERROR(__xludf.DUMMYFUNCTION("""COMPUTED_VALUE"""),"")</f>
        <v/>
      </c>
      <c r="AC4" s="23" t="str">
        <f>IFERROR(__xludf.DUMMYFUNCTION("""COMPUTED_VALUE"""),"")</f>
        <v/>
      </c>
      <c r="AD4" s="23" t="str">
        <f>IFERROR(__xludf.DUMMYFUNCTION("""COMPUTED_VALUE"""),"")</f>
        <v/>
      </c>
      <c r="AE4" s="23" t="str">
        <f>IFERROR(__xludf.DUMMYFUNCTION("""COMPUTED_VALUE"""),"")</f>
        <v/>
      </c>
      <c r="AF4" s="23" t="str">
        <f>IFERROR(__xludf.DUMMYFUNCTION("""COMPUTED_VALUE"""),"")</f>
        <v/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  <c r="EX4" s="23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29" t="s">
        <v>19</v>
      </c>
      <c r="C6" s="32" t="s">
        <v>23</v>
      </c>
      <c r="D6" s="33">
        <v>100.0</v>
      </c>
      <c r="E6" s="31"/>
      <c r="F6" s="32" t="s">
        <v>24</v>
      </c>
      <c r="G6" s="24" t="s">
        <v>25</v>
      </c>
      <c r="H6" s="16"/>
      <c r="I6" s="16"/>
      <c r="J6" s="30">
        <v>20.0</v>
      </c>
      <c r="K6" s="16"/>
      <c r="L6" s="16"/>
      <c r="M6" s="16"/>
      <c r="N6" s="34">
        <f t="shared" ref="N6:N7" si="1">Today()-1</f>
        <v>43662</v>
      </c>
      <c r="O6" s="16"/>
      <c r="R6" s="35" t="s">
        <v>26</v>
      </c>
      <c r="S6" s="30">
        <v>20.0</v>
      </c>
    </row>
    <row r="7" ht="15.75" customHeight="1">
      <c r="A7" s="16"/>
      <c r="B7" s="32" t="s">
        <v>20</v>
      </c>
      <c r="C7" s="32" t="s">
        <v>27</v>
      </c>
      <c r="D7" s="30">
        <v>100.0</v>
      </c>
      <c r="E7" s="16"/>
      <c r="F7" s="32" t="s">
        <v>24</v>
      </c>
      <c r="G7" s="24" t="s">
        <v>25</v>
      </c>
      <c r="H7" s="16"/>
      <c r="I7" s="16"/>
      <c r="J7" s="30">
        <v>30.0</v>
      </c>
      <c r="K7" s="16"/>
      <c r="L7" s="16"/>
      <c r="M7" s="16"/>
      <c r="N7" s="34">
        <f t="shared" si="1"/>
        <v>43662</v>
      </c>
      <c r="O7" s="16"/>
      <c r="R7" s="35" t="s">
        <v>28</v>
      </c>
      <c r="S7" s="30">
        <v>30.0</v>
      </c>
    </row>
    <row r="8" ht="15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ht="15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7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16"/>
      <c r="B2" s="16"/>
      <c r="C2" s="16"/>
      <c r="D2" s="16"/>
      <c r="E2" s="16"/>
      <c r="F2" s="16"/>
      <c r="G2" s="16"/>
      <c r="H2" s="16"/>
      <c r="I2" s="16"/>
      <c r="J2" s="17" t="str">
        <f> VLOOKUP($E$3,'_MasterData'!B4:D1000,3,FALSE)</f>
        <v>#N/A</v>
      </c>
      <c r="K2" s="17"/>
      <c r="L2" s="16"/>
      <c r="M2" s="16"/>
      <c r="N2" s="16"/>
      <c r="O2" s="16"/>
    </row>
    <row r="3" ht="15.75" customHeight="1">
      <c r="A3" s="18"/>
      <c r="B3" s="5" t="s">
        <v>4</v>
      </c>
      <c r="C3" s="19" t="s">
        <v>16</v>
      </c>
      <c r="D3" s="5" t="s">
        <v>5</v>
      </c>
      <c r="E3" s="19" t="s">
        <v>16</v>
      </c>
      <c r="F3" s="5" t="s">
        <v>10</v>
      </c>
      <c r="G3" s="20" t="s">
        <v>11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IFERROR(__xludf.DUMMYFUNCTION("IF(C3="""","""",Transpose(IMPORTRANGE('_Settings'!$B$3,C3&amp;""!A4:A1000"")))"),"PricingInput")</f>
        <v>PricingInput</v>
      </c>
      <c r="C4" s="22" t="str">
        <f>IFERROR(__xludf.DUMMYFUNCTION("""COMPUTED_VALUE"""),"UpdateSharesOutstanding")</f>
        <v>UpdateSharesOutstanding</v>
      </c>
      <c r="D4" s="22" t="str">
        <f>IFERROR(__xludf.DUMMYFUNCTION("""COMPUTED_VALUE"""),"EODTPreferences")</f>
        <v>EODTPreferences</v>
      </c>
      <c r="E4" s="22" t="str">
        <f>IFERROR(__xludf.DUMMYFUNCTION("""COMPUTED_VALUE"""),"LiveData")</f>
        <v>LiveData</v>
      </c>
      <c r="F4" s="22" t="str">
        <f>IFERROR(__xludf.DUMMYFUNCTION("""COMPUTED_VALUE"""),"")</f>
        <v/>
      </c>
      <c r="G4" s="22" t="str">
        <f>IFERROR(__xludf.DUMMYFUNCTION("""COMPUTED_VALUE"""),"")</f>
        <v/>
      </c>
      <c r="H4" s="22" t="str">
        <f>IFERROR(__xludf.DUMMYFUNCTION("""COMPUTED_VALUE"""),"")</f>
        <v/>
      </c>
      <c r="I4" s="22" t="str">
        <f>IFERROR(__xludf.DUMMYFUNCTION("""COMPUTED_VALUE"""),"")</f>
        <v/>
      </c>
      <c r="J4" s="22" t="str">
        <f>IFERROR(__xludf.DUMMYFUNCTION("""COMPUTED_VALUE"""),"")</f>
        <v/>
      </c>
      <c r="K4" s="22" t="str">
        <f>IFERROR(__xludf.DUMMYFUNCTION("""COMPUTED_VALUE"""),"")</f>
        <v/>
      </c>
      <c r="L4" s="22" t="str">
        <f>IFERROR(__xludf.DUMMYFUNCTION("""COMPUTED_VALUE"""),"")</f>
        <v/>
      </c>
      <c r="M4" s="22" t="str">
        <f>IFERROR(__xludf.DUMMYFUNCTION("""COMPUTED_VALUE"""),"")</f>
        <v/>
      </c>
      <c r="N4" s="22" t="str">
        <f>IFERROR(__xludf.DUMMYFUNCTION("""COMPUTED_VALUE"""),"")</f>
        <v/>
      </c>
      <c r="O4" s="22" t="str">
        <f>IFERROR(__xludf.DUMMYFUNCTION("""COMPUTED_VALUE"""),"")</f>
        <v/>
      </c>
      <c r="P4" s="23" t="str">
        <f>IFERROR(__xludf.DUMMYFUNCTION("""COMPUTED_VALUE"""),"")</f>
        <v/>
      </c>
      <c r="Q4" s="23" t="str">
        <f>IFERROR(__xludf.DUMMYFUNCTION("""COMPUTED_VALUE"""),"")</f>
        <v/>
      </c>
      <c r="R4" s="23" t="str">
        <f>IFERROR(__xludf.DUMMYFUNCTION("""COMPUTED_VALUE"""),"")</f>
        <v/>
      </c>
      <c r="S4" s="23" t="str">
        <f>IFERROR(__xludf.DUMMYFUNCTION("""COMPUTED_VALUE"""),"")</f>
        <v/>
      </c>
      <c r="T4" s="23" t="str">
        <f>IFERROR(__xludf.DUMMYFUNCTION("""COMPUTED_VALUE"""),"")</f>
        <v/>
      </c>
      <c r="U4" s="23" t="str">
        <f>IFERROR(__xludf.DUMMYFUNCTION("""COMPUTED_VALUE"""),"")</f>
        <v/>
      </c>
      <c r="V4" s="23" t="str">
        <f>IFERROR(__xludf.DUMMYFUNCTION("""COMPUTED_VALUE"""),"")</f>
        <v/>
      </c>
      <c r="W4" s="23" t="str">
        <f>IFERROR(__xludf.DUMMYFUNCTION("""COMPUTED_VALUE"""),"")</f>
        <v/>
      </c>
      <c r="X4" s="23" t="str">
        <f>IFERROR(__xludf.DUMMYFUNCTION("""COMPUTED_VALUE"""),"")</f>
        <v/>
      </c>
      <c r="Y4" s="23" t="str">
        <f>IFERROR(__xludf.DUMMYFUNCTION("""COMPUTED_VALUE"""),"")</f>
        <v/>
      </c>
      <c r="Z4" s="23" t="str">
        <f>IFERROR(__xludf.DUMMYFUNCTION("""COMPUTED_VALUE"""),"")</f>
        <v/>
      </c>
      <c r="AA4" s="23" t="str">
        <f>IFERROR(__xludf.DUMMYFUNCTION("""COMPUTED_VALUE"""),"")</f>
        <v/>
      </c>
      <c r="AB4" s="23" t="str">
        <f>IFERROR(__xludf.DUMMYFUNCTION("""COMPUTED_VALUE"""),"")</f>
        <v/>
      </c>
      <c r="AC4" s="23" t="str">
        <f>IFERROR(__xludf.DUMMYFUNCTION("""COMPUTED_VALUE"""),"")</f>
        <v/>
      </c>
      <c r="AD4" s="23" t="str">
        <f>IFERROR(__xludf.DUMMYFUNCTION("""COMPUTED_VALUE"""),"")</f>
        <v/>
      </c>
      <c r="AE4" s="23" t="str">
        <f>IFERROR(__xludf.DUMMYFUNCTION("""COMPUTED_VALUE"""),"")</f>
        <v/>
      </c>
      <c r="AF4" s="23" t="str">
        <f>IFERROR(__xludf.DUMMYFUNCTION("""COMPUTED_VALUE"""),"")</f>
        <v/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  <c r="EX4" s="23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29" t="s">
        <v>17</v>
      </c>
      <c r="C6" s="30">
        <v>199.0</v>
      </c>
      <c r="D6" s="24"/>
      <c r="E6" s="31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ht="15.75" customHeight="1">
      <c r="A7" s="16"/>
      <c r="B7" s="32" t="s">
        <v>18</v>
      </c>
      <c r="C7" s="30">
        <v>134.0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ht="15.75" customHeight="1">
      <c r="A8" s="16"/>
      <c r="B8" s="32" t="s">
        <v>19</v>
      </c>
      <c r="C8" s="30">
        <v>21.0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ht="15.75" customHeight="1">
      <c r="A9" s="16"/>
      <c r="B9" s="32" t="s">
        <v>20</v>
      </c>
      <c r="C9" s="30">
        <v>31.0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7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16"/>
      <c r="B2" s="16"/>
      <c r="C2" s="16"/>
      <c r="D2" s="16"/>
      <c r="E2" s="16"/>
      <c r="F2" s="16"/>
      <c r="G2" s="16"/>
      <c r="H2" s="16"/>
      <c r="I2" s="16"/>
      <c r="J2" s="17" t="str">
        <f> VLOOKUP($E$3,'_MasterData'!B4:D1000,3,FALSE)</f>
        <v>#N/A</v>
      </c>
      <c r="K2" s="17"/>
      <c r="L2" s="16"/>
      <c r="M2" s="16"/>
      <c r="N2" s="16"/>
      <c r="O2" s="16"/>
    </row>
    <row r="3" ht="15.75" customHeight="1">
      <c r="A3" s="18"/>
      <c r="B3" s="5" t="s">
        <v>4</v>
      </c>
      <c r="C3" s="19" t="s">
        <v>21</v>
      </c>
      <c r="D3" s="5" t="s">
        <v>5</v>
      </c>
      <c r="E3" s="19" t="s">
        <v>22</v>
      </c>
      <c r="F3" s="5" t="s">
        <v>10</v>
      </c>
      <c r="G3" s="20" t="s">
        <v>11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  <c r="EX4" s="23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24" t="s">
        <v>29</v>
      </c>
      <c r="C6" s="24" t="s">
        <v>24</v>
      </c>
      <c r="D6" s="36">
        <f t="shared" ref="D6:E6" si="1">Today()-1</f>
        <v>43662</v>
      </c>
      <c r="E6" s="36">
        <f t="shared" si="1"/>
        <v>43662</v>
      </c>
      <c r="F6" s="16"/>
      <c r="G6" s="16"/>
      <c r="H6" s="16"/>
      <c r="I6" s="16"/>
      <c r="J6" s="16"/>
      <c r="K6" s="16"/>
      <c r="L6" s="16"/>
      <c r="M6" s="16"/>
      <c r="N6" s="16"/>
      <c r="O6" s="16"/>
    </row>
    <row r="7" ht="15.7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ht="15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ht="15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7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16"/>
      <c r="B2" s="16"/>
      <c r="C2" s="16"/>
      <c r="D2" s="16"/>
      <c r="E2" s="16"/>
      <c r="F2" s="16"/>
      <c r="G2" s="16"/>
      <c r="H2" s="16"/>
      <c r="I2" s="16"/>
      <c r="J2" s="17" t="str">
        <f> VLOOKUP($E$3,'_MasterData'!B4:D1000,3,FALSE)</f>
        <v>#N/A</v>
      </c>
      <c r="K2" s="17"/>
      <c r="L2" s="16"/>
      <c r="M2" s="16"/>
      <c r="N2" s="16"/>
      <c r="O2" s="16"/>
    </row>
    <row r="3" ht="15.75" customHeight="1">
      <c r="A3" s="18"/>
      <c r="B3" s="5" t="s">
        <v>4</v>
      </c>
      <c r="C3" s="19" t="s">
        <v>8</v>
      </c>
      <c r="D3" s="5" t="s">
        <v>5</v>
      </c>
      <c r="E3" s="19" t="s">
        <v>9</v>
      </c>
      <c r="F3" s="5" t="s">
        <v>10</v>
      </c>
      <c r="G3" s="20" t="s">
        <v>11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tr">
        <f>IFERROR(__xludf.DUMMYFUNCTION("""COMPUTED_VALUE"""),"EnterDetailsOnTT")</f>
        <v>EnterDetailsOnTT</v>
      </c>
      <c r="D4" s="22" t="str">
        <f>IFERROR(__xludf.DUMMYFUNCTION("""COMPUTED_VALUE"""),"ValidateSymbolTT")</f>
        <v>ValidateSymbolTT</v>
      </c>
      <c r="E4" s="22" t="str">
        <f>IFERROR(__xludf.DUMMYFUNCTION("""COMPUTED_VALUE"""),"VerifyDataTT")</f>
        <v>VerifyDataTT</v>
      </c>
      <c r="F4" s="22" t="str">
        <f>IFERROR(__xludf.DUMMYFUNCTION("""COMPUTED_VALUE"""),"SetUIPreferencesTT")</f>
        <v>SetUIPreferencesTT</v>
      </c>
      <c r="G4" s="22" t="str">
        <f>IFERROR(__xludf.DUMMYFUNCTION("""COMPUTED_VALUE"""),"SetBrokerWisePreferencesTT")</f>
        <v>SetBrokerWisePreferencesTT</v>
      </c>
      <c r="H4" s="22" t="str">
        <f>IFERROR(__xludf.DUMMYFUNCTION("""COMPUTED_VALUE"""),"TradeNewSub")</f>
        <v>TradeNewSub</v>
      </c>
      <c r="I4" s="22" t="str">
        <f>IFERROR(__xludf.DUMMYFUNCTION("""COMPUTED_VALUE"""),"CreateStageOrder")</f>
        <v>CreateStageOrder</v>
      </c>
      <c r="J4" s="22" t="str">
        <f>IFERROR(__xludf.DUMMYFUNCTION("""COMPUTED_VALUE"""),"CreateReplaceOrder")</f>
        <v>CreateReplaceOrder</v>
      </c>
      <c r="K4" s="22" t="str">
        <f>IFERROR(__xludf.DUMMYFUNCTION("""COMPUTED_VALUE"""),"SetGeneralPreference")</f>
        <v>SetGeneralPreference</v>
      </c>
      <c r="L4" s="22" t="str">
        <f>IFERROR(__xludf.DUMMYFUNCTION("""COMPUTED_VALUE"""),"CreateDoneAwayOrder")</f>
        <v>CreateDoneAwayOrder</v>
      </c>
      <c r="M4" s="22" t="str">
        <f>IFERROR(__xludf.DUMMYFUNCTION("""COMPUTED_VALUE"""),"CreateNewSubOrder")</f>
        <v>CreateNewSubOrder</v>
      </c>
      <c r="N4" s="22" t="str">
        <f>IFERROR(__xludf.DUMMYFUNCTION("""COMPUTED_VALUE"""),"TradeBloomberg")</f>
        <v>TradeBloomberg</v>
      </c>
      <c r="O4" s="22" t="str">
        <f>IFERROR(__xludf.DUMMYFUNCTION("""COMPUTED_VALUE"""),"ClickSymbolLookup")</f>
        <v>ClickSymbolLookup</v>
      </c>
      <c r="P4" s="23" t="str">
        <f>IFERROR(__xludf.DUMMYFUNCTION("""COMPUTED_VALUE"""),"VerifyTT")</f>
        <v>VerifyTT</v>
      </c>
      <c r="Q4" s="23" t="str">
        <f>IFERROR(__xludf.DUMMYFUNCTION("""COMPUTED_VALUE"""),"")</f>
        <v/>
      </c>
      <c r="R4" s="23" t="str">
        <f>IFERROR(__xludf.DUMMYFUNCTION("""COMPUTED_VALUE"""),"")</f>
        <v/>
      </c>
      <c r="S4" s="23" t="str">
        <f>IFERROR(__xludf.DUMMYFUNCTION("""COMPUTED_VALUE"""),"")</f>
        <v/>
      </c>
      <c r="T4" s="23" t="str">
        <f>IFERROR(__xludf.DUMMYFUNCTION("""COMPUTED_VALUE"""),"")</f>
        <v/>
      </c>
      <c r="U4" s="23" t="str">
        <f>IFERROR(__xludf.DUMMYFUNCTION("""COMPUTED_VALUE"""),"")</f>
        <v/>
      </c>
      <c r="V4" s="23" t="str">
        <f>IFERROR(__xludf.DUMMYFUNCTION("""COMPUTED_VALUE"""),"")</f>
        <v/>
      </c>
      <c r="W4" s="23" t="str">
        <f>IFERROR(__xludf.DUMMYFUNCTION("""COMPUTED_VALUE"""),"")</f>
        <v/>
      </c>
      <c r="X4" s="23" t="str">
        <f>IFERROR(__xludf.DUMMYFUNCTION("""COMPUTED_VALUE"""),"")</f>
        <v/>
      </c>
      <c r="Y4" s="23" t="str">
        <f>IFERROR(__xludf.DUMMYFUNCTION("""COMPUTED_VALUE"""),"")</f>
        <v/>
      </c>
      <c r="Z4" s="23" t="str">
        <f>IFERROR(__xludf.DUMMYFUNCTION("""COMPUTED_VALUE"""),"")</f>
        <v/>
      </c>
      <c r="AA4" s="23" t="str">
        <f>IFERROR(__xludf.DUMMYFUNCTION("""COMPUTED_VALUE"""),"")</f>
        <v/>
      </c>
      <c r="AB4" s="23" t="str">
        <f>IFERROR(__xludf.DUMMYFUNCTION("""COMPUTED_VALUE"""),"")</f>
        <v/>
      </c>
      <c r="AC4" s="23" t="str">
        <f>IFERROR(__xludf.DUMMYFUNCTION("""COMPUTED_VALUE"""),"")</f>
        <v/>
      </c>
      <c r="AD4" s="23" t="str">
        <f>IFERROR(__xludf.DUMMYFUNCTION("""COMPUTED_VALUE"""),"")</f>
        <v/>
      </c>
      <c r="AE4" s="23" t="str">
        <f>IFERROR(__xludf.DUMMYFUNCTION("""COMPUTED_VALUE"""),"")</f>
        <v/>
      </c>
      <c r="AF4" s="23" t="str">
        <f>IFERROR(__xludf.DUMMYFUNCTION("""COMPUTED_VALUE"""),"")</f>
        <v/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  <c r="EX4" s="23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29" t="s">
        <v>19</v>
      </c>
      <c r="C6" s="32" t="s">
        <v>23</v>
      </c>
      <c r="D6" s="33">
        <v>100.0</v>
      </c>
      <c r="E6" s="31"/>
      <c r="F6" s="24" t="s">
        <v>30</v>
      </c>
      <c r="G6" s="24" t="s">
        <v>25</v>
      </c>
      <c r="H6" s="16"/>
      <c r="I6" s="16"/>
      <c r="J6" s="24">
        <v>25.0</v>
      </c>
      <c r="K6" s="16"/>
      <c r="L6" s="16"/>
      <c r="M6" s="16"/>
      <c r="N6" s="34">
        <f t="shared" ref="N6:N7" si="1">Today()</f>
        <v>43663</v>
      </c>
      <c r="O6" s="16"/>
      <c r="R6" s="35" t="s">
        <v>26</v>
      </c>
      <c r="S6" s="35">
        <v>35.0</v>
      </c>
    </row>
    <row r="7" ht="15.75" customHeight="1">
      <c r="A7" s="16"/>
      <c r="B7" s="32" t="s">
        <v>20</v>
      </c>
      <c r="C7" s="32" t="s">
        <v>27</v>
      </c>
      <c r="D7" s="30">
        <v>100.0</v>
      </c>
      <c r="E7" s="16"/>
      <c r="F7" s="24" t="s">
        <v>30</v>
      </c>
      <c r="G7" s="24" t="s">
        <v>25</v>
      </c>
      <c r="H7" s="16"/>
      <c r="I7" s="16"/>
      <c r="J7" s="24">
        <v>33.0</v>
      </c>
      <c r="K7" s="16"/>
      <c r="L7" s="16"/>
      <c r="M7" s="16"/>
      <c r="N7" s="34">
        <f t="shared" si="1"/>
        <v>43663</v>
      </c>
      <c r="O7" s="16"/>
      <c r="R7" s="35" t="s">
        <v>26</v>
      </c>
      <c r="S7" s="35">
        <v>15.0</v>
      </c>
    </row>
    <row r="8" ht="15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ht="15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7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16"/>
      <c r="B2" s="16"/>
      <c r="C2" s="16"/>
      <c r="D2" s="16"/>
      <c r="E2" s="16"/>
      <c r="F2" s="16"/>
      <c r="G2" s="16"/>
      <c r="H2" s="16"/>
      <c r="I2" s="16"/>
      <c r="J2" s="17" t="str">
        <f> VLOOKUP($E$3,'_MasterData'!B4:D1000,3,FALSE)</f>
        <v>#N/A</v>
      </c>
      <c r="K2" s="17"/>
      <c r="L2" s="16"/>
      <c r="M2" s="16"/>
      <c r="N2" s="16"/>
      <c r="O2" s="16"/>
    </row>
    <row r="3" ht="15.75" customHeight="1">
      <c r="A3" s="18"/>
      <c r="B3" s="5" t="s">
        <v>4</v>
      </c>
      <c r="C3" s="19" t="s">
        <v>31</v>
      </c>
      <c r="D3" s="5" t="s">
        <v>5</v>
      </c>
      <c r="E3" s="19" t="s">
        <v>32</v>
      </c>
      <c r="F3" s="5" t="s">
        <v>10</v>
      </c>
      <c r="G3" s="20" t="s">
        <v>11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3" t="str">
        <f>IFERROR(__xludf.DUMMYFUNCTION("""COMPUTED_VALUE"""),"GetDailyTradingVolume")</f>
        <v>GetDailyTradingVolume</v>
      </c>
      <c r="Q4" s="23" t="str">
        <f>IFERROR(__xludf.DUMMYFUNCTION("""COMPUTED_VALUE"""),"GetDailyOutstandings")</f>
        <v>GetDailyOutstandings</v>
      </c>
      <c r="R4" s="23" t="str">
        <f>IFERROR(__xludf.DUMMYFUNCTION("""COMPUTED_VALUE"""),"GetDailyDelta")</f>
        <v>GetDailyDelta</v>
      </c>
      <c r="S4" s="23" t="str">
        <f>IFERROR(__xludf.DUMMYFUNCTION("""COMPUTED_VALUE"""),"UpdateDailyVolatility")</f>
        <v>UpdateDailyVolatility</v>
      </c>
      <c r="T4" s="23" t="str">
        <f>IFERROR(__xludf.DUMMYFUNCTION("""COMPUTED_VALUE"""),"UpdateDividendYield")</f>
        <v>UpdateDividendYield</v>
      </c>
      <c r="U4" s="23" t="str">
        <f>IFERROR(__xludf.DUMMYFUNCTION("""COMPUTED_VALUE"""),"UpdateTradingVolume")</f>
        <v>UpdateTradingVolume</v>
      </c>
      <c r="V4" s="23" t="str">
        <f>IFERROR(__xludf.DUMMYFUNCTION("""COMPUTED_VALUE"""),"UpdateDailyDelta")</f>
        <v>UpdateDailyDelta</v>
      </c>
      <c r="W4" s="23" t="str">
        <f>IFERROR(__xludf.DUMMYFUNCTION("""COMPUTED_VALUE"""),"UpdateDailyOutstandings")</f>
        <v>UpdateDailyOutstandings</v>
      </c>
      <c r="X4" s="23" t="str">
        <f>IFERROR(__xludf.DUMMYFUNCTION("""COMPUTED_VALUE"""),"UpdateBeta")</f>
        <v>UpdateBeta</v>
      </c>
      <c r="Y4" s="23" t="str">
        <f>IFERROR(__xludf.DUMMYFUNCTION("""COMPUTED_VALUE"""),"UpdateNAV")</f>
        <v>UpdateNAV</v>
      </c>
      <c r="Z4" s="23" t="str">
        <f>IFERROR(__xludf.DUMMYFUNCTION("""COMPUTED_VALUE"""),"UpdateDailyCash")</f>
        <v>UpdateDailyCash</v>
      </c>
      <c r="AA4" s="23" t="str">
        <f>IFERROR(__xludf.DUMMYFUNCTION("""COMPUTED_VALUE"""),"UpdateDailyCreditLimt")</f>
        <v>UpdateDailyCreditLimt</v>
      </c>
      <c r="AB4" s="23" t="str">
        <f>IFERROR(__xludf.DUMMYFUNCTION("""COMPUTED_VALUE"""),"RemoveDailyCreditLimit")</f>
        <v>RemoveDailyCreditLimit</v>
      </c>
      <c r="AC4" s="23" t="str">
        <f>IFERROR(__xludf.DUMMYFUNCTION("""COMPUTED_VALUE"""),"RemoveDailyCash")</f>
        <v>RemoveDailyCash</v>
      </c>
      <c r="AD4" s="23" t="str">
        <f>IFERROR(__xludf.DUMMYFUNCTION("""COMPUTED_VALUE"""),"RemoveNAV")</f>
        <v>RemoveNAV</v>
      </c>
      <c r="AE4" s="23" t="str">
        <f>IFERROR(__xludf.DUMMYFUNCTION("""COMPUTED_VALUE"""),"UpdateForexConversionMonthly")</f>
        <v>UpdateForexConversionMonthly</v>
      </c>
      <c r="AF4" s="23" t="str">
        <f>IFERROR(__xludf.DUMMYFUNCTION("""COMPUTED_VALUE"""),"UpdateMarkPriceMonthly")</f>
        <v>UpdateMarkPriceMonthly</v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  <c r="EX4" s="23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36">
        <f>Today()-1</f>
        <v>43662</v>
      </c>
      <c r="C6" s="34">
        <f>today()</f>
        <v>43663</v>
      </c>
      <c r="D6" s="24"/>
      <c r="E6" s="31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ht="15.7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ht="15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ht="15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7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16"/>
      <c r="B2" s="16"/>
      <c r="C2" s="16"/>
      <c r="D2" s="16"/>
      <c r="E2" s="16"/>
      <c r="F2" s="16"/>
      <c r="G2" s="16"/>
      <c r="H2" s="16"/>
      <c r="I2" s="16"/>
      <c r="J2" s="17" t="str">
        <f> VLOOKUP($E$3,'_MasterData'!B4:D1000,3,FALSE)</f>
        <v>#N/A</v>
      </c>
      <c r="K2" s="17"/>
      <c r="L2" s="16"/>
      <c r="M2" s="16"/>
      <c r="N2" s="16"/>
      <c r="O2" s="16"/>
    </row>
    <row r="3" ht="15.75" customHeight="1">
      <c r="A3" s="18"/>
      <c r="B3" s="5" t="s">
        <v>4</v>
      </c>
      <c r="C3" s="19" t="s">
        <v>31</v>
      </c>
      <c r="D3" s="5" t="s">
        <v>5</v>
      </c>
      <c r="E3" s="19" t="s">
        <v>33</v>
      </c>
      <c r="F3" s="5" t="s">
        <v>10</v>
      </c>
      <c r="G3" s="20" t="s">
        <v>11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3" t="str">
        <f>IFERROR(__xludf.DUMMYFUNCTION("""COMPUTED_VALUE"""),"GetDailyTradingVolume")</f>
        <v>GetDailyTradingVolume</v>
      </c>
      <c r="Q4" s="23" t="str">
        <f>IFERROR(__xludf.DUMMYFUNCTION("""COMPUTED_VALUE"""),"GetDailyOutstandings")</f>
        <v>GetDailyOutstandings</v>
      </c>
      <c r="R4" s="23" t="str">
        <f>IFERROR(__xludf.DUMMYFUNCTION("""COMPUTED_VALUE"""),"GetDailyDelta")</f>
        <v>GetDailyDelta</v>
      </c>
      <c r="S4" s="23" t="str">
        <f>IFERROR(__xludf.DUMMYFUNCTION("""COMPUTED_VALUE"""),"UpdateDailyVolatility")</f>
        <v>UpdateDailyVolatility</v>
      </c>
      <c r="T4" s="23" t="str">
        <f>IFERROR(__xludf.DUMMYFUNCTION("""COMPUTED_VALUE"""),"UpdateDividendYield")</f>
        <v>UpdateDividendYield</v>
      </c>
      <c r="U4" s="23" t="str">
        <f>IFERROR(__xludf.DUMMYFUNCTION("""COMPUTED_VALUE"""),"UpdateTradingVolume")</f>
        <v>UpdateTradingVolume</v>
      </c>
      <c r="V4" s="23" t="str">
        <f>IFERROR(__xludf.DUMMYFUNCTION("""COMPUTED_VALUE"""),"UpdateDailyDelta")</f>
        <v>UpdateDailyDelta</v>
      </c>
      <c r="W4" s="23" t="str">
        <f>IFERROR(__xludf.DUMMYFUNCTION("""COMPUTED_VALUE"""),"UpdateDailyOutstandings")</f>
        <v>UpdateDailyOutstandings</v>
      </c>
      <c r="X4" s="23" t="str">
        <f>IFERROR(__xludf.DUMMYFUNCTION("""COMPUTED_VALUE"""),"UpdateBeta")</f>
        <v>UpdateBeta</v>
      </c>
      <c r="Y4" s="23" t="str">
        <f>IFERROR(__xludf.DUMMYFUNCTION("""COMPUTED_VALUE"""),"UpdateNAV")</f>
        <v>UpdateNAV</v>
      </c>
      <c r="Z4" s="23" t="str">
        <f>IFERROR(__xludf.DUMMYFUNCTION("""COMPUTED_VALUE"""),"UpdateDailyCash")</f>
        <v>UpdateDailyCash</v>
      </c>
      <c r="AA4" s="23" t="str">
        <f>IFERROR(__xludf.DUMMYFUNCTION("""COMPUTED_VALUE"""),"UpdateDailyCreditLimt")</f>
        <v>UpdateDailyCreditLimt</v>
      </c>
      <c r="AB4" s="23" t="str">
        <f>IFERROR(__xludf.DUMMYFUNCTION("""COMPUTED_VALUE"""),"RemoveDailyCreditLimit")</f>
        <v>RemoveDailyCreditLimit</v>
      </c>
      <c r="AC4" s="23" t="str">
        <f>IFERROR(__xludf.DUMMYFUNCTION("""COMPUTED_VALUE"""),"RemoveDailyCash")</f>
        <v>RemoveDailyCash</v>
      </c>
      <c r="AD4" s="23" t="str">
        <f>IFERROR(__xludf.DUMMYFUNCTION("""COMPUTED_VALUE"""),"RemoveNAV")</f>
        <v>RemoveNAV</v>
      </c>
      <c r="AE4" s="23" t="str">
        <f>IFERROR(__xludf.DUMMYFUNCTION("""COMPUTED_VALUE"""),"UpdateForexConversionMonthly")</f>
        <v>UpdateForexConversionMonthly</v>
      </c>
      <c r="AF4" s="23" t="str">
        <f>IFERROR(__xludf.DUMMYFUNCTION("""COMPUTED_VALUE"""),"UpdateMarkPriceMonthly")</f>
        <v>UpdateMarkPriceMonthly</v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  <c r="EX4" s="23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4"/>
      <c r="B6" s="29" t="s">
        <v>17</v>
      </c>
      <c r="C6" s="30">
        <v>199.0</v>
      </c>
      <c r="D6" s="24"/>
      <c r="E6" s="31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ht="15.75" customHeight="1">
      <c r="A7" s="16"/>
      <c r="B7" s="32" t="s">
        <v>18</v>
      </c>
      <c r="C7" s="30">
        <v>134.0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ht="15.75" customHeight="1">
      <c r="A8" s="16"/>
      <c r="B8" s="32" t="s">
        <v>19</v>
      </c>
      <c r="C8" s="30">
        <v>21.0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ht="15.75" customHeight="1">
      <c r="A9" s="16"/>
      <c r="B9" s="32" t="s">
        <v>20</v>
      </c>
      <c r="C9" s="30">
        <v>31.0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37"/>
      <c r="B1" s="38" t="s">
        <v>7</v>
      </c>
      <c r="C1" s="2"/>
      <c r="D1" s="2"/>
      <c r="E1" s="2"/>
      <c r="F1" s="2"/>
      <c r="G1" s="2"/>
      <c r="H1" s="3"/>
      <c r="I1" s="37"/>
      <c r="J1" s="37"/>
      <c r="K1" s="37"/>
      <c r="L1" s="37"/>
      <c r="M1" s="37"/>
      <c r="N1" s="37"/>
      <c r="O1" s="37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</row>
    <row r="2" ht="15.75" customHeight="1">
      <c r="A2" s="40"/>
      <c r="B2" s="40"/>
      <c r="C2" s="40"/>
      <c r="D2" s="40"/>
      <c r="E2" s="40"/>
      <c r="F2" s="40"/>
      <c r="G2" s="40"/>
      <c r="H2" s="40"/>
      <c r="I2" s="40"/>
      <c r="J2" s="41" t="str">
        <f> VLOOKUP($E$3,'_MasterData'!B4:D1000,3,FALSE)</f>
        <v>#N/A</v>
      </c>
      <c r="K2" s="41"/>
      <c r="L2" s="40"/>
      <c r="M2" s="40"/>
      <c r="N2" s="40"/>
      <c r="O2" s="40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</row>
    <row r="3" ht="15.75" customHeight="1">
      <c r="A3" s="43"/>
      <c r="B3" s="44" t="s">
        <v>4</v>
      </c>
      <c r="C3" s="45" t="s">
        <v>34</v>
      </c>
      <c r="D3" s="44" t="s">
        <v>5</v>
      </c>
      <c r="E3" s="45" t="s">
        <v>35</v>
      </c>
      <c r="F3" s="44" t="s">
        <v>10</v>
      </c>
      <c r="G3" s="46" t="s">
        <v>11</v>
      </c>
      <c r="H3" s="44"/>
      <c r="I3" s="43"/>
      <c r="J3" s="43"/>
      <c r="K3" s="43"/>
      <c r="L3" s="43"/>
      <c r="M3" s="43"/>
      <c r="N3" s="43"/>
      <c r="O3" s="43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47"/>
      <c r="FJ3" s="47"/>
    </row>
    <row r="4" ht="15.75" customHeight="1">
      <c r="A4" s="48"/>
      <c r="B4" s="48" t="str">
        <f>IFERROR(__xludf.DUMMYFUNCTION("IF(C3="""","""",Transpose(IMPORTRANGE('_Settings'!$B$3,C3&amp;""!A4:A1000"")))"),"CheckDashboardPM")</f>
        <v>CheckDashboardPM</v>
      </c>
      <c r="C4" s="48" t="str">
        <f>IFERROR(__xludf.DUMMYFUNCTION("""COMPUTED_VALUE"""),"CheckPortfolioManagement")</f>
        <v>CheckPortfolioManagement</v>
      </c>
      <c r="D4" s="48" t="str">
        <f>IFERROR(__xludf.DUMMYFUNCTION("""COMPUTED_VALUE"""),"OpenPSTFromPM")</f>
        <v>OpenPSTFromPM</v>
      </c>
      <c r="E4" s="48" t="str">
        <f>IFERROR(__xludf.DUMMYFUNCTION("""COMPUTED_VALUE"""),"ClosePM")</f>
        <v>ClosePM</v>
      </c>
      <c r="F4" s="48" t="str">
        <f>IFERROR(__xludf.DUMMYFUNCTION("""COMPUTED_VALUE"""),"FilterPM")</f>
        <v>FilterPM</v>
      </c>
      <c r="G4" s="48" t="str">
        <f>IFERROR(__xludf.DUMMYFUNCTION("""COMPUTED_VALUE"""),"GroupRowPM")</f>
        <v>GroupRowPM</v>
      </c>
      <c r="H4" s="48" t="str">
        <f>IFERROR(__xludf.DUMMYFUNCTION("""COMPUTED_VALUE"""),"CheckDashboardWithPM")</f>
        <v>CheckDashboardWithPM</v>
      </c>
      <c r="I4" s="48" t="str">
        <f>IFERROR(__xludf.DUMMYFUNCTION("""COMPUTED_VALUE"""),"RemoveFilterPM")</f>
        <v>RemoveFilterPM</v>
      </c>
      <c r="J4" s="48" t="str">
        <f>IFERROR(__xludf.DUMMYFUNCTION("""COMPUTED_VALUE"""),"CheckSummaryRowsPM")</f>
        <v>CheckSummaryRowsPM</v>
      </c>
      <c r="K4" s="48" t="str">
        <f>IFERROR(__xludf.DUMMYFUNCTION("""COMPUTED_VALUE"""),"OpenPTTFromPM")</f>
        <v>OpenPTTFromPM</v>
      </c>
      <c r="L4" s="48" t="str">
        <f>IFERROR(__xludf.DUMMYFUNCTION("""COMPUTED_VALUE"""),"OpenCreateTransactionFromPM")</f>
        <v>OpenCreateTransactionFromPM</v>
      </c>
      <c r="M4" s="48" t="str">
        <f>IFERROR(__xludf.DUMMYFUNCTION("""COMPUTED_VALUE"""),"OpenClosingFromPM")</f>
        <v>OpenClosingFromPM</v>
      </c>
      <c r="N4" s="48" t="str">
        <f>IFERROR(__xludf.DUMMYFUNCTION("""COMPUTED_VALUE"""),"OpenCorporateActionFromPM")</f>
        <v>OpenCorporateActionFromPM</v>
      </c>
      <c r="O4" s="48" t="str">
        <f>IFERROR(__xludf.DUMMYFUNCTION("""COMPUTED_VALUE"""),"OpenDailyValuationFromPM")</f>
        <v>OpenDailyValuationFromPM</v>
      </c>
      <c r="P4" s="49" t="str">
        <f>IFERROR(__xludf.DUMMYFUNCTION("""COMPUTED_VALUE"""),"ClosePositionFromPM")</f>
        <v>ClosePositionFromPM</v>
      </c>
      <c r="Q4" s="49" t="str">
        <f>IFERROR(__xludf.DUMMYFUNCTION("""COMPUTED_VALUE"""),"ShowSummaryToolFromPM")</f>
        <v>ShowSummaryToolFromPM</v>
      </c>
      <c r="R4" s="49" t="str">
        <f>IFERROR(__xludf.DUMMYFUNCTION("""COMPUTED_VALUE"""),"HideSummaryToolFromPM")</f>
        <v>HideSummaryToolFromPM</v>
      </c>
      <c r="S4" s="49" t="str">
        <f>IFERROR(__xludf.DUMMYFUNCTION("""COMPUTED_VALUE"""),"CloseAccountPositionFromPM")</f>
        <v>CloseAccountPositionFromPM</v>
      </c>
      <c r="T4" s="49" t="str">
        <f>IFERROR(__xludf.DUMMYFUNCTION("""COMPUTED_VALUE"""),"CloseSelectedTaxlotsFromPM")</f>
        <v>CloseSelectedTaxlotsFromPM</v>
      </c>
      <c r="U4" s="49" t="str">
        <f>IFERROR(__xludf.DUMMYFUNCTION("""COMPUTED_VALUE"""),"ExpandCollapsePM")</f>
        <v>ExpandCollapsePM</v>
      </c>
      <c r="V4" s="49" t="str">
        <f>IFERROR(__xludf.DUMMYFUNCTION("""COMPUTED_VALUE"""),"AddCustomViewPM")</f>
        <v>AddCustomViewPM</v>
      </c>
      <c r="W4" s="49" t="str">
        <f>IFERROR(__xludf.DUMMYFUNCTION("""COMPUTED_VALUE"""),"AddCustomViewRightClickPM")</f>
        <v>AddCustomViewRightClickPM</v>
      </c>
      <c r="X4" s="49" t="str">
        <f>IFERROR(__xludf.DUMMYFUNCTION("""COMPUTED_VALUE"""),"RenameCustomViewPM")</f>
        <v>RenameCustomViewPM</v>
      </c>
      <c r="Y4" s="49" t="str">
        <f>IFERROR(__xludf.DUMMYFUNCTION("""COMPUTED_VALUE"""),"DeleteCustomViewPM")</f>
        <v>DeleteCustomViewPM</v>
      </c>
      <c r="Z4" s="49" t="str">
        <f>IFERROR(__xludf.DUMMYFUNCTION("""COMPUTED_VALUE"""),"")</f>
        <v/>
      </c>
      <c r="AA4" s="49" t="str">
        <f>IFERROR(__xludf.DUMMYFUNCTION("""COMPUTED_VALUE"""),"")</f>
        <v/>
      </c>
      <c r="AB4" s="49" t="str">
        <f>IFERROR(__xludf.DUMMYFUNCTION("""COMPUTED_VALUE"""),"")</f>
        <v/>
      </c>
      <c r="AC4" s="49" t="str">
        <f>IFERROR(__xludf.DUMMYFUNCTION("""COMPUTED_VALUE"""),"")</f>
        <v/>
      </c>
      <c r="AD4" s="49" t="str">
        <f>IFERROR(__xludf.DUMMYFUNCTION("""COMPUTED_VALUE"""),"")</f>
        <v/>
      </c>
      <c r="AE4" s="49" t="str">
        <f>IFERROR(__xludf.DUMMYFUNCTION("""COMPUTED_VALUE"""),"")</f>
        <v/>
      </c>
      <c r="AF4" s="49" t="str">
        <f>IFERROR(__xludf.DUMMYFUNCTION("""COMPUTED_VALUE"""),"")</f>
        <v/>
      </c>
      <c r="AG4" s="49" t="str">
        <f>IFERROR(__xludf.DUMMYFUNCTION("""COMPUTED_VALUE"""),"")</f>
        <v/>
      </c>
      <c r="AH4" s="49" t="str">
        <f>IFERROR(__xludf.DUMMYFUNCTION("""COMPUTED_VALUE"""),"")</f>
        <v/>
      </c>
      <c r="AI4" s="49" t="str">
        <f>IFERROR(__xludf.DUMMYFUNCTION("""COMPUTED_VALUE"""),"")</f>
        <v/>
      </c>
      <c r="AJ4" s="49" t="str">
        <f>IFERROR(__xludf.DUMMYFUNCTION("""COMPUTED_VALUE"""),"")</f>
        <v/>
      </c>
      <c r="AK4" s="49" t="str">
        <f>IFERROR(__xludf.DUMMYFUNCTION("""COMPUTED_VALUE"""),"")</f>
        <v/>
      </c>
      <c r="AL4" s="49" t="str">
        <f>IFERROR(__xludf.DUMMYFUNCTION("""COMPUTED_VALUE"""),"")</f>
        <v/>
      </c>
      <c r="AM4" s="49" t="str">
        <f>IFERROR(__xludf.DUMMYFUNCTION("""COMPUTED_VALUE"""),"")</f>
        <v/>
      </c>
      <c r="AN4" s="49" t="str">
        <f>IFERROR(__xludf.DUMMYFUNCTION("""COMPUTED_VALUE"""),"")</f>
        <v/>
      </c>
      <c r="AO4" s="49" t="str">
        <f>IFERROR(__xludf.DUMMYFUNCTION("""COMPUTED_VALUE"""),"")</f>
        <v/>
      </c>
      <c r="AP4" s="49" t="str">
        <f>IFERROR(__xludf.DUMMYFUNCTION("""COMPUTED_VALUE"""),"")</f>
        <v/>
      </c>
      <c r="AQ4" s="49" t="str">
        <f>IFERROR(__xludf.DUMMYFUNCTION("""COMPUTED_VALUE"""),"")</f>
        <v/>
      </c>
      <c r="AR4" s="49" t="str">
        <f>IFERROR(__xludf.DUMMYFUNCTION("""COMPUTED_VALUE"""),"")</f>
        <v/>
      </c>
      <c r="AS4" s="49" t="str">
        <f>IFERROR(__xludf.DUMMYFUNCTION("""COMPUTED_VALUE"""),"")</f>
        <v/>
      </c>
      <c r="AT4" s="49" t="str">
        <f>IFERROR(__xludf.DUMMYFUNCTION("""COMPUTED_VALUE"""),"")</f>
        <v/>
      </c>
      <c r="AU4" s="49" t="str">
        <f>IFERROR(__xludf.DUMMYFUNCTION("""COMPUTED_VALUE"""),"")</f>
        <v/>
      </c>
      <c r="AV4" s="49" t="str">
        <f>IFERROR(__xludf.DUMMYFUNCTION("""COMPUTED_VALUE"""),"")</f>
        <v/>
      </c>
      <c r="AW4" s="49" t="str">
        <f>IFERROR(__xludf.DUMMYFUNCTION("""COMPUTED_VALUE"""),"")</f>
        <v/>
      </c>
      <c r="AX4" s="49" t="str">
        <f>IFERROR(__xludf.DUMMYFUNCTION("""COMPUTED_VALUE"""),"")</f>
        <v/>
      </c>
      <c r="AY4" s="49" t="str">
        <f>IFERROR(__xludf.DUMMYFUNCTION("""COMPUTED_VALUE"""),"")</f>
        <v/>
      </c>
      <c r="AZ4" s="49" t="str">
        <f>IFERROR(__xludf.DUMMYFUNCTION("""COMPUTED_VALUE"""),"")</f>
        <v/>
      </c>
      <c r="BA4" s="49" t="str">
        <f>IFERROR(__xludf.DUMMYFUNCTION("""COMPUTED_VALUE"""),"")</f>
        <v/>
      </c>
      <c r="BB4" s="49" t="str">
        <f>IFERROR(__xludf.DUMMYFUNCTION("""COMPUTED_VALUE"""),"")</f>
        <v/>
      </c>
      <c r="BC4" s="49" t="str">
        <f>IFERROR(__xludf.DUMMYFUNCTION("""COMPUTED_VALUE"""),"")</f>
        <v/>
      </c>
      <c r="BD4" s="49" t="str">
        <f>IFERROR(__xludf.DUMMYFUNCTION("""COMPUTED_VALUE"""),"")</f>
        <v/>
      </c>
      <c r="BE4" s="49" t="str">
        <f>IFERROR(__xludf.DUMMYFUNCTION("""COMPUTED_VALUE"""),"")</f>
        <v/>
      </c>
      <c r="BF4" s="49" t="str">
        <f>IFERROR(__xludf.DUMMYFUNCTION("""COMPUTED_VALUE"""),"")</f>
        <v/>
      </c>
      <c r="BG4" s="49" t="str">
        <f>IFERROR(__xludf.DUMMYFUNCTION("""COMPUTED_VALUE"""),"")</f>
        <v/>
      </c>
      <c r="BH4" s="49" t="str">
        <f>IFERROR(__xludf.DUMMYFUNCTION("""COMPUTED_VALUE"""),"")</f>
        <v/>
      </c>
      <c r="BI4" s="49" t="str">
        <f>IFERROR(__xludf.DUMMYFUNCTION("""COMPUTED_VALUE"""),"")</f>
        <v/>
      </c>
      <c r="BJ4" s="49" t="str">
        <f>IFERROR(__xludf.DUMMYFUNCTION("""COMPUTED_VALUE"""),"")</f>
        <v/>
      </c>
      <c r="BK4" s="49" t="str">
        <f>IFERROR(__xludf.DUMMYFUNCTION("""COMPUTED_VALUE"""),"")</f>
        <v/>
      </c>
      <c r="BL4" s="49" t="str">
        <f>IFERROR(__xludf.DUMMYFUNCTION("""COMPUTED_VALUE"""),"")</f>
        <v/>
      </c>
      <c r="BM4" s="49" t="str">
        <f>IFERROR(__xludf.DUMMYFUNCTION("""COMPUTED_VALUE"""),"")</f>
        <v/>
      </c>
      <c r="BN4" s="49" t="str">
        <f>IFERROR(__xludf.DUMMYFUNCTION("""COMPUTED_VALUE"""),"")</f>
        <v/>
      </c>
      <c r="BO4" s="49" t="str">
        <f>IFERROR(__xludf.DUMMYFUNCTION("""COMPUTED_VALUE"""),"")</f>
        <v/>
      </c>
      <c r="BP4" s="49" t="str">
        <f>IFERROR(__xludf.DUMMYFUNCTION("""COMPUTED_VALUE"""),"")</f>
        <v/>
      </c>
      <c r="BQ4" s="49" t="str">
        <f>IFERROR(__xludf.DUMMYFUNCTION("""COMPUTED_VALUE"""),"")</f>
        <v/>
      </c>
      <c r="BR4" s="49" t="str">
        <f>IFERROR(__xludf.DUMMYFUNCTION("""COMPUTED_VALUE"""),"")</f>
        <v/>
      </c>
      <c r="BS4" s="49" t="str">
        <f>IFERROR(__xludf.DUMMYFUNCTION("""COMPUTED_VALUE"""),"")</f>
        <v/>
      </c>
      <c r="BT4" s="49" t="str">
        <f>IFERROR(__xludf.DUMMYFUNCTION("""COMPUTED_VALUE"""),"")</f>
        <v/>
      </c>
      <c r="BU4" s="49" t="str">
        <f>IFERROR(__xludf.DUMMYFUNCTION("""COMPUTED_VALUE"""),"")</f>
        <v/>
      </c>
      <c r="BV4" s="49" t="str">
        <f>IFERROR(__xludf.DUMMYFUNCTION("""COMPUTED_VALUE"""),"")</f>
        <v/>
      </c>
      <c r="BW4" s="49" t="str">
        <f>IFERROR(__xludf.DUMMYFUNCTION("""COMPUTED_VALUE"""),"")</f>
        <v/>
      </c>
      <c r="BX4" s="49" t="str">
        <f>IFERROR(__xludf.DUMMYFUNCTION("""COMPUTED_VALUE"""),"")</f>
        <v/>
      </c>
      <c r="BY4" s="49" t="str">
        <f>IFERROR(__xludf.DUMMYFUNCTION("""COMPUTED_VALUE"""),"")</f>
        <v/>
      </c>
      <c r="BZ4" s="49" t="str">
        <f>IFERROR(__xludf.DUMMYFUNCTION("""COMPUTED_VALUE"""),"")</f>
        <v/>
      </c>
      <c r="CA4" s="49" t="str">
        <f>IFERROR(__xludf.DUMMYFUNCTION("""COMPUTED_VALUE"""),"")</f>
        <v/>
      </c>
      <c r="CB4" s="49" t="str">
        <f>IFERROR(__xludf.DUMMYFUNCTION("""COMPUTED_VALUE"""),"")</f>
        <v/>
      </c>
      <c r="CC4" s="49" t="str">
        <f>IFERROR(__xludf.DUMMYFUNCTION("""COMPUTED_VALUE"""),"")</f>
        <v/>
      </c>
      <c r="CD4" s="49" t="str">
        <f>IFERROR(__xludf.DUMMYFUNCTION("""COMPUTED_VALUE"""),"")</f>
        <v/>
      </c>
      <c r="CE4" s="49" t="str">
        <f>IFERROR(__xludf.DUMMYFUNCTION("""COMPUTED_VALUE"""),"")</f>
        <v/>
      </c>
      <c r="CF4" s="49" t="str">
        <f>IFERROR(__xludf.DUMMYFUNCTION("""COMPUTED_VALUE"""),"")</f>
        <v/>
      </c>
      <c r="CG4" s="49" t="str">
        <f>IFERROR(__xludf.DUMMYFUNCTION("""COMPUTED_VALUE"""),"")</f>
        <v/>
      </c>
      <c r="CH4" s="49" t="str">
        <f>IFERROR(__xludf.DUMMYFUNCTION("""COMPUTED_VALUE"""),"")</f>
        <v/>
      </c>
      <c r="CI4" s="49" t="str">
        <f>IFERROR(__xludf.DUMMYFUNCTION("""COMPUTED_VALUE"""),"")</f>
        <v/>
      </c>
      <c r="CJ4" s="49" t="str">
        <f>IFERROR(__xludf.DUMMYFUNCTION("""COMPUTED_VALUE"""),"")</f>
        <v/>
      </c>
      <c r="CK4" s="49" t="str">
        <f>IFERROR(__xludf.DUMMYFUNCTION("""COMPUTED_VALUE"""),"")</f>
        <v/>
      </c>
      <c r="CL4" s="49" t="str">
        <f>IFERROR(__xludf.DUMMYFUNCTION("""COMPUTED_VALUE"""),"")</f>
        <v/>
      </c>
      <c r="CM4" s="49" t="str">
        <f>IFERROR(__xludf.DUMMYFUNCTION("""COMPUTED_VALUE"""),"")</f>
        <v/>
      </c>
      <c r="CN4" s="49" t="str">
        <f>IFERROR(__xludf.DUMMYFUNCTION("""COMPUTED_VALUE"""),"")</f>
        <v/>
      </c>
      <c r="CO4" s="49" t="str">
        <f>IFERROR(__xludf.DUMMYFUNCTION("""COMPUTED_VALUE"""),"")</f>
        <v/>
      </c>
      <c r="CP4" s="49" t="str">
        <f>IFERROR(__xludf.DUMMYFUNCTION("""COMPUTED_VALUE"""),"")</f>
        <v/>
      </c>
      <c r="CQ4" s="49" t="str">
        <f>IFERROR(__xludf.DUMMYFUNCTION("""COMPUTED_VALUE"""),"")</f>
        <v/>
      </c>
      <c r="CR4" s="49" t="str">
        <f>IFERROR(__xludf.DUMMYFUNCTION("""COMPUTED_VALUE"""),"")</f>
        <v/>
      </c>
      <c r="CS4" s="49" t="str">
        <f>IFERROR(__xludf.DUMMYFUNCTION("""COMPUTED_VALUE"""),"")</f>
        <v/>
      </c>
      <c r="CT4" s="49" t="str">
        <f>IFERROR(__xludf.DUMMYFUNCTION("""COMPUTED_VALUE"""),"")</f>
        <v/>
      </c>
      <c r="CU4" s="49" t="str">
        <f>IFERROR(__xludf.DUMMYFUNCTION("""COMPUTED_VALUE"""),"")</f>
        <v/>
      </c>
      <c r="CV4" s="49" t="str">
        <f>IFERROR(__xludf.DUMMYFUNCTION("""COMPUTED_VALUE"""),"")</f>
        <v/>
      </c>
      <c r="CW4" s="49" t="str">
        <f>IFERROR(__xludf.DUMMYFUNCTION("""COMPUTED_VALUE"""),"")</f>
        <v/>
      </c>
      <c r="CX4" s="49" t="str">
        <f>IFERROR(__xludf.DUMMYFUNCTION("""COMPUTED_VALUE"""),"")</f>
        <v/>
      </c>
      <c r="CY4" s="49" t="str">
        <f>IFERROR(__xludf.DUMMYFUNCTION("""COMPUTED_VALUE"""),"")</f>
        <v/>
      </c>
      <c r="CZ4" s="49" t="str">
        <f>IFERROR(__xludf.DUMMYFUNCTION("""COMPUTED_VALUE"""),"")</f>
        <v/>
      </c>
      <c r="DA4" s="49" t="str">
        <f>IFERROR(__xludf.DUMMYFUNCTION("""COMPUTED_VALUE"""),"")</f>
        <v/>
      </c>
      <c r="DB4" s="49" t="str">
        <f>IFERROR(__xludf.DUMMYFUNCTION("""COMPUTED_VALUE"""),"")</f>
        <v/>
      </c>
      <c r="DC4" s="49" t="str">
        <f>IFERROR(__xludf.DUMMYFUNCTION("""COMPUTED_VALUE"""),"")</f>
        <v/>
      </c>
      <c r="DD4" s="49" t="str">
        <f>IFERROR(__xludf.DUMMYFUNCTION("""COMPUTED_VALUE"""),"")</f>
        <v/>
      </c>
      <c r="DE4" s="49" t="str">
        <f>IFERROR(__xludf.DUMMYFUNCTION("""COMPUTED_VALUE"""),"")</f>
        <v/>
      </c>
      <c r="DF4" s="49" t="str">
        <f>IFERROR(__xludf.DUMMYFUNCTION("""COMPUTED_VALUE"""),"")</f>
        <v/>
      </c>
      <c r="DG4" s="49" t="str">
        <f>IFERROR(__xludf.DUMMYFUNCTION("""COMPUTED_VALUE"""),"")</f>
        <v/>
      </c>
      <c r="DH4" s="49" t="str">
        <f>IFERROR(__xludf.DUMMYFUNCTION("""COMPUTED_VALUE"""),"")</f>
        <v/>
      </c>
      <c r="DI4" s="49" t="str">
        <f>IFERROR(__xludf.DUMMYFUNCTION("""COMPUTED_VALUE"""),"")</f>
        <v/>
      </c>
      <c r="DJ4" s="49" t="str">
        <f>IFERROR(__xludf.DUMMYFUNCTION("""COMPUTED_VALUE"""),"")</f>
        <v/>
      </c>
      <c r="DK4" s="49" t="str">
        <f>IFERROR(__xludf.DUMMYFUNCTION("""COMPUTED_VALUE"""),"")</f>
        <v/>
      </c>
      <c r="DL4" s="49" t="str">
        <f>IFERROR(__xludf.DUMMYFUNCTION("""COMPUTED_VALUE"""),"")</f>
        <v/>
      </c>
      <c r="DM4" s="49" t="str">
        <f>IFERROR(__xludf.DUMMYFUNCTION("""COMPUTED_VALUE"""),"")</f>
        <v/>
      </c>
      <c r="DN4" s="49" t="str">
        <f>IFERROR(__xludf.DUMMYFUNCTION("""COMPUTED_VALUE"""),"")</f>
        <v/>
      </c>
      <c r="DO4" s="49" t="str">
        <f>IFERROR(__xludf.DUMMYFUNCTION("""COMPUTED_VALUE"""),"")</f>
        <v/>
      </c>
      <c r="DP4" s="49" t="str">
        <f>IFERROR(__xludf.DUMMYFUNCTION("""COMPUTED_VALUE"""),"")</f>
        <v/>
      </c>
      <c r="DQ4" s="49" t="str">
        <f>IFERROR(__xludf.DUMMYFUNCTION("""COMPUTED_VALUE"""),"")</f>
        <v/>
      </c>
      <c r="DR4" s="49" t="str">
        <f>IFERROR(__xludf.DUMMYFUNCTION("""COMPUTED_VALUE"""),"")</f>
        <v/>
      </c>
      <c r="DS4" s="49" t="str">
        <f>IFERROR(__xludf.DUMMYFUNCTION("""COMPUTED_VALUE"""),"")</f>
        <v/>
      </c>
      <c r="DT4" s="49" t="str">
        <f>IFERROR(__xludf.DUMMYFUNCTION("""COMPUTED_VALUE"""),"")</f>
        <v/>
      </c>
      <c r="DU4" s="49" t="str">
        <f>IFERROR(__xludf.DUMMYFUNCTION("""COMPUTED_VALUE"""),"")</f>
        <v/>
      </c>
      <c r="DV4" s="49" t="str">
        <f>IFERROR(__xludf.DUMMYFUNCTION("""COMPUTED_VALUE"""),"")</f>
        <v/>
      </c>
      <c r="DW4" s="49" t="str">
        <f>IFERROR(__xludf.DUMMYFUNCTION("""COMPUTED_VALUE"""),"")</f>
        <v/>
      </c>
      <c r="DX4" s="49" t="str">
        <f>IFERROR(__xludf.DUMMYFUNCTION("""COMPUTED_VALUE"""),"")</f>
        <v/>
      </c>
      <c r="DY4" s="49" t="str">
        <f>IFERROR(__xludf.DUMMYFUNCTION("""COMPUTED_VALUE"""),"")</f>
        <v/>
      </c>
      <c r="DZ4" s="49" t="str">
        <f>IFERROR(__xludf.DUMMYFUNCTION("""COMPUTED_VALUE"""),"")</f>
        <v/>
      </c>
      <c r="EA4" s="49" t="str">
        <f>IFERROR(__xludf.DUMMYFUNCTION("""COMPUTED_VALUE"""),"")</f>
        <v/>
      </c>
      <c r="EB4" s="49" t="str">
        <f>IFERROR(__xludf.DUMMYFUNCTION("""COMPUTED_VALUE"""),"")</f>
        <v/>
      </c>
      <c r="EC4" s="49" t="str">
        <f>IFERROR(__xludf.DUMMYFUNCTION("""COMPUTED_VALUE"""),"")</f>
        <v/>
      </c>
      <c r="ED4" s="49" t="str">
        <f>IFERROR(__xludf.DUMMYFUNCTION("""COMPUTED_VALUE"""),"")</f>
        <v/>
      </c>
      <c r="EE4" s="49" t="str">
        <f>IFERROR(__xludf.DUMMYFUNCTION("""COMPUTED_VALUE"""),"")</f>
        <v/>
      </c>
      <c r="EF4" s="49" t="str">
        <f>IFERROR(__xludf.DUMMYFUNCTION("""COMPUTED_VALUE"""),"")</f>
        <v/>
      </c>
      <c r="EG4" s="49" t="str">
        <f>IFERROR(__xludf.DUMMYFUNCTION("""COMPUTED_VALUE"""),"")</f>
        <v/>
      </c>
      <c r="EH4" s="49" t="str">
        <f>IFERROR(__xludf.DUMMYFUNCTION("""COMPUTED_VALUE"""),"")</f>
        <v/>
      </c>
      <c r="EI4" s="49" t="str">
        <f>IFERROR(__xludf.DUMMYFUNCTION("""COMPUTED_VALUE"""),"")</f>
        <v/>
      </c>
      <c r="EJ4" s="49" t="str">
        <f>IFERROR(__xludf.DUMMYFUNCTION("""COMPUTED_VALUE"""),"")</f>
        <v/>
      </c>
      <c r="EK4" s="49" t="str">
        <f>IFERROR(__xludf.DUMMYFUNCTION("""COMPUTED_VALUE"""),"")</f>
        <v/>
      </c>
      <c r="EL4" s="49" t="str">
        <f>IFERROR(__xludf.DUMMYFUNCTION("""COMPUTED_VALUE"""),"")</f>
        <v/>
      </c>
      <c r="EM4" s="49" t="str">
        <f>IFERROR(__xludf.DUMMYFUNCTION("""COMPUTED_VALUE"""),"")</f>
        <v/>
      </c>
      <c r="EN4" s="49" t="str">
        <f>IFERROR(__xludf.DUMMYFUNCTION("""COMPUTED_VALUE"""),"")</f>
        <v/>
      </c>
      <c r="EO4" s="49" t="str">
        <f>IFERROR(__xludf.DUMMYFUNCTION("""COMPUTED_VALUE"""),"")</f>
        <v/>
      </c>
      <c r="EP4" s="49" t="str">
        <f>IFERROR(__xludf.DUMMYFUNCTION("""COMPUTED_VALUE"""),"")</f>
        <v/>
      </c>
      <c r="EQ4" s="49" t="str">
        <f>IFERROR(__xludf.DUMMYFUNCTION("""COMPUTED_VALUE"""),"")</f>
        <v/>
      </c>
      <c r="ER4" s="49" t="str">
        <f>IFERROR(__xludf.DUMMYFUNCTION("""COMPUTED_VALUE"""),"")</f>
        <v/>
      </c>
      <c r="ES4" s="49" t="str">
        <f>IFERROR(__xludf.DUMMYFUNCTION("""COMPUTED_VALUE"""),"")</f>
        <v/>
      </c>
      <c r="ET4" s="49" t="str">
        <f>IFERROR(__xludf.DUMMYFUNCTION("""COMPUTED_VALUE"""),"")</f>
        <v/>
      </c>
      <c r="EU4" s="49" t="str">
        <f>IFERROR(__xludf.DUMMYFUNCTION("""COMPUTED_VALUE"""),"")</f>
        <v/>
      </c>
      <c r="EV4" s="49" t="str">
        <f>IFERROR(__xludf.DUMMYFUNCTION("""COMPUTED_VALUE"""),"")</f>
        <v/>
      </c>
      <c r="EW4" s="49" t="str">
        <f>IFERROR(__xludf.DUMMYFUNCTION("""COMPUTED_VALUE"""),"")</f>
        <v/>
      </c>
      <c r="EX4" s="49" t="str">
        <f>IFERROR(__xludf.DUMMYFUNCTION("""COMPUTED_VALUE"""),"")</f>
        <v/>
      </c>
      <c r="EY4" s="49" t="str">
        <f>IFERROR(__xludf.DUMMYFUNCTION("""COMPUTED_VALUE"""),"")</f>
        <v/>
      </c>
      <c r="EZ4" s="49" t="str">
        <f>IFERROR(__xludf.DUMMYFUNCTION("""COMPUTED_VALUE"""),"")</f>
        <v/>
      </c>
      <c r="FA4" s="49" t="str">
        <f>IFERROR(__xludf.DUMMYFUNCTION("""COMPUTED_VALUE"""),"")</f>
        <v/>
      </c>
      <c r="FB4" s="49" t="str">
        <f>IFERROR(__xludf.DUMMYFUNCTION("""COMPUTED_VALUE"""),"")</f>
        <v/>
      </c>
      <c r="FC4" s="49" t="str">
        <f>IFERROR(__xludf.DUMMYFUNCTION("""COMPUTED_VALUE"""),"")</f>
        <v/>
      </c>
      <c r="FD4" s="49" t="str">
        <f>IFERROR(__xludf.DUMMYFUNCTION("""COMPUTED_VALUE"""),"")</f>
        <v/>
      </c>
      <c r="FE4" s="49" t="str">
        <f>IFERROR(__xludf.DUMMYFUNCTION("""COMPUTED_VALUE"""),"")</f>
        <v/>
      </c>
      <c r="FF4" s="49" t="str">
        <f>IFERROR(__xludf.DUMMYFUNCTION("""COMPUTED_VALUE"""),"")</f>
        <v/>
      </c>
      <c r="FG4" s="49" t="str">
        <f>IFERROR(__xludf.DUMMYFUNCTION("""COMPUTED_VALUE"""),"")</f>
        <v/>
      </c>
      <c r="FH4" s="49" t="str">
        <f>IFERROR(__xludf.DUMMYFUNCTION("""COMPUTED_VALUE"""),"")</f>
        <v/>
      </c>
      <c r="FI4" s="49" t="str">
        <f>IFERROR(__xludf.DUMMYFUNCTION("""COMPUTED_VALUE"""),"")</f>
        <v/>
      </c>
      <c r="FJ4" s="49" t="str">
        <f>IFERROR(__xludf.DUMMYFUNCTION("""COMPUTED_VALUE"""),"")</f>
        <v/>
      </c>
    </row>
    <row r="5" ht="15.75" customHeight="1">
      <c r="A5" s="50" t="str">
        <f>IFERROR(__xludf.DUMMYFUNCTION("TRANSPOSE(IMPORTRANGE(VLOOKUP($E$3,IMPORTRANGE('_Settings'!$B$3,$C$3&amp;""!A4:B1000""),2,FALSE),$G$3&amp;""!A4:A1000""))"),"")</f>
        <v/>
      </c>
      <c r="B5" s="51" t="str">
        <f>IFERROR(__xludf.DUMMYFUNCTION("""COMPUTED_VALUE"""),"Trade Date")</f>
        <v>Trade Date</v>
      </c>
      <c r="C5" s="51" t="str">
        <f>IFERROR(__xludf.DUMMYFUNCTION("""COMPUTED_VALUE"""),"Symbol")</f>
        <v>Symbol</v>
      </c>
      <c r="D5" s="51" t="str">
        <f>IFERROR(__xludf.DUMMYFUNCTION("""COMPUTED_VALUE"""),"Position")</f>
        <v>Position</v>
      </c>
      <c r="E5" s="51" t="str">
        <f>IFERROR(__xludf.DUMMYFUNCTION("""COMPUTED_VALUE"""),"Account")</f>
        <v>Account</v>
      </c>
      <c r="F5" s="52" t="str">
        <f>IFERROR(__xludf.DUMMYFUNCTION("""COMPUTED_VALUE"""),"MasterFund")</f>
        <v>MasterFund</v>
      </c>
      <c r="G5" s="51" t="str">
        <f>IFERROR(__xludf.DUMMYFUNCTION("""COMPUTED_VALUE"""),"Cost Basis")</f>
        <v>Cost Basis</v>
      </c>
      <c r="H5" s="51" t="str">
        <f>IFERROR(__xludf.DUMMYFUNCTION("""COMPUTED_VALUE"""),"Position Side")</f>
        <v>Position Side</v>
      </c>
      <c r="I5" s="51" t="str">
        <f>IFERROR(__xludf.DUMMYFUNCTION("""COMPUTED_VALUE"""),"Market Value (Base)")</f>
        <v>Market Value (Base)</v>
      </c>
      <c r="J5" s="51" t="str">
        <f>IFERROR(__xludf.DUMMYFUNCTION("""COMPUTED_VALUE"""),"% Day P&amp;L (Gross MV)")</f>
        <v>% Day P&amp;L (Gross MV)</v>
      </c>
      <c r="K5" s="51" t="str">
        <f>IFERROR(__xludf.DUMMYFUNCTION("""COMPUTED_VALUE"""),"Net Exposure (Base)")</f>
        <v>Net Exposure (Base)</v>
      </c>
      <c r="L5" s="51" t="str">
        <f>IFERROR(__xludf.DUMMYFUNCTION("""COMPUTED_VALUE"""),"Beta Adj. Gross Exposure (Base)")</f>
        <v>Beta Adj. Gross Exposure (Base)</v>
      </c>
      <c r="M5" s="51" t="str">
        <f>IFERROR(__xludf.DUMMYFUNCTION("""COMPUTED_VALUE"""),"Beta Adj. Gross Exposure (Underlying) (Base)")</f>
        <v>Beta Adj. Gross Exposure (Underlying) (Base)</v>
      </c>
      <c r="N5" s="51" t="str">
        <f>IFERROR(__xludf.DUMMYFUNCTION("""COMPUTED_VALUE"""),"Day P&amp;L (Base)")</f>
        <v>Day P&amp;L (Base)</v>
      </c>
      <c r="O5" s="51" t="str">
        <f>IFERROR(__xludf.DUMMYFUNCTION("""COMPUTED_VALUE"""),"Security Name")</f>
        <v>Security Name</v>
      </c>
      <c r="P5" s="51" t="str">
        <f>IFERROR(__xludf.DUMMYFUNCTION("""COMPUTED_VALUE"""),"Closing Mark")</f>
        <v>Closing Mark</v>
      </c>
      <c r="Q5" s="51" t="str">
        <f>IFERROR(__xludf.DUMMYFUNCTION("""COMPUTED_VALUE"""),"Cost Basis P&amp;L (Base)")</f>
        <v>Cost Basis P&amp;L (Base)</v>
      </c>
      <c r="R5" s="51" t="str">
        <f>IFERROR(__xludf.DUMMYFUNCTION("""COMPUTED_VALUE"""),"Prime Broker")</f>
        <v>Prime Broker</v>
      </c>
      <c r="S5" s="51" t="str">
        <f>IFERROR(__xludf.DUMMYFUNCTION("""COMPUTED_VALUE"""),"Strategy")</f>
        <v>Strategy</v>
      </c>
      <c r="T5" s="53" t="str">
        <f>IFERROR(__xludf.DUMMYFUNCTION("""COMPUTED_VALUE"""),"Asset Class")</f>
        <v>Asset Class</v>
      </c>
      <c r="U5" s="53" t="str">
        <f>IFERROR(__xludf.DUMMYFUNCTION("""COMPUTED_VALUE"""),"Underlying")</f>
        <v>Underlying</v>
      </c>
      <c r="V5" s="53" t="str">
        <f>IFERROR(__xludf.DUMMYFUNCTION("""COMPUTED_VALUE"""),"Exchange")</f>
        <v>Exchange</v>
      </c>
      <c r="W5" s="53" t="str">
        <f>IFERROR(__xludf.DUMMYFUNCTION("""COMPUTED_VALUE"""),"Trade Currency")</f>
        <v>Trade Currency</v>
      </c>
      <c r="X5" s="53" t="str">
        <f>IFERROR(__xludf.DUMMYFUNCTION("""COMPUTED_VALUE"""),"Multiplier")</f>
        <v>Multiplier</v>
      </c>
      <c r="Y5" s="53" t="str">
        <f>IFERROR(__xludf.DUMMYFUNCTION("""COMPUTED_VALUE"""),"FX Rate")</f>
        <v>FX Rate</v>
      </c>
      <c r="Z5" s="53" t="str">
        <f>IFERROR(__xludf.DUMMYFUNCTION("""COMPUTED_VALUE"""),"Vs Currency")</f>
        <v>Vs Currency</v>
      </c>
      <c r="AA5" s="53" t="str">
        <f>IFERROR(__xludf.DUMMYFUNCTION("""COMPUTED_VALUE"""),"Lead Currency")</f>
        <v>Lead Currency</v>
      </c>
      <c r="AB5" s="53" t="str">
        <f>IFERROR(__xludf.DUMMYFUNCTION("""COMPUTED_VALUE"""),"Dividend Yield (%)")</f>
        <v>Dividend Yield (%)</v>
      </c>
      <c r="AC5" s="53" t="str">
        <f>IFERROR(__xludf.DUMMYFUNCTION("""COMPUTED_VALUE"""),"% Change")</f>
        <v>% Change</v>
      </c>
      <c r="AD5" s="53" t="str">
        <f>IFERROR(__xludf.DUMMYFUNCTION("""COMPUTED_VALUE"""),"Net Exposure (Local)")</f>
        <v>Net Exposure (Local)</v>
      </c>
      <c r="AE5" s="53" t="str">
        <f>IFERROR(__xludf.DUMMYFUNCTION("""COMPUTED_VALUE"""),"Exposure (Local)")</f>
        <v>Exposure (Local)</v>
      </c>
      <c r="AF5" s="53" t="str">
        <f>IFERROR(__xludf.DUMMYFUNCTION("""COMPUTED_VALUE"""),"Delta Adj. Position")</f>
        <v>Delta Adj. Position</v>
      </c>
      <c r="AG5" s="53" t="str">
        <f>IFERROR(__xludf.DUMMYFUNCTION("""COMPUTED_VALUE"""),"Exposure (Base)")</f>
        <v>Exposure (Base)</v>
      </c>
      <c r="AH5" s="53" t="str">
        <f>IFERROR(__xludf.DUMMYFUNCTION("""COMPUTED_VALUE"""),"Beta Adj. Exposure (Local)")</f>
        <v>Beta Adj. Exposure (Local)</v>
      </c>
      <c r="AI5" s="53" t="str">
        <f>IFERROR(__xludf.DUMMYFUNCTION("""COMPUTED_VALUE"""),"Beta Adj. Exposure (Base)")</f>
        <v>Beta Adj. Exposure (Base)</v>
      </c>
      <c r="AJ5" s="53" t="str">
        <f>IFERROR(__xludf.DUMMYFUNCTION("""COMPUTED_VALUE"""),"Exposure (BP)(Base)")</f>
        <v>Exposure (BP)(Base)</v>
      </c>
      <c r="AK5" s="53" t="str">
        <f>IFERROR(__xludf.DUMMYFUNCTION("""COMPUTED_VALUE"""),"Day P&amp;L (Local)")</f>
        <v>Day P&amp;L (Local)</v>
      </c>
      <c r="AL5" s="53" t="str">
        <f>IFERROR(__xludf.DUMMYFUNCTION("""COMPUTED_VALUE"""),"Delta")</f>
        <v>Delta</v>
      </c>
      <c r="AM5" s="53" t="str">
        <f>IFERROR(__xludf.DUMMYFUNCTION("""COMPUTED_VALUE"""),"Leveraged Factor")</f>
        <v>Leveraged Factor</v>
      </c>
      <c r="AN5" s="53" t="str">
        <f>IFERROR(__xludf.DUMMYFUNCTION("""COMPUTED_VALUE"""),"Order Side")</f>
        <v>Order Side</v>
      </c>
      <c r="AO5" s="53" t="str">
        <f>IFERROR(__xludf.DUMMYFUNCTION("""COMPUTED_VALUE"""),"Master Strategy")</f>
        <v>Master Strategy</v>
      </c>
      <c r="AP5" s="53" t="str">
        <f>IFERROR(__xludf.DUMMYFUNCTION("""COMPUTED_VALUE"""),"Transaction Side")</f>
        <v>Transaction Side</v>
      </c>
      <c r="AQ5" s="53" t="str">
        <f>IFERROR(__xludf.DUMMYFUNCTION("""COMPUTED_VALUE"""),"Underlying Symbol")</f>
        <v>Underlying Symbol</v>
      </c>
      <c r="AR5" s="53" t="str">
        <f>IFERROR(__xludf.DUMMYFUNCTION("""COMPUTED_VALUE"""),"Underlying Price")</f>
        <v>Underlying Price</v>
      </c>
      <c r="AS5" s="53" t="str">
        <f>IFERROR(__xludf.DUMMYFUNCTION("""COMPUTED_VALUE"""),"Side Multiplier")</f>
        <v>Side Multiplier</v>
      </c>
      <c r="AT5" s="53" t="str">
        <f>IFERROR(__xludf.DUMMYFUNCTION("""COMPUTED_VALUE"""),"Description")</f>
        <v>Description</v>
      </c>
      <c r="AU5" s="53" t="str">
        <f>IFERROR(__xludf.DUMMYFUNCTION("""COMPUTED_VALUE"""),"Internal Comments")</f>
        <v>Internal Comments</v>
      </c>
      <c r="AV5" s="53" t="str">
        <f>IFERROR(__xludf.DUMMYFUNCTION("""COMPUTED_VALUE"""),"FX Rate On Trade Date")</f>
        <v>FX Rate On Trade Date</v>
      </c>
      <c r="AW5" s="53" t="str">
        <f>IFERROR(__xludf.DUMMYFUNCTION("""COMPUTED_VALUE"""),"Cost Basis P&amp;L (Local)")</f>
        <v>Cost Basis P&amp;L (Local)</v>
      </c>
      <c r="AX5" s="53" t="str">
        <f>IFERROR(__xludf.DUMMYFUNCTION("""COMPUTED_VALUE"""),"Day Interest")</f>
        <v>Day Interest</v>
      </c>
      <c r="AY5" s="53" t="str">
        <f>IFERROR(__xludf.DUMMYFUNCTION("""COMPUTED_VALUE"""),"Total Interest")</f>
        <v>Total Interest</v>
      </c>
      <c r="AZ5" s="53" t="str">
        <f>IFERROR(__xludf.DUMMYFUNCTION("""COMPUTED_VALUE"""),"Market Value (Local)")</f>
        <v>Market Value (Local)</v>
      </c>
      <c r="BA5" s="53" t="str">
        <f>IFERROR(__xludf.DUMMYFUNCTION("""COMPUTED_VALUE"""),"% Gain/Loss Day")</f>
        <v>% Gain/Loss Day</v>
      </c>
      <c r="BB5" s="53" t="str">
        <f>IFERROR(__xludf.DUMMYFUNCTION("""COMPUTED_VALUE"""),"Update Time (Last Price)")</f>
        <v>Update Time (Last Price)</v>
      </c>
      <c r="BC5" s="53" t="str">
        <f>IFERROR(__xludf.DUMMYFUNCTION("""COMPUTED_VALUE"""),"Beta")</f>
        <v>Beta</v>
      </c>
      <c r="BD5" s="53" t="str">
        <f>IFERROR(__xludf.DUMMYFUNCTION("""COMPUTED_VALUE"""),"Cash Impact (Local)")</f>
        <v>Cash Impact (Local)</v>
      </c>
      <c r="BE5" s="53" t="str">
        <f>IFERROR(__xludf.DUMMYFUNCTION("""COMPUTED_VALUE"""),"User Asset")</f>
        <v>User Asset</v>
      </c>
      <c r="BF5" s="53" t="str">
        <f>IFERROR(__xludf.DUMMYFUNCTION("""COMPUTED_VALUE"""),"Security Type")</f>
        <v>Security Type</v>
      </c>
      <c r="BG5" s="53" t="str">
        <f>IFERROR(__xludf.DUMMYFUNCTION("""COMPUTED_VALUE"""),"Sector")</f>
        <v>Sector</v>
      </c>
      <c r="BH5" s="53" t="str">
        <f>IFERROR(__xludf.DUMMYFUNCTION("""COMPUTED_VALUE"""),"Sub Sector")</f>
        <v>Sub Sector</v>
      </c>
      <c r="BI5" s="53" t="str">
        <f>IFERROR(__xludf.DUMMYFUNCTION("""COMPUTED_VALUE"""),"Country")</f>
        <v>Country</v>
      </c>
      <c r="BJ5" s="53" t="str">
        <f>IFERROR(__xludf.DUMMYFUNCTION("""COMPUTED_VALUE"""),"Market Cap")</f>
        <v>Market Cap</v>
      </c>
      <c r="BK5" s="53" t="str">
        <f>IFERROR(__xludf.DUMMYFUNCTION("""COMPUTED_VALUE"""),"Shares Outstanding")</f>
        <v>Shares Outstanding</v>
      </c>
      <c r="BL5" s="53" t="str">
        <f>IFERROR(__xludf.DUMMYFUNCTION("""COMPUTED_VALUE"""),"Avg Volume 20 Day")</f>
        <v>Avg Volume 20 Day</v>
      </c>
      <c r="BM5" s="53" t="str">
        <f>IFERROR(__xludf.DUMMYFUNCTION("""COMPUTED_VALUE"""),"% Avg Volume (Delta Adj.)")</f>
        <v>% Avg Volume (Delta Adj.)</v>
      </c>
      <c r="BN5" s="53" t="str">
        <f>IFERROR(__xludf.DUMMYFUNCTION("""COMPUTED_VALUE"""),"Ex Dividend Date")</f>
        <v>Ex Dividend Date</v>
      </c>
      <c r="BO5" s="53" t="str">
        <f>IFERROR(__xludf.DUMMYFUNCTION("""COMPUTED_VALUE"""),"Cash Impact (Base)")</f>
        <v>Cash Impact (Base)</v>
      </c>
      <c r="BP5" s="53" t="str">
        <f>IFERROR(__xludf.DUMMYFUNCTION("""COMPUTED_VALUE"""),"Volatility (%)")</f>
        <v>Volatility (%)</v>
      </c>
      <c r="BQ5" s="53" t="str">
        <f>IFERROR(__xludf.DUMMYFUNCTION("""COMPUTED_VALUE"""),"User")</f>
        <v>User</v>
      </c>
      <c r="BR5" s="53" t="str">
        <f>IFERROR(__xludf.DUMMYFUNCTION("""COMPUTED_VALUE"""),"Broker")</f>
        <v>Broker</v>
      </c>
      <c r="BS5" s="53" t="str">
        <f>IFERROR(__xludf.DUMMYFUNCTION("""COMPUTED_VALUE"""),"Earned Dividend (Local)")</f>
        <v>Earned Dividend (Local)</v>
      </c>
      <c r="BT5" s="53" t="str">
        <f>IFERROR(__xludf.DUMMYFUNCTION("""COMPUTED_VALUE"""),"Earned Dividend (Base)")</f>
        <v>Earned Dividend (Base)</v>
      </c>
      <c r="BU5" s="53" t="str">
        <f>IFERROR(__xludf.DUMMYFUNCTION("""COMPUTED_VALUE"""),"Put/Call")</f>
        <v>Put/Call</v>
      </c>
      <c r="BV5" s="53" t="str">
        <f>IFERROR(__xludf.DUMMYFUNCTION("""COMPUTED_VALUE"""),"Expiration Date")</f>
        <v>Expiration Date</v>
      </c>
      <c r="BW5" s="53" t="str">
        <f>IFERROR(__xludf.DUMMYFUNCTION("""COMPUTED_VALUE"""),"Strike Price")</f>
        <v>Strike Price</v>
      </c>
      <c r="BX5" s="53" t="str">
        <f>IFERROR(__xludf.DUMMYFUNCTION("""COMPUTED_VALUE"""),"Gross Exposure (Base)")</f>
        <v>Gross Exposure (Base)</v>
      </c>
      <c r="BY5" s="53" t="str">
        <f>IFERROR(__xludf.DUMMYFUNCTION("""COMPUTED_VALUE"""),"Gross Market Value (Base)")</f>
        <v>Gross Market Value (Base)</v>
      </c>
      <c r="BZ5" s="53" t="str">
        <f>IFERROR(__xludf.DUMMYFUNCTION("""COMPUTED_VALUE"""),"Px Selected Feed (Local)")</f>
        <v>Px Selected Feed (Local)</v>
      </c>
      <c r="CA5" s="53" t="str">
        <f>IFERROR(__xludf.DUMMYFUNCTION("""COMPUTED_VALUE"""),"Px Selected Feed (Base)")</f>
        <v>Px Selected Feed (Base)</v>
      </c>
      <c r="CB5" s="53" t="str">
        <f>IFERROR(__xludf.DUMMYFUNCTION("""COMPUTED_VALUE"""),"Settlement Date")</f>
        <v>Settlement Date</v>
      </c>
      <c r="CC5" s="53" t="str">
        <f>IFERROR(__xludf.DUMMYFUNCTION("""COMPUTED_VALUE"""),"% Avg Volume")</f>
        <v>% Avg Volume</v>
      </c>
      <c r="CD5" s="53" t="str">
        <f>IFERROR(__xludf.DUMMYFUNCTION("""COMPUTED_VALUE"""),"Day P&amp;L (Base)(Price Gain)")</f>
        <v>Day P&amp;L (Base)(Price Gain)</v>
      </c>
      <c r="CE5" s="53" t="str">
        <f>IFERROR(__xludf.DUMMYFUNCTION("""COMPUTED_VALUE"""),"Day P&amp;L (Base)(FX Gain)")</f>
        <v>Day P&amp;L (Base)(FX Gain)</v>
      </c>
      <c r="CF5" s="53" t="str">
        <f>IFERROR(__xludf.DUMMYFUNCTION("""COMPUTED_VALUE"""),"Cost Basis P&amp;L (Base)(FX Gain)")</f>
        <v>Cost Basis P&amp;L (Base)(FX Gain)</v>
      </c>
      <c r="CG5" s="53" t="str">
        <f>IFERROR(__xludf.DUMMYFUNCTION("""COMPUTED_VALUE"""),"Cost Basis P&amp;L (Base)(Price Gain)")</f>
        <v>Cost Basis P&amp;L (Base)(Price Gain)</v>
      </c>
      <c r="CH5" s="53" t="str">
        <f>IFERROR(__xludf.DUMMYFUNCTION("""COMPUTED_VALUE"""),"% Gain/Loss Cost")</f>
        <v>% Gain/Loss Cost</v>
      </c>
      <c r="CI5" s="53" t="str">
        <f>IFERROR(__xludf.DUMMYFUNCTION("""COMPUTED_VALUE"""),"Underlying Value (Options)")</f>
        <v>Underlying Value (Options)</v>
      </c>
      <c r="CJ5" s="53" t="str">
        <f>IFERROR(__xludf.DUMMYFUNCTION("""COMPUTED_VALUE"""),"Avg Volume 20 Day (Underlying Symbol)")</f>
        <v>Avg Volume 20 Day (Underlying Symbol)</v>
      </c>
      <c r="CK5" s="53" t="str">
        <f>IFERROR(__xludf.DUMMYFUNCTION("""COMPUTED_VALUE"""),"IsStaleData")</f>
        <v>IsStaleData</v>
      </c>
      <c r="CL5" s="53" t="str">
        <f>IFERROR(__xludf.DUMMYFUNCTION("""COMPUTED_VALUE"""),"IDCO")</f>
        <v>IDCO</v>
      </c>
      <c r="CM5" s="53" t="str">
        <f>IFERROR(__xludf.DUMMYFUNCTION("""COMPUTED_VALUE"""),"OSI")</f>
        <v>OSI</v>
      </c>
      <c r="CN5" s="53" t="str">
        <f>IFERROR(__xludf.DUMMYFUNCTION("""COMPUTED_VALUE"""),"SEDOL")</f>
        <v>SEDOL</v>
      </c>
      <c r="CO5" s="53" t="str">
        <f>IFERROR(__xludf.DUMMYFUNCTION("""COMPUTED_VALUE"""),"CUSIP")</f>
        <v>CUSIP</v>
      </c>
      <c r="CP5" s="53" t="str">
        <f>IFERROR(__xludf.DUMMYFUNCTION("""COMPUTED_VALUE"""),"Bloomberg")</f>
        <v>Bloomberg</v>
      </c>
      <c r="CQ5" s="53" t="str">
        <f>IFERROR(__xludf.DUMMYFUNCTION("""COMPUTED_VALUE"""),"ISIN")</f>
        <v>ISIN</v>
      </c>
      <c r="CR5" s="53" t="str">
        <f>IFERROR(__xludf.DUMMYFUNCTION("""COMPUTED_VALUE"""),"Start Trade Date")</f>
        <v>Start Trade Date</v>
      </c>
      <c r="CS5" s="53" t="str">
        <f>IFERROR(__xludf.DUMMYFUNCTION("""COMPUTED_VALUE"""),"Cost Basis (Break Even)")</f>
        <v>Cost Basis (Break Even)</v>
      </c>
      <c r="CT5" s="53" t="str">
        <f>IFERROR(__xludf.DUMMYFUNCTION("""COMPUTED_VALUE"""),"Trade Attribute 3")</f>
        <v>Trade Attribute 3</v>
      </c>
      <c r="CU5" s="53" t="str">
        <f>IFERROR(__xludf.DUMMYFUNCTION("""COMPUTED_VALUE"""),"Trade Attribute 4")</f>
        <v>Trade Attribute 4</v>
      </c>
      <c r="CV5" s="53" t="str">
        <f>IFERROR(__xludf.DUMMYFUNCTION("""COMPUTED_VALUE"""),"Trade Attribute 5")</f>
        <v>Trade Attribute 5</v>
      </c>
      <c r="CW5" s="53" t="str">
        <f>IFERROR(__xludf.DUMMYFUNCTION("""COMPUTED_VALUE"""),"Trade Attribute 6")</f>
        <v>Trade Attribute 6</v>
      </c>
      <c r="CX5" s="53" t="str">
        <f>IFERROR(__xludf.DUMMYFUNCTION("""COMPUTED_VALUE"""),"Proxy Symbol")</f>
        <v>Proxy Symbol</v>
      </c>
      <c r="CY5" s="53" t="str">
        <f>IFERROR(__xludf.DUMMYFUNCTION("""COMPUTED_VALUE"""),"Pricing Source")</f>
        <v>Pricing Source</v>
      </c>
      <c r="CZ5" s="53" t="str">
        <f>IFERROR(__xludf.DUMMYFUNCTION("""COMPUTED_VALUE"""),"Delta Source")</f>
        <v>Delta Source</v>
      </c>
      <c r="DA5" s="53" t="str">
        <f>IFERROR(__xludf.DUMMYFUNCTION("""COMPUTED_VALUE"""),"Gross Exposure (Local)")</f>
        <v>Gross Exposure (Local)</v>
      </c>
      <c r="DB5" s="53" t="str">
        <f>IFERROR(__xludf.DUMMYFUNCTION("""COMPUTED_VALUE"""),"% Day P&amp;L (Net MV)")</f>
        <v>% Day P&amp;L (Net MV)</v>
      </c>
      <c r="DC5" s="53" t="str">
        <f>IFERROR(__xludf.DUMMYFUNCTION("""COMPUTED_VALUE"""),"Expiration Month")</f>
        <v>Expiration Month</v>
      </c>
      <c r="DD5" s="53" t="str">
        <f>IFERROR(__xludf.DUMMYFUNCTION("""COMPUTED_VALUE"""),"Delta Adj. Position (LME)")</f>
        <v>Delta Adj. Position (LME)</v>
      </c>
      <c r="DE5" s="53" t="str">
        <f>IFERROR(__xludf.DUMMYFUNCTION("""COMPUTED_VALUE"""),"Premium")</f>
        <v>Premium</v>
      </c>
      <c r="DF5" s="53" t="str">
        <f>IFERROR(__xludf.DUMMYFUNCTION("""COMPUTED_VALUE"""),"Premium $")</f>
        <v>Premium $</v>
      </c>
      <c r="DG5" s="53" t="str">
        <f>IFERROR(__xludf.DUMMYFUNCTION("""COMPUTED_VALUE"""),"Forward Points")</f>
        <v>Forward Points</v>
      </c>
      <c r="DH5" s="53" t="str">
        <f>IFERROR(__xludf.DUMMYFUNCTION("""COMPUTED_VALUE"""),"Closing Mark (Underlying)")</f>
        <v>Closing Mark (Underlying)</v>
      </c>
      <c r="DI5" s="53" t="str">
        <f>IFERROR(__xludf.DUMMYFUNCTION("""COMPUTED_VALUE"""),"% Change (Underlying Price)")</f>
        <v>% Change (Underlying Price)</v>
      </c>
      <c r="DJ5" s="53" t="str">
        <f>IFERROR(__xludf.DUMMYFUNCTION("""COMPUTED_VALUE"""),"Transaction Type")</f>
        <v>Transaction Type</v>
      </c>
      <c r="DK5" s="53" t="str">
        <f>IFERROR(__xludf.DUMMYFUNCTION("""COMPUTED_VALUE"""),"Closing Market Value (Local)")</f>
        <v>Closing Market Value (Local)</v>
      </c>
      <c r="DL5" s="53" t="str">
        <f>IFERROR(__xludf.DUMMYFUNCTION("""COMPUTED_VALUE"""),"Closing Market Value (Base)")</f>
        <v>Closing Market Value (Base)</v>
      </c>
      <c r="DM5" s="53" t="str">
        <f>IFERROR(__xludf.DUMMYFUNCTION("""COMPUTED_VALUE"""),"Closing FX Rate")</f>
        <v>Closing FX Rate</v>
      </c>
      <c r="DN5" s="53" t="str">
        <f>IFERROR(__xludf.DUMMYFUNCTION("""COMPUTED_VALUE"""),"Change In Underlying Price")</f>
        <v>Change In Underlying Price</v>
      </c>
      <c r="DO5" s="53" t="str">
        <f>IFERROR(__xludf.DUMMYFUNCTION("""COMPUTED_VALUE"""),"RIC")</f>
        <v>RIC</v>
      </c>
      <c r="DP5" s="53" t="str">
        <f>IFERROR(__xludf.DUMMYFUNCTION("""COMPUTED_VALUE"""),"Position Side Exposure (Boxed)")</f>
        <v>Position Side Exposure (Boxed)</v>
      </c>
      <c r="DQ5" s="53" t="str">
        <f>IFERROR(__xludf.DUMMYFUNCTION("""COMPUTED_VALUE"""),"Analyst")</f>
        <v>Analyst</v>
      </c>
      <c r="DR5" s="53" t="str">
        <f>IFERROR(__xludf.DUMMYFUNCTION("""COMPUTED_VALUE"""),"Country Of Risk")</f>
        <v>Country Of Risk</v>
      </c>
      <c r="DS5" s="53" t="str">
        <f>IFERROR(__xludf.DUMMYFUNCTION("""COMPUTED_VALUE"""),"Custom UDA1")</f>
        <v>Custom UDA1</v>
      </c>
      <c r="DT5" s="53" t="str">
        <f>IFERROR(__xludf.DUMMYFUNCTION("""COMPUTED_VALUE"""),"Custom UDA2")</f>
        <v>Custom UDA2</v>
      </c>
      <c r="DU5" s="53" t="str">
        <f>IFERROR(__xludf.DUMMYFUNCTION("""COMPUTED_VALUE"""),"Custom UDA3")</f>
        <v>Custom UDA3</v>
      </c>
      <c r="DV5" s="53" t="str">
        <f>IFERROR(__xludf.DUMMYFUNCTION("""COMPUTED_VALUE"""),"Custom UDA4")</f>
        <v>Custom UDA4</v>
      </c>
      <c r="DW5" s="53" t="str">
        <f>IFERROR(__xludf.DUMMYFUNCTION("""COMPUTED_VALUE"""),"Custom UDA5")</f>
        <v>Custom UDA5</v>
      </c>
      <c r="DX5" s="53" t="str">
        <f>IFERROR(__xludf.DUMMYFUNCTION("""COMPUTED_VALUE"""),"Custom UDA6")</f>
        <v>Custom UDA6</v>
      </c>
      <c r="DY5" s="53" t="str">
        <f>IFERROR(__xludf.DUMMYFUNCTION("""COMPUTED_VALUE"""),"Custom UDA7")</f>
        <v>Custom UDA7</v>
      </c>
      <c r="DZ5" s="53" t="str">
        <f>IFERROR(__xludf.DUMMYFUNCTION("""COMPUTED_VALUE"""),"Issuer")</f>
        <v>Issuer</v>
      </c>
      <c r="EA5" s="53" t="str">
        <f>IFERROR(__xludf.DUMMYFUNCTION("""COMPUTED_VALUE"""),"Liquid Tag")</f>
        <v>Liquid Tag</v>
      </c>
      <c r="EB5" s="53" t="str">
        <f>IFERROR(__xludf.DUMMYFUNCTION("""COMPUTED_VALUE"""),"Market Cap UDA")</f>
        <v>Market Cap UDA</v>
      </c>
      <c r="EC5" s="53" t="str">
        <f>IFERROR(__xludf.DUMMYFUNCTION("""COMPUTED_VALUE"""),"Region")</f>
        <v>Region</v>
      </c>
      <c r="ED5" s="53" t="str">
        <f>IFERROR(__xludf.DUMMYFUNCTION("""COMPUTED_VALUE"""),"Risk Currency")</f>
        <v>Risk Currency</v>
      </c>
      <c r="EE5" s="53" t="str">
        <f>IFERROR(__xludf.DUMMYFUNCTION("""COMPUTED_VALUE"""),"UCITS Eligible Tag")</f>
        <v>UCITS Eligible Tag</v>
      </c>
      <c r="EF5" s="53" t="str">
        <f>IFERROR(__xludf.DUMMYFUNCTION("""COMPUTED_VALUE"""),"FX Rate (Display)")</f>
        <v>FX Rate (Display)</v>
      </c>
      <c r="EG5" s="53" t="str">
        <f>IFERROR(__xludf.DUMMYFUNCTION("""COMPUTED_VALUE"""),"% Net Exposure (Base)")</f>
        <v>% Net Exposure (Base)</v>
      </c>
      <c r="EH5" s="53" t="str">
        <f>IFERROR(__xludf.DUMMYFUNCTION("""COMPUTED_VALUE"""),"% Gross Exposure (Base)")</f>
        <v>% Gross Exposure (Base)</v>
      </c>
      <c r="EI5" s="53" t="str">
        <f>IFERROR(__xludf.DUMMYFUNCTION("""COMPUTED_VALUE"""),"% Exposure (Base)")</f>
        <v>% Exposure (Base)</v>
      </c>
      <c r="EJ5" s="53" t="str">
        <f>IFERROR(__xludf.DUMMYFUNCTION("""COMPUTED_VALUE"""),"% Gross Exposure (Underlying) (Base)")</f>
        <v>% Gross Exposure (Underlying) (Base)</v>
      </c>
      <c r="EK5" s="53" t="str">
        <f>IFERROR(__xludf.DUMMYFUNCTION("""COMPUTED_VALUE"""),"% Beta Adj. Gross Exposure (Base)")</f>
        <v>% Beta Adj. Gross Exposure (Base)</v>
      </c>
      <c r="EL5" s="53" t="str">
        <f>IFERROR(__xludf.DUMMYFUNCTION("""COMPUTED_VALUE"""),"Position Side Exposure (Underlying)")</f>
        <v>Position Side Exposure (Underlying)</v>
      </c>
      <c r="EM5" s="53" t="str">
        <f>IFERROR(__xludf.DUMMYFUNCTION("""COMPUTED_VALUE"""),"Gross Exposure (Underlying) (Base)")</f>
        <v>Gross Exposure (Underlying) (Base)</v>
      </c>
      <c r="EN5" s="53" t="str">
        <f>IFERROR(__xludf.DUMMYFUNCTION("""COMPUTED_VALUE"""),"Gross Exposure (Underlying)")</f>
        <v>Gross Exposure (Underlying)</v>
      </c>
      <c r="EO5" s="53" t="str">
        <f>IFERROR(__xludf.DUMMYFUNCTION("""COMPUTED_VALUE"""),"Day Return")</f>
        <v>Day Return</v>
      </c>
      <c r="EP5" s="53" t="str">
        <f>IFERROR(__xludf.DUMMYFUNCTION("""COMPUTED_VALUE"""),"Start of Day NAV")</f>
        <v>Start of Day NAV</v>
      </c>
      <c r="EQ5" s="53" t="str">
        <f>IFERROR(__xludf.DUMMYFUNCTION("""COMPUTED_VALUE"""),"% Gross Market Value (Base)")</f>
        <v>% Gross Market Value (Base)</v>
      </c>
      <c r="ER5" s="53" t="str">
        <f>IFERROR(__xludf.DUMMYFUNCTION("""COMPUTED_VALUE"""),"Beta Adj. Gross Exposure (Underlying) (Local)")</f>
        <v>Beta Adj. Gross Exposure (Underlying) (Local)</v>
      </c>
      <c r="ES5" s="53" t="str">
        <f>IFERROR(__xludf.DUMMYFUNCTION("""COMPUTED_VALUE"""),"NAV")</f>
        <v>NAV</v>
      </c>
      <c r="ET5" s="53" t="str">
        <f>IFERROR(__xludf.DUMMYFUNCTION("""COMPUTED_VALUE"""),"% P&amp;L Contribution")</f>
        <v>% P&amp;L Contribution</v>
      </c>
      <c r="EU5" s="53" t="str">
        <f>IFERROR(__xludf.DUMMYFUNCTION("""COMPUTED_VALUE"""),"% Net Market Value (Base)")</f>
        <v>% Net Market Value (Base)</v>
      </c>
      <c r="EV5" s="53" t="str">
        <f>IFERROR(__xludf.DUMMYFUNCTION("""COMPUTED_VALUE"""),"Position Side Exposure")</f>
        <v>Position Side Exposure</v>
      </c>
      <c r="EW5" s="53" t="str">
        <f>IFERROR(__xludf.DUMMYFUNCTION("""COMPUTED_VALUE"""),"NAV (Touch)")</f>
        <v>NAV (Touch)</v>
      </c>
      <c r="EX5" s="53" t="str">
        <f>IFERROR(__xludf.DUMMYFUNCTION("""COMPUTED_VALUE"""),"IgnorePropertyChangeEvents")</f>
        <v>IgnorePropertyChangeEvents</v>
      </c>
      <c r="EY5" s="53" t="str">
        <f>IFERROR(__xludf.DUMMYFUNCTION("""COMPUTED_VALUE"""),"Trade Attribute 1")</f>
        <v>Trade Attribute 1</v>
      </c>
      <c r="EZ5" s="53" t="str">
        <f>IFERROR(__xludf.DUMMYFUNCTION("""COMPUTED_VALUE"""),"Trade Attribute 2")</f>
        <v>Trade Attribute 2</v>
      </c>
      <c r="FA5" s="53" t="str">
        <f>IFERROR(__xludf.DUMMYFUNCTION("""COMPUTED_VALUE"""),"")</f>
        <v/>
      </c>
      <c r="FB5" s="53" t="str">
        <f>IFERROR(__xludf.DUMMYFUNCTION("""COMPUTED_VALUE"""),"")</f>
        <v/>
      </c>
      <c r="FC5" s="53" t="str">
        <f>IFERROR(__xludf.DUMMYFUNCTION("""COMPUTED_VALUE"""),"")</f>
        <v/>
      </c>
      <c r="FD5" s="53" t="str">
        <f>IFERROR(__xludf.DUMMYFUNCTION("""COMPUTED_VALUE"""),"")</f>
        <v/>
      </c>
      <c r="FE5" s="53" t="str">
        <f>IFERROR(__xludf.DUMMYFUNCTION("""COMPUTED_VALUE"""),"")</f>
        <v/>
      </c>
      <c r="FF5" s="53" t="str">
        <f>IFERROR(__xludf.DUMMYFUNCTION("""COMPUTED_VALUE"""),"")</f>
        <v/>
      </c>
      <c r="FG5" s="53" t="str">
        <f>IFERROR(__xludf.DUMMYFUNCTION("""COMPUTED_VALUE"""),"")</f>
        <v/>
      </c>
      <c r="FH5" s="53" t="str">
        <f>IFERROR(__xludf.DUMMYFUNCTION("""COMPUTED_VALUE"""),"")</f>
        <v/>
      </c>
      <c r="FI5" s="53" t="str">
        <f>IFERROR(__xludf.DUMMYFUNCTION("""COMPUTED_VALUE"""),"")</f>
        <v/>
      </c>
      <c r="FJ5" s="53" t="str">
        <f>IFERROR(__xludf.DUMMYFUNCTION("""COMPUTED_VALUE"""),"")</f>
        <v/>
      </c>
    </row>
    <row r="6" ht="15.75" customHeight="1">
      <c r="A6" s="54"/>
      <c r="B6" s="54"/>
      <c r="C6" s="55" t="s">
        <v>19</v>
      </c>
      <c r="D6" s="56">
        <v>100.0</v>
      </c>
      <c r="E6" s="55" t="s">
        <v>24</v>
      </c>
      <c r="F6" s="55" t="s">
        <v>29</v>
      </c>
      <c r="G6" s="56">
        <v>20.0</v>
      </c>
      <c r="H6" s="55" t="s">
        <v>36</v>
      </c>
      <c r="I6" s="56">
        <v>210000.0</v>
      </c>
      <c r="J6" s="56">
        <v>0.0</v>
      </c>
      <c r="K6" s="56">
        <v>1990000.0</v>
      </c>
      <c r="L6" s="56">
        <v>1990000.0</v>
      </c>
      <c r="M6" s="56">
        <v>3980000.0</v>
      </c>
      <c r="N6" s="56">
        <v>0.0</v>
      </c>
      <c r="O6" s="55" t="s">
        <v>19</v>
      </c>
      <c r="P6" s="56">
        <v>21.0</v>
      </c>
      <c r="Q6" s="56">
        <v>10000.0</v>
      </c>
      <c r="R6" s="55" t="s">
        <v>37</v>
      </c>
      <c r="S6" s="55" t="s">
        <v>38</v>
      </c>
      <c r="T6" s="55" t="s">
        <v>39</v>
      </c>
      <c r="U6" s="55" t="s">
        <v>40</v>
      </c>
      <c r="V6" s="55" t="s">
        <v>41</v>
      </c>
      <c r="W6" s="55" t="s">
        <v>42</v>
      </c>
      <c r="X6" s="56">
        <v>100.0</v>
      </c>
      <c r="Y6" s="56">
        <v>1.0</v>
      </c>
      <c r="Z6" s="55" t="s">
        <v>43</v>
      </c>
      <c r="AA6" s="55" t="s">
        <v>43</v>
      </c>
      <c r="AB6" s="56">
        <v>0.0</v>
      </c>
      <c r="AC6" s="56">
        <v>0.0</v>
      </c>
      <c r="AD6" s="56">
        <v>1990000.0</v>
      </c>
      <c r="AE6" s="56">
        <v>1990000.0</v>
      </c>
      <c r="AF6" s="56">
        <v>10000.0</v>
      </c>
      <c r="AG6" s="56">
        <v>1990000.0</v>
      </c>
      <c r="AH6" s="56">
        <v>1990000.0</v>
      </c>
      <c r="AI6" s="56">
        <v>1990000.0</v>
      </c>
      <c r="AJ6" s="57">
        <v>-992518.7</v>
      </c>
      <c r="AK6" s="56">
        <v>0.0</v>
      </c>
      <c r="AL6" s="56">
        <v>1.0</v>
      </c>
      <c r="AM6" s="56">
        <v>1.0</v>
      </c>
      <c r="AN6" s="55" t="s">
        <v>44</v>
      </c>
      <c r="AO6" s="55" t="s">
        <v>43</v>
      </c>
      <c r="AP6" s="55" t="s">
        <v>36</v>
      </c>
      <c r="AQ6" s="55" t="s">
        <v>17</v>
      </c>
      <c r="AR6" s="56">
        <v>199.0</v>
      </c>
      <c r="AS6" s="56">
        <v>1.0</v>
      </c>
      <c r="AT6" s="55" t="s">
        <v>45</v>
      </c>
      <c r="AU6" s="55" t="s">
        <v>46</v>
      </c>
      <c r="AV6" s="56">
        <v>1.0</v>
      </c>
      <c r="AW6" s="56">
        <v>10000.0</v>
      </c>
      <c r="AX6" s="56">
        <v>0.0</v>
      </c>
      <c r="AY6" s="56">
        <v>0.0</v>
      </c>
      <c r="AZ6" s="56">
        <v>210000.0</v>
      </c>
      <c r="BA6" s="56">
        <v>0.0</v>
      </c>
      <c r="BB6" s="55"/>
      <c r="BC6" s="56">
        <v>1.0</v>
      </c>
      <c r="BD6" s="56">
        <v>0.0</v>
      </c>
      <c r="BE6" s="55" t="s">
        <v>47</v>
      </c>
      <c r="BF6" s="55" t="s">
        <v>48</v>
      </c>
      <c r="BG6" s="55" t="s">
        <v>48</v>
      </c>
      <c r="BH6" s="55" t="s">
        <v>48</v>
      </c>
      <c r="BI6" s="55" t="s">
        <v>48</v>
      </c>
      <c r="BJ6" s="56">
        <v>0.0</v>
      </c>
      <c r="BK6" s="56">
        <v>0.0</v>
      </c>
      <c r="BL6" s="56">
        <v>0.0</v>
      </c>
      <c r="BM6" s="56">
        <v>0.0</v>
      </c>
      <c r="BN6" s="55"/>
      <c r="BO6" s="56">
        <v>0.0</v>
      </c>
      <c r="BP6" s="56">
        <v>0.0</v>
      </c>
      <c r="BQ6" s="55" t="s">
        <v>49</v>
      </c>
      <c r="BR6" s="55" t="s">
        <v>25</v>
      </c>
      <c r="BS6" s="56">
        <v>0.0</v>
      </c>
      <c r="BT6" s="56">
        <v>0.0</v>
      </c>
      <c r="BU6" s="55" t="s">
        <v>50</v>
      </c>
      <c r="BV6" s="58">
        <v>219148.0</v>
      </c>
      <c r="BW6" s="56">
        <v>177.5</v>
      </c>
      <c r="BX6" s="56">
        <v>1990000.0</v>
      </c>
      <c r="BY6" s="56">
        <v>210000.0</v>
      </c>
      <c r="BZ6" s="56">
        <v>21.0</v>
      </c>
      <c r="CA6" s="56">
        <v>21.0</v>
      </c>
      <c r="CB6" s="55"/>
      <c r="CC6" s="56">
        <v>0.0</v>
      </c>
      <c r="CD6" s="56">
        <v>0.0</v>
      </c>
      <c r="CE6" s="56">
        <v>0.0</v>
      </c>
      <c r="CF6" s="56">
        <v>0.0</v>
      </c>
      <c r="CG6" s="56">
        <v>10000.0</v>
      </c>
      <c r="CH6" s="56">
        <v>5.0</v>
      </c>
      <c r="CI6" s="56">
        <v>1990000.0</v>
      </c>
      <c r="CJ6" s="56">
        <v>0.0</v>
      </c>
      <c r="CK6" s="59" t="b">
        <v>0</v>
      </c>
      <c r="CL6" s="55" t="s">
        <v>43</v>
      </c>
      <c r="CM6" s="55" t="s">
        <v>43</v>
      </c>
      <c r="CN6" s="55" t="s">
        <v>43</v>
      </c>
      <c r="CO6" s="55" t="s">
        <v>43</v>
      </c>
      <c r="CP6" s="55" t="s">
        <v>43</v>
      </c>
      <c r="CQ6" s="55" t="s">
        <v>43</v>
      </c>
      <c r="CR6" s="56"/>
      <c r="CS6" s="56">
        <v>20.0</v>
      </c>
      <c r="CT6" s="55" t="s">
        <v>43</v>
      </c>
      <c r="CU6" s="55" t="s">
        <v>43</v>
      </c>
      <c r="CV6" s="55" t="s">
        <v>43</v>
      </c>
      <c r="CW6" s="55" t="s">
        <v>43</v>
      </c>
      <c r="CX6" s="55" t="s">
        <v>43</v>
      </c>
      <c r="CY6" s="55" t="s">
        <v>51</v>
      </c>
      <c r="CZ6" s="55" t="s">
        <v>52</v>
      </c>
      <c r="DA6" s="56">
        <v>1990000.0</v>
      </c>
      <c r="DB6" s="56">
        <v>0.0</v>
      </c>
      <c r="DC6" s="56"/>
      <c r="DD6" s="56">
        <v>10000.0</v>
      </c>
      <c r="DE6" s="56">
        <v>-0.5</v>
      </c>
      <c r="DF6" s="56">
        <v>-5000.0</v>
      </c>
      <c r="DG6" s="56">
        <v>0.0</v>
      </c>
      <c r="DH6" s="56"/>
      <c r="DI6" s="56">
        <v>0.0</v>
      </c>
      <c r="DJ6" s="55" t="s">
        <v>44</v>
      </c>
      <c r="DK6" s="56">
        <v>210000.0</v>
      </c>
      <c r="DL6" s="56">
        <v>210000.0</v>
      </c>
      <c r="DM6" s="56">
        <v>1.0</v>
      </c>
      <c r="DN6" s="56">
        <v>0.0</v>
      </c>
      <c r="DO6" s="55" t="s">
        <v>43</v>
      </c>
      <c r="DP6" s="55" t="s">
        <v>36</v>
      </c>
      <c r="DQ6" s="55" t="s">
        <v>53</v>
      </c>
      <c r="DR6" s="55" t="s">
        <v>53</v>
      </c>
      <c r="DS6" s="55" t="s">
        <v>53</v>
      </c>
      <c r="DT6" s="55" t="s">
        <v>53</v>
      </c>
      <c r="DU6" s="55" t="s">
        <v>53</v>
      </c>
      <c r="DV6" s="55" t="s">
        <v>53</v>
      </c>
      <c r="DW6" s="55" t="s">
        <v>53</v>
      </c>
      <c r="DX6" s="55" t="s">
        <v>53</v>
      </c>
      <c r="DY6" s="55" t="s">
        <v>53</v>
      </c>
      <c r="DZ6" s="55" t="s">
        <v>19</v>
      </c>
      <c r="EA6" s="55" t="s">
        <v>53</v>
      </c>
      <c r="EB6" s="55" t="s">
        <v>53</v>
      </c>
      <c r="EC6" s="55" t="s">
        <v>53</v>
      </c>
      <c r="ED6" s="55" t="s">
        <v>42</v>
      </c>
      <c r="EE6" s="55" t="s">
        <v>53</v>
      </c>
      <c r="EF6" s="56">
        <v>0.0</v>
      </c>
      <c r="EG6" s="56">
        <v>0.0</v>
      </c>
      <c r="EH6" s="56">
        <v>0.0</v>
      </c>
      <c r="EI6" s="56">
        <v>0.0</v>
      </c>
      <c r="EJ6" s="56">
        <v>0.0</v>
      </c>
      <c r="EK6" s="56">
        <v>0.0</v>
      </c>
      <c r="EL6" s="55" t="s">
        <v>36</v>
      </c>
      <c r="EM6" s="56">
        <v>3980000.0</v>
      </c>
      <c r="EN6" s="56">
        <v>3980000.0</v>
      </c>
      <c r="EO6" s="56">
        <v>0.0</v>
      </c>
      <c r="EP6" s="56">
        <v>-50.0</v>
      </c>
      <c r="EQ6" s="56">
        <v>0.0</v>
      </c>
      <c r="ER6" s="56">
        <v>3980000.0</v>
      </c>
      <c r="ES6" s="56">
        <v>-20050.0</v>
      </c>
      <c r="ET6" s="56">
        <v>0.0</v>
      </c>
      <c r="EU6" s="56">
        <v>0.0</v>
      </c>
      <c r="EV6" s="55" t="s">
        <v>36</v>
      </c>
      <c r="EW6" s="56">
        <v>-50.0</v>
      </c>
      <c r="EX6" s="59" t="b">
        <v>0</v>
      </c>
      <c r="EY6" s="55" t="s">
        <v>43</v>
      </c>
      <c r="EZ6" s="55" t="s">
        <v>43</v>
      </c>
      <c r="FA6" s="42"/>
      <c r="FB6" s="42"/>
      <c r="FC6" s="42"/>
      <c r="FD6" s="42"/>
      <c r="FE6" s="42"/>
      <c r="FF6" s="42"/>
      <c r="FG6" s="42"/>
      <c r="FH6" s="42"/>
      <c r="FI6" s="42"/>
      <c r="FJ6" s="42"/>
    </row>
    <row r="7" ht="15.75" customHeight="1">
      <c r="A7" s="40"/>
      <c r="B7" s="40"/>
      <c r="C7" s="55" t="s">
        <v>20</v>
      </c>
      <c r="D7" s="56">
        <v>-100.0</v>
      </c>
      <c r="E7" s="55" t="s">
        <v>24</v>
      </c>
      <c r="F7" s="55" t="s">
        <v>29</v>
      </c>
      <c r="G7" s="56">
        <v>30.0</v>
      </c>
      <c r="H7" s="55" t="s">
        <v>54</v>
      </c>
      <c r="I7" s="56">
        <v>-310000.0</v>
      </c>
      <c r="J7" s="56">
        <v>0.0</v>
      </c>
      <c r="K7" s="56">
        <v>-1340000.0</v>
      </c>
      <c r="L7" s="56">
        <v>1340000.0</v>
      </c>
      <c r="M7" s="56">
        <v>2680000.0</v>
      </c>
      <c r="N7" s="56">
        <v>0.0</v>
      </c>
      <c r="O7" s="55" t="s">
        <v>20</v>
      </c>
      <c r="P7" s="56">
        <v>31.0</v>
      </c>
      <c r="Q7" s="56">
        <v>-10000.0</v>
      </c>
      <c r="R7" s="55" t="s">
        <v>37</v>
      </c>
      <c r="S7" s="55" t="s">
        <v>38</v>
      </c>
      <c r="T7" s="55" t="s">
        <v>39</v>
      </c>
      <c r="U7" s="55" t="s">
        <v>40</v>
      </c>
      <c r="V7" s="55" t="s">
        <v>41</v>
      </c>
      <c r="W7" s="55" t="s">
        <v>42</v>
      </c>
      <c r="X7" s="56">
        <v>100.0</v>
      </c>
      <c r="Y7" s="56">
        <v>1.0</v>
      </c>
      <c r="Z7" s="55" t="s">
        <v>43</v>
      </c>
      <c r="AA7" s="55" t="s">
        <v>43</v>
      </c>
      <c r="AB7" s="56">
        <v>0.0</v>
      </c>
      <c r="AC7" s="56">
        <v>0.0</v>
      </c>
      <c r="AD7" s="56">
        <v>-1340000.0</v>
      </c>
      <c r="AE7" s="56">
        <v>-1340000.0</v>
      </c>
      <c r="AF7" s="56">
        <v>-10000.0</v>
      </c>
      <c r="AG7" s="56">
        <v>-1340000.0</v>
      </c>
      <c r="AH7" s="56">
        <v>-1340000.0</v>
      </c>
      <c r="AI7" s="56">
        <v>-1340000.0</v>
      </c>
      <c r="AJ7" s="57">
        <v>668329.18</v>
      </c>
      <c r="AK7" s="56">
        <v>0.0</v>
      </c>
      <c r="AL7" s="56">
        <v>1.0</v>
      </c>
      <c r="AM7" s="56">
        <v>1.0</v>
      </c>
      <c r="AN7" s="55" t="s">
        <v>55</v>
      </c>
      <c r="AO7" s="55" t="s">
        <v>43</v>
      </c>
      <c r="AP7" s="55" t="s">
        <v>36</v>
      </c>
      <c r="AQ7" s="55" t="s">
        <v>18</v>
      </c>
      <c r="AR7" s="56">
        <v>134.0</v>
      </c>
      <c r="AS7" s="56">
        <v>-1.0</v>
      </c>
      <c r="AT7" s="55" t="s">
        <v>45</v>
      </c>
      <c r="AU7" s="55" t="s">
        <v>46</v>
      </c>
      <c r="AV7" s="56">
        <v>1.0</v>
      </c>
      <c r="AW7" s="56">
        <v>-10000.0</v>
      </c>
      <c r="AX7" s="56">
        <v>0.0</v>
      </c>
      <c r="AY7" s="56">
        <v>0.0</v>
      </c>
      <c r="AZ7" s="56">
        <v>-310000.0</v>
      </c>
      <c r="BA7" s="56">
        <v>0.0</v>
      </c>
      <c r="BB7" s="55"/>
      <c r="BC7" s="56">
        <v>1.0</v>
      </c>
      <c r="BD7" s="56">
        <v>0.0</v>
      </c>
      <c r="BE7" s="55" t="s">
        <v>47</v>
      </c>
      <c r="BF7" s="55" t="s">
        <v>48</v>
      </c>
      <c r="BG7" s="55" t="s">
        <v>48</v>
      </c>
      <c r="BH7" s="55" t="s">
        <v>48</v>
      </c>
      <c r="BI7" s="55" t="s">
        <v>48</v>
      </c>
      <c r="BJ7" s="56">
        <v>0.0</v>
      </c>
      <c r="BK7" s="56">
        <v>0.0</v>
      </c>
      <c r="BL7" s="56">
        <v>0.0</v>
      </c>
      <c r="BM7" s="56">
        <v>0.0</v>
      </c>
      <c r="BN7" s="55"/>
      <c r="BO7" s="56">
        <v>0.0</v>
      </c>
      <c r="BP7" s="56">
        <v>0.0</v>
      </c>
      <c r="BQ7" s="55" t="s">
        <v>49</v>
      </c>
      <c r="BR7" s="55" t="s">
        <v>25</v>
      </c>
      <c r="BS7" s="56">
        <v>0.0</v>
      </c>
      <c r="BT7" s="56">
        <v>0.0</v>
      </c>
      <c r="BU7" s="55" t="s">
        <v>50</v>
      </c>
      <c r="BV7" s="58">
        <v>219148.0</v>
      </c>
      <c r="BW7" s="56">
        <v>104.0</v>
      </c>
      <c r="BX7" s="56">
        <v>1340000.0</v>
      </c>
      <c r="BY7" s="56">
        <v>310000.0</v>
      </c>
      <c r="BZ7" s="56">
        <v>31.0</v>
      </c>
      <c r="CA7" s="56">
        <v>31.0</v>
      </c>
      <c r="CB7" s="55"/>
      <c r="CC7" s="56">
        <v>0.0</v>
      </c>
      <c r="CD7" s="56">
        <v>0.0</v>
      </c>
      <c r="CE7" s="56">
        <v>0.0</v>
      </c>
      <c r="CF7" s="56">
        <v>0.0</v>
      </c>
      <c r="CG7" s="56">
        <v>-10000.0</v>
      </c>
      <c r="CH7" s="57">
        <v>-3.33</v>
      </c>
      <c r="CI7" s="56">
        <v>1340000.0</v>
      </c>
      <c r="CJ7" s="56">
        <v>0.0</v>
      </c>
      <c r="CK7" s="59" t="b">
        <v>0</v>
      </c>
      <c r="CL7" s="55" t="s">
        <v>43</v>
      </c>
      <c r="CM7" s="55" t="s">
        <v>43</v>
      </c>
      <c r="CN7" s="55" t="s">
        <v>43</v>
      </c>
      <c r="CO7" s="55" t="s">
        <v>43</v>
      </c>
      <c r="CP7" s="55" t="s">
        <v>43</v>
      </c>
      <c r="CQ7" s="55" t="s">
        <v>43</v>
      </c>
      <c r="CR7" s="56"/>
      <c r="CS7" s="56">
        <v>30.0</v>
      </c>
      <c r="CT7" s="55" t="s">
        <v>43</v>
      </c>
      <c r="CU7" s="55" t="s">
        <v>43</v>
      </c>
      <c r="CV7" s="55" t="s">
        <v>43</v>
      </c>
      <c r="CW7" s="55" t="s">
        <v>43</v>
      </c>
      <c r="CX7" s="55" t="s">
        <v>43</v>
      </c>
      <c r="CY7" s="55" t="s">
        <v>51</v>
      </c>
      <c r="CZ7" s="55" t="s">
        <v>52</v>
      </c>
      <c r="DA7" s="56">
        <v>1340000.0</v>
      </c>
      <c r="DB7" s="56">
        <v>0.0</v>
      </c>
      <c r="DC7" s="56"/>
      <c r="DD7" s="56">
        <v>-10000.0</v>
      </c>
      <c r="DE7" s="56">
        <v>1.0</v>
      </c>
      <c r="DF7" s="56">
        <v>-10000.0</v>
      </c>
      <c r="DG7" s="56">
        <v>0.0</v>
      </c>
      <c r="DH7" s="55"/>
      <c r="DI7" s="56">
        <v>0.0</v>
      </c>
      <c r="DJ7" s="55" t="s">
        <v>55</v>
      </c>
      <c r="DK7" s="56">
        <v>-310000.0</v>
      </c>
      <c r="DL7" s="56">
        <v>-310000.0</v>
      </c>
      <c r="DM7" s="56">
        <v>1.0</v>
      </c>
      <c r="DN7" s="56">
        <v>134.0</v>
      </c>
      <c r="DO7" s="55" t="s">
        <v>43</v>
      </c>
      <c r="DP7" s="55" t="s">
        <v>54</v>
      </c>
      <c r="DQ7" s="55" t="s">
        <v>53</v>
      </c>
      <c r="DR7" s="55" t="s">
        <v>53</v>
      </c>
      <c r="DS7" s="55" t="s">
        <v>53</v>
      </c>
      <c r="DT7" s="55" t="s">
        <v>53</v>
      </c>
      <c r="DU7" s="55" t="s">
        <v>53</v>
      </c>
      <c r="DV7" s="55" t="s">
        <v>53</v>
      </c>
      <c r="DW7" s="55" t="s">
        <v>53</v>
      </c>
      <c r="DX7" s="55" t="s">
        <v>53</v>
      </c>
      <c r="DY7" s="55" t="s">
        <v>53</v>
      </c>
      <c r="DZ7" s="55" t="s">
        <v>20</v>
      </c>
      <c r="EA7" s="55" t="s">
        <v>53</v>
      </c>
      <c r="EB7" s="55" t="s">
        <v>53</v>
      </c>
      <c r="EC7" s="55" t="s">
        <v>53</v>
      </c>
      <c r="ED7" s="55" t="s">
        <v>42</v>
      </c>
      <c r="EE7" s="55" t="s">
        <v>53</v>
      </c>
      <c r="EF7" s="56">
        <v>0.0</v>
      </c>
      <c r="EG7" s="56">
        <v>0.0</v>
      </c>
      <c r="EH7" s="56">
        <v>0.0</v>
      </c>
      <c r="EI7" s="56">
        <v>0.0</v>
      </c>
      <c r="EJ7" s="56">
        <v>0.0</v>
      </c>
      <c r="EK7" s="56">
        <v>0.0</v>
      </c>
      <c r="EL7" s="55" t="s">
        <v>54</v>
      </c>
      <c r="EM7" s="56">
        <v>2680000.0</v>
      </c>
      <c r="EN7" s="56">
        <v>2680000.0</v>
      </c>
      <c r="EO7" s="56">
        <v>0.0</v>
      </c>
      <c r="EP7" s="56">
        <v>-50.0</v>
      </c>
      <c r="EQ7" s="56">
        <v>0.0</v>
      </c>
      <c r="ER7" s="56">
        <v>2680000.0</v>
      </c>
      <c r="ES7" s="56">
        <v>-20050.0</v>
      </c>
      <c r="ET7" s="56">
        <v>0.0</v>
      </c>
      <c r="EU7" s="56">
        <v>0.0</v>
      </c>
      <c r="EV7" s="55" t="s">
        <v>54</v>
      </c>
      <c r="EW7" s="56">
        <v>-50.0</v>
      </c>
      <c r="EX7" s="59" t="b">
        <v>0</v>
      </c>
      <c r="EY7" s="55" t="s">
        <v>43</v>
      </c>
      <c r="EZ7" s="55" t="s">
        <v>43</v>
      </c>
      <c r="FA7" s="42"/>
      <c r="FB7" s="42"/>
      <c r="FC7" s="42"/>
      <c r="FD7" s="42"/>
      <c r="FE7" s="42"/>
      <c r="FF7" s="42"/>
      <c r="FG7" s="42"/>
      <c r="FH7" s="42"/>
      <c r="FI7" s="42"/>
      <c r="FJ7" s="42"/>
    </row>
    <row r="8" ht="15.75" customHeight="1">
      <c r="A8" s="40"/>
      <c r="B8" s="40"/>
      <c r="C8" s="55" t="s">
        <v>19</v>
      </c>
      <c r="D8" s="56">
        <v>100.0</v>
      </c>
      <c r="E8" s="55" t="s">
        <v>30</v>
      </c>
      <c r="F8" s="55" t="s">
        <v>56</v>
      </c>
      <c r="G8" s="56">
        <v>25.0</v>
      </c>
      <c r="H8" s="55" t="s">
        <v>36</v>
      </c>
      <c r="I8" s="56">
        <v>210000.0</v>
      </c>
      <c r="J8" s="57">
        <v>-19.05</v>
      </c>
      <c r="K8" s="56">
        <v>1990000.0</v>
      </c>
      <c r="L8" s="56">
        <v>1990000.0</v>
      </c>
      <c r="M8" s="56">
        <v>3980000.0</v>
      </c>
      <c r="N8" s="56">
        <v>-40000.0</v>
      </c>
      <c r="O8" s="55" t="s">
        <v>19</v>
      </c>
      <c r="P8" s="56">
        <v>21.0</v>
      </c>
      <c r="Q8" s="56">
        <v>-40000.0</v>
      </c>
      <c r="R8" s="55" t="s">
        <v>57</v>
      </c>
      <c r="S8" s="55" t="s">
        <v>38</v>
      </c>
      <c r="T8" s="55" t="s">
        <v>39</v>
      </c>
      <c r="U8" s="55" t="s">
        <v>40</v>
      </c>
      <c r="V8" s="55" t="s">
        <v>41</v>
      </c>
      <c r="W8" s="55" t="s">
        <v>42</v>
      </c>
      <c r="X8" s="56">
        <v>100.0</v>
      </c>
      <c r="Y8" s="56">
        <v>1.0</v>
      </c>
      <c r="Z8" s="55" t="s">
        <v>43</v>
      </c>
      <c r="AA8" s="55" t="s">
        <v>43</v>
      </c>
      <c r="AB8" s="56">
        <v>0.0</v>
      </c>
      <c r="AC8" s="56">
        <v>0.0</v>
      </c>
      <c r="AD8" s="56">
        <v>1990000.0</v>
      </c>
      <c r="AE8" s="56">
        <v>1990000.0</v>
      </c>
      <c r="AF8" s="56">
        <v>10000.0</v>
      </c>
      <c r="AG8" s="56">
        <v>1990000.0</v>
      </c>
      <c r="AH8" s="56">
        <v>1990000.0</v>
      </c>
      <c r="AI8" s="56">
        <v>1990000.0</v>
      </c>
      <c r="AJ8" s="57">
        <v>-992518.7</v>
      </c>
      <c r="AK8" s="56">
        <v>-40000.0</v>
      </c>
      <c r="AL8" s="56">
        <v>1.0</v>
      </c>
      <c r="AM8" s="56">
        <v>1.0</v>
      </c>
      <c r="AN8" s="55" t="s">
        <v>44</v>
      </c>
      <c r="AO8" s="55" t="s">
        <v>43</v>
      </c>
      <c r="AP8" s="55" t="s">
        <v>36</v>
      </c>
      <c r="AQ8" s="55" t="s">
        <v>17</v>
      </c>
      <c r="AR8" s="56">
        <v>199.0</v>
      </c>
      <c r="AS8" s="56">
        <v>1.0</v>
      </c>
      <c r="AT8" s="55" t="s">
        <v>45</v>
      </c>
      <c r="AU8" s="55" t="s">
        <v>46</v>
      </c>
      <c r="AV8" s="56">
        <v>1.0</v>
      </c>
      <c r="AW8" s="56">
        <v>-40000.0</v>
      </c>
      <c r="AX8" s="56">
        <v>0.0</v>
      </c>
      <c r="AY8" s="56">
        <v>0.0</v>
      </c>
      <c r="AZ8" s="56">
        <v>210000.0</v>
      </c>
      <c r="BA8" s="56">
        <v>-16.0</v>
      </c>
      <c r="BB8" s="55"/>
      <c r="BC8" s="56">
        <v>1.0</v>
      </c>
      <c r="BD8" s="56">
        <v>-250000.0</v>
      </c>
      <c r="BE8" s="55" t="s">
        <v>47</v>
      </c>
      <c r="BF8" s="55" t="s">
        <v>48</v>
      </c>
      <c r="BG8" s="55" t="s">
        <v>48</v>
      </c>
      <c r="BH8" s="55" t="s">
        <v>48</v>
      </c>
      <c r="BI8" s="55" t="s">
        <v>48</v>
      </c>
      <c r="BJ8" s="56">
        <v>0.0</v>
      </c>
      <c r="BK8" s="56">
        <v>0.0</v>
      </c>
      <c r="BL8" s="56">
        <v>0.0</v>
      </c>
      <c r="BM8" s="56">
        <v>0.0</v>
      </c>
      <c r="BN8" s="55"/>
      <c r="BO8" s="56">
        <v>-250000.0</v>
      </c>
      <c r="BP8" s="56">
        <v>0.0</v>
      </c>
      <c r="BQ8" s="55" t="s">
        <v>49</v>
      </c>
      <c r="BR8" s="55" t="s">
        <v>25</v>
      </c>
      <c r="BS8" s="56">
        <v>0.0</v>
      </c>
      <c r="BT8" s="56">
        <v>0.0</v>
      </c>
      <c r="BU8" s="55" t="s">
        <v>50</v>
      </c>
      <c r="BV8" s="58">
        <v>219148.0</v>
      </c>
      <c r="BW8" s="56">
        <v>177.5</v>
      </c>
      <c r="BX8" s="56">
        <v>1990000.0</v>
      </c>
      <c r="BY8" s="56">
        <v>210000.0</v>
      </c>
      <c r="BZ8" s="56">
        <v>21.0</v>
      </c>
      <c r="CA8" s="56">
        <v>21.0</v>
      </c>
      <c r="CB8" s="55"/>
      <c r="CC8" s="56">
        <v>0.0</v>
      </c>
      <c r="CD8" s="56">
        <v>-40000.0</v>
      </c>
      <c r="CE8" s="56">
        <v>0.0</v>
      </c>
      <c r="CF8" s="56">
        <v>0.0</v>
      </c>
      <c r="CG8" s="56">
        <v>-40000.0</v>
      </c>
      <c r="CH8" s="56">
        <v>-16.0</v>
      </c>
      <c r="CI8" s="56">
        <v>1990000.0</v>
      </c>
      <c r="CJ8" s="56">
        <v>0.0</v>
      </c>
      <c r="CK8" s="59" t="b">
        <v>0</v>
      </c>
      <c r="CL8" s="55" t="s">
        <v>43</v>
      </c>
      <c r="CM8" s="55" t="s">
        <v>43</v>
      </c>
      <c r="CN8" s="55" t="s">
        <v>43</v>
      </c>
      <c r="CO8" s="55" t="s">
        <v>43</v>
      </c>
      <c r="CP8" s="55" t="s">
        <v>43</v>
      </c>
      <c r="CQ8" s="55" t="s">
        <v>43</v>
      </c>
      <c r="CR8" s="56"/>
      <c r="CS8" s="56">
        <v>25.0</v>
      </c>
      <c r="CT8" s="55" t="s">
        <v>43</v>
      </c>
      <c r="CU8" s="55" t="s">
        <v>43</v>
      </c>
      <c r="CV8" s="55" t="s">
        <v>43</v>
      </c>
      <c r="CW8" s="55" t="s">
        <v>43</v>
      </c>
      <c r="CX8" s="55" t="s">
        <v>43</v>
      </c>
      <c r="CY8" s="55" t="s">
        <v>51</v>
      </c>
      <c r="CZ8" s="55" t="s">
        <v>52</v>
      </c>
      <c r="DA8" s="56">
        <v>1990000.0</v>
      </c>
      <c r="DB8" s="57">
        <v>-19.05</v>
      </c>
      <c r="DC8" s="56"/>
      <c r="DD8" s="56">
        <v>10000.0</v>
      </c>
      <c r="DE8" s="56">
        <v>-0.5</v>
      </c>
      <c r="DF8" s="56">
        <v>-5000.0</v>
      </c>
      <c r="DG8" s="56">
        <v>0.0</v>
      </c>
      <c r="DH8" s="56"/>
      <c r="DI8" s="56">
        <v>0.0</v>
      </c>
      <c r="DJ8" s="55" t="s">
        <v>44</v>
      </c>
      <c r="DK8" s="56">
        <v>0.0</v>
      </c>
      <c r="DL8" s="56">
        <v>0.0</v>
      </c>
      <c r="DM8" s="56">
        <v>1.0</v>
      </c>
      <c r="DN8" s="56">
        <v>0.0</v>
      </c>
      <c r="DO8" s="55" t="s">
        <v>43</v>
      </c>
      <c r="DP8" s="55" t="s">
        <v>36</v>
      </c>
      <c r="DQ8" s="55" t="s">
        <v>53</v>
      </c>
      <c r="DR8" s="55" t="s">
        <v>53</v>
      </c>
      <c r="DS8" s="55" t="s">
        <v>53</v>
      </c>
      <c r="DT8" s="55" t="s">
        <v>53</v>
      </c>
      <c r="DU8" s="55" t="s">
        <v>53</v>
      </c>
      <c r="DV8" s="55" t="s">
        <v>53</v>
      </c>
      <c r="DW8" s="55" t="s">
        <v>53</v>
      </c>
      <c r="DX8" s="55" t="s">
        <v>53</v>
      </c>
      <c r="DY8" s="55" t="s">
        <v>53</v>
      </c>
      <c r="DZ8" s="55" t="s">
        <v>19</v>
      </c>
      <c r="EA8" s="55" t="s">
        <v>53</v>
      </c>
      <c r="EB8" s="55" t="s">
        <v>53</v>
      </c>
      <c r="EC8" s="55" t="s">
        <v>53</v>
      </c>
      <c r="ED8" s="55" t="s">
        <v>42</v>
      </c>
      <c r="EE8" s="55" t="s">
        <v>53</v>
      </c>
      <c r="EF8" s="56">
        <v>0.0</v>
      </c>
      <c r="EG8" s="56">
        <v>0.0</v>
      </c>
      <c r="EH8" s="56">
        <v>0.0</v>
      </c>
      <c r="EI8" s="56">
        <v>0.0</v>
      </c>
      <c r="EJ8" s="56">
        <v>0.0</v>
      </c>
      <c r="EK8" s="56">
        <v>0.0</v>
      </c>
      <c r="EL8" s="55" t="s">
        <v>36</v>
      </c>
      <c r="EM8" s="56">
        <v>3980000.0</v>
      </c>
      <c r="EN8" s="56">
        <v>3980000.0</v>
      </c>
      <c r="EO8" s="56">
        <v>0.0</v>
      </c>
      <c r="EP8" s="56">
        <v>-50.0</v>
      </c>
      <c r="EQ8" s="56">
        <v>0.0</v>
      </c>
      <c r="ER8" s="56">
        <v>3980000.0</v>
      </c>
      <c r="ES8" s="56">
        <v>-20050.0</v>
      </c>
      <c r="ET8" s="56">
        <v>0.0</v>
      </c>
      <c r="EU8" s="56">
        <v>0.0</v>
      </c>
      <c r="EV8" s="55" t="s">
        <v>36</v>
      </c>
      <c r="EW8" s="56">
        <v>-20000.0</v>
      </c>
      <c r="EX8" s="59" t="b">
        <v>0</v>
      </c>
      <c r="EY8" s="55" t="s">
        <v>43</v>
      </c>
      <c r="EZ8" s="55" t="s">
        <v>43</v>
      </c>
      <c r="FA8" s="42"/>
      <c r="FB8" s="42"/>
      <c r="FC8" s="42"/>
      <c r="FD8" s="42"/>
      <c r="FE8" s="42"/>
      <c r="FF8" s="42"/>
      <c r="FG8" s="42"/>
      <c r="FH8" s="42"/>
      <c r="FI8" s="42"/>
      <c r="FJ8" s="42"/>
    </row>
    <row r="9" ht="15.75" customHeight="1">
      <c r="A9" s="40"/>
      <c r="B9" s="40"/>
      <c r="C9" s="55" t="s">
        <v>20</v>
      </c>
      <c r="D9" s="56">
        <v>-100.0</v>
      </c>
      <c r="E9" s="55" t="s">
        <v>30</v>
      </c>
      <c r="F9" s="55" t="s">
        <v>56</v>
      </c>
      <c r="G9" s="56">
        <v>33.0</v>
      </c>
      <c r="H9" s="55" t="s">
        <v>54</v>
      </c>
      <c r="I9" s="56">
        <v>-310000.0</v>
      </c>
      <c r="J9" s="57">
        <v>6.45</v>
      </c>
      <c r="K9" s="56">
        <v>-1340000.0</v>
      </c>
      <c r="L9" s="56">
        <v>1340000.0</v>
      </c>
      <c r="M9" s="56">
        <v>2680000.0</v>
      </c>
      <c r="N9" s="56">
        <v>20000.0</v>
      </c>
      <c r="O9" s="55" t="s">
        <v>20</v>
      </c>
      <c r="P9" s="56">
        <v>31.0</v>
      </c>
      <c r="Q9" s="56">
        <v>20000.0</v>
      </c>
      <c r="R9" s="55" t="s">
        <v>57</v>
      </c>
      <c r="S9" s="55" t="s">
        <v>38</v>
      </c>
      <c r="T9" s="55" t="s">
        <v>39</v>
      </c>
      <c r="U9" s="55" t="s">
        <v>40</v>
      </c>
      <c r="V9" s="55" t="s">
        <v>41</v>
      </c>
      <c r="W9" s="55" t="s">
        <v>42</v>
      </c>
      <c r="X9" s="56">
        <v>100.0</v>
      </c>
      <c r="Y9" s="56">
        <v>1.0</v>
      </c>
      <c r="Z9" s="55" t="s">
        <v>43</v>
      </c>
      <c r="AA9" s="55" t="s">
        <v>43</v>
      </c>
      <c r="AB9" s="56">
        <v>0.0</v>
      </c>
      <c r="AC9" s="56">
        <v>0.0</v>
      </c>
      <c r="AD9" s="56">
        <v>-1340000.0</v>
      </c>
      <c r="AE9" s="56">
        <v>-1340000.0</v>
      </c>
      <c r="AF9" s="56">
        <v>-10000.0</v>
      </c>
      <c r="AG9" s="56">
        <v>-1340000.0</v>
      </c>
      <c r="AH9" s="56">
        <v>-1340000.0</v>
      </c>
      <c r="AI9" s="56">
        <v>-1340000.0</v>
      </c>
      <c r="AJ9" s="57">
        <v>668329.18</v>
      </c>
      <c r="AK9" s="56">
        <v>20000.0</v>
      </c>
      <c r="AL9" s="56">
        <v>1.0</v>
      </c>
      <c r="AM9" s="56">
        <v>1.0</v>
      </c>
      <c r="AN9" s="55" t="s">
        <v>55</v>
      </c>
      <c r="AO9" s="55" t="s">
        <v>43</v>
      </c>
      <c r="AP9" s="55" t="s">
        <v>36</v>
      </c>
      <c r="AQ9" s="55" t="s">
        <v>18</v>
      </c>
      <c r="AR9" s="56">
        <v>134.0</v>
      </c>
      <c r="AS9" s="56">
        <v>-1.0</v>
      </c>
      <c r="AT9" s="55" t="s">
        <v>45</v>
      </c>
      <c r="AU9" s="55" t="s">
        <v>46</v>
      </c>
      <c r="AV9" s="56">
        <v>1.0</v>
      </c>
      <c r="AW9" s="56">
        <v>20000.0</v>
      </c>
      <c r="AX9" s="56">
        <v>0.0</v>
      </c>
      <c r="AY9" s="56">
        <v>0.0</v>
      </c>
      <c r="AZ9" s="56">
        <v>-310000.0</v>
      </c>
      <c r="BA9" s="57">
        <v>6.06</v>
      </c>
      <c r="BB9" s="55"/>
      <c r="BC9" s="56">
        <v>1.0</v>
      </c>
      <c r="BD9" s="56">
        <v>330000.0</v>
      </c>
      <c r="BE9" s="55" t="s">
        <v>47</v>
      </c>
      <c r="BF9" s="55" t="s">
        <v>48</v>
      </c>
      <c r="BG9" s="55" t="s">
        <v>48</v>
      </c>
      <c r="BH9" s="55" t="s">
        <v>48</v>
      </c>
      <c r="BI9" s="55" t="s">
        <v>48</v>
      </c>
      <c r="BJ9" s="56">
        <v>0.0</v>
      </c>
      <c r="BK9" s="56">
        <v>0.0</v>
      </c>
      <c r="BL9" s="56">
        <v>0.0</v>
      </c>
      <c r="BM9" s="56">
        <v>0.0</v>
      </c>
      <c r="BN9" s="55"/>
      <c r="BO9" s="56">
        <v>330000.0</v>
      </c>
      <c r="BP9" s="56">
        <v>0.0</v>
      </c>
      <c r="BQ9" s="55" t="s">
        <v>49</v>
      </c>
      <c r="BR9" s="55" t="s">
        <v>25</v>
      </c>
      <c r="BS9" s="56">
        <v>0.0</v>
      </c>
      <c r="BT9" s="56">
        <v>0.0</v>
      </c>
      <c r="BU9" s="55" t="s">
        <v>50</v>
      </c>
      <c r="BV9" s="58">
        <v>219148.0</v>
      </c>
      <c r="BW9" s="56">
        <v>104.0</v>
      </c>
      <c r="BX9" s="56">
        <v>1340000.0</v>
      </c>
      <c r="BY9" s="56">
        <v>310000.0</v>
      </c>
      <c r="BZ9" s="56">
        <v>31.0</v>
      </c>
      <c r="CA9" s="56">
        <v>31.0</v>
      </c>
      <c r="CB9" s="55"/>
      <c r="CC9" s="56">
        <v>0.0</v>
      </c>
      <c r="CD9" s="56">
        <v>20000.0</v>
      </c>
      <c r="CE9" s="56">
        <v>0.0</v>
      </c>
      <c r="CF9" s="56">
        <v>0.0</v>
      </c>
      <c r="CG9" s="56">
        <v>20000.0</v>
      </c>
      <c r="CH9" s="57">
        <v>6.06</v>
      </c>
      <c r="CI9" s="56">
        <v>1340000.0</v>
      </c>
      <c r="CJ9" s="56">
        <v>0.0</v>
      </c>
      <c r="CK9" s="59" t="b">
        <v>0</v>
      </c>
      <c r="CL9" s="55" t="s">
        <v>43</v>
      </c>
      <c r="CM9" s="55" t="s">
        <v>43</v>
      </c>
      <c r="CN9" s="55" t="s">
        <v>43</v>
      </c>
      <c r="CO9" s="55" t="s">
        <v>43</v>
      </c>
      <c r="CP9" s="55" t="s">
        <v>43</v>
      </c>
      <c r="CQ9" s="55" t="s">
        <v>43</v>
      </c>
      <c r="CR9" s="56"/>
      <c r="CS9" s="56">
        <v>33.0</v>
      </c>
      <c r="CT9" s="55" t="s">
        <v>43</v>
      </c>
      <c r="CU9" s="55" t="s">
        <v>43</v>
      </c>
      <c r="CV9" s="55" t="s">
        <v>43</v>
      </c>
      <c r="CW9" s="55" t="s">
        <v>43</v>
      </c>
      <c r="CX9" s="55" t="s">
        <v>43</v>
      </c>
      <c r="CY9" s="55" t="s">
        <v>51</v>
      </c>
      <c r="CZ9" s="55" t="s">
        <v>52</v>
      </c>
      <c r="DA9" s="56">
        <v>1340000.0</v>
      </c>
      <c r="DB9" s="57">
        <v>-6.45</v>
      </c>
      <c r="DC9" s="56"/>
      <c r="DD9" s="56">
        <v>-10000.0</v>
      </c>
      <c r="DE9" s="56">
        <v>1.0</v>
      </c>
      <c r="DF9" s="56">
        <v>-10000.0</v>
      </c>
      <c r="DG9" s="56">
        <v>0.0</v>
      </c>
      <c r="DH9" s="55"/>
      <c r="DI9" s="56">
        <v>0.0</v>
      </c>
      <c r="DJ9" s="55" t="s">
        <v>55</v>
      </c>
      <c r="DK9" s="56">
        <v>0.0</v>
      </c>
      <c r="DL9" s="56">
        <v>0.0</v>
      </c>
      <c r="DM9" s="56">
        <v>1.0</v>
      </c>
      <c r="DN9" s="56">
        <v>134.0</v>
      </c>
      <c r="DO9" s="55" t="s">
        <v>43</v>
      </c>
      <c r="DP9" s="55" t="s">
        <v>54</v>
      </c>
      <c r="DQ9" s="55" t="s">
        <v>53</v>
      </c>
      <c r="DR9" s="55" t="s">
        <v>53</v>
      </c>
      <c r="DS9" s="55" t="s">
        <v>53</v>
      </c>
      <c r="DT9" s="55" t="s">
        <v>53</v>
      </c>
      <c r="DU9" s="55" t="s">
        <v>53</v>
      </c>
      <c r="DV9" s="55" t="s">
        <v>53</v>
      </c>
      <c r="DW9" s="55" t="s">
        <v>53</v>
      </c>
      <c r="DX9" s="55" t="s">
        <v>53</v>
      </c>
      <c r="DY9" s="55" t="s">
        <v>53</v>
      </c>
      <c r="DZ9" s="55" t="s">
        <v>20</v>
      </c>
      <c r="EA9" s="55" t="s">
        <v>53</v>
      </c>
      <c r="EB9" s="55" t="s">
        <v>53</v>
      </c>
      <c r="EC9" s="55" t="s">
        <v>53</v>
      </c>
      <c r="ED9" s="55" t="s">
        <v>42</v>
      </c>
      <c r="EE9" s="55" t="s">
        <v>53</v>
      </c>
      <c r="EF9" s="56">
        <v>0.0</v>
      </c>
      <c r="EG9" s="56">
        <v>0.0</v>
      </c>
      <c r="EH9" s="56">
        <v>0.0</v>
      </c>
      <c r="EI9" s="56">
        <v>0.0</v>
      </c>
      <c r="EJ9" s="56">
        <v>0.0</v>
      </c>
      <c r="EK9" s="56">
        <v>0.0</v>
      </c>
      <c r="EL9" s="55" t="s">
        <v>54</v>
      </c>
      <c r="EM9" s="56">
        <v>2680000.0</v>
      </c>
      <c r="EN9" s="56">
        <v>2680000.0</v>
      </c>
      <c r="EO9" s="56">
        <v>0.0</v>
      </c>
      <c r="EP9" s="56">
        <v>-50.0</v>
      </c>
      <c r="EQ9" s="56">
        <v>0.0</v>
      </c>
      <c r="ER9" s="56">
        <v>2680000.0</v>
      </c>
      <c r="ES9" s="56">
        <v>-20050.0</v>
      </c>
      <c r="ET9" s="56">
        <v>0.0</v>
      </c>
      <c r="EU9" s="56">
        <v>0.0</v>
      </c>
      <c r="EV9" s="55" t="s">
        <v>54</v>
      </c>
      <c r="EW9" s="56">
        <v>-20000.0</v>
      </c>
      <c r="EX9" s="59" t="b">
        <v>0</v>
      </c>
      <c r="EY9" s="55" t="s">
        <v>43</v>
      </c>
      <c r="EZ9" s="55" t="s">
        <v>43</v>
      </c>
      <c r="FA9" s="42"/>
      <c r="FB9" s="42"/>
      <c r="FC9" s="42"/>
      <c r="FD9" s="42"/>
      <c r="FE9" s="42"/>
      <c r="FF9" s="42"/>
      <c r="FG9" s="42"/>
      <c r="FH9" s="42"/>
      <c r="FI9" s="42"/>
      <c r="FJ9" s="42"/>
    </row>
    <row r="10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</row>
    <row r="11" ht="15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</row>
    <row r="12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</row>
    <row r="13" ht="15.7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</row>
    <row r="14" ht="15.7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</row>
    <row r="15" ht="15.7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</row>
    <row r="1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</row>
    <row r="17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</row>
    <row r="18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</row>
    <row r="19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</row>
    <row r="20" ht="15.7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</row>
    <row r="21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</row>
    <row r="22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</row>
    <row r="23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</row>
    <row r="24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2"/>
      <c r="DY24" s="42"/>
      <c r="DZ24" s="42"/>
      <c r="EA24" s="42"/>
      <c r="EB24" s="42"/>
      <c r="EC24" s="42"/>
      <c r="ED24" s="42"/>
      <c r="EE24" s="42"/>
      <c r="EF24" s="42"/>
      <c r="EG24" s="42"/>
      <c r="EH24" s="42"/>
      <c r="EI24" s="42"/>
      <c r="EJ24" s="42"/>
      <c r="EK24" s="42"/>
      <c r="EL24" s="42"/>
      <c r="EM24" s="42"/>
      <c r="EN24" s="42"/>
      <c r="EO24" s="42"/>
      <c r="EP24" s="42"/>
      <c r="EQ24" s="42"/>
      <c r="ER24" s="42"/>
      <c r="ES24" s="42"/>
      <c r="ET24" s="42"/>
      <c r="EU24" s="42"/>
      <c r="EV24" s="42"/>
      <c r="EW24" s="42"/>
      <c r="EX24" s="42"/>
      <c r="EY24" s="42"/>
      <c r="EZ24" s="42"/>
      <c r="FA24" s="42"/>
      <c r="FB24" s="42"/>
      <c r="FC24" s="42"/>
      <c r="FD24" s="42"/>
      <c r="FE24" s="42"/>
      <c r="FF24" s="42"/>
      <c r="FG24" s="42"/>
      <c r="FH24" s="42"/>
      <c r="FI24" s="42"/>
      <c r="FJ24" s="42"/>
    </row>
    <row r="25" ht="15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  <c r="DP25" s="42"/>
      <c r="DQ25" s="42"/>
      <c r="DR25" s="42"/>
      <c r="DS25" s="42"/>
      <c r="DT25" s="42"/>
      <c r="DU25" s="42"/>
      <c r="DV25" s="42"/>
      <c r="DW25" s="42"/>
      <c r="DX25" s="42"/>
      <c r="DY25" s="42"/>
      <c r="DZ25" s="42"/>
      <c r="EA25" s="42"/>
      <c r="EB25" s="42"/>
      <c r="EC25" s="42"/>
      <c r="ED25" s="42"/>
      <c r="EE25" s="42"/>
      <c r="EF25" s="42"/>
      <c r="EG25" s="42"/>
      <c r="EH25" s="42"/>
      <c r="EI25" s="42"/>
      <c r="EJ25" s="42"/>
      <c r="EK25" s="42"/>
      <c r="EL25" s="42"/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J25" s="42"/>
    </row>
    <row r="26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2"/>
      <c r="FF26" s="42"/>
      <c r="FG26" s="42"/>
      <c r="FH26" s="42"/>
      <c r="FI26" s="42"/>
      <c r="FJ26" s="42"/>
    </row>
    <row r="27" ht="15.75" customHeight="1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/>
      <c r="EN27" s="42"/>
      <c r="EO27" s="42"/>
      <c r="EP27" s="42"/>
      <c r="EQ27" s="42"/>
      <c r="ER27" s="42"/>
      <c r="ES27" s="42"/>
      <c r="ET27" s="42"/>
      <c r="EU27" s="42"/>
      <c r="EV27" s="42"/>
      <c r="EW27" s="42"/>
      <c r="EX27" s="42"/>
      <c r="EY27" s="42"/>
      <c r="EZ27" s="42"/>
      <c r="FA27" s="42"/>
      <c r="FB27" s="42"/>
      <c r="FC27" s="42"/>
      <c r="FD27" s="42"/>
      <c r="FE27" s="42"/>
      <c r="FF27" s="42"/>
      <c r="FG27" s="42"/>
      <c r="FH27" s="42"/>
      <c r="FI27" s="42"/>
      <c r="FJ27" s="42"/>
    </row>
    <row r="28" ht="15.75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</row>
    <row r="29" ht="15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</row>
    <row r="30" ht="15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42"/>
      <c r="FH30" s="42"/>
      <c r="FI30" s="42"/>
      <c r="FJ30" s="42"/>
    </row>
    <row r="31" ht="15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  <c r="DS31" s="42"/>
      <c r="DT31" s="42"/>
      <c r="DU31" s="42"/>
      <c r="DV31" s="42"/>
      <c r="DW31" s="42"/>
      <c r="DX31" s="42"/>
      <c r="DY31" s="42"/>
      <c r="DZ31" s="42"/>
      <c r="EA31" s="42"/>
      <c r="EB31" s="42"/>
      <c r="EC31" s="42"/>
      <c r="ED31" s="42"/>
      <c r="EE31" s="42"/>
      <c r="EF31" s="42"/>
      <c r="EG31" s="42"/>
      <c r="EH31" s="42"/>
      <c r="EI31" s="42"/>
      <c r="EJ31" s="42"/>
      <c r="EK31" s="42"/>
      <c r="EL31" s="42"/>
      <c r="EM31" s="42"/>
      <c r="EN31" s="42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</row>
    <row r="32" ht="15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 s="42"/>
      <c r="DT32" s="42"/>
      <c r="DU32" s="42"/>
      <c r="DV32" s="42"/>
      <c r="DW32" s="42"/>
      <c r="DX32" s="42"/>
      <c r="DY32" s="42"/>
      <c r="DZ32" s="42"/>
      <c r="EA32" s="42"/>
      <c r="EB32" s="42"/>
      <c r="EC32" s="42"/>
      <c r="ED32" s="42"/>
      <c r="EE32" s="42"/>
      <c r="EF32" s="42"/>
      <c r="EG32" s="42"/>
      <c r="EH32" s="42"/>
      <c r="EI32" s="42"/>
      <c r="EJ32" s="42"/>
      <c r="EK32" s="42"/>
      <c r="EL32" s="42"/>
      <c r="EM32" s="42"/>
      <c r="EN32" s="42"/>
      <c r="EO32" s="42"/>
      <c r="EP32" s="42"/>
      <c r="EQ32" s="42"/>
      <c r="ER32" s="42"/>
      <c r="ES32" s="42"/>
      <c r="ET32" s="42"/>
      <c r="EU32" s="42"/>
      <c r="EV32" s="42"/>
      <c r="EW32" s="42"/>
      <c r="EX32" s="42"/>
      <c r="EY32" s="42"/>
      <c r="EZ32" s="42"/>
      <c r="FA32" s="42"/>
      <c r="FB32" s="42"/>
      <c r="FC32" s="42"/>
      <c r="FD32" s="42"/>
      <c r="FE32" s="42"/>
      <c r="FF32" s="42"/>
      <c r="FG32" s="42"/>
      <c r="FH32" s="42"/>
      <c r="FI32" s="42"/>
      <c r="FJ32" s="42"/>
    </row>
    <row r="33" ht="15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  <c r="DS33" s="42"/>
      <c r="DT33" s="42"/>
      <c r="DU33" s="42"/>
      <c r="DV33" s="42"/>
      <c r="DW33" s="42"/>
      <c r="DX33" s="42"/>
      <c r="DY33" s="42"/>
      <c r="DZ33" s="42"/>
      <c r="EA33" s="42"/>
      <c r="EB33" s="42"/>
      <c r="EC33" s="42"/>
      <c r="ED33" s="42"/>
      <c r="EE33" s="42"/>
      <c r="EF33" s="42"/>
      <c r="EG33" s="42"/>
      <c r="EH33" s="42"/>
      <c r="EI33" s="42"/>
      <c r="EJ33" s="42"/>
      <c r="EK33" s="42"/>
      <c r="EL33" s="42"/>
      <c r="EM33" s="42"/>
      <c r="EN33" s="42"/>
      <c r="EO33" s="42"/>
      <c r="EP33" s="42"/>
      <c r="EQ33" s="42"/>
      <c r="ER33" s="42"/>
      <c r="ES33" s="42"/>
      <c r="ET33" s="42"/>
      <c r="EU33" s="42"/>
      <c r="EV33" s="42"/>
      <c r="EW33" s="42"/>
      <c r="EX33" s="42"/>
      <c r="EY33" s="42"/>
      <c r="EZ33" s="42"/>
      <c r="FA33" s="42"/>
      <c r="FB33" s="42"/>
      <c r="FC33" s="42"/>
      <c r="FD33" s="42"/>
      <c r="FE33" s="42"/>
      <c r="FF33" s="42"/>
      <c r="FG33" s="42"/>
      <c r="FH33" s="42"/>
      <c r="FI33" s="42"/>
      <c r="FJ33" s="42"/>
    </row>
    <row r="34" ht="15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  <c r="DS34" s="42"/>
      <c r="DT34" s="42"/>
      <c r="DU34" s="42"/>
      <c r="DV34" s="42"/>
      <c r="DW34" s="42"/>
      <c r="DX34" s="42"/>
      <c r="DY34" s="42"/>
      <c r="DZ34" s="42"/>
      <c r="EA34" s="42"/>
      <c r="EB34" s="42"/>
      <c r="EC34" s="42"/>
      <c r="ED34" s="42"/>
      <c r="EE34" s="42"/>
      <c r="EF34" s="42"/>
      <c r="EG34" s="42"/>
      <c r="EH34" s="42"/>
      <c r="EI34" s="42"/>
      <c r="EJ34" s="42"/>
      <c r="EK34" s="42"/>
      <c r="EL34" s="42"/>
      <c r="EM34" s="42"/>
      <c r="EN34" s="42"/>
      <c r="EO34" s="42"/>
      <c r="EP34" s="42"/>
      <c r="EQ34" s="42"/>
      <c r="ER34" s="42"/>
      <c r="ES34" s="42"/>
      <c r="ET34" s="42"/>
      <c r="EU34" s="42"/>
      <c r="EV34" s="42"/>
      <c r="EW34" s="42"/>
      <c r="EX34" s="42"/>
      <c r="EY34" s="42"/>
      <c r="EZ34" s="42"/>
      <c r="FA34" s="42"/>
      <c r="FB34" s="42"/>
      <c r="FC34" s="42"/>
      <c r="FD34" s="42"/>
      <c r="FE34" s="42"/>
      <c r="FF34" s="42"/>
      <c r="FG34" s="42"/>
      <c r="FH34" s="42"/>
      <c r="FI34" s="42"/>
      <c r="FJ34" s="42"/>
    </row>
    <row r="35" ht="15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42"/>
      <c r="DT35" s="42"/>
      <c r="DU35" s="42"/>
      <c r="DV35" s="42"/>
      <c r="DW35" s="42"/>
      <c r="DX35" s="42"/>
      <c r="DY35" s="42"/>
      <c r="DZ35" s="42"/>
      <c r="EA35" s="42"/>
      <c r="EB35" s="42"/>
      <c r="EC35" s="42"/>
      <c r="ED35" s="42"/>
      <c r="EE35" s="42"/>
      <c r="EF35" s="42"/>
      <c r="EG35" s="42"/>
      <c r="EH35" s="42"/>
      <c r="EI35" s="42"/>
      <c r="EJ35" s="42"/>
      <c r="EK35" s="42"/>
      <c r="EL35" s="42"/>
      <c r="EM35" s="42"/>
      <c r="EN35" s="42"/>
      <c r="EO35" s="42"/>
      <c r="EP35" s="42"/>
      <c r="EQ35" s="42"/>
      <c r="ER35" s="42"/>
      <c r="ES35" s="42"/>
      <c r="ET35" s="42"/>
      <c r="EU35" s="42"/>
      <c r="EV35" s="42"/>
      <c r="EW35" s="42"/>
      <c r="EX35" s="42"/>
      <c r="EY35" s="42"/>
      <c r="EZ35" s="42"/>
      <c r="FA35" s="42"/>
      <c r="FB35" s="42"/>
      <c r="FC35" s="42"/>
      <c r="FD35" s="42"/>
      <c r="FE35" s="42"/>
      <c r="FF35" s="42"/>
      <c r="FG35" s="42"/>
      <c r="FH35" s="42"/>
      <c r="FI35" s="42"/>
      <c r="FJ35" s="42"/>
    </row>
    <row r="36" ht="15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2"/>
      <c r="DY36" s="42"/>
      <c r="DZ36" s="42"/>
      <c r="EA36" s="42"/>
      <c r="EB36" s="42"/>
      <c r="EC36" s="42"/>
      <c r="ED36" s="42"/>
      <c r="EE36" s="42"/>
      <c r="EF36" s="42"/>
      <c r="EG36" s="42"/>
      <c r="EH36" s="42"/>
      <c r="EI36" s="42"/>
      <c r="EJ36" s="42"/>
      <c r="EK36" s="42"/>
      <c r="EL36" s="42"/>
      <c r="EM36" s="42"/>
      <c r="EN36" s="42"/>
      <c r="EO36" s="42"/>
      <c r="EP36" s="42"/>
      <c r="EQ36" s="42"/>
      <c r="ER36" s="42"/>
      <c r="ES36" s="42"/>
      <c r="ET36" s="42"/>
      <c r="EU36" s="42"/>
      <c r="EV36" s="42"/>
      <c r="EW36" s="42"/>
      <c r="EX36" s="42"/>
      <c r="EY36" s="42"/>
      <c r="EZ36" s="42"/>
      <c r="FA36" s="42"/>
      <c r="FB36" s="42"/>
      <c r="FC36" s="42"/>
      <c r="FD36" s="42"/>
      <c r="FE36" s="42"/>
      <c r="FF36" s="42"/>
      <c r="FG36" s="42"/>
      <c r="FH36" s="42"/>
      <c r="FI36" s="42"/>
      <c r="FJ36" s="42"/>
    </row>
    <row r="37" ht="15.7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/>
      <c r="EL37" s="42"/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</row>
    <row r="38" ht="15.7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  <c r="DS38" s="42"/>
      <c r="DT38" s="42"/>
      <c r="DU38" s="42"/>
      <c r="DV38" s="42"/>
      <c r="DW38" s="42"/>
      <c r="DX38" s="42"/>
      <c r="DY38" s="42"/>
      <c r="DZ38" s="42"/>
      <c r="EA38" s="42"/>
      <c r="EB38" s="42"/>
      <c r="EC38" s="42"/>
      <c r="ED38" s="42"/>
      <c r="EE38" s="42"/>
      <c r="EF38" s="42"/>
      <c r="EG38" s="42"/>
      <c r="EH38" s="42"/>
      <c r="EI38" s="42"/>
      <c r="EJ38" s="42"/>
      <c r="EK38" s="42"/>
      <c r="EL38" s="42"/>
      <c r="EM38" s="42"/>
      <c r="EN38" s="42"/>
      <c r="EO38" s="42"/>
      <c r="EP38" s="42"/>
      <c r="EQ38" s="42"/>
      <c r="ER38" s="42"/>
      <c r="ES38" s="42"/>
      <c r="ET38" s="42"/>
      <c r="EU38" s="42"/>
      <c r="EV38" s="42"/>
      <c r="EW38" s="42"/>
      <c r="EX38" s="42"/>
      <c r="EY38" s="42"/>
      <c r="EZ38" s="42"/>
      <c r="FA38" s="42"/>
      <c r="FB38" s="42"/>
      <c r="FC38" s="42"/>
      <c r="FD38" s="42"/>
      <c r="FE38" s="42"/>
      <c r="FF38" s="42"/>
      <c r="FG38" s="42"/>
      <c r="FH38" s="42"/>
      <c r="FI38" s="42"/>
      <c r="FJ38" s="42"/>
    </row>
    <row r="39" ht="15.7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</row>
    <row r="40" ht="15.7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  <c r="DS40" s="42"/>
      <c r="DT40" s="42"/>
      <c r="DU40" s="42"/>
      <c r="DV40" s="42"/>
      <c r="DW40" s="42"/>
      <c r="DX40" s="42"/>
      <c r="DY40" s="42"/>
      <c r="DZ40" s="42"/>
      <c r="EA40" s="42"/>
      <c r="EB40" s="42"/>
      <c r="EC40" s="42"/>
      <c r="ED40" s="42"/>
      <c r="EE40" s="42"/>
      <c r="EF40" s="42"/>
      <c r="EG40" s="42"/>
      <c r="EH40" s="42"/>
      <c r="EI40" s="42"/>
      <c r="EJ40" s="42"/>
      <c r="EK40" s="42"/>
      <c r="EL40" s="42"/>
      <c r="EM40" s="42"/>
      <c r="EN40" s="42"/>
      <c r="EO40" s="42"/>
      <c r="EP40" s="42"/>
      <c r="EQ40" s="42"/>
      <c r="ER40" s="42"/>
      <c r="ES40" s="42"/>
      <c r="ET40" s="42"/>
      <c r="EU40" s="42"/>
      <c r="EV40" s="42"/>
      <c r="EW40" s="42"/>
      <c r="EX40" s="42"/>
      <c r="EY40" s="42"/>
      <c r="EZ40" s="42"/>
      <c r="FA40" s="42"/>
      <c r="FB40" s="42"/>
      <c r="FC40" s="42"/>
      <c r="FD40" s="42"/>
      <c r="FE40" s="42"/>
      <c r="FF40" s="42"/>
      <c r="FG40" s="42"/>
      <c r="FH40" s="42"/>
      <c r="FI40" s="42"/>
      <c r="FJ40" s="42"/>
    </row>
    <row r="41" ht="15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 s="42"/>
      <c r="DT41" s="42"/>
      <c r="DU41" s="42"/>
      <c r="DV41" s="42"/>
      <c r="DW41" s="42"/>
      <c r="DX41" s="42"/>
      <c r="DY41" s="42"/>
      <c r="DZ41" s="42"/>
      <c r="EA41" s="42"/>
      <c r="EB41" s="42"/>
      <c r="EC41" s="42"/>
      <c r="ED41" s="42"/>
      <c r="EE41" s="42"/>
      <c r="EF41" s="42"/>
      <c r="EG41" s="42"/>
      <c r="EH41" s="42"/>
      <c r="EI41" s="42"/>
      <c r="EJ41" s="42"/>
      <c r="EK41" s="42"/>
      <c r="EL41" s="42"/>
      <c r="EM41" s="42"/>
      <c r="EN41" s="42"/>
      <c r="EO41" s="42"/>
      <c r="EP41" s="42"/>
      <c r="EQ41" s="42"/>
      <c r="ER41" s="42"/>
      <c r="ES41" s="42"/>
      <c r="ET41" s="42"/>
      <c r="EU41" s="42"/>
      <c r="EV41" s="42"/>
      <c r="EW41" s="42"/>
      <c r="EX41" s="42"/>
      <c r="EY41" s="42"/>
      <c r="EZ41" s="42"/>
      <c r="FA41" s="42"/>
      <c r="FB41" s="42"/>
      <c r="FC41" s="42"/>
      <c r="FD41" s="42"/>
      <c r="FE41" s="42"/>
      <c r="FF41" s="42"/>
      <c r="FG41" s="42"/>
      <c r="FH41" s="42"/>
      <c r="FI41" s="42"/>
      <c r="FJ41" s="42"/>
    </row>
    <row r="42" ht="15.7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42"/>
      <c r="EI42" s="42"/>
      <c r="EJ42" s="42"/>
      <c r="EK42" s="42"/>
      <c r="EL42" s="42"/>
      <c r="EM42" s="42"/>
      <c r="EN42" s="42"/>
      <c r="EO42" s="42"/>
      <c r="EP42" s="42"/>
      <c r="EQ42" s="42"/>
      <c r="ER42" s="42"/>
      <c r="ES42" s="42"/>
      <c r="ET42" s="42"/>
      <c r="EU42" s="42"/>
      <c r="EV42" s="42"/>
      <c r="EW42" s="42"/>
      <c r="EX42" s="42"/>
      <c r="EY42" s="42"/>
      <c r="EZ42" s="42"/>
      <c r="FA42" s="42"/>
      <c r="FB42" s="42"/>
      <c r="FC42" s="42"/>
      <c r="FD42" s="42"/>
      <c r="FE42" s="42"/>
      <c r="FF42" s="42"/>
      <c r="FG42" s="42"/>
      <c r="FH42" s="42"/>
      <c r="FI42" s="42"/>
      <c r="FJ42" s="42"/>
    </row>
    <row r="43" ht="15.7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/>
      <c r="CY43" s="42"/>
      <c r="CZ43" s="42"/>
      <c r="DA43" s="42"/>
      <c r="DB43" s="42"/>
      <c r="DC43" s="42"/>
      <c r="DD43" s="42"/>
      <c r="DE43" s="42"/>
      <c r="DF43" s="42"/>
      <c r="DG43" s="42"/>
      <c r="DH43" s="42"/>
      <c r="DI43" s="42"/>
      <c r="DJ43" s="42"/>
      <c r="DK43" s="42"/>
      <c r="DL43" s="42"/>
      <c r="DM43" s="42"/>
      <c r="DN43" s="42"/>
      <c r="DO43" s="42"/>
      <c r="DP43" s="42"/>
      <c r="DQ43" s="42"/>
      <c r="DR43" s="42"/>
      <c r="DS43" s="42"/>
      <c r="DT43" s="42"/>
      <c r="DU43" s="42"/>
      <c r="DV43" s="42"/>
      <c r="DW43" s="42"/>
      <c r="DX43" s="42"/>
      <c r="DY43" s="42"/>
      <c r="DZ43" s="42"/>
      <c r="EA43" s="42"/>
      <c r="EB43" s="42"/>
      <c r="EC43" s="42"/>
      <c r="ED43" s="42"/>
      <c r="EE43" s="42"/>
      <c r="EF43" s="42"/>
      <c r="EG43" s="42"/>
      <c r="EH43" s="42"/>
      <c r="EI43" s="42"/>
      <c r="EJ43" s="42"/>
      <c r="EK43" s="42"/>
      <c r="EL43" s="42"/>
      <c r="EM43" s="42"/>
      <c r="EN43" s="42"/>
      <c r="EO43" s="42"/>
      <c r="EP43" s="42"/>
      <c r="EQ43" s="42"/>
      <c r="ER43" s="42"/>
      <c r="ES43" s="42"/>
      <c r="ET43" s="42"/>
      <c r="EU43" s="42"/>
      <c r="EV43" s="42"/>
      <c r="EW43" s="42"/>
      <c r="EX43" s="42"/>
      <c r="EY43" s="42"/>
      <c r="EZ43" s="42"/>
      <c r="FA43" s="42"/>
      <c r="FB43" s="42"/>
      <c r="FC43" s="42"/>
      <c r="FD43" s="42"/>
      <c r="FE43" s="42"/>
      <c r="FF43" s="42"/>
      <c r="FG43" s="42"/>
      <c r="FH43" s="42"/>
      <c r="FI43" s="42"/>
      <c r="FJ43" s="42"/>
    </row>
    <row r="44" ht="15.7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  <c r="CX44" s="42"/>
      <c r="CY44" s="42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42"/>
      <c r="DN44" s="42"/>
      <c r="DO44" s="42"/>
      <c r="DP44" s="42"/>
      <c r="DQ44" s="42"/>
      <c r="DR44" s="42"/>
      <c r="DS44" s="42"/>
      <c r="DT44" s="42"/>
      <c r="DU44" s="42"/>
      <c r="DV44" s="42"/>
      <c r="DW44" s="42"/>
      <c r="DX44" s="42"/>
      <c r="DY44" s="42"/>
      <c r="DZ44" s="42"/>
      <c r="EA44" s="42"/>
      <c r="EB44" s="42"/>
      <c r="EC44" s="42"/>
      <c r="ED44" s="42"/>
      <c r="EE44" s="42"/>
      <c r="EF44" s="42"/>
      <c r="EG44" s="42"/>
      <c r="EH44" s="42"/>
      <c r="EI44" s="42"/>
      <c r="EJ44" s="42"/>
      <c r="EK44" s="42"/>
      <c r="EL44" s="42"/>
      <c r="EM44" s="42"/>
      <c r="EN44" s="42"/>
      <c r="EO44" s="42"/>
      <c r="EP44" s="42"/>
      <c r="EQ44" s="42"/>
      <c r="ER44" s="42"/>
      <c r="ES44" s="42"/>
      <c r="ET44" s="42"/>
      <c r="EU44" s="42"/>
      <c r="EV44" s="42"/>
      <c r="EW44" s="42"/>
      <c r="EX44" s="42"/>
      <c r="EY44" s="42"/>
      <c r="EZ44" s="42"/>
      <c r="FA44" s="42"/>
      <c r="FB44" s="42"/>
      <c r="FC44" s="42"/>
      <c r="FD44" s="42"/>
      <c r="FE44" s="42"/>
      <c r="FF44" s="42"/>
      <c r="FG44" s="42"/>
      <c r="FH44" s="42"/>
      <c r="FI44" s="42"/>
      <c r="FJ44" s="42"/>
    </row>
    <row r="45" ht="15.7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  <c r="DQ45" s="42"/>
      <c r="DR45" s="42"/>
      <c r="DS45" s="42"/>
      <c r="DT45" s="42"/>
      <c r="DU45" s="42"/>
      <c r="DV45" s="42"/>
      <c r="DW45" s="42"/>
      <c r="DX45" s="42"/>
      <c r="DY45" s="42"/>
      <c r="DZ45" s="42"/>
      <c r="EA45" s="42"/>
      <c r="EB45" s="42"/>
      <c r="EC45" s="42"/>
      <c r="ED45" s="42"/>
      <c r="EE45" s="42"/>
      <c r="EF45" s="42"/>
      <c r="EG45" s="42"/>
      <c r="EH45" s="42"/>
      <c r="EI45" s="42"/>
      <c r="EJ45" s="42"/>
      <c r="EK45" s="42"/>
      <c r="EL45" s="42"/>
      <c r="EM45" s="42"/>
      <c r="EN45" s="42"/>
      <c r="EO45" s="42"/>
      <c r="EP45" s="42"/>
      <c r="EQ45" s="42"/>
      <c r="ER45" s="42"/>
      <c r="ES45" s="42"/>
      <c r="ET45" s="42"/>
      <c r="EU45" s="42"/>
      <c r="EV45" s="42"/>
      <c r="EW45" s="42"/>
      <c r="EX45" s="42"/>
      <c r="EY45" s="42"/>
      <c r="EZ45" s="42"/>
      <c r="FA45" s="42"/>
      <c r="FB45" s="42"/>
      <c r="FC45" s="42"/>
      <c r="FD45" s="42"/>
      <c r="FE45" s="42"/>
      <c r="FF45" s="42"/>
      <c r="FG45" s="42"/>
      <c r="FH45" s="42"/>
      <c r="FI45" s="42"/>
      <c r="FJ45" s="42"/>
    </row>
    <row r="4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/>
      <c r="CY46" s="42"/>
      <c r="CZ46" s="42"/>
      <c r="DA46" s="42"/>
      <c r="DB46" s="42"/>
      <c r="DC46" s="42"/>
      <c r="DD46" s="42"/>
      <c r="DE46" s="42"/>
      <c r="DF46" s="42"/>
      <c r="DG46" s="42"/>
      <c r="DH46" s="42"/>
      <c r="DI46" s="42"/>
      <c r="DJ46" s="42"/>
      <c r="DK46" s="42"/>
      <c r="DL46" s="42"/>
      <c r="DM46" s="42"/>
      <c r="DN46" s="42"/>
      <c r="DO46" s="42"/>
      <c r="DP46" s="42"/>
      <c r="DQ46" s="42"/>
      <c r="DR46" s="42"/>
      <c r="DS46" s="42"/>
      <c r="DT46" s="42"/>
      <c r="DU46" s="42"/>
      <c r="DV46" s="42"/>
      <c r="DW46" s="42"/>
      <c r="DX46" s="42"/>
      <c r="DY46" s="42"/>
      <c r="DZ46" s="42"/>
      <c r="EA46" s="42"/>
      <c r="EB46" s="42"/>
      <c r="EC46" s="42"/>
      <c r="ED46" s="42"/>
      <c r="EE46" s="42"/>
      <c r="EF46" s="42"/>
      <c r="EG46" s="42"/>
      <c r="EH46" s="42"/>
      <c r="EI46" s="42"/>
      <c r="EJ46" s="42"/>
      <c r="EK46" s="42"/>
      <c r="EL46" s="42"/>
      <c r="EM46" s="42"/>
      <c r="EN46" s="42"/>
      <c r="EO46" s="42"/>
      <c r="EP46" s="42"/>
      <c r="EQ46" s="42"/>
      <c r="ER46" s="42"/>
      <c r="ES46" s="42"/>
      <c r="ET46" s="42"/>
      <c r="EU46" s="42"/>
      <c r="EV46" s="42"/>
      <c r="EW46" s="42"/>
      <c r="EX46" s="42"/>
      <c r="EY46" s="42"/>
      <c r="EZ46" s="42"/>
      <c r="FA46" s="42"/>
      <c r="FB46" s="42"/>
      <c r="FC46" s="42"/>
      <c r="FD46" s="42"/>
      <c r="FE46" s="42"/>
      <c r="FF46" s="42"/>
      <c r="FG46" s="42"/>
      <c r="FH46" s="42"/>
      <c r="FI46" s="42"/>
      <c r="FJ46" s="42"/>
    </row>
    <row r="47" ht="15.7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  <c r="DL47" s="42"/>
      <c r="DM47" s="42"/>
      <c r="DN47" s="42"/>
      <c r="DO47" s="42"/>
      <c r="DP47" s="42"/>
      <c r="DQ47" s="42"/>
      <c r="DR47" s="42"/>
      <c r="DS47" s="42"/>
      <c r="DT47" s="42"/>
      <c r="DU47" s="42"/>
      <c r="DV47" s="42"/>
      <c r="DW47" s="42"/>
      <c r="DX47" s="42"/>
      <c r="DY47" s="42"/>
      <c r="DZ47" s="42"/>
      <c r="EA47" s="42"/>
      <c r="EB47" s="42"/>
      <c r="EC47" s="42"/>
      <c r="ED47" s="42"/>
      <c r="EE47" s="42"/>
      <c r="EF47" s="42"/>
      <c r="EG47" s="42"/>
      <c r="EH47" s="42"/>
      <c r="EI47" s="42"/>
      <c r="EJ47" s="42"/>
      <c r="EK47" s="42"/>
      <c r="EL47" s="42"/>
      <c r="EM47" s="42"/>
      <c r="EN47" s="42"/>
      <c r="EO47" s="42"/>
      <c r="EP47" s="42"/>
      <c r="EQ47" s="42"/>
      <c r="ER47" s="42"/>
      <c r="ES47" s="42"/>
      <c r="ET47" s="42"/>
      <c r="EU47" s="42"/>
      <c r="EV47" s="42"/>
      <c r="EW47" s="42"/>
      <c r="EX47" s="42"/>
      <c r="EY47" s="42"/>
      <c r="EZ47" s="42"/>
      <c r="FA47" s="42"/>
      <c r="FB47" s="42"/>
      <c r="FC47" s="42"/>
      <c r="FD47" s="42"/>
      <c r="FE47" s="42"/>
      <c r="FF47" s="42"/>
      <c r="FG47" s="42"/>
      <c r="FH47" s="42"/>
      <c r="FI47" s="42"/>
      <c r="FJ47" s="42"/>
    </row>
    <row r="48" ht="15.7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2"/>
      <c r="CL48" s="42"/>
      <c r="CM48" s="42"/>
      <c r="CN48" s="42"/>
      <c r="CO48" s="42"/>
      <c r="CP48" s="42"/>
      <c r="CQ48" s="42"/>
      <c r="CR48" s="42"/>
      <c r="CS48" s="42"/>
      <c r="CT48" s="42"/>
      <c r="CU48" s="42"/>
      <c r="CV48" s="42"/>
      <c r="CW48" s="42"/>
      <c r="CX48" s="42"/>
      <c r="CY48" s="42"/>
      <c r="CZ48" s="42"/>
      <c r="DA48" s="42"/>
      <c r="DB48" s="42"/>
      <c r="DC48" s="42"/>
      <c r="DD48" s="42"/>
      <c r="DE48" s="42"/>
      <c r="DF48" s="42"/>
      <c r="DG48" s="42"/>
      <c r="DH48" s="42"/>
      <c r="DI48" s="42"/>
      <c r="DJ48" s="42"/>
      <c r="DK48" s="42"/>
      <c r="DL48" s="42"/>
      <c r="DM48" s="42"/>
      <c r="DN48" s="42"/>
      <c r="DO48" s="42"/>
      <c r="DP48" s="42"/>
      <c r="DQ48" s="42"/>
      <c r="DR48" s="42"/>
      <c r="DS48" s="42"/>
      <c r="DT48" s="42"/>
      <c r="DU48" s="42"/>
      <c r="DV48" s="42"/>
      <c r="DW48" s="42"/>
      <c r="DX48" s="42"/>
      <c r="DY48" s="42"/>
      <c r="DZ48" s="42"/>
      <c r="EA48" s="42"/>
      <c r="EB48" s="42"/>
      <c r="EC48" s="42"/>
      <c r="ED48" s="42"/>
      <c r="EE48" s="42"/>
      <c r="EF48" s="42"/>
      <c r="EG48" s="42"/>
      <c r="EH48" s="42"/>
      <c r="EI48" s="42"/>
      <c r="EJ48" s="42"/>
      <c r="EK48" s="42"/>
      <c r="EL48" s="42"/>
      <c r="EM48" s="42"/>
      <c r="EN48" s="42"/>
      <c r="EO48" s="42"/>
      <c r="EP48" s="42"/>
      <c r="EQ48" s="42"/>
      <c r="ER48" s="42"/>
      <c r="ES48" s="42"/>
      <c r="ET48" s="42"/>
      <c r="EU48" s="42"/>
      <c r="EV48" s="42"/>
      <c r="EW48" s="42"/>
      <c r="EX48" s="42"/>
      <c r="EY48" s="42"/>
      <c r="EZ48" s="42"/>
      <c r="FA48" s="42"/>
      <c r="FB48" s="42"/>
      <c r="FC48" s="42"/>
      <c r="FD48" s="42"/>
      <c r="FE48" s="42"/>
      <c r="FF48" s="42"/>
      <c r="FG48" s="42"/>
      <c r="FH48" s="42"/>
      <c r="FI48" s="42"/>
      <c r="FJ48" s="42"/>
    </row>
    <row r="49" ht="15.7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/>
      <c r="CY49" s="42"/>
      <c r="CZ49" s="42"/>
      <c r="DA49" s="42"/>
      <c r="DB49" s="42"/>
      <c r="DC49" s="42"/>
      <c r="DD49" s="42"/>
      <c r="DE49" s="42"/>
      <c r="DF49" s="42"/>
      <c r="DG49" s="42"/>
      <c r="DH49" s="42"/>
      <c r="DI49" s="42"/>
      <c r="DJ49" s="42"/>
      <c r="DK49" s="42"/>
      <c r="DL49" s="42"/>
      <c r="DM49" s="42"/>
      <c r="DN49" s="42"/>
      <c r="DO49" s="42"/>
      <c r="DP49" s="42"/>
      <c r="DQ49" s="42"/>
      <c r="DR49" s="42"/>
      <c r="DS49" s="42"/>
      <c r="DT49" s="42"/>
      <c r="DU49" s="42"/>
      <c r="DV49" s="42"/>
      <c r="DW49" s="42"/>
      <c r="DX49" s="42"/>
      <c r="DY49" s="42"/>
      <c r="DZ49" s="42"/>
      <c r="EA49" s="42"/>
      <c r="EB49" s="42"/>
      <c r="EC49" s="42"/>
      <c r="ED49" s="42"/>
      <c r="EE49" s="42"/>
      <c r="EF49" s="42"/>
      <c r="EG49" s="42"/>
      <c r="EH49" s="42"/>
      <c r="EI49" s="42"/>
      <c r="EJ49" s="42"/>
      <c r="EK49" s="42"/>
      <c r="EL49" s="42"/>
      <c r="EM49" s="42"/>
      <c r="EN49" s="42"/>
      <c r="EO49" s="42"/>
      <c r="EP49" s="42"/>
      <c r="EQ49" s="42"/>
      <c r="ER49" s="42"/>
      <c r="ES49" s="42"/>
      <c r="ET49" s="42"/>
      <c r="EU49" s="42"/>
      <c r="EV49" s="42"/>
      <c r="EW49" s="42"/>
      <c r="EX49" s="42"/>
      <c r="EY49" s="42"/>
      <c r="EZ49" s="42"/>
      <c r="FA49" s="42"/>
      <c r="FB49" s="42"/>
      <c r="FC49" s="42"/>
      <c r="FD49" s="42"/>
      <c r="FE49" s="42"/>
      <c r="FF49" s="42"/>
      <c r="FG49" s="42"/>
      <c r="FH49" s="42"/>
      <c r="FI49" s="42"/>
      <c r="FJ49" s="42"/>
    </row>
    <row r="50" ht="15.7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  <c r="CP50" s="42"/>
      <c r="CQ50" s="42"/>
      <c r="CR50" s="42"/>
      <c r="CS50" s="42"/>
      <c r="CT50" s="42"/>
      <c r="CU50" s="42"/>
      <c r="CV50" s="42"/>
      <c r="CW50" s="42"/>
      <c r="CX50" s="42"/>
      <c r="CY50" s="42"/>
      <c r="CZ50" s="42"/>
      <c r="DA50" s="42"/>
      <c r="DB50" s="42"/>
      <c r="DC50" s="42"/>
      <c r="DD50" s="42"/>
      <c r="DE50" s="42"/>
      <c r="DF50" s="42"/>
      <c r="DG50" s="42"/>
      <c r="DH50" s="42"/>
      <c r="DI50" s="42"/>
      <c r="DJ50" s="42"/>
      <c r="DK50" s="42"/>
      <c r="DL50" s="42"/>
      <c r="DM50" s="42"/>
      <c r="DN50" s="42"/>
      <c r="DO50" s="42"/>
      <c r="DP50" s="42"/>
      <c r="DQ50" s="42"/>
      <c r="DR50" s="42"/>
      <c r="DS50" s="42"/>
      <c r="DT50" s="42"/>
      <c r="DU50" s="42"/>
      <c r="DV50" s="42"/>
      <c r="DW50" s="42"/>
      <c r="DX50" s="42"/>
      <c r="DY50" s="42"/>
      <c r="DZ50" s="42"/>
      <c r="EA50" s="42"/>
      <c r="EB50" s="42"/>
      <c r="EC50" s="42"/>
      <c r="ED50" s="42"/>
      <c r="EE50" s="42"/>
      <c r="EF50" s="42"/>
      <c r="EG50" s="42"/>
      <c r="EH50" s="42"/>
      <c r="EI50" s="42"/>
      <c r="EJ50" s="42"/>
      <c r="EK50" s="42"/>
      <c r="EL50" s="42"/>
      <c r="EM50" s="42"/>
      <c r="EN50" s="42"/>
      <c r="EO50" s="42"/>
      <c r="EP50" s="42"/>
      <c r="EQ50" s="42"/>
      <c r="ER50" s="42"/>
      <c r="ES50" s="42"/>
      <c r="ET50" s="42"/>
      <c r="EU50" s="42"/>
      <c r="EV50" s="42"/>
      <c r="EW50" s="42"/>
      <c r="EX50" s="42"/>
      <c r="EY50" s="42"/>
      <c r="EZ50" s="42"/>
      <c r="FA50" s="42"/>
      <c r="FB50" s="42"/>
      <c r="FC50" s="42"/>
      <c r="FD50" s="42"/>
      <c r="FE50" s="42"/>
      <c r="FF50" s="42"/>
      <c r="FG50" s="42"/>
      <c r="FH50" s="42"/>
      <c r="FI50" s="42"/>
      <c r="FJ50" s="42"/>
    </row>
    <row r="51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2"/>
      <c r="CS51" s="42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  <c r="DE51" s="42"/>
      <c r="DF51" s="42"/>
      <c r="DG51" s="42"/>
      <c r="DH51" s="42"/>
      <c r="DI51" s="42"/>
      <c r="DJ51" s="42"/>
      <c r="DK51" s="42"/>
      <c r="DL51" s="42"/>
      <c r="DM51" s="42"/>
      <c r="DN51" s="42"/>
      <c r="DO51" s="42"/>
      <c r="DP51" s="42"/>
      <c r="DQ51" s="42"/>
      <c r="DR51" s="42"/>
      <c r="DS51" s="42"/>
      <c r="DT51" s="42"/>
      <c r="DU51" s="42"/>
      <c r="DV51" s="42"/>
      <c r="DW51" s="42"/>
      <c r="DX51" s="42"/>
      <c r="DY51" s="42"/>
      <c r="DZ51" s="42"/>
      <c r="EA51" s="42"/>
      <c r="EB51" s="42"/>
      <c r="EC51" s="42"/>
      <c r="ED51" s="42"/>
      <c r="EE51" s="42"/>
      <c r="EF51" s="42"/>
      <c r="EG51" s="42"/>
      <c r="EH51" s="42"/>
      <c r="EI51" s="42"/>
      <c r="EJ51" s="42"/>
      <c r="EK51" s="42"/>
      <c r="EL51" s="42"/>
      <c r="EM51" s="42"/>
      <c r="EN51" s="42"/>
      <c r="EO51" s="42"/>
      <c r="EP51" s="42"/>
      <c r="EQ51" s="42"/>
      <c r="ER51" s="42"/>
      <c r="ES51" s="42"/>
      <c r="ET51" s="42"/>
      <c r="EU51" s="42"/>
      <c r="EV51" s="42"/>
      <c r="EW51" s="42"/>
      <c r="EX51" s="42"/>
      <c r="EY51" s="42"/>
      <c r="EZ51" s="42"/>
      <c r="FA51" s="42"/>
      <c r="FB51" s="42"/>
      <c r="FC51" s="42"/>
      <c r="FD51" s="42"/>
      <c r="FE51" s="42"/>
      <c r="FF51" s="42"/>
      <c r="FG51" s="42"/>
      <c r="FH51" s="42"/>
      <c r="FI51" s="42"/>
      <c r="FJ51" s="42"/>
    </row>
    <row r="52" ht="15.7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/>
      <c r="CY52" s="42"/>
      <c r="CZ52" s="42"/>
      <c r="DA52" s="42"/>
      <c r="DB52" s="42"/>
      <c r="DC52" s="42"/>
      <c r="DD52" s="42"/>
      <c r="DE52" s="42"/>
      <c r="DF52" s="42"/>
      <c r="DG52" s="42"/>
      <c r="DH52" s="42"/>
      <c r="DI52" s="42"/>
      <c r="DJ52" s="42"/>
      <c r="DK52" s="42"/>
      <c r="DL52" s="42"/>
      <c r="DM52" s="42"/>
      <c r="DN52" s="42"/>
      <c r="DO52" s="42"/>
      <c r="DP52" s="42"/>
      <c r="DQ52" s="42"/>
      <c r="DR52" s="42"/>
      <c r="DS52" s="42"/>
      <c r="DT52" s="42"/>
      <c r="DU52" s="42"/>
      <c r="DV52" s="42"/>
      <c r="DW52" s="42"/>
      <c r="DX52" s="42"/>
      <c r="DY52" s="42"/>
      <c r="DZ52" s="42"/>
      <c r="EA52" s="42"/>
      <c r="EB52" s="42"/>
      <c r="EC52" s="42"/>
      <c r="ED52" s="42"/>
      <c r="EE52" s="42"/>
      <c r="EF52" s="42"/>
      <c r="EG52" s="42"/>
      <c r="EH52" s="42"/>
      <c r="EI52" s="42"/>
      <c r="EJ52" s="42"/>
      <c r="EK52" s="42"/>
      <c r="EL52" s="42"/>
      <c r="EM52" s="42"/>
      <c r="EN52" s="42"/>
      <c r="EO52" s="42"/>
      <c r="EP52" s="42"/>
      <c r="EQ52" s="42"/>
      <c r="ER52" s="42"/>
      <c r="ES52" s="42"/>
      <c r="ET52" s="42"/>
      <c r="EU52" s="42"/>
      <c r="EV52" s="42"/>
      <c r="EW52" s="42"/>
      <c r="EX52" s="42"/>
      <c r="EY52" s="42"/>
      <c r="EZ52" s="42"/>
      <c r="FA52" s="42"/>
      <c r="FB52" s="42"/>
      <c r="FC52" s="42"/>
      <c r="FD52" s="42"/>
      <c r="FE52" s="42"/>
      <c r="FF52" s="42"/>
      <c r="FG52" s="42"/>
      <c r="FH52" s="42"/>
      <c r="FI52" s="42"/>
      <c r="FJ52" s="42"/>
    </row>
    <row r="53" ht="15.7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  <c r="DL53" s="42"/>
      <c r="DM53" s="42"/>
      <c r="DN53" s="42"/>
      <c r="DO53" s="42"/>
      <c r="DP53" s="42"/>
      <c r="DQ53" s="42"/>
      <c r="DR53" s="42"/>
      <c r="DS53" s="42"/>
      <c r="DT53" s="42"/>
      <c r="DU53" s="42"/>
      <c r="DV53" s="42"/>
      <c r="DW53" s="42"/>
      <c r="DX53" s="42"/>
      <c r="DY53" s="42"/>
      <c r="DZ53" s="42"/>
      <c r="EA53" s="42"/>
      <c r="EB53" s="42"/>
      <c r="EC53" s="42"/>
      <c r="ED53" s="42"/>
      <c r="EE53" s="42"/>
      <c r="EF53" s="42"/>
      <c r="EG53" s="42"/>
      <c r="EH53" s="42"/>
      <c r="EI53" s="42"/>
      <c r="EJ53" s="42"/>
      <c r="EK53" s="42"/>
      <c r="EL53" s="42"/>
      <c r="EM53" s="42"/>
      <c r="EN53" s="42"/>
      <c r="EO53" s="42"/>
      <c r="EP53" s="42"/>
      <c r="EQ53" s="42"/>
      <c r="ER53" s="42"/>
      <c r="ES53" s="42"/>
      <c r="ET53" s="42"/>
      <c r="EU53" s="42"/>
      <c r="EV53" s="42"/>
      <c r="EW53" s="42"/>
      <c r="EX53" s="42"/>
      <c r="EY53" s="42"/>
      <c r="EZ53" s="42"/>
      <c r="FA53" s="42"/>
      <c r="FB53" s="42"/>
      <c r="FC53" s="42"/>
      <c r="FD53" s="42"/>
      <c r="FE53" s="42"/>
      <c r="FF53" s="42"/>
      <c r="FG53" s="42"/>
      <c r="FH53" s="42"/>
      <c r="FI53" s="42"/>
      <c r="FJ53" s="42"/>
    </row>
    <row r="54" ht="15.7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2"/>
      <c r="DJ54" s="42"/>
      <c r="DK54" s="42"/>
      <c r="DL54" s="42"/>
      <c r="DM54" s="42"/>
      <c r="DN54" s="42"/>
      <c r="DO54" s="42"/>
      <c r="DP54" s="42"/>
      <c r="DQ54" s="42"/>
      <c r="DR54" s="42"/>
      <c r="DS54" s="42"/>
      <c r="DT54" s="42"/>
      <c r="DU54" s="42"/>
      <c r="DV54" s="42"/>
      <c r="DW54" s="42"/>
      <c r="DX54" s="42"/>
      <c r="DY54" s="42"/>
      <c r="DZ54" s="42"/>
      <c r="EA54" s="42"/>
      <c r="EB54" s="42"/>
      <c r="EC54" s="42"/>
      <c r="ED54" s="42"/>
      <c r="EE54" s="42"/>
      <c r="EF54" s="42"/>
      <c r="EG54" s="42"/>
      <c r="EH54" s="42"/>
      <c r="EI54" s="42"/>
      <c r="EJ54" s="42"/>
      <c r="EK54" s="42"/>
      <c r="EL54" s="42"/>
      <c r="EM54" s="42"/>
      <c r="EN54" s="42"/>
      <c r="EO54" s="42"/>
      <c r="EP54" s="42"/>
      <c r="EQ54" s="42"/>
      <c r="ER54" s="42"/>
      <c r="ES54" s="42"/>
      <c r="ET54" s="42"/>
      <c r="EU54" s="42"/>
      <c r="EV54" s="42"/>
      <c r="EW54" s="42"/>
      <c r="EX54" s="42"/>
      <c r="EY54" s="42"/>
      <c r="EZ54" s="42"/>
      <c r="FA54" s="42"/>
      <c r="FB54" s="42"/>
      <c r="FC54" s="42"/>
      <c r="FD54" s="42"/>
      <c r="FE54" s="42"/>
      <c r="FF54" s="42"/>
      <c r="FG54" s="42"/>
      <c r="FH54" s="42"/>
      <c r="FI54" s="42"/>
      <c r="FJ54" s="42"/>
    </row>
    <row r="55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  <c r="DL55" s="42"/>
      <c r="DM55" s="42"/>
      <c r="DN55" s="42"/>
      <c r="DO55" s="42"/>
      <c r="DP55" s="42"/>
      <c r="DQ55" s="42"/>
      <c r="DR55" s="42"/>
      <c r="DS55" s="42"/>
      <c r="DT55" s="42"/>
      <c r="DU55" s="42"/>
      <c r="DV55" s="42"/>
      <c r="DW55" s="42"/>
      <c r="DX55" s="42"/>
      <c r="DY55" s="42"/>
      <c r="DZ55" s="42"/>
      <c r="EA55" s="42"/>
      <c r="EB55" s="42"/>
      <c r="EC55" s="42"/>
      <c r="ED55" s="42"/>
      <c r="EE55" s="42"/>
      <c r="EF55" s="42"/>
      <c r="EG55" s="42"/>
      <c r="EH55" s="42"/>
      <c r="EI55" s="42"/>
      <c r="EJ55" s="42"/>
      <c r="EK55" s="42"/>
      <c r="EL55" s="42"/>
      <c r="EM55" s="42"/>
      <c r="EN55" s="42"/>
      <c r="EO55" s="42"/>
      <c r="EP55" s="42"/>
      <c r="EQ55" s="42"/>
      <c r="ER55" s="42"/>
      <c r="ES55" s="42"/>
      <c r="ET55" s="42"/>
      <c r="EU55" s="42"/>
      <c r="EV55" s="42"/>
      <c r="EW55" s="42"/>
      <c r="EX55" s="42"/>
      <c r="EY55" s="42"/>
      <c r="EZ55" s="42"/>
      <c r="FA55" s="42"/>
      <c r="FB55" s="42"/>
      <c r="FC55" s="42"/>
      <c r="FD55" s="42"/>
      <c r="FE55" s="42"/>
      <c r="FF55" s="42"/>
      <c r="FG55" s="42"/>
      <c r="FH55" s="42"/>
      <c r="FI55" s="42"/>
      <c r="FJ55" s="42"/>
    </row>
    <row r="56" ht="15.7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2"/>
      <c r="DJ56" s="42"/>
      <c r="DK56" s="42"/>
      <c r="DL56" s="42"/>
      <c r="DM56" s="42"/>
      <c r="DN56" s="42"/>
      <c r="DO56" s="42"/>
      <c r="DP56" s="42"/>
      <c r="DQ56" s="42"/>
      <c r="DR56" s="42"/>
      <c r="DS56" s="42"/>
      <c r="DT56" s="42"/>
      <c r="DU56" s="42"/>
      <c r="DV56" s="42"/>
      <c r="DW56" s="42"/>
      <c r="DX56" s="42"/>
      <c r="DY56" s="42"/>
      <c r="DZ56" s="42"/>
      <c r="EA56" s="42"/>
      <c r="EB56" s="42"/>
      <c r="EC56" s="42"/>
      <c r="ED56" s="42"/>
      <c r="EE56" s="42"/>
      <c r="EF56" s="42"/>
      <c r="EG56" s="42"/>
      <c r="EH56" s="42"/>
      <c r="EI56" s="42"/>
      <c r="EJ56" s="42"/>
      <c r="EK56" s="42"/>
      <c r="EL56" s="42"/>
      <c r="EM56" s="42"/>
      <c r="EN56" s="42"/>
      <c r="EO56" s="42"/>
      <c r="EP56" s="42"/>
      <c r="EQ56" s="42"/>
      <c r="ER56" s="42"/>
      <c r="ES56" s="42"/>
      <c r="ET56" s="42"/>
      <c r="EU56" s="42"/>
      <c r="EV56" s="42"/>
      <c r="EW56" s="42"/>
      <c r="EX56" s="42"/>
      <c r="EY56" s="42"/>
      <c r="EZ56" s="42"/>
      <c r="FA56" s="42"/>
      <c r="FB56" s="42"/>
      <c r="FC56" s="42"/>
      <c r="FD56" s="42"/>
      <c r="FE56" s="42"/>
      <c r="FF56" s="42"/>
      <c r="FG56" s="42"/>
      <c r="FH56" s="42"/>
      <c r="FI56" s="42"/>
      <c r="FJ56" s="42"/>
    </row>
    <row r="57" ht="15.7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  <c r="DO57" s="42"/>
      <c r="DP57" s="42"/>
      <c r="DQ57" s="42"/>
      <c r="DR57" s="42"/>
      <c r="DS57" s="42"/>
      <c r="DT57" s="42"/>
      <c r="DU57" s="42"/>
      <c r="DV57" s="42"/>
      <c r="DW57" s="42"/>
      <c r="DX57" s="42"/>
      <c r="DY57" s="42"/>
      <c r="DZ57" s="42"/>
      <c r="EA57" s="42"/>
      <c r="EB57" s="42"/>
      <c r="EC57" s="42"/>
      <c r="ED57" s="42"/>
      <c r="EE57" s="42"/>
      <c r="EF57" s="42"/>
      <c r="EG57" s="42"/>
      <c r="EH57" s="42"/>
      <c r="EI57" s="42"/>
      <c r="EJ57" s="42"/>
      <c r="EK57" s="42"/>
      <c r="EL57" s="42"/>
      <c r="EM57" s="42"/>
      <c r="EN57" s="42"/>
      <c r="EO57" s="42"/>
      <c r="EP57" s="42"/>
      <c r="EQ57" s="42"/>
      <c r="ER57" s="42"/>
      <c r="ES57" s="42"/>
      <c r="ET57" s="42"/>
      <c r="EU57" s="42"/>
      <c r="EV57" s="42"/>
      <c r="EW57" s="42"/>
      <c r="EX57" s="42"/>
      <c r="EY57" s="42"/>
      <c r="EZ57" s="42"/>
      <c r="FA57" s="42"/>
      <c r="FB57" s="42"/>
      <c r="FC57" s="42"/>
      <c r="FD57" s="42"/>
      <c r="FE57" s="42"/>
      <c r="FF57" s="42"/>
      <c r="FG57" s="42"/>
      <c r="FH57" s="42"/>
      <c r="FI57" s="42"/>
      <c r="FJ57" s="42"/>
    </row>
    <row r="58" ht="15.7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2"/>
      <c r="DJ58" s="42"/>
      <c r="DK58" s="42"/>
      <c r="DL58" s="42"/>
      <c r="DM58" s="42"/>
      <c r="DN58" s="42"/>
      <c r="DO58" s="42"/>
      <c r="DP58" s="42"/>
      <c r="DQ58" s="42"/>
      <c r="DR58" s="42"/>
      <c r="DS58" s="42"/>
      <c r="DT58" s="42"/>
      <c r="DU58" s="42"/>
      <c r="DV58" s="42"/>
      <c r="DW58" s="42"/>
      <c r="DX58" s="42"/>
      <c r="DY58" s="42"/>
      <c r="DZ58" s="42"/>
      <c r="EA58" s="42"/>
      <c r="EB58" s="42"/>
      <c r="EC58" s="42"/>
      <c r="ED58" s="42"/>
      <c r="EE58" s="42"/>
      <c r="EF58" s="42"/>
      <c r="EG58" s="42"/>
      <c r="EH58" s="42"/>
      <c r="EI58" s="42"/>
      <c r="EJ58" s="42"/>
      <c r="EK58" s="42"/>
      <c r="EL58" s="42"/>
      <c r="EM58" s="42"/>
      <c r="EN58" s="42"/>
      <c r="EO58" s="42"/>
      <c r="EP58" s="42"/>
      <c r="EQ58" s="42"/>
      <c r="ER58" s="42"/>
      <c r="ES58" s="42"/>
      <c r="ET58" s="42"/>
      <c r="EU58" s="42"/>
      <c r="EV58" s="42"/>
      <c r="EW58" s="42"/>
      <c r="EX58" s="42"/>
      <c r="EY58" s="42"/>
      <c r="EZ58" s="42"/>
      <c r="FA58" s="42"/>
      <c r="FB58" s="42"/>
      <c r="FC58" s="42"/>
      <c r="FD58" s="42"/>
      <c r="FE58" s="42"/>
      <c r="FF58" s="42"/>
      <c r="FG58" s="42"/>
      <c r="FH58" s="42"/>
      <c r="FI58" s="42"/>
      <c r="FJ58" s="42"/>
    </row>
    <row r="59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42"/>
      <c r="CS59" s="42"/>
      <c r="CT59" s="42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2"/>
      <c r="DJ59" s="42"/>
      <c r="DK59" s="42"/>
      <c r="DL59" s="42"/>
      <c r="DM59" s="42"/>
      <c r="DN59" s="42"/>
      <c r="DO59" s="42"/>
      <c r="DP59" s="42"/>
      <c r="DQ59" s="42"/>
      <c r="DR59" s="42"/>
      <c r="DS59" s="42"/>
      <c r="DT59" s="42"/>
      <c r="DU59" s="42"/>
      <c r="DV59" s="42"/>
      <c r="DW59" s="42"/>
      <c r="DX59" s="42"/>
      <c r="DY59" s="42"/>
      <c r="DZ59" s="42"/>
      <c r="EA59" s="42"/>
      <c r="EB59" s="42"/>
      <c r="EC59" s="42"/>
      <c r="ED59" s="42"/>
      <c r="EE59" s="42"/>
      <c r="EF59" s="42"/>
      <c r="EG59" s="42"/>
      <c r="EH59" s="42"/>
      <c r="EI59" s="42"/>
      <c r="EJ59" s="42"/>
      <c r="EK59" s="42"/>
      <c r="EL59" s="42"/>
      <c r="EM59" s="42"/>
      <c r="EN59" s="42"/>
      <c r="EO59" s="42"/>
      <c r="EP59" s="42"/>
      <c r="EQ59" s="42"/>
      <c r="ER59" s="42"/>
      <c r="ES59" s="42"/>
      <c r="ET59" s="42"/>
      <c r="EU59" s="42"/>
      <c r="EV59" s="42"/>
      <c r="EW59" s="42"/>
      <c r="EX59" s="42"/>
      <c r="EY59" s="42"/>
      <c r="EZ59" s="42"/>
      <c r="FA59" s="42"/>
      <c r="FB59" s="42"/>
      <c r="FC59" s="42"/>
      <c r="FD59" s="42"/>
      <c r="FE59" s="42"/>
      <c r="FF59" s="42"/>
      <c r="FG59" s="42"/>
      <c r="FH59" s="42"/>
      <c r="FI59" s="42"/>
      <c r="FJ59" s="42"/>
    </row>
    <row r="60" ht="15.7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2"/>
      <c r="DJ60" s="42"/>
      <c r="DK60" s="42"/>
      <c r="DL60" s="42"/>
      <c r="DM60" s="42"/>
      <c r="DN60" s="42"/>
      <c r="DO60" s="42"/>
      <c r="DP60" s="42"/>
      <c r="DQ60" s="42"/>
      <c r="DR60" s="42"/>
      <c r="DS60" s="42"/>
      <c r="DT60" s="42"/>
      <c r="DU60" s="42"/>
      <c r="DV60" s="42"/>
      <c r="DW60" s="42"/>
      <c r="DX60" s="42"/>
      <c r="DY60" s="42"/>
      <c r="DZ60" s="42"/>
      <c r="EA60" s="42"/>
      <c r="EB60" s="42"/>
      <c r="EC60" s="42"/>
      <c r="ED60" s="42"/>
      <c r="EE60" s="42"/>
      <c r="EF60" s="42"/>
      <c r="EG60" s="42"/>
      <c r="EH60" s="42"/>
      <c r="EI60" s="42"/>
      <c r="EJ60" s="42"/>
      <c r="EK60" s="42"/>
      <c r="EL60" s="42"/>
      <c r="EM60" s="42"/>
      <c r="EN60" s="42"/>
      <c r="EO60" s="42"/>
      <c r="EP60" s="42"/>
      <c r="EQ60" s="42"/>
      <c r="ER60" s="42"/>
      <c r="ES60" s="42"/>
      <c r="ET60" s="42"/>
      <c r="EU60" s="42"/>
      <c r="EV60" s="42"/>
      <c r="EW60" s="42"/>
      <c r="EX60" s="42"/>
      <c r="EY60" s="42"/>
      <c r="EZ60" s="42"/>
      <c r="FA60" s="42"/>
      <c r="FB60" s="42"/>
      <c r="FC60" s="42"/>
      <c r="FD60" s="42"/>
      <c r="FE60" s="42"/>
      <c r="FF60" s="42"/>
      <c r="FG60" s="42"/>
      <c r="FH60" s="42"/>
      <c r="FI60" s="42"/>
      <c r="FJ60" s="42"/>
    </row>
    <row r="61" ht="15.7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2"/>
      <c r="DJ61" s="42"/>
      <c r="DK61" s="42"/>
      <c r="DL61" s="42"/>
      <c r="DM61" s="42"/>
      <c r="DN61" s="42"/>
      <c r="DO61" s="42"/>
      <c r="DP61" s="42"/>
      <c r="DQ61" s="42"/>
      <c r="DR61" s="42"/>
      <c r="DS61" s="42"/>
      <c r="DT61" s="42"/>
      <c r="DU61" s="42"/>
      <c r="DV61" s="42"/>
      <c r="DW61" s="42"/>
      <c r="DX61" s="42"/>
      <c r="DY61" s="42"/>
      <c r="DZ61" s="42"/>
      <c r="EA61" s="42"/>
      <c r="EB61" s="42"/>
      <c r="EC61" s="42"/>
      <c r="ED61" s="42"/>
      <c r="EE61" s="42"/>
      <c r="EF61" s="42"/>
      <c r="EG61" s="42"/>
      <c r="EH61" s="42"/>
      <c r="EI61" s="42"/>
      <c r="EJ61" s="42"/>
      <c r="EK61" s="42"/>
      <c r="EL61" s="42"/>
      <c r="EM61" s="42"/>
      <c r="EN61" s="42"/>
      <c r="EO61" s="42"/>
      <c r="EP61" s="42"/>
      <c r="EQ61" s="42"/>
      <c r="ER61" s="42"/>
      <c r="ES61" s="42"/>
      <c r="ET61" s="42"/>
      <c r="EU61" s="42"/>
      <c r="EV61" s="42"/>
      <c r="EW61" s="42"/>
      <c r="EX61" s="42"/>
      <c r="EY61" s="42"/>
      <c r="EZ61" s="42"/>
      <c r="FA61" s="42"/>
      <c r="FB61" s="42"/>
      <c r="FC61" s="42"/>
      <c r="FD61" s="42"/>
      <c r="FE61" s="42"/>
      <c r="FF61" s="42"/>
      <c r="FG61" s="42"/>
      <c r="FH61" s="42"/>
      <c r="FI61" s="42"/>
      <c r="FJ61" s="42"/>
    </row>
    <row r="62" ht="15.7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42"/>
      <c r="CS62" s="42"/>
      <c r="CT62" s="42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2"/>
      <c r="DJ62" s="42"/>
      <c r="DK62" s="42"/>
      <c r="DL62" s="42"/>
      <c r="DM62" s="42"/>
      <c r="DN62" s="42"/>
      <c r="DO62" s="42"/>
      <c r="DP62" s="42"/>
      <c r="DQ62" s="42"/>
      <c r="DR62" s="42"/>
      <c r="DS62" s="42"/>
      <c r="DT62" s="42"/>
      <c r="DU62" s="42"/>
      <c r="DV62" s="42"/>
      <c r="DW62" s="42"/>
      <c r="DX62" s="42"/>
      <c r="DY62" s="42"/>
      <c r="DZ62" s="42"/>
      <c r="EA62" s="42"/>
      <c r="EB62" s="42"/>
      <c r="EC62" s="42"/>
      <c r="ED62" s="42"/>
      <c r="EE62" s="42"/>
      <c r="EF62" s="42"/>
      <c r="EG62" s="42"/>
      <c r="EH62" s="42"/>
      <c r="EI62" s="42"/>
      <c r="EJ62" s="42"/>
      <c r="EK62" s="42"/>
      <c r="EL62" s="42"/>
      <c r="EM62" s="42"/>
      <c r="EN62" s="42"/>
      <c r="EO62" s="42"/>
      <c r="EP62" s="42"/>
      <c r="EQ62" s="42"/>
      <c r="ER62" s="42"/>
      <c r="ES62" s="42"/>
      <c r="ET62" s="42"/>
      <c r="EU62" s="42"/>
      <c r="EV62" s="42"/>
      <c r="EW62" s="42"/>
      <c r="EX62" s="42"/>
      <c r="EY62" s="42"/>
      <c r="EZ62" s="42"/>
      <c r="FA62" s="42"/>
      <c r="FB62" s="42"/>
      <c r="FC62" s="42"/>
      <c r="FD62" s="42"/>
      <c r="FE62" s="42"/>
      <c r="FF62" s="42"/>
      <c r="FG62" s="42"/>
      <c r="FH62" s="42"/>
      <c r="FI62" s="42"/>
      <c r="FJ62" s="42"/>
    </row>
    <row r="63" ht="15.7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  <c r="CP63" s="42"/>
      <c r="CQ63" s="42"/>
      <c r="CR63" s="42"/>
      <c r="CS63" s="42"/>
      <c r="CT63" s="42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42"/>
      <c r="DJ63" s="42"/>
      <c r="DK63" s="42"/>
      <c r="DL63" s="42"/>
      <c r="DM63" s="42"/>
      <c r="DN63" s="42"/>
      <c r="DO63" s="42"/>
      <c r="DP63" s="42"/>
      <c r="DQ63" s="42"/>
      <c r="DR63" s="42"/>
      <c r="DS63" s="42"/>
      <c r="DT63" s="42"/>
      <c r="DU63" s="42"/>
      <c r="DV63" s="42"/>
      <c r="DW63" s="42"/>
      <c r="DX63" s="42"/>
      <c r="DY63" s="42"/>
      <c r="DZ63" s="42"/>
      <c r="EA63" s="42"/>
      <c r="EB63" s="42"/>
      <c r="EC63" s="42"/>
      <c r="ED63" s="42"/>
      <c r="EE63" s="42"/>
      <c r="EF63" s="42"/>
      <c r="EG63" s="42"/>
      <c r="EH63" s="42"/>
      <c r="EI63" s="42"/>
      <c r="EJ63" s="42"/>
      <c r="EK63" s="42"/>
      <c r="EL63" s="42"/>
      <c r="EM63" s="42"/>
      <c r="EN63" s="42"/>
      <c r="EO63" s="42"/>
      <c r="EP63" s="42"/>
      <c r="EQ63" s="42"/>
      <c r="ER63" s="42"/>
      <c r="ES63" s="42"/>
      <c r="ET63" s="42"/>
      <c r="EU63" s="42"/>
      <c r="EV63" s="42"/>
      <c r="EW63" s="42"/>
      <c r="EX63" s="42"/>
      <c r="EY63" s="42"/>
      <c r="EZ63" s="42"/>
      <c r="FA63" s="42"/>
      <c r="FB63" s="42"/>
      <c r="FC63" s="42"/>
      <c r="FD63" s="42"/>
      <c r="FE63" s="42"/>
      <c r="FF63" s="42"/>
      <c r="FG63" s="42"/>
      <c r="FH63" s="42"/>
      <c r="FI63" s="42"/>
      <c r="FJ63" s="42"/>
    </row>
    <row r="64" ht="15.7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42"/>
      <c r="CT64" s="42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2"/>
      <c r="DJ64" s="42"/>
      <c r="DK64" s="42"/>
      <c r="DL64" s="42"/>
      <c r="DM64" s="42"/>
      <c r="DN64" s="42"/>
      <c r="DO64" s="42"/>
      <c r="DP64" s="42"/>
      <c r="DQ64" s="42"/>
      <c r="DR64" s="42"/>
      <c r="DS64" s="42"/>
      <c r="DT64" s="42"/>
      <c r="DU64" s="42"/>
      <c r="DV64" s="42"/>
      <c r="DW64" s="42"/>
      <c r="DX64" s="42"/>
      <c r="DY64" s="42"/>
      <c r="DZ64" s="42"/>
      <c r="EA64" s="42"/>
      <c r="EB64" s="42"/>
      <c r="EC64" s="42"/>
      <c r="ED64" s="42"/>
      <c r="EE64" s="42"/>
      <c r="EF64" s="42"/>
      <c r="EG64" s="42"/>
      <c r="EH64" s="42"/>
      <c r="EI64" s="42"/>
      <c r="EJ64" s="42"/>
      <c r="EK64" s="42"/>
      <c r="EL64" s="42"/>
      <c r="EM64" s="42"/>
      <c r="EN64" s="42"/>
      <c r="EO64" s="42"/>
      <c r="EP64" s="42"/>
      <c r="EQ64" s="42"/>
      <c r="ER64" s="42"/>
      <c r="ES64" s="42"/>
      <c r="ET64" s="42"/>
      <c r="EU64" s="42"/>
      <c r="EV64" s="42"/>
      <c r="EW64" s="42"/>
      <c r="EX64" s="42"/>
      <c r="EY64" s="42"/>
      <c r="EZ64" s="42"/>
      <c r="FA64" s="42"/>
      <c r="FB64" s="42"/>
      <c r="FC64" s="42"/>
      <c r="FD64" s="42"/>
      <c r="FE64" s="42"/>
      <c r="FF64" s="42"/>
      <c r="FG64" s="42"/>
      <c r="FH64" s="42"/>
      <c r="FI64" s="42"/>
      <c r="FJ64" s="42"/>
    </row>
    <row r="65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42"/>
      <c r="CT65" s="42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/>
      <c r="DG65" s="42"/>
      <c r="DH65" s="42"/>
      <c r="DI65" s="42"/>
      <c r="DJ65" s="42"/>
      <c r="DK65" s="42"/>
      <c r="DL65" s="42"/>
      <c r="DM65" s="42"/>
      <c r="DN65" s="42"/>
      <c r="DO65" s="42"/>
      <c r="DP65" s="42"/>
      <c r="DQ65" s="42"/>
      <c r="DR65" s="42"/>
      <c r="DS65" s="42"/>
      <c r="DT65" s="42"/>
      <c r="DU65" s="42"/>
      <c r="DV65" s="42"/>
      <c r="DW65" s="42"/>
      <c r="DX65" s="42"/>
      <c r="DY65" s="42"/>
      <c r="DZ65" s="42"/>
      <c r="EA65" s="42"/>
      <c r="EB65" s="42"/>
      <c r="EC65" s="42"/>
      <c r="ED65" s="42"/>
      <c r="EE65" s="42"/>
      <c r="EF65" s="42"/>
      <c r="EG65" s="42"/>
      <c r="EH65" s="42"/>
      <c r="EI65" s="42"/>
      <c r="EJ65" s="42"/>
      <c r="EK65" s="42"/>
      <c r="EL65" s="42"/>
      <c r="EM65" s="42"/>
      <c r="EN65" s="42"/>
      <c r="EO65" s="42"/>
      <c r="EP65" s="42"/>
      <c r="EQ65" s="42"/>
      <c r="ER65" s="42"/>
      <c r="ES65" s="42"/>
      <c r="ET65" s="42"/>
      <c r="EU65" s="42"/>
      <c r="EV65" s="42"/>
      <c r="EW65" s="42"/>
      <c r="EX65" s="42"/>
      <c r="EY65" s="42"/>
      <c r="EZ65" s="42"/>
      <c r="FA65" s="42"/>
      <c r="FB65" s="42"/>
      <c r="FC65" s="42"/>
      <c r="FD65" s="42"/>
      <c r="FE65" s="42"/>
      <c r="FF65" s="42"/>
      <c r="FG65" s="42"/>
      <c r="FH65" s="42"/>
      <c r="FI65" s="42"/>
      <c r="FJ65" s="42"/>
    </row>
    <row r="66" ht="15.7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42"/>
      <c r="CO66" s="42"/>
      <c r="CP66" s="42"/>
      <c r="CQ66" s="42"/>
      <c r="CR66" s="42"/>
      <c r="CS66" s="42"/>
      <c r="CT66" s="42"/>
      <c r="CU66" s="42"/>
      <c r="CV66" s="42"/>
      <c r="CW66" s="42"/>
      <c r="CX66" s="42"/>
      <c r="CY66" s="42"/>
      <c r="CZ66" s="42"/>
      <c r="DA66" s="42"/>
      <c r="DB66" s="42"/>
      <c r="DC66" s="42"/>
      <c r="DD66" s="42"/>
      <c r="DE66" s="42"/>
      <c r="DF66" s="42"/>
      <c r="DG66" s="42"/>
      <c r="DH66" s="42"/>
      <c r="DI66" s="42"/>
      <c r="DJ66" s="42"/>
      <c r="DK66" s="42"/>
      <c r="DL66" s="42"/>
      <c r="DM66" s="42"/>
      <c r="DN66" s="42"/>
      <c r="DO66" s="42"/>
      <c r="DP66" s="42"/>
      <c r="DQ66" s="42"/>
      <c r="DR66" s="42"/>
      <c r="DS66" s="42"/>
      <c r="DT66" s="42"/>
      <c r="DU66" s="42"/>
      <c r="DV66" s="42"/>
      <c r="DW66" s="42"/>
      <c r="DX66" s="42"/>
      <c r="DY66" s="42"/>
      <c r="DZ66" s="42"/>
      <c r="EA66" s="42"/>
      <c r="EB66" s="42"/>
      <c r="EC66" s="42"/>
      <c r="ED66" s="42"/>
      <c r="EE66" s="42"/>
      <c r="EF66" s="42"/>
      <c r="EG66" s="42"/>
      <c r="EH66" s="42"/>
      <c r="EI66" s="42"/>
      <c r="EJ66" s="42"/>
      <c r="EK66" s="42"/>
      <c r="EL66" s="42"/>
      <c r="EM66" s="42"/>
      <c r="EN66" s="42"/>
      <c r="EO66" s="42"/>
      <c r="EP66" s="42"/>
      <c r="EQ66" s="42"/>
      <c r="ER66" s="42"/>
      <c r="ES66" s="42"/>
      <c r="ET66" s="42"/>
      <c r="EU66" s="42"/>
      <c r="EV66" s="42"/>
      <c r="EW66" s="42"/>
      <c r="EX66" s="42"/>
      <c r="EY66" s="42"/>
      <c r="EZ66" s="42"/>
      <c r="FA66" s="42"/>
      <c r="FB66" s="42"/>
      <c r="FC66" s="42"/>
      <c r="FD66" s="42"/>
      <c r="FE66" s="42"/>
      <c r="FF66" s="42"/>
      <c r="FG66" s="42"/>
      <c r="FH66" s="42"/>
      <c r="FI66" s="42"/>
      <c r="FJ66" s="42"/>
    </row>
    <row r="67" ht="15.7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  <c r="CN67" s="42"/>
      <c r="CO67" s="42"/>
      <c r="CP67" s="42"/>
      <c r="CQ67" s="42"/>
      <c r="CR67" s="42"/>
      <c r="CS67" s="42"/>
      <c r="CT67" s="42"/>
      <c r="CU67" s="42"/>
      <c r="CV67" s="42"/>
      <c r="CW67" s="42"/>
      <c r="CX67" s="42"/>
      <c r="CY67" s="42"/>
      <c r="CZ67" s="42"/>
      <c r="DA67" s="42"/>
      <c r="DB67" s="42"/>
      <c r="DC67" s="42"/>
      <c r="DD67" s="42"/>
      <c r="DE67" s="42"/>
      <c r="DF67" s="42"/>
      <c r="DG67" s="42"/>
      <c r="DH67" s="42"/>
      <c r="DI67" s="42"/>
      <c r="DJ67" s="42"/>
      <c r="DK67" s="42"/>
      <c r="DL67" s="42"/>
      <c r="DM67" s="42"/>
      <c r="DN67" s="42"/>
      <c r="DO67" s="42"/>
      <c r="DP67" s="42"/>
      <c r="DQ67" s="42"/>
      <c r="DR67" s="42"/>
      <c r="DS67" s="42"/>
      <c r="DT67" s="42"/>
      <c r="DU67" s="42"/>
      <c r="DV67" s="42"/>
      <c r="DW67" s="42"/>
      <c r="DX67" s="42"/>
      <c r="DY67" s="42"/>
      <c r="DZ67" s="42"/>
      <c r="EA67" s="42"/>
      <c r="EB67" s="42"/>
      <c r="EC67" s="42"/>
      <c r="ED67" s="42"/>
      <c r="EE67" s="42"/>
      <c r="EF67" s="42"/>
      <c r="EG67" s="42"/>
      <c r="EH67" s="42"/>
      <c r="EI67" s="42"/>
      <c r="EJ67" s="42"/>
      <c r="EK67" s="42"/>
      <c r="EL67" s="42"/>
      <c r="EM67" s="42"/>
      <c r="EN67" s="42"/>
      <c r="EO67" s="42"/>
      <c r="EP67" s="42"/>
      <c r="EQ67" s="42"/>
      <c r="ER67" s="42"/>
      <c r="ES67" s="42"/>
      <c r="ET67" s="42"/>
      <c r="EU67" s="42"/>
      <c r="EV67" s="42"/>
      <c r="EW67" s="42"/>
      <c r="EX67" s="42"/>
      <c r="EY67" s="42"/>
      <c r="EZ67" s="42"/>
      <c r="FA67" s="42"/>
      <c r="FB67" s="42"/>
      <c r="FC67" s="42"/>
      <c r="FD67" s="42"/>
      <c r="FE67" s="42"/>
      <c r="FF67" s="42"/>
      <c r="FG67" s="42"/>
      <c r="FH67" s="42"/>
      <c r="FI67" s="42"/>
      <c r="FJ67" s="42"/>
    </row>
    <row r="68" ht="15.7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  <c r="CR68" s="42"/>
      <c r="CS68" s="42"/>
      <c r="CT68" s="42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/>
      <c r="DH68" s="42"/>
      <c r="DI68" s="42"/>
      <c r="DJ68" s="42"/>
      <c r="DK68" s="42"/>
      <c r="DL68" s="42"/>
      <c r="DM68" s="42"/>
      <c r="DN68" s="42"/>
      <c r="DO68" s="42"/>
      <c r="DP68" s="42"/>
      <c r="DQ68" s="42"/>
      <c r="DR68" s="42"/>
      <c r="DS68" s="42"/>
      <c r="DT68" s="42"/>
      <c r="DU68" s="42"/>
      <c r="DV68" s="42"/>
      <c r="DW68" s="42"/>
      <c r="DX68" s="42"/>
      <c r="DY68" s="42"/>
      <c r="DZ68" s="42"/>
      <c r="EA68" s="42"/>
      <c r="EB68" s="42"/>
      <c r="EC68" s="42"/>
      <c r="ED68" s="42"/>
      <c r="EE68" s="42"/>
      <c r="EF68" s="42"/>
      <c r="EG68" s="42"/>
      <c r="EH68" s="42"/>
      <c r="EI68" s="42"/>
      <c r="EJ68" s="42"/>
      <c r="EK68" s="42"/>
      <c r="EL68" s="42"/>
      <c r="EM68" s="42"/>
      <c r="EN68" s="42"/>
      <c r="EO68" s="42"/>
      <c r="EP68" s="42"/>
      <c r="EQ68" s="42"/>
      <c r="ER68" s="42"/>
      <c r="ES68" s="42"/>
      <c r="ET68" s="42"/>
      <c r="EU68" s="42"/>
      <c r="EV68" s="42"/>
      <c r="EW68" s="42"/>
      <c r="EX68" s="42"/>
      <c r="EY68" s="42"/>
      <c r="EZ68" s="42"/>
      <c r="FA68" s="42"/>
      <c r="FB68" s="42"/>
      <c r="FC68" s="42"/>
      <c r="FD68" s="42"/>
      <c r="FE68" s="42"/>
      <c r="FF68" s="42"/>
      <c r="FG68" s="42"/>
      <c r="FH68" s="42"/>
      <c r="FI68" s="42"/>
      <c r="FJ68" s="42"/>
    </row>
    <row r="69" ht="15.7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42"/>
      <c r="CO69" s="42"/>
      <c r="CP69" s="42"/>
      <c r="CQ69" s="42"/>
      <c r="CR69" s="42"/>
      <c r="CS69" s="42"/>
      <c r="CT69" s="42"/>
      <c r="CU69" s="42"/>
      <c r="CV69" s="42"/>
      <c r="CW69" s="42"/>
      <c r="CX69" s="42"/>
      <c r="CY69" s="42"/>
      <c r="CZ69" s="42"/>
      <c r="DA69" s="42"/>
      <c r="DB69" s="42"/>
      <c r="DC69" s="42"/>
      <c r="DD69" s="42"/>
      <c r="DE69" s="42"/>
      <c r="DF69" s="42"/>
      <c r="DG69" s="42"/>
      <c r="DH69" s="42"/>
      <c r="DI69" s="42"/>
      <c r="DJ69" s="42"/>
      <c r="DK69" s="42"/>
      <c r="DL69" s="42"/>
      <c r="DM69" s="42"/>
      <c r="DN69" s="42"/>
      <c r="DO69" s="42"/>
      <c r="DP69" s="42"/>
      <c r="DQ69" s="42"/>
      <c r="DR69" s="42"/>
      <c r="DS69" s="42"/>
      <c r="DT69" s="42"/>
      <c r="DU69" s="42"/>
      <c r="DV69" s="42"/>
      <c r="DW69" s="42"/>
      <c r="DX69" s="42"/>
      <c r="DY69" s="42"/>
      <c r="DZ69" s="42"/>
      <c r="EA69" s="42"/>
      <c r="EB69" s="42"/>
      <c r="EC69" s="42"/>
      <c r="ED69" s="42"/>
      <c r="EE69" s="42"/>
      <c r="EF69" s="42"/>
      <c r="EG69" s="42"/>
      <c r="EH69" s="42"/>
      <c r="EI69" s="42"/>
      <c r="EJ69" s="42"/>
      <c r="EK69" s="42"/>
      <c r="EL69" s="42"/>
      <c r="EM69" s="42"/>
      <c r="EN69" s="42"/>
      <c r="EO69" s="42"/>
      <c r="EP69" s="42"/>
      <c r="EQ69" s="42"/>
      <c r="ER69" s="42"/>
      <c r="ES69" s="42"/>
      <c r="ET69" s="42"/>
      <c r="EU69" s="42"/>
      <c r="EV69" s="42"/>
      <c r="EW69" s="42"/>
      <c r="EX69" s="42"/>
      <c r="EY69" s="42"/>
      <c r="EZ69" s="42"/>
      <c r="FA69" s="42"/>
      <c r="FB69" s="42"/>
      <c r="FC69" s="42"/>
      <c r="FD69" s="42"/>
      <c r="FE69" s="42"/>
      <c r="FF69" s="42"/>
      <c r="FG69" s="42"/>
      <c r="FH69" s="42"/>
      <c r="FI69" s="42"/>
      <c r="FJ69" s="42"/>
    </row>
    <row r="70" ht="15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  <c r="CR70" s="42"/>
      <c r="CS70" s="42"/>
      <c r="CT70" s="42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2"/>
      <c r="DJ70" s="42"/>
      <c r="DK70" s="42"/>
      <c r="DL70" s="42"/>
      <c r="DM70" s="42"/>
      <c r="DN70" s="42"/>
      <c r="DO70" s="42"/>
      <c r="DP70" s="42"/>
      <c r="DQ70" s="42"/>
      <c r="DR70" s="42"/>
      <c r="DS70" s="42"/>
      <c r="DT70" s="42"/>
      <c r="DU70" s="42"/>
      <c r="DV70" s="42"/>
      <c r="DW70" s="42"/>
      <c r="DX70" s="42"/>
      <c r="DY70" s="42"/>
      <c r="DZ70" s="42"/>
      <c r="EA70" s="42"/>
      <c r="EB70" s="42"/>
      <c r="EC70" s="42"/>
      <c r="ED70" s="42"/>
      <c r="EE70" s="42"/>
      <c r="EF70" s="42"/>
      <c r="EG70" s="42"/>
      <c r="EH70" s="42"/>
      <c r="EI70" s="42"/>
      <c r="EJ70" s="42"/>
      <c r="EK70" s="42"/>
      <c r="EL70" s="42"/>
      <c r="EM70" s="42"/>
      <c r="EN70" s="42"/>
      <c r="EO70" s="42"/>
      <c r="EP70" s="42"/>
      <c r="EQ70" s="42"/>
      <c r="ER70" s="42"/>
      <c r="ES70" s="42"/>
      <c r="ET70" s="42"/>
      <c r="EU70" s="42"/>
      <c r="EV70" s="42"/>
      <c r="EW70" s="42"/>
      <c r="EX70" s="42"/>
      <c r="EY70" s="42"/>
      <c r="EZ70" s="42"/>
      <c r="FA70" s="42"/>
      <c r="FB70" s="42"/>
      <c r="FC70" s="42"/>
      <c r="FD70" s="42"/>
      <c r="FE70" s="42"/>
      <c r="FF70" s="42"/>
      <c r="FG70" s="42"/>
      <c r="FH70" s="42"/>
      <c r="FI70" s="42"/>
      <c r="FJ70" s="42"/>
    </row>
    <row r="71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42"/>
      <c r="CO71" s="42"/>
      <c r="CP71" s="42"/>
      <c r="CQ71" s="42"/>
      <c r="CR71" s="42"/>
      <c r="CS71" s="42"/>
      <c r="CT71" s="42"/>
      <c r="CU71" s="42"/>
      <c r="CV71" s="42"/>
      <c r="CW71" s="42"/>
      <c r="CX71" s="42"/>
      <c r="CY71" s="42"/>
      <c r="CZ71" s="42"/>
      <c r="DA71" s="42"/>
      <c r="DB71" s="42"/>
      <c r="DC71" s="42"/>
      <c r="DD71" s="42"/>
      <c r="DE71" s="42"/>
      <c r="DF71" s="42"/>
      <c r="DG71" s="42"/>
      <c r="DH71" s="42"/>
      <c r="DI71" s="42"/>
      <c r="DJ71" s="42"/>
      <c r="DK71" s="42"/>
      <c r="DL71" s="42"/>
      <c r="DM71" s="42"/>
      <c r="DN71" s="42"/>
      <c r="DO71" s="42"/>
      <c r="DP71" s="42"/>
      <c r="DQ71" s="42"/>
      <c r="DR71" s="42"/>
      <c r="DS71" s="42"/>
      <c r="DT71" s="42"/>
      <c r="DU71" s="42"/>
      <c r="DV71" s="42"/>
      <c r="DW71" s="42"/>
      <c r="DX71" s="42"/>
      <c r="DY71" s="42"/>
      <c r="DZ71" s="42"/>
      <c r="EA71" s="42"/>
      <c r="EB71" s="42"/>
      <c r="EC71" s="42"/>
      <c r="ED71" s="42"/>
      <c r="EE71" s="42"/>
      <c r="EF71" s="42"/>
      <c r="EG71" s="42"/>
      <c r="EH71" s="42"/>
      <c r="EI71" s="42"/>
      <c r="EJ71" s="42"/>
      <c r="EK71" s="42"/>
      <c r="EL71" s="42"/>
      <c r="EM71" s="42"/>
      <c r="EN71" s="42"/>
      <c r="EO71" s="42"/>
      <c r="EP71" s="42"/>
      <c r="EQ71" s="42"/>
      <c r="ER71" s="42"/>
      <c r="ES71" s="42"/>
      <c r="ET71" s="42"/>
      <c r="EU71" s="42"/>
      <c r="EV71" s="42"/>
      <c r="EW71" s="42"/>
      <c r="EX71" s="42"/>
      <c r="EY71" s="42"/>
      <c r="EZ71" s="42"/>
      <c r="FA71" s="42"/>
      <c r="FB71" s="42"/>
      <c r="FC71" s="42"/>
      <c r="FD71" s="42"/>
      <c r="FE71" s="42"/>
      <c r="FF71" s="42"/>
      <c r="FG71" s="42"/>
      <c r="FH71" s="42"/>
      <c r="FI71" s="42"/>
      <c r="FJ71" s="42"/>
    </row>
    <row r="72" ht="15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  <c r="CQ72" s="42"/>
      <c r="CR72" s="42"/>
      <c r="CS72" s="42"/>
      <c r="CT72" s="42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42"/>
      <c r="DJ72" s="42"/>
      <c r="DK72" s="42"/>
      <c r="DL72" s="42"/>
      <c r="DM72" s="42"/>
      <c r="DN72" s="42"/>
      <c r="DO72" s="42"/>
      <c r="DP72" s="42"/>
      <c r="DQ72" s="42"/>
      <c r="DR72" s="42"/>
      <c r="DS72" s="42"/>
      <c r="DT72" s="42"/>
      <c r="DU72" s="42"/>
      <c r="DV72" s="42"/>
      <c r="DW72" s="42"/>
      <c r="DX72" s="42"/>
      <c r="DY72" s="42"/>
      <c r="DZ72" s="42"/>
      <c r="EA72" s="42"/>
      <c r="EB72" s="42"/>
      <c r="EC72" s="42"/>
      <c r="ED72" s="42"/>
      <c r="EE72" s="42"/>
      <c r="EF72" s="42"/>
      <c r="EG72" s="42"/>
      <c r="EH72" s="42"/>
      <c r="EI72" s="42"/>
      <c r="EJ72" s="42"/>
      <c r="EK72" s="42"/>
      <c r="EL72" s="42"/>
      <c r="EM72" s="42"/>
      <c r="EN72" s="42"/>
      <c r="EO72" s="42"/>
      <c r="EP72" s="42"/>
      <c r="EQ72" s="42"/>
      <c r="ER72" s="42"/>
      <c r="ES72" s="42"/>
      <c r="ET72" s="42"/>
      <c r="EU72" s="42"/>
      <c r="EV72" s="42"/>
      <c r="EW72" s="42"/>
      <c r="EX72" s="42"/>
      <c r="EY72" s="42"/>
      <c r="EZ72" s="42"/>
      <c r="FA72" s="42"/>
      <c r="FB72" s="42"/>
      <c r="FC72" s="42"/>
      <c r="FD72" s="42"/>
      <c r="FE72" s="42"/>
      <c r="FF72" s="42"/>
      <c r="FG72" s="42"/>
      <c r="FH72" s="42"/>
      <c r="FI72" s="42"/>
      <c r="FJ72" s="42"/>
    </row>
    <row r="73" ht="15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2"/>
      <c r="CE73" s="42"/>
      <c r="CF73" s="42"/>
      <c r="CG73" s="42"/>
      <c r="CH73" s="42"/>
      <c r="CI73" s="42"/>
      <c r="CJ73" s="42"/>
      <c r="CK73" s="42"/>
      <c r="CL73" s="42"/>
      <c r="CM73" s="42"/>
      <c r="CN73" s="42"/>
      <c r="CO73" s="42"/>
      <c r="CP73" s="42"/>
      <c r="CQ73" s="42"/>
      <c r="CR73" s="42"/>
      <c r="CS73" s="42"/>
      <c r="CT73" s="42"/>
      <c r="CU73" s="42"/>
      <c r="CV73" s="42"/>
      <c r="CW73" s="42"/>
      <c r="CX73" s="42"/>
      <c r="CY73" s="42"/>
      <c r="CZ73" s="42"/>
      <c r="DA73" s="42"/>
      <c r="DB73" s="42"/>
      <c r="DC73" s="42"/>
      <c r="DD73" s="42"/>
      <c r="DE73" s="42"/>
      <c r="DF73" s="42"/>
      <c r="DG73" s="42"/>
      <c r="DH73" s="42"/>
      <c r="DI73" s="42"/>
      <c r="DJ73" s="42"/>
      <c r="DK73" s="42"/>
      <c r="DL73" s="42"/>
      <c r="DM73" s="42"/>
      <c r="DN73" s="42"/>
      <c r="DO73" s="42"/>
      <c r="DP73" s="42"/>
      <c r="DQ73" s="42"/>
      <c r="DR73" s="42"/>
      <c r="DS73" s="42"/>
      <c r="DT73" s="42"/>
      <c r="DU73" s="42"/>
      <c r="DV73" s="42"/>
      <c r="DW73" s="42"/>
      <c r="DX73" s="42"/>
      <c r="DY73" s="42"/>
      <c r="DZ73" s="42"/>
      <c r="EA73" s="42"/>
      <c r="EB73" s="42"/>
      <c r="EC73" s="42"/>
      <c r="ED73" s="42"/>
      <c r="EE73" s="42"/>
      <c r="EF73" s="42"/>
      <c r="EG73" s="42"/>
      <c r="EH73" s="42"/>
      <c r="EI73" s="42"/>
      <c r="EJ73" s="42"/>
      <c r="EK73" s="42"/>
      <c r="EL73" s="42"/>
      <c r="EM73" s="42"/>
      <c r="EN73" s="42"/>
      <c r="EO73" s="42"/>
      <c r="EP73" s="42"/>
      <c r="EQ73" s="42"/>
      <c r="ER73" s="42"/>
      <c r="ES73" s="42"/>
      <c r="ET73" s="42"/>
      <c r="EU73" s="42"/>
      <c r="EV73" s="42"/>
      <c r="EW73" s="42"/>
      <c r="EX73" s="42"/>
      <c r="EY73" s="42"/>
      <c r="EZ73" s="42"/>
      <c r="FA73" s="42"/>
      <c r="FB73" s="42"/>
      <c r="FC73" s="42"/>
      <c r="FD73" s="42"/>
      <c r="FE73" s="42"/>
      <c r="FF73" s="42"/>
      <c r="FG73" s="42"/>
      <c r="FH73" s="42"/>
      <c r="FI73" s="42"/>
      <c r="FJ73" s="42"/>
    </row>
    <row r="74" ht="15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42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42"/>
      <c r="EH74" s="42"/>
      <c r="EI74" s="42"/>
      <c r="EJ74" s="42"/>
      <c r="EK74" s="42"/>
      <c r="EL74" s="42"/>
      <c r="EM74" s="42"/>
      <c r="EN74" s="42"/>
      <c r="EO74" s="42"/>
      <c r="EP74" s="42"/>
      <c r="EQ74" s="42"/>
      <c r="ER74" s="42"/>
      <c r="ES74" s="42"/>
      <c r="ET74" s="42"/>
      <c r="EU74" s="42"/>
      <c r="EV74" s="42"/>
      <c r="EW74" s="42"/>
      <c r="EX74" s="42"/>
      <c r="EY74" s="42"/>
      <c r="EZ74" s="42"/>
      <c r="FA74" s="42"/>
      <c r="FB74" s="42"/>
      <c r="FC74" s="42"/>
      <c r="FD74" s="42"/>
      <c r="FE74" s="42"/>
      <c r="FF74" s="42"/>
      <c r="FG74" s="42"/>
      <c r="FH74" s="42"/>
      <c r="FI74" s="42"/>
      <c r="FJ74" s="42"/>
    </row>
    <row r="75" ht="15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2"/>
      <c r="CF75" s="42"/>
      <c r="CG75" s="42"/>
      <c r="CH75" s="42"/>
      <c r="CI75" s="42"/>
      <c r="CJ75" s="42"/>
      <c r="CK75" s="42"/>
      <c r="CL75" s="42"/>
      <c r="CM75" s="42"/>
      <c r="CN75" s="42"/>
      <c r="CO75" s="42"/>
      <c r="CP75" s="42"/>
      <c r="CQ75" s="42"/>
      <c r="CR75" s="42"/>
      <c r="CS75" s="42"/>
      <c r="CT75" s="42"/>
      <c r="CU75" s="42"/>
      <c r="CV75" s="42"/>
      <c r="CW75" s="42"/>
      <c r="CX75" s="42"/>
      <c r="CY75" s="42"/>
      <c r="CZ75" s="42"/>
      <c r="DA75" s="42"/>
      <c r="DB75" s="42"/>
      <c r="DC75" s="42"/>
      <c r="DD75" s="42"/>
      <c r="DE75" s="42"/>
      <c r="DF75" s="42"/>
      <c r="DG75" s="42"/>
      <c r="DH75" s="42"/>
      <c r="DI75" s="42"/>
      <c r="DJ75" s="42"/>
      <c r="DK75" s="42"/>
      <c r="DL75" s="42"/>
      <c r="DM75" s="42"/>
      <c r="DN75" s="42"/>
      <c r="DO75" s="42"/>
      <c r="DP75" s="42"/>
      <c r="DQ75" s="42"/>
      <c r="DR75" s="42"/>
      <c r="DS75" s="42"/>
      <c r="DT75" s="42"/>
      <c r="DU75" s="42"/>
      <c r="DV75" s="42"/>
      <c r="DW75" s="42"/>
      <c r="DX75" s="42"/>
      <c r="DY75" s="42"/>
      <c r="DZ75" s="42"/>
      <c r="EA75" s="42"/>
      <c r="EB75" s="42"/>
      <c r="EC75" s="42"/>
      <c r="ED75" s="42"/>
      <c r="EE75" s="42"/>
      <c r="EF75" s="42"/>
      <c r="EG75" s="42"/>
      <c r="EH75" s="42"/>
      <c r="EI75" s="42"/>
      <c r="EJ75" s="42"/>
      <c r="EK75" s="42"/>
      <c r="EL75" s="42"/>
      <c r="EM75" s="42"/>
      <c r="EN75" s="42"/>
      <c r="EO75" s="42"/>
      <c r="EP75" s="42"/>
      <c r="EQ75" s="42"/>
      <c r="ER75" s="42"/>
      <c r="ES75" s="42"/>
      <c r="ET75" s="42"/>
      <c r="EU75" s="42"/>
      <c r="EV75" s="42"/>
      <c r="EW75" s="42"/>
      <c r="EX75" s="42"/>
      <c r="EY75" s="42"/>
      <c r="EZ75" s="42"/>
      <c r="FA75" s="42"/>
      <c r="FB75" s="42"/>
      <c r="FC75" s="42"/>
      <c r="FD75" s="42"/>
      <c r="FE75" s="42"/>
      <c r="FF75" s="42"/>
      <c r="FG75" s="42"/>
      <c r="FH75" s="42"/>
      <c r="FI75" s="42"/>
      <c r="FJ75" s="42"/>
    </row>
    <row r="76" ht="15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  <c r="CE76" s="42"/>
      <c r="CF76" s="42"/>
      <c r="CG76" s="42"/>
      <c r="CH76" s="42"/>
      <c r="CI76" s="42"/>
      <c r="CJ76" s="42"/>
      <c r="CK76" s="42"/>
      <c r="CL76" s="42"/>
      <c r="CM76" s="42"/>
      <c r="CN76" s="42"/>
      <c r="CO76" s="42"/>
      <c r="CP76" s="42"/>
      <c r="CQ76" s="42"/>
      <c r="CR76" s="42"/>
      <c r="CS76" s="42"/>
      <c r="CT76" s="42"/>
      <c r="CU76" s="42"/>
      <c r="CV76" s="42"/>
      <c r="CW76" s="42"/>
      <c r="CX76" s="42"/>
      <c r="CY76" s="42"/>
      <c r="CZ76" s="42"/>
      <c r="DA76" s="42"/>
      <c r="DB76" s="42"/>
      <c r="DC76" s="42"/>
      <c r="DD76" s="42"/>
      <c r="DE76" s="42"/>
      <c r="DF76" s="42"/>
      <c r="DG76" s="42"/>
      <c r="DH76" s="42"/>
      <c r="DI76" s="42"/>
      <c r="DJ76" s="42"/>
      <c r="DK76" s="42"/>
      <c r="DL76" s="42"/>
      <c r="DM76" s="42"/>
      <c r="DN76" s="42"/>
      <c r="DO76" s="42"/>
      <c r="DP76" s="42"/>
      <c r="DQ76" s="42"/>
      <c r="DR76" s="42"/>
      <c r="DS76" s="42"/>
      <c r="DT76" s="42"/>
      <c r="DU76" s="42"/>
      <c r="DV76" s="42"/>
      <c r="DW76" s="42"/>
      <c r="DX76" s="42"/>
      <c r="DY76" s="42"/>
      <c r="DZ76" s="42"/>
      <c r="EA76" s="42"/>
      <c r="EB76" s="42"/>
      <c r="EC76" s="42"/>
      <c r="ED76" s="42"/>
      <c r="EE76" s="42"/>
      <c r="EF76" s="42"/>
      <c r="EG76" s="42"/>
      <c r="EH76" s="42"/>
      <c r="EI76" s="42"/>
      <c r="EJ76" s="42"/>
      <c r="EK76" s="42"/>
      <c r="EL76" s="42"/>
      <c r="EM76" s="42"/>
      <c r="EN76" s="42"/>
      <c r="EO76" s="42"/>
      <c r="EP76" s="42"/>
      <c r="EQ76" s="42"/>
      <c r="ER76" s="42"/>
      <c r="ES76" s="42"/>
      <c r="ET76" s="42"/>
      <c r="EU76" s="42"/>
      <c r="EV76" s="42"/>
      <c r="EW76" s="42"/>
      <c r="EX76" s="42"/>
      <c r="EY76" s="42"/>
      <c r="EZ76" s="42"/>
      <c r="FA76" s="42"/>
      <c r="FB76" s="42"/>
      <c r="FC76" s="42"/>
      <c r="FD76" s="42"/>
      <c r="FE76" s="42"/>
      <c r="FF76" s="42"/>
      <c r="FG76" s="42"/>
      <c r="FH76" s="42"/>
      <c r="FI76" s="42"/>
      <c r="FJ76" s="42"/>
    </row>
    <row r="77" ht="15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/>
      <c r="CG77" s="42"/>
      <c r="CH77" s="42"/>
      <c r="CI77" s="42"/>
      <c r="CJ77" s="42"/>
      <c r="CK77" s="42"/>
      <c r="CL77" s="42"/>
      <c r="CM77" s="42"/>
      <c r="CN77" s="42"/>
      <c r="CO77" s="42"/>
      <c r="CP77" s="42"/>
      <c r="CQ77" s="42"/>
      <c r="CR77" s="42"/>
      <c r="CS77" s="42"/>
      <c r="CT77" s="42"/>
      <c r="CU77" s="42"/>
      <c r="CV77" s="42"/>
      <c r="CW77" s="42"/>
      <c r="CX77" s="42"/>
      <c r="CY77" s="42"/>
      <c r="CZ77" s="42"/>
      <c r="DA77" s="42"/>
      <c r="DB77" s="42"/>
      <c r="DC77" s="42"/>
      <c r="DD77" s="42"/>
      <c r="DE77" s="42"/>
      <c r="DF77" s="42"/>
      <c r="DG77" s="42"/>
      <c r="DH77" s="42"/>
      <c r="DI77" s="42"/>
      <c r="DJ77" s="42"/>
      <c r="DK77" s="42"/>
      <c r="DL77" s="42"/>
      <c r="DM77" s="42"/>
      <c r="DN77" s="42"/>
      <c r="DO77" s="42"/>
      <c r="DP77" s="42"/>
      <c r="DQ77" s="42"/>
      <c r="DR77" s="42"/>
      <c r="DS77" s="42"/>
      <c r="DT77" s="42"/>
      <c r="DU77" s="42"/>
      <c r="DV77" s="42"/>
      <c r="DW77" s="42"/>
      <c r="DX77" s="42"/>
      <c r="DY77" s="42"/>
      <c r="DZ77" s="42"/>
      <c r="EA77" s="42"/>
      <c r="EB77" s="42"/>
      <c r="EC77" s="42"/>
      <c r="ED77" s="42"/>
      <c r="EE77" s="42"/>
      <c r="EF77" s="42"/>
      <c r="EG77" s="42"/>
      <c r="EH77" s="42"/>
      <c r="EI77" s="42"/>
      <c r="EJ77" s="42"/>
      <c r="EK77" s="42"/>
      <c r="EL77" s="42"/>
      <c r="EM77" s="42"/>
      <c r="EN77" s="42"/>
      <c r="EO77" s="42"/>
      <c r="EP77" s="42"/>
      <c r="EQ77" s="42"/>
      <c r="ER77" s="42"/>
      <c r="ES77" s="42"/>
      <c r="ET77" s="42"/>
      <c r="EU77" s="42"/>
      <c r="EV77" s="42"/>
      <c r="EW77" s="42"/>
      <c r="EX77" s="42"/>
      <c r="EY77" s="42"/>
      <c r="EZ77" s="42"/>
      <c r="FA77" s="42"/>
      <c r="FB77" s="42"/>
      <c r="FC77" s="42"/>
      <c r="FD77" s="42"/>
      <c r="FE77" s="42"/>
      <c r="FF77" s="42"/>
      <c r="FG77" s="42"/>
      <c r="FH77" s="42"/>
      <c r="FI77" s="42"/>
      <c r="FJ77" s="42"/>
    </row>
    <row r="78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  <c r="CA78" s="42"/>
      <c r="CB78" s="42"/>
      <c r="CC78" s="42"/>
      <c r="CD78" s="42"/>
      <c r="CE78" s="42"/>
      <c r="CF78" s="42"/>
      <c r="CG78" s="42"/>
      <c r="CH78" s="42"/>
      <c r="CI78" s="42"/>
      <c r="CJ78" s="42"/>
      <c r="CK78" s="42"/>
      <c r="CL78" s="42"/>
      <c r="CM78" s="42"/>
      <c r="CN78" s="42"/>
      <c r="CO78" s="42"/>
      <c r="CP78" s="42"/>
      <c r="CQ78" s="42"/>
      <c r="CR78" s="42"/>
      <c r="CS78" s="42"/>
      <c r="CT78" s="42"/>
      <c r="CU78" s="42"/>
      <c r="CV78" s="42"/>
      <c r="CW78" s="42"/>
      <c r="CX78" s="42"/>
      <c r="CY78" s="42"/>
      <c r="CZ78" s="42"/>
      <c r="DA78" s="42"/>
      <c r="DB78" s="42"/>
      <c r="DC78" s="42"/>
      <c r="DD78" s="42"/>
      <c r="DE78" s="42"/>
      <c r="DF78" s="42"/>
      <c r="DG78" s="42"/>
      <c r="DH78" s="42"/>
      <c r="DI78" s="42"/>
      <c r="DJ78" s="42"/>
      <c r="DK78" s="42"/>
      <c r="DL78" s="42"/>
      <c r="DM78" s="42"/>
      <c r="DN78" s="42"/>
      <c r="DO78" s="42"/>
      <c r="DP78" s="42"/>
      <c r="DQ78" s="42"/>
      <c r="DR78" s="42"/>
      <c r="DS78" s="42"/>
      <c r="DT78" s="42"/>
      <c r="DU78" s="42"/>
      <c r="DV78" s="42"/>
      <c r="DW78" s="42"/>
      <c r="DX78" s="42"/>
      <c r="DY78" s="42"/>
      <c r="DZ78" s="42"/>
      <c r="EA78" s="42"/>
      <c r="EB78" s="42"/>
      <c r="EC78" s="42"/>
      <c r="ED78" s="42"/>
      <c r="EE78" s="42"/>
      <c r="EF78" s="42"/>
      <c r="EG78" s="42"/>
      <c r="EH78" s="42"/>
      <c r="EI78" s="42"/>
      <c r="EJ78" s="42"/>
      <c r="EK78" s="42"/>
      <c r="EL78" s="42"/>
      <c r="EM78" s="42"/>
      <c r="EN78" s="42"/>
      <c r="EO78" s="42"/>
      <c r="EP78" s="42"/>
      <c r="EQ78" s="42"/>
      <c r="ER78" s="42"/>
      <c r="ES78" s="42"/>
      <c r="ET78" s="42"/>
      <c r="EU78" s="42"/>
      <c r="EV78" s="42"/>
      <c r="EW78" s="42"/>
      <c r="EX78" s="42"/>
      <c r="EY78" s="42"/>
      <c r="EZ78" s="42"/>
      <c r="FA78" s="42"/>
      <c r="FB78" s="42"/>
      <c r="FC78" s="42"/>
      <c r="FD78" s="42"/>
      <c r="FE78" s="42"/>
      <c r="FF78" s="42"/>
      <c r="FG78" s="42"/>
      <c r="FH78" s="42"/>
      <c r="FI78" s="42"/>
      <c r="FJ78" s="42"/>
    </row>
    <row r="79" ht="15.7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/>
      <c r="CG79" s="42"/>
      <c r="CH79" s="42"/>
      <c r="CI79" s="42"/>
      <c r="CJ79" s="42"/>
      <c r="CK79" s="42"/>
      <c r="CL79" s="42"/>
      <c r="CM79" s="42"/>
      <c r="CN79" s="42"/>
      <c r="CO79" s="42"/>
      <c r="CP79" s="42"/>
      <c r="CQ79" s="42"/>
      <c r="CR79" s="42"/>
      <c r="CS79" s="42"/>
      <c r="CT79" s="42"/>
      <c r="CU79" s="42"/>
      <c r="CV79" s="42"/>
      <c r="CW79" s="42"/>
      <c r="CX79" s="42"/>
      <c r="CY79" s="42"/>
      <c r="CZ79" s="42"/>
      <c r="DA79" s="42"/>
      <c r="DB79" s="42"/>
      <c r="DC79" s="42"/>
      <c r="DD79" s="42"/>
      <c r="DE79" s="42"/>
      <c r="DF79" s="42"/>
      <c r="DG79" s="42"/>
      <c r="DH79" s="42"/>
      <c r="DI79" s="42"/>
      <c r="DJ79" s="42"/>
      <c r="DK79" s="42"/>
      <c r="DL79" s="42"/>
      <c r="DM79" s="42"/>
      <c r="DN79" s="42"/>
      <c r="DO79" s="42"/>
      <c r="DP79" s="42"/>
      <c r="DQ79" s="42"/>
      <c r="DR79" s="42"/>
      <c r="DS79" s="42"/>
      <c r="DT79" s="42"/>
      <c r="DU79" s="42"/>
      <c r="DV79" s="42"/>
      <c r="DW79" s="42"/>
      <c r="DX79" s="42"/>
      <c r="DY79" s="42"/>
      <c r="DZ79" s="42"/>
      <c r="EA79" s="42"/>
      <c r="EB79" s="42"/>
      <c r="EC79" s="42"/>
      <c r="ED79" s="42"/>
      <c r="EE79" s="42"/>
      <c r="EF79" s="42"/>
      <c r="EG79" s="42"/>
      <c r="EH79" s="42"/>
      <c r="EI79" s="42"/>
      <c r="EJ79" s="42"/>
      <c r="EK79" s="42"/>
      <c r="EL79" s="42"/>
      <c r="EM79" s="42"/>
      <c r="EN79" s="42"/>
      <c r="EO79" s="42"/>
      <c r="EP79" s="42"/>
      <c r="EQ79" s="42"/>
      <c r="ER79" s="42"/>
      <c r="ES79" s="42"/>
      <c r="ET79" s="42"/>
      <c r="EU79" s="42"/>
      <c r="EV79" s="42"/>
      <c r="EW79" s="42"/>
      <c r="EX79" s="42"/>
      <c r="EY79" s="42"/>
      <c r="EZ79" s="42"/>
      <c r="FA79" s="42"/>
      <c r="FB79" s="42"/>
      <c r="FC79" s="42"/>
      <c r="FD79" s="42"/>
      <c r="FE79" s="42"/>
      <c r="FF79" s="42"/>
      <c r="FG79" s="42"/>
      <c r="FH79" s="42"/>
      <c r="FI79" s="42"/>
      <c r="FJ79" s="42"/>
    </row>
    <row r="80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  <c r="CA80" s="42"/>
      <c r="CB80" s="42"/>
      <c r="CC80" s="42"/>
      <c r="CD80" s="42"/>
      <c r="CE80" s="42"/>
      <c r="CF80" s="42"/>
      <c r="CG80" s="42"/>
      <c r="CH80" s="42"/>
      <c r="CI80" s="42"/>
      <c r="CJ80" s="42"/>
      <c r="CK80" s="42"/>
      <c r="CL80" s="42"/>
      <c r="CM80" s="42"/>
      <c r="CN80" s="42"/>
      <c r="CO80" s="42"/>
      <c r="CP80" s="42"/>
      <c r="CQ80" s="42"/>
      <c r="CR80" s="42"/>
      <c r="CS80" s="42"/>
      <c r="CT80" s="42"/>
      <c r="CU80" s="42"/>
      <c r="CV80" s="42"/>
      <c r="CW80" s="42"/>
      <c r="CX80" s="42"/>
      <c r="CY80" s="42"/>
      <c r="CZ80" s="42"/>
      <c r="DA80" s="42"/>
      <c r="DB80" s="42"/>
      <c r="DC80" s="42"/>
      <c r="DD80" s="42"/>
      <c r="DE80" s="42"/>
      <c r="DF80" s="42"/>
      <c r="DG80" s="42"/>
      <c r="DH80" s="42"/>
      <c r="DI80" s="42"/>
      <c r="DJ80" s="42"/>
      <c r="DK80" s="42"/>
      <c r="DL80" s="42"/>
      <c r="DM80" s="42"/>
      <c r="DN80" s="42"/>
      <c r="DO80" s="42"/>
      <c r="DP80" s="42"/>
      <c r="DQ80" s="42"/>
      <c r="DR80" s="42"/>
      <c r="DS80" s="42"/>
      <c r="DT80" s="42"/>
      <c r="DU80" s="42"/>
      <c r="DV80" s="42"/>
      <c r="DW80" s="42"/>
      <c r="DX80" s="42"/>
      <c r="DY80" s="42"/>
      <c r="DZ80" s="42"/>
      <c r="EA80" s="42"/>
      <c r="EB80" s="42"/>
      <c r="EC80" s="42"/>
      <c r="ED80" s="42"/>
      <c r="EE80" s="42"/>
      <c r="EF80" s="42"/>
      <c r="EG80" s="42"/>
      <c r="EH80" s="42"/>
      <c r="EI80" s="42"/>
      <c r="EJ80" s="42"/>
      <c r="EK80" s="42"/>
      <c r="EL80" s="42"/>
      <c r="EM80" s="42"/>
      <c r="EN80" s="42"/>
      <c r="EO80" s="42"/>
      <c r="EP80" s="42"/>
      <c r="EQ80" s="42"/>
      <c r="ER80" s="42"/>
      <c r="ES80" s="42"/>
      <c r="ET80" s="42"/>
      <c r="EU80" s="42"/>
      <c r="EV80" s="42"/>
      <c r="EW80" s="42"/>
      <c r="EX80" s="42"/>
      <c r="EY80" s="42"/>
      <c r="EZ80" s="42"/>
      <c r="FA80" s="42"/>
      <c r="FB80" s="42"/>
      <c r="FC80" s="42"/>
      <c r="FD80" s="42"/>
      <c r="FE80" s="42"/>
      <c r="FF80" s="42"/>
      <c r="FG80" s="42"/>
      <c r="FH80" s="42"/>
      <c r="FI80" s="42"/>
      <c r="FJ80" s="42"/>
    </row>
    <row r="81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  <c r="BW81" s="42"/>
      <c r="BX81" s="42"/>
      <c r="BY81" s="42"/>
      <c r="BZ81" s="42"/>
      <c r="CA81" s="42"/>
      <c r="CB81" s="42"/>
      <c r="CC81" s="42"/>
      <c r="CD81" s="42"/>
      <c r="CE81" s="42"/>
      <c r="CF81" s="42"/>
      <c r="CG81" s="42"/>
      <c r="CH81" s="42"/>
      <c r="CI81" s="42"/>
      <c r="CJ81" s="42"/>
      <c r="CK81" s="42"/>
      <c r="CL81" s="42"/>
      <c r="CM81" s="42"/>
      <c r="CN81" s="42"/>
      <c r="CO81" s="42"/>
      <c r="CP81" s="42"/>
      <c r="CQ81" s="42"/>
      <c r="CR81" s="42"/>
      <c r="CS81" s="42"/>
      <c r="CT81" s="42"/>
      <c r="CU81" s="42"/>
      <c r="CV81" s="42"/>
      <c r="CW81" s="42"/>
      <c r="CX81" s="42"/>
      <c r="CY81" s="42"/>
      <c r="CZ81" s="42"/>
      <c r="DA81" s="42"/>
      <c r="DB81" s="42"/>
      <c r="DC81" s="42"/>
      <c r="DD81" s="42"/>
      <c r="DE81" s="42"/>
      <c r="DF81" s="42"/>
      <c r="DG81" s="42"/>
      <c r="DH81" s="42"/>
      <c r="DI81" s="42"/>
      <c r="DJ81" s="42"/>
      <c r="DK81" s="42"/>
      <c r="DL81" s="42"/>
      <c r="DM81" s="42"/>
      <c r="DN81" s="42"/>
      <c r="DO81" s="42"/>
      <c r="DP81" s="42"/>
      <c r="DQ81" s="42"/>
      <c r="DR81" s="42"/>
      <c r="DS81" s="42"/>
      <c r="DT81" s="42"/>
      <c r="DU81" s="42"/>
      <c r="DV81" s="42"/>
      <c r="DW81" s="42"/>
      <c r="DX81" s="42"/>
      <c r="DY81" s="42"/>
      <c r="DZ81" s="42"/>
      <c r="EA81" s="42"/>
      <c r="EB81" s="42"/>
      <c r="EC81" s="42"/>
      <c r="ED81" s="42"/>
      <c r="EE81" s="42"/>
      <c r="EF81" s="42"/>
      <c r="EG81" s="42"/>
      <c r="EH81" s="42"/>
      <c r="EI81" s="42"/>
      <c r="EJ81" s="42"/>
      <c r="EK81" s="42"/>
      <c r="EL81" s="42"/>
      <c r="EM81" s="42"/>
      <c r="EN81" s="42"/>
      <c r="EO81" s="42"/>
      <c r="EP81" s="42"/>
      <c r="EQ81" s="42"/>
      <c r="ER81" s="42"/>
      <c r="ES81" s="42"/>
      <c r="ET81" s="42"/>
      <c r="EU81" s="42"/>
      <c r="EV81" s="42"/>
      <c r="EW81" s="42"/>
      <c r="EX81" s="42"/>
      <c r="EY81" s="42"/>
      <c r="EZ81" s="42"/>
      <c r="FA81" s="42"/>
      <c r="FB81" s="42"/>
      <c r="FC81" s="42"/>
      <c r="FD81" s="42"/>
      <c r="FE81" s="42"/>
      <c r="FF81" s="42"/>
      <c r="FG81" s="42"/>
      <c r="FH81" s="42"/>
      <c r="FI81" s="42"/>
      <c r="FJ81" s="42"/>
    </row>
    <row r="82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2"/>
      <c r="CE82" s="42"/>
      <c r="CF82" s="42"/>
      <c r="CG82" s="42"/>
      <c r="CH82" s="42"/>
      <c r="CI82" s="42"/>
      <c r="CJ82" s="42"/>
      <c r="CK82" s="42"/>
      <c r="CL82" s="42"/>
      <c r="CM82" s="42"/>
      <c r="CN82" s="42"/>
      <c r="CO82" s="42"/>
      <c r="CP82" s="42"/>
      <c r="CQ82" s="42"/>
      <c r="CR82" s="42"/>
      <c r="CS82" s="42"/>
      <c r="CT82" s="42"/>
      <c r="CU82" s="42"/>
      <c r="CV82" s="42"/>
      <c r="CW82" s="42"/>
      <c r="CX82" s="42"/>
      <c r="CY82" s="42"/>
      <c r="CZ82" s="42"/>
      <c r="DA82" s="42"/>
      <c r="DB82" s="42"/>
      <c r="DC82" s="42"/>
      <c r="DD82" s="42"/>
      <c r="DE82" s="42"/>
      <c r="DF82" s="42"/>
      <c r="DG82" s="42"/>
      <c r="DH82" s="42"/>
      <c r="DI82" s="42"/>
      <c r="DJ82" s="42"/>
      <c r="DK82" s="42"/>
      <c r="DL82" s="42"/>
      <c r="DM82" s="42"/>
      <c r="DN82" s="42"/>
      <c r="DO82" s="42"/>
      <c r="DP82" s="42"/>
      <c r="DQ82" s="42"/>
      <c r="DR82" s="42"/>
      <c r="DS82" s="42"/>
      <c r="DT82" s="42"/>
      <c r="DU82" s="42"/>
      <c r="DV82" s="42"/>
      <c r="DW82" s="42"/>
      <c r="DX82" s="42"/>
      <c r="DY82" s="42"/>
      <c r="DZ82" s="42"/>
      <c r="EA82" s="42"/>
      <c r="EB82" s="42"/>
      <c r="EC82" s="42"/>
      <c r="ED82" s="42"/>
      <c r="EE82" s="42"/>
      <c r="EF82" s="42"/>
      <c r="EG82" s="42"/>
      <c r="EH82" s="42"/>
      <c r="EI82" s="42"/>
      <c r="EJ82" s="42"/>
      <c r="EK82" s="42"/>
      <c r="EL82" s="42"/>
      <c r="EM82" s="42"/>
      <c r="EN82" s="42"/>
      <c r="EO82" s="42"/>
      <c r="EP82" s="42"/>
      <c r="EQ82" s="42"/>
      <c r="ER82" s="42"/>
      <c r="ES82" s="42"/>
      <c r="ET82" s="42"/>
      <c r="EU82" s="42"/>
      <c r="EV82" s="42"/>
      <c r="EW82" s="42"/>
      <c r="EX82" s="42"/>
      <c r="EY82" s="42"/>
      <c r="EZ82" s="42"/>
      <c r="FA82" s="42"/>
      <c r="FB82" s="42"/>
      <c r="FC82" s="42"/>
      <c r="FD82" s="42"/>
      <c r="FE82" s="42"/>
      <c r="FF82" s="42"/>
      <c r="FG82" s="42"/>
      <c r="FH82" s="42"/>
      <c r="FI82" s="42"/>
      <c r="FJ82" s="42"/>
    </row>
    <row r="83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/>
      <c r="CG83" s="42"/>
      <c r="CH83" s="42"/>
      <c r="CI83" s="42"/>
      <c r="CJ83" s="42"/>
      <c r="CK83" s="42"/>
      <c r="CL83" s="42"/>
      <c r="CM83" s="42"/>
      <c r="CN83" s="42"/>
      <c r="CO83" s="42"/>
      <c r="CP83" s="42"/>
      <c r="CQ83" s="42"/>
      <c r="CR83" s="42"/>
      <c r="CS83" s="42"/>
      <c r="CT83" s="42"/>
      <c r="CU83" s="42"/>
      <c r="CV83" s="42"/>
      <c r="CW83" s="42"/>
      <c r="CX83" s="42"/>
      <c r="CY83" s="42"/>
      <c r="CZ83" s="42"/>
      <c r="DA83" s="42"/>
      <c r="DB83" s="42"/>
      <c r="DC83" s="42"/>
      <c r="DD83" s="42"/>
      <c r="DE83" s="42"/>
      <c r="DF83" s="42"/>
      <c r="DG83" s="42"/>
      <c r="DH83" s="42"/>
      <c r="DI83" s="42"/>
      <c r="DJ83" s="42"/>
      <c r="DK83" s="42"/>
      <c r="DL83" s="42"/>
      <c r="DM83" s="42"/>
      <c r="DN83" s="42"/>
      <c r="DO83" s="42"/>
      <c r="DP83" s="42"/>
      <c r="DQ83" s="42"/>
      <c r="DR83" s="42"/>
      <c r="DS83" s="42"/>
      <c r="DT83" s="42"/>
      <c r="DU83" s="42"/>
      <c r="DV83" s="42"/>
      <c r="DW83" s="42"/>
      <c r="DX83" s="42"/>
      <c r="DY83" s="42"/>
      <c r="DZ83" s="42"/>
      <c r="EA83" s="42"/>
      <c r="EB83" s="42"/>
      <c r="EC83" s="42"/>
      <c r="ED83" s="42"/>
      <c r="EE83" s="42"/>
      <c r="EF83" s="42"/>
      <c r="EG83" s="42"/>
      <c r="EH83" s="42"/>
      <c r="EI83" s="42"/>
      <c r="EJ83" s="42"/>
      <c r="EK83" s="42"/>
      <c r="EL83" s="42"/>
      <c r="EM83" s="42"/>
      <c r="EN83" s="42"/>
      <c r="EO83" s="42"/>
      <c r="EP83" s="42"/>
      <c r="EQ83" s="42"/>
      <c r="ER83" s="42"/>
      <c r="ES83" s="42"/>
      <c r="ET83" s="42"/>
      <c r="EU83" s="42"/>
      <c r="EV83" s="42"/>
      <c r="EW83" s="42"/>
      <c r="EX83" s="42"/>
      <c r="EY83" s="42"/>
      <c r="EZ83" s="42"/>
      <c r="FA83" s="42"/>
      <c r="FB83" s="42"/>
      <c r="FC83" s="42"/>
      <c r="FD83" s="42"/>
      <c r="FE83" s="42"/>
      <c r="FF83" s="42"/>
      <c r="FG83" s="42"/>
      <c r="FH83" s="42"/>
      <c r="FI83" s="42"/>
      <c r="FJ83" s="42"/>
    </row>
    <row r="84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/>
      <c r="CG84" s="42"/>
      <c r="CH84" s="42"/>
      <c r="CI84" s="42"/>
      <c r="CJ84" s="42"/>
      <c r="CK84" s="42"/>
      <c r="CL84" s="42"/>
      <c r="CM84" s="42"/>
      <c r="CN84" s="42"/>
      <c r="CO84" s="42"/>
      <c r="CP84" s="42"/>
      <c r="CQ84" s="42"/>
      <c r="CR84" s="42"/>
      <c r="CS84" s="42"/>
      <c r="CT84" s="42"/>
      <c r="CU84" s="42"/>
      <c r="CV84" s="42"/>
      <c r="CW84" s="42"/>
      <c r="CX84" s="42"/>
      <c r="CY84" s="42"/>
      <c r="CZ84" s="42"/>
      <c r="DA84" s="42"/>
      <c r="DB84" s="42"/>
      <c r="DC84" s="42"/>
      <c r="DD84" s="42"/>
      <c r="DE84" s="42"/>
      <c r="DF84" s="42"/>
      <c r="DG84" s="42"/>
      <c r="DH84" s="42"/>
      <c r="DI84" s="42"/>
      <c r="DJ84" s="42"/>
      <c r="DK84" s="42"/>
      <c r="DL84" s="42"/>
      <c r="DM84" s="42"/>
      <c r="DN84" s="42"/>
      <c r="DO84" s="42"/>
      <c r="DP84" s="42"/>
      <c r="DQ84" s="42"/>
      <c r="DR84" s="42"/>
      <c r="DS84" s="42"/>
      <c r="DT84" s="42"/>
      <c r="DU84" s="42"/>
      <c r="DV84" s="42"/>
      <c r="DW84" s="42"/>
      <c r="DX84" s="42"/>
      <c r="DY84" s="42"/>
      <c r="DZ84" s="42"/>
      <c r="EA84" s="42"/>
      <c r="EB84" s="42"/>
      <c r="EC84" s="42"/>
      <c r="ED84" s="42"/>
      <c r="EE84" s="42"/>
      <c r="EF84" s="42"/>
      <c r="EG84" s="42"/>
      <c r="EH84" s="42"/>
      <c r="EI84" s="42"/>
      <c r="EJ84" s="42"/>
      <c r="EK84" s="42"/>
      <c r="EL84" s="42"/>
      <c r="EM84" s="42"/>
      <c r="EN84" s="42"/>
      <c r="EO84" s="42"/>
      <c r="EP84" s="42"/>
      <c r="EQ84" s="42"/>
      <c r="ER84" s="42"/>
      <c r="ES84" s="42"/>
      <c r="ET84" s="42"/>
      <c r="EU84" s="42"/>
      <c r="EV84" s="42"/>
      <c r="EW84" s="42"/>
      <c r="EX84" s="42"/>
      <c r="EY84" s="42"/>
      <c r="EZ84" s="42"/>
      <c r="FA84" s="42"/>
      <c r="FB84" s="42"/>
      <c r="FC84" s="42"/>
      <c r="FD84" s="42"/>
      <c r="FE84" s="42"/>
      <c r="FF84" s="42"/>
      <c r="FG84" s="42"/>
      <c r="FH84" s="42"/>
      <c r="FI84" s="42"/>
      <c r="FJ84" s="42"/>
    </row>
    <row r="85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2"/>
      <c r="CF85" s="42"/>
      <c r="CG85" s="42"/>
      <c r="CH85" s="42"/>
      <c r="CI85" s="42"/>
      <c r="CJ85" s="42"/>
      <c r="CK85" s="42"/>
      <c r="CL85" s="42"/>
      <c r="CM85" s="42"/>
      <c r="CN85" s="42"/>
      <c r="CO85" s="42"/>
      <c r="CP85" s="42"/>
      <c r="CQ85" s="42"/>
      <c r="CR85" s="42"/>
      <c r="CS85" s="42"/>
      <c r="CT85" s="42"/>
      <c r="CU85" s="42"/>
      <c r="CV85" s="42"/>
      <c r="CW85" s="42"/>
      <c r="CX85" s="42"/>
      <c r="CY85" s="42"/>
      <c r="CZ85" s="42"/>
      <c r="DA85" s="42"/>
      <c r="DB85" s="42"/>
      <c r="DC85" s="42"/>
      <c r="DD85" s="42"/>
      <c r="DE85" s="42"/>
      <c r="DF85" s="42"/>
      <c r="DG85" s="42"/>
      <c r="DH85" s="42"/>
      <c r="DI85" s="42"/>
      <c r="DJ85" s="42"/>
      <c r="DK85" s="42"/>
      <c r="DL85" s="42"/>
      <c r="DM85" s="42"/>
      <c r="DN85" s="42"/>
      <c r="DO85" s="42"/>
      <c r="DP85" s="42"/>
      <c r="DQ85" s="42"/>
      <c r="DR85" s="42"/>
      <c r="DS85" s="42"/>
      <c r="DT85" s="42"/>
      <c r="DU85" s="42"/>
      <c r="DV85" s="42"/>
      <c r="DW85" s="42"/>
      <c r="DX85" s="42"/>
      <c r="DY85" s="42"/>
      <c r="DZ85" s="42"/>
      <c r="EA85" s="42"/>
      <c r="EB85" s="42"/>
      <c r="EC85" s="42"/>
      <c r="ED85" s="42"/>
      <c r="EE85" s="42"/>
      <c r="EF85" s="42"/>
      <c r="EG85" s="42"/>
      <c r="EH85" s="42"/>
      <c r="EI85" s="42"/>
      <c r="EJ85" s="42"/>
      <c r="EK85" s="42"/>
      <c r="EL85" s="42"/>
      <c r="EM85" s="42"/>
      <c r="EN85" s="42"/>
      <c r="EO85" s="42"/>
      <c r="EP85" s="42"/>
      <c r="EQ85" s="42"/>
      <c r="ER85" s="42"/>
      <c r="ES85" s="42"/>
      <c r="ET85" s="42"/>
      <c r="EU85" s="42"/>
      <c r="EV85" s="42"/>
      <c r="EW85" s="42"/>
      <c r="EX85" s="42"/>
      <c r="EY85" s="42"/>
      <c r="EZ85" s="42"/>
      <c r="FA85" s="42"/>
      <c r="FB85" s="42"/>
      <c r="FC85" s="42"/>
      <c r="FD85" s="42"/>
      <c r="FE85" s="42"/>
      <c r="FF85" s="42"/>
      <c r="FG85" s="42"/>
      <c r="FH85" s="42"/>
      <c r="FI85" s="42"/>
      <c r="FJ85" s="42"/>
    </row>
    <row r="8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/>
      <c r="CG86" s="42"/>
      <c r="CH86" s="42"/>
      <c r="CI86" s="42"/>
      <c r="CJ86" s="42"/>
      <c r="CK86" s="42"/>
      <c r="CL86" s="42"/>
      <c r="CM86" s="42"/>
      <c r="CN86" s="42"/>
      <c r="CO86" s="42"/>
      <c r="CP86" s="42"/>
      <c r="CQ86" s="42"/>
      <c r="CR86" s="42"/>
      <c r="CS86" s="42"/>
      <c r="CT86" s="42"/>
      <c r="CU86" s="42"/>
      <c r="CV86" s="42"/>
      <c r="CW86" s="42"/>
      <c r="CX86" s="42"/>
      <c r="CY86" s="42"/>
      <c r="CZ86" s="42"/>
      <c r="DA86" s="42"/>
      <c r="DB86" s="42"/>
      <c r="DC86" s="42"/>
      <c r="DD86" s="42"/>
      <c r="DE86" s="42"/>
      <c r="DF86" s="42"/>
      <c r="DG86" s="42"/>
      <c r="DH86" s="42"/>
      <c r="DI86" s="42"/>
      <c r="DJ86" s="42"/>
      <c r="DK86" s="42"/>
      <c r="DL86" s="42"/>
      <c r="DM86" s="42"/>
      <c r="DN86" s="42"/>
      <c r="DO86" s="42"/>
      <c r="DP86" s="42"/>
      <c r="DQ86" s="42"/>
      <c r="DR86" s="42"/>
      <c r="DS86" s="42"/>
      <c r="DT86" s="42"/>
      <c r="DU86" s="42"/>
      <c r="DV86" s="42"/>
      <c r="DW86" s="42"/>
      <c r="DX86" s="42"/>
      <c r="DY86" s="42"/>
      <c r="DZ86" s="42"/>
      <c r="EA86" s="42"/>
      <c r="EB86" s="42"/>
      <c r="EC86" s="42"/>
      <c r="ED86" s="42"/>
      <c r="EE86" s="42"/>
      <c r="EF86" s="42"/>
      <c r="EG86" s="42"/>
      <c r="EH86" s="42"/>
      <c r="EI86" s="42"/>
      <c r="EJ86" s="42"/>
      <c r="EK86" s="42"/>
      <c r="EL86" s="42"/>
      <c r="EM86" s="42"/>
      <c r="EN86" s="42"/>
      <c r="EO86" s="42"/>
      <c r="EP86" s="42"/>
      <c r="EQ86" s="42"/>
      <c r="ER86" s="42"/>
      <c r="ES86" s="42"/>
      <c r="ET86" s="42"/>
      <c r="EU86" s="42"/>
      <c r="EV86" s="42"/>
      <c r="EW86" s="42"/>
      <c r="EX86" s="42"/>
      <c r="EY86" s="42"/>
      <c r="EZ86" s="42"/>
      <c r="FA86" s="42"/>
      <c r="FB86" s="42"/>
      <c r="FC86" s="42"/>
      <c r="FD86" s="42"/>
      <c r="FE86" s="42"/>
      <c r="FF86" s="42"/>
      <c r="FG86" s="42"/>
      <c r="FH86" s="42"/>
      <c r="FI86" s="42"/>
      <c r="FJ86" s="42"/>
    </row>
    <row r="87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/>
      <c r="CG87" s="42"/>
      <c r="CH87" s="42"/>
      <c r="CI87" s="42"/>
      <c r="CJ87" s="42"/>
      <c r="CK87" s="42"/>
      <c r="CL87" s="42"/>
      <c r="CM87" s="42"/>
      <c r="CN87" s="42"/>
      <c r="CO87" s="42"/>
      <c r="CP87" s="42"/>
      <c r="CQ87" s="42"/>
      <c r="CR87" s="42"/>
      <c r="CS87" s="42"/>
      <c r="CT87" s="42"/>
      <c r="CU87" s="42"/>
      <c r="CV87" s="42"/>
      <c r="CW87" s="42"/>
      <c r="CX87" s="42"/>
      <c r="CY87" s="42"/>
      <c r="CZ87" s="42"/>
      <c r="DA87" s="42"/>
      <c r="DB87" s="42"/>
      <c r="DC87" s="42"/>
      <c r="DD87" s="42"/>
      <c r="DE87" s="42"/>
      <c r="DF87" s="42"/>
      <c r="DG87" s="42"/>
      <c r="DH87" s="42"/>
      <c r="DI87" s="42"/>
      <c r="DJ87" s="42"/>
      <c r="DK87" s="42"/>
      <c r="DL87" s="42"/>
      <c r="DM87" s="42"/>
      <c r="DN87" s="42"/>
      <c r="DO87" s="42"/>
      <c r="DP87" s="42"/>
      <c r="DQ87" s="42"/>
      <c r="DR87" s="42"/>
      <c r="DS87" s="42"/>
      <c r="DT87" s="42"/>
      <c r="DU87" s="42"/>
      <c r="DV87" s="42"/>
      <c r="DW87" s="42"/>
      <c r="DX87" s="42"/>
      <c r="DY87" s="42"/>
      <c r="DZ87" s="42"/>
      <c r="EA87" s="42"/>
      <c r="EB87" s="42"/>
      <c r="EC87" s="42"/>
      <c r="ED87" s="42"/>
      <c r="EE87" s="42"/>
      <c r="EF87" s="42"/>
      <c r="EG87" s="42"/>
      <c r="EH87" s="42"/>
      <c r="EI87" s="42"/>
      <c r="EJ87" s="42"/>
      <c r="EK87" s="42"/>
      <c r="EL87" s="42"/>
      <c r="EM87" s="42"/>
      <c r="EN87" s="42"/>
      <c r="EO87" s="42"/>
      <c r="EP87" s="42"/>
      <c r="EQ87" s="42"/>
      <c r="ER87" s="42"/>
      <c r="ES87" s="42"/>
      <c r="ET87" s="42"/>
      <c r="EU87" s="42"/>
      <c r="EV87" s="42"/>
      <c r="EW87" s="42"/>
      <c r="EX87" s="42"/>
      <c r="EY87" s="42"/>
      <c r="EZ87" s="42"/>
      <c r="FA87" s="42"/>
      <c r="FB87" s="42"/>
      <c r="FC87" s="42"/>
      <c r="FD87" s="42"/>
      <c r="FE87" s="42"/>
      <c r="FF87" s="42"/>
      <c r="FG87" s="42"/>
      <c r="FH87" s="42"/>
      <c r="FI87" s="42"/>
      <c r="FJ87" s="42"/>
    </row>
    <row r="88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/>
      <c r="CG88" s="42"/>
      <c r="CH88" s="42"/>
      <c r="CI88" s="42"/>
      <c r="CJ88" s="42"/>
      <c r="CK88" s="42"/>
      <c r="CL88" s="42"/>
      <c r="CM88" s="42"/>
      <c r="CN88" s="42"/>
      <c r="CO88" s="42"/>
      <c r="CP88" s="42"/>
      <c r="CQ88" s="42"/>
      <c r="CR88" s="42"/>
      <c r="CS88" s="42"/>
      <c r="CT88" s="42"/>
      <c r="CU88" s="42"/>
      <c r="CV88" s="42"/>
      <c r="CW88" s="42"/>
      <c r="CX88" s="42"/>
      <c r="CY88" s="42"/>
      <c r="CZ88" s="42"/>
      <c r="DA88" s="42"/>
      <c r="DB88" s="42"/>
      <c r="DC88" s="42"/>
      <c r="DD88" s="42"/>
      <c r="DE88" s="42"/>
      <c r="DF88" s="42"/>
      <c r="DG88" s="42"/>
      <c r="DH88" s="42"/>
      <c r="DI88" s="42"/>
      <c r="DJ88" s="42"/>
      <c r="DK88" s="42"/>
      <c r="DL88" s="42"/>
      <c r="DM88" s="42"/>
      <c r="DN88" s="42"/>
      <c r="DO88" s="42"/>
      <c r="DP88" s="42"/>
      <c r="DQ88" s="42"/>
      <c r="DR88" s="42"/>
      <c r="DS88" s="42"/>
      <c r="DT88" s="42"/>
      <c r="DU88" s="42"/>
      <c r="DV88" s="42"/>
      <c r="DW88" s="42"/>
      <c r="DX88" s="42"/>
      <c r="DY88" s="42"/>
      <c r="DZ88" s="42"/>
      <c r="EA88" s="42"/>
      <c r="EB88" s="42"/>
      <c r="EC88" s="42"/>
      <c r="ED88" s="42"/>
      <c r="EE88" s="42"/>
      <c r="EF88" s="42"/>
      <c r="EG88" s="42"/>
      <c r="EH88" s="42"/>
      <c r="EI88" s="42"/>
      <c r="EJ88" s="42"/>
      <c r="EK88" s="42"/>
      <c r="EL88" s="42"/>
      <c r="EM88" s="42"/>
      <c r="EN88" s="42"/>
      <c r="EO88" s="42"/>
      <c r="EP88" s="42"/>
      <c r="EQ88" s="42"/>
      <c r="ER88" s="42"/>
      <c r="ES88" s="42"/>
      <c r="ET88" s="42"/>
      <c r="EU88" s="42"/>
      <c r="EV88" s="42"/>
      <c r="EW88" s="42"/>
      <c r="EX88" s="42"/>
      <c r="EY88" s="42"/>
      <c r="EZ88" s="42"/>
      <c r="FA88" s="42"/>
      <c r="FB88" s="42"/>
      <c r="FC88" s="42"/>
      <c r="FD88" s="42"/>
      <c r="FE88" s="42"/>
      <c r="FF88" s="42"/>
      <c r="FG88" s="42"/>
      <c r="FH88" s="42"/>
      <c r="FI88" s="42"/>
      <c r="FJ88" s="42"/>
    </row>
    <row r="89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42"/>
      <c r="CM89" s="42"/>
      <c r="CN89" s="42"/>
      <c r="CO89" s="42"/>
      <c r="CP89" s="42"/>
      <c r="CQ89" s="42"/>
      <c r="CR89" s="42"/>
      <c r="CS89" s="42"/>
      <c r="CT89" s="42"/>
      <c r="CU89" s="42"/>
      <c r="CV89" s="42"/>
      <c r="CW89" s="42"/>
      <c r="CX89" s="42"/>
      <c r="CY89" s="42"/>
      <c r="CZ89" s="42"/>
      <c r="DA89" s="42"/>
      <c r="DB89" s="42"/>
      <c r="DC89" s="42"/>
      <c r="DD89" s="42"/>
      <c r="DE89" s="42"/>
      <c r="DF89" s="42"/>
      <c r="DG89" s="42"/>
      <c r="DH89" s="42"/>
      <c r="DI89" s="42"/>
      <c r="DJ89" s="42"/>
      <c r="DK89" s="42"/>
      <c r="DL89" s="42"/>
      <c r="DM89" s="42"/>
      <c r="DN89" s="42"/>
      <c r="DO89" s="42"/>
      <c r="DP89" s="42"/>
      <c r="DQ89" s="42"/>
      <c r="DR89" s="42"/>
      <c r="DS89" s="42"/>
      <c r="DT89" s="42"/>
      <c r="DU89" s="42"/>
      <c r="DV89" s="42"/>
      <c r="DW89" s="42"/>
      <c r="DX89" s="42"/>
      <c r="DY89" s="42"/>
      <c r="DZ89" s="42"/>
      <c r="EA89" s="42"/>
      <c r="EB89" s="42"/>
      <c r="EC89" s="42"/>
      <c r="ED89" s="42"/>
      <c r="EE89" s="42"/>
      <c r="EF89" s="42"/>
      <c r="EG89" s="42"/>
      <c r="EH89" s="42"/>
      <c r="EI89" s="42"/>
      <c r="EJ89" s="42"/>
      <c r="EK89" s="42"/>
      <c r="EL89" s="42"/>
      <c r="EM89" s="42"/>
      <c r="EN89" s="42"/>
      <c r="EO89" s="42"/>
      <c r="EP89" s="42"/>
      <c r="EQ89" s="42"/>
      <c r="ER89" s="42"/>
      <c r="ES89" s="42"/>
      <c r="ET89" s="42"/>
      <c r="EU89" s="42"/>
      <c r="EV89" s="42"/>
      <c r="EW89" s="42"/>
      <c r="EX89" s="42"/>
      <c r="EY89" s="42"/>
      <c r="EZ89" s="42"/>
      <c r="FA89" s="42"/>
      <c r="FB89" s="42"/>
      <c r="FC89" s="42"/>
      <c r="FD89" s="42"/>
      <c r="FE89" s="42"/>
      <c r="FF89" s="42"/>
      <c r="FG89" s="42"/>
      <c r="FH89" s="42"/>
      <c r="FI89" s="42"/>
      <c r="FJ89" s="42"/>
    </row>
    <row r="90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  <c r="CQ90" s="42"/>
      <c r="CR90" s="42"/>
      <c r="CS90" s="42"/>
      <c r="CT90" s="42"/>
      <c r="CU90" s="42"/>
      <c r="CV90" s="42"/>
      <c r="CW90" s="42"/>
      <c r="CX90" s="42"/>
      <c r="CY90" s="42"/>
      <c r="CZ90" s="42"/>
      <c r="DA90" s="42"/>
      <c r="DB90" s="42"/>
      <c r="DC90" s="42"/>
      <c r="DD90" s="42"/>
      <c r="DE90" s="42"/>
      <c r="DF90" s="42"/>
      <c r="DG90" s="42"/>
      <c r="DH90" s="42"/>
      <c r="DI90" s="42"/>
      <c r="DJ90" s="42"/>
      <c r="DK90" s="42"/>
      <c r="DL90" s="42"/>
      <c r="DM90" s="42"/>
      <c r="DN90" s="42"/>
      <c r="DO90" s="42"/>
      <c r="DP90" s="42"/>
      <c r="DQ90" s="42"/>
      <c r="DR90" s="42"/>
      <c r="DS90" s="42"/>
      <c r="DT90" s="42"/>
      <c r="DU90" s="42"/>
      <c r="DV90" s="42"/>
      <c r="DW90" s="42"/>
      <c r="DX90" s="42"/>
      <c r="DY90" s="42"/>
      <c r="DZ90" s="42"/>
      <c r="EA90" s="42"/>
      <c r="EB90" s="42"/>
      <c r="EC90" s="42"/>
      <c r="ED90" s="42"/>
      <c r="EE90" s="42"/>
      <c r="EF90" s="42"/>
      <c r="EG90" s="42"/>
      <c r="EH90" s="42"/>
      <c r="EI90" s="42"/>
      <c r="EJ90" s="42"/>
      <c r="EK90" s="42"/>
      <c r="EL90" s="42"/>
      <c r="EM90" s="42"/>
      <c r="EN90" s="42"/>
      <c r="EO90" s="42"/>
      <c r="EP90" s="42"/>
      <c r="EQ90" s="42"/>
      <c r="ER90" s="42"/>
      <c r="ES90" s="42"/>
      <c r="ET90" s="42"/>
      <c r="EU90" s="42"/>
      <c r="EV90" s="42"/>
      <c r="EW90" s="42"/>
      <c r="EX90" s="42"/>
      <c r="EY90" s="42"/>
      <c r="EZ90" s="42"/>
      <c r="FA90" s="42"/>
      <c r="FB90" s="42"/>
      <c r="FC90" s="42"/>
      <c r="FD90" s="42"/>
      <c r="FE90" s="42"/>
      <c r="FF90" s="42"/>
      <c r="FG90" s="42"/>
      <c r="FH90" s="42"/>
      <c r="FI90" s="42"/>
      <c r="FJ90" s="42"/>
    </row>
    <row r="91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/>
      <c r="CG91" s="42"/>
      <c r="CH91" s="42"/>
      <c r="CI91" s="42"/>
      <c r="CJ91" s="42"/>
      <c r="CK91" s="42"/>
      <c r="CL91" s="42"/>
      <c r="CM91" s="42"/>
      <c r="CN91" s="42"/>
      <c r="CO91" s="42"/>
      <c r="CP91" s="42"/>
      <c r="CQ91" s="42"/>
      <c r="CR91" s="42"/>
      <c r="CS91" s="42"/>
      <c r="CT91" s="42"/>
      <c r="CU91" s="42"/>
      <c r="CV91" s="42"/>
      <c r="CW91" s="42"/>
      <c r="CX91" s="42"/>
      <c r="CY91" s="42"/>
      <c r="CZ91" s="42"/>
      <c r="DA91" s="42"/>
      <c r="DB91" s="42"/>
      <c r="DC91" s="42"/>
      <c r="DD91" s="42"/>
      <c r="DE91" s="42"/>
      <c r="DF91" s="42"/>
      <c r="DG91" s="42"/>
      <c r="DH91" s="42"/>
      <c r="DI91" s="42"/>
      <c r="DJ91" s="42"/>
      <c r="DK91" s="42"/>
      <c r="DL91" s="42"/>
      <c r="DM91" s="42"/>
      <c r="DN91" s="42"/>
      <c r="DO91" s="42"/>
      <c r="DP91" s="42"/>
      <c r="DQ91" s="42"/>
      <c r="DR91" s="42"/>
      <c r="DS91" s="42"/>
      <c r="DT91" s="42"/>
      <c r="DU91" s="42"/>
      <c r="DV91" s="42"/>
      <c r="DW91" s="42"/>
      <c r="DX91" s="42"/>
      <c r="DY91" s="42"/>
      <c r="DZ91" s="42"/>
      <c r="EA91" s="42"/>
      <c r="EB91" s="42"/>
      <c r="EC91" s="42"/>
      <c r="ED91" s="42"/>
      <c r="EE91" s="42"/>
      <c r="EF91" s="42"/>
      <c r="EG91" s="42"/>
      <c r="EH91" s="42"/>
      <c r="EI91" s="42"/>
      <c r="EJ91" s="42"/>
      <c r="EK91" s="42"/>
      <c r="EL91" s="42"/>
      <c r="EM91" s="42"/>
      <c r="EN91" s="42"/>
      <c r="EO91" s="42"/>
      <c r="EP91" s="42"/>
      <c r="EQ91" s="42"/>
      <c r="ER91" s="42"/>
      <c r="ES91" s="42"/>
      <c r="ET91" s="42"/>
      <c r="EU91" s="42"/>
      <c r="EV91" s="42"/>
      <c r="EW91" s="42"/>
      <c r="EX91" s="42"/>
      <c r="EY91" s="42"/>
      <c r="EZ91" s="42"/>
      <c r="FA91" s="42"/>
      <c r="FB91" s="42"/>
      <c r="FC91" s="42"/>
      <c r="FD91" s="42"/>
      <c r="FE91" s="42"/>
      <c r="FF91" s="42"/>
      <c r="FG91" s="42"/>
      <c r="FH91" s="42"/>
      <c r="FI91" s="42"/>
      <c r="FJ91" s="42"/>
    </row>
    <row r="92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2"/>
      <c r="DB92" s="42"/>
      <c r="DC92" s="42"/>
      <c r="DD92" s="42"/>
      <c r="DE92" s="42"/>
      <c r="DF92" s="42"/>
      <c r="DG92" s="42"/>
      <c r="DH92" s="42"/>
      <c r="DI92" s="42"/>
      <c r="DJ92" s="42"/>
      <c r="DK92" s="42"/>
      <c r="DL92" s="42"/>
      <c r="DM92" s="42"/>
      <c r="DN92" s="42"/>
      <c r="DO92" s="42"/>
      <c r="DP92" s="42"/>
      <c r="DQ92" s="42"/>
      <c r="DR92" s="42"/>
      <c r="DS92" s="42"/>
      <c r="DT92" s="42"/>
      <c r="DU92" s="42"/>
      <c r="DV92" s="42"/>
      <c r="DW92" s="42"/>
      <c r="DX92" s="42"/>
      <c r="DY92" s="42"/>
      <c r="DZ92" s="42"/>
      <c r="EA92" s="42"/>
      <c r="EB92" s="42"/>
      <c r="EC92" s="42"/>
      <c r="ED92" s="42"/>
      <c r="EE92" s="42"/>
      <c r="EF92" s="42"/>
      <c r="EG92" s="42"/>
      <c r="EH92" s="42"/>
      <c r="EI92" s="42"/>
      <c r="EJ92" s="42"/>
      <c r="EK92" s="42"/>
      <c r="EL92" s="42"/>
      <c r="EM92" s="42"/>
      <c r="EN92" s="42"/>
      <c r="EO92" s="42"/>
      <c r="EP92" s="42"/>
      <c r="EQ92" s="42"/>
      <c r="ER92" s="42"/>
      <c r="ES92" s="42"/>
      <c r="ET92" s="42"/>
      <c r="EU92" s="42"/>
      <c r="EV92" s="42"/>
      <c r="EW92" s="42"/>
      <c r="EX92" s="42"/>
      <c r="EY92" s="42"/>
      <c r="EZ92" s="42"/>
      <c r="FA92" s="42"/>
      <c r="FB92" s="42"/>
      <c r="FC92" s="42"/>
      <c r="FD92" s="42"/>
      <c r="FE92" s="42"/>
      <c r="FF92" s="42"/>
      <c r="FG92" s="42"/>
      <c r="FH92" s="42"/>
      <c r="FI92" s="42"/>
      <c r="FJ92" s="42"/>
    </row>
    <row r="93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  <c r="CN93" s="42"/>
      <c r="CO93" s="42"/>
      <c r="CP93" s="42"/>
      <c r="CQ93" s="42"/>
      <c r="CR93" s="42"/>
      <c r="CS93" s="42"/>
      <c r="CT93" s="42"/>
      <c r="CU93" s="42"/>
      <c r="CV93" s="42"/>
      <c r="CW93" s="42"/>
      <c r="CX93" s="42"/>
      <c r="CY93" s="42"/>
      <c r="CZ93" s="42"/>
      <c r="DA93" s="42"/>
      <c r="DB93" s="42"/>
      <c r="DC93" s="42"/>
      <c r="DD93" s="42"/>
      <c r="DE93" s="42"/>
      <c r="DF93" s="42"/>
      <c r="DG93" s="42"/>
      <c r="DH93" s="42"/>
      <c r="DI93" s="42"/>
      <c r="DJ93" s="42"/>
      <c r="DK93" s="42"/>
      <c r="DL93" s="42"/>
      <c r="DM93" s="42"/>
      <c r="DN93" s="42"/>
      <c r="DO93" s="42"/>
      <c r="DP93" s="42"/>
      <c r="DQ93" s="42"/>
      <c r="DR93" s="42"/>
      <c r="DS93" s="42"/>
      <c r="DT93" s="42"/>
      <c r="DU93" s="42"/>
      <c r="DV93" s="42"/>
      <c r="DW93" s="42"/>
      <c r="DX93" s="42"/>
      <c r="DY93" s="42"/>
      <c r="DZ93" s="42"/>
      <c r="EA93" s="42"/>
      <c r="EB93" s="42"/>
      <c r="EC93" s="42"/>
      <c r="ED93" s="42"/>
      <c r="EE93" s="42"/>
      <c r="EF93" s="42"/>
      <c r="EG93" s="42"/>
      <c r="EH93" s="42"/>
      <c r="EI93" s="42"/>
      <c r="EJ93" s="42"/>
      <c r="EK93" s="42"/>
      <c r="EL93" s="42"/>
      <c r="EM93" s="42"/>
      <c r="EN93" s="42"/>
      <c r="EO93" s="42"/>
      <c r="EP93" s="42"/>
      <c r="EQ93" s="42"/>
      <c r="ER93" s="42"/>
      <c r="ES93" s="42"/>
      <c r="ET93" s="42"/>
      <c r="EU93" s="42"/>
      <c r="EV93" s="42"/>
      <c r="EW93" s="42"/>
      <c r="EX93" s="42"/>
      <c r="EY93" s="42"/>
      <c r="EZ93" s="42"/>
      <c r="FA93" s="42"/>
      <c r="FB93" s="42"/>
      <c r="FC93" s="42"/>
      <c r="FD93" s="42"/>
      <c r="FE93" s="42"/>
      <c r="FF93" s="42"/>
      <c r="FG93" s="42"/>
      <c r="FH93" s="42"/>
      <c r="FI93" s="42"/>
      <c r="FJ93" s="42"/>
    </row>
    <row r="94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/>
      <c r="CV94" s="42"/>
      <c r="CW94" s="42"/>
      <c r="CX94" s="42"/>
      <c r="CY94" s="42"/>
      <c r="CZ94" s="42"/>
      <c r="DA94" s="42"/>
      <c r="DB94" s="42"/>
      <c r="DC94" s="42"/>
      <c r="DD94" s="42"/>
      <c r="DE94" s="42"/>
      <c r="DF94" s="42"/>
      <c r="DG94" s="42"/>
      <c r="DH94" s="42"/>
      <c r="DI94" s="42"/>
      <c r="DJ94" s="42"/>
      <c r="DK94" s="42"/>
      <c r="DL94" s="42"/>
      <c r="DM94" s="42"/>
      <c r="DN94" s="42"/>
      <c r="DO94" s="42"/>
      <c r="DP94" s="42"/>
      <c r="DQ94" s="42"/>
      <c r="DR94" s="42"/>
      <c r="DS94" s="42"/>
      <c r="DT94" s="42"/>
      <c r="DU94" s="42"/>
      <c r="DV94" s="42"/>
      <c r="DW94" s="42"/>
      <c r="DX94" s="42"/>
      <c r="DY94" s="42"/>
      <c r="DZ94" s="42"/>
      <c r="EA94" s="42"/>
      <c r="EB94" s="42"/>
      <c r="EC94" s="42"/>
      <c r="ED94" s="42"/>
      <c r="EE94" s="42"/>
      <c r="EF94" s="42"/>
      <c r="EG94" s="42"/>
      <c r="EH94" s="42"/>
      <c r="EI94" s="42"/>
      <c r="EJ94" s="42"/>
      <c r="EK94" s="42"/>
      <c r="EL94" s="42"/>
      <c r="EM94" s="42"/>
      <c r="EN94" s="42"/>
      <c r="EO94" s="42"/>
      <c r="EP94" s="42"/>
      <c r="EQ94" s="42"/>
      <c r="ER94" s="42"/>
      <c r="ES94" s="42"/>
      <c r="ET94" s="42"/>
      <c r="EU94" s="42"/>
      <c r="EV94" s="42"/>
      <c r="EW94" s="42"/>
      <c r="EX94" s="42"/>
      <c r="EY94" s="42"/>
      <c r="EZ94" s="42"/>
      <c r="FA94" s="42"/>
      <c r="FB94" s="42"/>
      <c r="FC94" s="42"/>
      <c r="FD94" s="42"/>
      <c r="FE94" s="42"/>
      <c r="FF94" s="42"/>
      <c r="FG94" s="42"/>
      <c r="FH94" s="42"/>
      <c r="FI94" s="42"/>
      <c r="FJ94" s="42"/>
    </row>
    <row r="95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  <c r="CQ95" s="42"/>
      <c r="CR95" s="42"/>
      <c r="CS95" s="42"/>
      <c r="CT95" s="42"/>
      <c r="CU95" s="42"/>
      <c r="CV95" s="42"/>
      <c r="CW95" s="42"/>
      <c r="CX95" s="42"/>
      <c r="CY95" s="42"/>
      <c r="CZ95" s="42"/>
      <c r="DA95" s="42"/>
      <c r="DB95" s="42"/>
      <c r="DC95" s="42"/>
      <c r="DD95" s="42"/>
      <c r="DE95" s="42"/>
      <c r="DF95" s="42"/>
      <c r="DG95" s="42"/>
      <c r="DH95" s="42"/>
      <c r="DI95" s="42"/>
      <c r="DJ95" s="42"/>
      <c r="DK95" s="42"/>
      <c r="DL95" s="42"/>
      <c r="DM95" s="42"/>
      <c r="DN95" s="42"/>
      <c r="DO95" s="42"/>
      <c r="DP95" s="42"/>
      <c r="DQ95" s="42"/>
      <c r="DR95" s="42"/>
      <c r="DS95" s="42"/>
      <c r="DT95" s="42"/>
      <c r="DU95" s="42"/>
      <c r="DV95" s="42"/>
      <c r="DW95" s="42"/>
      <c r="DX95" s="42"/>
      <c r="DY95" s="42"/>
      <c r="DZ95" s="42"/>
      <c r="EA95" s="42"/>
      <c r="EB95" s="42"/>
      <c r="EC95" s="42"/>
      <c r="ED95" s="42"/>
      <c r="EE95" s="42"/>
      <c r="EF95" s="42"/>
      <c r="EG95" s="42"/>
      <c r="EH95" s="42"/>
      <c r="EI95" s="42"/>
      <c r="EJ95" s="42"/>
      <c r="EK95" s="42"/>
      <c r="EL95" s="42"/>
      <c r="EM95" s="42"/>
      <c r="EN95" s="42"/>
      <c r="EO95" s="42"/>
      <c r="EP95" s="42"/>
      <c r="EQ95" s="42"/>
      <c r="ER95" s="42"/>
      <c r="ES95" s="42"/>
      <c r="ET95" s="42"/>
      <c r="EU95" s="42"/>
      <c r="EV95" s="42"/>
      <c r="EW95" s="42"/>
      <c r="EX95" s="42"/>
      <c r="EY95" s="42"/>
      <c r="EZ95" s="42"/>
      <c r="FA95" s="42"/>
      <c r="FB95" s="42"/>
      <c r="FC95" s="42"/>
      <c r="FD95" s="42"/>
      <c r="FE95" s="42"/>
      <c r="FF95" s="42"/>
      <c r="FG95" s="42"/>
      <c r="FH95" s="42"/>
      <c r="FI95" s="42"/>
      <c r="FJ95" s="42"/>
    </row>
    <row r="9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  <c r="CB96" s="42"/>
      <c r="CC96" s="42"/>
      <c r="CD96" s="42"/>
      <c r="CE96" s="42"/>
      <c r="CF96" s="42"/>
      <c r="CG96" s="42"/>
      <c r="CH96" s="42"/>
      <c r="CI96" s="42"/>
      <c r="CJ96" s="42"/>
      <c r="CK96" s="42"/>
      <c r="CL96" s="42"/>
      <c r="CM96" s="42"/>
      <c r="CN96" s="42"/>
      <c r="CO96" s="42"/>
      <c r="CP96" s="42"/>
      <c r="CQ96" s="42"/>
      <c r="CR96" s="42"/>
      <c r="CS96" s="42"/>
      <c r="CT96" s="42"/>
      <c r="CU96" s="42"/>
      <c r="CV96" s="42"/>
      <c r="CW96" s="42"/>
      <c r="CX96" s="42"/>
      <c r="CY96" s="42"/>
      <c r="CZ96" s="42"/>
      <c r="DA96" s="42"/>
      <c r="DB96" s="42"/>
      <c r="DC96" s="42"/>
      <c r="DD96" s="42"/>
      <c r="DE96" s="42"/>
      <c r="DF96" s="42"/>
      <c r="DG96" s="42"/>
      <c r="DH96" s="42"/>
      <c r="DI96" s="42"/>
      <c r="DJ96" s="42"/>
      <c r="DK96" s="42"/>
      <c r="DL96" s="42"/>
      <c r="DM96" s="42"/>
      <c r="DN96" s="42"/>
      <c r="DO96" s="42"/>
      <c r="DP96" s="42"/>
      <c r="DQ96" s="42"/>
      <c r="DR96" s="42"/>
      <c r="DS96" s="42"/>
      <c r="DT96" s="42"/>
      <c r="DU96" s="42"/>
      <c r="DV96" s="42"/>
      <c r="DW96" s="42"/>
      <c r="DX96" s="42"/>
      <c r="DY96" s="42"/>
      <c r="DZ96" s="42"/>
      <c r="EA96" s="42"/>
      <c r="EB96" s="42"/>
      <c r="EC96" s="42"/>
      <c r="ED96" s="42"/>
      <c r="EE96" s="42"/>
      <c r="EF96" s="42"/>
      <c r="EG96" s="42"/>
      <c r="EH96" s="42"/>
      <c r="EI96" s="42"/>
      <c r="EJ96" s="42"/>
      <c r="EK96" s="42"/>
      <c r="EL96" s="42"/>
      <c r="EM96" s="42"/>
      <c r="EN96" s="42"/>
      <c r="EO96" s="42"/>
      <c r="EP96" s="42"/>
      <c r="EQ96" s="42"/>
      <c r="ER96" s="42"/>
      <c r="ES96" s="42"/>
      <c r="ET96" s="42"/>
      <c r="EU96" s="42"/>
      <c r="EV96" s="42"/>
      <c r="EW96" s="42"/>
      <c r="EX96" s="42"/>
      <c r="EY96" s="42"/>
      <c r="EZ96" s="42"/>
      <c r="FA96" s="42"/>
      <c r="FB96" s="42"/>
      <c r="FC96" s="42"/>
      <c r="FD96" s="42"/>
      <c r="FE96" s="42"/>
      <c r="FF96" s="42"/>
      <c r="FG96" s="42"/>
      <c r="FH96" s="42"/>
      <c r="FI96" s="42"/>
      <c r="FJ96" s="42"/>
    </row>
    <row r="97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/>
      <c r="CG97" s="42"/>
      <c r="CH97" s="42"/>
      <c r="CI97" s="42"/>
      <c r="CJ97" s="42"/>
      <c r="CK97" s="42"/>
      <c r="CL97" s="42"/>
      <c r="CM97" s="42"/>
      <c r="CN97" s="42"/>
      <c r="CO97" s="42"/>
      <c r="CP97" s="42"/>
      <c r="CQ97" s="42"/>
      <c r="CR97" s="42"/>
      <c r="CS97" s="42"/>
      <c r="CT97" s="42"/>
      <c r="CU97" s="42"/>
      <c r="CV97" s="42"/>
      <c r="CW97" s="42"/>
      <c r="CX97" s="42"/>
      <c r="CY97" s="42"/>
      <c r="CZ97" s="42"/>
      <c r="DA97" s="42"/>
      <c r="DB97" s="42"/>
      <c r="DC97" s="42"/>
      <c r="DD97" s="42"/>
      <c r="DE97" s="42"/>
      <c r="DF97" s="42"/>
      <c r="DG97" s="42"/>
      <c r="DH97" s="42"/>
      <c r="DI97" s="42"/>
      <c r="DJ97" s="42"/>
      <c r="DK97" s="42"/>
      <c r="DL97" s="42"/>
      <c r="DM97" s="42"/>
      <c r="DN97" s="42"/>
      <c r="DO97" s="42"/>
      <c r="DP97" s="42"/>
      <c r="DQ97" s="42"/>
      <c r="DR97" s="42"/>
      <c r="DS97" s="42"/>
      <c r="DT97" s="42"/>
      <c r="DU97" s="42"/>
      <c r="DV97" s="42"/>
      <c r="DW97" s="42"/>
      <c r="DX97" s="42"/>
      <c r="DY97" s="42"/>
      <c r="DZ97" s="42"/>
      <c r="EA97" s="42"/>
      <c r="EB97" s="42"/>
      <c r="EC97" s="42"/>
      <c r="ED97" s="42"/>
      <c r="EE97" s="42"/>
      <c r="EF97" s="42"/>
      <c r="EG97" s="42"/>
      <c r="EH97" s="42"/>
      <c r="EI97" s="42"/>
      <c r="EJ97" s="42"/>
      <c r="EK97" s="42"/>
      <c r="EL97" s="42"/>
      <c r="EM97" s="42"/>
      <c r="EN97" s="42"/>
      <c r="EO97" s="42"/>
      <c r="EP97" s="42"/>
      <c r="EQ97" s="42"/>
      <c r="ER97" s="42"/>
      <c r="ES97" s="42"/>
      <c r="ET97" s="42"/>
      <c r="EU97" s="42"/>
      <c r="EV97" s="42"/>
      <c r="EW97" s="42"/>
      <c r="EX97" s="42"/>
      <c r="EY97" s="42"/>
      <c r="EZ97" s="42"/>
      <c r="FA97" s="42"/>
      <c r="FB97" s="42"/>
      <c r="FC97" s="42"/>
      <c r="FD97" s="42"/>
      <c r="FE97" s="42"/>
      <c r="FF97" s="42"/>
      <c r="FG97" s="42"/>
      <c r="FH97" s="42"/>
      <c r="FI97" s="42"/>
      <c r="FJ97" s="42"/>
    </row>
    <row r="98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  <c r="CA98" s="42"/>
      <c r="CB98" s="42"/>
      <c r="CC98" s="42"/>
      <c r="CD98" s="42"/>
      <c r="CE98" s="42"/>
      <c r="CF98" s="42"/>
      <c r="CG98" s="42"/>
      <c r="CH98" s="42"/>
      <c r="CI98" s="42"/>
      <c r="CJ98" s="42"/>
      <c r="CK98" s="42"/>
      <c r="CL98" s="42"/>
      <c r="CM98" s="42"/>
      <c r="CN98" s="42"/>
      <c r="CO98" s="42"/>
      <c r="CP98" s="42"/>
      <c r="CQ98" s="42"/>
      <c r="CR98" s="42"/>
      <c r="CS98" s="42"/>
      <c r="CT98" s="42"/>
      <c r="CU98" s="42"/>
      <c r="CV98" s="42"/>
      <c r="CW98" s="42"/>
      <c r="CX98" s="42"/>
      <c r="CY98" s="42"/>
      <c r="CZ98" s="42"/>
      <c r="DA98" s="42"/>
      <c r="DB98" s="42"/>
      <c r="DC98" s="42"/>
      <c r="DD98" s="42"/>
      <c r="DE98" s="42"/>
      <c r="DF98" s="42"/>
      <c r="DG98" s="42"/>
      <c r="DH98" s="42"/>
      <c r="DI98" s="42"/>
      <c r="DJ98" s="42"/>
      <c r="DK98" s="42"/>
      <c r="DL98" s="42"/>
      <c r="DM98" s="42"/>
      <c r="DN98" s="42"/>
      <c r="DO98" s="42"/>
      <c r="DP98" s="42"/>
      <c r="DQ98" s="42"/>
      <c r="DR98" s="42"/>
      <c r="DS98" s="42"/>
      <c r="DT98" s="42"/>
      <c r="DU98" s="42"/>
      <c r="DV98" s="42"/>
      <c r="DW98" s="42"/>
      <c r="DX98" s="42"/>
      <c r="DY98" s="42"/>
      <c r="DZ98" s="42"/>
      <c r="EA98" s="42"/>
      <c r="EB98" s="42"/>
      <c r="EC98" s="42"/>
      <c r="ED98" s="42"/>
      <c r="EE98" s="42"/>
      <c r="EF98" s="42"/>
      <c r="EG98" s="42"/>
      <c r="EH98" s="42"/>
      <c r="EI98" s="42"/>
      <c r="EJ98" s="42"/>
      <c r="EK98" s="42"/>
      <c r="EL98" s="42"/>
      <c r="EM98" s="42"/>
      <c r="EN98" s="42"/>
      <c r="EO98" s="42"/>
      <c r="EP98" s="42"/>
      <c r="EQ98" s="42"/>
      <c r="ER98" s="42"/>
      <c r="ES98" s="42"/>
      <c r="ET98" s="42"/>
      <c r="EU98" s="42"/>
      <c r="EV98" s="42"/>
      <c r="EW98" s="42"/>
      <c r="EX98" s="42"/>
      <c r="EY98" s="42"/>
      <c r="EZ98" s="42"/>
      <c r="FA98" s="42"/>
      <c r="FB98" s="42"/>
      <c r="FC98" s="42"/>
      <c r="FD98" s="42"/>
      <c r="FE98" s="42"/>
      <c r="FF98" s="42"/>
      <c r="FG98" s="42"/>
      <c r="FH98" s="42"/>
      <c r="FI98" s="42"/>
      <c r="FJ98" s="42"/>
    </row>
    <row r="99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  <c r="CA99" s="42"/>
      <c r="CB99" s="42"/>
      <c r="CC99" s="42"/>
      <c r="CD99" s="42"/>
      <c r="CE99" s="42"/>
      <c r="CF99" s="42"/>
      <c r="CG99" s="42"/>
      <c r="CH99" s="42"/>
      <c r="CI99" s="42"/>
      <c r="CJ99" s="42"/>
      <c r="CK99" s="42"/>
      <c r="CL99" s="42"/>
      <c r="CM99" s="42"/>
      <c r="CN99" s="42"/>
      <c r="CO99" s="42"/>
      <c r="CP99" s="42"/>
      <c r="CQ99" s="42"/>
      <c r="CR99" s="42"/>
      <c r="CS99" s="42"/>
      <c r="CT99" s="42"/>
      <c r="CU99" s="42"/>
      <c r="CV99" s="42"/>
      <c r="CW99" s="42"/>
      <c r="CX99" s="42"/>
      <c r="CY99" s="42"/>
      <c r="CZ99" s="42"/>
      <c r="DA99" s="42"/>
      <c r="DB99" s="42"/>
      <c r="DC99" s="42"/>
      <c r="DD99" s="42"/>
      <c r="DE99" s="42"/>
      <c r="DF99" s="42"/>
      <c r="DG99" s="42"/>
      <c r="DH99" s="42"/>
      <c r="DI99" s="42"/>
      <c r="DJ99" s="42"/>
      <c r="DK99" s="42"/>
      <c r="DL99" s="42"/>
      <c r="DM99" s="42"/>
      <c r="DN99" s="42"/>
      <c r="DO99" s="42"/>
      <c r="DP99" s="42"/>
      <c r="DQ99" s="42"/>
      <c r="DR99" s="42"/>
      <c r="DS99" s="42"/>
      <c r="DT99" s="42"/>
      <c r="DU99" s="42"/>
      <c r="DV99" s="42"/>
      <c r="DW99" s="42"/>
      <c r="DX99" s="42"/>
      <c r="DY99" s="42"/>
      <c r="DZ99" s="42"/>
      <c r="EA99" s="42"/>
      <c r="EB99" s="42"/>
      <c r="EC99" s="42"/>
      <c r="ED99" s="42"/>
      <c r="EE99" s="42"/>
      <c r="EF99" s="42"/>
      <c r="EG99" s="42"/>
      <c r="EH99" s="42"/>
      <c r="EI99" s="42"/>
      <c r="EJ99" s="42"/>
      <c r="EK99" s="42"/>
      <c r="EL99" s="42"/>
      <c r="EM99" s="42"/>
      <c r="EN99" s="42"/>
      <c r="EO99" s="42"/>
      <c r="EP99" s="42"/>
      <c r="EQ99" s="42"/>
      <c r="ER99" s="42"/>
      <c r="ES99" s="42"/>
      <c r="ET99" s="42"/>
      <c r="EU99" s="42"/>
      <c r="EV99" s="42"/>
      <c r="EW99" s="42"/>
      <c r="EX99" s="42"/>
      <c r="EY99" s="42"/>
      <c r="EZ99" s="42"/>
      <c r="FA99" s="42"/>
      <c r="FB99" s="42"/>
      <c r="FC99" s="42"/>
      <c r="FD99" s="42"/>
      <c r="FE99" s="42"/>
      <c r="FF99" s="42"/>
      <c r="FG99" s="42"/>
      <c r="FH99" s="42"/>
      <c r="FI99" s="42"/>
      <c r="FJ99" s="42"/>
    </row>
    <row r="100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/>
      <c r="CP100" s="42"/>
      <c r="CQ100" s="42"/>
      <c r="CR100" s="42"/>
      <c r="CS100" s="42"/>
      <c r="CT100" s="42"/>
      <c r="CU100" s="42"/>
      <c r="CV100" s="42"/>
      <c r="CW100" s="42"/>
      <c r="CX100" s="42"/>
      <c r="CY100" s="42"/>
      <c r="CZ100" s="42"/>
      <c r="DA100" s="42"/>
      <c r="DB100" s="42"/>
      <c r="DC100" s="42"/>
      <c r="DD100" s="42"/>
      <c r="DE100" s="42"/>
      <c r="DF100" s="42"/>
      <c r="DG100" s="42"/>
      <c r="DH100" s="42"/>
      <c r="DI100" s="42"/>
      <c r="DJ100" s="42"/>
      <c r="DK100" s="42"/>
      <c r="DL100" s="42"/>
      <c r="DM100" s="42"/>
      <c r="DN100" s="42"/>
      <c r="DO100" s="42"/>
      <c r="DP100" s="42"/>
      <c r="DQ100" s="42"/>
      <c r="DR100" s="42"/>
      <c r="DS100" s="42"/>
      <c r="DT100" s="42"/>
      <c r="DU100" s="42"/>
      <c r="DV100" s="42"/>
      <c r="DW100" s="42"/>
      <c r="DX100" s="42"/>
      <c r="DY100" s="42"/>
      <c r="DZ100" s="42"/>
      <c r="EA100" s="42"/>
      <c r="EB100" s="42"/>
      <c r="EC100" s="42"/>
      <c r="ED100" s="42"/>
      <c r="EE100" s="42"/>
      <c r="EF100" s="42"/>
      <c r="EG100" s="42"/>
      <c r="EH100" s="42"/>
      <c r="EI100" s="42"/>
      <c r="EJ100" s="42"/>
      <c r="EK100" s="42"/>
      <c r="EL100" s="42"/>
      <c r="EM100" s="42"/>
      <c r="EN100" s="42"/>
      <c r="EO100" s="42"/>
      <c r="EP100" s="42"/>
      <c r="EQ100" s="42"/>
      <c r="ER100" s="42"/>
      <c r="ES100" s="42"/>
      <c r="ET100" s="42"/>
      <c r="EU100" s="42"/>
      <c r="EV100" s="42"/>
      <c r="EW100" s="42"/>
      <c r="EX100" s="42"/>
      <c r="EY100" s="42"/>
      <c r="EZ100" s="42"/>
      <c r="FA100" s="42"/>
      <c r="FB100" s="42"/>
      <c r="FC100" s="42"/>
      <c r="FD100" s="42"/>
      <c r="FE100" s="42"/>
      <c r="FF100" s="42"/>
      <c r="FG100" s="42"/>
      <c r="FH100" s="42"/>
      <c r="FI100" s="42"/>
      <c r="FJ100" s="4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7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16"/>
      <c r="B2" s="16"/>
      <c r="C2" s="16"/>
      <c r="D2" s="16"/>
      <c r="E2" s="16"/>
      <c r="F2" s="16"/>
      <c r="G2" s="16"/>
      <c r="H2" s="16"/>
      <c r="I2" s="16"/>
      <c r="J2" s="17" t="str">
        <f> VLOOKUP($E$3,'_MasterData'!B4:D1000,3,FALSE)</f>
        <v>#N/A</v>
      </c>
      <c r="K2" s="17"/>
      <c r="L2" s="16"/>
      <c r="M2" s="16"/>
      <c r="N2" s="16"/>
      <c r="O2" s="16"/>
    </row>
    <row r="3" ht="15.75" customHeight="1">
      <c r="A3" s="18"/>
      <c r="B3" s="5" t="s">
        <v>4</v>
      </c>
      <c r="C3" s="19" t="s">
        <v>58</v>
      </c>
      <c r="D3" s="5" t="s">
        <v>5</v>
      </c>
      <c r="E3" s="19" t="s">
        <v>9</v>
      </c>
      <c r="F3" s="5" t="s">
        <v>10</v>
      </c>
      <c r="G3" s="20" t="s">
        <v>11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IFERROR(__xludf.DUMMYFUNCTION("IF(C3="""","""",Transpose(IMPORTRANGE('_Settings'!$B$3,C3&amp;""!A4:A1000"")))"),"DeleteClientData")</f>
        <v>DeleteClientData</v>
      </c>
      <c r="C4" s="22" t="str">
        <f>IFERROR(__xludf.DUMMYFUNCTION("""COMPUTED_VALUE"""),"")</f>
        <v/>
      </c>
      <c r="D4" s="22" t="str">
        <f>IFERROR(__xludf.DUMMYFUNCTION("""COMPUTED_VALUE"""),"")</f>
        <v/>
      </c>
      <c r="E4" s="22" t="str">
        <f>IFERROR(__xludf.DUMMYFUNCTION("""COMPUTED_VALUE"""),"")</f>
        <v/>
      </c>
      <c r="F4" s="22" t="str">
        <f>IFERROR(__xludf.DUMMYFUNCTION("""COMPUTED_VALUE"""),"")</f>
        <v/>
      </c>
      <c r="G4" s="22" t="str">
        <f>IFERROR(__xludf.DUMMYFUNCTION("""COMPUTED_VALUE"""),"")</f>
        <v/>
      </c>
      <c r="H4" s="22" t="str">
        <f>IFERROR(__xludf.DUMMYFUNCTION("""COMPUTED_VALUE"""),"")</f>
        <v/>
      </c>
      <c r="I4" s="22" t="str">
        <f>IFERROR(__xludf.DUMMYFUNCTION("""COMPUTED_VALUE"""),"")</f>
        <v/>
      </c>
      <c r="J4" s="22" t="str">
        <f>IFERROR(__xludf.DUMMYFUNCTION("""COMPUTED_VALUE"""),"")</f>
        <v/>
      </c>
      <c r="K4" s="22" t="str">
        <f>IFERROR(__xludf.DUMMYFUNCTION("""COMPUTED_VALUE"""),"")</f>
        <v/>
      </c>
      <c r="L4" s="22" t="str">
        <f>IFERROR(__xludf.DUMMYFUNCTION("""COMPUTED_VALUE"""),"")</f>
        <v/>
      </c>
      <c r="M4" s="22" t="str">
        <f>IFERROR(__xludf.DUMMYFUNCTION("""COMPUTED_VALUE"""),"")</f>
        <v/>
      </c>
      <c r="N4" s="22" t="str">
        <f>IFERROR(__xludf.DUMMYFUNCTION("""COMPUTED_VALUE"""),"")</f>
        <v/>
      </c>
      <c r="O4" s="22" t="str">
        <f>IFERROR(__xludf.DUMMYFUNCTION("""COMPUTED_VALUE"""),"")</f>
        <v/>
      </c>
      <c r="P4" s="23" t="str">
        <f>IFERROR(__xludf.DUMMYFUNCTION("""COMPUTED_VALUE"""),"")</f>
        <v/>
      </c>
      <c r="Q4" s="23" t="str">
        <f>IFERROR(__xludf.DUMMYFUNCTION("""COMPUTED_VALUE"""),"")</f>
        <v/>
      </c>
      <c r="R4" s="23" t="str">
        <f>IFERROR(__xludf.DUMMYFUNCTION("""COMPUTED_VALUE"""),"")</f>
        <v/>
      </c>
      <c r="S4" s="23" t="str">
        <f>IFERROR(__xludf.DUMMYFUNCTION("""COMPUTED_VALUE"""),"")</f>
        <v/>
      </c>
      <c r="T4" s="23" t="str">
        <f>IFERROR(__xludf.DUMMYFUNCTION("""COMPUTED_VALUE"""),"")</f>
        <v/>
      </c>
      <c r="U4" s="23" t="str">
        <f>IFERROR(__xludf.DUMMYFUNCTION("""COMPUTED_VALUE"""),"")</f>
        <v/>
      </c>
      <c r="V4" s="23" t="str">
        <f>IFERROR(__xludf.DUMMYFUNCTION("""COMPUTED_VALUE"""),"")</f>
        <v/>
      </c>
      <c r="W4" s="23" t="str">
        <f>IFERROR(__xludf.DUMMYFUNCTION("""COMPUTED_VALUE"""),"")</f>
        <v/>
      </c>
      <c r="X4" s="23" t="str">
        <f>IFERROR(__xludf.DUMMYFUNCTION("""COMPUTED_VALUE"""),"")</f>
        <v/>
      </c>
      <c r="Y4" s="23" t="str">
        <f>IFERROR(__xludf.DUMMYFUNCTION("""COMPUTED_VALUE"""),"")</f>
        <v/>
      </c>
      <c r="Z4" s="23" t="str">
        <f>IFERROR(__xludf.DUMMYFUNCTION("""COMPUTED_VALUE"""),"")</f>
        <v/>
      </c>
      <c r="AA4" s="23" t="str">
        <f>IFERROR(__xludf.DUMMYFUNCTION("""COMPUTED_VALUE"""),"")</f>
        <v/>
      </c>
      <c r="AB4" s="23" t="str">
        <f>IFERROR(__xludf.DUMMYFUNCTION("""COMPUTED_VALUE"""),"")</f>
        <v/>
      </c>
      <c r="AC4" s="23" t="str">
        <f>IFERROR(__xludf.DUMMYFUNCTION("""COMPUTED_VALUE"""),"")</f>
        <v/>
      </c>
      <c r="AD4" s="23" t="str">
        <f>IFERROR(__xludf.DUMMYFUNCTION("""COMPUTED_VALUE"""),"")</f>
        <v/>
      </c>
      <c r="AE4" s="23" t="str">
        <f>IFERROR(__xludf.DUMMYFUNCTION("""COMPUTED_VALUE"""),"")</f>
        <v/>
      </c>
      <c r="AF4" s="23" t="str">
        <f>IFERROR(__xludf.DUMMYFUNCTION("""COMPUTED_VALUE"""),"")</f>
        <v/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  <c r="EX4" s="23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IFERROR(__xludf.DUMMYFUNCTION("TRANSPOSE(IMPORTRANGE(VLOOKUP($E$3,IMPORTRANGE('_Settings'!$B$3,$C$3&amp;""!A4:B1000""),2,FALSE),$G$3&amp;""!A4:A1000""))"),"#N/A")</f>
        <v>#N/A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24"/>
      <c r="B6" s="24" t="s">
        <v>59</v>
      </c>
      <c r="C6" s="16"/>
      <c r="D6" s="24" t="s">
        <v>60</v>
      </c>
      <c r="E6" s="31">
        <v>1000.0</v>
      </c>
      <c r="F6" s="16"/>
      <c r="G6" s="16"/>
      <c r="H6" s="16"/>
      <c r="I6" s="16"/>
      <c r="J6" s="16"/>
      <c r="K6" s="16"/>
      <c r="L6" s="16"/>
      <c r="M6" s="16"/>
      <c r="N6" s="16"/>
      <c r="O6" s="16"/>
    </row>
    <row r="7" ht="15.7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ht="15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ht="15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DeleteClientData!$4:$4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