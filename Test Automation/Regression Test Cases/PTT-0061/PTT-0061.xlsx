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3" activeTab="16"/>
  </bookViews>
  <sheets>
    <sheet name="_Modules" sheetId="1" r:id="rId1"/>
    <sheet name="_Settings" sheetId="2" r:id="rId2"/>
    <sheet name="_MasterData" sheetId="3" r:id="rId3"/>
    <sheet name="GetDailyCash" sheetId="4" r:id="rId4"/>
    <sheet name="UpdateDailyCash" sheetId="5" r:id="rId5"/>
    <sheet name="CreateDoneAwayOrder" sheetId="6" r:id="rId6"/>
    <sheet name="PricingInput" sheetId="7" r:id="rId7"/>
    <sheet name="GroupRowPM" sheetId="8" r:id="rId8"/>
    <sheet name="OpenPTTFromPM" sheetId="9" r:id="rId9"/>
    <sheet name="CalculatePTT" sheetId="10" r:id="rId10"/>
    <sheet name="VerifyPTT" sheetId="11" r:id="rId11"/>
    <sheet name="TradePTT" sheetId="12" r:id="rId12"/>
    <sheet name="CreateDoneAwayOrder1" sheetId="13" r:id="rId13"/>
    <sheet name="VerifyOrder" sheetId="14" r:id="rId14"/>
    <sheet name="GetDataAllocation" sheetId="15" r:id="rId15"/>
    <sheet name="CheckAllocatedGroups" sheetId="16" r:id="rId16"/>
    <sheet name="CheckPortfolioManagement" sheetId="17" r:id="rId17"/>
  </sheets>
  <calcPr calcId="145621"/>
</workbook>
</file>

<file path=xl/calcChain.xml><?xml version="1.0" encoding="utf-8"?>
<calcChain xmlns="http://schemas.openxmlformats.org/spreadsheetml/2006/main">
  <c r="N7" i="6" l="1"/>
  <c r="N6" i="6"/>
  <c r="C6" i="4"/>
  <c r="B6" i="4"/>
  <c r="BK5" i="17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Q5" i="13"/>
  <c r="AI5" i="13"/>
  <c r="AA5" i="13"/>
  <c r="S5" i="13"/>
  <c r="K5" i="13"/>
  <c r="C5" i="13"/>
  <c r="O4" i="13"/>
  <c r="G4" i="13"/>
  <c r="H5" i="12"/>
  <c r="Q4" i="12"/>
  <c r="I4" i="12"/>
  <c r="K5" i="11"/>
  <c r="C5" i="11"/>
  <c r="L4" i="11"/>
  <c r="D4" i="11"/>
  <c r="F5" i="10"/>
  <c r="O4" i="10"/>
  <c r="G4" i="10"/>
  <c r="D5" i="9"/>
  <c r="V4" i="9"/>
  <c r="N4" i="9"/>
  <c r="F4" i="9"/>
  <c r="Z4" i="8"/>
  <c r="R4" i="8"/>
  <c r="J4" i="8"/>
  <c r="B4" i="8"/>
  <c r="N5" i="7"/>
  <c r="F5" i="7"/>
  <c r="C4" i="7"/>
  <c r="AN5" i="6"/>
  <c r="AF5" i="6"/>
  <c r="X5" i="6"/>
  <c r="P5" i="6"/>
  <c r="H5" i="6"/>
  <c r="T4" i="6"/>
  <c r="L4" i="6"/>
  <c r="D4" i="6"/>
  <c r="AG4" i="5"/>
  <c r="Y4" i="5"/>
  <c r="Q4" i="5"/>
  <c r="I4" i="5"/>
  <c r="AE4" i="4"/>
  <c r="W4" i="4"/>
  <c r="O4" i="4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P5" i="13"/>
  <c r="AH5" i="13"/>
  <c r="Z5" i="13"/>
  <c r="R5" i="13"/>
  <c r="J5" i="13"/>
  <c r="B5" i="13"/>
  <c r="N4" i="13"/>
  <c r="F4" i="13"/>
  <c r="G5" i="12"/>
  <c r="P4" i="12"/>
  <c r="H4" i="12"/>
  <c r="R5" i="11"/>
  <c r="J5" i="11"/>
  <c r="B5" i="11"/>
  <c r="K4" i="11"/>
  <c r="C4" i="11"/>
  <c r="E5" i="10"/>
  <c r="N4" i="10"/>
  <c r="F4" i="10"/>
  <c r="C5" i="9"/>
  <c r="U4" i="9"/>
  <c r="M4" i="9"/>
  <c r="E4" i="9"/>
  <c r="Y4" i="8"/>
  <c r="Q4" i="8"/>
  <c r="I4" i="8"/>
  <c r="M5" i="7"/>
  <c r="E5" i="7"/>
  <c r="B4" i="7"/>
  <c r="AM5" i="6"/>
  <c r="AE5" i="6"/>
  <c r="W5" i="6"/>
  <c r="O5" i="6"/>
  <c r="G5" i="6"/>
  <c r="S4" i="6"/>
  <c r="K4" i="6"/>
  <c r="C4" i="6"/>
  <c r="AF4" i="5"/>
  <c r="X4" i="5"/>
  <c r="P4" i="5"/>
  <c r="H4" i="5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BD4" i="16"/>
  <c r="AV4" i="16"/>
  <c r="AN4" i="16"/>
  <c r="AF4" i="16"/>
  <c r="X4" i="16"/>
  <c r="P4" i="16"/>
  <c r="H4" i="16"/>
  <c r="R5" i="15"/>
  <c r="J5" i="15"/>
  <c r="B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AV5" i="14"/>
  <c r="AN5" i="14"/>
  <c r="AF5" i="14"/>
  <c r="X5" i="14"/>
  <c r="P5" i="14"/>
  <c r="H5" i="14"/>
  <c r="AT4" i="14"/>
  <c r="AL4" i="14"/>
  <c r="AD4" i="14"/>
  <c r="V4" i="14"/>
  <c r="N4" i="14"/>
  <c r="F4" i="14"/>
  <c r="AO5" i="13"/>
  <c r="AG5" i="13"/>
  <c r="Y5" i="13"/>
  <c r="Q5" i="13"/>
  <c r="I5" i="13"/>
  <c r="A5" i="13"/>
  <c r="M4" i="13"/>
  <c r="E4" i="13"/>
  <c r="F5" i="12"/>
  <c r="O4" i="12"/>
  <c r="G4" i="12"/>
  <c r="Q5" i="11"/>
  <c r="I5" i="11"/>
  <c r="A5" i="11"/>
  <c r="J4" i="11"/>
  <c r="B4" i="11"/>
  <c r="D5" i="10"/>
  <c r="M4" i="10"/>
  <c r="E4" i="10"/>
  <c r="B5" i="9"/>
  <c r="T4" i="9"/>
  <c r="L4" i="9"/>
  <c r="D4" i="9"/>
  <c r="X4" i="8"/>
  <c r="P4" i="8"/>
  <c r="H4" i="8"/>
  <c r="T5" i="7"/>
  <c r="L5" i="7"/>
  <c r="D5" i="7"/>
  <c r="AL5" i="6"/>
  <c r="AD5" i="6"/>
  <c r="V5" i="6"/>
  <c r="N5" i="6"/>
  <c r="F5" i="6"/>
  <c r="R4" i="6"/>
  <c r="J4" i="6"/>
  <c r="B4" i="6"/>
  <c r="AE4" i="5"/>
  <c r="W4" i="5"/>
  <c r="O4" i="5"/>
  <c r="G4" i="5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DO4" i="16"/>
  <c r="DG4" i="16"/>
  <c r="CY4" i="16"/>
  <c r="CQ4" i="16"/>
  <c r="CI4" i="16"/>
  <c r="CA4" i="16"/>
  <c r="BS4" i="16"/>
  <c r="BK4" i="16"/>
  <c r="BC4" i="16"/>
  <c r="AU4" i="16"/>
  <c r="AM4" i="16"/>
  <c r="AE4" i="16"/>
  <c r="W4" i="16"/>
  <c r="O4" i="16"/>
  <c r="G4" i="16"/>
  <c r="Q5" i="15"/>
  <c r="I5" i="15"/>
  <c r="A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AU5" i="14"/>
  <c r="AM5" i="14"/>
  <c r="AE5" i="14"/>
  <c r="W5" i="14"/>
  <c r="O5" i="14"/>
  <c r="G5" i="14"/>
  <c r="AS4" i="14"/>
  <c r="AK4" i="14"/>
  <c r="AC4" i="14"/>
  <c r="U4" i="14"/>
  <c r="M4" i="14"/>
  <c r="E4" i="14"/>
  <c r="AN5" i="13"/>
  <c r="AF5" i="13"/>
  <c r="X5" i="13"/>
  <c r="P5" i="13"/>
  <c r="H5" i="13"/>
  <c r="T4" i="13"/>
  <c r="L4" i="13"/>
  <c r="D4" i="13"/>
  <c r="E5" i="12"/>
  <c r="N4" i="12"/>
  <c r="F4" i="12"/>
  <c r="P5" i="11"/>
  <c r="H5" i="11"/>
  <c r="Q4" i="11"/>
  <c r="I4" i="11"/>
  <c r="C5" i="10"/>
  <c r="L4" i="10"/>
  <c r="D4" i="10"/>
  <c r="A5" i="9"/>
  <c r="S4" i="9"/>
  <c r="K4" i="9"/>
  <c r="C4" i="9"/>
  <c r="W4" i="8"/>
  <c r="O4" i="8"/>
  <c r="G4" i="8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BY5" i="16"/>
  <c r="BQ5" i="16"/>
  <c r="BI5" i="16"/>
  <c r="BA5" i="16"/>
  <c r="AS5" i="16"/>
  <c r="AK5" i="16"/>
  <c r="AC5" i="16"/>
  <c r="U5" i="16"/>
  <c r="M5" i="16"/>
  <c r="E5" i="16"/>
  <c r="DN4" i="16"/>
  <c r="DF4" i="16"/>
  <c r="CX4" i="16"/>
  <c r="CP4" i="16"/>
  <c r="CH4" i="16"/>
  <c r="BZ4" i="16"/>
  <c r="BR4" i="16"/>
  <c r="BJ4" i="16"/>
  <c r="BB4" i="16"/>
  <c r="AT4" i="16"/>
  <c r="AL4" i="16"/>
  <c r="AD4" i="16"/>
  <c r="V4" i="16"/>
  <c r="N4" i="16"/>
  <c r="F4" i="16"/>
  <c r="P5" i="15"/>
  <c r="H5" i="15"/>
  <c r="DQ4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AT5" i="14"/>
  <c r="AL5" i="14"/>
  <c r="AD5" i="14"/>
  <c r="V5" i="14"/>
  <c r="N5" i="14"/>
  <c r="F5" i="14"/>
  <c r="AR4" i="14"/>
  <c r="AJ4" i="14"/>
  <c r="AB4" i="14"/>
  <c r="T4" i="14"/>
  <c r="L4" i="14"/>
  <c r="D4" i="14"/>
  <c r="AM5" i="13"/>
  <c r="AE5" i="13"/>
  <c r="W5" i="13"/>
  <c r="O5" i="13"/>
  <c r="G5" i="13"/>
  <c r="S4" i="13"/>
  <c r="K4" i="13"/>
  <c r="C4" i="13"/>
  <c r="D5" i="12"/>
  <c r="M4" i="12"/>
  <c r="E4" i="12"/>
  <c r="O5" i="11"/>
  <c r="G5" i="11"/>
  <c r="P4" i="11"/>
  <c r="H4" i="11"/>
  <c r="J5" i="10"/>
  <c r="B5" i="10"/>
  <c r="K4" i="10"/>
  <c r="C4" i="10"/>
  <c r="Z4" i="9"/>
  <c r="R4" i="9"/>
  <c r="J4" i="9"/>
  <c r="B4" i="9"/>
  <c r="V4" i="8"/>
  <c r="N4" i="8"/>
  <c r="F4" i="8"/>
  <c r="R5" i="7"/>
  <c r="J5" i="7"/>
  <c r="B5" i="7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L5" i="13"/>
  <c r="AD5" i="13"/>
  <c r="V5" i="13"/>
  <c r="N5" i="13"/>
  <c r="F5" i="13"/>
  <c r="R4" i="13"/>
  <c r="J4" i="13"/>
  <c r="B4" i="13"/>
  <c r="C5" i="12"/>
  <c r="L4" i="12"/>
  <c r="D4" i="12"/>
  <c r="N5" i="11"/>
  <c r="F5" i="11"/>
  <c r="O4" i="11"/>
  <c r="G4" i="11"/>
  <c r="I5" i="10"/>
  <c r="A5" i="10"/>
  <c r="J4" i="10"/>
  <c r="B4" i="10"/>
  <c r="Y4" i="9"/>
  <c r="Q4" i="9"/>
  <c r="I4" i="9"/>
  <c r="U4" i="8"/>
  <c r="M4" i="8"/>
  <c r="E4" i="8"/>
  <c r="Q5" i="7"/>
  <c r="I5" i="7"/>
  <c r="A5" i="7"/>
  <c r="AQ5" i="6"/>
  <c r="AI5" i="6"/>
  <c r="AA5" i="6"/>
  <c r="S5" i="6"/>
  <c r="K5" i="6"/>
  <c r="C5" i="6"/>
  <c r="O4" i="6"/>
  <c r="G4" i="6"/>
  <c r="C5" i="5"/>
  <c r="AB4" i="5"/>
  <c r="T4" i="5"/>
  <c r="L4" i="5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K5" i="13"/>
  <c r="AC5" i="13"/>
  <c r="U5" i="13"/>
  <c r="M5" i="13"/>
  <c r="E5" i="13"/>
  <c r="Q4" i="13"/>
  <c r="I4" i="13"/>
  <c r="B5" i="12"/>
  <c r="K4" i="12"/>
  <c r="C4" i="12"/>
  <c r="M5" i="11"/>
  <c r="E5" i="11"/>
  <c r="N4" i="11"/>
  <c r="F4" i="11"/>
  <c r="H5" i="10"/>
  <c r="Q4" i="10"/>
  <c r="I4" i="10"/>
  <c r="X4" i="9"/>
  <c r="P4" i="9"/>
  <c r="H4" i="9"/>
  <c r="B5" i="8"/>
  <c r="T4" i="8"/>
  <c r="L4" i="8"/>
  <c r="D4" i="8"/>
  <c r="P5" i="7"/>
  <c r="H5" i="7"/>
  <c r="E4" i="7"/>
  <c r="AP5" i="6"/>
  <c r="AH5" i="6"/>
  <c r="Z5" i="6"/>
  <c r="R5" i="6"/>
  <c r="J5" i="6"/>
  <c r="B5" i="6"/>
  <c r="N4" i="6"/>
  <c r="F4" i="6"/>
  <c r="B5" i="5"/>
  <c r="AA4" i="5"/>
  <c r="S4" i="5"/>
  <c r="K4" i="5"/>
  <c r="C4" i="5"/>
  <c r="AG4" i="4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CE4" i="16"/>
  <c r="BW4" i="16"/>
  <c r="BO4" i="16"/>
  <c r="BG4" i="16"/>
  <c r="AY4" i="16"/>
  <c r="AQ4" i="16"/>
  <c r="AI4" i="16"/>
  <c r="AA4" i="16"/>
  <c r="S4" i="16"/>
  <c r="K4" i="16"/>
  <c r="C4" i="16"/>
  <c r="M5" i="15"/>
  <c r="E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AY5" i="14"/>
  <c r="AQ5" i="14"/>
  <c r="AI5" i="14"/>
  <c r="AA5" i="14"/>
  <c r="S5" i="14"/>
  <c r="K5" i="14"/>
  <c r="C5" i="14"/>
  <c r="AO4" i="14"/>
  <c r="AG4" i="14"/>
  <c r="Y4" i="14"/>
  <c r="Q4" i="14"/>
  <c r="I4" i="14"/>
  <c r="AJ5" i="13"/>
  <c r="AB5" i="13"/>
  <c r="T5" i="13"/>
  <c r="L5" i="13"/>
  <c r="D5" i="13"/>
  <c r="P4" i="13"/>
  <c r="H4" i="13"/>
  <c r="I5" i="12"/>
  <c r="A5" i="12"/>
  <c r="J4" i="12"/>
  <c r="B4" i="12"/>
  <c r="L5" i="11"/>
  <c r="D5" i="11"/>
  <c r="M4" i="11"/>
  <c r="E4" i="11"/>
  <c r="G5" i="10"/>
  <c r="P4" i="10"/>
  <c r="H4" i="10"/>
  <c r="E5" i="9"/>
  <c r="W4" i="9"/>
  <c r="O4" i="9"/>
  <c r="G4" i="9"/>
  <c r="A5" i="8"/>
  <c r="S4" i="8"/>
  <c r="K4" i="8"/>
  <c r="C4" i="8"/>
  <c r="S5" i="7"/>
  <c r="AO5" i="6"/>
  <c r="T5" i="6"/>
  <c r="Q4" i="6"/>
  <c r="A5" i="5"/>
  <c r="M4" i="5"/>
  <c r="C5" i="4"/>
  <c r="Z4" i="4"/>
  <c r="Q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O5" i="7"/>
  <c r="AK5" i="6"/>
  <c r="Q5" i="6"/>
  <c r="P4" i="6"/>
  <c r="AD4" i="5"/>
  <c r="J4" i="5"/>
  <c r="B5" i="4"/>
  <c r="Y4" i="4"/>
  <c r="P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K5" i="7"/>
  <c r="AJ5" i="6"/>
  <c r="M5" i="6"/>
  <c r="M4" i="6"/>
  <c r="AC4" i="5"/>
  <c r="F4" i="5"/>
  <c r="A5" i="4"/>
  <c r="X4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G5" i="7"/>
  <c r="AG5" i="6"/>
  <c r="L5" i="6"/>
  <c r="I4" i="6"/>
  <c r="Z4" i="5"/>
  <c r="E4" i="5"/>
  <c r="AF4" i="4"/>
  <c r="V4" i="4"/>
  <c r="M4" i="4"/>
  <c r="E4" i="4"/>
  <c r="A20" i="3"/>
  <c r="A18" i="3"/>
  <c r="A16" i="3"/>
  <c r="A14" i="3"/>
  <c r="A12" i="3"/>
  <c r="A10" i="3"/>
  <c r="A8" i="3"/>
  <c r="A6" i="3"/>
  <c r="A4" i="3"/>
  <c r="B478" i="1"/>
  <c r="C475" i="1"/>
  <c r="A473" i="1"/>
  <c r="B470" i="1"/>
  <c r="C467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C5" i="7"/>
  <c r="AC5" i="6"/>
  <c r="I5" i="6"/>
  <c r="H4" i="6"/>
  <c r="V4" i="5"/>
  <c r="D4" i="5"/>
  <c r="AD4" i="4"/>
  <c r="U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D4" i="7"/>
  <c r="AB5" i="6"/>
  <c r="E5" i="6"/>
  <c r="E4" i="6"/>
  <c r="U4" i="5"/>
  <c r="B4" i="5"/>
  <c r="AC4" i="4"/>
  <c r="T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Y5" i="6"/>
  <c r="D5" i="6"/>
  <c r="R4" i="5"/>
  <c r="AB4" i="4"/>
  <c r="S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AA4" i="4"/>
  <c r="A11" i="3"/>
  <c r="A469" i="1"/>
  <c r="C447" i="1"/>
  <c r="B426" i="1"/>
  <c r="A405" i="1"/>
  <c r="C383" i="1"/>
  <c r="B362" i="1"/>
  <c r="A341" i="1"/>
  <c r="C319" i="1"/>
  <c r="B298" i="1"/>
  <c r="A277" i="1"/>
  <c r="C255" i="1"/>
  <c r="B234" i="1"/>
  <c r="A213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4" i="1"/>
  <c r="B386" i="1"/>
  <c r="B194" i="1"/>
  <c r="B173" i="1"/>
  <c r="B157" i="1"/>
  <c r="B141" i="1"/>
  <c r="C122" i="1"/>
  <c r="C106" i="1"/>
  <c r="A88" i="1"/>
  <c r="A72" i="1"/>
  <c r="C58" i="1"/>
  <c r="A48" i="1"/>
  <c r="A32" i="1"/>
  <c r="A16" i="1"/>
  <c r="R4" i="4"/>
  <c r="A9" i="3"/>
  <c r="B466" i="1"/>
  <c r="A445" i="1"/>
  <c r="C423" i="1"/>
  <c r="B402" i="1"/>
  <c r="A381" i="1"/>
  <c r="C359" i="1"/>
  <c r="B338" i="1"/>
  <c r="A317" i="1"/>
  <c r="C295" i="1"/>
  <c r="B274" i="1"/>
  <c r="A253" i="1"/>
  <c r="C231" i="1"/>
  <c r="B210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407" i="1"/>
  <c r="C279" i="1"/>
  <c r="B189" i="1"/>
  <c r="A176" i="1"/>
  <c r="A160" i="1"/>
  <c r="C146" i="1"/>
  <c r="C130" i="1"/>
  <c r="C114" i="1"/>
  <c r="A96" i="1"/>
  <c r="C82" i="1"/>
  <c r="B69" i="1"/>
  <c r="B53" i="1"/>
  <c r="B37" i="1"/>
  <c r="C18" i="1"/>
  <c r="B5" i="1"/>
  <c r="U5" i="6"/>
  <c r="I4" i="4"/>
  <c r="A7" i="3"/>
  <c r="C463" i="1"/>
  <c r="B442" i="1"/>
  <c r="A421" i="1"/>
  <c r="C399" i="1"/>
  <c r="B378" i="1"/>
  <c r="A357" i="1"/>
  <c r="C335" i="1"/>
  <c r="B314" i="1"/>
  <c r="A293" i="1"/>
  <c r="C271" i="1"/>
  <c r="B250" i="1"/>
  <c r="A229" i="1"/>
  <c r="C207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A429" i="1"/>
  <c r="C343" i="1"/>
  <c r="B322" i="1"/>
  <c r="B258" i="1"/>
  <c r="A184" i="1"/>
  <c r="C170" i="1"/>
  <c r="B149" i="1"/>
  <c r="B133" i="1"/>
  <c r="A120" i="1"/>
  <c r="B101" i="1"/>
  <c r="A80" i="1"/>
  <c r="B61" i="1"/>
  <c r="C50" i="1"/>
  <c r="C34" i="1"/>
  <c r="A24" i="1"/>
  <c r="A8" i="1"/>
  <c r="A5" i="6"/>
  <c r="A5" i="3"/>
  <c r="A461" i="1"/>
  <c r="C439" i="1"/>
  <c r="B418" i="1"/>
  <c r="A397" i="1"/>
  <c r="C375" i="1"/>
  <c r="B354" i="1"/>
  <c r="A333" i="1"/>
  <c r="C311" i="1"/>
  <c r="B290" i="1"/>
  <c r="A269" i="1"/>
  <c r="C247" i="1"/>
  <c r="B226" i="1"/>
  <c r="A205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471" i="1"/>
  <c r="A237" i="1"/>
  <c r="C178" i="1"/>
  <c r="B165" i="1"/>
  <c r="A152" i="1"/>
  <c r="A128" i="1"/>
  <c r="B109" i="1"/>
  <c r="B93" i="1"/>
  <c r="B77" i="1"/>
  <c r="A64" i="1"/>
  <c r="A40" i="1"/>
  <c r="B21" i="1"/>
  <c r="D5" i="5"/>
  <c r="A19" i="3"/>
  <c r="C479" i="1"/>
  <c r="B458" i="1"/>
  <c r="A437" i="1"/>
  <c r="C415" i="1"/>
  <c r="B394" i="1"/>
  <c r="A373" i="1"/>
  <c r="C351" i="1"/>
  <c r="B330" i="1"/>
  <c r="A309" i="1"/>
  <c r="C287" i="1"/>
  <c r="B266" i="1"/>
  <c r="A245" i="1"/>
  <c r="C223" i="1"/>
  <c r="B202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B450" i="1"/>
  <c r="C186" i="1"/>
  <c r="C162" i="1"/>
  <c r="A144" i="1"/>
  <c r="A136" i="1"/>
  <c r="B117" i="1"/>
  <c r="C98" i="1"/>
  <c r="B85" i="1"/>
  <c r="C66" i="1"/>
  <c r="B45" i="1"/>
  <c r="C26" i="1"/>
  <c r="C10" i="1"/>
  <c r="N4" i="5"/>
  <c r="A17" i="3"/>
  <c r="A477" i="1"/>
  <c r="C455" i="1"/>
  <c r="B434" i="1"/>
  <c r="A413" i="1"/>
  <c r="C391" i="1"/>
  <c r="B370" i="1"/>
  <c r="A349" i="1"/>
  <c r="C327" i="1"/>
  <c r="B306" i="1"/>
  <c r="A285" i="1"/>
  <c r="C263" i="1"/>
  <c r="B242" i="1"/>
  <c r="A221" i="1"/>
  <c r="C199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13" i="3"/>
  <c r="A15" i="3"/>
  <c r="B474" i="1"/>
  <c r="A453" i="1"/>
  <c r="C431" i="1"/>
  <c r="B410" i="1"/>
  <c r="A389" i="1"/>
  <c r="C367" i="1"/>
  <c r="B346" i="1"/>
  <c r="A325" i="1"/>
  <c r="C303" i="1"/>
  <c r="B282" i="1"/>
  <c r="A261" i="1"/>
  <c r="C239" i="1"/>
  <c r="B218" i="1"/>
  <c r="A197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365" i="1"/>
  <c r="A301" i="1"/>
  <c r="C215" i="1"/>
  <c r="B181" i="1"/>
  <c r="A168" i="1"/>
  <c r="C154" i="1"/>
  <c r="C138" i="1"/>
  <c r="B125" i="1"/>
  <c r="A112" i="1"/>
  <c r="A104" i="1"/>
  <c r="C90" i="1"/>
  <c r="C74" i="1"/>
  <c r="A56" i="1"/>
  <c r="C42" i="1"/>
  <c r="B29" i="1"/>
  <c r="B13" i="1"/>
  <c r="J2" i="12" l="1"/>
  <c r="J2" i="5"/>
  <c r="J2" i="16"/>
  <c r="J2" i="8"/>
  <c r="J2" i="7"/>
  <c r="J2" i="11"/>
  <c r="J2" i="15"/>
  <c r="J2" i="9"/>
  <c r="J2" i="13"/>
  <c r="J2" i="10"/>
  <c r="J2" i="17"/>
  <c r="J2" i="14"/>
  <c r="J2" i="6"/>
  <c r="J2" i="4"/>
</calcChain>
</file>

<file path=xl/sharedStrings.xml><?xml version="1.0" encoding="utf-8"?>
<sst xmlns="http://schemas.openxmlformats.org/spreadsheetml/2006/main" count="226" uniqueCount="55">
  <si>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</si>
  <si>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</si>
  <si>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</si>
  <si>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</si>
  <si>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</si>
  <si>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</si>
  <si>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</si>
  <si>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</si>
  <si>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</si>
  <si>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</si>
  <si>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</si>
  <si>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</si>
  <si>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</si>
  <si>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</si>
  <si>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</si>
  <si>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</si>
  <si>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</si>
  <si>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</si>
  <si>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</si>
  <si>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</si>
  <si>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</si>
  <si>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</si>
  <si>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</si>
  <si>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 to Open</t>
  </si>
  <si>
    <t>PricingInput</t>
  </si>
  <si>
    <t>PortfolioManagement</t>
  </si>
  <si>
    <t>GroupRowPM</t>
  </si>
  <si>
    <t>Symbol</t>
  </si>
  <si>
    <t>OpenPTTFromPM</t>
  </si>
  <si>
    <t>Set</t>
  </si>
  <si>
    <t>PTT</t>
  </si>
  <si>
    <t>CalculatePTT</t>
  </si>
  <si>
    <t>Percentage</t>
  </si>
  <si>
    <t>No</t>
  </si>
  <si>
    <t>Account</t>
  </si>
  <si>
    <t>Allocation1,Allocation2</t>
  </si>
  <si>
    <t>VerifyPTT</t>
  </si>
  <si>
    <t>TradePTT</t>
  </si>
  <si>
    <t>Sell</t>
  </si>
  <si>
    <t>Blotter</t>
  </si>
  <si>
    <t>VerifyOrder</t>
  </si>
  <si>
    <t>Equity</t>
  </si>
  <si>
    <t>Filled</t>
  </si>
  <si>
    <t>MS</t>
  </si>
  <si>
    <t>Multiple</t>
  </si>
  <si>
    <t>Market</t>
  </si>
  <si>
    <t>Allocation</t>
  </si>
  <si>
    <t>GetDataAllocation</t>
  </si>
  <si>
    <t>Current</t>
  </si>
  <si>
    <t>CheckAllocatedGroups</t>
  </si>
  <si>
    <t>Open</t>
  </si>
  <si>
    <t>CheckPortfolioManagement</t>
  </si>
  <si>
    <t>US</t>
  </si>
  <si>
    <t>NASDAQ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</si>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</sst>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14" fontId="5" fillId="0" borderId="0" xfId="0" applyNumberFormat="1" applyFont="1" applyAlignment="1"/>
    <xf numFmtId="14" fontId="5" fillId="0" borderId="0" xfId="0" applyNumberFormat="1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0" xfId="0" applyFont="1" applyAlignment="1">
      <alignment horizontal="right"/>
    </xf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14" fontId="5" fillId="0" borderId="5" xfId="0" applyNumberFormat="1" applyFont="1" applyBorder="1" applyAlignment="1">
      <alignment horizontal="right"/>
    </xf>
    <xf numFmtId="14" fontId="5" fillId="0" borderId="0" xfId="0" applyNumberFormat="1" applyFont="1" applyAlignment="1">
      <alignment horizontal="right"/>
    </xf>
    <xf numFmtId="0" fontId="3" fillId="0" borderId="5" xfId="0" applyFont="1" applyBorder="1" applyAlignment="1"/>
    <xf numFmtId="3" fontId="5" fillId="0" borderId="5" xfId="0" applyNumberFormat="1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0" fontId="5" fillId="0" borderId="5" xfId="0" applyFont="1" applyBorder="1" applyAlignment="1"/>
    <xf numFmtId="0" fontId="13" fillId="0" borderId="5" xfId="0" applyFont="1" applyBorder="1" applyAlignment="1"/>
    <xf numFmtId="0" fontId="5" fillId="0" borderId="0" xfId="0" applyFont="1" applyAlignment="1"/>
    <xf numFmtId="3" fontId="5" fillId="0" borderId="0" xfId="0" applyNumberFormat="1" applyFont="1" applyAlignment="1"/>
    <xf numFmtId="0" fontId="3" fillId="0" borderId="5" xfId="0" applyFont="1" applyBorder="1" applyAlignment="1">
      <alignment horizontal="right"/>
    </xf>
    <xf numFmtId="3" fontId="2" fillId="0" borderId="0" xfId="0" applyNumberFormat="1" applyFont="1" applyAlignment="1"/>
    <xf numFmtId="3" fontId="3" fillId="0" borderId="0" xfId="0" applyNumberFormat="1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57" t="s">
        <v>0</v>
      </c>
      <c r="B1" s="58"/>
      <c r="C1" s="58"/>
      <c r="D1" s="58"/>
      <c r="E1" s="58"/>
      <c r="F1" s="59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60" t="s">
        <v>2</v>
      </c>
      <c r="B1" s="58"/>
      <c r="C1" s="59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57" t="s">
        <v>7</v>
      </c>
      <c r="B1" s="58"/>
      <c r="C1" s="58"/>
      <c r="D1" s="58"/>
      <c r="E1" s="58"/>
      <c r="F1" s="59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IFERROR(__xludf.DUMMYFUNCTION("""COMPUTED_VALUE"""),"Select Date")</f>
        <v>Select Date</v>
      </c>
      <c r="C5" s="22" t="str">
        <f ca="1">IFERROR(__xludf.DUMMYFUNCTION("""COMPUTED_VALUE"""),"Copy From")</f>
        <v>Copy From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5">
        <f t="shared" ref="B6:C6" ca="1" si="0">TODAY()-1</f>
        <v>44411</v>
      </c>
      <c r="C6" s="26">
        <f t="shared" ca="1" si="0"/>
        <v>44411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IFERROR(__xludf.DUMMYFUNCTION("IF(C3="""","""",Transpose(IMPORTRANGE('_Settings'!$B$3,C3&amp;""!A4:A1000"")))"),"UpdateBeta")</f>
        <v>UpdateBeta</v>
      </c>
      <c r="C4" s="19" t="str">
        <f ca="1">IFERROR(__xludf.DUMMYFUNCTION("""COMPUTED_VALUE"""),"UpdateDailyCash")</f>
        <v>UpdateDailyCash</v>
      </c>
      <c r="D4" s="19" t="str">
        <f ca="1">IFERROR(__xludf.DUMMYFUNCTION("""COMPUTED_VALUE"""),"UpdateForexConversion")</f>
        <v>UpdateForexConversion</v>
      </c>
      <c r="E4" s="19" t="str">
        <f ca="1">IFERROR(__xludf.DUMMYFUNCTION("""COMPUTED_VALUE"""),"UpdateMarkPrice")</f>
        <v>UpdateMarkPrice</v>
      </c>
      <c r="F4" s="19" t="str">
        <f ca="1">IFERROR(__xludf.DUMMYFUNCTION("""COMPUTED_VALUE"""),"CleanUp")</f>
        <v>CleanUp</v>
      </c>
      <c r="G4" s="19" t="str">
        <f ca="1">IFERROR(__xludf.DUMMYFUNCTION("""COMPUTED_VALUE"""),"GetMarkPriceData")</f>
        <v>GetMarkPriceData</v>
      </c>
      <c r="H4" s="19" t="str">
        <f ca="1">IFERROR(__xludf.DUMMYFUNCTION("""COMPUTED_VALUE"""),"GetForwardPoints")</f>
        <v>GetForwardPoints</v>
      </c>
      <c r="I4" s="19" t="str">
        <f ca="1">IFERROR(__xludf.DUMMYFUNCTION("""COMPUTED_VALUE"""),"UpdateForwardPoints")</f>
        <v>UpdateForwardPoints</v>
      </c>
      <c r="J4" s="19" t="str">
        <f ca="1">IFERROR(__xludf.DUMMYFUNCTION("""COMPUTED_VALUE"""),"GetForexConversion")</f>
        <v>GetForexConversion</v>
      </c>
      <c r="K4" s="19" t="str">
        <f ca="1">IFERROR(__xludf.DUMMYFUNCTION("""COMPUTED_VALUE"""),"DeleteNAV")</f>
        <v>DeleteNAV</v>
      </c>
      <c r="L4" s="19" t="str">
        <f ca="1">IFERROR(__xludf.DUMMYFUNCTION("""COMPUTED_VALUE"""),"GetDailyCash")</f>
        <v>GetDailyCash</v>
      </c>
      <c r="M4" s="19" t="str">
        <f ca="1">IFERROR(__xludf.DUMMYFUNCTION("""COMPUTED_VALUE"""),"GetDailyBeta")</f>
        <v>GetDailyBeta</v>
      </c>
      <c r="N4" s="19" t="str">
        <f ca="1">IFERROR(__xludf.DUMMYFUNCTION("""COMPUTED_VALUE"""),"GetDailyVolatility")</f>
        <v>GetDailyVolatility</v>
      </c>
      <c r="O4" s="19" t="str">
        <f ca="1">IFERROR(__xludf.DUMMYFUNCTION("""COMPUTED_VALUE"""),"GetDailyDividendYield")</f>
        <v>GetDailyDividendYield</v>
      </c>
      <c r="P4" s="20" t="str">
        <f ca="1">IFERROR(__xludf.DUMMYFUNCTION("""COMPUTED_VALUE"""),"GetDailyTradingVolume")</f>
        <v>GetDailyTradingVolume</v>
      </c>
      <c r="Q4" s="20" t="str">
        <f ca="1">IFERROR(__xludf.DUMMYFUNCTION("""COMPUTED_VALUE"""),"GetDailyOutstandings")</f>
        <v>GetDailyOutstandings</v>
      </c>
      <c r="R4" s="20" t="str">
        <f ca="1">IFERROR(__xludf.DUMMYFUNCTION("""COMPUTED_VALUE"""),"GetDailyDelta")</f>
        <v>GetDailyDelta</v>
      </c>
      <c r="S4" s="20" t="str">
        <f ca="1">IFERROR(__xludf.DUMMYFUNCTION("""COMPUTED_VALUE"""),"UpdateDailyVolatility")</f>
        <v>UpdateDailyVolatility</v>
      </c>
      <c r="T4" s="20" t="str">
        <f ca="1">IFERROR(__xludf.DUMMYFUNCTION("""COMPUTED_VALUE"""),"UpdateDividendYield")</f>
        <v>UpdateDividendYield</v>
      </c>
      <c r="U4" s="20" t="str">
        <f ca="1">IFERROR(__xludf.DUMMYFUNCTION("""COMPUTED_VALUE"""),"UpdateTradingVolume")</f>
        <v>UpdateTradingVolume</v>
      </c>
      <c r="V4" s="20" t="str">
        <f ca="1">IFERROR(__xludf.DUMMYFUNCTION("""COMPUTED_VALUE"""),"UpdateDailyDelta")</f>
        <v>UpdateDailyDelta</v>
      </c>
      <c r="W4" s="20" t="str">
        <f ca="1">IFERROR(__xludf.DUMMYFUNCTION("""COMPUTED_VALUE"""),"UpdateDailyOutstandings")</f>
        <v>UpdateDailyOutstandings</v>
      </c>
      <c r="X4" s="20" t="str">
        <f ca="1">IFERROR(__xludf.DUMMYFUNCTION("""COMPUTED_VALUE"""),"UpdateBeta")</f>
        <v>UpdateBeta</v>
      </c>
      <c r="Y4" s="20" t="str">
        <f ca="1">IFERROR(__xludf.DUMMYFUNCTION("""COMPUTED_VALUE"""),"UpdateNAV")</f>
        <v>UpdateNAV</v>
      </c>
      <c r="Z4" s="20" t="str">
        <f ca="1">IFERROR(__xludf.DUMMYFUNCTION("""COMPUTED_VALUE"""),"UpdateDailyCash")</f>
        <v>UpdateDailyCash</v>
      </c>
      <c r="AA4" s="20" t="str">
        <f ca="1">IFERROR(__xludf.DUMMYFUNCTION("""COMPUTED_VALUE"""),"UpdateDailyCreditLimt")</f>
        <v>UpdateDailyCreditLimt</v>
      </c>
      <c r="AB4" s="20" t="str">
        <f ca="1">IFERROR(__xludf.DUMMYFUNCTION("""COMPUTED_VALUE"""),"RemoveDailyCreditLimit")</f>
        <v>RemoveDailyCreditLimit</v>
      </c>
      <c r="AC4" s="20" t="str">
        <f ca="1">IFERROR(__xludf.DUMMYFUNCTION("""COMPUTED_VALUE"""),"RemoveDailyCash")</f>
        <v>RemoveDailyCash</v>
      </c>
      <c r="AD4" s="20" t="str">
        <f ca="1">IFERROR(__xludf.DUMMYFUNCTION("""COMPUTED_VALUE"""),"RemoveNAV")</f>
        <v>RemoveNAV</v>
      </c>
      <c r="AE4" s="20" t="str">
        <f ca="1">IFERROR(__xludf.DUMMYFUNCTION("""COMPUTED_VALUE"""),"UpdateForexConversionMonthly")</f>
        <v>UpdateForexConversionMonthly</v>
      </c>
      <c r="AF4" s="20" t="str">
        <f ca="1">IFERROR(__xludf.DUMMYFUNCTION("""COMPUTED_VALUE"""),"UpdateMarkPriceMonthly")</f>
        <v>UpdateMarkPriceMonthly</v>
      </c>
      <c r="AG4" s="20" t="str">
        <f ca="1">IFERROR(__xludf.DUMMYFUNCTION("""COMPUTED_VALUE"""),"VerifyDailyCash")</f>
        <v>VerifyDailyCash</v>
      </c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IFERROR(__xludf.DUMMYFUNCTION("""COMPUTED_VALUE"""),"Local Currency")</f>
        <v>Local Currency</v>
      </c>
      <c r="D5" s="22" t="str">
        <f ca="1">IFERROR(__xludf.DUMMYFUNCTION("""COMPUTED_VALUE"""),"Cash Value Local")</f>
        <v>Cash Value Local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17</v>
      </c>
      <c r="C6" s="30" t="s">
        <v>18</v>
      </c>
      <c r="D6" s="31">
        <v>10000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32" t="s">
        <v>18</v>
      </c>
      <c r="D7" s="33">
        <v>10000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 t="s">
        <v>23</v>
      </c>
      <c r="D6" s="31">
        <v>100</v>
      </c>
      <c r="E6" s="35">
        <v>100</v>
      </c>
      <c r="F6" s="30" t="s">
        <v>17</v>
      </c>
      <c r="G6" s="30"/>
      <c r="H6" s="30"/>
      <c r="I6" s="30"/>
      <c r="J6" s="35">
        <v>10</v>
      </c>
      <c r="K6" s="30"/>
      <c r="L6" s="30"/>
      <c r="M6" s="30"/>
      <c r="N6" s="36">
        <f t="shared" ref="N6:N7" ca="1" si="0">TODAY()</f>
        <v>44412</v>
      </c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22</v>
      </c>
      <c r="C7" s="34" t="s">
        <v>23</v>
      </c>
      <c r="D7" s="33">
        <v>100</v>
      </c>
      <c r="E7" s="33">
        <v>100</v>
      </c>
      <c r="F7" s="32" t="s">
        <v>19</v>
      </c>
      <c r="G7" s="32"/>
      <c r="H7" s="32"/>
      <c r="I7" s="32"/>
      <c r="J7" s="33">
        <v>10</v>
      </c>
      <c r="K7" s="32"/>
      <c r="L7" s="32"/>
      <c r="M7" s="32"/>
      <c r="N7" s="37">
        <f t="shared" ca="1" si="0"/>
        <v>44412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24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IFERROR(__xludf.DUMMYFUNCTION("IF(C3="""","""",Transpose(IMPORTRANGE('_Settings'!$B$3,C3&amp;""!A4:A1000"")))"),"PricingInput")</f>
        <v>PricingInput</v>
      </c>
      <c r="C4" s="19" t="str">
        <f ca="1">IFERROR(__xludf.DUMMYFUNCTION("""COMPUTED_VALUE"""),"UpdateSharesOutstanding")</f>
        <v>UpdateSharesOutstanding</v>
      </c>
      <c r="D4" s="19" t="str">
        <f ca="1">IFERROR(__xludf.DUMMYFUNCTION("""COMPUTED_VALUE"""),"EODTPreferences")</f>
        <v>EODTPreferences</v>
      </c>
      <c r="E4" s="19" t="str">
        <f ca="1">IFERROR(__xludf.DUMMYFUNCTION("""COMPUTED_VALUE"""),"LiveData")</f>
        <v>LiveData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IFERROR(__xludf.DUMMYFUNCTION("""COMPUTED_VALUE"""),"User Px")</f>
        <v>User Px</v>
      </c>
      <c r="D5" s="22" t="str">
        <f ca="1">IFERROR(__xludf.DUMMYFUNCTION("""COMPUTED_VALUE"""),"Asset Class")</f>
        <v>Asset Class</v>
      </c>
      <c r="E5" s="22" t="str">
        <f ca="1">IFERROR(__xludf.DUMMYFUNCTION("""COMPUTED_VALUE"""),"Volatility(%)")</f>
        <v>Volatility(%)</v>
      </c>
      <c r="F5" s="23" t="str">
        <f ca="1">IFERROR(__xludf.DUMMYFUNCTION("""COMPUTED_VALUE"""),"Historical Volatility")</f>
        <v>Historical Volatility</v>
      </c>
      <c r="G5" s="22" t="str">
        <f ca="1">IFERROR(__xludf.DUMMYFUNCTION("""COMPUTED_VALUE"""),"User Volatility")</f>
        <v>User Volatility</v>
      </c>
      <c r="H5" s="22" t="str">
        <f ca="1">IFERROR(__xludf.DUMMYFUNCTION("""COMPUTED_VALUE"""),"Interest Rate")</f>
        <v>Interest Rate</v>
      </c>
      <c r="I5" s="22" t="str">
        <f ca="1">IFERROR(__xludf.DUMMYFUNCTION("""COMPUTED_VALUE"""),"User Interest Rate")</f>
        <v>User Interest Rate</v>
      </c>
      <c r="J5" s="22" t="str">
        <f ca="1">IFERROR(__xludf.DUMMYFUNCTION("""COMPUTED_VALUE"""),"Dividend Yield")</f>
        <v>Dividend Yield</v>
      </c>
      <c r="K5" s="22" t="str">
        <f ca="1">IFERROR(__xludf.DUMMYFUNCTION("""COMPUTED_VALUE"""),"User Dividend Yield")</f>
        <v>User Dividend Yield</v>
      </c>
      <c r="L5" s="22" t="str">
        <f ca="1">IFERROR(__xludf.DUMMYFUNCTION("""COMPUTED_VALUE"""),"Actual Delta")</f>
        <v>Actual Delta</v>
      </c>
      <c r="M5" s="22" t="str">
        <f ca="1">IFERROR(__xludf.DUMMYFUNCTION("""COMPUTED_VALUE"""),"User Delta")</f>
        <v>User Delta</v>
      </c>
      <c r="N5" s="22" t="str">
        <f ca="1">IFERROR(__xludf.DUMMYFUNCTION("""COMPUTED_VALUE"""),"Selected Px")</f>
        <v>Selected Px</v>
      </c>
      <c r="O5" s="22" t="str">
        <f ca="1">IFERROR(__xludf.DUMMYFUNCTION("""COMPUTED_VALUE"""),"Forward Points")</f>
        <v>Forward Points</v>
      </c>
      <c r="P5" s="22" t="str">
        <f ca="1">IFERROR(__xludf.DUMMYFUNCTION("""COMPUTED_VALUE"""),"Shares Outstanding")</f>
        <v>Shares Outstanding</v>
      </c>
      <c r="Q5" s="22" t="str">
        <f ca="1">IFERROR(__xludf.DUMMYFUNCTION("""COMPUTED_VALUE"""),"User Shares Outstanding")</f>
        <v>User Shares Outstanding</v>
      </c>
      <c r="R5" s="22" t="str">
        <f ca="1">IFERROR(__xludf.DUMMYFUNCTION("""COMPUTED_VALUE"""),"LastPriceUsed")</f>
        <v>LastPriceUsed</v>
      </c>
      <c r="S5" s="22" t="str">
        <f ca="1">IFERROR(__xludf.DUMMYFUNCTION("""COMPUTED_VALUE"""),"VolatilityUsed")</f>
        <v>VolatilityUsed</v>
      </c>
      <c r="T5" s="24" t="str">
        <f ca="1">IFERROR(__xludf.DUMMYFUNCTION("""COMPUTED_VALUE"""),"IntRateUsed")</f>
        <v>IntRateUsed</v>
      </c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5">
        <v>10</v>
      </c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27</v>
      </c>
      <c r="C6" s="30"/>
      <c r="D6" s="29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25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IFERROR(__xludf.DUMMYFUNCTION("""COMPUTED_VALUE"""),"MasterFund")</f>
        <v>MasterFund</v>
      </c>
      <c r="D5" s="22" t="str">
        <f ca="1">IFERROR(__xludf.DUMMYFUNCTION("""COMPUTED_VALUE"""),"Symbol")</f>
        <v>Symbol</v>
      </c>
      <c r="E5" s="22" t="str">
        <f ca="1">IFERROR(__xludf.DUMMYFUNCTION("""COMPUTED_VALUE"""),"AdjustPosition")</f>
        <v>AdjustPosition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/>
      <c r="C6" s="30"/>
      <c r="D6" s="29" t="s">
        <v>22</v>
      </c>
      <c r="E6" s="30" t="s">
        <v>29</v>
      </c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 t="str">
        <f ca="1">IFERROR(__xludf.DUMMYFUNCTION("""COMPUTED_VALUE"""),"Master Funds")</f>
        <v>Master Funds</v>
      </c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22</v>
      </c>
      <c r="C6" s="30" t="s">
        <v>29</v>
      </c>
      <c r="D6" s="29" t="s">
        <v>32</v>
      </c>
      <c r="E6" s="35">
        <v>6</v>
      </c>
      <c r="F6" s="35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IFERROR(__xludf.DUMMYFUNCTION("""COMPUTED_VALUE"""),"Account NAV")</f>
        <v>Account NAV</v>
      </c>
      <c r="D5" s="22" t="str">
        <f ca="1">IFERROR(__xludf.DUMMYFUNCTION("""COMPUTED_VALUE"""),"Starting Position")</f>
        <v>Starting Position</v>
      </c>
      <c r="E5" s="22" t="str">
        <f ca="1">IFERROR(__xludf.DUMMYFUNCTION("""COMPUTED_VALUE"""),"Starting Value")</f>
        <v>Starting Value</v>
      </c>
      <c r="F5" s="23" t="str">
        <f ca="1">IFERROR(__xludf.DUMMYFUNCTION("""COMPUTED_VALUE"""),"Starting %")</f>
        <v>Starting %</v>
      </c>
      <c r="G5" s="22" t="str">
        <f ca="1">IFERROR(__xludf.DUMMYFUNCTION("""COMPUTED_VALUE"""),"% Change")</f>
        <v>% Change</v>
      </c>
      <c r="H5" s="22" t="str">
        <f ca="1">IFERROR(__xludf.DUMMYFUNCTION("""COMPUTED_VALUE"""),"Ending %")</f>
        <v>Ending %</v>
      </c>
      <c r="I5" s="22" t="str">
        <f ca="1">IFERROR(__xludf.DUMMYFUNCTION("""COMPUTED_VALUE"""),"Trade Quantity")</f>
        <v>Trade Quantity</v>
      </c>
      <c r="J5" s="22" t="str">
        <f ca="1">IFERROR(__xludf.DUMMYFUNCTION("""COMPUTED_VALUE"""),"Ending Position")</f>
        <v>Ending Position</v>
      </c>
      <c r="K5" s="22" t="str">
        <f ca="1">IFERROR(__xludf.DUMMYFUNCTION("""COMPUTED_VALUE"""),"Ending Value")</f>
        <v>Ending Value</v>
      </c>
      <c r="L5" s="22" t="str">
        <f ca="1">IFERROR(__xludf.DUMMYFUNCTION("""COMPUTED_VALUE"""),"% Allocation")</f>
        <v>% Allocation</v>
      </c>
      <c r="M5" s="22" t="str">
        <f ca="1">IFERROR(__xludf.DUMMYFUNCTION("""COMPUTED_VALUE"""),"Fx Rate")</f>
        <v>Fx Rate</v>
      </c>
      <c r="N5" s="22" t="str">
        <f ca="1">IFERROR(__xludf.DUMMYFUNCTION("""COMPUTED_VALUE"""),"Starting BP")</f>
        <v>Starting BP</v>
      </c>
      <c r="O5" s="22" t="str">
        <f ca="1">IFERROR(__xludf.DUMMYFUNCTION("""COMPUTED_VALUE"""),"BP Change")</f>
        <v>BP Change</v>
      </c>
      <c r="P5" s="22" t="str">
        <f ca="1">IFERROR(__xludf.DUMMYFUNCTION("""COMPUTED_VALUE"""),"Ending BP")</f>
        <v>Ending BP</v>
      </c>
      <c r="Q5" s="22" t="str">
        <f ca="1">IFERROR(__xludf.DUMMYFUNCTION("""COMPUTED_VALUE"""),"MasterFund Name")</f>
        <v>MasterFund Name</v>
      </c>
      <c r="R5" s="22" t="str">
        <f ca="1">IFERROR(__xludf.DUMMYFUNCTION("""COMPUTED_VALUE"""),"MasterFund NAV")</f>
        <v>MasterFund NAV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17</v>
      </c>
      <c r="C6" s="39">
        <v>10000</v>
      </c>
      <c r="D6" s="40">
        <v>100</v>
      </c>
      <c r="E6" s="39">
        <v>1000</v>
      </c>
      <c r="F6" s="35">
        <v>10</v>
      </c>
      <c r="G6" s="35">
        <v>-4</v>
      </c>
      <c r="H6" s="35">
        <v>6</v>
      </c>
      <c r="I6" s="35">
        <v>40</v>
      </c>
      <c r="J6" s="40">
        <v>60</v>
      </c>
      <c r="K6" s="39">
        <v>600</v>
      </c>
      <c r="L6" s="35">
        <v>50</v>
      </c>
      <c r="M6" s="35">
        <v>1</v>
      </c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 t="s">
        <v>19</v>
      </c>
      <c r="C7" s="41">
        <v>10000</v>
      </c>
      <c r="D7" s="42">
        <v>100</v>
      </c>
      <c r="E7" s="41">
        <v>1000</v>
      </c>
      <c r="F7" s="33">
        <v>10</v>
      </c>
      <c r="G7" s="33">
        <v>-4</v>
      </c>
      <c r="H7" s="33">
        <v>6</v>
      </c>
      <c r="I7" s="33">
        <v>40</v>
      </c>
      <c r="J7" s="42">
        <v>60</v>
      </c>
      <c r="K7" s="41">
        <v>600</v>
      </c>
      <c r="L7" s="33">
        <v>50</v>
      </c>
      <c r="M7" s="33">
        <v>1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IFERROR(__xludf.DUMMYFUNCTION("IF(C3="""","""",Transpose(IMPORTRANGE('_Settings'!$B$3,C3&amp;""!A4:A1000"")))"),"CalculatePTT")</f>
        <v>CalculatePTT</v>
      </c>
      <c r="C4" s="19" t="str">
        <f ca="1">IFERROR(__xludf.DUMMYFUNCTION("""COMPUTED_VALUE"""),"TradeUsingPTT")</f>
        <v>TradeUsingPTT</v>
      </c>
      <c r="D4" s="19" t="str">
        <f ca="1">IFERROR(__xludf.DUMMYFUNCTION("""COMPUTED_VALUE"""),"StageOrderUsingPTT")</f>
        <v>StageOrderUsingPTT</v>
      </c>
      <c r="E4" s="19" t="str">
        <f ca="1">IFERROR(__xludf.DUMMYFUNCTION("""COMPUTED_VALUE"""),"CreateOrderPTT")</f>
        <v>CreateOrderPTT</v>
      </c>
      <c r="F4" s="19" t="str">
        <f ca="1">IFERROR(__xludf.DUMMYFUNCTION("""COMPUTED_VALUE"""),"TradePTT")</f>
        <v>TradePTT</v>
      </c>
      <c r="G4" s="19" t="str">
        <f ca="1">IFERROR(__xludf.DUMMYFUNCTION("""COMPUTED_VALUE"""),"VerifyPTT")</f>
        <v>VerifyPTT</v>
      </c>
      <c r="H4" s="19" t="str">
        <f ca="1">IFERROR(__xludf.DUMMYFUNCTION("""COMPUTED_VALUE"""),"OpenMultiTTFromPTT")</f>
        <v>OpenMultiTTFromPTT</v>
      </c>
      <c r="I4" s="19" t="str">
        <f ca="1">IFERROR(__xludf.DUMMYFUNCTION("""COMPUTED_VALUE"""),"SelectMultiTT")</f>
        <v>SelectMultiTT</v>
      </c>
      <c r="J4" s="19" t="str">
        <f ca="1">IFERROR(__xludf.DUMMYFUNCTION("""COMPUTED_VALUE"""),"EditMultiTT")</f>
        <v>EditMultiTT</v>
      </c>
      <c r="K4" s="19" t="str">
        <f ca="1">IFERROR(__xludf.DUMMYFUNCTION("""COMPUTED_VALUE"""),"SetAccountFactor")</f>
        <v>SetAccountFactor</v>
      </c>
      <c r="L4" s="19" t="str">
        <f ca="1">IFERROR(__xludf.DUMMYFUNCTION("""COMPUTED_VALUE"""),"SetPTTPreference")</f>
        <v>SetPTTPreference</v>
      </c>
      <c r="M4" s="19" t="str">
        <f ca="1">IFERROR(__xludf.DUMMYFUNCTION("""COMPUTED_VALUE"""),"SetLongShortPTTPreference")</f>
        <v>SetLongShortPTTPreference</v>
      </c>
      <c r="N4" s="19" t="str">
        <f ca="1">IFERROR(__xludf.DUMMYFUNCTION("""COMPUTED_VALUE"""),"SelectPTTRecord")</f>
        <v>SelectPTTRecord</v>
      </c>
      <c r="O4" s="19" t="str">
        <f ca="1">IFERROR(__xludf.DUMMYFUNCTION("""COMPUTED_VALUE"""),"EditPTTRecord")</f>
        <v>EditPTTRecord</v>
      </c>
      <c r="P4" s="20" t="str">
        <f ca="1">IFERROR(__xludf.DUMMYFUNCTION("""COMPUTED_VALUE"""),"SetDefaultSymbology")</f>
        <v>SetDefaultSymbology</v>
      </c>
      <c r="Q4" s="20" t="str">
        <f ca="1">IFERROR(__xludf.DUMMYFUNCTION("""COMPUTED_VALUE"""),"EditPTTAccountLevelWPF")</f>
        <v>EditPTTAccountLevelWPF</v>
      </c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IFERROR(__xludf.DUMMYFUNCTION("""COMPUTED_VALUE"""),"Ticker")</f>
        <v>Ticker</v>
      </c>
      <c r="C5" s="22" t="str">
        <f ca="1">IFERROR(__xludf.DUMMYFUNCTION("""COMPUTED_VALUE"""),"Add/Set")</f>
        <v>Add/Set</v>
      </c>
      <c r="D5" s="22" t="str">
        <f ca="1">IFERROR(__xludf.DUMMYFUNCTION("""COMPUTED_VALUE"""),"Type")</f>
        <v>Type</v>
      </c>
      <c r="E5" s="22" t="str">
        <f ca="1">IFERROR(__xludf.DUMMYFUNCTION("""COMPUTED_VALUE"""),"Target")</f>
        <v>Target</v>
      </c>
      <c r="F5" s="23" t="str">
        <f ca="1">IFERROR(__xludf.DUMMYFUNCTION("""COMPUTED_VALUE"""),"Price")</f>
        <v>Price</v>
      </c>
      <c r="G5" s="22" t="str">
        <f ca="1">IFERROR(__xludf.DUMMYFUNCTION("""COMPUTED_VALUE"""),"Combined Account Total")</f>
        <v>Combined Account Total</v>
      </c>
      <c r="H5" s="22" t="str">
        <f ca="1">IFERROR(__xludf.DUMMYFUNCTION("""COMPUTED_VALUE"""),"MasterFund/Account")</f>
        <v>MasterFund/Account</v>
      </c>
      <c r="I5" s="22" t="str">
        <f ca="1">IFERROR(__xludf.DUMMYFUNCTION("""COMPUTED_VALUE"""),"Accounts")</f>
        <v>Accounts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 t="s">
        <v>22</v>
      </c>
      <c r="C6" s="30" t="s">
        <v>29</v>
      </c>
      <c r="D6" s="29" t="s">
        <v>32</v>
      </c>
      <c r="E6" s="35">
        <v>6</v>
      </c>
      <c r="F6" s="35">
        <v>10</v>
      </c>
      <c r="G6" s="30" t="s">
        <v>33</v>
      </c>
      <c r="H6" s="30" t="s">
        <v>34</v>
      </c>
      <c r="I6" s="38" t="s">
        <v>35</v>
      </c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8"/>
      <c r="B6" s="29" t="s">
        <v>22</v>
      </c>
      <c r="C6" s="34" t="s">
        <v>38</v>
      </c>
      <c r="D6" s="31">
        <v>80</v>
      </c>
      <c r="E6" s="35">
        <v>80</v>
      </c>
      <c r="F6" s="30"/>
      <c r="G6" s="30"/>
      <c r="H6" s="30"/>
      <c r="I6" s="30"/>
      <c r="J6" s="35">
        <v>10</v>
      </c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9"/>
      <c r="B6" s="29"/>
      <c r="C6" s="30"/>
      <c r="D6" s="31">
        <v>10</v>
      </c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2"/>
      <c r="U6" s="32"/>
      <c r="V6" s="32"/>
      <c r="W6" s="32"/>
      <c r="X6" s="32"/>
      <c r="Y6" s="32"/>
      <c r="Z6" s="32"/>
      <c r="AA6" s="32"/>
      <c r="AB6" s="32"/>
      <c r="AC6" s="32"/>
      <c r="AD6" s="43">
        <v>1</v>
      </c>
      <c r="AE6" s="32"/>
      <c r="AF6" s="32"/>
      <c r="AG6" s="32"/>
      <c r="AH6" s="32" t="s">
        <v>41</v>
      </c>
      <c r="AI6" s="32" t="s">
        <v>22</v>
      </c>
      <c r="AJ6" s="44" t="s">
        <v>38</v>
      </c>
      <c r="AK6" s="32" t="s">
        <v>42</v>
      </c>
      <c r="AL6" s="43">
        <v>80</v>
      </c>
      <c r="AM6" s="43">
        <v>80</v>
      </c>
      <c r="AN6" s="43">
        <v>100</v>
      </c>
      <c r="AO6" s="43">
        <v>80</v>
      </c>
      <c r="AP6" s="32"/>
      <c r="AQ6" s="43">
        <v>10</v>
      </c>
      <c r="AR6" s="43">
        <v>10</v>
      </c>
      <c r="AS6" s="32" t="s">
        <v>43</v>
      </c>
      <c r="AT6" s="32" t="s">
        <v>44</v>
      </c>
      <c r="AU6" s="32" t="s">
        <v>45</v>
      </c>
      <c r="AV6" s="45">
        <v>-800</v>
      </c>
      <c r="AW6" s="45">
        <v>-800</v>
      </c>
      <c r="AX6" s="32"/>
      <c r="AY6" s="43">
        <v>80</v>
      </c>
      <c r="AZ6" s="43">
        <v>0</v>
      </c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spans="1:154" ht="15.75" customHeight="1">
      <c r="A7" s="32"/>
      <c r="B7" s="32"/>
      <c r="C7" s="32"/>
      <c r="D7" s="33">
        <v>10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43">
        <v>1</v>
      </c>
      <c r="AE7" s="32"/>
      <c r="AF7" s="32"/>
      <c r="AG7" s="32"/>
      <c r="AH7" s="32" t="s">
        <v>41</v>
      </c>
      <c r="AI7" s="32" t="s">
        <v>22</v>
      </c>
      <c r="AJ7" s="44" t="s">
        <v>23</v>
      </c>
      <c r="AK7" s="32" t="s">
        <v>42</v>
      </c>
      <c r="AL7" s="43">
        <v>100</v>
      </c>
      <c r="AM7" s="43">
        <v>100</v>
      </c>
      <c r="AN7" s="43">
        <v>100</v>
      </c>
      <c r="AO7" s="43">
        <v>100</v>
      </c>
      <c r="AP7" s="32"/>
      <c r="AQ7" s="43">
        <v>10</v>
      </c>
      <c r="AR7" s="43">
        <v>10</v>
      </c>
      <c r="AS7" s="32" t="s">
        <v>43</v>
      </c>
      <c r="AT7" s="32" t="s">
        <v>17</v>
      </c>
      <c r="AU7" s="32" t="s">
        <v>45</v>
      </c>
      <c r="AV7" s="45">
        <v>1000</v>
      </c>
      <c r="AW7" s="45">
        <v>1000</v>
      </c>
      <c r="AX7" s="32"/>
      <c r="AY7" s="43">
        <v>100</v>
      </c>
      <c r="AZ7" s="43">
        <v>0</v>
      </c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spans="1:154" ht="15.75" customHeight="1">
      <c r="A8" s="32"/>
      <c r="B8" s="32"/>
      <c r="C8" s="32"/>
      <c r="D8" s="33">
        <v>10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43">
        <v>1</v>
      </c>
      <c r="AE8" s="32"/>
      <c r="AF8" s="32"/>
      <c r="AG8" s="32"/>
      <c r="AH8" s="32" t="s">
        <v>41</v>
      </c>
      <c r="AI8" s="32" t="s">
        <v>22</v>
      </c>
      <c r="AJ8" s="44" t="s">
        <v>23</v>
      </c>
      <c r="AK8" s="32" t="s">
        <v>42</v>
      </c>
      <c r="AL8" s="43">
        <v>100</v>
      </c>
      <c r="AM8" s="43">
        <v>100</v>
      </c>
      <c r="AN8" s="43">
        <v>100</v>
      </c>
      <c r="AO8" s="43">
        <v>100</v>
      </c>
      <c r="AP8" s="32"/>
      <c r="AQ8" s="43">
        <v>10</v>
      </c>
      <c r="AR8" s="43">
        <v>10</v>
      </c>
      <c r="AS8" s="32" t="s">
        <v>43</v>
      </c>
      <c r="AT8" s="32" t="s">
        <v>19</v>
      </c>
      <c r="AU8" s="32" t="s">
        <v>45</v>
      </c>
      <c r="AV8" s="45">
        <v>1000</v>
      </c>
      <c r="AW8" s="45">
        <v>1000</v>
      </c>
      <c r="AX8" s="32"/>
      <c r="AY8" s="43">
        <v>100</v>
      </c>
      <c r="AZ8" s="43">
        <v>0</v>
      </c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48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46</v>
      </c>
      <c r="D3" s="2" t="s">
        <v>9</v>
      </c>
      <c r="E3" s="17" t="s">
        <v>49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46" t="s">
        <v>17</v>
      </c>
      <c r="C6" s="5"/>
      <c r="D6" s="47">
        <v>0</v>
      </c>
      <c r="E6" s="47">
        <v>100</v>
      </c>
      <c r="F6" s="5"/>
      <c r="G6" s="48" t="s">
        <v>41</v>
      </c>
      <c r="H6" s="49">
        <v>4</v>
      </c>
      <c r="I6" s="49">
        <v>5</v>
      </c>
      <c r="J6" s="30"/>
      <c r="K6" s="49">
        <v>10</v>
      </c>
      <c r="L6" s="49">
        <v>10</v>
      </c>
      <c r="M6" s="30"/>
      <c r="N6" s="30"/>
      <c r="O6" s="50" t="s">
        <v>43</v>
      </c>
      <c r="P6" s="30"/>
      <c r="Q6" s="49">
        <v>3</v>
      </c>
      <c r="R6" s="49">
        <v>0</v>
      </c>
      <c r="S6" s="51" t="s">
        <v>50</v>
      </c>
      <c r="T6" s="47">
        <v>0</v>
      </c>
      <c r="U6" s="47">
        <v>0</v>
      </c>
      <c r="AE6" s="47">
        <v>100</v>
      </c>
      <c r="AF6" s="32"/>
      <c r="AG6" s="32"/>
      <c r="AH6" s="32"/>
      <c r="AI6" s="43">
        <v>1</v>
      </c>
      <c r="AT6" s="47">
        <v>1014.0006</v>
      </c>
      <c r="AU6" s="47">
        <v>1014.0006</v>
      </c>
      <c r="AW6" s="47">
        <v>0</v>
      </c>
      <c r="AX6" s="47">
        <v>0</v>
      </c>
      <c r="AY6" s="32" t="s">
        <v>45</v>
      </c>
      <c r="AZ6" s="47">
        <v>0</v>
      </c>
      <c r="BA6" s="32"/>
      <c r="BB6" s="32"/>
      <c r="BC6" s="47">
        <v>0</v>
      </c>
      <c r="BE6" s="47">
        <v>1000</v>
      </c>
      <c r="BF6" s="47">
        <v>1000</v>
      </c>
      <c r="BJ6" s="47">
        <v>100</v>
      </c>
      <c r="BO6" s="48" t="s">
        <v>23</v>
      </c>
      <c r="BP6" s="47">
        <v>0</v>
      </c>
      <c r="BQ6" s="47">
        <v>0</v>
      </c>
      <c r="BR6" s="32"/>
      <c r="BS6" s="32"/>
      <c r="BT6" s="32" t="s">
        <v>22</v>
      </c>
      <c r="BU6" s="47">
        <v>3</v>
      </c>
      <c r="BV6" s="47">
        <v>0</v>
      </c>
      <c r="BW6" s="47">
        <v>14.0006</v>
      </c>
      <c r="BX6" s="47">
        <v>0</v>
      </c>
      <c r="CJ6" s="47">
        <v>0</v>
      </c>
    </row>
    <row r="7" spans="1:154" ht="15.75" customHeight="1">
      <c r="A7" s="5"/>
      <c r="B7" s="48" t="s">
        <v>19</v>
      </c>
      <c r="C7" s="5"/>
      <c r="D7" s="47">
        <v>0</v>
      </c>
      <c r="E7" s="47">
        <v>100</v>
      </c>
      <c r="F7" s="5"/>
      <c r="G7" s="48" t="s">
        <v>41</v>
      </c>
      <c r="H7" s="47">
        <v>4</v>
      </c>
      <c r="I7" s="47">
        <v>5</v>
      </c>
      <c r="J7" s="32"/>
      <c r="K7" s="47">
        <v>10</v>
      </c>
      <c r="L7" s="47">
        <v>10</v>
      </c>
      <c r="M7" s="32"/>
      <c r="N7" s="32"/>
      <c r="O7" s="52" t="s">
        <v>43</v>
      </c>
      <c r="P7" s="32"/>
      <c r="Q7" s="47">
        <v>3</v>
      </c>
      <c r="R7" s="47">
        <v>0</v>
      </c>
      <c r="S7" s="48" t="s">
        <v>50</v>
      </c>
      <c r="T7" s="47">
        <v>0</v>
      </c>
      <c r="U7" s="47">
        <v>0</v>
      </c>
      <c r="AE7" s="47">
        <v>100</v>
      </c>
      <c r="AF7" s="32"/>
      <c r="AG7" s="32"/>
      <c r="AH7" s="32"/>
      <c r="AI7" s="43">
        <v>1</v>
      </c>
      <c r="AT7" s="47">
        <v>1014.0006</v>
      </c>
      <c r="AU7" s="47">
        <v>1014.0006</v>
      </c>
      <c r="AW7" s="47">
        <v>0</v>
      </c>
      <c r="AX7" s="47">
        <v>0</v>
      </c>
      <c r="AY7" s="32" t="s">
        <v>45</v>
      </c>
      <c r="AZ7" s="47">
        <v>0</v>
      </c>
      <c r="BA7" s="32"/>
      <c r="BB7" s="32"/>
      <c r="BC7" s="47">
        <v>0</v>
      </c>
      <c r="BE7" s="47">
        <v>1000</v>
      </c>
      <c r="BF7" s="47">
        <v>1000</v>
      </c>
      <c r="BJ7" s="47">
        <v>100</v>
      </c>
      <c r="BO7" s="48" t="s">
        <v>23</v>
      </c>
      <c r="BP7" s="47">
        <v>0</v>
      </c>
      <c r="BQ7" s="47">
        <v>0</v>
      </c>
      <c r="BR7" s="32"/>
      <c r="BS7" s="32"/>
      <c r="BT7" s="32" t="s">
        <v>22</v>
      </c>
      <c r="BU7" s="47">
        <v>3</v>
      </c>
      <c r="BV7" s="47">
        <v>0</v>
      </c>
      <c r="BW7" s="47">
        <v>14.0006</v>
      </c>
      <c r="BX7" s="47">
        <v>0</v>
      </c>
      <c r="CJ7" s="47">
        <v>0</v>
      </c>
    </row>
    <row r="8" spans="1:154" ht="15.75" customHeight="1">
      <c r="A8" s="5"/>
      <c r="B8" s="48" t="s">
        <v>44</v>
      </c>
      <c r="C8" s="5"/>
      <c r="D8" s="47">
        <v>0</v>
      </c>
      <c r="E8" s="47">
        <v>80</v>
      </c>
      <c r="F8" s="5"/>
      <c r="G8" s="48" t="s">
        <v>41</v>
      </c>
      <c r="H8" s="47">
        <v>4</v>
      </c>
      <c r="I8" s="47">
        <v>5</v>
      </c>
      <c r="J8" s="32"/>
      <c r="K8" s="47">
        <v>10</v>
      </c>
      <c r="L8" s="47">
        <v>10</v>
      </c>
      <c r="M8" s="32"/>
      <c r="N8" s="32"/>
      <c r="O8" s="52" t="s">
        <v>43</v>
      </c>
      <c r="P8" s="32"/>
      <c r="Q8" s="47">
        <v>3</v>
      </c>
      <c r="R8" s="47">
        <v>0</v>
      </c>
      <c r="S8" s="48" t="s">
        <v>50</v>
      </c>
      <c r="T8" s="47">
        <v>0</v>
      </c>
      <c r="U8" s="47">
        <v>0</v>
      </c>
      <c r="AE8" s="47">
        <v>80</v>
      </c>
      <c r="AF8" s="32"/>
      <c r="AG8" s="32"/>
      <c r="AH8" s="32"/>
      <c r="AI8" s="43">
        <v>1</v>
      </c>
      <c r="AT8" s="47">
        <v>785.99959999999999</v>
      </c>
      <c r="AU8" s="47">
        <v>785.99959999999999</v>
      </c>
      <c r="AW8" s="47">
        <v>0</v>
      </c>
      <c r="AX8" s="47">
        <v>0</v>
      </c>
      <c r="AY8" s="32" t="s">
        <v>45</v>
      </c>
      <c r="AZ8" s="47">
        <v>0</v>
      </c>
      <c r="BA8" s="32"/>
      <c r="BB8" s="32"/>
      <c r="BC8" s="47">
        <v>0</v>
      </c>
      <c r="BE8" s="47">
        <v>800</v>
      </c>
      <c r="BF8" s="47">
        <v>800</v>
      </c>
      <c r="BJ8" s="47">
        <v>80</v>
      </c>
      <c r="BO8" s="48" t="s">
        <v>38</v>
      </c>
      <c r="BP8" s="47">
        <v>0</v>
      </c>
      <c r="BQ8" s="47">
        <v>0</v>
      </c>
      <c r="BR8" s="32"/>
      <c r="BS8" s="32"/>
      <c r="BT8" s="32" t="s">
        <v>22</v>
      </c>
      <c r="BU8" s="47">
        <v>3</v>
      </c>
      <c r="BV8" s="47">
        <v>0</v>
      </c>
      <c r="BW8" s="47">
        <v>14.000400000000001</v>
      </c>
      <c r="BX8" s="47">
        <v>0</v>
      </c>
      <c r="CJ8" s="47">
        <v>0</v>
      </c>
    </row>
    <row r="9" spans="1:154" ht="15.75" customHeight="1">
      <c r="A9" s="5"/>
      <c r="B9" s="48"/>
      <c r="C9" s="5"/>
      <c r="D9" s="5"/>
      <c r="E9" s="5"/>
      <c r="F9" s="5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48"/>
      <c r="T9" s="32"/>
      <c r="U9" s="32"/>
      <c r="AE9" s="32"/>
      <c r="AF9" s="32"/>
      <c r="AG9" s="32"/>
      <c r="AH9" s="32"/>
      <c r="AI9" s="32"/>
      <c r="AT9" s="48"/>
      <c r="AU9" s="48"/>
      <c r="AW9" s="32"/>
      <c r="AX9" s="32"/>
      <c r="AY9" s="32"/>
      <c r="AZ9" s="32"/>
      <c r="BA9" s="32"/>
      <c r="BB9" s="32"/>
      <c r="BC9" s="32"/>
      <c r="BE9" s="48"/>
      <c r="BF9" s="48"/>
      <c r="BJ9" s="48"/>
      <c r="BP9" s="32"/>
      <c r="BQ9" s="32"/>
      <c r="BR9" s="32"/>
      <c r="BS9" s="32"/>
      <c r="BT9" s="32"/>
      <c r="BU9" s="32"/>
      <c r="BV9" s="32"/>
      <c r="BW9" s="48"/>
      <c r="BX9" s="32"/>
      <c r="CJ9" s="48"/>
    </row>
    <row r="10" spans="1:154" ht="15.75" customHeight="1">
      <c r="A10" s="5"/>
      <c r="B10" s="5"/>
      <c r="C10" s="5"/>
      <c r="D10" s="5"/>
      <c r="E10" s="5"/>
      <c r="F10" s="5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AE10" s="32"/>
      <c r="AF10" s="32"/>
      <c r="AG10" s="32"/>
      <c r="AH10" s="32"/>
      <c r="AI10" s="32"/>
      <c r="BE10" s="48"/>
      <c r="BF10" s="48"/>
      <c r="BJ10" s="48"/>
      <c r="BP10" s="32"/>
      <c r="BQ10" s="32"/>
      <c r="BR10" s="32"/>
      <c r="BS10" s="32"/>
      <c r="BT10" s="32"/>
      <c r="BU10" s="32"/>
      <c r="BV10" s="32"/>
      <c r="CJ10" s="48"/>
    </row>
    <row r="11" spans="1:154" ht="15.75" customHeight="1">
      <c r="A11" s="5"/>
      <c r="B11" s="5"/>
      <c r="C11" s="5"/>
      <c r="D11" s="5"/>
      <c r="E11" s="5"/>
      <c r="F11" s="5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BE11" s="48"/>
      <c r="BF11" s="48"/>
      <c r="BJ11" s="48"/>
      <c r="CJ11" s="48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BJ12" s="48"/>
      <c r="CJ12" s="48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BJ13" s="48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8" width="14.42578125" customWidth="1"/>
  </cols>
  <sheetData>
    <row r="1" spans="1:168" ht="15.75" customHeight="1">
      <c r="A1" s="13"/>
      <c r="B1" s="57" t="s">
        <v>11</v>
      </c>
      <c r="C1" s="58"/>
      <c r="D1" s="58"/>
      <c r="E1" s="58"/>
      <c r="F1" s="58"/>
      <c r="G1" s="58"/>
      <c r="H1" s="59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25</v>
      </c>
      <c r="D3" s="2" t="s">
        <v>9</v>
      </c>
      <c r="E3" s="17" t="s">
        <v>51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7"/>
      <c r="B6" s="7"/>
      <c r="C6" s="52" t="s">
        <v>22</v>
      </c>
      <c r="D6" s="40">
        <v>100</v>
      </c>
      <c r="E6" s="50" t="s">
        <v>17</v>
      </c>
      <c r="F6" s="30"/>
      <c r="G6" s="35">
        <v>10</v>
      </c>
      <c r="H6" s="30"/>
      <c r="I6" s="53">
        <v>1000</v>
      </c>
      <c r="J6" s="5"/>
      <c r="K6" s="53">
        <v>1000</v>
      </c>
      <c r="L6" s="5"/>
      <c r="M6" s="5"/>
      <c r="N6" s="41">
        <v>0</v>
      </c>
      <c r="O6" s="30"/>
      <c r="P6" s="30"/>
      <c r="Q6" s="54">
        <v>0</v>
      </c>
      <c r="R6" s="30"/>
      <c r="S6" s="30"/>
      <c r="T6" s="32" t="s">
        <v>41</v>
      </c>
      <c r="U6" s="32" t="s">
        <v>52</v>
      </c>
      <c r="V6" s="32" t="s">
        <v>53</v>
      </c>
      <c r="W6" s="32" t="s">
        <v>18</v>
      </c>
      <c r="X6" s="32"/>
      <c r="Y6" s="43">
        <v>1</v>
      </c>
      <c r="AD6" s="55">
        <v>1000</v>
      </c>
      <c r="AE6" s="55">
        <v>1000</v>
      </c>
      <c r="AF6" s="6">
        <v>100</v>
      </c>
      <c r="AG6" s="55">
        <v>1000</v>
      </c>
      <c r="AH6" s="55">
        <v>1000</v>
      </c>
      <c r="AI6" s="55">
        <v>1000</v>
      </c>
      <c r="AJ6" s="6">
        <v>500</v>
      </c>
      <c r="AK6" s="43">
        <v>0</v>
      </c>
      <c r="AL6" s="43">
        <v>1</v>
      </c>
      <c r="AM6" s="43">
        <v>1</v>
      </c>
      <c r="AN6" s="6" t="s">
        <v>23</v>
      </c>
      <c r="AP6" s="6" t="s">
        <v>54</v>
      </c>
      <c r="AQ6" s="32" t="s">
        <v>22</v>
      </c>
      <c r="AR6" s="43">
        <v>10</v>
      </c>
      <c r="AS6" s="32"/>
      <c r="AT6" s="32"/>
      <c r="AU6" s="32"/>
      <c r="AV6" s="43">
        <v>1</v>
      </c>
      <c r="AW6" s="54">
        <v>0</v>
      </c>
      <c r="AX6" s="54">
        <v>0</v>
      </c>
      <c r="AY6" s="54">
        <v>0</v>
      </c>
      <c r="AZ6" s="55">
        <v>1000</v>
      </c>
      <c r="BA6" s="43">
        <v>0</v>
      </c>
      <c r="BB6" s="32"/>
      <c r="BC6" s="43">
        <v>1</v>
      </c>
      <c r="BD6" s="55">
        <v>-1000</v>
      </c>
      <c r="BE6" s="32" t="s">
        <v>41</v>
      </c>
      <c r="BF6" s="32"/>
      <c r="BG6" s="32"/>
      <c r="BH6" s="32"/>
      <c r="BI6" s="32"/>
      <c r="BJ6" s="43">
        <v>0</v>
      </c>
      <c r="BK6" s="43">
        <v>0</v>
      </c>
      <c r="BL6" s="43">
        <v>0</v>
      </c>
      <c r="BM6" s="43">
        <v>0</v>
      </c>
      <c r="BN6" s="32"/>
      <c r="BO6" s="55">
        <v>-1000</v>
      </c>
      <c r="BP6" s="43">
        <v>0</v>
      </c>
      <c r="BQ6" s="32"/>
      <c r="BR6" s="32" t="s">
        <v>43</v>
      </c>
      <c r="BS6" s="43">
        <v>0</v>
      </c>
      <c r="BT6" s="43">
        <v>0</v>
      </c>
      <c r="BU6" s="32"/>
      <c r="BV6" s="32"/>
      <c r="BW6" s="43">
        <v>0</v>
      </c>
      <c r="BX6" s="41">
        <v>1000</v>
      </c>
      <c r="BY6" s="41">
        <v>1000</v>
      </c>
      <c r="BZ6" s="43">
        <v>10</v>
      </c>
      <c r="CA6" s="43">
        <v>10</v>
      </c>
      <c r="CB6" s="32"/>
      <c r="CC6" s="43">
        <v>0</v>
      </c>
      <c r="CD6" s="43">
        <v>0</v>
      </c>
      <c r="CE6" s="43">
        <v>0</v>
      </c>
      <c r="CF6" s="43">
        <v>0</v>
      </c>
      <c r="CG6" s="43">
        <v>0</v>
      </c>
      <c r="CH6" s="43">
        <v>0</v>
      </c>
      <c r="CI6" s="43">
        <v>0</v>
      </c>
      <c r="CJ6" s="43">
        <v>0</v>
      </c>
      <c r="CK6" s="32"/>
      <c r="CL6" s="32"/>
      <c r="CM6" s="32"/>
      <c r="CN6" s="32"/>
      <c r="DA6" s="56">
        <v>1000</v>
      </c>
      <c r="DB6" s="43">
        <v>0</v>
      </c>
      <c r="DC6" s="32"/>
      <c r="DD6" s="32"/>
      <c r="DE6" s="43">
        <v>0</v>
      </c>
      <c r="DF6" s="43">
        <v>0</v>
      </c>
      <c r="DG6" s="43">
        <v>0</v>
      </c>
      <c r="DH6" s="32"/>
      <c r="DI6" s="43">
        <v>0</v>
      </c>
      <c r="DJ6" s="32"/>
      <c r="DK6" s="43">
        <v>0</v>
      </c>
      <c r="DL6" s="43">
        <v>0</v>
      </c>
      <c r="DM6" s="43">
        <v>1</v>
      </c>
      <c r="DN6" s="43">
        <v>10</v>
      </c>
      <c r="EF6" s="43">
        <v>0</v>
      </c>
      <c r="EG6" s="6">
        <v>5</v>
      </c>
      <c r="EH6" s="6">
        <v>5</v>
      </c>
      <c r="EI6" s="6">
        <v>5</v>
      </c>
      <c r="EJ6" s="43">
        <v>6</v>
      </c>
      <c r="EK6" s="43">
        <v>6</v>
      </c>
      <c r="EL6" s="32"/>
      <c r="EM6" s="56">
        <v>1200</v>
      </c>
      <c r="EN6" s="56">
        <v>1200</v>
      </c>
      <c r="EO6" s="43">
        <v>0</v>
      </c>
      <c r="EP6" s="32"/>
      <c r="EQ6" s="43">
        <v>5</v>
      </c>
      <c r="ER6" s="32"/>
    </row>
    <row r="7" spans="1:168" ht="15.75" customHeight="1">
      <c r="A7" s="5"/>
      <c r="B7" s="5"/>
      <c r="C7" s="52" t="s">
        <v>22</v>
      </c>
      <c r="D7" s="42">
        <v>100</v>
      </c>
      <c r="E7" s="52" t="s">
        <v>19</v>
      </c>
      <c r="F7" s="32"/>
      <c r="G7" s="33">
        <v>10</v>
      </c>
      <c r="H7" s="32"/>
      <c r="I7" s="53">
        <v>1000</v>
      </c>
      <c r="J7" s="5"/>
      <c r="K7" s="53">
        <v>1000</v>
      </c>
      <c r="L7" s="5"/>
      <c r="M7" s="5"/>
      <c r="N7" s="41">
        <v>0</v>
      </c>
      <c r="O7" s="32"/>
      <c r="P7" s="32"/>
      <c r="Q7" s="43">
        <v>0</v>
      </c>
      <c r="R7" s="32"/>
      <c r="S7" s="32"/>
      <c r="T7" s="32" t="s">
        <v>41</v>
      </c>
      <c r="U7" s="32" t="s">
        <v>52</v>
      </c>
      <c r="V7" s="32" t="s">
        <v>53</v>
      </c>
      <c r="W7" s="32" t="s">
        <v>18</v>
      </c>
      <c r="X7" s="32"/>
      <c r="Y7" s="43">
        <v>1</v>
      </c>
      <c r="AD7" s="55">
        <v>1000</v>
      </c>
      <c r="AE7" s="55">
        <v>1000</v>
      </c>
      <c r="AF7" s="6">
        <v>100</v>
      </c>
      <c r="AG7" s="55">
        <v>1000</v>
      </c>
      <c r="AH7" s="55">
        <v>1000</v>
      </c>
      <c r="AI7" s="55">
        <v>1000</v>
      </c>
      <c r="AJ7" s="6">
        <v>500</v>
      </c>
      <c r="AK7" s="43">
        <v>0</v>
      </c>
      <c r="AL7" s="43">
        <v>1</v>
      </c>
      <c r="AM7" s="43">
        <v>1</v>
      </c>
      <c r="AN7" s="6" t="s">
        <v>23</v>
      </c>
      <c r="AP7" s="6" t="s">
        <v>54</v>
      </c>
      <c r="AQ7" s="32" t="s">
        <v>22</v>
      </c>
      <c r="AR7" s="43">
        <v>10</v>
      </c>
      <c r="AS7" s="32"/>
      <c r="AT7" s="32"/>
      <c r="AU7" s="32"/>
      <c r="AV7" s="43">
        <v>1</v>
      </c>
      <c r="AW7" s="43">
        <v>0</v>
      </c>
      <c r="AX7" s="43">
        <v>0</v>
      </c>
      <c r="AY7" s="43">
        <v>0</v>
      </c>
      <c r="AZ7" s="55">
        <v>1000</v>
      </c>
      <c r="BA7" s="43">
        <v>0</v>
      </c>
      <c r="BB7" s="32"/>
      <c r="BC7" s="43">
        <v>1</v>
      </c>
      <c r="BD7" s="55">
        <v>-1000</v>
      </c>
      <c r="BE7" s="32" t="s">
        <v>41</v>
      </c>
      <c r="BF7" s="32"/>
      <c r="BG7" s="32"/>
      <c r="BH7" s="32"/>
      <c r="BI7" s="32"/>
      <c r="BJ7" s="43">
        <v>0</v>
      </c>
      <c r="BK7" s="43">
        <v>0</v>
      </c>
      <c r="BL7" s="43">
        <v>0</v>
      </c>
      <c r="BM7" s="43">
        <v>0</v>
      </c>
      <c r="BN7" s="32"/>
      <c r="BO7" s="55">
        <v>-1000</v>
      </c>
      <c r="BP7" s="43">
        <v>0</v>
      </c>
      <c r="BQ7" s="32"/>
      <c r="BR7" s="32" t="s">
        <v>43</v>
      </c>
      <c r="BS7" s="43">
        <v>0</v>
      </c>
      <c r="BT7" s="43">
        <v>0</v>
      </c>
      <c r="BU7" s="32"/>
      <c r="BV7" s="32"/>
      <c r="BW7" s="43">
        <v>0</v>
      </c>
      <c r="BX7" s="41">
        <v>1000</v>
      </c>
      <c r="BY7" s="41">
        <v>1000</v>
      </c>
      <c r="BZ7" s="43">
        <v>10</v>
      </c>
      <c r="CA7" s="43">
        <v>10</v>
      </c>
      <c r="CB7" s="32"/>
      <c r="CC7" s="43">
        <v>0</v>
      </c>
      <c r="CD7" s="43">
        <v>0</v>
      </c>
      <c r="CE7" s="43">
        <v>0</v>
      </c>
      <c r="CF7" s="43">
        <v>0</v>
      </c>
      <c r="CG7" s="43">
        <v>0</v>
      </c>
      <c r="CH7" s="43">
        <v>0</v>
      </c>
      <c r="CI7" s="43">
        <v>0</v>
      </c>
      <c r="CJ7" s="43">
        <v>0</v>
      </c>
      <c r="CK7" s="32"/>
      <c r="CL7" s="32"/>
      <c r="CM7" s="32"/>
      <c r="CN7" s="32"/>
      <c r="DA7" s="56">
        <v>1000</v>
      </c>
      <c r="DB7" s="43">
        <v>0</v>
      </c>
      <c r="DC7" s="32"/>
      <c r="DD7" s="32"/>
      <c r="DE7" s="43">
        <v>0</v>
      </c>
      <c r="DF7" s="43">
        <v>0</v>
      </c>
      <c r="DG7" s="43">
        <v>0</v>
      </c>
      <c r="DH7" s="32"/>
      <c r="DI7" s="43">
        <v>0</v>
      </c>
      <c r="DJ7" s="32"/>
      <c r="DK7" s="43">
        <v>0</v>
      </c>
      <c r="DL7" s="43">
        <v>0</v>
      </c>
      <c r="DM7" s="43">
        <v>1</v>
      </c>
      <c r="DN7" s="43">
        <v>10</v>
      </c>
      <c r="EF7" s="43">
        <v>0</v>
      </c>
      <c r="EG7" s="6">
        <v>5</v>
      </c>
      <c r="EH7" s="6">
        <v>5</v>
      </c>
      <c r="EI7" s="6">
        <v>5</v>
      </c>
      <c r="EJ7" s="43">
        <v>6</v>
      </c>
      <c r="EK7" s="43">
        <v>6</v>
      </c>
      <c r="EL7" s="32"/>
      <c r="EM7" s="56">
        <v>1200</v>
      </c>
      <c r="EN7" s="56">
        <v>1200</v>
      </c>
      <c r="EO7" s="43">
        <v>0</v>
      </c>
      <c r="EP7" s="32"/>
      <c r="EQ7" s="43">
        <v>5</v>
      </c>
      <c r="ER7" s="32"/>
    </row>
    <row r="8" spans="1:168" ht="15.75" customHeight="1">
      <c r="A8" s="5"/>
      <c r="B8" s="5"/>
      <c r="C8" s="52" t="s">
        <v>22</v>
      </c>
      <c r="D8" s="42">
        <v>-40</v>
      </c>
      <c r="E8" s="52" t="s">
        <v>17</v>
      </c>
      <c r="F8" s="32"/>
      <c r="G8" s="33">
        <v>10</v>
      </c>
      <c r="H8" s="32"/>
      <c r="I8" s="7">
        <v>-400</v>
      </c>
      <c r="J8" s="5"/>
      <c r="K8" s="7">
        <v>-400</v>
      </c>
      <c r="L8" s="5"/>
      <c r="M8" s="5"/>
      <c r="N8" s="33">
        <v>0</v>
      </c>
      <c r="O8" s="32"/>
      <c r="P8" s="32"/>
      <c r="Q8" s="43">
        <v>0</v>
      </c>
      <c r="R8" s="32"/>
      <c r="S8" s="32"/>
      <c r="T8" s="32" t="s">
        <v>41</v>
      </c>
      <c r="U8" s="32" t="s">
        <v>52</v>
      </c>
      <c r="V8" s="32" t="s">
        <v>53</v>
      </c>
      <c r="W8" s="32" t="s">
        <v>18</v>
      </c>
      <c r="X8" s="32"/>
      <c r="Y8" s="43">
        <v>1</v>
      </c>
      <c r="AD8" s="6">
        <v>-400</v>
      </c>
      <c r="AE8" s="6">
        <v>-400</v>
      </c>
      <c r="AF8" s="6">
        <v>-40</v>
      </c>
      <c r="AG8" s="6">
        <v>-400</v>
      </c>
      <c r="AH8" s="6">
        <v>-400</v>
      </c>
      <c r="AI8" s="6">
        <v>-400</v>
      </c>
      <c r="AJ8" s="6">
        <v>-200</v>
      </c>
      <c r="AK8" s="43">
        <v>0</v>
      </c>
      <c r="AL8" s="43">
        <v>1</v>
      </c>
      <c r="AM8" s="43">
        <v>1</v>
      </c>
      <c r="AN8" s="6" t="s">
        <v>38</v>
      </c>
      <c r="AP8" s="6" t="s">
        <v>54</v>
      </c>
      <c r="AQ8" s="32" t="s">
        <v>22</v>
      </c>
      <c r="AR8" s="43">
        <v>10</v>
      </c>
      <c r="AS8" s="32"/>
      <c r="AT8" s="32"/>
      <c r="AU8" s="32"/>
      <c r="AV8" s="43">
        <v>1</v>
      </c>
      <c r="AW8" s="43">
        <v>0</v>
      </c>
      <c r="AX8" s="43">
        <v>0</v>
      </c>
      <c r="AY8" s="43">
        <v>0</v>
      </c>
      <c r="AZ8" s="6">
        <v>-400</v>
      </c>
      <c r="BA8" s="43">
        <v>0</v>
      </c>
      <c r="BB8" s="32"/>
      <c r="BC8" s="43">
        <v>1</v>
      </c>
      <c r="BD8" s="6">
        <v>400</v>
      </c>
      <c r="BE8" s="32" t="s">
        <v>41</v>
      </c>
      <c r="BF8" s="32"/>
      <c r="BG8" s="32"/>
      <c r="BH8" s="32"/>
      <c r="BI8" s="32"/>
      <c r="BJ8" s="43">
        <v>0</v>
      </c>
      <c r="BK8" s="43">
        <v>0</v>
      </c>
      <c r="BL8" s="43">
        <v>0</v>
      </c>
      <c r="BM8" s="43">
        <v>0</v>
      </c>
      <c r="BN8" s="32"/>
      <c r="BO8" s="6">
        <v>400</v>
      </c>
      <c r="BP8" s="43">
        <v>0</v>
      </c>
      <c r="BQ8" s="32"/>
      <c r="BR8" s="32" t="s">
        <v>43</v>
      </c>
      <c r="BS8" s="43">
        <v>0</v>
      </c>
      <c r="BT8" s="43">
        <v>0</v>
      </c>
      <c r="BU8" s="32"/>
      <c r="BV8" s="32"/>
      <c r="BW8" s="43">
        <v>0</v>
      </c>
      <c r="BX8" s="33">
        <v>400</v>
      </c>
      <c r="BY8" s="33">
        <v>400</v>
      </c>
      <c r="BZ8" s="43">
        <v>10</v>
      </c>
      <c r="CA8" s="43">
        <v>10</v>
      </c>
      <c r="CB8" s="32"/>
      <c r="CC8" s="43">
        <v>0</v>
      </c>
      <c r="CD8" s="43">
        <v>0</v>
      </c>
      <c r="CE8" s="43">
        <v>0</v>
      </c>
      <c r="CF8" s="43">
        <v>0</v>
      </c>
      <c r="CG8" s="43">
        <v>0</v>
      </c>
      <c r="CH8" s="43">
        <v>0</v>
      </c>
      <c r="CI8" s="43">
        <v>0</v>
      </c>
      <c r="CJ8" s="43">
        <v>0</v>
      </c>
      <c r="CK8" s="32"/>
      <c r="CL8" s="32"/>
      <c r="CM8" s="32"/>
      <c r="CN8" s="32"/>
      <c r="DA8" s="43">
        <v>400</v>
      </c>
      <c r="DB8" s="43">
        <v>0</v>
      </c>
      <c r="DC8" s="32"/>
      <c r="DD8" s="32"/>
      <c r="DE8" s="43">
        <v>0</v>
      </c>
      <c r="DF8" s="43">
        <v>0</v>
      </c>
      <c r="DG8" s="43">
        <v>0</v>
      </c>
      <c r="DH8" s="32"/>
      <c r="DI8" s="43">
        <v>0</v>
      </c>
      <c r="DJ8" s="32"/>
      <c r="DK8" s="43">
        <v>0</v>
      </c>
      <c r="DL8" s="43">
        <v>0</v>
      </c>
      <c r="DM8" s="43">
        <v>1</v>
      </c>
      <c r="DN8" s="43">
        <v>10</v>
      </c>
      <c r="EF8" s="43">
        <v>0</v>
      </c>
      <c r="EG8" s="6">
        <v>-2</v>
      </c>
      <c r="EH8" s="6">
        <v>2</v>
      </c>
      <c r="EI8" s="6">
        <v>-2</v>
      </c>
      <c r="EJ8" s="43">
        <v>6</v>
      </c>
      <c r="EK8" s="43">
        <v>6</v>
      </c>
      <c r="EL8" s="32"/>
      <c r="EM8" s="56">
        <v>1200</v>
      </c>
      <c r="EN8" s="56">
        <v>1200</v>
      </c>
      <c r="EO8" s="43">
        <v>0</v>
      </c>
      <c r="EP8" s="32"/>
      <c r="EQ8" s="43">
        <v>2</v>
      </c>
      <c r="ER8" s="32"/>
    </row>
    <row r="9" spans="1:168" ht="15.75" customHeight="1">
      <c r="A9" s="5"/>
      <c r="B9" s="5"/>
      <c r="C9" s="52" t="s">
        <v>22</v>
      </c>
      <c r="D9" s="42">
        <v>-40</v>
      </c>
      <c r="E9" s="52" t="s">
        <v>19</v>
      </c>
      <c r="F9" s="32"/>
      <c r="G9" s="33">
        <v>10</v>
      </c>
      <c r="H9" s="32"/>
      <c r="I9" s="7">
        <v>-400</v>
      </c>
      <c r="J9" s="5"/>
      <c r="K9" s="7">
        <v>-400</v>
      </c>
      <c r="L9" s="5"/>
      <c r="M9" s="5"/>
      <c r="N9" s="33">
        <v>0</v>
      </c>
      <c r="O9" s="32"/>
      <c r="P9" s="32"/>
      <c r="Q9" s="43">
        <v>0</v>
      </c>
      <c r="R9" s="32"/>
      <c r="S9" s="32"/>
      <c r="T9" s="32" t="s">
        <v>41</v>
      </c>
      <c r="U9" s="32" t="s">
        <v>52</v>
      </c>
      <c r="V9" s="32" t="s">
        <v>53</v>
      </c>
      <c r="W9" s="32" t="s">
        <v>18</v>
      </c>
      <c r="X9" s="32"/>
      <c r="Y9" s="43">
        <v>1</v>
      </c>
      <c r="AD9" s="6">
        <v>-400</v>
      </c>
      <c r="AE9" s="6">
        <v>-400</v>
      </c>
      <c r="AF9" s="6">
        <v>-40</v>
      </c>
      <c r="AG9" s="6">
        <v>-400</v>
      </c>
      <c r="AH9" s="6">
        <v>-400</v>
      </c>
      <c r="AI9" s="6">
        <v>-400</v>
      </c>
      <c r="AJ9" s="6">
        <v>-200</v>
      </c>
      <c r="AK9" s="43">
        <v>0</v>
      </c>
      <c r="AL9" s="43">
        <v>1</v>
      </c>
      <c r="AM9" s="43">
        <v>1</v>
      </c>
      <c r="AN9" s="6" t="s">
        <v>38</v>
      </c>
      <c r="AP9" s="6" t="s">
        <v>54</v>
      </c>
      <c r="AQ9" s="32" t="s">
        <v>22</v>
      </c>
      <c r="AR9" s="43">
        <v>10</v>
      </c>
      <c r="AS9" s="32"/>
      <c r="AT9" s="32"/>
      <c r="AU9" s="32"/>
      <c r="AV9" s="43">
        <v>1</v>
      </c>
      <c r="AW9" s="43">
        <v>0</v>
      </c>
      <c r="AX9" s="43">
        <v>0</v>
      </c>
      <c r="AY9" s="43">
        <v>0</v>
      </c>
      <c r="AZ9" s="6">
        <v>-400</v>
      </c>
      <c r="BA9" s="43">
        <v>0</v>
      </c>
      <c r="BB9" s="32"/>
      <c r="BC9" s="43">
        <v>1</v>
      </c>
      <c r="BD9" s="6">
        <v>400</v>
      </c>
      <c r="BE9" s="32" t="s">
        <v>41</v>
      </c>
      <c r="BF9" s="32"/>
      <c r="BG9" s="32"/>
      <c r="BH9" s="32"/>
      <c r="BI9" s="32"/>
      <c r="BJ9" s="43">
        <v>0</v>
      </c>
      <c r="BK9" s="43">
        <v>0</v>
      </c>
      <c r="BL9" s="43">
        <v>0</v>
      </c>
      <c r="BM9" s="43">
        <v>0</v>
      </c>
      <c r="BN9" s="32"/>
      <c r="BO9" s="6">
        <v>400</v>
      </c>
      <c r="BP9" s="43">
        <v>0</v>
      </c>
      <c r="BQ9" s="32"/>
      <c r="BR9" s="32" t="s">
        <v>43</v>
      </c>
      <c r="BS9" s="43">
        <v>0</v>
      </c>
      <c r="BT9" s="43">
        <v>0</v>
      </c>
      <c r="BU9" s="32"/>
      <c r="BV9" s="32"/>
      <c r="BW9" s="43">
        <v>0</v>
      </c>
      <c r="BX9" s="33">
        <v>400</v>
      </c>
      <c r="BY9" s="33">
        <v>400</v>
      </c>
      <c r="BZ9" s="43">
        <v>10</v>
      </c>
      <c r="CA9" s="43">
        <v>10</v>
      </c>
      <c r="CB9" s="32"/>
      <c r="CC9" s="43">
        <v>0</v>
      </c>
      <c r="CD9" s="43">
        <v>0</v>
      </c>
      <c r="CE9" s="43">
        <v>0</v>
      </c>
      <c r="CF9" s="43">
        <v>0</v>
      </c>
      <c r="CG9" s="43">
        <v>0</v>
      </c>
      <c r="CH9" s="43">
        <v>0</v>
      </c>
      <c r="CI9" s="43">
        <v>0</v>
      </c>
      <c r="CJ9" s="43">
        <v>0</v>
      </c>
      <c r="CK9" s="32"/>
      <c r="CL9" s="32"/>
      <c r="CM9" s="32"/>
      <c r="CN9" s="32"/>
      <c r="DA9" s="43">
        <v>400</v>
      </c>
      <c r="DB9" s="43">
        <v>0</v>
      </c>
      <c r="DC9" s="32"/>
      <c r="DD9" s="32"/>
      <c r="DE9" s="43">
        <v>0</v>
      </c>
      <c r="DF9" s="43">
        <v>0</v>
      </c>
      <c r="DG9" s="43">
        <v>0</v>
      </c>
      <c r="DH9" s="32"/>
      <c r="DI9" s="43">
        <v>0</v>
      </c>
      <c r="DJ9" s="32"/>
      <c r="DK9" s="43">
        <v>0</v>
      </c>
      <c r="DL9" s="43">
        <v>0</v>
      </c>
      <c r="DM9" s="43">
        <v>1</v>
      </c>
      <c r="DN9" s="43">
        <v>10</v>
      </c>
      <c r="EF9" s="43">
        <v>0</v>
      </c>
      <c r="EG9" s="6">
        <v>-2</v>
      </c>
      <c r="EH9" s="6">
        <v>2</v>
      </c>
      <c r="EI9" s="6">
        <v>-2</v>
      </c>
      <c r="EJ9" s="43">
        <v>6</v>
      </c>
      <c r="EK9" s="43">
        <v>6</v>
      </c>
      <c r="EL9" s="32"/>
      <c r="EM9" s="56">
        <v>1200</v>
      </c>
      <c r="EN9" s="56">
        <v>1200</v>
      </c>
      <c r="EO9" s="43">
        <v>0</v>
      </c>
      <c r="EP9" s="32"/>
      <c r="EQ9" s="43">
        <v>2</v>
      </c>
      <c r="ER9" s="32"/>
    </row>
    <row r="10" spans="1:168" ht="15.75" customHeight="1">
      <c r="A10" s="5"/>
      <c r="B10" s="5"/>
      <c r="C10" s="32"/>
      <c r="D10" s="32"/>
      <c r="E10" s="32"/>
      <c r="F10" s="32"/>
      <c r="G10" s="32"/>
      <c r="H10" s="32"/>
      <c r="I10" s="5"/>
      <c r="J10" s="5"/>
      <c r="K10" s="5"/>
      <c r="L10" s="5"/>
      <c r="M10" s="5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AK10" s="32"/>
      <c r="AL10" s="32"/>
      <c r="AM10" s="32"/>
      <c r="AQ10" s="32"/>
      <c r="AR10" s="32"/>
      <c r="AS10" s="32"/>
      <c r="AT10" s="32"/>
      <c r="AU10" s="32"/>
      <c r="AV10" s="32"/>
      <c r="AW10" s="32"/>
      <c r="AX10" s="32"/>
      <c r="AY10" s="32"/>
      <c r="BA10" s="32"/>
      <c r="BB10" s="32"/>
      <c r="BC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EJ10" s="32"/>
      <c r="EK10" s="32"/>
      <c r="EL10" s="32"/>
      <c r="EM10" s="32"/>
      <c r="EN10" s="32"/>
      <c r="EO10" s="32"/>
      <c r="EP10" s="32"/>
      <c r="EQ10" s="32"/>
      <c r="ER10" s="32"/>
    </row>
    <row r="11" spans="1:168" ht="15.75" customHeight="1">
      <c r="A11" s="5"/>
      <c r="B11" s="5"/>
      <c r="C11" s="32"/>
      <c r="D11" s="5"/>
      <c r="E11" s="5"/>
      <c r="F11" s="5"/>
      <c r="G11" s="5"/>
      <c r="H11" s="5"/>
      <c r="I11" s="5"/>
      <c r="J11" s="5"/>
      <c r="K11" s="5"/>
      <c r="L11" s="5"/>
      <c r="M11" s="5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AK11" s="32"/>
      <c r="AL11" s="32"/>
      <c r="AM11" s="32"/>
      <c r="AQ11" s="32"/>
      <c r="AR11" s="32"/>
      <c r="AS11" s="32"/>
      <c r="AT11" s="32"/>
      <c r="AU11" s="32"/>
      <c r="AV11" s="32"/>
      <c r="AW11" s="32"/>
      <c r="AX11" s="32"/>
      <c r="AY11" s="32"/>
      <c r="BA11" s="32"/>
      <c r="BB11" s="32"/>
      <c r="BC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EM11" s="32"/>
      <c r="EN11" s="32"/>
      <c r="EO11" s="32"/>
      <c r="EP11" s="32"/>
      <c r="EQ11" s="32"/>
      <c r="ER11" s="32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Q12" s="32"/>
      <c r="AR12" s="32"/>
      <c r="AS12" s="32"/>
      <c r="AT12" s="32"/>
      <c r="AU12" s="32"/>
      <c r="AV12" s="32"/>
      <c r="AW12" s="32"/>
      <c r="AX12" s="32"/>
      <c r="AY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EM12" s="32"/>
      <c r="EN12" s="32"/>
      <c r="EO12" s="32"/>
      <c r="EP12" s="32"/>
      <c r="EQ12" s="32"/>
      <c r="ER12" s="32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BP13" s="32"/>
      <c r="BQ13" s="32"/>
      <c r="BR13" s="32"/>
      <c r="BS13" s="32"/>
      <c r="BT13" s="32"/>
      <c r="BU13" s="32"/>
      <c r="BV13" s="32"/>
      <c r="BW13" s="32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GetDailyCash</vt:lpstr>
      <vt:lpstr>UpdateDailyCash</vt:lpstr>
      <vt:lpstr>CreateDoneAwayOrder</vt:lpstr>
      <vt:lpstr>PricingInput</vt:lpstr>
      <vt:lpstr>GroupRowPM</vt:lpstr>
      <vt:lpstr>OpenPTTFromPM</vt:lpstr>
      <vt:lpstr>CalculatePTT</vt:lpstr>
      <vt:lpstr>VerifyPTT</vt:lpstr>
      <vt:lpstr>TradePTT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2021-08-04T13:58:35Z</dcterms:modified>
</cp:coreProperties>
</file>