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GetDailyCash" sheetId="6" r:id="rId8"/>
    <sheet state="visible" name="UpdateMultipleDailyCash" sheetId="7" r:id="rId9"/>
    <sheet state="visible" name="OpenRTPNL" sheetId="8" r:id="rId10"/>
    <sheet state="visible" name="CheckFundLevelAggregation" sheetId="9" r:id="rId11"/>
    <sheet state="visible" name="CheckRealTimeSymbolFundMonitor" sheetId="10" r:id="rId12"/>
  </sheets>
  <definedNames/>
  <calcPr/>
</workbook>
</file>

<file path=xl/sharedStrings.xml><?xml version="1.0" encoding="utf-8"?>
<sst xmlns="http://schemas.openxmlformats.org/spreadsheetml/2006/main" count="130" uniqueCount="49">
  <si>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</si>
  <si>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</si>
  <si>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</si>
  <si>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</si>
  <si>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</si>
  <si>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</si>
  <si>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</si>
  <si>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</si>
  <si>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</si>
  <si>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</si>
  <si>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</si>
  <si>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</si>
  <si>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</si>
  <si>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</si>
  <si>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</si>
  <si>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</si>
  <si>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</si>
  <si>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</si>
  <si>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MS</t>
  </si>
  <si>
    <t>Yes</t>
  </si>
  <si>
    <t>FRU-TC</t>
  </si>
  <si>
    <t>O:AAPL 13A500.00</t>
  </si>
  <si>
    <t>Buy to Open</t>
  </si>
  <si>
    <t xml:space="preserve"> O:FRU 15A18-MXO</t>
  </si>
  <si>
    <t>ES U5</t>
  </si>
  <si>
    <t>ES H9C735</t>
  </si>
  <si>
    <t>PricingInput</t>
  </si>
  <si>
    <t>DailyValuation</t>
  </si>
  <si>
    <t>GetDailyCash</t>
  </si>
  <si>
    <t>UpdateMultipleDailyCash</t>
  </si>
  <si>
    <t>Allocation1</t>
  </si>
  <si>
    <t>USD</t>
  </si>
  <si>
    <t>RTPNL</t>
  </si>
  <si>
    <t>OpenRTPNL</t>
  </si>
  <si>
    <t>Nirvana,PM</t>
  </si>
  <si>
    <t>SummaryDashboard</t>
  </si>
  <si>
    <t>CheckFundLevelAggregation</t>
  </si>
  <si>
    <t>NewMF</t>
  </si>
  <si>
    <t>CheckRealTimeSymbolFundMonitor</t>
  </si>
  <si>
    <t>FixedIncome</t>
  </si>
  <si>
    <t>Long</t>
  </si>
  <si>
    <t>APPLE</t>
  </si>
  <si>
    <t>Equity</t>
  </si>
  <si>
    <t>ES MAR Future</t>
  </si>
  <si>
    <t>FutureOption</t>
  </si>
  <si>
    <t>E-MINI S&amp;P 500</t>
  </si>
  <si>
    <t>Future</t>
  </si>
  <si>
    <t>EquityOption</t>
  </si>
  <si>
    <t>O:FRU 15A18-MXO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</si>
</sst>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14" xfId="0" applyAlignment="1" applyFont="1" applyNumberForma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shrinkToFit="0" vertical="bottom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readingOrder="0" vertical="bottom"/>
    </xf>
    <xf borderId="0" fillId="0" fontId="3" numFmtId="3" xfId="0" applyAlignment="1" applyFont="1" applyNumberFormat="1">
      <alignment horizontal="right" vertical="bottom"/>
    </xf>
    <xf borderId="0" fillId="0" fontId="3" numFmtId="10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13" numFmtId="3" xfId="0" applyAlignment="1" applyFont="1" applyNumberFormat="1">
      <alignment readingOrder="0" shrinkToFit="0" vertical="bottom" wrapText="0"/>
    </xf>
    <xf borderId="0" fillId="0" fontId="13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IFERROR(__xludf.DUMMYFUNCTION("""COMPUTED_VALUE"""),"RTPNL")</f>
        <v>RTPNL</v>
      </c>
      <c r="B767" t="str">
        <f>IFERROR(__xludf.DUMMYFUNCTION("""COMPUTED_VALUE"""),"RenameTabs")</f>
        <v>RenameTabs</v>
      </c>
      <c r="C767" t="str">
        <f>IFERROR(__xludf.DUMMYFUNCTION("""COMPUTED_VALUE"""),"1K7LcioEl1sTwLRhqHc9go_7jNmUIRZNy9zBQLMgtBw8")</f>
        <v>1K7LcioEl1sTwLRhqHc9go_7jNmUIRZNy9zBQLMgtBw8</v>
      </c>
    </row>
    <row r="768" ht="15.75" customHeight="1">
      <c r="A768" t="str">
        <f>IFERROR(__xludf.DUMMYFUNCTION("""COMPUTED_VALUE"""),"RTPNL")</f>
        <v>RTPNL</v>
      </c>
      <c r="B768" t="str">
        <f>IFERROR(__xludf.DUMMYFUNCTION("""COMPUTED_VALUE"""),"ResizeEnsure")</f>
        <v>ResizeEnsure</v>
      </c>
      <c r="C768" t="str">
        <f>IFERROR(__xludf.DUMMYFUNCTION("""COMPUTED_VALUE"""),"1-peVyQ_nIwd8owwmtDtNW-yx12KQx2nHeYee6duB46M")</f>
        <v>1-peVyQ_nIwd8owwmtDtNW-yx12KQx2nHeYee6duB46M</v>
      </c>
    </row>
    <row r="769" ht="15.75" customHeight="1">
      <c r="A769" t="str">
        <f>IFERROR(__xludf.DUMMYFUNCTION("""COMPUTED_VALUE"""),"Admin")</f>
        <v>Admin</v>
      </c>
      <c r="B769" t="str">
        <f>IFERROR(__xludf.DUMMYFUNCTION("""COMPUTED_VALUE"""),"ClearRTPNLtabs")</f>
        <v>ClearRTPNLtabs</v>
      </c>
      <c r="C769" t="str">
        <f>IFERROR(__xludf.DUMMYFUNCTION("""COMPUTED_VALUE"""),"Undefined")</f>
        <v>Undefined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IFERROR(__xludf.DUMMYFUNCTION("""COMPUTED_VALUE"""),"AddTabRTPNL")</f>
        <v>AddTabRTPNL</v>
      </c>
      <c r="C770" t="str">
        <f>IFERROR(__xludf.DUMMYFUNCTION("""COMPUTED_VALUE"""),"18kG7vS-CfSLW8Q-ho416lyPlP36XJPPHA0cRbCk3vjU")</f>
        <v>18kG7vS-CfSLW8Q-ho416lyPlP36XJPPHA0cRbCk3vjU</v>
      </c>
    </row>
    <row r="771" ht="15.75" customHeight="1">
      <c r="A771" t="str">
        <f>IFERROR(__xludf.DUMMYFUNCTION("""COMPUTED_VALUE"""),"PortfolioManagement")</f>
        <v>PortfolioManagement</v>
      </c>
      <c r="B771" t="str">
        <f>IFERROR(__xludf.DUMMYFUNCTION("""COMPUTED_VALUE"""),"SelectTradeOnPM")</f>
        <v>SelectTradeOnPM</v>
      </c>
      <c r="C771" t="str">
        <f>IFERROR(__xludf.DUMMYFUNCTION("""COMPUTED_VALUE"""),"1_tBJjps2mULQyHra_AnC6BBvPbOko3FAY-kc11l7eTg")</f>
        <v>1_tBJjps2mULQyHra_AnC6BBvPbOko3FAY-kc11l7eTg</v>
      </c>
    </row>
    <row r="772" ht="15.75" customHeight="1">
      <c r="A772" t="str">
        <f>IFERROR(__xludf.DUMMYFUNCTION("""COMPUTED_VALUE"""),"Unknown")</f>
        <v>Unknown</v>
      </c>
      <c r="B772" t="str">
        <f>IFERROR(__xludf.DUMMYFUNCTION("""COMPUTED_VALUE"""),"RightClickOperations")</f>
        <v>RightClickOperations</v>
      </c>
      <c r="C772" t="str">
        <f>IFERROR(__xludf.DUMMYFUNCTION("""COMPUTED_VALUE"""),"17jhCujI-0V0U3n5lzlkc-azSuwCa7rf-4KwcSInm9ts")</f>
        <v>17jhCujI-0V0U3n5lzlkc-azSuwCa7rf-4KwcSInm9ts</v>
      </c>
    </row>
    <row r="773" ht="15.75" customHeight="1">
      <c r="A773" t="str">
        <f>IFERROR(__xludf.DUMMYFUNCTION("""COMPUTED_VALUE"""),"Unknown")</f>
        <v>Unknown</v>
      </c>
      <c r="B773" t="str">
        <f>IFERROR(__xludf.DUMMYFUNCTION("""COMPUTED_VALUE"""),"RightClickAndClickOperations")</f>
        <v>RightClickAndClickOperations</v>
      </c>
      <c r="C773" t="str">
        <f>IFERROR(__xludf.DUMMYFUNCTION("""COMPUTED_VALUE"""),"1e9jtl9r57SkbYm3S4wbHtvkeG2KExZEiFSIkkRSaq-8")</f>
        <v>1e9jtl9r57SkbYm3S4wbHtvkeG2KExZEiFSIkkRSaq-8</v>
      </c>
    </row>
    <row r="774" ht="15.75" customHeight="1">
      <c r="A774" t="str">
        <f>IFERROR(__xludf.DUMMYFUNCTION("""COMPUTED_VALUE"""),"Blotter")</f>
        <v>Blotter</v>
      </c>
      <c r="B774" t="str">
        <f>IFERROR(__xludf.DUMMYFUNCTION("""COMPUTED_VALUE"""),"BlotterToolBarAction")</f>
        <v>BlotterToolBarAction</v>
      </c>
      <c r="C774" t="str">
        <f>IFERROR(__xludf.DUMMYFUNCTION("""COMPUTED_VALUE"""),"1bI1kIBxH6qy8zi5tx46rN3vNgbmxbdwtAo1inrXDALs")</f>
        <v>1bI1kIBxH6qy8zi5tx46rN3vNgbmxbdwtAo1inrXDALs</v>
      </c>
    </row>
    <row r="775" ht="15.75" customHeight="1">
      <c r="A775" t="str">
        <f>IFERROR(__xludf.DUMMYFUNCTION("""COMPUTED_VALUE"""),"TradingTicket")</f>
        <v>TradingTicket</v>
      </c>
      <c r="B775" t="str">
        <f>IFERROR(__xludf.DUMMYFUNCTION("""COMPUTED_VALUE"""),"MergeTT")</f>
        <v>MergeTT</v>
      </c>
      <c r="C775" t="str">
        <f>IFERROR(__xludf.DUMMYFUNCTION("""COMPUTED_VALUE"""),"1BEiRPdwHXsXVZ0ioude04Me5qSQ_YU6xh1ZwMWgExVU")</f>
        <v>1BEiRPdwHXsXVZ0ioude04Me5qSQ_YU6xh1ZwMWgExVU</v>
      </c>
    </row>
    <row r="776" ht="15.75" customHeight="1">
      <c r="A776" t="str">
        <f>IFERROR(__xludf.DUMMYFUNCTION("""COMPUTED_VALUE"""),"PortfolioManagement")</f>
        <v>PortfolioManagement</v>
      </c>
      <c r="B776" t="str">
        <f>IFERROR(__xludf.DUMMYFUNCTION("""COMPUTED_VALUE"""),"OperationsonPM")</f>
        <v>OperationsonPM</v>
      </c>
      <c r="C776" t="str">
        <f>IFERROR(__xludf.DUMMYFUNCTION("""COMPUTED_VALUE"""),"13hKVogBv66c752V1EGUyqXp4dGESQOZLmMqIB56fbAs")</f>
        <v>13hKVogBv66c752V1EGUyqXp4dGESQOZLmMqIB56fbAs</v>
      </c>
    </row>
    <row r="777" ht="15.75" customHeight="1">
      <c r="A777" t="str">
        <f>IFERROR(__xludf.DUMMYFUNCTION("""COMPUTED_VALUE"""),"Rebalancer")</f>
        <v>Rebalancer</v>
      </c>
      <c r="B777" t="str">
        <f>IFERROR(__xludf.DUMMYFUNCTION("""COMPUTED_VALUE"""),"CreateOrViewModelPortfolio")</f>
        <v>CreateOrViewModelPortfolio</v>
      </c>
      <c r="C777" t="str">
        <f>IFERROR(__xludf.DUMMYFUNCTION("""COMPUTED_VALUE"""),"1vejknW_QiO0r5pMzMjOGCCsgwLVes4a3Ubx1l-0Mg1k")</f>
        <v>1vejknW_QiO0r5pMzMjOGCCsgwLVes4a3Ubx1l-0Mg1k</v>
      </c>
    </row>
    <row r="778" ht="15.75" customHeight="1">
      <c r="A778" t="str">
        <f>IFERROR(__xludf.DUMMYFUNCTION("""COMPUTED_VALUE"""),"Rebalancer")</f>
        <v>Rebalancer</v>
      </c>
      <c r="B778" t="str">
        <f>IFERROR(__xludf.DUMMYFUNCTION("""COMPUTED_VALUE"""),"VerifyModelPortfolio")</f>
        <v>VerifyModelPortfolio</v>
      </c>
      <c r="C778" t="str">
        <f>IFERROR(__xludf.DUMMYFUNCTION("""COMPUTED_VALUE"""),"1Tza5cx7NJ2J8vr_f6DC-KPhnXCzf7l1m0EERc6z_T-U")</f>
        <v>1Tza5cx7NJ2J8vr_f6DC-KPhnXCzf7l1m0EERc6z_T-U</v>
      </c>
    </row>
    <row r="779" ht="15.75" customHeight="1">
      <c r="A779" t="str">
        <f>IFERROR(__xludf.DUMMYFUNCTION("""COMPUTED_VALUE"""),"Allocation")</f>
        <v>Allocation</v>
      </c>
      <c r="B779" t="str">
        <f>IFERROR(__xludf.DUMMYFUNCTION("""COMPUTED_VALUE"""),"ReviewExistingPositions")</f>
        <v>ReviewExistingPositions</v>
      </c>
      <c r="C779" t="str">
        <f>IFERROR(__xludf.DUMMYFUNCTION("""COMPUTED_VALUE"""),"1KwYoTdpeW6LDhzloVKHp5buZqc8IjXEShjwnUx45Ql8")</f>
        <v>1KwYoTdpeW6LDhzloVKHp5buZqc8IjXEShjwnUx45Ql8</v>
      </c>
    </row>
    <row r="780" ht="15.75" customHeight="1">
      <c r="A780" t="str">
        <f>IFERROR(__xludf.DUMMYFUNCTION("""COMPUTED_VALUE"""),"PTT")</f>
        <v>PTT</v>
      </c>
      <c r="B780" t="str">
        <f>IFERROR(__xludf.DUMMYFUNCTION("""COMPUTED_VALUE"""),"OperationsonPTT")</f>
        <v>OperationsonPTT</v>
      </c>
      <c r="C780" t="str">
        <f>IFERROR(__xludf.DUMMYFUNCTION("""COMPUTED_VALUE"""),"1J40rCXEDilLEF_x0Wkeeg1lwGfejucV1VSY9UcyeSlw")</f>
        <v>1J40rCXEDilLEF_x0Wkeeg1lwGfejucV1VSY9UcyeSlw</v>
      </c>
    </row>
    <row r="781" ht="15.75" customHeight="1">
      <c r="A781" t="str">
        <f>IFERROR(__xludf.DUMMYFUNCTION("""COMPUTED_VALUE"""),"PricingInput")</f>
        <v>PricingInput</v>
      </c>
      <c r="B781" t="str">
        <f>IFERROR(__xludf.DUMMYFUNCTION("""COMPUTED_VALUE"""),"UpdatePricingInput")</f>
        <v>UpdatePricingInput</v>
      </c>
      <c r="C781" t="str">
        <f>IFERROR(__xludf.DUMMYFUNCTION("""COMPUTED_VALUE"""),"1CG9iYOkRKzlGEsKh7QuEyMdGRQea_W4KDWwlnjE2BdE")</f>
        <v>1CG9iYOkRKzlGEsKh7QuEyMdGRQea_W4KDWwlnjE2BdE</v>
      </c>
    </row>
    <row r="782" ht="15.75" customHeight="1">
      <c r="A782" t="str">
        <f>IFERROR(__xludf.DUMMYFUNCTION("""COMPUTED_VALUE"""),"DailyValuation")</f>
        <v>DailyValuation</v>
      </c>
      <c r="B782" t="str">
        <f>IFERROR(__xludf.DUMMYFUNCTION("""COMPUTED_VALUE"""),"UpdateMPAndFC")</f>
        <v>UpdateMPAndFC</v>
      </c>
      <c r="C782" t="str">
        <f>IFERROR(__xludf.DUMMYFUNCTION("""COMPUTED_VALUE"""),"1UCNfZng94LprScqCmSKImRjCwiKlLQU_e1kY1tum91I")</f>
        <v>1UCNfZng94LprScqCmSKImRjCwiKlLQU_e1kY1tum91I</v>
      </c>
    </row>
    <row r="783" ht="15.75" customHeight="1">
      <c r="A783" t="str">
        <f>IFERROR(__xludf.DUMMYFUNCTION("""COMPUTED_VALUE"""),"Rebalancer")</f>
        <v>Rebalancer</v>
      </c>
      <c r="B783" t="str">
        <f>IFERROR(__xludf.DUMMYFUNCTION("""COMPUTED_VALUE"""),"SelectAndVerifyTradeList")</f>
        <v>SelectAndVerifyTradeList</v>
      </c>
      <c r="C783" t="str">
        <f>IFERROR(__xludf.DUMMYFUNCTION("""COMPUTED_VALUE"""),"1fXJG--hBH0hPvU7g5jtXyZnD1GiwJXfYX9HdEyhGyGs")</f>
        <v>1fXJG--hBH0hPvU7g5jtXyZnD1GiwJXfYX9HdEyhGyGs</v>
      </c>
    </row>
    <row r="784" ht="15.75" customHeight="1">
      <c r="A784" t="str">
        <f>IFERROR(__xludf.DUMMYFUNCTION("""COMPUTED_VALUE"""),"Rebalancer")</f>
        <v>Rebalancer</v>
      </c>
      <c r="B784" t="str">
        <f>IFERROR(__xludf.DUMMYFUNCTION("""COMPUTED_VALUE"""),"ActionOnTradeBuySellListView")</f>
        <v>ActionOnTradeBuySellListView</v>
      </c>
      <c r="C784" t="str">
        <f>IFERROR(__xludf.DUMMYFUNCTION("""COMPUTED_VALUE"""),"1xeJEpkdxtbik3vPUTkxALkXsnL-Vl5dF07PBUoheM3k")</f>
        <v>1xeJEpkdxtbik3vPUTkxALkXsnL-Vl5dF07PBUoheM3k</v>
      </c>
    </row>
    <row r="785" ht="15.75" customHeight="1">
      <c r="A785" t="str">
        <f>IFERROR(__xludf.DUMMYFUNCTION("""COMPUTED_VALUE"""),"Blotter")</f>
        <v>Blotter</v>
      </c>
      <c r="B785" t="str">
        <f>IFERROR(__xludf.DUMMYFUNCTION("""COMPUTED_VALUE"""),"AddTabToFav")</f>
        <v>AddTabToFav</v>
      </c>
      <c r="C785" t="str">
        <f>IFERROR(__xludf.DUMMYFUNCTION("""COMPUTED_VALUE"""),"1Hrblc1gk4JIYboQ1lGHgl7HatAXp5amAl9mS58vzT-0")</f>
        <v>1Hrblc1gk4JIYboQ1lGHgl7HatAXp5amAl9mS58vzT-0</v>
      </c>
    </row>
    <row r="786" ht="15.75" customHeight="1">
      <c r="A786" t="str">
        <f>IFERROR(__xludf.DUMMYFUNCTION("""COMPUTED_VALUE"""),"TradingTicket")</f>
        <v>TradingTicket</v>
      </c>
      <c r="B786" t="str">
        <f>IFERROR(__xludf.DUMMYFUNCTION("""COMPUTED_VALUE"""),"VerifyExecutionType")</f>
        <v>VerifyExecutionType</v>
      </c>
      <c r="C786" t="str">
        <f>IFERROR(__xludf.DUMMYFUNCTION("""COMPUTED_VALUE"""),"1GeLKG0YL6nDFQYX8NohWSG0yonppxuSHWgOuwLzEWwI")</f>
        <v>1GeLKG0YL6nDFQYX8NohWSG0yonppxuSHWgOuwLzEWwI</v>
      </c>
    </row>
    <row r="787" ht="15.75" customHeight="1">
      <c r="A787" t="str">
        <f>IFERROR(__xludf.DUMMYFUNCTION("""COMPUTED_VALUE"""),"OpenFin")</f>
        <v>OpenFin</v>
      </c>
      <c r="B787" t="str">
        <f>IFERROR(__xludf.DUMMYFUNCTION("""COMPUTED_VALUE"""),"VerifyNotification")</f>
        <v>VerifyNotification</v>
      </c>
      <c r="C787" t="str">
        <f>IFERROR(__xludf.DUMMYFUNCTION("""COMPUTED_VALUE"""),"1rm7dGZ4-j6MPtyiMlJDHnZgIjnFk8Hv19VRPaPCgUMY")</f>
        <v>1rm7dGZ4-j6MPtyiMlJDHnZgIjnFk8Hv19VRPaPCgUMY</v>
      </c>
    </row>
    <row r="788" ht="15.75" customHeight="1">
      <c r="A788" t="str">
        <f>IFERROR(__xludf.DUMMYFUNCTION("""COMPUTED_VALUE"""),"Blotter")</f>
        <v>Blotter</v>
      </c>
      <c r="B788" t="str">
        <f>IFERROR(__xludf.DUMMYFUNCTION("""COMPUTED_VALUE"""),"RollOverContextMenu")</f>
        <v>RollOverContextMenu</v>
      </c>
      <c r="C788" t="str">
        <f>IFERROR(__xludf.DUMMYFUNCTION("""COMPUTED_VALUE"""),"1d45ieJRLC6DQ7t19pclAZz5EI6hBsZ5_VdNJYb3VsNc")</f>
        <v>1d45ieJRLC6DQ7t19pclAZz5EI6hBsZ5_VdNJYb3VsNc</v>
      </c>
    </row>
    <row r="789" ht="15.75" customHeight="1">
      <c r="A789" t="str">
        <f>IFERROR(__xludf.DUMMYFUNCTION("""COMPUTED_VALUE"""),"PTT")</f>
        <v>PTT</v>
      </c>
      <c r="B789" t="str">
        <f>IFERROR(__xludf.DUMMYFUNCTION("""COMPUTED_VALUE"""),"RefreshCalculation")</f>
        <v>RefreshCalculation</v>
      </c>
    </row>
    <row r="790" ht="15.75" customHeight="1">
      <c r="A790" t="str">
        <f>IFERROR(__xludf.DUMMYFUNCTION("""COMPUTED_VALUE"""),"Blotter")</f>
        <v>Blotter</v>
      </c>
      <c r="B790" t="str">
        <f>IFERROR(__xludf.DUMMYFUNCTION("""COMPUTED_VALUE"""),"BookAsSwap")</f>
        <v>BookAsSwap</v>
      </c>
      <c r="C790" t="str">
        <f>IFERROR(__xludf.DUMMYFUNCTION("""COMPUTED_VALUE"""),"1tnkP5eD3WH53SXu2O-MWk6774J7b5ihwlD7r9dGtpiY")</f>
        <v>1tnkP5eD3WH53SXu2O-MWk6774J7b5ihwlD7r9dGtpiY</v>
      </c>
    </row>
    <row r="791" ht="15.75" customHeight="1">
      <c r="A791" t="str">
        <f>IFERROR(__xludf.DUMMYFUNCTION("""COMPUTED_VALUE"""),"Blotter")</f>
        <v>Blotter</v>
      </c>
      <c r="B791" t="str">
        <f>IFERROR(__xludf.DUMMYFUNCTION("""COMPUTED_VALUE"""),"ActionOnFloatingWindow")</f>
        <v>ActionOnFloatingWindow</v>
      </c>
      <c r="C791" t="str">
        <f>IFERROR(__xludf.DUMMYFUNCTION("""COMPUTED_VALUE"""),"1tFNUPT3PXgCKRnnehGwo6OF7EhLu13UJ8Elfq83HArE")</f>
        <v>1tFNUPT3PXgCKRnnehGwo6OF7EhLu13UJ8Elfq83HArE</v>
      </c>
    </row>
    <row r="792" ht="15.75" customHeight="1">
      <c r="A792" t="str">
        <f>IFERROR(__xludf.DUMMYFUNCTION("""COMPUTED_VALUE"""),"OpenFin")</f>
        <v>OpenFin</v>
      </c>
      <c r="B792" t="str">
        <f>IFERROR(__xludf.DUMMYFUNCTION("""COMPUTED_VALUE"""),"LockUnlockModule")</f>
        <v>LockUnlockModule</v>
      </c>
      <c r="C792" t="str">
        <f>IFERROR(__xludf.DUMMYFUNCTION("""COMPUTED_VALUE"""),"179D0kPRO8f_KLxd7hs6seM9XGxpL-u1rhIhNgFVePsQ")</f>
        <v>179D0kPRO8f_KLxd7hs6seM9XGxpL-u1rhIhNgFVePsQ</v>
      </c>
    </row>
    <row r="793" ht="15.75" customHeight="1">
      <c r="A793" t="str">
        <f>IFERROR(__xludf.DUMMYFUNCTION("""COMPUTED_VALUE"""),"OpenFin")</f>
        <v>OpenFin</v>
      </c>
      <c r="B793" t="str">
        <f>IFERROR(__xludf.DUMMYFUNCTION("""COMPUTED_VALUE"""),"OpenModule")</f>
        <v>OpenModule</v>
      </c>
      <c r="C793" t="str">
        <f>IFERROR(__xludf.DUMMYFUNCTION("""COMPUTED_VALUE"""),"1IdmD7l42pWNjFNVt_7UwbOO7y5tDxaXr7tE60c9ETLw")</f>
        <v>1IdmD7l42pWNjFNVt_7UwbOO7y5tDxaXr7tE60c9ETLw</v>
      </c>
    </row>
    <row r="794" ht="15.75" customHeight="1">
      <c r="A794" t="str">
        <f>IFERROR(__xludf.DUMMYFUNCTION("""COMPUTED_VALUE"""),"TradingTicket")</f>
        <v>TradingTicket</v>
      </c>
      <c r="B794" t="str">
        <f>IFERROR(__xludf.DUMMYFUNCTION("""COMPUTED_VALUE"""),"SymbolSuggestionVerify")</f>
        <v>SymbolSuggestionVerify</v>
      </c>
      <c r="C794" t="str">
        <f>IFERROR(__xludf.DUMMYFUNCTION("""COMPUTED_VALUE"""),"14aTeLjmUbS-nhaQwjtZAMGxdQ5DS6UsBjE5OTWN-LQU")</f>
        <v>14aTeLjmUbS-nhaQwjtZAMGxdQ5DS6UsBjE5OTWN-LQU</v>
      </c>
    </row>
    <row r="795" ht="15.75" customHeight="1">
      <c r="A795" t="str">
        <f>IFERROR(__xludf.DUMMYFUNCTION("""COMPUTED_VALUE"""),"Blotter")</f>
        <v>Blotter</v>
      </c>
      <c r="B795" t="str">
        <f>IFERROR(__xludf.DUMMYFUNCTION("""COMPUTED_VALUE"""),"CreateHotButtonOnBlotter")</f>
        <v>CreateHotButtonOnBlotter</v>
      </c>
      <c r="C795" t="str">
        <f>IFERROR(__xludf.DUMMYFUNCTION("""COMPUTED_VALUE"""),"1Yu7Fb6AjhUP8b-KuRJvgAwq8TykNK6BDh9F0Xpf12Ek")</f>
        <v>1Yu7Fb6AjhUP8b-KuRJvgAwq8TykNK6BDh9F0Xpf12Ek</v>
      </c>
    </row>
    <row r="796" ht="15.75" customHeight="1">
      <c r="A796" t="str">
        <f>IFERROR(__xludf.DUMMYFUNCTION("""COMPUTED_VALUE"""),"Blotter")</f>
        <v>Blotter</v>
      </c>
      <c r="B796" t="str">
        <f>IFERROR(__xludf.DUMMYFUNCTION("""COMPUTED_VALUE"""),"FillHBdetailsOnBlotter")</f>
        <v>FillHBdetailsOnBlotter</v>
      </c>
      <c r="C796" t="str">
        <f>IFERROR(__xludf.DUMMYFUNCTION("""COMPUTED_VALUE"""),"13Isj5c5k8kObxI-GBT6Ir9VBOz_46lzhwVxXXVP8jQU")</f>
        <v>13Isj5c5k8kObxI-GBT6Ir9VBOz_46lzhwVxXXVP8jQU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ataValidations>
    <dataValidation type="list" allowBlank="1" sqref="B3">
      <formula1>"OpenTTFromPST,EnterDetailsOnTT,ValidateSymbolTT,VerifyDataTT,SetUIPreferencesTT,SetBrokerWisePreferencesTT,VerifyComplianceOrder,TradeNewSub,CreateStageOrder,CreateReplaceOrder,SetGeneralPreference,CreateNewSubOrder,TradeBloomberg,ClickSymbolLookup,Verify"&amp;"TT,CreateLiveOrder,UpdateMasterFundOnTT,SetTTCompliancePreference,ImportSymbol,ExportSymbolFromRAList,CheckPendingNewOrderAlert,AddSymbolOnRAList,DeleteSymbolListFromRA,RemoveSymbolFromRAList,ToggleBlombergOnRA,CreateDoneAwayOrder,CreateComplianceOrder,Ad"&amp;"dOptionTrade,SendLiveBloomberg,ViewAllocation,CreateReplaceLiveOrder,CreateNewSubLiveOrder,VerifyBasketExport,VerifyCustomAllocationonTT,CustomOrderTT,CheckStepSheet,OptionTradingThroughSecurity,CreateTradeWithAlgoBroker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>
        <v>100.0</v>
      </c>
      <c r="E6" s="30"/>
      <c r="F6" s="8"/>
      <c r="G6" s="12" t="s">
        <v>18</v>
      </c>
      <c r="H6" s="8"/>
      <c r="I6" s="8"/>
      <c r="J6" s="12">
        <v>2.0</v>
      </c>
      <c r="K6" s="8"/>
      <c r="L6" s="8"/>
      <c r="M6" s="8"/>
      <c r="N6" s="31">
        <f t="shared" ref="N6:N12" si="1">today()</f>
        <v>45862</v>
      </c>
      <c r="O6" s="8"/>
      <c r="AQ6" s="9" t="s">
        <v>19</v>
      </c>
    </row>
    <row r="7" ht="15.75" customHeight="1">
      <c r="A7" s="8"/>
      <c r="B7" s="12" t="s">
        <v>20</v>
      </c>
      <c r="C7" s="12" t="s">
        <v>17</v>
      </c>
      <c r="D7" s="12">
        <v>100.0</v>
      </c>
      <c r="E7" s="8"/>
      <c r="F7" s="8"/>
      <c r="G7" s="12" t="s">
        <v>18</v>
      </c>
      <c r="H7" s="8"/>
      <c r="I7" s="8"/>
      <c r="J7" s="12">
        <v>2.0</v>
      </c>
      <c r="K7" s="8"/>
      <c r="L7" s="8"/>
      <c r="M7" s="8"/>
      <c r="N7" s="31">
        <f t="shared" si="1"/>
        <v>45862</v>
      </c>
      <c r="O7" s="8"/>
      <c r="AQ7" s="9" t="s">
        <v>19</v>
      </c>
    </row>
    <row r="8" ht="15.75" customHeight="1">
      <c r="A8" s="8"/>
      <c r="B8" s="12" t="s">
        <v>21</v>
      </c>
      <c r="C8" s="12" t="s">
        <v>22</v>
      </c>
      <c r="D8" s="12">
        <v>100.0</v>
      </c>
      <c r="E8" s="8"/>
      <c r="F8" s="8"/>
      <c r="G8" s="12" t="s">
        <v>18</v>
      </c>
      <c r="H8" s="8"/>
      <c r="I8" s="8"/>
      <c r="J8" s="12">
        <v>2.0</v>
      </c>
      <c r="K8" s="8"/>
      <c r="L8" s="8"/>
      <c r="M8" s="8"/>
      <c r="N8" s="31">
        <f t="shared" si="1"/>
        <v>45862</v>
      </c>
      <c r="O8" s="8"/>
      <c r="AQ8" s="9" t="s">
        <v>19</v>
      </c>
    </row>
    <row r="9" ht="15.75" customHeight="1">
      <c r="A9" s="8"/>
      <c r="B9" s="12" t="s">
        <v>23</v>
      </c>
      <c r="C9" s="12" t="s">
        <v>22</v>
      </c>
      <c r="D9" s="12">
        <v>100.0</v>
      </c>
      <c r="E9" s="8"/>
      <c r="F9" s="8"/>
      <c r="G9" s="12" t="s">
        <v>18</v>
      </c>
      <c r="H9" s="8"/>
      <c r="I9" s="8"/>
      <c r="J9" s="12">
        <v>2.0</v>
      </c>
      <c r="K9" s="8"/>
      <c r="L9" s="8"/>
      <c r="M9" s="8"/>
      <c r="N9" s="31">
        <f t="shared" si="1"/>
        <v>45862</v>
      </c>
      <c r="O9" s="8"/>
      <c r="AQ9" s="9" t="s">
        <v>19</v>
      </c>
    </row>
    <row r="10" ht="15.75" customHeight="1">
      <c r="A10" s="8"/>
      <c r="B10" s="12">
        <v>1.23456789E8</v>
      </c>
      <c r="C10" s="12" t="s">
        <v>17</v>
      </c>
      <c r="D10" s="12">
        <v>100.0</v>
      </c>
      <c r="E10" s="8"/>
      <c r="F10" s="8"/>
      <c r="G10" s="12" t="s">
        <v>18</v>
      </c>
      <c r="H10" s="8"/>
      <c r="I10" s="8"/>
      <c r="J10" s="12">
        <v>2.0</v>
      </c>
      <c r="K10" s="8"/>
      <c r="L10" s="8"/>
      <c r="M10" s="8"/>
      <c r="N10" s="31">
        <f t="shared" si="1"/>
        <v>45862</v>
      </c>
      <c r="O10" s="8"/>
      <c r="AQ10" s="9" t="s">
        <v>19</v>
      </c>
    </row>
    <row r="11" ht="15.75" customHeight="1">
      <c r="A11" s="8"/>
      <c r="B11" s="12" t="s">
        <v>24</v>
      </c>
      <c r="C11" s="12" t="s">
        <v>17</v>
      </c>
      <c r="D11" s="12">
        <v>100.0</v>
      </c>
      <c r="E11" s="8"/>
      <c r="F11" s="8"/>
      <c r="G11" s="12" t="s">
        <v>18</v>
      </c>
      <c r="H11" s="8"/>
      <c r="I11" s="8"/>
      <c r="J11" s="12">
        <v>2.0</v>
      </c>
      <c r="K11" s="8"/>
      <c r="L11" s="8"/>
      <c r="M11" s="8"/>
      <c r="N11" s="31">
        <f t="shared" si="1"/>
        <v>45862</v>
      </c>
      <c r="O11" s="8"/>
      <c r="AQ11" s="9" t="s">
        <v>19</v>
      </c>
    </row>
    <row r="12" ht="15.75" customHeight="1">
      <c r="A12" s="8"/>
      <c r="B12" s="12" t="s">
        <v>25</v>
      </c>
      <c r="C12" s="12" t="s">
        <v>22</v>
      </c>
      <c r="D12" s="12">
        <v>100.0</v>
      </c>
      <c r="E12" s="8"/>
      <c r="F12" s="8"/>
      <c r="G12" s="12" t="s">
        <v>18</v>
      </c>
      <c r="H12" s="8"/>
      <c r="I12" s="8"/>
      <c r="J12" s="12">
        <v>2.0</v>
      </c>
      <c r="K12" s="8"/>
      <c r="L12" s="8"/>
      <c r="M12" s="8"/>
      <c r="N12" s="31">
        <f t="shared" si="1"/>
        <v>45862</v>
      </c>
      <c r="O12" s="8"/>
      <c r="AQ12" s="9" t="s">
        <v>19</v>
      </c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>
      <c r="C100" s="12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 t="str">
        <f>IFERROR(__xludf.DUMMYFUNCTION("""COMPUTED_VALUE"""),"UpdatePricingInput")</f>
        <v>UpdatePricingInput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2.0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20</v>
      </c>
      <c r="C7" s="12">
        <v>2.0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2" t="s">
        <v>21</v>
      </c>
      <c r="C8" s="12">
        <v>2.0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2" t="s">
        <v>23</v>
      </c>
      <c r="C9" s="12">
        <v>2.0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12">
        <v>1.23456789E8</v>
      </c>
      <c r="C10" s="12">
        <v>2.0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12" t="s">
        <v>24</v>
      </c>
      <c r="C11" s="12">
        <v>2.0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12" t="s">
        <v>25</v>
      </c>
      <c r="C12" s="12">
        <v>2.0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IFERROR(__xludf.DUMMYFUNCTION("""COMPUTED_VALUE"""),"UpdateMPAndFC")</f>
        <v>UpdateMPAndFC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2">
        <f>today()-1</f>
        <v>45861</v>
      </c>
      <c r="C6" s="31">
        <f>today()</f>
        <v>45862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IFERROR(__xludf.DUMMYFUNCTION("""COMPUTED_VALUE"""),"UpdateMPAndFC")</f>
        <v>UpdateMPAndFC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30</v>
      </c>
      <c r="C6" s="12" t="s">
        <v>31</v>
      </c>
      <c r="D6" s="12">
        <v>100000.0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IFERROR(__xludf.DUMMYFUNCTION("""COMPUTED_VALUE"""),"CreatePMTab")</f>
        <v>CreatePMTab</v>
      </c>
      <c r="AP4" s="25" t="str">
        <f>IFERROR(__xludf.DUMMYFUNCTION("""COMPUTED_VALUE"""),"CreatePMTab")</f>
        <v>CreatePMTab</v>
      </c>
      <c r="AQ4" s="25" t="str">
        <f>IFERROR(__xludf.DUMMYFUNCTION("""COMPUTED_VALUE"""),"ResizeEnsure")</f>
        <v>ResizeEnsure</v>
      </c>
      <c r="AR4" s="25" t="str">
        <f>IFERROR(__xludf.DUMMYFUNCTION("""COMPUTED_VALUE"""),"RenameTabs")</f>
        <v>RenameTabs</v>
      </c>
      <c r="AS4" s="25" t="str">
        <f>IFERROR(__xludf.DUMMYFUNCTION("""COMPUTED_VALUE"""),"AddTabRTPNL")</f>
        <v>AddTabRTPNL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3" t="s">
        <v>34</v>
      </c>
      <c r="C6" s="34" t="s">
        <v>35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OpenRTPNL!$4:$4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IFERROR(__xludf.DUMMYFUNCTION("""COMPUTED_VALUE"""),"CreatePMTab")</f>
        <v>CreatePMTab</v>
      </c>
      <c r="AP4" s="25" t="str">
        <f>IFERROR(__xludf.DUMMYFUNCTION("""COMPUTED_VALUE"""),"CreatePMTab")</f>
        <v>CreatePMTab</v>
      </c>
      <c r="AQ4" s="25" t="str">
        <f>IFERROR(__xludf.DUMMYFUNCTION("""COMPUTED_VALUE"""),"ResizeEnsure")</f>
        <v>ResizeEnsure</v>
      </c>
      <c r="AR4" s="25" t="str">
        <f>IFERROR(__xludf.DUMMYFUNCTION("""COMPUTED_VALUE"""),"RenameTabs")</f>
        <v>RenameTabs</v>
      </c>
      <c r="AS4" s="25" t="str">
        <f>IFERROR(__xludf.DUMMYFUNCTION("""COMPUTED_VALUE"""),"AddTabRTPNL")</f>
        <v>AddTabRTPNL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IFERROR(__xludf.DUMMYFUNCTION("""COMPUTED_VALUE"""),"Fund")</f>
        <v>Fund</v>
      </c>
      <c r="C5" s="27" t="str">
        <f>IFERROR(__xludf.DUMMYFUNCTION("""COMPUTED_VALUE"""),"Market Value")</f>
        <v>Market Value</v>
      </c>
      <c r="D5" s="27" t="str">
        <f>IFERROR(__xludf.DUMMYFUNCTION("""COMPUTED_VALUE"""),"P&amp;L")</f>
        <v>P&amp;L</v>
      </c>
      <c r="E5" s="27" t="str">
        <f>IFERROR(__xludf.DUMMYFUNCTION("""COMPUTED_VALUE"""),"Day P&amp;L")</f>
        <v>Day P&amp;L</v>
      </c>
      <c r="F5" s="28" t="str">
        <f>IFERROR(__xludf.DUMMYFUNCTION("""COMPUTED_VALUE"""),"Exposure")</f>
        <v>Exposure</v>
      </c>
      <c r="G5" s="27" t="str">
        <f>IFERROR(__xludf.DUMMYFUNCTION("""COMPUTED_VALUE"""),"% Gain/Loss Day")</f>
        <v>% Gain/Loss Day</v>
      </c>
      <c r="H5" s="27" t="str">
        <f>IFERROR(__xludf.DUMMYFUNCTION("""COMPUTED_VALUE"""),"% Gain/Loss Cost")</f>
        <v>% Gain/Loss Cost</v>
      </c>
      <c r="I5" s="27" t="str">
        <f>IFERROR(__xludf.DUMMYFUNCTION("""COMPUTED_VALUE"""),"% Market Value")</f>
        <v>% Market Value</v>
      </c>
      <c r="J5" s="27" t="str">
        <f>IFERROR(__xludf.DUMMYFUNCTION("""COMPUTED_VALUE"""),"% Exposure")</f>
        <v>% Exposure</v>
      </c>
      <c r="K5" s="27" t="str">
        <f>IFERROR(__xludf.DUMMYFUNCTION("""COMPUTED_VALUE"""),"Short Exposure")</f>
        <v>Short Exposure</v>
      </c>
      <c r="L5" s="27" t="str">
        <f>IFERROR(__xludf.DUMMYFUNCTION("""COMPUTED_VALUE"""),"% Short Exposure")</f>
        <v>% Short Exposure</v>
      </c>
      <c r="M5" s="27" t="str">
        <f>IFERROR(__xludf.DUMMYFUNCTION("""COMPUTED_VALUE"""),"Long Exposure")</f>
        <v>Long Exposure</v>
      </c>
      <c r="N5" s="27" t="str">
        <f>IFERROR(__xludf.DUMMYFUNCTION("""COMPUTED_VALUE"""),"% Long Exposure")</f>
        <v>% Long Exposure</v>
      </c>
      <c r="O5" s="27" t="str">
        <f>IFERROR(__xludf.DUMMYFUNCTION("""COMPUTED_VALUE"""),"Accruals")</f>
        <v>Accruals</v>
      </c>
      <c r="P5" s="27" t="str">
        <f>IFERROR(__xludf.DUMMYFUNCTION("""COMPUTED_VALUE"""),"Cash")</f>
        <v>Cash</v>
      </c>
      <c r="Q5" s="27" t="str">
        <f>IFERROR(__xludf.DUMMYFUNCTION("""COMPUTED_VALUE"""),"NAV")</f>
        <v>NAV</v>
      </c>
      <c r="R5" s="27" t="str">
        <f>IFERROR(__xludf.DUMMYFUNCTION("""COMPUTED_VALUE"""),"Testing Type")</f>
        <v>Testing Type</v>
      </c>
      <c r="S5" s="27" t="str">
        <f>IFERROR(__xludf.DUMMYFUNCTION("""COMPUTED_VALUE"""),"Testing Column")</f>
        <v>Testing Column</v>
      </c>
      <c r="T5" s="29" t="str">
        <f>IFERROR(__xludf.DUMMYFUNCTION("""COMPUTED_VALUE"""),"Testing Col Value")</f>
        <v>Testing Col Value</v>
      </c>
      <c r="U5" s="29" t="str">
        <f>IFERROR(__xludf.DUMMYFUNCTION("""COMPUTED_VALUE"""),"DuplicateCountOnUI")</f>
        <v>DuplicateCountOnUI</v>
      </c>
      <c r="V5" s="29" t="str">
        <f>IFERROR(__xludf.DUMMYFUNCTION("""COMPUTED_VALUE"""),"DuplicateRow")</f>
        <v>DuplicateRow</v>
      </c>
      <c r="W5" s="29" t="str">
        <f>IFERROR(__xludf.DUMMYFUNCTION("""COMPUTED_VALUE"""),"TabName")</f>
        <v>TabName</v>
      </c>
      <c r="X5" s="29" t="str">
        <f>IFERROR(__xludf.DUMMYFUNCTION("""COMPUTED_VALUE"""),"GridDataWidgetName")</f>
        <v>GridDataWidgetName</v>
      </c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35" t="s">
        <v>37</v>
      </c>
      <c r="C6" s="36">
        <v>20602.0</v>
      </c>
      <c r="D6" s="36">
        <v>0.0</v>
      </c>
      <c r="E6" s="36">
        <v>0.0</v>
      </c>
      <c r="F6" s="36">
        <v>30602.0</v>
      </c>
      <c r="G6" s="36">
        <v>0.0</v>
      </c>
      <c r="H6" s="36">
        <v>0.0</v>
      </c>
      <c r="I6" s="37">
        <v>20.6</v>
      </c>
      <c r="J6" s="37">
        <v>30.6</v>
      </c>
      <c r="K6" s="36">
        <v>0.0</v>
      </c>
      <c r="L6" s="36">
        <v>0.0</v>
      </c>
      <c r="M6" s="36">
        <v>30602.0</v>
      </c>
      <c r="N6" s="37">
        <v>30.6</v>
      </c>
      <c r="O6" s="36">
        <v>0.0</v>
      </c>
      <c r="P6" s="36">
        <v>79398.0</v>
      </c>
      <c r="Q6" s="36">
        <v>100000.0</v>
      </c>
    </row>
    <row r="7" ht="15.75" customHeight="1">
      <c r="A7" s="8"/>
      <c r="B7" s="35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</row>
    <row r="8" ht="15.75" customHeight="1">
      <c r="A8" s="8"/>
      <c r="B8" s="35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</row>
    <row r="9" ht="15.75" customHeight="1">
      <c r="A9" s="8"/>
      <c r="B9" s="35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</row>
    <row r="10" ht="15.75" customHeight="1">
      <c r="A10" s="8"/>
      <c r="B10" s="35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</row>
    <row r="11" ht="15.75" customHeight="1">
      <c r="A11" s="8"/>
      <c r="B11" s="35"/>
      <c r="C11" s="38"/>
      <c r="D11" s="36"/>
      <c r="E11" s="36"/>
      <c r="F11" s="38"/>
      <c r="G11" s="39"/>
      <c r="H11" s="36"/>
      <c r="I11" s="36"/>
      <c r="J11" s="39"/>
      <c r="K11" s="36"/>
      <c r="L11" s="36"/>
      <c r="M11" s="38"/>
      <c r="N11" s="36"/>
      <c r="O11" s="36"/>
      <c r="P11" s="38"/>
      <c r="Q11" s="36"/>
    </row>
    <row r="12" ht="15.75" customHeight="1">
      <c r="A12" s="8"/>
      <c r="B12" s="40"/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</row>
    <row r="13" ht="15.75" customHeight="1">
      <c r="A13" s="8"/>
      <c r="B13" s="40"/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CheckFundLevelAggregation!$4:$4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0" width="15.25"/>
    <col customWidth="1" min="11" max="11" width="25.75"/>
    <col customWidth="1" min="12" max="16" width="12.63"/>
    <col customWidth="1" min="17" max="17" width="23.5"/>
    <col customWidth="1" min="18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IFERROR(__xludf.DUMMYFUNCTION("""COMPUTED_VALUE"""),"CreatePMTab")</f>
        <v>CreatePMTab</v>
      </c>
      <c r="AP4" s="25" t="str">
        <f>IFERROR(__xludf.DUMMYFUNCTION("""COMPUTED_VALUE"""),"CreatePMTab")</f>
        <v>CreatePMTab</v>
      </c>
      <c r="AQ4" s="25" t="str">
        <f>IFERROR(__xludf.DUMMYFUNCTION("""COMPUTED_VALUE"""),"ResizeEnsure")</f>
        <v>ResizeEnsure</v>
      </c>
      <c r="AR4" s="25" t="str">
        <f>IFERROR(__xludf.DUMMYFUNCTION("""COMPUTED_VALUE"""),"RenameTabs")</f>
        <v>RenameTabs</v>
      </c>
      <c r="AS4" s="25" t="str">
        <f>IFERROR(__xludf.DUMMYFUNCTION("""COMPUTED_VALUE"""),"AddTabRTPNL")</f>
        <v>AddTabRTPNL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IFERROR(__xludf.DUMMYFUNCTION("""COMPUTED_VALUE"""),"Security Name")</f>
        <v>Security Name</v>
      </c>
      <c r="D5" s="27" t="str">
        <f>IFERROR(__xludf.DUMMYFUNCTION("""COMPUTED_VALUE"""),"Fund")</f>
        <v>Fund</v>
      </c>
      <c r="E5" s="27" t="str">
        <f>IFERROR(__xludf.DUMMYFUNCTION("""COMPUTED_VALUE"""),"Asset Class")</f>
        <v>Asset Class</v>
      </c>
      <c r="F5" s="28" t="str">
        <f>IFERROR(__xludf.DUMMYFUNCTION("""COMPUTED_VALUE"""),"Position")</f>
        <v>Position</v>
      </c>
      <c r="G5" s="27" t="str">
        <f>IFERROR(__xludf.DUMMYFUNCTION("""COMPUTED_VALUE"""),"Position Side")</f>
        <v>Position Side</v>
      </c>
      <c r="H5" s="27" t="str">
        <f>IFERROR(__xludf.DUMMYFUNCTION("""COMPUTED_VALUE"""),"Px Selected Feed (Local)")</f>
        <v>Px Selected Feed (Local)</v>
      </c>
      <c r="I5" s="27" t="str">
        <f>IFERROR(__xludf.DUMMYFUNCTION("""COMPUTED_VALUE"""),"Px Selected Feed (Base)")</f>
        <v>Px Selected Feed (Base)</v>
      </c>
      <c r="J5" s="27" t="str">
        <f>IFERROR(__xludf.DUMMYFUNCTION("""COMPUTED_VALUE"""),"Market Value (Base)")</f>
        <v>Market Value (Base)</v>
      </c>
      <c r="K5" s="27" t="str">
        <f>IFERROR(__xludf.DUMMYFUNCTION("""COMPUTED_VALUE"""),"% Net Market Value (Base)")</f>
        <v>% Net Market Value (Base)</v>
      </c>
      <c r="L5" s="27" t="str">
        <f>IFERROR(__xludf.DUMMYFUNCTION("""COMPUTED_VALUE"""),"Cost Basis P&amp;L (Base)")</f>
        <v>Cost Basis P&amp;L (Base)</v>
      </c>
      <c r="M5" s="27" t="str">
        <f>IFERROR(__xludf.DUMMYFUNCTION("""COMPUTED_VALUE"""),"% Gain/Loss Cost")</f>
        <v>% Gain/Loss Cost</v>
      </c>
      <c r="N5" s="27" t="str">
        <f>IFERROR(__xludf.DUMMYFUNCTION("""COMPUTED_VALUE"""),"Day P&amp;L (Base)")</f>
        <v>Day P&amp;L (Base)</v>
      </c>
      <c r="O5" s="27" t="str">
        <f>IFERROR(__xludf.DUMMYFUNCTION("""COMPUTED_VALUE"""),"% Gain/Loss Day")</f>
        <v>% Gain/Loss Day</v>
      </c>
      <c r="P5" s="27" t="str">
        <f>IFERROR(__xludf.DUMMYFUNCTION("""COMPUTED_VALUE"""),"Exposure (Base)")</f>
        <v>Exposure (Base)</v>
      </c>
      <c r="Q5" s="27" t="str">
        <f>IFERROR(__xludf.DUMMYFUNCTION("""COMPUTED_VALUE"""),"% Exposure (Base)")</f>
        <v>% Exposure (Base)</v>
      </c>
      <c r="R5" s="27" t="str">
        <f>IFERROR(__xludf.DUMMYFUNCTION("""COMPUTED_VALUE"""),"Live Feed Provider Ticker")</f>
        <v>Live Feed Provider Ticker</v>
      </c>
      <c r="S5" s="27" t="str">
        <f>IFERROR(__xludf.DUMMYFUNCTION("""COMPUTED_VALUE"""),"Testing Type")</f>
        <v>Testing Type</v>
      </c>
      <c r="T5" s="29" t="str">
        <f>IFERROR(__xludf.DUMMYFUNCTION("""COMPUTED_VALUE"""),"Testing Column")</f>
        <v>Testing Column</v>
      </c>
      <c r="U5" s="29" t="str">
        <f>IFERROR(__xludf.DUMMYFUNCTION("""COMPUTED_VALUE"""),"Testing Col Value")</f>
        <v>Testing Col Value</v>
      </c>
      <c r="V5" s="29" t="str">
        <f>IFERROR(__xludf.DUMMYFUNCTION("""COMPUTED_VALUE"""),"DuplicateCountOnUI")</f>
        <v>DuplicateCountOnUI</v>
      </c>
      <c r="W5" s="29" t="str">
        <f>IFERROR(__xludf.DUMMYFUNCTION("""COMPUTED_VALUE"""),"DuplicateRow")</f>
        <v>DuplicateRow</v>
      </c>
      <c r="X5" s="29" t="str">
        <f>IFERROR(__xludf.DUMMYFUNCTION("""COMPUTED_VALUE"""),"TabName")</f>
        <v>TabName</v>
      </c>
      <c r="Y5" s="29" t="str">
        <f>IFERROR(__xludf.DUMMYFUNCTION("""COMPUTED_VALUE"""),"GridDataWidgetName")</f>
        <v>GridDataWidgetName</v>
      </c>
      <c r="Z5" s="29" t="str">
        <f>IFERROR(__xludf.DUMMYFUNCTION("""COMPUTED_VALUE"""),"Bloomberg Symbol")</f>
        <v>Bloomberg Symbol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36">
        <v>1.23456789E8</v>
      </c>
      <c r="C6" s="36">
        <v>1.23456789E8</v>
      </c>
      <c r="D6" s="35" t="s">
        <v>37</v>
      </c>
      <c r="E6" s="35" t="s">
        <v>39</v>
      </c>
      <c r="F6" s="36">
        <v>100.0</v>
      </c>
      <c r="G6" s="35" t="s">
        <v>40</v>
      </c>
      <c r="H6" s="36">
        <v>2.0</v>
      </c>
      <c r="I6" s="36">
        <v>2.0</v>
      </c>
      <c r="J6" s="41">
        <v>2.0</v>
      </c>
      <c r="K6" s="42">
        <v>0.0</v>
      </c>
      <c r="L6" s="36">
        <v>0.0</v>
      </c>
      <c r="M6" s="36">
        <v>0.0</v>
      </c>
      <c r="N6" s="41">
        <v>0.0</v>
      </c>
      <c r="O6" s="36">
        <v>0.0</v>
      </c>
      <c r="P6" s="41">
        <v>2.0</v>
      </c>
      <c r="Q6" s="42">
        <v>0.0</v>
      </c>
    </row>
    <row r="7" ht="15.75" customHeight="1">
      <c r="A7" s="8"/>
      <c r="B7" s="35" t="s">
        <v>16</v>
      </c>
      <c r="C7" s="35" t="s">
        <v>41</v>
      </c>
      <c r="D7" s="35" t="s">
        <v>37</v>
      </c>
      <c r="E7" s="35" t="s">
        <v>42</v>
      </c>
      <c r="F7" s="36">
        <v>100.0</v>
      </c>
      <c r="G7" s="35" t="s">
        <v>40</v>
      </c>
      <c r="H7" s="36">
        <v>2.0</v>
      </c>
      <c r="I7" s="36">
        <v>2.0</v>
      </c>
      <c r="J7" s="41">
        <v>200.0</v>
      </c>
      <c r="K7" s="42">
        <v>0.2</v>
      </c>
      <c r="L7" s="38">
        <v>0.0</v>
      </c>
      <c r="M7" s="36">
        <v>0.0</v>
      </c>
      <c r="N7" s="41">
        <v>0.0</v>
      </c>
      <c r="O7" s="36">
        <v>0.0</v>
      </c>
      <c r="P7" s="42">
        <v>200.0</v>
      </c>
      <c r="Q7" s="42">
        <v>0.2</v>
      </c>
    </row>
    <row r="8" ht="15.75" customHeight="1">
      <c r="A8" s="8"/>
      <c r="B8" s="35" t="s">
        <v>25</v>
      </c>
      <c r="C8" s="35" t="s">
        <v>43</v>
      </c>
      <c r="D8" s="35" t="s">
        <v>37</v>
      </c>
      <c r="E8" s="35" t="s">
        <v>44</v>
      </c>
      <c r="F8" s="36">
        <v>100.0</v>
      </c>
      <c r="G8" s="35" t="s">
        <v>40</v>
      </c>
      <c r="H8" s="36">
        <v>2.0</v>
      </c>
      <c r="I8" s="36">
        <v>2.0</v>
      </c>
      <c r="J8" s="42">
        <v>0.0</v>
      </c>
      <c r="K8" s="42">
        <v>0.0</v>
      </c>
      <c r="L8" s="36">
        <v>0.0</v>
      </c>
      <c r="M8" s="36">
        <v>0.0</v>
      </c>
      <c r="N8" s="42">
        <v>0.0</v>
      </c>
      <c r="O8" s="36">
        <v>0.0</v>
      </c>
      <c r="P8" s="42">
        <v>0.0</v>
      </c>
      <c r="Q8" s="42">
        <v>0.0</v>
      </c>
    </row>
    <row r="9" ht="15.75" customHeight="1">
      <c r="B9" s="35" t="s">
        <v>24</v>
      </c>
      <c r="C9" s="35" t="s">
        <v>45</v>
      </c>
      <c r="D9" s="35" t="s">
        <v>37</v>
      </c>
      <c r="E9" s="35" t="s">
        <v>46</v>
      </c>
      <c r="F9" s="36">
        <v>100.0</v>
      </c>
      <c r="G9" s="35" t="s">
        <v>40</v>
      </c>
      <c r="H9" s="36">
        <v>2.0</v>
      </c>
      <c r="I9" s="36">
        <v>2.0</v>
      </c>
      <c r="J9" s="41">
        <v>0.0</v>
      </c>
      <c r="K9" s="42">
        <v>0.0</v>
      </c>
      <c r="L9" s="38">
        <v>0.0</v>
      </c>
      <c r="M9" s="36">
        <v>0.0</v>
      </c>
      <c r="N9" s="41">
        <v>0.0</v>
      </c>
      <c r="O9" s="36">
        <v>0.0</v>
      </c>
      <c r="P9" s="41">
        <v>10000.0</v>
      </c>
      <c r="Q9" s="42">
        <v>10.0</v>
      </c>
    </row>
    <row r="10" ht="15.75" customHeight="1">
      <c r="B10" s="35" t="s">
        <v>20</v>
      </c>
      <c r="C10" s="35" t="s">
        <v>20</v>
      </c>
      <c r="D10" s="35" t="s">
        <v>37</v>
      </c>
      <c r="E10" s="35" t="s">
        <v>42</v>
      </c>
      <c r="F10" s="36">
        <v>100.0</v>
      </c>
      <c r="G10" s="35" t="s">
        <v>40</v>
      </c>
      <c r="H10" s="36">
        <v>2.0</v>
      </c>
      <c r="I10" s="36">
        <v>2.0</v>
      </c>
      <c r="J10" s="41">
        <v>200.0</v>
      </c>
      <c r="K10" s="42">
        <v>0.2</v>
      </c>
      <c r="L10" s="36">
        <v>0.0</v>
      </c>
      <c r="M10" s="36">
        <v>0.0</v>
      </c>
      <c r="N10" s="42">
        <v>0.0</v>
      </c>
      <c r="O10" s="36">
        <v>0.0</v>
      </c>
      <c r="P10" s="41">
        <v>200.0</v>
      </c>
      <c r="Q10" s="42">
        <v>0.2</v>
      </c>
    </row>
    <row r="11" ht="15.75" customHeight="1">
      <c r="B11" s="35" t="s">
        <v>21</v>
      </c>
      <c r="C11" s="35"/>
      <c r="D11" s="35" t="s">
        <v>37</v>
      </c>
      <c r="E11" s="35" t="s">
        <v>47</v>
      </c>
      <c r="F11" s="36">
        <v>100.0</v>
      </c>
      <c r="G11" s="35" t="s">
        <v>40</v>
      </c>
      <c r="H11" s="36">
        <v>2.0</v>
      </c>
      <c r="I11" s="36">
        <v>2.0</v>
      </c>
      <c r="J11" s="41">
        <v>20000.0</v>
      </c>
      <c r="K11" s="42">
        <v>20.0</v>
      </c>
      <c r="L11" s="36">
        <v>0.0</v>
      </c>
      <c r="M11" s="36">
        <v>0.0</v>
      </c>
      <c r="N11" s="42">
        <v>0.0</v>
      </c>
      <c r="O11" s="36">
        <v>0.0</v>
      </c>
      <c r="P11" s="41">
        <v>20000.0</v>
      </c>
      <c r="Q11" s="42">
        <v>20.0</v>
      </c>
    </row>
    <row r="12" ht="15.75" customHeight="1">
      <c r="B12" s="35" t="s">
        <v>48</v>
      </c>
      <c r="C12" s="35" t="s">
        <v>20</v>
      </c>
      <c r="D12" s="35" t="s">
        <v>37</v>
      </c>
      <c r="E12" s="35" t="s">
        <v>42</v>
      </c>
      <c r="F12" s="36">
        <v>100.0</v>
      </c>
      <c r="G12" s="35" t="s">
        <v>40</v>
      </c>
      <c r="H12" s="36">
        <v>2.0</v>
      </c>
      <c r="I12" s="36">
        <v>2.0</v>
      </c>
      <c r="J12" s="41">
        <v>200.0</v>
      </c>
      <c r="K12" s="42">
        <v>0.2</v>
      </c>
      <c r="L12" s="36">
        <v>0.0</v>
      </c>
      <c r="M12" s="36">
        <v>0.0</v>
      </c>
      <c r="N12" s="41">
        <v>0.0</v>
      </c>
      <c r="O12" s="36">
        <v>0.0</v>
      </c>
      <c r="P12" s="41">
        <v>200.0</v>
      </c>
      <c r="Q12" s="42">
        <v>0.2</v>
      </c>
    </row>
    <row r="13" ht="15.75" customHeight="1"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</row>
    <row r="14" ht="15.75" customHeight="1"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</row>
    <row r="15" ht="15.75" customHeight="1">
      <c r="B15" s="42"/>
      <c r="C15" s="42"/>
      <c r="D15" s="42"/>
      <c r="E15" s="42"/>
      <c r="F15" s="42"/>
      <c r="G15" s="42"/>
      <c r="H15" s="42"/>
      <c r="I15" s="42"/>
      <c r="J15" s="41"/>
      <c r="K15" s="42"/>
      <c r="L15" s="42"/>
      <c r="M15" s="42"/>
      <c r="N15" s="41"/>
      <c r="O15" s="42"/>
      <c r="P15" s="41"/>
      <c r="Q15" s="42"/>
    </row>
    <row r="16" ht="15.75" customHeight="1">
      <c r="B16" s="42"/>
      <c r="C16" s="42"/>
      <c r="D16" s="42"/>
      <c r="E16" s="42"/>
      <c r="F16" s="42"/>
      <c r="G16" s="42"/>
      <c r="H16" s="42"/>
      <c r="I16" s="42"/>
      <c r="J16" s="41"/>
      <c r="K16" s="42"/>
      <c r="L16" s="41"/>
      <c r="M16" s="42"/>
      <c r="N16" s="41"/>
      <c r="O16" s="42"/>
      <c r="P16" s="41"/>
      <c r="Q16" s="42"/>
    </row>
    <row r="17" ht="15.75" customHeight="1"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</row>
    <row r="18" ht="15.75" customHeight="1"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</row>
    <row r="19" ht="15.75" customHeight="1"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</row>
    <row r="20" ht="15.75" customHeight="1"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</row>
    <row r="21" ht="15.75" customHeight="1">
      <c r="B21" s="42"/>
      <c r="C21" s="42"/>
      <c r="D21" s="42"/>
      <c r="E21" s="42"/>
      <c r="F21" s="41"/>
      <c r="G21" s="42"/>
      <c r="H21" s="42"/>
      <c r="I21" s="42"/>
      <c r="J21" s="41"/>
      <c r="K21" s="42"/>
      <c r="L21" s="42"/>
      <c r="M21" s="42"/>
      <c r="N21" s="41"/>
      <c r="O21" s="42"/>
      <c r="P21" s="41"/>
      <c r="Q21" s="42"/>
    </row>
    <row r="22" ht="15.75" customHeight="1">
      <c r="B22" s="42"/>
      <c r="C22" s="42"/>
      <c r="D22" s="42"/>
      <c r="E22" s="42"/>
      <c r="F22" s="41"/>
      <c r="G22" s="42"/>
      <c r="H22" s="42"/>
      <c r="I22" s="42"/>
      <c r="J22" s="41"/>
      <c r="K22" s="42"/>
      <c r="L22" s="42"/>
      <c r="M22" s="42"/>
      <c r="N22" s="41"/>
      <c r="O22" s="42"/>
      <c r="P22" s="41"/>
      <c r="Q22" s="42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CheckRealTimeSymbolFundMonitor!$4:$4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