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reateDoneAwayOrder" sheetId="4" r:id="rId7"/>
    <sheet state="visible" name="SetGeneralPreferences" sheetId="5" r:id="rId8"/>
    <sheet state="visible" name="RunProrata" sheetId="6" r:id="rId9"/>
    <sheet state="visible" name="SelectUnallocatedGroup" sheetId="7" r:id="rId10"/>
    <sheet state="visible" name="EnterAllocatePreference" sheetId="8" r:id="rId11"/>
    <sheet state="visible" name="CheckAllocatedGroups" sheetId="9" r:id="rId12"/>
  </sheets>
  <definedNames/>
  <calcPr/>
  <extLst>
    <ext uri="GoogleSheetsCustomDataVersion2">
      <go:sheetsCustomData xmlns:go="http://customooxmlschemas.google.com/" r:id="rId13" roundtripDataChecksum="MnMv+7dNMetcdnkNwNQs8GGowQDm3HDhbvx9VSvWd3o="/>
    </ext>
  </extLst>
</workbook>
</file>

<file path=xl/sharedStrings.xml><?xml version="1.0" encoding="utf-8"?>
<sst xmlns="http://schemas.openxmlformats.org/spreadsheetml/2006/main" count="92" uniqueCount="47">
  <si>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</si>
  <si>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</si>
  <si>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</si>
  <si>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</si>
  <si>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</si>
  <si>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</si>
  <si>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</si>
  <si>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</si>
  <si>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</si>
  <si>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</si>
  <si>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</si>
  <si>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</si>
  <si>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</si>
  <si>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</si>
  <si>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</si>
  <si>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</si>
  <si>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</si>
  <si>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</si>
  <si>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</si>
  <si>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</si>
  <si>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</si>
  <si>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</si>
  <si>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</si>
  <si>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</si>
  <si>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</si>
  <si>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</si>
  <si>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</si>
  <si>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</si>
  <si>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</si>
  <si>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CheckAllocatedGroups</t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</si>
  <si>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</si>
  <si>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</si>
  <si>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</si>
  <si>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</si>
  <si>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</si>
  <si>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</si>
  <si>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</si>
  <si>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</si>
  <si>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</si>
  <si>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</si>
  <si>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</si>
  <si>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</si>
  <si>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</si>
  <si>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</si>
  <si>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</si>
  <si>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jpearce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</si>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</sst>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6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IFERROR(__xludf.DUMMYFUNCTION("""COMPUTED_VALUE"""),"ChkBoxBookAsSwap")</f>
        <v>ChkBoxBookAsSwap</v>
      </c>
      <c r="AO5" s="23" t="str">
        <f>IFERROR(__xludf.DUMMYFUNCTION("""COMPUTED_VALUE"""),"PopUpQuantity")</f>
        <v>PopUpQuantity</v>
      </c>
      <c r="AP5" s="23" t="str">
        <f>IFERROR(__xludf.DUMMYFUNCTION("""COMPUTED_VALUE"""),"ShortLocate")</f>
        <v>ShortLocate</v>
      </c>
      <c r="AQ5" s="23" t="str">
        <f>IFERROR(__xludf.DUMMYFUNCTION("""COMPUTED_VALUE"""),"AllowTrade")</f>
        <v>AllowTrade</v>
      </c>
      <c r="AR5" s="23" t="str">
        <f>IFERROR(__xludf.DUMMYFUNCTION("""COMPUTED_VALUE"""),"SharesOutstandingPopUpQty")</f>
        <v>SharesOutstandingPopUpQty</v>
      </c>
      <c r="AS5" s="23" t="str">
        <f>IFERROR(__xludf.DUMMYFUNCTION("""COMPUTED_VALUE"""),"SharesOutstandingPopUp")</f>
        <v>SharesOutstandingPopUp</v>
      </c>
      <c r="AT5" s="23" t="str">
        <f>IFERROR(__xludf.DUMMYFUNCTION("""COMPUTED_VALUE"""),"ResAllowedListPopUp")</f>
        <v>ResAllowedListPopUp</v>
      </c>
      <c r="AU5" s="23" t="str">
        <f>IFERROR(__xludf.DUMMYFUNCTION("""COMPUTED_VALUE"""),"Rate(%)")</f>
        <v>Rate(%)</v>
      </c>
      <c r="AV5" s="23" t="str">
        <f>IFERROR(__xludf.DUMMYFUNCTION("""COMPUTED_VALUE"""),"Interest Rate")</f>
        <v>Interest Rate</v>
      </c>
      <c r="AW5" s="23" t="str">
        <f>IFERROR(__xludf.DUMMYFUNCTION("""COMPUTED_VALUE"""),"SelectAlgoStrategy")</f>
        <v>SelectAlgoStrategy</v>
      </c>
      <c r="AX5" s="23" t="str">
        <f>IFERROR(__xludf.DUMMYFUNCTION("""COMPUTED_VALUE"""),"Increase/Decrease Quantity")</f>
        <v>Increase/Decrease Quantity</v>
      </c>
      <c r="AY5" s="23" t="str">
        <f>IFERROR(__xludf.DUMMYFUNCTION("""COMPUTED_VALUE"""),"Master Funds")</f>
        <v>Master Funds</v>
      </c>
      <c r="AZ5" s="23" t="str">
        <f>IFERROR(__xludf.DUMMYFUNCTION("""COMPUTED_VALUE"""),"TRVAccountName")</f>
        <v>TRVAccountName</v>
      </c>
      <c r="BA5" s="23" t="str">
        <f>IFERROR(__xludf.DUMMYFUNCTION("""COMPUTED_VALUE"""),"TRVTradeQuantity")</f>
        <v>TRVTradeQuantity</v>
      </c>
      <c r="BB5" s="23" t="str">
        <f>IFERROR(__xludf.DUMMYFUNCTION("""COMPUTED_VALUE"""),"TRVCurrentPosition")</f>
        <v>TRVCurrentPosition</v>
      </c>
      <c r="BC5" s="23" t="str">
        <f>IFERROR(__xludf.DUMMYFUNCTION("""COMPUTED_VALUE"""),"TRVNav")</f>
        <v>TRVNav</v>
      </c>
      <c r="BD5" s="23" t="str">
        <f>IFERROR(__xludf.DUMMYFUNCTION("""COMPUTED_VALUE"""),"Account QTY")</f>
        <v>Account QTY</v>
      </c>
      <c r="BE5" s="23" t="str">
        <f>IFERROR(__xludf.DUMMYFUNCTION("""COMPUTED_VALUE"""),"DoneAwayClickOnNO")</f>
        <v>DoneAwayClickOnNO</v>
      </c>
      <c r="BF5" s="23" t="str">
        <f>IFERROR(__xludf.DUMMYFUNCTION("""COMPUTED_VALUE"""),"HotbuttonQty")</f>
        <v>HotbuttonQty</v>
      </c>
      <c r="BG5" s="23" t="str">
        <f>IFERROR(__xludf.DUMMYFUNCTION("""COMPUTED_VALUE"""),"HotButtonPrice")</f>
        <v>HotButtonPrice</v>
      </c>
      <c r="BH5" s="23" t="str">
        <f>IFERROR(__xludf.DUMMYFUNCTION("""COMPUTED_VALUE"""),"HotButtonLimit")</f>
        <v>HotButtonLimit</v>
      </c>
      <c r="BI5" s="23" t="str">
        <f>IFERROR(__xludf.DUMMYFUNCTION("""COMPUTED_VALUE"""),"HotButtonStop")</f>
        <v>HotButtonStop</v>
      </c>
      <c r="BJ5" s="23" t="str">
        <f>IFERROR(__xludf.DUMMYFUNCTION("""COMPUTED_VALUE"""),"Broker PadLock")</f>
        <v>Broker PadLock</v>
      </c>
      <c r="BK5" s="23" t="str">
        <f>IFERROR(__xludf.DUMMYFUNCTION("""COMPUTED_VALUE"""),"TradeBy")</f>
        <v>TradeBy</v>
      </c>
      <c r="BL5" s="23" t="str">
        <f>IFERROR(__xludf.DUMMYFUNCTION("""COMPUTED_VALUE"""),"PendingApprovalPopUp")</f>
        <v>PendingApprovalPopUp</v>
      </c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</row>
    <row r="6" ht="15.75" customHeight="1">
      <c r="A6" s="24"/>
      <c r="B6" s="25" t="s">
        <v>16</v>
      </c>
      <c r="C6" s="25" t="s">
        <v>17</v>
      </c>
      <c r="D6" s="26">
        <v>100.0</v>
      </c>
      <c r="E6" s="24"/>
      <c r="F6" s="24" t="s">
        <v>18</v>
      </c>
      <c r="G6" s="24"/>
      <c r="H6" s="24"/>
      <c r="I6" s="24"/>
      <c r="J6" s="27">
        <v>2.0</v>
      </c>
      <c r="K6" s="24"/>
      <c r="L6" s="24"/>
      <c r="M6" s="24"/>
      <c r="N6" s="28">
        <f t="shared" ref="N6:N7" si="1">TODAY()-1</f>
        <v>45928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</row>
    <row r="7" ht="15.75" customHeight="1">
      <c r="A7" s="24"/>
      <c r="B7" s="25" t="s">
        <v>16</v>
      </c>
      <c r="C7" s="25" t="s">
        <v>17</v>
      </c>
      <c r="D7" s="26">
        <v>100.0</v>
      </c>
      <c r="E7" s="24"/>
      <c r="F7" s="29" t="s">
        <v>19</v>
      </c>
      <c r="G7" s="24"/>
      <c r="H7" s="24"/>
      <c r="I7" s="24"/>
      <c r="J7" s="27">
        <v>2.0</v>
      </c>
      <c r="K7" s="24"/>
      <c r="L7" s="24"/>
      <c r="M7" s="24"/>
      <c r="N7" s="28">
        <f t="shared" si="1"/>
        <v>45928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</row>
    <row r="8" ht="15.75" customHeight="1">
      <c r="A8" s="6"/>
      <c r="B8" s="30" t="s">
        <v>16</v>
      </c>
      <c r="C8" s="30" t="s">
        <v>17</v>
      </c>
      <c r="D8" s="30">
        <v>500.0</v>
      </c>
      <c r="E8" s="6"/>
      <c r="F8" s="30" t="s">
        <v>20</v>
      </c>
      <c r="G8" s="6"/>
      <c r="H8" s="6"/>
      <c r="I8" s="6"/>
      <c r="J8" s="30">
        <v>10.0</v>
      </c>
      <c r="K8" s="6"/>
      <c r="L8" s="6"/>
      <c r="M8" s="6"/>
      <c r="N8" s="6"/>
      <c r="O8" s="6"/>
    </row>
    <row r="9" ht="15.75" customHeight="1">
      <c r="A9" s="6"/>
      <c r="B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IFERROR(__xludf.DUMMYFUNCTION("""COMPUTED_VALUE"""),"ValidateCheckSide")</f>
        <v>ValidateCheckSide</v>
      </c>
      <c r="C5" s="22" t="str">
        <f>IFERROR(__xludf.DUMMYFUNCTION("""COMPUTED_VALUE"""),"DisabledChecksideAssets")</f>
        <v>DisabledChecksideAssets</v>
      </c>
      <c r="D5" s="22" t="str">
        <f>IFERROR(__xludf.DUMMYFUNCTION("""COMPUTED_VALUE"""),"PrecisionValue")</f>
        <v>PrecisionValue</v>
      </c>
      <c r="E5" s="22" t="str">
        <f>IFERROR(__xludf.DUMMYFUNCTION("""COMPUTED_VALUE"""),"UseCommissionInNetAmount")</f>
        <v>UseCommissionInNetAmount</v>
      </c>
      <c r="F5" s="22" t="str">
        <f>IFERROR(__xludf.DUMMYFUNCTION("""COMPUTED_VALUE"""),"SaveWithoutState")</f>
        <v>SaveWithoutState</v>
      </c>
      <c r="G5" s="22" t="str">
        <f>IFERROR(__xludf.DUMMYFUNCTION("""COMPUTED_VALUE"""),"SaveWithState")</f>
        <v>SaveWithState</v>
      </c>
      <c r="H5" s="22" t="str">
        <f>IFERROR(__xludf.DUMMYFUNCTION("""COMPUTED_VALUE"""),"ClearQuantities")</f>
        <v>ClearQuantities</v>
      </c>
      <c r="I5" s="22" t="str">
        <f>IFERROR(__xludf.DUMMYFUNCTION("""COMPUTED_VALUE"""),"ReapplyAllocation")</f>
        <v>ReapplyAllocation</v>
      </c>
      <c r="J5" s="22" t="str">
        <f>IFERROR(__xludf.DUMMYFUNCTION("""COMPUTED_VALUE"""),"DefaultAllocation")</f>
        <v>DefaultAllocation</v>
      </c>
      <c r="K5" s="22" t="str">
        <f>IFERROR(__xludf.DUMMYFUNCTION("""COMPUTED_VALUE"""),"IsCustomPreference")</f>
        <v>IsCustomPreference</v>
      </c>
      <c r="L5" s="22" t="str">
        <f>IFERROR(__xludf.DUMMYFUNCTION("""COMPUTED_VALUE"""),"AllocationMethod")</f>
        <v>AllocationMethod</v>
      </c>
      <c r="M5" s="22" t="str">
        <f>IFERROR(__xludf.DUMMYFUNCTION("""COMPUTED_VALUE"""),"RemainderAllocationTo")</f>
        <v>RemainderAllocationTo</v>
      </c>
      <c r="N5" s="22" t="str">
        <f>IFERROR(__xludf.DUMMYFUNCTION("""COMPUTED_VALUE"""),"Target%AsOf")</f>
        <v>Target%AsOf</v>
      </c>
      <c r="O5" s="22" t="str">
        <f>IFERROR(__xludf.DUMMYFUNCTION("""COMPUTED_VALUE"""),"ProrataAccounts")</f>
        <v>ProrataAccounts</v>
      </c>
      <c r="P5" s="22" t="str">
        <f>IFERROR(__xludf.DUMMYFUNCTION("""COMPUTED_VALUE"""),"DateUptoDays")</f>
        <v>DateUptoDays</v>
      </c>
      <c r="Q5" s="22" t="str">
        <f>IFERROR(__xludf.DUMMYFUNCTION("""COMPUTED_VALUE"""),"MatchClosing")</f>
        <v>MatchClosing</v>
      </c>
      <c r="R5" s="22" t="str">
        <f>IFERROR(__xludf.DUMMYFUNCTION("""COMPUTED_VALUE"""),"CommissionAlertOnBrokerChange")</f>
        <v>CommissionAlertOnBrokerChange</v>
      </c>
      <c r="S5" s="22" t="str">
        <f>IFERROR(__xludf.DUMMYFUNCTION("""COMPUTED_VALUE"""),"RecalculateCommissionOnBrokerChange")</f>
        <v>RecalculateCommissionOnBrokerChange</v>
      </c>
      <c r="T5" s="23" t="str">
        <f>IFERROR(__xludf.DUMMYFUNCTION("""COMPUTED_VALUE"""),"CommissionAlertOnAllocation")</f>
        <v>CommissionAlertOnAllocation</v>
      </c>
      <c r="U5" s="23" t="str">
        <f>IFERROR(__xludf.DUMMYFUNCTION("""COMPUTED_VALUE"""),"RecalculateCommissionOnAllocation")</f>
        <v>RecalculateCommissionOnAllocation</v>
      </c>
      <c r="V5" s="23" t="str">
        <f>IFERROR(__xludf.DUMMYFUNCTION("""COMPUTED_VALUE"""),"EnableMasterFund")</f>
        <v>EnableMasterFund</v>
      </c>
      <c r="W5" s="23" t="str">
        <f>IFERROR(__xludf.DUMMYFUNCTION("""COMPUTED_VALUE"""),"1MasterFund/1Symbol")</f>
        <v>1MasterFund/1Symbol</v>
      </c>
      <c r="X5" s="23" t="str">
        <f>IFERROR(__xludf.DUMMYFUNCTION("""COMPUTED_VALUE"""),"ProrataSchemeName")</f>
        <v>ProrataSchemeName</v>
      </c>
      <c r="Y5" s="23" t="str">
        <f>IFERROR(__xludf.DUMMYFUNCTION("""COMPUTED_VALUE"""),"ProrataAllocationSchemeBasis")</f>
        <v>ProrataAllocationSchemeBasis</v>
      </c>
      <c r="Z5" s="23" t="str">
        <f>IFERROR(__xludf.DUMMYFUNCTION("""COMPUTED_VALUE"""),"ShowAdvancedProrataUI")</f>
        <v>ShowAdvancedProrataUI</v>
      </c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24"/>
      <c r="B6" s="31" t="b">
        <v>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32" t="s">
        <v>23</v>
      </c>
      <c r="Y6" s="24" t="s">
        <v>24</v>
      </c>
      <c r="Z6" s="31" t="b">
        <v>1</v>
      </c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IFERROR(__xludf.DUMMYFUNCTION("""COMPUTED_VALUE"""),"Date")</f>
        <v>Date</v>
      </c>
      <c r="C5" s="22" t="str">
        <f>IFERROR(__xludf.DUMMYFUNCTION("""COMPUTED_VALUE"""),"SchemeName")</f>
        <v>SchemeName</v>
      </c>
      <c r="D5" s="22" t="str">
        <f>IFERROR(__xludf.DUMMYFUNCTION("""COMPUTED_VALUE"""),"SchemeBasis")</f>
        <v>SchemeBasis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24"/>
      <c r="B6" s="33">
        <f>TODAY()-1</f>
        <v>45928</v>
      </c>
      <c r="C6" s="32" t="s">
        <v>23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IFERROR(__xludf.DUMMYFUNCTION("""COMPUTED_VALUE"""),"Side")</f>
        <v>Side</v>
      </c>
      <c r="D5" s="22" t="str">
        <f>IFERROR(__xludf.DUMMYFUNCTION("""COMPUTED_VALUE"""),"Quantity")</f>
        <v>Quantity</v>
      </c>
      <c r="E5" s="22" t="str">
        <f>IFERROR(__xludf.DUMMYFUNCTION("""COMPUTED_VALUE"""),"Executed Qty")</f>
        <v>Executed Qty</v>
      </c>
      <c r="F5" s="22" t="str">
        <f>IFERROR(__xludf.DUMMYFUNCTION("""COMPUTED_VALUE"""),"Trade Date")</f>
        <v>Trade Date</v>
      </c>
      <c r="G5" s="22" t="str">
        <f>IFERROR(__xludf.DUMMYFUNCTION("""COMPUTED_VALUE"""),"Net Amount( Local)")</f>
        <v>Net Amount( Local)</v>
      </c>
      <c r="H5" s="22" t="str">
        <f>IFERROR(__xludf.DUMMYFUNCTION("""COMPUTED_VALUE"""),"Net Amount( Base)")</f>
        <v>Net Amount( Base)</v>
      </c>
      <c r="I5" s="22" t="str">
        <f>IFERROR(__xludf.DUMMYFUNCTION("""COMPUTED_VALUE"""),"Principal Amount( Local)")</f>
        <v>Principal Amount( Local)</v>
      </c>
      <c r="J5" s="22" t="str">
        <f>IFERROR(__xludf.DUMMYFUNCTION("""COMPUTED_VALUE"""),"Transaction Type")</f>
        <v>Transaction Type</v>
      </c>
      <c r="K5" s="22" t="str">
        <f>IFERROR(__xludf.DUMMYFUNCTION("""COMPUTED_VALUE"""),"Principal Amount( Base)")</f>
        <v>Principal Amount( Base)</v>
      </c>
      <c r="L5" s="22" t="str">
        <f>IFERROR(__xludf.DUMMYFUNCTION("""COMPUTED_VALUE"""),"Execution Time")</f>
        <v>Execution Time</v>
      </c>
      <c r="M5" s="22" t="str">
        <f>IFERROR(__xludf.DUMMYFUNCTION("""COMPUTED_VALUE"""),"Trading Account")</f>
        <v>Trading Account</v>
      </c>
      <c r="N5" s="22" t="str">
        <f>IFERROR(__xludf.DUMMYFUNCTION("""COMPUTED_VALUE"""),"Avg Price(Local)")</f>
        <v>Avg Price(Local)</v>
      </c>
      <c r="O5" s="22" t="str">
        <f>IFERROR(__xludf.DUMMYFUNCTION("""COMPUTED_VALUE"""),"Avg Price(Base)")</f>
        <v>Avg Price(Base)</v>
      </c>
      <c r="P5" s="22" t="str">
        <f>IFERROR(__xludf.DUMMYFUNCTION("""COMPUTED_VALUE"""),"Broker")</f>
        <v>Broker</v>
      </c>
      <c r="Q5" s="22" t="str">
        <f>IFERROR(__xludf.DUMMYFUNCTION("""COMPUTED_VALUE"""),"FX Rate")</f>
        <v>FX Rate</v>
      </c>
      <c r="R5" s="22" t="str">
        <f>IFERROR(__xludf.DUMMYFUNCTION("""COMPUTED_VALUE"""),"Venue")</f>
        <v>Venue</v>
      </c>
      <c r="S5" s="22" t="str">
        <f>IFERROR(__xludf.DUMMYFUNCTION("""COMPUTED_VALUE"""),"FX Conversion Operator")</f>
        <v>FX Conversion Operator</v>
      </c>
      <c r="T5" s="23" t="str">
        <f>IFERROR(__xludf.DUMMYFUNCTION("""COMPUTED_VALUE"""),"User")</f>
        <v>User</v>
      </c>
      <c r="U5" s="23" t="str">
        <f>IFERROR(__xludf.DUMMYFUNCTION("""COMPUTED_VALUE"""),"Asset Category")</f>
        <v>Asset Category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IFERROR(__xludf.DUMMYFUNCTION("""COMPUTED_VALUE"""),"Commission Per Share")</f>
        <v>Commission Per Share</v>
      </c>
      <c r="X5" s="23" t="str">
        <f>IFERROR(__xludf.DUMMYFUNCTION("""COMPUTED_VALUE"""),"Soft Commission Per Share")</f>
        <v>Soft Commission Per Share</v>
      </c>
      <c r="Y5" s="23" t="str">
        <f>IFERROR(__xludf.DUMMYFUNCTION("""COMPUTED_VALUE"""),"Total Commission Per Share")</f>
        <v>Total Commission Per Share</v>
      </c>
      <c r="Z5" s="23" t="str">
        <f>IFERROR(__xludf.DUMMYFUNCTION("""COMPUTED_VALUE"""),"Change Type")</f>
        <v>Change Type</v>
      </c>
      <c r="AA5" s="23" t="str">
        <f>IFERROR(__xludf.DUMMYFUNCTION("""COMPUTED_VALUE"""),"Trade Attribute 1")</f>
        <v>Trade Attribute 1</v>
      </c>
      <c r="AB5" s="23" t="str">
        <f>IFERROR(__xludf.DUMMYFUNCTION("""COMPUTED_VALUE"""),"Trade Attribute 2")</f>
        <v>Trade Attribute 2</v>
      </c>
      <c r="AC5" s="23" t="str">
        <f>IFERROR(__xludf.DUMMYFUNCTION("""COMPUTED_VALUE"""),"Trade Attribute 3")</f>
        <v>Trade Attribute 3</v>
      </c>
      <c r="AD5" s="23" t="str">
        <f>IFERROR(__xludf.DUMMYFUNCTION("""COMPUTED_VALUE"""),"Trade Attribute 4")</f>
        <v>Trade Attribute 4</v>
      </c>
      <c r="AE5" s="23" t="str">
        <f>IFERROR(__xludf.DUMMYFUNCTION("""COMPUTED_VALUE"""),"Trade Attribute 5")</f>
        <v>Trade Attribute 5</v>
      </c>
      <c r="AF5" s="23" t="str">
        <f>IFERROR(__xludf.DUMMYFUNCTION("""COMPUTED_VALUE"""),"Trade Attribute 6")</f>
        <v>Trade Attribute 6</v>
      </c>
      <c r="AG5" s="23" t="str">
        <f>IFERROR(__xludf.DUMMYFUNCTION("""COMPUTED_VALUE"""),"IsPreAllocated")</f>
        <v>IsPreAllocated</v>
      </c>
      <c r="AH5" s="23" t="str">
        <f>IFERROR(__xludf.DUMMYFUNCTION("""COMPUTED_VALUE"""),"IsManual Group")</f>
        <v>IsManual Group</v>
      </c>
      <c r="AI5" s="23" t="str">
        <f>IFERROR(__xludf.DUMMYFUNCTION("""COMPUTED_VALUE"""),"IsAnotherTaxlotAttributesUpdated")</f>
        <v>IsAnotherTaxlotAttributesUpdated</v>
      </c>
      <c r="AJ5" s="23" t="str">
        <f>IFERROR(__xludf.DUMMYFUNCTION("""COMPUTED_VALUE"""),"ISNDF")</f>
        <v>ISNDF</v>
      </c>
      <c r="AK5" s="23" t="str">
        <f>IFERROR(__xludf.DUMMYFUNCTION("""COMPUTED_VALUE"""),"M2MProfitLoss")</f>
        <v>M2MProfitLoss</v>
      </c>
      <c r="AL5" s="23" t="str">
        <f>IFERROR(__xludf.DUMMYFUNCTION("""COMPUTED_VALUE"""),"Put Or Call")</f>
        <v>Put Or Call</v>
      </c>
      <c r="AM5" s="23" t="str">
        <f>IFERROR(__xludf.DUMMYFUNCTION("""COMPUTED_VALUE"""),"GroupID")</f>
        <v>GroupID</v>
      </c>
      <c r="AN5" s="23" t="str">
        <f>IFERROR(__xludf.DUMMYFUNCTION("""COMPUTED_VALUE"""),"UnAllocatedQty")</f>
        <v>UnAllocatedQty</v>
      </c>
      <c r="AO5" s="23" t="str">
        <f>IFERROR(__xludf.DUMMYFUNCTION("""COMPUTED_VALUE"""),"Allocated Qty")</f>
        <v>Allocated Qty</v>
      </c>
      <c r="AP5" s="23" t="str">
        <f>IFERROR(__xludf.DUMMYFUNCTION("""COMPUTED_VALUE"""),"Commission")</f>
        <v>Commission</v>
      </c>
      <c r="AQ5" s="23" t="str">
        <f>IFERROR(__xludf.DUMMYFUNCTION("""COMPUTED_VALUE"""),"Soft Commission")</f>
        <v>Soft Commission</v>
      </c>
      <c r="AR5" s="23" t="str">
        <f>IFERROR(__xludf.DUMMYFUNCTION("""COMPUTED_VALUE"""),"Other Broker Fees")</f>
        <v>Other Broker Fees</v>
      </c>
      <c r="AS5" s="23" t="str">
        <f>IFERROR(__xludf.DUMMYFUNCTION("""COMPUTED_VALUE"""),"Clearing Broker Fee")</f>
        <v>Clearing Broker Fee</v>
      </c>
      <c r="AT5" s="23" t="str">
        <f>IFERROR(__xludf.DUMMYFUNCTION("""COMPUTED_VALUE"""),"Total Commission And Fee")</f>
        <v>Total Commission And Fee</v>
      </c>
      <c r="AU5" s="23" t="str">
        <f>IFERROR(__xludf.DUMMYFUNCTION("""COMPUTED_VALUE"""),"Transaction Levy")</f>
        <v>Transaction Levy</v>
      </c>
      <c r="AV5" s="23" t="str">
        <f>IFERROR(__xludf.DUMMYFUNCTION("""COMPUTED_VALUE"""),"Stamp Duty")</f>
        <v>Stamp Duty</v>
      </c>
      <c r="AW5" s="23" t="str">
        <f>IFERROR(__xludf.DUMMYFUNCTION("""COMPUTED_VALUE"""),"AUEC Fee1")</f>
        <v>AUEC Fee1</v>
      </c>
      <c r="AX5" s="23" t="str">
        <f>IFERROR(__xludf.DUMMYFUNCTION("""COMPUTED_VALUE"""),"Tax On Commissions")</f>
        <v>Tax On Commissions</v>
      </c>
      <c r="AY5" s="23" t="str">
        <f>IFERROR(__xludf.DUMMYFUNCTION("""COMPUTED_VALUE"""),"AUEC Fee2")</f>
        <v>AUEC Fee2</v>
      </c>
      <c r="AZ5" s="23" t="str">
        <f>IFERROR(__xludf.DUMMYFUNCTION("""COMPUTED_VALUE"""),"SEC Fee")</f>
        <v>SEC Fee</v>
      </c>
      <c r="BA5" s="23" t="str">
        <f>IFERROR(__xludf.DUMMYFUNCTION("""COMPUTED_VALUE"""),"OCC Fee")</f>
        <v>OCC Fee</v>
      </c>
      <c r="BB5" s="23" t="str">
        <f>IFERROR(__xludf.DUMMYFUNCTION("""COMPUTED_VALUE"""),"ORF Fee")</f>
        <v>ORF Fee</v>
      </c>
      <c r="BC5" s="23" t="str">
        <f>IFERROR(__xludf.DUMMYFUNCTION("""COMPUTED_VALUE"""),"Option Premium Adjustment")</f>
        <v>Option Premium Adjustment</v>
      </c>
      <c r="BD5" s="23" t="str">
        <f>IFERROR(__xludf.DUMMYFUNCTION("""COMPUTED_VALUE"""),"Prana Msg Type")</f>
        <v>Prana Msg Type</v>
      </c>
      <c r="BE5" s="23" t="str">
        <f>IFERROR(__xludf.DUMMYFUNCTION("""COMPUTED_VALUE"""),"Total Commission")</f>
        <v>Total Commission</v>
      </c>
      <c r="BF5" s="23" t="str">
        <f>IFERROR(__xludf.DUMMYFUNCTION("""COMPUTED_VALUE"""),"Closing Status")</f>
        <v>Closing Status</v>
      </c>
      <c r="BG5" s="23" t="str">
        <f>IFERROR(__xludf.DUMMYFUNCTION("""COMPUTED_VALUE"""),"Closing Method")</f>
        <v>Closing Method</v>
      </c>
      <c r="BH5" s="23" t="str">
        <f>IFERROR(__xludf.DUMMYFUNCTION("""COMPUTED_VALUE"""),"Group Status")</f>
        <v>Group Status</v>
      </c>
      <c r="BI5" s="23" t="str">
        <f>IFERROR(__xludf.DUMMYFUNCTION("""COMPUTED_VALUE"""),"Allocation Scheme Name")</f>
        <v>Allocation Scheme Name</v>
      </c>
      <c r="BJ5" s="23" t="str">
        <f>IFERROR(__xludf.DUMMYFUNCTION("""COMPUTED_VALUE"""),"Change Comment")</f>
        <v>Change Comment</v>
      </c>
      <c r="BK5" s="23" t="str">
        <f>IFERROR(__xludf.DUMMYFUNCTION("""COMPUTED_VALUE"""),"Order Type")</f>
        <v>Order Type</v>
      </c>
      <c r="BL5" s="23" t="str">
        <f>IFERROR(__xludf.DUMMYFUNCTION("""COMPUTED_VALUE"""),"Underlying")</f>
        <v>Underlying</v>
      </c>
      <c r="BM5" s="23" t="str">
        <f>IFERROR(__xludf.DUMMYFUNCTION("""COMPUTED_VALUE"""),"Exchange")</f>
        <v>Exchange</v>
      </c>
      <c r="BN5" s="23" t="str">
        <f>IFERROR(__xludf.DUMMYFUNCTION("""COMPUTED_VALUE"""),"Currency")</f>
        <v>Currency</v>
      </c>
      <c r="BO5" s="23" t="str">
        <f>IFERROR(__xludf.DUMMYFUNCTION("""COMPUTED_VALUE"""),"AUECID")</f>
        <v>AUECID</v>
      </c>
      <c r="BP5" s="23" t="str">
        <f>IFERROR(__xludf.DUMMYFUNCTION("""COMPUTED_VALUE"""),"Cum Qty For Sub Order")</f>
        <v>Cum Qty For Sub Order</v>
      </c>
      <c r="BQ5" s="23" t="str">
        <f>IFERROR(__xludf.DUMMYFUNCTION("""COMPUTED_VALUE"""),"Contract Multiplier")</f>
        <v>Contract Multiplier</v>
      </c>
      <c r="BR5" s="23" t="str">
        <f>IFERROR(__xludf.DUMMYFUNCTION("""COMPUTED_VALUE"""),"Company")</f>
        <v>Company</v>
      </c>
      <c r="BS5" s="23" t="str">
        <f>IFERROR(__xludf.DUMMYFUNCTION("""COMPUTED_VALUE"""),"Nirvana Process Date")</f>
        <v>Nirvana Process Date</v>
      </c>
      <c r="BT5" s="23" t="str">
        <f>IFERROR(__xludf.DUMMYFUNCTION("""COMPUTED_VALUE"""),"Process Date")</f>
        <v>Process Date</v>
      </c>
      <c r="BU5" s="23" t="str">
        <f>IFERROR(__xludf.DUMMYFUNCTION("""COMPUTED_VALUE"""),"Original Purchase Date")</f>
        <v>Original Purchase Date</v>
      </c>
      <c r="BV5" s="23" t="str">
        <f>IFERROR(__xludf.DUMMYFUNCTION("""COMPUTED_VALUE"""),"Closing Date")</f>
        <v>Closing Date</v>
      </c>
      <c r="BW5" s="23" t="str">
        <f>IFERROR(__xludf.DUMMYFUNCTION("""COMPUTED_VALUE"""),"Settlement Date")</f>
        <v>Settlement Date</v>
      </c>
      <c r="BX5" s="23" t="str">
        <f>IFERROR(__xludf.DUMMYFUNCTION("""COMPUTED_VALUE"""),"Expiration Date")</f>
        <v>Expiration Date</v>
      </c>
      <c r="BY5" s="23" t="str">
        <f>IFERROR(__xludf.DUMMYFUNCTION("""COMPUTED_VALUE"""),"Description")</f>
        <v>Description</v>
      </c>
      <c r="BZ5" s="23" t="str">
        <f>IFERROR(__xludf.DUMMYFUNCTION("""COMPUTED_VALUE"""),"Underlying Symbol")</f>
        <v>Underlying Symbol</v>
      </c>
      <c r="CA5" s="23" t="str">
        <f>IFERROR(__xludf.DUMMYFUNCTION("""COMPUTED_VALUE"""),"Accrued Interest")</f>
        <v>Accrued Interest</v>
      </c>
      <c r="CB5" s="23" t="str">
        <f>IFERROR(__xludf.DUMMYFUNCTION("""COMPUTED_VALUE"""),"Accrual Basis")</f>
        <v>Accrual Basis</v>
      </c>
      <c r="CC5" s="23" t="str">
        <f>IFERROR(__xludf.DUMMYFUNCTION("""COMPUTED_VALUE"""),"Bond Type")</f>
        <v>Bond Type</v>
      </c>
      <c r="CD5" s="23" t="str">
        <f>IFERROR(__xludf.DUMMYFUNCTION("""COMPUTED_VALUE"""),"Coupon Rate")</f>
        <v>Coupon Rate</v>
      </c>
      <c r="CE5" s="23" t="str">
        <f>IFERROR(__xludf.DUMMYFUNCTION("""COMPUTED_VALUE"""),"Delta")</f>
        <v>Delta</v>
      </c>
      <c r="CF5" s="23" t="str">
        <f>IFERROR(__xludf.DUMMYFUNCTION("""COMPUTED_VALUE"""),"Bloomberg")</f>
        <v>Bloomberg</v>
      </c>
      <c r="CG5" s="23" t="str">
        <f>IFERROR(__xludf.DUMMYFUNCTION("""COMPUTED_VALUE"""),"Sedol Symbol")</f>
        <v>Sedol Symbol</v>
      </c>
      <c r="CH5" s="23" t="str">
        <f>IFERROR(__xludf.DUMMYFUNCTION("""COMPUTED_VALUE"""),"Cusip Symbol")</f>
        <v>Cusip Symbol</v>
      </c>
      <c r="CI5" s="23" t="str">
        <f>IFERROR(__xludf.DUMMYFUNCTION("""COMPUTED_VALUE"""),"ISIN")</f>
        <v>ISIN</v>
      </c>
      <c r="CJ5" s="23" t="str">
        <f>IFERROR(__xludf.DUMMYFUNCTION("""COMPUTED_VALUE"""),"OSISSymbol")</f>
        <v>OSISSymbol</v>
      </c>
      <c r="CK5" s="23" t="str">
        <f>IFERROR(__xludf.DUMMYFUNCTION("""COMPUTED_VALUE"""),"IDCOSymbol")</f>
        <v>IDCOSymbol</v>
      </c>
      <c r="CL5" s="23" t="str">
        <f>IFERROR(__xludf.DUMMYFUNCTION("""COMPUTED_VALUE"""),"Underlying Delta")</f>
        <v>Underlying Delta</v>
      </c>
      <c r="CM5" s="23" t="str">
        <f>IFERROR(__xludf.DUMMYFUNCTION("""COMPUTED_VALUE"""),"Internal Comments")</f>
        <v>Internal Comments</v>
      </c>
      <c r="CN5" s="23" t="str">
        <f>IFERROR(__xludf.DUMMYFUNCTION("""COMPUTED_VALUE"""),"Proxy Symbol")</f>
        <v>Proxy Symbol</v>
      </c>
      <c r="CO5" s="23" t="str">
        <f>IFERROR(__xludf.DUMMYFUNCTION("""COMPUTED_VALUE"""),"Transaction Source")</f>
        <v>Transaction Source</v>
      </c>
      <c r="CP5" s="23" t="str">
        <f>IFERROR(__xludf.DUMMYFUNCTION("""COMPUTED_VALUE"""),"Import File Name")</f>
        <v>Import File Name</v>
      </c>
      <c r="CQ5" s="23" t="str">
        <f>IFERROR(__xludf.DUMMYFUNCTION("""COMPUTED_VALUE"""),"Master Fund")</f>
        <v>Master Fund</v>
      </c>
      <c r="CR5" s="23" t="str">
        <f>IFERROR(__xludf.DUMMYFUNCTION("""COMPUTED_VALUE"""),"Client")</f>
        <v>Client</v>
      </c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24"/>
      <c r="B6" s="25" t="s">
        <v>16</v>
      </c>
      <c r="C6" s="32"/>
      <c r="D6" s="27"/>
      <c r="E6" s="27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IFERROR(__xludf.DUMMYFUNCTION("""COMPUTED_VALUE"""),"PreferenceType")</f>
        <v>PreferenceType</v>
      </c>
      <c r="C5" s="22" t="str">
        <f>IFERROR(__xludf.DUMMYFUNCTION("""COMPUTED_VALUE"""),"PreferenceName")</f>
        <v>PreferenceName</v>
      </c>
      <c r="D5" s="22" t="str">
        <f>IFERROR(__xludf.DUMMYFUNCTION("""COMPUTED_VALUE"""),"PTTPrefNeeded")</f>
        <v>PTTPrefNeeded</v>
      </c>
      <c r="E5" s="22" t="str">
        <f>IFERROR(__xludf.DUMMYFUNCTION("""COMPUTED_VALUE"""),"IsForceAllocation")</f>
        <v>IsForceAllocation</v>
      </c>
      <c r="F5" s="22" t="str">
        <f>IFERROR(__xludf.DUMMYFUNCTION("""COMPUTED_VALUE"""),"AllocationMethod")</f>
        <v>AllocationMethod</v>
      </c>
      <c r="G5" s="22" t="str">
        <f>IFERROR(__xludf.DUMMYFUNCTION("""COMPUTED_VALUE"""),"RemainderAllocationTo")</f>
        <v>RemainderAllocationTo</v>
      </c>
      <c r="H5" s="22" t="str">
        <f>IFERROR(__xludf.DUMMYFUNCTION("""COMPUTED_VALUE"""),"Target%AsOf")</f>
        <v>Target%AsOf</v>
      </c>
      <c r="I5" s="22" t="str">
        <f>IFERROR(__xludf.DUMMYFUNCTION("""COMPUTED_VALUE"""),"AccountsForProrata")</f>
        <v>AccountsForProrata</v>
      </c>
      <c r="J5" s="22" t="str">
        <f>IFERROR(__xludf.DUMMYFUNCTION("""COMPUTED_VALUE"""),"DateUptoDays")</f>
        <v>DateUptoDays</v>
      </c>
      <c r="K5" s="22" t="str">
        <f>IFERROR(__xludf.DUMMYFUNCTION("""COMPUTED_VALUE"""),"MatchClosingTransactions")</f>
        <v>MatchClosingTransactions</v>
      </c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24"/>
      <c r="B6" s="32" t="s">
        <v>28</v>
      </c>
      <c r="C6" s="32" t="s">
        <v>23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IFERROR(__xludf.DUMMYFUNCTION("""COMPUTED_VALUE"""),"Accrual Basis")</f>
        <v>Accrual Basis</v>
      </c>
      <c r="D5" s="22" t="str">
        <f>IFERROR(__xludf.DUMMYFUNCTION("""COMPUTED_VALUE"""),"Accrued Interest")</f>
        <v>Accrued Interest</v>
      </c>
      <c r="E5" s="22" t="str">
        <f>IFERROR(__xludf.DUMMYFUNCTION("""COMPUTED_VALUE"""),"Allocated Qty")</f>
        <v>Allocated Qty</v>
      </c>
      <c r="F5" s="22" t="str">
        <f>IFERROR(__xludf.DUMMYFUNCTION("""COMPUTED_VALUE"""),"Allocation Scheme Name")</f>
        <v>Allocation Scheme Name</v>
      </c>
      <c r="G5" s="22" t="str">
        <f>IFERROR(__xludf.DUMMYFUNCTION("""COMPUTED_VALUE"""),"Asset Category")</f>
        <v>Asset Category</v>
      </c>
      <c r="H5" s="22" t="str">
        <f>IFERROR(__xludf.DUMMYFUNCTION("""COMPUTED_VALUE"""),"AUEC Fee1")</f>
        <v>AUEC Fee1</v>
      </c>
      <c r="I5" s="22" t="str">
        <f>IFERROR(__xludf.DUMMYFUNCTION("""COMPUTED_VALUE"""),"AUEC Fee2")</f>
        <v>AUEC Fee2</v>
      </c>
      <c r="J5" s="22" t="str">
        <f>IFERROR(__xludf.DUMMYFUNCTION("""COMPUTED_VALUE"""),"AUECID")</f>
        <v>AUECID</v>
      </c>
      <c r="K5" s="22" t="str">
        <f>IFERROR(__xludf.DUMMYFUNCTION("""COMPUTED_VALUE"""),"Avg Price(Base)")</f>
        <v>Avg Price(Base)</v>
      </c>
      <c r="L5" s="22" t="str">
        <f>IFERROR(__xludf.DUMMYFUNCTION("""COMPUTED_VALUE"""),"Avg Price(Local)")</f>
        <v>Avg Price(Local)</v>
      </c>
      <c r="M5" s="22" t="str">
        <f>IFERROR(__xludf.DUMMYFUNCTION("""COMPUTED_VALUE"""),"Bloomberg")</f>
        <v>Bloomberg</v>
      </c>
      <c r="N5" s="22" t="str">
        <f>IFERROR(__xludf.DUMMYFUNCTION("""COMPUTED_VALUE"""),"Bond Type")</f>
        <v>Bond Type</v>
      </c>
      <c r="O5" s="22" t="str">
        <f>IFERROR(__xludf.DUMMYFUNCTION("""COMPUTED_VALUE"""),"Broker")</f>
        <v>Broker</v>
      </c>
      <c r="P5" s="22" t="str">
        <f>IFERROR(__xludf.DUMMYFUNCTION("""COMPUTED_VALUE"""),"Change Comment")</f>
        <v>Change Comment</v>
      </c>
      <c r="Q5" s="22" t="str">
        <f>IFERROR(__xludf.DUMMYFUNCTION("""COMPUTED_VALUE"""),"Change Type")</f>
        <v>Change Type</v>
      </c>
      <c r="R5" s="22" t="str">
        <f>IFERROR(__xludf.DUMMYFUNCTION("""COMPUTED_VALUE"""),"Clearing Broker Fee")</f>
        <v>Clearing Broker Fee</v>
      </c>
      <c r="S5" s="22" t="str">
        <f>IFERROR(__xludf.DUMMYFUNCTION("""COMPUTED_VALUE"""),"Closing Status")</f>
        <v>Closing Status</v>
      </c>
      <c r="T5" s="23" t="str">
        <f>IFERROR(__xludf.DUMMYFUNCTION("""COMPUTED_VALUE"""),"Commission")</f>
        <v>Commission</v>
      </c>
      <c r="U5" s="23" t="str">
        <f>IFERROR(__xludf.DUMMYFUNCTION("""COMPUTED_VALUE"""),"Commission Per Share")</f>
        <v>Commission Per Share</v>
      </c>
      <c r="V5" s="23" t="str">
        <f>IFERROR(__xludf.DUMMYFUNCTION("""COMPUTED_VALUE"""),"Company")</f>
        <v>Company</v>
      </c>
      <c r="W5" s="23" t="str">
        <f>IFERROR(__xludf.DUMMYFUNCTION("""COMPUTED_VALUE"""),"Contract Multiplier")</f>
        <v>Contract Multiplier</v>
      </c>
      <c r="X5" s="23" t="str">
        <f>IFERROR(__xludf.DUMMYFUNCTION("""COMPUTED_VALUE"""),"Coupon Rate")</f>
        <v>Coupon Rate</v>
      </c>
      <c r="Y5" s="23" t="str">
        <f>IFERROR(__xludf.DUMMYFUNCTION("""COMPUTED_VALUE"""),"Cum Qty For Sub Order")</f>
        <v>Cum Qty For Sub Order</v>
      </c>
      <c r="Z5" s="23" t="str">
        <f>IFERROR(__xludf.DUMMYFUNCTION("""COMPUTED_VALUE"""),"Currency")</f>
        <v>Currency</v>
      </c>
      <c r="AA5" s="23" t="str">
        <f>IFERROR(__xludf.DUMMYFUNCTION("""COMPUTED_VALUE"""),"Cusip Symbol")</f>
        <v>Cusip Symbol</v>
      </c>
      <c r="AB5" s="23" t="str">
        <f>IFERROR(__xludf.DUMMYFUNCTION("""COMPUTED_VALUE"""),"Delta")</f>
        <v>Delta</v>
      </c>
      <c r="AC5" s="23" t="str">
        <f>IFERROR(__xludf.DUMMYFUNCTION("""COMPUTED_VALUE"""),"Description")</f>
        <v>Description</v>
      </c>
      <c r="AD5" s="23" t="str">
        <f>IFERROR(__xludf.DUMMYFUNCTION("""COMPUTED_VALUE"""),"Exchange")</f>
        <v>Exchange</v>
      </c>
      <c r="AE5" s="23" t="str">
        <f>IFERROR(__xludf.DUMMYFUNCTION("""COMPUTED_VALUE"""),"Executed Qty")</f>
        <v>Executed Qty</v>
      </c>
      <c r="AF5" s="23" t="str">
        <f>IFERROR(__xludf.DUMMYFUNCTION("""COMPUTED_VALUE"""),"Exceution Time")</f>
        <v>Exceution Time</v>
      </c>
      <c r="AG5" s="23" t="str">
        <f>IFERROR(__xludf.DUMMYFUNCTION("""COMPUTED_VALUE"""),"Expiration Date")</f>
        <v>Expiration Date</v>
      </c>
      <c r="AH5" s="23" t="str">
        <f>IFERROR(__xludf.DUMMYFUNCTION("""COMPUTED_VALUE"""),"FX Conversion Operator")</f>
        <v>FX Conversion Operator</v>
      </c>
      <c r="AI5" s="23" t="str">
        <f>IFERROR(__xludf.DUMMYFUNCTION("""COMPUTED_VALUE"""),"FX Rate")</f>
        <v>FX Rate</v>
      </c>
      <c r="AJ5" s="23" t="str">
        <f>IFERROR(__xludf.DUMMYFUNCTION("""COMPUTED_VALUE"""),"Group Status")</f>
        <v>Group Status</v>
      </c>
      <c r="AK5" s="23" t="str">
        <f>IFERROR(__xludf.DUMMYFUNCTION("""COMPUTED_VALUE"""),"IDCOSymbol")</f>
        <v>IDCOSymbol</v>
      </c>
      <c r="AL5" s="23" t="str">
        <f>IFERROR(__xludf.DUMMYFUNCTION("""COMPUTED_VALUE"""),"Import File Name")</f>
        <v>Import File Name</v>
      </c>
      <c r="AM5" s="23" t="str">
        <f>IFERROR(__xludf.DUMMYFUNCTION("""COMPUTED_VALUE"""),"Internal Comments")</f>
        <v>Internal Comments</v>
      </c>
      <c r="AN5" s="23" t="str">
        <f>IFERROR(__xludf.DUMMYFUNCTION("""COMPUTED_VALUE"""),"IsAnotherTaxlotAttributesUpdated")</f>
        <v>IsAnotherTaxlotAttributesUpdated</v>
      </c>
      <c r="AO5" s="23" t="str">
        <f>IFERROR(__xludf.DUMMYFUNCTION("""COMPUTED_VALUE"""),"ISIN")</f>
        <v>ISIN</v>
      </c>
      <c r="AP5" s="23" t="str">
        <f>IFERROR(__xludf.DUMMYFUNCTION("""COMPUTED_VALUE"""),"IsManual Group")</f>
        <v>IsManual Group</v>
      </c>
      <c r="AQ5" s="23" t="str">
        <f>IFERROR(__xludf.DUMMYFUNCTION("""COMPUTED_VALUE"""),"ISNDF")</f>
        <v>ISNDF</v>
      </c>
      <c r="AR5" s="23" t="str">
        <f>IFERROR(__xludf.DUMMYFUNCTION("""COMPUTED_VALUE"""),"IsPreAllocated")</f>
        <v>IsPreAllocated</v>
      </c>
      <c r="AS5" s="23" t="str">
        <f>IFERROR(__xludf.DUMMYFUNCTION("""COMPUTED_VALUE"""),"M2MProfitLoss")</f>
        <v>M2MProfitLoss</v>
      </c>
      <c r="AT5" s="23" t="str">
        <f>IFERROR(__xludf.DUMMYFUNCTION("""COMPUTED_VALUE"""),"Net Amount( Base)")</f>
        <v>Net Amount( Base)</v>
      </c>
      <c r="AU5" s="23" t="str">
        <f>IFERROR(__xludf.DUMMYFUNCTION("""COMPUTED_VALUE"""),"Net Amount( Local)")</f>
        <v>Net Amount( Local)</v>
      </c>
      <c r="AV5" s="23" t="str">
        <f>IFERROR(__xludf.DUMMYFUNCTION("""COMPUTED_VALUE"""),"Nirvana Process Date")</f>
        <v>Nirvana Process Date</v>
      </c>
      <c r="AW5" s="23" t="str">
        <f>IFERROR(__xludf.DUMMYFUNCTION("""COMPUTED_VALUE"""),"OCC Fee")</f>
        <v>OCC Fee</v>
      </c>
      <c r="AX5" s="23" t="str">
        <f>IFERROR(__xludf.DUMMYFUNCTION("""COMPUTED_VALUE"""),"Option Premium Adjustment")</f>
        <v>Option Premium Adjustment</v>
      </c>
      <c r="AY5" s="23" t="str">
        <f>IFERROR(__xludf.DUMMYFUNCTION("""COMPUTED_VALUE"""),"Order Type")</f>
        <v>Order Type</v>
      </c>
      <c r="AZ5" s="23" t="str">
        <f>IFERROR(__xludf.DUMMYFUNCTION("""COMPUTED_VALUE"""),"ORF Fee")</f>
        <v>ORF Fee</v>
      </c>
      <c r="BA5" s="23" t="str">
        <f>IFERROR(__xludf.DUMMYFUNCTION("""COMPUTED_VALUE"""),"Original Purchase Date")</f>
        <v>Original Purchase Date</v>
      </c>
      <c r="BB5" s="23" t="str">
        <f>IFERROR(__xludf.DUMMYFUNCTION("""COMPUTED_VALUE"""),"OSISSymbol")</f>
        <v>OSISSymbol</v>
      </c>
      <c r="BC5" s="23" t="str">
        <f>IFERROR(__xludf.DUMMYFUNCTION("""COMPUTED_VALUE"""),"Other Broker Fees")</f>
        <v>Other Broker Fees</v>
      </c>
      <c r="BD5" s="23" t="str">
        <f>IFERROR(__xludf.DUMMYFUNCTION("""COMPUTED_VALUE"""),"Prana Msg Type")</f>
        <v>Prana Msg Type</v>
      </c>
      <c r="BE5" s="23" t="str">
        <f>IFERROR(__xludf.DUMMYFUNCTION("""COMPUTED_VALUE"""),"Principal Amount( Base)")</f>
        <v>Principal Amount( Base)</v>
      </c>
      <c r="BF5" s="23" t="str">
        <f>IFERROR(__xludf.DUMMYFUNCTION("""COMPUTED_VALUE"""),"Principal Amount( Local)")</f>
        <v>Principal Amount( Local)</v>
      </c>
      <c r="BG5" s="23" t="str">
        <f>IFERROR(__xludf.DUMMYFUNCTION("""COMPUTED_VALUE"""),"Process Date")</f>
        <v>Process Date</v>
      </c>
      <c r="BH5" s="23" t="str">
        <f>IFERROR(__xludf.DUMMYFUNCTION("""COMPUTED_VALUE"""),"Proxy Symbol")</f>
        <v>Proxy Symbol</v>
      </c>
      <c r="BI5" s="23" t="str">
        <f>IFERROR(__xludf.DUMMYFUNCTION("""COMPUTED_VALUE"""),"Put Or Call")</f>
        <v>Put Or Call</v>
      </c>
      <c r="BJ5" s="23" t="str">
        <f>IFERROR(__xludf.DUMMYFUNCTION("""COMPUTED_VALUE"""),"Quantity")</f>
        <v>Quantity</v>
      </c>
      <c r="BK5" s="23" t="str">
        <f>IFERROR(__xludf.DUMMYFUNCTION("""COMPUTED_VALUE"""),"SEC Fee")</f>
        <v>SEC Fee</v>
      </c>
      <c r="BL5" s="23" t="str">
        <f>IFERROR(__xludf.DUMMYFUNCTION("""COMPUTED_VALUE"""),"Sedol Symbol")</f>
        <v>Sedol Symbol</v>
      </c>
      <c r="BM5" s="23" t="str">
        <f>IFERROR(__xludf.DUMMYFUNCTION("""COMPUTED_VALUE"""),"Settlement Currency")</f>
        <v>Settlement Currency</v>
      </c>
      <c r="BN5" s="23" t="str">
        <f>IFERROR(__xludf.DUMMYFUNCTION("""COMPUTED_VALUE"""),"Settlement Date")</f>
        <v>Settlement Date</v>
      </c>
      <c r="BO5" s="23" t="str">
        <f>IFERROR(__xludf.DUMMYFUNCTION("""COMPUTED_VALUE"""),"Side")</f>
        <v>Side</v>
      </c>
      <c r="BP5" s="23" t="str">
        <f>IFERROR(__xludf.DUMMYFUNCTION("""COMPUTED_VALUE"""),"Soft Commission")</f>
        <v>Soft Commission</v>
      </c>
      <c r="BQ5" s="23" t="str">
        <f>IFERROR(__xludf.DUMMYFUNCTION("""COMPUTED_VALUE"""),"Soft Commission Per Share")</f>
        <v>Soft Commission Per Share</v>
      </c>
      <c r="BR5" s="23" t="str">
        <f>IFERROR(__xludf.DUMMYFUNCTION("""COMPUTED_VALUE"""),"Stamp Duty")</f>
        <v>Stamp Duty</v>
      </c>
      <c r="BS5" s="23" t="str">
        <f>IFERROR(__xludf.DUMMYFUNCTION("""COMPUTED_VALUE"""),"Strategy Name")</f>
        <v>Strategy Name</v>
      </c>
      <c r="BT5" s="23" t="str">
        <f>IFERROR(__xludf.DUMMYFUNCTION("""COMPUTED_VALUE"""),"Symbol")</f>
        <v>Symbol</v>
      </c>
      <c r="BU5" s="23" t="str">
        <f>IFERROR(__xludf.DUMMYFUNCTION("""COMPUTED_VALUE"""),"Tax On Commissions")</f>
        <v>Tax On Commissions</v>
      </c>
      <c r="BV5" s="23" t="str">
        <f>IFERROR(__xludf.DUMMYFUNCTION("""COMPUTED_VALUE"""),"Total Commission")</f>
        <v>Total Commission</v>
      </c>
      <c r="BW5" s="23" t="str">
        <f>IFERROR(__xludf.DUMMYFUNCTION("""COMPUTED_VALUE"""),"Total Commission And Fee")</f>
        <v>Total Commission And Fee</v>
      </c>
      <c r="BX5" s="23" t="str">
        <f>IFERROR(__xludf.DUMMYFUNCTION("""COMPUTED_VALUE"""),"Total Commission Per Share")</f>
        <v>Total Commission Per Share</v>
      </c>
      <c r="BY5" s="23" t="str">
        <f>IFERROR(__xludf.DUMMYFUNCTION("""COMPUTED_VALUE"""),"Trade Attribute 1")</f>
        <v>Trade Attribute 1</v>
      </c>
      <c r="BZ5" s="23" t="str">
        <f>IFERROR(__xludf.DUMMYFUNCTION("""COMPUTED_VALUE"""),"Trade Attribute 2")</f>
        <v>Trade Attribute 2</v>
      </c>
      <c r="CA5" s="23" t="str">
        <f>IFERROR(__xludf.DUMMYFUNCTION("""COMPUTED_VALUE"""),"Trade Attribute 3")</f>
        <v>Trade Attribute 3</v>
      </c>
      <c r="CB5" s="23" t="str">
        <f>IFERROR(__xludf.DUMMYFUNCTION("""COMPUTED_VALUE"""),"Trade Attribute 4")</f>
        <v>Trade Attribute 4</v>
      </c>
      <c r="CC5" s="23" t="str">
        <f>IFERROR(__xludf.DUMMYFUNCTION("""COMPUTED_VALUE"""),"Trade Attribute 5")</f>
        <v>Trade Attribute 5</v>
      </c>
      <c r="CD5" s="23" t="str">
        <f>IFERROR(__xludf.DUMMYFUNCTION("""COMPUTED_VALUE"""),"Trade Attribute 6")</f>
        <v>Trade Attribute 6</v>
      </c>
      <c r="CE5" s="23" t="str">
        <f>IFERROR(__xludf.DUMMYFUNCTION("""COMPUTED_VALUE"""),"Trade Date")</f>
        <v>Trade Date</v>
      </c>
      <c r="CF5" s="23" t="str">
        <f>IFERROR(__xludf.DUMMYFUNCTION("""COMPUTED_VALUE"""),"Trading Account")</f>
        <v>Trading Account</v>
      </c>
      <c r="CG5" s="23" t="str">
        <f>IFERROR(__xludf.DUMMYFUNCTION("""COMPUTED_VALUE"""),"Transaction Levy")</f>
        <v>Transaction Levy</v>
      </c>
      <c r="CH5" s="23" t="str">
        <f>IFERROR(__xludf.DUMMYFUNCTION("""COMPUTED_VALUE"""),"Transaction Source")</f>
        <v>Transaction Source</v>
      </c>
      <c r="CI5" s="23" t="str">
        <f>IFERROR(__xludf.DUMMYFUNCTION("""COMPUTED_VALUE"""),"Transaction Type")</f>
        <v>Transaction Type</v>
      </c>
      <c r="CJ5" s="23" t="str">
        <f>IFERROR(__xludf.DUMMYFUNCTION("""COMPUTED_VALUE"""),"UnAllocatedQty")</f>
        <v>UnAllocatedQty</v>
      </c>
      <c r="CK5" s="23" t="str">
        <f>IFERROR(__xludf.DUMMYFUNCTION("""COMPUTED_VALUE"""),"Underlying")</f>
        <v>Underlying</v>
      </c>
      <c r="CL5" s="23" t="str">
        <f>IFERROR(__xludf.DUMMYFUNCTION("""COMPUTED_VALUE"""),"Underlying Delta")</f>
        <v>Underlying Delta</v>
      </c>
      <c r="CM5" s="23" t="str">
        <f>IFERROR(__xludf.DUMMYFUNCTION("""COMPUTED_VALUE"""),"Underlying Symbol")</f>
        <v>Underlying Symbol</v>
      </c>
      <c r="CN5" s="23" t="str">
        <f>IFERROR(__xludf.DUMMYFUNCTION("""COMPUTED_VALUE"""),"User")</f>
        <v>User</v>
      </c>
      <c r="CO5" s="23" t="str">
        <f>IFERROR(__xludf.DUMMYFUNCTION("""COMPUTED_VALUE"""),"Venue")</f>
        <v>Venue</v>
      </c>
      <c r="CP5" s="23" t="str">
        <f>IFERROR(__xludf.DUMMYFUNCTION("""COMPUTED_VALUE"""),"Closing Method")</f>
        <v>Closing Method</v>
      </c>
      <c r="CQ5" s="23" t="str">
        <f>IFERROR(__xludf.DUMMYFUNCTION("""COMPUTED_VALUE"""),"Closing Date")</f>
        <v>Closing Date</v>
      </c>
      <c r="CR5" s="23" t="str">
        <f>IFERROR(__xludf.DUMMYFUNCTION("""COMPUTED_VALUE"""),"GroupID")</f>
        <v>GroupID</v>
      </c>
      <c r="CS5" s="23" t="str">
        <f>IFERROR(__xludf.DUMMYFUNCTION("""COMPUTED_VALUE"""),"Client")</f>
        <v>Client</v>
      </c>
      <c r="CT5" s="23" t="str">
        <f>IFERROR(__xludf.DUMMYFUNCTION("""COMPUTED_VALUE"""),"Borrow Broker")</f>
        <v>Borrow Broker</v>
      </c>
      <c r="CU5" s="23" t="str">
        <f>IFERROR(__xludf.DUMMYFUNCTION("""COMPUTED_VALUE"""),"ACTIV Symbol")</f>
        <v>ACTIV Symbol</v>
      </c>
      <c r="CV5" s="23" t="str">
        <f>IFERROR(__xludf.DUMMYFUNCTION("""COMPUTED_VALUE"""),"Borrower Id")</f>
        <v>Borrower Id</v>
      </c>
      <c r="CW5" s="23" t="str">
        <f>IFERROR(__xludf.DUMMYFUNCTION("""COMPUTED_VALUE"""),"Borrow Rate(%)")</f>
        <v>Borrow Rate(%)</v>
      </c>
      <c r="CX5" s="23" t="str">
        <f>IFERROR(__xludf.DUMMYFUNCTION("""COMPUTED_VALUE"""),"Master Fund")</f>
        <v>Master Fund</v>
      </c>
      <c r="CY5" s="23" t="str">
        <f>IFERROR(__xludf.DUMMYFUNCTION("""COMPUTED_VALUE"""),"MandatoryColumn")</f>
        <v>MandatoryColumn</v>
      </c>
      <c r="CZ5" s="23" t="str">
        <f>IFERROR(__xludf.DUMMYFUNCTION("""COMPUTED_VALUE"""),"Testing Type")</f>
        <v>Testing Type</v>
      </c>
      <c r="DA5" s="23" t="str">
        <f>IFERROR(__xludf.DUMMYFUNCTION("""COMPUTED_VALUE"""),"Testing Column")</f>
        <v>Testing Column</v>
      </c>
      <c r="DB5" s="23" t="str">
        <f>IFERROR(__xludf.DUMMYFUNCTION("""COMPUTED_VALUE"""),"Testing Col Value")</f>
        <v>Testing Col Value</v>
      </c>
      <c r="DC5" s="23" t="str">
        <f>IFERROR(__xludf.DUMMYFUNCTION("""COMPUTED_VALUE"""),"DuplicateRow")</f>
        <v>DuplicateRow</v>
      </c>
      <c r="DD5" s="23" t="str">
        <f>IFERROR(__xludf.DUMMYFUNCTION("""COMPUTED_VALUE"""),"DuplicateCountOnUI")</f>
        <v>DuplicateCountOnUI</v>
      </c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30" t="s">
        <v>30</v>
      </c>
      <c r="C6" s="30" t="s">
        <v>31</v>
      </c>
      <c r="D6" s="6"/>
      <c r="E6" s="30">
        <v>500.0</v>
      </c>
      <c r="F6" s="30" t="s">
        <v>23</v>
      </c>
      <c r="G6" s="30" t="s">
        <v>32</v>
      </c>
      <c r="H6" s="30">
        <v>4.0</v>
      </c>
      <c r="I6" s="30">
        <v>5.0</v>
      </c>
      <c r="J6" s="30">
        <v>1.0</v>
      </c>
      <c r="K6" s="30">
        <v>10.0</v>
      </c>
      <c r="L6" s="30">
        <v>10.0</v>
      </c>
      <c r="M6" s="30" t="s">
        <v>33</v>
      </c>
      <c r="N6" s="30" t="s">
        <v>34</v>
      </c>
      <c r="O6" s="30" t="s">
        <v>35</v>
      </c>
      <c r="Q6" s="10">
        <v>3.0</v>
      </c>
      <c r="S6" s="10" t="s">
        <v>36</v>
      </c>
      <c r="V6" s="10" t="s">
        <v>37</v>
      </c>
      <c r="Z6" s="10" t="s">
        <v>38</v>
      </c>
      <c r="AD6" s="10" t="s">
        <v>39</v>
      </c>
      <c r="AE6" s="10">
        <v>500.0</v>
      </c>
      <c r="AH6" s="10" t="s">
        <v>40</v>
      </c>
      <c r="AI6" s="10">
        <v>1.0</v>
      </c>
      <c r="AJ6" s="10" t="s">
        <v>41</v>
      </c>
      <c r="AP6" s="10" t="b">
        <v>1</v>
      </c>
      <c r="AR6" s="10" t="b">
        <v>0</v>
      </c>
      <c r="AT6" s="34">
        <v>5014.0028</v>
      </c>
      <c r="AU6" s="34">
        <v>5014.0028</v>
      </c>
      <c r="AY6" s="10" t="s">
        <v>42</v>
      </c>
      <c r="BE6" s="10">
        <v>5000.0</v>
      </c>
      <c r="BF6" s="10">
        <v>5000.0</v>
      </c>
      <c r="BJ6" s="10">
        <v>500.0</v>
      </c>
      <c r="BM6" s="10" t="s">
        <v>38</v>
      </c>
      <c r="BO6" s="25" t="s">
        <v>17</v>
      </c>
      <c r="BS6" s="10" t="s">
        <v>43</v>
      </c>
      <c r="BT6" s="10" t="s">
        <v>16</v>
      </c>
      <c r="BW6" s="10">
        <v>14.0028</v>
      </c>
      <c r="CF6" s="10" t="s">
        <v>44</v>
      </c>
      <c r="CH6" s="10" t="s">
        <v>12</v>
      </c>
      <c r="CJ6" s="10">
        <v>0.0</v>
      </c>
      <c r="CM6" s="10" t="s">
        <v>16</v>
      </c>
      <c r="CN6" s="10" t="s">
        <v>45</v>
      </c>
      <c r="CO6" s="10" t="s">
        <v>39</v>
      </c>
      <c r="CX6" s="10" t="s">
        <v>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