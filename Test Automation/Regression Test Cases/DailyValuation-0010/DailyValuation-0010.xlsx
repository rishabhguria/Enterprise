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lankMarkPrices" sheetId="4" r:id="rId6"/>
    <sheet state="visible" name="CreateDoneAwayOrder" sheetId="5" r:id="rId7"/>
    <sheet state="visible" name="GetMarkPriceData" sheetId="6" r:id="rId8"/>
    <sheet state="visible" name="UpateSymbolBlankMP" sheetId="7" r:id="rId9"/>
    <sheet state="visible" name="FilterBlankMP" sheetId="8" r:id="rId10"/>
    <sheet state="visible" name="UpdateBlankMP" sheetId="9" r:id="rId11"/>
    <sheet state="visible" name="CheckPortfolioManagement" sheetId="10" r:id="rId12"/>
    <sheet state="visible" name="GetAccountBalance" sheetId="11" r:id="rId13"/>
    <sheet state="visible" name="VerifyAccountBalances" sheetId="12" r:id="rId14"/>
    <sheet state="visible" name="GetRevaluationData" sheetId="13" r:id="rId15"/>
    <sheet state="visible" name="VerifyRevaluationData" sheetId="14" r:id="rId16"/>
  </sheets>
  <definedNames/>
  <calcPr/>
</workbook>
</file>

<file path=xl/sharedStrings.xml><?xml version="1.0" encoding="utf-8"?>
<sst xmlns="http://schemas.openxmlformats.org/spreadsheetml/2006/main" count="171" uniqueCount="53">
  <si>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</si>
  <si>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</si>
  <si>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</si>
  <si>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</si>
  <si>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</si>
  <si>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</si>
  <si>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</si>
  <si>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</si>
  <si>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</si>
  <si>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</si>
  <si>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</si>
  <si>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</si>
  <si>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</si>
  <si>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EnableBlankMarkPrices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</si>
  <si>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</si>
  <si>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</si>
  <si>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</si>
  <si>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</si>
  <si>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</si>
  <si>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</si>
  <si>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</si>
  <si>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GetMarkPriceData</t>
  </si>
  <si>
    <t>UpateSymbolBlankMP</t>
  </si>
  <si>
    <t>FilterBlankMP</t>
  </si>
  <si>
    <t>Account</t>
  </si>
  <si>
    <t>All</t>
  </si>
  <si>
    <t>UpdateBlankMP</t>
  </si>
  <si>
    <t>MSFT US EQUITY</t>
  </si>
  <si>
    <t>PortfolioManagement</t>
  </si>
  <si>
    <t>CheckPortfolioManagement</t>
  </si>
  <si>
    <t>NewMF</t>
  </si>
  <si>
    <t>Long</t>
  </si>
  <si>
    <t>Strategy Unallocated</t>
  </si>
  <si>
    <t>Equity</t>
  </si>
  <si>
    <t>US</t>
  </si>
  <si>
    <t>NASDAQ</t>
  </si>
  <si>
    <t>GeneralLedger</t>
  </si>
  <si>
    <t>GetAccountBalance</t>
  </si>
  <si>
    <t>VerifyAccountBalances</t>
  </si>
  <si>
    <t>Investment - Long Equity</t>
  </si>
  <si>
    <t>Asset</t>
  </si>
  <si>
    <t>Trade Transaction</t>
  </si>
  <si>
    <t>USD</t>
  </si>
  <si>
    <t>Cash</t>
  </si>
  <si>
    <t>Equity UnRealized Profit And Loss</t>
  </si>
  <si>
    <t>Income</t>
  </si>
  <si>
    <t>Equity Long Revaluation</t>
  </si>
  <si>
    <t>GetRevaluationData</t>
  </si>
  <si>
    <t>VerifyRevaluationData</t>
  </si>
  <si>
    <t>Equity UnRealized Profit And Loss [Income]</t>
  </si>
  <si>
    <t>DR</t>
  </si>
  <si>
    <t>Equity Long Revaluation [Asset]</t>
  </si>
  <si>
    <t>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</si>
</sst>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  <name val="Inconsolata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6" fontId="14" numFmtId="14" xfId="0" applyFill="1" applyFont="1" applyNumberFormat="1"/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>
      <c r="A615" t="str">
        <f>IFERROR(__xludf.DUMMYFUNCTION("""COMPUTED_VALUE"""),"SymbolLookup")</f>
        <v>SymbolLookup</v>
      </c>
      <c r="B615" t="str">
        <f>IFERROR(__xludf.DUMMYFUNCTION("""COMPUTED_VALUE"""),"SelectFromSMGridUI")</f>
        <v>SelectFromSMGridUI</v>
      </c>
      <c r="C615" t="str">
        <f>IFERROR(__xludf.DUMMYFUNCTION("""COMPUTED_VALUE"""),"1ywzFM2r--rfbRBBhj8dWR_174n0GJlN_5lVk5fP-EiQ")</f>
        <v>1ywzFM2r--rfbRBBhj8dWR_174n0GJlN_5lVk5fP-EiQ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IFERROR(__xludf.DUMMYFUNCTION("""COMPUTED_VALUE"""),"EditSMGridUi")</f>
        <v>EditSMGridUi</v>
      </c>
      <c r="C616" t="str">
        <f>IFERROR(__xludf.DUMMYFUNCTION("""COMPUTED_VALUE"""),"1l5FAkKhuW5nlw2IdKTrGdt79R2Zz2AccmJfeG28b9-U")</f>
        <v>1l5FAkKhuW5nlw2IdKTrGdt79R2Zz2AccmJfeG28b9-U</v>
      </c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IFERROR(__xludf.DUMMYFUNCTION("""COMPUTED_VALUE"""),"IsDefaultFilterToShowAccountWiseDataOnDailyValuation")</f>
        <v>IsDefaultFilterToShowAccountWiseDataOnDailyValuation</v>
      </c>
      <c r="C5" s="28" t="str">
        <f>IFERROR(__xludf.DUMMYFUNCTION("""COMPUTED_VALUE"""),"IsFilteringAccountWiseDataAllowedOnDailyValuation")</f>
        <v>IsFilteringAccountWiseDataAllowedOnDailyValuation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b">
        <v>1</v>
      </c>
      <c r="C6" s="31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EnableBlankMarkPrices!$4:$4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2" t="s">
        <v>19</v>
      </c>
      <c r="D6" s="33">
        <v>100.0</v>
      </c>
      <c r="E6" s="32"/>
      <c r="F6" s="32" t="s">
        <v>20</v>
      </c>
      <c r="G6" s="32"/>
      <c r="H6" s="32"/>
      <c r="I6" s="32"/>
      <c r="J6" s="33">
        <v>10.0</v>
      </c>
      <c r="K6" s="32"/>
      <c r="L6" s="32"/>
      <c r="M6" s="32"/>
      <c r="N6" s="34">
        <f>TODAY()-1</f>
        <v>44885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f t="shared" ref="B6:C6" si="1">TODAY()-1</f>
        <v>44885</v>
      </c>
      <c r="C6" s="34">
        <f t="shared" si="1"/>
        <v>44885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IFERROR(__xludf.DUMMYFUNCTION("""COMPUTED_VALUE"""),"Enter Symbol")</f>
        <v>Enter Symbol</v>
      </c>
      <c r="C5" s="28" t="str">
        <f>IFERROR(__xludf.DUMMYFUNCTION("""COMPUTED_VALUE"""),"Copy From")</f>
        <v>Copy From</v>
      </c>
      <c r="D5" s="28" t="str">
        <f>IFERROR(__xludf.DUMMYFUNCTION("""COMPUTED_VALUE"""),"Copy To")</f>
        <v>Copy To</v>
      </c>
      <c r="E5" s="28" t="str">
        <f>IFERROR(__xludf.DUMMYFUNCTION("""COMPUTED_VALUE"""),"Click On Copy")</f>
        <v>Click On Copy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UpateSymbolBlankMP!$4:$4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24</v>
      </c>
      <c r="C6" s="36" t="s">
        <v>25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36" t="s">
        <v>27</v>
      </c>
      <c r="D6" s="36" t="s">
        <v>20</v>
      </c>
      <c r="E6" s="33">
        <v>15.0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37" t="s">
        <v>18</v>
      </c>
      <c r="D6" s="38">
        <v>100.0</v>
      </c>
      <c r="E6" s="37" t="s">
        <v>20</v>
      </c>
      <c r="F6" s="37" t="s">
        <v>30</v>
      </c>
      <c r="G6" s="8"/>
      <c r="H6" s="37" t="s">
        <v>31</v>
      </c>
      <c r="I6" s="38">
        <v>0.0</v>
      </c>
      <c r="J6" s="8"/>
      <c r="K6" s="8"/>
      <c r="L6" s="8"/>
      <c r="M6" s="8"/>
      <c r="N6" s="39">
        <v>-1500.0</v>
      </c>
      <c r="O6" s="8"/>
      <c r="P6" s="9">
        <v>15.0</v>
      </c>
      <c r="S6" s="37" t="s">
        <v>32</v>
      </c>
      <c r="T6" s="37" t="s">
        <v>33</v>
      </c>
      <c r="U6" s="37" t="s">
        <v>34</v>
      </c>
      <c r="V6" s="37" t="s">
        <v>35</v>
      </c>
      <c r="Y6" s="38">
        <v>1.0</v>
      </c>
      <c r="AN6" s="37" t="s">
        <v>19</v>
      </c>
      <c r="AQ6" s="37" t="s">
        <v>18</v>
      </c>
      <c r="AR6" s="38">
        <v>0.0</v>
      </c>
      <c r="AS6" s="38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20</v>
      </c>
      <c r="D6" s="40">
        <f>TODAY()</f>
        <v>44886</v>
      </c>
      <c r="E6" s="4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IFERROR(__xludf.DUMMYFUNCTION("""COMPUTED_VALUE"""),"A/c")</f>
        <v>A/c</v>
      </c>
      <c r="D5" s="28" t="str">
        <f>IFERROR(__xludf.DUMMYFUNCTION("""COMPUTED_VALUE"""),"Master A/c")</f>
        <v>Master A/c</v>
      </c>
      <c r="E5" s="28" t="str">
        <f>IFERROR(__xludf.DUMMYFUNCTION("""COMPUTED_VALUE"""),"A/c Type")</f>
        <v>A/c Type</v>
      </c>
      <c r="F5" s="29" t="str">
        <f>IFERROR(__xludf.DUMMYFUNCTION("""COMPUTED_VALUE"""),"Currency")</f>
        <v>Currency</v>
      </c>
      <c r="G5" s="28" t="str">
        <f>IFERROR(__xludf.DUMMYFUNCTION("""COMPUTED_VALUE"""),"Closing Balance (Dr)")</f>
        <v>Closing Balance (Dr)</v>
      </c>
      <c r="H5" s="28" t="str">
        <f>IFERROR(__xludf.DUMMYFUNCTION("""COMPUTED_VALUE"""),"Closing Balance (Cr)")</f>
        <v>Closing Balance (Cr)</v>
      </c>
      <c r="I5" s="28" t="str">
        <f>IFERROR(__xludf.DUMMYFUNCTION("""COMPUTED_VALUE"""),"Closing Balance Base (Dr)")</f>
        <v>Closing Balance Base (Dr)</v>
      </c>
      <c r="J5" s="28" t="str">
        <f>IFERROR(__xludf.DUMMYFUNCTION("""COMPUTED_VALUE"""),"Closing Balance Base (Cr)")</f>
        <v>Closing Balance Base (Cr)</v>
      </c>
      <c r="K5" s="28" t="str">
        <f>IFERROR(__xludf.DUMMYFUNCTION("""COMPUTED_VALUE"""),"SubCategory A/c")</f>
        <v>SubCategory A/c</v>
      </c>
      <c r="L5" s="28" t="str">
        <f>IFERROR(__xludf.DUMMYFUNCTION("""COMPUTED_VALUE"""),"Opening Balance Date")</f>
        <v>Opening Balance Date</v>
      </c>
      <c r="M5" s="28" t="str">
        <f>IFERROR(__xludf.DUMMYFUNCTION("""COMPUTED_VALUE"""),"TransactionDate")</f>
        <v>TransactionDate</v>
      </c>
      <c r="N5" s="28" t="str">
        <f>IFERROR(__xludf.DUMMYFUNCTION("""COMPUTED_VALUE"""),"Opening Balance (Dr)")</f>
        <v>Opening Balance (Dr)</v>
      </c>
      <c r="O5" s="28" t="str">
        <f>IFERROR(__xludf.DUMMYFUNCTION("""COMPUTED_VALUE"""),"Opening Balance (Cr)")</f>
        <v>Opening Balance (Cr)</v>
      </c>
      <c r="P5" s="28" t="str">
        <f>IFERROR(__xludf.DUMMYFUNCTION("""COMPUTED_VALUE"""),"Day Balance (Dr)")</f>
        <v>Day Balance (Dr)</v>
      </c>
      <c r="Q5" s="28" t="str">
        <f>IFERROR(__xludf.DUMMYFUNCTION("""COMPUTED_VALUE"""),"Day Balance (Cr)")</f>
        <v>Day Balance (Cr)</v>
      </c>
      <c r="R5" s="28" t="str">
        <f>IFERROR(__xludf.DUMMYFUNCTION("""COMPUTED_VALUE"""),"Opening Balance Base (Dr)")</f>
        <v>Opening Balance Base (Dr)</v>
      </c>
      <c r="S5" s="28" t="str">
        <f>IFERROR(__xludf.DUMMYFUNCTION("""COMPUTED_VALUE"""),"Opening Balance Base (Cr)")</f>
        <v>Opening Balance Base (Cr)</v>
      </c>
      <c r="T5" s="30" t="str">
        <f>IFERROR(__xludf.DUMMYFUNCTION("""COMPUTED_VALUE"""),"Day Balance Base (Dr)")</f>
        <v>Day Balance Base (Dr)</v>
      </c>
      <c r="U5" s="30" t="str">
        <f>IFERROR(__xludf.DUMMYFUNCTION("""COMPUTED_VALUE"""),"Day Balance Base (Cr)")</f>
        <v>Day Balance Base (Cr)</v>
      </c>
      <c r="V5" s="30" t="str">
        <f>IFERROR(__xludf.DUMMYFUNCTION("""COMPUTED_VALUE"""),"Base Currency")</f>
        <v>Base Currency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39</v>
      </c>
      <c r="D6" s="13" t="s">
        <v>40</v>
      </c>
      <c r="E6" s="13" t="s">
        <v>41</v>
      </c>
      <c r="F6" s="13" t="s">
        <v>42</v>
      </c>
      <c r="G6" s="13">
        <v>1014.0006</v>
      </c>
      <c r="H6" s="13">
        <v>0.0</v>
      </c>
      <c r="I6" s="13">
        <v>1014.0006</v>
      </c>
      <c r="J6" s="13">
        <v>0.0</v>
      </c>
      <c r="K6" s="8"/>
      <c r="N6" s="13">
        <v>1014.0006</v>
      </c>
      <c r="O6" s="13">
        <v>0.0</v>
      </c>
      <c r="P6" s="13"/>
      <c r="Q6" s="13"/>
      <c r="R6" s="13">
        <v>1014.0006</v>
      </c>
      <c r="S6" s="9">
        <v>0.0</v>
      </c>
      <c r="V6" s="9" t="s">
        <v>42</v>
      </c>
    </row>
    <row r="7" ht="15.75" customHeight="1">
      <c r="A7" s="8"/>
      <c r="B7" s="13" t="s">
        <v>20</v>
      </c>
      <c r="C7" s="13" t="s">
        <v>43</v>
      </c>
      <c r="D7" s="13" t="s">
        <v>43</v>
      </c>
      <c r="E7" s="13" t="s">
        <v>43</v>
      </c>
      <c r="F7" s="13" t="s">
        <v>42</v>
      </c>
      <c r="G7" s="13">
        <v>0.0</v>
      </c>
      <c r="H7" s="13">
        <v>1014.0006</v>
      </c>
      <c r="I7" s="13">
        <v>0.0</v>
      </c>
      <c r="J7" s="13">
        <v>1014.0006</v>
      </c>
      <c r="K7" s="8"/>
      <c r="N7" s="13">
        <v>0.0</v>
      </c>
      <c r="O7" s="13">
        <v>1014.0006</v>
      </c>
      <c r="P7" s="13"/>
      <c r="Q7" s="13"/>
      <c r="R7" s="13">
        <v>0.0</v>
      </c>
      <c r="S7" s="9">
        <v>1014.0006</v>
      </c>
      <c r="V7" s="9" t="s">
        <v>42</v>
      </c>
    </row>
    <row r="8" ht="15.75" customHeight="1">
      <c r="A8" s="8"/>
      <c r="B8" s="13" t="s">
        <v>20</v>
      </c>
      <c r="C8" s="13" t="s">
        <v>44</v>
      </c>
      <c r="D8" s="13" t="s">
        <v>45</v>
      </c>
      <c r="E8" s="13" t="s">
        <v>41</v>
      </c>
      <c r="F8" s="13" t="s">
        <v>42</v>
      </c>
      <c r="G8" s="13">
        <v>1014.0</v>
      </c>
      <c r="H8" s="13">
        <v>0.0</v>
      </c>
      <c r="I8" s="13">
        <v>1014.0</v>
      </c>
      <c r="J8" s="13">
        <v>0.0</v>
      </c>
      <c r="K8" s="8"/>
      <c r="L8" s="8"/>
      <c r="M8" s="8"/>
      <c r="N8" s="13">
        <v>0.0</v>
      </c>
      <c r="O8" s="13">
        <v>486.0</v>
      </c>
      <c r="R8" s="9">
        <v>0.0</v>
      </c>
      <c r="S8" s="9">
        <v>486.0</v>
      </c>
      <c r="V8" s="9" t="s">
        <v>42</v>
      </c>
    </row>
    <row r="9" ht="15.75" customHeight="1">
      <c r="A9" s="8"/>
      <c r="B9" s="13" t="s">
        <v>20</v>
      </c>
      <c r="C9" s="13" t="s">
        <v>46</v>
      </c>
      <c r="D9" s="13" t="s">
        <v>40</v>
      </c>
      <c r="E9" s="13" t="s">
        <v>41</v>
      </c>
      <c r="F9" s="13" t="s">
        <v>42</v>
      </c>
      <c r="G9" s="13">
        <v>0.0</v>
      </c>
      <c r="H9" s="13">
        <v>1014.0</v>
      </c>
      <c r="I9" s="13">
        <v>0.0</v>
      </c>
      <c r="J9" s="13">
        <v>1014.0</v>
      </c>
      <c r="K9" s="8"/>
      <c r="L9" s="8"/>
      <c r="M9" s="8"/>
      <c r="N9" s="13">
        <v>486.0</v>
      </c>
      <c r="O9" s="13">
        <v>0.0</v>
      </c>
      <c r="R9" s="9">
        <v>486.0</v>
      </c>
      <c r="S9" s="9">
        <v>0.0</v>
      </c>
      <c r="V9" s="9" t="s">
        <v>42</v>
      </c>
    </row>
    <row r="10" ht="15.75" customHeight="1">
      <c r="A10" s="8"/>
      <c r="B10" s="8"/>
      <c r="C10" s="8"/>
      <c r="D10" s="8"/>
      <c r="E10" s="8"/>
      <c r="F10" s="13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VerifyAccountBalances!$4:$4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20</v>
      </c>
      <c r="D6" s="34">
        <f>TODAY()-1</f>
        <v>44885</v>
      </c>
      <c r="E6" s="34">
        <f>TODAY()</f>
        <v>44886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IFERROR(__xludf.DUMMYFUNCTION("""COMPUTED_VALUE"""),"Currency")</f>
        <v>Currency</v>
      </c>
      <c r="F5" s="29" t="str">
        <f>IFERROR(__xludf.DUMMYFUNCTION("""COMPUTED_VALUE"""),"Cash Sub-Account")</f>
        <v>Cash Sub-Account</v>
      </c>
      <c r="G5" s="28" t="str">
        <f>IFERROR(__xludf.DUMMYFUNCTION("""COMPUTED_VALUE"""),"DR")</f>
        <v>DR</v>
      </c>
      <c r="H5" s="28" t="str">
        <f>IFERROR(__xludf.DUMMYFUNCTION("""COMPUTED_VALUE"""),"CR")</f>
        <v>CR</v>
      </c>
      <c r="I5" s="28" t="str">
        <f>IFERROR(__xludf.DUMMYFUNCTION("""COMPUTED_VALUE"""),"Modify Date")</f>
        <v>Modify Date</v>
      </c>
      <c r="J5" s="28" t="str">
        <f>IFERROR(__xludf.DUMMYFUNCTION("""COMPUTED_VALUE"""),"Entry Date")</f>
        <v>Entry Date</v>
      </c>
      <c r="K5" s="28" t="str">
        <f>IFERROR(__xludf.DUMMYFUNCTION("""COMPUTED_VALUE"""),"User")</f>
        <v>User</v>
      </c>
      <c r="L5" s="28" t="str">
        <f>IFERROR(__xludf.DUMMYFUNCTION("""COMPUTED_VALUE"""),"Fx Rate")</f>
        <v>Fx Rate</v>
      </c>
      <c r="M5" s="28" t="str">
        <f>IFERROR(__xludf.DUMMYFUNCTION("""COMPUTED_VALUE"""),"FX Conversion Method Operator")</f>
        <v>FX Conversion Method Operator</v>
      </c>
      <c r="N5" s="28" t="str">
        <f>IFERROR(__xludf.DUMMYFUNCTION("""COMPUTED_VALUE"""),"Account Side")</f>
        <v>Account Side</v>
      </c>
      <c r="O5" s="28" t="str">
        <f>IFERROR(__xludf.DUMMYFUNCTION("""COMPUTED_VALUE"""),"TransactionSource")</f>
        <v>TransactionSource</v>
      </c>
      <c r="P5" s="28" t="str">
        <f>IFERROR(__xludf.DUMMYFUNCTION("""COMPUTED_VALUE"""),"Base Currency")</f>
        <v>Base Currency</v>
      </c>
      <c r="Q5" s="28" t="str">
        <f>IFERROR(__xludf.DUMMYFUNCTION("""COMPUTED_VALUE"""),"Description")</f>
        <v>Description</v>
      </c>
      <c r="R5" s="28" t="str">
        <f>IFERROR(__xludf.DUMMYFUNCTION("""COMPUTED_VALUE"""),"DR (Base)")</f>
        <v>DR (Base)</v>
      </c>
      <c r="S5" s="28" t="str">
        <f>IFERROR(__xludf.DUMMYFUNCTION("""COMPUTED_VALUE"""),"CR (Base)")</f>
        <v>CR (Base)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20</v>
      </c>
      <c r="D6" s="13" t="s">
        <v>18</v>
      </c>
      <c r="E6" s="13" t="s">
        <v>42</v>
      </c>
      <c r="F6" s="13" t="s">
        <v>49</v>
      </c>
      <c r="G6" s="13">
        <v>486.0</v>
      </c>
      <c r="H6" s="13">
        <v>0.0</v>
      </c>
      <c r="I6" s="8"/>
      <c r="J6" s="8"/>
      <c r="K6" s="8"/>
      <c r="L6" s="13">
        <v>1.0</v>
      </c>
      <c r="N6" s="42" t="s">
        <v>50</v>
      </c>
      <c r="O6" s="8"/>
      <c r="P6" s="13" t="s">
        <v>42</v>
      </c>
      <c r="R6" s="9">
        <v>486.0</v>
      </c>
      <c r="S6" s="9">
        <v>0.0</v>
      </c>
    </row>
    <row r="7" ht="15.75" customHeight="1">
      <c r="A7" s="8"/>
      <c r="B7" s="8"/>
      <c r="C7" s="13" t="s">
        <v>20</v>
      </c>
      <c r="D7" s="13" t="s">
        <v>18</v>
      </c>
      <c r="E7" s="13" t="s">
        <v>42</v>
      </c>
      <c r="F7" s="13" t="s">
        <v>51</v>
      </c>
      <c r="G7" s="13">
        <v>0.0</v>
      </c>
      <c r="H7" s="13">
        <v>486.0</v>
      </c>
      <c r="I7" s="8"/>
      <c r="J7" s="8"/>
      <c r="K7" s="8"/>
      <c r="L7" s="13">
        <v>1.0</v>
      </c>
      <c r="N7" s="42" t="s">
        <v>52</v>
      </c>
      <c r="O7" s="8"/>
      <c r="P7" s="13" t="s">
        <v>42</v>
      </c>
      <c r="R7" s="9">
        <v>0.0</v>
      </c>
      <c r="S7" s="9">
        <v>486.0</v>
      </c>
    </row>
    <row r="8" ht="15.75" customHeight="1">
      <c r="A8" s="8"/>
      <c r="B8" s="8"/>
      <c r="C8" s="13" t="s">
        <v>20</v>
      </c>
      <c r="D8" s="13" t="s">
        <v>18</v>
      </c>
      <c r="E8" s="13" t="s">
        <v>42</v>
      </c>
      <c r="F8" s="13" t="s">
        <v>49</v>
      </c>
      <c r="G8" s="13">
        <v>1014.0</v>
      </c>
      <c r="H8" s="13">
        <v>0.0</v>
      </c>
      <c r="I8" s="8"/>
      <c r="J8" s="8"/>
      <c r="K8" s="8"/>
      <c r="L8" s="13">
        <v>1.0</v>
      </c>
      <c r="M8" s="8"/>
      <c r="N8" s="42" t="s">
        <v>50</v>
      </c>
      <c r="O8" s="8"/>
      <c r="P8" s="13" t="s">
        <v>42</v>
      </c>
      <c r="R8" s="9">
        <v>1014.0</v>
      </c>
      <c r="S8" s="9">
        <v>0.0</v>
      </c>
    </row>
    <row r="9" ht="15.75" customHeight="1">
      <c r="A9" s="8"/>
      <c r="B9" s="8"/>
      <c r="C9" s="13" t="s">
        <v>20</v>
      </c>
      <c r="D9" s="13" t="s">
        <v>18</v>
      </c>
      <c r="E9" s="13" t="s">
        <v>42</v>
      </c>
      <c r="F9" s="13" t="s">
        <v>51</v>
      </c>
      <c r="G9" s="13">
        <v>0.0</v>
      </c>
      <c r="H9" s="13">
        <v>1014.0</v>
      </c>
      <c r="I9" s="8"/>
      <c r="J9" s="8"/>
      <c r="K9" s="8"/>
      <c r="L9" s="13">
        <v>1.0</v>
      </c>
      <c r="M9" s="8"/>
      <c r="N9" s="42" t="s">
        <v>52</v>
      </c>
      <c r="O9" s="8"/>
      <c r="P9" s="13" t="s">
        <v>42</v>
      </c>
      <c r="R9" s="9">
        <v>0.0</v>
      </c>
      <c r="S9" s="9">
        <v>1014.0</v>
      </c>
    </row>
    <row r="10" ht="15.75" customHeight="1">
      <c r="C10" s="9" t="s">
        <v>20</v>
      </c>
      <c r="D10" s="9" t="s">
        <v>18</v>
      </c>
      <c r="E10" s="9" t="s">
        <v>42</v>
      </c>
      <c r="F10" s="9" t="s">
        <v>51</v>
      </c>
      <c r="G10" s="9">
        <v>486.0</v>
      </c>
      <c r="H10" s="9">
        <v>0.0</v>
      </c>
      <c r="L10" s="13">
        <v>1.0</v>
      </c>
      <c r="N10" s="42" t="s">
        <v>50</v>
      </c>
      <c r="P10" s="13" t="s">
        <v>42</v>
      </c>
      <c r="R10" s="9">
        <v>486.0</v>
      </c>
      <c r="S10" s="9">
        <v>0.0</v>
      </c>
    </row>
    <row r="11" ht="15.75" customHeight="1">
      <c r="C11" s="9" t="s">
        <v>20</v>
      </c>
      <c r="D11" s="9" t="s">
        <v>18</v>
      </c>
      <c r="E11" s="9" t="s">
        <v>42</v>
      </c>
      <c r="F11" s="9" t="s">
        <v>49</v>
      </c>
      <c r="G11" s="9">
        <v>0.0</v>
      </c>
      <c r="H11" s="9">
        <v>486.0</v>
      </c>
      <c r="L11" s="13">
        <v>1.0</v>
      </c>
      <c r="N11" s="42" t="s">
        <v>52</v>
      </c>
      <c r="P11" s="13" t="s">
        <v>42</v>
      </c>
      <c r="R11" s="9">
        <v>0.0</v>
      </c>
      <c r="S11" s="9">
        <v>486.0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