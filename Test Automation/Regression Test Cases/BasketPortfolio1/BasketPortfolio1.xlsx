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PricingInput" sheetId="8" r:id="rId10"/>
    <sheet state="visible" name="GetMarkPriceData" sheetId="9" r:id="rId11"/>
    <sheet state="visible" name="UpdateMarkPrice" sheetId="10" r:id="rId12"/>
    <sheet state="visible" name="GetForexConversion" sheetId="11" r:id="rId13"/>
    <sheet state="visible" name="UpdateForexConversion" sheetId="12" r:id="rId14"/>
    <sheet state="visible" name="GetCashTransaction" sheetId="13" r:id="rId15"/>
    <sheet state="visible" name="AddCashTransaction" sheetId="14" r:id="rId16"/>
    <sheet state="visible" name="GetAccountBalance" sheetId="15" r:id="rId17"/>
  </sheets>
  <definedNames/>
  <calcPr/>
</workbook>
</file>

<file path=xl/sharedStrings.xml><?xml version="1.0" encoding="utf-8"?>
<sst xmlns="http://schemas.openxmlformats.org/spreadsheetml/2006/main" count="142" uniqueCount="45">
  <si>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</si>
  <si>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</si>
  <si>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</si>
  <si>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</si>
  <si>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</si>
  <si>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</si>
  <si>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</si>
  <si>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</si>
  <si>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</si>
  <si>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</si>
  <si>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</si>
  <si>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</si>
  <si>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</si>
  <si>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</si>
  <si>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</si>
  <si>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</si>
  <si>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</si>
  <si>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</si>
  <si>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Allocation1</t>
  </si>
  <si>
    <t>FRU-TC</t>
  </si>
  <si>
    <t>MSFT</t>
  </si>
  <si>
    <t>DBLSX</t>
  </si>
  <si>
    <t>O:COP 14O62.50</t>
  </si>
  <si>
    <t>ES U2</t>
  </si>
  <si>
    <t>Allocation</t>
  </si>
  <si>
    <t>GetDataAllocation</t>
  </si>
  <si>
    <t>Historical</t>
  </si>
  <si>
    <t>SelectAllocatedGroup</t>
  </si>
  <si>
    <t>Buy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</si>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</sst>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8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7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>
        <v>100.0</v>
      </c>
      <c r="D6" s="32">
        <v>2.0</v>
      </c>
      <c r="E6" s="33" t="s">
        <v>17</v>
      </c>
      <c r="G6" s="34"/>
      <c r="H6" s="34"/>
      <c r="I6" s="34" t="s">
        <v>18</v>
      </c>
      <c r="K6" s="34"/>
      <c r="L6" s="34"/>
      <c r="M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6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8" t="s">
        <v>19</v>
      </c>
      <c r="C7" s="39">
        <v>100.0</v>
      </c>
      <c r="D7" s="39">
        <v>2.0</v>
      </c>
      <c r="E7" s="33" t="s">
        <v>17</v>
      </c>
      <c r="G7" s="38"/>
      <c r="H7" s="38"/>
      <c r="I7" s="38" t="s">
        <v>18</v>
      </c>
      <c r="K7" s="38"/>
      <c r="L7" s="38"/>
      <c r="M7" s="38"/>
      <c r="O7" s="38"/>
      <c r="P7" s="38"/>
      <c r="Q7" s="38"/>
      <c r="R7" s="38"/>
      <c r="S7" s="38"/>
      <c r="T7" s="35"/>
      <c r="U7" s="35"/>
      <c r="V7" s="35"/>
      <c r="W7" s="35"/>
      <c r="X7" s="35"/>
      <c r="Y7" s="35"/>
      <c r="Z7" s="36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7"/>
      <c r="B8" s="38" t="s">
        <v>20</v>
      </c>
      <c r="C8" s="39">
        <v>100.0</v>
      </c>
      <c r="D8" s="39">
        <v>2.0</v>
      </c>
      <c r="E8" s="33" t="s">
        <v>17</v>
      </c>
      <c r="G8" s="38"/>
      <c r="H8" s="38"/>
      <c r="I8" s="38" t="s">
        <v>18</v>
      </c>
      <c r="K8" s="38"/>
      <c r="L8" s="38"/>
      <c r="M8" s="38"/>
      <c r="O8" s="38"/>
      <c r="P8" s="38"/>
      <c r="Q8" s="38"/>
      <c r="R8" s="38"/>
      <c r="S8" s="38"/>
      <c r="T8" s="35"/>
      <c r="U8" s="35"/>
      <c r="V8" s="35"/>
      <c r="W8" s="35"/>
      <c r="X8" s="35"/>
      <c r="Y8" s="35"/>
      <c r="Z8" s="36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7"/>
      <c r="B9" s="38" t="s">
        <v>21</v>
      </c>
      <c r="C9" s="39">
        <v>100.0</v>
      </c>
      <c r="D9" s="39">
        <v>2.0</v>
      </c>
      <c r="E9" s="33" t="s">
        <v>17</v>
      </c>
      <c r="G9" s="38"/>
      <c r="H9" s="38"/>
      <c r="I9" s="38" t="s">
        <v>18</v>
      </c>
      <c r="K9" s="38"/>
      <c r="L9" s="38"/>
      <c r="M9" s="38"/>
      <c r="O9" s="38"/>
      <c r="P9" s="38"/>
      <c r="Q9" s="38"/>
      <c r="R9" s="38"/>
      <c r="S9" s="38"/>
      <c r="T9" s="35"/>
      <c r="U9" s="35"/>
      <c r="V9" s="35"/>
      <c r="W9" s="35"/>
      <c r="X9" s="35"/>
      <c r="Y9" s="35"/>
      <c r="Z9" s="36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7"/>
      <c r="B10" s="38" t="s">
        <v>22</v>
      </c>
      <c r="C10" s="39">
        <v>100.0</v>
      </c>
      <c r="D10" s="39">
        <v>2.0</v>
      </c>
      <c r="E10" s="33" t="s">
        <v>17</v>
      </c>
      <c r="G10" s="38"/>
      <c r="H10" s="38"/>
      <c r="I10" s="38" t="s">
        <v>18</v>
      </c>
      <c r="K10" s="38"/>
      <c r="L10" s="38"/>
      <c r="M10" s="38"/>
      <c r="O10" s="38"/>
      <c r="P10" s="38"/>
      <c r="Q10" s="38"/>
      <c r="R10" s="38"/>
      <c r="S10" s="38"/>
      <c r="T10" s="35"/>
      <c r="U10" s="35"/>
      <c r="V10" s="35"/>
      <c r="W10" s="35"/>
      <c r="X10" s="35"/>
      <c r="Y10" s="35"/>
      <c r="Z10" s="36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7"/>
      <c r="B11" s="38" t="s">
        <v>23</v>
      </c>
      <c r="C11" s="39">
        <v>100.0</v>
      </c>
      <c r="D11" s="39">
        <v>2.0</v>
      </c>
      <c r="E11" s="33" t="s">
        <v>17</v>
      </c>
      <c r="G11" s="38"/>
      <c r="H11" s="38"/>
      <c r="I11" s="38" t="s">
        <v>18</v>
      </c>
      <c r="K11" s="38"/>
      <c r="L11" s="38"/>
      <c r="M11" s="38"/>
      <c r="O11" s="38"/>
      <c r="P11" s="38"/>
      <c r="Q11" s="38"/>
      <c r="R11" s="38"/>
      <c r="S11" s="38"/>
      <c r="T11" s="35"/>
      <c r="U11" s="35"/>
      <c r="V11" s="35"/>
      <c r="W11" s="35"/>
      <c r="X11" s="35"/>
      <c r="Y11" s="35"/>
      <c r="Z11" s="36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7"/>
      <c r="B12" s="40">
        <v>1.23456789E8</v>
      </c>
      <c r="C12" s="39">
        <v>100.0</v>
      </c>
      <c r="D12" s="39">
        <v>2.0</v>
      </c>
      <c r="E12" s="33" t="s">
        <v>17</v>
      </c>
      <c r="G12" s="38"/>
      <c r="H12" s="38"/>
      <c r="I12" s="38" t="s">
        <v>18</v>
      </c>
      <c r="K12" s="38"/>
      <c r="L12" s="38"/>
      <c r="M12" s="38"/>
      <c r="O12" s="38"/>
      <c r="P12" s="38"/>
      <c r="Q12" s="38"/>
      <c r="R12" s="38"/>
      <c r="S12" s="38"/>
      <c r="T12" s="35"/>
      <c r="U12" s="35"/>
      <c r="V12" s="35"/>
      <c r="W12" s="35"/>
      <c r="X12" s="35"/>
      <c r="Y12" s="35"/>
      <c r="Z12" s="36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26</v>
      </c>
      <c r="C6" s="43">
        <f>today()-1</f>
        <v>45869</v>
      </c>
      <c r="D6" s="43">
        <f>today()</f>
        <v>45870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20</v>
      </c>
      <c r="C6" s="32">
        <v>100.0</v>
      </c>
      <c r="D6" s="42"/>
      <c r="E6" s="34" t="s">
        <v>18</v>
      </c>
      <c r="F6" s="34" t="s">
        <v>28</v>
      </c>
      <c r="G6" s="34"/>
      <c r="H6" s="32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v>1.23456789E8</v>
      </c>
      <c r="C6" s="47">
        <v>10.0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5" t="s">
        <v>16</v>
      </c>
      <c r="C7" s="39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7"/>
      <c r="B8" s="48" t="s">
        <v>19</v>
      </c>
      <c r="C8" s="49">
        <v>10.0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7"/>
      <c r="B9" s="48" t="s">
        <v>20</v>
      </c>
      <c r="C9" s="49">
        <v>10.0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7"/>
      <c r="B10" s="48" t="s">
        <v>21</v>
      </c>
      <c r="C10" s="49">
        <v>10.0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7"/>
      <c r="B11" s="48" t="s">
        <v>22</v>
      </c>
      <c r="C11" s="49">
        <v>10.0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7"/>
      <c r="B12" s="48" t="s">
        <v>23</v>
      </c>
      <c r="C12" s="49">
        <v>10.0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50" t="s">
        <v>31</v>
      </c>
      <c r="C13" s="49">
        <v>10.0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>
        <f t="shared" ref="B6:C6" si="1">today()-1</f>
        <v>45869</v>
      </c>
      <c r="C6" s="43">
        <f t="shared" si="1"/>
        <v>45869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>
        <v>1.23456789E8</v>
      </c>
      <c r="C6" s="32">
        <v>10.0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3" t="s">
        <v>16</v>
      </c>
      <c r="C7" s="49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7"/>
      <c r="B8" s="48" t="s">
        <v>19</v>
      </c>
      <c r="C8" s="49">
        <v>10.0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7"/>
      <c r="B9" s="48" t="s">
        <v>20</v>
      </c>
      <c r="C9" s="49">
        <v>10.0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7"/>
      <c r="B10" s="48" t="s">
        <v>21</v>
      </c>
      <c r="C10" s="49">
        <v>10.0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7"/>
      <c r="B11" s="48" t="s">
        <v>23</v>
      </c>
      <c r="C11" s="49">
        <v>10.0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7"/>
      <c r="B12" s="48" t="s">
        <v>22</v>
      </c>
      <c r="C12" s="49">
        <v>10.0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54" t="s">
        <v>31</v>
      </c>
      <c r="C13" s="49">
        <v>10.0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>
        <f t="shared" ref="B6:C6" si="1">today()-1</f>
        <v>45869</v>
      </c>
      <c r="C6" s="43">
        <f t="shared" si="1"/>
        <v>45869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4" t="s">
        <v>37</v>
      </c>
      <c r="C6" s="55" t="s">
        <v>38</v>
      </c>
      <c r="D6" s="42" t="s">
        <v>39</v>
      </c>
      <c r="E6" s="32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18</v>
      </c>
      <c r="C6" s="34"/>
      <c r="D6" s="43">
        <f>today()-3</f>
        <v>45867</v>
      </c>
      <c r="E6" s="43">
        <f>today()</f>
        <v>45870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/>
      <c r="C6" s="34" t="s">
        <v>43</v>
      </c>
      <c r="D6" s="42" t="s">
        <v>16</v>
      </c>
      <c r="E6" s="34"/>
      <c r="F6" s="34" t="s">
        <v>18</v>
      </c>
      <c r="G6" s="34" t="s">
        <v>37</v>
      </c>
      <c r="H6" s="56">
        <v>100000.0</v>
      </c>
      <c r="I6" s="57">
        <f>today()-2</f>
        <v>45868</v>
      </c>
      <c r="J6" s="57">
        <f>today()+8</f>
        <v>45878</v>
      </c>
      <c r="K6" s="57"/>
      <c r="L6" s="57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/>
      <c r="C6" s="34" t="s">
        <v>18</v>
      </c>
      <c r="D6" s="43">
        <f>today()</f>
        <v>45870</v>
      </c>
      <c r="E6" s="58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