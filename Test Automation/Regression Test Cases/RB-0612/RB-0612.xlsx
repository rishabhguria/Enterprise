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5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RebalancePreference" sheetId="4" r:id="rId6"/>
    <sheet state="visible" name="FetchAccountPositions" sheetId="5" r:id="rId7"/>
    <sheet state="visible" name="VerifyGridData" sheetId="6" r:id="rId8"/>
    <sheet state="visible" name="FetchAccountPositions1" sheetId="7" r:id="rId9"/>
    <sheet state="visible" name="VerifyGridData1" sheetId="8" r:id="rId10"/>
    <sheet state="visible" name="RebalancePreference1" sheetId="9" r:id="rId11"/>
    <sheet state="visible" name="FetchAccountPositions2" sheetId="10" r:id="rId12"/>
    <sheet state="visible" name="FetchAccountPositions3" sheetId="11" r:id="rId13"/>
    <sheet state="visible" name="VerifyGridData2" sheetId="12" r:id="rId14"/>
    <sheet state="visible" name="RebalancePreference2" sheetId="13" r:id="rId15"/>
    <sheet state="visible" name="FetchAccountPositions4" sheetId="14" r:id="rId16"/>
    <sheet state="visible" name="VerifyGridData3" sheetId="15" r:id="rId17"/>
    <sheet state="visible" name="FetchAccountPositions5" sheetId="16" r:id="rId18"/>
  </sheets>
  <definedNames/>
  <calcPr/>
</workbook>
</file>

<file path=xl/sharedStrings.xml><?xml version="1.0" encoding="utf-8"?>
<sst xmlns="http://schemas.openxmlformats.org/spreadsheetml/2006/main" count="3171" uniqueCount="35">
  <si>
    <t>Modules Info</t>
  </si>
  <si>
    <t>Modules</t>
  </si>
  <si>
    <t>Settings</t>
  </si>
  <si>
    <t>Module Step Setting File</t>
  </si>
  <si>
    <t>1FzWTLghJOFjrGmCEN5rFkuzctvHiAo4TNjRi7fOzwlg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</si>
  <si>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</si>
  <si>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</si>
  <si>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</si>
  <si>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</si>
  <si>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</si>
  <si>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</si>
  <si>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</si>
  <si>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Rebalancer</t>
  </si>
  <si>
    <t>RebalancePreference</t>
  </si>
  <si>
    <t>Data Format</t>
  </si>
  <si>
    <t>Input Format</t>
  </si>
  <si>
    <t>Account,Custom Group</t>
  </si>
  <si>
    <t>FetchAccountPositions</t>
  </si>
  <si>
    <t>Allocation1</t>
  </si>
  <si>
    <t>VerifyGridData</t>
  </si>
  <si>
    <t/>
  </si>
  <si>
    <t>Commision1</t>
  </si>
  <si>
    <t>Accruals</t>
  </si>
  <si>
    <t>Long</t>
  </si>
  <si>
    <t>Commision3</t>
  </si>
  <si>
    <t>Commision2</t>
  </si>
  <si>
    <t>Commision5</t>
  </si>
  <si>
    <t>Commision4</t>
  </si>
  <si>
    <t>Cash</t>
  </si>
  <si>
    <t>NewMF</t>
  </si>
  <si>
    <t>Allocation3</t>
  </si>
  <si>
    <t>Account,Master Fund</t>
  </si>
  <si>
    <t>Account, Custom Group</t>
  </si>
  <si>
    <t>TRIAL</t>
  </si>
  <si>
    <t>Allocation2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</si>
</sst>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"/>
  </numFmts>
  <fonts count="14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b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42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7" numFmtId="0" xfId="0" applyAlignment="1" applyFont="1">
      <alignment readingOrder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9" numFmtId="0" xfId="0" applyAlignment="1" applyBorder="1" applyFont="1">
      <alignment readingOrder="0" shrinkToFit="0" wrapText="0"/>
    </xf>
    <xf borderId="4" fillId="3" fontId="9" numFmtId="0" xfId="0" applyAlignment="1" applyBorder="1" applyFont="1">
      <alignment shrinkToFit="0" wrapText="0"/>
    </xf>
    <xf borderId="0" fillId="0" fontId="10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8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8" numFmtId="0" xfId="0" applyAlignment="1" applyBorder="1" applyFont="1">
      <alignment readingOrder="0" shrinkToFit="0" wrapText="0"/>
    </xf>
    <xf borderId="0" fillId="3" fontId="11" numFmtId="0" xfId="0" applyFont="1"/>
    <xf borderId="0" fillId="4" fontId="12" numFmtId="0" xfId="0" applyAlignment="1" applyFill="1" applyFont="1">
      <alignment shrinkToFit="0" wrapText="0"/>
    </xf>
    <xf borderId="0" fillId="4" fontId="13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1" numFmtId="0" xfId="0" applyFont="1"/>
    <xf borderId="0" fillId="0" fontId="5" numFmtId="0" xfId="0" applyAlignment="1" applyFont="1">
      <alignment readingOrder="0" shrinkToFit="0" wrapText="0"/>
    </xf>
    <xf borderId="0" fillId="0" fontId="5" numFmtId="0" xfId="0" applyAlignment="1" applyFont="1">
      <alignment shrinkToFit="0" wrapText="0"/>
    </xf>
    <xf borderId="0" fillId="0" fontId="2" numFmtId="164" xfId="0" applyFont="1" applyNumberFormat="1"/>
    <xf borderId="0" fillId="0" fontId="3" numFmtId="0" xfId="0" applyAlignment="1" applyFont="1">
      <alignment vertical="bottom"/>
    </xf>
    <xf borderId="0" fillId="0" fontId="5" numFmtId="0" xfId="0" applyAlignment="1" applyFont="1">
      <alignment vertical="bottom"/>
    </xf>
    <xf borderId="0" fillId="0" fontId="5" numFmtId="0" xfId="0" applyAlignment="1" applyFont="1">
      <alignment vertical="bottom"/>
    </xf>
    <xf borderId="0" fillId="0" fontId="5" numFmtId="0" xfId="0" applyAlignment="1" applyFont="1">
      <alignment horizontal="right" vertical="bottom"/>
    </xf>
    <xf borderId="0" fillId="0" fontId="3" numFmtId="0" xfId="0" applyAlignment="1" applyFont="1">
      <alignment vertical="bottom"/>
    </xf>
    <xf borderId="0" fillId="0" fontId="3" numFmtId="0" xfId="0" applyAlignment="1" applyFont="1">
      <alignment horizontal="right" vertical="bottom"/>
    </xf>
    <xf borderId="0" fillId="0" fontId="3" numFmtId="164" xfId="0" applyAlignment="1" applyFont="1" applyNumberFormat="1">
      <alignment vertical="bottom"/>
    </xf>
    <xf borderId="0" fillId="0" fontId="5" numFmtId="0" xfId="0" applyAlignment="1" applyFont="1">
      <alignment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7" Type="http://schemas.openxmlformats.org/officeDocument/2006/relationships/worksheet" Target="worksheets/sheet15.xml"/><Relationship Id="rId16" Type="http://schemas.openxmlformats.org/officeDocument/2006/relationships/worksheet" Target="worksheets/sheet14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18" Type="http://schemas.openxmlformats.org/officeDocument/2006/relationships/worksheet" Target="worksheets/sheet16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3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3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3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3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3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3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3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3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3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3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3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3.png"/></Relationships>
</file>

<file path=xl/drawings/_rels/drawing16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IFERROR(__xludf.DUMMYFUNCTION("""COMPUTED_VALUE"""),"17hQQja2JxgHYc91C7e_NxNoHLA89SiPSSBCEIFHCoTk")</f>
        <v>17hQQja2JxgHYc91C7e_NxNoHLA89SiPSSBCEIFHCoTk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IFERROR(__xludf.DUMMYFUNCTION("""COMPUTED_VALUE"""),"108eHf5dlaU-2uUYuHfGgKKJqgdRILzey4i21uN8VBpc")</f>
        <v>108eHf5dlaU-2uUYuHfGgKKJqgdRILzey4i21uN8VBpc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IFERROR(__xludf.DUMMYFUNCTION("""COMPUTED_VALUE"""),"1xOLrriXpynkiEARWECFOoYcCjgpJ_r_B8l8himR40tc")</f>
        <v>1xOLrriXpynkiEARWECFOoYcCjgpJ_r_B8l8himR40tc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IFERROR(__xludf.DUMMYFUNCTION("""COMPUTED_VALUE"""),"1czFgc0rQ9Yr0z5XyYhwS9vTzyyW8C_kbFoZotVQvRGU")</f>
        <v>1czFgc0rQ9Yr0z5XyYhwS9vTzyyW8C_kbFoZotVQvRGU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IFERROR(__xludf.DUMMYFUNCTION("""COMPUTED_VALUE"""),"1IzyG5_6aGu2OE6b5hRX3Fsz__PyNpFOt5iSq6kKmpgs")</f>
        <v>1IzyG5_6aGu2OE6b5hRX3Fsz__PyNpFOt5iSq6kKmpgs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IFERROR(__xludf.DUMMYFUNCTION("""COMPUTED_VALUE"""),"1Diy-Nhw7lqGk8BUcJ7_tudF9wi_ZJxiWQvXjEtj0fbg")</f>
        <v>1Diy-Nhw7lqGk8BUcJ7_tudF9wi_ZJxiWQvXjEtj0fbg</v>
      </c>
      <c r="D11" s="4"/>
      <c r="E11" s="4"/>
      <c r="F11" s="4"/>
    </row>
    <row r="12" ht="15.75" customHeight="1">
      <c r="A12" s="4" t="str">
        <f>IFERROR(__xludf.DUMMYFUNCTION("""COMPUTED_VALUE"""),"a")</f>
        <v>a</v>
      </c>
      <c r="B12" s="4" t="str">
        <f>IFERROR(__xludf.DUMMYFUNCTION("""COMPUTED_VALUE"""),"1s")</f>
        <v>1s</v>
      </c>
      <c r="C12" s="4" t="str">
        <f>IFERROR(__xludf.DUMMYFUNCTION("""COMPUTED_VALUE"""),"1enUPqyPREGl3f2eye-2V4zEhW4eTEsQWbHsvbHWKlLQ")</f>
        <v>1enUPqyPREGl3f2eye-2V4zEhW4eTEsQWbHsvbHWKlLQ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IFERROR(__xludf.DUMMYFUNCTION("""COMPUTED_VALUE"""),"11pF8hppeASHIBEU4fJBPX4H2s826R1k7KA4JaccEGq0")</f>
        <v>11pF8hppeASHIBEU4fJBPX4H2s826R1k7KA4JaccEGq0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IFERROR(__xludf.DUMMYFUNCTION("""COMPUTED_VALUE"""),"1qI9l0oxajDKeZluTNrlCeeZ28QX8NkbvZl6ujxbGJnI")</f>
        <v>1qI9l0oxajDKeZluTNrlCeeZ28QX8NkbvZl6ujxbGJnI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IFERROR(__xludf.DUMMYFUNCTION("""COMPUTED_VALUE"""),"1n0XgxxbStGy3VjvQS309fIpzG_L1vcwVX484ib8d3QU")</f>
        <v>1n0XgxxbStGy3VjvQS309fIpzG_L1vcwVX484ib8d3QU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IFERROR(__xludf.DUMMYFUNCTION("""COMPUTED_VALUE"""),"1dm_rO3DsjDpe_rov3TM-pXjFB8WSzw6eN-gEqIFDT2M")</f>
        <v>1dm_rO3DsjDpe_rov3TM-pXjFB8WSzw6eN-gEqIFDT2M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IFERROR(__xludf.DUMMYFUNCTION("""COMPUTED_VALUE"""),"1n2_KWleIEyqXIdrb2wBU9n9HG3wOCbtLJiXuNliDxbo")</f>
        <v>1n2_KWleIEyqXIdrb2wBU9n9HG3wOCbtLJiXuNliDxbo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IFERROR(__xludf.DUMMYFUNCTION("""COMPUTED_VALUE"""),"1HUrg5HC-uhaySvPqKlbfDJy_tRqbpd3tG5-BRQbvQNE")</f>
        <v>1HUrg5HC-uhaySvPqKlbfDJy_tRqbpd3tG5-BRQbvQNE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IFERROR(__xludf.DUMMYFUNCTION("""COMPUTED_VALUE"""),"1ogDmXxmcH2S6ctXbFXoGdWmaCJRo_ECxi411UEwWYtk")</f>
        <v>1ogDmXxmcH2S6ctXbFXoGdWmaCJRo_ECxi411UEwWYtk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IFERROR(__xludf.DUMMYFUNCTION("""COMPUTED_VALUE"""),"15KSHSnHyfcV68P-BAz-qSKIAViB6QpZ5pCYmrYItUS4")</f>
        <v>15KSHSnHyfcV68P-BAz-qSKIAViB6QpZ5pCYmrYItUS4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IFERROR(__xludf.DUMMYFUNCTION("""COMPUTED_VALUE"""),"1JZcaOlNrERZ2pJDJY1f-UuSxW_EJa6FmaMW4Ng69G-Y")</f>
        <v>1JZcaOlNrERZ2pJDJY1f-UuSxW_EJa6FmaMW4Ng69G-Y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IFERROR(__xludf.DUMMYFUNCTION("""COMPUTED_VALUE"""),"14bzYQBiZIs2a3lfzwT4TROCDnXpt72UALcJjBTZdEAk")</f>
        <v>14bzYQBiZIs2a3lfzwT4TROCDnXpt72UALcJjBTZdEAk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IFERROR(__xludf.DUMMYFUNCTION("""COMPUTED_VALUE"""),"1qlSfNvUHenegqRyv9ZFeKA5gN-iwbykaaRHcYfx0vR8")</f>
        <v>1qlSfNvUHenegqRyv9ZFeKA5gN-iwbykaaRHcYfx0vR8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IFERROR(__xludf.DUMMYFUNCTION("""COMPUTED_VALUE"""),"1f9Url4H77DADigFnhRCLdDJPePHaUcYK-sGJAcDVqAc")</f>
        <v>1f9Url4H77DADigFnhRCLdDJPePHaUcYK-sGJAcDVqAc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IFERROR(__xludf.DUMMYFUNCTION("""COMPUTED_VALUE"""),"1ovsWSW4IX_ESJf6L_l_o3LFV2g37EWvXALJwiSoMOOk")</f>
        <v>1ovsWSW4IX_ESJf6L_l_o3LFV2g37EWvXALJwiSoMOOk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IFERROR(__xludf.DUMMYFUNCTION("""COMPUTED_VALUE"""),"16KBVroR_j9VfEeynsJjMmeERh-LHCXp_Q3zfX2ptUbk")</f>
        <v>16KBVroR_j9VfEeynsJjMmeERh-LHCXp_Q3zfX2ptUbk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IFERROR(__xludf.DUMMYFUNCTION("""COMPUTED_VALUE"""),"1_vNaQNw1K3VUjBqTVyF_y9hpe8G2ewy1wQSeMFKnIsw")</f>
        <v>1_vNaQNw1K3VUjBqTVyF_y9hpe8G2ewy1wQSeMFKnIsw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IFERROR(__xludf.DUMMYFUNCTION("""COMPUTED_VALUE"""),"1XML_rKDwoATUqQEdSmAgWZeBq0nRAO-QFlPnVgX1Uac")</f>
        <v>1XML_rKDwoATUqQEdSmAgWZeBq0nRAO-QFlPnVgX1Uac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IFERROR(__xludf.DUMMYFUNCTION("""COMPUTED_VALUE"""),"10mJBbfEKw8miuRHDwCV7_-8V_E3ZX1n6jlsC5kfflVY")</f>
        <v>10mJBbfEKw8miuRHDwCV7_-8V_E3ZX1n6jlsC5kfflVY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IFERROR(__xludf.DUMMYFUNCTION("""COMPUTED_VALUE"""),"1Q4XgYTYb3ng95eo0AHEW34QHB-UqihXSsfRcQQpkVXw")</f>
        <v>1Q4XgYTYb3ng95eo0AHEW34QHB-UqihXSsfRcQQpkVXw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IFERROR(__xludf.DUMMYFUNCTION("""COMPUTED_VALUE"""),"1oej4n4PC8RE49pB4-TiWxTqbDPyninh9e03DcCsTU80")</f>
        <v>1oej4n4PC8RE49pB4-TiWxTqbDPyninh9e03DcCsTU80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IFERROR(__xludf.DUMMYFUNCTION("""COMPUTED_VALUE"""),"1crnQkc3JZblrRatY8QxWLuk7JnchsXg0e_CyrN38bbE")</f>
        <v>1crnQkc3JZblrRatY8QxWLuk7JnchsXg0e_CyrN38bbE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IFERROR(__xludf.DUMMYFUNCTION("""COMPUTED_VALUE"""),"1YWFFwFn67kSD8UqbzR_g6NbGZ9pjemCMVA9QmSA4_S8")</f>
        <v>1YWFFwFn67kSD8UqbzR_g6NbGZ9pjemCMVA9QmSA4_S8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IFERROR(__xludf.DUMMYFUNCTION("""COMPUTED_VALUE"""),"1gDvMDcnV_Cq-gd3uSiTszH4Q8IYBAMQu9lTMq8Rpy3o")</f>
        <v>1gDvMDcnV_Cq-gd3uSiTszH4Q8IYBAMQu9lTMq8Rpy3o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IFERROR(__xludf.DUMMYFUNCTION("""COMPUTED_VALUE"""),"1dhqVPgdlk0qqXkJ78cDzBf_Mq3MegKBc6RXPw3xiPrw")</f>
        <v>1dhqVPgdlk0qqXkJ78cDzBf_Mq3MegKBc6RXPw3xiPrw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IFERROR(__xludf.DUMMYFUNCTION("""COMPUTED_VALUE"""),"173hAXGieMVvXY5pe0UbKu68RfryU3RaXKikGhyg-rOo")</f>
        <v>173hAXGieMVvXY5pe0UbKu68RfryU3RaXKikGhyg-rOo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IFERROR(__xludf.DUMMYFUNCTION("""COMPUTED_VALUE"""),"1NAyBh7MvMUe-ymIgaMjhvCcTdXRrdfoOqa5k2oEkEtY")</f>
        <v>1NAyBh7MvMUe-ymIgaMjhvCcTdXRrdfoOqa5k2oEkEtY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IFERROR(__xludf.DUMMYFUNCTION("""COMPUTED_VALUE"""),"1WIb_XXxmZPR_GUhoObQfZ6l1pKvOl5CWOE5mnz2ftU0")</f>
        <v>1WIb_XXxmZPR_GUhoObQfZ6l1pKvOl5CWOE5mnz2ftU0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IFERROR(__xludf.DUMMYFUNCTION("""COMPUTED_VALUE"""),"1MME0WB8RmCV2QKgHuWbTvubmaZmPuF0knOKGp2GUg7o")</f>
        <v>1MME0WB8RmCV2QKgHuWbTvubmaZmPuF0knOKGp2GUg7o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IFERROR(__xludf.DUMMYFUNCTION("""COMPUTED_VALUE"""),"1Rq8zeuYkGxaBxmemqN7Z1OVWnaheHVEDxVozT52myRI")</f>
        <v>1Rq8zeuYkGxaBxmemqN7Z1OVWnaheHVEDxVozT52myRI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IFERROR(__xludf.DUMMYFUNCTION("""COMPUTED_VALUE"""),"1UalkAEsbJcZQAzEnT3T29et4u4PKQ3n66SBTt1HPqVc")</f>
        <v>1UalkAEsbJcZQAzEnT3T29et4u4PKQ3n66SBTt1HPqVc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IFERROR(__xludf.DUMMYFUNCTION("""COMPUTED_VALUE"""),"1Ed9yVUP6QBHgE31eiooLDUHG0Yf2VM_w3I1hshQOHqI")</f>
        <v>1Ed9yVUP6QBHgE31eiooLDUHG0Yf2VM_w3I1hshQOHqI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IFERROR(__xludf.DUMMYFUNCTION("""COMPUTED_VALUE"""),"1bnzX2PjXEMH6TjD42kz9rbl4I5pggAPDV-6J94ie3aA")</f>
        <v>1bnzX2PjXEMH6TjD42kz9rbl4I5pggAPDV-6J94ie3aA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IFERROR(__xludf.DUMMYFUNCTION("""COMPUTED_VALUE"""),"1eDn4ID4lZ0g9L9LBEwFIV1KSKirbl2wBD7JMSOogsJo")</f>
        <v>1eDn4ID4lZ0g9L9LBEwFIV1KSKirbl2wBD7JMSOogsJo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IFERROR(__xludf.DUMMYFUNCTION("""COMPUTED_VALUE"""),"1GqarmBj5COJ9oiY8JkODcW4vDrpW1y5yTk4660Wu__c")</f>
        <v>1GqarmBj5COJ9oiY8JkODcW4vDrpW1y5yTk4660Wu__c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IFERROR(__xludf.DUMMYFUNCTION("""COMPUTED_VALUE"""),"1rwYlyzQAuduSi0Gp4ROixwt3o0bs2AhQbAT7dJTM9RA")</f>
        <v>1rwYlyzQAuduSi0Gp4ROixwt3o0bs2AhQbAT7dJTM9RA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IFERROR(__xludf.DUMMYFUNCTION("""COMPUTED_VALUE"""),"11JwOBclgqclhwteK8-8D_f6-5WV6K0OQ-E6BB9CezgE")</f>
        <v>11JwOBclgqclhwteK8-8D_f6-5WV6K0OQ-E6BB9CezgE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IFERROR(__xludf.DUMMYFUNCTION("""COMPUTED_VALUE"""),"1LaxsbJKMKgHz6nuJt-mWzImc-fRNbTvmrGGX97yHQ3M")</f>
        <v>1LaxsbJKMKgHz6nuJt-mWzImc-fRNbTvmrGGX97yHQ3M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IFERROR(__xludf.DUMMYFUNCTION("""COMPUTED_VALUE"""),"1FjuLUHGwTLVNcZ31dqziB6PhJgIoI87PrQYnS_MxI6w")</f>
        <v>1FjuLUHGwTLVNcZ31dqziB6PhJgIoI87PrQYnS_MxI6w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IFERROR(__xludf.DUMMYFUNCTION("""COMPUTED_VALUE"""),"1qMBNCqmLroUbEfWZ7WurEo9lsZVM23zrfZgeqSulKQE")</f>
        <v>1qMBNCqmLroUbEfWZ7WurEo9lsZVM23zrfZgeqSulKQE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IFERROR(__xludf.DUMMYFUNCTION("""COMPUTED_VALUE"""),"StockDividend")</f>
        <v>StockDividend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IFERROR(__xludf.DUMMYFUNCTION("""COMPUTED_VALUE"""),"TradingTicket")</f>
        <v>TradingTicket</v>
      </c>
      <c r="B57" t="str">
        <f>IFERROR(__xludf.DUMMYFUNCTION("""COMPUTED_VALUE"""),"EnterDetailsOnTT")</f>
        <v>EnterDetailsOnTT</v>
      </c>
      <c r="C57" t="str">
        <f>IFERROR(__xludf.DUMMYFUNCTION("""COMPUTED_VALUE"""),"1G2yAwEmGug4VRRGiVJM3yHe88F7UHCmwLdFo2-Xj4bA")</f>
        <v>1G2yAwEmGug4VRRGiVJM3yHe88F7UHCmwLdFo2-Xj4bA</v>
      </c>
    </row>
    <row r="58" ht="15.75" customHeight="1">
      <c r="A58" t="str">
        <f>IFERROR(__xludf.DUMMYFUNCTION("""COMPUTED_VALUE"""),"DailyValuation")</f>
        <v>DailyValuation</v>
      </c>
      <c r="B58" t="str">
        <f>IFERROR(__xludf.DUMMYFUNCTION("""COMPUTED_VALUE"""),"CleanUp")</f>
        <v>CleanUp</v>
      </c>
      <c r="C58" t="str">
        <f>IFERROR(__xludf.DUMMYFUNCTION("""COMPUTED_VALUE"""),"Undefined")</f>
        <v>Undefined</v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IFERROR(__xludf.DUMMYFUNCTION("""COMPUTED_VALUE"""),"EditUnallocatedGroupSidePanel")</f>
        <v>EditUnallocatedGroupSidePanel</v>
      </c>
      <c r="C59" t="str">
        <f>IFERROR(__xludf.DUMMYFUNCTION("""COMPUTED_VALUE"""),"1sN4dA0wRDbkiqDmGZD3fRqB5XP8vsNgVSKTClqF2aqA")</f>
        <v>1sN4dA0wRDbkiqDmGZD3fRqB5XP8vsNgVSKTClqF2aqA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IFERROR(__xludf.DUMMYFUNCTION("""COMPUTED_VALUE"""),"TradeAttributeBulkChange")</f>
        <v>TradeAttributeBulkChange</v>
      </c>
      <c r="C60" t="str">
        <f>IFERROR(__xludf.DUMMYFUNCTION("""COMPUTED_VALUE"""),"1iFwUbi4eWTRVGpAAB27Nc1Ubu4j6hxNuLgSZZV6c_E4")</f>
        <v>1iFwUbi4eWTRVGpAAB27Nc1Ubu4j6hxNuLgSZZV6c_E4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IFERROR(__xludf.DUMMYFUNCTION("""COMPUTED_VALUE"""),"ApplyBulkUpdateOnGroups")</f>
        <v>ApplyBulkUpdateOnGroups</v>
      </c>
      <c r="C61" t="str">
        <f>IFERROR(__xludf.DUMMYFUNCTION("""COMPUTED_VALUE"""),"1XV7WEkcXTDuOgwDoGhKvy8HU-K-3479ZHAEZBvsa_tc")</f>
        <v>1XV7WEkcXTDuOgwDoGhKvy8HU-K-3479ZHAEZBvsa_tc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IFERROR(__xludf.DUMMYFUNCTION("""COMPUTED_VALUE"""),"ApplyPrefetchFilters")</f>
        <v>ApplyPrefetchFilters</v>
      </c>
      <c r="C62" t="str">
        <f>IFERROR(__xludf.DUMMYFUNCTION("""COMPUTED_VALUE"""),"1sQmxpKX5ogSXiV1qHf6NVjQl8QoUTsuD2rJ4pzqABAg")</f>
        <v>1sQmxpKX5ogSXiV1qHf6NVjQl8QoUTsuD2rJ4pzqABAg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IFERROR(__xludf.DUMMYFUNCTION("""COMPUTED_VALUE"""),"GeneralPreferencesDefaultRule")</f>
        <v>GeneralPreferencesDefaultRule</v>
      </c>
      <c r="C63" t="str">
        <f>IFERROR(__xludf.DUMMYFUNCTION("""COMPUTED_VALUE"""),"1WOXvZZCIiWWwLt85sMAJs5lA2Sd5seftlo0-PMFepo4")</f>
        <v>1WOXvZZCIiWWwLt85sMAJs5lA2Sd5seftlo0-PMFepo4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IFERROR(__xludf.DUMMYFUNCTION("""COMPUTED_VALUE"""),"GeneralPrefCompanyUserWise")</f>
        <v>GeneralPrefCompanyUserWise</v>
      </c>
      <c r="C64" t="str">
        <f>IFERROR(__xludf.DUMMYFUNCTION("""COMPUTED_VALUE"""),"13pRCCWisWUdYIzGghxtJvmhlBsj5sDr94g6VDPP0q-o")</f>
        <v>13pRCCWisWUdYIzGghxtJvmhlBsj5sDr94g6VDPP0q-o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IFERROR(__xludf.DUMMYFUNCTION("""COMPUTED_VALUE"""),"RenameTradeAttributes")</f>
        <v>RenameTradeAttributes</v>
      </c>
      <c r="C65" t="str">
        <f>IFERROR(__xludf.DUMMYFUNCTION("""COMPUTED_VALUE"""),"1npQSl0FjE4Lw1QD6s0yIpLzJ-rj0nbumIonEIRbWZwA")</f>
        <v>1npQSl0FjE4Lw1QD6s0yIpLzJ-rj0nbumIonEIRbWZwA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IFERROR(__xludf.DUMMYFUNCTION("""COMPUTED_VALUE"""),"SetGroupingRules")</f>
        <v>SetGroupingRules</v>
      </c>
      <c r="C66" t="str">
        <f>IFERROR(__xludf.DUMMYFUNCTION("""COMPUTED_VALUE"""),"1-pEik0paMvKDzhMzUpCB2FadNd3tINN9bPXcpr5W9hI")</f>
        <v>1-pEik0paMvKDzhMzUpCB2FadNd3tINN9bPXcpr5W9hI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IFERROR(__xludf.DUMMYFUNCTION("""COMPUTED_VALUE"""),"SetMasterFundRatio")</f>
        <v>SetMasterFundRatio</v>
      </c>
      <c r="C67" t="str">
        <f>IFERROR(__xludf.DUMMYFUNCTION("""COMPUTED_VALUE"""),"1G5A2JHuXFwIAKeFyFP_6qaRbfVnU9mvHz6q_tG-5I3M")</f>
        <v>1G5A2JHuXFwIAKeFyFP_6qaRbfVnU9mvHz6q_tG-5I3M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IFERROR(__xludf.DUMMYFUNCTION("""COMPUTED_VALUE"""),"CheckFixedPreference")</f>
        <v>CheckFixedPreference</v>
      </c>
      <c r="C68" t="str">
        <f>IFERROR(__xludf.DUMMYFUNCTION("""COMPUTED_VALUE"""),"1Qf7-OMFYaQTpiT3A76WLvhP_zTcAvN-GlTkEKWQI6CI")</f>
        <v>1Qf7-OMFYaQTpiT3A76WLvhP_zTcAvN-GlTkEKWQI6CI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IFERROR(__xludf.DUMMYFUNCTION("""COMPUTED_VALUE"""),"GetFixedPreference")</f>
        <v>GetFixedPreference</v>
      </c>
      <c r="C69" t="str">
        <f>IFERROR(__xludf.DUMMYFUNCTION("""COMPUTED_VALUE"""),"1X2GLgKZ0jCCf9C8tNz4LZTT8MEJ0rPmHVf74CRF92nI")</f>
        <v>1X2GLgKZ0jCCf9C8tNz4LZTT8MEJ0rPmHVf74CRF92nI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IFERROR(__xludf.DUMMYFUNCTION("""COMPUTED_VALUE"""),"AddCalculatedPreferences")</f>
        <v>AddCalculatedPreferences</v>
      </c>
      <c r="C70" t="str">
        <f>IFERROR(__xludf.DUMMYFUNCTION("""COMPUTED_VALUE"""),"1e3JDW1yEKYP-8ma-BqYu0whzm4Ze8aVDK3dsCw79llk")</f>
        <v>1e3JDW1yEKYP-8ma-BqYu0whzm4Ze8aVDK3dsCw79llk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IFERROR(__xludf.DUMMYFUNCTION("""COMPUTED_VALUE"""),"BulkChangeCalculatedPreferences")</f>
        <v>BulkChangeCalculatedPreferences</v>
      </c>
      <c r="C71" t="str">
        <f>IFERROR(__xludf.DUMMYFUNCTION("""COMPUTED_VALUE"""),"1eR96defw9DNiXlrKjqRh3R-qg9Pp1BeoNro96zMlcU0")</f>
        <v>1eR96defw9DNiXlrKjqRh3R-qg9Pp1BeoNro96zMlcU0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IFERROR(__xludf.DUMMYFUNCTION("""COMPUTED_VALUE"""),"DeleteCalculatedPreferences")</f>
        <v>DeleteCalculatedPreferences</v>
      </c>
      <c r="C72" t="str">
        <f>IFERROR(__xludf.DUMMYFUNCTION("""COMPUTED_VALUE"""),"1SYzOFlwMP7q1fa9ftG5nF3Q9-tr0BByrF1knPegiHxE")</f>
        <v>1SYzOFlwMP7q1fa9ftG5nF3Q9-tr0BByrF1knPegiHxE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IFERROR(__xludf.DUMMYFUNCTION("""COMPUTED_VALUE"""),"RenameCalculatedPreferences")</f>
        <v>RenameCalculatedPreferences</v>
      </c>
      <c r="C73" t="str">
        <f>IFERROR(__xludf.DUMMYFUNCTION("""COMPUTED_VALUE"""),"1oCPrKMTa-3fxaM06t7r0xjhAywYxptxUUWlM6IrpjIM")</f>
        <v>1oCPrKMTa-3fxaM06t7r0xjhAywYxptxUUWlM6IrpjIM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IFERROR(__xludf.DUMMYFUNCTION("""COMPUTED_VALUE"""),"CopyCalculatedPreferences")</f>
        <v>CopyCalculatedPreferences</v>
      </c>
      <c r="C74" t="str">
        <f>IFERROR(__xludf.DUMMYFUNCTION("""COMPUTED_VALUE"""),"1Juj0ekcKQL6KCq8ujd84mA8LXjLIO7F5-pt1BH073k4")</f>
        <v>1Juj0ekcKQL6KCq8ujd84mA8LXjLIO7F5-pt1BH073k4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IFERROR(__xludf.DUMMYFUNCTION("""COMPUTED_VALUE"""),"RunAutoGroup")</f>
        <v>RunAutoGroup</v>
      </c>
      <c r="C75" t="str">
        <f>IFERROR(__xludf.DUMMYFUNCTION("""COMPUTED_VALUE"""),"1TxDikOKco3kj-fpVp_swFmHRjk9xUFlp6SC01FXKsUA")</f>
        <v>1TxDikOKco3kj-fpVp_swFmHRjk9xUFlp6SC01FXKsUA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IFERROR(__xludf.DUMMYFUNCTION("""COMPUTED_VALUE"""),"BookOrUpdateSwap")</f>
        <v>BookOrUpdateSwap</v>
      </c>
      <c r="C76" t="str">
        <f>IFERROR(__xludf.DUMMYFUNCTION("""COMPUTED_VALUE"""),"1MIFnyUZMyR5a_8yHN1aP-GaxtBQUxu1tPzzD93BRKG4")</f>
        <v>1MIFnyUZMyR5a_8yHN1aP-GaxtBQUxu1tPzzD93BRKG4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IFERROR(__xludf.DUMMYFUNCTION("""COMPUTED_VALUE"""),"RunProrata")</f>
        <v>RunProrata</v>
      </c>
      <c r="C77" t="str">
        <f>IFERROR(__xludf.DUMMYFUNCTION("""COMPUTED_VALUE"""),"1UcA_Bp3Tg0bduC_hG_ymQO8Nl0fC8zwr0dqhn3G0X7w")</f>
        <v>1UcA_Bp3Tg0bduC_hG_ymQO8Nl0fC8zwr0dqhn3G0X7w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IFERROR(__xludf.DUMMYFUNCTION("""COMPUTED_VALUE"""),"SetDefaultRuleCalculatedPref")</f>
        <v>SetDefaultRuleCalculatedPref</v>
      </c>
      <c r="C78" t="str">
        <f>IFERROR(__xludf.DUMMYFUNCTION("""COMPUTED_VALUE"""),"1b3teGR3SeddkzmOAOI70zt3TPTIueqIXMb0_64vLmhg")</f>
        <v>1b3teGR3SeddkzmOAOI70zt3TPTIueqIXMb0_64vLmhg</v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IFERROR(__xludf.DUMMYFUNCTION("""COMPUTED_VALUE"""),"SetTTUIPreferences")</f>
        <v>SetTTUIPreferences</v>
      </c>
      <c r="C79" t="str">
        <f>IFERROR(__xludf.DUMMYFUNCTION("""COMPUTED_VALUE"""),"1x3db-DRDI09f9JOxbjTsFLBMBLSyw9w2LJAcwA_jthE")</f>
        <v>1x3db-DRDI09f9JOxbjTsFLBMBLSyw9w2LJAcwA_jthE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IFERROR(__xludf.DUMMYFUNCTION("""COMPUTED_VALUE"""),"TTPermissionLevel")</f>
        <v>TTPermissionLevel</v>
      </c>
      <c r="C80" t="str">
        <f>IFERROR(__xludf.DUMMYFUNCTION("""COMPUTED_VALUE"""),"1eWGWoFECkbD-qbHWTGCUT8Fyg7YSEuxVBQShAfH-4G8")</f>
        <v>1eWGWoFECkbD-qbHWTGCUT8Fyg7YSEuxVBQShAfH-4G8</v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IFERROR(__xludf.DUMMYFUNCTION("""COMPUTED_VALUE"""),"ValidateSymbolTT")</f>
        <v>ValidateSymbolTT</v>
      </c>
      <c r="C81" t="str">
        <f>IFERROR(__xludf.DUMMYFUNCTION("""COMPUTED_VALUE"""),"19tHMRXibaAxm7XMdcCTWHQ4bfVUBpa3dYIoVg7LgjMU")</f>
        <v>19tHMRXibaAxm7XMdcCTWHQ4bfVUBpa3dYIoVg7LgjMU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IFERROR(__xludf.DUMMYFUNCTION("""COMPUTED_VALUE"""),"VerifyDataTT")</f>
        <v>VerifyDataTT</v>
      </c>
      <c r="C82" t="str">
        <f>IFERROR(__xludf.DUMMYFUNCTION("""COMPUTED_VALUE"""),"Undefined")</f>
        <v>Undefined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IFERROR(__xludf.DUMMYFUNCTION("""COMPUTED_VALUE"""),"SetUIPreferencesTT")</f>
        <v>SetUIPreferencesTT</v>
      </c>
      <c r="C83" t="str">
        <f>IFERROR(__xludf.DUMMYFUNCTION("""COMPUTED_VALUE"""),"15dCu2cI6h2zz7EyE3HRTPJXretS_8rJXb6kEecm2wE4")</f>
        <v>15dCu2cI6h2zz7EyE3HRTPJXretS_8rJXb6kEecm2wE4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IFERROR(__xludf.DUMMYFUNCTION("""COMPUTED_VALUE"""),"SetBrokerWisePreferencesTT")</f>
        <v>SetBrokerWisePreferencesTT</v>
      </c>
      <c r="C84" t="str">
        <f>IFERROR(__xludf.DUMMYFUNCTION("""COMPUTED_VALUE"""),"1ox4TNNK5MqyA6BJGrZngJ2D4HejJ2lRtDKIKyPqu-tQ")</f>
        <v>1ox4TNNK5MqyA6BJGrZngJ2D4HejJ2lRtDKIKyPqu-tQ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IFERROR(__xludf.DUMMYFUNCTION("""COMPUTED_VALUE"""),"VerifyComplianceOrder")</f>
        <v>VerifyComplianceOrder</v>
      </c>
      <c r="C85" t="str">
        <f>IFERROR(__xludf.DUMMYFUNCTION("""COMPUTED_VALUE"""),"1H1jKHI5sFjF2JGI5Hsg2bL9f8P4Efy6KU_cClE3r75U")</f>
        <v>1H1jKHI5sFjF2JGI5Hsg2bL9f8P4Efy6KU_cClE3r75U</v>
      </c>
    </row>
    <row r="86" ht="15.75" customHeight="1">
      <c r="A86" t="str">
        <f>IFERROR(__xludf.DUMMYFUNCTION("""COMPUTED_VALUE"""),"Blotter")</f>
        <v>Blotter</v>
      </c>
      <c r="B86" t="str">
        <f>IFERROR(__xludf.DUMMYFUNCTION("""COMPUTED_VALUE"""),"BlotterFunctionalities")</f>
        <v>BlotterFunctionalities</v>
      </c>
      <c r="C86" t="str">
        <f>IFERROR(__xludf.DUMMYFUNCTION("""COMPUTED_VALUE"""),"1SOn4_JJeoHJYkiaVBjxfn5Lb7mA_qhKHshd3opLPQ1I")</f>
        <v>1SOn4_JJeoHJYkiaVBjxfn5Lb7mA_qhKHshd3opLPQ1I</v>
      </c>
    </row>
    <row r="87" ht="15.75" customHeight="1">
      <c r="A87" t="str">
        <f>IFERROR(__xludf.DUMMYFUNCTION("""COMPUTED_VALUE"""),"TradingTicket")</f>
        <v>TradingTicket</v>
      </c>
      <c r="B87" t="str">
        <f>IFERROR(__xludf.DUMMYFUNCTION("""COMPUTED_VALUE"""),"TradeNewSub")</f>
        <v>TradeNewSub</v>
      </c>
      <c r="C87" t="str">
        <f>IFERROR(__xludf.DUMMYFUNCTION("""COMPUTED_VALUE"""),"1IorkfR8EskF9Rg56tJ2oKYZpqvMIZEs2668wybtTQB4")</f>
        <v>1IorkfR8EskF9Rg56tJ2oKYZpqvMIZEs2668wybtTQB4</v>
      </c>
    </row>
    <row r="88" ht="15.75" customHeight="1">
      <c r="A88" t="str">
        <f>IFERROR(__xludf.DUMMYFUNCTION("""COMPUTED_VALUE"""),"GeneralLedger")</f>
        <v>GeneralLedger</v>
      </c>
      <c r="B88" t="str">
        <f>IFERROR(__xludf.DUMMYFUNCTION("""COMPUTED_VALUE"""),"GetTradingTransaction")</f>
        <v>GetTradingTransaction</v>
      </c>
      <c r="C88" t="str">
        <f>IFERROR(__xludf.DUMMYFUNCTION("""COMPUTED_VALUE"""),"1psefeS-lWFS-teA6LWf_DI6EUG6mtcOuqu918FZCTQU")</f>
        <v>1psefeS-lWFS-teA6LWf_DI6EUG6mtcOuqu918FZCTQU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IFERROR(__xludf.DUMMYFUNCTION("""COMPUTED_VALUE"""),"GetActivityData")</f>
        <v>GetActivityData</v>
      </c>
      <c r="C89" t="str">
        <f>IFERROR(__xludf.DUMMYFUNCTION("""COMPUTED_VALUE"""),"1rznTwdTAEkrPH0xYZH81RkQ1wUryJGoM9CMoeL4nmcQ")</f>
        <v>1rznTwdTAEkrPH0xYZH81RkQ1wUryJGoM9CMoeL4nmcQ</v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IFERROR(__xludf.DUMMYFUNCTION("""COMPUTED_VALUE"""),"SetAccountValueCalculatedPref")</f>
        <v>SetAccountValueCalculatedPref</v>
      </c>
      <c r="C90" t="str">
        <f>IFERROR(__xludf.DUMMYFUNCTION("""COMPUTED_VALUE"""),"1_z8RqXBRujVk2nmOKATscV8OMNcUKi2JifkR1W7KdRE")</f>
        <v>1_z8RqXBRujVk2nmOKATscV8OMNcUKi2JifkR1W7KdRE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IFERROR(__xludf.DUMMYFUNCTION("""COMPUTED_VALUE"""),"TradeAttributeBulkChangeGroups")</f>
        <v>TradeAttributeBulkChangeGroups</v>
      </c>
      <c r="C91" t="str">
        <f>IFERROR(__xludf.DUMMYFUNCTION("""COMPUTED_VALUE"""),"1PWEqwYA12VgsLsj6lvnqrW4sngZuq-sjrmnpL9peQPo")</f>
        <v>1PWEqwYA12VgsLsj6lvnqrW4sngZuq-sjrmnpL9peQPo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IFERROR(__xludf.DUMMYFUNCTION("""COMPUTED_VALUE"""),"TradeAttributeBulkChangeTaxlots")</f>
        <v>TradeAttributeBulkChangeTaxlots</v>
      </c>
      <c r="C92" t="str">
        <f>IFERROR(__xludf.DUMMYFUNCTION("""COMPUTED_VALUE"""),"1qWD23r6S8L6qNcKOENcBsVpBS_5raHBTtvCMOf8rwRo")</f>
        <v>1qWD23r6S8L6qNcKOENcBsVpBS_5raHBTtvCMOf8rwRo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IFERROR(__xludf.DUMMYFUNCTION("""COMPUTED_VALUE"""),"AddCalculatedPreferenceToolbar")</f>
        <v>AddCalculatedPreferenceToolbar</v>
      </c>
      <c r="C93" t="str">
        <f>IFERROR(__xludf.DUMMYFUNCTION("""COMPUTED_VALUE"""),"1ih6B6H3dMqTN2qoqiNuco5rugaDHzlFQvUiQTafq1-Y")</f>
        <v>1ih6B6H3dMqTN2qoqiNuco5rugaDHzlFQvUiQTafq1-Y</v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IFERROR(__xludf.DUMMYFUNCTION("""COMPUTED_VALUE"""),"GetRevaluationData")</f>
        <v>GetRevaluationData</v>
      </c>
      <c r="C94" t="str">
        <f>IFERROR(__xludf.DUMMYFUNCTION("""COMPUTED_VALUE"""),"105kp1yXOdHuKObnT282Gjsr9VcKIYY9fVt3jwRMQivk")</f>
        <v>105kp1yXOdHuKObnT282Gjsr9VcKIYY9fVt3jwRMQivk</v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IFERROR(__xludf.DUMMYFUNCTION("""COMPUTED_VALUE"""),"SetStrategyValueCalculatedPref")</f>
        <v>SetStrategyValueCalculatedPref</v>
      </c>
      <c r="C95" t="str">
        <f>IFERROR(__xludf.DUMMYFUNCTION("""COMPUTED_VALUE"""),"155MwUZO0qphL6P5-kiOzXA9wszW7MLyU3r6cueRluPE")</f>
        <v>155MwUZO0qphL6P5-kiOzXA9wszW7MLyU3r6cueRluPE</v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IFERROR(__xludf.DUMMYFUNCTION("""COMPUTED_VALUE"""),"GetAccountDetails")</f>
        <v>GetAccountDetails</v>
      </c>
      <c r="C96" t="str">
        <f>IFERROR(__xludf.DUMMYFUNCTION("""COMPUTED_VALUE"""),"1Me9UTDrd2996RjhiWBMkCi9mXdb5L42QQfdj510IoVM")</f>
        <v>1Me9UTDrd2996RjhiWBMkCi9mXdb5L42QQfdj510IoVM</v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IFERROR(__xludf.DUMMYFUNCTION("""COMPUTED_VALUE"""),"ApplyBulkUpdateOnTaxlots")</f>
        <v>ApplyBulkUpdateOnTaxlots</v>
      </c>
      <c r="C97" t="str">
        <f>IFERROR(__xludf.DUMMYFUNCTION("""COMPUTED_VALUE"""),"1kSbyPWCAETWkagyJeACNwFnEDTZGBY7V9VzLov8MtUE")</f>
        <v>1kSbyPWCAETWkagyJeACNwFnEDTZGBY7V9VzLov8MtUE</v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IFERROR(__xludf.DUMMYFUNCTION("""COMPUTED_VALUE"""),"GetNonTradingTransaction")</f>
        <v>GetNonTradingTransaction</v>
      </c>
      <c r="C98" t="str">
        <f>IFERROR(__xludf.DUMMYFUNCTION("""COMPUTED_VALUE"""),"1HUC5rEPCZfFcwW21tVUh6_8T3y5OGGZm3qS66vN0_Bc")</f>
        <v>1HUC5rEPCZfFcwW21tVUh6_8T3y5OGGZm3qS66vN0_Bc</v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IFERROR(__xludf.DUMMYFUNCTION("""COMPUTED_VALUE"""),"CommissionBulkChangeOnGroups")</f>
        <v>CommissionBulkChangeOnGroups</v>
      </c>
      <c r="C99" t="str">
        <f>IFERROR(__xludf.DUMMYFUNCTION("""COMPUTED_VALUE"""),"1nqghloueAtXKgiCD7E97C4HJhoG52Mgd5lseF3sy40Y")</f>
        <v>1nqghloueAtXKgiCD7E97C4HJhoG52Mgd5lseF3sy40Y</v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IFERROR(__xludf.DUMMYFUNCTION("""COMPUTED_VALUE"""),"GetDividendData")</f>
        <v>GetDividendData</v>
      </c>
      <c r="C100" t="str">
        <f>IFERROR(__xludf.DUMMYFUNCTION("""COMPUTED_VALUE"""),"1U4lTeqJHZq-7DOC_oNjNvpvqxZzMTAVQzmbDBSE3iSw")</f>
        <v>1U4lTeqJHZq-7DOC_oNjNvpvqxZzMTAVQzmbDBSE3iSw</v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IFERROR(__xludf.DUMMYFUNCTION("""COMPUTED_VALUE"""),"CommissionBulkChangeOnTaxlots")</f>
        <v>CommissionBulkChangeOnTaxlots</v>
      </c>
      <c r="C101" t="str">
        <f>IFERROR(__xludf.DUMMYFUNCTION("""COMPUTED_VALUE"""),"1_7vsYYCvTxkAYqYXjLmISGV0viOCb9khDDddgaDCzbE")</f>
        <v>1_7vsYYCvTxkAYqYXjLmISGV0viOCb9khDDddgaDCzbE</v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IFERROR(__xludf.DUMMYFUNCTION("""COMPUTED_VALUE"""),"VerifyNonTradingTransaction")</f>
        <v>VerifyNonTradingTransaction</v>
      </c>
      <c r="C102" t="str">
        <f>IFERROR(__xludf.DUMMYFUNCTION("""COMPUTED_VALUE"""),"1O0bP5QXQjQiDANZIp9Obrifa55tdLvVLynbjdLFGE3g")</f>
        <v>1O0bP5QXQjQiDANZIp9Obrifa55tdLvVLynbjdLFGE3g</v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IFERROR(__xludf.DUMMYFUNCTION("""COMPUTED_VALUE"""),"SelectUnallocatedGroup")</f>
        <v>SelectUnallocatedGroup</v>
      </c>
      <c r="C103" t="str">
        <f>IFERROR(__xludf.DUMMYFUNCTION("""COMPUTED_VALUE"""),"1o4oo91ek1Mn_DDe4KMGTI4QP4Tr2a7dk4W6GhZrx8C0")</f>
        <v>1o4oo91ek1Mn_DDe4KMGTI4QP4Tr2a7dk4W6GhZrx8C0</v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IFERROR(__xludf.DUMMYFUNCTION("""COMPUTED_VALUE"""),"VerifyDividend")</f>
        <v>VerifyDividend</v>
      </c>
      <c r="C104" t="str">
        <f>IFERROR(__xludf.DUMMYFUNCTION("""COMPUTED_VALUE"""),"1rqUHYcdAPy30n3DVnBbBC1G7pAs0HVw8bk6U4wElamU")</f>
        <v>1rqUHYcdAPy30n3DVnBbBC1G7pAs0HVw8bk6U4wElamU</v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IFERROR(__xludf.DUMMYFUNCTION("""COMPUTED_VALUE"""),"EnterAccountValuesToAllocate")</f>
        <v>EnterAccountValuesToAllocate</v>
      </c>
      <c r="C105" t="str">
        <f>IFERROR(__xludf.DUMMYFUNCTION("""COMPUTED_VALUE"""),"1_xxunJZv--OoaMu--vIqANsrHbGnp7zgAejiREqgC9o")</f>
        <v>1_xxunJZv--OoaMu--vIqANsrHbGnp7zgAejiREqgC9o</v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IFERROR(__xludf.DUMMYFUNCTION("""COMPUTED_VALUE"""),"GetOpeningBalanceData")</f>
        <v>GetOpeningBalanceData</v>
      </c>
      <c r="C106" t="str">
        <f>IFERROR(__xludf.DUMMYFUNCTION("""COMPUTED_VALUE"""),"1szTOtKIGVoQMbhobEgnUxaIGXhP5R27tXCm0Kr5COss")</f>
        <v>1szTOtKIGVoQMbhobEgnUxaIGXhP5R27tXCm0Kr5COss</v>
      </c>
    </row>
    <row r="107" ht="15.75" customHeight="1">
      <c r="A107" t="str">
        <f>IFERROR(__xludf.DUMMYFUNCTION("""COMPUTED_VALUE"""),"Allocation")</f>
        <v>Allocation</v>
      </c>
      <c r="B107" t="str">
        <f>IFERROR(__xludf.DUMMYFUNCTION("""COMPUTED_VALUE"""),"EnterAllocatePreference")</f>
        <v>EnterAllocatePreference</v>
      </c>
      <c r="C107" t="str">
        <f>IFERROR(__xludf.DUMMYFUNCTION("""COMPUTED_VALUE"""),"19kT9xClnQROyvkZyFnUNnYg5PZsgZfC-L8n5MQshEKw")</f>
        <v>19kT9xClnQROyvkZyFnUNnYg5PZsgZfC-L8n5MQshEKw</v>
      </c>
    </row>
    <row r="108" ht="15.75" customHeight="1">
      <c r="A108" t="str">
        <f>IFERROR(__xludf.DUMMYFUNCTION("""COMPUTED_VALUE"""),"GeneralLedger")</f>
        <v>GeneralLedger</v>
      </c>
      <c r="B108" t="str">
        <f>IFERROR(__xludf.DUMMYFUNCTION("""COMPUTED_VALUE"""),"GetAccountBalance")</f>
        <v>GetAccountBalance</v>
      </c>
      <c r="C108" t="str">
        <f>IFERROR(__xludf.DUMMYFUNCTION("""COMPUTED_VALUE"""),"14i8_M9tTYQnmPA2vP4WK8Gc1mKSw08Q2z6JEQNMQ2jA")</f>
        <v>14i8_M9tTYQnmPA2vP4WK8Gc1mKSw08Q2z6JEQNMQ2jA</v>
      </c>
    </row>
    <row r="109" ht="15.75" customHeight="1">
      <c r="A109" t="str">
        <f>IFERROR(__xludf.DUMMYFUNCTION("""COMPUTED_VALUE"""),"Expnl")</f>
        <v>Expnl</v>
      </c>
      <c r="B109" t="str">
        <f>IFERROR(__xludf.DUMMYFUNCTION("""COMPUTED_VALUE"""),"RestartExpnl")</f>
        <v>RestartExpnl</v>
      </c>
      <c r="C109" t="str">
        <f>IFERROR(__xludf.DUMMYFUNCTION("""COMPUTED_VALUE"""),"1XudD6Nj0wqCZAKVseYGTPtKQwNCe9E1uqJVw4IlOpus")</f>
        <v>1XudD6Nj0wqCZAKVseYGTPtKQwNCe9E1uqJVw4IlOpus</v>
      </c>
    </row>
    <row r="110" ht="15.75" customHeight="1">
      <c r="A110" t="str">
        <f>IFERROR(__xludf.DUMMYFUNCTION("""COMPUTED_VALUE"""),"PortfolioManagement")</f>
        <v>PortfolioManagement</v>
      </c>
      <c r="B110" t="str">
        <f>IFERROR(__xludf.DUMMYFUNCTION("""COMPUTED_VALUE"""),"ClosePM")</f>
        <v>ClosePM</v>
      </c>
      <c r="C110" t="str">
        <f>IFERROR(__xludf.DUMMYFUNCTION("""COMPUTED_VALUE"""),"Undefined")</f>
        <v>Undefined</v>
      </c>
    </row>
    <row r="111" ht="15.75" customHeight="1">
      <c r="A111" t="str">
        <f>IFERROR(__xludf.DUMMYFUNCTION("""COMPUTED_VALUE"""),"Allocation")</f>
        <v>Allocation</v>
      </c>
      <c r="B111" t="str">
        <f>IFERROR(__xludf.DUMMYFUNCTION("""COMPUTED_VALUE"""),"EnterStrategyValuesToAllocate")</f>
        <v>EnterStrategyValuesToAllocate</v>
      </c>
      <c r="C111" t="str">
        <f>IFERROR(__xludf.DUMMYFUNCTION("""COMPUTED_VALUE"""),"1Zsko4640_o83_hPa401AVs4ihF17JntIpyHAOhJZX6E")</f>
        <v>1Zsko4640_o83_hPa401AVs4ihF17JntIpyHAOhJZX6E</v>
      </c>
    </row>
    <row r="112" ht="15.75" customHeight="1">
      <c r="A112" t="str">
        <f>IFERROR(__xludf.DUMMYFUNCTION("""COMPUTED_VALUE"""),"GeneralLedger")</f>
        <v>GeneralLedger</v>
      </c>
      <c r="B112" t="str">
        <f>IFERROR(__xludf.DUMMYFUNCTION("""COMPUTED_VALUE"""),"SelectNonTradingTransaction")</f>
        <v>SelectNonTradingTransaction</v>
      </c>
      <c r="C112" t="str">
        <f>IFERROR(__xludf.DUMMYFUNCTION("""COMPUTED_VALUE"""),"13CpGgA7xAiUMopTzEjt2gG1RljXAXIuKfHjB9r5e5x4")</f>
        <v>13CpGgA7xAiUMopTzEjt2gG1RljXAXIuKfHjB9r5e5x4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IFERROR(__xludf.DUMMYFUNCTION("""COMPUTED_VALUE"""),"SelectNonTradingTranItem")</f>
        <v>SelectNonTradingTranItem</v>
      </c>
      <c r="C113" t="str">
        <f>IFERROR(__xludf.DUMMYFUNCTION("""COMPUTED_VALUE"""),"1UZ09M0xmOuNjWYpsoghYu3B-9Dp1XeyMl6CRaUgL7PU")</f>
        <v>1UZ09M0xmOuNjWYpsoghYu3B-9Dp1XeyMl6CRaUgL7PU</v>
      </c>
    </row>
    <row r="114" ht="15.75" customHeight="1">
      <c r="A114" t="str">
        <f>IFERROR(__xludf.DUMMYFUNCTION("""COMPUTED_VALUE"""),"Allocation")</f>
        <v>Allocation</v>
      </c>
      <c r="B114" t="str">
        <f>IFERROR(__xludf.DUMMYFUNCTION("""COMPUTED_VALUE"""),"CopyCalculatedPreferenceToolbar")</f>
        <v>CopyCalculatedPreferenceToolbar</v>
      </c>
      <c r="C114" t="str">
        <f>IFERROR(__xludf.DUMMYFUNCTION("""COMPUTED_VALUE"""),"1l11hWn_7rpljZexuNHkg5KleyKXo_4jx1d21BZRdJLg")</f>
        <v>1l11hWn_7rpljZexuNHkg5KleyKXo_4jx1d21BZRdJLg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IFERROR(__xludf.DUMMYFUNCTION("""COMPUTED_VALUE"""),"SetGeneralRuleCalculatedPref")</f>
        <v>SetGeneralRuleCalculatedPref</v>
      </c>
      <c r="C115" t="str">
        <f>IFERROR(__xludf.DUMMYFUNCTION("""COMPUTED_VALUE"""),"1R_5SIhO5vmNiNTSvxGDIsDQW7k4dpl_tTORq2eMqTMQ")</f>
        <v>1R_5SIhO5vmNiNTSvxGDIsDQW7k4dpl_tTORq2eMqTMQ</v>
      </c>
    </row>
    <row r="116" ht="15.75" customHeight="1">
      <c r="A116" t="str">
        <f>IFERROR(__xludf.DUMMYFUNCTION("""COMPUTED_VALUE"""),"GeneralLedger")</f>
        <v>GeneralLedger</v>
      </c>
      <c r="B116" t="str">
        <f>IFERROR(__xludf.DUMMYFUNCTION("""COMPUTED_VALUE"""),"DeleteNonTradingTransaction")</f>
        <v>DeleteNonTradingTransaction</v>
      </c>
      <c r="C116" t="str">
        <f>IFERROR(__xludf.DUMMYFUNCTION("""COMPUTED_VALUE"""),"1BNSpLr6-8xmfOdPhxn_mllvRzgMVOx2ZkRBPRI9o3dM")</f>
        <v>1BNSpLr6-8xmfOdPhxn_mllvRzgMVOx2ZkRBPRI9o3dM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IFERROR(__xludf.DUMMYFUNCTION("""COMPUTED_VALUE"""),"DeleteNonTradingTranItem")</f>
        <v>DeleteNonTradingTranItem</v>
      </c>
      <c r="C117" t="str">
        <f>IFERROR(__xludf.DUMMYFUNCTION("""COMPUTED_VALUE"""),"1YQ4eqVgAhL_mqQU2z2kvxzIhWYpzfuAfnqY561FQoSE")</f>
        <v>1YQ4eqVgAhL_mqQU2z2kvxzIhWYpzfuAfnqY561FQoSE</v>
      </c>
    </row>
    <row r="118" ht="15.75" customHeight="1">
      <c r="A118" s="9" t="str">
        <f>IFERROR(__xludf.DUMMYFUNCTION("""COMPUTED_VALUE"""),"Allocation")</f>
        <v>Allocation</v>
      </c>
      <c r="B118" t="str">
        <f>IFERROR(__xludf.DUMMYFUNCTION("""COMPUTED_VALUE"""),"ExportAllCalculatedPreferences")</f>
        <v>ExportAllCalculatedPreferences</v>
      </c>
      <c r="C118" t="str">
        <f>IFERROR(__xludf.DUMMYFUNCTION("""COMPUTED_VALUE"""),"1McqZVOvpDAyyblkMX74qXcQoiQxkSLybROu-ztjMQIc")</f>
        <v>1McqZVOvpDAyyblkMX74qXcQoiQxkSLybROu-ztjMQIc</v>
      </c>
    </row>
    <row r="119" ht="15.75" customHeight="1">
      <c r="A119" t="str">
        <f>IFERROR(__xludf.DUMMYFUNCTION("""COMPUTED_VALUE"""),"GeneralLedger")</f>
        <v>GeneralLedger</v>
      </c>
      <c r="B119" t="str">
        <f>IFERROR(__xludf.DUMMYFUNCTION("""COMPUTED_VALUE"""),"AddNonTradingTransaction")</f>
        <v>AddNonTradingTransaction</v>
      </c>
      <c r="C119" t="str">
        <f>IFERROR(__xludf.DUMMYFUNCTION("""COMPUTED_VALUE"""),"1P841AyLOX69wx-NB44lpyuRlaUGV1cMYqaugaIGxr5Q")</f>
        <v>1P841AyLOX69wx-NB44lpyuRlaUGV1cMYqaugaIGxr5Q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IFERROR(__xludf.DUMMYFUNCTION("""COMPUTED_VALUE"""),"AddNonTradingTranItem")</f>
        <v>AddNonTradingTranItem</v>
      </c>
      <c r="C120" t="str">
        <f>IFERROR(__xludf.DUMMYFUNCTION("""COMPUTED_VALUE"""),"1fEUUuW7bCEL3WiGDSZKRox2hDLlMEtVBUR46151jGvw")</f>
        <v>1fEUUuW7bCEL3WiGDSZKRox2hDLlMEtVBUR46151jGvw</v>
      </c>
    </row>
    <row r="121" ht="15.75" customHeight="1">
      <c r="A121" t="str">
        <f>IFERROR(__xludf.DUMMYFUNCTION("""COMPUTED_VALUE"""),"Allocation")</f>
        <v>Allocation</v>
      </c>
      <c r="B121" t="str">
        <f>IFERROR(__xludf.DUMMYFUNCTION("""COMPUTED_VALUE"""),"SaveCalculatedPreferences")</f>
        <v>SaveCalculatedPreferences</v>
      </c>
      <c r="C121" t="str">
        <f>IFERROR(__xludf.DUMMYFUNCTION("""COMPUTED_VALUE"""),"Undefined")</f>
        <v>Undefined</v>
      </c>
    </row>
    <row r="122" ht="15.75" customHeight="1">
      <c r="A122" t="str">
        <f>IFERROR(__xludf.DUMMYFUNCTION("""COMPUTED_VALUE"""),"GeneralLedger")</f>
        <v>GeneralLedger</v>
      </c>
      <c r="B122" t="str">
        <f>IFERROR(__xludf.DUMMYFUNCTION("""COMPUTED_VALUE"""),"VerifyOpeningBalanceData")</f>
        <v>VerifyOpeningBalanceData</v>
      </c>
      <c r="C122" t="str">
        <f>IFERROR(__xludf.DUMMYFUNCTION("""COMPUTED_VALUE"""),"1fYqc0dGDB6VLPr77gmUss7eBXhlUYc0GLttj6ffr-Kg")</f>
        <v>1fYqc0dGDB6VLPr77gmUss7eBXhlUYc0GLttj6ffr-Kg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IFERROR(__xludf.DUMMYFUNCTION("""COMPUTED_VALUE"""),"SelectOpeningBalanceTransaction")</f>
        <v>SelectOpeningBalanceTransaction</v>
      </c>
      <c r="C123" t="str">
        <f>IFERROR(__xludf.DUMMYFUNCTION("""COMPUTED_VALUE"""),"1WebIwh6H8t2c0-92bwEKV5DshdjoRQmVPIJVFLHmnls")</f>
        <v>1WebIwh6H8t2c0-92bwEKV5DshdjoRQmVPIJVFLHmnls</v>
      </c>
    </row>
    <row r="124" ht="15.75" customHeight="1">
      <c r="A124" t="str">
        <f>IFERROR(__xludf.DUMMYFUNCTION("""COMPUTED_VALUE"""),"TradingTicket")</f>
        <v>TradingTicket</v>
      </c>
      <c r="B124" t="str">
        <f>IFERROR(__xludf.DUMMYFUNCTION("""COMPUTED_VALUE"""),"CreateStageOrder ")</f>
        <v>CreateStageOrder </v>
      </c>
      <c r="C124" t="str">
        <f>IFERROR(__xludf.DUMMYFUNCTION("""COMPUTED_VALUE"""),"19L_mzuhDLQ5wPlLAxlOHp1eRSS4zc0D4J6BOKCagXpw")</f>
        <v>19L_mzuhDLQ5wPlLAxlOHp1eRSS4zc0D4J6BOKCagXpw</v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IFERROR(__xludf.DUMMYFUNCTION("""COMPUTED_VALUE"""),"TransferToUserWorkingSubs")</f>
        <v>TransferToUserWorkingSubs</v>
      </c>
      <c r="C125" t="str">
        <f>IFERROR(__xludf.DUMMYFUNCTION("""COMPUTED_VALUE"""),"1SYHCL9X3kLj_YpZgCZTrllmRvVgAsjam3MbM-5vKhuQ")</f>
        <v>1SYHCL9X3kLj_YpZgCZTrllmRvVgAsjam3MbM-5vKhuQ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IFERROR(__xludf.DUMMYFUNCTION("""COMPUTED_VALUE"""),"CancelWorkingSubs")</f>
        <v>CancelWorkingSubs</v>
      </c>
      <c r="C126" t="str">
        <f>IFERROR(__xludf.DUMMYFUNCTION("""COMPUTED_VALUE"""),"1O_QhVVvq9XcwVG6eOk1KDiQEBXDVkfHIoF5OQ05ChQM")</f>
        <v>1O_QhVVvq9XcwVG6eOk1KDiQEBXDVkfHIoF5OQ05ChQM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IFERROR(__xludf.DUMMYFUNCTION("""COMPUTED_VALUE"""),"ReplaceWorkingSubs")</f>
        <v>ReplaceWorkingSubs</v>
      </c>
      <c r="C127" t="str">
        <f>IFERROR(__xludf.DUMMYFUNCTION("""COMPUTED_VALUE"""),"1WZoxOuHE4Qt6q835PwLh8-0EnNhekv7piYE-Kd-vnjg")</f>
        <v>1WZoxOuHE4Qt6q835PwLh8-0EnNhekv7piYE-Kd-vnjg</v>
      </c>
    </row>
    <row r="128" ht="15.75" customHeight="1">
      <c r="A128" t="str">
        <f>IFERROR(__xludf.DUMMYFUNCTION("""COMPUTED_VALUE"""),"Expnl")</f>
        <v>Expnl</v>
      </c>
      <c r="B128" t="str">
        <f>IFERROR(__xludf.DUMMYFUNCTION("""COMPUTED_VALUE"""),"UpdateExpnlConfig")</f>
        <v>UpdateExpnlConfig</v>
      </c>
      <c r="C128" t="str">
        <f>IFERROR(__xludf.DUMMYFUNCTION("""COMPUTED_VALUE"""),"1V8BI4yfIyQECE1JcMRsApfmTPthAoYudd5HOhx1IeZ4")</f>
        <v>1V8BI4yfIyQECE1JcMRsApfmTPthAoYudd5HOhx1IeZ4</v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IFERROR(__xludf.DUMMYFUNCTION("""COMPUTED_VALUE"""),"ViewAllocationDetailsWorkingSub")</f>
        <v>ViewAllocationDetailsWorkingSub</v>
      </c>
      <c r="C129" t="str">
        <f>IFERROR(__xludf.DUMMYFUNCTION("""COMPUTED_VALUE"""),"1C9lg9oeUsmJEC3FDEmDYEDxYEZ48vhTvBpc_7jzrG-A")</f>
        <v>1C9lg9oeUsmJEC3FDEmDYEDxYEZ48vhTvBpc_7jzrG-A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IFERROR(__xludf.DUMMYFUNCTION("""COMPUTED_VALUE"""),"SelectTradeOnOrderGrid")</f>
        <v>SelectTradeOnOrderGrid</v>
      </c>
      <c r="C130" t="str">
        <f>IFERROR(__xludf.DUMMYFUNCTION("""COMPUTED_VALUE"""),"1BjEK9SjmwTVcJQlKgIyoRBoSojE0atclJ6aMY8PF1jE")</f>
        <v>1BjEK9SjmwTVcJQlKgIyoRBoSojE0atclJ6aMY8PF1jE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IFERROR(__xludf.DUMMYFUNCTION("""COMPUTED_VALUE"""),"ShowDetailsForAlgoTradeSubOrder")</f>
        <v>ShowDetailsForAlgoTradeSubOrder</v>
      </c>
      <c r="C131" t="str">
        <f>IFERROR(__xludf.DUMMYFUNCTION("""COMPUTED_VALUE"""),"1m-tuubYj3kpg3IX2REfAJAcN1l96k6ONTKyiKvxjX2Y")</f>
        <v>1m-tuubYj3kpg3IX2REfAJAcN1l96k6ONTKyiKvxjX2Y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IFERROR(__xludf.DUMMYFUNCTION("""COMPUTED_VALUE"""),"SelectTradeOrderBlotter")</f>
        <v>SelectTradeOrderBlotter</v>
      </c>
      <c r="C132" t="str">
        <f>IFERROR(__xludf.DUMMYFUNCTION("""COMPUTED_VALUE"""),"16c7e_rK3O0Zi9I0WlDJ908i_nRkDa4gzAI-9qAWkMGU")</f>
        <v>16c7e_rK3O0Zi9I0WlDJ908i_nRkDa4gzAI-9qAWkMGU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IFERROR(__xludf.DUMMYFUNCTION("""COMPUTED_VALUE"""),"AddFillsWorkingSubs")</f>
        <v>AddFillsWorkingSubs</v>
      </c>
      <c r="C133" t="str">
        <f>IFERROR(__xludf.DUMMYFUNCTION("""COMPUTED_VALUE"""),"1NsatpolfnrnOWuJS48_OImvxU5HT7tC5tpa6K_1j4nw")</f>
        <v>1NsatpolfnrnOWuJS48_OImvxU5HT7tC5tpa6K_1j4nw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IFERROR(__xludf.DUMMYFUNCTION("""COMPUTED_VALUE"""),"EditAddFillsDetails")</f>
        <v>EditAddFillsDetails</v>
      </c>
      <c r="C134" t="str">
        <f>IFERROR(__xludf.DUMMYFUNCTION("""COMPUTED_VALUE"""),"1wzlYzJ1XCTaoLeP4tjkY8-ZhqlYA9IRvRsKXraPyMT4")</f>
        <v>1wzlYzJ1XCTaoLeP4tjkY8-ZhqlYA9IRvRsKXraPyMT4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IFERROR(__xludf.DUMMYFUNCTION("""COMPUTED_VALUE"""),"ShowDetailsForAlgoTradeWorkingSubs")</f>
        <v>ShowDetailsForAlgoTradeWorkingSubs</v>
      </c>
      <c r="C135" t="str">
        <f>IFERROR(__xludf.DUMMYFUNCTION("""COMPUTED_VALUE"""),"1uzLHi4CNBx0MyhR8WKVB_6WHQpiBXI6BeN8IK55J1co")</f>
        <v>1uzLHi4CNBx0MyhR8WKVB_6WHQpiBXI6BeN8IK55J1co</v>
      </c>
    </row>
    <row r="136" ht="15.75" customHeight="1">
      <c r="A136" t="str">
        <f>IFERROR(__xludf.DUMMYFUNCTION("""COMPUTED_VALUE"""),"Closing")</f>
        <v>Closing</v>
      </c>
      <c r="B136" t="str">
        <f>IFERROR(__xludf.DUMMYFUNCTION("""COMPUTED_VALUE"""),"SwapExpire")</f>
        <v>SwapExpire</v>
      </c>
      <c r="C136" t="str">
        <f>IFERROR(__xludf.DUMMYFUNCTION("""COMPUTED_VALUE"""),"1Ch8ljdOLO5qpDv9DppYdH0GSLe_dObZX8Z4007tRKtk")</f>
        <v>1Ch8ljdOLO5qpDv9DppYdH0GSLe_dObZX8Z4007tRKtk</v>
      </c>
    </row>
    <row r="137" ht="15.75" customHeight="1">
      <c r="A137" t="str">
        <f>IFERROR(__xludf.DUMMYFUNCTION("""COMPUTED_VALUE"""),"Blotter")</f>
        <v>Blotter</v>
      </c>
      <c r="B137" t="str">
        <f>IFERROR(__xludf.DUMMYFUNCTION("""COMPUTED_VALUE"""),"VerifyWorkingSubs")</f>
        <v>VerifyWorkingSubs</v>
      </c>
      <c r="C137" t="str">
        <f>IFERROR(__xludf.DUMMYFUNCTION("""COMPUTED_VALUE"""),"1bWNa-3AC2rjiVCHfnFAnV1_niiebvWSmqy0pa2Y3A1U")</f>
        <v>1bWNa-3AC2rjiVCHfnFAnV1_niiebvWSmqy0pa2Y3A1U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IFERROR(__xludf.DUMMYFUNCTION("""COMPUTED_VALUE"""),"TransferToUserOrder")</f>
        <v>TransferToUserOrder</v>
      </c>
      <c r="C138" t="str">
        <f>IFERROR(__xludf.DUMMYFUNCTION("""COMPUTED_VALUE"""),"1P2MumATI6sYkJ-NV9pAkg1QlFtz454tMWNv0omhAY0U")</f>
        <v>1P2MumATI6sYkJ-NV9pAkg1QlFtz454tMWNv0omhAY0U</v>
      </c>
    </row>
    <row r="139" ht="15.75" customHeight="1">
      <c r="A139" t="str">
        <f>IFERROR(__xludf.DUMMYFUNCTION("""COMPUTED_VALUE"""),"Allocation")</f>
        <v>Allocation</v>
      </c>
      <c r="B139" t="str">
        <f>IFERROR(__xludf.DUMMYFUNCTION("""COMPUTED_VALUE"""),"CloseCalculatedPreferences")</f>
        <v>CloseCalculatedPreferences</v>
      </c>
      <c r="C139" t="str">
        <f>IFERROR(__xludf.DUMMYFUNCTION("""COMPUTED_VALUE"""),"Undefined")</f>
        <v>Undefined</v>
      </c>
    </row>
    <row r="140" ht="15.75" customHeight="1">
      <c r="A140" t="str">
        <f>IFERROR(__xludf.DUMMYFUNCTION("""COMPUTED_VALUE"""),"TradingTicket")</f>
        <v>TradingTicket</v>
      </c>
      <c r="B140" t="str">
        <f>IFERROR(__xludf.DUMMYFUNCTION("""COMPUTED_VALUE"""),"CreateReplaceOrder")</f>
        <v>CreateReplaceOrder</v>
      </c>
      <c r="C140" t="str">
        <f>IFERROR(__xludf.DUMMYFUNCTION("""COMPUTED_VALUE"""),"18AeAxxP9aKc0LkOM-a21d3p-tmpinB6dTkwcwxQslJ4")</f>
        <v>18AeAxxP9aKc0LkOM-a21d3p-tmpinB6dTkwcwxQslJ4</v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IFERROR(__xludf.DUMMYFUNCTION("""COMPUTED_VALUE"""),"EditOrder")</f>
        <v>EditOrder</v>
      </c>
      <c r="C141" t="str">
        <f>IFERROR(__xludf.DUMMYFUNCTION("""COMPUTED_VALUE"""),"1Vd5K36QAgnLOt0ytUkYptPSTuOBM4MelFsNL6C-vyXQ")</f>
        <v>1Vd5K36QAgnLOt0ytUkYptPSTuOBM4MelFsNL6C-vyXQ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IFERROR(__xludf.DUMMYFUNCTION("""COMPUTED_VALUE"""),"SelectTradeSubOrderBlotter")</f>
        <v>SelectTradeSubOrderBlotter</v>
      </c>
      <c r="C142" t="str">
        <f>IFERROR(__xludf.DUMMYFUNCTION("""COMPUTED_VALUE"""),"1Kn7RmQ6euNcNOy6NDUbPzjJlZhiqP-WxVYqXlDo2C6U")</f>
        <v>1Kn7RmQ6euNcNOy6NDUbPzjJlZhiqP-WxVYqXlDo2C6U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IFERROR(__xludf.DUMMYFUNCTION("""COMPUTED_VALUE"""),"VerifyOrder")</f>
        <v>VerifyOrder</v>
      </c>
      <c r="C143" t="str">
        <f>IFERROR(__xludf.DUMMYFUNCTION("""COMPUTED_VALUE"""),"1JPNg6N_aHFo0NZlm39jWJJlz8ViAI_cUwOgfEVMqNZo")</f>
        <v>1JPNg6N_aHFo0NZlm39jWJJlz8ViAI_cUwOgfEVMqNZo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IFERROR(__xludf.DUMMYFUNCTION("""COMPUTED_VALUE"""),"VerifySubOrder")</f>
        <v>VerifySubOrder</v>
      </c>
      <c r="C144" t="str">
        <f>IFERROR(__xludf.DUMMYFUNCTION("""COMPUTED_VALUE"""),"1TafQ5l2I9Hkp5-ghxq8hrHGyq-Oxs6F71aj4qMJyg5c")</f>
        <v>1TafQ5l2I9Hkp5-ghxq8hrHGyq-Oxs6F71aj4qMJyg5c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IFERROR(__xludf.DUMMYFUNCTION("""COMPUTED_VALUE"""),"RemoveSelectedOrders")</f>
        <v>RemoveSelectedOrders</v>
      </c>
      <c r="C145" t="str">
        <f>IFERROR(__xludf.DUMMYFUNCTION("""COMPUTED_VALUE"""),"1J3iMkZUt2VcZ66ADaKSSINJ5EJabuIdY1zSwd6M45wM")</f>
        <v>1J3iMkZUt2VcZ66ADaKSSINJ5EJabuIdY1zSwd6M45wM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IFERROR(__xludf.DUMMYFUNCTION("""COMPUTED_VALUE"""),"CancelAllSelectedSubs")</f>
        <v>CancelAllSelectedSubs</v>
      </c>
      <c r="C146" t="str">
        <f>IFERROR(__xludf.DUMMYFUNCTION("""COMPUTED_VALUE"""),"179OBcD6MtBcn4KEI2yimM-WbOG9HdQPq_M4QYKWxCWE")</f>
        <v>179OBcD6MtBcn4KEI2yimM-WbOG9HdQPq_M4QYKWxCWE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IFERROR(__xludf.DUMMYFUNCTION("""COMPUTED_VALUE"""),"MultiTradingTicket")</f>
        <v>MultiTradingTicket</v>
      </c>
      <c r="C147" t="str">
        <f>IFERROR(__xludf.DUMMYFUNCTION("""COMPUTED_VALUE"""),"13Mz382SvngJftLB83NIojgoFXnAjqYRnP5Vbj9lh-rA")</f>
        <v>13Mz382SvngJftLB83NIojgoFXnAjqYRnP5Vbj9lh-rA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IFERROR(__xludf.DUMMYFUNCTION("""COMPUTED_VALUE"""),"AuditTrailOrderBlotter")</f>
        <v>AuditTrailOrderBlotter</v>
      </c>
      <c r="C148" t="str">
        <f>IFERROR(__xludf.DUMMYFUNCTION("""COMPUTED_VALUE"""),"1IuRqDm9SdGbwaATc_E-eFeQdhAmE2zhtBB3igLL_Md4")</f>
        <v>1IuRqDm9SdGbwaATc_E-eFeQdhAmE2zhtBB3igLL_Md4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IFERROR(__xludf.DUMMYFUNCTION("""COMPUTED_VALUE"""),"TradeNewSubOrder")</f>
        <v>TradeNewSubOrder</v>
      </c>
      <c r="C149" t="str">
        <f>IFERROR(__xludf.DUMMYFUNCTION("""COMPUTED_VALUE"""),"1UHeoJyRun4tW18yAwGHn5G5F3bVCz5YfTdVoKPsPhio")</f>
        <v>1UHeoJyRun4tW18yAwGHn5G5F3bVCz5YfTdVoKPsPhio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IFERROR(__xludf.DUMMYFUNCTION("""COMPUTED_VALUE"""),"RemoveStageOrder")</f>
        <v>RemoveStageOrder</v>
      </c>
      <c r="C150" t="str">
        <f>IFERROR(__xludf.DUMMYFUNCTION("""COMPUTED_VALUE"""),"19q7R-0jpTlv8r84XWOTVvpxM4KAqBUjmWW6bBepm980")</f>
        <v>19q7R-0jpTlv8r84XWOTVvpxM4KAqBUjmWW6bBepm980</v>
      </c>
    </row>
    <row r="151" ht="15.75" customHeight="1">
      <c r="A151" t="str">
        <f>IFERROR(__xludf.DUMMYFUNCTION("""COMPUTED_VALUE"""),"TradingTicket")</f>
        <v>TradingTicket</v>
      </c>
      <c r="B151" t="str">
        <f>IFERROR(__xludf.DUMMYFUNCTION("""COMPUTED_VALUE"""),"SetGeneralPreference")</f>
        <v>SetGeneralPreference</v>
      </c>
      <c r="C151" t="str">
        <f>IFERROR(__xludf.DUMMYFUNCTION("""COMPUTED_VALUE"""),"1_gksmHNJnLr9h_WVPZU3z30gw7YXBg5xb6ekKca50wE")</f>
        <v>1_gksmHNJnLr9h_WVPZU3z30gw7YXBg5xb6ekKca50wE</v>
      </c>
    </row>
    <row r="152" ht="15.75" customHeight="1">
      <c r="A152" t="str">
        <f>IFERROR(__xludf.DUMMYFUNCTION("""COMPUTED_VALUE"""),"Allocation")</f>
        <v>Allocation</v>
      </c>
      <c r="B152" t="str">
        <f>IFERROR(__xludf.DUMMYFUNCTION("""COMPUTED_VALUE"""),"ExportCalculatedPreference")</f>
        <v>ExportCalculatedPreference</v>
      </c>
      <c r="C152" t="str">
        <f>IFERROR(__xludf.DUMMYFUNCTION("""COMPUTED_VALUE"""),"12SdpCUJEukku3_4FXm4sTQG2YnlN1FabyPasyveh6Dw")</f>
        <v>12SdpCUJEukku3_4FXm4sTQG2YnlN1FabyPasyveh6Dw</v>
      </c>
    </row>
    <row r="153" ht="15.75" customHeight="1">
      <c r="A153" t="str">
        <f>IFERROR(__xludf.DUMMYFUNCTION("""COMPUTED_VALUE"""),"GeneralLedger")</f>
        <v>GeneralLedger</v>
      </c>
      <c r="B153" t="str">
        <f>IFERROR(__xludf.DUMMYFUNCTION("""COMPUTED_VALUE"""),"SelectOpeningBalanceTranItem")</f>
        <v>SelectOpeningBalanceTranItem</v>
      </c>
      <c r="C153" t="str">
        <f>IFERROR(__xludf.DUMMYFUNCTION("""COMPUTED_VALUE"""),"1V0qkYxwmCcH2Rlv3ntrESGxjt8CqDUtCWLpF5NLEkms")</f>
        <v>1V0qkYxwmCcH2Rlv3ntrESGxjt8CqDUtCWLpF5NLEkms</v>
      </c>
    </row>
    <row r="154" ht="15.75" customHeight="1">
      <c r="A154" t="str">
        <f>IFERROR(__xludf.DUMMYFUNCTION("""COMPUTED_VALUE"""),"PricingInput")</f>
        <v>PricingInput</v>
      </c>
      <c r="B154" t="str">
        <f>IFERROR(__xludf.DUMMYFUNCTION("""COMPUTED_VALUE"""),"EODTPreferences")</f>
        <v>EODTPreferences</v>
      </c>
      <c r="C154" t="str">
        <f>IFERROR(__xludf.DUMMYFUNCTION("""COMPUTED_VALUE"""),"1C2CqSypfxVefrec-UaZokCKMFMAIxUNiNEksS0cQC9U")</f>
        <v>1C2CqSypfxVefrec-UaZokCKMFMAIxUNiNEksS0cQC9U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IFERROR(__xludf.DUMMYFUNCTION("""COMPUTED_VALUE"""),"LiveData")</f>
        <v>LiveData</v>
      </c>
      <c r="C155" t="str">
        <f>IFERROR(__xludf.DUMMYFUNCTION("""COMPUTED_VALUE"""),"1qTWgd0vjJZEbzPL7hyO9Ya7BIHhBEh6QZh1zrIXWpQU")</f>
        <v>1qTWgd0vjJZEbzPL7hyO9Ya7BIHhBEh6QZh1zrIXWpQU</v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IFERROR(__xludf.DUMMYFUNCTION("""COMPUTED_VALUE"""),"EditNonTradingTransaction")</f>
        <v>EditNonTradingTransaction</v>
      </c>
      <c r="C156" t="str">
        <f>IFERROR(__xludf.DUMMYFUNCTION("""COMPUTED_VALUE"""),"1WmisSfIxG2dETBBICN9Eopb2Zv5RAlXVeuJrc4fJW4g")</f>
        <v>1WmisSfIxG2dETBBICN9Eopb2Zv5RAlXVeuJrc4fJW4g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IFERROR(__xludf.DUMMYFUNCTION("""COMPUTED_VALUE"""),"EditNonTradingTranItem")</f>
        <v>EditNonTradingTranItem</v>
      </c>
      <c r="C157" t="str">
        <f>IFERROR(__xludf.DUMMYFUNCTION("""COMPUTED_VALUE"""),"1e5H-E0bLrEbyATTG2-Q8bJEJjiq7I3m-fVl6pCGecHY")</f>
        <v>1e5H-E0bLrEbyATTG2-Q8bJEJjiq7I3m-fVl6pCGecHY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IFERROR(__xludf.DUMMYFUNCTION("""COMPUTED_VALUE"""),"DeleteOpeningBalanceTransaction")</f>
        <v>DeleteOpeningBalanceTransaction</v>
      </c>
      <c r="C158" t="str">
        <f>IFERROR(__xludf.DUMMYFUNCTION("""COMPUTED_VALUE"""),"1MvfhsW88dxVl3ZUBRUYKI_kaV1VM3uvoAiEBGKh80jc")</f>
        <v>1MvfhsW88dxVl3ZUBRUYKI_kaV1VM3uvoAiEBGKh80jc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IFERROR(__xludf.DUMMYFUNCTION("""COMPUTED_VALUE"""),"DeleteOpeningBalanceTranItem")</f>
        <v>DeleteOpeningBalanceTranItem</v>
      </c>
      <c r="C159" t="str">
        <f>IFERROR(__xludf.DUMMYFUNCTION("""COMPUTED_VALUE"""),"11WwR-OgN8B5mzAatud8VLIETSaP2cgH0N18z_22aKgM")</f>
        <v>11WwR-OgN8B5mzAatud8VLIETSaP2cgH0N18z_22aKgM</v>
      </c>
    </row>
    <row r="160" ht="15.75" customHeight="1">
      <c r="A160" t="str">
        <f>IFERROR(__xludf.DUMMYFUNCTION("""COMPUTED_VALUE"""),"Allocation")</f>
        <v>Allocation</v>
      </c>
      <c r="B160" t="str">
        <f>IFERROR(__xludf.DUMMYFUNCTION("""COMPUTED_VALUE"""),"ImportCalculatedPreferences")</f>
        <v>ImportCalculatedPreferences</v>
      </c>
      <c r="C160" t="str">
        <f>IFERROR(__xludf.DUMMYFUNCTION("""COMPUTED_VALUE"""),"12i9wrB43t1Z92_jmrsnfeEq7d6hFZLuijrf1vuyfCko")</f>
        <v>12i9wrB43t1Z92_jmrsnfeEq7d6hFZLuijrf1vuyfCko</v>
      </c>
    </row>
    <row r="161" ht="15.75" customHeight="1">
      <c r="A161" t="str">
        <f>IFERROR(__xludf.DUMMYFUNCTION("""COMPUTED_VALUE"""),"GeneralLedger")</f>
        <v>GeneralLedger</v>
      </c>
      <c r="B161" t="str">
        <f>IFERROR(__xludf.DUMMYFUNCTION("""COMPUTED_VALUE"""),"GetDayEndCash")</f>
        <v>GetDayEndCash</v>
      </c>
      <c r="C161" t="str">
        <f>IFERROR(__xludf.DUMMYFUNCTION("""COMPUTED_VALUE"""),"1s50OqXSYiKWrnT8nYaGDzYThTJTAHIyFoV9ohpgHPgY")</f>
        <v>1s50OqXSYiKWrnT8nYaGDzYThTJTAHIyFoV9ohpgHPgY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IFERROR(__xludf.DUMMYFUNCTION("""COMPUTED_VALUE"""),"VerifyDayEndCash")</f>
        <v>VerifyDayEndCash</v>
      </c>
      <c r="C162" t="str">
        <f>IFERROR(__xludf.DUMMYFUNCTION("""COMPUTED_VALUE"""),"1s_0rGgUmKN57rRoq55juTGojQ5Fitk0m-U_OTDoirHA")</f>
        <v>1s_0rGgUmKN57rRoq55juTGojQ5Fitk0m-U_OTDoirHA</v>
      </c>
    </row>
    <row r="163" ht="15.75" customHeight="1">
      <c r="A163" t="str">
        <f>IFERROR(__xludf.DUMMYFUNCTION("""COMPUTED_VALUE"""),"Allocation")</f>
        <v>Allocation</v>
      </c>
      <c r="B163" t="str">
        <f>IFERROR(__xludf.DUMMYFUNCTION("""COMPUTED_VALUE"""),"OpenAuditTrailUnallocatedGroup")</f>
        <v>OpenAuditTrailUnallocatedGroup</v>
      </c>
      <c r="C163" t="str">
        <f>IFERROR(__xludf.DUMMYFUNCTION("""COMPUTED_VALUE"""),"1ZIhvRGHTU76uT9xqOXXJRFi1H1sbFljHmLeOicgscVU")</f>
        <v>1ZIhvRGHTU76uT9xqOXXJRFi1H1sbFljHmLeOicgscVU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IFERROR(__xludf.DUMMYFUNCTION("""COMPUTED_VALUE"""),"DeleteCalculatedPreferencesTool")</f>
        <v>DeleteCalculatedPreferencesTool</v>
      </c>
      <c r="C164" t="str">
        <f>IFERROR(__xludf.DUMMYFUNCTION("""COMPUTED_VALUE"""),"1dFC-TZzOuqwhb_lRy1ppdZVR5YELDGJURNyboYEsnco")</f>
        <v>1dFC-TZzOuqwhb_lRy1ppdZVR5YELDGJURNyboYEsnco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IFERROR(__xludf.DUMMYFUNCTION("""COMPUTED_VALUE"""),"ImportCalculatedPreferencesTool")</f>
        <v>ImportCalculatedPreferencesTool</v>
      </c>
      <c r="C165" t="str">
        <f>IFERROR(__xludf.DUMMYFUNCTION("""COMPUTED_VALUE"""),"1rWzqQSM4eQ-4N76g_1QP-9cfgPs0Z0ZIXVExsfMleuM")</f>
        <v>1rWzqQSM4eQ-4N76g_1QP-9cfgPs0Z0ZIXVExsfMleuM</v>
      </c>
    </row>
    <row r="166" ht="15.75" customHeight="1">
      <c r="A166" t="str">
        <f>IFERROR(__xludf.DUMMYFUNCTION("""COMPUTED_VALUE"""),"GeneralLedger")</f>
        <v>GeneralLedger</v>
      </c>
      <c r="B166" t="str">
        <f>IFERROR(__xludf.DUMMYFUNCTION("""COMPUTED_VALUE"""),"RunRevaluation")</f>
        <v>RunRevaluation</v>
      </c>
      <c r="C166" t="str">
        <f>IFERROR(__xludf.DUMMYFUNCTION("""COMPUTED_VALUE"""),"1TDDqb6Jok6OvWUFmx4I0wMt8-yhtBiM7TnVQKCoYxTA")</f>
        <v>1TDDqb6Jok6OvWUFmx4I0wMt8-yhtBiM7TnVQKCoYxTA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IFERROR(__xludf.DUMMYFUNCTION("""COMPUTED_VALUE"""),"CalculateDayEndCash")</f>
        <v>CalculateDayEndCash</v>
      </c>
      <c r="C167" t="str">
        <f>IFERROR(__xludf.DUMMYFUNCTION("""COMPUTED_VALUE"""),"Undefined")</f>
        <v>Undefined</v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IFERROR(__xludf.DUMMYFUNCTION("""COMPUTED_VALUE"""),"ExportAllCalculatedPreferTool")</f>
        <v>ExportAllCalculatedPreferTool</v>
      </c>
      <c r="C168" t="str">
        <f>IFERROR(__xludf.DUMMYFUNCTION("""COMPUTED_VALUE"""),"1T2Ras3k5fDjACI972XeavE_8pgs6THSrI1HhB1ye48s")</f>
        <v>1T2Ras3k5fDjACI972XeavE_8pgs6THSrI1HhB1ye48s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IFERROR(__xludf.DUMMYFUNCTION("""COMPUTED_VALUE"""),"OpenAuditTrailAllocatedGroup")</f>
        <v>OpenAuditTrailAllocatedGroup</v>
      </c>
      <c r="C169" t="str">
        <f>IFERROR(__xludf.DUMMYFUNCTION("""COMPUTED_VALUE"""),"1YcVp-kfCDUoegdhsKsCe_PMzE3_cIy1wejc4JCzTgEw")</f>
        <v>1YcVp-kfCDUoegdhsKsCe_PMzE3_cIy1wejc4JCzTgEw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IFERROR(__xludf.DUMMYFUNCTION("""COMPUTED_VALUE"""),"OpenSymbolLookupUnallocateGroup")</f>
        <v>OpenSymbolLookupUnallocateGroup</v>
      </c>
      <c r="C170" t="str">
        <f>IFERROR(__xludf.DUMMYFUNCTION("""COMPUTED_VALUE"""),"1PzyY_nfLYU66GT9Elm7rbepVT4M0Aao_ExWURbHlXso")</f>
        <v>1PzyY_nfLYU66GT9Elm7rbepVT4M0Aao_ExWURbHlXso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IFERROR(__xludf.DUMMYFUNCTION("""COMPUTED_VALUE"""),"OpenSymbolLookupAllocatedGroup")</f>
        <v>OpenSymbolLookupAllocatedGroup</v>
      </c>
      <c r="C171" t="str">
        <f>IFERROR(__xludf.DUMMYFUNCTION("""COMPUTED_VALUE"""),"1Z_dQvfdgkluFyhKo149XBcbe0Kth-fg0fOFf4_u2E-4")</f>
        <v>1Z_dQvfdgkluFyhKo149XBcbe0Kth-fg0fOFf4_u2E-4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IFERROR(__xludf.DUMMYFUNCTION("""COMPUTED_VALUE"""),"DeleteFixedPreference")</f>
        <v>DeleteFixedPreference</v>
      </c>
      <c r="C172" t="str">
        <f>IFERROR(__xludf.DUMMYFUNCTION("""COMPUTED_VALUE"""),"1RZplEfcQQUVd1Ggv65V_0dKqsLpnMuOaVEaLnQ7ckpE")</f>
        <v>1RZplEfcQQUVd1Ggv65V_0dKqsLpnMuOaVEaLnQ7ckpE</v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IFERROR(__xludf.DUMMYFUNCTION("""COMPUTED_VALUE"""),"TransferToUserSubOrder")</f>
        <v>TransferToUserSubOrder</v>
      </c>
      <c r="C173" t="str">
        <f>IFERROR(__xludf.DUMMYFUNCTION("""COMPUTED_VALUE"""),"1_ZLPKYyCpcCv90izwkS7MZMbhNEXzuAQiOx8npro20g")</f>
        <v>1_ZLPKYyCpcCv90izwkS7MZMbhNEXzuAQiOx8npro20g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IFERROR(__xludf.DUMMYFUNCTION("""COMPUTED_VALUE"""),"DetailsForAlgoTradeOrder")</f>
        <v>DetailsForAlgoTradeOrder</v>
      </c>
      <c r="C174" t="str">
        <f>IFERROR(__xludf.DUMMYFUNCTION("""COMPUTED_VALUE"""),"1AS722xjcIKYd_PpocpO2JLwR2JMqFfBPkVK39Q2XMxE")</f>
        <v>1AS722xjcIKYd_PpocpO2JLwR2JMqFfBPkVK39Q2XMxE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IFERROR(__xludf.DUMMYFUNCTION("""COMPUTED_VALUE"""),"AddFillsSubOrder")</f>
        <v>AddFillsSubOrder</v>
      </c>
      <c r="C175" t="str">
        <f>IFERROR(__xludf.DUMMYFUNCTION("""COMPUTED_VALUE"""),"1r-tyec_fx-pIqzGddgSbcLuJdAU-B20ZTaGzahpBV2w")</f>
        <v>1r-tyec_fx-pIqzGddgSbcLuJdAU-B20ZTaGzahpBV2w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IFERROR(__xludf.DUMMYFUNCTION("""COMPUTED_VALUE"""),"ViewAllocationDetailsSubOrder")</f>
        <v>ViewAllocationDetailsSubOrder</v>
      </c>
      <c r="C176" t="str">
        <f>IFERROR(__xludf.DUMMYFUNCTION("""COMPUTED_VALUE"""),"1PRG5_5qrohtjUlpAk-DjC1B6M75OdF99hA2vEgdD_Uw")</f>
        <v>1PRG5_5qrohtjUlpAk-DjC1B6M75OdF99hA2vEgdD_Uw</v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IFERROR(__xludf.DUMMYFUNCTION("""COMPUTED_VALUE"""),"GetCashTransaction")</f>
        <v>GetCashTransaction</v>
      </c>
      <c r="C177" t="str">
        <f>IFERROR(__xludf.DUMMYFUNCTION("""COMPUTED_VALUE"""),"1U9O1ZNQe03mFGPQ67ySm3ZLNJbWXRqnbI-8ZV30Jyz4")</f>
        <v>1U9O1ZNQe03mFGPQ67ySm3ZLNJbWXRqnbI-8ZV30Jyz4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IFERROR(__xludf.DUMMYFUNCTION("""COMPUTED_VALUE"""),"SelectCashTransaction")</f>
        <v>SelectCashTransaction</v>
      </c>
      <c r="C178" t="str">
        <f>IFERROR(__xludf.DUMMYFUNCTION("""COMPUTED_VALUE"""),"157yMc4dFxYWky5rc3_ip4Q-PBeeptVpZvBUznJzbfjE")</f>
        <v>157yMc4dFxYWky5rc3_ip4Q-PBeeptVpZvBUznJzbfjE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IFERROR(__xludf.DUMMYFUNCTION("""COMPUTED_VALUE"""),"DeleteCashTransaction")</f>
        <v>DeleteCashTransaction</v>
      </c>
      <c r="C179" t="str">
        <f>IFERROR(__xludf.DUMMYFUNCTION("""COMPUTED_VALUE"""),"1qeXbjcZPeClkYAwZmHJs2rG7V0JsRRg6mw5SmjAQHTE")</f>
        <v>1qeXbjcZPeClkYAwZmHJs2rG7V0JsRRg6mw5SmjAQHTE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IFERROR(__xludf.DUMMYFUNCTION("""COMPUTED_VALUE"""),"EditCashTransaction")</f>
        <v>EditCashTransaction</v>
      </c>
      <c r="C180" t="str">
        <f>IFERROR(__xludf.DUMMYFUNCTION("""COMPUTED_VALUE"""),"1lMHtKGRo9R39-rGVJg8v2Vp15-3oz56OtDPZn55yAvA")</f>
        <v>1lMHtKGRo9R39-rGVJg8v2Vp15-3oz56OtDPZn55yAvA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IFERROR(__xludf.DUMMYFUNCTION("""COMPUTED_VALUE"""),"AddCashTransaction")</f>
        <v>AddCashTransaction</v>
      </c>
      <c r="C181" t="str">
        <f>IFERROR(__xludf.DUMMYFUNCTION("""COMPUTED_VALUE"""),"1_UOfRF0S9c4jZDCW6MVXmTaalhrK1N7Qp-p7qITvrb4")</f>
        <v>1_UOfRF0S9c4jZDCW6MVXmTaalhrK1N7Qp-p7qITvrb4</v>
      </c>
    </row>
    <row r="182" ht="15.75" customHeight="1">
      <c r="A182" t="str">
        <f>IFERROR(__xludf.DUMMYFUNCTION("""COMPUTED_VALUE"""),"Allocation")</f>
        <v>Allocation</v>
      </c>
      <c r="B182" t="str">
        <f>IFERROR(__xludf.DUMMYFUNCTION("""COMPUTED_VALUE"""),"EditAllocatedGroupSidePanel")</f>
        <v>EditAllocatedGroupSidePanel</v>
      </c>
      <c r="C182" t="str">
        <f>IFERROR(__xludf.DUMMYFUNCTION("""COMPUTED_VALUE"""),"1hHq4PASBEElrCZSeU0tjApkvEqoqk_kzbqRw1XNza9I")</f>
        <v>1hHq4PASBEElrCZSeU0tjApkvEqoqk_kzbqRw1XNza9I</v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IFERROR(__xludf.DUMMYFUNCTION("""COMPUTED_VALUE"""),"GetMarkPriceData")</f>
        <v>GetMarkPriceData</v>
      </c>
      <c r="C183" t="str">
        <f>IFERROR(__xludf.DUMMYFUNCTION("""COMPUTED_VALUE"""),"1pHb0k1fYZKumDsM-GMxxgG_-LpX7T8zxKSXMXqWTh3o")</f>
        <v>1pHb0k1fYZKumDsM-GMxxgG_-LpX7T8zxKSXMXqWTh3o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IFERROR(__xludf.DUMMYFUNCTION("""COMPUTED_VALUE"""),"GetForwardPoints")</f>
        <v>GetForwardPoints</v>
      </c>
      <c r="C184" t="str">
        <f>IFERROR(__xludf.DUMMYFUNCTION("""COMPUTED_VALUE"""),"12tr3nHtXwkFq8bzK-zX9KhfXrHqVcRxmWSgThepFUAU")</f>
        <v>12tr3nHtXwkFq8bzK-zX9KhfXrHqVcRxmWSgThepFUAU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IFERROR(__xludf.DUMMYFUNCTION("""COMPUTED_VALUE"""),"UpdateForwardPoints")</f>
        <v>UpdateForwardPoints</v>
      </c>
      <c r="C185" t="str">
        <f>IFERROR(__xludf.DUMMYFUNCTION("""COMPUTED_VALUE"""),"1cbxy6VdPjCKlq1CYH-5uKvOCKpxB1FDLj3t8SOJ-Lic")</f>
        <v>1cbxy6VdPjCKlq1CYH-5uKvOCKpxB1FDLj3t8SOJ-Lic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IFERROR(__xludf.DUMMYFUNCTION("""COMPUTED_VALUE"""),"GetForexConversion")</f>
        <v>GetForexConversion</v>
      </c>
      <c r="C186" t="str">
        <f>IFERROR(__xludf.DUMMYFUNCTION("""COMPUTED_VALUE"""),"1VwGGAbs40-P3TWEPuxpd84Kd482ffeBen_bvUeH5XLs")</f>
        <v>1VwGGAbs40-P3TWEPuxpd84Kd482ffeBen_bvUeH5XLs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IFERROR(__xludf.DUMMYFUNCTION("""COMPUTED_VALUE"""),"DeleteNAV")</f>
        <v>DeleteNAV</v>
      </c>
      <c r="C187" t="str">
        <f>IFERROR(__xludf.DUMMYFUNCTION("""COMPUTED_VALUE"""),"1ZXcPQzGoPQ5lCt0SIdxE4Wn22XxZZBrghVN8TQa_PA8")</f>
        <v>1ZXcPQzGoPQ5lCt0SIdxE4Wn22XxZZBrghVN8TQa_PA8</v>
      </c>
    </row>
    <row r="188" ht="15.75" customHeight="1">
      <c r="A188" t="str">
        <f>IFERROR(__xludf.DUMMYFUNCTION("""COMPUTED_VALUE"""),"Allocation")</f>
        <v>Allocation</v>
      </c>
      <c r="B188" t="str">
        <f>IFERROR(__xludf.DUMMYFUNCTION("""COMPUTED_VALUE"""),"CheckUnallocatedGroups")</f>
        <v>CheckUnallocatedGroups</v>
      </c>
      <c r="C188" t="str">
        <f>IFERROR(__xludf.DUMMYFUNCTION("""COMPUTED_VALUE"""),"1pfMfohF1Z5TFRSXZGi_8kDUwu6rKdB84lDXAsFAROuo")</f>
        <v>1pfMfohF1Z5TFRSXZGi_8kDUwu6rKdB84lDXAsFAROuo</v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IFERROR(__xludf.DUMMYFUNCTION("""COMPUTED_VALUE"""),"GetDailyCash")</f>
        <v>GetDailyCash</v>
      </c>
      <c r="C189" t="str">
        <f>IFERROR(__xludf.DUMMYFUNCTION("""COMPUTED_VALUE"""),"1RWrzEP7tKvSTkC1z87RsjU_EZslvD2btXJuTWRIwRLU")</f>
        <v>1RWrzEP7tKvSTkC1z87RsjU_EZslvD2btXJuTWRIwRLU</v>
      </c>
    </row>
    <row r="190" ht="15.75" customHeight="1">
      <c r="A190" t="str">
        <f>IFERROR(__xludf.DUMMYFUNCTION("""COMPUTED_VALUE"""),"Allocation")</f>
        <v>Allocation</v>
      </c>
      <c r="B190" t="str">
        <f>IFERROR(__xludf.DUMMYFUNCTION("""COMPUTED_VALUE"""),"SetGeneralPreferences")</f>
        <v>SetGeneralPreferences</v>
      </c>
      <c r="C190" t="str">
        <f>IFERROR(__xludf.DUMMYFUNCTION("""COMPUTED_VALUE"""),"1ch-af2kKdJm7_QNV7VeJuxk-LrNEXnkjKpb6t0Dug3c")</f>
        <v>1ch-af2kKdJm7_QNV7VeJuxk-LrNEXnkjKpb6t0Dug3c</v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IFERROR(__xludf.DUMMYFUNCTION("""COMPUTED_VALUE"""),"GetDailyBeta")</f>
        <v>GetDailyBeta</v>
      </c>
      <c r="C191" t="str">
        <f>IFERROR(__xludf.DUMMYFUNCTION("""COMPUTED_VALUE"""),"1wWqxRP1qZT537GjecxDT1YzzgNpudY5jHpZOp2gu3Ys")</f>
        <v>1wWqxRP1qZT537GjecxDT1YzzgNpudY5jHpZOp2gu3Ys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IFERROR(__xludf.DUMMYFUNCTION("""COMPUTED_VALUE"""),"GetDailyVolatility")</f>
        <v>GetDailyVolatility</v>
      </c>
      <c r="C192" t="str">
        <f>IFERROR(__xludf.DUMMYFUNCTION("""COMPUTED_VALUE"""),"1VkaV63Kp_-m9xakgvN4nwjFQliVbH-uDTupRnx4k5U0")</f>
        <v>1VkaV63Kp_-m9xakgvN4nwjFQliVbH-uDTupRnx4k5U0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IFERROR(__xludf.DUMMYFUNCTION("""COMPUTED_VALUE"""),"GetDailyDividendYield")</f>
        <v>GetDailyDividendYield</v>
      </c>
      <c r="C193" t="str">
        <f>IFERROR(__xludf.DUMMYFUNCTION("""COMPUTED_VALUE"""),"1yDZte754Sm0fLUnothHlWsZVXFoWOOh4q4YiAbmaN6A")</f>
        <v>1yDZte754Sm0fLUnothHlWsZVXFoWOOh4q4YiAbmaN6A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IFERROR(__xludf.DUMMYFUNCTION("""COMPUTED_VALUE"""),"GetDailyTradingVolume")</f>
        <v>GetDailyTradingVolume</v>
      </c>
      <c r="C194" t="str">
        <f>IFERROR(__xludf.DUMMYFUNCTION("""COMPUTED_VALUE"""),"1CcDYZea7aWB5x3R1FD5XPCk14XdXJmtBfwMqrKIo5P8")</f>
        <v>1CcDYZea7aWB5x3R1FD5XPCk14XdXJmtBfwMqrKIo5P8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IFERROR(__xludf.DUMMYFUNCTION("""COMPUTED_VALUE"""),"GetDailyOutstandings")</f>
        <v>GetDailyOutstandings</v>
      </c>
      <c r="C195" t="str">
        <f>IFERROR(__xludf.DUMMYFUNCTION("""COMPUTED_VALUE"""),"1IiJr_OFZwBuXGoSVJLT-iESeCoaaWmoNTh6qdlxCYp8")</f>
        <v>1IiJr_OFZwBuXGoSVJLT-iESeCoaaWmoNTh6qdlxCYp8</v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IFERROR(__xludf.DUMMYFUNCTION("""COMPUTED_VALUE"""),"GroupTrades")</f>
        <v>GroupTrades</v>
      </c>
      <c r="C196" t="str">
        <f>IFERROR(__xludf.DUMMYFUNCTION("""COMPUTED_VALUE"""),"1U2asF2q2-aZLq6UJkzTZA2eUVbNqPzpMApCuwatTcT8")</f>
        <v>1U2asF2q2-aZLq6UJkzTZA2eUVbNqPzpMApCuwatTcT8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IFERROR(__xludf.DUMMYFUNCTION("""COMPUTED_VALUE"""),"UngroupTrades")</f>
        <v>UngroupTrades</v>
      </c>
      <c r="C197" t="str">
        <f>IFERROR(__xludf.DUMMYFUNCTION("""COMPUTED_VALUE"""),"1azHuhW2QGS0U6YxkL00Txr4JY62dACA7LLHadkRZziQ")</f>
        <v>1azHuhW2QGS0U6YxkL00Txr4JY62dACA7LLHadkRZziQ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IFERROR(__xludf.DUMMYFUNCTION("""COMPUTED_VALUE"""),"DeleteGroup")</f>
        <v>DeleteGroup</v>
      </c>
      <c r="C198" t="str">
        <f>IFERROR(__xludf.DUMMYFUNCTION("""COMPUTED_VALUE"""),"1V8imeRfJQChz23ycPrmDDSrmAMiwTobLSV9OD1bH-ME")</f>
        <v>1V8imeRfJQChz23ycPrmDDSrmAMiwTobLSV9OD1bH-ME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IFERROR(__xludf.DUMMYFUNCTION("""COMPUTED_VALUE"""),"CloseOrder")</f>
        <v>CloseOrder</v>
      </c>
      <c r="C199" t="str">
        <f>IFERROR(__xludf.DUMMYFUNCTION("""COMPUTED_VALUE"""),"18PQbi1ps1nA6V6t9zvfGRiJCtqCe0Uh1GTuATjDjRFU")</f>
        <v>18PQbi1ps1nA6V6t9zvfGRiJCtqCe0Uh1GTuATjDjRFU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IFERROR(__xludf.DUMMYFUNCTION("""COMPUTED_VALUE"""),"Unallocate")</f>
        <v>Unallocate</v>
      </c>
      <c r="C200" t="str">
        <f>IFERROR(__xludf.DUMMYFUNCTION("""COMPUTED_VALUE"""),"1ygZhQ5BPNveZ0IXpSzWUoJb1-CWbPI5yquJ9p2XgS_A")</f>
        <v>1ygZhQ5BPNveZ0IXpSzWUoJb1-CWbPI5yquJ9p2XgS_A</v>
      </c>
    </row>
    <row r="201" ht="15.75" customHeight="1">
      <c r="A201" t="str">
        <f>IFERROR(__xludf.DUMMYFUNCTION("""COMPUTED_VALUE"""),"DailyValuation")</f>
        <v>DailyValuation</v>
      </c>
      <c r="B201" t="str">
        <f>IFERROR(__xludf.DUMMYFUNCTION("""COMPUTED_VALUE"""),"GetDailyDelta")</f>
        <v>GetDailyDelta</v>
      </c>
      <c r="C201" t="str">
        <f>IFERROR(__xludf.DUMMYFUNCTION("""COMPUTED_VALUE"""),"1t6rdR9qbfOeXuejoH6-sBwI1bEWh_0AoKUHuMjTKafo")</f>
        <v>1t6rdR9qbfOeXuejoH6-sBwI1bEWh_0AoKUHuMjTKafo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IFERROR(__xludf.DUMMYFUNCTION("""COMPUTED_VALUE"""),"UpdateDailyVolatility")</f>
        <v>UpdateDailyVolatility</v>
      </c>
      <c r="C202" t="str">
        <f>IFERROR(__xludf.DUMMYFUNCTION("""COMPUTED_VALUE"""),"1xOQEqNJ31jaKfw8cBs7M5YCMT7FCefB_iA4lkNg82js")</f>
        <v>1xOQEqNJ31jaKfw8cBs7M5YCMT7FCefB_iA4lkNg82js</v>
      </c>
    </row>
    <row r="203" ht="15.75" customHeight="1">
      <c r="A203" t="str">
        <f>IFERROR(__xludf.DUMMYFUNCTION("""COMPUTED_VALUE"""),"GeneralLedger")</f>
        <v>GeneralLedger</v>
      </c>
      <c r="B203" t="str">
        <f>IFERROR(__xludf.DUMMYFUNCTION("""COMPUTED_VALUE"""),"AddOpeningBalanceTransaction")</f>
        <v>AddOpeningBalanceTransaction</v>
      </c>
      <c r="C203" t="str">
        <f>IFERROR(__xludf.DUMMYFUNCTION("""COMPUTED_VALUE"""),"1JROeUyPo81jRm3vqYwqsMl1H0kBJhkmxJV8gZyip19Q")</f>
        <v>1JROeUyPo81jRm3vqYwqsMl1H0kBJhkmxJV8gZyip19Q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IFERROR(__xludf.DUMMYFUNCTION("""COMPUTED_VALUE"""),"AddOpeningBalanceTranItem")</f>
        <v>AddOpeningBalanceTranItem</v>
      </c>
      <c r="C204" t="str">
        <f>IFERROR(__xludf.DUMMYFUNCTION("""COMPUTED_VALUE"""),"12owFpcC343n8bWFq_cmWVlxZQTmpEiqxbdSc8TdfgEw")</f>
        <v>12owFpcC343n8bWFq_cmWVlxZQTmpEiqxbdSc8TdfgEw</v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IFERROR(__xludf.DUMMYFUNCTION("""COMPUTED_VALUE"""),"CancelAllSubs")</f>
        <v>CancelAllSubs</v>
      </c>
      <c r="C205" t="str">
        <f>IFERROR(__xludf.DUMMYFUNCTION("""COMPUTED_VALUE"""),"1sDEuT-X92-7VkSoQJG80zx85OLZfb4OJklyeYXjn00w")</f>
        <v>1sDEuT-X92-7VkSoQJG80zx85OLZfb4OJklyeYXjn00w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IFERROR(__xludf.DUMMYFUNCTION("""COMPUTED_VALUE"""),"CancelSubOrder")</f>
        <v>CancelSubOrder</v>
      </c>
      <c r="C206" t="str">
        <f>IFERROR(__xludf.DUMMYFUNCTION("""COMPUTED_VALUE"""),"1g_US2vYcZyFbH88JB_z0oKsrXpyeYv1qZRWzpU4UgoM")</f>
        <v>1g_US2vYcZyFbH88JB_z0oKsrXpyeYv1qZRWzpU4UgoM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IFERROR(__xludf.DUMMYFUNCTION("""COMPUTED_VALUE"""),"EditStageOrder")</f>
        <v>EditStageOrder</v>
      </c>
      <c r="C207" t="str">
        <f>IFERROR(__xludf.DUMMYFUNCTION("""COMPUTED_VALUE"""),"11epgwU0jWDfsHzxAEUws_p-DkKq5wLTVrJRQztotJjU")</f>
        <v>11epgwU0jWDfsHzxAEUws_p-DkKq5wLTVrJRQztotJjU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IFERROR(__xludf.DUMMYFUNCTION("""COMPUTED_VALUE"""),"ReplaceSubOrder")</f>
        <v>ReplaceSubOrder</v>
      </c>
      <c r="C208" t="str">
        <f>IFERROR(__xludf.DUMMYFUNCTION("""COMPUTED_VALUE"""),"19tR0THpqi92bFoT67A4MgCZbfdZtGuYVK1wFx1a6hwo")</f>
        <v>19tR0THpqi92bFoT67A4MgCZbfdZtGuYVK1wFx1a6hwo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IFERROR(__xludf.DUMMYFUNCTION("""COMPUTED_VALUE"""),"SelectTradeWorkingSubsBlotter")</f>
        <v>SelectTradeWorkingSubsBlotter</v>
      </c>
      <c r="C209" t="str">
        <f>IFERROR(__xludf.DUMMYFUNCTION("""COMPUTED_VALUE"""),"1u7slY1ab8D2XeXM53lB7bN6QKwuw3IYd0Uezr9zLB70")</f>
        <v>1u7slY1ab8D2XeXM53lB7bN6QKwuw3IYd0Uezr9zLB70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IFERROR(__xludf.DUMMYFUNCTION("""COMPUTED_VALUE"""),"VerifyAlgoDetails")</f>
        <v>VerifyAlgoDetails</v>
      </c>
      <c r="C210" t="str">
        <f>IFERROR(__xludf.DUMMYFUNCTION("""COMPUTED_VALUE"""),"1l5zTPCkdGLabcDuCPPiDIGH_EGN_2xuth7vkyyaCe9E")</f>
        <v>1l5zTPCkdGLabcDuCPPiDIGH_EGN_2xuth7vkyyaCe9E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IFERROR(__xludf.DUMMYFUNCTION("""COMPUTED_VALUE"""),"VerifyTransferToUserOrder")</f>
        <v>VerifyTransferToUserOrder</v>
      </c>
      <c r="C211" t="str">
        <f>IFERROR(__xludf.DUMMYFUNCTION("""COMPUTED_VALUE"""),"1NMIbm0wDsBqrDHS0Aoctj5TYT8IIncVXBEr7jRlTKX8")</f>
        <v>1NMIbm0wDsBqrDHS0Aoctj5TYT8IIncVXBEr7jRlTKX8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IFERROR(__xludf.DUMMYFUNCTION("""COMPUTED_VALUE"""),"VerifyTransferToUserSubOdr")</f>
        <v>VerifyTransferToUserSubOdr</v>
      </c>
      <c r="C212" t="str">
        <f>IFERROR(__xludf.DUMMYFUNCTION("""COMPUTED_VALUE"""),"1x3CBu_5bjY_MnaanR3C8FZLu7-9IkDv52367LRcP7lY")</f>
        <v>1x3CBu_5bjY_MnaanR3C8FZLu7-9IkDv52367LRcP7lY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IFERROR(__xludf.DUMMYFUNCTION("""COMPUTED_VALUE"""),"VerifyTransferToUserWorkSub")</f>
        <v>VerifyTransferToUserWorkSub</v>
      </c>
      <c r="C213" t="str">
        <f>IFERROR(__xludf.DUMMYFUNCTION("""COMPUTED_VALUE"""),"1moqW_Avii95AiWD080nTWw5DOlaf1npl8FoxJYdN1CQ")</f>
        <v>1moqW_Avii95AiWD080nTWw5DOlaf1npl8FoxJYdN1CQ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IFERROR(__xludf.DUMMYFUNCTION("""COMPUTED_VALUE"""),"SaveLayoutOrderGrid")</f>
        <v>SaveLayoutOrderGrid</v>
      </c>
      <c r="C214" t="str">
        <f>IFERROR(__xludf.DUMMYFUNCTION("""COMPUTED_VALUE"""),"1f-tHMdwxYv41Vtbgl8usVHR6_T_uXK9iU0Jvj6byf54")</f>
        <v>1f-tHMdwxYv41Vtbgl8usVHR6_T_uXK9iU0Jvj6byf54</v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IFERROR(__xludf.DUMMYFUNCTION("""COMPUTED_VALUE"""),"UpdateDividendYield")</f>
        <v>UpdateDividendYield</v>
      </c>
      <c r="C215" t="str">
        <f>IFERROR(__xludf.DUMMYFUNCTION("""COMPUTED_VALUE"""),"1v7x__YSHVrzfUigPB6cJL0n6H5tfL-dG0jQDSNwK77w")</f>
        <v>1v7x__YSHVrzfUigPB6cJL0n6H5tfL-dG0jQDSNwK77w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IFERROR(__xludf.DUMMYFUNCTION("""COMPUTED_VALUE"""),"UpdateTradingVolume")</f>
        <v>UpdateTradingVolume</v>
      </c>
      <c r="C216" t="str">
        <f>IFERROR(__xludf.DUMMYFUNCTION("""COMPUTED_VALUE"""),"1C_WPdfJ5Y6XiI6PQIaQC_kYRA1cyB4pILSmTaQXBjt4")</f>
        <v>1C_WPdfJ5Y6XiI6PQIaQC_kYRA1cyB4pILSmTaQXBjt4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IFERROR(__xludf.DUMMYFUNCTION("""COMPUTED_VALUE"""),"UpdateDailyDelta")</f>
        <v>UpdateDailyDelta</v>
      </c>
      <c r="C217" t="str">
        <f>IFERROR(__xludf.DUMMYFUNCTION("""COMPUTED_VALUE"""),"1W8cpbOsbEL0O66_8nq5ID6snA8EoJQojgueScqnJeds")</f>
        <v>1W8cpbOsbEL0O66_8nq5ID6snA8EoJQojgueScqnJeds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IFERROR(__xludf.DUMMYFUNCTION("""COMPUTED_VALUE"""),"UpdateDailyOutstandings")</f>
        <v>UpdateDailyOutstandings</v>
      </c>
      <c r="C218" t="str">
        <f>IFERROR(__xludf.DUMMYFUNCTION("""COMPUTED_VALUE"""),"1S-1Yd6wHzPfXlddWYHNVJ59ndiC9mBcoDpJ24XG_wEs")</f>
        <v>1S-1Yd6wHzPfXlddWYHNVJ59ndiC9mBcoDpJ24XG_wEs</v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IFERROR(__xludf.DUMMYFUNCTION("""COMPUTED_VALUE"""),"GetDataClosing")</f>
        <v>GetDataClosing</v>
      </c>
      <c r="C219" t="str">
        <f>IFERROR(__xludf.DUMMYFUNCTION("""COMPUTED_VALUE"""),"1_NT03sUSvuLe4_tGLyzUnjVgc0h0wP1QyFRqz5J0AQs")</f>
        <v>1_NT03sUSvuLe4_tGLyzUnjVgc0h0wP1QyFRqz5J0AQs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IFERROR(__xludf.DUMMYFUNCTION("""COMPUTED_VALUE"""),"ManualClosing")</f>
        <v>ManualClosing</v>
      </c>
      <c r="C220" t="str">
        <f>IFERROR(__xludf.DUMMYFUNCTION("""COMPUTED_VALUE"""),"1NsF8mN2Zlx2L1ZUQo3cwyNVoYdFbhQ1U5KK4lQjqyj8")</f>
        <v>1NsF8mN2Zlx2L1ZUQo3cwyNVoYdFbhQ1U5KK4lQjqyj8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IFERROR(__xludf.DUMMYFUNCTION("""COMPUTED_VALUE"""),"AutomaticClosing")</f>
        <v>AutomaticClosing</v>
      </c>
      <c r="C221" t="str">
        <f>IFERROR(__xludf.DUMMYFUNCTION("""COMPUTED_VALUE"""),"1TAvTYpcE3pQc_4LWO3rdsALNXiihqGoq5C7VuUqnyGI")</f>
        <v>1TAvTYpcE3pQc_4LWO3rdsALNXiihqGoq5C7VuUqnyGI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IFERROR(__xludf.DUMMYFUNCTION("""COMPUTED_VALUE"""),"UnwindClosing")</f>
        <v>UnwindClosing</v>
      </c>
      <c r="C222" t="str">
        <f>IFERROR(__xludf.DUMMYFUNCTION("""COMPUTED_VALUE"""),"1n5b-erBJJNMUcxydpftL5PGG7ARm-uGjDncl8Qx2sLo")</f>
        <v>1n5b-erBJJNMUcxydpftL5PGG7ARm-uGjDncl8Qx2sLo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IFERROR(__xludf.DUMMYFUNCTION("""COMPUTED_VALUE"""),"VerifyClosedTrades")</f>
        <v>VerifyClosedTrades</v>
      </c>
      <c r="C223" t="str">
        <f>IFERROR(__xludf.DUMMYFUNCTION("""COMPUTED_VALUE"""),"1oZ2JeM-TEXzpPQK7aQoL3fUJwhe037lPXwowIAhJJXM")</f>
        <v>1oZ2JeM-TEXzpPQK7aQoL3fUJwhe037lPXwowIAhJJXM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IFERROR(__xludf.DUMMYFUNCTION("""COMPUTED_VALUE"""),"VerifyLongPositionsGrid")</f>
        <v>VerifyLongPositionsGrid</v>
      </c>
      <c r="C224" t="str">
        <f>IFERROR(__xludf.DUMMYFUNCTION("""COMPUTED_VALUE"""),"1n66-ge1M-RYaB4fzMAeKVE4b9J93Ec6FE8prEnrbrUY")</f>
        <v>1n66-ge1M-RYaB4fzMAeKVE4b9J93Ec6FE8prEnrbrUY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IFERROR(__xludf.DUMMYFUNCTION("""COMPUTED_VALUE"""),"VerifyShortPositionsGrid")</f>
        <v>VerifyShortPositionsGrid</v>
      </c>
      <c r="C225" t="str">
        <f>IFERROR(__xludf.DUMMYFUNCTION("""COMPUTED_VALUE"""),"147WeBw6VRRHCzDjjEVkUG93H71mx9_6u7JDqSzExZfQ")</f>
        <v>147WeBw6VRRHCzDjjEVkUG93H71mx9_6u7JDqSzExZfQ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IFERROR(__xludf.DUMMYFUNCTION("""COMPUTED_VALUE"""),"SelectTradeUnexpiredUnsettled")</f>
        <v>SelectTradeUnexpiredUnsettled</v>
      </c>
      <c r="C226" t="str">
        <f>IFERROR(__xludf.DUMMYFUNCTION("""COMPUTED_VALUE"""),"1FObt5ouO_Fd-1C35ZJOB1hwrDeISMD1uqyNw6Muc52E")</f>
        <v>1FObt5ouO_Fd-1C35ZJOB1hwrDeISMD1uqyNw6Muc52E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IFERROR(__xludf.DUMMYFUNCTION("""COMPUTED_VALUE"""),"CashSettlementAtCost")</f>
        <v>CashSettlementAtCost</v>
      </c>
      <c r="C227" t="str">
        <f>IFERROR(__xludf.DUMMYFUNCTION("""COMPUTED_VALUE"""),"1awz_EN5JaDo7-X8Cf7oYlxG4f8ZrsYEG1oL1QBkQb8o")</f>
        <v>1awz_EN5JaDo7-X8Cf7oYlxG4f8ZrsYEG1oL1QBkQb8o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IFERROR(__xludf.DUMMYFUNCTION("""COMPUTED_VALUE"""),"CashSettlementAtZeroPrice")</f>
        <v>CashSettlementAtZeroPrice</v>
      </c>
      <c r="C228" t="str">
        <f>IFERROR(__xludf.DUMMYFUNCTION("""COMPUTED_VALUE"""),"1txP1PJigV4vdVbKFMO3GMi5BhiLWeUOneGt9yA7DphY")</f>
        <v>1txP1PJigV4vdVbKFMO3GMi5BhiLWeUOneGt9yA7DphY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IFERROR(__xludf.DUMMYFUNCTION("""COMPUTED_VALUE"""),"CashSettlementAtClosingDtSpotPx")</f>
        <v>CashSettlementAtClosingDtSpotPx</v>
      </c>
      <c r="C229" t="str">
        <f>IFERROR(__xludf.DUMMYFUNCTION("""COMPUTED_VALUE"""),"1if6Ixw7Wo72s71jewq4kGd3bUrRBHD3uxb6oVEU8m4M")</f>
        <v>1if6Ixw7Wo72s71jewq4kGd3bUrRBHD3uxb6oVEU8m4M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IFERROR(__xludf.DUMMYFUNCTION("""COMPUTED_VALUE"""),"PhysicalSettlement")</f>
        <v>PhysicalSettlement</v>
      </c>
      <c r="C230" t="str">
        <f>IFERROR(__xludf.DUMMYFUNCTION("""COMPUTED_VALUE"""),"1j0_OFQL6cAngAn_f8e2c9s48kIx6T1DMB1HtKzhVgxM")</f>
        <v>1j0_OFQL6cAngAn_f8e2c9s48kIx6T1DMB1HtKzhVgxM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IFERROR(__xludf.DUMMYFUNCTION("""COMPUTED_VALUE"""),"Expire")</f>
        <v>Expire</v>
      </c>
      <c r="C231" t="str">
        <f>IFERROR(__xludf.DUMMYFUNCTION("""COMPUTED_VALUE"""),"1uTXnR3b0dBBJ12poieg819Sw5X7A31DAefoPTF8HvS8")</f>
        <v>1uTXnR3b0dBBJ12poieg819Sw5X7A31DAefoPTF8HvS8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IFERROR(__xludf.DUMMYFUNCTION("""COMPUTED_VALUE"""),"ExerciseAssignment")</f>
        <v>ExerciseAssignment</v>
      </c>
      <c r="C232" t="str">
        <f>IFERROR(__xludf.DUMMYFUNCTION("""COMPUTED_VALUE"""),"1bA6aaAVKiSAEQCN3NhxCUAsXZXF9JFxOfu0VhfUugtE")</f>
        <v>1bA6aaAVKiSAEQCN3NhxCUAsXZXF9JFxOfu0VhfUugtE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IFERROR(__xludf.DUMMYFUNCTION("""COMPUTED_VALUE"""),"ExerciseAssignmentAtZero")</f>
        <v>ExerciseAssignmentAtZero</v>
      </c>
      <c r="C233" t="str">
        <f>IFERROR(__xludf.DUMMYFUNCTION("""COMPUTED_VALUE"""),"1kqk3qr2A_0HgAfwasm4ONZYUjKRgUd9wRoNg3NH_CQs")</f>
        <v>1kqk3qr2A_0HgAfwasm4ONZYUjKRgUd9wRoNg3NH_CQs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IFERROR(__xludf.DUMMYFUNCTION("""COMPUTED_VALUE"""),"SwapExpireAndRollover")</f>
        <v>SwapExpireAndRollover</v>
      </c>
      <c r="C234" t="str">
        <f>IFERROR(__xludf.DUMMYFUNCTION("""COMPUTED_VALUE"""),"1ZgJYe9feHH1JnnrqSkw7W1JoIKEcT_NnlnQtzP0MXSc")</f>
        <v>1ZgJYe9feHH1JnnrqSkw7W1JoIKEcT_NnlnQtzP0MXSc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IFERROR(__xludf.DUMMYFUNCTION("""COMPUTED_VALUE"""),"SwapExpire")</f>
        <v>SwapExpire</v>
      </c>
      <c r="C235" t="str">
        <f>IFERROR(__xludf.DUMMYFUNCTION("""COMPUTED_VALUE"""),"1Ch8ljdOLO5qpDv9DppYdH0GSLe_dObZX8Z4007tRKtk")</f>
        <v>1Ch8ljdOLO5qpDv9DppYdH0GSLe_dObZX8Z4007tRKtk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IFERROR(__xludf.DUMMYFUNCTION("""COMPUTED_VALUE"""),"VerifyExpiredSettledGrid")</f>
        <v>VerifyExpiredSettledGrid</v>
      </c>
      <c r="C236" t="str">
        <f>IFERROR(__xludf.DUMMYFUNCTION("""COMPUTED_VALUE"""),"1Y7iTcrm1lcqAexGSYgLsLlCOYw223ra4LBG0yn-I2bY")</f>
        <v>1Y7iTcrm1lcqAexGSYgLsLlCOYw223ra4LBG0yn-I2bY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IFERROR(__xludf.DUMMYFUNCTION("""COMPUTED_VALUE"""),"VerifyUnExpiredUnSettledGrid")</f>
        <v>VerifyUnExpiredUnSettledGrid</v>
      </c>
      <c r="C237" t="str">
        <f>IFERROR(__xludf.DUMMYFUNCTION("""COMPUTED_VALUE"""),"1L2S89q_MaWf4uZDOO7k9zl1iHulikAZk9KJ78CUobIc")</f>
        <v>1L2S89q_MaWf4uZDOO7k9zl1iHulikAZk9KJ78CUobIc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IFERROR(__xludf.DUMMYFUNCTION("""COMPUTED_VALUE"""),"UnWindTradeSettlement")</f>
        <v>UnWindTradeSettlement</v>
      </c>
      <c r="C238" t="str">
        <f>IFERROR(__xludf.DUMMYFUNCTION("""COMPUTED_VALUE"""),"1r8av4OWUDi-9UDzyWe0DRs-rlCS90W4iepyl32hgsu0")</f>
        <v>1r8av4OWUDi-9UDzyWe0DRs-rlCS90W4iepyl32hgsu0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IFERROR(__xludf.DUMMYFUNCTION("""COMPUTED_VALUE"""),"CloseOrder")</f>
        <v>CloseOrder</v>
      </c>
      <c r="C239" t="str">
        <f>IFERROR(__xludf.DUMMYFUNCTION("""COMPUTED_VALUE"""),"1L4oOTgickdBKDs0CYP74xqSVxT5XAemsQon_0M_wIY4")</f>
        <v>1L4oOTgickdBKDs0CYP74xqSVxT5XAemsQon_0M_wIY4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IFERROR(__xludf.DUMMYFUNCTION("""COMPUTED_VALUE"""),"VerifyCloseOrder")</f>
        <v>VerifyCloseOrder</v>
      </c>
      <c r="C240" t="str">
        <f>IFERROR(__xludf.DUMMYFUNCTION("""COMPUTED_VALUE"""),"1wVhrU78CBgt-9aXoQMxmex2szYfOWevs1reuZQwcSlU")</f>
        <v>1wVhrU78CBgt-9aXoQMxmex2szYfOWevs1reuZQwcSlU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IFERROR(__xludf.DUMMYFUNCTION("""COMPUTED_VALUE"""),"UnWindCloseOrder")</f>
        <v>UnWindCloseOrder</v>
      </c>
      <c r="C241" t="str">
        <f>IFERROR(__xludf.DUMMYFUNCTION("""COMPUTED_VALUE"""),"1h8Riwp0PTUKBHWNb4d5NQ9Foe2ig0mS3tu7vxq74C6A")</f>
        <v>1h8Riwp0PTUKBHWNb4d5NQ9Foe2ig0mS3tu7vxq74C6A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IFERROR(__xludf.DUMMYFUNCTION("""COMPUTED_VALUE"""),"ClosingCleanUp")</f>
        <v>ClosingCleanUp</v>
      </c>
      <c r="C242" t="str">
        <f>IFERROR(__xludf.DUMMYFUNCTION("""COMPUTED_VALUE"""),"1_1ie9PGDigjyhcBrTgIzPawnFkZMYxHtKWtsPu9B_3c")</f>
        <v>1_1ie9PGDigjyhcBrTgIzPawnFkZMYxHtKWtsPu9B_3c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IFERROR(__xludf.DUMMYFUNCTION("""COMPUTED_VALUE"""),"CloseClosingUI")</f>
        <v>CloseClosingUI</v>
      </c>
      <c r="C243" t="str">
        <f>IFERROR(__xludf.DUMMYFUNCTION("""COMPUTED_VALUE"""),"1KiRs-Mdk_DhlHcSNlHArhVLFJzMKzKu1kat_TZ71jkQ")</f>
        <v>1KiRs-Mdk_DhlHcSNlHArhVLFJzMKzKu1kat_TZ71jkQ</v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IFERROR(__xludf.DUMMYFUNCTION("""COMPUTED_VALUE"""),"GetDailyCalculationsData")</f>
        <v>GetDailyCalculationsData</v>
      </c>
      <c r="C244" t="str">
        <f>IFERROR(__xludf.DUMMYFUNCTION("""COMPUTED_VALUE"""),"1pIJnQCXHxy82ZF8KgUVRHcagp8aZHkkagJfnU-cLYRo")</f>
        <v>1pIJnQCXHxy82ZF8KgUVRHcagp8aZHkkagJfnU-cLYRo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IFERROR(__xludf.DUMMYFUNCTION("""COMPUTED_VALUE"""),"CalculateDailyCalculations")</f>
        <v>CalculateDailyCalculations</v>
      </c>
      <c r="C245" t="str">
        <f>IFERROR(__xludf.DUMMYFUNCTION("""COMPUTED_VALUE"""),"Undefined")</f>
        <v>Undefined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IFERROR(__xludf.DUMMYFUNCTION("""COMPUTED_VALUE"""),"EditOpeningBalanceTransaction")</f>
        <v>EditOpeningBalanceTransaction</v>
      </c>
      <c r="C246" t="str">
        <f>IFERROR(__xludf.DUMMYFUNCTION("""COMPUTED_VALUE"""),"1wqhiyeuGFjr-d-douLAdeAoIl9zOMj0hG7J2an8e7EA")</f>
        <v>1wqhiyeuGFjr-d-douLAdeAoIl9zOMj0hG7J2an8e7EA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IFERROR(__xludf.DUMMYFUNCTION("""COMPUTED_VALUE"""),"EditOpeningBalanceTranItem")</f>
        <v>EditOpeningBalanceTranItem</v>
      </c>
      <c r="C247" t="str">
        <f>IFERROR(__xludf.DUMMYFUNCTION("""COMPUTED_VALUE"""),"1yTjsXnh8twOBshtRTYPboRkkXpXN8T2vC7KUsimL2Ec")</f>
        <v>1yTjsXnh8twOBshtRTYPboRkkXpXN8T2vC7KUsimL2Ec</v>
      </c>
    </row>
    <row r="248" ht="15.75" customHeight="1">
      <c r="A248" t="str">
        <f>IFERROR(__xludf.DUMMYFUNCTION("""COMPUTED_VALUE"""),"DailyValuation")</f>
        <v>DailyValuation</v>
      </c>
      <c r="B248" t="str">
        <f>IFERROR(__xludf.DUMMYFUNCTION("""COMPUTED_VALUE"""),"UpdateBeta")</f>
        <v>UpdateBeta</v>
      </c>
      <c r="C248" t="str">
        <f>IFERROR(__xludf.DUMMYFUNCTION("""COMPUTED_VALUE"""),"14bzYQBiZIs2a3lfzwT4TROCDnXpt72UALcJjBTZdEAk")</f>
        <v>14bzYQBiZIs2a3lfzwT4TROCDnXpt72UALcJjBTZdEAk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IFERROR(__xludf.DUMMYFUNCTION("""COMPUTED_VALUE"""),"UpdateNAV")</f>
        <v>UpdateNAV</v>
      </c>
      <c r="C249" t="str">
        <f>IFERROR(__xludf.DUMMYFUNCTION("""COMPUTED_VALUE"""),"13mmaXGk97gVSQ6zDXJnzFolB9Xj-Wrq5OulWkf9iQjA")</f>
        <v>13mmaXGk97gVSQ6zDXJnzFolB9Xj-Wrq5OulWkf9iQjA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IFERROR(__xludf.DUMMYFUNCTION("""COMPUTED_VALUE"""),"UpdateDailyCash")</f>
        <v>UpdateDailyCash</v>
      </c>
      <c r="C250" t="str">
        <f>IFERROR(__xludf.DUMMYFUNCTION("""COMPUTED_VALUE"""),"1qlSfNvUHenegqRyv9ZFeKA5gN-iwbykaaRHcYfx0vR8")</f>
        <v>1qlSfNvUHenegqRyv9ZFeKA5gN-iwbykaaRHcYfx0vR8</v>
      </c>
    </row>
    <row r="251" ht="15.75" customHeight="1">
      <c r="A251" t="str">
        <f>IFERROR(__xludf.DUMMYFUNCTION("""COMPUTED_VALUE"""),"GeneralLedger")</f>
        <v>GeneralLedger</v>
      </c>
      <c r="B251" t="str">
        <f>IFERROR(__xludf.DUMMYFUNCTION("""COMPUTED_VALUE"""),"VerifyDailyCalTransactions")</f>
        <v>VerifyDailyCalTransactions</v>
      </c>
      <c r="C251" t="str">
        <f>IFERROR(__xludf.DUMMYFUNCTION("""COMPUTED_VALUE"""),"10wpUsik3kWUK9FdBcY3wa_rIK92CGwBAPxPW94n8RI0")</f>
        <v>10wpUsik3kWUK9FdBcY3wa_rIK92CGwBAPxPW94n8RI0</v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IFERROR(__xludf.DUMMYFUNCTION("""COMPUTED_VALUE"""),"UpdateDailyCreditLimt")</f>
        <v>UpdateDailyCreditLimt</v>
      </c>
      <c r="C252" t="str">
        <f>IFERROR(__xludf.DUMMYFUNCTION("""COMPUTED_VALUE"""),"1WMfqGkZABhjGZzyIgr3hBp-ZTraQiBbIVqdAP3KAOGo")</f>
        <v>1WMfqGkZABhjGZzyIgr3hBp-ZTraQiBbIVqdAP3KAOGo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IFERROR(__xludf.DUMMYFUNCTION("""COMPUTED_VALUE"""),"RemoveDailyCreditLimit")</f>
        <v>RemoveDailyCreditLimit</v>
      </c>
      <c r="C253" t="str">
        <f>IFERROR(__xludf.DUMMYFUNCTION("""COMPUTED_VALUE"""),"1PWZIcowZzyQZ43yBopMfNLylAaq2RlmTxS0-Y7SK0KI")</f>
        <v>1PWZIcowZzyQZ43yBopMfNLylAaq2RlmTxS0-Y7SK0KI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IFERROR(__xludf.DUMMYFUNCTION("""COMPUTED_VALUE"""),"RemoveDailyCash")</f>
        <v>RemoveDailyCash</v>
      </c>
      <c r="C254" t="str">
        <f>IFERROR(__xludf.DUMMYFUNCTION("""COMPUTED_VALUE"""),"1K-Bl5yG-Q_sgro0guK9BOk2wSxZk_7rHH7Lj7Qp_H2U")</f>
        <v>1K-Bl5yG-Q_sgro0guK9BOk2wSxZk_7rHH7Lj7Qp_H2U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IFERROR(__xludf.DUMMYFUNCTION("""COMPUTED_VALUE"""),"RemoveNAV")</f>
        <v>RemoveNAV</v>
      </c>
      <c r="C255" t="str">
        <f>IFERROR(__xludf.DUMMYFUNCTION("""COMPUTED_VALUE"""),"1iKNzN1CKH1HHjrGq7o2kZo9f76Pk7b7qYuTxqOHQZzE")</f>
        <v>1iKNzN1CKH1HHjrGq7o2kZo9f76Pk7b7qYuTxqOHQZzE</v>
      </c>
    </row>
    <row r="256" ht="15.75" customHeight="1">
      <c r="A256" t="str">
        <f>IFERROR(__xludf.DUMMYFUNCTION("""COMPUTED_VALUE"""),"PortfolioManagement")</f>
        <v>PortfolioManagement</v>
      </c>
      <c r="B256" t="str">
        <f>IFERROR(__xludf.DUMMYFUNCTION("""COMPUTED_VALUE"""),"FilterPM")</f>
        <v>FilterPM</v>
      </c>
      <c r="C256" t="str">
        <f>IFERROR(__xludf.DUMMYFUNCTION("""COMPUTED_VALUE"""),"1lo4DMzd6cjmA4-4d7dLNuKsGBW61BpeW2eCf7oK-9og")</f>
        <v>1lo4DMzd6cjmA4-4d7dLNuKsGBW61BpeW2eCf7oK-9og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IFERROR(__xludf.DUMMYFUNCTION("""COMPUTED_VALUE"""),"GroupRowPM")</f>
        <v>GroupRowPM</v>
      </c>
      <c r="C257" t="str">
        <f>IFERROR(__xludf.DUMMYFUNCTION("""COMPUTED_VALUE"""),"1pgA3lsv5kfGNh9RHELfgbcW6XvdfbOLjdTg2dR5EYAU")</f>
        <v>1pgA3lsv5kfGNh9RHELfgbcW6XvdfbOLjdTg2dR5EYAU</v>
      </c>
    </row>
    <row r="258" ht="15.75" customHeight="1">
      <c r="A258" t="str">
        <f>IFERROR(__xludf.DUMMYFUNCTION("""COMPUTED_VALUE"""),"Allocation")</f>
        <v>Allocation</v>
      </c>
      <c r="B258" t="str">
        <f>IFERROR(__xludf.DUMMYFUNCTION("""COMPUTED_VALUE"""),"CloseAllocation")</f>
        <v>CloseAllocation</v>
      </c>
      <c r="C258" t="str">
        <f>IFERROR(__xludf.DUMMYFUNCTION("""COMPUTED_VALUE"""),"Undefined")</f>
        <v>Undefined</v>
      </c>
    </row>
    <row r="259" ht="15.75" customHeight="1">
      <c r="A259" t="str">
        <f>IFERROR(__xludf.DUMMYFUNCTION("""COMPUTED_VALUE"""),"PortfolioManagement")</f>
        <v>PortfolioManagement</v>
      </c>
      <c r="B259" t="str">
        <f>IFERROR(__xludf.DUMMYFUNCTION("""COMPUTED_VALUE"""),"CheckDashboardWithPM")</f>
        <v>CheckDashboardWithPM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IFERROR(__xludf.DUMMYFUNCTION("""COMPUTED_VALUE"""),"RemoveFilterPM")</f>
        <v>RemoveFilterPM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IFERROR(__xludf.DUMMYFUNCTION("""COMPUTED_VALUE"""),"CheckSummaryRowsPM")</f>
        <v>CheckSummaryRowsPM</v>
      </c>
      <c r="C261" t="str">
        <f>IFERROR(__xludf.DUMMYFUNCTION("""COMPUTED_VALUE"""),"18xKZpSz1Db7JKLK-skQuvwxZf_NdSC71Y9j-EFPSnbQ")</f>
        <v>18xKZpSz1Db7JKLK-skQuvwxZf_NdSC71Y9j-EFPSnbQ</v>
      </c>
    </row>
    <row r="262" ht="15.75" customHeight="1">
      <c r="A262" t="str">
        <f>IFERROR(__xludf.DUMMYFUNCTION("""COMPUTED_VALUE"""),"GeneralLedger")</f>
        <v>GeneralLedger</v>
      </c>
      <c r="B262" t="str">
        <f>IFERROR(__xludf.DUMMYFUNCTION("""COMPUTED_VALUE"""),"CloseGeneralLedger")</f>
        <v>CloseGeneralLedger</v>
      </c>
      <c r="C262" t="str">
        <f>IFERROR(__xludf.DUMMYFUNCTION("""COMPUTED_VALUE"""),"Undefined")</f>
        <v>Undefined</v>
      </c>
    </row>
    <row r="263" ht="15.75" customHeight="1">
      <c r="A263" t="str">
        <f>IFERROR(__xludf.DUMMYFUNCTION("""COMPUTED_VALUE"""),"Blotter")</f>
        <v>Blotter</v>
      </c>
      <c r="B263" t="str">
        <f>IFERROR(__xludf.DUMMYFUNCTION("""COMPUTED_VALUE"""),"ReplaceStageOrder")</f>
        <v>ReplaceStageOrder</v>
      </c>
      <c r="C263" t="str">
        <f>IFERROR(__xludf.DUMMYFUNCTION("""COMPUTED_VALUE"""),"1-oDkMaOdHN8EaXZIPTt5fr6PNuottX0kRXE8vmlhi0M")</f>
        <v>1-oDkMaOdHN8EaXZIPTt5fr6PNuottX0kRXE8vmlhi0M</v>
      </c>
    </row>
    <row r="264" ht="15.75" customHeight="1">
      <c r="A264" t="str">
        <f>IFERROR(__xludf.DUMMYFUNCTION("""COMPUTED_VALUE"""),"GeneralLedger")</f>
        <v>GeneralLedger</v>
      </c>
      <c r="B264" t="str">
        <f>IFERROR(__xludf.DUMMYFUNCTION("""COMPUTED_VALUE"""),"VerifyAccountDetails")</f>
        <v>VerifyAccountDetails</v>
      </c>
      <c r="C264" t="str">
        <f>IFERROR(__xludf.DUMMYFUNCTION("""COMPUTED_VALUE"""),"11lQbu7XGSf0C5u04fqQXzcjWfa8v7VnskbBQpcCwy_o")</f>
        <v>11lQbu7XGSf0C5u04fqQXzcjWfa8v7VnskbBQpcCwy_o</v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IFERROR(__xludf.DUMMYFUNCTION("""COMPUTED_VALUE"""),"CreateNewSubOrder")</f>
        <v>CreateNewSubOrder</v>
      </c>
      <c r="C265" t="str">
        <f>IFERROR(__xludf.DUMMYFUNCTION("""COMPUTED_VALUE"""),"1RZrP677SP63N91bZw2_Jkjen0Emt_iknfC5GljLySfA")</f>
        <v>1RZrP677SP63N91bZw2_Jkjen0Emt_iknfC5GljLySfA</v>
      </c>
    </row>
    <row r="266" ht="15.75" customHeight="1">
      <c r="A266" t="str">
        <f>IFERROR(__xludf.DUMMYFUNCTION("""COMPUTED_VALUE"""),"CreateTransaction")</f>
        <v>CreateTransaction</v>
      </c>
      <c r="B266" t="str">
        <f>IFERROR(__xludf.DUMMYFUNCTION("""COMPUTED_VALUE"""),"AddNewTransaction")</f>
        <v>AddNewTransaction</v>
      </c>
      <c r="C266" t="str">
        <f>IFERROR(__xludf.DUMMYFUNCTION("""COMPUTED_VALUE"""),"1MnHnb-l2FXZIx21V59Pn6jwBL3jngTBLnGBTJFgQ-Ac")</f>
        <v>1MnHnb-l2FXZIx21V59Pn6jwBL3jngTBLnGBTJFgQ-Ac</v>
      </c>
    </row>
    <row r="267" ht="15.75" customHeight="1">
      <c r="A267" t="str">
        <f>IFERROR(__xludf.DUMMYFUNCTION("""COMPUTED_VALUE"""),"TradingTicket")</f>
        <v>TradingTicket</v>
      </c>
      <c r="B267" t="str">
        <f>IFERROR(__xludf.DUMMYFUNCTION("""COMPUTED_VALUE"""),"TradeBloomberg")</f>
        <v>TradeBloomberg</v>
      </c>
      <c r="C267" t="str">
        <f>IFERROR(__xludf.DUMMYFUNCTION("""COMPUTED_VALUE"""),"1igxH2dPQGq9u7PuOMV2GHwxFfHVL1KzVtINO6ZbdDOk")</f>
        <v>1igxH2dPQGq9u7PuOMV2GHwxFfHVL1KzVtINO6ZbdDOk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IFERROR(__xludf.DUMMYFUNCTION("""COMPUTED_VALUE"""),"ClickSymbolLookup")</f>
        <v>ClickSymbolLookup</v>
      </c>
      <c r="C268" t="str">
        <f>IFERROR(__xludf.DUMMYFUNCTION("""COMPUTED_VALUE"""),"1_Bm_U_dCrJ0O95Ye84SVu3C35Bm-_zVESf68LNiMCZg")</f>
        <v>1_Bm_U_dCrJ0O95Ye84SVu3C35Bm-_zVESf68LNiMCZg</v>
      </c>
    </row>
    <row r="269" ht="15.75" customHeight="1">
      <c r="A269" t="str">
        <f>IFERROR(__xludf.DUMMYFUNCTION("""COMPUTED_VALUE"""),"PricingServer")</f>
        <v>PricingServer</v>
      </c>
      <c r="B269" t="str">
        <f>IFERROR(__xludf.DUMMYFUNCTION("""COMPUTED_VALUE"""),"RestartPricingServer")</f>
        <v>RestartPricingServer</v>
      </c>
      <c r="C269" t="str">
        <f>IFERROR(__xludf.DUMMYFUNCTION("""COMPUTED_VALUE"""),"1k3a_zG703e90jYbfBz_iHma7miT_nDAo2-jitint-XA")</f>
        <v>1k3a_zG703e90jYbfBz_iHma7miT_nDAo2-jitint-XA</v>
      </c>
    </row>
    <row r="270" ht="15.75" customHeight="1">
      <c r="A270" t="str">
        <f>IFERROR(__xludf.DUMMYFUNCTION("""COMPUTED_VALUE"""),"TradeServer")</f>
        <v>TradeServer</v>
      </c>
      <c r="B270" t="str">
        <f>IFERROR(__xludf.DUMMYFUNCTION("""COMPUTED_VALUE"""),"RestartServer")</f>
        <v>RestartServer</v>
      </c>
      <c r="C270" t="str">
        <f>IFERROR(__xludf.DUMMYFUNCTION("""COMPUTED_VALUE"""),"1MfgZTAXl6-DPer9VdHbo42n6sPuMFimLowm4iDrtYBI")</f>
        <v>1MfgZTAXl6-DPer9VdHbo42n6sPuMFimLowm4iDrtYBI</v>
      </c>
    </row>
    <row r="271" ht="15.75" customHeight="1">
      <c r="A271" t="str">
        <f>IFERROR(__xludf.DUMMYFUNCTION("""COMPUTED_VALUE"""),"PranaClient")</f>
        <v>PranaClient</v>
      </c>
      <c r="B271" t="str">
        <f>IFERROR(__xludf.DUMMYFUNCTION("""COMPUTED_VALUE"""),"RestartClient")</f>
        <v>RestartClient</v>
      </c>
      <c r="C271" t="str">
        <f>IFERROR(__xludf.DUMMYFUNCTION("""COMPUTED_VALUE"""),"1TkGJ89cY994clB-HD-UJNYqO5eDGSgcM1fC_LiASQLE")</f>
        <v>1TkGJ89cY994clB-HD-UJNYqO5eDGSgcM1fC_LiASQLE</v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IFERROR(__xludf.DUMMYFUNCTION("""COMPUTED_VALUE"""),"CalculatePTT")</f>
        <v>CalculatePTT</v>
      </c>
      <c r="C272" t="str">
        <f>IFERROR(__xludf.DUMMYFUNCTION("""COMPUTED_VALUE"""),"1yHP4_99wm3NtNEt8v0-IjBSsqD_IeK0TrVbe411pPPY")</f>
        <v>1yHP4_99wm3NtNEt8v0-IjBSsqD_IeK0TrVbe411pPPY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IFERROR(__xludf.DUMMYFUNCTION("""COMPUTED_VALUE"""),"TradeUsingPTT")</f>
        <v>TradeUsingPTT</v>
      </c>
      <c r="C273" t="str">
        <f>IFERROR(__xludf.DUMMYFUNCTION("""COMPUTED_VALUE"""),"1824j5jyCdsYtwCFE1rcBhAGlXsh5bjIsayUXkGUuMpA")</f>
        <v>1824j5jyCdsYtwCFE1rcBhAGlXsh5bjIsayUXkGUuMpA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IFERROR(__xludf.DUMMYFUNCTION("""COMPUTED_VALUE"""),"VerifyPTTCompliance")</f>
        <v>VerifyPTTCompliance</v>
      </c>
      <c r="C274" t="str">
        <f>IFERROR(__xludf.DUMMYFUNCTION("""COMPUTED_VALUE"""),"1yei-AbmUpfNZz4VT2JbIDaKDIJzO7hZwvaUFib1oTyU")</f>
        <v>1yei-AbmUpfNZz4VT2JbIDaKDIJzO7hZwvaUFib1oTyU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IFERROR(__xludf.DUMMYFUNCTION("""COMPUTED_VALUE"""),"StageOrderUsingPTT")</f>
        <v>StageOrderUsingPTT</v>
      </c>
      <c r="C275" t="str">
        <f>IFERROR(__xludf.DUMMYFUNCTION("""COMPUTED_VALUE"""),"1u1w8ItMzM1YYZrH2R4RqLkUrIog6pmIGeXUsy-3e_ZA")</f>
        <v>1u1w8ItMzM1YYZrH2R4RqLkUrIog6pmIGeXUsy-3e_ZA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IFERROR(__xludf.DUMMYFUNCTION("""COMPUTED_VALUE"""),"CreateOrderPTT")</f>
        <v>CreateOrderPTT</v>
      </c>
      <c r="C276" t="str">
        <f>IFERROR(__xludf.DUMMYFUNCTION("""COMPUTED_VALUE"""),"1EbdeLHTIKN4RoLAyfGnlPPL3QVcvg2-CXPpGl0RGN44")</f>
        <v>1EbdeLHTIKN4RoLAyfGnlPPL3QVcvg2-CXPpGl0RGN44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IFERROR(__xludf.DUMMYFUNCTION("""COMPUTED_VALUE"""),"TradePTT")</f>
        <v>TradePTT</v>
      </c>
      <c r="C277" t="str">
        <f>IFERROR(__xludf.DUMMYFUNCTION("""COMPUTED_VALUE"""),"1pJFZ4nCBnJDUZQAqiaY6J68G36x1oN7JuKzRtRA-0zc")</f>
        <v>1pJFZ4nCBnJDUZQAqiaY6J68G36x1oN7JuKzRtRA-0zc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IFERROR(__xludf.DUMMYFUNCTION("""COMPUTED_VALUE"""),"VerifyPTT")</f>
        <v>VerifyPTT</v>
      </c>
      <c r="C278" t="str">
        <f>IFERROR(__xludf.DUMMYFUNCTION("""COMPUTED_VALUE"""),"1_DLMzeonBUhfhJl5AJqMD8mt1Z4T5mgBI7fF7cbQFWs")</f>
        <v>1_DLMzeonBUhfhJl5AJqMD8mt1Z4T5mgBI7fF7cbQFWs</v>
      </c>
    </row>
    <row r="279" ht="15.75" customHeight="1">
      <c r="A279" t="str">
        <f>IFERROR(__xludf.DUMMYFUNCTION("""COMPUTED_VALUE"""),"PortfolioManagement")</f>
        <v>PortfolioManagement</v>
      </c>
      <c r="B279" t="str">
        <f>IFERROR(__xludf.DUMMYFUNCTION("""COMPUTED_VALUE"""),"OpenPTTFromPM")</f>
        <v>OpenPTTFromPM</v>
      </c>
      <c r="C279" t="str">
        <f>IFERROR(__xludf.DUMMYFUNCTION("""COMPUTED_VALUE"""),"1GRj9e94k8ieHylVePoJ-nbC4owLOnPd7BKuaFvCouaI")</f>
        <v>1GRj9e94k8ieHylVePoJ-nbC4owLOnPd7BKuaFvCouaI</v>
      </c>
    </row>
    <row r="280" ht="15.75" customHeight="1">
      <c r="A280" t="str">
        <f>IFERROR(__xludf.DUMMYFUNCTION("""COMPUTED_VALUE"""),"PTT")</f>
        <v>PTT</v>
      </c>
      <c r="B280" t="str">
        <f>IFERROR(__xludf.DUMMYFUNCTION("""COMPUTED_VALUE"""),"OpenMultiTTFromPTT")</f>
        <v>OpenMultiTTFromPTT</v>
      </c>
      <c r="C280" t="str">
        <f>IFERROR(__xludf.DUMMYFUNCTION("""COMPUTED_VALUE"""),"1e52wyc2ELTM7QWL7k_ZT3-JQQ8Kf4qrLMW0R_fjW7Qc")</f>
        <v>1e52wyc2ELTM7QWL7k_ZT3-JQQ8Kf4qrLMW0R_fjW7Qc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IFERROR(__xludf.DUMMYFUNCTION("""COMPUTED_VALUE"""),"SelectMultiTT")</f>
        <v>SelectMultiTT</v>
      </c>
      <c r="C281" t="str">
        <f>IFERROR(__xludf.DUMMYFUNCTION("""COMPUTED_VALUE"""),"1kwb8DPg_4i30YSR_tr8LD3r1jIWVTgBzMVprGkITggA")</f>
        <v>1kwb8DPg_4i30YSR_tr8LD3r1jIWVTgBzMVprGkITggA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IFERROR(__xludf.DUMMYFUNCTION("""COMPUTED_VALUE"""),"EditMultiTT")</f>
        <v>EditMultiTT</v>
      </c>
      <c r="C282" t="str">
        <f>IFERROR(__xludf.DUMMYFUNCTION("""COMPUTED_VALUE"""),"1wbgmqX9Wp9SZWfRgJAummbN_5spSjp-tG3G1lreoQKk")</f>
        <v>1wbgmqX9Wp9SZWfRgJAummbN_5spSjp-tG3G1lreoQKk</v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IFERROR(__xludf.DUMMYFUNCTION("""COMPUTED_VALUE"""),"EditTradeUsingMTT")</f>
        <v>EditTradeUsingMTT</v>
      </c>
      <c r="C283" t="str">
        <f>IFERROR(__xludf.DUMMYFUNCTION("""COMPUTED_VALUE"""),"1FQlM2ubifDakZ2t9YEosDOTBdf06YZcr9_nTRuQDt2Q")</f>
        <v>1FQlM2ubifDakZ2t9YEosDOTBdf06YZcr9_nTRuQDt2Q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IFERROR(__xludf.DUMMYFUNCTION("""COMPUTED_VALUE"""),"SelectTradeUsingMTT")</f>
        <v>SelectTradeUsingMTT</v>
      </c>
      <c r="C284" t="str">
        <f>IFERROR(__xludf.DUMMYFUNCTION("""COMPUTED_VALUE"""),"1iacfEsOlPHPGZ6nQjKZ7USkjh5EdozTXI9wUlBmEE4k")</f>
        <v>1iacfEsOlPHPGZ6nQjKZ7USkjh5EdozTXI9wUlBmEE4k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IFERROR(__xludf.DUMMYFUNCTION("""COMPUTED_VALUE"""),"GetPriceUsingMTT")</f>
        <v>GetPriceUsingMTT</v>
      </c>
      <c r="C285" t="str">
        <f>IFERROR(__xludf.DUMMYFUNCTION("""COMPUTED_VALUE"""),"13sqL2ynaexfP9lWe37uE-qHPdf1jgMi_dGKwnz6usMQ")</f>
        <v>13sqL2ynaexfP9lWe37uE-qHPdf1jgMi_dGKwnz6usMQ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IFERROR(__xludf.DUMMYFUNCTION("""COMPUTED_VALUE"""),"DoneAwayUsingMTT")</f>
        <v>DoneAwayUsingMTT</v>
      </c>
      <c r="C286" t="str">
        <f>IFERROR(__xludf.DUMMYFUNCTION("""COMPUTED_VALUE"""),"1X_Cc-k1Zsfie7xcaz_9nQ2vWDlJ47gL_5qoTESaishI")</f>
        <v>1X_Cc-k1Zsfie7xcaz_9nQ2vWDlJ47gL_5qoTESaishI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IFERROR(__xludf.DUMMYFUNCTION("""COMPUTED_VALUE"""),"SendOrderUsingMTT")</f>
        <v>SendOrderUsingMTT</v>
      </c>
      <c r="C287" t="str">
        <f>IFERROR(__xludf.DUMMYFUNCTION("""COMPUTED_VALUE"""),"1ZvOomDY73mDwy_2FkmlYUkc7eFVBtku_M6XrhU6zAMQ")</f>
        <v>1ZvOomDY73mDwy_2FkmlYUkc7eFVBtku_M6XrhU6zAMQ</v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IFERROR(__xludf.DUMMYFUNCTION("""COMPUTED_VALUE"""),"UpdateGRAccountValue")</f>
        <v>UpdateGRAccountValue</v>
      </c>
      <c r="C288" t="str">
        <f>IFERROR(__xludf.DUMMYFUNCTION("""COMPUTED_VALUE"""),"1lFz3FRcCczoccbDWuOrmoeTNI3Wt72tV40C0B_Fdulo")</f>
        <v>1lFz3FRcCczoccbDWuOrmoeTNI3Wt72tV40C0B_Fdulo</v>
      </c>
    </row>
    <row r="289" ht="15.75" customHeight="1">
      <c r="A289" t="str">
        <f>IFERROR(__xludf.DUMMYFUNCTION("""COMPUTED_VALUE"""),"MultiTradingTicket")</f>
        <v>MultiTradingTicket</v>
      </c>
      <c r="B289" t="str">
        <f>IFERROR(__xludf.DUMMYFUNCTION("""COMPUTED_VALUE"""),"BulkChangeTradeDoneAway")</f>
        <v>BulkChangeTradeDoneAway</v>
      </c>
      <c r="C289" t="str">
        <f>IFERROR(__xludf.DUMMYFUNCTION("""COMPUTED_VALUE"""),"1vJUuWNjZCta9Nc4XEHCHO5jwABRogxaKkvSksrCc1y4")</f>
        <v>1vJUuWNjZCta9Nc4XEHCHO5jwABRogxaKkvSksrCc1y4</v>
      </c>
    </row>
    <row r="290" ht="15.75" customHeight="1">
      <c r="A290" t="str">
        <f>IFERROR(__xludf.DUMMYFUNCTION("""COMPUTED_VALUE"""),"Allocation")</f>
        <v>Allocation</v>
      </c>
      <c r="B290" t="str">
        <f>IFERROR(__xludf.DUMMYFUNCTION("""COMPUTED_VALUE"""),"UpdateGRStrategyValue")</f>
        <v>UpdateGRStrategyValue</v>
      </c>
      <c r="C290" t="str">
        <f>IFERROR(__xludf.DUMMYFUNCTION("""COMPUTED_VALUE"""),"1AMJDRnPPFGSypYHzJlk3Nkh0AERQpMOKwpNzmwWYf3k")</f>
        <v>1AMJDRnPPFGSypYHzJlk3Nkh0AERQpMOKwpNzmwWYf3k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IFERROR(__xludf.DUMMYFUNCTION("""COMPUTED_VALUE"""),"UpdateGRDefaultRule")</f>
        <v>UpdateGRDefaultRule</v>
      </c>
      <c r="C291" t="str">
        <f>IFERROR(__xludf.DUMMYFUNCTION("""COMPUTED_VALUE"""),"1x73ZveKV63dLEGp1JA9RvvtDZiF2PeXvK6rEa4ECUUg")</f>
        <v>1x73ZveKV63dLEGp1JA9RvvtDZiF2PeXvK6rEa4ECUUg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IFERROR(__xludf.DUMMYFUNCTION("""COMPUTED_VALUE"""),"UpdateGeneralRulePref")</f>
        <v>UpdateGeneralRulePref</v>
      </c>
      <c r="C292" t="str">
        <f>IFERROR(__xludf.DUMMYFUNCTION("""COMPUTED_VALUE"""),"Undefined")</f>
        <v>Undefined</v>
      </c>
    </row>
    <row r="293" ht="15.75" customHeight="1">
      <c r="A293" t="str">
        <f>IFERROR(__xludf.DUMMYFUNCTION("""COMPUTED_VALUE"""),"Blotter")</f>
        <v>Blotter</v>
      </c>
      <c r="B293" t="str">
        <f>IFERROR(__xludf.DUMMYFUNCTION("""COMPUTED_VALUE"""),"MultiTradingTicketFromBlotter")</f>
        <v>MultiTradingTicketFromBlotter</v>
      </c>
      <c r="C293" t="str">
        <f>IFERROR(__xludf.DUMMYFUNCTION("""COMPUTED_VALUE"""),"19n2Z-CCAzNZctQndnPqhAilz4AHqd4Hew_NupZSf3AA")</f>
        <v>19n2Z-CCAzNZctQndnPqhAilz4AHqd4Hew_NupZSf3AA</v>
      </c>
    </row>
    <row r="294" ht="15.75" customHeight="1">
      <c r="A294" t="str">
        <f>IFERROR(__xludf.DUMMYFUNCTION("""COMPUTED_VALUE"""),"CleanUp")</f>
        <v>CleanUp</v>
      </c>
      <c r="B294" t="str">
        <f>IFERROR(__xludf.DUMMYFUNCTION("""COMPUTED_VALUE"""),"DeleteClientData")</f>
        <v>DeleteClientData</v>
      </c>
      <c r="C294" t="str">
        <f>IFERROR(__xludf.DUMMYFUNCTION("""COMPUTED_VALUE"""),"1Lz82jeHUZGtvibY9vO7baLqlJAO5OFAL6yO4JpHFkAo")</f>
        <v>1Lz82jeHUZGtvibY9vO7baLqlJAO5OFAL6yO4JpHFkAo</v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IFERROR(__xludf.DUMMYFUNCTION("""COMPUTED_VALUE"""),"ModifyGRPreferenceValues")</f>
        <v>ModifyGRPreferenceValues</v>
      </c>
      <c r="C295" t="str">
        <f>IFERROR(__xludf.DUMMYFUNCTION("""COMPUTED_VALUE"""),"1POjj1zjXLEqeN6JF24QjN0-KOauAggBwl69xOVrb_Mc")</f>
        <v>1POjj1zjXLEqeN6JF24QjN0-KOauAggBwl69xOVrb_Mc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IFERROR(__xludf.DUMMYFUNCTION("""COMPUTED_VALUE"""),"AddMFPreferences")</f>
        <v>AddMFPreferences</v>
      </c>
      <c r="C296" t="str">
        <f>IFERROR(__xludf.DUMMYFUNCTION("""COMPUTED_VALUE"""),"1AksWVHEmnBxwC-L3YrZrbvNzH0SfJRQe4Dy7NrKt6qU")</f>
        <v>1AksWVHEmnBxwC-L3YrZrbvNzH0SfJRQe4Dy7NrKt6qU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IFERROR(__xludf.DUMMYFUNCTION("""COMPUTED_VALUE"""),"AddMFPreferenceToolbar")</f>
        <v>AddMFPreferenceToolbar</v>
      </c>
      <c r="C297" t="str">
        <f>IFERROR(__xludf.DUMMYFUNCTION("""COMPUTED_VALUE"""),"1s4ugOdWq4GlEglv4uvOceAxijOR8vwwy9sfLCQSJsPI")</f>
        <v>1s4ugOdWq4GlEglv4uvOceAxijOR8vwwy9sfLCQSJsPI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IFERROR(__xludf.DUMMYFUNCTION("""COMPUTED_VALUE"""),"DeleteMFPreferences")</f>
        <v>DeleteMFPreferences</v>
      </c>
      <c r="C298" t="str">
        <f>IFERROR(__xludf.DUMMYFUNCTION("""COMPUTED_VALUE"""),"1kF8Cp9ixfKWT-O7A_ykr8O24ot4jIuMf7Cny33fw3tE")</f>
        <v>1kF8Cp9ixfKWT-O7A_ykr8O24ot4jIuMf7Cny33fw3tE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IFERROR(__xludf.DUMMYFUNCTION("""COMPUTED_VALUE"""),"DeleteMFPreferenceToolbar")</f>
        <v>DeleteMFPreferenceToolbar</v>
      </c>
      <c r="C299" t="str">
        <f>IFERROR(__xludf.DUMMYFUNCTION("""COMPUTED_VALUE"""),"1CgwWCnwId8fIOzVPEbCjbP0EmIDkblROsvVu3kqYqG8")</f>
        <v>1CgwWCnwId8fIOzVPEbCjbP0EmIDkblROsvVu3kqYqG8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IFERROR(__xludf.DUMMYFUNCTION("""COMPUTED_VALUE"""),"RenameMFPreferences")</f>
        <v>RenameMFPreferences</v>
      </c>
      <c r="C300" t="str">
        <f>IFERROR(__xludf.DUMMYFUNCTION("""COMPUTED_VALUE"""),"1LgeTTI9drsJb1V9MtKWU3N5XU-_UpbynXkgneV6bnSU")</f>
        <v>1LgeTTI9drsJb1V9MtKWU3N5XU-_UpbynXkgneV6bnSU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IFERROR(__xludf.DUMMYFUNCTION("""COMPUTED_VALUE"""),"SaveCloseMFPreference")</f>
        <v>SaveCloseMFPreference</v>
      </c>
      <c r="C301" t="str">
        <f>IFERROR(__xludf.DUMMYFUNCTION("""COMPUTED_VALUE"""),"Undefined")</f>
        <v>Undefined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IFERROR(__xludf.DUMMYFUNCTION("""COMPUTED_VALUE"""),"SetMFPrefAccountValues")</f>
        <v>SetMFPrefAccountValues</v>
      </c>
      <c r="C302" t="str">
        <f>IFERROR(__xludf.DUMMYFUNCTION("""COMPUTED_VALUE"""),"1ICA8c_OKdesVMDcE_s1raBD2JqcZdspbl-jQG5DX7vA")</f>
        <v>1ICA8c_OKdesVMDcE_s1raBD2JqcZdspbl-jQG5DX7vA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IFERROR(__xludf.DUMMYFUNCTION("""COMPUTED_VALUE"""),"ModifyMFPrefGeneralRuleValues")</f>
        <v>ModifyMFPrefGeneralRuleValues</v>
      </c>
      <c r="C303" t="str">
        <f>IFERROR(__xludf.DUMMYFUNCTION("""COMPUTED_VALUE"""),"Undefined")</f>
        <v>Undefined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IFERROR(__xludf.DUMMYFUNCTION("""COMPUTED_VALUE"""),"SetMFPrefStrategyValues")</f>
        <v>SetMFPrefStrategyValues</v>
      </c>
      <c r="C304" t="str">
        <f>IFERROR(__xludf.DUMMYFUNCTION("""COMPUTED_VALUE"""),"1Nend9TmgX0Jkh8tsL--LHqNCMB0QE7KGu0lM4MrvJx8")</f>
        <v>1Nend9TmgX0Jkh8tsL--LHqNCMB0QE7KGu0lM4MrvJx8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IFERROR(__xludf.DUMMYFUNCTION("""COMPUTED_VALUE"""),"SetMFPrefGeneralRule")</f>
        <v>SetMFPrefGeneralRule</v>
      </c>
      <c r="C305" t="str">
        <f>IFERROR(__xludf.DUMMYFUNCTION("""COMPUTED_VALUE"""),"1OkFtbYrIDPpC3pMP--6KPjkSbZDpo31jp348DsVbjWk")</f>
        <v>1OkFtbYrIDPpC3pMP--6KPjkSbZDpo31jp348DsVbjWk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IFERROR(__xludf.DUMMYFUNCTION("""COMPUTED_VALUE"""),"SetMFPrefFundDistribution")</f>
        <v>SetMFPrefFundDistribution</v>
      </c>
      <c r="C306" t="str">
        <f>IFERROR(__xludf.DUMMYFUNCTION("""COMPUTED_VALUE"""),"1sNOuaTOrp-Ppia2ZUARA48WLB5S-7ja2Q0cjsdZu1cc")</f>
        <v>1sNOuaTOrp-Ppia2ZUARA48WLB5S-7ja2Q0cjsdZu1cc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IFERROR(__xludf.DUMMYFUNCTION("""COMPUTED_VALUE"""),"SetMFPreferencesDefaultRule")</f>
        <v>SetMFPreferencesDefaultRule</v>
      </c>
      <c r="C307" t="str">
        <f>IFERROR(__xludf.DUMMYFUNCTION("""COMPUTED_VALUE"""),"1SseU888nr5JryggSHE9VBdTiZug_v-cOJmjdm-vO3sQ")</f>
        <v>1SseU888nr5JryggSHE9VBdTiZug_v-cOJmjdm-vO3sQ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IFERROR(__xludf.DUMMYFUNCTION("""COMPUTED_VALUE"""),"SetMFPrefFundDefaultRule")</f>
        <v>SetMFPrefFundDefaultRule</v>
      </c>
      <c r="C308" t="str">
        <f>IFERROR(__xludf.DUMMYFUNCTION("""COMPUTED_VALUE"""),"1HfizE5szbvAqgcrnlAlRZlGwJnDpLifnRSpo_rNHclE")</f>
        <v>1HfizE5szbvAqgcrnlAlRZlGwJnDpLifnRSpo_rNHclE</v>
      </c>
    </row>
    <row r="309" ht="15.75" customHeight="1">
      <c r="A309" t="str">
        <f>IFERROR(__xludf.DUMMYFUNCTION("""COMPUTED_VALUE"""),"PTT")</f>
        <v>PTT</v>
      </c>
      <c r="B309" t="str">
        <f>IFERROR(__xludf.DUMMYFUNCTION("""COMPUTED_VALUE"""),"SetAccountFactor")</f>
        <v>SetAccountFactor</v>
      </c>
      <c r="C309" t="str">
        <f>IFERROR(__xludf.DUMMYFUNCTION("""COMPUTED_VALUE"""),"18dn1sQFfRDKOAHwu3DueV8YA7DVB7FDzA7y_am44ADk")</f>
        <v>18dn1sQFfRDKOAHwu3DueV8YA7DVB7FDzA7y_am44ADk</v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IFERROR(__xludf.DUMMYFUNCTION("""COMPUTED_VALUE"""),"ClearPrefetchFilters")</f>
        <v>ClearPrefetchFilters</v>
      </c>
      <c r="C310" t="str">
        <f>IFERROR(__xludf.DUMMYFUNCTION("""COMPUTED_VALUE"""),"Undefined")</f>
        <v>Undefined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IFERROR(__xludf.DUMMYFUNCTION("""COMPUTED_VALUE"""),"ExpandCollapseAllUnallocated")</f>
        <v>ExpandCollapseAllUnallocated</v>
      </c>
      <c r="C311" t="str">
        <f>IFERROR(__xludf.DUMMYFUNCTION("""COMPUTED_VALUE"""),"1ochAcIa6jxqrTKXkyAIMtaQp8GfBZfq8KAPLV0y7yvU")</f>
        <v>1ochAcIa6jxqrTKXkyAIMtaQp8GfBZfq8KAPLV0y7yvU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IFERROR(__xludf.DUMMYFUNCTION("""COMPUTED_VALUE"""),"ExpandCollapseAllAllocated")</f>
        <v>ExpandCollapseAllAllocated</v>
      </c>
      <c r="C312" t="str">
        <f>IFERROR(__xludf.DUMMYFUNCTION("""COMPUTED_VALUE"""),"1PUqbTX2rRI0cNPNL7NJ1fKh-Jy0Q9mQVBO0nXiQtUlc")</f>
        <v>1PUqbTX2rRI0cNPNL7NJ1fKh-Jy0Q9mQVBO0nXiQtUlc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IFERROR(__xludf.DUMMYFUNCTION("""COMPUTED_VALUE"""),"GenerateCashTransaction")</f>
        <v>GenerateCashTransaction</v>
      </c>
      <c r="C313" t="str">
        <f>IFERROR(__xludf.DUMMYFUNCTION("""COMPUTED_VALUE"""),"1XFWL8Sv_tc7--6q-PVtJAyjWEb-HcxsbKKtSdB3jRJY")</f>
        <v>1XFWL8Sv_tc7--6q-PVtJAyjWEb-HcxsbKKtSdB3jRJY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IFERROR(__xludf.DUMMYFUNCTION("""COMPUTED_VALUE"""),"SaveAllocation")</f>
        <v>SaveAllocation</v>
      </c>
      <c r="C314" t="str">
        <f>IFERROR(__xludf.DUMMYFUNCTION("""COMPUTED_VALUE"""),"Undefined")</f>
        <v>Undefined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IFERROR(__xludf.DUMMYFUNCTION("""COMPUTED_VALUE"""),"UnallocateWithOutSave")</f>
        <v>UnallocateWithOutSave</v>
      </c>
      <c r="C315" t="str">
        <f>IFERROR(__xludf.DUMMYFUNCTION("""COMPUTED_VALUE"""),"1rdEWSy_MOHkYaq5akux-7N0yuwWEIIprojEJYWvhiRo")</f>
        <v>1rdEWSy_MOHkYaq5akux-7N0yuwWEIIprojEJYWvhiRo</v>
      </c>
    </row>
    <row r="316" ht="15.75" customHeight="1">
      <c r="A316" t="str">
        <f>IFERROR(__xludf.DUMMYFUNCTION("""COMPUTED_VALUE"""),"TradeServer")</f>
        <v>TradeServer</v>
      </c>
      <c r="B316" t="str">
        <f>IFERROR(__xludf.DUMMYFUNCTION("""COMPUTED_VALUE"""),"UpdateServerConfig")</f>
        <v>UpdateServerConfig</v>
      </c>
      <c r="C316" t="str">
        <f>IFERROR(__xludf.DUMMYFUNCTION("""COMPUTED_VALUE"""),"1h5l007iy5WesxdhwZzCT3YK9aNRB6rnqf82fKK-qWhA")</f>
        <v>1h5l007iy5WesxdhwZzCT3YK9aNRB6rnqf82fKK-qWhA</v>
      </c>
    </row>
    <row r="317" ht="15.75" customHeight="1">
      <c r="A317" t="str">
        <f>IFERROR(__xludf.DUMMYFUNCTION("""COMPUTED_VALUE"""),"PricingServer")</f>
        <v>PricingServer</v>
      </c>
      <c r="B317" t="str">
        <f>IFERROR(__xludf.DUMMYFUNCTION("""COMPUTED_VALUE"""),"UpdatePricingConfig")</f>
        <v>UpdatePricingConfig</v>
      </c>
      <c r="C317" t="str">
        <f>IFERROR(__xludf.DUMMYFUNCTION("""COMPUTED_VALUE"""),"1ixTeJ65ywBUTH41BRto926xFAKoLo3WSj5TxpKyxMCI")</f>
        <v>1ixTeJ65ywBUTH41BRto926xFAKoLo3WSj5TxpKyxMCI</v>
      </c>
    </row>
    <row r="318" ht="15.75" customHeight="1">
      <c r="A318" t="str">
        <f>IFERROR(__xludf.DUMMYFUNCTION("""COMPUTED_VALUE"""),"PranaClient")</f>
        <v>PranaClient</v>
      </c>
      <c r="B318" t="str">
        <f>IFERROR(__xludf.DUMMYFUNCTION("""COMPUTED_VALUE"""),"UpdateClientConfig")</f>
        <v>UpdateClientConfig</v>
      </c>
      <c r="C318" t="str">
        <f>IFERROR(__xludf.DUMMYFUNCTION("""COMPUTED_VALUE"""),"1LE8gxOzR6SvbLuSropjBzTYDDoubnt2wbweARCuf3LU")</f>
        <v>1LE8gxOzR6SvbLuSropjBzTYDDoubnt2wbweARCuf3LU</v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IFERROR(__xludf.DUMMYFUNCTION("""COMPUTED_VALUE"""),"OpenClosingFromPM")</f>
        <v>OpenClosingFromPM</v>
      </c>
      <c r="C319" t="str">
        <f>IFERROR(__xludf.DUMMYFUNCTION("""COMPUTED_VALUE"""),"Undefined")</f>
        <v>Undefined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IFERROR(__xludf.DUMMYFUNCTION("""COMPUTED_VALUE"""),"OpenCorporateActionFromPM")</f>
        <v>OpenCorporateActionFromPM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IFERROR(__xludf.DUMMYFUNCTION("""COMPUTED_VALUE"""),"OpenDailyValuationFromPM")</f>
        <v>OpenDailyValuationFromPM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IFERROR(__xludf.DUMMYFUNCTION("""COMPUTED_VALUE"""),"ClosePositionFromPM")</f>
        <v>ClosePositionFromPM</v>
      </c>
      <c r="C322" t="str">
        <f>IFERROR(__xludf.DUMMYFUNCTION("""COMPUTED_VALUE"""),"121YPApuObrizJgYF5sgfQP5hMExkoSYkCPrW-Ew_ldk")</f>
        <v>121YPApuObrizJgYF5sgfQP5hMExkoSYkCPrW-Ew_ldk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IFERROR(__xludf.DUMMYFUNCTION("""COMPUTED_VALUE"""),"ShowSummaryToolFromPM")</f>
        <v>ShowSummaryToolFromPM</v>
      </c>
      <c r="C323" t="str">
        <f>IFERROR(__xludf.DUMMYFUNCTION("""COMPUTED_VALUE"""),"Undefined")</f>
        <v>Undefined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IFERROR(__xludf.DUMMYFUNCTION("""COMPUTED_VALUE"""),"HideSummaryToolFromPM")</f>
        <v>HideSummaryToolFromPM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IFERROR(__xludf.DUMMYFUNCTION("""COMPUTED_VALUE"""),"CloseAccountPositionFromPM")</f>
        <v>CloseAccountPositionFromPM</v>
      </c>
      <c r="C325" t="str">
        <f>IFERROR(__xludf.DUMMYFUNCTION("""COMPUTED_VALUE"""),"10LRFkXyhAzpYLr41wTB8e5wmi1IZIGFBMZPeDp64XK0")</f>
        <v>10LRFkXyhAzpYLr41wTB8e5wmi1IZIGFBMZPeDp64XK0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IFERROR(__xludf.DUMMYFUNCTION("""COMPUTED_VALUE"""),"CloseSelectedTaxlotsFromPM")</f>
        <v>CloseSelectedTaxlotsFromPM</v>
      </c>
      <c r="C326" t="str">
        <f>IFERROR(__xludf.DUMMYFUNCTION("""COMPUTED_VALUE"""),"1vJSNFM5zkHc9zBvl1ymJquJpvovmW3E_RSN3pozpWns")</f>
        <v>1vJSNFM5zkHc9zBvl1ymJquJpvovmW3E_RSN3pozpWns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IFERROR(__xludf.DUMMYFUNCTION("""COMPUTED_VALUE"""),"ExpandCollapsePM")</f>
        <v>ExpandCollapsePM</v>
      </c>
      <c r="C327" t="str">
        <f>IFERROR(__xludf.DUMMYFUNCTION("""COMPUTED_VALUE"""),"1kNeqOSQLa6o8vkFZaArRKZabtB_GXZBV_Al1s8DHf50")</f>
        <v>1kNeqOSQLa6o8vkFZaArRKZabtB_GXZBV_Al1s8DHf50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IFERROR(__xludf.DUMMYFUNCTION("""COMPUTED_VALUE"""),"AddCustomViewPM")</f>
        <v>AddCustomViewPM</v>
      </c>
      <c r="C328" t="str">
        <f>IFERROR(__xludf.DUMMYFUNCTION("""COMPUTED_VALUE"""),"1WARVnQ0kPZNSKX8kRaPiqFQVReKwU7ReLEjyOvwThEk")</f>
        <v>1WARVnQ0kPZNSKX8kRaPiqFQVReKwU7ReLEjyOvwThEk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IFERROR(__xludf.DUMMYFUNCTION("""COMPUTED_VALUE"""),"AddCustomViewRightClickPM")</f>
        <v>AddCustomViewRightClickPM</v>
      </c>
      <c r="C329" t="str">
        <f>IFERROR(__xludf.DUMMYFUNCTION("""COMPUTED_VALUE"""),"1221yqGeEHt8OWBppipf5Q2xZ7hMYHBO7XKQ1Hp4-_1k")</f>
        <v>1221yqGeEHt8OWBppipf5Q2xZ7hMYHBO7XKQ1Hp4-_1k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IFERROR(__xludf.DUMMYFUNCTION("""COMPUTED_VALUE"""),"RenameCustomViewPM")</f>
        <v>RenameCustomViewPM</v>
      </c>
      <c r="C330" t="str">
        <f>IFERROR(__xludf.DUMMYFUNCTION("""COMPUTED_VALUE"""),"1saPHdgxC5QXYmLAufIbglxhQ01_MTtBMgX000SwjhFY")</f>
        <v>1saPHdgxC5QXYmLAufIbglxhQ01_MTtBMgX000SwjhFY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IFERROR(__xludf.DUMMYFUNCTION("""COMPUTED_VALUE"""),"DeleteCustomViewPM")</f>
        <v>DeleteCustomViewPM</v>
      </c>
      <c r="C331" t="str">
        <f>IFERROR(__xludf.DUMMYFUNCTION("""COMPUTED_VALUE"""),"1_EYKIDrS0AWuMJMgbTbeqmEwSkf7_gL_EAGl7D2-Ggk")</f>
        <v>1_EYKIDrS0AWuMJMgbTbeqmEwSkf7_gL_EAGl7D2-Ggk</v>
      </c>
    </row>
    <row r="332" ht="15.75" customHeight="1">
      <c r="A332" t="str">
        <f>IFERROR(__xludf.DUMMYFUNCTION("""COMPUTED_VALUE"""),"Closing")</f>
        <v>Closing</v>
      </c>
      <c r="B332" t="str">
        <f>IFERROR(__xludf.DUMMYFUNCTION("""COMPUTED_VALUE"""),"SetClosingPreference")</f>
        <v>SetClosingPreference</v>
      </c>
      <c r="C332" t="str">
        <f>IFERROR(__xludf.DUMMYFUNCTION("""COMPUTED_VALUE"""),"1cplMQV_xOYFJ8djnU96c9xg2GdJ6on6353kFnCvM4ig")</f>
        <v>1cplMQV_xOYFJ8djnU96c9xg2GdJ6on6353kFnCvM4ig</v>
      </c>
    </row>
    <row r="333" ht="15.75" customHeight="1">
      <c r="A333" t="str">
        <f>IFERROR(__xludf.DUMMYFUNCTION("""COMPUTED_VALUE"""),"CreateTransaction")</f>
        <v>CreateTransaction</v>
      </c>
      <c r="B333" t="str">
        <f>IFERROR(__xludf.DUMMYFUNCTION("""COMPUTED_VALUE"""),"SaveTransaction")</f>
        <v>SaveTransaction</v>
      </c>
      <c r="C333" t="str">
        <f>IFERROR(__xludf.DUMMYFUNCTION("""COMPUTED_VALUE"""),"Undefined")</f>
        <v>Undefined</v>
      </c>
    </row>
    <row r="334" ht="15.75" customHeight="1">
      <c r="A334" t="str">
        <f>IFERROR(__xludf.DUMMYFUNCTION("""COMPUTED_VALUE"""),"Allocation")</f>
        <v>Allocation</v>
      </c>
      <c r="B334" t="str">
        <f>IFERROR(__xludf.DUMMYFUNCTION("""COMPUTED_VALUE"""),"EditUnallocatedGrid")</f>
        <v>EditUnallocatedGrid</v>
      </c>
      <c r="C334" t="str">
        <f>IFERROR(__xludf.DUMMYFUNCTION("""COMPUTED_VALUE"""),"1ZILedE8lKyjaVDMMusXelzpLvtoQCjqNJqFoXOUTp4I")</f>
        <v>1ZILedE8lKyjaVDMMusXelzpLvtoQCjqNJqFoXOUTp4I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IFERROR(__xludf.DUMMYFUNCTION("""COMPUTED_VALUE"""),"EditAllocatedGrid")</f>
        <v>EditAllocatedGrid</v>
      </c>
      <c r="C335" t="str">
        <f>IFERROR(__xludf.DUMMYFUNCTION("""COMPUTED_VALUE"""),"19QWlDxD5eijFqhVbgkdX7QOLXkQ9taESRekiHpQgMcU")</f>
        <v>19QWlDxD5eijFqhVbgkdX7QOLXkQ9taESRekiHpQgMcU</v>
      </c>
    </row>
    <row r="336" ht="15.75" customHeight="1">
      <c r="A336" t="str">
        <f>IFERROR(__xludf.DUMMYFUNCTION("""COMPUTED_VALUE"""),"PTT")</f>
        <v>PTT</v>
      </c>
      <c r="B336" t="str">
        <f>IFERROR(__xludf.DUMMYFUNCTION("""COMPUTED_VALUE"""),"SetPTTPreference")</f>
        <v>SetPTTPreference</v>
      </c>
      <c r="C336" t="str">
        <f>IFERROR(__xludf.DUMMYFUNCTION("""COMPUTED_VALUE"""),"1Baqp1iuVr1x4qDwfwIaTJvW6VzT4ZWfbjwZ_EWPzpzY")</f>
        <v>1Baqp1iuVr1x4qDwfwIaTJvW6VzT4ZWfbjwZ_EWPzpzY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IFERROR(__xludf.DUMMYFUNCTION("""COMPUTED_VALUE"""),"SetLongShortPTTPreference")</f>
        <v>SetLongShortPTTPreference</v>
      </c>
      <c r="C337" t="str">
        <f>IFERROR(__xludf.DUMMYFUNCTION("""COMPUTED_VALUE"""),"1_lCMnn8iZS0bQEHszxmzf23ats0dIWEEckwO9fjPCeE")</f>
        <v>1_lCMnn8iZS0bQEHszxmzf23ats0dIWEEckwO9fjPCeE</v>
      </c>
    </row>
    <row r="338" ht="15.75" customHeight="1">
      <c r="A338" t="str">
        <f>IFERROR(__xludf.DUMMYFUNCTION("""COMPUTED_VALUE"""),"TradingTicket")</f>
        <v>TradingTicket</v>
      </c>
      <c r="B338" t="str">
        <f>IFERROR(__xludf.DUMMYFUNCTION("""COMPUTED_VALUE"""),"VerifyTT")</f>
        <v>VerifyTT</v>
      </c>
      <c r="C338" t="str">
        <f>IFERROR(__xludf.DUMMYFUNCTION("""COMPUTED_VALUE"""),"13oTZo0AjsgJNWyNhqVmwouwYywOEGfdiPe94wMNxXqo")</f>
        <v>13oTZo0AjsgJNWyNhqVmwouwYywOEGfdiPe94wMNxXqo</v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IFERROR(__xludf.DUMMYFUNCTION("""COMPUTED_VALUE"""),"SaveLayoutAllocatedGrid")</f>
        <v>SaveLayoutAllocatedGrid</v>
      </c>
      <c r="C339" t="str">
        <f>IFERROR(__xludf.DUMMYFUNCTION("""COMPUTED_VALUE"""),"1rucb3CcDlDDXwMhjXDHQWofStRKKouzl7PSb2_F37FA")</f>
        <v>1rucb3CcDlDDXwMhjXDHQWofStRKKouzl7PSb2_F37FA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IFERROR(__xludf.DUMMYFUNCTION("""COMPUTED_VALUE"""),"SaveLayoutUnallocatedGrid")</f>
        <v>SaveLayoutUnallocatedGrid</v>
      </c>
      <c r="C340" t="str">
        <f>IFERROR(__xludf.DUMMYFUNCTION("""COMPUTED_VALUE"""),"1dixy47vGD4ZYjt9U_ih3BSiZbzPzvIDLtlafZIpeyC4")</f>
        <v>1dixy47vGD4ZYjt9U_ih3BSiZbzPzvIDLtlafZIpeyC4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IFERROR(__xludf.DUMMYFUNCTION("""COMPUTED_VALUE"""),"SaveLayoutAllocationUI")</f>
        <v>SaveLayoutAllocationUI</v>
      </c>
      <c r="C341" t="str">
        <f>IFERROR(__xludf.DUMMYFUNCTION("""COMPUTED_VALUE"""),"1S-6rMK11n-3mFrONpo_U4rlR4O69j6bQAGuGNcrrS6A")</f>
        <v>1S-6rMK11n-3mFrONpo_U4rlR4O69j6bQAGuGNcrrS6A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IFERROR(__xludf.DUMMYFUNCTION("""COMPUTED_VALUE"""),"ClearFiltersAllocatedGrid")</f>
        <v>ClearFiltersAllocatedGrid</v>
      </c>
      <c r="C342" t="str">
        <f>IFERROR(__xludf.DUMMYFUNCTION("""COMPUTED_VALUE"""),"Undefined")</f>
        <v>Undefined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IFERROR(__xludf.DUMMYFUNCTION("""COMPUTED_VALUE"""),"ClearFiltersUnallocatedGrid")</f>
        <v>ClearFiltersUnallocatedGrid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IFERROR(__xludf.DUMMYFUNCTION("""COMPUTED_VALUE"""),"VerifyLayoutAllocatedGrid")</f>
        <v>VerifyLayoutAllocatedGrid</v>
      </c>
      <c r="C344" t="str">
        <f>IFERROR(__xludf.DUMMYFUNCTION("""COMPUTED_VALUE"""),"11nzl66L5rtvJi9vTz487iVKURd3BfoYcknfycWFT-fU")</f>
        <v>11nzl66L5rtvJi9vTz487iVKURd3BfoYcknfycWFT-fU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IFERROR(__xludf.DUMMYFUNCTION("""COMPUTED_VALUE"""),"VerifyLayoutUnallocatedGrid")</f>
        <v>VerifyLayoutUnallocatedGrid</v>
      </c>
      <c r="C345" t="str">
        <f>IFERROR(__xludf.DUMMYFUNCTION("""COMPUTED_VALUE"""),"1dD8vrEBSx_3diJl50IJ7yG6cl8wP386vXzl21YBIEPg")</f>
        <v>1dD8vrEBSx_3diJl50IJ7yG6cl8wP386vXzl21YBIEPg</v>
      </c>
    </row>
    <row r="346" ht="15.75" customHeight="1">
      <c r="A346" t="str">
        <f>IFERROR(__xludf.DUMMYFUNCTION("""COMPUTED_VALUE"""),"DailyValuation")</f>
        <v>DailyValuation</v>
      </c>
      <c r="B346" t="str">
        <f>IFERROR(__xludf.DUMMYFUNCTION("""COMPUTED_VALUE"""),"UpdateForexConversionMonthly")</f>
        <v>UpdateForexConversionMonthly</v>
      </c>
      <c r="C346" t="str">
        <f>IFERROR(__xludf.DUMMYFUNCTION("""COMPUTED_VALUE"""),"1MCpJWwFXEogB1VlqUXy1Ww954nX83LPwb4Qy6-fZMp8")</f>
        <v>1MCpJWwFXEogB1VlqUXy1Ww954nX83LPwb4Qy6-fZMp8</v>
      </c>
    </row>
    <row r="347" ht="15.75" customHeight="1">
      <c r="A347" t="str">
        <f>IFERROR(__xludf.DUMMYFUNCTION("""COMPUTED_VALUE"""),"GeneralLedger")</f>
        <v>GeneralLedger</v>
      </c>
      <c r="B347" t="str">
        <f>IFERROR(__xludf.DUMMYFUNCTION("""COMPUTED_VALUE"""),"SaveTransaction")</f>
        <v>SaveTransaction</v>
      </c>
      <c r="C347" t="str">
        <f>IFERROR(__xludf.DUMMYFUNCTION("""COMPUTED_VALUE"""),"Undefined")</f>
        <v>Undefined</v>
      </c>
    </row>
    <row r="348" ht="15.75" customHeight="1">
      <c r="A348" t="str">
        <f>IFERROR(__xludf.DUMMYFUNCTION("""COMPUTED_VALUE"""),"DailyValuation")</f>
        <v>DailyValuation</v>
      </c>
      <c r="B348" t="str">
        <f>IFERROR(__xludf.DUMMYFUNCTION("""COMPUTED_VALUE"""),"UpdateMarkPriceMonthly")</f>
        <v>UpdateMarkPriceMonthly</v>
      </c>
      <c r="C348" t="str">
        <f>IFERROR(__xludf.DUMMYFUNCTION("""COMPUTED_VALUE"""),"1gKeBaYxaZTHXY5r3gp7mJKZhpLEFv3B0eTcgmwO2faY")</f>
        <v>1gKeBaYxaZTHXY5r3gp7mJKZhpLEFv3B0eTcgmwO2faY</v>
      </c>
    </row>
    <row r="349" ht="15.75" customHeight="1">
      <c r="A349" t="str">
        <f>IFERROR(__xludf.DUMMYFUNCTION("""COMPUTED_VALUE"""),"Allocation")</f>
        <v>Allocation</v>
      </c>
      <c r="B349" t="str">
        <f>IFERROR(__xludf.DUMMYFUNCTION("""COMPUTED_VALUE"""),"CleanUp")</f>
        <v>CleanUp</v>
      </c>
      <c r="C349" t="str">
        <f>IFERROR(__xludf.DUMMYFUNCTION("""COMPUTED_VALUE"""),"1gjchR0Aowyhj6YMJ5EMxZmG6NvilqGkSR93seXN-MEo")</f>
        <v>1gjchR0Aowyhj6YMJ5EMxZmG6NvilqGkSR93seXN-MEo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IFERROR(__xludf.DUMMYFUNCTION("""COMPUTED_VALUE"""),"CheckAllocatedTaxlots")</f>
        <v>CheckAllocatedTaxlots</v>
      </c>
      <c r="C350" t="str">
        <f>IFERROR(__xludf.DUMMYFUNCTION("""COMPUTED_VALUE"""),"1v_Yhw10id_6Cs6P4bR6iDeu8RDRjtyjgz19lxjEw6Ng")</f>
        <v>1v_Yhw10id_6Cs6P4bR6iDeu8RDRjtyjgz19lxjEw6Ng</v>
      </c>
    </row>
    <row r="351" ht="15.75" customHeight="1">
      <c r="A351" t="str">
        <f>IFERROR(__xludf.DUMMYFUNCTION("""COMPUTED_VALUE"""),"Closing")</f>
        <v>Closing</v>
      </c>
      <c r="B351" t="str">
        <f>IFERROR(__xludf.DUMMYFUNCTION("""COMPUTED_VALUE"""),"EditTradeUnexpiredUnsettled")</f>
        <v>EditTradeUnexpiredUnsettled</v>
      </c>
      <c r="C351" t="str">
        <f>IFERROR(__xludf.DUMMYFUNCTION("""COMPUTED_VALUE"""),"1Mk2JLd9CmSbDVOmTJu58VWjrwhxNKoopJHemupq4qBs")</f>
        <v>1Mk2JLd9CmSbDVOmTJu58VWjrwhxNKoopJHemupq4qBs</v>
      </c>
    </row>
    <row r="352" ht="15.75" customHeight="1">
      <c r="A352" t="str">
        <f>IFERROR(__xludf.DUMMYFUNCTION("""COMPUTED_VALUE"""),"ThirdParty")</f>
        <v>ThirdParty</v>
      </c>
      <c r="B352" t="str">
        <f>IFERROR(__xludf.DUMMYFUNCTION("""COMPUTED_VALUE"""),"VerifyThirdPartyView")</f>
        <v>VerifyThirdPartyView</v>
      </c>
      <c r="C352" t="str">
        <f>IFERROR(__xludf.DUMMYFUNCTION("""COMPUTED_VALUE"""),"118wRv0r1kNYT6nexs-UFGKd_eWq769gwdBDpcAfrJMc")</f>
        <v>118wRv0r1kNYT6nexs-UFGKd_eWq769gwdBDpcAfrJMc</v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IFERROR(__xludf.DUMMYFUNCTION("""COMPUTED_VALUE"""),"CheckCompliance")</f>
        <v>CheckCompliance</v>
      </c>
      <c r="C353" t="str">
        <f>IFERROR(__xludf.DUMMYFUNCTION("""COMPUTED_VALUE"""),"1SsqNYuLQYnAQojY1ScqgFlAVNPt1c0Du5CgtRfS4XTs")</f>
        <v>1SsqNYuLQYnAQojY1ScqgFlAVNPt1c0Du5CgtRfS4XTs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IFERROR(__xludf.DUMMYFUNCTION("""COMPUTED_VALUE"""),"VerifyAccountDivisorWindow")</f>
        <v>VerifyAccountDivisorWindow</v>
      </c>
      <c r="C354" t="str">
        <f>IFERROR(__xludf.DUMMYFUNCTION("""COMPUTED_VALUE"""),"1nWJ7MmdctU6UHdtDMBx4cO0Za1AVHgWqATvU2HaIrN0")</f>
        <v>1nWJ7MmdctU6UHdtDMBx4cO0Za1AVHgWqATvU2HaIrN0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IFERROR(__xludf.DUMMYFUNCTION("""COMPUTED_VALUE"""),"VerifyAccountSymbolDivisorWindow")</f>
        <v>VerifyAccountSymbolDivisorWindow</v>
      </c>
      <c r="C355" t="str">
        <f>IFERROR(__xludf.DUMMYFUNCTION("""COMPUTED_VALUE"""),"1XEkR9NvAEC2bh6wfHaqLzZiNwp5p6N_DuThzwLCpi_k")</f>
        <v>1XEkR9NvAEC2bh6wfHaqLzZiNwp5p6N_DuThzwLCpi_k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IFERROR(__xludf.DUMMYFUNCTION("""COMPUTED_VALUE"""),"VerifyAggregationAccountSymbolWithNav")</f>
        <v>VerifyAggregationAccountSymbolWithNav</v>
      </c>
      <c r="C356" t="str">
        <f>IFERROR(__xludf.DUMMYFUNCTION("""COMPUTED_VALUE"""),"1wa6cXAbpdMTz-hsF4yUayu1Tnpnl9Kbq__2Vi33WjNM")</f>
        <v>1wa6cXAbpdMTz-hsF4yUayu1Tnpnl9Kbq__2Vi33WjNM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IFERROR(__xludf.DUMMYFUNCTION("""COMPUTED_VALUE"""),"VerifyAggregationAccountWithNav")</f>
        <v>VerifyAggregationAccountWithNav</v>
      </c>
      <c r="C357" t="str">
        <f>IFERROR(__xludf.DUMMYFUNCTION("""COMPUTED_VALUE"""),"1_rVRnADrf7Ggj_HNj9UdEOl7VoPKVA5LDHVnB3Llwac")</f>
        <v>1_rVRnADrf7Ggj_HNj9UdEOl7VoPKVA5LDHVnB3Llwac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IFERROR(__xludf.DUMMYFUNCTION("""COMPUTED_VALUE"""),"VerifyAggregationMasterFundSymbolWithNav")</f>
        <v>VerifyAggregationMasterFundSymbolWithNav</v>
      </c>
      <c r="C358" t="str">
        <f>IFERROR(__xludf.DUMMYFUNCTION("""COMPUTED_VALUE"""),"1v9DEhh9RUUR50m2cY_9XHSOZSpjev0D_FC7YxL6Dx-M")</f>
        <v>1v9DEhh9RUUR50m2cY_9XHSOZSpjev0D_FC7YxL6Dx-M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IFERROR(__xludf.DUMMYFUNCTION("""COMPUTED_VALUE"""),"VerifyAggregationMasterFundUnderlyingSymbolWithNav")</f>
        <v>VerifyAggregationMasterFundUnderlyingSymbolWithNav</v>
      </c>
      <c r="C359" t="str">
        <f>IFERROR(__xludf.DUMMYFUNCTION("""COMPUTED_VALUE"""),"1_l1dXRaSvBu8xSpL_0LuTGDpZT2uwv7HrTTqPpX1zh0")</f>
        <v>1_l1dXRaSvBu8xSpL_0LuTGDpZT2uwv7HrTTqPpX1zh0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IFERROR(__xludf.DUMMYFUNCTION("""COMPUTED_VALUE"""),"VerifyAggregationMasterFundWithNav")</f>
        <v>VerifyAggregationMasterFundWithNav</v>
      </c>
      <c r="C360" t="str">
        <f>IFERROR(__xludf.DUMMYFUNCTION("""COMPUTED_VALUE"""),"1bukvmw7uDn5EWU749u99t380wnpilFiwB3NEfjqNUko")</f>
        <v>1bukvmw7uDn5EWU749u99t380wnpilFiwB3NEfjqNUko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IFERROR(__xludf.DUMMYFUNCTION("""COMPUTED_VALUE"""),"VerifyAggregationSectorWithNav")</f>
        <v>VerifyAggregationSectorWithNav</v>
      </c>
      <c r="C361" t="str">
        <f>IFERROR(__xludf.DUMMYFUNCTION("""COMPUTED_VALUE"""),"1Fv-QPc8yv7ZaNdT1FlDCX7eIaQQMAYX7KS5-P986RCQ")</f>
        <v>1Fv-QPc8yv7ZaNdT1FlDCX7eIaQQMAYX7KS5-P986RCQ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IFERROR(__xludf.DUMMYFUNCTION("""COMPUTED_VALUE"""),"VerifyAggregationUnderlyingSymbolWithNav")</f>
        <v>VerifyAggregationUnderlyingSymbolWithNav</v>
      </c>
      <c r="C362" t="str">
        <f>IFERROR(__xludf.DUMMYFUNCTION("""COMPUTED_VALUE"""),"1lb3zBRstb1VKpx0rM4A2DDz_IQHBTzL0OUyXXa4H2AU")</f>
        <v>1lb3zBRstb1VKpx0rM4A2DDz_IQHBTzL0OUyXXa4H2AU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IFERROR(__xludf.DUMMYFUNCTION("""COMPUTED_VALUE"""),"VerifyAuecWindow")</f>
        <v>VerifyAuecWindow</v>
      </c>
      <c r="C363" t="str">
        <f>IFERROR(__xludf.DUMMYFUNCTION("""COMPUTED_VALUE"""),"1EhWPzRJ5WEwpWzc-SX3LVcLgYlPDIKzkNS-LD2bNahk")</f>
        <v>1EhWPzRJ5WEwpWzc-SX3LVcLgYlPDIKzkNS-LD2bNahk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IFERROR(__xludf.DUMMYFUNCTION("""COMPUTED_VALUE"""),"VerifyBetaWindow")</f>
        <v>VerifyBetaWindow</v>
      </c>
      <c r="C364" t="str">
        <f>IFERROR(__xludf.DUMMYFUNCTION("""COMPUTED_VALUE"""),"1vnD8kKYEQArpqSXLRpqKdW0bWfXfMAye26LmcRtOGI4")</f>
        <v>1vnD8kKYEQArpqSXLRpqKdW0bWfXfMAye26LmcRtOGI4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IFERROR(__xludf.DUMMYFUNCTION("""COMPUTED_VALUE"""),"VerifyCustomSymbolDataWindow")</f>
        <v>VerifyCustomSymbolDataWindow</v>
      </c>
      <c r="C365" t="str">
        <f>IFERROR(__xludf.DUMMYFUNCTION("""COMPUTED_VALUE"""),"1xency978Yhb2ZeNxG-Gp8xcJ8QjKX9kP348vEmQ2gwA")</f>
        <v>1xency978Yhb2ZeNxG-Gp8xcJ8QjKX9kP348vEmQ2gwA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IFERROR(__xludf.DUMMYFUNCTION("""COMPUTED_VALUE"""),"VerifyDayEndCashAccountWindow")</f>
        <v>VerifyDayEndCashAccountWindow</v>
      </c>
      <c r="C366" t="str">
        <f>IFERROR(__xludf.DUMMYFUNCTION("""COMPUTED_VALUE"""),"1qPMFAgMRzEYcCWAk5IayLOH_U1htslpfkeJMVPWbpLQ")</f>
        <v>1qPMFAgMRzEYcCWAk5IayLOH_U1htslpfkeJMVPWbpLQ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IFERROR(__xludf.DUMMYFUNCTION("""COMPUTED_VALUE"""),"VerifyDbNavWindow")</f>
        <v>VerifyDbNavWindow</v>
      </c>
      <c r="C367" t="str">
        <f>IFERROR(__xludf.DUMMYFUNCTION("""COMPUTED_VALUE"""),"1KIH7eWcCPPCZqRVbqOvdvQQatjP_INfvJUbzjGTz7fE")</f>
        <v>1KIH7eWcCPPCZqRVbqOvdvQQatjP_INfvJUbzjGTz7fE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IFERROR(__xludf.DUMMYFUNCTION("""COMPUTED_VALUE"""),"VerifyGlobalDivisorWindow")</f>
        <v>VerifyGlobalDivisorWindow</v>
      </c>
      <c r="C368" t="str">
        <f>IFERROR(__xludf.DUMMYFUNCTION("""COMPUTED_VALUE"""),"11KuCDI7q37RrZjNhVRB_sRU4JrklHajDN-nvioCXIow")</f>
        <v>11KuCDI7q37RrZjNhVRB_sRU4JrklHajDN-nvioCXIow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IFERROR(__xludf.DUMMYFUNCTION("""COMPUTED_VALUE"""),"VerifyPmCalculationPreferenceWindow")</f>
        <v>VerifyPmCalculationPreferenceWindow</v>
      </c>
      <c r="C369" t="str">
        <f>IFERROR(__xludf.DUMMYFUNCTION("""COMPUTED_VALUE"""),"1tHuAZIaBkKFsAt4wQU_f2q5uJEGZ6DbWQnO08Rx4g5Y")</f>
        <v>1tHuAZIaBkKFsAt4wQU_f2q5uJEGZ6DbWQnO08Rx4g5Y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IFERROR(__xludf.DUMMYFUNCTION("""COMPUTED_VALUE"""),"VerifyRowCalculationBaseWindow")</f>
        <v>VerifyRowCalculationBaseWindow</v>
      </c>
      <c r="C370" t="str">
        <f>IFERROR(__xludf.DUMMYFUNCTION("""COMPUTED_VALUE"""),"1LloNg0BgixU9tpWx4HUT43bl1SpVE4381HnFlsajvaQ")</f>
        <v>1LloNg0BgixU9tpWx4HUT43bl1SpVE4381HnFlsajvaQ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IFERROR(__xludf.DUMMYFUNCTION("""COMPUTED_VALUE"""),"VerifySecurityWindow")</f>
        <v>VerifySecurityWindow</v>
      </c>
      <c r="C371" t="str">
        <f>IFERROR(__xludf.DUMMYFUNCTION("""COMPUTED_VALUE"""),"1C0AkzcituMMrkQqJg0M_n6cswWPjROFn0jqkTPCHfis")</f>
        <v>1C0AkzcituMMrkQqJg0M_n6cswWPjROFn0jqkTPCHfis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IFERROR(__xludf.DUMMYFUNCTION("""COMPUTED_VALUE"""),"VerifySymbolDataWindow")</f>
        <v>VerifySymbolDataWindow</v>
      </c>
      <c r="C372" t="str">
        <f>IFERROR(__xludf.DUMMYFUNCTION("""COMPUTED_VALUE"""),"1WOYWuhLyuq1ul6GF5dWAdvSkpKBaWmcsEY0pPRgeOWM")</f>
        <v>1WOYWuhLyuq1ul6GF5dWAdvSkpKBaWmcsEY0pPRgeOWM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IFERROR(__xludf.DUMMYFUNCTION("""COMPUTED_VALUE"""),"VerifySymbolDivisorWindow")</f>
        <v>VerifySymbolDivisorWindow</v>
      </c>
      <c r="C373" t="str">
        <f>IFERROR(__xludf.DUMMYFUNCTION("""COMPUTED_VALUE"""),"1e9Xd2rI7lHFWIFLmRoe5LtT9y4BSPW6sfCjWP0lcVso")</f>
        <v>1e9Xd2rI7lHFWIFLmRoe5LtT9y4BSPW6sfCjWP0lcVso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IFERROR(__xludf.DUMMYFUNCTION("""COMPUTED_VALUE"""),"VerifyTaxlotWindow")</f>
        <v>VerifyTaxlotWindow</v>
      </c>
      <c r="C374" t="str">
        <f>IFERROR(__xludf.DUMMYFUNCTION("""COMPUTED_VALUE"""),"1X0RghwSavvuWnxK9psKDA7-qI86K-IaBKRJ1fVYnJbY")</f>
        <v>1X0RghwSavvuWnxK9psKDA7-qI86K-IaBKRJ1fVYnJbY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IFERROR(__xludf.DUMMYFUNCTION("""COMPUTED_VALUE"""),"RestartEsper")</f>
        <v>RestartEsper</v>
      </c>
      <c r="C375" t="str">
        <f>IFERROR(__xludf.DUMMYFUNCTION("""COMPUTED_VALUE"""),"Undefined")</f>
        <v>Undefined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IFERROR(__xludf.DUMMYFUNCTION("""COMPUTED_VALUE"""),"VerifyAccountNavPreferenceWindow")</f>
        <v>VerifyAccountNavPreferenceWindow</v>
      </c>
      <c r="C376" t="str">
        <f>IFERROR(__xludf.DUMMYFUNCTION("""COMPUTED_VALUE"""),"1nlqDVTvG9tGHVZU_R5Kpe2ScGFiP2pODIjUgp62eOcg")</f>
        <v>1nlqDVTvG9tGHVZU_R5Kpe2ScGFiP2pODIjUgp62eOcg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 VerifyAggregationAccountUnderlyingSymbolWithNav")</f>
        <v> VerifyAggregationAccountUnderlyingSymbolWithNav</v>
      </c>
      <c r="C377" t="str">
        <f>IFERROR(__xludf.DUMMYFUNCTION("""COMPUTED_VALUE"""),"1td6xh2jOVJ_tOP88gOQ7VzA7zC3W0ZUyud3q5jhH1eM")</f>
        <v>1td6xh2jOVJ_tOP88gOQ7VzA7zC3W0ZUyud3q5jhH1eM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IFERROR(__xludf.DUMMYFUNCTION("""COMPUTED_VALUE"""),"VerifyAggregationAssetWithNav")</f>
        <v>VerifyAggregationAssetWithNav</v>
      </c>
      <c r="C378" t="str">
        <f>IFERROR(__xludf.DUMMYFUNCTION("""COMPUTED_VALUE"""),"11IOPX3JerrbITJGj2KKdtGuSCn7wqoda4D14yJors8g")</f>
        <v>11IOPX3JerrbITJGj2KKdtGuSCn7wqoda4D14yJors8g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IFERROR(__xludf.DUMMYFUNCTION("""COMPUTED_VALUE"""),"VerifyAggregationSymbolWithNav")</f>
        <v>VerifyAggregationSymbolWithNav</v>
      </c>
      <c r="C379" t="str">
        <f>IFERROR(__xludf.DUMMYFUNCTION("""COMPUTED_VALUE"""),"10pZ09xnUx2pqa5QZzEljxvSOWUoO4MpFFlj3IgHixAY")</f>
        <v>10pZ09xnUx2pqa5QZzEljxvSOWUoO4MpFFlj3IgHixAY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IFERROR(__xludf.DUMMYFUNCTION("""COMPUTED_VALUE"""),"VerifyAggregationSubSectorWithNav")</f>
        <v>VerifyAggregationSubSectorWithNav</v>
      </c>
      <c r="C380" t="str">
        <f>IFERROR(__xludf.DUMMYFUNCTION("""COMPUTED_VALUE"""),"1lLMwkGATnotz4Fwa-o2i_-buFLFRD1fPDjBRCRge2g8")</f>
        <v>1lLMwkGATnotz4Fwa-o2i_-buFLFRD1fPDjBRCRge2g8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IFERROR(__xludf.DUMMYFUNCTION("""COMPUTED_VALUE"""),"VerifyAggregationGlobalWithNav")</f>
        <v>VerifyAggregationGlobalWithNav</v>
      </c>
      <c r="C381" t="str">
        <f>IFERROR(__xludf.DUMMYFUNCTION("""COMPUTED_VALUE"""),"1AvL03tSx1mQR9FO4i7ta-0KC1RPfLKkELFYsFU7pHz0")</f>
        <v>1AvL03tSx1mQR9FO4i7ta-0KC1RPfLKkELFYsFU7pHz0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 VerifyAggregationGlobalWithNav")</f>
        <v> VerifyAggregationGlobalWithNav</v>
      </c>
      <c r="C382" t="str">
        <f>IFERROR(__xludf.DUMMYFUNCTION("""COMPUTED_VALUE"""),"1AvL03tSx1mQR9FO4i7ta-0KC1RPfLKkELFYsFU7pHz0")</f>
        <v>1AvL03tSx1mQR9FO4i7ta-0KC1RPfLKkELFYsFU7pHz0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IFERROR(__xludf.DUMMYFUNCTION("""COMPUTED_VALUE"""),"VerifyGlobalDivisorWindow")</f>
        <v>VerifyGlobalDivisorWindow</v>
      </c>
      <c r="C383" t="str">
        <f>IFERROR(__xludf.DUMMYFUNCTION("""COMPUTED_VALUE"""),"11KuCDI7q37RrZjNhVRB_sRU4JrklHajDN-nvioCXIow")</f>
        <v>11KuCDI7q37RrZjNhVRB_sRU4JrklHajDN-nvioCXIow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 VerifyAccrualForAccountWindow")</f>
        <v> VerifyAccrualForAccountWindow</v>
      </c>
      <c r="C384" t="str">
        <f>IFERROR(__xludf.DUMMYFUNCTION("""COMPUTED_VALUE"""),"1UibESJzXseK9_-c9HjMbuHTeklThYekhSZ72rmoM1T8")</f>
        <v>1UibESJzXseK9_-c9HjMbuHTeklThYekhSZ72rmoM1T8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IFERROR(__xludf.DUMMYFUNCTION("""COMPUTED_VALUE"""),"VerifyGlobalDivisorWindow")</f>
        <v>VerifyGlobalDivisorWindow</v>
      </c>
      <c r="C385" t="str">
        <f>IFERROR(__xludf.DUMMYFUNCTION("""COMPUTED_VALUE"""),"11KuCDI7q37RrZjNhVRB_sRU4JrklHajDN-nvioCXIow")</f>
        <v>11KuCDI7q37RrZjNhVRB_sRU4JrklHajDN-nvioCXIow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IFERROR(__xludf.DUMMYFUNCTION("""COMPUTED_VALUE"""),"VerifyMasterFundDivisorWindow")</f>
        <v>VerifyMasterFundDivisorWindow</v>
      </c>
      <c r="C386" t="str">
        <f>IFERROR(__xludf.DUMMYFUNCTION("""COMPUTED_VALUE"""),"1MjAfg4F6NQuUAQUFW37k3htPnyMxWHWagiOU-lnvmGI")</f>
        <v>1MjAfg4F6NQuUAQUFW37k3htPnyMxWHWagiOU-lnvmGI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IFERROR(__xludf.DUMMYFUNCTION("""COMPUTED_VALUE"""),"VerifyMasterFundSymbolDivisorWindow")</f>
        <v>VerifyMasterFundSymbolDivisorWindow</v>
      </c>
      <c r="C387" t="str">
        <f>IFERROR(__xludf.DUMMYFUNCTION("""COMPUTED_VALUE"""),"12jSVbeEJpxmA75PPUiLNi7NaIc00WbgI34Q6rhSS0Ds")</f>
        <v>12jSVbeEJpxmA75PPUiLNi7NaIc00WbgI34Q6rhSS0Ds</v>
      </c>
    </row>
    <row r="388" ht="15.75" customHeight="1">
      <c r="A388" t="str">
        <f>IFERROR(__xludf.DUMMYFUNCTION("""COMPUTED_VALUE"""),"Rebalancer")</f>
        <v>Rebalancer</v>
      </c>
      <c r="B388" t="str">
        <f>IFERROR(__xludf.DUMMYFUNCTION("""COMPUTED_VALUE"""),"FetchAccountPositions")</f>
        <v>FetchAccountPositions</v>
      </c>
      <c r="C388" t="str">
        <f>IFERROR(__xludf.DUMMYFUNCTION("""COMPUTED_VALUE"""),"16zBwty-rTFSFJMyCqyxtBb2FiCbKptl_JuviIETsEjc")</f>
        <v>16zBwty-rTFSFJMyCqyxtBb2FiCbKptl_JuviIETsEjc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IFERROR(__xludf.DUMMYFUNCTION("""COMPUTED_VALUE"""),"AddCash")</f>
        <v>AddCash</v>
      </c>
      <c r="C389" t="str">
        <f>IFERROR(__xludf.DUMMYFUNCTION("""COMPUTED_VALUE"""),"1uD1wJYx80LMyhlbMy1CctqDOk9brp6uU03OlbnDuAe4")</f>
        <v>1uD1wJYx80LMyhlbMy1CctqDOk9brp6uU03OlbnDuAe4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IFERROR(__xludf.DUMMYFUNCTION("""COMPUTED_VALUE"""),"VerifyGridData")</f>
        <v>VerifyGridData</v>
      </c>
      <c r="C390" t="str">
        <f>IFERROR(__xludf.DUMMYFUNCTION("""COMPUTED_VALUE"""),"1m6MOQNhKkVt1jpFum_tComrSd-dEbwpLJ09ma9hwHJ0")</f>
        <v>1m6MOQNhKkVt1jpFum_tComrSd-dEbwpLJ09ma9hwHJ0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IFERROR(__xludf.DUMMYFUNCTION("""COMPUTED_VALUE"""),"RunRebalance")</f>
        <v>RunRebalance</v>
      </c>
      <c r="C391" t="str">
        <f>IFERROR(__xludf.DUMMYFUNCTION("""COMPUTED_VALUE"""),"1z6sLqoF1dgSy-5wTE_wKZTVXhp9JEOqwje341a02WpA")</f>
        <v>1z6sLqoF1dgSy-5wTE_wKZTVXhp9JEOqwje341a02WpA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IFERROR(__xludf.DUMMYFUNCTION("""COMPUTED_VALUE"""),"EnableComplianceTab")</f>
        <v>EnableComplianceTab</v>
      </c>
      <c r="C392" t="str">
        <f>IFERROR(__xludf.DUMMYFUNCTION("""COMPUTED_VALUE"""),"Undefined")</f>
        <v>Undefined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IFERROR(__xludf.DUMMYFUNCTION("""COMPUTED_VALUE"""),"RebalancePreference")</f>
        <v>RebalancePreference</v>
      </c>
      <c r="C393" t="str">
        <f>IFERROR(__xludf.DUMMYFUNCTION("""COMPUTED_VALUE"""),"1OuZKBdhFXWj4geXHEAw683kkB5iaP1xy85nS7Y_bfc8")</f>
        <v>1OuZKBdhFXWj4geXHEAw683kkB5iaP1xy85nS7Y_bfc8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IFERROR(__xludf.DUMMYFUNCTION("""COMPUTED_VALUE"""),"ImportModelPortfolio")</f>
        <v>ImportModelPortfolio</v>
      </c>
      <c r="C394" t="str">
        <f>IFERROR(__xludf.DUMMYFUNCTION("""COMPUTED_VALUE"""),"1acRsUVfXLMARgfUMygVmnq-Xn9oHJ7aBMct5mdqEBsA")</f>
        <v>1acRsUVfXLMARgfUMygVmnq-Xn9oHJ7aBMct5mdqEBsA</v>
      </c>
    </row>
    <row r="395" ht="15.75" customHeight="1">
      <c r="A395" t="str">
        <f>IFERROR(__xludf.DUMMYFUNCTION("""COMPUTED_VALUE"""),"Simulator")</f>
        <v>Simulator</v>
      </c>
      <c r="B395" t="str">
        <f>IFERROR(__xludf.DUMMYFUNCTION("""COMPUTED_VALUE"""),"SelectTrade")</f>
        <v>SelectTrade</v>
      </c>
      <c r="C395" t="str">
        <f>IFERROR(__xludf.DUMMYFUNCTION("""COMPUTED_VALUE"""),"1NkVqjZCVIerQf2X0Yf6GK2jVSYfVa7-CmnPWggeHwJc")</f>
        <v>1NkVqjZCVIerQf2X0Yf6GK2jVSYfVa7-CmnPWggeHwJc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IFERROR(__xludf.DUMMYFUNCTION("""COMPUTED_VALUE"""),"AcknowledgeTrade")</f>
        <v>AcknowledgeTrade</v>
      </c>
      <c r="C396" t="str">
        <f>IFERROR(__xludf.DUMMYFUNCTION("""COMPUTED_VALUE"""),"1OM-qeNQLbTj-z40xd1iUyj7uo5BNzUJKKmvtT-Ue5R0")</f>
        <v>1OM-qeNQLbTj-z40xd1iUyj7uo5BNzUJKKmvtT-Ue5R0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IFERROR(__xludf.DUMMYFUNCTION("""COMPUTED_VALUE"""),"RejectTrade")</f>
        <v>RejectTrade</v>
      </c>
      <c r="C397" t="str">
        <f>IFERROR(__xludf.DUMMYFUNCTION("""COMPUTED_VALUE"""),"1Kga6eZygJKjrpwyXiE7s-uRu_0SsnmwvP5tlfNUz67E")</f>
        <v>1Kga6eZygJKjrpwyXiE7s-uRu_0SsnmwvP5tlfNUz67E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IFERROR(__xludf.DUMMYFUNCTION("""COMPUTED_VALUE"""),"ExecuteTrade")</f>
        <v>ExecuteTrade</v>
      </c>
      <c r="C398" t="str">
        <f>IFERROR(__xludf.DUMMYFUNCTION("""COMPUTED_VALUE"""),"1X_J7xIcQSksjlzFZ-krkjWcnyPAEj1k98zuXOUONhS8")</f>
        <v>1X_J7xIcQSksjlzFZ-krkjWcnyPAEj1k98zuXOUONhS8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IFERROR(__xludf.DUMMYFUNCTION("""COMPUTED_VALUE"""),"CancelTrade")</f>
        <v>CancelTrade</v>
      </c>
      <c r="C399" t="str">
        <f>IFERROR(__xludf.DUMMYFUNCTION("""COMPUTED_VALUE"""),"1GDmvU5vTnCfl5qfCk6XuxvygpiC0858nHCMz3cF2Th8")</f>
        <v>1GDmvU5vTnCfl5qfCk6XuxvygpiC0858nHCMz3cF2Th8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IFERROR(__xludf.DUMMYFUNCTION("""COMPUTED_VALUE"""),"OpenLiveTT")</f>
        <v>OpenLiveTT</v>
      </c>
      <c r="C400" t="str">
        <f>IFERROR(__xludf.DUMMYFUNCTION("""COMPUTED_VALUE"""),"1LsvDJHpVcibXPqLhnrrvp6d6K4W1s7PURcprihlc9WE")</f>
        <v>1LsvDJHpVcibXPqLhnrrvp6d6K4W1s7PURcprihlc9WE</v>
      </c>
    </row>
    <row r="401" ht="15.75" customHeight="1">
      <c r="A401" t="str">
        <f>IFERROR(__xludf.DUMMYFUNCTION("""COMPUTED_VALUE"""),"TradingTicket")</f>
        <v>TradingTicket</v>
      </c>
      <c r="B401" t="str">
        <f>IFERROR(__xludf.DUMMYFUNCTION("""COMPUTED_VALUE"""),"CreateLiveOrder")</f>
        <v>CreateLiveOrder</v>
      </c>
      <c r="C401" t="str">
        <f>IFERROR(__xludf.DUMMYFUNCTION("""COMPUTED_VALUE"""),"15NzWGpqvL8MMBvyvBoyZPbRw6m8dVQhvejNQYv6xMAo")</f>
        <v>15NzWGpqvL8MMBvyvBoyZPbRw6m8dVQhvejNQYv6xMAo</v>
      </c>
    </row>
    <row r="402" ht="15.75" customHeight="1">
      <c r="A402" t="str">
        <f>IFERROR(__xludf.DUMMYFUNCTION("""COMPUTED_VALUE"""),"Simulator")</f>
        <v>Simulator</v>
      </c>
      <c r="B402" t="str">
        <f>IFERROR(__xludf.DUMMYFUNCTION("""COMPUTED_VALUE"""),"SetManualResponse ")</f>
        <v>SetManualResponse </v>
      </c>
      <c r="C402" t="str">
        <f>IFERROR(__xludf.DUMMYFUNCTION("""COMPUTED_VALUE"""),"Undefined")</f>
        <v>Undefined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IFERROR(__xludf.DUMMYFUNCTION("""COMPUTED_VALUE"""),"ClearUI")</f>
        <v>ClearUI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IFERROR(__xludf.DUMMYFUNCTION("""COMPUTED_VALUE"""),"Rebalancer")</f>
        <v>Rebalancer</v>
      </c>
      <c r="B404" t="str">
        <f>IFERROR(__xludf.DUMMYFUNCTION("""COMPUTED_VALUE"""),"RebalanceAcrossSecurities")</f>
        <v>RebalanceAcrossSecurities</v>
      </c>
      <c r="C404" t="str">
        <f>IFERROR(__xludf.DUMMYFUNCTION("""COMPUTED_VALUE"""),"1hj7paFEdaJfp8zCVq4BI5XPlCE2BysKhNQY5CdXDN44")</f>
        <v>1hj7paFEdaJfp8zCVq4BI5XPlCE2BysKhNQY5CdXDN44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IFERROR(__xludf.DUMMYFUNCTION("""COMPUTED_VALUE"""),"CheckBasketCompliance")</f>
        <v>CheckBasketCompliance</v>
      </c>
      <c r="C405" t="str">
        <f>IFERROR(__xludf.DUMMYFUNCTION("""COMPUTED_VALUE"""),"1TJXKyPI71JpDJp6PJy2JOx4mnjeYvDigctM4hrexDvM")</f>
        <v>1TJXKyPI71JpDJp6PJy2JOx4mnjeYvDigctM4hrexDvM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IFERROR(__xludf.DUMMYFUNCTION("""COMPUTED_VALUE"""),"ClearCalculations")</f>
        <v>ClearCalculations</v>
      </c>
      <c r="C406" t="str">
        <f>IFERROR(__xludf.DUMMYFUNCTION("""COMPUTED_VALUE"""),"1ctMlkyXd7Fyoxty8UQ8vXNA2lmrIfMbc3leGsnW7ne0")</f>
        <v>1ctMlkyXd7Fyoxty8UQ8vXNA2lmrIfMbc3leGsnW7ne0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IFERROR(__xludf.DUMMYFUNCTION("""COMPUTED_VALUE"""),"ModifyRebalance")</f>
        <v>ModifyRebalance</v>
      </c>
      <c r="C407" t="str">
        <f>IFERROR(__xludf.DUMMYFUNCTION("""COMPUTED_VALUE"""),"14V-PVFSEtii0bJelGOw8nDeNWqcO5GO2gi1hoqmJbFU")</f>
        <v>14V-PVFSEtii0bJelGOw8nDeNWqcO5GO2gi1hoqmJbFU</v>
      </c>
    </row>
    <row r="408" ht="15.75" customHeight="1">
      <c r="A408" t="str">
        <f>IFERROR(__xludf.DUMMYFUNCTION("""COMPUTED_VALUE"""),"ThirdParty")</f>
        <v>ThirdParty</v>
      </c>
      <c r="B408" t="str">
        <f>IFERROR(__xludf.DUMMYFUNCTION("""COMPUTED_VALUE"""),"SelectThirdParty")</f>
        <v>SelectThirdParty</v>
      </c>
      <c r="C408" t="str">
        <f>IFERROR(__xludf.DUMMYFUNCTION("""COMPUTED_VALUE"""),"1wKEUsTX7MrGti2S1TEzF0iJk4vRZB1LxyQL9WgMGYrY")</f>
        <v>1wKEUsTX7MrGti2S1TEzF0iJk4vRZB1LxyQL9WgMGYrY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IFERROR(__xludf.DUMMYFUNCTION("""COMPUTED_VALUE"""),"ViewThirdParty")</f>
        <v>ViewThirdParty</v>
      </c>
      <c r="C409" t="str">
        <f>IFERROR(__xludf.DUMMYFUNCTION("""COMPUTED_VALUE"""),"1UalkAEsbJcZQAzEnT3T29et4u4PKQ3n66SBTt1HPqVc")</f>
        <v>1UalkAEsbJcZQAzEnT3T29et4u4PKQ3n66SBTt1HPqVc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IFERROR(__xludf.DUMMYFUNCTION("""COMPUTED_VALUE"""),"ThirdPartyGenerate")</f>
        <v>ThirdPartyGenerate</v>
      </c>
      <c r="C410" t="str">
        <f>IFERROR(__xludf.DUMMYFUNCTION("""COMPUTED_VALUE"""),"1DvEoe2QroRweeE3U1wG41DK1tPqNY7Qfs3ZfLQeMbgA")</f>
        <v>1DvEoe2QroRweeE3U1wG41DK1tPqNY7Qfs3ZfLQeMbgA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IFERROR(__xludf.DUMMYFUNCTION("""COMPUTED_VALUE"""),"VerifyThirdPartyView")</f>
        <v>VerifyThirdPartyView</v>
      </c>
      <c r="C411" t="str">
        <f>IFERROR(__xludf.DUMMYFUNCTION("""COMPUTED_VALUE"""),"118wRv0r1kNYT6nexs-UFGKd_eWq769gwdBDpcAfrJMc")</f>
        <v>118wRv0r1kNYT6nexs-UFGKd_eWq769gwdBDpcAfrJMc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IFERROR(__xludf.DUMMYFUNCTION("""COMPUTED_VALUE"""),"VerifyThirdPartyGenerate")</f>
        <v>VerifyThirdPartyGenerate</v>
      </c>
      <c r="C412" t="str">
        <f>IFERROR(__xludf.DUMMYFUNCTION("""COMPUTED_VALUE"""),"1bvzvGTpSSz8jFgbBJV7s2zMg9ku9TwcOoI2gD8mXZeI")</f>
        <v>1bvzvGTpSSz8jFgbBJV7s2zMg9ku9TwcOoI2gD8mXZeI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IFERROR(__xludf.DUMMYFUNCTION("""COMPUTED_VALUE"""),"VerifyThirdPartySend")</f>
        <v>VerifyThirdPartySend</v>
      </c>
      <c r="C413" t="str">
        <f>IFERROR(__xludf.DUMMYFUNCTION("""COMPUTED_VALUE"""),"1Uss7PL0z4ynwsEaU-5ZugX8DJ-4eQWi9JELroKHVjks")</f>
        <v>1Uss7PL0z4ynwsEaU-5ZugX8DJ-4eQWi9JELroKHVjks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IFERROR(__xludf.DUMMYFUNCTION("""COMPUTED_VALUE"""),"ThirdPartySend")</f>
        <v>ThirdPartySend</v>
      </c>
      <c r="C414" t="str">
        <f>IFERROR(__xludf.DUMMYFUNCTION("""COMPUTED_VALUE"""),"10lROCv8vZU4pHDAKFRaGDjYVmJmDXRVY6aLP5O0hPiU")</f>
        <v>10lROCv8vZU4pHDAKFRaGDjYVmJmDXRVY6aLP5O0hPiU</v>
      </c>
    </row>
    <row r="415" ht="15.75" customHeight="1">
      <c r="A415" t="str">
        <f>IFERROR(__xludf.DUMMYFUNCTION("""COMPUTED_VALUE"""),"Blotter")</f>
        <v>Blotter</v>
      </c>
      <c r="B415" t="str">
        <f>IFERROR(__xludf.DUMMYFUNCTION("""COMPUTED_VALUE"""),"VerifyViewAllocationDetails")</f>
        <v>VerifyViewAllocationDetails</v>
      </c>
      <c r="C415" t="str">
        <f>IFERROR(__xludf.DUMMYFUNCTION("""COMPUTED_VALUE"""),"1N0pdLUTdwOkDe6Oxo1hLVvtHrAW845GKRDRrNw2nQsA")</f>
        <v>1N0pdLUTdwOkDe6Oxo1hLVvtHrAW845GKRDRrNw2nQsA</v>
      </c>
    </row>
    <row r="416" ht="15.75" customHeight="1">
      <c r="A416" t="str">
        <f>IFERROR(__xludf.DUMMYFUNCTION("""COMPUTED_VALUE"""),"PTT")</f>
        <v>PTT</v>
      </c>
      <c r="B416" t="str">
        <f>IFERROR(__xludf.DUMMYFUNCTION("""COMPUTED_VALUE"""),"SelectPTTRecord")</f>
        <v>SelectPTTRecord</v>
      </c>
      <c r="C416" t="str">
        <f>IFERROR(__xludf.DUMMYFUNCTION("""COMPUTED_VALUE"""),"1XeFP2lm7tB6wETfm2dDqZYoeAfXyeA1KjbojdrZ69vE")</f>
        <v>1XeFP2lm7tB6wETfm2dDqZYoeAfXyeA1KjbojdrZ69vE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IFERROR(__xludf.DUMMYFUNCTION("""COMPUTED_VALUE"""),"EditPTTRecordAndExecuteOrder")</f>
        <v>EditPTTRecordAndExecuteOrder</v>
      </c>
      <c r="C417" t="str">
        <f>IFERROR(__xludf.DUMMYFUNCTION("""COMPUTED_VALUE"""),"1PSIJ72QdQ-ByplSZsPtKhZm3ADB7dR-xpWzGR4Bdl_4")</f>
        <v>1PSIJ72QdQ-ByplSZsPtKhZm3ADB7dR-xpWzGR4Bdl_4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IFERROR(__xludf.DUMMYFUNCTION("""COMPUTED_VALUE"""),"CreateOrderAfterEditPTT")</f>
        <v>CreateOrderAfterEditPTT</v>
      </c>
      <c r="C418" t="str">
        <f>IFERROR(__xludf.DUMMYFUNCTION("""COMPUTED_VALUE"""),"1KsDVAM-jGZBkXQCAjl-IKGN6XcMkdTfUj_E_EYUPpqE")</f>
        <v>1KsDVAM-jGZBkXQCAjl-IKGN6XcMkdTfUj_E_EYUPpqE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IFERROR(__xludf.DUMMYFUNCTION("""COMPUTED_VALUE"""),"EditPTTWPFGrid")</f>
        <v>EditPTTWPFGrid</v>
      </c>
      <c r="C419" t="str">
        <f>IFERROR(__xludf.DUMMYFUNCTION("""COMPUTED_VALUE"""),"1ZN6M0c0ta4_uysjU0LRmcc9chF9IgYpFmqSwGW6bPCY")</f>
        <v>1ZN6M0c0ta4_uysjU0LRmcc9chF9IgYpFmqSwGW6bPCY</v>
      </c>
    </row>
    <row r="420" ht="15.75" customHeight="1">
      <c r="A420" t="str">
        <f>IFERROR(__xludf.DUMMYFUNCTION("""COMPUTED_VALUE"""),"Blotter")</f>
        <v>Blotter</v>
      </c>
      <c r="B420" t="str">
        <f>IFERROR(__xludf.DUMMYFUNCTION("""COMPUTED_VALUE"""),"GoToAllocation")</f>
        <v>GoToAllocation</v>
      </c>
      <c r="C420" t="str">
        <f>IFERROR(__xludf.DUMMYFUNCTION("""COMPUTED_VALUE"""),"1I3StwH3fzwwbh9YvrnDvP_ICtYYZrMPHOthgqOvVOQc")</f>
        <v>1I3StwH3fzwwbh9YvrnDvP_ICtYYZrMPHOthgqOvVOQc</v>
      </c>
    </row>
    <row r="421" ht="15.75" customHeight="1">
      <c r="A421" t="str">
        <f>IFERROR(__xludf.DUMMYFUNCTION("""COMPUTED_VALUE"""),"Simulator")</f>
        <v>Simulator</v>
      </c>
      <c r="B421" t="str">
        <f>IFERROR(__xludf.DUMMYFUNCTION("""COMPUTED_VALUE"""),"CloseSimulator")</f>
        <v>CloseSimulator</v>
      </c>
      <c r="C421" t="str">
        <f>IFERROR(__xludf.DUMMYFUNCTION("""COMPUTED_VALUE"""),"Undefined")</f>
        <v>Undefined</v>
      </c>
    </row>
    <row r="422" ht="15.75" customHeight="1">
      <c r="A422" t="str">
        <f>IFERROR(__xludf.DUMMYFUNCTION("""COMPUTED_VALUE"""),"GeneralLedger")</f>
        <v>GeneralLedger</v>
      </c>
      <c r="B422" t="str">
        <f>IFERROR(__xludf.DUMMYFUNCTION("""COMPUTED_VALUE"""),"VerifyCashTransaction")</f>
        <v>VerifyCashTransaction</v>
      </c>
      <c r="C422" t="str">
        <f>IFERROR(__xludf.DUMMYFUNCTION("""COMPUTED_VALUE"""),"1Urp2F7pMdEwHLyPetR0SnA22v2OTvsTN73e1Eyzzg08")</f>
        <v>1Urp2F7pMdEwHLyPetR0SnA22v2OTvsTN73e1Eyzzg08</v>
      </c>
    </row>
    <row r="423" ht="15.75" customHeight="1">
      <c r="A423" t="str">
        <f>IFERROR(__xludf.DUMMYFUNCTION("""COMPUTED_VALUE"""),"Rebalancer")</f>
        <v>Rebalancer</v>
      </c>
      <c r="B423" t="str">
        <f>IFERROR(__xludf.DUMMYFUNCTION("""COMPUTED_VALUE"""),"ModelPortfolio")</f>
        <v>ModelPortfolio</v>
      </c>
      <c r="C423" t="str">
        <f>IFERROR(__xludf.DUMMYFUNCTION("""COMPUTED_VALUE"""),"1BbwKnMbWwdBYCEpdFconwZ_xILH2kPX-Qj3vt8xntk8")</f>
        <v>1BbwKnMbWwdBYCEpdFconwZ_xILH2kPX-Qj3vt8xntk8</v>
      </c>
    </row>
    <row r="424" ht="15.75" customHeight="1">
      <c r="A424" t="str">
        <f>IFERROR(__xludf.DUMMYFUNCTION("""COMPUTED_VALUE"""),"DailyValuation")</f>
        <v>DailyValuation</v>
      </c>
      <c r="B424" t="str">
        <f>IFERROR(__xludf.DUMMYFUNCTION("""COMPUTED_VALUE"""),"VerifyDailyCash")</f>
        <v>VerifyDailyCash</v>
      </c>
      <c r="C424" t="str">
        <f>IFERROR(__xludf.DUMMYFUNCTION("""COMPUTED_VALUE"""),"1p7JeAcaHVG_A1SPdHgM-evd78CkJgoJkRTeDWckd4RI")</f>
        <v>1p7JeAcaHVG_A1SPdHgM-evd78CkJgoJkRTeDWckd4RI</v>
      </c>
    </row>
    <row r="425" ht="15.75" customHeight="1">
      <c r="A425" t="str">
        <f>IFERROR(__xludf.DUMMYFUNCTION("""COMPUTED_VALUE"""),"Admin")</f>
        <v>Admin</v>
      </c>
      <c r="B425" t="str">
        <f>IFERROR(__xludf.DUMMYFUNCTION("""COMPUTED_VALUE"""),"SetCheckSide")</f>
        <v>SetCheckSide</v>
      </c>
      <c r="C425" t="str">
        <f>IFERROR(__xludf.DUMMYFUNCTION("""COMPUTED_VALUE"""),"1LLz3d9Ay0qFO2Tla_12_h2xvLhss_jI9DSuQFTlU_-4")</f>
        <v>1LLz3d9Ay0qFO2Tla_12_h2xvLhss_jI9DSuQFTlU_-4</v>
      </c>
    </row>
    <row r="426" ht="15.75" customHeight="1">
      <c r="A426" t="str">
        <f>IFERROR(__xludf.DUMMYFUNCTION("""COMPUTED_VALUE"""),"CorporateAction")</f>
        <v>CorporateAction</v>
      </c>
      <c r="B426" t="str">
        <f>IFERROR(__xludf.DUMMYFUNCTION("""COMPUTED_VALUE"""),"OpenSpinOff")</f>
        <v>OpenSpinOff</v>
      </c>
      <c r="C426" t="str">
        <f>IFERROR(__xludf.DUMMYFUNCTION("""COMPUTED_VALUE"""),"1U-BRH15bKLYYFZT4KsAnHYfSvzq2OYUbyJ1Q899SsZo")</f>
        <v>1U-BRH15bKLYYFZT4KsAnHYfSvzq2OYUbyJ1Q899SsZo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IFERROR(__xludf.DUMMYFUNCTION("""COMPUTED_VALUE"""),"VerifyAndApplyCorpAction")</f>
        <v>VerifyAndApplyCorpAction</v>
      </c>
      <c r="C427" t="str">
        <f>IFERROR(__xludf.DUMMYFUNCTION("""COMPUTED_VALUE"""),"1AigkCEPlVCiWI2_hOeywoNapLN_03Q3acTp_JCEFIOQ")</f>
        <v>1AigkCEPlVCiWI2_hOeywoNapLN_03Q3acTp_JCEFIOQ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IFERROR(__xludf.DUMMYFUNCTION("""COMPUTED_VALUE"""),"VerifyAndSaveCorpAction")</f>
        <v>VerifyAndSaveCorpAction</v>
      </c>
      <c r="C428" t="str">
        <f>IFERROR(__xludf.DUMMYFUNCTION("""COMPUTED_VALUE"""),"1C7e-MCh1gT21XsWE5Tb7VqU31f42EtVA62RnW2VwOPQ")</f>
        <v>1C7e-MCh1gT21XsWE5Tb7VqU31f42EtVA62RnW2VwOPQ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IFERROR(__xludf.DUMMYFUNCTION("""COMPUTED_VALUE"""),"DisableChecksideForAsset")</f>
        <v>DisableChecksideForAsset</v>
      </c>
      <c r="C429" t="str">
        <f>IFERROR(__xludf.DUMMYFUNCTION("""COMPUTED_VALUE"""),"1RfBjyCTLzPEw44vo9RFEbPNENo_b3MvJETDgJ_nbkSM")</f>
        <v>1RfBjyCTLzPEw44vo9RFEbPNENo_b3MvJETDgJ_nbkSM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IFERROR(__xludf.DUMMYFUNCTION("""COMPUTED_VALUE"""),"DisableChecksideForAccount")</f>
        <v>DisableChecksideForAccount</v>
      </c>
      <c r="C430" t="str">
        <f>IFERROR(__xludf.DUMMYFUNCTION("""COMPUTED_VALUE"""),"11m6ioGVfQ91nl6h-xQws9I_OKyCH0bSRW5XRwmAkUaI")</f>
        <v>11m6ioGVfQ91nl6h-xQws9I_OKyCH0bSRW5XRwmAkUaI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IFERROR(__xludf.DUMMYFUNCTION("""COMPUTED_VALUE"""),"DisableChecksideForCounterParty")</f>
        <v>DisableChecksideForCounterParty</v>
      </c>
      <c r="C431" t="str">
        <f>IFERROR(__xludf.DUMMYFUNCTION("""COMPUTED_VALUE"""),"1y3920luel_XKEL-2MDmGAmxE3KlfO7vibX7k3zEiD9Q")</f>
        <v>1y3920luel_XKEL-2MDmGAmxE3KlfO7vibX7k3zEiD9Q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IFERROR(__xludf.DUMMYFUNCTION("""COMPUTED_VALUE"""),"DisableCheckside")</f>
        <v>DisableCheckside</v>
      </c>
      <c r="C432" t="str">
        <f>IFERROR(__xludf.DUMMYFUNCTION("""COMPUTED_VALUE"""),"1h5qvpgDwc493Hj-H0wWhM1iGSyxbWrc_X9wqtwjDzjw")</f>
        <v>1h5qvpgDwc493Hj-H0wWhM1iGSyxbWrc_X9wqtwjDzjw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IFERROR(__xludf.DUMMYFUNCTION("""COMPUTED_VALUE"""),"ApplyMasterFundFilter")</f>
        <v>ApplyMasterFundFilter</v>
      </c>
      <c r="C433" t="str">
        <f>IFERROR(__xludf.DUMMYFUNCTION("""COMPUTED_VALUE"""),"1T-KlzOWiZhplDNh7jZx1mhTu8M9hH3oMPjY-e5YW0xo")</f>
        <v>1T-KlzOWiZhplDNh7jZx1mhTu8M9hH3oMPjY-e5YW0xo</v>
      </c>
    </row>
    <row r="434" ht="15.75" customHeight="1">
      <c r="A434" t="str">
        <f>IFERROR(__xludf.DUMMYFUNCTION("""COMPUTED_VALUE"""),"TradingTicket")</f>
        <v>TradingTicket</v>
      </c>
      <c r="B434" t="str">
        <f>IFERROR(__xludf.DUMMYFUNCTION("""COMPUTED_VALUE"""),"UpdateMasterFundOnTT")</f>
        <v>UpdateMasterFundOnTT</v>
      </c>
      <c r="C434" t="str">
        <f>IFERROR(__xludf.DUMMYFUNCTION("""COMPUTED_VALUE"""),"1N4y3bAhW2tDoINGw83G-QdXBeLDO0PKtGSW5-tKN3js")</f>
        <v>1N4y3bAhW2tDoINGw83G-QdXBeLDO0PKtGSW5-tKN3js</v>
      </c>
    </row>
    <row r="435" ht="15.75" customHeight="1">
      <c r="A435" t="str">
        <f>IFERROR(__xludf.DUMMYFUNCTION("""COMPUTED_VALUE"""),"Allocation")</f>
        <v>Allocation</v>
      </c>
      <c r="B435" t="str">
        <f>IFERROR(__xludf.DUMMYFUNCTION("""COMPUTED_VALUE"""),"ShowMasterFundOnTT")</f>
        <v>ShowMasterFundOnTT</v>
      </c>
      <c r="C435" t="str">
        <f>IFERROR(__xludf.DUMMYFUNCTION("""COMPUTED_VALUE"""),"1iwI9tV-bzTDjn_UTMv4g-Fow5pL0wNDuxL4_vgERgxw")</f>
        <v>1iwI9tV-bzTDjn_UTMv4g-Fow5pL0wNDuxL4_vgERgxw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IFERROR(__xludf.DUMMYFUNCTION("""COMPUTED_VALUE"""),"ShowMasterFundAsClient")</f>
        <v>ShowMasterFundAsClient</v>
      </c>
      <c r="C436" t="str">
        <f>IFERROR(__xludf.DUMMYFUNCTION("""COMPUTED_VALUE"""),"1HEkSiTQJoo7hAoCQeG1OliZY3I1tX5067K2-bEPpUxg")</f>
        <v>1HEkSiTQJoo7hAoCQeG1OliZY3I1tX5067K2-bEPpUxg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IFERROR(__xludf.DUMMYFUNCTION("""COMPUTED_VALUE"""),"SetBrokerAccountMapping")</f>
        <v>SetBrokerAccountMapping</v>
      </c>
      <c r="C437" t="str">
        <f>IFERROR(__xludf.DUMMYFUNCTION("""COMPUTED_VALUE"""),"1-jAH0BUHYr2W4UnUXp9EOBGtAxXgCqMhloL3-aVw-xA")</f>
        <v>1-jAH0BUHYr2W4UnUXp9EOBGtAxXgCqMhloL3-aVw-xA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IFERROR(__xludf.DUMMYFUNCTION("""COMPUTED_VALUE"""),"EditUnallocatedGridWPF")</f>
        <v>EditUnallocatedGridWPF</v>
      </c>
      <c r="C438" t="str">
        <f>IFERROR(__xludf.DUMMYFUNCTION("""COMPUTED_VALUE"""),"1WjO2793DSB3AexrCH-5fVAyD2T9Kn-TpIQtV-sN3fXM")</f>
        <v>1WjO2793DSB3AexrCH-5fVAyD2T9Kn-TpIQtV-sN3fXM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IFERROR(__xludf.DUMMYFUNCTION("""COMPUTED_VALUE"""),"EditAllocatedGridWPF")</f>
        <v>EditAllocatedGridWPF</v>
      </c>
      <c r="C439" t="str">
        <f>IFERROR(__xludf.DUMMYFUNCTION("""COMPUTED_VALUE"""),"1FZKuHmBcm_XpFiBPl_RDPdJ0LU4pfInz2KIRBirG4RA")</f>
        <v>1FZKuHmBcm_XpFiBPl_RDPdJ0LU4pfInz2KIRBirG4RA</v>
      </c>
    </row>
    <row r="440" ht="15.75" customHeight="1">
      <c r="A440" t="str">
        <f>IFERROR(__xludf.DUMMYFUNCTION("""COMPUTED_VALUE"""),"Admin")</f>
        <v>Admin</v>
      </c>
      <c r="B440" t="str">
        <f>IFERROR(__xludf.DUMMYFUNCTION("""COMPUTED_VALUE"""),"SetRollover")</f>
        <v>SetRollover</v>
      </c>
      <c r="C440" t="str">
        <f>IFERROR(__xludf.DUMMYFUNCTION("""COMPUTED_VALUE"""),"1IsN0Cfhu8GLrkUalboK5NrRy7btTAbLYUuekJ2Ma6Yg")</f>
        <v>1IsN0Cfhu8GLrkUalboK5NrRy7btTAbLYUuekJ2Ma6Yg</v>
      </c>
    </row>
    <row r="441" ht="15.75" customHeight="1">
      <c r="A441" t="str">
        <f>IFERROR(__xludf.DUMMYFUNCTION("""COMPUTED_VALUE"""),"Blotter")</f>
        <v>Blotter</v>
      </c>
      <c r="B441" t="str">
        <f>IFERROR(__xludf.DUMMYFUNCTION("""COMPUTED_VALUE"""),"VerifyRollover")</f>
        <v>VerifyRollover</v>
      </c>
      <c r="C441" t="str">
        <f>IFERROR(__xludf.DUMMYFUNCTION("""COMPUTED_VALUE"""),"1LK99kRJ1Jix1IHxif4J6qr7zVjtU8vqt4IThBtuOVf4")</f>
        <v>1LK99kRJ1Jix1IHxif4J6qr7zVjtU8vqt4IThBtuOVf4</v>
      </c>
    </row>
    <row r="442" ht="15.75" customHeight="1">
      <c r="A442" t="str">
        <f>IFERROR(__xludf.DUMMYFUNCTION("""COMPUTED_VALUE"""),"Allocation")</f>
        <v>Allocation</v>
      </c>
      <c r="B442" t="str">
        <f>IFERROR(__xludf.DUMMYFUNCTION("""COMPUTED_VALUE"""),"EditAllocatedGridTaxlot")</f>
        <v>EditAllocatedGridTaxlot</v>
      </c>
      <c r="C442" t="str">
        <f>IFERROR(__xludf.DUMMYFUNCTION("""COMPUTED_VALUE"""),"1BFSIhQB5TYAg8_M-Mo1tG8w-M1mRnNY_0PslvrGE6V0")</f>
        <v>1BFSIhQB5TYAg8_M-Mo1tG8w-M1mRnNY_0PslvrGE6V0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IFERROR(__xludf.DUMMYFUNCTION("""COMPUTED_VALUE"""),"ExpandCollapseAllocatedGrid")</f>
        <v>ExpandCollapseAllocatedGrid</v>
      </c>
      <c r="C443" t="str">
        <f>IFERROR(__xludf.DUMMYFUNCTION("""COMPUTED_VALUE"""),"1qQZFllfIgVu8YI6RYgRzVq7hDp1kHBoOsvq3lGCpsu0")</f>
        <v>1qQZFllfIgVu8YI6RYgRzVq7hDp1kHBoOsvq3lGCpsu0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IFERROR(__xludf.DUMMYFUNCTION("""COMPUTED_VALUE"""),"ExpandCollapseUnallocatedGrid")</f>
        <v>ExpandCollapseUnallocatedGrid</v>
      </c>
      <c r="C444" t="str">
        <f>IFERROR(__xludf.DUMMYFUNCTION("""COMPUTED_VALUE"""),"1UD0TjK90W_15S50XezLY8jX9yJZvWP_kzf3zvGKH6Lo")</f>
        <v>1UD0TjK90W_15S50XezLY8jX9yJZvWP_kzf3zvGKH6Lo</v>
      </c>
    </row>
    <row r="445" ht="15.75" customHeight="1">
      <c r="A445" t="str">
        <f>IFERROR(__xludf.DUMMYFUNCTION("""COMPUTED_VALUE"""),"Blotter")</f>
        <v>Blotter</v>
      </c>
      <c r="B445" t="str">
        <f>IFERROR(__xludf.DUMMYFUNCTION("""COMPUTED_VALUE"""),"VerifySubOrderAfterRollover")</f>
        <v>VerifySubOrderAfterRollover</v>
      </c>
      <c r="C445" t="str">
        <f>IFERROR(__xludf.DUMMYFUNCTION("""COMPUTED_VALUE"""),"1d2n7uTbGUAG0Fw_-hVLgvR5bPSacMCQFYb_9Aqwi25c")</f>
        <v>1d2n7uTbGUAG0Fw_-hVLgvR5bPSacMCQFYb_9Aqwi25c</v>
      </c>
    </row>
    <row r="446" ht="15.75" customHeight="1">
      <c r="A446" t="str">
        <f>IFERROR(__xludf.DUMMYFUNCTION("""COMPUTED_VALUE"""),"Import")</f>
        <v>Import</v>
      </c>
      <c r="B446" t="str">
        <f>IFERROR(__xludf.DUMMYFUNCTION("""COMPUTED_VALUE"""),"SelectTransactionImportType")</f>
        <v>SelectTransactionImportType</v>
      </c>
      <c r="C446" t="str">
        <f>IFERROR(__xludf.DUMMYFUNCTION("""COMPUTED_VALUE"""),"1Ug5aDJXZ2MYzdZjiy87TkbK0iURa_OwZ6nFZNhxoHGY")</f>
        <v>1Ug5aDJXZ2MYzdZjiy87TkbK0iURa_OwZ6nFZNhxoHGY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IFERROR(__xludf.DUMMYFUNCTION("""COMPUTED_VALUE"""),"SelectAllOnImport")</f>
        <v>SelectAllOnImport</v>
      </c>
      <c r="C447" t="str">
        <f>IFERROR(__xludf.DUMMYFUNCTION("""COMPUTED_VALUE"""),"15kH24bHLnChO_IakP1yWGQ4NHnPUcWr-qrx2hCLl0Rs")</f>
        <v>15kH24bHLnChO_IakP1yWGQ4NHnPUcWr-qrx2hCLl0Rs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IFERROR(__xludf.DUMMYFUNCTION("""COMPUTED_VALUE"""),"SelectMarkPriceImportType")</f>
        <v>SelectMarkPriceImportType</v>
      </c>
      <c r="C448" t="str">
        <f>IFERROR(__xludf.DUMMYFUNCTION("""COMPUTED_VALUE"""),"1u361oGPG-Jq-p0fQA91MqPpn9RXhbu_kuvkRTxMFWxM")</f>
        <v>1u361oGPG-Jq-p0fQA91MqPpn9RXhbu_kuvkRTxMFWxM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IFERROR(__xludf.DUMMYFUNCTION("""COMPUTED_VALUE"""),"SelectForexImportType")</f>
        <v>SelectForexImportType</v>
      </c>
      <c r="C449" t="str">
        <f>IFERROR(__xludf.DUMMYFUNCTION("""COMPUTED_VALUE"""),"1VuEhlxb0Ntlbh7FJ4BwgZpb9ydlc_jleqg7A8gRSuOE")</f>
        <v>1VuEhlxb0Ntlbh7FJ4BwgZpb9ydlc_jleqg7A8gRSuOE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IFERROR(__xludf.DUMMYFUNCTION("""COMPUTED_VALUE"""),"SelectDoubleEntryCashImportType")</f>
        <v>SelectDoubleEntryCashImportType</v>
      </c>
      <c r="C450" t="str">
        <f>IFERROR(__xludf.DUMMYFUNCTION("""COMPUTED_VALUE"""),"1w4_aAJj7RTcH4PfJ4aGD-0Fx9fQcCz5rUlLhFvihhzU")</f>
        <v>1w4_aAJj7RTcH4PfJ4aGD-0Fx9fQcCz5rUlLhFvihhzU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IFERROR(__xludf.DUMMYFUNCTION("""COMPUTED_VALUE"""),"SelectActivitiesImportType")</f>
        <v>SelectActivitiesImportType</v>
      </c>
      <c r="C451" t="str">
        <f>IFERROR(__xludf.DUMMYFUNCTION("""COMPUTED_VALUE"""),"1QRxHDbBMkMUkH0F8WiORPd2loUWwUte9XykaaWPOOig")</f>
        <v>1QRxHDbBMkMUkH0F8WiORPd2loUWwUte9XykaaWPOOig</v>
      </c>
    </row>
    <row r="452" ht="15.75" customHeight="1">
      <c r="A452" t="str">
        <f>IFERROR(__xludf.DUMMYFUNCTION("""COMPUTED_VALUE"""),"TradingTicket")</f>
        <v>TradingTicket</v>
      </c>
      <c r="B452" t="str">
        <f>IFERROR(__xludf.DUMMYFUNCTION("""COMPUTED_VALUE"""),"SetTTCompliancePreference")</f>
        <v>SetTTCompliancePreference</v>
      </c>
      <c r="C452" t="str">
        <f>IFERROR(__xludf.DUMMYFUNCTION("""COMPUTED_VALUE"""),"1gOOiQiJSKveyRw21YYv0m2VV5trx-l9sZqzNVA40Sc8")</f>
        <v>1gOOiQiJSKveyRw21YYv0m2VV5trx-l9sZqzNVA40Sc8</v>
      </c>
    </row>
    <row r="453" ht="15.75" customHeight="1">
      <c r="A453" t="str">
        <f>IFERROR(__xludf.DUMMYFUNCTION("""COMPUTED_VALUE"""),"Rebalancer")</f>
        <v>Rebalancer</v>
      </c>
      <c r="B453" t="str">
        <f>IFERROR(__xludf.DUMMYFUNCTION("""COMPUTED_VALUE"""),"LockandUnlockGridData")</f>
        <v>LockandUnlockGridData</v>
      </c>
      <c r="C453" t="str">
        <f>IFERROR(__xludf.DUMMYFUNCTION("""COMPUTED_VALUE"""),"1DO2kiuySeBrdw-FrV0IYgBcHEHdO56ih8X2yodtEv_w")</f>
        <v>1DO2kiuySeBrdw-FrV0IYgBcHEHdO56ih8X2yodtEv_w</v>
      </c>
    </row>
    <row r="454" ht="15.75" customHeight="1">
      <c r="A454" t="str">
        <f>IFERROR(__xludf.DUMMYFUNCTION("""COMPUTED_VALUE"""),"Allocation")</f>
        <v>Allocation</v>
      </c>
      <c r="B454" t="str">
        <f>IFERROR(__xludf.DUMMYFUNCTION("""COMPUTED_VALUE"""),"SetTradeAttributePreferences")</f>
        <v>SetTradeAttributePreferences</v>
      </c>
      <c r="C454" t="str">
        <f>IFERROR(__xludf.DUMMYFUNCTION("""COMPUTED_VALUE"""),"1dN2leQSssJt9dSc9XBrW1dbIBOLPLbP7aD2QXcqVoYI")</f>
        <v>1dN2leQSssJt9dSc9XBrW1dbIBOLPLbP7aD2QXcqVoYI</v>
      </c>
    </row>
    <row r="455" ht="15.75" customHeight="1">
      <c r="A455" t="str">
        <f>IFERROR(__xludf.DUMMYFUNCTION("""COMPUTED_VALUE"""),"GeneralLedger")</f>
        <v>GeneralLedger</v>
      </c>
      <c r="B455" t="str">
        <f>IFERROR(__xludf.DUMMYFUNCTION("""COMPUTED_VALUE"""),"VerifyAccountBalances")</f>
        <v>VerifyAccountBalances</v>
      </c>
      <c r="C455" t="str">
        <f>IFERROR(__xludf.DUMMYFUNCTION("""COMPUTED_VALUE"""),"1_Bb0NJhmEZf0GRznXLKybd9VevZ8za-sCX4G7B4qtsM")</f>
        <v>1_Bb0NJhmEZf0GRznXLKybd9VevZ8za-sCX4G7B4qtsM</v>
      </c>
    </row>
    <row r="456" ht="15.75" customHeight="1">
      <c r="A456" t="str">
        <f>IFERROR(__xludf.DUMMYFUNCTION("""COMPUTED_VALUE"""),"Rebalancer")</f>
        <v>Rebalancer</v>
      </c>
      <c r="B456" t="str">
        <f>IFERROR(__xludf.DUMMYFUNCTION("""COMPUTED_VALUE"""),"RefreshGridData")</f>
        <v>RefreshGridData</v>
      </c>
      <c r="C456" t="str">
        <f>IFERROR(__xludf.DUMMYFUNCTION("""COMPUTED_VALUE"""),"1eXT2UFbktlYGRbqw2LWDBJOU8xuu3DfP6EZDAMps2jg")</f>
        <v>1eXT2UFbktlYGRbqw2LWDBJOU8xuu3DfP6EZDAMps2jg</v>
      </c>
    </row>
    <row r="457" ht="15.75" customHeight="1">
      <c r="A457" t="str">
        <f>IFERROR(__xludf.DUMMYFUNCTION("""COMPUTED_VALUE"""),"GeneralLedger")</f>
        <v>GeneralLedger</v>
      </c>
      <c r="B457" t="str">
        <f>IFERROR(__xludf.DUMMYFUNCTION("""COMPUTED_VALUE"""),"AddMultipleOpeningBalTranItem")</f>
        <v>AddMultipleOpeningBalTranItem</v>
      </c>
      <c r="C457" t="str">
        <f>IFERROR(__xludf.DUMMYFUNCTION("""COMPUTED_VALUE"""),"11A7t3ReNCtqF9GmtCIeyqSvuLyXTOIz6Z7rrR1rcLxU")</f>
        <v>11A7t3ReNCtqF9GmtCIeyqSvuLyXTOIz6Z7rrR1rcLxU</v>
      </c>
    </row>
    <row r="458" ht="15.75" customHeight="1">
      <c r="A458" t="str">
        <f>IFERROR(__xludf.DUMMYFUNCTION("""COMPUTED_VALUE"""),"Import")</f>
        <v>Import</v>
      </c>
      <c r="B458" t="str">
        <f>IFERROR(__xludf.DUMMYFUNCTION("""COMPUTED_VALUE"""),"ApplyFilterOnImport")</f>
        <v>ApplyFilterOnImport</v>
      </c>
      <c r="C458" t="str">
        <f>IFERROR(__xludf.DUMMYFUNCTION("""COMPUTED_VALUE"""),"1X_Y_CvwjwEfeRv6rV15vWdCxvbtSeiwVqa6n3rAtKrs")</f>
        <v>1X_Y_CvwjwEfeRv6rV15vWdCxvbtSeiwVqa6n3rAtKrs</v>
      </c>
    </row>
    <row r="459" ht="15.75" customHeight="1">
      <c r="A459" t="str">
        <f>IFERROR(__xludf.DUMMYFUNCTION("""COMPUTED_VALUE"""),"Rebalancer")</f>
        <v>Rebalancer</v>
      </c>
      <c r="B459" t="str">
        <f>IFERROR(__xludf.DUMMYFUNCTION("""COMPUTED_VALUE"""),"SendtoStaging")</f>
        <v>SendtoStaging</v>
      </c>
      <c r="C459" t="str">
        <f>IFERROR(__xludf.DUMMYFUNCTION("""COMPUTED_VALUE"""),"1Xnuh_Wo19bTeQK24IGGha1PcZfjhUkK-31O4OTo-8gk")</f>
        <v>1Xnuh_Wo19bTeQK24IGGha1PcZfjhUkK-31O4OTo-8gk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IFERROR(__xludf.DUMMYFUNCTION("""COMPUTED_VALUE"""),"SendToStagingExport")</f>
        <v>SendToStagingExport</v>
      </c>
      <c r="C460" t="str">
        <f>IFERROR(__xludf.DUMMYFUNCTION("""COMPUTED_VALUE"""),"1OPD3lVtYSDe_XHE5HwEohhSSru0N2Ct-tsJMahW36gA")</f>
        <v>1OPD3lVtYSDe_XHE5HwEohhSSru0N2Ct-tsJMahW36gA</v>
      </c>
    </row>
    <row r="461" ht="15.75" customHeight="1">
      <c r="A461" t="str">
        <f>IFERROR(__xludf.DUMMYFUNCTION("""COMPUTED_VALUE"""),"PTT")</f>
        <v>PTT</v>
      </c>
      <c r="B461" t="str">
        <f>IFERROR(__xludf.DUMMYFUNCTION("""COMPUTED_VALUE"""),"SetDefaultSymbology")</f>
        <v>SetDefaultSymbology</v>
      </c>
      <c r="C461" t="str">
        <f>IFERROR(__xludf.DUMMYFUNCTION("""COMPUTED_VALUE"""),"1KdWYL-9o3T_s8hnOZgoqVlgZifoowhBftf1dB8UUEjA")</f>
        <v>1KdWYL-9o3T_s8hnOZgoqVlgZifoowhBftf1dB8UUEjA</v>
      </c>
    </row>
    <row r="462" ht="15.75" customHeight="1">
      <c r="A462" t="str">
        <f>IFERROR(__xludf.DUMMYFUNCTION("""COMPUTED_VALUE"""),"Allocation")</f>
        <v>Allocation</v>
      </c>
      <c r="B462" t="str">
        <f>IFERROR(__xludf.DUMMYFUNCTION("""COMPUTED_VALUE"""),"EnterCustomAllocatePreference")</f>
        <v>EnterCustomAllocatePreference</v>
      </c>
      <c r="C462" t="str">
        <f>IFERROR(__xludf.DUMMYFUNCTION("""COMPUTED_VALUE"""),"1kexOrwBiHtqG3kWPF004vh7Uh_fsxYODz7FwJELyxHs")</f>
        <v>1kexOrwBiHtqG3kWPF004vh7Uh_fsxYODz7FwJELyxHs</v>
      </c>
    </row>
    <row r="463" ht="15.75" customHeight="1">
      <c r="A463" t="str">
        <f>IFERROR(__xludf.DUMMYFUNCTION("""COMPUTED_VALUE"""),"PTT")</f>
        <v>PTT</v>
      </c>
      <c r="B463" t="str">
        <f>IFERROR(__xludf.DUMMYFUNCTION("""COMPUTED_VALUE"""),"EditPTTAccountLevelWPF")</f>
        <v>EditPTTAccountLevelWPF</v>
      </c>
      <c r="C463" t="str">
        <f>IFERROR(__xludf.DUMMYFUNCTION("""COMPUTED_VALUE"""),"1FOz3pvVXQqHqNaQZoj1ZAwoakpNcXbTzmGBaHQHWAHg")</f>
        <v>1FOz3pvVXQqHqNaQZoj1ZAwoakpNcXbTzmGBaHQHWAHg</v>
      </c>
    </row>
    <row r="464" ht="15.75" customHeight="1">
      <c r="A464" t="str">
        <f>IFERROR(__xludf.DUMMYFUNCTION("""COMPUTED_VALUE"""),"PortfolioManagement")</f>
        <v>PortfolioManagement</v>
      </c>
      <c r="B464" t="str">
        <f>IFERROR(__xludf.DUMMYFUNCTION("""COMPUTED_VALUE"""),"OpenCreateTransactionFromPM")</f>
        <v>OpenCreateTransactionFromPM</v>
      </c>
      <c r="C464" t="str">
        <f>IFERROR(__xludf.DUMMYFUNCTION("""COMPUTED_VALUE"""),"1P5WpmZxUJFZHJeXXrd3NNkBg8pOhlyvhikvYTRi0xJw")</f>
        <v>1P5WpmZxUJFZHJeXXrd3NNkBg8pOhlyvhikvYTRi0xJw</v>
      </c>
    </row>
    <row r="465" ht="15.75" customHeight="1">
      <c r="A465" t="str">
        <f>IFERROR(__xludf.DUMMYFUNCTION("""COMPUTED_VALUE"""),"Allocation")</f>
        <v>Allocation</v>
      </c>
      <c r="B465" t="str">
        <f>IFERROR(__xludf.DUMMYFUNCTION("""COMPUTED_VALUE"""),"SetAutoGroupingPreferences")</f>
        <v>SetAutoGroupingPreferences</v>
      </c>
      <c r="C465" t="str">
        <f>IFERROR(__xludf.DUMMYFUNCTION("""COMPUTED_VALUE"""),"1AhbrxQBzlUvYhZ04Lc7wrtynsHI_0KCLcf8QD3l6tpk")</f>
        <v>1AhbrxQBzlUvYhZ04Lc7wrtynsHI_0KCLcf8QD3l6tpk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IFERROR(__xludf.DUMMYFUNCTION("""COMPUTED_VALUE"""),"SetAutoGroupingAccount")</f>
        <v>SetAutoGroupingAccount</v>
      </c>
      <c r="C466" t="str">
        <f>IFERROR(__xludf.DUMMYFUNCTION("""COMPUTED_VALUE"""),"18esH6GBNz1-GV7-ZFJ2hX2Sp9V56SlvmGczGBmWjjgk")</f>
        <v>18esH6GBNz1-GV7-ZFJ2hX2Sp9V56SlvmGczGBmWjjgk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IFERROR(__xludf.DUMMYFUNCTION("""COMPUTED_VALUE"""),"SetAvgPriceRounding")</f>
        <v>SetAvgPriceRounding</v>
      </c>
      <c r="C467" t="str">
        <f>IFERROR(__xludf.DUMMYFUNCTION("""COMPUTED_VALUE"""),"1rkw9xlq4Ee01gKbFKqk4K6RIEIEZdOXtofMrjBh_3qs")</f>
        <v>1rkw9xlq4Ee01gKbFKqk4K6RIEIEZdOXtofMrjBh_3qs</v>
      </c>
    </row>
    <row r="468" ht="15.75" customHeight="1">
      <c r="A468" t="str">
        <f>IFERROR(__xludf.DUMMYFUNCTION("""COMPUTED_VALUE"""),"Admin")</f>
        <v>Admin</v>
      </c>
      <c r="B468" t="str">
        <f>IFERROR(__xludf.DUMMYFUNCTION("""COMPUTED_VALUE"""),"SetActive")</f>
        <v>SetActive</v>
      </c>
      <c r="C468" t="str">
        <f>IFERROR(__xludf.DUMMYFUNCTION("""COMPUTED_VALUE"""),"1gUu6sYSTqVEyjUlOCoeeIVztfrHW4NwiHtVAghjPiO0")</f>
        <v>1gUu6sYSTqVEyjUlOCoeeIVztfrHW4NwiHtVAghjPiO0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IFERROR(__xludf.DUMMYFUNCTION("""COMPUTED_VALUE"""),"SetThirdPartyFormat")</f>
        <v>SetThirdPartyFormat</v>
      </c>
      <c r="C469" t="str">
        <f>IFERROR(__xludf.DUMMYFUNCTION("""COMPUTED_VALUE"""),"1taVilha9wCvlWWrWySxYHIg1IUM3Js0xeAEsGXu1wb4")</f>
        <v>1taVilha9wCvlWWrWySxYHIg1IUM3Js0xeAEsGXu1wb4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IFERROR(__xludf.DUMMYFUNCTION("""COMPUTED_VALUE"""),"UpdateRoundLot")</f>
        <v>UpdateRoundLot</v>
      </c>
      <c r="C470" t="str">
        <f>IFERROR(__xludf.DUMMYFUNCTION("""COMPUTED_VALUE"""),"1vPyYrDAjwQJe-gHSwofvAmZ5sGU32BIPiqw9QJOb7sE")</f>
        <v>1vPyYrDAjwQJe-gHSwofvAmZ5sGU32BIPiqw9QJOb7sE</v>
      </c>
    </row>
    <row r="471" ht="15.75" customHeight="1">
      <c r="A471" t="str">
        <f>IFERROR(__xludf.DUMMYFUNCTION("""COMPUTED_VALUE"""),"Rebalancer")</f>
        <v>Rebalancer</v>
      </c>
      <c r="B471" t="str">
        <f>IFERROR(__xludf.DUMMYFUNCTION("""COMPUTED_VALUE"""),"RebalanceViaBloomberg")</f>
        <v>RebalanceViaBloomberg</v>
      </c>
      <c r="C471" t="str">
        <f>IFERROR(__xludf.DUMMYFUNCTION("""COMPUTED_VALUE"""),"1b_5w3PXwhAeh_pAkVMhtUU4Bo19ZrhM2By_3wd6TgrU")</f>
        <v>1b_5w3PXwhAeh_pAkVMhtUU4Bo19ZrhM2By_3wd6TgrU</v>
      </c>
    </row>
    <row r="472" ht="15.75" customHeight="1">
      <c r="A472" t="str">
        <f>IFERROR(__xludf.DUMMYFUNCTION("""COMPUTED_VALUE"""),"ThirdParty")</f>
        <v>ThirdParty</v>
      </c>
      <c r="B472" t="str">
        <f>IFERROR(__xludf.DUMMYFUNCTION("""COMPUTED_VALUE"""),"RefreshThirdParty")</f>
        <v>RefreshThirdParty</v>
      </c>
      <c r="C472" t="str">
        <f>IFERROR(__xludf.DUMMYFUNCTION("""COMPUTED_VALUE"""),"1_zhn88q1H87WPtNgcDXU0tgtHx0YBJLMCcYxzXXroVs")</f>
        <v>1_zhn88q1H87WPtNgcDXU0tgtHx0YBJLMCcYxzXXroVs</v>
      </c>
    </row>
    <row r="473" ht="15.75" customHeight="1">
      <c r="A473" t="str">
        <f>IFERROR(__xludf.DUMMYFUNCTION("""COMPUTED_VALUE"""),"Rebalancer")</f>
        <v>Rebalancer</v>
      </c>
      <c r="B473" t="str">
        <f>IFERROR(__xludf.DUMMYFUNCTION("""COMPUTED_VALUE"""),"AddUserAdjustedNAV")</f>
        <v>AddUserAdjustedNAV</v>
      </c>
      <c r="C473" t="str">
        <f>IFERROR(__xludf.DUMMYFUNCTION("""COMPUTED_VALUE"""),"1ifdh8xwjLpytsTG8bbxfIam9ZdqvEHGM-CzxVYGEXIs")</f>
        <v>1ifdh8xwjLpytsTG8bbxfIam9ZdqvEHGM-CzxVYGEXIs</v>
      </c>
    </row>
    <row r="474" ht="15.75" customHeight="1">
      <c r="A474" t="str">
        <f>IFERROR(__xludf.DUMMYFUNCTION("""COMPUTED_VALUE"""),"Allocation")</f>
        <v>Allocation</v>
      </c>
      <c r="B474" t="str">
        <f>IFERROR(__xludf.DUMMYFUNCTION("""COMPUTED_VALUE"""),"IsAllocationOpen")</f>
        <v>IsAllocationOpen</v>
      </c>
      <c r="C474" t="str">
        <f>IFERROR(__xludf.DUMMYFUNCTION("""COMPUTED_VALUE"""),"1-MLs_Ww619D0GTJenhKi8JspiyKlENvHCAfkc99ZDXk")</f>
        <v>1-MLs_Ww619D0GTJenhKi8JspiyKlENvHCAfkc99ZDXk</v>
      </c>
    </row>
    <row r="475" ht="15.75" customHeight="1">
      <c r="A475" t="str">
        <f>IFERROR(__xludf.DUMMYFUNCTION("""COMPUTED_VALUE"""),"ShortLocate")</f>
        <v>ShortLocate</v>
      </c>
      <c r="B475" t="str">
        <f>IFERROR(__xludf.DUMMYFUNCTION("""COMPUTED_VALUE"""),"ImportOnShortLocate")</f>
        <v>ImportOnShortLocate</v>
      </c>
      <c r="C475" t="str">
        <f>IFERROR(__xludf.DUMMYFUNCTION("""COMPUTED_VALUE"""),"18TtTrIfDPZ4FY6y6BEM1QWT6a3RezlV2Qgs0VYjta1Y")</f>
        <v>18TtTrIfDPZ4FY6y6BEM1QWT6a3RezlV2Qgs0VYjta1Y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IFERROR(__xludf.DUMMYFUNCTION("""COMPUTED_VALUE"""),"ApplyFilterOnShortLocate")</f>
        <v>ApplyFilterOnShortLocate</v>
      </c>
      <c r="C476" t="str">
        <f>IFERROR(__xludf.DUMMYFUNCTION("""COMPUTED_VALUE"""),"1e-EcYLjI4QLWe-aVZQLSs4AE3HMdDde42AK_ilP7W14")</f>
        <v>1e-EcYLjI4QLWe-aVZQLSs4AE3HMdDde42AK_ilP7W14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IFERROR(__xludf.DUMMYFUNCTION("""COMPUTED_VALUE"""),"OpenTTFromShortLocate")</f>
        <v>OpenTTFromShortLocate</v>
      </c>
      <c r="C477" t="str">
        <f>IFERROR(__xludf.DUMMYFUNCTION("""COMPUTED_VALUE"""),"1uHiyIq7-VOPV7W3fHIxv6wpgB0bdb_j-j33CMdKoHG8")</f>
        <v>1uHiyIq7-VOPV7W3fHIxv6wpgB0bdb_j-j33CMdKoHG8</v>
      </c>
    </row>
    <row r="478" ht="15.75" customHeight="1">
      <c r="A478" t="str">
        <f>IFERROR(__xludf.DUMMYFUNCTION("""COMPUTED_VALUE"""),"PortfolioManagement")</f>
        <v>PortfolioManagement</v>
      </c>
      <c r="B478" t="str">
        <f>IFERROR(__xludf.DUMMYFUNCTION("""COMPUTED_VALUE"""),"RemoveGroupingFromPM")</f>
        <v>RemoveGroupingFromPM</v>
      </c>
      <c r="C478" t="str">
        <f>IFERROR(__xludf.DUMMYFUNCTION("""COMPUTED_VALUE"""),"1a2knGiql1wCzuaB8DKpd6ZNGZ4PU78GHbVc-HCTMRz4")</f>
        <v>1a2knGiql1wCzuaB8DKpd6ZNGZ4PU78GHbVc-HCTMRz4</v>
      </c>
    </row>
    <row r="479" ht="15.75" customHeight="1">
      <c r="A479" t="str">
        <f>IFERROR(__xludf.DUMMYFUNCTION("""COMPUTED_VALUE"""),"Watchlist")</f>
        <v>Watchlist</v>
      </c>
      <c r="B479" t="str">
        <f>IFERROR(__xludf.DUMMYFUNCTION("""COMPUTED_VALUE"""),"AddTabOnWatchlist")</f>
        <v>AddTabOnWatchlist</v>
      </c>
      <c r="C479" t="str">
        <f>IFERROR(__xludf.DUMMYFUNCTION("""COMPUTED_VALUE"""),"1azJ9v2w7AwJhl_0_bAUZne2G_SFJMuLBPzq7954262s")</f>
        <v>1azJ9v2w7AwJhl_0_bAUZne2G_SFJMuLBPzq7954262s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IFERROR(__xludf.DUMMYFUNCTION("""COMPUTED_VALUE"""),"DeleteTabOnWatchlist")</f>
        <v>DeleteTabOnWatchlist</v>
      </c>
      <c r="C480" t="str">
        <f>IFERROR(__xludf.DUMMYFUNCTION("""COMPUTED_VALUE"""),"1dywOfaMeYMgLGbyodr_rgJqA7HdxAyRDvqwTgOr_FV8")</f>
        <v>1dywOfaMeYMgLGbyodr_rgJqA7HdxAyRDvqwTgOr_FV8</v>
      </c>
    </row>
    <row r="481" ht="15.75" customHeight="1">
      <c r="A481" t="str">
        <f>IFERROR(__xludf.DUMMYFUNCTION("""COMPUTED_VALUE"""),"ShortLocate")</f>
        <v>ShortLocate</v>
      </c>
      <c r="B481" t="str">
        <f>IFERROR(__xludf.DUMMYFUNCTION("""COMPUTED_VALUE"""),"Upload")</f>
        <v>Upload</v>
      </c>
      <c r="C481" t="str">
        <f>IFERROR(__xludf.DUMMYFUNCTION("""COMPUTED_VALUE"""),"1K3403vK5pLvuvcWTXHu1UmgT1GohIYz7DPLRQAD0HCk")</f>
        <v>1K3403vK5pLvuvcWTXHu1UmgT1GohIYz7DPLRQAD0HCk</v>
      </c>
    </row>
    <row r="482" ht="15.75" customHeight="1">
      <c r="A482" t="str">
        <f>IFERROR(__xludf.DUMMYFUNCTION("""COMPUTED_VALUE"""),"Recon")</f>
        <v>Recon</v>
      </c>
      <c r="B482" t="str">
        <f>IFERROR(__xludf.DUMMYFUNCTION("""COMPUTED_VALUE"""),"ViewDataOnRecon")</f>
        <v>ViewDataOnRecon</v>
      </c>
      <c r="C482" t="str">
        <f>IFERROR(__xludf.DUMMYFUNCTION("""COMPUTED_VALUE"""),"1hgvmb7xlOL1LeDD1_c2ehf_CcTQs-NVEQcrj52EgfkY")</f>
        <v>1hgvmb7xlOL1LeDD1_c2ehf_CcTQs-NVEQcrj52EgfkY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IFERROR(__xludf.DUMMYFUNCTION("""COMPUTED_VALUE"""),"RunRecon")</f>
        <v>RunRecon</v>
      </c>
      <c r="C483" t="str">
        <f>IFERROR(__xludf.DUMMYFUNCTION("""COMPUTED_VALUE"""),"1a_lIF-yQ_4BbBIj3H4E_Sa208tyBml3azCVHLulXbZA")</f>
        <v>1a_lIF-yQ_4BbBIj3H4E_Sa208tyBml3azCVHLulXbZA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IFERROR(__xludf.DUMMYFUNCTION("""COMPUTED_VALUE"""),"GenerateExceptionReport")</f>
        <v>GenerateExceptionReport</v>
      </c>
      <c r="C484" t="str">
        <f>IFERROR(__xludf.DUMMYFUNCTION("""COMPUTED_VALUE"""),"1hLXxcwsJweMSg5Go7Aa_QZphxBktbdPjlASa0S1xBos")</f>
        <v>1hLXxcwsJweMSg5Go7Aa_QZphxBktbdPjlASa0S1xBos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IFERROR(__xludf.DUMMYFUNCTION("""COMPUTED_VALUE"""),"ImportDataOnRecon")</f>
        <v>ImportDataOnRecon</v>
      </c>
      <c r="C485" t="str">
        <f>IFERROR(__xludf.DUMMYFUNCTION("""COMPUTED_VALUE"""),"1NPXdEV4aauKt592s3ZSJRLqkCido8G_bhh0amZ9aT9g")</f>
        <v>1NPXdEV4aauKt592s3ZSJRLqkCido8G_bhh0amZ9aT9g</v>
      </c>
    </row>
    <row r="486" ht="15.75" customHeight="1">
      <c r="A486" t="str">
        <f>IFERROR(__xludf.DUMMYFUNCTION("""COMPUTED_VALUE"""),"ShortLocate")</f>
        <v>ShortLocate</v>
      </c>
      <c r="B486" t="str">
        <f>IFERROR(__xludf.DUMMYFUNCTION("""COMPUTED_VALUE"""),"VerifyShortLocateGrid")</f>
        <v>VerifyShortLocateGrid</v>
      </c>
      <c r="C486" t="str">
        <f>IFERROR(__xludf.DUMMYFUNCTION("""COMPUTED_VALUE"""),"1l0BuHlCc_a8ajF2i2LyuIx-ihrOOGibGtDl3YzOfSEY")</f>
        <v>1l0BuHlCc_a8ajF2i2LyuIx-ihrOOGibGtDl3YzOfSEY</v>
      </c>
    </row>
    <row r="487" ht="15.75" customHeight="1">
      <c r="A487" t="str">
        <f>IFERROR(__xludf.DUMMYFUNCTION("""COMPUTED_VALUE"""),"Recon")</f>
        <v>Recon</v>
      </c>
      <c r="B487" t="str">
        <f>IFERROR(__xludf.DUMMYFUNCTION("""COMPUTED_VALUE"""),"VerifyApplicationData")</f>
        <v>VerifyApplicationData</v>
      </c>
      <c r="C487" t="str">
        <f>IFERROR(__xludf.DUMMYFUNCTION("""COMPUTED_VALUE"""),"1Dpr8WIv6TDBK0rxjxSy_MqWbkp0VcPh0dzzq05jelwk")</f>
        <v>1Dpr8WIv6TDBK0rxjxSy_MqWbkp0VcPh0dzzq05jelwk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IFERROR(__xludf.DUMMYFUNCTION("""COMPUTED_VALUE"""),"VerifyExceptionReport")</f>
        <v>VerifyExceptionReport</v>
      </c>
      <c r="C488" t="str">
        <f>IFERROR(__xludf.DUMMYFUNCTION("""COMPUTED_VALUE"""),"1vn6eAU_TNbjFlzAIJE-M1vn49jstJpRKNVt1ALlVQus")</f>
        <v>1vn6eAU_TNbjFlzAIJE-M1vn49jstJpRKNVt1ALlVQus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IFERROR(__xludf.DUMMYFUNCTION("""COMPUTED_VALUE"""),"VerifyPrimeBrokerData")</f>
        <v>VerifyPrimeBrokerData</v>
      </c>
      <c r="C489" t="str">
        <f>IFERROR(__xludf.DUMMYFUNCTION("""COMPUTED_VALUE"""),"1vO08eQ3WtVgvFFa4m5QUSWEYmv1ZOhFWcta7Kzp1MBQ")</f>
        <v>1vO08eQ3WtVgvFFa4m5QUSWEYmv1ZOhFWcta7Kzp1MBQ</v>
      </c>
    </row>
    <row r="490" ht="15.75" customHeight="1">
      <c r="A490" t="str">
        <f>IFERROR(__xludf.DUMMYFUNCTION("""COMPUTED_VALUE"""),"Admin")</f>
        <v>Admin</v>
      </c>
      <c r="B490" t="str">
        <f>IFERROR(__xludf.DUMMYFUNCTION("""COMPUTED_VALUE"""),"SetTradingComplianceRules")</f>
        <v>SetTradingComplianceRules</v>
      </c>
      <c r="C490" t="str">
        <f>IFERROR(__xludf.DUMMYFUNCTION("""COMPUTED_VALUE"""),"1bIqD5onAh5fgPov8t1pUC5b4a9exQ5D7TG3YiT7HTiQ")</f>
        <v>1bIqD5onAh5fgPov8t1pUC5b4a9exQ5D7TG3YiT7HTiQ</v>
      </c>
    </row>
    <row r="491" ht="15.75" customHeight="1">
      <c r="A491" t="str">
        <f>IFERROR(__xludf.DUMMYFUNCTION("""COMPUTED_VALUE"""),"TradingTicket")</f>
        <v>TradingTicket</v>
      </c>
      <c r="B491" t="str">
        <f>IFERROR(__xludf.DUMMYFUNCTION("""COMPUTED_VALUE"""),"ImportSymbol")</f>
        <v>ImportSymbol</v>
      </c>
      <c r="C491" t="str">
        <f>IFERROR(__xludf.DUMMYFUNCTION("""COMPUTED_VALUE"""),"1oBs-bjVGuZxR8kCsLcXR9mY_XazhDhrpRb2xJaLqs_E")</f>
        <v>1oBs-bjVGuZxR8kCsLcXR9mY_XazhDhrpRb2xJaLqs_E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IFERROR(__xludf.DUMMYFUNCTION("""COMPUTED_VALUE"""),"ExportSymbolFromRAList")</f>
        <v>ExportSymbolFromRAList</v>
      </c>
      <c r="C492" t="str">
        <f>IFERROR(__xludf.DUMMYFUNCTION("""COMPUTED_VALUE"""),"1xtzuWBhZe0eLq8O7xxtzG82zLI_pS5mUV_moECZdNpU")</f>
        <v>1xtzuWBhZe0eLq8O7xxtzG82zLI_pS5mUV_moECZdNpU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 CheckPendingNewOrderAlert")</f>
        <v> CheckPendingNewOrderAlert</v>
      </c>
      <c r="C493" t="str">
        <f>IFERROR(__xludf.DUMMYFUNCTION("""COMPUTED_VALUE"""),"1Uee-x9kYITNzfo5Jmi-ZzN4muIc1l3aGkFEjg6zK4rw")</f>
        <v>1Uee-x9kYITNzfo5Jmi-ZzN4muIc1l3aGkFEjg6zK4rw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IFERROR(__xludf.DUMMYFUNCTION("""COMPUTED_VALUE"""),"AddSymbolOnRAList")</f>
        <v>AddSymbolOnRAList</v>
      </c>
      <c r="C494" t="str">
        <f>IFERROR(__xludf.DUMMYFUNCTION("""COMPUTED_VALUE"""),"1Ylf1m_iypjthZ6_f8Zwlk6GflWigvWKGFKPUkF0Lw3M")</f>
        <v>1Ylf1m_iypjthZ6_f8Zwlk6GflWigvWKGFKPUkF0Lw3M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IFERROR(__xludf.DUMMYFUNCTION("""COMPUTED_VALUE"""),"DeleteSymbolListFromRA")</f>
        <v>DeleteSymbolListFromRA</v>
      </c>
      <c r="C495" t="str">
        <f>IFERROR(__xludf.DUMMYFUNCTION("""COMPUTED_VALUE"""),"18mAZrsY4iORaJ31tWyzQUe_E2I0WZiducaWhtQhI1bo")</f>
        <v>18mAZrsY4iORaJ31tWyzQUe_E2I0WZiducaWhtQhI1bo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IFERROR(__xludf.DUMMYFUNCTION("""COMPUTED_VALUE"""),"RemoveSymbolFromRAList")</f>
        <v>RemoveSymbolFromRAList</v>
      </c>
      <c r="C496" t="str">
        <f>IFERROR(__xludf.DUMMYFUNCTION("""COMPUTED_VALUE"""),"14z6QrYYlP1TDKDUb39O0_rjdC6MZsyDDHft5bKbFe7Y")</f>
        <v>14z6QrYYlP1TDKDUb39O0_rjdC6MZsyDDHft5bKbFe7Y</v>
      </c>
    </row>
    <row r="497" ht="15.75" customHeight="1">
      <c r="A497" t="str">
        <f>IFERROR(__xludf.DUMMYFUNCTION("""COMPUTED_VALUE"""),"Report")</f>
        <v>Report</v>
      </c>
      <c r="B497" t="str">
        <f>IFERROR(__xludf.DUMMYFUNCTION("""COMPUTED_VALUE"""),"ReportMatching")</f>
        <v>ReportMatching</v>
      </c>
      <c r="C497" t="str">
        <f>IFERROR(__xludf.DUMMYFUNCTION("""COMPUTED_VALUE"""),"1cUl6l-zlpV-4qvapXc106s6KeXaODz51BbbafJiEu1o")</f>
        <v>1cUl6l-zlpV-4qvapXc106s6KeXaODz51BbbafJiEu1o</v>
      </c>
    </row>
    <row r="498" ht="15.75" customHeight="1">
      <c r="A498" t="str">
        <f>IFERROR(__xludf.DUMMYFUNCTION("""COMPUTED_VALUE"""),"Admin")</f>
        <v>Admin</v>
      </c>
      <c r="B498" t="str">
        <f>IFERROR(__xludf.DUMMYFUNCTION("""COMPUTED_VALUE"""),"EnableBreakdownRealizedPNL")</f>
        <v>EnableBreakdownRealizedPNL</v>
      </c>
      <c r="C498" t="str">
        <f>IFERROR(__xludf.DUMMYFUNCTION("""COMPUTED_VALUE"""),"1wcOWSlWdG4WrRltcCk8absTbbQd4rfzbEvV0Z6QnDIw")</f>
        <v>1wcOWSlWdG4WrRltcCk8absTbbQd4rfzbEvV0Z6QnDIw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IFERROR(__xludf.DUMMYFUNCTION("""COMPUTED_VALUE"""),"SetTTGeneralPreferences")</f>
        <v>SetTTGeneralPreferences</v>
      </c>
      <c r="C499" t="str">
        <f>IFERROR(__xludf.DUMMYFUNCTION("""COMPUTED_VALUE"""),"16Tth7MhAr108iP6FoFBCWQNX3Hmi5JoCWiuEzBw-oDs")</f>
        <v>16Tth7MhAr108iP6FoFBCWQNX3Hmi5JoCWiuEzBw-oDs</v>
      </c>
    </row>
    <row r="500" ht="15.75" customHeight="1">
      <c r="A500" t="str">
        <f>IFERROR(__xludf.DUMMYFUNCTION("""COMPUTED_VALUE"""),"Blotter")</f>
        <v>Blotter</v>
      </c>
      <c r="B500" t="str">
        <f>IFERROR(__xludf.DUMMYFUNCTION("""COMPUTED_VALUE"""),"OpenBlotter")</f>
        <v>OpenBlotter</v>
      </c>
      <c r="C500" t="str">
        <f>IFERROR(__xludf.DUMMYFUNCTION("""COMPUTED_VALUE"""),"1l2IXt5uxs1t4URHUX-BmZTtbv2Q2iQVM5OFWXazn3Wc")</f>
        <v>1l2IXt5uxs1t4URHUX-BmZTtbv2Q2iQVM5OFWXazn3Wc</v>
      </c>
    </row>
    <row r="501" ht="15.75" customHeight="1">
      <c r="A501" t="str">
        <f>IFERROR(__xludf.DUMMYFUNCTION("""COMPUTED_VALUE"""),"ExeExecutor")</f>
        <v>ExeExecutor</v>
      </c>
      <c r="B501" t="str">
        <f>IFERROR(__xludf.DUMMYFUNCTION("""COMPUTED_VALUE"""),"CallExeExecutor")</f>
        <v>CallExeExecutor</v>
      </c>
      <c r="C501" t="str">
        <f>IFERROR(__xludf.DUMMYFUNCTION("""COMPUTED_VALUE"""),"1_4imnW45MZPZdDQqRFOTudFEJKoWNdNsFhqwsPVjiyI")</f>
        <v>1_4imnW45MZPZdDQqRFOTudFEJKoWNdNsFhqwsPVjiyI</v>
      </c>
    </row>
    <row r="502" ht="15.75" customHeight="1">
      <c r="A502" t="str">
        <f>IFERROR(__xludf.DUMMYFUNCTION("""COMPUTED_VALUE"""),"TradingTicket")</f>
        <v>TradingTicket</v>
      </c>
      <c r="B502" t="str">
        <f>IFERROR(__xludf.DUMMYFUNCTION("""COMPUTED_VALUE"""),"ToggleBlombergOnRA")</f>
        <v>ToggleBlombergOnRA</v>
      </c>
      <c r="C502" t="str">
        <f>IFERROR(__xludf.DUMMYFUNCTION("""COMPUTED_VALUE"""),"1QO8L98pM1tM7XV0KByn2LfhNUlfBr61uBaOgp8tlTrY")</f>
        <v>1QO8L98pM1tM7XV0KByn2LfhNUlfBr61uBaOgp8tlTrY</v>
      </c>
    </row>
    <row r="503" ht="15.75" customHeight="1">
      <c r="A503" t="str">
        <f>IFERROR(__xludf.DUMMYFUNCTION("""COMPUTED_VALUE"""),"Blotter")</f>
        <v>Blotter</v>
      </c>
      <c r="B503" t="str">
        <f>IFERROR(__xludf.DUMMYFUNCTION("""COMPUTED_VALUE"""),"RemoveManualExecution")</f>
        <v>RemoveManualExecution</v>
      </c>
      <c r="C503" t="str">
        <f>IFERROR(__xludf.DUMMYFUNCTION("""COMPUTED_VALUE"""),"1El5uRwN8Zwko5NwYgHohK1zpiRKkh_YePJ0cX2E3glo")</f>
        <v>1El5uRwN8Zwko5NwYgHohK1zpiRKkh_YePJ0cX2E3glo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IFERROR(__xludf.DUMMYFUNCTION("""COMPUTED_VALUE"""),"RemoveExecutionWorkingSubs")</f>
        <v>RemoveExecutionWorkingSubs</v>
      </c>
      <c r="C504" t="str">
        <f>IFERROR(__xludf.DUMMYFUNCTION("""COMPUTED_VALUE"""),"1Gty3Ew09-jbNIs7SPwjiMC4qk0nDYdsdjNgVHEdl6r0")</f>
        <v>1Gty3Ew09-jbNIs7SPwjiMC4qk0nDYdsdjNgVHEdl6r0</v>
      </c>
    </row>
    <row r="505" ht="15.75" customHeight="1">
      <c r="A505" t="str">
        <f>IFERROR(__xludf.DUMMYFUNCTION("""COMPUTED_VALUE"""),"Dropcopy")</f>
        <v>Dropcopy</v>
      </c>
      <c r="B505" t="str">
        <f>IFERROR(__xludf.DUMMYFUNCTION("""COMPUTED_VALUE"""),"UploadDropcopyFile")</f>
        <v>UploadDropcopyFile</v>
      </c>
      <c r="C505" t="str">
        <f>IFERROR(__xludf.DUMMYFUNCTION("""COMPUTED_VALUE"""),"1h8dY4l_y7yym8l9hTXHVlg3E6GsG52_9KIo5GFjmA8k")</f>
        <v>1h8dY4l_y7yym8l9hTXHVlg3E6GsG52_9KIo5GFjmA8k</v>
      </c>
    </row>
    <row r="506" ht="15.75" customHeight="1">
      <c r="A506" t="str">
        <f>IFERROR(__xludf.DUMMYFUNCTION("""COMPUTED_VALUE"""),"TradeServer")</f>
        <v>TradeServer</v>
      </c>
      <c r="B506" t="str">
        <f>IFERROR(__xludf.DUMMYFUNCTION("""COMPUTED_VALUE"""),"StartTradeServer")</f>
        <v>StartTradeServer</v>
      </c>
      <c r="C506" t="str">
        <f>IFERROR(__xludf.DUMMYFUNCTION("""COMPUTED_VALUE"""),"1dwpz97u-suG-Fl1p7vL-LH_dugKcjjOV8oBHWhL-Ggg")</f>
        <v>1dwpz97u-suG-Fl1p7vL-LH_dugKcjjOV8oBHWhL-Ggg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IFERROR(__xludf.DUMMYFUNCTION("""COMPUTED_VALUE"""),"CloseTradeServer ")</f>
        <v>CloseTradeServer </v>
      </c>
      <c r="C507" t="str">
        <f>IFERROR(__xludf.DUMMYFUNCTION("""COMPUTED_VALUE"""),"1RUpNNC94eo6CzUCyYXnEgJjNJNHljZmxUqpU88hDqvo")</f>
        <v>1RUpNNC94eo6CzUCyYXnEgJjNJNHljZmxUqpU88hDqvo</v>
      </c>
    </row>
    <row r="508" ht="15.75" customHeight="1">
      <c r="A508" t="str">
        <f>IFERROR(__xludf.DUMMYFUNCTION("""COMPUTED_VALUE"""),"Blotter")</f>
        <v>Blotter</v>
      </c>
      <c r="B508" t="str">
        <f>IFERROR(__xludf.DUMMYFUNCTION("""COMPUTED_VALUE"""),"GetExecutionReportOrders")</f>
        <v>GetExecutionReportOrders</v>
      </c>
      <c r="C508" t="str">
        <f>IFERROR(__xludf.DUMMYFUNCTION("""COMPUTED_VALUE"""),"1AFiNBanUg4LBaZwE0sKs99uF_4CT4Qq3z4KSYaBlk8s")</f>
        <v>1AFiNBanUg4LBaZwE0sKs99uF_4CT4Qq3z4KSYaBlk8s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IFERROR(__xludf.DUMMYFUNCTION("""COMPUTED_VALUE"""),"GetExecutionReportDetails")</f>
        <v>GetExecutionReportDetails</v>
      </c>
      <c r="C509" t="str">
        <f>IFERROR(__xludf.DUMMYFUNCTION("""COMPUTED_VALUE"""),"1Ns2Ww-kwbzOvCy0I9cUznz2PW19y3SgMCpf0oi4ieAA")</f>
        <v>1Ns2Ww-kwbzOvCy0I9cUznz2PW19y3SgMCpf0oi4ieAA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IFERROR(__xludf.DUMMYFUNCTION("""COMPUTED_VALUE"""),"ExportExecutionReportData")</f>
        <v>ExportExecutionReportData</v>
      </c>
      <c r="C510" t="str">
        <f>IFERROR(__xludf.DUMMYFUNCTION("""COMPUTED_VALUE"""),"1LAiUKfzdOor0ACQpWIfOZgQ4MfnhBXObmZFMPVXU20w")</f>
        <v>1LAiUKfzdOor0ACQpWIfOZgQ4MfnhBXObmZFMPVXU20w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IFERROR(__xludf.DUMMYFUNCTION("""COMPUTED_VALUE"""),"VerifyExecutionReport")</f>
        <v>VerifyExecutionReport</v>
      </c>
      <c r="C511" t="str">
        <f>IFERROR(__xludf.DUMMYFUNCTION("""COMPUTED_VALUE"""),"1yd48b6wQ6aCrLoLmfkjO8wiQZP62vLgpK_Q_eTapu4w")</f>
        <v>1yd48b6wQ6aCrLoLmfkjO8wiQZP62vLgpK_Q_eTapu4w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IFERROR(__xludf.DUMMYFUNCTION("""COMPUTED_VALUE"""),"BlotterExecutionReportSnapshot")</f>
        <v>BlotterExecutionReportSnapshot</v>
      </c>
      <c r="C512" t="str">
        <f>IFERROR(__xludf.DUMMYFUNCTION("""COMPUTED_VALUE"""),"1QqGxhnz20HsALFYnGuJyEDL2dd1qSmiBMaPsF8MowY4")</f>
        <v>1QqGxhnz20HsALFYnGuJyEDL2dd1qSmiBMaPsF8MowY4</v>
      </c>
    </row>
    <row r="513" ht="15.75" customHeight="1">
      <c r="A513" t="str">
        <f>IFERROR(__xludf.DUMMYFUNCTION("""COMPUTED_VALUE"""),"Admin")</f>
        <v>Admin</v>
      </c>
      <c r="B513" t="str">
        <f>IFERROR(__xludf.DUMMYFUNCTION("""COMPUTED_VALUE"""),"SetDollarAmountPermission")</f>
        <v>SetDollarAmountPermission</v>
      </c>
      <c r="C513" t="str">
        <f>IFERROR(__xludf.DUMMYFUNCTION("""COMPUTED_VALUE"""),"1NsNQ11sPW94qOsA9wYppHUUVQ7VTg0TDchX6vMjxHSM")</f>
        <v>1NsNQ11sPW94qOsA9wYppHUUVQ7VTg0TDchX6vMjxHSM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IFERROR(__xludf.DUMMYFUNCTION("""COMPUTED_VALUE"""),"EnableDisableModule")</f>
        <v>EnableDisableModule</v>
      </c>
      <c r="C514" t="str">
        <f>IFERROR(__xludf.DUMMYFUNCTION("""COMPUTED_VALUE"""),"1-qgayCVgYh-TiFPYq2yiHpH2YNskBCiyIqUU44hFn5Q")</f>
        <v>1-qgayCVgYh-TiFPYq2yiHpH2YNskBCiyIqUU44hFn5Q</v>
      </c>
    </row>
    <row r="515" ht="15.75" customHeight="1">
      <c r="A515" t="str">
        <f>IFERROR(__xludf.DUMMYFUNCTION("""COMPUTED_VALUE"""),"Blotter")</f>
        <v>Blotter</v>
      </c>
      <c r="B515" t="str">
        <f>IFERROR(__xludf.DUMMYFUNCTION("""COMPUTED_VALUE"""),"MultipleTradeTransferToUser")</f>
        <v>MultipleTradeTransferToUser</v>
      </c>
      <c r="C515" t="str">
        <f>IFERROR(__xludf.DUMMYFUNCTION("""COMPUTED_VALUE"""),"1E2U9CGylDUGLaqjTgTRpuzNMvkBV33m3fLyu2q73_EA")</f>
        <v>1E2U9CGylDUGLaqjTgTRpuzNMvkBV33m3fLyu2q73_EA</v>
      </c>
    </row>
    <row r="516" ht="15.75" customHeight="1">
      <c r="A516" t="str">
        <f>IFERROR(__xludf.DUMMYFUNCTION("""COMPUTED_VALUE"""),"Admin")</f>
        <v>Admin</v>
      </c>
      <c r="B516" t="str">
        <f>IFERROR(__xludf.DUMMYFUNCTION("""COMPUTED_VALUE"""),"IsImportOverrideOnShortLocate")</f>
        <v>IsImportOverrideOnShortLocate</v>
      </c>
      <c r="C516" t="str">
        <f>IFERROR(__xludf.DUMMYFUNCTION("""COMPUTED_VALUE"""),"1MgEuiFXaa1Xj8qTQvvYNz_eFGUeOpsltw9v4WXyPp2Y")</f>
        <v>1MgEuiFXaa1Xj8qTQvvYNz_eFGUeOpsltw9v4WXyPp2Y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IFERROR(__xludf.DUMMYFUNCTION("""COMPUTED_VALUE"""),"SetShortLocateStructures")</f>
        <v>SetShortLocateStructures</v>
      </c>
      <c r="C517" t="str">
        <f>IFERROR(__xludf.DUMMYFUNCTION("""COMPUTED_VALUE"""),"1JXTS2aPwtzmzfaVv_4dqx8kGMWZ6ZPlluMh_AtB-VLM")</f>
        <v>1JXTS2aPwtzmzfaVv_4dqx8kGMWZ6ZPlluMh_AtB-VLM</v>
      </c>
    </row>
    <row r="518" ht="15.75" customHeight="1">
      <c r="A518" t="str">
        <f>IFERROR(__xludf.DUMMYFUNCTION("""COMPUTED_VALUE"""),"ShortLocate")</f>
        <v>ShortLocate</v>
      </c>
      <c r="B518" t="str">
        <f>IFERROR(__xludf.DUMMYFUNCTION("""COMPUTED_VALUE"""),"DownloadFile")</f>
        <v>DownloadFile</v>
      </c>
      <c r="C518" t="str">
        <f>IFERROR(__xludf.DUMMYFUNCTION("""COMPUTED_VALUE"""),"1GexWNjbmQyaHL_wkUkmt5M8rNIMs2PLpyJ1OKlPF_6U")</f>
        <v>1GexWNjbmQyaHL_wkUkmt5M8rNIMs2PLpyJ1OKlPF_6U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IFERROR(__xludf.DUMMYFUNCTION("""COMPUTED_VALUE"""),"SearchShortLocateUI")</f>
        <v>SearchShortLocateUI</v>
      </c>
      <c r="C519" t="str">
        <f>IFERROR(__xludf.DUMMYFUNCTION("""COMPUTED_VALUE"""),"1DKCTM5c59GatMPMxnS0Zbz1IgpCEMmNSn4fulcFSBWA")</f>
        <v>1DKCTM5c59GatMPMxnS0Zbz1IgpCEMmNSn4fulcFSBWA</v>
      </c>
    </row>
    <row r="520" ht="15.75" customHeight="1">
      <c r="A520" t="str">
        <f>IFERROR(__xludf.DUMMYFUNCTION("""COMPUTED_VALUE"""),"TradingTicket")</f>
        <v>TradingTicket</v>
      </c>
      <c r="B520" t="str">
        <f>IFERROR(__xludf.DUMMYFUNCTION("""COMPUTED_VALUE"""),"CreateDoneAwayOrder")</f>
        <v>CreateDoneAwayOrder</v>
      </c>
      <c r="C520" t="str">
        <f>IFERROR(__xludf.DUMMYFUNCTION("""COMPUTED_VALUE"""),"1rJRRqJlBOAI1DmechO49htg_P97-G5pNyuROFY03c_0")</f>
        <v>1rJRRqJlBOAI1DmechO49htg_P97-G5pNyuROFY03c_0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IFERROR(__xludf.DUMMYFUNCTION("""COMPUTED_VALUE"""),"CreateComplianceOrder")</f>
        <v>CreateComplianceOrder</v>
      </c>
      <c r="C521" t="str">
        <f>IFERROR(__xludf.DUMMYFUNCTION("""COMPUTED_VALUE"""),"1uZhdRETigrNB3cZo1BXMteOrJRYMf6Vdte0mKG3B7a4")</f>
        <v>1uZhdRETigrNB3cZo1BXMteOrJRYMf6Vdte0mKG3B7a4</v>
      </c>
    </row>
    <row r="522" ht="15.75" customHeight="1">
      <c r="A522" t="str">
        <f>IFERROR(__xludf.DUMMYFUNCTION("""COMPUTED_VALUE"""),"Simulator")</f>
        <v>Simulator</v>
      </c>
      <c r="B522" t="str">
        <f>IFERROR(__xludf.DUMMYFUNCTION("""COMPUTED_VALUE"""),"VerifyTrades")</f>
        <v>VerifyTrades</v>
      </c>
      <c r="C522" t="str">
        <f>IFERROR(__xludf.DUMMYFUNCTION("""COMPUTED_VALUE"""),"11LnIuQUyQWz16zxwmr7_BDMlsw3tCEXwF0lALQ35sts")</f>
        <v>11LnIuQUyQWz16zxwmr7_BDMlsw3tCEXwF0lALQ35sts</v>
      </c>
    </row>
    <row r="523" ht="15.75" customHeight="1">
      <c r="A523" t="str">
        <f>IFERROR(__xludf.DUMMYFUNCTION("""COMPUTED_VALUE"""),"ShortLocate")</f>
        <v>ShortLocate</v>
      </c>
      <c r="B523" t="str">
        <f>IFERROR(__xludf.DUMMYFUNCTION("""COMPUTED_VALUE"""),"SetShortLocatePreferences")</f>
        <v>SetShortLocatePreferences</v>
      </c>
      <c r="C523" t="str">
        <f>IFERROR(__xludf.DUMMYFUNCTION("""COMPUTED_VALUE"""),"1NeZSwz1SIB3gUqQIL6UzRE-Qr4gJDeQupuxQaufcHLY")</f>
        <v>1NeZSwz1SIB3gUqQIL6UzRE-Qr4gJDeQupuxQaufcHLY</v>
      </c>
    </row>
    <row r="524" ht="15.75" customHeight="1">
      <c r="A524" t="str">
        <f>IFERROR(__xludf.DUMMYFUNCTION("""COMPUTED_VALUE"""),"SecurityMaster")</f>
        <v>SecurityMaster</v>
      </c>
      <c r="B524" t="str">
        <f>IFERROR(__xludf.DUMMYFUNCTION("""COMPUTED_VALUE"""),"GetSymbolData")</f>
        <v>GetSymbolData</v>
      </c>
      <c r="C524" t="str">
        <f>IFERROR(__xludf.DUMMYFUNCTION("""COMPUTED_VALUE"""),"1vv3kyJccjfIyDBgn04x7w4Z7FTIBcJUQzYbJHry0Wks")</f>
        <v>1vv3kyJccjfIyDBgn04x7w4Z7FTIBcJUQzYbJHry0Wks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IFERROR(__xludf.DUMMYFUNCTION("""COMPUTED_VALUE"""),"EditSMData")</f>
        <v>EditSMData</v>
      </c>
      <c r="C525" t="str">
        <f>IFERROR(__xludf.DUMMYFUNCTION("""COMPUTED_VALUE"""),"16iJOTy3fdvVyoTNVUlTTv2ipMkLHpwnR83hPFzIH7Ak")</f>
        <v>16iJOTy3fdvVyoTNVUlTTv2ipMkLHpwnR83hPFzIH7Ak</v>
      </c>
    </row>
    <row r="526" ht="15.75" customHeight="1">
      <c r="A526" t="str">
        <f>IFERROR(__xludf.DUMMYFUNCTION("""COMPUTED_VALUE"""),"Compliance")</f>
        <v>Compliance</v>
      </c>
      <c r="B526" t="str">
        <f>IFERROR(__xludf.DUMMYFUNCTION("""COMPUTED_VALUE"""),"RestartRuleMediator")</f>
        <v>RestartRuleMediator</v>
      </c>
      <c r="C526" t="str">
        <f>IFERROR(__xludf.DUMMYFUNCTION("""COMPUTED_VALUE"""),"1akNR1Amf59L1AstQQY5CTYwWnooFsbcOYuynBM4CKmM")</f>
        <v>1akNR1Amf59L1AstQQY5CTYwWnooFsbcOYuynBM4CKmM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IFERROR(__xludf.DUMMYFUNCTION("""COMPUTED_VALUE"""),"VerifyAggAccountSymbolWithNav")</f>
        <v>VerifyAggAccountSymbolWithNav</v>
      </c>
      <c r="C527" t="str">
        <f>IFERROR(__xludf.DUMMYFUNCTION("""COMPUTED_VALUE"""),"1LuYoSjO5AtvBb9EYhrEUIwfKVSVQx9KjgCN-yIF7lFk")</f>
        <v>1LuYoSjO5AtvBb9EYhrEUIwfKVSVQx9KjgCN-yIF7lFk</v>
      </c>
    </row>
    <row r="528" ht="15.75" customHeight="1">
      <c r="A528" t="str">
        <f>IFERROR(__xludf.DUMMYFUNCTION("""COMPUTED_VALUE"""),"Admin")</f>
        <v>Admin</v>
      </c>
      <c r="B528" t="str">
        <f>IFERROR(__xludf.DUMMYFUNCTION("""COMPUTED_VALUE"""),"SetComplianceAlert")</f>
        <v>SetComplianceAlert</v>
      </c>
      <c r="C528" t="str">
        <f>IFERROR(__xludf.DUMMYFUNCTION("""COMPUTED_VALUE"""),"1KxvRGZsDhpllA_7NzN1oRSxO912EnakDtX0IH-ZIdC4")</f>
        <v>1KxvRGZsDhpllA_7NzN1oRSxO912EnakDtX0IH-ZIdC4</v>
      </c>
    </row>
    <row r="529" ht="15.75" customHeight="1">
      <c r="A529" t="str">
        <f>IFERROR(__xludf.DUMMYFUNCTION("""COMPUTED_VALUE"""),"Blotter")</f>
        <v>Blotter</v>
      </c>
      <c r="B529" t="str">
        <f>IFERROR(__xludf.DUMMYFUNCTION("""COMPUTED_VALUE"""),"ReloadOrderFromBlotter")</f>
        <v>ReloadOrderFromBlotter</v>
      </c>
      <c r="C529" t="str">
        <f>IFERROR(__xludf.DUMMYFUNCTION("""COMPUTED_VALUE"""),"1EkVmrnKs5-j3ysMwtCilrRqPyrGmw8rBBIGOYfmBm9Y")</f>
        <v>1EkVmrnKs5-j3ysMwtCilrRqPyrGmw8rBBIGOYfmBm9Y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IFERROR(__xludf.DUMMYFUNCTION("""COMPUTED_VALUE"""),"ReloadOrderFromSubOrder")</f>
        <v>ReloadOrderFromSubOrder</v>
      </c>
      <c r="C530" t="str">
        <f>IFERROR(__xludf.DUMMYFUNCTION("""COMPUTED_VALUE"""),"1Df8QexVjibp6e-DrJ15K3SNBfL1Xk8NzcYqAlIfaa0Q")</f>
        <v>1Df8QexVjibp6e-DrJ15K3SNBfL1Xk8NzcYqAlIfaa0Q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IFERROR(__xludf.DUMMYFUNCTION("""COMPUTED_VALUE"""),"ReloadOrderFromWorkingSubs")</f>
        <v>ReloadOrderFromWorkingSubs</v>
      </c>
      <c r="C531" t="str">
        <f>IFERROR(__xludf.DUMMYFUNCTION("""COMPUTED_VALUE"""),"1_Z5bqDo4adEqHJVIqWRtiyLJ5XKZ_2mwsPRoF8LP0Bw")</f>
        <v>1_Z5bqDo4adEqHJVIqWRtiyLJ5XKZ_2mwsPRoF8LP0Bw</v>
      </c>
    </row>
    <row r="532" ht="15.75" customHeight="1">
      <c r="A532" t="str">
        <f>IFERROR(__xludf.DUMMYFUNCTION("""COMPUTED_VALUE"""),"Closing")</f>
        <v>Closing</v>
      </c>
      <c r="B532" t="str">
        <f>IFERROR(__xludf.DUMMYFUNCTION("""COMPUTED_VALUE"""),"AutoExercise")</f>
        <v>AutoExercise</v>
      </c>
      <c r="C532" t="str">
        <f>IFERROR(__xludf.DUMMYFUNCTION("""COMPUTED_VALUE"""),"13xi1kTQASkj8aQlRGOWvQoPk02IQ_8Htevc-MnANS_E")</f>
        <v>13xi1kTQASkj8aQlRGOWvQoPk02IQ_8Htevc-MnANS_E</v>
      </c>
    </row>
    <row r="533" ht="15.75" customHeight="1">
      <c r="A533" t="str">
        <f>IFERROR(__xludf.DUMMYFUNCTION("""COMPUTED_VALUE"""),"PortfolioManagement")</f>
        <v>PortfolioManagement</v>
      </c>
      <c r="B533" t="str">
        <f>IFERROR(__xludf.DUMMYFUNCTION("""COMPUTED_VALUE"""),"IncreasePositionFromPM")</f>
        <v>IncreasePositionFromPM</v>
      </c>
      <c r="C533" t="str">
        <f>IFERROR(__xludf.DUMMYFUNCTION("""COMPUTED_VALUE"""),"1A8qhbXaCu_lyhbz2UUV32k3iWOdMoe0Sf6z4T7bvx9A")</f>
        <v>1A8qhbXaCu_lyhbz2UUV32k3iWOdMoe0Sf6z4T7bvx9A</v>
      </c>
    </row>
    <row r="534" ht="15.75" customHeight="1">
      <c r="A534" t="str">
        <f>IFERROR(__xludf.DUMMYFUNCTION("""COMPUTED_VALUE"""),"TradingTicket")</f>
        <v>TradingTicket</v>
      </c>
      <c r="B534" t="str">
        <f>IFERROR(__xludf.DUMMYFUNCTION("""COMPUTED_VALUE"""),"AddOptionTrade")</f>
        <v>AddOptionTrade</v>
      </c>
      <c r="C534" t="str">
        <f>IFERROR(__xludf.DUMMYFUNCTION("""COMPUTED_VALUE"""),"1BnawmW4udc8sZOPuV7h7bRAlUEV61-K41xkK0_fFpqM")</f>
        <v>1BnawmW4udc8sZOPuV7h7bRAlUEV61-K41xkK0_fFpqM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IFERROR(__xludf.DUMMYFUNCTION("""COMPUTED_VALUE"""),"SendLiveBloomberg")</f>
        <v>SendLiveBloomberg</v>
      </c>
      <c r="C535" t="str">
        <f>IFERROR(__xludf.DUMMYFUNCTION("""COMPUTED_VALUE"""),"1CgHn_7kdT53U7SiVepIsdA1uAaPRM8bfTqAGitUOOP4")</f>
        <v>1CgHn_7kdT53U7SiVepIsdA1uAaPRM8bfTqAGitUOOP4</v>
      </c>
    </row>
    <row r="536" ht="15.75" customHeight="1">
      <c r="A536" t="str">
        <f>IFERROR(__xludf.DUMMYFUNCTION("""COMPUTED_VALUE"""),"Admin")</f>
        <v>Admin</v>
      </c>
      <c r="B536" t="str">
        <f>IFERROR(__xludf.DUMMYFUNCTION("""COMPUTED_VALUE"""),"UpdateExpirationDate")</f>
        <v>UpdateExpirationDate</v>
      </c>
      <c r="C536" t="str">
        <f>IFERROR(__xludf.DUMMYFUNCTION("""COMPUTED_VALUE"""),"1mmWGifvPj1sNVTticw-ikM3hyycxf4NX4_kCu7BEFVg")</f>
        <v>1mmWGifvPj1sNVTticw-ikM3hyycxf4NX4_kCu7BEFVg</v>
      </c>
    </row>
    <row r="537" ht="15.75" customHeight="1">
      <c r="A537" t="str">
        <f>IFERROR(__xludf.DUMMYFUNCTION("""COMPUTED_VALUE"""),"PricingInput")</f>
        <v>PricingInput</v>
      </c>
      <c r="B537" t="str">
        <f>IFERROR(__xludf.DUMMYFUNCTION("""COMPUTED_VALUE"""),"UncheckDividendYield")</f>
        <v>UncheckDividendYield</v>
      </c>
      <c r="C537" t="str">
        <f>IFERROR(__xludf.DUMMYFUNCTION("""COMPUTED_VALUE"""),"1Bv6bI4dQ2ISUgEtnN3hvoJAzlS1QXNp7i6djThWT5cY")</f>
        <v>1Bv6bI4dQ2ISUgEtnN3hvoJAzlS1QXNp7i6djThWT5cY</v>
      </c>
    </row>
    <row r="538" ht="15.75" customHeight="1">
      <c r="A538" t="str">
        <f>IFERROR(__xludf.DUMMYFUNCTION("""COMPUTED_VALUE"""),"Admin")</f>
        <v>Admin</v>
      </c>
      <c r="B538" t="str">
        <f>IFERROR(__xludf.DUMMYFUNCTION("""COMPUTED_VALUE"""),"RenameMasterStrategy")</f>
        <v>RenameMasterStrategy</v>
      </c>
      <c r="C538" t="str">
        <f>IFERROR(__xludf.DUMMYFUNCTION("""COMPUTED_VALUE"""),"12O1uREcq0M99vtEd065TQGLRLI69TvAORCdhR9BifGE")</f>
        <v>12O1uREcq0M99vtEd065TQGLRLI69TvAORCdhR9BifGE</v>
      </c>
    </row>
    <row r="539" ht="15.75" customHeight="1">
      <c r="A539" t="str">
        <f>IFERROR(__xludf.DUMMYFUNCTION("""COMPUTED_VALUE"""),"Blotter")</f>
        <v>Blotter</v>
      </c>
      <c r="B539" t="str">
        <f>IFERROR(__xludf.DUMMYFUNCTION("""COMPUTED_VALUE"""),"SelectFills")</f>
        <v>SelectFills</v>
      </c>
      <c r="C539" t="str">
        <f>IFERROR(__xludf.DUMMYFUNCTION("""COMPUTED_VALUE"""),"1GwliO03epBl45R4knM3UVULlRK9QRt0v-e2GwmiEUVI")</f>
        <v>1GwliO03epBl45R4knM3UVULlRK9QRt0v-e2GwmiEUVI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IFERROR(__xludf.DUMMYFUNCTION("""COMPUTED_VALUE"""),"ModifyFills")</f>
        <v>ModifyFills</v>
      </c>
      <c r="C540" t="str">
        <f>IFERROR(__xludf.DUMMYFUNCTION("""COMPUTED_VALUE"""),"1YjVe9_PX2h3FN6yNWurYgQZIShnphN6dzATY8FarTcw")</f>
        <v>1YjVe9_PX2h3FN6yNWurYgQZIShnphN6dzATY8FarTcw</v>
      </c>
    </row>
    <row r="541" ht="15.75" customHeight="1">
      <c r="A541" t="str">
        <f>IFERROR(__xludf.DUMMYFUNCTION("""COMPUTED_VALUE"""),"PranaClient")</f>
        <v>PranaClient</v>
      </c>
      <c r="B541" t="str">
        <f>IFERROR(__xludf.DUMMYFUNCTION("""COMPUTED_VALUE"""),"PranaClient")</f>
        <v>PranaClient</v>
      </c>
      <c r="C541" t="str">
        <f>IFERROR(__xludf.DUMMYFUNCTION("""COMPUTED_VALUE"""),"1i5E-WuqIWaEe-yq-sesr8ybgECXELHpH055E0IrggKc")</f>
        <v>1i5E-WuqIWaEe-yq-sesr8ybgECXELHpH055E0IrggKc</v>
      </c>
    </row>
    <row r="542" ht="15.75" customHeight="1">
      <c r="A542" t="str">
        <f>IFERROR(__xludf.DUMMYFUNCTION("""COMPUTED_VALUE"""),"Closing")</f>
        <v>Closing</v>
      </c>
      <c r="B542" t="str">
        <f>IFERROR(__xludf.DUMMYFUNCTION("""COMPUTED_VALUE"""),"EditMultipleCloseQuantity")</f>
        <v>EditMultipleCloseQuantity</v>
      </c>
      <c r="C542" t="str">
        <f>IFERROR(__xludf.DUMMYFUNCTION("""COMPUTED_VALUE"""),"1LqHFuFqpoaWRQRABWhj8ApwmhDIIDfhqJOvirqq1jXs")</f>
        <v>1LqHFuFqpoaWRQRABWhj8ApwmhDIIDfhqJOvirqq1jXs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IFERROR(__xludf.DUMMYFUNCTION("""COMPUTED_VALUE"""),"ManualCloseOrder")</f>
        <v>ManualCloseOrder</v>
      </c>
      <c r="C543" t="str">
        <f>IFERROR(__xludf.DUMMYFUNCTION("""COMPUTED_VALUE"""),"1SRIxoyDz2yiuwxeL4eG8FC_4NGCpPmQ7cq3BGkqiS_M")</f>
        <v>1SRIxoyDz2yiuwxeL4eG8FC_4NGCpPmQ7cq3BGkqiS_M</v>
      </c>
    </row>
    <row r="544" ht="15.75" customHeight="1">
      <c r="A544" t="str">
        <f>IFERROR(__xludf.DUMMYFUNCTION("""COMPUTED_VALUE"""),"Admin")</f>
        <v>Admin</v>
      </c>
      <c r="B544" t="str">
        <f>IFERROR(__xludf.DUMMYFUNCTION("""COMPUTED_VALUE"""),"SetTTUIAdminPreferences")</f>
        <v>SetTTUIAdminPreferences</v>
      </c>
      <c r="C544" t="str">
        <f>IFERROR(__xludf.DUMMYFUNCTION("""COMPUTED_VALUE"""),"1NBKCTAbyW8FTd7HpiDVAL8uUdoKPPfDaX-zyJ69TnN8")</f>
        <v>1NBKCTAbyW8FTd7HpiDVAL8uUdoKPPfDaX-zyJ69TnN8</v>
      </c>
    </row>
    <row r="545" ht="15.75" customHeight="1">
      <c r="A545" t="str">
        <f>IFERROR(__xludf.DUMMYFUNCTION("""COMPUTED_VALUE"""),"Closing")</f>
        <v>Closing</v>
      </c>
      <c r="B545" t="str">
        <f>IFERROR(__xludf.DUMMYFUNCTION("""COMPUTED_VALUE"""),"PreviewDataWithFilters")</f>
        <v>PreviewDataWithFilters</v>
      </c>
      <c r="C545" t="str">
        <f>IFERROR(__xludf.DUMMYFUNCTION("""COMPUTED_VALUE"""),"1UfijNzsxS8xhicrd1aaNFJ8AVGE-4qurWWApSDn5ctE")</f>
        <v>1UfijNzsxS8xhicrd1aaNFJ8AVGE-4qurWWApSDn5ctE</v>
      </c>
    </row>
    <row r="546" ht="15.75" customHeight="1">
      <c r="A546" t="str">
        <f>IFERROR(__xludf.DUMMYFUNCTION("""COMPUTED_VALUE"""),"TradingTicket")</f>
        <v>TradingTicket</v>
      </c>
      <c r="B546" t="str">
        <f>IFERROR(__xludf.DUMMYFUNCTION("""COMPUTED_VALUE"""),"ViewAllocation")</f>
        <v>ViewAllocation</v>
      </c>
      <c r="C546" t="str">
        <f>IFERROR(__xludf.DUMMYFUNCTION("""COMPUTED_VALUE"""),"1hZIgWSjxAyvd_l19sawUh-Lx7qkIkwoEJWszPqq6LiM")</f>
        <v>1hZIgWSjxAyvd_l19sawUh-Lx7qkIkwoEJWszPqq6LiM</v>
      </c>
    </row>
    <row r="547" ht="15.75" customHeight="1">
      <c r="A547" t="str">
        <f>IFERROR(__xludf.DUMMYFUNCTION("""COMPUTED_VALUE"""),"Admin")</f>
        <v>Admin</v>
      </c>
      <c r="B547" t="str">
        <f>IFERROR(__xludf.DUMMYFUNCTION("""COMPUTED_VALUE"""),"UpdateSecFee")</f>
        <v>UpdateSecFee</v>
      </c>
      <c r="C547" t="str">
        <f>IFERROR(__xludf.DUMMYFUNCTION("""COMPUTED_VALUE"""),"1fx7weHaG3pIYPq09mXJDlCsGxJxkuwvD9qpnxGKxsUg")</f>
        <v>1fx7weHaG3pIYPq09mXJDlCsGxJxkuwvD9qpnxGKxsUg</v>
      </c>
    </row>
    <row r="548" ht="15.75" customHeight="1">
      <c r="A548" t="str">
        <f>IFERROR(__xludf.DUMMYFUNCTION("""COMPUTED_VALUE"""),"Closing")</f>
        <v>Closing</v>
      </c>
      <c r="B548" t="str">
        <f>IFERROR(__xludf.DUMMYFUNCTION("""COMPUTED_VALUE"""),"CreateClosingTemplate")</f>
        <v>CreateClosingTemplate</v>
      </c>
      <c r="C548" t="str">
        <f>IFERROR(__xludf.DUMMYFUNCTION("""COMPUTED_VALUE"""),"1idwtgSTl3puPU819EeoiFOFlLMiFqqc7fSq_DQM9Ahw")</f>
        <v>1idwtgSTl3puPU819EeoiFOFlLMiFqqc7fSq_DQM9Ahw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IFERROR(__xludf.DUMMYFUNCTION("""COMPUTED_VALUE"""),"CreateUnwindingTemplate")</f>
        <v>CreateUnwindingTemplate</v>
      </c>
      <c r="C549" t="str">
        <f>IFERROR(__xludf.DUMMYFUNCTION("""COMPUTED_VALUE"""),"1yALn3s6q8XYTgNqh8-DnAgKgqPoPCCf4cd3q4rK7dc4")</f>
        <v>1yALn3s6q8XYTgNqh8-DnAgKgqPoPCCf4cd3q4rK7dc4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IFERROR(__xludf.DUMMYFUNCTION("""COMPUTED_VALUE"""),"EditTemplate")</f>
        <v>EditTemplate</v>
      </c>
      <c r="C550" t="str">
        <f>IFERROR(__xludf.DUMMYFUNCTION("""COMPUTED_VALUE"""),"1NuhPbvX0aXlI0GJFIFdnaVEUWbKSGZAOsYo2ZJs_LTI")</f>
        <v>1NuhPbvX0aXlI0GJFIFdnaVEUWbKSGZAOsYo2ZJs_LTI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IFERROR(__xludf.DUMMYFUNCTION("""COMPUTED_VALUE"""),"DeleteTemplate")</f>
        <v>DeleteTemplate</v>
      </c>
      <c r="C551" t="str">
        <f>IFERROR(__xludf.DUMMYFUNCTION("""COMPUTED_VALUE"""),"1FPAHemO6UOqAm-LkkBB9rvkNCOTy_xygY4DA2D71HrY")</f>
        <v>1FPAHemO6UOqAm-LkkBB9rvkNCOTy_xygY4DA2D71HrY</v>
      </c>
    </row>
    <row r="552" ht="15.75" customHeight="1">
      <c r="A552" t="str">
        <f>IFERROR(__xludf.DUMMYFUNCTION("""COMPUTED_VALUE"""),"Allocation")</f>
        <v>Allocation</v>
      </c>
      <c r="B552" t="str">
        <f>IFERROR(__xludf.DUMMYFUNCTION("""COMPUTED_VALUE"""),"AllocationAuditTrail")</f>
        <v>AllocationAuditTrail</v>
      </c>
      <c r="C552" t="str">
        <f>IFERROR(__xludf.DUMMYFUNCTION("""COMPUTED_VALUE"""),"1HD9Qq-FkgtsDvTn0E1mBJqbrvDYs85STToXiwyfSFIc")</f>
        <v>1HD9Qq-FkgtsDvTn0E1mBJqbrvDYs85STToXiwyfSFIc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IFERROR(__xludf.DUMMYFUNCTION("""COMPUTED_VALUE"""),"GetAuditTrailData")</f>
        <v>GetAuditTrailData</v>
      </c>
      <c r="C553" t="str">
        <f>IFERROR(__xludf.DUMMYFUNCTION("""COMPUTED_VALUE"""),"1aMbSm8ZDz2Qwg0lNK8q7egOJXYlZK0_CTEZ8ROuOuw4")</f>
        <v>1aMbSm8ZDz2Qwg0lNK8q7egOJXYlZK0_CTEZ8ROuOuw4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IFERROR(__xludf.DUMMYFUNCTION("""COMPUTED_VALUE"""),"CheckAuditTrailData")</f>
        <v>CheckAuditTrailData</v>
      </c>
      <c r="C554" t="str">
        <f>IFERROR(__xludf.DUMMYFUNCTION("""COMPUTED_VALUE"""),"1C9HB4waKEi-rOcSPUPOqqKP4_UtACzcf-3WiPrg8wl8")</f>
        <v>1C9HB4waKEi-rOcSPUPOqqKP4_UtACzcf-3WiPrg8wl8</v>
      </c>
    </row>
    <row r="555" ht="15.75" customHeight="1">
      <c r="A555" t="str">
        <f>IFERROR(__xludf.DUMMYFUNCTION("""COMPUTED_VALUE"""),"Closing")</f>
        <v>Closing</v>
      </c>
      <c r="B555" t="str">
        <f>IFERROR(__xludf.DUMMYFUNCTION("""COMPUTED_VALUE"""),"RunTemplate")</f>
        <v>RunTemplate</v>
      </c>
      <c r="C555" t="str">
        <f>IFERROR(__xludf.DUMMYFUNCTION("""COMPUTED_VALUE"""),"1CrtezjyXDUNI03P2ug3fbBszOkDQB11KC1jkQWvhhb0")</f>
        <v>1CrtezjyXDUNI03P2ug3fbBszOkDQB11KC1jkQWvhhb0</v>
      </c>
    </row>
    <row r="556" ht="15.75" customHeight="1">
      <c r="A556" t="str">
        <f>IFERROR(__xludf.DUMMYFUNCTION("""COMPUTED_VALUE"""),"SymbolLookup")</f>
        <v>SymbolLookup</v>
      </c>
      <c r="B556" t="str">
        <f>IFERROR(__xludf.DUMMYFUNCTION("""COMPUTED_VALUE"""),"EnterEquity")</f>
        <v>EnterEquity</v>
      </c>
      <c r="C556" t="str">
        <f>IFERROR(__xludf.DUMMYFUNCTION("""COMPUTED_VALUE"""),"1aaVe9FlMYC6RFGiTb4FjozEKzxGyq3kDwxhYjfzfAD4")</f>
        <v>1aaVe9FlMYC6RFGiTb4FjozEKzxGyq3kDwxhYjfzfAD4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IFERROR(__xludf.DUMMYFUNCTION("""COMPUTED_VALUE"""),"UpdateSecurityInfoOnSM")</f>
        <v>UpdateSecurityInfoOnSM</v>
      </c>
      <c r="C557" t="str">
        <f>IFERROR(__xludf.DUMMYFUNCTION("""COMPUTED_VALUE"""),"17-t-GrQf2zL-8Q67F4HdNpsG_6uuzTew55S0LtWs234")</f>
        <v>17-t-GrQf2zL-8Q67F4HdNpsG_6uuzTew55S0LtWs234</v>
      </c>
    </row>
    <row r="558" ht="15.75" customHeight="1">
      <c r="A558" t="str">
        <f>IFERROR(__xludf.DUMMYFUNCTION("""COMPUTED_VALUE"""),"Blotter")</f>
        <v>Blotter</v>
      </c>
      <c r="B558" t="str">
        <f>IFERROR(__xludf.DUMMYFUNCTION("""COMPUTED_VALUE"""),"AllocateFromBlotter")</f>
        <v>AllocateFromBlotter</v>
      </c>
      <c r="C558" t="str">
        <f>IFERROR(__xludf.DUMMYFUNCTION("""COMPUTED_VALUE"""),"1XTJi2OXX9tDNK8ST579LThIVIiMnVsCWKD8hYv1DwCk")</f>
        <v>1XTJi2OXX9tDNK8ST579LThIVIiMnVsCWKD8hYv1DwCk</v>
      </c>
    </row>
    <row r="559" ht="15.75" customHeight="1">
      <c r="A559" t="str">
        <f>IFERROR(__xludf.DUMMYFUNCTION("""COMPUTED_VALUE"""),"Admin")</f>
        <v>Admin</v>
      </c>
      <c r="B559" t="str">
        <f>IFERROR(__xludf.DUMMYFUNCTION("""COMPUTED_VALUE"""),"UpdateFee")</f>
        <v>UpdateFee</v>
      </c>
      <c r="C559" t="str">
        <f>IFERROR(__xludf.DUMMYFUNCTION("""COMPUTED_VALUE"""),"18i3ZoYVYHAnZwXwaD1wecFKaay3F1XWD-fGr1yOXxiI")</f>
        <v>18i3ZoYVYHAnZwXwaD1wecFKaay3F1XWD-fGr1yOXxiI</v>
      </c>
    </row>
    <row r="560" ht="15.75" customHeight="1">
      <c r="A560" t="str">
        <f>IFERROR(__xludf.DUMMYFUNCTION("""COMPUTED_VALUE"""),"Allocation")</f>
        <v>Allocation</v>
      </c>
      <c r="B560" t="str">
        <f>IFERROR(__xludf.DUMMYFUNCTION("""COMPUTED_VALUE"""),"DeleteGroupWithOutSave")</f>
        <v>DeleteGroupWithOutSave</v>
      </c>
      <c r="C560" t="str">
        <f>IFERROR(__xludf.DUMMYFUNCTION("""COMPUTED_VALUE"""),"1aIaLYmwd1_7VvSXSXs0xCiLDHvkOFY2I2WhFegjZjbM")</f>
        <v>1aIaLYmwd1_7VvSXSXs0xCiLDHvkOFY2I2WhFegjZjbM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IFERROR(__xludf.DUMMYFUNCTION("""COMPUTED_VALUE"""),"CheckPreferences")</f>
        <v>CheckPreferences</v>
      </c>
      <c r="C561" t="str">
        <f>IFERROR(__xludf.DUMMYFUNCTION("""COMPUTED_VALUE"""),"1Gt4DTANotwpTFTn2K0N4FyEH3Wy4mVS3CndTI3qhjT0")</f>
        <v>1Gt4DTANotwpTFTn2K0N4FyEH3Wy4mVS3CndTI3qhjT0</v>
      </c>
    </row>
    <row r="562" ht="15.75" customHeight="1">
      <c r="A562" t="str">
        <f>IFERROR(__xludf.DUMMYFUNCTION("""COMPUTED_VALUE"""),"Rebalancer")</f>
        <v>Rebalancer</v>
      </c>
      <c r="B562" t="str">
        <f>IFERROR(__xludf.DUMMYFUNCTION("""COMPUTED_VALUE"""),"SymbologyChangeRB")</f>
        <v>SymbologyChangeRB</v>
      </c>
      <c r="C562" t="str">
        <f>IFERROR(__xludf.DUMMYFUNCTION("""COMPUTED_VALUE"""),"Undefined")</f>
        <v>Undefined</v>
      </c>
    </row>
    <row r="563" ht="15.75" customHeight="1">
      <c r="A563" t="str">
        <f>IFERROR(__xludf.DUMMYFUNCTION("""COMPUTED_VALUE"""),"TradingTicket")</f>
        <v>TradingTicket</v>
      </c>
      <c r="B563" t="str">
        <f>IFERROR(__xludf.DUMMYFUNCTION("""COMPUTED_VALUE"""),"CreateReplaceLiveOrder")</f>
        <v>CreateReplaceLiveOrder</v>
      </c>
      <c r="C563" t="str">
        <f>IFERROR(__xludf.DUMMYFUNCTION("""COMPUTED_VALUE"""),"1k4O2DH0z6o7Zp7BJki2B-GvLEd7WL3r0-BBl39ErSwA")</f>
        <v>1k4O2DH0z6o7Zp7BJki2B-GvLEd7WL3r0-BBl39ErSwA</v>
      </c>
    </row>
    <row r="564" ht="15.75" customHeight="1">
      <c r="A564" t="str">
        <f>IFERROR(__xludf.DUMMYFUNCTION("""COMPUTED_VALUE"""),"Admin")</f>
        <v>Admin</v>
      </c>
      <c r="B564" t="str">
        <f>IFERROR(__xludf.DUMMYFUNCTION("""COMPUTED_VALUE"""),"RevertingSMSharesOutValue")</f>
        <v>RevertingSMSharesOutValue</v>
      </c>
      <c r="C564" t="str">
        <f>IFERROR(__xludf.DUMMYFUNCTION("""COMPUTED_VALUE"""),"14NB1Fv5kuloQb2TqNZV019UwD238JCIlsMkapq0l2ag")</f>
        <v>14NB1Fv5kuloQb2TqNZV019UwD238JCIlsMkapq0l2ag</v>
      </c>
    </row>
    <row r="565" ht="15.75" customHeight="1">
      <c r="A565" t="str">
        <f>IFERROR(__xludf.DUMMYFUNCTION("""COMPUTED_VALUE"""),"SymbolLookup")</f>
        <v>SymbolLookup</v>
      </c>
      <c r="B565" t="str">
        <f>IFERROR(__xludf.DUMMYFUNCTION("""COMPUTED_VALUE"""),"TradeSymbolFromSM")</f>
        <v>TradeSymbolFromSM</v>
      </c>
      <c r="C565" t="str">
        <f>IFERROR(__xludf.DUMMYFUNCTION("""COMPUTED_VALUE"""),"1QQqyEJAxSiITSpbxeSzT-43Z_t_k8RMkNqyDU83B9yw")</f>
        <v>1QQqyEJAxSiITSpbxeSzT-43Z_t_k8RMkNqyDU83B9yw</v>
      </c>
    </row>
    <row r="566" ht="15.75" customHeight="1">
      <c r="A566" t="str">
        <f>IFERROR(__xludf.DUMMYFUNCTION("""COMPUTED_VALUE"""),"Closing")</f>
        <v>Closing</v>
      </c>
      <c r="B566" t="str">
        <f>IFERROR(__xludf.DUMMYFUNCTION("""COMPUTED_VALUE"""),"SelectAccountWiseAsset")</f>
        <v>SelectAccountWiseAsset</v>
      </c>
      <c r="C566" t="str">
        <f>IFERROR(__xludf.DUMMYFUNCTION("""COMPUTED_VALUE"""),"1dg717feD1PLoJMODUOkjay-kVKs_HU6lWkwzq6Dzicw")</f>
        <v>1dg717feD1PLoJMODUOkjay-kVKs_HU6lWkwzq6Dzicw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IFERROR(__xludf.DUMMYFUNCTION("""COMPUTED_VALUE"""),"VerifyCTData")</f>
        <v>VerifyCTData</v>
      </c>
      <c r="C567" t="str">
        <f>IFERROR(__xludf.DUMMYFUNCTION("""COMPUTED_VALUE"""),"1DhgxoqROPCGpHN0ZvF_CxvGD_XGKqi4hirH4AyU5edM")</f>
        <v>1DhgxoqROPCGpHN0ZvF_CxvGD_XGKqi4hirH4AyU5edM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IFERROR(__xludf.DUMMYFUNCTION("""COMPUTED_VALUE"""),"ExerciseAssignmentWithOutSave")</f>
        <v>ExerciseAssignmentWithOutSave</v>
      </c>
      <c r="C568" t="str">
        <f>IFERROR(__xludf.DUMMYFUNCTION("""COMPUTED_VALUE"""),"13ISfl53WS5qjapt8_QubQCWQC5PngpTaN-DNznWEfnM")</f>
        <v>13ISfl53WS5qjapt8_QubQCWQC5PngpTaN-DNznWEfnM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IFERROR(__xludf.DUMMYFUNCTION("""COMPUTED_VALUE"""),"SaveCTData")</f>
        <v>SaveCTData</v>
      </c>
      <c r="C569" t="str">
        <f>IFERROR(__xludf.DUMMYFUNCTION("""COMPUTED_VALUE"""),"1lX2ofL0aTKUlfGG5tlpbifm1409nxXKN3EvA38tIwsI")</f>
        <v>1lX2ofL0aTKUlfGG5tlpbifm1409nxXKN3EvA38tIwsI</v>
      </c>
    </row>
    <row r="570" ht="15.75" customHeight="1">
      <c r="A570" t="str">
        <f>IFERROR(__xludf.DUMMYFUNCTION("""COMPUTED_VALUE"""),"Allocation")</f>
        <v>Allocation</v>
      </c>
      <c r="B570" t="str">
        <f>IFERROR(__xludf.DUMMYFUNCTION("""COMPUTED_VALUE"""),"AllocateWithPopUp")</f>
        <v>AllocateWithPopUp</v>
      </c>
      <c r="C570" t="str">
        <f>IFERROR(__xludf.DUMMYFUNCTION("""COMPUTED_VALUE"""),"1xGs6-0rm5y24BDfu0xaFuFjmw24xo_mnA1FsmchPkoQ")</f>
        <v>1xGs6-0rm5y24BDfu0xaFuFjmw24xo_mnA1FsmchPkoQ</v>
      </c>
    </row>
    <row r="571" ht="15.75" customHeight="1">
      <c r="A571" t="str">
        <f>IFERROR(__xludf.DUMMYFUNCTION("""COMPUTED_VALUE"""),"TradingTicket")</f>
        <v>TradingTicket</v>
      </c>
      <c r="B571" t="str">
        <f>IFERROR(__xludf.DUMMYFUNCTION("""COMPUTED_VALUE"""),"CreateNewSubLiveOrder")</f>
        <v>CreateNewSubLiveOrder</v>
      </c>
      <c r="C571" t="str">
        <f>IFERROR(__xludf.DUMMYFUNCTION("""COMPUTED_VALUE"""),"1sXlRlM3l3g7Y_cbxe72XjBbsp4DKHWhRKjq3FHbAEZg")</f>
        <v>1sXlRlM3l3g7Y_cbxe72XjBbsp4DKHWhRKjq3FHbAEZg</v>
      </c>
    </row>
    <row r="572" ht="15.75" customHeight="1">
      <c r="A572" t="str">
        <f>IFERROR(__xludf.DUMMYFUNCTION("""COMPUTED_VALUE"""),"Blotter")</f>
        <v>Blotter</v>
      </c>
      <c r="B572" t="str">
        <f>IFERROR(__xludf.DUMMYFUNCTION("""COMPUTED_VALUE"""),"ViewPTTAllocationDetails")</f>
        <v>ViewPTTAllocationDetails</v>
      </c>
      <c r="C572" t="str">
        <f>IFERROR(__xludf.DUMMYFUNCTION("""COMPUTED_VALUE"""),"1K3kCif21tZY3Z_07H3JuRu8yZ2BuxGjW7WwookIx-Fc")</f>
        <v>1K3kCif21tZY3Z_07H3JuRu8yZ2BuxGjW7WwookIx-Fc</v>
      </c>
    </row>
    <row r="573" ht="15.75" customHeight="1">
      <c r="A573" t="str">
        <f>IFERROR(__xludf.DUMMYFUNCTION("""COMPUTED_VALUE"""),"Admin")</f>
        <v>Admin</v>
      </c>
      <c r="B573" t="str">
        <f>IFERROR(__xludf.DUMMYFUNCTION("""COMPUTED_VALUE"""),"RestartSQL")</f>
        <v>RestartSQL</v>
      </c>
      <c r="C573" t="str">
        <f>IFERROR(__xludf.DUMMYFUNCTION("""COMPUTED_VALUE"""),"1-12TcMWdB2mXxQH8e7co5k5BUH-Uzpps1uWKQ-CLR00")</f>
        <v>1-12TcMWdB2mXxQH8e7co5k5BUH-Uzpps1uWKQ-CLR00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IFERROR(__xludf.DUMMYFUNCTION("""COMPUTED_VALUE"""),"TradeAuditCleanUp")</f>
        <v>TradeAuditCleanUp</v>
      </c>
      <c r="C574" t="str">
        <f>IFERROR(__xludf.DUMMYFUNCTION("""COMPUTED_VALUE"""),"1te_tPkqDmMAupeEd8qm_jD3j66mFB1Z4N9FMCo8XPy4")</f>
        <v>1te_tPkqDmMAupeEd8qm_jD3j66mFB1Z4N9FMCo8XPy4</v>
      </c>
    </row>
    <row r="575" ht="15.75" customHeight="1">
      <c r="A575" t="str">
        <f>IFERROR(__xludf.DUMMYFUNCTION("""COMPUTED_VALUE"""),"Import")</f>
        <v>Import</v>
      </c>
      <c r="B575" t="str">
        <f>IFERROR(__xludf.DUMMYFUNCTION("""COMPUTED_VALUE"""),"SelectTradeOnImport")</f>
        <v>SelectTradeOnImport</v>
      </c>
      <c r="C575" t="str">
        <f>IFERROR(__xludf.DUMMYFUNCTION("""COMPUTED_VALUE"""),"1E9KQGFIuEW08WBNI-XqSj37_5i6SG51bbwPJ0NN4Mmc")</f>
        <v>1E9KQGFIuEW08WBNI-XqSj37_5i6SG51bbwPJ0NN4Mmc</v>
      </c>
    </row>
    <row r="576" ht="15.75" customHeight="1">
      <c r="A576" t="str">
        <f>IFERROR(__xludf.DUMMYFUNCTION("""COMPUTED_VALUE"""),"Allocation")</f>
        <v>Allocation</v>
      </c>
      <c r="B576" t="str">
        <f>IFERROR(__xludf.DUMMYFUNCTION("""COMPUTED_VALUE"""),"SelectAllRowsAllocated")</f>
        <v>SelectAllRowsAllocated</v>
      </c>
      <c r="C576" t="str">
        <f>IFERROR(__xludf.DUMMYFUNCTION("""COMPUTED_VALUE"""),"Undefined")</f>
        <v>Undefined</v>
      </c>
    </row>
    <row r="577" ht="15.75" customHeight="1">
      <c r="A577" t="str">
        <f>IFERROR(__xludf.DUMMYFUNCTION("""COMPUTED_VALUE"""),"Closing")</f>
        <v>Closing</v>
      </c>
      <c r="B577" t="str">
        <f>IFERROR(__xludf.DUMMYFUNCTION("""COMPUTED_VALUE"""),"FilterLongPositionGrid")</f>
        <v>FilterLongPositionGrid</v>
      </c>
      <c r="C577" t="str">
        <f>IFERROR(__xludf.DUMMYFUNCTION("""COMPUTED_VALUE"""),"1eQ05g7FlkoucBRzqzHC6DYgristCD8IKA7i0JOPqMMs")</f>
        <v>1eQ05g7FlkoucBRzqzHC6DYgristCD8IKA7i0JOPqMMs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IFERROR(__xludf.DUMMYFUNCTION("""COMPUTED_VALUE"""),"FilterShortPositionGrid")</f>
        <v>FilterShortPositionGrid</v>
      </c>
      <c r="C578" t="str">
        <f>IFERROR(__xludf.DUMMYFUNCTION("""COMPUTED_VALUE"""),"1_Kaj9Gla2_3_3DWDcJLohN-Ulu6Or19SpBltOn1IqpA")</f>
        <v>1_Kaj9Gla2_3_3DWDcJLohN-Ulu6Or19SpBltOn1IqpA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IFERROR(__xludf.DUMMYFUNCTION("""COMPUTED_VALUE"""),"FilterClosingGrid")</f>
        <v>FilterClosingGrid</v>
      </c>
      <c r="C579" t="str">
        <f>IFERROR(__xludf.DUMMYFUNCTION("""COMPUTED_VALUE"""),"1x0tSTgqZ5yRnN4Tz7nFtGYNGMoM4Tz6TBq0Ru3xflwY")</f>
        <v>1x0tSTgqZ5yRnN4Tz7nFtGYNGMoM4Tz6TBq0Ru3xflwY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IFERROR(__xludf.DUMMYFUNCTION("""COMPUTED_VALUE"""),"FilterUnexpiredGrid")</f>
        <v>FilterUnexpiredGrid</v>
      </c>
      <c r="C580" t="str">
        <f>IFERROR(__xludf.DUMMYFUNCTION("""COMPUTED_VALUE"""),"19__Spg6yNEdiEgPsq0ju_vHO7AEAj0c1TjazwCSKFSs")</f>
        <v>19__Spg6yNEdiEgPsq0ju_vHO7AEAj0c1TjazwCSKFSs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IFERROR(__xludf.DUMMYFUNCTION("""COMPUTED_VALUE"""),"FilterExpiredGrid")</f>
        <v>FilterExpiredGrid</v>
      </c>
      <c r="C581" t="str">
        <f>IFERROR(__xludf.DUMMYFUNCTION("""COMPUTED_VALUE"""),"1jZq080VyNhunffpTX7Q8WctBF6FMMlgDqxOs2X0M62s")</f>
        <v>1jZq080VyNhunffpTX7Q8WctBF6FMMlgDqxOs2X0M62s</v>
      </c>
    </row>
    <row r="582" ht="15.75" customHeight="1">
      <c r="A582" t="str">
        <f>IFERROR(__xludf.DUMMYFUNCTION("""COMPUTED_VALUE"""),"GeneralLedger")</f>
        <v>GeneralLedger</v>
      </c>
      <c r="B582" t="str">
        <f>IFERROR(__xludf.DUMMYFUNCTION("""COMPUTED_VALUE"""),"FilterCashTransactionGrid")</f>
        <v>FilterCashTransactionGrid</v>
      </c>
      <c r="C582" t="str">
        <f>IFERROR(__xludf.DUMMYFUNCTION("""COMPUTED_VALUE"""),"1yFQmKvzwAFdsY1i_j5krUyRXB0Jw9K6HiJ1sedlnizE")</f>
        <v>1yFQmKvzwAFdsY1i_j5krUyRXB0Jw9K6HiJ1sedlnizE</v>
      </c>
    </row>
    <row r="583" ht="15.75" customHeight="1">
      <c r="A583" t="str">
        <f>IFERROR(__xludf.DUMMYFUNCTION("""COMPUTED_VALUE"""),"Recon")</f>
        <v>Recon</v>
      </c>
      <c r="B583" t="str">
        <f>IFERROR(__xludf.DUMMYFUNCTION("""COMPUTED_VALUE"""),"VerifyApplicationData")</f>
        <v>VerifyApplicationData</v>
      </c>
      <c r="C583" t="str">
        <f>IFERROR(__xludf.DUMMYFUNCTION("""COMPUTED_VALUE"""),"1Dpr8WIv6TDBK0rxjxSy_MqWbkp0VcPh0dzzq05jelwk")</f>
        <v>1Dpr8WIv6TDBK0rxjxSy_MqWbkp0VcPh0dzzq05jelwk</v>
      </c>
    </row>
    <row r="584" ht="15.75" customHeight="1">
      <c r="A584" t="str">
        <f>IFERROR(__xludf.DUMMYFUNCTION("""COMPUTED_VALUE"""),"GeneralLedger")</f>
        <v>GeneralLedger</v>
      </c>
      <c r="B584" t="str">
        <f>IFERROR(__xludf.DUMMYFUNCTION("""COMPUTED_VALUE"""),"EditGridCashTransactions")</f>
        <v>EditGridCashTransactions</v>
      </c>
      <c r="C584" t="str">
        <f>IFERROR(__xludf.DUMMYFUNCTION("""COMPUTED_VALUE"""),"1U3Lll-22S6_flQX8K9e2RYFi60F4xvlFiIrO7oI53SM")</f>
        <v>1U3Lll-22S6_flQX8K9e2RYFi60F4xvlFiIrO7oI53SM</v>
      </c>
    </row>
    <row r="585" ht="15.75" customHeight="1">
      <c r="A585" t="str">
        <f>IFERROR(__xludf.DUMMYFUNCTION("""COMPUTED_VALUE"""),"Closing")</f>
        <v>Closing</v>
      </c>
      <c r="B585" t="str">
        <f>IFERROR(__xludf.DUMMYFUNCTION("""COMPUTED_VALUE"""),"UnwindAllClosingData")</f>
        <v>UnwindAllClosingData</v>
      </c>
      <c r="C585" t="str">
        <f>IFERROR(__xludf.DUMMYFUNCTION("""COMPUTED_VALUE"""),"1tWUIoWkYt76dEoPLffGeR3BKhumyPmGYrDDpNHf57-E")</f>
        <v>1tWUIoWkYt76dEoPLffGeR3BKhumyPmGYrDDpNHf57-E</v>
      </c>
    </row>
    <row r="586" ht="15.75" customHeight="1">
      <c r="A586" t="str">
        <f>IFERROR(__xludf.DUMMYFUNCTION("""COMPUTED_VALUE"""),"GeneralLedger")</f>
        <v>GeneralLedger</v>
      </c>
      <c r="B586" t="str">
        <f>IFERROR(__xludf.DUMMYFUNCTION("""COMPUTED_VALUE"""),"SaveCashTransaction")</f>
        <v>SaveCashTransaction</v>
      </c>
      <c r="C586" t="str">
        <f>IFERROR(__xludf.DUMMYFUNCTION("""COMPUTED_VALUE"""),"1B21k1fT7qeMq7F9lYaslrVehhg0joFVgy-pYc8Lkmf8")</f>
        <v>1B21k1fT7qeMq7F9lYaslrVehhg0joFVgy-pYc8Lkmf8</v>
      </c>
    </row>
    <row r="587" ht="15.75" customHeight="1">
      <c r="A587" t="str">
        <f>IFERROR(__xludf.DUMMYFUNCTION("""COMPUTED_VALUE"""),"ThirdParty")</f>
        <v>ThirdParty</v>
      </c>
      <c r="B587" t="str">
        <f>IFERROR(__xludf.DUMMYFUNCTION("""COMPUTED_VALUE"""),"ChangeThirdpartyDate")</f>
        <v>ChangeThirdpartyDate</v>
      </c>
      <c r="C587" t="str">
        <f>IFERROR(__xludf.DUMMYFUNCTION("""COMPUTED_VALUE"""),"1h4P6VS7hFcj6Gpcpap9UycUQLIp7GSGhFN-Pc67f1mU")</f>
        <v>1h4P6VS7hFcj6Gpcpap9UycUQLIp7GSGhFN-Pc67f1mU</v>
      </c>
    </row>
    <row r="588" ht="15.75" customHeight="1">
      <c r="A588" t="str">
        <f>IFERROR(__xludf.DUMMYFUNCTION("""COMPUTED_VALUE"""),"GeneralLedger")</f>
        <v>GeneralLedger</v>
      </c>
      <c r="B588" t="str">
        <f>IFERROR(__xludf.DUMMYFUNCTION("""COMPUTED_VALUE"""),"RunManualRevaluation")</f>
        <v>RunManualRevaluation</v>
      </c>
      <c r="C588" t="str">
        <f>IFERROR(__xludf.DUMMYFUNCTION("""COMPUTED_VALUE"""),"1tQChZuaBAI5usO4RbYIySlrw0tFhWje4RI-gh286me8")</f>
        <v>1tQChZuaBAI5usO4RbYIySlrw0tFhWje4RI-gh286me8</v>
      </c>
    </row>
    <row r="589" ht="15.75" customHeight="1">
      <c r="A589" t="str">
        <f>IFERROR(__xludf.DUMMYFUNCTION("""COMPUTED_VALUE"""),"SymbolLookup")</f>
        <v>SymbolLookup</v>
      </c>
      <c r="B589" t="str">
        <f>IFERROR(__xludf.DUMMYFUNCTION("""COMPUTED_VALUE"""),"AddSymbol")</f>
        <v>AddSymbol</v>
      </c>
      <c r="C589" t="str">
        <f>IFERROR(__xludf.DUMMYFUNCTION("""COMPUTED_VALUE"""),"1Sm5U6q-jz5LeKeyf9JfBjKzov0tNefLFi5MsaafqKYg")</f>
        <v>1Sm5U6q-jz5LeKeyf9JfBjKzov0tNefLFi5MsaafqKYg</v>
      </c>
    </row>
    <row r="590" ht="15.75" customHeight="1">
      <c r="A590" t="str">
        <f>IFERROR(__xludf.DUMMYFUNCTION("""COMPUTED_VALUE"""),"Admin")</f>
        <v>Admin</v>
      </c>
      <c r="B590" t="str">
        <f>IFERROR(__xludf.DUMMYFUNCTION("""COMPUTED_VALUE"""),"DeleteSymbolFromSM")</f>
        <v>DeleteSymbolFromSM</v>
      </c>
      <c r="C590" t="str">
        <f>IFERROR(__xludf.DUMMYFUNCTION("""COMPUTED_VALUE"""),"1DudMRucUgcEjmlylDgFYqu5uXTRzRsr-jnE6lVHMbjY")</f>
        <v>1DudMRucUgcEjmlylDgFYqu5uXTRzRsr-jnE6lVHMbjY</v>
      </c>
    </row>
    <row r="591" ht="15.75" customHeight="1">
      <c r="A591" t="str">
        <f>IFERROR(__xludf.DUMMYFUNCTION("""COMPUTED_VALUE"""),"Watchlist")</f>
        <v>Watchlist</v>
      </c>
      <c r="B591" t="str">
        <f>IFERROR(__xludf.DUMMYFUNCTION("""COMPUTED_VALUE"""),"AddSymbolToWatchlist")</f>
        <v>AddSymbolToWatchlist</v>
      </c>
      <c r="C591" t="str">
        <f>IFERROR(__xludf.DUMMYFUNCTION("""COMPUTED_VALUE"""),"1XmnTrOtQLoxDHPfo2HMbZB9NBqLkHPulaqnXm4cQ5KA")</f>
        <v>1XmnTrOtQLoxDHPfo2HMbZB9NBqLkHPulaqnXm4cQ5KA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IFERROR(__xludf.DUMMYFUNCTION("""COMPUTED_VALUE"""),"TradeFromWatchlist")</f>
        <v>TradeFromWatchlist</v>
      </c>
      <c r="C592" t="str">
        <f>IFERROR(__xludf.DUMMYFUNCTION("""COMPUTED_VALUE"""),"1T9s9NPtF9Q_Ppi6FLLTTJxb43fAm4QnWCD3GM96gXjQ")</f>
        <v>1T9s9NPtF9Q_Ppi6FLLTTJxb43fAm4QnWCD3GM96gXjQ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IFERROR(__xludf.DUMMYFUNCTION("""COMPUTED_VALUE"""),"MultiTradeFromWatchlist")</f>
        <v>MultiTradeFromWatchlist</v>
      </c>
      <c r="C593" t="str">
        <f>IFERROR(__xludf.DUMMYFUNCTION("""COMPUTED_VALUE"""),"13Bo68XuCJXrtlP5Ji1GdlQm3HIyUjNAnbQEqNi_0j80")</f>
        <v>13Bo68XuCJXrtlP5Ji1GdlQm3HIyUjNAnbQEqNi_0j80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IFERROR(__xludf.DUMMYFUNCTION("""COMPUTED_VALUE"""),"DeleteSymbolFromWatchlist")</f>
        <v>DeleteSymbolFromWatchlist</v>
      </c>
      <c r="C594" t="str">
        <f>IFERROR(__xludf.DUMMYFUNCTION("""COMPUTED_VALUE"""),"1KR8LzaHhEwxGacZ2Jul0uakCfHBvSq8Om-PWySPLpHU")</f>
        <v>1KR8LzaHhEwxGacZ2Jul0uakCfHBvSq8Om-PWySPLpHU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IFERROR(__xludf.DUMMYFUNCTION("""COMPUTED_VALUE"""),"VerifySymbolsOnWatchlist")</f>
        <v>VerifySymbolsOnWatchlist</v>
      </c>
      <c r="C595" t="str">
        <f>IFERROR(__xludf.DUMMYFUNCTION("""COMPUTED_VALUE"""),"1fkU0S4violR7UFjAn9TlUpgOonAIAkkJZA9g0xcb6hU")</f>
        <v>1fkU0S4violR7UFjAn9TlUpgOonAIAkkJZA9g0xcb6hU</v>
      </c>
    </row>
    <row r="596" ht="15.75" customHeight="1">
      <c r="A596" t="str">
        <f>IFERROR(__xludf.DUMMYFUNCTION("""COMPUTED_VALUE"""),"Recon")</f>
        <v>Recon</v>
      </c>
      <c r="B596" t="str">
        <f>IFERROR(__xludf.DUMMYFUNCTION("""COMPUTED_VALUE"""),"VerifyAppMatchedData")</f>
        <v>VerifyAppMatchedData</v>
      </c>
      <c r="C596" t="str">
        <f>IFERROR(__xludf.DUMMYFUNCTION("""COMPUTED_VALUE"""),"14GA6gCi0TKNLF2vISw-OK2MXQBKkoHIrNEl4pTEICeg")</f>
        <v>14GA6gCi0TKNLF2vISw-OK2MXQBKkoHIrNEl4pTEICeg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IFERROR(__xludf.DUMMYFUNCTION("""COMPUTED_VALUE"""),"VerifyAppUnmatchedData")</f>
        <v>VerifyAppUnmatchedData</v>
      </c>
      <c r="C597" t="str">
        <f>IFERROR(__xludf.DUMMYFUNCTION("""COMPUTED_VALUE"""),"1fRtlhH7TyRkIcxAV3P_BFbmJBgSLDwOvrBxrqiU6xKw")</f>
        <v>1fRtlhH7TyRkIcxAV3P_BFbmJBgSLDwOvrBxrqiU6xKw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IFERROR(__xludf.DUMMYFUNCTION("""COMPUTED_VALUE"""),"VerifyPBMatchedData")</f>
        <v>VerifyPBMatchedData</v>
      </c>
      <c r="C598" t="str">
        <f>IFERROR(__xludf.DUMMYFUNCTION("""COMPUTED_VALUE"""),"18BzE30Ho0Qvtx4D8qR8XqV6nyyOdYbSVu-Z17SjWyuA")</f>
        <v>18BzE30Ho0Qvtx4D8qR8XqV6nyyOdYbSVu-Z17SjWyuA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IFERROR(__xludf.DUMMYFUNCTION("""COMPUTED_VALUE"""),"VerifyPBUnmatchedData")</f>
        <v>VerifyPBUnmatchedData</v>
      </c>
      <c r="C599" t="str">
        <f>IFERROR(__xludf.DUMMYFUNCTION("""COMPUTED_VALUE"""),"175euYUhYwu8NiO4e3-6islzKymxACVs9cl3KioQ0DbA")</f>
        <v>175euYUhYwu8NiO4e3-6islzKymxACVs9cl3KioQ0DbA</v>
      </c>
    </row>
    <row r="600" ht="15.75" customHeight="1">
      <c r="A600" t="str">
        <f>IFERROR(__xludf.DUMMYFUNCTION("""COMPUTED_VALUE"""),"QTT")</f>
        <v>QTT</v>
      </c>
      <c r="B600" t="str">
        <f>IFERROR(__xludf.DUMMYFUNCTION("""COMPUTED_VALUE"""),"OpenQtt")</f>
        <v>OpenQtt</v>
      </c>
      <c r="C600" t="str">
        <f>IFERROR(__xludf.DUMMYFUNCTION("""COMPUTED_VALUE"""),"1aAWPiagRSQBPzFpFvPGXOL3ffgkx6Nv3C5nWfeoNcgM")</f>
        <v>1aAWPiagRSQBPzFpFvPGXOL3ffgkx6Nv3C5nWfeoNcgM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IFERROR(__xludf.DUMMYFUNCTION("""COMPUTED_VALUE"""),"TradeFromQTT")</f>
        <v>TradeFromQTT</v>
      </c>
      <c r="C601" t="str">
        <f>IFERROR(__xludf.DUMMYFUNCTION("""COMPUTED_VALUE"""),"1VxR48DRURy-5fMryJTwAP30_4MHBsyd5IYM_MA17mH4")</f>
        <v>1VxR48DRURy-5fMryJTwAP30_4MHBsyd5IYM_MA17mH4</v>
      </c>
    </row>
    <row r="602" ht="15.75" customHeight="1">
      <c r="A602" t="str">
        <f>IFERROR(__xludf.DUMMYFUNCTION("""COMPUTED_VALUE"""),"TradingTicket")</f>
        <v>TradingTicket</v>
      </c>
      <c r="B602" t="str">
        <f>IFERROR(__xludf.DUMMYFUNCTION("""COMPUTED_VALUE"""),"VerifyBasketExport")</f>
        <v>VerifyBasketExport</v>
      </c>
      <c r="C602" t="str">
        <f>IFERROR(__xludf.DUMMYFUNCTION("""COMPUTED_VALUE"""),"1KOVAJXM-60wuzbemyOcR8_7Pu3PI0nXBRqpYgb3dzkU")</f>
        <v>1KOVAJXM-60wuzbemyOcR8_7Pu3PI0nXBRqpYgb3dzkU</v>
      </c>
    </row>
    <row r="603" ht="15.75" customHeight="1">
      <c r="A603" t="str">
        <f>IFERROR(__xludf.DUMMYFUNCTION("""COMPUTED_VALUE"""),"Admin")</f>
        <v>Admin</v>
      </c>
      <c r="B603" t="str">
        <f>IFERROR(__xludf.DUMMYFUNCTION("""COMPUTED_VALUE"""),"SetCompliancePermission")</f>
        <v>SetCompliancePermission</v>
      </c>
      <c r="C603" t="str">
        <f>IFERROR(__xludf.DUMMYFUNCTION("""COMPUTED_VALUE"""),"125GL21UTNAv-VPIkHZbpZjsENPGN-XLVcbrUI4CZxxA")</f>
        <v>125GL21UTNAv-VPIkHZbpZjsENPGN-XLVcbrUI4CZxxA</v>
      </c>
    </row>
    <row r="604" ht="15.75" customHeight="1">
      <c r="A604" t="str">
        <f>IFERROR(__xludf.DUMMYFUNCTION("""COMPUTED_VALUE"""),"Compliance")</f>
        <v>Compliance</v>
      </c>
      <c r="B604" t="str">
        <f>IFERROR(__xludf.DUMMYFUNCTION("""COMPUTED_VALUE"""),"ApproveorRejectpendingapproval")</f>
        <v>ApproveorRejectpendingapproval</v>
      </c>
      <c r="C604" t="str">
        <f>IFERROR(__xludf.DUMMYFUNCTION("""COMPUTED_VALUE"""),"1kblrJiY5tjWVV0kCU90-uYIUPjXfJMDg72L-1IJOLGU")</f>
        <v>1kblrJiY5tjWVV0kCU90-uYIUPjXfJMDg72L-1IJOLGU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IFERROR(__xludf.DUMMYFUNCTION("""COMPUTED_VALUE"""),"VerifyAlertHistory")</f>
        <v>VerifyAlertHistory</v>
      </c>
      <c r="C605" t="str">
        <f>IFERROR(__xludf.DUMMYFUNCTION("""COMPUTED_VALUE"""),"1flh7l8ahyS7C018bO_Y6k1K-XT76tXzdz53HLkQ4xU4")</f>
        <v>1flh7l8ahyS7C018bO_Y6k1K-XT76tXzdz53HLkQ4xU4</v>
      </c>
    </row>
    <row r="606" ht="15.75" customHeight="1">
      <c r="A606" t="str">
        <f>IFERROR(__xludf.DUMMYFUNCTION("""COMPUTED_VALUE"""),"Blotter")</f>
        <v>Blotter</v>
      </c>
      <c r="B606" t="str">
        <f>IFERROR(__xludf.DUMMYFUNCTION("""COMPUTED_VALUE"""),"MergeOrder")</f>
        <v>MergeOrder</v>
      </c>
      <c r="C606" t="str">
        <f>IFERROR(__xludf.DUMMYFUNCTION("""COMPUTED_VALUE"""),"1MPmJ5VEjT-ZUHCoVctZCP9aHjIzuZW0_hruDc41GD-A")</f>
        <v>1MPmJ5VEjT-ZUHCoVctZCP9aHjIzuZW0_hruDc41GD-A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IFERROR(__xludf.DUMMYFUNCTION("""COMPUTED_VALUE"""),"VerifyMergeOrder")</f>
        <v>VerifyMergeOrder</v>
      </c>
      <c r="C607" t="str">
        <f>IFERROR(__xludf.DUMMYFUNCTION("""COMPUTED_VALUE"""),"1YPCy9ceoUg_SjAt-3PXhz8GxVOfWkuIJ1yRR9c0aZrE")</f>
        <v>1YPCy9ceoUg_SjAt-3PXhz8GxVOfWkuIJ1yRR9c0aZrE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IFERROR(__xludf.DUMMYFUNCTION("""COMPUTED_VALUE"""),"AddTabBlotter")</f>
        <v>AddTabBlotter</v>
      </c>
      <c r="C608" t="str">
        <f>IFERROR(__xludf.DUMMYFUNCTION("""COMPUTED_VALUE"""),"1YMp0jrKM8rLBzloaDu3tQ6aTv8C98xCVaQ6Wxe_flKc")</f>
        <v>1YMp0jrKM8rLBzloaDu3tQ6aTv8C98xCVaQ6Wxe_flKc</v>
      </c>
    </row>
    <row r="609" ht="15.75" customHeight="1">
      <c r="A609" t="str">
        <f>IFERROR(__xludf.DUMMYFUNCTION("""COMPUTED_VALUE"""),"Rebalancer")</f>
        <v>Rebalancer</v>
      </c>
      <c r="B609" t="str">
        <f>IFERROR(__xludf.DUMMYFUNCTION("""COMPUTED_VALUE"""),"CloseRebalancer")</f>
        <v>CloseRebalancer</v>
      </c>
      <c r="C609" t="str">
        <f>IFERROR(__xludf.DUMMYFUNCTION("""COMPUTED_VALUE"""),"Undefined")</f>
        <v>Undefined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IFERROR(__xludf.DUMMYFUNCTION("""COMPUTED_VALUE"""),"AddCustomCashUsingImport")</f>
        <v>AddCustomCashUsingImport</v>
      </c>
      <c r="C610" t="str">
        <f>IFERROR(__xludf.DUMMYFUNCTION("""COMPUTED_VALUE"""),"1nK0OIxssf5AR0xHG2TzYVlqjkwDX8BRkcb7sWcPW2kA")</f>
        <v>1nK0OIxssf5AR0xHG2TzYVlqjkwDX8BRkcb7sWcPW2kA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IFERROR(__xludf.DUMMYFUNCTION("""COMPUTED_VALUE"""),"EditRebalanceGrid")</f>
        <v>EditRebalanceGrid</v>
      </c>
      <c r="C611" t="str">
        <f>IFERROR(__xludf.DUMMYFUNCTION("""COMPUTED_VALUE"""),"1QX_rYsr8GIcxa1bv4oQ2qNxe0w-YwiY_loABgwfLsP0")</f>
        <v>1QX_rYsr8GIcxa1bv4oQ2qNxe0w-YwiY_loABgwfLsP0</v>
      </c>
    </row>
    <row r="612" ht="15.75" customHeight="1">
      <c r="A612" t="str">
        <f>IFERROR(__xludf.DUMMYFUNCTION("""COMPUTED_VALUE"""),"DailyValuation")</f>
        <v>DailyValuation</v>
      </c>
      <c r="B612" t="str">
        <f>IFERROR(__xludf.DUMMYFUNCTION("""COMPUTED_VALUE"""),"EnableBlankMarkPrices")</f>
        <v>EnableBlankMarkPrices</v>
      </c>
      <c r="C612" t="str">
        <f>IFERROR(__xludf.DUMMYFUNCTION("""COMPUTED_VALUE"""),"10Mzp90fyme73_sxAYwM2i8xwqgeQUe_de_N7Y-Cnu6Q")</f>
        <v>10Mzp90fyme73_sxAYwM2i8xwqgeQUe_de_N7Y-Cnu6Q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IFERROR(__xludf.DUMMYFUNCTION("""COMPUTED_VALUE"""),"UpateSymbolBlankMP")</f>
        <v>UpateSymbolBlankMP</v>
      </c>
      <c r="C613" t="str">
        <f>IFERROR(__xludf.DUMMYFUNCTION("""COMPUTED_VALUE"""),"1Y4lmODSKti17gLeUqSwERRx-4D5awbTM9UOJZrp60F4")</f>
        <v>1Y4lmODSKti17gLeUqSwERRx-4D5awbTM9UOJZrp60F4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IFERROR(__xludf.DUMMYFUNCTION("""COMPUTED_VALUE"""),"UpdateBlankMP")</f>
        <v>UpdateBlankMP</v>
      </c>
      <c r="C614" t="str">
        <f>IFERROR(__xludf.DUMMYFUNCTION("""COMPUTED_VALUE"""),"1i5WlaPZ1-uo5yRQyqBi_NoGgPj8ziXj7cnN8reG8SXo")</f>
        <v>1i5WlaPZ1-uo5yRQyqBi_NoGgPj8ziXj7cnN8reG8SXo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IFERROR(__xludf.DUMMYFUNCTION("""COMPUTED_VALUE"""),"FilterBlankMP")</f>
        <v>FilterBlankMP</v>
      </c>
      <c r="C615" t="str">
        <f>IFERROR(__xludf.DUMMYFUNCTION("""COMPUTED_VALUE"""),"1zsU3_vPB4UlwnEI6Hgxofosk22-vdytF5SYhkTLGr3Y")</f>
        <v>1zsU3_vPB4UlwnEI6Hgxofosk22-vdytF5SYhkTLGr3Y</v>
      </c>
    </row>
    <row r="616" ht="15.75" customHeight="1">
      <c r="A616" t="str">
        <f>IFERROR(__xludf.DUMMYFUNCTION("""COMPUTED_VALUE"""),"SymbolLookup")</f>
        <v>SymbolLookup</v>
      </c>
      <c r="B616" t="str">
        <f>IFERROR(__xludf.DUMMYFUNCTION("""COMPUTED_VALUE"""),"SelectFromSMGridUI")</f>
        <v>SelectFromSMGridUI</v>
      </c>
      <c r="C616" t="str">
        <f>IFERROR(__xludf.DUMMYFUNCTION("""COMPUTED_VALUE"""),"1RozaKMXual4WXW46lBsE3Orf9OV2Nn-FhxvokH28xaw")</f>
        <v>1RozaKMXual4WXW46lBsE3Orf9OV2Nn-FhxvokH28xaw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IFERROR(__xludf.DUMMYFUNCTION("""COMPUTED_VALUE"""),"EditSMGridUi")</f>
        <v>EditSMGridUi</v>
      </c>
      <c r="C617" t="str">
        <f>IFERROR(__xludf.DUMMYFUNCTION("""COMPUTED_VALUE"""),"1P3hQI12FYJP4QrekwcLQ4UJcZeg6WQU7Y7X6wSfNfe4")</f>
        <v>1P3hQI12FYJP4QrekwcLQ4UJcZeg6WQU7Y7X6wSfNfe4</v>
      </c>
    </row>
    <row r="618" ht="15.75" customHeight="1">
      <c r="A618" t="str">
        <f>IFERROR(__xludf.DUMMYFUNCTION("""COMPUTED_VALUE"""),"Compliance")</f>
        <v>Compliance</v>
      </c>
      <c r="B618" t="str">
        <f>IFERROR(__xludf.DUMMYFUNCTION("""COMPUTED_VALUE"""),"EditInterceptorFile")</f>
        <v>EditInterceptorFile</v>
      </c>
      <c r="C618" t="str">
        <f>IFERROR(__xludf.DUMMYFUNCTION("""COMPUTED_VALUE"""),"1E0GenYl5VsF6ic5npTKWWfS_gebqIIj6InrHMvvbtso")</f>
        <v>1E0GenYl5VsF6ic5npTKWWfS_gebqIIj6InrHMvvbtso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IFERROR(__xludf.DUMMYFUNCTION("""COMPUTED_VALUE"""),"ReplaceInterceptorFile")</f>
        <v>ReplaceInterceptorFile</v>
      </c>
      <c r="C619" t="str">
        <f>IFERROR(__xludf.DUMMYFUNCTION("""COMPUTED_VALUE"""),"Undefined")</f>
        <v>Undefined</v>
      </c>
    </row>
    <row r="620" ht="15.75" customHeight="1">
      <c r="A620" t="str">
        <f>IFERROR(__xludf.DUMMYFUNCTION("""COMPUTED_VALUE"""),"Blotter")</f>
        <v>Blotter</v>
      </c>
      <c r="B620" t="str">
        <f>IFERROR(__xludf.DUMMYFUNCTION("""COMPUTED_VALUE"""),"VerifyLowerStripBlotterUI")</f>
        <v>VerifyLowerStripBlotterUI</v>
      </c>
      <c r="C620" t="str">
        <f>IFERROR(__xludf.DUMMYFUNCTION("""COMPUTED_VALUE"""),"1HZDVVf9laKE8xHcR6trbwHakdbl6uFndhwO94MHDlcQ")</f>
        <v>1HZDVVf9laKE8xHcR6trbwHakdbl6uFndhwO94MHDlcQ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IFERROR(__xludf.DUMMYFUNCTION("""COMPUTED_VALUE"""),"SaveOrRemoveInSummaryTab")</f>
        <v>SaveOrRemoveInSummaryTab</v>
      </c>
      <c r="C621" t="str">
        <f>IFERROR(__xludf.DUMMYFUNCTION("""COMPUTED_VALUE"""),"16E73g0W5LRIhkg1RbjzOOK94Uv0Vlbn7MMDq-QXA2kc")</f>
        <v>16E73g0W5LRIhkg1RbjzOOK94Uv0Vlbn7MMDq-QXA2kc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IFERROR(__xludf.DUMMYFUNCTION("""COMPUTED_VALUE"""),"SaveOrRemoveInWorkingSubsTab")</f>
        <v>SaveOrRemoveInWorkingSubsTab</v>
      </c>
      <c r="C622" t="str">
        <f>IFERROR(__xludf.DUMMYFUNCTION("""COMPUTED_VALUE"""),"15CFpQocegIFfZ23cSQZai_mnb9NZPlp99oh6nO0sjXg")</f>
        <v>15CFpQocegIFfZ23cSQZai_mnb9NZPlp99oh6nO0sjXg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IFERROR(__xludf.DUMMYFUNCTION("""COMPUTED_VALUE"""),"SelectCheckBoxOnOrderGrid")</f>
        <v>SelectCheckBoxOnOrderGrid</v>
      </c>
      <c r="C623" t="str">
        <f>IFERROR(__xludf.DUMMYFUNCTION("""COMPUTED_VALUE"""),"18ge8W43MnUH64uDLyzdwmaOTsTAxaKRTY5e2M2PR7Ig")</f>
        <v>18ge8W43MnUH64uDLyzdwmaOTsTAxaKRTY5e2M2PR7Ig</v>
      </c>
    </row>
    <row r="624" ht="15.75" customHeight="1">
      <c r="A624" t="str">
        <f>IFERROR(__xludf.DUMMYFUNCTION("""COMPUTED_VALUE"""),"Compliance")</f>
        <v>Compliance</v>
      </c>
      <c r="B624" t="str">
        <f>IFERROR(__xludf.DUMMYFUNCTION("""COMPUTED_VALUE"""),"RestartReleasesAndServices")</f>
        <v>RestartReleasesAndServices</v>
      </c>
      <c r="C624" t="str">
        <f>IFERROR(__xludf.DUMMYFUNCTION("""COMPUTED_VALUE"""),"1T07pMES6_0vIAOHEcHllSqzIfxdK3kjZkG_bnk1Q87E")</f>
        <v>1T07pMES6_0vIAOHEcHllSqzIfxdK3kjZkG_bnk1Q87E</v>
      </c>
    </row>
    <row r="625" ht="15.75" customHeight="1">
      <c r="A625" t="str">
        <f>IFERROR(__xludf.DUMMYFUNCTION("""COMPUTED_VALUE"""),"PTT")</f>
        <v>PTT</v>
      </c>
      <c r="B625" t="str">
        <f>IFERROR(__xludf.DUMMYFUNCTION("""COMPUTED_VALUE"""),"AutoStageImportFromPTTExport")</f>
        <v>AutoStageImportFromPTTExport</v>
      </c>
      <c r="C625" t="str">
        <f>IFERROR(__xludf.DUMMYFUNCTION("""COMPUTED_VALUE"""),"Undefined")</f>
        <v>Undefined</v>
      </c>
    </row>
    <row r="626" ht="15.75" customHeight="1">
      <c r="A626" t="str">
        <f>IFERROR(__xludf.DUMMYFUNCTION("""COMPUTED_VALUE"""),"Closing")</f>
        <v>Closing</v>
      </c>
      <c r="B626" t="str">
        <f>IFERROR(__xludf.DUMMYFUNCTION("""COMPUTED_VALUE"""),"FilterClosing")</f>
        <v>FilterClosing</v>
      </c>
      <c r="C626" t="str">
        <f>IFERROR(__xludf.DUMMYFUNCTION("""COMPUTED_VALUE"""),"1JSzRoeUWroBBbNbincAHC4uO8KmsFjinSPOeKTzIgWw")</f>
        <v>1JSzRoeUWroBBbNbincAHC4uO8KmsFjinSPOeKTzIgWw</v>
      </c>
    </row>
    <row r="627" ht="15.75" customHeight="1">
      <c r="A627" t="str">
        <f>IFERROR(__xludf.DUMMYFUNCTION("""COMPUTED_VALUE"""),"MultiTradingTicket")</f>
        <v>MultiTradingTicket</v>
      </c>
      <c r="B627" t="str">
        <f>IFERROR(__xludf.DUMMYFUNCTION("""COMPUTED_VALUE"""),"BulkEditUpdateFromMTT")</f>
        <v>BulkEditUpdateFromMTT</v>
      </c>
      <c r="C627" t="str">
        <f>IFERROR(__xludf.DUMMYFUNCTION("""COMPUTED_VALUE"""),"1M4JJJsoeSKu6pTetWn8bRE7zQlcKGucRxjGGlqEA3d4")</f>
        <v>1M4JJJsoeSKu6pTetWn8bRE7zQlcKGucRxjGGlqEA3d4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IFERROR(__xludf.DUMMYFUNCTION("""COMPUTED_VALUE"""),"BulkChangeCreateStageOrder")</f>
        <v>BulkChangeCreateStageOrder</v>
      </c>
      <c r="C628" t="str">
        <f>IFERROR(__xludf.DUMMYFUNCTION("""COMPUTED_VALUE"""),"1eGv-pvwZhT1511VogxRAfh-QbF2wJZDvzpTQHphliak")</f>
        <v>1eGv-pvwZhT1511VogxRAfh-QbF2wJZDvzpTQHphliak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IFERROR(__xludf.DUMMYFUNCTION("""COMPUTED_VALUE"""),"BulkUpdateUsingMTT")</f>
        <v>BulkUpdateUsingMTT</v>
      </c>
      <c r="C629" t="str">
        <f>IFERROR(__xludf.DUMMYFUNCTION("""COMPUTED_VALUE"""),"1H01hn91s0buuShObE8vUpumNB-99MHja4DJxcTvy1GU")</f>
        <v>1H01hn91s0buuShObE8vUpumNB-99MHja4DJxcTvy1GU</v>
      </c>
    </row>
    <row r="630" ht="15.75" customHeight="1">
      <c r="A630" t="str">
        <f>IFERROR(__xludf.DUMMYFUNCTION("""COMPUTED_VALUE"""),"PranaClient")</f>
        <v>PranaClient</v>
      </c>
      <c r="B630" t="str">
        <f>IFERROR(__xludf.DUMMYFUNCTION("""COMPUTED_VALUE"""),"CompareXML")</f>
        <v>CompareXML</v>
      </c>
      <c r="C630" t="str">
        <f>IFERROR(__xludf.DUMMYFUNCTION("""COMPUTED_VALUE"""),"1WtgbOyiLNErYI8GO9AbbJE12IcFr1TtjqIL6v2nwjLU")</f>
        <v>1WtgbOyiLNErYI8GO9AbbJE12IcFr1TtjqIL6v2nwjLU</v>
      </c>
    </row>
    <row r="631" ht="15.75" customHeight="1">
      <c r="A631" t="str">
        <f>IFERROR(__xludf.DUMMYFUNCTION("""COMPUTED_VALUE"""),"Admin")</f>
        <v>Admin</v>
      </c>
      <c r="B631" t="str">
        <f>IFERROR(__xludf.DUMMYFUNCTION("""COMPUTED_VALUE"""),"SetMasterFundOnTT")</f>
        <v>SetMasterFundOnTT</v>
      </c>
      <c r="C631" t="str">
        <f>IFERROR(__xludf.DUMMYFUNCTION("""COMPUTED_VALUE"""),"1duRG5DukVziXM3AbWJjEHG1WfsWREKj0zcQWLcC3N0o")</f>
        <v>1duRG5DukVziXM3AbWJjEHG1WfsWREKj0zcQWLcC3N0o</v>
      </c>
    </row>
    <row r="632" ht="15.75" customHeight="1">
      <c r="A632" t="str">
        <f>IFERROR(__xludf.DUMMYFUNCTION("""COMPUTED_VALUE"""),"TradingTicket")</f>
        <v>TradingTicket</v>
      </c>
      <c r="B632" t="str">
        <f>IFERROR(__xludf.DUMMYFUNCTION("""COMPUTED_VALUE"""),"VerifyCustomAllocationonTT")</f>
        <v>VerifyCustomAllocationonTT</v>
      </c>
      <c r="C632" t="str">
        <f>IFERROR(__xludf.DUMMYFUNCTION("""COMPUTED_VALUE"""),"1Z3l-jIyJbM2hFTF5NgxtnL1fChZg2TPPhaAzx7mfVm8")</f>
        <v>1Z3l-jIyJbM2hFTF5NgxtnL1fChZg2TPPhaAzx7mfVm8</v>
      </c>
    </row>
    <row r="633" ht="15.75" customHeight="1">
      <c r="A633" t="str">
        <f>IFERROR(__xludf.DUMMYFUNCTION("""COMPUTED_VALUE"""),"Blotter")</f>
        <v>Blotter</v>
      </c>
      <c r="B633" t="str">
        <f>IFERROR(__xludf.DUMMYFUNCTION("""COMPUTED_VALUE"""),"ReAllocateFromBlotterByAllocate")</f>
        <v>ReAllocateFromBlotterByAllocate</v>
      </c>
      <c r="C633" t="str">
        <f>IFERROR(__xludf.DUMMYFUNCTION("""COMPUTED_VALUE"""),"1NHKxDgR0tyL2jet1xXc0HhWXSJ-79CcnSRkHUBgPpoY")</f>
        <v>1NHKxDgR0tyL2jet1xXc0HhWXSJ-79CcnSRkHUBgPpoY</v>
      </c>
    </row>
    <row r="634" ht="15.75" customHeight="1">
      <c r="A634" t="str">
        <f>IFERROR(__xludf.DUMMYFUNCTION("""COMPUTED_VALUE"""),"Simulator")</f>
        <v>Simulator</v>
      </c>
      <c r="B634" t="str">
        <f>IFERROR(__xludf.DUMMYFUNCTION("""COMPUTED_VALUE"""),"VerifyTagInAllFixLogs")</f>
        <v>VerifyTagInAllFixLogs</v>
      </c>
      <c r="C634" t="str">
        <f>IFERROR(__xludf.DUMMYFUNCTION("""COMPUTED_VALUE"""),"1uy63r2XjpUIBlAUk-lXKJTr-PpvpP6wxvLlLDzoM-Ic")</f>
        <v>1uy63r2XjpUIBlAUk-lXKJTr-PpvpP6wxvLlLDzoM-Ic</v>
      </c>
    </row>
    <row r="635" ht="15.75" customHeight="1">
      <c r="A635" t="str">
        <f>IFERROR(__xludf.DUMMYFUNCTION("""COMPUTED_VALUE"""),"PranaClient")</f>
        <v>PranaClient</v>
      </c>
      <c r="B635" t="str">
        <f>IFERROR(__xludf.DUMMYFUNCTION("""COMPUTED_VALUE"""),"LoginClient")</f>
        <v>LoginClient</v>
      </c>
      <c r="C635" t="str">
        <f>IFERROR(__xludf.DUMMYFUNCTION("""COMPUTED_VALUE"""),"1zfvz-aZrAcrVcCZFJj3FAv1GqBrnIiDpgU-TteWVAOw")</f>
        <v>1zfvz-aZrAcrVcCZFJj3FAv1GqBrnIiDpgU-TteWVAOw</v>
      </c>
    </row>
    <row r="636" ht="15.75" customHeight="1">
      <c r="A636" t="str">
        <f>IFERROR(__xludf.DUMMYFUNCTION("""COMPUTED_VALUE"""),"PortfolioManagement")</f>
        <v>PortfolioManagement</v>
      </c>
      <c r="B636" t="str">
        <f>IFERROR(__xludf.DUMMYFUNCTION("""COMPUTED_VALUE"""),"SortAndVerifyPM")</f>
        <v>SortAndVerifyPM</v>
      </c>
      <c r="C636" t="str">
        <f>IFERROR(__xludf.DUMMYFUNCTION("""COMPUTED_VALUE"""),"1X7RzdVuf6bK9F2T7pOeh4nUpKg76Hv2aa-gBjDxYkcs")</f>
        <v>1X7RzdVuf6bK9F2T7pOeh4nUpKg76Hv2aa-gBjDxYkcs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IFERROR(__xludf.DUMMYFUNCTION("""COMPUTED_VALUE"""),"OpenPIFromPM")</f>
        <v>OpenPIFromPM</v>
      </c>
      <c r="C637" t="str">
        <f>IFERROR(__xludf.DUMMYFUNCTION("""COMPUTED_VALUE"""),"1IuAnXzRzuOehEMtqDK11-sb6DktGPWzx0jT8n2IsrY4")</f>
        <v>1IuAnXzRzuOehEMtqDK11-sb6DktGPWzx0jT8n2IsrY4</v>
      </c>
    </row>
    <row r="638" ht="15.75" customHeight="1">
      <c r="A638" t="str">
        <f>IFERROR(__xludf.DUMMYFUNCTION("""COMPUTED_VALUE"""),"MultiTradingTicket")</f>
        <v>MultiTradingTicket</v>
      </c>
      <c r="B638" t="str">
        <f>IFERROR(__xludf.DUMMYFUNCTION("""COMPUTED_VALUE"""),"RefreshPriceUsingMTT")</f>
        <v>RefreshPriceUsingMTT</v>
      </c>
      <c r="C638" t="str">
        <f>IFERROR(__xludf.DUMMYFUNCTION("""COMPUTED_VALUE"""),"1YtdRVMbFR2kvDHO7XasICZNjFKswCtDImUT3Gjkkfk4")</f>
        <v>1YtdRVMbFR2kvDHO7XasICZNjFKswCtDImUT3Gjkkfk4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IFERROR(__xludf.DUMMYFUNCTION("""COMPUTED_VALUE"""),"VerifyMTT")</f>
        <v>VerifyMTT</v>
      </c>
      <c r="C639" t="str">
        <f>IFERROR(__xludf.DUMMYFUNCTION("""COMPUTED_VALUE"""),"1LkpuYouts5i-ZznsIzocNzJ13lcRDsnSdXk19BRgReI")</f>
        <v>1LkpuYouts5i-ZznsIzocNzJ13lcRDsnSdXk19BRgReI</v>
      </c>
    </row>
    <row r="640" ht="15.75" customHeight="1">
      <c r="A640" t="str">
        <f>IFERROR(__xludf.DUMMYFUNCTION("""COMPUTED_VALUE"""),"Simulator")</f>
        <v>Simulator</v>
      </c>
      <c r="B640" t="str">
        <f>IFERROR(__xludf.DUMMYFUNCTION("""COMPUTED_VALUE"""),"SetToAutomaticResponse")</f>
        <v>SetToAutomaticResponse</v>
      </c>
      <c r="C640" t="str">
        <f>IFERROR(__xludf.DUMMYFUNCTION("""COMPUTED_VALUE"""),"Undefined")</f>
        <v>Undefined</v>
      </c>
    </row>
    <row r="641" ht="15.75" customHeight="1">
      <c r="A641" t="str">
        <f>IFERROR(__xludf.DUMMYFUNCTION("""COMPUTED_VALUE"""),"Rebalancer")</f>
        <v>Rebalancer</v>
      </c>
      <c r="B641" t="str">
        <f>IFERROR(__xludf.DUMMYFUNCTION("""COMPUTED_VALUE"""),"SaveTradeList")</f>
        <v>SaveTradeList</v>
      </c>
      <c r="C641" t="str">
        <f>IFERROR(__xludf.DUMMYFUNCTION("""COMPUTED_VALUE"""),"1xCgr8y8ZWOV67Yl77qPCYg-GSJNVZrE2EwAmtpL4Xfg")</f>
        <v>1xCgr8y8ZWOV67Yl77qPCYg-GSJNVZrE2EwAmtpL4Xfg</v>
      </c>
    </row>
    <row r="642" ht="15.75" customHeight="1">
      <c r="A642" t="str">
        <f>IFERROR(__xludf.DUMMYFUNCTION("""COMPUTED_VALUE"""),"Rebalancer")</f>
        <v>Rebalancer</v>
      </c>
      <c r="B642" t="str">
        <f>IFERROR(__xludf.DUMMYFUNCTION("""COMPUTED_VALUE"""),"NavImpactingComponent")</f>
        <v>NavImpactingComponent</v>
      </c>
      <c r="C642" t="str">
        <f>IFERROR(__xludf.DUMMYFUNCTION("""COMPUTED_VALUE"""),"1f0zk0GxJ77AGpV5f_CL_mwxkoRha7_3Z1PIbpXZtod4")</f>
        <v>1f0zk0GxJ77AGpV5f_CL_mwxkoRha7_3Z1PIbpXZtod4</v>
      </c>
    </row>
    <row r="643" ht="15.75" customHeight="1">
      <c r="A643" t="str">
        <f>IFERROR(__xludf.DUMMYFUNCTION("""COMPUTED_VALUE"""),"Rebalancer")</f>
        <v>Rebalancer</v>
      </c>
      <c r="B643" t="str">
        <f>IFERROR(__xludf.DUMMYFUNCTION("""COMPUTED_VALUE"""),"ImportUsingRebalAccrossSec")</f>
        <v>ImportUsingRebalAccrossSec</v>
      </c>
      <c r="C643" t="str">
        <f>IFERROR(__xludf.DUMMYFUNCTION("""COMPUTED_VALUE"""),"1wqAINPqghzd-HB-5iMIqQiCzJj40pqhM2cTv6gahRwo")</f>
        <v>1wqAINPqghzd-HB-5iMIqQiCzJj40pqhM2cTv6gahRwo</v>
      </c>
    </row>
    <row r="644" ht="15.75" customHeight="1">
      <c r="A644" t="str">
        <f>IFERROR(__xludf.DUMMYFUNCTION("""COMPUTED_VALUE"""),"Rebalancer")</f>
        <v>Rebalancer</v>
      </c>
      <c r="B644" t="str">
        <f>IFERROR(__xludf.DUMMYFUNCTION("""COMPUTED_VALUE"""),"EditImportStatus")</f>
        <v>EditImportStatus</v>
      </c>
      <c r="C644" t="str">
        <f>IFERROR(__xludf.DUMMYFUNCTION("""COMPUTED_VALUE"""),"1Xkf1z6WsFfAEpWdBzMACVnTjRvtpZJ0Jbfvug1u1fb8")</f>
        <v>1Xkf1z6WsFfAEpWdBzMACVnTjRvtpZJ0Jbfvug1u1fb8</v>
      </c>
    </row>
    <row r="645" ht="15.75" customHeight="1">
      <c r="A645" t="str">
        <f>IFERROR(__xludf.DUMMYFUNCTION("""COMPUTED_VALUE"""),"Rebalancer")</f>
        <v>Rebalancer</v>
      </c>
      <c r="B645" t="str">
        <f>IFERROR(__xludf.DUMMYFUNCTION("""COMPUTED_VALUE"""),"SelectActionsOnImportStatus")</f>
        <v>SelectActionsOnImportStatus</v>
      </c>
      <c r="C645" t="str">
        <f>IFERROR(__xludf.DUMMYFUNCTION("""COMPUTED_VALUE"""),"10jCuA8F_28LjeoDXTbc5IgQjfWoEPTWq9svKzhi97OA")</f>
        <v>10jCuA8F_28LjeoDXTbc5IgQjfWoEPTWq9svKzhi97OA</v>
      </c>
    </row>
    <row r="646" ht="15.75" customHeight="1">
      <c r="A646" t="str">
        <f>IFERROR(__xludf.DUMMYFUNCTION("""COMPUTED_VALUE"""),"Rebalancer")</f>
        <v>Rebalancer</v>
      </c>
      <c r="B646" t="str">
        <f>IFERROR(__xludf.DUMMYFUNCTION("""COMPUTED_VALUE"""),"VerifyImportStatus")</f>
        <v>VerifyImportStatus</v>
      </c>
      <c r="C646" t="str">
        <f>IFERROR(__xludf.DUMMYFUNCTION("""COMPUTED_VALUE"""),"1cyg6XGf_AlQQ_g5DPcBgmBfH4Oz4BH6IUMfTD5nIhFQ")</f>
        <v>1cyg6XGf_AlQQ_g5DPcBgmBfH4Oz4BH6IUMfTD5nIhFQ</v>
      </c>
    </row>
    <row r="647" ht="15.75" customHeight="1">
      <c r="A647" t="str">
        <f>IFERROR(__xludf.DUMMYFUNCTION("""COMPUTED_VALUE"""),"PTT")</f>
        <v>PTT</v>
      </c>
      <c r="B647" t="str">
        <f>IFERROR(__xludf.DUMMYFUNCTION("""COMPUTED_VALUE"""),"OpenPreferencesFromPTT")</f>
        <v>OpenPreferencesFromPTT</v>
      </c>
      <c r="C647" t="str">
        <f>IFERROR(__xludf.DUMMYFUNCTION("""COMPUTED_VALUE"""),"Undefined")</f>
        <v>Undefined</v>
      </c>
    </row>
    <row r="648" ht="15.75" customHeight="1">
      <c r="A648" t="str">
        <f>IFERROR(__xludf.DUMMYFUNCTION("""COMPUTED_VALUE"""),"Watchlist")</f>
        <v>Watchlist</v>
      </c>
      <c r="B648" t="str">
        <f>IFERROR(__xludf.DUMMYFUNCTION("""COMPUTED_VALUE"""),"OpenPTTFromWatchlist")</f>
        <v>OpenPTTFromWatchlist</v>
      </c>
      <c r="C648" t="str">
        <f>IFERROR(__xludf.DUMMYFUNCTION("""COMPUTED_VALUE"""),"1CRJ_F5octCl23LyAw_CoHc_10OvrxRq8f7mNNzl_B6c")</f>
        <v>1CRJ_F5octCl23LyAw_CoHc_10OvrxRq8f7mNNzl_B6c</v>
      </c>
    </row>
    <row r="649" ht="15.75" customHeight="1">
      <c r="A649" t="str">
        <f>IFERROR(__xludf.DUMMYFUNCTION("""COMPUTED_VALUE"""),"Admin")</f>
        <v>Admin</v>
      </c>
      <c r="B649" t="str">
        <f>IFERROR(__xludf.DUMMYFUNCTION("""COMPUTED_VALUE"""),"SetMarketDataProvider")</f>
        <v>SetMarketDataProvider</v>
      </c>
      <c r="C649" t="str">
        <f>IFERROR(__xludf.DUMMYFUNCTION("""COMPUTED_VALUE"""),"11vW7fknzM8vTBH8SeRsGGkS29p8E1Xfx9205Qtc5hC4")</f>
        <v>11vW7fknzM8vTBH8SeRsGGkS29p8E1Xfx9205Qtc5hC4</v>
      </c>
    </row>
    <row r="650" ht="15.75" customHeight="1">
      <c r="A650" t="str">
        <f>IFERROR(__xludf.DUMMYFUNCTION("""COMPUTED_VALUE"""),"Admin")</f>
        <v>Admin</v>
      </c>
      <c r="B650" t="str">
        <f>IFERROR(__xludf.DUMMYFUNCTION("""COMPUTED_VALUE"""),"SetAllocationPreferences")</f>
        <v>SetAllocationPreferences</v>
      </c>
      <c r="C650" t="str">
        <f>IFERROR(__xludf.DUMMYFUNCTION("""COMPUTED_VALUE"""),"16PO4KGgITIDM3iQzFlyKHfXPBXba023pXOJQCBN_Elc")</f>
        <v>16PO4KGgITIDM3iQzFlyKHfXPBXba023pXOJQCBN_Elc</v>
      </c>
    </row>
    <row r="651" ht="15.75" customHeight="1">
      <c r="A651" t="str">
        <f>IFERROR(__xludf.DUMMYFUNCTION("""COMPUTED_VALUE"""),"TradingTicket")</f>
        <v>TradingTicket</v>
      </c>
      <c r="B651" t="str">
        <f>IFERROR(__xludf.DUMMYFUNCTION("""COMPUTED_VALUE"""),"CustomOrderTT")</f>
        <v>CustomOrderTT</v>
      </c>
      <c r="C651" t="str">
        <f>IFERROR(__xludf.DUMMYFUNCTION("""COMPUTED_VALUE"""),"1XzjmPmpB7IMcyzPSsbgmFfzjE_zIKdjrk0mUoMFhNZc")</f>
        <v>1XzjmPmpB7IMcyzPSsbgmFfzjE_zIKdjrk0mUoMFhNZc</v>
      </c>
    </row>
    <row r="652" ht="15.75" customHeight="1">
      <c r="A652" t="str">
        <f>IFERROR(__xludf.DUMMYFUNCTION("""COMPUTED_VALUE"""),"TradeServer")</f>
        <v>TradeServer</v>
      </c>
      <c r="B652" t="str">
        <f>IFERROR(__xludf.DUMMYFUNCTION("""COMPUTED_VALUE"""),"ConnectToSimAutoMan")</f>
        <v>ConnectToSimAutoMan</v>
      </c>
      <c r="C652" t="str">
        <f>IFERROR(__xludf.DUMMYFUNCTION("""COMPUTED_VALUE"""),"1kmGpZTH9xe92vT2JQhF-Njj6d_RCoVtRypLmoKTlseo")</f>
        <v>1kmGpZTH9xe92vT2JQhF-Njj6d_RCoVtRypLmoKTlseo</v>
      </c>
    </row>
    <row r="653" ht="15.75" customHeight="1">
      <c r="A653" t="str">
        <f>IFERROR(__xludf.DUMMYFUNCTION("""COMPUTED_VALUE"""),"Admin")</f>
        <v>Admin</v>
      </c>
      <c r="B653" t="str">
        <f>IFERROR(__xludf.DUMMYFUNCTION("""COMPUTED_VALUE"""),"SetRegularCompliancePermission")</f>
        <v>SetRegularCompliancePermission</v>
      </c>
      <c r="C653" t="str">
        <f>IFERROR(__xludf.DUMMYFUNCTION("""COMPUTED_VALUE"""),"1pGZ7u9bF4Lu1nJJRSpSz5TQn_FVJsrIH05yxOHHU4S4")</f>
        <v>1pGZ7u9bF4Lu1nJJRSpSz5TQn_FVJsrIH05yxOHHU4S4</v>
      </c>
    </row>
    <row r="654" ht="15.75" customHeight="1">
      <c r="A654" t="str">
        <f>IFERROR(__xludf.DUMMYFUNCTION("""COMPUTED_VALUE"""),"MultiTradingTicket")</f>
        <v>MultiTradingTicket</v>
      </c>
      <c r="B654" t="str">
        <f>IFERROR(__xludf.DUMMYFUNCTION("""COMPUTED_VALUE"""),"AddOrRemoveColumn")</f>
        <v>AddOrRemoveColumn</v>
      </c>
      <c r="C654" t="str">
        <f>IFERROR(__xludf.DUMMYFUNCTION("""COMPUTED_VALUE"""),"143kwNkqtTW1E3kVeTrESBbZbd8h3b9KHBzWYPombeFE")</f>
        <v>143kwNkqtTW1E3kVeTrESBbZbd8h3b9KHBzWYPombeFE</v>
      </c>
    </row>
    <row r="655" ht="15.75" customHeight="1">
      <c r="A655" t="str">
        <f>IFERROR(__xludf.DUMMYFUNCTION("""COMPUTED_VALUE"""),"Blotter")</f>
        <v>Blotter</v>
      </c>
      <c r="B655" t="str">
        <f>IFERROR(__xludf.DUMMYFUNCTION("""COMPUTED_VALUE"""),"RemoveOrderFromCustomTab")</f>
        <v>RemoveOrderFromCustomTab</v>
      </c>
      <c r="C655" t="str">
        <f>IFERROR(__xludf.DUMMYFUNCTION("""COMPUTED_VALUE"""),"1sfynQiLVUyAEBtlKhgJSpN7R6q9257IFweh0qT9mx20")</f>
        <v>1sfynQiLVUyAEBtlKhgJSpN7R6q9257IFweh0qT9mx20</v>
      </c>
    </row>
    <row r="656" ht="15.75" customHeight="1">
      <c r="A656" t="str">
        <f>IFERROR(__xludf.DUMMYFUNCTION("""COMPUTED_VALUE"""),"MultiTradingTicket")</f>
        <v>MultiTradingTicket</v>
      </c>
      <c r="B656" t="str">
        <f>IFERROR(__xludf.DUMMYFUNCTION("""COMPUTED_VALUE"""),"SaveLayoutUsingMTT")</f>
        <v>SaveLayoutUsingMTT</v>
      </c>
      <c r="C656" t="str">
        <f>IFERROR(__xludf.DUMMYFUNCTION("""COMPUTED_VALUE"""),"Undefined")</f>
        <v>Undefined</v>
      </c>
    </row>
    <row r="657" ht="15.75" customHeight="1">
      <c r="A657" t="str">
        <f>IFERROR(__xludf.DUMMYFUNCTION("""COMPUTED_VALUE"""),"Blotter")</f>
        <v>Blotter</v>
      </c>
      <c r="B657" t="str">
        <f>IFERROR(__xludf.DUMMYFUNCTION("""COMPUTED_VALUE"""),"ReloadFromSummary")</f>
        <v>ReloadFromSummary</v>
      </c>
      <c r="C657" t="str">
        <f>IFERROR(__xludf.DUMMYFUNCTION("""COMPUTED_VALUE"""),"1va9lkysxv5IoF2imeSPCpBsD6J_IgJcN5bBcjjoS3g4")</f>
        <v>1va9lkysxv5IoF2imeSPCpBsD6J_IgJcN5bBcjjoS3g4</v>
      </c>
    </row>
    <row r="658" ht="15.75" customHeight="1">
      <c r="A658" t="str">
        <f>IFERROR(__xludf.DUMMYFUNCTION("""COMPUTED_VALUE"""),"Blotter")</f>
        <v>Blotter</v>
      </c>
      <c r="B658" t="str">
        <f>IFERROR(__xludf.DUMMYFUNCTION("""COMPUTED_VALUE"""),"AllocateFromWorkingSubsBlotter")</f>
        <v>AllocateFromWorkingSubsBlotter</v>
      </c>
      <c r="C658" t="str">
        <f>IFERROR(__xludf.DUMMYFUNCTION("""COMPUTED_VALUE"""),"1y2YFZm3A-cdE2rpKOdJdC0HlrimUfKr3DluQsVb-w0E")</f>
        <v>1y2YFZm3A-cdE2rpKOdJdC0HlrimUfKr3DluQsVb-w0E</v>
      </c>
    </row>
    <row r="659" ht="15.75" customHeight="1">
      <c r="A659" t="str">
        <f>IFERROR(__xludf.DUMMYFUNCTION("""COMPUTED_VALUE"""),"TradingTicket")</f>
        <v>TradingTicket</v>
      </c>
      <c r="B659" t="str">
        <f>IFERROR(__xludf.DUMMYFUNCTION("""COMPUTED_VALUE"""),"CheckStepSheet")</f>
        <v>CheckStepSheet</v>
      </c>
      <c r="C659" t="str">
        <f>IFERROR(__xludf.DUMMYFUNCTION("""COMPUTED_VALUE"""),"1CcLgTaVQvUoDbfsClCPnFcyGRwVMAdsncTnhtlJxsws")</f>
        <v>1CcLgTaVQvUoDbfsClCPnFcyGRwVMAdsncTnhtlJxsws</v>
      </c>
    </row>
    <row r="660" ht="15.75" customHeight="1">
      <c r="A660" t="str">
        <f>IFERROR(__xludf.DUMMYFUNCTION("""COMPUTED_VALUE"""),"Rebalancer")</f>
        <v>Rebalancer</v>
      </c>
      <c r="B660" t="str">
        <f>IFERROR(__xludf.DUMMYFUNCTION("""COMPUTED_VALUE"""),"AddNewModelPortfolio")</f>
        <v>AddNewModelPortfolio</v>
      </c>
      <c r="C660" t="str">
        <f>IFERROR(__xludf.DUMMYFUNCTION("""COMPUTED_VALUE"""),"1Qh_vkSA3OzQ68ohGqDcDXce4JnkIitnyepLjVSKsW40")</f>
        <v>1Qh_vkSA3OzQ68ohGqDcDXce4JnkIitnyepLjVSKsW40</v>
      </c>
    </row>
    <row r="661" ht="15.75" customHeight="1">
      <c r="A661" t="str">
        <f>IFERROR(__xludf.DUMMYFUNCTION("""COMPUTED_VALUE"""),"MultiTradingTicket")</f>
        <v>MultiTradingTicket</v>
      </c>
      <c r="B661" t="str">
        <f>IFERROR(__xludf.DUMMYFUNCTION("""COMPUTED_VALUE"""),"ApplyFilterOnMTTGrid")</f>
        <v>ApplyFilterOnMTTGrid</v>
      </c>
      <c r="C661" t="str">
        <f>IFERROR(__xludf.DUMMYFUNCTION("""COMPUTED_VALUE"""),"1Vbhwhkyzzv1rTVbuvoBAl60OJALDvg_yXNHVYwq0EhE")</f>
        <v>1Vbhwhkyzzv1rTVbuvoBAl60OJALDvg_yXNHVYwq0EhE</v>
      </c>
    </row>
    <row r="662" ht="15.75" customHeight="1">
      <c r="A662" t="str">
        <f>IFERROR(__xludf.DUMMYFUNCTION("""COMPUTED_VALUE"""),"Blotter")</f>
        <v>Blotter</v>
      </c>
      <c r="B662" t="str">
        <f>IFERROR(__xludf.DUMMYFUNCTION("""COMPUTED_VALUE"""),"EditOrderForMTT")</f>
        <v>EditOrderForMTT</v>
      </c>
      <c r="C662" t="str">
        <f>IFERROR(__xludf.DUMMYFUNCTION("""COMPUTED_VALUE"""),"1qWfM-5I-ku-5EHZAkn8eS-IZo3tx5B4_gWM6t3Q6Ioo")</f>
        <v>1qWfM-5I-ku-5EHZAkn8eS-IZo3tx5B4_gWM6t3Q6Ioo</v>
      </c>
    </row>
    <row r="663" ht="15.75" customHeight="1">
      <c r="A663" t="str">
        <f>IFERROR(__xludf.DUMMYFUNCTION("""COMPUTED_VALUE"""),"PortfolioManagement")</f>
        <v>PortfolioManagement</v>
      </c>
      <c r="B663" t="str">
        <f>IFERROR(__xludf.DUMMYFUNCTION("""COMPUTED_VALUE"""),"ViewSettings")</f>
        <v>ViewSettings</v>
      </c>
      <c r="C663" t="str">
        <f>IFERROR(__xludf.DUMMYFUNCTION("""COMPUTED_VALUE"""),"1BCFYc9ywS4ss91grP2kHc2F1OGEGuTk3Hc5CFYfKKao")</f>
        <v>1BCFYc9ywS4ss91grP2kHc2F1OGEGuTk3Hc5CFYfKKao</v>
      </c>
    </row>
    <row r="664" ht="15.75" customHeight="1">
      <c r="A664" t="str">
        <f>IFERROR(__xludf.DUMMYFUNCTION("""COMPUTED_VALUE"""),"PortfolioManagement")</f>
        <v>PortfolioManagement</v>
      </c>
      <c r="B664" t="str">
        <f>IFERROR(__xludf.DUMMYFUNCTION("""COMPUTED_VALUE"""),"SaveLayoutPM")</f>
        <v>SaveLayoutPM</v>
      </c>
      <c r="C664" t="str">
        <f>IFERROR(__xludf.DUMMYFUNCTION("""COMPUTED_VALUE"""),"18bINF8LvIWUr1rFpe1vpLTKdPT6dJi-B14KFcAVwyfQ")</f>
        <v>18bINF8LvIWUr1rFpe1vpLTKdPT6dJi-B14KFcAVwyfQ</v>
      </c>
    </row>
    <row r="665" ht="15.75" customHeight="1">
      <c r="A665" t="str">
        <f>IFERROR(__xludf.DUMMYFUNCTION("""COMPUTED_VALUE"""),"PortfolioManagement")</f>
        <v>PortfolioManagement</v>
      </c>
      <c r="B665" t="str">
        <f>IFERROR(__xludf.DUMMYFUNCTION("""COMPUTED_VALUE"""),"OpenCustomView")</f>
        <v>OpenCustomView</v>
      </c>
      <c r="C665" t="str">
        <f>IFERROR(__xludf.DUMMYFUNCTION("""COMPUTED_VALUE"""),"1aiFAc6kqib929pQs2Ufmf6eB0G6tPhDoqY6caFUaSUk")</f>
        <v>1aiFAc6kqib929pQs2Ufmf6eB0G6tPhDoqY6caFUaSUk</v>
      </c>
    </row>
    <row r="666" ht="15.75" customHeight="1">
      <c r="A666" t="str">
        <f>IFERROR(__xludf.DUMMYFUNCTION("""COMPUTED_VALUE"""),"Blotter")</f>
        <v>Blotter</v>
      </c>
      <c r="B666" t="str">
        <f>IFERROR(__xludf.DUMMYFUNCTION("""COMPUTED_VALUE"""),"VerifyCustomTabs")</f>
        <v>VerifyCustomTabs</v>
      </c>
      <c r="C666" t="str">
        <f>IFERROR(__xludf.DUMMYFUNCTION("""COMPUTED_VALUE"""),"1s7r1b7iwigom4v0m_RFb-ufZk23d2CqFi99gb-mX0YY")</f>
        <v>1s7r1b7iwigom4v0m_RFb-ufZk23d2CqFi99gb-mX0YY</v>
      </c>
    </row>
    <row r="667" ht="15.75" customHeight="1">
      <c r="A667" t="str">
        <f>IFERROR(__xludf.DUMMYFUNCTION("""COMPUTED_VALUE"""),"Blotter")</f>
        <v>Blotter</v>
      </c>
      <c r="B667" t="str">
        <f>IFERROR(__xludf.DUMMYFUNCTION("""COMPUTED_VALUE"""),"SelectCheckBoxOnCustomTab")</f>
        <v>SelectCheckBoxOnCustomTab</v>
      </c>
      <c r="C667" t="str">
        <f>IFERROR(__xludf.DUMMYFUNCTION("""COMPUTED_VALUE"""),"1W7_hWkxbVlSNSzD2alHZ5u1n0B8MxwrlBkeZiMYqHMY")</f>
        <v>1W7_hWkxbVlSNSzD2alHZ5u1n0B8MxwrlBkeZiMYqHMY</v>
      </c>
    </row>
    <row r="668" ht="15.75" customHeight="1">
      <c r="A668" t="str">
        <f>IFERROR(__xludf.DUMMYFUNCTION("""COMPUTED_VALUE"""),"Admin")</f>
        <v>Admin</v>
      </c>
      <c r="B668" t="str">
        <f>IFERROR(__xludf.DUMMYFUNCTION("""COMPUTED_VALUE"""),"SetCommissionRule")</f>
        <v>SetCommissionRule</v>
      </c>
      <c r="C668" t="str">
        <f>IFERROR(__xludf.DUMMYFUNCTION("""COMPUTED_VALUE"""),"1e-yvODG5ey0ZbxkvSZQ_rap65UOoA-JbxTp0ybaw-TQ")</f>
        <v>1e-yvODG5ey0ZbxkvSZQ_rap65UOoA-JbxTp0ybaw-TQ</v>
      </c>
    </row>
    <row r="669" ht="15.75" customHeight="1">
      <c r="A669" t="str">
        <f>IFERROR(__xludf.DUMMYFUNCTION("""COMPUTED_VALUE"""),"Rebalancer")</f>
        <v>Rebalancer</v>
      </c>
      <c r="B669" t="str">
        <f>IFERROR(__xludf.DUMMYFUNCTION("""COMPUTED_VALUE"""),"VerifyBuySellList")</f>
        <v>VerifyBuySellList</v>
      </c>
      <c r="C669" t="str">
        <f>IFERROR(__xludf.DUMMYFUNCTION("""COMPUTED_VALUE"""),"1O2u9vu9lB8RTOcsD20GdbXlSWEbt310TUvIkuLxRuBg")</f>
        <v>1O2u9vu9lB8RTOcsD20GdbXlSWEbt310TUvIkuLxRuBg</v>
      </c>
    </row>
    <row r="670" ht="15.75" customHeight="1">
      <c r="A670" t="str">
        <f>IFERROR(__xludf.DUMMYFUNCTION("""COMPUTED_VALUE"""),"Admin")</f>
        <v>Admin</v>
      </c>
      <c r="B670" t="str">
        <f>IFERROR(__xludf.DUMMYFUNCTION("""COMPUTED_VALUE"""),"SetPreTradeCompliancePermission")</f>
        <v>SetPreTradeCompliancePermission</v>
      </c>
      <c r="C670" t="str">
        <f>IFERROR(__xludf.DUMMYFUNCTION("""COMPUTED_VALUE"""),"1ewjQxQzAYWPb_Xt7eg-BDaW0JVta4cevciiv9vOUvg0")</f>
        <v>1ewjQxQzAYWPb_Xt7eg-BDaW0JVta4cevciiv9vOUvg0</v>
      </c>
    </row>
    <row r="671" ht="15.75" customHeight="1">
      <c r="A671" t="str">
        <f>IFERROR(__xludf.DUMMYFUNCTION("""COMPUTED_VALUE"""),"Blotter")</f>
        <v>Blotter</v>
      </c>
      <c r="B671" t="str">
        <f>IFERROR(__xludf.DUMMYFUNCTION("""COMPUTED_VALUE"""),"UploadStageOrder")</f>
        <v>UploadStageOrder</v>
      </c>
      <c r="C671" t="str">
        <f>IFERROR(__xludf.DUMMYFUNCTION("""COMPUTED_VALUE"""),"1lK9zUhBpffXk_Fyp8pfWJfS2RpqtAwa9zGPb9Vlkb7Q")</f>
        <v>1lK9zUhBpffXk_Fyp8pfWJfS2RpqtAwa9zGPb9Vlkb7Q</v>
      </c>
    </row>
    <row r="672" ht="15.75" customHeight="1">
      <c r="A672" t="str">
        <f>IFERROR(__xludf.DUMMYFUNCTION("""COMPUTED_VALUE"""),"Blotter")</f>
        <v>Blotter</v>
      </c>
      <c r="B672" t="str">
        <f>IFERROR(__xludf.DUMMYFUNCTION("""COMPUTED_VALUE"""),"RefreshBlotter")</f>
        <v>RefreshBlotter</v>
      </c>
      <c r="C672" t="str">
        <f>IFERROR(__xludf.DUMMYFUNCTION("""COMPUTED_VALUE"""),"Undefined")</f>
        <v>Undefined</v>
      </c>
    </row>
    <row r="673" ht="15.75" customHeight="1">
      <c r="A673" t="str">
        <f>IFERROR(__xludf.DUMMYFUNCTION("""COMPUTED_VALUE"""),"Blotter")</f>
        <v>Blotter</v>
      </c>
      <c r="B673" t="str">
        <f>IFERROR(__xludf.DUMMYFUNCTION("""COMPUTED_VALUE"""),"CancelFromSummary")</f>
        <v>CancelFromSummary</v>
      </c>
      <c r="C673" t="str">
        <f>IFERROR(__xludf.DUMMYFUNCTION("""COMPUTED_VALUE"""),"1jSLVysCdd7TUYKjG07aOiq3UU-oAUNbdPg35uHeWwhk")</f>
        <v>1jSLVysCdd7TUYKjG07aOiq3UU-oAUNbdPg35uHeWwhk</v>
      </c>
    </row>
    <row r="674" ht="15.75" customHeight="1">
      <c r="A674" t="str">
        <f>IFERROR(__xludf.DUMMYFUNCTION("""COMPUTED_VALUE"""),"PortfolioManagement")</f>
        <v>PortfolioManagement</v>
      </c>
      <c r="B674" t="str">
        <f>IFERROR(__xludf.DUMMYFUNCTION("""COMPUTED_VALUE"""),"OpenTaxlotDetails")</f>
        <v>OpenTaxlotDetails</v>
      </c>
      <c r="C674" t="str">
        <f>IFERROR(__xludf.DUMMYFUNCTION("""COMPUTED_VALUE"""),"183AzyWH5HmQPGs1axkOpXRel-i1zs9GjyySy7q1x--0")</f>
        <v>183AzyWH5HmQPGs1axkOpXRel-i1zs9GjyySy7q1x--0</v>
      </c>
    </row>
    <row r="675" ht="15.75" customHeight="1">
      <c r="A675" t="str">
        <f>IFERROR(__xludf.DUMMYFUNCTION("""COMPUTED_VALUE"""),"PortfolioManagement")</f>
        <v>PortfolioManagement</v>
      </c>
      <c r="B675" t="str">
        <f>IFERROR(__xludf.DUMMYFUNCTION("""COMPUTED_VALUE"""),"CheckTaxlotDetails")</f>
        <v>CheckTaxlotDetails</v>
      </c>
      <c r="C675" t="str">
        <f>IFERROR(__xludf.DUMMYFUNCTION("""COMPUTED_VALUE"""),"1u7Vyi2HvA8tXNgHY_2MzmzcCg8vrtuLRURK0hFpMTXk")</f>
        <v>1u7Vyi2HvA8tXNgHY_2MzmzcCg8vrtuLRURK0hFpMTXk</v>
      </c>
    </row>
    <row r="676" ht="15.75" customHeight="1">
      <c r="A676" t="str">
        <f>IFERROR(__xludf.DUMMYFUNCTION("""COMPUTED_VALUE"""),"Blotter")</f>
        <v>Blotter</v>
      </c>
      <c r="B676" t="str">
        <f>IFERROR(__xludf.DUMMYFUNCTION("""COMPUTED_VALUE"""),"VerifyAuditTrail")</f>
        <v>VerifyAuditTrail</v>
      </c>
      <c r="C676" t="str">
        <f>IFERROR(__xludf.DUMMYFUNCTION("""COMPUTED_VALUE"""),"1SsF4E82QKwgB26ZoKXUhkX5AaUZdZC5n2EeHmwKGduU")</f>
        <v>1SsF4E82QKwgB26ZoKXUhkX5AaUZdZC5n2EeHmwKGduU</v>
      </c>
    </row>
    <row r="677" ht="15.75" customHeight="1">
      <c r="A677" t="str">
        <f>IFERROR(__xludf.DUMMYFUNCTION("""COMPUTED_VALUE"""),"PranaClient")</f>
        <v>PranaClient</v>
      </c>
      <c r="B677" t="str">
        <f>IFERROR(__xludf.DUMMYFUNCTION("""COMPUTED_VALUE"""),"DbPicker")</f>
        <v>DbPicker</v>
      </c>
      <c r="C677" t="str">
        <f>IFERROR(__xludf.DUMMYFUNCTION("""COMPUTED_VALUE"""),"1tqSr_cmWz94o-j1zOzyqKpbL44h18j2PCfFMgpuxVw0")</f>
        <v>1tqSr_cmWz94o-j1zOzyqKpbL44h18j2PCfFMgpuxVw0</v>
      </c>
    </row>
    <row r="678" ht="15.75" customHeight="1">
      <c r="A678" t="str">
        <f>IFERROR(__xludf.DUMMYFUNCTION("""COMPUTED_VALUE"""),"Simulator")</f>
        <v>Simulator</v>
      </c>
      <c r="B678" t="str">
        <f>IFERROR(__xludf.DUMMYFUNCTION("""COMPUTED_VALUE"""),"DoneForDay")</f>
        <v>DoneForDay</v>
      </c>
      <c r="C678" t="str">
        <f>IFERROR(__xludf.DUMMYFUNCTION("""COMPUTED_VALUE"""),"Undefined")</f>
        <v>Undefined</v>
      </c>
    </row>
    <row r="679" ht="15.75" customHeight="1">
      <c r="A679" t="str">
        <f>IFERROR(__xludf.DUMMYFUNCTION("""COMPUTED_VALUE"""),"Admin")</f>
        <v>Admin</v>
      </c>
      <c r="B679" t="str">
        <f>IFERROR(__xludf.DUMMYFUNCTION("""COMPUTED_VALUE"""),"SetAuecExecutingBroker")</f>
        <v>SetAuecExecutingBroker</v>
      </c>
      <c r="C679" t="str">
        <f>IFERROR(__xludf.DUMMYFUNCTION("""COMPUTED_VALUE"""),"1FOtSQ752PHH-4nayG7R-PaG921WCWKVU8Lsl4pC6Mr0")</f>
        <v>1FOtSQ752PHH-4nayG7R-PaG921WCWKVU8Lsl4pC6Mr0</v>
      </c>
    </row>
    <row r="680" ht="15.75" customHeight="1">
      <c r="A680" t="str">
        <f>IFERROR(__xludf.DUMMYFUNCTION("""COMPUTED_VALUE"""),"AuditTrail")</f>
        <v>AuditTrail</v>
      </c>
      <c r="B680" t="str">
        <f>IFERROR(__xludf.DUMMYFUNCTION("""COMPUTED_VALUE"""),"GetDataFromAuditTrail")</f>
        <v>GetDataFromAuditTrail</v>
      </c>
      <c r="C680" t="str">
        <f>IFERROR(__xludf.DUMMYFUNCTION("""COMPUTED_VALUE"""),"1tNXZNqCj-1qo8Li9Rf4t_XiY-dX6itH2UAbOSe3-Mxc")</f>
        <v>1tNXZNqCj-1qo8Li9Rf4t_XiY-dX6itH2UAbOSe3-Mxc</v>
      </c>
    </row>
    <row r="681" ht="15.75" customHeight="1">
      <c r="A681" t="str">
        <f>IFERROR(__xludf.DUMMYFUNCTION("""COMPUTED_VALUE"""),"AuditTrail")</f>
        <v>AuditTrail</v>
      </c>
      <c r="B681" t="str">
        <f>IFERROR(__xludf.DUMMYFUNCTION("""COMPUTED_VALUE"""),"VerifyAuditTrail")</f>
        <v>VerifyAuditTrail</v>
      </c>
      <c r="C681" t="str">
        <f>IFERROR(__xludf.DUMMYFUNCTION("""COMPUTED_VALUE"""),"1yv4ikffZOFZ-OOoWF_aNEGZA8dcvqtzobkyZjf8TDRs")</f>
        <v>1yv4ikffZOFZ-OOoWF_aNEGZA8dcvqtzobkyZjf8TDRs</v>
      </c>
    </row>
    <row r="682" ht="15.75" customHeight="1">
      <c r="A682" t="str">
        <f>IFERROR(__xludf.DUMMYFUNCTION("""COMPUTED_VALUE"""),"PranaClient")</f>
        <v>PranaClient</v>
      </c>
      <c r="B682" t="str">
        <f>IFERROR(__xludf.DUMMYFUNCTION("""COMPUTED_VALUE"""),"RunPortfolio")</f>
        <v>RunPortfolio</v>
      </c>
      <c r="C682" t="str">
        <f>IFERROR(__xludf.DUMMYFUNCTION("""COMPUTED_VALUE"""),"1zDfER5xLj_X17wyRdaAzzNf3aYbaPGLRGVpc2rFBtc0")</f>
        <v>1zDfER5xLj_X17wyRdaAzzNf3aYbaPGLRGVpc2rFBtc0</v>
      </c>
    </row>
    <row r="683" ht="15.75" customHeight="1">
      <c r="A683" t="str">
        <f>IFERROR(__xludf.DUMMYFUNCTION("""COMPUTED_VALUE"""),"Blotter")</f>
        <v>Blotter</v>
      </c>
      <c r="B683" t="str">
        <f>IFERROR(__xludf.DUMMYFUNCTION("""COMPUTED_VALUE"""),"AddOrRemoveColumnFromBlotter")</f>
        <v>AddOrRemoveColumnFromBlotter</v>
      </c>
      <c r="C683" t="str">
        <f>IFERROR(__xludf.DUMMYFUNCTION("""COMPUTED_VALUE"""),"1AImtOGYKAeR3YFeq_UoGYWtzjfmt90mMudYE0gCcfuY")</f>
        <v>1AImtOGYKAeR3YFeq_UoGYWtzjfmt90mMudYE0gCcfuY</v>
      </c>
    </row>
    <row r="684" ht="15.75" customHeight="1">
      <c r="A684" t="str">
        <f>IFERROR(__xludf.DUMMYFUNCTION("""COMPUTED_VALUE"""),"Blotter")</f>
        <v>Blotter</v>
      </c>
      <c r="B684" t="str">
        <f>IFERROR(__xludf.DUMMYFUNCTION("""COMPUTED_VALUE"""),"ApplyFilterOnBlotter")</f>
        <v>ApplyFilterOnBlotter</v>
      </c>
      <c r="C684" t="str">
        <f>IFERROR(__xludf.DUMMYFUNCTION("""COMPUTED_VALUE"""),"1HwDVyMvyOdl2-ZD1QqhAZuwUuRJSMW_PlBPxaE_76EI")</f>
        <v>1HwDVyMvyOdl2-ZD1QqhAZuwUuRJSMW_PlBPxaE_76EI</v>
      </c>
    </row>
    <row r="685" ht="15.75" customHeight="1">
      <c r="A685" t="str">
        <f>IFERROR(__xludf.DUMMYFUNCTION("""COMPUTED_VALUE"""),"Blotter")</f>
        <v>Blotter</v>
      </c>
      <c r="B685" t="str">
        <f>IFERROR(__xludf.DUMMYFUNCTION("""COMPUTED_VALUE"""),"SortGridOnBlotter")</f>
        <v>SortGridOnBlotter</v>
      </c>
      <c r="C685" t="str">
        <f>IFERROR(__xludf.DUMMYFUNCTION("""COMPUTED_VALUE"""),"1MvLrWPS7fBH0YzOrBIt5TdlPdCiRTwsVXBfvicm6qvY")</f>
        <v>1MvLrWPS7fBH0YzOrBIt5TdlPdCiRTwsVXBfvicm6qvY</v>
      </c>
    </row>
    <row r="686" ht="15.75" customHeight="1">
      <c r="A686" t="str">
        <f>IFERROR(__xludf.DUMMYFUNCTION("""COMPUTED_VALUE"""),"Blotter")</f>
        <v>Blotter</v>
      </c>
      <c r="B686" t="str">
        <f>IFERROR(__xludf.DUMMYFUNCTION("""COMPUTED_VALUE"""),"VerifyDataIndexWise")</f>
        <v>VerifyDataIndexWise</v>
      </c>
      <c r="C686" t="str">
        <f>IFERROR(__xludf.DUMMYFUNCTION("""COMPUTED_VALUE"""),"18hzviv5ObHcdclDM2TEFd2OQL7r5vS4oemcrzjwtOSk")</f>
        <v>18hzviv5ObHcdclDM2TEFd2OQL7r5vS4oemcrzjwtOSk</v>
      </c>
    </row>
    <row r="687" ht="15.75" customHeight="1">
      <c r="A687" t="str">
        <f>IFERROR(__xludf.DUMMYFUNCTION("""COMPUTED_VALUE"""),"RTPNL")</f>
        <v>RTPNL</v>
      </c>
      <c r="B687" t="str">
        <f>IFERROR(__xludf.DUMMYFUNCTION("""COMPUTED_VALUE"""),"CheckSummaryDashboard")</f>
        <v>CheckSummaryDashboard</v>
      </c>
      <c r="C687" t="str">
        <f>IFERROR(__xludf.DUMMYFUNCTION("""COMPUTED_VALUE"""),"19yZ--qYnhGSO8AdhnHqcmGmViOWMDkup5wR8bA3T2Os")</f>
        <v>19yZ--qYnhGSO8AdhnHqcmGmViOWMDkup5wR8bA3T2Os</v>
      </c>
    </row>
    <row r="688" ht="15.75" customHeight="1">
      <c r="A688" t="str">
        <f>IFERROR(__xludf.DUMMYFUNCTION("""COMPUTED_VALUE"""),"RTPNL")</f>
        <v>RTPNL</v>
      </c>
      <c r="B688" t="str">
        <f>IFERROR(__xludf.DUMMYFUNCTION("""COMPUTED_VALUE"""),"CheckFundLevelAggregation")</f>
        <v>CheckFundLevelAggregation</v>
      </c>
      <c r="C688" t="str">
        <f>IFERROR(__xludf.DUMMYFUNCTION("""COMPUTED_VALUE"""),"1onoHaI0svf2S0wDmLkCePbLXTpyPt2uzhxg7tVdRMeI")</f>
        <v>1onoHaI0svf2S0wDmLkCePbLXTpyPt2uzhxg7tVdRMeI</v>
      </c>
    </row>
    <row r="689" ht="15.75" customHeight="1">
      <c r="A689" t="str">
        <f>IFERROR(__xludf.DUMMYFUNCTION("""COMPUTED_VALUE"""),"RTPNL")</f>
        <v>RTPNL</v>
      </c>
      <c r="B689" t="str">
        <f>IFERROR(__xludf.DUMMYFUNCTION("""COMPUTED_VALUE"""),"CheckAccountLevelAggregation")</f>
        <v>CheckAccountLevelAggregation</v>
      </c>
      <c r="C689" t="str">
        <f>IFERROR(__xludf.DUMMYFUNCTION("""COMPUTED_VALUE"""),"1wpk-GXi0GZ8cadXtuW18V6GfYany_8NjDMShh2aobZ4")</f>
        <v>1wpk-GXi0GZ8cadXtuW18V6GfYany_8NjDMShh2aobZ4</v>
      </c>
    </row>
    <row r="690" ht="15.75" customHeight="1">
      <c r="A690" t="str">
        <f>IFERROR(__xludf.DUMMYFUNCTION("""COMPUTED_VALUE"""),"RTPNL")</f>
        <v>RTPNL</v>
      </c>
      <c r="B690" t="str">
        <f>IFERROR(__xludf.DUMMYFUNCTION("""COMPUTED_VALUE"""),"CheckSymbolLevelAggregation")</f>
        <v>CheckSymbolLevelAggregation</v>
      </c>
      <c r="C690" t="str">
        <f>IFERROR(__xludf.DUMMYFUNCTION("""COMPUTED_VALUE"""),"1j6_k8vwocZ8wAvUMMfdx9IKldUmmqzRN2HCaaoFysqc")</f>
        <v>1j6_k8vwocZ8wAvUMMfdx9IKldUmmqzRN2HCaaoFysqc</v>
      </c>
    </row>
    <row r="691" ht="15.75" customHeight="1">
      <c r="A691" t="str">
        <f>IFERROR(__xludf.DUMMYFUNCTION("""COMPUTED_VALUE"""),"RTPNL")</f>
        <v>RTPNL</v>
      </c>
      <c r="B691" t="str">
        <f>IFERROR(__xludf.DUMMYFUNCTION("""COMPUTED_VALUE"""),"CheckRealTimeSymbolFundMonitor")</f>
        <v>CheckRealTimeSymbolFundMonitor</v>
      </c>
      <c r="C691" t="str">
        <f>IFERROR(__xludf.DUMMYFUNCTION("""COMPUTED_VALUE"""),"1YeAroYmlm8GLwEhMTsKLli9Lc6cZEoPatK76WOit8ho")</f>
        <v>1YeAroYmlm8GLwEhMTsKLli9Lc6cZEoPatK76WOit8ho</v>
      </c>
    </row>
    <row r="692" ht="15.75" customHeight="1">
      <c r="A692" t="str">
        <f>IFERROR(__xludf.DUMMYFUNCTION("""COMPUTED_VALUE"""),"RTPNL")</f>
        <v>RTPNL</v>
      </c>
      <c r="B692" t="str">
        <f>IFERROR(__xludf.DUMMYFUNCTION("""COMPUTED_VALUE"""),"CheckRealTimeSymAccountMonitor")</f>
        <v>CheckRealTimeSymAccountMonitor</v>
      </c>
      <c r="C692" t="str">
        <f>IFERROR(__xludf.DUMMYFUNCTION("""COMPUTED_VALUE"""),"1YWIN_lFXkJFac_sw0d58YkjeJOr7Xa3JotKO9BAEG3Q")</f>
        <v>1YWIN_lFXkJFac_sw0d58YkjeJOr7Xa3JotKO9BAEG3Q</v>
      </c>
    </row>
    <row r="693" ht="15.75" customHeight="1">
      <c r="A693" t="str">
        <f>IFERROR(__xludf.DUMMYFUNCTION("""COMPUTED_VALUE"""),"CorporateAction")</f>
        <v>CorporateAction</v>
      </c>
      <c r="B693" t="str">
        <f>IFERROR(__xludf.DUMMYFUNCTION("""COMPUTED_VALUE"""),"Split")</f>
        <v>Split</v>
      </c>
      <c r="C693" t="str">
        <f>IFERROR(__xludf.DUMMYFUNCTION("""COMPUTED_VALUE"""),"1YQNpSzhH6xtFfgEJnDqykr5nsIzqMbnBQEatRhEpHOs")</f>
        <v>1YQNpSzhH6xtFfgEJnDqykr5nsIzqMbnBQEatRhEpHOs</v>
      </c>
    </row>
    <row r="694" ht="15.75" customHeight="1">
      <c r="A694" t="str">
        <f>IFERROR(__xludf.DUMMYFUNCTION("""COMPUTED_VALUE"""),"RTPNL")</f>
        <v>RTPNL</v>
      </c>
      <c r="B694" t="str">
        <f>IFERROR(__xludf.DUMMYFUNCTION("""COMPUTED_VALUE"""),"CreateDashBoard")</f>
        <v>CreateDashBoard</v>
      </c>
      <c r="C694" t="str">
        <f>IFERROR(__xludf.DUMMYFUNCTION("""COMPUTED_VALUE"""),"1dY75aj2BVOI4B62Yc0rtSVntoWfkhHllgE9tFaIW26k")</f>
        <v>1dY75aj2BVOI4B62Yc0rtSVntoWfkhHllgE9tFaIW26k</v>
      </c>
    </row>
    <row r="695" ht="15.75" customHeight="1">
      <c r="A695" t="str">
        <f>IFERROR(__xludf.DUMMYFUNCTION("""COMPUTED_VALUE"""),"OpenFin")</f>
        <v>OpenFin</v>
      </c>
      <c r="B695" t="str">
        <f>IFERROR(__xludf.DUMMYFUNCTION("""COMPUTED_VALUE"""),"CheckOpenFinWindowName")</f>
        <v>CheckOpenFinWindowName</v>
      </c>
      <c r="C695" t="str">
        <f>IFERROR(__xludf.DUMMYFUNCTION("""COMPUTED_VALUE"""),"1_QbFW_DIr-YIJKQnRAaHNRalcZ0QCmFiB-DdP5Sbwko")</f>
        <v>1_QbFW_DIr-YIJKQnRAaHNRalcZ0QCmFiB-DdP5Sbwko</v>
      </c>
    </row>
    <row r="696" ht="15.75" customHeight="1">
      <c r="A696" t="str">
        <f>IFERROR(__xludf.DUMMYFUNCTION("""COMPUTED_VALUE"""),"OpenFin")</f>
        <v>OpenFin</v>
      </c>
      <c r="B696" t="str">
        <f>IFERROR(__xludf.DUMMYFUNCTION("""COMPUTED_VALUE"""),"OpenWindowFromSearch")</f>
        <v>OpenWindowFromSearch</v>
      </c>
      <c r="C696" t="str">
        <f>IFERROR(__xludf.DUMMYFUNCTION("""COMPUTED_VALUE"""),"1e8B2KIAHr80o-fgghowV60Cd3dClYg316CFpnQaQAIE")</f>
        <v>1e8B2KIAHr80o-fgghowV60Cd3dClYg316CFpnQaQAIE</v>
      </c>
    </row>
    <row r="697" ht="15.75" customHeight="1">
      <c r="A697" t="str">
        <f>IFERROR(__xludf.DUMMYFUNCTION("""COMPUTED_VALUE"""),"TradingTicket")</f>
        <v>TradingTicket</v>
      </c>
      <c r="B697" t="str">
        <f>IFERROR(__xludf.DUMMYFUNCTION("""COMPUTED_VALUE"""),"OptionTradingThroughSecurity")</f>
        <v>OptionTradingThroughSecurity</v>
      </c>
      <c r="C697" t="str">
        <f>IFERROR(__xludf.DUMMYFUNCTION("""COMPUTED_VALUE"""),"1clAdB0F6htmQF_MbmjwcIdau2ji1ufQer1WZBDOaeBQ")</f>
        <v>1clAdB0F6htmQF_MbmjwcIdau2ji1ufQer1WZBDOaeBQ</v>
      </c>
    </row>
    <row r="698" ht="15.75" customHeight="1">
      <c r="A698" t="str">
        <f>IFERROR(__xludf.DUMMYFUNCTION("""COMPUTED_VALUE"""),"RTPNL")</f>
        <v>RTPNL</v>
      </c>
      <c r="B698" t="str">
        <f>IFERROR(__xludf.DUMMYFUNCTION("""COMPUTED_VALUE"""),"UpdateDashboardName")</f>
        <v>UpdateDashboardName</v>
      </c>
      <c r="C698" t="str">
        <f>IFERROR(__xludf.DUMMYFUNCTION("""COMPUTED_VALUE"""),"1aNmeOLOU3vHxn4vCNTUtDLnYV9ZzH4jYF4G95SD77ow")</f>
        <v>1aNmeOLOU3vHxn4vCNTUtDLnYV9ZzH4jYF4G95SD77ow</v>
      </c>
    </row>
    <row r="699" ht="15.75" customHeight="1">
      <c r="A699" t="str">
        <f>IFERROR(__xludf.DUMMYFUNCTION("""COMPUTED_VALUE"""),"RTPNL")</f>
        <v>RTPNL</v>
      </c>
      <c r="B699" t="str">
        <f>IFERROR(__xludf.DUMMYFUNCTION("""COMPUTED_VALUE"""),"AddWidget")</f>
        <v>AddWidget</v>
      </c>
      <c r="C699" t="str">
        <f>IFERROR(__xludf.DUMMYFUNCTION("""COMPUTED_VALUE"""),"1QetwOPuGJZ9VGJxG4h8-cX_06kX2sFa3dVbulVAf6H8")</f>
        <v>1QetwOPuGJZ9VGJxG4h8-cX_06kX2sFa3dVbulVAf6H8</v>
      </c>
    </row>
    <row r="700" ht="15.75" customHeight="1">
      <c r="A700" t="str">
        <f>IFERROR(__xludf.DUMMYFUNCTION("""COMPUTED_VALUE"""),"RTPNL")</f>
        <v>RTPNL</v>
      </c>
      <c r="B700" t="str">
        <f>IFERROR(__xludf.DUMMYFUNCTION("""COMPUTED_VALUE"""),"CheckDashboardWidgetTitle")</f>
        <v>CheckDashboardWidgetTitle</v>
      </c>
      <c r="C700" t="str">
        <f>IFERROR(__xludf.DUMMYFUNCTION("""COMPUTED_VALUE"""),"1HywJj49UTJ0a2drrA-uSVbVT8uwRKeg9hrZ_IYbHs7M")</f>
        <v>1HywJj49UTJ0a2drrA-uSVbVT8uwRKeg9hrZ_IYbHs7M</v>
      </c>
    </row>
    <row r="701" ht="15.75" customHeight="1">
      <c r="A701" t="str">
        <f>IFERROR(__xludf.DUMMYFUNCTION("""COMPUTED_VALUE"""),"RTPNL")</f>
        <v>RTPNL</v>
      </c>
      <c r="B701" t="str">
        <f>IFERROR(__xludf.DUMMYFUNCTION("""COMPUTED_VALUE"""),"updateWidget")</f>
        <v>updateWidget</v>
      </c>
      <c r="C701" t="str">
        <f>IFERROR(__xludf.DUMMYFUNCTION("""COMPUTED_VALUE"""),"1SEQwBhkZIg_dA_RSQqCGv5m0-nf1OjN8eXQzvxE35tE")</f>
        <v>1SEQwBhkZIg_dA_RSQqCGv5m0-nf1OjN8eXQzvxE35tE</v>
      </c>
    </row>
    <row r="702" ht="15.75" customHeight="1">
      <c r="A702" t="str">
        <f>IFERROR(__xludf.DUMMYFUNCTION("""COMPUTED_VALUE"""),"Admin")</f>
        <v>Admin</v>
      </c>
      <c r="B702" t="str">
        <f>IFERROR(__xludf.DUMMYFUNCTION("""COMPUTED_VALUE"""),"SetAlgoBroker")</f>
        <v>SetAlgoBroker</v>
      </c>
      <c r="C702" t="str">
        <f>IFERROR(__xludf.DUMMYFUNCTION("""COMPUTED_VALUE"""),"1ysK6XeT3Tu7B_jcnGseqzvKUCFY5_PNP6KEmR-uswgE")</f>
        <v>1ysK6XeT3Tu7B_jcnGseqzvKUCFY5_PNP6KEmR-uswgE</v>
      </c>
    </row>
    <row r="703" ht="15.75" customHeight="1">
      <c r="A703" t="str">
        <f>IFERROR(__xludf.DUMMYFUNCTION("""COMPUTED_VALUE"""),"TradingTicket")</f>
        <v>TradingTicket</v>
      </c>
      <c r="B703" t="str">
        <f>IFERROR(__xludf.DUMMYFUNCTION("""COMPUTED_VALUE"""),"CreateTradeWithAlgoBroker")</f>
        <v>CreateTradeWithAlgoBroker</v>
      </c>
      <c r="C703" t="str">
        <f>IFERROR(__xludf.DUMMYFUNCTION("""COMPUTED_VALUE"""),"1D-4t1xB_3TrWQDfVaykN5dg7eoT58IEqv3gXIDpM20c")</f>
        <v>1D-4t1xB_3TrWQDfVaykN5dg7eoT58IEqv3gXIDpM20c</v>
      </c>
    </row>
    <row r="704" ht="15.75" customHeight="1">
      <c r="A704" t="str">
        <f>IFERROR(__xludf.DUMMYFUNCTION("""COMPUTED_VALUE"""),"Admin")</f>
        <v>Admin</v>
      </c>
      <c r="B704" t="str">
        <f>IFERROR(__xludf.DUMMYFUNCTION("""COMPUTED_VALUE"""),"EnableAutoGroupingAllocation")</f>
        <v>EnableAutoGroupingAllocation</v>
      </c>
      <c r="C704" t="str">
        <f>IFERROR(__xludf.DUMMYFUNCTION("""COMPUTED_VALUE"""),"1NeqButT68ws592R_0_8U2URVQT-opGH4uQ6W30VuDKo")</f>
        <v>1NeqButT68ws592R_0_8U2URVQT-opGH4uQ6W30VuDKo</v>
      </c>
    </row>
    <row r="705" ht="15.75" customHeight="1">
      <c r="A705" t="str">
        <f>IFERROR(__xludf.DUMMYFUNCTION("""COMPUTED_VALUE"""),"Compliance")</f>
        <v>Compliance</v>
      </c>
      <c r="B705" t="str">
        <f>IFERROR(__xludf.DUMMYFUNCTION("""COMPUTED_VALUE"""),"GetEmail")</f>
        <v>GetEmail</v>
      </c>
      <c r="C705" t="str">
        <f>IFERROR(__xludf.DUMMYFUNCTION("""COMPUTED_VALUE"""),"14zIr297hHEwbCXtU1KW8tP9R8vZWp-yZlZOWIyQ8JM8")</f>
        <v>14zIr297hHEwbCXtU1KW8tP9R8vZWp-yZlZOWIyQ8JM8</v>
      </c>
    </row>
    <row r="706" ht="15.75" customHeight="1">
      <c r="A706" t="str">
        <f>IFERROR(__xludf.DUMMYFUNCTION("""COMPUTED_VALUE"""),"TradeServer")</f>
        <v>TradeServer</v>
      </c>
      <c r="B706" t="str">
        <f>IFERROR(__xludf.DUMMYFUNCTION("""COMPUTED_VALUE"""),"BrokerConnectionThroughTUI")</f>
        <v>BrokerConnectionThroughTUI</v>
      </c>
      <c r="C706" t="str">
        <f>IFERROR(__xludf.DUMMYFUNCTION("""COMPUTED_VALUE"""),"1zjPR01VJFgDurgv90dzI5FheiwzguF_eQq_gmAIYF1E")</f>
        <v>1zjPR01VJFgDurgv90dzI5FheiwzguF_eQq_gmAIYF1E</v>
      </c>
    </row>
    <row r="707" ht="15.75" customHeight="1">
      <c r="A707" t="str">
        <f>IFERROR(__xludf.DUMMYFUNCTION("""COMPUTED_VALUE"""),"OpenFin")</f>
        <v>OpenFin</v>
      </c>
      <c r="B707" t="str">
        <f>IFERROR(__xludf.DUMMYFUNCTION("""COMPUTED_VALUE"""),"VerifyColour")</f>
        <v>VerifyColour</v>
      </c>
      <c r="C707" t="str">
        <f>IFERROR(__xludf.DUMMYFUNCTION("""COMPUTED_VALUE"""),"1JqfkBahL4M3QJ6OlrKFEO0l-A5PRm9-rSzRM19eNLvM")</f>
        <v>1JqfkBahL4M3QJ6OlrKFEO0l-A5PRm9-rSzRM19eNLvM</v>
      </c>
    </row>
    <row r="708" ht="15.75" customHeight="1">
      <c r="A708" t="str">
        <f>IFERROR(__xludf.DUMMYFUNCTION("""COMPUTED_VALUE"""),"RTPNL")</f>
        <v>RTPNL</v>
      </c>
      <c r="B708" t="str">
        <f>IFERROR(__xludf.DUMMYFUNCTION("""COMPUTED_VALUE"""),"OpenRTPNL")</f>
        <v>OpenRTPNL</v>
      </c>
      <c r="C708" t="str">
        <f>IFERROR(__xludf.DUMMYFUNCTION("""COMPUTED_VALUE"""),"1j-FWEidBpUuPYcE4AbSAw08LdLumr0SQSFYFcyX2SkM")</f>
        <v>1j-FWEidBpUuPYcE4AbSAw08LdLumr0SQSFYFcyX2SkM</v>
      </c>
    </row>
    <row r="709" ht="15.75" customHeight="1">
      <c r="A709" t="str">
        <f>IFERROR(__xludf.DUMMYFUNCTION("""COMPUTED_VALUE"""),"TradingTicket")</f>
        <v>TradingTicket</v>
      </c>
      <c r="B709" t="str">
        <f>IFERROR(__xludf.DUMMYFUNCTION("""COMPUTED_VALUE"""),"VerifyOrderSide")</f>
        <v>VerifyOrderSide</v>
      </c>
      <c r="C709" t="str">
        <f>IFERROR(__xludf.DUMMYFUNCTION("""COMPUTED_VALUE"""),"1c9KH-8l1ETf94Oe0mx95JD0fjeeah2gCx04R2mT4vgU")</f>
        <v>1c9KH-8l1ETf94Oe0mx95JD0fjeeah2gCx04R2mT4vgU</v>
      </c>
    </row>
    <row r="710" ht="15.75" customHeight="1">
      <c r="A710" t="str">
        <f>IFERROR(__xludf.DUMMYFUNCTION("""COMPUTED_VALUE"""),"OpenFin")</f>
        <v>OpenFin</v>
      </c>
      <c r="B710" t="str">
        <f>IFERROR(__xludf.DUMMYFUNCTION("""COMPUTED_VALUE"""),"OpenReleaseClient")</f>
        <v>OpenReleaseClient</v>
      </c>
      <c r="C710" t="str">
        <f>IFERROR(__xludf.DUMMYFUNCTION("""COMPUTED_VALUE"""),"1lDURQPfx8lvChAjYM0DztCXj5aW1r1sP_KQ4sTM3ljc")</f>
        <v>1lDURQPfx8lvChAjYM0DztCXj5aW1r1sP_KQ4sTM3ljc</v>
      </c>
    </row>
    <row r="711" ht="15.75" customHeight="1">
      <c r="A711" t="str">
        <f>IFERROR(__xludf.DUMMYFUNCTION("""COMPUTED_VALUE"""),"RTPNL")</f>
        <v>RTPNL</v>
      </c>
      <c r="B711" t="str">
        <f>IFERROR(__xludf.DUMMYFUNCTION("""COMPUTED_VALUE"""),"LinkDashboardTabs")</f>
        <v>LinkDashboardTabs</v>
      </c>
      <c r="C711" t="str">
        <f>IFERROR(__xludf.DUMMYFUNCTION("""COMPUTED_VALUE"""),"1_ZOUJw5mEb5-uMCe7uXUcU1uwSnKbENOdKRfc5frcRI")</f>
        <v>1_ZOUJw5mEb5-uMCe7uXUcU1uwSnKbENOdKRfc5frcRI</v>
      </c>
    </row>
    <row r="712" ht="15.75" customHeight="1">
      <c r="A712" t="str">
        <f>IFERROR(__xludf.DUMMYFUNCTION("""COMPUTED_VALUE"""),"RTPNL")</f>
        <v>RTPNL</v>
      </c>
      <c r="B712" t="str">
        <f>IFERROR(__xludf.DUMMYFUNCTION("""COMPUTED_VALUE"""),"SelectDashboardTabRow")</f>
        <v>SelectDashboardTabRow</v>
      </c>
      <c r="C712" t="str">
        <f>IFERROR(__xludf.DUMMYFUNCTION("""COMPUTED_VALUE"""),"10Vd3dhJiCjsba_tbRecSrC0PBN1F1QFBXBKfTY2hBy4")</f>
        <v>10Vd3dhJiCjsba_tbRecSrC0PBN1F1QFBXBKfTY2hBy4</v>
      </c>
    </row>
    <row r="713" ht="15.75" customHeight="1">
      <c r="A713" t="str">
        <f>IFERROR(__xludf.DUMMYFUNCTION("""COMPUTED_VALUE"""),"RTPNL")</f>
        <v>RTPNL</v>
      </c>
      <c r="B713" t="str">
        <f>IFERROR(__xludf.DUMMYFUNCTION("""COMPUTED_VALUE"""),"SelectRowAtFLAggregation")</f>
        <v>SelectRowAtFLAggregation</v>
      </c>
      <c r="C713" t="str">
        <f>IFERROR(__xludf.DUMMYFUNCTION("""COMPUTED_VALUE"""),"1cEp9PBaAuW5WBA5D6VvUB32hYlXbJCbbqSozcxuwCxs")</f>
        <v>1cEp9PBaAuW5WBA5D6VvUB32hYlXbJCbbqSozcxuwCxs</v>
      </c>
    </row>
    <row r="714" ht="15.75" customHeight="1">
      <c r="A714" t="str">
        <f>IFERROR(__xludf.DUMMYFUNCTION("""COMPUTED_VALUE"""),"RTPNL")</f>
        <v>RTPNL</v>
      </c>
      <c r="B714" t="str">
        <f>IFERROR(__xludf.DUMMYFUNCTION("""COMPUTED_VALUE"""),"SelectRowAtALAggregation")</f>
        <v>SelectRowAtALAggregation</v>
      </c>
      <c r="C714" t="str">
        <f>IFERROR(__xludf.DUMMYFUNCTION("""COMPUTED_VALUE"""),"1rSsC3GJdez3CoU5cuG9j4H7yxOCRUN1u8OaLrlQV3ms")</f>
        <v>1rSsC3GJdez3CoU5cuG9j4H7yxOCRUN1u8OaLrlQV3ms</v>
      </c>
    </row>
    <row r="715" ht="15.75" customHeight="1">
      <c r="A715" t="str">
        <f>IFERROR(__xludf.DUMMYFUNCTION("""COMPUTED_VALUE"""),"RTPNL")</f>
        <v>RTPNL</v>
      </c>
      <c r="B715" t="str">
        <f>IFERROR(__xludf.DUMMYFUNCTION("""COMPUTED_VALUE"""),"SelectRowAtSLAggregation")</f>
        <v>SelectRowAtSLAggregation</v>
      </c>
      <c r="C715" t="str">
        <f>IFERROR(__xludf.DUMMYFUNCTION("""COMPUTED_VALUE"""),"17LhetpqlUGKZ842KdCVcUSBi-Oo7pi9N29U1unAcSXI")</f>
        <v>17LhetpqlUGKZ842KdCVcUSBi-Oo7pi9N29U1unAcSXI</v>
      </c>
    </row>
    <row r="716" ht="15.75" customHeight="1">
      <c r="A716" t="str">
        <f>IFERROR(__xludf.DUMMYFUNCTION("""COMPUTED_VALUE"""),"RTPNL")</f>
        <v>RTPNL</v>
      </c>
      <c r="B716" t="str">
        <f>IFERROR(__xludf.DUMMYFUNCTION("""COMPUTED_VALUE"""),"SelectRowAtRTSFundMonitor")</f>
        <v>SelectRowAtRTSFundMonitor</v>
      </c>
      <c r="C716" t="str">
        <f>IFERROR(__xludf.DUMMYFUNCTION("""COMPUTED_VALUE"""),"1GfRMRoQy-JJWGhUYOAlTtktEu_COt80geQtMyahWn-g")</f>
        <v>1GfRMRoQy-JJWGhUYOAlTtktEu_COt80geQtMyahWn-g</v>
      </c>
    </row>
    <row r="717" ht="15.75" customHeight="1">
      <c r="A717" t="str">
        <f>IFERROR(__xludf.DUMMYFUNCTION("""COMPUTED_VALUE"""),"RTPNL")</f>
        <v>RTPNL</v>
      </c>
      <c r="B717" t="str">
        <f>IFERROR(__xludf.DUMMYFUNCTION("""COMPUTED_VALUE"""),"SelectRowAtRTSAccountMonitor")</f>
        <v>SelectRowAtRTSAccountMonitor</v>
      </c>
      <c r="C717" t="str">
        <f>IFERROR(__xludf.DUMMYFUNCTION("""COMPUTED_VALUE"""),"1ymWI4H-rYSuYcMBnVqoCFZgBq0wgkwh4HNQd4M6a3EE")</f>
        <v>1ymWI4H-rYSuYcMBnVqoCFZgBq0wgkwh4HNQd4M6a3EE</v>
      </c>
    </row>
    <row r="718" ht="15.75" customHeight="1">
      <c r="A718" t="str">
        <f>IFERROR(__xludf.DUMMYFUNCTION("""COMPUTED_VALUE"""),"RTPNL")</f>
        <v>RTPNL</v>
      </c>
      <c r="B718" t="str">
        <f>IFERROR(__xludf.DUMMYFUNCTION("""COMPUTED_VALUE"""),"FilterRTSAM")</f>
        <v>FilterRTSAM</v>
      </c>
      <c r="C718" t="str">
        <f>IFERROR(__xludf.DUMMYFUNCTION("""COMPUTED_VALUE"""),"19QrXgA8ZQp9FIUAggXNU6zXTsnkvA4_nCUqf6XrnTIM")</f>
        <v>19QrXgA8ZQp9FIUAggXNU6zXTsnkvA4_nCUqf6XrnTIM</v>
      </c>
    </row>
    <row r="719" ht="15.75" customHeight="1">
      <c r="A719" t="str">
        <f>IFERROR(__xludf.DUMMYFUNCTION("""COMPUTED_VALUE"""),"RTPNL")</f>
        <v>RTPNL</v>
      </c>
      <c r="B719" t="str">
        <f>IFERROR(__xludf.DUMMYFUNCTION("""COMPUTED_VALUE"""),"SortRTSAM")</f>
        <v>SortRTSAM</v>
      </c>
      <c r="C719" t="str">
        <f>IFERROR(__xludf.DUMMYFUNCTION("""COMPUTED_VALUE"""),"1JGXz9lScbj7NMo2gp1dnjyAosk2i-_vn-_beAX5olZY")</f>
        <v>1JGXz9lScbj7NMo2gp1dnjyAosk2i-_vn-_beAX5olZY</v>
      </c>
    </row>
    <row r="720" ht="15.75" customHeight="1">
      <c r="A720" t="str">
        <f>IFERROR(__xludf.DUMMYFUNCTION("""COMPUTED_VALUE"""),"TradingTicket")</f>
        <v>TradingTicket</v>
      </c>
      <c r="B720" t="str">
        <f>IFERROR(__xludf.DUMMYFUNCTION("""COMPUTED_VALUE"""),"CreateOrEditSymbolTT")</f>
        <v>CreateOrEditSymbolTT</v>
      </c>
      <c r="C720" t="str">
        <f>IFERROR(__xludf.DUMMYFUNCTION("""COMPUTED_VALUE"""),"1idmpWrKnVe2S0NRHKC3RamOBjdC5_vnd76rycS2naOU")</f>
        <v>1idmpWrKnVe2S0NRHKC3RamOBjdC5_vnd76rycS2naOU</v>
      </c>
    </row>
    <row r="721" ht="15.75" customHeight="1">
      <c r="A721" t="str">
        <f>IFERROR(__xludf.DUMMYFUNCTION("""COMPUTED_VALUE"""),"RTPNL")</f>
        <v>RTPNL</v>
      </c>
      <c r="B721" t="str">
        <f>IFERROR(__xludf.DUMMYFUNCTION("""COMPUTED_VALUE"""),"ExtractTabOutsidePMDashboard")</f>
        <v>ExtractTabOutsidePMDashboard</v>
      </c>
      <c r="C721" t="str">
        <f>IFERROR(__xludf.DUMMYFUNCTION("""COMPUTED_VALUE"""),"1gL_7b12xxIm2t8SbS3r1OEz_l436Ag72OxKiVxsSHao")</f>
        <v>1gL_7b12xxIm2t8SbS3r1OEz_l436Ag72OxKiVxsSHao</v>
      </c>
    </row>
    <row r="722" ht="15.75" customHeight="1">
      <c r="A722" t="str">
        <f>IFERROR(__xludf.DUMMYFUNCTION("""COMPUTED_VALUE"""),"RTPNL")</f>
        <v>RTPNL</v>
      </c>
      <c r="B722" t="str">
        <f>IFERROR(__xludf.DUMMYFUNCTION("""COMPUTED_VALUE"""),"SortRTSFM")</f>
        <v>SortRTSFM</v>
      </c>
      <c r="C722" t="str">
        <f>IFERROR(__xludf.DUMMYFUNCTION("""COMPUTED_VALUE"""),"1RPd2Hj7qN07O5usXRKyD6vnEBaAjN4s-c66S7_cTJL0")</f>
        <v>1RPd2Hj7qN07O5usXRKyD6vnEBaAjN4s-c66S7_cTJL0</v>
      </c>
    </row>
    <row r="723" ht="15.75" customHeight="1">
      <c r="A723" t="str">
        <f>IFERROR(__xludf.DUMMYFUNCTION("""COMPUTED_VALUE"""),"RTPNL")</f>
        <v>RTPNL</v>
      </c>
      <c r="B723" t="str">
        <f>IFERROR(__xludf.DUMMYFUNCTION("""COMPUTED_VALUE"""),"SortSLA")</f>
        <v>SortSLA</v>
      </c>
      <c r="C723" t="str">
        <f>IFERROR(__xludf.DUMMYFUNCTION("""COMPUTED_VALUE"""),"1uqQ9rYn7Web5f-3p1kL2oa_1jv5CTxiLTZgtyeOnG5k")</f>
        <v>1uqQ9rYn7Web5f-3p1kL2oa_1jv5CTxiLTZgtyeOnG5k</v>
      </c>
    </row>
    <row r="724" ht="15.75" customHeight="1">
      <c r="A724" t="str">
        <f>IFERROR(__xludf.DUMMYFUNCTION("""COMPUTED_VALUE"""),"RTPNL")</f>
        <v>RTPNL</v>
      </c>
      <c r="B724" t="str">
        <f>IFERROR(__xludf.DUMMYFUNCTION("""COMPUTED_VALUE"""),"SortALA")</f>
        <v>SortALA</v>
      </c>
      <c r="C724" t="str">
        <f>IFERROR(__xludf.DUMMYFUNCTION("""COMPUTED_VALUE"""),"1HFxukRhN8_NG06AxIvFbitVTjtpuHxAfEbMllW36roE")</f>
        <v>1HFxukRhN8_NG06AxIvFbitVTjtpuHxAfEbMllW36roE</v>
      </c>
    </row>
    <row r="725" ht="15.75" customHeight="1">
      <c r="A725" t="str">
        <f>IFERROR(__xludf.DUMMYFUNCTION("""COMPUTED_VALUE"""),"RTPNL")</f>
        <v>RTPNL</v>
      </c>
      <c r="B725" t="str">
        <f>IFERROR(__xludf.DUMMYFUNCTION("""COMPUTED_VALUE"""),"SortFLA")</f>
        <v>SortFLA</v>
      </c>
      <c r="C725" t="str">
        <f>IFERROR(__xludf.DUMMYFUNCTION("""COMPUTED_VALUE"""),"16fbn56mKuCbv6fF3O21I3-tlQPhsQWvtInKzVunyM7s")</f>
        <v>16fbn56mKuCbv6fF3O21I3-tlQPhsQWvtInKzVunyM7s</v>
      </c>
    </row>
    <row r="726" ht="15.75" customHeight="1">
      <c r="A726" t="str">
        <f>IFERROR(__xludf.DUMMYFUNCTION("""COMPUTED_VALUE"""),"RTPNL")</f>
        <v>RTPNL</v>
      </c>
      <c r="B726" t="str">
        <f>IFERROR(__xludf.DUMMYFUNCTION("""COMPUTED_VALUE"""),"FilterRTSFM")</f>
        <v>FilterRTSFM</v>
      </c>
      <c r="C726" t="str">
        <f>IFERROR(__xludf.DUMMYFUNCTION("""COMPUTED_VALUE"""),"1aR-wCrpB-M5qPHNLKmkkkDXUdLLquektow3lRehT7aA")</f>
        <v>1aR-wCrpB-M5qPHNLKmkkkDXUdLLquektow3lRehT7aA</v>
      </c>
    </row>
    <row r="727" ht="15.75" customHeight="1">
      <c r="A727" t="str">
        <f>IFERROR(__xludf.DUMMYFUNCTION("""COMPUTED_VALUE"""),"RTPNL")</f>
        <v>RTPNL</v>
      </c>
      <c r="B727" t="str">
        <f>IFERROR(__xludf.DUMMYFUNCTION("""COMPUTED_VALUE"""),"FilterSLA")</f>
        <v>FilterSLA</v>
      </c>
      <c r="C727" t="str">
        <f>IFERROR(__xludf.DUMMYFUNCTION("""COMPUTED_VALUE"""),"1VstTCReOBMZnMYs_uYfmc2u8trc1ET-vbWFFCBehT_I")</f>
        <v>1VstTCReOBMZnMYs_uYfmc2u8trc1ET-vbWFFCBehT_I</v>
      </c>
    </row>
    <row r="728" ht="15.75" customHeight="1">
      <c r="A728" t="str">
        <f>IFERROR(__xludf.DUMMYFUNCTION("""COMPUTED_VALUE"""),"RTPNL")</f>
        <v>RTPNL</v>
      </c>
      <c r="B728" t="str">
        <f>IFERROR(__xludf.DUMMYFUNCTION("""COMPUTED_VALUE"""),"FilterALA")</f>
        <v>FilterALA</v>
      </c>
      <c r="C728" t="str">
        <f>IFERROR(__xludf.DUMMYFUNCTION("""COMPUTED_VALUE"""),"1a9lso4ZEh6d-62hPnh0hEsACtRSusVGWjAO1Q5WPAEg")</f>
        <v>1a9lso4ZEh6d-62hPnh0hEsACtRSusVGWjAO1Q5WPAEg</v>
      </c>
    </row>
    <row r="729" ht="15.75" customHeight="1">
      <c r="A729" t="str">
        <f>IFERROR(__xludf.DUMMYFUNCTION("""COMPUTED_VALUE"""),"RTPNL")</f>
        <v>RTPNL</v>
      </c>
      <c r="B729" t="str">
        <f>IFERROR(__xludf.DUMMYFUNCTION("""COMPUTED_VALUE"""),"FilterFLA")</f>
        <v>FilterFLA</v>
      </c>
      <c r="C729" t="str">
        <f>IFERROR(__xludf.DUMMYFUNCTION("""COMPUTED_VALUE"""),"1iInEvGMej-U3deNeFM-LhHIJxa9DnH1LfYmUlixwoO0")</f>
        <v>1iInEvGMej-U3deNeFM-LhHIJxa9DnH1LfYmUlixwoO0</v>
      </c>
    </row>
    <row r="730" ht="15.75" customHeight="1">
      <c r="A730" t="str">
        <f>IFERROR(__xludf.DUMMYFUNCTION("""COMPUTED_VALUE"""),"RTPNL")</f>
        <v>RTPNL</v>
      </c>
      <c r="B730" t="str">
        <f>IFERROR(__xludf.DUMMYFUNCTION("""COMPUTED_VALUE"""),"IncreaseOrUnwindPositionRTPNL")</f>
        <v>IncreaseOrUnwindPositionRTPNL</v>
      </c>
      <c r="C730" t="str">
        <f>IFERROR(__xludf.DUMMYFUNCTION("""COMPUTED_VALUE"""),"1q1Wc-dRTuQg4BlHBt6hfkwKefeK_K_Mif-Ctd_wCOUc")</f>
        <v>1q1Wc-dRTuQg4BlHBt6hfkwKefeK_K_Mif-Ctd_wCOUc</v>
      </c>
    </row>
    <row r="731" ht="15.75" customHeight="1">
      <c r="A731" t="str">
        <f>IFERROR(__xludf.DUMMYFUNCTION("""COMPUTED_VALUE"""),"RTPNL")</f>
        <v>RTPNL</v>
      </c>
      <c r="B731" t="str">
        <f>IFERROR(__xludf.DUMMYFUNCTION("""COMPUTED_VALUE"""),"SavePage")</f>
        <v>SavePage</v>
      </c>
      <c r="C731" t="str">
        <f>IFERROR(__xludf.DUMMYFUNCTION("""COMPUTED_VALUE"""),"1_uQYVoc5DS6NYv0EYGKjax2jWsfgKobFEjxJkQjLL3w")</f>
        <v>1_uQYVoc5DS6NYv0EYGKjax2jWsfgKobFEjxJkQjLL3w</v>
      </c>
    </row>
    <row r="732" ht="15.75" customHeight="1">
      <c r="A732" t="str">
        <f>IFERROR(__xludf.DUMMYFUNCTION("""COMPUTED_VALUE"""),"RTPNL")</f>
        <v>RTPNL</v>
      </c>
      <c r="B732" t="str">
        <f>IFERROR(__xludf.DUMMYFUNCTION("""COMPUTED_VALUE"""),"CloseRTPNL")</f>
        <v>CloseRTPNL</v>
      </c>
      <c r="C732" t="str">
        <f>IFERROR(__xludf.DUMMYFUNCTION("""COMPUTED_VALUE"""),"1q0e1lbiWuCHi7U7mu_pkI_EHtO0vohpMfwjgm_XpoMk")</f>
        <v>1q0e1lbiWuCHi7U7mu_pkI_EHtO0vohpMfwjgm_XpoMk</v>
      </c>
    </row>
    <row r="733" ht="15.75" customHeight="1">
      <c r="A733" t="str">
        <f>IFERROR(__xludf.DUMMYFUNCTION("""COMPUTED_VALUE"""),"RTPNL")</f>
        <v>RTPNL</v>
      </c>
      <c r="B733" t="str">
        <f>IFERROR(__xludf.DUMMYFUNCTION("""COMPUTED_VALUE"""),"VerifyColumns")</f>
        <v>VerifyColumns</v>
      </c>
      <c r="C733" t="str">
        <f>IFERROR(__xludf.DUMMYFUNCTION("""COMPUTED_VALUE"""),"1hv4fjReFX37JfqBQku0u9vApiCQpf-X1f4UEDLw3y_s")</f>
        <v>1hv4fjReFX37JfqBQku0u9vApiCQpf-X1f4UEDLw3y_s</v>
      </c>
    </row>
    <row r="734" ht="15.75" customHeight="1">
      <c r="A734" t="str">
        <f>IFERROR(__xludf.DUMMYFUNCTION("""COMPUTED_VALUE"""),"Admin")</f>
        <v>Admin</v>
      </c>
      <c r="B734" t="str">
        <f>IFERROR(__xludf.DUMMYFUNCTION("""COMPUTED_VALUE"""),"RemoveMasterUser")</f>
        <v>RemoveMasterUser</v>
      </c>
      <c r="C734" t="str">
        <f>IFERROR(__xludf.DUMMYFUNCTION("""COMPUTED_VALUE"""),"Undefined")</f>
        <v>Undefined</v>
      </c>
    </row>
    <row r="735" ht="15.75" customHeight="1">
      <c r="A735" t="str">
        <f>IFERROR(__xludf.DUMMYFUNCTION("""COMPUTED_VALUE"""),"Blotter")</f>
        <v>Blotter</v>
      </c>
      <c r="B735" t="str">
        <f>IFERROR(__xludf.DUMMYFUNCTION("""COMPUTED_VALUE"""),"SaveLayoutBlotter")</f>
        <v>SaveLayoutBlotter</v>
      </c>
      <c r="C735" t="str">
        <f>IFERROR(__xludf.DUMMYFUNCTION("""COMPUTED_VALUE"""),"Undefined")</f>
        <v>Undefined</v>
      </c>
    </row>
    <row r="736" ht="15.75" customHeight="1">
      <c r="A736" t="str">
        <f>IFERROR(__xludf.DUMMYFUNCTION("""COMPUTED_VALUE"""),"NavLock")</f>
        <v>NavLock</v>
      </c>
      <c r="B736" t="str">
        <f>IFERROR(__xludf.DUMMYFUNCTION("""COMPUTED_VALUE"""),"DeleteExistingNavLock")</f>
        <v>DeleteExistingNavLock</v>
      </c>
      <c r="C736" t="str">
        <f>IFERROR(__xludf.DUMMYFUNCTION("""COMPUTED_VALUE"""),"1HqQPyzif5um_L8C14d1R1blK2opfeEitYxPutZTlmFw")</f>
        <v>1HqQPyzif5um_L8C14d1R1blK2opfeEitYxPutZTlmFw</v>
      </c>
    </row>
    <row r="737" ht="15.75" customHeight="1">
      <c r="A737" t="str">
        <f>IFERROR(__xludf.DUMMYFUNCTION("""COMPUTED_VALUE"""),"NavLock")</f>
        <v>NavLock</v>
      </c>
      <c r="B737" t="str">
        <f>IFERROR(__xludf.DUMMYFUNCTION("""COMPUTED_VALUE"""),"AddNavLock")</f>
        <v>AddNavLock</v>
      </c>
      <c r="C737" t="str">
        <f>IFERROR(__xludf.DUMMYFUNCTION("""COMPUTED_VALUE"""),"1GPjpONzArmJk58f1PhPdnRa4N-8ryMP6ZWGSYiH7Y3s")</f>
        <v>1GPjpONzArmJk58f1PhPdnRa4N-8ryMP6ZWGSYiH7Y3s</v>
      </c>
    </row>
    <row r="738" ht="15.75" customHeight="1">
      <c r="A738" t="str">
        <f>IFERROR(__xludf.DUMMYFUNCTION("""COMPUTED_VALUE"""),"Allocation")</f>
        <v>Allocation</v>
      </c>
      <c r="B738" t="str">
        <f>IFERROR(__xludf.DUMMYFUNCTION("""COMPUTED_VALUE"""),"VerifyAllocationNavLockPopup")</f>
        <v>VerifyAllocationNavLockPopup</v>
      </c>
      <c r="C738" t="str">
        <f>IFERROR(__xludf.DUMMYFUNCTION("""COMPUTED_VALUE"""),"1nlDKsMtQr89ys6-s3fNyeXJhd3KY9s6Hzaoil52avTI")</f>
        <v>1nlDKsMtQr89ys6-s3fNyeXJhd3KY9s6Hzaoil52avTI</v>
      </c>
    </row>
    <row r="739" ht="15.75" customHeight="1">
      <c r="A739" t="str">
        <f>IFERROR(__xludf.DUMMYFUNCTION("""COMPUTED_VALUE"""),"RTPNL")</f>
        <v>RTPNL</v>
      </c>
      <c r="B739" t="str">
        <f>IFERROR(__xludf.DUMMYFUNCTION("""COMPUTED_VALUE"""),"ConfigureWidget")</f>
        <v>ConfigureWidget</v>
      </c>
      <c r="C739" t="str">
        <f>IFERROR(__xludf.DUMMYFUNCTION("""COMPUTED_VALUE"""),"1W6yBhMOu0wchoi8WJBVKvPLgngkTy6xSOF5JPGpCiJM")</f>
        <v>1W6yBhMOu0wchoi8WJBVKvPLgngkTy6xSOF5JPGpCiJM</v>
      </c>
    </row>
    <row r="740" ht="15.75" customHeight="1">
      <c r="A740" t="str">
        <f>IFERROR(__xludf.DUMMYFUNCTION("""COMPUTED_VALUE"""),"CreateTransaction")</f>
        <v>CreateTransaction</v>
      </c>
      <c r="B740" t="str">
        <f>IFERROR(__xludf.DUMMYFUNCTION("""COMPUTED_VALUE"""),"VerifyCTNavLockPopup")</f>
        <v>VerifyCTNavLockPopup</v>
      </c>
      <c r="C740" t="str">
        <f>IFERROR(__xludf.DUMMYFUNCTION("""COMPUTED_VALUE"""),"144sdIKvp1IYBLo1BR5xnXjJV08MEYXOtOle_BzmZysU")</f>
        <v>144sdIKvp1IYBLo1BR5xnXjJV08MEYXOtOle_BzmZysU</v>
      </c>
    </row>
    <row r="741" ht="15.75" customHeight="1">
      <c r="A741" t="str">
        <f>IFERROR(__xludf.DUMMYFUNCTION("""COMPUTED_VALUE"""),"DailyValuation")</f>
        <v>DailyValuation</v>
      </c>
      <c r="B741" t="str">
        <f>IFERROR(__xludf.DUMMYFUNCTION("""COMPUTED_VALUE"""),"VerifyDVNavLockPopup")</f>
        <v>VerifyDVNavLockPopup</v>
      </c>
      <c r="C741" t="str">
        <f>IFERROR(__xludf.DUMMYFUNCTION("""COMPUTED_VALUE"""),"1rXDKRADphBVDpGsYUs6Jq5ugHFrpJ_qRur3VkVbGwV4")</f>
        <v>1rXDKRADphBVDpGsYUs6Jq5ugHFrpJ_qRur3VkVbGwV4</v>
      </c>
    </row>
    <row r="742" ht="15.75" customHeight="1">
      <c r="A742" t="str">
        <f>IFERROR(__xludf.DUMMYFUNCTION("""COMPUTED_VALUE"""),"GeneralLedger")</f>
        <v>GeneralLedger</v>
      </c>
      <c r="B742" t="str">
        <f>IFERROR(__xludf.DUMMYFUNCTION("""COMPUTED_VALUE"""),"VerifyGLNavLockPopup")</f>
        <v>VerifyGLNavLockPopup</v>
      </c>
      <c r="C742" t="str">
        <f>IFERROR(__xludf.DUMMYFUNCTION("""COMPUTED_VALUE"""),"13qCmJnkjFZw_O4n_dVKtJg-5eOkymkypG_MjQGuuNAo")</f>
        <v>13qCmJnkjFZw_O4n_dVKtJg-5eOkymkypG_MjQGuuNAo</v>
      </c>
    </row>
    <row r="743" ht="15.75" customHeight="1">
      <c r="A743" t="str">
        <f>IFERROR(__xludf.DUMMYFUNCTION("""COMPUTED_VALUE"""),"Import")</f>
        <v>Import</v>
      </c>
      <c r="B743" t="str">
        <f>IFERROR(__xludf.DUMMYFUNCTION("""COMPUTED_VALUE"""),"VerifyImportNavLockPopup")</f>
        <v>VerifyImportNavLockPopup</v>
      </c>
      <c r="C743" t="str">
        <f>IFERROR(__xludf.DUMMYFUNCTION("""COMPUTED_VALUE"""),"1pXdTBlTEvtcQUfX_APkVY3rRe3gVlj4Sk_Jyd6F4sNM")</f>
        <v>1pXdTBlTEvtcQUfX_APkVY3rRe3gVlj4Sk_Jyd6F4sNM</v>
      </c>
    </row>
    <row r="744" ht="15.75" customHeight="1">
      <c r="A744" t="str">
        <f>IFERROR(__xludf.DUMMYFUNCTION("""COMPUTED_VALUE"""),"MultiTradingTicket")</f>
        <v>MultiTradingTicket</v>
      </c>
      <c r="B744" t="str">
        <f>IFERROR(__xludf.DUMMYFUNCTION("""COMPUTED_VALUE"""),"VerifyMTTNavLockPopup")</f>
        <v>VerifyMTTNavLockPopup</v>
      </c>
      <c r="C744" t="str">
        <f>IFERROR(__xludf.DUMMYFUNCTION("""COMPUTED_VALUE"""),"1hzuWfGgMcTuN77JdNWDiNq95xYqAIxYrqdk47goXdlc")</f>
        <v>1hzuWfGgMcTuN77JdNWDiNq95xYqAIxYrqdk47goXdlc</v>
      </c>
    </row>
    <row r="745" ht="15.75" customHeight="1">
      <c r="A745" t="str">
        <f>IFERROR(__xludf.DUMMYFUNCTION("""COMPUTED_VALUE"""),"PricingInput")</f>
        <v>PricingInput</v>
      </c>
      <c r="B745" t="str">
        <f>IFERROR(__xludf.DUMMYFUNCTION("""COMPUTED_VALUE"""),"VerifyPINavLockPopup")</f>
        <v>VerifyPINavLockPopup</v>
      </c>
      <c r="C745" t="str">
        <f>IFERROR(__xludf.DUMMYFUNCTION("""COMPUTED_VALUE"""),"1MqKw1Z4nex0wIRjcW-Lhchpv8ZsSNuruz2cszeIP01M")</f>
        <v>1MqKw1Z4nex0wIRjcW-Lhchpv8ZsSNuruz2cszeIP01M</v>
      </c>
    </row>
    <row r="746" ht="15.75" customHeight="1">
      <c r="A746" t="str">
        <f>IFERROR(__xludf.DUMMYFUNCTION("""COMPUTED_VALUE"""),"ShortLocate")</f>
        <v>ShortLocate</v>
      </c>
      <c r="B746" t="str">
        <f>IFERROR(__xludf.DUMMYFUNCTION("""COMPUTED_VALUE"""),"VerifySLNavLockPopup")</f>
        <v>VerifySLNavLockPopup</v>
      </c>
      <c r="C746" t="str">
        <f>IFERROR(__xludf.DUMMYFUNCTION("""COMPUTED_VALUE"""),"1sBI9JpwaQW2KTgfDWaY7h3xdvzXzeqjaP8_Vml6QbTo")</f>
        <v>1sBI9JpwaQW2KTgfDWaY7h3xdvzXzeqjaP8_Vml6QbTo</v>
      </c>
    </row>
    <row r="747" ht="15.75" customHeight="1">
      <c r="A747" t="str">
        <f>IFERROR(__xludf.DUMMYFUNCTION("""COMPUTED_VALUE"""),"TradingTicket")</f>
        <v>TradingTicket</v>
      </c>
      <c r="B747" t="str">
        <f>IFERROR(__xludf.DUMMYFUNCTION("""COMPUTED_VALUE"""),"VerifyTTNavLockPopup")</f>
        <v>VerifyTTNavLockPopup</v>
      </c>
      <c r="C747" t="str">
        <f>IFERROR(__xludf.DUMMYFUNCTION("""COMPUTED_VALUE"""),"15lRx1SPPsy7nykR6nVYUadOnwKG80Q6OfxTDuQ_dvXI")</f>
        <v>15lRx1SPPsy7nykR6nVYUadOnwKG80Q6OfxTDuQ_dvXI</v>
      </c>
    </row>
    <row r="748" ht="15.75" customHeight="1">
      <c r="A748" t="str">
        <f>IFERROR(__xludf.DUMMYFUNCTION("""COMPUTED_VALUE"""),"Blotter")</f>
        <v>Blotter</v>
      </c>
      <c r="B748" t="str">
        <f>IFERROR(__xludf.DUMMYFUNCTION("""COMPUTED_VALUE"""),"VerifyBlotterNavLockPopup")</f>
        <v>VerifyBlotterNavLockPopup</v>
      </c>
      <c r="C748" t="str">
        <f>IFERROR(__xludf.DUMMYFUNCTION("""COMPUTED_VALUE"""),"1NXDngJ54gfiJxrqVxgbEYZ7hW3c4kquifXR6Lg7EK5Y")</f>
        <v>1NXDngJ54gfiJxrqVxgbEYZ7hW3c4kquifXR6Lg7EK5Y</v>
      </c>
    </row>
    <row r="749" ht="15.75" customHeight="1">
      <c r="A749" t="str">
        <f>IFERROR(__xludf.DUMMYFUNCTION("""COMPUTED_VALUE"""),"Closing")</f>
        <v>Closing</v>
      </c>
      <c r="B749" t="str">
        <f>IFERROR(__xludf.DUMMYFUNCTION("""COMPUTED_VALUE"""),"VerifyClosingNavLockPopup")</f>
        <v>VerifyClosingNavLockPopup</v>
      </c>
      <c r="C749" t="str">
        <f>IFERROR(__xludf.DUMMYFUNCTION("""COMPUTED_VALUE"""),"1AR0JbTGvV_W-vRVG60LJNAab-sFlfdBFwEtZpVYEMPo")</f>
        <v>1AR0JbTGvV_W-vRVG60LJNAab-sFlfdBFwEtZpVYEMPo</v>
      </c>
    </row>
    <row r="750" ht="15.75" customHeight="1">
      <c r="A750" t="str">
        <f>IFERROR(__xludf.DUMMYFUNCTION("""COMPUTED_VALUE"""),"RTPNL")</f>
        <v>RTPNL</v>
      </c>
      <c r="B750" t="str">
        <f>IFERROR(__xludf.DUMMYFUNCTION("""COMPUTED_VALUE"""),"ChangeWidgetView")</f>
        <v>ChangeWidgetView</v>
      </c>
      <c r="C750" t="str">
        <f>IFERROR(__xludf.DUMMYFUNCTION("""COMPUTED_VALUE"""),"1PKf_qqqp1j7_MkyduQmNqqaKdDFTgjuq1ApwaDumMj0")</f>
        <v>1PKf_qqqp1j7_MkyduQmNqqaKdDFTgjuq1ApwaDumMj0</v>
      </c>
    </row>
    <row r="751" ht="15.75" customHeight="1">
      <c r="A751" t="str">
        <f>IFERROR(__xludf.DUMMYFUNCTION("""COMPUTED_VALUE"""),"NavLock")</f>
        <v>NavLock</v>
      </c>
      <c r="B751" t="str">
        <f>IFERROR(__xludf.DUMMYFUNCTION("""COMPUTED_VALUE"""),"VerifyNavLockPopup")</f>
        <v>VerifyNavLockPopup</v>
      </c>
      <c r="C751" t="str">
        <f>IFERROR(__xludf.DUMMYFUNCTION("""COMPUTED_VALUE"""),"1BZhGha4iLlieCbbyTcPylU2maLzwgdHAfTO198z-aX8")</f>
        <v>1BZhGha4iLlieCbbyTcPylU2maLzwgdHAfTO198z-aX8</v>
      </c>
    </row>
    <row r="752" ht="15.75" customHeight="1">
      <c r="A752" t="str">
        <f>IFERROR(__xludf.DUMMYFUNCTION("""COMPUTED_VALUE"""),"NavLock")</f>
        <v>NavLock</v>
      </c>
      <c r="B752" t="str">
        <f>IFERROR(__xludf.DUMMYFUNCTION("""COMPUTED_VALUE"""),"VerifyRowsNavLock")</f>
        <v>VerifyRowsNavLock</v>
      </c>
      <c r="C752" t="str">
        <f>IFERROR(__xludf.DUMMYFUNCTION("""COMPUTED_VALUE"""),"12Dl3x2X_C-RCm3K5RkyuRq_t8lxeYk98IQBRrsF9WLU")</f>
        <v>12Dl3x2X_C-RCm3K5RkyuRq_t8lxeYk98IQBRrsF9WLU</v>
      </c>
    </row>
    <row r="753" ht="15.75" customHeight="1">
      <c r="A753" t="str">
        <f>IFERROR(__xludf.DUMMYFUNCTION("""COMPUTED_VALUE"""),"Blotter")</f>
        <v>Blotter</v>
      </c>
      <c r="B753" t="str">
        <f>IFERROR(__xludf.DUMMYFUNCTION("""COMPUTED_VALUE"""),"CustomTabActions")</f>
        <v>CustomTabActions</v>
      </c>
      <c r="C753" t="str">
        <f>IFERROR(__xludf.DUMMYFUNCTION("""COMPUTED_VALUE"""),"163hnSm9KTeABqdRxsfyyCsrxGVcrGd0nCGT4WqLsJ9Q")</f>
        <v>163hnSm9KTeABqdRxsfyyCsrxGVcrGd0nCGT4WqLsJ9Q</v>
      </c>
    </row>
    <row r="754" ht="15.75" customHeight="1">
      <c r="A754" t="str">
        <f>IFERROR(__xludf.DUMMYFUNCTION("""COMPUTED_VALUE"""),"Blotter")</f>
        <v>Blotter</v>
      </c>
      <c r="B754" t="str">
        <f>IFERROR(__xludf.DUMMYFUNCTION("""COMPUTED_VALUE"""),"VerifyAllocationWindow")</f>
        <v>VerifyAllocationWindow</v>
      </c>
      <c r="C754" t="str">
        <f>IFERROR(__xludf.DUMMYFUNCTION("""COMPUTED_VALUE"""),"1DUwxSUq_47EK60XmK3LOdCXa1fkWqWJE9bLuGS3ccv4")</f>
        <v>1DUwxSUq_47EK60XmK3LOdCXa1fkWqWJE9bLuGS3ccv4</v>
      </c>
    </row>
    <row r="755" ht="15.75" customHeight="1">
      <c r="A755" t="str">
        <f>IFERROR(__xludf.DUMMYFUNCTION("""COMPUTED_VALUE"""),"OpenFin")</f>
        <v>OpenFin</v>
      </c>
      <c r="B755" t="str">
        <f>IFERROR(__xludf.DUMMYFUNCTION("""COMPUTED_VALUE"""),"SavePageView")</f>
        <v>SavePageView</v>
      </c>
      <c r="C755" t="str">
        <f>IFERROR(__xludf.DUMMYFUNCTION("""COMPUTED_VALUE"""),"1wFFzsxWBm8VT5o4pz2dFosHS72pEaQuVZFVkiVeZE9w")</f>
        <v>1wFFzsxWBm8VT5o4pz2dFosHS72pEaQuVZFVkiVeZE9w</v>
      </c>
    </row>
    <row r="756" ht="15.75" customHeight="1">
      <c r="A756" t="str">
        <f>IFERROR(__xludf.DUMMYFUNCTION("""COMPUTED_VALUE"""),"OpenFin")</f>
        <v>OpenFin</v>
      </c>
      <c r="B756" t="str">
        <f>IFERROR(__xludf.DUMMYFUNCTION("""COMPUTED_VALUE"""),"ActionOnPageFromSearch")</f>
        <v>ActionOnPageFromSearch</v>
      </c>
      <c r="C756" t="str">
        <f>IFERROR(__xludf.DUMMYFUNCTION("""COMPUTED_VALUE"""),"1jCpG4ETPp9dfvh-Ymdex8Mb3Taz9sYrOR-1uBd5Ceyc")</f>
        <v>1jCpG4ETPp9dfvh-Ymdex8Mb3Taz9sYrOR-1uBd5Ceyc</v>
      </c>
    </row>
    <row r="757" ht="15.75" customHeight="1">
      <c r="A757" t="str">
        <f>IFERROR(__xludf.DUMMYFUNCTION("""COMPUTED_VALUE"""),"OpenFin")</f>
        <v>OpenFin</v>
      </c>
      <c r="B757" t="str">
        <f>IFERROR(__xludf.DUMMYFUNCTION("""COMPUTED_VALUE"""),"ChangeThemeOnModule")</f>
        <v>ChangeThemeOnModule</v>
      </c>
      <c r="C757" t="str">
        <f>IFERROR(__xludf.DUMMYFUNCTION("""COMPUTED_VALUE"""),"1KKiVG313VPgZZadw3-GZ4Cbt7wTwEPpmyGsp3MHFp9Q")</f>
        <v>1KKiVG313VPgZZadw3-GZ4Cbt7wTwEPpmyGsp3MHFp9Q</v>
      </c>
    </row>
    <row r="758" ht="15.75" customHeight="1">
      <c r="A758" t="str">
        <f>IFERROR(__xludf.DUMMYFUNCTION("""COMPUTED_VALUE"""),"PranaClient")</f>
        <v>PranaClient</v>
      </c>
      <c r="B758" t="str">
        <f>IFERROR(__xludf.DUMMYFUNCTION("""COMPUTED_VALUE"""),"MoveFile")</f>
        <v>MoveFile</v>
      </c>
      <c r="C758" t="str">
        <f>IFERROR(__xludf.DUMMYFUNCTION("""COMPUTED_VALUE"""),"1BBCKN3cBzJgvZqLoHeAi1YmxeNaesC7YrayWsYVuQeU")</f>
        <v>1BBCKN3cBzJgvZqLoHeAi1YmxeNaesC7YrayWsYVuQeU</v>
      </c>
    </row>
    <row r="759" ht="15.75" customHeight="1">
      <c r="A759" t="str">
        <f>IFERROR(__xludf.DUMMYFUNCTION("""COMPUTED_VALUE"""),"OpenFin")</f>
        <v>OpenFin</v>
      </c>
      <c r="B759" t="str">
        <f>IFERROR(__xludf.DUMMYFUNCTION("""COMPUTED_VALUE"""),"CloseService")</f>
        <v>CloseService</v>
      </c>
      <c r="C759" t="str">
        <f>IFERROR(__xludf.DUMMYFUNCTION("""COMPUTED_VALUE"""),"1YXPx62dgEZ9yV5qKkFLgWipyvziAW1SJVEqhiNHEONM")</f>
        <v>1YXPx62dgEZ9yV5qKkFLgWipyvziAW1SJVEqhiNHEONM</v>
      </c>
    </row>
    <row r="760" ht="15.75" customHeight="1">
      <c r="A760" t="str">
        <f>IFERROR(__xludf.DUMMYFUNCTION("""COMPUTED_VALUE"""),"OpenFin")</f>
        <v>OpenFin</v>
      </c>
      <c r="B760" t="str">
        <f>IFERROR(__xludf.DUMMYFUNCTION("""COMPUTED_VALUE"""),"LogOutSamsara")</f>
        <v>LogOutSamsara</v>
      </c>
      <c r="C760" t="str">
        <f>IFERROR(__xludf.DUMMYFUNCTION("""COMPUTED_VALUE"""),"1AHqtQRX4cdwOByK5Ip_T2FJlZFaU23rmiDk0afFhfaY")</f>
        <v>1AHqtQRX4cdwOByK5Ip_T2FJlZFaU23rmiDk0afFhfaY</v>
      </c>
    </row>
    <row r="761" ht="15.75" customHeight="1">
      <c r="A761" t="str">
        <f>IFERROR(__xludf.DUMMYFUNCTION("""COMPUTED_VALUE"""),"QTT")</f>
        <v>QTT</v>
      </c>
      <c r="B761" t="str">
        <f>IFERROR(__xludf.DUMMYFUNCTION("""COMPUTED_VALUE"""),"TradeQTT")</f>
        <v>TradeQTT</v>
      </c>
      <c r="C761" t="str">
        <f>IFERROR(__xludf.DUMMYFUNCTION("""COMPUTED_VALUE"""),"1-5lKqkX57JBaCsmy3TeMGKEVsjNdXnqCttYvBHsfJ14")</f>
        <v>1-5lKqkX57JBaCsmy3TeMGKEVsjNdXnqCttYvBHsfJ14</v>
      </c>
    </row>
    <row r="762" ht="15.75" customHeight="1">
      <c r="A762" t="str">
        <f>IFERROR(__xludf.DUMMYFUNCTION("""COMPUTED_VALUE"""),"TradingTicket")</f>
        <v>TradingTicket</v>
      </c>
      <c r="B762" t="str">
        <f>IFERROR(__xludf.DUMMYFUNCTION("""COMPUTED_VALUE"""),"VerifyCustomAllocationSecondUI")</f>
        <v>VerifyCustomAllocationSecondUI</v>
      </c>
      <c r="C762" t="str">
        <f>IFERROR(__xludf.DUMMYFUNCTION("""COMPUTED_VALUE"""),"1AL5eBNcstEo3uS52PLH2Duzff-16gDD2eEJx_augMtM")</f>
        <v>1AL5eBNcstEo3uS52PLH2Duzff-16gDD2eEJx_augMtM</v>
      </c>
    </row>
    <row r="763" ht="15.75" customHeight="1">
      <c r="A763" t="str">
        <f>IFERROR(__xludf.DUMMYFUNCTION("""COMPUTED_VALUE"""),"Blotter")</f>
        <v>Blotter</v>
      </c>
      <c r="B763" t="str">
        <f>IFERROR(__xludf.DUMMYFUNCTION("""COMPUTED_VALUE"""),"VerifyViewAllocationOrder")</f>
        <v>VerifyViewAllocationOrder</v>
      </c>
      <c r="C763" t="str">
        <f>IFERROR(__xludf.DUMMYFUNCTION("""COMPUTED_VALUE"""),"1I3aVj-PRyRug4M5EDTw8espL6CeDhXPCYr5qa2gbwZk")</f>
        <v>1I3aVj-PRyRug4M5EDTw8espL6CeDhXPCYr5qa2gbwZk</v>
      </c>
    </row>
    <row r="764" ht="15.75" customHeight="1">
      <c r="A764" t="str">
        <f>IFERROR(__xludf.DUMMYFUNCTION("""COMPUTED_VALUE"""),"QTT")</f>
        <v>QTT</v>
      </c>
      <c r="B764" t="str">
        <f>IFERROR(__xludf.DUMMYFUNCTION("""COMPUTED_VALUE"""),"UseOrVerifyHotKeys")</f>
        <v>UseOrVerifyHotKeys</v>
      </c>
      <c r="C764" t="str">
        <f>IFERROR(__xludf.DUMMYFUNCTION("""COMPUTED_VALUE"""),"1ajjcbjqpEui4y62RzfJ-6ARI0W8GAhrdUmWCOsG_ovE")</f>
        <v>1ajjcbjqpEui4y62RzfJ-6ARI0W8GAhrdUmWCOsG_ovE</v>
      </c>
    </row>
    <row r="765" ht="15.75" customHeight="1">
      <c r="A765" t="str">
        <f>IFERROR(__xludf.DUMMYFUNCTION("""COMPUTED_VALUE"""),"TradingTicket")</f>
        <v>TradingTicket</v>
      </c>
      <c r="B765" t="str">
        <f>IFERROR(__xludf.DUMMYFUNCTION("""COMPUTED_VALUE"""),"ShortLocateFromTT")</f>
        <v>ShortLocateFromTT</v>
      </c>
      <c r="C765" t="str">
        <f>IFERROR(__xludf.DUMMYFUNCTION("""COMPUTED_VALUE"""),"1saPgjE09_MBiqASRTSQboRMwRdUlFv6nzTocBZeFm-I")</f>
        <v>1saPgjE09_MBiqASRTSQboRMwRdUlFv6nzTocBZeFm-I</v>
      </c>
    </row>
    <row r="766" ht="15.75" customHeight="1">
      <c r="A766" t="str">
        <f>IFERROR(__xludf.DUMMYFUNCTION("""COMPUTED_VALUE"""),"TradingTicket")</f>
        <v>TradingTicket</v>
      </c>
      <c r="B766" t="str">
        <f>IFERROR(__xludf.DUMMYFUNCTION("""COMPUTED_VALUE"""),"VerifyShortLocateWindowOnTT")</f>
        <v>VerifyShortLocateWindowOnTT</v>
      </c>
      <c r="C766" t="str">
        <f>IFERROR(__xludf.DUMMYFUNCTION("""COMPUTED_VALUE"""),"1ljyVPm21FKmOvEmG0-JvPMTBuyG89a_7EGFToCoHgI4")</f>
        <v>1ljyVPm21FKmOvEmG0-JvPMTBuyG89a_7EGFToCoHgI4</v>
      </c>
    </row>
    <row r="767" ht="15.75" customHeight="1">
      <c r="A767" t="str">
        <f>IFERROR(__xludf.DUMMYFUNCTION("""COMPUTED_VALUE"""),"TradingTicket")</f>
        <v>TradingTicket</v>
      </c>
      <c r="B767" t="str">
        <f>IFERROR(__xludf.DUMMYFUNCTION("""COMPUTED_VALUE"""),"AlgoUIOperations")</f>
        <v>AlgoUIOperations</v>
      </c>
      <c r="C767" t="str">
        <f>IFERROR(__xludf.DUMMYFUNCTION("""COMPUTED_VALUE"""),"1uln1YXeeB893lpbmhI194peJcUUj4ODFhdM1AYcTVJo")</f>
        <v>1uln1YXeeB893lpbmhI194peJcUUj4ODFhdM1AYcTVJo</v>
      </c>
    </row>
    <row r="768" ht="15.75" customHeight="1">
      <c r="A768" t="str">
        <f>IFERROR(__xludf.DUMMYFUNCTION("""COMPUTED_VALUE"""),"TradingTicket")</f>
        <v>TradingTicket</v>
      </c>
      <c r="B768" t="str">
        <f>IFERROR(__xludf.DUMMYFUNCTION("""COMPUTED_VALUE"""),"UpdateShortLocateFromTT")</f>
        <v>UpdateShortLocateFromTT</v>
      </c>
      <c r="C768" t="str">
        <f>IFERROR(__xludf.DUMMYFUNCTION("""COMPUTED_VALUE"""),"13hfddjE8Z-71LhiEXSLwqUDRw6EbnSTKZU2vgV_dwUA")</f>
        <v>13hfddjE8Z-71LhiEXSLwqUDRw6EbnSTKZU2vgV_dwUA</v>
      </c>
    </row>
    <row r="769" ht="15.75" customHeight="1">
      <c r="A769" t="str">
        <f>IFERROR(__xludf.DUMMYFUNCTION("""COMPUTED_VALUE"""),"RTPNL")</f>
        <v>RTPNL</v>
      </c>
      <c r="B769" t="str">
        <f>IFERROR(__xludf.DUMMYFUNCTION("""COMPUTED_VALUE"""),"RenameTabs")</f>
        <v>RenameTabs</v>
      </c>
      <c r="C769" t="str">
        <f>IFERROR(__xludf.DUMMYFUNCTION("""COMPUTED_VALUE"""),"1K7LcioEl1sTwLRhqHc9go_7jNmUIRZNy9zBQLMgtBw8")</f>
        <v>1K7LcioEl1sTwLRhqHc9go_7jNmUIRZNy9zBQLMgtBw8</v>
      </c>
    </row>
    <row r="770" ht="15.75" customHeight="1">
      <c r="A770" t="str">
        <f>IFERROR(__xludf.DUMMYFUNCTION("""COMPUTED_VALUE"""),"RTPNL")</f>
        <v>RTPNL</v>
      </c>
      <c r="B770" t="str">
        <f>IFERROR(__xludf.DUMMYFUNCTION("""COMPUTED_VALUE"""),"ResizeEnsure")</f>
        <v>ResizeEnsure</v>
      </c>
      <c r="C770" t="str">
        <f>IFERROR(__xludf.DUMMYFUNCTION("""COMPUTED_VALUE"""),"1-peVyQ_nIwd8owwmtDtNW-yx12KQx2nHeYee6duB46M")</f>
        <v>1-peVyQ_nIwd8owwmtDtNW-yx12KQx2nHeYee6duB46M</v>
      </c>
    </row>
    <row r="771" ht="15.75" customHeight="1">
      <c r="A771" t="str">
        <f>IFERROR(__xludf.DUMMYFUNCTION("""COMPUTED_VALUE"""),"Admin")</f>
        <v>Admin</v>
      </c>
      <c r="B771" t="str">
        <f>IFERROR(__xludf.DUMMYFUNCTION("""COMPUTED_VALUE"""),"ClearRTPNLtabs")</f>
        <v>ClearRTPNLtabs</v>
      </c>
      <c r="C771" t="str">
        <f>IFERROR(__xludf.DUMMYFUNCTION("""COMPUTED_VALUE"""),"Undefined")</f>
        <v>Undefined</v>
      </c>
    </row>
    <row r="772" ht="15.75" customHeight="1">
      <c r="A772" t="str">
        <f>IFERROR(__xludf.DUMMYFUNCTION("""COMPUTED_VALUE"""),"RTPNL")</f>
        <v>RTPNL</v>
      </c>
      <c r="B772" t="str">
        <f>IFERROR(__xludf.DUMMYFUNCTION("""COMPUTED_VALUE"""),"AddTabRTPNL")</f>
        <v>AddTabRTPNL</v>
      </c>
      <c r="C772" t="str">
        <f>IFERROR(__xludf.DUMMYFUNCTION("""COMPUTED_VALUE"""),"18kG7vS-CfSLW8Q-ho416lyPlP36XJPPHA0cRbCk3vjU")</f>
        <v>18kG7vS-CfSLW8Q-ho416lyPlP36XJPPHA0cRbCk3vjU</v>
      </c>
    </row>
    <row r="773" ht="15.75" customHeight="1">
      <c r="A773" t="str">
        <f>IFERROR(__xludf.DUMMYFUNCTION("""COMPUTED_VALUE"""),"Blotter")</f>
        <v>Blotter</v>
      </c>
      <c r="B773" t="str">
        <f>IFERROR(__xludf.DUMMYFUNCTION("""COMPUTED_VALUE"""),"ResizeEnsureBlotter")</f>
        <v>ResizeEnsureBlotter</v>
      </c>
      <c r="C773" t="str">
        <f>IFERROR(__xludf.DUMMYFUNCTION("""COMPUTED_VALUE"""),"1Vu6zEtojqPkTWiW-oX7BwwpFj9Oi3-B6-sRrEsjiW0Y")</f>
        <v>1Vu6zEtojqPkTWiW-oX7BwwpFj9Oi3-B6-sRrEsjiW0Y</v>
      </c>
    </row>
    <row r="774" ht="15.75" customHeight="1">
      <c r="A774" t="str">
        <f>IFERROR(__xludf.DUMMYFUNCTION("""COMPUTED_VALUE"""),"Admin")</f>
        <v>Admin</v>
      </c>
      <c r="B774" t="str">
        <f>IFERROR(__xludf.DUMMYFUNCTION("""COMPUTED_VALUE"""),"ConfigUpdater")</f>
        <v>ConfigUpdater</v>
      </c>
      <c r="C774" t="str">
        <f>IFERROR(__xludf.DUMMYFUNCTION("""COMPUTED_VALUE"""),"19IDTIIOkGl6qufGANtXkELRoXFIlWB3icM0G4IJ5mg4")</f>
        <v>19IDTIIOkGl6qufGANtXkELRoXFIlWB3icM0G4IJ5mg4</v>
      </c>
    </row>
    <row r="775" ht="15.75" customHeight="1">
      <c r="A775" t="str">
        <f>IFERROR(__xludf.DUMMYFUNCTION("""COMPUTED_VALUE"""),"PortfolioManagement")</f>
        <v>PortfolioManagement</v>
      </c>
      <c r="B775" t="str">
        <f>IFERROR(__xludf.DUMMYFUNCTION("""COMPUTED_VALUE"""),"SelectTradeOnPM")</f>
        <v>SelectTradeOnPM</v>
      </c>
      <c r="C775" t="str">
        <f>IFERROR(__xludf.DUMMYFUNCTION("""COMPUTED_VALUE"""),"1_tBJjps2mULQyHra_AnC6BBvPbOko3FAY-kc11l7eTg")</f>
        <v>1_tBJjps2mULQyHra_AnC6BBvPbOko3FAY-kc11l7eTg</v>
      </c>
    </row>
    <row r="776" ht="15.75" customHeight="1">
      <c r="A776" t="str">
        <f>IFERROR(__xludf.DUMMYFUNCTION("""COMPUTED_VALUE"""),"TradingTicket")</f>
        <v>TradingTicket</v>
      </c>
      <c r="B776" t="str">
        <f>IFERROR(__xludf.DUMMYFUNCTION("""COMPUTED_VALUE"""),"ResetTT")</f>
        <v>ResetTT</v>
      </c>
      <c r="C776" t="str">
        <f>IFERROR(__xludf.DUMMYFUNCTION("""COMPUTED_VALUE"""),"Undefined")</f>
        <v>Undefined</v>
      </c>
    </row>
    <row r="777" ht="15.75" customHeight="1">
      <c r="A777" t="str">
        <f>IFERROR(__xludf.DUMMYFUNCTION("""COMPUTED_VALUE"""),"Blotter")</f>
        <v>Blotter</v>
      </c>
      <c r="B777" t="str">
        <f>IFERROR(__xludf.DUMMYFUNCTION("""COMPUTED_VALUE"""),"RightClickOperations")</f>
        <v>RightClickOperations</v>
      </c>
      <c r="C777" t="str">
        <f>IFERROR(__xludf.DUMMYFUNCTION("""COMPUTED_VALUE"""),"17jhCujI-0V0U3n5lzlkc-azSuwCa7rf-4KwcSInm9ts")</f>
        <v>17jhCujI-0V0U3n5lzlkc-azSuwCa7rf-4KwcSInm9ts</v>
      </c>
    </row>
    <row r="778" ht="15.75" customHeight="1">
      <c r="A778" t="str">
        <f>IFERROR(__xludf.DUMMYFUNCTION("""COMPUTED_VALUE"""),"Unknown")</f>
        <v>Unknown</v>
      </c>
      <c r="B778" t="str">
        <f>IFERROR(__xludf.DUMMYFUNCTION("""COMPUTED_VALUE"""),"RightClickAndClickOperations")</f>
        <v>RightClickAndClickOperations</v>
      </c>
      <c r="C778" t="str">
        <f>IFERROR(__xludf.DUMMYFUNCTION("""COMPUTED_VALUE"""),"1e9jtl9r57SkbYm3S4wbHtvkeG2KExZEiFSIkkRSaq-8")</f>
        <v>1e9jtl9r57SkbYm3S4wbHtvkeG2KExZEiFSIkkRSaq-8</v>
      </c>
    </row>
    <row r="779" ht="15.75" customHeight="1">
      <c r="A779" t="str">
        <f>IFERROR(__xludf.DUMMYFUNCTION("""COMPUTED_VALUE"""),"Compliance")</f>
        <v>Compliance</v>
      </c>
      <c r="B779" t="str">
        <f>IFERROR(__xludf.DUMMYFUNCTION("""COMPUTED_VALUE"""),"EnableDisableRule")</f>
        <v>EnableDisableRule</v>
      </c>
      <c r="C779" t="str">
        <f>IFERROR(__xludf.DUMMYFUNCTION("""COMPUTED_VALUE"""),"1ldCRZpDrvOW-37YQP92bnj-oqRl2rwy9OIebmA5GKXE")</f>
        <v>1ldCRZpDrvOW-37YQP92bnj-oqRl2rwy9OIebmA5GKXE</v>
      </c>
    </row>
    <row r="780" ht="15.75" customHeight="1">
      <c r="A780" t="str">
        <f>IFERROR(__xludf.DUMMYFUNCTION("""COMPUTED_VALUE"""),"Blotter")</f>
        <v>Blotter</v>
      </c>
      <c r="B780" t="str">
        <f>IFERROR(__xludf.DUMMYFUNCTION("""COMPUTED_VALUE"""),"BlotterToolBarAction")</f>
        <v>BlotterToolBarAction</v>
      </c>
      <c r="C780" t="str">
        <f>IFERROR(__xludf.DUMMYFUNCTION("""COMPUTED_VALUE"""),"1bI1kIBxH6qy8zi5tx46rN3vNgbmxbdwtAo1inrXDALs")</f>
        <v>1bI1kIBxH6qy8zi5tx46rN3vNgbmxbdwtAo1inrXDALs</v>
      </c>
    </row>
    <row r="781" ht="15.75" customHeight="1">
      <c r="A781" t="str">
        <f>IFERROR(__xludf.DUMMYFUNCTION("""COMPUTED_VALUE"""),"RTPNL")</f>
        <v>RTPNL</v>
      </c>
      <c r="B781" t="str">
        <f>IFERROR(__xludf.DUMMYFUNCTION("""COMPUTED_VALUE"""),"MergeWindows")</f>
        <v>MergeWindows</v>
      </c>
      <c r="C781" t="str">
        <f>IFERROR(__xludf.DUMMYFUNCTION("""COMPUTED_VALUE"""),"1BEiRPdwHXsXVZ0ioude04Me5qSQ_YU6xh1ZwMWgExVU")</f>
        <v>1BEiRPdwHXsXVZ0ioude04Me5qSQ_YU6xh1ZwMWgExVU</v>
      </c>
    </row>
    <row r="782" ht="15.75" customHeight="1">
      <c r="A782" t="str">
        <f>IFERROR(__xludf.DUMMYFUNCTION("""COMPUTED_VALUE"""),"PortfolioManagement")</f>
        <v>PortfolioManagement</v>
      </c>
      <c r="B782" t="str">
        <f>IFERROR(__xludf.DUMMYFUNCTION("""COMPUTED_VALUE"""),"OperationsonPM")</f>
        <v>OperationsonPM</v>
      </c>
      <c r="C782" t="str">
        <f>IFERROR(__xludf.DUMMYFUNCTION("""COMPUTED_VALUE"""),"13hKVogBv66c752V1EGUyqXp4dGESQOZLmMqIB56fbAs")</f>
        <v>13hKVogBv66c752V1EGUyqXp4dGESQOZLmMqIB56fbAs</v>
      </c>
    </row>
    <row r="783" ht="15.75" customHeight="1">
      <c r="A783" t="str">
        <f>IFERROR(__xludf.DUMMYFUNCTION("""COMPUTED_VALUE"""),"TradingTicket")</f>
        <v>TradingTicket</v>
      </c>
      <c r="B783" t="str">
        <f>IFERROR(__xludf.DUMMYFUNCTION("""COMPUTED_VALUE"""),"ResizeEnsureTT")</f>
        <v>ResizeEnsureTT</v>
      </c>
      <c r="C783" t="str">
        <f>IFERROR(__xludf.DUMMYFUNCTION("""COMPUTED_VALUE"""),"1X1m60ND44-Chxr6N4sH6Fqbh_pqzIH8Cfy3c89u2_lQ")</f>
        <v>1X1m60ND44-Chxr6N4sH6Fqbh_pqzIH8Cfy3c89u2_lQ</v>
      </c>
    </row>
    <row r="784" ht="15.75" customHeight="1">
      <c r="A784" t="str">
        <f>IFERROR(__xludf.DUMMYFUNCTION("""COMPUTED_VALUE"""),"Admin")</f>
        <v>Admin</v>
      </c>
      <c r="B784" t="str">
        <f>IFERROR(__xludf.DUMMYFUNCTION("""COMPUTED_VALUE"""),"AccountPermission")</f>
        <v>AccountPermission</v>
      </c>
      <c r="C784" t="str">
        <f>IFERROR(__xludf.DUMMYFUNCTION("""COMPUTED_VALUE"""),"1UuUydT-ajZCwnqdhLBG28JhRRgR6skh7CgWMlr5JFEw")</f>
        <v>1UuUydT-ajZCwnqdhLBG28JhRRgR6skh7CgWMlr5JFEw</v>
      </c>
    </row>
    <row r="785" ht="15.75" customHeight="1">
      <c r="A785" t="str">
        <f>IFERROR(__xludf.DUMMYFUNCTION("""COMPUTED_VALUE"""),"Rebalancer")</f>
        <v>Rebalancer</v>
      </c>
      <c r="B785" t="str">
        <f>IFERROR(__xludf.DUMMYFUNCTION("""COMPUTED_VALUE"""),"CreateOrViewModelPortfolio")</f>
        <v>CreateOrViewModelPortfolio</v>
      </c>
      <c r="C785" t="str">
        <f>IFERROR(__xludf.DUMMYFUNCTION("""COMPUTED_VALUE"""),"1vejknW_QiO0r5pMzMjOGCCsgwLVes4a3Ubx1l-0Mg1k")</f>
        <v>1vejknW_QiO0r5pMzMjOGCCsgwLVes4a3Ubx1l-0Mg1k</v>
      </c>
    </row>
    <row r="786" ht="15.75" customHeight="1">
      <c r="A786" t="str">
        <f>IFERROR(__xludf.DUMMYFUNCTION("""COMPUTED_VALUE"""),"Rebalancer")</f>
        <v>Rebalancer</v>
      </c>
      <c r="B786" t="str">
        <f>IFERROR(__xludf.DUMMYFUNCTION("""COMPUTED_VALUE"""),"VerifyModelPortfolio")</f>
        <v>VerifyModelPortfolio</v>
      </c>
      <c r="C786" t="str">
        <f>IFERROR(__xludf.DUMMYFUNCTION("""COMPUTED_VALUE"""),"1Tza5cx7NJ2J8vr_f6DC-KPhnXCzf7l1m0EERc6z_T-U")</f>
        <v>1Tza5cx7NJ2J8vr_f6DC-KPhnXCzf7l1m0EERc6z_T-U</v>
      </c>
    </row>
    <row r="787" ht="15.75" customHeight="1">
      <c r="A787" t="str">
        <f>IFERROR(__xludf.DUMMYFUNCTION("""COMPUTED_VALUE"""),"Allocation")</f>
        <v>Allocation</v>
      </c>
      <c r="B787" t="str">
        <f>IFERROR(__xludf.DUMMYFUNCTION("""COMPUTED_VALUE"""),"ReviewExistingPositions")</f>
        <v>ReviewExistingPositions</v>
      </c>
      <c r="C787" t="str">
        <f>IFERROR(__xludf.DUMMYFUNCTION("""COMPUTED_VALUE"""),"1KwYoTdpeW6LDhzloVKHp5buZqc8IjXEShjwnUx45Ql8")</f>
        <v>1KwYoTdpeW6LDhzloVKHp5buZqc8IjXEShjwnUx45Ql8</v>
      </c>
    </row>
    <row r="788" ht="15.75" customHeight="1">
      <c r="A788" t="str">
        <f>IFERROR(__xludf.DUMMYFUNCTION("""COMPUTED_VALUE"""),"Rebalancer")</f>
        <v>Rebalancer</v>
      </c>
      <c r="B788" t="str">
        <f>IFERROR(__xludf.DUMMYFUNCTION("""COMPUTED_VALUE"""),"VerifyTradeListSummary")</f>
        <v>VerifyTradeListSummary</v>
      </c>
      <c r="C788" t="str">
        <f>IFERROR(__xludf.DUMMYFUNCTION("""COMPUTED_VALUE"""),"1CwPtInR_Cy6ir39KI9yaXfAvolUGYsOGbIOnZabie0c")</f>
        <v>1CwPtInR_Cy6ir39KI9yaXfAvolUGYsOGbIOnZabie0c</v>
      </c>
    </row>
    <row r="789" ht="15.75" customHeight="1">
      <c r="A789" t="str">
        <f>IFERROR(__xludf.DUMMYFUNCTION("""COMPUTED_VALUE"""),"Rebalancer")</f>
        <v>Rebalancer</v>
      </c>
      <c r="B789" t="str">
        <f>IFERROR(__xludf.DUMMYFUNCTION("""COMPUTED_VALUE"""),"ActionOnTBSListSummary")</f>
        <v>ActionOnTBSListSummary</v>
      </c>
      <c r="C789" t="str">
        <f>IFERROR(__xludf.DUMMYFUNCTION("""COMPUTED_VALUE"""),"1vMPSqBpJ7zBb4rZw_ytaphDX8K_jcboQlLc6plZtllU")</f>
        <v>1vMPSqBpJ7zBb4rZw_ytaphDX8K_jcboQlLc6plZtllU</v>
      </c>
    </row>
    <row r="790" ht="15.75" customHeight="1">
      <c r="A790" t="str">
        <f>IFERROR(__xludf.DUMMYFUNCTION("""COMPUTED_VALUE"""),"Rebalancer")</f>
        <v>Rebalancer</v>
      </c>
      <c r="B790" t="str">
        <f>IFERROR(__xludf.DUMMYFUNCTION("""COMPUTED_VALUE"""),"VerifyTLOSideSummary")</f>
        <v>VerifyTLOSideSummary</v>
      </c>
      <c r="C790" t="str">
        <f>IFERROR(__xludf.DUMMYFUNCTION("""COMPUTED_VALUE"""),"1asJHjZ4EwQuMXHEFjolwYeO59Mt4d11wf4mCyD98JMw")</f>
        <v>1asJHjZ4EwQuMXHEFjolwYeO59Mt4d11wf4mCyD98JMw</v>
      </c>
    </row>
    <row r="791" ht="15.75" customHeight="1">
      <c r="A791" t="str">
        <f>IFERROR(__xludf.DUMMYFUNCTION("""COMPUTED_VALUE"""),"Rebalancer")</f>
        <v>Rebalancer</v>
      </c>
      <c r="B791" t="str">
        <f>IFERROR(__xludf.DUMMYFUNCTION("""COMPUTED_VALUE"""),"SelectAndVerifyTradeList")</f>
        <v>SelectAndVerifyTradeList</v>
      </c>
      <c r="C791" t="str">
        <f>IFERROR(__xludf.DUMMYFUNCTION("""COMPUTED_VALUE"""),"1fXJG--hBH0hPvU7g5jtXyZnD1GiwJXfYX9HdEyhGyGs")</f>
        <v>1fXJG--hBH0hPvU7g5jtXyZnD1GiwJXfYX9HdEyhGyGs</v>
      </c>
    </row>
    <row r="792" ht="15.75" customHeight="1">
      <c r="A792" t="str">
        <f>IFERROR(__xludf.DUMMYFUNCTION("""COMPUTED_VALUE"""),"Rebalancer")</f>
        <v>Rebalancer</v>
      </c>
      <c r="B792" t="str">
        <f>IFERROR(__xludf.DUMMYFUNCTION("""COMPUTED_VALUE"""),"ActionOnTradeBuySellListView")</f>
        <v>ActionOnTradeBuySellListView</v>
      </c>
      <c r="C792" t="str">
        <f>IFERROR(__xludf.DUMMYFUNCTION("""COMPUTED_VALUE"""),"1xeJEpkdxtbik3vPUTkxALkXsnL-Vl5dF07PBUoheM3k")</f>
        <v>1xeJEpkdxtbik3vPUTkxALkXsnL-Vl5dF07PBUoheM3k</v>
      </c>
    </row>
    <row r="793" ht="15.75" customHeight="1">
      <c r="A793" t="str">
        <f>IFERROR(__xludf.DUMMYFUNCTION("""COMPUTED_VALUE"""),"PTT")</f>
        <v>PTT</v>
      </c>
      <c r="B793" t="str">
        <f>IFERROR(__xludf.DUMMYFUNCTION("""COMPUTED_VALUE"""),"OperationsonPTT")</f>
        <v>OperationsonPTT</v>
      </c>
      <c r="C793" t="str">
        <f>IFERROR(__xludf.DUMMYFUNCTION("""COMPUTED_VALUE"""),"1J40rCXEDilLEF_x0Wkeeg1lwGfejucV1VSY9UcyeSlw")</f>
        <v>1J40rCXEDilLEF_x0Wkeeg1lwGfejucV1VSY9UcyeSlw</v>
      </c>
    </row>
    <row r="794" ht="15.75" customHeight="1">
      <c r="A794" t="str">
        <f>IFERROR(__xludf.DUMMYFUNCTION("""COMPUTED_VALUE"""),"PricingInput")</f>
        <v>PricingInput</v>
      </c>
      <c r="B794" t="str">
        <f>IFERROR(__xludf.DUMMYFUNCTION("""COMPUTED_VALUE"""),"UpdatePricingInput")</f>
        <v>UpdatePricingInput</v>
      </c>
      <c r="C794" t="str">
        <f>IFERROR(__xludf.DUMMYFUNCTION("""COMPUTED_VALUE"""),"1CG9iYOkRKzlGEsKh7QuEyMdGRQea_W4KDWwlnjE2BdE")</f>
        <v>1CG9iYOkRKzlGEsKh7QuEyMdGRQea_W4KDWwlnjE2BdE</v>
      </c>
    </row>
    <row r="795" ht="15.75" customHeight="1">
      <c r="A795" t="str">
        <f>IFERROR(__xludf.DUMMYFUNCTION("""COMPUTED_VALUE"""),"Rebalancer")</f>
        <v>Rebalancer</v>
      </c>
      <c r="B795" t="str">
        <f>IFERROR(__xludf.DUMMYFUNCTION("""COMPUTED_VALUE"""),"ImportOnRB")</f>
        <v>ImportOnRB</v>
      </c>
      <c r="C795" t="str">
        <f>IFERROR(__xludf.DUMMYFUNCTION("""COMPUTED_VALUE"""),"1EntkiGIsU6aSZPpMKhixdhGFyyVCmlI1jMgvbCFq3oM")</f>
        <v>1EntkiGIsU6aSZPpMKhixdhGFyyVCmlI1jMgvbCFq3oM</v>
      </c>
    </row>
    <row r="796" ht="15.75" customHeight="1">
      <c r="A796" t="str">
        <f>IFERROR(__xludf.DUMMYFUNCTION("""COMPUTED_VALUE"""),"Rebalancer")</f>
        <v>Rebalancer</v>
      </c>
      <c r="B796" t="str">
        <f>IFERROR(__xludf.DUMMYFUNCTION("""COMPUTED_VALUE"""),"ActionOnRSAImportGrid")</f>
        <v>ActionOnRSAImportGrid</v>
      </c>
      <c r="C796" t="str">
        <f>IFERROR(__xludf.DUMMYFUNCTION("""COMPUTED_VALUE"""),"1qyFUqeWV7-Gy2PHnDNHGdUCBuvTKxxZhflKe9pguJEE")</f>
        <v>1qyFUqeWV7-Gy2PHnDNHGdUCBuvTKxxZhflKe9pguJEE</v>
      </c>
    </row>
    <row r="797" ht="15.75" customHeight="1">
      <c r="A797" t="str">
        <f>IFERROR(__xludf.DUMMYFUNCTION("""COMPUTED_VALUE"""),"Rebalancer")</f>
        <v>Rebalancer</v>
      </c>
      <c r="B797" t="str">
        <f>IFERROR(__xludf.DUMMYFUNCTION("""COMPUTED_VALUE"""),"VerifyImportGridRBForInvalidSec")</f>
        <v>VerifyImportGridRBForInvalidSec</v>
      </c>
      <c r="C797" t="str">
        <f>IFERROR(__xludf.DUMMYFUNCTION("""COMPUTED_VALUE"""),"13tlfzcOYlxn2sOASC-JNdqZmR9A1Cesa2Ah5348pLN8")</f>
        <v>13tlfzcOYlxn2sOASC-JNdqZmR9A1Cesa2Ah5348pLN8</v>
      </c>
    </row>
    <row r="798" ht="15.75" customHeight="1">
      <c r="A798" t="str">
        <f>IFERROR(__xludf.DUMMYFUNCTION("""COMPUTED_VALUE"""),"Rebalancer")</f>
        <v>Rebalancer</v>
      </c>
      <c r="B798" t="str">
        <f>IFERROR(__xludf.DUMMYFUNCTION("""COMPUTED_VALUE"""),"VerifyImportGridRBForValidSec")</f>
        <v>VerifyImportGridRBForValidSec</v>
      </c>
      <c r="C798" t="str">
        <f>IFERROR(__xludf.DUMMYFUNCTION("""COMPUTED_VALUE"""),"1KiLapuRaYEZfokVV1TZf8gTWNe8d9PblbpJsN983CaI")</f>
        <v>1KiLapuRaYEZfokVV1TZf8gTWNe8d9PblbpJsN983CaI</v>
      </c>
    </row>
    <row r="799" ht="15.75" customHeight="1">
      <c r="A799" t="str">
        <f>IFERROR(__xludf.DUMMYFUNCTION("""COMPUTED_VALUE"""),"Import")</f>
        <v>Import</v>
      </c>
      <c r="B799" t="str">
        <f>IFERROR(__xludf.DUMMYFUNCTION("""COMPUTED_VALUE"""),"ActionOnImport")</f>
        <v>ActionOnImport</v>
      </c>
      <c r="C799" t="str">
        <f>IFERROR(__xludf.DUMMYFUNCTION("""COMPUTED_VALUE"""),"1YM2boQt7BrzysPpsUbIqt27cfA6-btDPEZntG5NhBUc")</f>
        <v>1YM2boQt7BrzysPpsUbIqt27cfA6-btDPEZntG5NhBUc</v>
      </c>
    </row>
    <row r="800" ht="15.75" customHeight="1">
      <c r="A800" t="str">
        <f>IFERROR(__xludf.DUMMYFUNCTION("""COMPUTED_VALUE"""),"Import")</f>
        <v>Import</v>
      </c>
      <c r="B800" t="str">
        <f>IFERROR(__xludf.DUMMYFUNCTION("""COMPUTED_VALUE"""),"ValidateImportPositions")</f>
        <v>ValidateImportPositions</v>
      </c>
      <c r="C800" t="str">
        <f>IFERROR(__xludf.DUMMYFUNCTION("""COMPUTED_VALUE"""),"1ApMxUfr4smtwBJX_cppynzY1M99QXnDpTRjevjraQtA")</f>
        <v>1ApMxUfr4smtwBJX_cppynzY1M99QXnDpTRjevjraQtA</v>
      </c>
    </row>
    <row r="801" ht="15.75" customHeight="1">
      <c r="A801" t="str">
        <f>IFERROR(__xludf.DUMMYFUNCTION("""COMPUTED_VALUE"""),"DailyValuation")</f>
        <v>DailyValuation</v>
      </c>
      <c r="B801" t="str">
        <f>IFERROR(__xludf.DUMMYFUNCTION("""COMPUTED_VALUE"""),"UpdateMPAndFC")</f>
        <v>UpdateMPAndFC</v>
      </c>
      <c r="C801" t="str">
        <f>IFERROR(__xludf.DUMMYFUNCTION("""COMPUTED_VALUE"""),"1UCNfZng94LprScqCmSKImRjCwiKlLQU_e1kY1tum91I")</f>
        <v>1UCNfZng94LprScqCmSKImRjCwiKlLQU_e1kY1tum91I</v>
      </c>
    </row>
    <row r="802" ht="15.75" customHeight="1">
      <c r="A802" t="str">
        <f>IFERROR(__xludf.DUMMYFUNCTION("""COMPUTED_VALUE"""),"DailyValuation")</f>
        <v>DailyValuation</v>
      </c>
      <c r="B802" t="str">
        <f>IFERROR(__xludf.DUMMYFUNCTION("""COMPUTED_VALUE"""),"SelectDateAtMPFC")</f>
        <v>SelectDateAtMPFC</v>
      </c>
      <c r="C802" t="str">
        <f>IFERROR(__xludf.DUMMYFUNCTION("""COMPUTED_VALUE"""),"1DnCg9cxYbA4JZCrUA-hItngQmbhhFuxexdkPS0iagg8")</f>
        <v>1DnCg9cxYbA4JZCrUA-hItngQmbhhFuxexdkPS0iagg8</v>
      </c>
    </row>
    <row r="803" ht="15.75" customHeight="1">
      <c r="A803" t="str">
        <f>IFERROR(__xludf.DUMMYFUNCTION("""COMPUTED_VALUE"""),"Watchlist")</f>
        <v>Watchlist</v>
      </c>
      <c r="B803" t="str">
        <f>IFERROR(__xludf.DUMMYFUNCTION("""COMPUTED_VALUE"""),"SelectTradeWatchlist")</f>
        <v>SelectTradeWatchlist</v>
      </c>
      <c r="C803" t="str">
        <f>IFERROR(__xludf.DUMMYFUNCTION("""COMPUTED_VALUE"""),"1Wa9Q7PE7i3bZr_mTOkYG22qcEixSMbydeuL2lnyNfB0")</f>
        <v>1Wa9Q7PE7i3bZr_mTOkYG22qcEixSMbydeuL2lnyNfB0</v>
      </c>
    </row>
    <row r="804" ht="15.75" customHeight="1">
      <c r="A804" t="str">
        <f>IFERROR(__xludf.DUMMYFUNCTION("""COMPUTED_VALUE"""),"Watchlist")</f>
        <v>Watchlist</v>
      </c>
      <c r="B804" t="str">
        <f>IFERROR(__xludf.DUMMYFUNCTION("""COMPUTED_VALUE"""),"ActionOnWatchlist")</f>
        <v>ActionOnWatchlist</v>
      </c>
      <c r="C804" t="str">
        <f>IFERROR(__xludf.DUMMYFUNCTION("""COMPUTED_VALUE"""),"1Ex0VPpmT3E0nbSBahi-24Pfuba4HTTVDqcm5UWIEUUw")</f>
        <v>1Ex0VPpmT3E0nbSBahi-24Pfuba4HTTVDqcm5UWIEUUw</v>
      </c>
    </row>
    <row r="805" ht="15.75" customHeight="1">
      <c r="A805" t="str">
        <f>IFERROR(__xludf.DUMMYFUNCTION("""COMPUTED_VALUE"""),"Allocation")</f>
        <v>Allocation</v>
      </c>
      <c r="B805" t="str">
        <f>IFERROR(__xludf.DUMMYFUNCTION("""COMPUTED_VALUE"""),"OperationsonAllocation")</f>
        <v>OperationsonAllocation</v>
      </c>
      <c r="C805" t="str">
        <f>IFERROR(__xludf.DUMMYFUNCTION("""COMPUTED_VALUE"""),"1Ef_CfqtvCC0SoupZq61OQuLBg_r-ocFfZ5dScRXCuD4")</f>
        <v>1Ef_CfqtvCC0SoupZq61OQuLBg_r-ocFfZ5dScRXCuD4</v>
      </c>
    </row>
    <row r="806" ht="15.75" customHeight="1">
      <c r="A806" t="str">
        <f>IFERROR(__xludf.DUMMYFUNCTION("""COMPUTED_VALUE"""),"PTT")</f>
        <v>PTT</v>
      </c>
      <c r="B806" t="str">
        <f>IFERROR(__xludf.DUMMYFUNCTION("""COMPUTED_VALUE"""),"VerifyTradeSummary")</f>
        <v>VerifyTradeSummary</v>
      </c>
      <c r="C806" t="str">
        <f>IFERROR(__xludf.DUMMYFUNCTION("""COMPUTED_VALUE"""),"1QKYeLTANHsRzTEgySasZ8-Hipb9o0WkonYSctIWDvTQ")</f>
        <v>1QKYeLTANHsRzTEgySasZ8-Hipb9o0WkonYSctIWDvTQ</v>
      </c>
    </row>
    <row r="807" ht="15.75" customHeight="1">
      <c r="A807" t="str">
        <f>IFERROR(__xludf.DUMMYFUNCTION("""COMPUTED_VALUE"""),"Blotter")</f>
        <v>Blotter</v>
      </c>
      <c r="B807" t="str">
        <f>IFERROR(__xludf.DUMMYFUNCTION("""COMPUTED_VALUE"""),"SelectTradeOnBlotter")</f>
        <v>SelectTradeOnBlotter</v>
      </c>
      <c r="C807" t="str">
        <f>IFERROR(__xludf.DUMMYFUNCTION("""COMPUTED_VALUE"""),"1DUwxSUq_47EK60XmK3LOdCXa1fkWqWJE9bLuGS3ccv412")</f>
        <v>1DUwxSUq_47EK60XmK3LOdCXa1fkWqWJE9bLuGS3ccv412</v>
      </c>
    </row>
    <row r="808" ht="15.75" customHeight="1">
      <c r="A808" t="str">
        <f>IFERROR(__xludf.DUMMYFUNCTION("""COMPUTED_VALUE"""),"Blotter")</f>
        <v>Blotter</v>
      </c>
      <c r="B808" t="str">
        <f>IFERROR(__xludf.DUMMYFUNCTION("""COMPUTED_VALUE"""),"SelectTradeSummary")</f>
        <v>SelectTradeSummary</v>
      </c>
      <c r="C808" t="str">
        <f>IFERROR(__xludf.DUMMYFUNCTION("""COMPUTED_VALUE"""),"1DUwxSUq_47EK60XmK3LOdCXa1fkWqWJE9bLuGS3ccv412")</f>
        <v>1DUwxSUq_47EK60XmK3LOdCXa1fkWqWJE9bLuGS3ccv412</v>
      </c>
    </row>
    <row r="809" ht="15.75" customHeight="1">
      <c r="A809" t="str">
        <f>IFERROR(__xludf.DUMMYFUNCTION("""COMPUTED_VALUE"""),"Blotter")</f>
        <v>Blotter</v>
      </c>
      <c r="B809" t="str">
        <f>IFERROR(__xludf.DUMMYFUNCTION("""COMPUTED_VALUE"""),"MergeOrderMessage")</f>
        <v>MergeOrderMessage</v>
      </c>
      <c r="C809" t="str">
        <f>IFERROR(__xludf.DUMMYFUNCTION("""COMPUTED_VALUE"""),"1DUwxSUq_47EK60XmK3LOdCXa1fkWqWJE9bLuGS3ccv412")</f>
        <v>1DUwxSUq_47EK60XmK3LOdCXa1fkWqWJE9bLuGS3ccv412</v>
      </c>
    </row>
    <row r="810" ht="15.75" customHeight="1">
      <c r="A810" t="str">
        <f>IFERROR(__xludf.DUMMYFUNCTION("""COMPUTED_VALUE"""),"Blotter")</f>
        <v>Blotter</v>
      </c>
      <c r="B810" t="str">
        <f>IFERROR(__xludf.DUMMYFUNCTION("""COMPUTED_VALUE"""),"SwitchTabBlotter")</f>
        <v>SwitchTabBlotter</v>
      </c>
      <c r="C810" t="str">
        <f>IFERROR(__xludf.DUMMYFUNCTION("""COMPUTED_VALUE"""),"1DUwxSUq_47EK60XmK3LOdCXa1fkWqWJE9bLuGS3ccv412")</f>
        <v>1DUwxSUq_47EK60XmK3LOdCXa1fkWqWJE9bLuGS3ccv412</v>
      </c>
    </row>
    <row r="811" ht="15.75" customHeight="1">
      <c r="A811" t="str">
        <f>IFERROR(__xludf.DUMMYFUNCTION("""COMPUTED_VALUE"""),"Blotter")</f>
        <v>Blotter</v>
      </c>
      <c r="B811" t="str">
        <f>IFERROR(__xludf.DUMMYFUNCTION("""COMPUTED_VALUE"""),"AddTab")</f>
        <v>AddTab</v>
      </c>
      <c r="C811" t="str">
        <f>IFERROR(__xludf.DUMMYFUNCTION("""COMPUTED_VALUE"""),"1DUwxSUq_47EK60XmK3LOdCXa1fkWqWJE9bLuGS3ccv412")</f>
        <v>1DUwxSUq_47EK60XmK3LOdCXa1fkWqWJE9bLuGS3ccv412</v>
      </c>
    </row>
    <row r="812" ht="15.75" customHeight="1">
      <c r="A812" t="str">
        <f>IFERROR(__xludf.DUMMYFUNCTION("""COMPUTED_VALUE"""),"Blotter")</f>
        <v>Blotter</v>
      </c>
      <c r="B812" t="str">
        <f>IFERROR(__xludf.DUMMYFUNCTION("""COMPUTED_VALUE"""),"UploadStageOrders")</f>
        <v>UploadStageOrders</v>
      </c>
      <c r="C812" t="str">
        <f>IFERROR(__xludf.DUMMYFUNCTION("""COMPUTED_VALUE"""),"1DUwxSUq_47EK60XmK3LOdCXa1fkWqWJE9bLuGS3ccv412")</f>
        <v>1DUwxSUq_47EK60XmK3LOdCXa1fkWqWJE9bLuGS3ccv412</v>
      </c>
    </row>
    <row r="813" ht="15.75" customHeight="1">
      <c r="A813" t="str">
        <f>IFERROR(__xludf.DUMMYFUNCTION("""COMPUTED_VALUE"""),"Unknown")</f>
        <v>Unknown</v>
      </c>
      <c r="B813" t="str">
        <f>IFERROR(__xludf.DUMMYFUNCTION("""COMPUTED_VALUE"""),"NirvanaDialogueBoxHandler")</f>
        <v>NirvanaDialogueBoxHandler</v>
      </c>
      <c r="C813" t="str">
        <f>IFERROR(__xludf.DUMMYFUNCTION("""COMPUTED_VALUE"""),"1DUwxSUq_47EK60XmK3LOdCXa1fkWqWJE9bLuGS3ccv412")</f>
        <v>1DUwxSUq_47EK60XmK3LOdCXa1fkWqWJE9bLuGS3ccv412</v>
      </c>
    </row>
    <row r="814" ht="15.75" customHeight="1">
      <c r="A814" t="str">
        <f>IFERROR(__xludf.DUMMYFUNCTION("""COMPUTED_VALUE"""),"Blotter")</f>
        <v>Blotter</v>
      </c>
      <c r="B814" t="str">
        <f>IFERROR(__xludf.DUMMYFUNCTION("""COMPUTED_VALUE"""),"AddTabToFav")</f>
        <v>AddTabToFav</v>
      </c>
      <c r="C814" t="str">
        <f>IFERROR(__xludf.DUMMYFUNCTION("""COMPUTED_VALUE"""),"1Hrblc1gk4JIYboQ1lGHgl7HatAXp5amAl9mS58vzT-0")</f>
        <v>1Hrblc1gk4JIYboQ1lGHgl7HatAXp5amAl9mS58vzT-0</v>
      </c>
    </row>
    <row r="815" ht="15.75" customHeight="1">
      <c r="A815" t="str">
        <f>IFERROR(__xludf.DUMMYFUNCTION("""COMPUTED_VALUE"""),"PTT")</f>
        <v>PTT</v>
      </c>
      <c r="B815" t="str">
        <f>IFERROR(__xludf.DUMMYFUNCTION("""COMPUTED_VALUE"""),"VerifyAllocationDetails")</f>
        <v>VerifyAllocationDetails</v>
      </c>
      <c r="C815" t="str">
        <f>IFERROR(__xludf.DUMMYFUNCTION("""COMPUTED_VALUE"""),"1DUwxSUq_47EK60XmK3LOdCXa1fkWqWJE9bLuGS3ccv412")</f>
        <v>1DUwxSUq_47EK60XmK3LOdCXa1fkWqWJE9bLuGS3ccv412</v>
      </c>
    </row>
    <row r="816" ht="15.75" customHeight="1">
      <c r="A816" t="str">
        <f>IFERROR(__xludf.DUMMYFUNCTION("""COMPUTED_VALUE"""),"Unknown")</f>
        <v>Unknown</v>
      </c>
      <c r="B816" t="str">
        <f>IFERROR(__xludf.DUMMYFUNCTION("""COMPUTED_VALUE"""),"WindowAction")</f>
        <v>WindowAction</v>
      </c>
      <c r="C816" t="str">
        <f>IFERROR(__xludf.DUMMYFUNCTION("""COMPUTED_VALUE"""),"1DUwxSUq_47EK60XmK3LOdCXa1fkWqWJE9bLuGS3ccv412")</f>
        <v>1DUwxSUq_47EK60XmK3LOdCXa1fkWqWJE9bLuGS3ccv412</v>
      </c>
    </row>
    <row r="817" ht="15.75" customHeight="1">
      <c r="A817" t="str">
        <f>IFERROR(__xludf.DUMMYFUNCTION("""COMPUTED_VALUE"""),"PTT")</f>
        <v>PTT</v>
      </c>
      <c r="B817" t="str">
        <f>IFERROR(__xludf.DUMMYFUNCTION("""COMPUTED_VALUE"""),"VerifyAllocationDetailsSam")</f>
        <v>VerifyAllocationDetailsSam</v>
      </c>
      <c r="C817" t="str">
        <f>IFERROR(__xludf.DUMMYFUNCTION("""COMPUTED_VALUE"""),"1DUwxSUq_47EK60XmK3LOdCXa1fkWqWJE9bLuGS3ccv412")</f>
        <v>1DUwxSUq_47EK60XmK3LOdCXa1fkWqWJE9bLuGS3ccv412</v>
      </c>
    </row>
    <row r="818" ht="15.75" customHeight="1">
      <c r="A818" t="str">
        <f>IFERROR(__xludf.DUMMYFUNCTION("""COMPUTED_VALUE"""),"Blotter")</f>
        <v>Blotter</v>
      </c>
      <c r="B818" t="str">
        <f>IFERROR(__xludf.DUMMYFUNCTION("""COMPUTED_VALUE"""),"VerifyExpandedBR")</f>
        <v>VerifyExpandedBR</v>
      </c>
      <c r="C818" t="str">
        <f>IFERROR(__xludf.DUMMYFUNCTION("""COMPUTED_VALUE"""),"1DUwxSUq_47EK60XmK3LOdCXa1fkWqWJE9bLuGS3ccv412")</f>
        <v>1DUwxSUq_47EK60XmK3LOdCXa1fkWqWJE9bLuGS3ccv412</v>
      </c>
    </row>
    <row r="819" ht="15.75" customHeight="1">
      <c r="A819" t="str">
        <f>IFERROR(__xludf.DUMMYFUNCTION("""COMPUTED_VALUE"""),"Unknown")</f>
        <v>Unknown</v>
      </c>
      <c r="B819" t="str">
        <f>IFERROR(__xludf.DUMMYFUNCTION("""COMPUTED_VALUE"""),"CheckModStatus")</f>
        <v>CheckModStatus</v>
      </c>
      <c r="C819" t="str">
        <f>IFERROR(__xludf.DUMMYFUNCTION("""COMPUTED_VALUE"""),"1S0obfxcw-fBa8_NHZx6E2ddpXBy262moOyglnQyX8XA")</f>
        <v>1S0obfxcw-fBa8_NHZx6E2ddpXBy262moOyglnQyX8XA</v>
      </c>
    </row>
    <row r="820" ht="15.75" customHeight="1">
      <c r="A820" t="str">
        <f>IFERROR(__xludf.DUMMYFUNCTION("""COMPUTED_VALUE"""),"Allocation")</f>
        <v>Allocation</v>
      </c>
      <c r="B820" t="str">
        <f>IFERROR(__xludf.DUMMYFUNCTION("""COMPUTED_VALUE"""),"ActionOnGroupBox")</f>
        <v>ActionOnGroupBox</v>
      </c>
      <c r="C820" t="str">
        <f>IFERROR(__xludf.DUMMYFUNCTION("""COMPUTED_VALUE"""),"1DUwxSUq_47EK60XmK3LOdCXa1fkWqWJE9bLuGS3ccv412")</f>
        <v>1DUwxSUq_47EK60XmK3LOdCXa1fkWqWJE9bLuGS3ccv412</v>
      </c>
    </row>
    <row r="821" ht="15.75" customHeight="1">
      <c r="A821" t="str">
        <f>IFERROR(__xludf.DUMMYFUNCTION("""COMPUTED_VALUE"""),"Rebalancer")</f>
        <v>Rebalancer</v>
      </c>
      <c r="B821" t="str">
        <f>IFERROR(__xludf.DUMMYFUNCTION("""COMPUTED_VALUE"""),"CreateOrViewMP")</f>
        <v>CreateOrViewMP</v>
      </c>
      <c r="C821" t="str">
        <f>IFERROR(__xludf.DUMMYFUNCTION("""COMPUTED_VALUE"""),"1DUwxSUq_47EK60XmK3LOdCXa1fkWqWJE9bLuGS3ccv412")</f>
        <v>1DUwxSUq_47EK60XmK3LOdCXa1fkWqWJE9bLuGS3ccv412</v>
      </c>
    </row>
    <row r="822" ht="15.75" customHeight="1">
      <c r="A822" t="str">
        <f>IFERROR(__xludf.DUMMYFUNCTION("""COMPUTED_VALUE"""),"Rebalancer")</f>
        <v>Rebalancer</v>
      </c>
      <c r="B822" t="str">
        <f>IFERROR(__xludf.DUMMYFUNCTION("""COMPUTED_VALUE"""),"SwitchTabRB")</f>
        <v>SwitchTabRB</v>
      </c>
      <c r="C822" t="str">
        <f>IFERROR(__xludf.DUMMYFUNCTION("""COMPUTED_VALUE"""),"1DUwxSUq_47EK60XmK3LOdCXa1fkWqWJE9bLuGS3ccv412")</f>
        <v>1DUwxSUq_47EK60XmK3LOdCXa1fkWqWJE9bLuGS3ccv412</v>
      </c>
    </row>
    <row r="823" ht="15.75" customHeight="1">
      <c r="A823" t="str">
        <f>IFERROR(__xludf.DUMMYFUNCTION("""COMPUTED_VALUE"""),"Allocation")</f>
        <v>Allocation</v>
      </c>
      <c r="B823" t="str">
        <f>IFERROR(__xludf.DUMMYFUNCTION("""COMPUTED_VALUE"""),"SelectAllTradesAllocation")</f>
        <v>SelectAllTradesAllocation</v>
      </c>
      <c r="C823" t="str">
        <f>IFERROR(__xludf.DUMMYFUNCTION("""COMPUTED_VALUE"""),"1DUwxSUq_47EK60XmK3LOdCXa1fkWqWJE9bLuGS3ccv412")</f>
        <v>1DUwxSUq_47EK60XmK3LOdCXa1fkWqWJE9bLuGS3ccv412</v>
      </c>
    </row>
    <row r="824" ht="15.75" customHeight="1">
      <c r="A824" t="str">
        <f>IFERROR(__xludf.DUMMYFUNCTION("""COMPUTED_VALUE"""),"Allocation")</f>
        <v>Allocation</v>
      </c>
      <c r="B824" t="str">
        <f>IFERROR(__xludf.DUMMYFUNCTION("""COMPUTED_VALUE"""),"SetFundDistribution")</f>
        <v>SetFundDistribution</v>
      </c>
      <c r="C824" t="str">
        <f>IFERROR(__xludf.DUMMYFUNCTION("""COMPUTED_VALUE"""),"1DUwxSUq_47EK60XmK3LOdCXa1fkWqWJE9bLuGS3ccv412")</f>
        <v>1DUwxSUq_47EK60XmK3LOdCXa1fkWqWJE9bLuGS3ccv412</v>
      </c>
    </row>
    <row r="825" ht="15.75" customHeight="1">
      <c r="A825" t="str">
        <f>IFERROR(__xludf.DUMMYFUNCTION("""COMPUTED_VALUE"""),"Allocation")</f>
        <v>Allocation</v>
      </c>
      <c r="B825" t="str">
        <f>IFERROR(__xludf.DUMMYFUNCTION("""COMPUTED_VALUE"""),"OperationsonAllocation")</f>
        <v>OperationsonAllocation</v>
      </c>
      <c r="C825" t="str">
        <f>IFERROR(__xludf.DUMMYFUNCTION("""COMPUTED_VALUE"""),"1DUwxSUq_47EK60XmK3LOdCXa1fkWqWJE9bLuGS3ccv412")</f>
        <v>1DUwxSUq_47EK60XmK3LOdCXa1fkWqWJE9bLuGS3ccv412</v>
      </c>
    </row>
    <row r="826" ht="15.75" customHeight="1">
      <c r="A826" t="str">
        <f>IFERROR(__xludf.DUMMYFUNCTION("""COMPUTED_VALUE"""),"Rebalancer")</f>
        <v>Rebalancer</v>
      </c>
      <c r="B826" t="str">
        <f>IFERROR(__xludf.DUMMYFUNCTION("""COMPUTED_VALUE"""),"SelectModelPortfolio")</f>
        <v>SelectModelPortfolio</v>
      </c>
      <c r="C826" t="str">
        <f>IFERROR(__xludf.DUMMYFUNCTION("""COMPUTED_VALUE"""),"1DUwxSUq_47EK60XmK3LOdCXa1fkWqWJE9bLuGS3ccv412")</f>
        <v>1DUwxSUq_47EK60XmK3LOdCXa1fkWqWJE9bLuGS3ccv412</v>
      </c>
    </row>
    <row r="827" ht="15.75" customHeight="1">
      <c r="A827" t="str">
        <f>IFERROR(__xludf.DUMMYFUNCTION("""COMPUTED_VALUE"""),"Rebalancer")</f>
        <v>Rebalancer</v>
      </c>
      <c r="B827" t="str">
        <f>IFERROR(__xludf.DUMMYFUNCTION("""COMPUTED_VALUE"""),"OperationsonMPRB")</f>
        <v>OperationsonMPRB</v>
      </c>
      <c r="C827" t="str">
        <f>IFERROR(__xludf.DUMMYFUNCTION("""COMPUTED_VALUE"""),"1DUwxSUq_47EK60XmK3LOdCXa1fkWqWJE9bLuGS3ccv412")</f>
        <v>1DUwxSUq_47EK60XmK3LOdCXa1fkWqWJE9bLuGS3ccv412</v>
      </c>
    </row>
    <row r="828" ht="15.75" customHeight="1">
      <c r="A828" t="str">
        <f>IFERROR(__xludf.DUMMYFUNCTION("""COMPUTED_VALUE"""),"Rebalancer")</f>
        <v>Rebalancer</v>
      </c>
      <c r="B828" t="str">
        <f>IFERROR(__xludf.DUMMYFUNCTION("""COMPUTED_VALUE"""),"VerifyMPRB")</f>
        <v>VerifyMPRB</v>
      </c>
      <c r="C828" t="str">
        <f>IFERROR(__xludf.DUMMYFUNCTION("""COMPUTED_VALUE"""),"1DUwxSUq_47EK60XmK3LOdCXa1fkWqWJE9bLuGS3ccv412")</f>
        <v>1DUwxSUq_47EK60XmK3LOdCXa1fkWqWJE9bLuGS3ccv412</v>
      </c>
    </row>
    <row r="829" ht="15.75" customHeight="1">
      <c r="A829" t="str">
        <f>IFERROR(__xludf.DUMMYFUNCTION("""COMPUTED_VALUE"""),"Admin")</f>
        <v>Admin</v>
      </c>
      <c r="B829" t="str">
        <f>IFERROR(__xludf.DUMMYFUNCTION("""COMPUTED_VALUE"""),"BasketPermission")</f>
        <v>BasketPermission</v>
      </c>
      <c r="C829" t="str">
        <f>IFERROR(__xludf.DUMMYFUNCTION("""COMPUTED_VALUE"""),"17IDG53HtzAOlp_4FIV5uGfLm-MbCR9NktUckecZQFVU")</f>
        <v>17IDG53HtzAOlp_4FIV5uGfLm-MbCR9NktUckecZQFVU</v>
      </c>
    </row>
    <row r="830" ht="15.75" customHeight="1">
      <c r="A830" t="str">
        <f>IFERROR(__xludf.DUMMYFUNCTION("""COMPUTED_VALUE"""),"Rebalancer")</f>
        <v>Rebalancer</v>
      </c>
      <c r="B830" t="str">
        <f>IFERROR(__xludf.DUMMYFUNCTION("""COMPUTED_VALUE"""),"ActiononCustomGroup")</f>
        <v>ActiononCustomGroup</v>
      </c>
      <c r="C830" t="str">
        <f>IFERROR(__xludf.DUMMYFUNCTION("""COMPUTED_VALUE"""),"1DUwxSUq_47EK60XmK3LOdCXa1fkWqWJE9bLuGS3ccv412")</f>
        <v>1DUwxSUq_47EK60XmK3LOdCXa1fkWqWJE9bLuGS3ccv412</v>
      </c>
    </row>
    <row r="831" ht="15.75" customHeight="1">
      <c r="A831" t="str">
        <f>IFERROR(__xludf.DUMMYFUNCTION("""COMPUTED_VALUE"""),"Rebalancer")</f>
        <v>Rebalancer</v>
      </c>
      <c r="B831" t="str">
        <f>IFERROR(__xludf.DUMMYFUNCTION("""COMPUTED_VALUE"""),"SelectCustomGroups")</f>
        <v>SelectCustomGroups</v>
      </c>
      <c r="C831" t="str">
        <f>IFERROR(__xludf.DUMMYFUNCTION("""COMPUTED_VALUE"""),"1DUwxSUq_47EK60XmK3LOdCXa1fkWqWJE9bLuGS3ccv412")</f>
        <v>1DUwxSUq_47EK60XmK3LOdCXa1fkWqWJE9bLuGS3ccv412</v>
      </c>
    </row>
    <row r="832" ht="15.75" customHeight="1">
      <c r="A832" t="str">
        <f>IFERROR(__xludf.DUMMYFUNCTION("""COMPUTED_VALUE"""),"Rebalancer")</f>
        <v>Rebalancer</v>
      </c>
      <c r="B832" t="str">
        <f>IFERROR(__xludf.DUMMYFUNCTION("""COMPUTED_VALUE"""),"SelectAssignedAccounts")</f>
        <v>SelectAssignedAccounts</v>
      </c>
      <c r="C832" t="str">
        <f>IFERROR(__xludf.DUMMYFUNCTION("""COMPUTED_VALUE"""),"1DUwxSUq_47EK60XmK3LOdCXa1fkWqWJE9bLuGS3ccv412")</f>
        <v>1DUwxSUq_47EK60XmK3LOdCXa1fkWqWJE9bLuGS3ccv412</v>
      </c>
    </row>
    <row r="833" ht="15.75" customHeight="1">
      <c r="A833" t="str">
        <f>IFERROR(__xludf.DUMMYFUNCTION("""COMPUTED_VALUE"""),"Rebalancer")</f>
        <v>Rebalancer</v>
      </c>
      <c r="B833" t="str">
        <f>IFERROR(__xludf.DUMMYFUNCTION("""COMPUTED_VALUE"""),"SelectUnAssignedAccounts")</f>
        <v>SelectUnAssignedAccounts</v>
      </c>
      <c r="C833" t="str">
        <f>IFERROR(__xludf.DUMMYFUNCTION("""COMPUTED_VALUE"""),"1DUwxSUq_47EK60XmK3LOdCXa1fkWqWJE9bLuGS3ccv412")</f>
        <v>1DUwxSUq_47EK60XmK3LOdCXa1fkWqWJE9bLuGS3ccv412</v>
      </c>
    </row>
    <row r="834" ht="15.75" customHeight="1">
      <c r="A834" t="str">
        <f>IFERROR(__xludf.DUMMYFUNCTION("""COMPUTED_VALUE"""),"Rebalancer")</f>
        <v>Rebalancer</v>
      </c>
      <c r="B834" t="str">
        <f>IFERROR(__xludf.DUMMYFUNCTION("""COMPUTED_VALUE"""),"VerifyCustomGroups")</f>
        <v>VerifyCustomGroups</v>
      </c>
      <c r="C834" t="str">
        <f>IFERROR(__xludf.DUMMYFUNCTION("""COMPUTED_VALUE"""),"1DUwxSUq_47EK60XmK3LOdCXa1fkWqWJE9bLuGS3ccv412")</f>
        <v>1DUwxSUq_47EK60XmK3LOdCXa1fkWqWJE9bLuGS3ccv412</v>
      </c>
    </row>
    <row r="835" ht="15.75" customHeight="1">
      <c r="A835" t="str">
        <f>IFERROR(__xludf.DUMMYFUNCTION("""COMPUTED_VALUE"""),"Rebalancer")</f>
        <v>Rebalancer</v>
      </c>
      <c r="B835" t="str">
        <f>IFERROR(__xludf.DUMMYFUNCTION("""COMPUTED_VALUE"""),"VerifyAssignedAccounts")</f>
        <v>VerifyAssignedAccounts</v>
      </c>
      <c r="C835" t="str">
        <f>IFERROR(__xludf.DUMMYFUNCTION("""COMPUTED_VALUE"""),"1DUwxSUq_47EK60XmK3LOdCXa1fkWqWJE9bLuGS3ccv412")</f>
        <v>1DUwxSUq_47EK60XmK3LOdCXa1fkWqWJE9bLuGS3ccv412</v>
      </c>
    </row>
    <row r="836" ht="15.75" customHeight="1">
      <c r="A836" t="str">
        <f>IFERROR(__xludf.DUMMYFUNCTION("""COMPUTED_VALUE"""),"Rebalancer")</f>
        <v>Rebalancer</v>
      </c>
      <c r="B836" t="str">
        <f>IFERROR(__xludf.DUMMYFUNCTION("""COMPUTED_VALUE"""),"VerifyUnAssignedAccounts")</f>
        <v>VerifyUnAssignedAccounts</v>
      </c>
      <c r="C836" t="str">
        <f>IFERROR(__xludf.DUMMYFUNCTION("""COMPUTED_VALUE"""),"1DUwxSUq_47EK60XmK3LOdCXa1fkWqWJE9bLuGS3ccv412")</f>
        <v>1DUwxSUq_47EK60XmK3LOdCXa1fkWqWJE9bLuGS3ccv412</v>
      </c>
    </row>
    <row r="837" ht="15.75" customHeight="1">
      <c r="A837" t="str">
        <f>IFERROR(__xludf.DUMMYFUNCTION("""COMPUTED_VALUE"""),"Allocation")</f>
        <v>Allocation</v>
      </c>
      <c r="B837" t="str">
        <f>IFERROR(__xludf.DUMMYFUNCTION("""COMPUTED_VALUE"""),"VerifyAllocationStatusBar")</f>
        <v>VerifyAllocationStatusBar</v>
      </c>
      <c r="C837" t="str">
        <f>IFERROR(__xludf.DUMMYFUNCTION("""COMPUTED_VALUE"""),"1xGSEHe1MiU9TD2PSlKIl96W7bOhlWvmTLQB")</f>
        <v>1xGSEHe1MiU9TD2PSlKIl96W7bOhlWvmTLQB</v>
      </c>
    </row>
    <row r="838" ht="15.75" customHeight="1">
      <c r="A838" t="str">
        <f>IFERROR(__xludf.DUMMYFUNCTION("""COMPUTED_VALUE"""),"Rebalancer")</f>
        <v>Rebalancer</v>
      </c>
      <c r="B838" t="str">
        <f>IFERROR(__xludf.DUMMYFUNCTION("""COMPUTED_VALUE"""),"ActiononRebalance")</f>
        <v>ActiononRebalance</v>
      </c>
      <c r="C838" t="str">
        <f>IFERROR(__xludf.DUMMYFUNCTION("""COMPUTED_VALUE"""),"1DUwxSUq_47EK60XmK3LOdCXa1fkWqWJE9bLuGS3ccv412")</f>
        <v>1DUwxSUq_47EK60XmK3LOdCXa1fkWqWJE9bLuGS3ccv412</v>
      </c>
    </row>
    <row r="839" ht="15.75" customHeight="1">
      <c r="A839" t="str">
        <f>IFERROR(__xludf.DUMMYFUNCTION("""COMPUTED_VALUE"""),"MultiTradingTicket")</f>
        <v>MultiTradingTicket</v>
      </c>
      <c r="B839" t="str">
        <f>IFERROR(__xludf.DUMMYFUNCTION("""COMPUTED_VALUE"""),"BulkUpdateonMTT ")</f>
        <v>BulkUpdateonMTT </v>
      </c>
      <c r="C839" t="str">
        <f>IFERROR(__xludf.DUMMYFUNCTION("""COMPUTED_VALUE"""),"1DUwxSUq_47EK60XmK3LOdCXa1fkWqWJE9bLuGS3ccv412")</f>
        <v>1DUwxSUq_47EK60XmK3LOdCXa1fkWqWJE9bLuGS3ccv412</v>
      </c>
    </row>
    <row r="840" ht="15.75" customHeight="1">
      <c r="A840" t="str">
        <f>IFERROR(__xludf.DUMMYFUNCTION("""COMPUTED_VALUE"""),"MultiTradingTicket")</f>
        <v>MultiTradingTicket</v>
      </c>
      <c r="B840" t="str">
        <f>IFERROR(__xludf.DUMMYFUNCTION("""COMPUTED_VALUE"""),"CustomOrderMTT")</f>
        <v>CustomOrderMTT</v>
      </c>
      <c r="C840" t="str">
        <f>IFERROR(__xludf.DUMMYFUNCTION("""COMPUTED_VALUE"""),"1DUwxSUq_47EK60XmK3LOdCXa1fkWqWJE9bLuGS3ccv412")</f>
        <v>1DUwxSUq_47EK60XmK3LOdCXa1fkWqWJE9bLuGS3ccv412</v>
      </c>
    </row>
    <row r="841" ht="15.75" customHeight="1">
      <c r="A841" t="str">
        <f>IFERROR(__xludf.DUMMYFUNCTION("""COMPUTED_VALUE"""),"Rebalancer")</f>
        <v>Rebalancer</v>
      </c>
      <c r="B841" t="str">
        <f>IFERROR(__xludf.DUMMYFUNCTION("""COMPUTED_VALUE"""),"MoveToAssignedList")</f>
        <v>MoveToAssignedList</v>
      </c>
      <c r="C841" t="str">
        <f>IFERROR(__xludf.DUMMYFUNCTION("""COMPUTED_VALUE"""),"1DUwxSUq_47EK60XmK3LOdCXa1fkWqWJE9bLuGS3ccv412")</f>
        <v>1DUwxSUq_47EK60XmK3LOdCXa1fkWqWJE9bLuGS3ccv412</v>
      </c>
    </row>
    <row r="842" ht="15.75" customHeight="1">
      <c r="A842" t="str">
        <f>IFERROR(__xludf.DUMMYFUNCTION("""COMPUTED_VALUE"""),"TradingTicket")</f>
        <v>TradingTicket</v>
      </c>
      <c r="B842" t="str">
        <f>IFERROR(__xludf.DUMMYFUNCTION("""COMPUTED_VALUE"""),"ActionOnPrompt")</f>
        <v>ActionOnPrompt</v>
      </c>
      <c r="C842" t="str">
        <f>IFERROR(__xludf.DUMMYFUNCTION("""COMPUTED_VALUE"""),"1DUwxSUq_47EK60XmK3LOdCXa1fkWqWJE9bLuGS3ccv412")</f>
        <v>1DUwxSUq_47EK60XmK3LOdCXa1fkWqWJE9bLuGS3ccv412</v>
      </c>
    </row>
    <row r="843" ht="15.75" customHeight="1">
      <c r="A843" t="str">
        <f>IFERROR(__xludf.DUMMYFUNCTION("""COMPUTED_VALUE"""),"Rebalancer")</f>
        <v>Rebalancer</v>
      </c>
      <c r="B843" t="str">
        <f>IFERROR(__xludf.DUMMYFUNCTION("""COMPUTED_VALUE"""),"VerifyRBStatusBar")</f>
        <v>VerifyRBStatusBar</v>
      </c>
      <c r="C843" t="str">
        <f>IFERROR(__xludf.DUMMYFUNCTION("""COMPUTED_VALUE"""),"1DUwxSUq_47EK60XmK3LOdCXa1fkWqWJE9bLuGS3ccv412")</f>
        <v>1DUwxSUq_47EK60XmK3LOdCXa1fkWqWJE9bLuGS3ccv412</v>
      </c>
    </row>
    <row r="844" ht="15.75" customHeight="1">
      <c r="A844" t="str">
        <f>IFERROR(__xludf.DUMMYFUNCTION("""COMPUTED_VALUE"""),"MultiTradingTicket")</f>
        <v>MultiTradingTicket</v>
      </c>
      <c r="B844" t="str">
        <f>IFERROR(__xludf.DUMMYFUNCTION("""COMPUTED_VALUE"""),"SelectAllMTT")</f>
        <v>SelectAllMTT</v>
      </c>
      <c r="C844" t="str">
        <f>IFERROR(__xludf.DUMMYFUNCTION("""COMPUTED_VALUE"""),"1DUwxSUq_47EK60XmK3LOdCXa1fkWqWJE9bLuGS3ccv412")</f>
        <v>1DUwxSUq_47EK60XmK3LOdCXa1fkWqWJE9bLuGS3ccv412</v>
      </c>
    </row>
    <row r="845" ht="15.75" customHeight="1">
      <c r="A845" t="str">
        <f>IFERROR(__xludf.DUMMYFUNCTION("""COMPUTED_VALUE"""),"MultiTradingTicket")</f>
        <v>MultiTradingTicket</v>
      </c>
      <c r="B845" t="str">
        <f>IFERROR(__xludf.DUMMYFUNCTION("""COMPUTED_VALUE"""),"SelectTradesMTT")</f>
        <v>SelectTradesMTT</v>
      </c>
      <c r="C845" t="str">
        <f>IFERROR(__xludf.DUMMYFUNCTION("""COMPUTED_VALUE"""),"1DUwxSUq_47EK60XmK3LOdCXa1fkWqWJE9bLuGS3ccv412")</f>
        <v>1DUwxSUq_47EK60XmK3LOdCXa1fkWqWJE9bLuGS3ccv412</v>
      </c>
    </row>
    <row r="846" ht="15.75" customHeight="1">
      <c r="A846" t="str">
        <f>IFERROR(__xludf.DUMMYFUNCTION("""COMPUTED_VALUE"""),"MultiTradingTicket")</f>
        <v>MultiTradingTicket</v>
      </c>
      <c r="B846" t="str">
        <f>IFERROR(__xludf.DUMMYFUNCTION("""COMPUTED_VALUE"""),"OperationonMTT")</f>
        <v>OperationonMTT</v>
      </c>
      <c r="C846" t="str">
        <f>IFERROR(__xludf.DUMMYFUNCTION("""COMPUTED_VALUE"""),"1DUwxSUq_47EK60XmK3LOdCXa1fkWqWJE9bLuGS3ccv412")</f>
        <v>1DUwxSUq_47EK60XmK3LOdCXa1fkWqWJE9bLuGS3ccv412</v>
      </c>
    </row>
    <row r="847" ht="15.75" customHeight="1">
      <c r="A847" t="str">
        <f>IFERROR(__xludf.DUMMYFUNCTION("""COMPUTED_VALUE"""),"Allocation")</f>
        <v>Allocation</v>
      </c>
      <c r="B847" t="str">
        <f>IFERROR(__xludf.DUMMYFUNCTION("""COMPUTED_VALUE"""),"VerifyExpansionIndicator")</f>
        <v>VerifyExpansionIndicator</v>
      </c>
      <c r="C847" t="str">
        <f>IFERROR(__xludf.DUMMYFUNCTION("""COMPUTED_VALUE"""),"1DUwxSUq_47EK60XmK3LOdCXa1fkWqWJE9bLuGS3ccv412")</f>
        <v>1DUwxSUq_47EK60XmK3LOdCXa1fkWqWJE9bLuGS3ccv412</v>
      </c>
    </row>
    <row r="848" ht="15.75" customHeight="1">
      <c r="A848" t="str">
        <f>IFERROR(__xludf.DUMMYFUNCTION("""COMPUTED_VALUE"""),"PTT")</f>
        <v>PTT</v>
      </c>
      <c r="B848" t="str">
        <f>IFERROR(__xludf.DUMMYFUNCTION("""COMPUTED_VALUE"""),"VerifyPTTUI")</f>
        <v>VerifyPTTUI</v>
      </c>
      <c r="C848" t="str">
        <f>IFERROR(__xludf.DUMMYFUNCTION("""COMPUTED_VALUE"""),"1DUwxSUq_47EK60XmK3LOdCXa1fkWqWJE9bLuGS3ccv412")</f>
        <v>1DUwxSUq_47EK60XmK3LOdCXa1fkWqWJE9bLuGS3ccv412</v>
      </c>
    </row>
    <row r="849" ht="15.75" customHeight="1">
      <c r="A849" t="str">
        <f>IFERROR(__xludf.DUMMYFUNCTION("""COMPUTED_VALUE"""),"PranaClient")</f>
        <v>PranaClient</v>
      </c>
      <c r="B849" t="str">
        <f>IFERROR(__xludf.DUMMYFUNCTION("""COMPUTED_VALUE"""),"OpenModule")</f>
        <v>OpenModule</v>
      </c>
      <c r="C849" t="str">
        <f>IFERROR(__xludf.DUMMYFUNCTION("""COMPUTED_VALUE"""),"1L-UVWUTPBRTuEZmbLDReT0I7a0h7ABWiidO4dyyCx34")</f>
        <v>1L-UVWUTPBRTuEZmbLDReT0I7a0h7ABWiidO4dyyCx34</v>
      </c>
    </row>
    <row r="850" ht="15.75" customHeight="1">
      <c r="A850" t="str">
        <f>IFERROR(__xludf.DUMMYFUNCTION("""COMPUTED_VALUE"""),"Unknown")</f>
        <v>Unknown</v>
      </c>
      <c r="B850" t="str">
        <f>IFERROR(__xludf.DUMMYFUNCTION("""COMPUTED_VALUE"""),"CheckWindow")</f>
        <v>CheckWindow</v>
      </c>
      <c r="C850" t="str">
        <f>IFERROR(__xludf.DUMMYFUNCTION("""COMPUTED_VALUE"""),"1DUwxSUq_47EK60XmK3LOdCXa1fkWqWJE9bLuGS3ccv412")</f>
        <v>1DUwxSUq_47EK60XmK3LOdCXa1fkWqWJE9bLuGS3ccv412</v>
      </c>
    </row>
    <row r="851" ht="15.75" customHeight="1">
      <c r="A851" t="str">
        <f>IFERROR(__xludf.DUMMYFUNCTION("""COMPUTED_VALUE"""),"TradingTicket")</f>
        <v>TradingTicket</v>
      </c>
      <c r="B851" t="str">
        <f>IFERROR(__xludf.DUMMYFUNCTION("""COMPUTED_VALUE"""),"VerifyExecutionType")</f>
        <v>VerifyExecutionType</v>
      </c>
      <c r="C851" t="str">
        <f>IFERROR(__xludf.DUMMYFUNCTION("""COMPUTED_VALUE"""),"1GeLKG0YL6nDFQYX8NohWSG0yonppxuSHWgOuwLzEWwI")</f>
        <v>1GeLKG0YL6nDFQYX8NohWSG0yonppxuSHWgOuwLzEWwI</v>
      </c>
    </row>
    <row r="852" ht="15.75" customHeight="1">
      <c r="A852" t="str">
        <f>IFERROR(__xludf.DUMMYFUNCTION("""COMPUTED_VALUE"""),"Blotter")</f>
        <v>Blotter</v>
      </c>
      <c r="B852" t="str">
        <f>IFERROR(__xludf.DUMMYFUNCTION("""COMPUTED_VALUE"""),"VerifyBlotter")</f>
        <v>VerifyBlotter</v>
      </c>
      <c r="C852" t="str">
        <f>IFERROR(__xludf.DUMMYFUNCTION("""COMPUTED_VALUE"""),"1DUwxSUq_47EK60XmK3LOdCXa1fkWqWJE9bLuGS3ccv412")</f>
        <v>1DUwxSUq_47EK60XmK3LOdCXa1fkWqWJE9bLuGS3ccv412</v>
      </c>
    </row>
    <row r="853" ht="15.75" customHeight="1">
      <c r="A853" t="str">
        <f>IFERROR(__xludf.DUMMYFUNCTION("""COMPUTED_VALUE"""),"OpenFin")</f>
        <v>OpenFin</v>
      </c>
      <c r="B853" t="str">
        <f>IFERROR(__xludf.DUMMYFUNCTION("""COMPUTED_VALUE"""),"VerifyNotification")</f>
        <v>VerifyNotification</v>
      </c>
      <c r="C853" t="str">
        <f>IFERROR(__xludf.DUMMYFUNCTION("""COMPUTED_VALUE"""),"1rm7dGZ4-j6MPtyiMlJDHnZgIjnFk8Hv19VRPaPCgUMY")</f>
        <v>1rm7dGZ4-j6MPtyiMlJDHnZgIjnFk8Hv19VRPaPCgUMY</v>
      </c>
    </row>
    <row r="854" ht="15.75" customHeight="1">
      <c r="A854" t="str">
        <f>IFERROR(__xludf.DUMMYFUNCTION("""COMPUTED_VALUE"""),"TradingTicket")</f>
        <v>TradingTicket</v>
      </c>
      <c r="B854" t="str">
        <f>IFERROR(__xludf.DUMMYFUNCTION("""COMPUTED_VALUE"""),"VerifyPopupAlignment")</f>
        <v>VerifyPopupAlignment</v>
      </c>
      <c r="C854" t="str">
        <f>IFERROR(__xludf.DUMMYFUNCTION("""COMPUTED_VALUE"""),"1PAyxzLHPOj64pXbS5W7uBsuT035g_GlIT1xXUjFNRUk")</f>
        <v>1PAyxzLHPOj64pXbS5W7uBsuT035g_GlIT1xXUjFNRUk</v>
      </c>
    </row>
    <row r="855" ht="15.75" customHeight="1">
      <c r="A855" t="str">
        <f>IFERROR(__xludf.DUMMYFUNCTION("""COMPUTED_VALUE"""),"TradingTicket")</f>
        <v>TradingTicket</v>
      </c>
      <c r="B855" t="str">
        <f>IFERROR(__xludf.DUMMYFUNCTION("""COMPUTED_VALUE"""),"SelectET")</f>
        <v>SelectET</v>
      </c>
      <c r="C855" t="str">
        <f>IFERROR(__xludf.DUMMYFUNCTION("""COMPUTED_VALUE"""),"1Tpuk-xqnvfBtaWXtAffyW0Chu9RCysO1V7PE2wbI7Xk")</f>
        <v>1Tpuk-xqnvfBtaWXtAffyW0Chu9RCysO1V7PE2wbI7Xk</v>
      </c>
    </row>
    <row r="856" ht="15.75" customHeight="1">
      <c r="A856" t="str">
        <f>IFERROR(__xludf.DUMMYFUNCTION("""COMPUTED_VALUE"""),"Blotter")</f>
        <v>Blotter</v>
      </c>
      <c r="B856" t="str">
        <f>IFERROR(__xludf.DUMMYFUNCTION("""COMPUTED_VALUE"""),"AddColumnsToGrid")</f>
        <v>AddColumnsToGrid</v>
      </c>
      <c r="C856" t="str">
        <f>IFERROR(__xludf.DUMMYFUNCTION("""COMPUTED_VALUE"""),"1Gs1xU4gMYORlTreZaEK39cVUrhrtk_8wZfgLySBA8Us")</f>
        <v>1Gs1xU4gMYORlTreZaEK39cVUrhrtk_8wZfgLySBA8Us</v>
      </c>
    </row>
    <row r="857" ht="15.75" customHeight="1">
      <c r="A857" t="str">
        <f>IFERROR(__xludf.DUMMYFUNCTION("""COMPUTED_VALUE"""),"RTPNL")</f>
        <v>RTPNL</v>
      </c>
      <c r="B857" t="str">
        <f>IFERROR(__xludf.DUMMYFUNCTION("""COMPUTED_VALUE"""),"Grouping")</f>
        <v>Grouping</v>
      </c>
      <c r="C857" t="str">
        <f>IFERROR(__xludf.DUMMYFUNCTION("""COMPUTED_VALUE"""),"1FNoxwXRCCjvm8HYhDo2XZGdWYdZNzY2Jh0ibkuVHNWo")</f>
        <v>1FNoxwXRCCjvm8HYhDo2XZGdWYdZNzY2Jh0ibkuVHNWo</v>
      </c>
    </row>
    <row r="858" ht="15.75" customHeight="1">
      <c r="A858" t="str">
        <f>IFERROR(__xludf.DUMMYFUNCTION("""COMPUTED_VALUE"""),"Blotter")</f>
        <v>Blotter</v>
      </c>
      <c r="B858" t="str">
        <f>IFERROR(__xludf.DUMMYFUNCTION("""COMPUTED_VALUE"""),"RollOverContextMenu")</f>
        <v>RollOverContextMenu</v>
      </c>
      <c r="C858" t="str">
        <f>IFERROR(__xludf.DUMMYFUNCTION("""COMPUTED_VALUE"""),"1d45ieJRLC6DQ7t19pclAZz5EI6hBsZ5_VdNJYb3VsNc")</f>
        <v>1d45ieJRLC6DQ7t19pclAZz5EI6hBsZ5_VdNJYb3VsNc</v>
      </c>
    </row>
    <row r="859" ht="15.75" customHeight="1">
      <c r="A859" t="str">
        <f>IFERROR(__xludf.DUMMYFUNCTION("""COMPUTED_VALUE"""),"Unknown")</f>
        <v>Unknown</v>
      </c>
      <c r="B859" t="str">
        <f>IFERROR(__xludf.DUMMYFUNCTION("""COMPUTED_VALUE"""),"VerifyFatFingerTR")</f>
        <v>VerifyFatFingerTR</v>
      </c>
      <c r="C859" t="str">
        <f>IFERROR(__xludf.DUMMYFUNCTION("""COMPUTED_VALUE"""),"1DUwxSUq_47EK60XmK3LOdCXa1fkWqWJE9bLuGS3ccv412")</f>
        <v>1DUwxSUq_47EK60XmK3LOdCXa1fkWqWJE9bLuGS3ccv412</v>
      </c>
    </row>
    <row r="860" ht="15.75" customHeight="1">
      <c r="A860" t="str">
        <f>IFERROR(__xludf.DUMMYFUNCTION("""COMPUTED_VALUE"""),"Unknown")</f>
        <v>Unknown</v>
      </c>
      <c r="B860" t="str">
        <f>IFERROR(__xludf.DUMMYFUNCTION("""COMPUTED_VALUE"""),"VerifyOverBuySellTR")</f>
        <v>VerifyOverBuySellTR</v>
      </c>
      <c r="C860" t="str">
        <f>IFERROR(__xludf.DUMMYFUNCTION("""COMPUTED_VALUE"""),"1DUwxSUq_47EK60XmK3LOdCXa1fkWqWJE9bLuGS3ccv412")</f>
        <v>1DUwxSUq_47EK60XmK3LOdCXa1fkWqWJE9bLuGS3ccv412</v>
      </c>
    </row>
    <row r="861" ht="15.75" customHeight="1">
      <c r="A861" t="str">
        <f>IFERROR(__xludf.DUMMYFUNCTION("""COMPUTED_VALUE"""),"PTT")</f>
        <v>PTT</v>
      </c>
      <c r="B861" t="str">
        <f>IFERROR(__xludf.DUMMYFUNCTION("""COMPUTED_VALUE"""),"RefreshCalculation")</f>
        <v>RefreshCalculation</v>
      </c>
    </row>
    <row r="862" ht="15.75" customHeight="1">
      <c r="A862" t="str">
        <f>IFERROR(__xludf.DUMMYFUNCTION("""COMPUTED_VALUE"""),"Rebalancer")</f>
        <v>Rebalancer</v>
      </c>
      <c r="B862" t="str">
        <f>IFERROR(__xludf.DUMMYFUNCTION("""COMPUTED_VALUE"""),"AddCustomCashFlow")</f>
        <v>AddCustomCashFlow</v>
      </c>
      <c r="C862" t="str">
        <f>IFERROR(__xludf.DUMMYFUNCTION("""COMPUTED_VALUE"""),"1DUwxSUq_47EK60XmK3LOdCXa1fkWqWJE9bLuGS3ccv412")</f>
        <v>1DUwxSUq_47EK60XmK3LOdCXa1fkWqWJE9bLuGS3ccv412</v>
      </c>
    </row>
    <row r="863" ht="15.75" customHeight="1">
      <c r="A863" t="str">
        <f>IFERROR(__xludf.DUMMYFUNCTION("""COMPUTED_VALUE"""),"Rebalancer")</f>
        <v>Rebalancer</v>
      </c>
      <c r="B863" t="str">
        <f>IFERROR(__xludf.DUMMYFUNCTION("""COMPUTED_VALUE"""),"ActionOnCustomCashFlow")</f>
        <v>ActionOnCustomCashFlow</v>
      </c>
      <c r="C863" t="str">
        <f>IFERROR(__xludf.DUMMYFUNCTION("""COMPUTED_VALUE"""),"1DUwxSUq_47EK60XmK3LOdCXa1fkWqWJE9bLuGS3ccv412")</f>
        <v>1DUwxSUq_47EK60XmK3LOdCXa1fkWqWJE9bLuGS3ccv412</v>
      </c>
    </row>
    <row r="864" ht="15.75" customHeight="1">
      <c r="A864" t="str">
        <f>IFERROR(__xludf.DUMMYFUNCTION("""COMPUTED_VALUE"""),"Rebalancer")</f>
        <v>Rebalancer</v>
      </c>
      <c r="B864" t="str">
        <f>IFERROR(__xludf.DUMMYFUNCTION("""COMPUTED_VALUE"""),"RemoveAllSecurities")</f>
        <v>RemoveAllSecurities</v>
      </c>
      <c r="C864" t="str">
        <f>IFERROR(__xludf.DUMMYFUNCTION("""COMPUTED_VALUE"""),"1DUwxSUq_47EK60XmK3LOdCXa1fkWqWJE9bLuGS3ccv412")</f>
        <v>1DUwxSUq_47EK60XmK3LOdCXa1fkWqWJE9bLuGS3ccv412</v>
      </c>
    </row>
    <row r="865" ht="15.75" customHeight="1">
      <c r="A865" t="str">
        <f>IFERROR(__xludf.DUMMYFUNCTION("""COMPUTED_VALUE"""),"Rebalancer")</f>
        <v>Rebalancer</v>
      </c>
      <c r="B865" t="str">
        <f>IFERROR(__xludf.DUMMYFUNCTION("""COMPUTED_VALUE"""),"RebalanceTradingRules")</f>
        <v>RebalanceTradingRules</v>
      </c>
      <c r="C865" t="str">
        <f>IFERROR(__xludf.DUMMYFUNCTION("""COMPUTED_VALUE"""),"1DUwxSUq_47EK60XmK3LOdCXa1fkWqWJE9bLuGS3ccv412")</f>
        <v>1DUwxSUq_47EK60XmK3LOdCXa1fkWqWJE9bLuGS3ccv412</v>
      </c>
    </row>
    <row r="866" ht="15.75" customHeight="1">
      <c r="A866" t="str">
        <f>IFERROR(__xludf.DUMMYFUNCTION("""COMPUTED_VALUE"""),"Rebalancer")</f>
        <v>Rebalancer</v>
      </c>
      <c r="B866" t="str">
        <f>IFERROR(__xludf.DUMMYFUNCTION("""COMPUTED_VALUE"""),"UpdateRBPreferences")</f>
        <v>UpdateRBPreferences</v>
      </c>
      <c r="C866" t="str">
        <f>IFERROR(__xludf.DUMMYFUNCTION("""COMPUTED_VALUE"""),"1DUwxSUq_47EK60XmK3LOdCXa1fkWqWJE9bLuGS3ccv412")</f>
        <v>1DUwxSUq_47EK60XmK3LOdCXa1fkWqWJE9bLuGS3ccv412</v>
      </c>
    </row>
    <row r="867" ht="15.75" customHeight="1">
      <c r="A867" t="str">
        <f>IFERROR(__xludf.DUMMYFUNCTION("""COMPUTED_VALUE"""),"Rebalancer")</f>
        <v>Rebalancer</v>
      </c>
      <c r="B867" t="str">
        <f>IFERROR(__xludf.DUMMYFUNCTION("""COMPUTED_VALUE"""),"RecalculateNIC")</f>
        <v>RecalculateNIC</v>
      </c>
      <c r="C867" t="str">
        <f>IFERROR(__xludf.DUMMYFUNCTION("""COMPUTED_VALUE"""),"1DUwxSUq_47EK60XmK3LOdCXa1fkWqWJE9bLuGS3ccv412")</f>
        <v>1DUwxSUq_47EK60XmK3LOdCXa1fkWqWJE9bLuGS3ccv412</v>
      </c>
    </row>
    <row r="868" ht="15.75" customHeight="1">
      <c r="A868" t="str">
        <f>IFERROR(__xludf.DUMMYFUNCTION("""COMPUTED_VALUE"""),"Blotter")</f>
        <v>Blotter</v>
      </c>
      <c r="B868" t="str">
        <f>IFERROR(__xludf.DUMMYFUNCTION("""COMPUTED_VALUE"""),"BookAsSwap")</f>
        <v>BookAsSwap</v>
      </c>
      <c r="C868" t="str">
        <f>IFERROR(__xludf.DUMMYFUNCTION("""COMPUTED_VALUE"""),"1tnkP5eD3WH53SXu2O-MWk6774J7b5ihwlD7r9dGtpiY")</f>
        <v>1tnkP5eD3WH53SXu2O-MWk6774J7b5ihwlD7r9dGtpiY</v>
      </c>
    </row>
    <row r="869" ht="15.75" customHeight="1">
      <c r="A869" t="str">
        <f>IFERROR(__xludf.DUMMYFUNCTION("""COMPUTED_VALUE"""),"QTT")</f>
        <v>QTT</v>
      </c>
      <c r="B869" t="str">
        <f>IFERROR(__xludf.DUMMYFUNCTION("""COMPUTED_VALUE"""),"VerifyQTT")</f>
        <v>VerifyQTT</v>
      </c>
      <c r="C869" t="str">
        <f>IFERROR(__xludf.DUMMYFUNCTION("""COMPUTED_VALUE"""),"1bs3VigXRg4VZR5W48lKm11EcEjEpmUCnBNDHffPRbIQ")</f>
        <v>1bs3VigXRg4VZR5W48lKm11EcEjEpmUCnBNDHffPRbIQ</v>
      </c>
    </row>
    <row r="870" ht="15.75" customHeight="1">
      <c r="A870" t="str">
        <f>IFERROR(__xludf.DUMMYFUNCTION("""COMPUTED_VALUE"""),"Rebalancer")</f>
        <v>Rebalancer</v>
      </c>
      <c r="B870" t="str">
        <f>IFERROR(__xludf.DUMMYFUNCTION("""COMPUTED_VALUE"""),"OperationsOnNIC")</f>
        <v>OperationsOnNIC</v>
      </c>
      <c r="C870" t="str">
        <f>IFERROR(__xludf.DUMMYFUNCTION("""COMPUTED_VALUE"""),"1DUwxSUq_47EK60XmK3LOdCXa1fkWqWJE9bLuGS3ccv412")</f>
        <v>1DUwxSUq_47EK60XmK3LOdCXa1fkWqWJE9bLuGS3ccv412</v>
      </c>
    </row>
    <row r="871" ht="15.75" customHeight="1">
      <c r="A871" t="str">
        <f>IFERROR(__xludf.DUMMYFUNCTION("""COMPUTED_VALUE"""),"Rebalancer")</f>
        <v>Rebalancer</v>
      </c>
      <c r="B871" t="str">
        <f>IFERROR(__xludf.DUMMYFUNCTION("""COMPUTED_VALUE"""),"DataPrefGridOperation")</f>
        <v>DataPrefGridOperation</v>
      </c>
      <c r="C871" t="str">
        <f>IFERROR(__xludf.DUMMYFUNCTION("""COMPUTED_VALUE"""),"1DUwxSUq_47EK60XmK3LOdCXa1fkWqWJE9bLuGS3ccv412")</f>
        <v>1DUwxSUq_47EK60XmK3LOdCXa1fkWqWJE9bLuGS3ccv412</v>
      </c>
    </row>
    <row r="872" ht="15.75" customHeight="1">
      <c r="A872" t="str">
        <f>IFERROR(__xludf.DUMMYFUNCTION("""COMPUTED_VALUE"""),"Rebalancer")</f>
        <v>Rebalancer</v>
      </c>
      <c r="B872" t="str">
        <f>IFERROR(__xludf.DUMMYFUNCTION("""COMPUTED_VALUE"""),"VerifyExpanderBarButton")</f>
        <v>VerifyExpanderBarButton</v>
      </c>
      <c r="C872" t="str">
        <f>IFERROR(__xludf.DUMMYFUNCTION("""COMPUTED_VALUE"""),"1DUwxSUq_47EK60XmK3LOdCXa1fkWqWJE9bLuGS3ccv412")</f>
        <v>1DUwxSUq_47EK60XmK3LOdCXa1fkWqWJE9bLuGS3ccv412</v>
      </c>
    </row>
    <row r="873" ht="15.75" customHeight="1">
      <c r="A873" t="str">
        <f>IFERROR(__xludf.DUMMYFUNCTION("""COMPUTED_VALUE"""),"Rebalancer")</f>
        <v>Rebalancer</v>
      </c>
      <c r="B873" t="str">
        <f>IFERROR(__xludf.DUMMYFUNCTION("""COMPUTED_VALUE"""),"RAS")</f>
        <v>RAS</v>
      </c>
      <c r="C873" t="str">
        <f>IFERROR(__xludf.DUMMYFUNCTION("""COMPUTED_VALUE"""),"1DUwxSUq_47EK60XmK3LOdCXa1fkWqWJE9bLuGS3ccv412")</f>
        <v>1DUwxSUq_47EK60XmK3LOdCXa1fkWqWJE9bLuGS3ccv412</v>
      </c>
    </row>
    <row r="874" ht="15.75" customHeight="1">
      <c r="A874" t="str">
        <f>IFERROR(__xludf.DUMMYFUNCTION("""COMPUTED_VALUE"""),"Blotter")</f>
        <v>Blotter</v>
      </c>
      <c r="B874" t="str">
        <f>IFERROR(__xludf.DUMMYFUNCTION("""COMPUTED_VALUE"""),"ActionOnFloatingWindow")</f>
        <v>ActionOnFloatingWindow</v>
      </c>
      <c r="C874" t="str">
        <f>IFERROR(__xludf.DUMMYFUNCTION("""COMPUTED_VALUE"""),"1tFNUPT3PXgCKRnnehGwo6OF7EhLu13UJ8Elfq83HArE")</f>
        <v>1tFNUPT3PXgCKRnnehGwo6OF7EhLu13UJ8Elfq83HArE</v>
      </c>
    </row>
    <row r="875" ht="15.75" customHeight="1">
      <c r="A875" t="str">
        <f>IFERROR(__xludf.DUMMYFUNCTION("""COMPUTED_VALUE"""),"PTT")</f>
        <v>PTT</v>
      </c>
      <c r="B875" t="str">
        <f>IFERROR(__xludf.DUMMYFUNCTION("""COMPUTED_VALUE"""),"PTTDashBoard")</f>
        <v>PTTDashBoard</v>
      </c>
      <c r="C875" t="str">
        <f>IFERROR(__xludf.DUMMYFUNCTION("""COMPUTED_VALUE"""),"1DUwxSUq_47EK60XmK3LOdCXa1fkWqWJE9bLuGS3ccv412")</f>
        <v>1DUwxSUq_47EK60XmK3LOdCXa1fkWqWJE9bLuGS3ccv412</v>
      </c>
    </row>
    <row r="876" ht="15.75" customHeight="1">
      <c r="A876" t="str">
        <f>IFERROR(__xludf.DUMMYFUNCTION("""COMPUTED_VALUE"""),"OpenFin")</f>
        <v>OpenFin</v>
      </c>
      <c r="B876" t="str">
        <f>IFERROR(__xludf.DUMMYFUNCTION("""COMPUTED_VALUE"""),"LockUnlockModule")</f>
        <v>LockUnlockModule</v>
      </c>
      <c r="C876" t="str">
        <f>IFERROR(__xludf.DUMMYFUNCTION("""COMPUTED_VALUE"""),"179D0kPRO8f_KLxd7hs6seM9XGxpL-u1rhIhNgFVePsQ")</f>
        <v>179D0kPRO8f_KLxd7hs6seM9XGxpL-u1rhIhNgFVePsQ</v>
      </c>
    </row>
    <row r="877" ht="15.75" customHeight="1">
      <c r="A877" t="str">
        <f>IFERROR(__xludf.DUMMYFUNCTION("""COMPUTED_VALUE"""),"OpenFin")</f>
        <v>OpenFin</v>
      </c>
      <c r="B877" t="str">
        <f>IFERROR(__xludf.DUMMYFUNCTION("""COMPUTED_VALUE"""),"OpenModuleFromDock")</f>
        <v>OpenModuleFromDock</v>
      </c>
      <c r="C877" t="str">
        <f>IFERROR(__xludf.DUMMYFUNCTION("""COMPUTED_VALUE"""),"1IdmD7l42pWNjFNVt_7UwbOO7y5tDxaXr7tE60c9ETLw")</f>
        <v>1IdmD7l42pWNjFNVt_7UwbOO7y5tDxaXr7tE60c9ETLw</v>
      </c>
    </row>
    <row r="878" ht="15.75" customHeight="1">
      <c r="A878" t="str">
        <f>IFERROR(__xludf.DUMMYFUNCTION("""COMPUTED_VALUE"""),"Rebalancer")</f>
        <v>Rebalancer</v>
      </c>
      <c r="B878" t="str">
        <f>IFERROR(__xludf.DUMMYFUNCTION("""COMPUTED_VALUE"""),"VerifyCFI")</f>
        <v>VerifyCFI</v>
      </c>
      <c r="C878" t="str">
        <f>IFERROR(__xludf.DUMMYFUNCTION("""COMPUTED_VALUE"""),"1DUwxSUq_47EK60XmK3LOdCXa1fkWqWJE9bLuGS3ccv412")</f>
        <v>1DUwxSUq_47EK60XmK3LOdCXa1fkWqWJE9bLuGS3ccv412</v>
      </c>
    </row>
    <row r="879" ht="15.75" customHeight="1">
      <c r="A879" t="str">
        <f>IFERROR(__xludf.DUMMYFUNCTION("""COMPUTED_VALUE"""),"Blotter")</f>
        <v>Blotter</v>
      </c>
      <c r="B879" t="str">
        <f>IFERROR(__xludf.DUMMYFUNCTION("""COMPUTED_VALUE"""),"EnableOrVerifyHotButton")</f>
        <v>EnableOrVerifyHotButton</v>
      </c>
      <c r="C879" t="str">
        <f>IFERROR(__xludf.DUMMYFUNCTION("""COMPUTED_VALUE"""),"1wa8x9d9kPOHEp49mT2DEW0cyjjOClvAgixk1H2w-Tos")</f>
        <v>1wa8x9d9kPOHEp49mT2DEW0cyjjOClvAgixk1H2w-Tos</v>
      </c>
    </row>
    <row r="880" ht="15.75" customHeight="1">
      <c r="A880" t="str">
        <f>IFERROR(__xludf.DUMMYFUNCTION("""COMPUTED_VALUE"""),"TradeServer")</f>
        <v>TradeServer</v>
      </c>
      <c r="B880" t="str">
        <f>IFERROR(__xludf.DUMMYFUNCTION("""COMPUTED_VALUE"""),"RestartServerOnly")</f>
        <v>RestartServerOnly</v>
      </c>
      <c r="C880" t="str">
        <f>IFERROR(__xludf.DUMMYFUNCTION("""COMPUTED_VALUE"""),"Undefined")</f>
        <v>Undefined</v>
      </c>
    </row>
    <row r="881" ht="15.75" customHeight="1">
      <c r="A881" t="str">
        <f>IFERROR(__xludf.DUMMYFUNCTION("""COMPUTED_VALUE"""),"Rebalancer")</f>
        <v>Rebalancer</v>
      </c>
      <c r="B881" t="str">
        <f>IFERROR(__xludf.DUMMYFUNCTION("""COMPUTED_VALUE"""),"ActionOnCFI")</f>
        <v>ActionOnCFI</v>
      </c>
      <c r="C881" t="str">
        <f>IFERROR(__xludf.DUMMYFUNCTION("""COMPUTED_VALUE"""),"1DUwxSUq_47EK60XmK3LOdCXa1fkWqWJE9bLuGS3ccv412")</f>
        <v>1DUwxSUq_47EK60XmK3LOdCXa1fkWqWJE9bLuGS3ccv412</v>
      </c>
    </row>
    <row r="882" ht="15.75" customHeight="1">
      <c r="A882" t="str">
        <f>IFERROR(__xludf.DUMMYFUNCTION("""COMPUTED_VALUE"""),"Rebalancer")</f>
        <v>Rebalancer</v>
      </c>
      <c r="B882" t="str">
        <f>IFERROR(__xludf.DUMMYFUNCTION("""COMPUTED_VALUE"""),"VerifyCFI")</f>
        <v>VerifyCFI</v>
      </c>
      <c r="C882" t="str">
        <f>IFERROR(__xludf.DUMMYFUNCTION("""COMPUTED_VALUE"""),"1DUwxSUq_47EK60XmK3LOdCXa1fkWqWJE9bLuGS3ccv412")</f>
        <v>1DUwxSUq_47EK60XmK3LOdCXa1fkWqWJE9bLuGS3ccv412</v>
      </c>
    </row>
    <row r="883" ht="15.75" customHeight="1">
      <c r="A883" t="str">
        <f>IFERROR(__xludf.DUMMYFUNCTION("""COMPUTED_VALUE"""),"Rebalancer")</f>
        <v>Rebalancer</v>
      </c>
      <c r="B883" t="str">
        <f>IFERROR(__xludf.DUMMYFUNCTION("""COMPUTED_VALUE"""),"VerifyDelRASGrid")</f>
        <v>VerifyDelRASGrid</v>
      </c>
      <c r="C883" t="str">
        <f>IFERROR(__xludf.DUMMYFUNCTION("""COMPUTED_VALUE"""),"1DUwxSUq_47EK60XmK3LOdCXa1fkWqWJE9bLuGS3ccv412")</f>
        <v>1DUwxSUq_47EK60XmK3LOdCXa1fkWqWJE9bLuGS3ccv412</v>
      </c>
    </row>
    <row r="884" ht="15.75" customHeight="1">
      <c r="A884" t="str">
        <f>IFERROR(__xludf.DUMMYFUNCTION("""COMPUTED_VALUE"""),"Allocation")</f>
        <v>Allocation</v>
      </c>
      <c r="B884" t="str">
        <f>IFERROR(__xludf.DUMMYFUNCTION("""COMPUTED_VALUE"""),"ActionOnUPW")</f>
        <v>ActionOnUPW</v>
      </c>
      <c r="C884" t="str">
        <f>IFERROR(__xludf.DUMMYFUNCTION("""COMPUTED_VALUE"""),"1DUwxSUq_47EK60XmK3LOdCXa1fkWqWJE9bLuGS3ccv413")</f>
        <v>1DUwxSUq_47EK60XmK3LOdCXa1fkWqWJE9bLuGS3ccv413</v>
      </c>
    </row>
    <row r="885" ht="15.75" customHeight="1">
      <c r="A885" t="str">
        <f>IFERROR(__xludf.DUMMYFUNCTION("""COMPUTED_VALUE"""),"Allocation")</f>
        <v>Allocation</v>
      </c>
      <c r="B885" t="str">
        <f>IFERROR(__xludf.DUMMYFUNCTION("""COMPUTED_VALUE"""),"DefaultRuleUPW")</f>
        <v>DefaultRuleUPW</v>
      </c>
      <c r="C885" t="str">
        <f>IFERROR(__xludf.DUMMYFUNCTION("""COMPUTED_VALUE"""),"1DUwxSUq_47EK60XmK3LOdCXa1fkWqWJE9bLuGS3ccv414")</f>
        <v>1DUwxSUq_47EK60XmK3LOdCXa1fkWqWJE9bLuGS3ccv414</v>
      </c>
    </row>
    <row r="886" ht="15.75" customHeight="1">
      <c r="A886" t="str">
        <f>IFERROR(__xludf.DUMMYFUNCTION("""COMPUTED_VALUE"""),"Allocation")</f>
        <v>Allocation</v>
      </c>
      <c r="B886" t="str">
        <f>IFERROR(__xludf.DUMMYFUNCTION("""COMPUTED_VALUE"""),"AccountStrategyUPW")</f>
        <v>AccountStrategyUPW</v>
      </c>
      <c r="C886" t="str">
        <f>IFERROR(__xludf.DUMMYFUNCTION("""COMPUTED_VALUE"""),"1DUwxSUq_47EK60XmK3LOdCXa1fkWqWJE9bLuGS3ccv415")</f>
        <v>1DUwxSUq_47EK60XmK3LOdCXa1fkWqWJE9bLuGS3ccv415</v>
      </c>
    </row>
    <row r="887" ht="15.75" customHeight="1">
      <c r="A887" t="str">
        <f>IFERROR(__xludf.DUMMYFUNCTION("""COMPUTED_VALUE"""),"Allocation")</f>
        <v>Allocation</v>
      </c>
      <c r="B887" t="str">
        <f>IFERROR(__xludf.DUMMYFUNCTION("""COMPUTED_VALUE"""),"ActionOnCalPref")</f>
        <v>ActionOnCalPref</v>
      </c>
      <c r="C887" t="str">
        <f>IFERROR(__xludf.DUMMYFUNCTION("""COMPUTED_VALUE"""),"1DUwxSUq_47EK60XmK3LOdCXa1fkWqWJE9bLuGS3ccv416")</f>
        <v>1DUwxSUq_47EK60XmK3LOdCXa1fkWqWJE9bLuGS3ccv416</v>
      </c>
    </row>
    <row r="888" ht="15.75" customHeight="1">
      <c r="A888" t="str">
        <f>IFERROR(__xludf.DUMMYFUNCTION("""COMPUTED_VALUE"""),"Allocation")</f>
        <v>Allocation</v>
      </c>
      <c r="B888" t="str">
        <f>IFERROR(__xludf.DUMMYFUNCTION("""COMPUTED_VALUE"""),"SetMFDefaultRule")</f>
        <v>SetMFDefaultRule</v>
      </c>
      <c r="C888" t="str">
        <f>IFERROR(__xludf.DUMMYFUNCTION("""COMPUTED_VALUE"""),"1DUwxSUq_47EK60XmK3LOdCXa1fkWqWJE9bLuGS3ccv417")</f>
        <v>1DUwxSUq_47EK60XmK3LOdCXa1fkWqWJE9bLuGS3ccv417</v>
      </c>
    </row>
    <row r="889" ht="15.75" customHeight="1">
      <c r="A889" t="str">
        <f>IFERROR(__xludf.DUMMYFUNCTION("""COMPUTED_VALUE"""),"Allocation")</f>
        <v>Allocation</v>
      </c>
      <c r="B889" t="str">
        <f>IFERROR(__xludf.DUMMYFUNCTION("""COMPUTED_VALUE"""),"ActionOnPrefWindow")</f>
        <v>ActionOnPrefWindow</v>
      </c>
      <c r="C889" t="str">
        <f>IFERROR(__xludf.DUMMYFUNCTION("""COMPUTED_VALUE"""),"1DUwxSUq_47EK60XmK3LOdCXa1fkWqWJE9bLuGS3ccv418")</f>
        <v>1DUwxSUq_47EK60XmK3LOdCXa1fkWqWJE9bLuGS3ccv418</v>
      </c>
    </row>
    <row r="890" ht="15.75" customHeight="1">
      <c r="A890" t="str">
        <f>IFERROR(__xludf.DUMMYFUNCTION("""COMPUTED_VALUE"""),"Allocation")</f>
        <v>Allocation</v>
      </c>
      <c r="B890" t="str">
        <f>IFERROR(__xludf.DUMMYFUNCTION("""COMPUTED_VALUE"""),"GetFixedPrefScheme")</f>
        <v>GetFixedPrefScheme</v>
      </c>
      <c r="C890" t="str">
        <f>IFERROR(__xludf.DUMMYFUNCTION("""COMPUTED_VALUE"""),"1DUwxSUq_47EK60XmK3LOdCXa1fkWqWJE9bLuGS3ccv419")</f>
        <v>1DUwxSUq_47EK60XmK3LOdCXa1fkWqWJE9bLuGS3ccv419</v>
      </c>
    </row>
    <row r="891" ht="15.75" customHeight="1">
      <c r="A891" t="str">
        <f>IFERROR(__xludf.DUMMYFUNCTION("""COMPUTED_VALUE"""),"Allocation")</f>
        <v>Allocation</v>
      </c>
      <c r="B891" t="str">
        <f>IFERROR(__xludf.DUMMYFUNCTION("""COMPUTED_VALUE"""),"VerifyFixedPref")</f>
        <v>VerifyFixedPref</v>
      </c>
      <c r="C891" t="str">
        <f>IFERROR(__xludf.DUMMYFUNCTION("""COMPUTED_VALUE"""),"1DUwxSUq_47EK60XmK3LOdCXa1fkWqWJE9bLuGS3ccv420")</f>
        <v>1DUwxSUq_47EK60XmK3LOdCXa1fkWqWJE9bLuGS3ccv420</v>
      </c>
    </row>
    <row r="892" ht="15.75" customHeight="1">
      <c r="A892" t="str">
        <f>IFERROR(__xludf.DUMMYFUNCTION("""COMPUTED_VALUE"""),"Allocation")</f>
        <v>Allocation</v>
      </c>
      <c r="B892" t="str">
        <f>IFERROR(__xludf.DUMMYFUNCTION("""COMPUTED_VALUE"""),"ActionOnToolBar")</f>
        <v>ActionOnToolBar</v>
      </c>
      <c r="C892" t="str">
        <f>IFERROR(__xludf.DUMMYFUNCTION("""COMPUTED_VALUE"""),"1DUwxSUq_47EK60XmK3LOdCXa1fkWqWJE9bLuGS3ccv421")</f>
        <v>1DUwxSUq_47EK60XmK3LOdCXa1fkWqWJE9bLuGS3ccv421</v>
      </c>
    </row>
    <row r="893" ht="15.75" customHeight="1">
      <c r="A893" t="str">
        <f>IFERROR(__xludf.DUMMYFUNCTION("""COMPUTED_VALUE"""),"Rebalancer")</f>
        <v>Rebalancer</v>
      </c>
      <c r="B893" t="str">
        <f>IFERROR(__xludf.DUMMYFUNCTION("""COMPUTED_VALUE"""),"VerifyCustomGroupModel")</f>
        <v>VerifyCustomGroupModel</v>
      </c>
      <c r="C893" t="str">
        <f>IFERROR(__xludf.DUMMYFUNCTION("""COMPUTED_VALUE"""),"1DUwxSUq_47EK60XmK3LOdCXa1fkWqWJE9bLuGS3ccv422")</f>
        <v>1DUwxSUq_47EK60XmK3LOdCXa1fkWqWJE9bLuGS3ccv422</v>
      </c>
    </row>
    <row r="894" ht="15.75" customHeight="1">
      <c r="A894" t="str">
        <f>IFERROR(__xludf.DUMMYFUNCTION("""COMPUTED_VALUE"""),"Blotter")</f>
        <v>Blotter</v>
      </c>
      <c r="B894" t="str">
        <f>IFERROR(__xludf.DUMMYFUNCTION("""COMPUTED_VALUE"""),"VerifyFilterUiRC")</f>
        <v>VerifyFilterUiRC</v>
      </c>
      <c r="C894" t="str">
        <f>IFERROR(__xludf.DUMMYFUNCTION("""COMPUTED_VALUE"""),"1QQZEZqPXfPnxfNID2a3__xw8RnEAn77igg5Q32S3Sm0")</f>
        <v>1QQZEZqPXfPnxfNID2a3__xw8RnEAn77igg5Q32S3Sm0</v>
      </c>
    </row>
    <row r="895" ht="15.75" customHeight="1">
      <c r="A895" t="str">
        <f>IFERROR(__xludf.DUMMYFUNCTION("""COMPUTED_VALUE"""),"TradingTicket")</f>
        <v>TradingTicket</v>
      </c>
      <c r="B895" t="str">
        <f>IFERROR(__xludf.DUMMYFUNCTION("""COMPUTED_VALUE"""),"SymbolSuggestionVerify")</f>
        <v>SymbolSuggestionVerify</v>
      </c>
      <c r="C895" t="str">
        <f>IFERROR(__xludf.DUMMYFUNCTION("""COMPUTED_VALUE"""),"14aTeLjmUbS-nhaQwjtZAMGxdQ5DS6UsBjE5OTWN-LQU")</f>
        <v>14aTeLjmUbS-nhaQwjtZAMGxdQ5DS6UsBjE5OTWN-LQU</v>
      </c>
    </row>
    <row r="896" ht="15.75" customHeight="1">
      <c r="A896" t="str">
        <f>IFERROR(__xludf.DUMMYFUNCTION("""COMPUTED_VALUE"""),"PreferencesMain")</f>
        <v>PreferencesMain</v>
      </c>
      <c r="B896" t="str">
        <f>IFERROR(__xludf.DUMMYFUNCTION("""COMPUTED_VALUE"""),"UpdatePTTPref")</f>
        <v>UpdatePTTPref</v>
      </c>
      <c r="C896" t="str">
        <f>IFERROR(__xludf.DUMMYFUNCTION("""COMPUTED_VALUE"""),"14aTeLjmUbS-nhaQwjtZAMGxdQ5DS6UsBjE5OTWN-LQU")</f>
        <v>14aTeLjmUbS-nhaQwjtZAMGxdQ5DS6UsBjE5OTWN-LQU</v>
      </c>
    </row>
    <row r="897" ht="15.75" customHeight="1">
      <c r="A897" t="str">
        <f>IFERROR(__xludf.DUMMYFUNCTION("""COMPUTED_VALUE"""),"PreferencesMain")</f>
        <v>PreferencesMain</v>
      </c>
      <c r="B897" t="str">
        <f>IFERROR(__xludf.DUMMYFUNCTION("""COMPUTED_VALUE"""),"ActionOnPreferencesMain")</f>
        <v>ActionOnPreferencesMain</v>
      </c>
      <c r="C897" t="str">
        <f>IFERROR(__xludf.DUMMYFUNCTION("""COMPUTED_VALUE"""),"14aTeLjmUbS-nhaQwjtZAMGxdQ5DS6UsBjE5OTWN-LQU")</f>
        <v>14aTeLjmUbS-nhaQwjtZAMGxdQ5DS6UsBjE5OTWN-LQU</v>
      </c>
    </row>
    <row r="898" ht="15.75" customHeight="1">
      <c r="A898" t="str">
        <f>IFERROR(__xludf.DUMMYFUNCTION("""COMPUTED_VALUE"""),"PreferencesMain")</f>
        <v>PreferencesMain</v>
      </c>
      <c r="B898" t="str">
        <f>IFERROR(__xludf.DUMMYFUNCTION("""COMPUTED_VALUE"""),"VerifyUpdategrdAccountFactor")</f>
        <v>VerifyUpdategrdAccountFactor</v>
      </c>
      <c r="C898" t="str">
        <f>IFERROR(__xludf.DUMMYFUNCTION("""COMPUTED_VALUE"""),"14aTeLjmUbS-nhaQwjtZAMGxdQ5DS6UsBjE5OTWN-LQU")</f>
        <v>14aTeLjmUbS-nhaQwjtZAMGxdQ5DS6UsBjE5OTWN-LQU</v>
      </c>
    </row>
    <row r="899" ht="15.75" customHeight="1">
      <c r="A899" t="str">
        <f>IFERROR(__xludf.DUMMYFUNCTION("""COMPUTED_VALUE"""),"PreferencesMain")</f>
        <v>PreferencesMain</v>
      </c>
      <c r="B899" t="str">
        <f>IFERROR(__xludf.DUMMYFUNCTION("""COMPUTED_VALUE"""),"VerifyUpdategrdMFA")</f>
        <v>VerifyUpdategrdMFA</v>
      </c>
      <c r="C899" t="str">
        <f>IFERROR(__xludf.DUMMYFUNCTION("""COMPUTED_VALUE"""),"14aTeLjmUbS-nhaQwjtZAMGxdQ5DS6UsBjE5OTWN-LQU")</f>
        <v>14aTeLjmUbS-nhaQwjtZAMGxdQ5DS6UsBjE5OTWN-LQU</v>
      </c>
    </row>
    <row r="900" ht="15.75" customHeight="1">
      <c r="A900" t="str">
        <f>IFERROR(__xludf.DUMMYFUNCTION("""COMPUTED_VALUE"""),"PreferencesMain")</f>
        <v>PreferencesMain</v>
      </c>
      <c r="B900" t="str">
        <f>IFERROR(__xludf.DUMMYFUNCTION("""COMPUTED_VALUE"""),"SwitchTabMFA")</f>
        <v>SwitchTabMFA</v>
      </c>
      <c r="C900" t="str">
        <f>IFERROR(__xludf.DUMMYFUNCTION("""COMPUTED_VALUE"""),"14aTeLjmUbS-nhaQwjtZAMGxdQ5DS6UsBjE5OTWN-LQU")</f>
        <v>14aTeLjmUbS-nhaQwjtZAMGxdQ5DS6UsBjE5OTWN-LQU</v>
      </c>
    </row>
    <row r="901" ht="15.75" customHeight="1">
      <c r="A901" t="str">
        <f>IFERROR(__xludf.DUMMYFUNCTION("""COMPUTED_VALUE"""),"PreferencesMain")</f>
        <v>PreferencesMain</v>
      </c>
      <c r="B901" t="str">
        <f>IFERROR(__xludf.DUMMYFUNCTION("""COMPUTED_VALUE"""),"UpdateBlotterPref")</f>
        <v>UpdateBlotterPref</v>
      </c>
      <c r="C901" t="str">
        <f>IFERROR(__xludf.DUMMYFUNCTION("""COMPUTED_VALUE"""),"14aTeLjmUbS-nhaQwjtZAMGxdQ5DS6UsBjE5OTWN-LQU")</f>
        <v>14aTeLjmUbS-nhaQwjtZAMGxdQ5DS6UsBjE5OTWN-LQU</v>
      </c>
    </row>
    <row r="902" ht="15.75" customHeight="1">
      <c r="A902" t="str">
        <f>IFERROR(__xludf.DUMMYFUNCTION("""COMPUTED_VALUE"""),"PreferencesMain")</f>
        <v>PreferencesMain</v>
      </c>
      <c r="B902" t="str">
        <f>IFERROR(__xludf.DUMMYFUNCTION("""COMPUTED_VALUE"""),"UpdatePMPref")</f>
        <v>UpdatePMPref</v>
      </c>
      <c r="C902" t="str">
        <f>IFERROR(__xludf.DUMMYFUNCTION("""COMPUTED_VALUE"""),"14aTeLjmUbS-nhaQwjtZAMGxdQ5DS6UsBjE5OTWN-LQU")</f>
        <v>14aTeLjmUbS-nhaQwjtZAMGxdQ5DS6UsBjE5OTWN-LQU</v>
      </c>
    </row>
    <row r="903" ht="15.75" customHeight="1">
      <c r="A903" t="str">
        <f>IFERROR(__xludf.DUMMYFUNCTION("""COMPUTED_VALUE"""),"PreferencesMain")</f>
        <v>PreferencesMain</v>
      </c>
      <c r="B903" t="str">
        <f>IFERROR(__xludf.DUMMYFUNCTION("""COMPUTED_VALUE"""),"UpdateGenPref")</f>
        <v>UpdateGenPref</v>
      </c>
      <c r="C903" t="str">
        <f>IFERROR(__xludf.DUMMYFUNCTION("""COMPUTED_VALUE"""),"14aTeLjmUbS-nhaQwjtZAMGxdQ5DS6UsBjE5OTWN-LQU")</f>
        <v>14aTeLjmUbS-nhaQwjtZAMGxdQ5DS6UsBjE5OTWN-LQU</v>
      </c>
    </row>
    <row r="904" ht="15.75" customHeight="1">
      <c r="A904" t="str">
        <f>IFERROR(__xludf.DUMMYFUNCTION("""COMPUTED_VALUE"""),"PreferencesMain")</f>
        <v>PreferencesMain</v>
      </c>
      <c r="B904" t="str">
        <f>IFERROR(__xludf.DUMMYFUNCTION("""COMPUTED_VALUE"""),"VerifyUpdateAssetSide")</f>
        <v>VerifyUpdateAssetSide</v>
      </c>
      <c r="C904" t="str">
        <f>IFERROR(__xludf.DUMMYFUNCTION("""COMPUTED_VALUE"""),"14aTeLjmUbS-nhaQwjtZAMGxdQ5DS6UsBjE5OTWN-LQU")</f>
        <v>14aTeLjmUbS-nhaQwjtZAMGxdQ5DS6UsBjE5OTWN-LQU</v>
      </c>
    </row>
    <row r="905" ht="15.75" customHeight="1">
      <c r="A905" t="str">
        <f>IFERROR(__xludf.DUMMYFUNCTION("""COMPUTED_VALUE"""),"PreferencesMain")</f>
        <v>PreferencesMain</v>
      </c>
      <c r="B905" t="str">
        <f>IFERROR(__xludf.DUMMYFUNCTION("""COMPUTED_VALUE"""),"SwicthTabPref")</f>
        <v>SwicthTabPref</v>
      </c>
      <c r="C905" t="str">
        <f>IFERROR(__xludf.DUMMYFUNCTION("""COMPUTED_VALUE"""),"14aTeLjmUbS-nhaQwjtZAMGxdQ5DS6UsBjE5OTWN-LQU")</f>
        <v>14aTeLjmUbS-nhaQwjtZAMGxdQ5DS6UsBjE5OTWN-LQU</v>
      </c>
    </row>
    <row r="906" ht="15.75" customHeight="1">
      <c r="A906" t="str">
        <f>IFERROR(__xludf.DUMMYFUNCTION("""COMPUTED_VALUE"""),"PreferencesMain")</f>
        <v>PreferencesMain</v>
      </c>
      <c r="B906" t="str">
        <f>IFERROR(__xludf.DUMMYFUNCTION("""COMPUTED_VALUE"""),"TTDefaultSelection")</f>
        <v>TTDefaultSelection</v>
      </c>
      <c r="C906" t="str">
        <f>IFERROR(__xludf.DUMMYFUNCTION("""COMPUTED_VALUE"""),"14aTeLjmUbS-nhaQwjtZAMGxdQ5DS6UsBjE5OTWN-LQU")</f>
        <v>14aTeLjmUbS-nhaQwjtZAMGxdQ5DS6UsBjE5OTWN-LQU</v>
      </c>
    </row>
    <row r="907" ht="15.75" customHeight="1">
      <c r="A907" t="str">
        <f>IFERROR(__xludf.DUMMYFUNCTION("""COMPUTED_VALUE"""),"PreferencesMain")</f>
        <v>PreferencesMain</v>
      </c>
      <c r="B907" t="str">
        <f>IFERROR(__xludf.DUMMYFUNCTION("""COMPUTED_VALUE"""),"TTNumSelection")</f>
        <v>TTNumSelection</v>
      </c>
      <c r="C907" t="str">
        <f>IFERROR(__xludf.DUMMYFUNCTION("""COMPUTED_VALUE"""),"14aTeLjmUbS-nhaQwjtZAMGxdQ5DS6UsBjE5OTWN-LQU")</f>
        <v>14aTeLjmUbS-nhaQwjtZAMGxdQ5DS6UsBjE5OTWN-LQU</v>
      </c>
    </row>
    <row r="908" ht="15.75" customHeight="1">
      <c r="A908" t="str">
        <f>IFERROR(__xludf.DUMMYFUNCTION("""COMPUTED_VALUE"""),"PreferencesMain")</f>
        <v>PreferencesMain</v>
      </c>
      <c r="B908" t="str">
        <f>IFERROR(__xludf.DUMMYFUNCTION("""COMPUTED_VALUE"""),"TTConfirmationPopUps")</f>
        <v>TTConfirmationPopUps</v>
      </c>
      <c r="C908" t="str">
        <f>IFERROR(__xludf.DUMMYFUNCTION("""COMPUTED_VALUE"""),"14aTeLjmUbS-nhaQwjtZAMGxdQ5DS6UsBjE5OTWN-LQU")</f>
        <v>14aTeLjmUbS-nhaQwjtZAMGxdQ5DS6UsBjE5OTWN-LQU</v>
      </c>
    </row>
    <row r="909" ht="15.75" customHeight="1">
      <c r="A909" t="str">
        <f>IFERROR(__xludf.DUMMYFUNCTION("""COMPUTED_VALUE"""),"PreferencesMain")</f>
        <v>PreferencesMain</v>
      </c>
      <c r="B909" t="str">
        <f>IFERROR(__xludf.DUMMYFUNCTION("""COMPUTED_VALUE"""),"VerifyUpdateBrokerPref")</f>
        <v>VerifyUpdateBrokerPref</v>
      </c>
      <c r="C909" t="str">
        <f>IFERROR(__xludf.DUMMYFUNCTION("""COMPUTED_VALUE"""),"14aTeLjmUbS-nhaQwjtZAMGxdQ5DS6UsBjE5OTWN-LQU")</f>
        <v>14aTeLjmUbS-nhaQwjtZAMGxdQ5DS6UsBjE5OTWN-LQU</v>
      </c>
    </row>
    <row r="910" ht="15.75" customHeight="1">
      <c r="A910" t="str">
        <f>IFERROR(__xludf.DUMMYFUNCTION("""COMPUTED_VALUE"""),"PreferencesMain")</f>
        <v>PreferencesMain</v>
      </c>
      <c r="B910" t="str">
        <f>IFERROR(__xludf.DUMMYFUNCTION("""COMPUTED_VALUE"""),"TTGeneralPref")</f>
        <v>TTGeneralPref</v>
      </c>
      <c r="C910" t="str">
        <f>IFERROR(__xludf.DUMMYFUNCTION("""COMPUTED_VALUE"""),"14aTeLjmUbS-nhaQwjtZAMGxdQ5DS6UsBjE5OTWN-LQU")</f>
        <v>14aTeLjmUbS-nhaQwjtZAMGxdQ5DS6UsBjE5OTWN-LQU</v>
      </c>
    </row>
    <row r="911" ht="15.75" customHeight="1">
      <c r="A911" t="str">
        <f>IFERROR(__xludf.DUMMYFUNCTION("""COMPUTED_VALUE"""),"PreferencesMain")</f>
        <v>PreferencesMain</v>
      </c>
      <c r="B911" t="str">
        <f>IFERROR(__xludf.DUMMYFUNCTION("""COMPUTED_VALUE"""),"UpdateClosingPref")</f>
        <v>UpdateClosingPref</v>
      </c>
      <c r="C911" t="str">
        <f>IFERROR(__xludf.DUMMYFUNCTION("""COMPUTED_VALUE"""),"14aTeLjmUbS-nhaQwjtZAMGxdQ5DS6UsBjE5OTWN-LQU")</f>
        <v>14aTeLjmUbS-nhaQwjtZAMGxdQ5DS6UsBjE5OTWN-LQU</v>
      </c>
    </row>
    <row r="912" ht="15.75" customHeight="1">
      <c r="A912" t="str">
        <f>IFERROR(__xludf.DUMMYFUNCTION("""COMPUTED_VALUE"""),"Allocation")</f>
        <v>Allocation</v>
      </c>
      <c r="B912" t="str">
        <f>IFERROR(__xludf.DUMMYFUNCTION("""COMPUTED_VALUE"""),"VerifyEditAttRenaming")</f>
        <v>VerifyEditAttRenaming</v>
      </c>
      <c r="C912" t="str">
        <f>IFERROR(__xludf.DUMMYFUNCTION("""COMPUTED_VALUE"""),"14aTeLjmUbS-nhaQwjtZAMGxdQ5DS6UsBjE5OTWN-LQU")</f>
        <v>14aTeLjmUbS-nhaQwjtZAMGxdQ5DS6UsBjE5OTWN-LQU</v>
      </c>
    </row>
    <row r="913" ht="15.75" customHeight="1">
      <c r="A913" t="str">
        <f>IFERROR(__xludf.DUMMYFUNCTION("""COMPUTED_VALUE"""),"Rebalancer")</f>
        <v>Rebalancer</v>
      </c>
      <c r="B913" t="str">
        <f>IFERROR(__xludf.DUMMYFUNCTION("""COMPUTED_VALUE"""),"VerifyTradeList")</f>
        <v>VerifyTradeList</v>
      </c>
      <c r="C913" t="str">
        <f>IFERROR(__xludf.DUMMYFUNCTION("""COMPUTED_VALUE"""),"14aTeLjmUbS-nhaQwjtZAMGxdQ5DS6UsBjE5OTWN-LQU")</f>
        <v>14aTeLjmUbS-nhaQwjtZAMGxdQ5DS6UsBjE5OTWN-LQU</v>
      </c>
    </row>
    <row r="914" ht="15.75" customHeight="1">
      <c r="A914" t="str">
        <f>IFERROR(__xludf.DUMMYFUNCTION("""COMPUTED_VALUE"""),"TradingTicket")</f>
        <v>TradingTicket</v>
      </c>
      <c r="B914" t="str">
        <f>IFERROR(__xludf.DUMMYFUNCTION("""COMPUTED_VALUE"""),"TTMainControls")</f>
        <v>TTMainControls</v>
      </c>
      <c r="C914" t="str">
        <f>IFERROR(__xludf.DUMMYFUNCTION("""COMPUTED_VALUE"""),"1DUwxSUq_47EK60XmK3LOdCXa1fkWqWJE9bLuGS3ccv412")</f>
        <v>1DUwxSUq_47EK60XmK3LOdCXa1fkWqWJE9bLuGS3ccv412</v>
      </c>
    </row>
    <row r="915" ht="15.75" customHeight="1">
      <c r="A915" t="str">
        <f>IFERROR(__xludf.DUMMYFUNCTION("""COMPUTED_VALUE"""),"TradingTicket")</f>
        <v>TradingTicket</v>
      </c>
      <c r="B915" t="str">
        <f>IFERROR(__xludf.DUMMYFUNCTION("""COMPUTED_VALUE"""),"VerifySymStrip")</f>
        <v>VerifySymStrip</v>
      </c>
      <c r="C915" t="str">
        <f>IFERROR(__xludf.DUMMYFUNCTION("""COMPUTED_VALUE"""),"1DUwxSUq_47EK60XmK3LOdCXa1fkWqWJE9bLuGS3ccv412")</f>
        <v>1DUwxSUq_47EK60XmK3LOdCXa1fkWqWJE9bLuGS3ccv412</v>
      </c>
    </row>
    <row r="916" ht="15.75" customHeight="1">
      <c r="A916" t="str">
        <f>IFERROR(__xludf.DUMMYFUNCTION("""COMPUTED_VALUE"""),"TradingTicket")</f>
        <v>TradingTicket</v>
      </c>
      <c r="B916" t="str">
        <f>IFERROR(__xludf.DUMMYFUNCTION("""COMPUTED_VALUE"""),"TTBottomTab")</f>
        <v>TTBottomTab</v>
      </c>
      <c r="C916" t="str">
        <f>IFERROR(__xludf.DUMMYFUNCTION("""COMPUTED_VALUE"""),"1DUwxSUq_47EK60XmK3LOdCXa1fkWqWJE9bLuGS3ccv412")</f>
        <v>1DUwxSUq_47EK60XmK3LOdCXa1fkWqWJE9bLuGS3ccv412</v>
      </c>
    </row>
    <row r="917" ht="15.75" customHeight="1">
      <c r="A917" t="str">
        <f>IFERROR(__xludf.DUMMYFUNCTION("""COMPUTED_VALUE"""),"TradingTicket")</f>
        <v>TradingTicket</v>
      </c>
      <c r="B917" t="str">
        <f>IFERROR(__xludf.DUMMYFUNCTION("""COMPUTED_VALUE"""),"TTBottomSwap")</f>
        <v>TTBottomSwap</v>
      </c>
      <c r="C917" t="str">
        <f>IFERROR(__xludf.DUMMYFUNCTION("""COMPUTED_VALUE"""),"1DUwxSUq_47EK60XmK3LOdCXa1fkWqWJE9bLuGS3ccv412")</f>
        <v>1DUwxSUq_47EK60XmK3LOdCXa1fkWqWJE9bLuGS3ccv412</v>
      </c>
    </row>
    <row r="918" ht="15.75" customHeight="1">
      <c r="A918" t="str">
        <f>IFERROR(__xludf.DUMMYFUNCTION("""COMPUTED_VALUE"""),"Blotter")</f>
        <v>Blotter</v>
      </c>
      <c r="B918" t="str">
        <f>IFERROR(__xludf.DUMMYFUNCTION("""COMPUTED_VALUE"""),"CreateHotButtonOnBlotter")</f>
        <v>CreateHotButtonOnBlotter</v>
      </c>
      <c r="C918" t="str">
        <f>IFERROR(__xludf.DUMMYFUNCTION("""COMPUTED_VALUE"""),"1Yu7Fb6AjhUP8b-KuRJvgAwq8TykNK6BDh9F0Xpf12Ek")</f>
        <v>1Yu7Fb6AjhUP8b-KuRJvgAwq8TykNK6BDh9F0Xpf12Ek</v>
      </c>
    </row>
    <row r="919" ht="15.75" customHeight="1">
      <c r="A919" t="str">
        <f>IFERROR(__xludf.DUMMYFUNCTION("""COMPUTED_VALUE"""),"Blotter")</f>
        <v>Blotter</v>
      </c>
      <c r="B919" t="str">
        <f>IFERROR(__xludf.DUMMYFUNCTION("""COMPUTED_VALUE"""),"FillHBdetailsOnBlotter")</f>
        <v>FillHBdetailsOnBlotter</v>
      </c>
      <c r="C919" t="str">
        <f>IFERROR(__xludf.DUMMYFUNCTION("""COMPUTED_VALUE"""),"13Isj5c5k8kObxI-GBT6Ir9VBOz_46lzhwVxXXVP8jQU")</f>
        <v>13Isj5c5k8kObxI-GBT6Ir9VBOz_46lzhwVxXXVP8jQU</v>
      </c>
    </row>
    <row r="920" ht="15.75" customHeight="1">
      <c r="A920" t="str">
        <f>IFERROR(__xludf.DUMMYFUNCTION("""COMPUTED_VALUE"""),"TradingTicket")</f>
        <v>TradingTicket</v>
      </c>
      <c r="B920" t="str">
        <f>IFERROR(__xludf.DUMMYFUNCTION("""COMPUTED_VALUE"""),"EditAuecWindow")</f>
        <v>EditAuecWindow</v>
      </c>
      <c r="C920" t="str">
        <f>IFERROR(__xludf.DUMMYFUNCTION("""COMPUTED_VALUE"""),"1ottlNphVbp0AC-UFd-HlDpCLwOA2yWO1pN6eR3ML7vA")</f>
        <v>1ottlNphVbp0AC-UFd-HlDpCLwOA2yWO1pN6eR3ML7vA</v>
      </c>
    </row>
    <row r="921" ht="15.75" customHeight="1">
      <c r="A921" t="str">
        <f>IFERROR(__xludf.DUMMYFUNCTION("""COMPUTED_VALUE"""),"TradingTicket")</f>
        <v>TradingTicket</v>
      </c>
      <c r="B921" t="str">
        <f>IFERROR(__xludf.DUMMYFUNCTION("""COMPUTED_VALUE"""),"VerifyBrokerSummary")</f>
        <v>VerifyBrokerSummary</v>
      </c>
      <c r="C921" t="str">
        <f>IFERROR(__xludf.DUMMYFUNCTION("""COMPUTED_VALUE"""),"11hMxlfIQYwM8vPN2h--IGp7O02EDFbvJ4CSvjSfGsMY")</f>
        <v>11hMxlfIQYwM8vPN2h--IGp7O02EDFbvJ4CSvjSfGsMY</v>
      </c>
    </row>
    <row r="922" ht="15.75" customHeight="1">
      <c r="A922" t="str">
        <f>IFERROR(__xludf.DUMMYFUNCTION("""COMPUTED_VALUE"""),"QTT")</f>
        <v>QTT</v>
      </c>
      <c r="B922" t="str">
        <f>IFERROR(__xludf.DUMMYFUNCTION("""COMPUTED_VALUE"""),"EditAuecWindowQTT")</f>
        <v>EditAuecWindowQTT</v>
      </c>
      <c r="C922" t="str">
        <f>IFERROR(__xludf.DUMMYFUNCTION("""COMPUTED_VALUE"""),"1oI_WY3xKQgSjp5JN67BMHtm3zazX5ZiMATISa2ssGB0")</f>
        <v>1oI_WY3xKQgSjp5JN67BMHtm3zazX5ZiMATISa2ssGB0</v>
      </c>
    </row>
    <row r="923" ht="15.75" customHeight="1">
      <c r="A923" t="str">
        <f>IFERROR(__xludf.DUMMYFUNCTION("""COMPUTED_VALUE"""),"QTT")</f>
        <v>QTT</v>
      </c>
      <c r="B923" t="str">
        <f>IFERROR(__xludf.DUMMYFUNCTION("""COMPUTED_VALUE"""),"VerifyBrokerSummaryQTT")</f>
        <v>VerifyBrokerSummaryQTT</v>
      </c>
      <c r="C923" t="str">
        <f>IFERROR(__xludf.DUMMYFUNCTION("""COMPUTED_VALUE"""),"1O6-eqYsZqtvYR6DOH7UM2_Jwpq9pB9uyZvgh5vEhVAI")</f>
        <v>1O6-eqYsZqtvYR6DOH7UM2_Jwpq9pB9uyZvgh5vEhVAI</v>
      </c>
    </row>
    <row r="924" ht="15.75" customHeight="1">
      <c r="A924" t="str">
        <f>IFERROR(__xludf.DUMMYFUNCTION("""COMPUTED_VALUE"""),"QTT")</f>
        <v>QTT</v>
      </c>
      <c r="B924" t="str">
        <f>IFERROR(__xludf.DUMMYFUNCTION("""COMPUTED_VALUE"""),"SaveQTThotKey")</f>
        <v>SaveQTThotKey</v>
      </c>
      <c r="C924" t="str">
        <f>IFERROR(__xludf.DUMMYFUNCTION("""COMPUTED_VALUE"""),"Undefined")</f>
        <v>Undefined</v>
      </c>
    </row>
    <row r="925" ht="15.75" customHeight="1">
      <c r="A925" t="str">
        <f>IFERROR(__xludf.DUMMYFUNCTION("""COMPUTED_VALUE"""),"Blotter")</f>
        <v>Blotter</v>
      </c>
      <c r="B925" t="str">
        <f>IFERROR(__xludf.DUMMYFUNCTION("""COMPUTED_VALUE"""),"BlotterColumnChooser")</f>
        <v>BlotterColumnChooser</v>
      </c>
      <c r="C925" t="str">
        <f>IFERROR(__xludf.DUMMYFUNCTION("""COMPUTED_VALUE"""),"12428TbyucuJDD3KuN7QG-GyRYI3gcoyDNKTQ2UpgGMQ")</f>
        <v>12428TbyucuJDD3KuN7QG-GyRYI3gcoyDNKTQ2UpgGMQ</v>
      </c>
    </row>
    <row r="926" ht="15.75" customHeight="1">
      <c r="A926" t="str">
        <f>IFERROR(__xludf.DUMMYFUNCTION("""COMPUTED_VALUE"""),"RTPNL")</f>
        <v>RTPNL</v>
      </c>
      <c r="B926" t="str">
        <f>IFERROR(__xludf.DUMMYFUNCTION("""COMPUTED_VALUE"""),"CreateGroupingWidget")</f>
        <v>CreateGroupingWidget</v>
      </c>
      <c r="C926" t="str">
        <f>IFERROR(__xludf.DUMMYFUNCTION("""COMPUTED_VALUE"""),"1ctXhgvJgrqqe8ees0907Up0TKq9pCEhinMlZnRGqKdY")</f>
        <v>1ctXhgvJgrqqe8ees0907Up0TKq9pCEhinMlZnRGqKdY</v>
      </c>
    </row>
    <row r="927" ht="15.75" customHeight="1">
      <c r="A927" t="str">
        <f>IFERROR(__xludf.DUMMYFUNCTION("""COMPUTED_VALUE"""),"RTPNL")</f>
        <v>RTPNL</v>
      </c>
      <c r="B927" t="str">
        <f>IFERROR(__xludf.DUMMYFUNCTION("""COMPUTED_VALUE"""),"CheckGroupingWidget")</f>
        <v>CheckGroupingWidget</v>
      </c>
      <c r="C927" t="str">
        <f>IFERROR(__xludf.DUMMYFUNCTION("""COMPUTED_VALUE"""),"16mimyUFzQ0Ojogh0t4Evjy-tjzAJ67xgIrWeTNmBdw0")</f>
        <v>16mimyUFzQ0Ojogh0t4Evjy-tjzAJ67xgIrWeTNmBdw0</v>
      </c>
    </row>
    <row r="928" ht="15.75" customHeight="1">
      <c r="A928" t="str">
        <f>IFERROR(__xludf.DUMMYFUNCTION("""COMPUTED_VALUE"""),"TradingTicket")</f>
        <v>TradingTicket</v>
      </c>
      <c r="B928" t="str">
        <f>IFERROR(__xludf.DUMMYFUNCTION("""COMPUTED_VALUE"""),"QTTHamburg")</f>
        <v>QTTHamburg</v>
      </c>
      <c r="C928" t="str">
        <f>IFERROR(__xludf.DUMMYFUNCTION("""COMPUTED_VALUE"""),"1pdXDcLRWAl2b2L88lHCntj01OLBjVHaNAdGG8OHa4hA")</f>
        <v>1pdXDcLRWAl2b2L88lHCntj01OLBjVHaNAdGG8OHa4hA</v>
      </c>
    </row>
    <row r="929" ht="15.75" customHeight="1">
      <c r="A929" t="str">
        <f>IFERROR(__xludf.DUMMYFUNCTION("""COMPUTED_VALUE"""),"RTPNL")</f>
        <v>RTPNL</v>
      </c>
      <c r="B929" t="str">
        <f>IFERROR(__xludf.DUMMYFUNCTION("""COMPUTED_VALUE"""),"VerifyL1L2PanelRTPNL")</f>
        <v>VerifyL1L2PanelRTPNL</v>
      </c>
      <c r="C929" t="str">
        <f>IFERROR(__xludf.DUMMYFUNCTION("""COMPUTED_VALUE"""),"1cQo_rX9O9XHFILj0ICV1GAU_RdtTKYlclT20jg9G7hg")</f>
        <v>1cQo_rX9O9XHFILj0ICV1GAU_RdtTKYlclT20jg9G7hg</v>
      </c>
    </row>
    <row r="930" ht="15.75" customHeight="1">
      <c r="A930" t="str">
        <f>IFERROR(__xludf.DUMMYFUNCTION("""COMPUTED_VALUE"""),"Blotter")</f>
        <v>Blotter</v>
      </c>
      <c r="B930" t="str">
        <f>IFERROR(__xludf.DUMMYFUNCTION("""COMPUTED_VALUE"""),"CaptureHotButtonDetails")</f>
        <v>CaptureHotButtonDetails</v>
      </c>
      <c r="C930" t="str">
        <f>IFERROR(__xludf.DUMMYFUNCTION("""COMPUTED_VALUE"""),"16Dail-EoPWyIhwRzxyvr-EY1IE8jJTUQDarvGnXioxI")</f>
        <v>16Dail-EoPWyIhwRzxyvr-EY1IE8jJTUQDarvGnXioxI</v>
      </c>
    </row>
    <row r="931" ht="15.75" customHeight="1">
      <c r="A931" t="str">
        <f>IFERROR(__xludf.DUMMYFUNCTION("""COMPUTED_VALUE"""),"SymbolLookup")</f>
        <v>SymbolLookup</v>
      </c>
      <c r="B931" t="str">
        <f>IFERROR(__xludf.DUMMYFUNCTION("""COMPUTED_VALUE"""),"EditSMGrid")</f>
        <v>EditSMGrid</v>
      </c>
      <c r="C931" t="str">
        <f>IFERROR(__xludf.DUMMYFUNCTION("""COMPUTED_VALUE"""),"14aTeLjmUbS-nhaQwjtZAMGxdQ5DS6UsBjE5OTWN-LQU")</f>
        <v>14aTeLjmUbS-nhaQwjtZAMGxdQ5DS6UsBjE5OTWN-LQU</v>
      </c>
    </row>
    <row r="932" ht="15.75" customHeight="1">
      <c r="A932" t="str">
        <f>IFERROR(__xludf.DUMMYFUNCTION("""COMPUTED_VALUE"""),"QTT")</f>
        <v>QTT</v>
      </c>
      <c r="B932" t="str">
        <f>IFERROR(__xludf.DUMMYFUNCTION("""COMPUTED_VALUE"""),"EditQuickPreference")</f>
        <v>EditQuickPreference</v>
      </c>
      <c r="C932" t="str">
        <f>IFERROR(__xludf.DUMMYFUNCTION("""COMPUTED_VALUE"""),"133vNW3loXmIKhcuaiCwGIGXOULCttZuJZtPfA4s37vw")</f>
        <v>133vNW3loXmIKhcuaiCwGIGXOULCttZuJZtPfA4s37vw</v>
      </c>
    </row>
    <row r="933" ht="15.75" customHeight="1">
      <c r="A933" t="str">
        <f>IFERROR(__xludf.DUMMYFUNCTION("""COMPUTED_VALUE"""),"Blotter")</f>
        <v>Blotter</v>
      </c>
      <c r="B933" t="str">
        <f>IFERROR(__xludf.DUMMYFUNCTION("""COMPUTED_VALUE"""),"RightClickActionVerification")</f>
        <v>RightClickActionVerification</v>
      </c>
      <c r="C933" t="str">
        <f>IFERROR(__xludf.DUMMYFUNCTION("""COMPUTED_VALUE"""),"11EX1Ln-BQAtx9NTd9zfcaia52FGNdZENDW2kwMCJ8HQ")</f>
        <v>11EX1Ln-BQAtx9NTd9zfcaia52FGNdZENDW2kwMCJ8HQ</v>
      </c>
    </row>
    <row r="934" ht="15.75" customHeight="1">
      <c r="A934" t="str">
        <f>IFERROR(__xludf.DUMMYFUNCTION("""COMPUTED_VALUE"""),"SymbolLookup")</f>
        <v>SymbolLookup</v>
      </c>
      <c r="B934" t="str">
        <f>IFERROR(__xludf.DUMMYFUNCTION("""COMPUTED_VALUE"""),"PageOneDetails")</f>
        <v>PageOneDetails</v>
      </c>
      <c r="C934" t="str">
        <f>IFERROR(__xludf.DUMMYFUNCTION("""COMPUTED_VALUE"""),"11EX1Ln-BQAtx9NTd9zfcaia52FGNdZENDW2kwMCJ8HQ")</f>
        <v>11EX1Ln-BQAtx9NTd9zfcaia52FGNdZENDW2kwMCJ8HQ</v>
      </c>
    </row>
    <row r="935" ht="15.75" customHeight="1">
      <c r="A935" t="str">
        <f>IFERROR(__xludf.DUMMYFUNCTION("""COMPUTED_VALUE"""),"SymbolLookup")</f>
        <v>SymbolLookup</v>
      </c>
      <c r="B935" t="str">
        <f>IFERROR(__xludf.DUMMYFUNCTION("""COMPUTED_VALUE"""),"ActionOnSI")</f>
        <v>ActionOnSI</v>
      </c>
      <c r="C935" t="str">
        <f>IFERROR(__xludf.DUMMYFUNCTION("""COMPUTED_VALUE"""),"11EX1Ln-BQAtx9NTd9zfcaia52FGNdZENDW2kwMCJ8HQ")</f>
        <v>11EX1Ln-BQAtx9NTd9zfcaia52FGNdZENDW2kwMCJ8HQ</v>
      </c>
    </row>
    <row r="936" ht="15.75" customHeight="1">
      <c r="A936" t="str">
        <f>IFERROR(__xludf.DUMMYFUNCTION("""COMPUTED_VALUE"""),"SymbolLookup")</f>
        <v>SymbolLookup</v>
      </c>
      <c r="B936" t="str">
        <f>IFERROR(__xludf.DUMMYFUNCTION("""COMPUTED_VALUE"""),"PageTwoDetails")</f>
        <v>PageTwoDetails</v>
      </c>
      <c r="C936" t="str">
        <f>IFERROR(__xludf.DUMMYFUNCTION("""COMPUTED_VALUE"""),"11EX1Ln-BQAtx9NTd9zfcaia52FGNdZENDW2kwMCJ8HQ")</f>
        <v>11EX1Ln-BQAtx9NTd9zfcaia52FGNdZENDW2kwMCJ8HQ</v>
      </c>
    </row>
    <row r="937" ht="15.75" customHeight="1">
      <c r="A937" t="str">
        <f>IFERROR(__xludf.DUMMYFUNCTION("""COMPUTED_VALUE"""),"SymbolLookup")</f>
        <v>SymbolLookup</v>
      </c>
      <c r="B937" t="str">
        <f>IFERROR(__xludf.DUMMYFUNCTION("""COMPUTED_VALUE"""),"ActiononSMPane")</f>
        <v>ActiononSMPane</v>
      </c>
      <c r="C937" t="str">
        <f>IFERROR(__xludf.DUMMYFUNCTION("""COMPUTED_VALUE"""),"11EX1Ln-BQAtx9NTd9zfcaia52FGNdZENDW2kwMCJ8HQ")</f>
        <v>11EX1Ln-BQAtx9NTd9zfcaia52FGNdZENDW2kwMCJ8HQ</v>
      </c>
    </row>
    <row r="938" ht="15.75" customHeight="1">
      <c r="A938" t="str">
        <f>IFERROR(__xludf.DUMMYFUNCTION("""COMPUTED_VALUE"""),"SymbolLookup")</f>
        <v>SymbolLookup</v>
      </c>
      <c r="B938" t="str">
        <f>IFERROR(__xludf.DUMMYFUNCTION("""COMPUTED_VALUE"""),"PageThreeDetails")</f>
        <v>PageThreeDetails</v>
      </c>
      <c r="C938" t="str">
        <f>IFERROR(__xludf.DUMMYFUNCTION("""COMPUTED_VALUE"""),"11EX1Ln-BQAtx9NTd9zfcaia52FGNdZENDW2kwMCJ8HQ")</f>
        <v>11EX1Ln-BQAtx9NTd9zfcaia52FGNdZENDW2kwMCJ8HQ</v>
      </c>
    </row>
    <row r="939" ht="15.75" customHeight="1">
      <c r="A939" t="str">
        <f>IFERROR(__xludf.DUMMYFUNCTION("""COMPUTED_VALUE"""),"SymbolLookup")</f>
        <v>SymbolLookup</v>
      </c>
      <c r="B939" t="str">
        <f>IFERROR(__xludf.DUMMYFUNCTION("""COMPUTED_VALUE"""),"VerifySMGrid")</f>
        <v>VerifySMGrid</v>
      </c>
      <c r="C939" t="str">
        <f>IFERROR(__xludf.DUMMYFUNCTION("""COMPUTED_VALUE"""),"11EX1Ln-BQAtx9NTd9zfcaia52FGNdZENDW2kwMCJ8HQ")</f>
        <v>11EX1Ln-BQAtx9NTd9zfcaia52FGNdZENDW2kwMCJ8HQ</v>
      </c>
    </row>
    <row r="940" ht="15.75" customHeight="1">
      <c r="A940" t="str">
        <f>IFERROR(__xludf.DUMMYFUNCTION("""COMPUTED_VALUE"""),"SymbolLookup")</f>
        <v>SymbolLookup</v>
      </c>
      <c r="B940" t="str">
        <f>IFERROR(__xludf.DUMMYFUNCTION("""COMPUTED_VALUE"""),"PageFourDetails")</f>
        <v>PageFourDetails</v>
      </c>
      <c r="C940" t="str">
        <f>IFERROR(__xludf.DUMMYFUNCTION("""COMPUTED_VALUE"""),"11EX1Ln-BQAtx9NTd9zfcaia52FGNdZENDW2kwMCJ8HQ")</f>
        <v>11EX1Ln-BQAtx9NTd9zfcaia52FGNdZENDW2kwMCJ8HQ</v>
      </c>
    </row>
    <row r="941" ht="15.75" customHeight="1">
      <c r="A941" t="str">
        <f>IFERROR(__xludf.DUMMYFUNCTION("""COMPUTED_VALUE"""),"Admin")</f>
        <v>Admin</v>
      </c>
      <c r="B941" t="str">
        <f>IFERROR(__xludf.DUMMYFUNCTION("""COMPUTED_VALUE"""),"ChangeDate")</f>
        <v>ChangeDate</v>
      </c>
      <c r="C941" t="str">
        <f>IFERROR(__xludf.DUMMYFUNCTION("""COMPUTED_VALUE"""),"1P5fd0ftHTs8WR6XF70cltzN5BPur7V01OcYEMpPEMVE")</f>
        <v>1P5fd0ftHTs8WR6XF70cltzN5BPur7V01OcYEMpPEMVE</v>
      </c>
    </row>
    <row r="942" ht="15.75" customHeight="1">
      <c r="A942" t="str">
        <f>IFERROR(__xludf.DUMMYFUNCTION("""COMPUTED_VALUE"""),"Simulator")</f>
        <v>Simulator</v>
      </c>
      <c r="B942" t="str">
        <f>IFERROR(__xludf.DUMMYFUNCTION("""COMPUTED_VALUE"""),"NewAcknowledgeTrade")</f>
        <v>NewAcknowledgeTrade</v>
      </c>
      <c r="C942" t="str">
        <f>IFERROR(__xludf.DUMMYFUNCTION("""COMPUTED_VALUE"""),"1H8R-FdslnMhiBZjAanQN5V9z26E47VjoaeJWQdGZ2pU")</f>
        <v>1H8R-FdslnMhiBZjAanQN5V9z26E47VjoaeJWQdGZ2pU</v>
      </c>
    </row>
    <row r="943" ht="15.75" customHeight="1">
      <c r="A943" t="str">
        <f>IFERROR(__xludf.DUMMYFUNCTION("""COMPUTED_VALUE"""),"Allocation")</f>
        <v>Allocation</v>
      </c>
      <c r="B943" t="str">
        <f>IFERROR(__xludf.DUMMYFUNCTION("""COMPUTED_VALUE"""),"ActionOnToolBar")</f>
        <v>ActionOnToolBar</v>
      </c>
      <c r="C943" t="str">
        <f>IFERROR(__xludf.DUMMYFUNCTION("""COMPUTED_VALUE"""),"11EX1Ln-BQAtx9NTd9zfcaia52FGNdZENDW2kwMCJ8HQ")</f>
        <v>11EX1Ln-BQAtx9NTd9zfcaia52FGNdZENDW2kwMCJ8HQ</v>
      </c>
    </row>
    <row r="944" ht="15.75" customHeight="1">
      <c r="A944" t="str">
        <f>IFERROR(__xludf.DUMMYFUNCTION("""COMPUTED_VALUE"""),"Allocation")</f>
        <v>Allocation</v>
      </c>
      <c r="B944" t="str">
        <f>IFERROR(__xludf.DUMMYFUNCTION("""COMPUTED_VALUE"""),"AutoGrpRules")</f>
        <v>AutoGrpRules</v>
      </c>
      <c r="C944" t="str">
        <f>IFERROR(__xludf.DUMMYFUNCTION("""COMPUTED_VALUE"""),"11EX1Ln-BQAtx9NTd9zfcaia52FGNdZENDW2kwMCJ8HQ")</f>
        <v>11EX1Ln-BQAtx9NTd9zfcaia52FGNdZENDW2kwMCJ8HQ</v>
      </c>
    </row>
    <row r="945" ht="15.75" customHeight="1">
      <c r="A945" t="str">
        <f>IFERROR(__xludf.DUMMYFUNCTION("""COMPUTED_VALUE"""),"Allocation")</f>
        <v>Allocation</v>
      </c>
      <c r="B945" t="str">
        <f>IFERROR(__xludf.DUMMYFUNCTION("""COMPUTED_VALUE"""),"VerifyToggleStateTA")</f>
        <v>VerifyToggleStateTA</v>
      </c>
      <c r="C945" t="str">
        <f>IFERROR(__xludf.DUMMYFUNCTION("""COMPUTED_VALUE"""),"11EX1Ln-BQAtx9NTd9zfcaia52FGNdZENDW2kwMCJ8HQ")</f>
        <v>11EX1Ln-BQAtx9NTd9zfcaia52FGNdZENDW2kwMCJ8HQ</v>
      </c>
    </row>
    <row r="946" ht="15.75" customHeight="1">
      <c r="A946" t="str">
        <f>IFERROR(__xludf.DUMMYFUNCTION("""COMPUTED_VALUE"""),"Expnl")</f>
        <v>Expnl</v>
      </c>
      <c r="B946" t="str">
        <f>IFERROR(__xludf.DUMMYFUNCTION("""COMPUTED_VALUE"""),"RefreshExpnlUi")</f>
        <v>RefreshExpnlUi</v>
      </c>
      <c r="C946" t="str">
        <f>IFERROR(__xludf.DUMMYFUNCTION("""COMPUTED_VALUE"""),"Undefined")</f>
        <v>Undefined</v>
      </c>
    </row>
    <row r="947" ht="15.75" customHeight="1">
      <c r="A947" t="str">
        <f>IFERROR(__xludf.DUMMYFUNCTION("""COMPUTED_VALUE"""),"Allocation")</f>
        <v>Allocation</v>
      </c>
      <c r="B947" t="str">
        <f>IFERROR(__xludf.DUMMYFUNCTION("""COMPUTED_VALUE"""),"ActiononAGP")</f>
        <v>ActiononAGP</v>
      </c>
      <c r="C947" t="str">
        <f>IFERROR(__xludf.DUMMYFUNCTION("""COMPUTED_VALUE"""),"11EX1Ln-BQAtx9NTd9zfcaia52FGNdZENDW2kwMCJ8HQ")</f>
        <v>11EX1Ln-BQAtx9NTd9zfcaia52FGNdZENDW2kwMCJ8HQ</v>
      </c>
    </row>
    <row r="948" ht="15.75" customHeight="1">
      <c r="A948" t="str">
        <f>IFERROR(__xludf.DUMMYFUNCTION("""COMPUTED_VALUE"""),"Allocation")</f>
        <v>Allocation</v>
      </c>
      <c r="B948" t="str">
        <f>IFERROR(__xludf.DUMMYFUNCTION("""COMPUTED_VALUE"""),"AttBulkChng")</f>
        <v>AttBulkChng</v>
      </c>
      <c r="C948" t="str">
        <f>IFERROR(__xludf.DUMMYFUNCTION("""COMPUTED_VALUE"""),"11EX1Ln-BQAtx9NTd9zfcaia52FGNdZENDW2kwMCJ8HQ")</f>
        <v>11EX1Ln-BQAtx9NTd9zfcaia52FGNdZENDW2kwMCJ8HQ</v>
      </c>
    </row>
    <row r="949" ht="15.75" customHeight="1">
      <c r="A949" t="str">
        <f>IFERROR(__xludf.DUMMYFUNCTION("""COMPUTED_VALUE"""),"Allocation")</f>
        <v>Allocation</v>
      </c>
      <c r="B949" t="str">
        <f>IFERROR(__xludf.DUMMYFUNCTION("""COMPUTED_VALUE"""),"AttBulkChngTwo")</f>
        <v>AttBulkChngTwo</v>
      </c>
      <c r="C949" t="str">
        <f>IFERROR(__xludf.DUMMYFUNCTION("""COMPUTED_VALUE"""),"11EX1Ln-BQAtx9NTd9zfcaia52FGNdZENDW2kwMCJ8HQ")</f>
        <v>11EX1Ln-BQAtx9NTd9zfcaia52FGNdZENDW2kwMCJ8HQ</v>
      </c>
    </row>
    <row r="950" ht="15.75" customHeight="1">
      <c r="A950" t="str">
        <f>IFERROR(__xludf.DUMMYFUNCTION("""COMPUTED_VALUE"""),"Login")</f>
        <v>Login</v>
      </c>
      <c r="B950" t="str">
        <f>IFERROR(__xludf.DUMMYFUNCTION("""COMPUTED_VALUE"""),"Login")</f>
        <v>Login</v>
      </c>
      <c r="C950" t="str">
        <f>IFERROR(__xludf.DUMMYFUNCTION("""COMPUTED_VALUE"""),"1uy63r2XjpUIBlAUk-lXKJTr-PpvpP6wxvLlLDzoM-Ic")</f>
        <v>1uy63r2XjpUIBlAUk-lXKJTr-PpvpP6wxvLlLDzoM-Ic</v>
      </c>
    </row>
    <row r="951" ht="15.75" customHeight="1">
      <c r="A951" t="str">
        <f>IFERROR(__xludf.DUMMYFUNCTION("""COMPUTED_VALUE"""),"Simulator")</f>
        <v>Simulator</v>
      </c>
      <c r="B951" t="str">
        <f>IFERROR(__xludf.DUMMYFUNCTION("""COMPUTED_VALUE"""),"VerifyRowAllFixLogs")</f>
        <v>VerifyRowAllFixLogs</v>
      </c>
      <c r="C951" t="str">
        <f>IFERROR(__xludf.DUMMYFUNCTION("""COMPUTED_VALUE"""),"1_W_DB1rnbV-zXf1aqv8VkPNpTGPIckmD7s5z0ncm4ho")</f>
        <v>1_W_DB1rnbV-zXf1aqv8VkPNpTGPIckmD7s5z0ncm4ho</v>
      </c>
    </row>
    <row r="952" ht="15.75" customHeight="1">
      <c r="A952" t="str">
        <f>IFERROR(__xludf.DUMMYFUNCTION("""COMPUTED_VALUE"""),"Blotter")</f>
        <v>Blotter</v>
      </c>
      <c r="B952" t="str">
        <f>IFERROR(__xludf.DUMMYFUNCTION("""COMPUTED_VALUE"""),"ManageHotButton")</f>
        <v>ManageHotButton</v>
      </c>
      <c r="C952" t="str">
        <f>IFERROR(__xludf.DUMMYFUNCTION("""COMPUTED_VALUE"""),"1kQpkPRi_1u4R3VazjhiilbOI8OkiiHRY2wfgByau1YY")</f>
        <v>1kQpkPRi_1u4R3VazjhiilbOI8OkiiHRY2wfgByau1YY</v>
      </c>
    </row>
    <row r="953" ht="15.75" customHeight="1">
      <c r="A953" t="str">
        <f>IFERROR(__xludf.DUMMYFUNCTION("""COMPUTED_VALUE"""),"Simulator")</f>
        <v>Simulator</v>
      </c>
      <c r="B953" t="str">
        <f>IFERROR(__xludf.DUMMYFUNCTION("""COMPUTED_VALUE"""),"ClearAllFixLogs")</f>
        <v>ClearAllFixLogs</v>
      </c>
    </row>
    <row r="954" ht="15.75" customHeight="1">
      <c r="A954" t="str">
        <f>IFERROR(__xludf.DUMMYFUNCTION("""COMPUTED_VALUE"""),"PranaClient")</f>
        <v>PranaClient</v>
      </c>
      <c r="B954" t="str">
        <f>IFERROR(__xludf.DUMMYFUNCTION("""COMPUTED_VALUE"""),"UpdateLiveExcelSheetForRTPNL")</f>
        <v>UpdateLiveExcelSheetForRTPNL</v>
      </c>
    </row>
    <row r="955" ht="15.75" customHeight="1">
      <c r="A955" t="str">
        <f>IFERROR(__xludf.DUMMYFUNCTION("""COMPUTED_VALUE"""),"OpenFin")</f>
        <v>OpenFin</v>
      </c>
      <c r="B955" t="str">
        <f>IFERROR(__xludf.DUMMYFUNCTION("""COMPUTED_VALUE"""),"SavePageRTPNL")</f>
        <v>SavePageRTPNL</v>
      </c>
      <c r="C955" t="str">
        <f>IFERROR(__xludf.DUMMYFUNCTION("""COMPUTED_VALUE"""),"1YqhSG4yXo70SfhUq3fYD9CKf-eg44IFJ37IZh4WLI84")</f>
        <v>1YqhSG4yXo70SfhUq3fYD9CKf-eg44IFJ37IZh4WLI84</v>
      </c>
    </row>
    <row r="956" ht="15.75" customHeight="1">
      <c r="A956" t="str">
        <f>IFERROR(__xludf.DUMMYFUNCTION("""COMPUTED_VALUE"""),"RTPNL")</f>
        <v>RTPNL</v>
      </c>
      <c r="B956" t="str">
        <f>IFERROR(__xludf.DUMMYFUNCTION("""COMPUTED_VALUE"""),"VerifyGridThroughLiveExcel")</f>
        <v>VerifyGridThroughLiveExcel</v>
      </c>
      <c r="C956" t="str">
        <f>IFERROR(__xludf.DUMMYFUNCTION("""COMPUTED_VALUE"""),"1cCUw9lchUCKgHeNcwCDXybCOZXIeN4O0zRhkTZCVDUg")</f>
        <v>1cCUw9lchUCKgHeNcwCDXybCOZXIeN4O0zRhkTZCVDUg</v>
      </c>
    </row>
    <row r="957" ht="15.75" customHeight="1">
      <c r="A957" t="str">
        <f>IFERROR(__xludf.DUMMYFUNCTION("""COMPUTED_VALUE"""),"OpenFin")</f>
        <v>OpenFin</v>
      </c>
      <c r="B957" t="str">
        <f>IFERROR(__xludf.DUMMYFUNCTION("""COMPUTED_VALUE"""),"VerifyToastMessage")</f>
        <v>VerifyToastMessage</v>
      </c>
      <c r="C957" t="str">
        <f>IFERROR(__xludf.DUMMYFUNCTION("""COMPUTED_VALUE"""),"1DYn70fZ-UJ9bocMMWUWIW2IVfXlF5TRVuLedi7Y_LNk")</f>
        <v>1DYn70fZ-UJ9bocMMWUWIW2IVfXlF5TRVuLedi7Y_LNk</v>
      </c>
    </row>
    <row r="958" ht="15.75" customHeight="1">
      <c r="A958" t="str">
        <f>IFERROR(__xludf.DUMMYFUNCTION("""COMPUTED_VALUE"""),"NavLock")</f>
        <v>NavLock</v>
      </c>
      <c r="B958" t="str">
        <f>IFERROR(__xludf.DUMMYFUNCTION("""COMPUTED_VALUE"""),"VerifyNavLockGrid")</f>
        <v>VerifyNavLockGrid</v>
      </c>
      <c r="C958" t="str">
        <f>IFERROR(__xludf.DUMMYFUNCTION("""COMPUTED_VALUE"""),"11EX1Ln-BQAtx9NTd9zfcaia52FGNdZENDW2kwMCJ8HQ")</f>
        <v>11EX1Ln-BQAtx9NTd9zfcaia52FGNdZENDW2kwMCJ8HQ</v>
      </c>
    </row>
    <row r="959" ht="15.75" customHeight="1">
      <c r="A959" t="str">
        <f>IFERROR(__xludf.DUMMYFUNCTION("""COMPUTED_VALUE"""),"RTPNL")</f>
        <v>RTPNL</v>
      </c>
      <c r="B959" t="str">
        <f>IFERROR(__xludf.DUMMYFUNCTION("""COMPUTED_VALUE"""),"ApplyColumnFilter")</f>
        <v>ApplyColumnFilter</v>
      </c>
      <c r="C959" t="str">
        <f>IFERROR(__xludf.DUMMYFUNCTION("""COMPUTED_VALUE"""),"1N9Nn6t5kuoUpj5sQRZwukYuXz8skh2F7E53j1Um1W1A")</f>
        <v>1N9Nn6t5kuoUpj5sQRZwukYuXz8skh2F7E53j1Um1W1A</v>
      </c>
    </row>
    <row r="960" ht="15.75" customHeight="1">
      <c r="A960" t="str">
        <f>IFERROR(__xludf.DUMMYFUNCTION("""COMPUTED_VALUE"""),"Closing")</f>
        <v>Closing</v>
      </c>
      <c r="B960" t="str">
        <f>IFERROR(__xludf.DUMMYFUNCTION("""COMPUTED_VALUE"""),"GetClosingData")</f>
        <v>GetClosingData</v>
      </c>
      <c r="C960" t="str">
        <f>IFERROR(__xludf.DUMMYFUNCTION("""COMPUTED_VALUE"""),"11EX1Ln-BQAtx9NTd9zfcaia52FGNdZENDW2kwMCJ9HQ")</f>
        <v>11EX1Ln-BQAtx9NTd9zfcaia52FGNdZENDW2kwMCJ9HQ</v>
      </c>
    </row>
    <row r="961" ht="15.75" customHeight="1">
      <c r="A961" t="str">
        <f>IFERROR(__xludf.DUMMYFUNCTION("""COMPUTED_VALUE"""),"Closing")</f>
        <v>Closing</v>
      </c>
      <c r="B961" t="str">
        <f>IFERROR(__xludf.DUMMYFUNCTION("""COMPUTED_VALUE"""),"CloseAmendOprtn")</f>
        <v>CloseAmendOprtn</v>
      </c>
      <c r="C961" t="str">
        <f>IFERROR(__xludf.DUMMYFUNCTION("""COMPUTED_VALUE"""),"11EX1Ln-BQAtx9NTd9zfcaia52FGNdZENDW2kwMCJ10HQ")</f>
        <v>11EX1Ln-BQAtx9NTd9zfcaia52FGNdZENDW2kwMCJ10HQ</v>
      </c>
    </row>
    <row r="962" ht="15.75" customHeight="1">
      <c r="A962" t="str">
        <f>IFERROR(__xludf.DUMMYFUNCTION("""COMPUTED_VALUE"""),"Closing")</f>
        <v>Closing</v>
      </c>
      <c r="B962" t="str">
        <f>IFERROR(__xludf.DUMMYFUNCTION("""COMPUTED_VALUE"""),"ExpSettlOprtn")</f>
        <v>ExpSettlOprtn</v>
      </c>
      <c r="C962" t="str">
        <f>IFERROR(__xludf.DUMMYFUNCTION("""COMPUTED_VALUE"""),"11EX1Ln-BQAtx9NTd9zfcaia52FGNdZENDW2kwMCJ11HQ")</f>
        <v>11EX1Ln-BQAtx9NTd9zfcaia52FGNdZENDW2kwMCJ11HQ</v>
      </c>
    </row>
    <row r="963" ht="15.75" customHeight="1">
      <c r="A963" t="str">
        <f>IFERROR(__xludf.DUMMYFUNCTION("""COMPUTED_VALUE"""),"Closing")</f>
        <v>Closing</v>
      </c>
      <c r="B963" t="str">
        <f>IFERROR(__xludf.DUMMYFUNCTION("""COMPUTED_VALUE"""),"CloseOrderOprtn")</f>
        <v>CloseOrderOprtn</v>
      </c>
      <c r="C963" t="str">
        <f>IFERROR(__xludf.DUMMYFUNCTION("""COMPUTED_VALUE"""),"11EX1Ln-BQAtx9NTd9zfcaia52FGNdZENDW2kwMCJ12HQ")</f>
        <v>11EX1Ln-BQAtx9NTd9zfcaia52FGNdZENDW2kwMCJ12HQ</v>
      </c>
    </row>
    <row r="964" ht="15.75" customHeight="1">
      <c r="A964" t="str">
        <f>IFERROR(__xludf.DUMMYFUNCTION("""COMPUTED_VALUE"""),"Closing")</f>
        <v>Closing</v>
      </c>
      <c r="B964" t="str">
        <f>IFERROR(__xludf.DUMMYFUNCTION("""COMPUTED_VALUE"""),"SelectgrdCloseTrades")</f>
        <v>SelectgrdCloseTrades</v>
      </c>
      <c r="C964" t="str">
        <f>IFERROR(__xludf.DUMMYFUNCTION("""COMPUTED_VALUE"""),"11EX1Ln-BQAtx9NTd9zfcaia52FGNdZENDW2kwMCJ13HQ")</f>
        <v>11EX1Ln-BQAtx9NTd9zfcaia52FGNdZENDW2kwMCJ13HQ</v>
      </c>
    </row>
    <row r="965" ht="15.75" customHeight="1">
      <c r="A965" t="str">
        <f>IFERROR(__xludf.DUMMYFUNCTION("""COMPUTED_VALUE"""),"Closing")</f>
        <v>Closing</v>
      </c>
      <c r="B965" t="str">
        <f>IFERROR(__xludf.DUMMYFUNCTION("""COMPUTED_VALUE"""),"SelectgrdLongTrades")</f>
        <v>SelectgrdLongTrades</v>
      </c>
      <c r="C965" t="str">
        <f>IFERROR(__xludf.DUMMYFUNCTION("""COMPUTED_VALUE"""),"11EX1Ln-BQAtx9NTd9zfcaia52FGNdZENDW2kwMCJ14HQ")</f>
        <v>11EX1Ln-BQAtx9NTd9zfcaia52FGNdZENDW2kwMCJ14HQ</v>
      </c>
    </row>
    <row r="966" ht="15.75" customHeight="1">
      <c r="A966" t="str">
        <f>IFERROR(__xludf.DUMMYFUNCTION("""COMPUTED_VALUE"""),"Closing")</f>
        <v>Closing</v>
      </c>
      <c r="B966" t="str">
        <f>IFERROR(__xludf.DUMMYFUNCTION("""COMPUTED_VALUE"""),"SelectgrdShortTrades")</f>
        <v>SelectgrdShortTrades</v>
      </c>
      <c r="C966" t="str">
        <f>IFERROR(__xludf.DUMMYFUNCTION("""COMPUTED_VALUE"""),"11EX1Ln-BQAtx9NTd9zfcaia52FGNdZENDW2kwMCJ15HQ")</f>
        <v>11EX1Ln-BQAtx9NTd9zfcaia52FGNdZENDW2kwMCJ15HQ</v>
      </c>
    </row>
    <row r="967" ht="15.75" customHeight="1">
      <c r="A967" t="str">
        <f>IFERROR(__xludf.DUMMYFUNCTION("""COMPUTED_VALUE"""),"Closing")</f>
        <v>Closing</v>
      </c>
      <c r="B967" t="str">
        <f>IFERROR(__xludf.DUMMYFUNCTION("""COMPUTED_VALUE"""),"SelectgrdNetPositionTrades")</f>
        <v>SelectgrdNetPositionTrades</v>
      </c>
      <c r="C967" t="str">
        <f>IFERROR(__xludf.DUMMYFUNCTION("""COMPUTED_VALUE"""),"11EX1Ln-BQAtx9NTd9zfcaia52FGNdZENDW2kwMCJ16HQ")</f>
        <v>11EX1Ln-BQAtx9NTd9zfcaia52FGNdZENDW2kwMCJ16HQ</v>
      </c>
    </row>
    <row r="968" ht="15.75" customHeight="1">
      <c r="A968" t="str">
        <f>IFERROR(__xludf.DUMMYFUNCTION("""COMPUTED_VALUE"""),"Closing")</f>
        <v>Closing</v>
      </c>
      <c r="B968" t="str">
        <f>IFERROR(__xludf.DUMMYFUNCTION("""COMPUTED_VALUE"""),"SelectgrdUnexpiredTrades")</f>
        <v>SelectgrdUnexpiredTrades</v>
      </c>
      <c r="C968" t="str">
        <f>IFERROR(__xludf.DUMMYFUNCTION("""COMPUTED_VALUE"""),"11EX1Ln-BQAtx9NTd9zfcaia52FGNdZENDW2kwMCJ17HQ")</f>
        <v>11EX1Ln-BQAtx9NTd9zfcaia52FGNdZENDW2kwMCJ17HQ</v>
      </c>
    </row>
    <row r="969" ht="15.75" customHeight="1">
      <c r="A969" t="str">
        <f>IFERROR(__xludf.DUMMYFUNCTION("""COMPUTED_VALUE"""),"Closing")</f>
        <v>Closing</v>
      </c>
      <c r="B969" t="str">
        <f>IFERROR(__xludf.DUMMYFUNCTION("""COMPUTED_VALUE"""),"SelectgrdCPTrades")</f>
        <v>SelectgrdCPTrades</v>
      </c>
      <c r="C969" t="str">
        <f>IFERROR(__xludf.DUMMYFUNCTION("""COMPUTED_VALUE"""),"11EX1Ln-BQAtx9NTd9zfcaia52FGNdZENDW2kwMCJ18HQ")</f>
        <v>11EX1Ln-BQAtx9NTd9zfcaia52FGNdZENDW2kwMCJ18HQ</v>
      </c>
    </row>
    <row r="970" ht="15.75" customHeight="1">
      <c r="A970" t="str">
        <f>IFERROR(__xludf.DUMMYFUNCTION("""COMPUTED_VALUE"""),"Closing")</f>
        <v>Closing</v>
      </c>
      <c r="B970" t="str">
        <f>IFERROR(__xludf.DUMMYFUNCTION("""COMPUTED_VALUE"""),"SelectgrdExpiredTrades")</f>
        <v>SelectgrdExpiredTrades</v>
      </c>
      <c r="C970" t="str">
        <f>IFERROR(__xludf.DUMMYFUNCTION("""COMPUTED_VALUE"""),"11EX1Ln-BQAtx9NTd9zfcaia52FGNdZENDW2kwMCJ19HQ")</f>
        <v>11EX1Ln-BQAtx9NTd9zfcaia52FGNdZENDW2kwMCJ19HQ</v>
      </c>
    </row>
    <row r="971" ht="15.75" customHeight="1">
      <c r="A971" t="str">
        <f>IFERROR(__xludf.DUMMYFUNCTION("""COMPUTED_VALUE"""),"Closing")</f>
        <v>Closing</v>
      </c>
      <c r="B971" t="str">
        <f>IFERROR(__xludf.DUMMYFUNCTION("""COMPUTED_VALUE"""),"SelectgrdOpenTrades")</f>
        <v>SelectgrdOpenTrades</v>
      </c>
      <c r="C971" t="str">
        <f>IFERROR(__xludf.DUMMYFUNCTION("""COMPUTED_VALUE"""),"11EX1Ln-BQAtx9NTd9zfcaia52FGNdZENDW2kwMCJ20HQ")</f>
        <v>11EX1Ln-BQAtx9NTd9zfcaia52FGNdZENDW2kwMCJ20HQ</v>
      </c>
    </row>
    <row r="972" ht="15.75" customHeight="1">
      <c r="A972" t="str">
        <f>IFERROR(__xludf.DUMMYFUNCTION("""COMPUTED_VALUE"""),"Closing")</f>
        <v>Closing</v>
      </c>
      <c r="B972" t="str">
        <f>IFERROR(__xludf.DUMMYFUNCTION("""COMPUTED_VALUE"""),"OperationsonClosing")</f>
        <v>OperationsonClosing</v>
      </c>
      <c r="C972" t="str">
        <f>IFERROR(__xludf.DUMMYFUNCTION("""COMPUTED_VALUE"""),"11EX1Ln-BQAtx9NTd9zfcaia52FGNdZENDW2kwMCJ21HQ")</f>
        <v>11EX1Ln-BQAtx9NTd9zfcaia52FGNdZENDW2kwMCJ21HQ</v>
      </c>
    </row>
    <row r="973" ht="15.75" customHeight="1">
      <c r="A973" t="str">
        <f>IFERROR(__xludf.DUMMYFUNCTION("""COMPUTED_VALUE"""),"Closing")</f>
        <v>Closing</v>
      </c>
      <c r="B973" t="str">
        <f>IFERROR(__xludf.DUMMYFUNCTION("""COMPUTED_VALUE"""),"GetClosingData")</f>
        <v>GetClosingData</v>
      </c>
      <c r="C973" t="str">
        <f>IFERROR(__xludf.DUMMYFUNCTION("""COMPUTED_VALUE"""),"11EX1Ln-BQAtx9NTd9zfcaia52FGNdZENDW2kwMCJ20HQ")</f>
        <v>11EX1Ln-BQAtx9NTd9zfcaia52FGNdZENDW2kwMCJ20HQ</v>
      </c>
    </row>
    <row r="974" ht="15.75" customHeight="1">
      <c r="A974" t="str">
        <f>IFERROR(__xludf.DUMMYFUNCTION("""COMPUTED_VALUE"""),"Closing")</f>
        <v>Closing</v>
      </c>
      <c r="B974" t="str">
        <f>IFERROR(__xludf.DUMMYFUNCTION("""COMPUTED_VALUE"""),"WizardOptions")</f>
        <v>WizardOptions</v>
      </c>
      <c r="C974" t="str">
        <f>IFERROR(__xludf.DUMMYFUNCTION("""COMPUTED_VALUE"""),"11EX1Ln-BQAtx9NTd9zfcaia52FGNdZENDW2kwMCJ21HQ")</f>
        <v>11EX1Ln-BQAtx9NTd9zfcaia52FGNdZENDW2kwMCJ21HQ</v>
      </c>
    </row>
    <row r="975" ht="15.75" customHeight="1">
      <c r="A975" t="str">
        <f>IFERROR(__xludf.DUMMYFUNCTION("""COMPUTED_VALUE"""),"Closing")</f>
        <v>Closing</v>
      </c>
      <c r="B975" t="str">
        <f>IFERROR(__xludf.DUMMYFUNCTION("""COMPUTED_VALUE"""),"ActionOnClosingWiz")</f>
        <v>ActionOnClosingWiz</v>
      </c>
      <c r="C975" t="str">
        <f>IFERROR(__xludf.DUMMYFUNCTION("""COMPUTED_VALUE"""),"11EX1Ln-BQAtx9NTd9zfcaia52FGNdZENDW2kwMCJ21HQ")</f>
        <v>11EX1Ln-BQAtx9NTd9zfcaia52FGNdZENDW2kwMCJ21HQ</v>
      </c>
    </row>
    <row r="976" ht="15.75" customHeight="1">
      <c r="A976" t="str">
        <f>IFERROR(__xludf.DUMMYFUNCTION("""COMPUTED_VALUE"""),"Allocation")</f>
        <v>Allocation</v>
      </c>
      <c r="B976" t="str">
        <f>IFERROR(__xludf.DUMMYFUNCTION("""COMPUTED_VALUE"""),"VerifyAttRenaming")</f>
        <v>VerifyAttRenaming</v>
      </c>
      <c r="C976" t="str">
        <f>IFERROR(__xludf.DUMMYFUNCTION("""COMPUTED_VALUE"""),"11EX1Ln-BQAtx9NTd9zfcaia52FGNdZENDW2kwMCJ21HQ")</f>
        <v>11EX1Ln-BQAtx9NTd9zfcaia52FGNdZENDW2kwMCJ21HQ</v>
      </c>
    </row>
    <row r="977" ht="15.75" customHeight="1">
      <c r="A977" t="str">
        <f>IFERROR(__xludf.DUMMYFUNCTION("""COMPUTED_VALUE"""),"NavLock")</f>
        <v>NavLock</v>
      </c>
      <c r="B977" t="str">
        <f>IFERROR(__xludf.DUMMYFUNCTION("""COMPUTED_VALUE"""),"DeleteRowNavLock")</f>
        <v>DeleteRowNavLock</v>
      </c>
      <c r="C977" t="str">
        <f>IFERROR(__xludf.DUMMYFUNCTION("""COMPUTED_VALUE"""),"11EX1Ln-BQAtx9NTd9zfcaia52FGNdZENDW2kwMCJ21HQ")</f>
        <v>11EX1Ln-BQAtx9NTd9zfcaia52FGNdZENDW2kwMCJ21HQ</v>
      </c>
    </row>
    <row r="978" ht="15.75" customHeight="1">
      <c r="A978" t="str">
        <f>IFERROR(__xludf.DUMMYFUNCTION("""COMPUTED_VALUE"""),"Closing")</f>
        <v>Closing</v>
      </c>
      <c r="B978" t="str">
        <f>IFERROR(__xludf.DUMMYFUNCTION("""COMPUTED_VALUE"""),"VerifyLongPositionsGrid")</f>
        <v>VerifyLongPositionsGrid</v>
      </c>
      <c r="C978" t="str">
        <f>IFERROR(__xludf.DUMMYFUNCTION("""COMPUTED_VALUE"""),"11EX1Ln-BQAtx9NTd9zfcaia52FGNdZENDW2kwMCJ14HQ")</f>
        <v>11EX1Ln-BQAtx9NTd9zfcaia52FGNdZENDW2kwMCJ14HQ</v>
      </c>
    </row>
    <row r="979" ht="15.75" customHeight="1">
      <c r="A979" t="str">
        <f>IFERROR(__xludf.DUMMYFUNCTION("""COMPUTED_VALUE"""),"Closing")</f>
        <v>Closing</v>
      </c>
      <c r="B979" t="str">
        <f>IFERROR(__xludf.DUMMYFUNCTION("""COMPUTED_VALUE"""),"VerifyShortPositionsGrid")</f>
        <v>VerifyShortPositionsGrid</v>
      </c>
      <c r="C979" t="str">
        <f>IFERROR(__xludf.DUMMYFUNCTION("""COMPUTED_VALUE"""),"11EX1Ln-BQAtx9NTd9zfcaia52FGNdZENDW2kwMCJ15HQ")</f>
        <v>11EX1Ln-BQAtx9NTd9zfcaia52FGNdZENDW2kwMCJ15HQ</v>
      </c>
    </row>
    <row r="980" ht="15.75" customHeight="1">
      <c r="A980" t="str">
        <f>IFERROR(__xludf.DUMMYFUNCTION("""COMPUTED_VALUE"""),"Closing")</f>
        <v>Closing</v>
      </c>
      <c r="B980" t="str">
        <f>IFERROR(__xludf.DUMMYFUNCTION("""COMPUTED_VALUE"""),"VerifyClosedTrades")</f>
        <v>VerifyClosedTrades</v>
      </c>
      <c r="C980" t="str">
        <f>IFERROR(__xludf.DUMMYFUNCTION("""COMPUTED_VALUE"""),"11EX1Ln-BQAtx9NTd9zfcaia52FGNdZENDW2kwMCJ16HQ")</f>
        <v>11EX1Ln-BQAtx9NTd9zfcaia52FGNdZENDW2kwMCJ16HQ</v>
      </c>
    </row>
    <row r="981" ht="15.75" customHeight="1">
      <c r="A981" t="str">
        <f>IFERROR(__xludf.DUMMYFUNCTION("""COMPUTED_VALUE"""),"Closing")</f>
        <v>Closing</v>
      </c>
      <c r="B981" t="str">
        <f>IFERROR(__xludf.DUMMYFUNCTION("""COMPUTED_VALUE"""),"CloseAmendOprtn")</f>
        <v>CloseAmendOprtn</v>
      </c>
      <c r="C981" t="str">
        <f>IFERROR(__xludf.DUMMYFUNCTION("""COMPUTED_VALUE"""),"11EX1Ln-BQAtx9NTd9zfcaia52FGNdZENDW2kwMCJ17HQ")</f>
        <v>11EX1Ln-BQAtx9NTd9zfcaia52FGNdZENDW2kwMCJ17HQ</v>
      </c>
    </row>
    <row r="982" ht="15.75" customHeight="1">
      <c r="A982" t="str">
        <f>IFERROR(__xludf.DUMMYFUNCTION("""COMPUTED_VALUE"""),"Closing")</f>
        <v>Closing</v>
      </c>
      <c r="B982" t="str">
        <f>IFERROR(__xludf.DUMMYFUNCTION("""COMPUTED_VALUE"""),"ExpSettlOprtn")</f>
        <v>ExpSettlOprtn</v>
      </c>
      <c r="C982" t="str">
        <f>IFERROR(__xludf.DUMMYFUNCTION("""COMPUTED_VALUE"""),"11EX1Ln-BQAtx9NTd9zfcaia52FGNdZENDW2kwMCJ18HQ")</f>
        <v>11EX1Ln-BQAtx9NTd9zfcaia52FGNdZENDW2kwMCJ18HQ</v>
      </c>
    </row>
    <row r="983" ht="15.75" customHeight="1">
      <c r="A983" t="str">
        <f>IFERROR(__xludf.DUMMYFUNCTION("""COMPUTED_VALUE"""),"Closing")</f>
        <v>Closing</v>
      </c>
      <c r="B983" t="str">
        <f>IFERROR(__xludf.DUMMYFUNCTION("""COMPUTED_VALUE"""),"ActionOnExpGrid")</f>
        <v>ActionOnExpGrid</v>
      </c>
      <c r="C983" t="str">
        <f>IFERROR(__xludf.DUMMYFUNCTION("""COMPUTED_VALUE"""),"11EX1Ln-BQAtx9NTd9zfcaia52FGNdZENDW2kwMCJ19HQ")</f>
        <v>11EX1Ln-BQAtx9NTd9zfcaia52FGNdZENDW2kwMCJ19HQ</v>
      </c>
    </row>
    <row r="984" ht="15.75" customHeight="1">
      <c r="A984" t="str">
        <f>IFERROR(__xludf.DUMMYFUNCTION("""COMPUTED_VALUE"""),"Closing")</f>
        <v>Closing</v>
      </c>
      <c r="B984" t="str">
        <f>IFERROR(__xludf.DUMMYFUNCTION("""COMPUTED_VALUE"""),"ActiononIncorrectQty")</f>
        <v>ActiononIncorrectQty</v>
      </c>
      <c r="C984" t="str">
        <f>IFERROR(__xludf.DUMMYFUNCTION("""COMPUTED_VALUE"""),"11EX1Ln-BQAtx9NTd9zfcaia52FGNdZENDW2kwMCJ20HQ")</f>
        <v>11EX1Ln-BQAtx9NTd9zfcaia52FGNdZENDW2kwMCJ20HQ</v>
      </c>
    </row>
    <row r="985" ht="15.75" customHeight="1">
      <c r="A985" t="str">
        <f>IFERROR(__xludf.DUMMYFUNCTION("""COMPUTED_VALUE"""),"Closing")</f>
        <v>Closing</v>
      </c>
      <c r="B985" t="str">
        <f>IFERROR(__xludf.DUMMYFUNCTION("""COMPUTED_VALUE"""),"VerifyIncorrectQty")</f>
        <v>VerifyIncorrectQty</v>
      </c>
      <c r="C985" t="str">
        <f>IFERROR(__xludf.DUMMYFUNCTION("""COMPUTED_VALUE"""),"11EX1Ln-BQAtx9NTd9zfcaia52FGNdZENDW2kwMCJ21HQ")</f>
        <v>11EX1Ln-BQAtx9NTd9zfcaia52FGNdZENDW2kwMCJ21HQ</v>
      </c>
    </row>
    <row r="986" ht="15.75" customHeight="1">
      <c r="A986" t="str">
        <f>IFERROR(__xludf.DUMMYFUNCTION("""COMPUTED_VALUE"""),"Closing")</f>
        <v>Closing</v>
      </c>
      <c r="B986" t="str">
        <f>IFERROR(__xludf.DUMMYFUNCTION("""COMPUTED_VALUE"""),"VerifyOpenTrades")</f>
        <v>VerifyOpenTrades</v>
      </c>
      <c r="C986" t="str">
        <f>IFERROR(__xludf.DUMMYFUNCTION("""COMPUTED_VALUE"""),"11EX1Ln-BQAtx9NTd9zfcaia52FGNdZENDW2kwMCJ20HQ")</f>
        <v>11EX1Ln-BQAtx9NTd9zfcaia52FGNdZENDW2kwMCJ20HQ</v>
      </c>
    </row>
    <row r="987" ht="15.75" customHeight="1">
      <c r="A987" t="str">
        <f>IFERROR(__xludf.DUMMYFUNCTION("""COMPUTED_VALUE"""),"CreateTransaction")</f>
        <v>CreateTransaction</v>
      </c>
      <c r="B987" t="str">
        <f>IFERROR(__xludf.DUMMYFUNCTION("""COMPUTED_VALUE"""),"EditCTGrid")</f>
        <v>EditCTGrid</v>
      </c>
      <c r="C987" t="str">
        <f>IFERROR(__xludf.DUMMYFUNCTION("""COMPUTED_VALUE"""),"11EX1Ln-BQAtx9NTd9zfcaia52FGNdZENDW2kwMCJ20HQ")</f>
        <v>11EX1Ln-BQAtx9NTd9zfcaia52FGNdZENDW2kwMCJ20HQ</v>
      </c>
    </row>
    <row r="988" ht="15.75" customHeight="1">
      <c r="A988" t="str">
        <f>IFERROR(__xludf.DUMMYFUNCTION("""COMPUTED_VALUE"""),"CreateTransaction")</f>
        <v>CreateTransaction</v>
      </c>
      <c r="B988" t="str">
        <f>IFERROR(__xludf.DUMMYFUNCTION("""COMPUTED_VALUE"""),"ActionOnCT")</f>
        <v>ActionOnCT</v>
      </c>
      <c r="C988" t="str">
        <f>IFERROR(__xludf.DUMMYFUNCTION("""COMPUTED_VALUE"""),"11EX1Ln-BQAtx9NTd9zfcaia52FGNdZENDW2kwMCJ20HQ")</f>
        <v>11EX1Ln-BQAtx9NTd9zfcaia52FGNdZENDW2kwMCJ20HQ</v>
      </c>
    </row>
    <row r="989" ht="15.75" customHeight="1">
      <c r="A989" t="str">
        <f>IFERROR(__xludf.DUMMYFUNCTION("""COMPUTED_VALUE"""),"Unknown")</f>
        <v>Unknown</v>
      </c>
      <c r="B989" t="str">
        <f>IFERROR(__xludf.DUMMYFUNCTION("""COMPUTED_VALUE"""),"OpenColumnChooser")</f>
        <v>OpenColumnChooser</v>
      </c>
      <c r="C989" t="str">
        <f>IFERROR(__xludf.DUMMYFUNCTION("""COMPUTED_VALUE"""),"11EX1Ln-BQAtx9NTd9zfcaia52FGNdZENDW2kwMCJ20HQ")</f>
        <v>11EX1Ln-BQAtx9NTd9zfcaia52FGNdZENDW2kwMCJ20HQ</v>
      </c>
    </row>
    <row r="990" ht="15.75" customHeight="1">
      <c r="A990" t="str">
        <f>IFERROR(__xludf.DUMMYFUNCTION("""COMPUTED_VALUE"""),"Closing")</f>
        <v>Closing</v>
      </c>
      <c r="B990" t="str">
        <f>IFERROR(__xludf.DUMMYFUNCTION("""COMPUTED_VALUE"""),"UnExpUnsettOperation")</f>
        <v>UnExpUnsettOperation</v>
      </c>
      <c r="C990" t="str">
        <f>IFERROR(__xludf.DUMMYFUNCTION("""COMPUTED_VALUE"""),"11EX1Ln-BQAtx9NTd9zfcaia52FGNdZENDW2kwMCJ20HQ")</f>
        <v>11EX1Ln-BQAtx9NTd9zfcaia52FGNdZENDW2kwMCJ20HQ</v>
      </c>
    </row>
    <row r="991" ht="15.75" customHeight="1">
      <c r="A991" t="str">
        <f>IFERROR(__xludf.DUMMYFUNCTION("""COMPUTED_VALUE"""),"NavLock")</f>
        <v>NavLock</v>
      </c>
      <c r="B991" t="str">
        <f>IFERROR(__xludf.DUMMYFUNCTION("""COMPUTED_VALUE"""),"ActiononNavLock")</f>
        <v>ActiononNavLock</v>
      </c>
      <c r="C991" t="str">
        <f>IFERROR(__xludf.DUMMYFUNCTION("""COMPUTED_VALUE"""),"11EX1Ln-BQAtx9NTd9zfcaia52FGNdZENDW2kwMCJ20HQ")</f>
        <v>11EX1Ln-BQAtx9NTd9zfcaia52FGNdZENDW2kwMCJ20HQ</v>
      </c>
    </row>
    <row r="992" ht="15.75" customHeight="1">
      <c r="A992" t="str">
        <f>IFERROR(__xludf.DUMMYFUNCTION("""COMPUTED_VALUE"""),"Allocation")</f>
        <v>Allocation</v>
      </c>
      <c r="B992" t="str">
        <f>IFERROR(__xludf.DUMMYFUNCTION("""COMPUTED_VALUE"""),"ActiononFixPref")</f>
        <v>ActiononFixPref</v>
      </c>
      <c r="C992" t="str">
        <f>IFERROR(__xludf.DUMMYFUNCTION("""COMPUTED_VALUE"""),"11EX1Ln-BQAtx9NTd9zfcaia52FGNdZENDW2kwMCJ20HQ")</f>
        <v>11EX1Ln-BQAtx9NTd9zfcaia52FGNdZENDW2kwMCJ20HQ</v>
      </c>
    </row>
    <row r="993" ht="15.75" customHeight="1">
      <c r="A993" t="str">
        <f>IFERROR(__xludf.DUMMYFUNCTION("""COMPUTED_VALUE"""),"Blotter")</f>
        <v>Blotter</v>
      </c>
      <c r="B993" t="str">
        <f>IFERROR(__xludf.DUMMYFUNCTION("""COMPUTED_VALUE"""),"SelectWorkSubsOnBlotter")</f>
        <v>SelectWorkSubsOnBlotter</v>
      </c>
      <c r="C993" t="str">
        <f>IFERROR(__xludf.DUMMYFUNCTION("""COMPUTED_VALUE"""),"11EX1Ln-BQAtx9NTd9zfcaia52FGNdZENDW2kwMCJ20HQ")</f>
        <v>11EX1Ln-BQAtx9NTd9zfcaia52FGNdZENDW2kwMCJ20HQ</v>
      </c>
    </row>
    <row r="994" ht="15.75" customHeight="1">
      <c r="A994" t="str">
        <f>IFERROR(__xludf.DUMMYFUNCTION("""COMPUTED_VALUE"""),"Closing")</f>
        <v>Closing</v>
      </c>
      <c r="B994" t="str">
        <f>IFERROR(__xludf.DUMMYFUNCTION("""COMPUTED_VALUE"""),"VerifyAccountUnexpired")</f>
        <v>VerifyAccountUnexpired</v>
      </c>
      <c r="C994" t="str">
        <f>IFERROR(__xludf.DUMMYFUNCTION("""COMPUTED_VALUE"""),"11EX1Ln-BQAtx9NTd9zfcaia52FGNdZENDW2kwMCJ20HQ")</f>
        <v>11EX1Ln-BQAtx9NTd9zfcaia52FGNdZENDW2kwMCJ20HQ</v>
      </c>
    </row>
    <row r="995" ht="15.75" customHeight="1">
      <c r="A995" t="str">
        <f>IFERROR(__xludf.DUMMYFUNCTION("""COMPUTED_VALUE"""),"PM")</f>
        <v>PM</v>
      </c>
      <c r="B995" t="str">
        <f>IFERROR(__xludf.DUMMYFUNCTION("""COMPUTED_VALUE"""),"ToolBarActiononPM")</f>
        <v>ToolBarActiononPM</v>
      </c>
      <c r="C995" t="str">
        <f>IFERROR(__xludf.DUMMYFUNCTION("""COMPUTED_VALUE"""),"11EX1Ln-BQAtx9NTd9zfcaia52FGNdZENDW2kwMCJ20HQ")</f>
        <v>11EX1Ln-BQAtx9NTd9zfcaia52FGNdZENDW2kwMCJ20HQ</v>
      </c>
    </row>
    <row r="996" ht="15.75" customHeight="1">
      <c r="A996" t="str">
        <f>IFERROR(__xludf.DUMMYFUNCTION("""COMPUTED_VALUE"""),"Allocation")</f>
        <v>Allocation</v>
      </c>
      <c r="B996" t="str">
        <f>IFERROR(__xludf.DUMMYFUNCTION("""COMPUTED_VALUE"""),"EditAttRenaming")</f>
        <v>EditAttRenaming</v>
      </c>
      <c r="C996" t="str">
        <f>IFERROR(__xludf.DUMMYFUNCTION("""COMPUTED_VALUE"""),"14aTeLjmUbS-nhaQwjtZAMGxdQ5DS6UsBjE5OTWN-LQU")</f>
        <v>14aTeLjmUbS-nhaQwjtZAMGxdQ5DS6UsBjE5OTWN-LQU</v>
      </c>
    </row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IFERROR(__xludf.DUMMYFUNCTION("IF(C3="""","""",Transpose(IMPORTRANGE('_Settings'!$B$3,C3&amp;""!A4:A1000"")))"),"FetchAccountPositions")</f>
        <v>FetchAccountPositions</v>
      </c>
      <c r="C4" s="25" t="str">
        <f>IFERROR(__xludf.DUMMYFUNCTION("""COMPUTED_VALUE"""),"AddCash")</f>
        <v>AddCash</v>
      </c>
      <c r="D4" s="25" t="str">
        <f>IFERROR(__xludf.DUMMYFUNCTION("""COMPUTED_VALUE"""),"VerifyGridData")</f>
        <v>VerifyGridData</v>
      </c>
      <c r="E4" s="25" t="str">
        <f>IFERROR(__xludf.DUMMYFUNCTION("""COMPUTED_VALUE"""),"RunRebalance")</f>
        <v>RunRebalance</v>
      </c>
      <c r="F4" s="25" t="str">
        <f>IFERROR(__xludf.DUMMYFUNCTION("""COMPUTED_VALUE"""),"EnableComplianceTab")</f>
        <v>EnableComplianceTab</v>
      </c>
      <c r="G4" s="25" t="str">
        <f>IFERROR(__xludf.DUMMYFUNCTION("""COMPUTED_VALUE"""),"RebalancePreference")</f>
        <v>RebalancePreference</v>
      </c>
      <c r="H4" s="25" t="str">
        <f>IFERROR(__xludf.DUMMYFUNCTION("""COMPUTED_VALUE"""),"ImportModelPortfolio")</f>
        <v>ImportModelPortfolio</v>
      </c>
      <c r="I4" s="25" t="str">
        <f>IFERROR(__xludf.DUMMYFUNCTION("""COMPUTED_VALUE"""),"RebalanceAcrossSecurities")</f>
        <v>RebalanceAcrossSecurities</v>
      </c>
      <c r="J4" s="25" t="str">
        <f>IFERROR(__xludf.DUMMYFUNCTION("""COMPUTED_VALUE"""),"CheckBasketCompliance")</f>
        <v>CheckBasketCompliance</v>
      </c>
      <c r="K4" s="25" t="str">
        <f>IFERROR(__xludf.DUMMYFUNCTION("""COMPUTED_VALUE"""),"ClearCalculations")</f>
        <v>ClearCalculations</v>
      </c>
      <c r="L4" s="25" t="str">
        <f>IFERROR(__xludf.DUMMYFUNCTION("""COMPUTED_VALUE"""),"ModifyRebalance")</f>
        <v>ModifyRebalance</v>
      </c>
      <c r="M4" s="25" t="str">
        <f>IFERROR(__xludf.DUMMYFUNCTION("""COMPUTED_VALUE"""),"ModelPortfolio")</f>
        <v>ModelPortfolio</v>
      </c>
      <c r="N4" s="25" t="str">
        <f>IFERROR(__xludf.DUMMYFUNCTION("""COMPUTED_VALUE"""),"LockandUnlockGridData")</f>
        <v>LockandUnlockGridData</v>
      </c>
      <c r="O4" s="25" t="str">
        <f>IFERROR(__xludf.DUMMYFUNCTION("""COMPUTED_VALUE"""),"RefreshGridData")</f>
        <v>RefreshGridData</v>
      </c>
      <c r="P4" s="26" t="str">
        <f>IFERROR(__xludf.DUMMYFUNCTION("""COMPUTED_VALUE"""),"SendtoStaging")</f>
        <v>SendtoStaging</v>
      </c>
      <c r="Q4" s="26" t="str">
        <f>IFERROR(__xludf.DUMMYFUNCTION("""COMPUTED_VALUE"""),"SendToStagingExport")</f>
        <v>SendToStagingExport</v>
      </c>
      <c r="R4" s="26" t="str">
        <f>IFERROR(__xludf.DUMMYFUNCTION("""COMPUTED_VALUE"""),"RebalanceViaBloomberg")</f>
        <v>RebalanceViaBloomberg</v>
      </c>
      <c r="S4" s="26" t="str">
        <f>IFERROR(__xludf.DUMMYFUNCTION("""COMPUTED_VALUE"""),"AddUserAdjustedNAV")</f>
        <v>AddUserAdjustedNAV</v>
      </c>
      <c r="T4" s="26" t="str">
        <f>IFERROR(__xludf.DUMMYFUNCTION("""COMPUTED_VALUE"""),"SymbologyChangeRB")</f>
        <v>SymbologyChangeRB</v>
      </c>
      <c r="U4" s="26" t="str">
        <f>IFERROR(__xludf.DUMMYFUNCTION("""COMPUTED_VALUE"""),"CloseRebalancer")</f>
        <v>CloseRebalancer</v>
      </c>
      <c r="V4" s="26" t="str">
        <f>IFERROR(__xludf.DUMMYFUNCTION("""COMPUTED_VALUE"""),"AddCustomCashUsingImport")</f>
        <v>AddCustomCashUsingImport</v>
      </c>
      <c r="W4" s="26" t="str">
        <f>IFERROR(__xludf.DUMMYFUNCTION("""COMPUTED_VALUE"""),"EditRebalanceGrid")</f>
        <v>EditRebalanceGrid</v>
      </c>
      <c r="X4" s="26" t="str">
        <f>IFERROR(__xludf.DUMMYFUNCTION("""COMPUTED_VALUE"""),"SaveTradeList")</f>
        <v>SaveTradeList</v>
      </c>
      <c r="Y4" s="26" t="str">
        <f>IFERROR(__xludf.DUMMYFUNCTION("""COMPUTED_VALUE"""),"NavImpactingComponent")</f>
        <v>NavImpactingComponent</v>
      </c>
      <c r="Z4" s="26" t="str">
        <f>IFERROR(__xludf.DUMMYFUNCTION("""COMPUTED_VALUE"""),"ImportUsingRebalAccrossSec")</f>
        <v>ImportUsingRebalAccrossSec</v>
      </c>
      <c r="AA4" s="26" t="str">
        <f>IFERROR(__xludf.DUMMYFUNCTION("""COMPUTED_VALUE"""),"EditImportStatus")</f>
        <v>EditImportStatus</v>
      </c>
      <c r="AB4" s="26" t="str">
        <f>IFERROR(__xludf.DUMMYFUNCTION("""COMPUTED_VALUE"""),"SelectActionsOnImportStatus")</f>
        <v>SelectActionsOnImportStatus</v>
      </c>
      <c r="AC4" s="26" t="str">
        <f>IFERROR(__xludf.DUMMYFUNCTION("""COMPUTED_VALUE"""),"VerifyImportStatus")</f>
        <v>VerifyImportStatus</v>
      </c>
      <c r="AD4" s="26" t="str">
        <f>IFERROR(__xludf.DUMMYFUNCTION("""COMPUTED_VALUE"""),"AddNewModelPortfolio")</f>
        <v>AddNewModelPortfolio</v>
      </c>
      <c r="AE4" s="26" t="str">
        <f>IFERROR(__xludf.DUMMYFUNCTION("""COMPUTED_VALUE"""),"VerifyBuySellList")</f>
        <v>VerifyBuySellList</v>
      </c>
      <c r="AF4" s="26" t="str">
        <f>IFERROR(__xludf.DUMMYFUNCTION("""COMPUTED_VALUE"""),"CreateOrViewModelPortfolio")</f>
        <v>CreateOrViewModelPortfolio</v>
      </c>
      <c r="AG4" s="26" t="str">
        <f>IFERROR(__xludf.DUMMYFUNCTION("""COMPUTED_VALUE"""),"VerifyModelPortfolio")</f>
        <v>VerifyModelPortfolio</v>
      </c>
      <c r="AH4" s="26" t="str">
        <f>IFERROR(__xludf.DUMMYFUNCTION("""COMPUTED_VALUE"""),"VerifyTradeListSummary")</f>
        <v>VerifyTradeListSummary</v>
      </c>
      <c r="AI4" s="26" t="str">
        <f>IFERROR(__xludf.DUMMYFUNCTION("""COMPUTED_VALUE"""),"ActionOnTBSListSummary")</f>
        <v>ActionOnTBSListSummary</v>
      </c>
      <c r="AJ4" s="26" t="str">
        <f>IFERROR(__xludf.DUMMYFUNCTION("""COMPUTED_VALUE"""),"VerifyTLOSideSummary")</f>
        <v>VerifyTLOSideSummary</v>
      </c>
      <c r="AK4" s="26" t="str">
        <f>IFERROR(__xludf.DUMMYFUNCTION("""COMPUTED_VALUE"""),"SelectAndVerifyTradeList")</f>
        <v>SelectAndVerifyTradeList</v>
      </c>
      <c r="AL4" s="26" t="str">
        <f>IFERROR(__xludf.DUMMYFUNCTION("""COMPUTED_VALUE"""),"ActionOnTradeBuySellListView")</f>
        <v>ActionOnTradeBuySellListView</v>
      </c>
      <c r="AM4" s="26" t="str">
        <f>IFERROR(__xludf.DUMMYFUNCTION("""COMPUTED_VALUE"""),"ImportOnRB")</f>
        <v>ImportOnRB</v>
      </c>
      <c r="AN4" s="26" t="str">
        <f>IFERROR(__xludf.DUMMYFUNCTION("""COMPUTED_VALUE"""),"VerifyImportGridRBForInvalidSec")</f>
        <v>VerifyImportGridRBForInvalidSec</v>
      </c>
      <c r="AO4" s="26" t="str">
        <f>IFERROR(__xludf.DUMMYFUNCTION("""COMPUTED_VALUE"""),"VerifyImportGridRBForValidSec")</f>
        <v>VerifyImportGridRBForValidSec</v>
      </c>
      <c r="AP4" s="26" t="str">
        <f>IFERROR(__xludf.DUMMYFUNCTION("""COMPUTED_VALUE"""),"ActionOnRSAImportGrid")</f>
        <v>ActionOnRSAImportGrid</v>
      </c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IFERROR(__xludf.DUMMYFUNCTION("""COMPUTED_VALUE"""),"RoundLotPreference")</f>
        <v>RoundLotPreference</v>
      </c>
      <c r="C5" s="28" t="str">
        <f>IFERROR(__xludf.DUMMYFUNCTION("""COMPUTED_VALUE"""),"ReinvestCash")</f>
        <v>ReinvestCash</v>
      </c>
      <c r="D5" s="28" t="str">
        <f>IFERROR(__xludf.DUMMYFUNCTION("""COMPUTED_VALUE"""),"Sell to Raise Cash")</f>
        <v>Sell to Raise Cash</v>
      </c>
      <c r="E5" s="28" t="str">
        <f>IFERROR(__xludf.DUMMYFUNCTION("""COMPUTED_VALUE"""),"No Shorting")</f>
        <v>No Shorting</v>
      </c>
      <c r="F5" s="29" t="str">
        <f>IFERROR(__xludf.DUMMYFUNCTION("""COMPUTED_VALUE"""),"Allow Negative Cash")</f>
        <v>Allow Negative Cash</v>
      </c>
      <c r="G5" s="28" t="str">
        <f>IFERROR(__xludf.DUMMYFUNCTION("""COMPUTED_VALUE"""),"Rebalance Across Securities")</f>
        <v>Rebalance Across Securities</v>
      </c>
      <c r="H5" s="28" t="str">
        <f>IFERROR(__xludf.DUMMYFUNCTION("""COMPUTED_VALUE"""),"Other Items Impacting NAV")</f>
        <v>Other Items Impacting NAV</v>
      </c>
      <c r="I5" s="28" t="str">
        <f>IFERROR(__xludf.DUMMYFUNCTION("""COMPUTED_VALUE"""),"NAV Calculation Preference")</f>
        <v>NAV Calculation Preference</v>
      </c>
      <c r="J5" s="28" t="str">
        <f>IFERROR(__xludf.DUMMYFUNCTION("""COMPUTED_VALUE"""),"Account/Groups Visibility")</f>
        <v>Account/Groups Visibility</v>
      </c>
      <c r="K5" s="28" t="str">
        <f>IFERROR(__xludf.DUMMYFUNCTION("""COMPUTED_VALUE"""),"Always Ask for Saving Orders")</f>
        <v>Always Ask for Saving Orders</v>
      </c>
      <c r="L5" s="28" t="str">
        <f>IFERROR(__xludf.DUMMYFUNCTION("""COMPUTED_VALUE"""),"Rounding Type")</f>
        <v>Rounding Type</v>
      </c>
      <c r="M5" s="28" t="str">
        <f>IFERROR(__xludf.DUMMYFUNCTION("""COMPUTED_VALUE"""),"/=/-/=:")</f>
        <v>/=/-/=:</v>
      </c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/>
      <c r="E6" s="31"/>
      <c r="F6" s="8"/>
      <c r="G6" s="8"/>
      <c r="H6" s="8"/>
      <c r="I6" s="8"/>
      <c r="J6" s="13" t="s">
        <v>16</v>
      </c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RebalancePreference!$4:$4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IFERROR(__xludf.DUMMYFUNCTION("IF(C3="""","""",Transpose(IMPORTRANGE('_Settings'!$B$3,C3&amp;""!A4:A1000"")))"),"FetchAccountPositions")</f>
        <v>FetchAccountPositions</v>
      </c>
      <c r="C4" s="25" t="str">
        <f>IFERROR(__xludf.DUMMYFUNCTION("""COMPUTED_VALUE"""),"AddCash")</f>
        <v>AddCash</v>
      </c>
      <c r="D4" s="25" t="str">
        <f>IFERROR(__xludf.DUMMYFUNCTION("""COMPUTED_VALUE"""),"VerifyGridData")</f>
        <v>VerifyGridData</v>
      </c>
      <c r="E4" s="25" t="str">
        <f>IFERROR(__xludf.DUMMYFUNCTION("""COMPUTED_VALUE"""),"RunRebalance")</f>
        <v>RunRebalance</v>
      </c>
      <c r="F4" s="25" t="str">
        <f>IFERROR(__xludf.DUMMYFUNCTION("""COMPUTED_VALUE"""),"EnableComplianceTab")</f>
        <v>EnableComplianceTab</v>
      </c>
      <c r="G4" s="25" t="str">
        <f>IFERROR(__xludf.DUMMYFUNCTION("""COMPUTED_VALUE"""),"RebalancePreference")</f>
        <v>RebalancePreference</v>
      </c>
      <c r="H4" s="25" t="str">
        <f>IFERROR(__xludf.DUMMYFUNCTION("""COMPUTED_VALUE"""),"ImportModelPortfolio")</f>
        <v>ImportModelPortfolio</v>
      </c>
      <c r="I4" s="25" t="str">
        <f>IFERROR(__xludf.DUMMYFUNCTION("""COMPUTED_VALUE"""),"RebalanceAcrossSecurities")</f>
        <v>RebalanceAcrossSecurities</v>
      </c>
      <c r="J4" s="25" t="str">
        <f>IFERROR(__xludf.DUMMYFUNCTION("""COMPUTED_VALUE"""),"CheckBasketCompliance")</f>
        <v>CheckBasketCompliance</v>
      </c>
      <c r="K4" s="25" t="str">
        <f>IFERROR(__xludf.DUMMYFUNCTION("""COMPUTED_VALUE"""),"ClearCalculations")</f>
        <v>ClearCalculations</v>
      </c>
      <c r="L4" s="25" t="str">
        <f>IFERROR(__xludf.DUMMYFUNCTION("""COMPUTED_VALUE"""),"ModifyRebalance")</f>
        <v>ModifyRebalance</v>
      </c>
      <c r="M4" s="25" t="str">
        <f>IFERROR(__xludf.DUMMYFUNCTION("""COMPUTED_VALUE"""),"ModelPortfolio")</f>
        <v>ModelPortfolio</v>
      </c>
      <c r="N4" s="25" t="str">
        <f>IFERROR(__xludf.DUMMYFUNCTION("""COMPUTED_VALUE"""),"LockandUnlockGridData")</f>
        <v>LockandUnlockGridData</v>
      </c>
      <c r="O4" s="25" t="str">
        <f>IFERROR(__xludf.DUMMYFUNCTION("""COMPUTED_VALUE"""),"RefreshGridData")</f>
        <v>RefreshGridData</v>
      </c>
      <c r="P4" s="26" t="str">
        <f>IFERROR(__xludf.DUMMYFUNCTION("""COMPUTED_VALUE"""),"SendtoStaging")</f>
        <v>SendtoStaging</v>
      </c>
      <c r="Q4" s="26" t="str">
        <f>IFERROR(__xludf.DUMMYFUNCTION("""COMPUTED_VALUE"""),"SendToStagingExport")</f>
        <v>SendToStagingExport</v>
      </c>
      <c r="R4" s="26" t="str">
        <f>IFERROR(__xludf.DUMMYFUNCTION("""COMPUTED_VALUE"""),"RebalanceViaBloomberg")</f>
        <v>RebalanceViaBloomberg</v>
      </c>
      <c r="S4" s="26" t="str">
        <f>IFERROR(__xludf.DUMMYFUNCTION("""COMPUTED_VALUE"""),"AddUserAdjustedNAV")</f>
        <v>AddUserAdjustedNAV</v>
      </c>
      <c r="T4" s="26" t="str">
        <f>IFERROR(__xludf.DUMMYFUNCTION("""COMPUTED_VALUE"""),"SymbologyChangeRB")</f>
        <v>SymbologyChangeRB</v>
      </c>
      <c r="U4" s="26" t="str">
        <f>IFERROR(__xludf.DUMMYFUNCTION("""COMPUTED_VALUE"""),"CloseRebalancer")</f>
        <v>CloseRebalancer</v>
      </c>
      <c r="V4" s="26" t="str">
        <f>IFERROR(__xludf.DUMMYFUNCTION("""COMPUTED_VALUE"""),"AddCustomCashUsingImport")</f>
        <v>AddCustomCashUsingImport</v>
      </c>
      <c r="W4" s="26" t="str">
        <f>IFERROR(__xludf.DUMMYFUNCTION("""COMPUTED_VALUE"""),"EditRebalanceGrid")</f>
        <v>EditRebalanceGrid</v>
      </c>
      <c r="X4" s="26" t="str">
        <f>IFERROR(__xludf.DUMMYFUNCTION("""COMPUTED_VALUE"""),"SaveTradeList")</f>
        <v>SaveTradeList</v>
      </c>
      <c r="Y4" s="26" t="str">
        <f>IFERROR(__xludf.DUMMYFUNCTION("""COMPUTED_VALUE"""),"NavImpactingComponent")</f>
        <v>NavImpactingComponent</v>
      </c>
      <c r="Z4" s="26" t="str">
        <f>IFERROR(__xludf.DUMMYFUNCTION("""COMPUTED_VALUE"""),"ImportUsingRebalAccrossSec")</f>
        <v>ImportUsingRebalAccrossSec</v>
      </c>
      <c r="AA4" s="26" t="str">
        <f>IFERROR(__xludf.DUMMYFUNCTION("""COMPUTED_VALUE"""),"EditImportStatus")</f>
        <v>EditImportStatus</v>
      </c>
      <c r="AB4" s="26" t="str">
        <f>IFERROR(__xludf.DUMMYFUNCTION("""COMPUTED_VALUE"""),"SelectActionsOnImportStatus")</f>
        <v>SelectActionsOnImportStatus</v>
      </c>
      <c r="AC4" s="26" t="str">
        <f>IFERROR(__xludf.DUMMYFUNCTION("""COMPUTED_VALUE"""),"VerifyImportStatus")</f>
        <v>VerifyImportStatus</v>
      </c>
      <c r="AD4" s="26" t="str">
        <f>IFERROR(__xludf.DUMMYFUNCTION("""COMPUTED_VALUE"""),"AddNewModelPortfolio")</f>
        <v>AddNewModelPortfolio</v>
      </c>
      <c r="AE4" s="26" t="str">
        <f>IFERROR(__xludf.DUMMYFUNCTION("""COMPUTED_VALUE"""),"VerifyBuySellList")</f>
        <v>VerifyBuySellList</v>
      </c>
      <c r="AF4" s="26" t="str">
        <f>IFERROR(__xludf.DUMMYFUNCTION("""COMPUTED_VALUE"""),"CreateOrViewModelPortfolio")</f>
        <v>CreateOrViewModelPortfolio</v>
      </c>
      <c r="AG4" s="26" t="str">
        <f>IFERROR(__xludf.DUMMYFUNCTION("""COMPUTED_VALUE"""),"VerifyModelPortfolio")</f>
        <v>VerifyModelPortfolio</v>
      </c>
      <c r="AH4" s="26" t="str">
        <f>IFERROR(__xludf.DUMMYFUNCTION("""COMPUTED_VALUE"""),"VerifyTradeListSummary")</f>
        <v>VerifyTradeListSummary</v>
      </c>
      <c r="AI4" s="26" t="str">
        <f>IFERROR(__xludf.DUMMYFUNCTION("""COMPUTED_VALUE"""),"ActionOnTBSListSummary")</f>
        <v>ActionOnTBSListSummary</v>
      </c>
      <c r="AJ4" s="26" t="str">
        <f>IFERROR(__xludf.DUMMYFUNCTION("""COMPUTED_VALUE"""),"VerifyTLOSideSummary")</f>
        <v>VerifyTLOSideSummary</v>
      </c>
      <c r="AK4" s="26" t="str">
        <f>IFERROR(__xludf.DUMMYFUNCTION("""COMPUTED_VALUE"""),"SelectAndVerifyTradeList")</f>
        <v>SelectAndVerifyTradeList</v>
      </c>
      <c r="AL4" s="26" t="str">
        <f>IFERROR(__xludf.DUMMYFUNCTION("""COMPUTED_VALUE"""),"ActionOnTradeBuySellListView")</f>
        <v>ActionOnTradeBuySellListView</v>
      </c>
      <c r="AM4" s="26" t="str">
        <f>IFERROR(__xludf.DUMMYFUNCTION("""COMPUTED_VALUE"""),"ImportOnRB")</f>
        <v>ImportOnRB</v>
      </c>
      <c r="AN4" s="26" t="str">
        <f>IFERROR(__xludf.DUMMYFUNCTION("""COMPUTED_VALUE"""),"VerifyImportGridRBForInvalidSec")</f>
        <v>VerifyImportGridRBForInvalidSec</v>
      </c>
      <c r="AO4" s="26" t="str">
        <f>IFERROR(__xludf.DUMMYFUNCTION("""COMPUTED_VALUE"""),"VerifyImportGridRBForValidSec")</f>
        <v>VerifyImportGridRBForValidSec</v>
      </c>
      <c r="AP4" s="26" t="str">
        <f>IFERROR(__xludf.DUMMYFUNCTION("""COMPUTED_VALUE"""),"ActionOnRSAImportGrid")</f>
        <v>ActionOnRSAImportGrid</v>
      </c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IFERROR(__xludf.DUMMYFUNCTION("""COMPUTED_VALUE"""),"Account/Groups")</f>
        <v>Account/Groups</v>
      </c>
      <c r="C5" s="28" t="str">
        <f>IFERROR(__xludf.DUMMYFUNCTION("""COMPUTED_VALUE"""),"Account Positions")</f>
        <v>Account Positions</v>
      </c>
      <c r="D5" s="28" t="str">
        <f>IFERROR(__xludf.DUMMYFUNCTION("""COMPUTED_VALUE"""),"Calculation Level")</f>
        <v>Calculation Level</v>
      </c>
      <c r="E5" s="28" t="str">
        <f>IFERROR(__xludf.DUMMYFUNCTION("""COMPUTED_VALUE"""),"Refresh")</f>
        <v>Refresh</v>
      </c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18</v>
      </c>
      <c r="C6" s="8"/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FetchAccountPositions!$4:$4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026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  <c r="FJ1" s="20"/>
      <c r="FK1" s="20"/>
      <c r="FL1" s="20"/>
      <c r="FM1" s="20"/>
      <c r="FN1" s="20"/>
      <c r="FO1" s="20"/>
      <c r="FP1" s="20"/>
      <c r="FQ1" s="20"/>
      <c r="FR1" s="20"/>
      <c r="FS1" s="20"/>
      <c r="FT1" s="20"/>
      <c r="FU1" s="20"/>
      <c r="FV1" s="20"/>
      <c r="FW1" s="20"/>
      <c r="FX1" s="20"/>
      <c r="FY1" s="20"/>
      <c r="FZ1" s="20"/>
      <c r="GA1" s="20"/>
      <c r="GB1" s="20"/>
      <c r="GC1" s="20"/>
      <c r="GD1" s="20"/>
      <c r="GE1" s="20"/>
      <c r="GF1" s="20"/>
      <c r="GG1" s="20"/>
      <c r="GH1" s="20"/>
      <c r="GI1" s="20"/>
      <c r="GJ1" s="20"/>
      <c r="GK1" s="20"/>
      <c r="GL1" s="20"/>
      <c r="GM1" s="20"/>
      <c r="GN1" s="20"/>
      <c r="GO1" s="20"/>
      <c r="GP1" s="20"/>
      <c r="GQ1" s="20"/>
      <c r="GR1" s="20"/>
      <c r="GS1" s="20"/>
      <c r="GT1" s="20"/>
      <c r="GU1" s="20"/>
      <c r="GV1" s="20"/>
      <c r="GW1" s="20"/>
      <c r="GX1" s="20"/>
      <c r="GY1" s="20"/>
      <c r="GZ1" s="20"/>
      <c r="HA1" s="20"/>
      <c r="HB1" s="20"/>
      <c r="HC1" s="20"/>
      <c r="HD1" s="20"/>
      <c r="HE1" s="20"/>
      <c r="HF1" s="20"/>
      <c r="HG1" s="20"/>
      <c r="HH1" s="20"/>
      <c r="HI1" s="20"/>
      <c r="HJ1" s="20"/>
      <c r="HK1" s="20"/>
      <c r="HL1" s="20"/>
      <c r="HM1" s="20"/>
      <c r="HN1" s="20"/>
      <c r="HO1" s="20"/>
      <c r="HP1" s="20"/>
      <c r="HQ1" s="20"/>
      <c r="HR1" s="20"/>
      <c r="HS1" s="20"/>
      <c r="HT1" s="20"/>
      <c r="HU1" s="20"/>
      <c r="HV1" s="20"/>
      <c r="HW1" s="20"/>
      <c r="HX1" s="20"/>
      <c r="HY1" s="20"/>
      <c r="HZ1" s="20"/>
      <c r="IA1" s="20"/>
      <c r="IB1" s="20"/>
      <c r="IC1" s="20"/>
      <c r="ID1" s="20"/>
      <c r="IE1" s="20"/>
      <c r="IF1" s="20"/>
      <c r="IG1" s="20"/>
      <c r="IH1" s="20"/>
      <c r="II1" s="20"/>
      <c r="IJ1" s="20"/>
      <c r="IK1" s="20"/>
      <c r="IL1" s="20"/>
      <c r="IM1" s="20"/>
      <c r="IN1" s="20"/>
      <c r="IO1" s="20"/>
      <c r="IP1" s="20"/>
      <c r="IQ1" s="20"/>
      <c r="IR1" s="20"/>
      <c r="IS1" s="20"/>
      <c r="IT1" s="20"/>
      <c r="IU1" s="20"/>
      <c r="IV1" s="20"/>
      <c r="IW1" s="20"/>
      <c r="IX1" s="20"/>
      <c r="IY1" s="20"/>
      <c r="IZ1" s="20"/>
      <c r="JA1" s="20"/>
      <c r="JB1" s="20"/>
      <c r="JC1" s="20"/>
      <c r="JD1" s="20"/>
      <c r="JE1" s="20"/>
      <c r="JF1" s="20"/>
      <c r="JG1" s="20"/>
      <c r="JH1" s="20"/>
      <c r="JI1" s="20"/>
      <c r="JJ1" s="20"/>
      <c r="JK1" s="20"/>
      <c r="JL1" s="20"/>
      <c r="JM1" s="20"/>
      <c r="JN1" s="20"/>
      <c r="JO1" s="20"/>
      <c r="JP1" s="20"/>
      <c r="JQ1" s="20"/>
      <c r="JR1" s="20"/>
      <c r="JS1" s="20"/>
      <c r="JT1" s="20"/>
      <c r="JU1" s="20"/>
      <c r="JV1" s="20"/>
      <c r="JW1" s="20"/>
      <c r="JX1" s="20"/>
      <c r="JY1" s="20"/>
      <c r="JZ1" s="20"/>
      <c r="KA1" s="20"/>
      <c r="KB1" s="20"/>
      <c r="KC1" s="20"/>
      <c r="KD1" s="20"/>
      <c r="KE1" s="20"/>
      <c r="KF1" s="20"/>
      <c r="KG1" s="20"/>
      <c r="KH1" s="20"/>
      <c r="KI1" s="20"/>
      <c r="KJ1" s="20"/>
      <c r="KK1" s="20"/>
      <c r="KL1" s="20"/>
      <c r="KM1" s="20"/>
      <c r="KN1" s="20"/>
      <c r="KO1" s="20"/>
      <c r="KP1" s="20"/>
      <c r="KQ1" s="20"/>
      <c r="KR1" s="20"/>
      <c r="KS1" s="20"/>
      <c r="KT1" s="20"/>
      <c r="KU1" s="20"/>
      <c r="KV1" s="20"/>
      <c r="KW1" s="20"/>
      <c r="KX1" s="20"/>
      <c r="KY1" s="20"/>
      <c r="KZ1" s="20"/>
      <c r="LA1" s="20"/>
      <c r="LB1" s="20"/>
      <c r="LC1" s="20"/>
      <c r="LD1" s="20"/>
      <c r="LE1" s="20"/>
      <c r="LF1" s="20"/>
      <c r="LG1" s="20"/>
      <c r="LH1" s="20"/>
      <c r="LI1" s="20"/>
      <c r="LJ1" s="20"/>
      <c r="LK1" s="20"/>
      <c r="LL1" s="20"/>
      <c r="LM1" s="20"/>
      <c r="LN1" s="20"/>
      <c r="LO1" s="20"/>
      <c r="LP1" s="20"/>
      <c r="LQ1" s="20"/>
      <c r="LR1" s="20"/>
      <c r="LS1" s="20"/>
      <c r="LT1" s="20"/>
      <c r="LU1" s="20"/>
      <c r="LV1" s="20"/>
      <c r="LW1" s="20"/>
      <c r="LX1" s="20"/>
      <c r="LY1" s="20"/>
      <c r="LZ1" s="20"/>
      <c r="MA1" s="20"/>
      <c r="MB1" s="20"/>
      <c r="MC1" s="20"/>
      <c r="MD1" s="20"/>
      <c r="ME1" s="20"/>
      <c r="MF1" s="20"/>
      <c r="MG1" s="20"/>
      <c r="MH1" s="20"/>
      <c r="MI1" s="20"/>
      <c r="MJ1" s="20"/>
      <c r="MK1" s="20"/>
      <c r="ML1" s="20"/>
      <c r="MM1" s="20"/>
      <c r="MN1" s="20"/>
      <c r="MO1" s="20"/>
      <c r="MP1" s="20"/>
      <c r="MQ1" s="20"/>
      <c r="MR1" s="20"/>
      <c r="MS1" s="20"/>
      <c r="MT1" s="20"/>
      <c r="MU1" s="20"/>
      <c r="MV1" s="20"/>
      <c r="MW1" s="20"/>
      <c r="MX1" s="20"/>
      <c r="MY1" s="20"/>
      <c r="MZ1" s="20"/>
      <c r="NA1" s="20"/>
      <c r="NB1" s="20"/>
      <c r="NC1" s="20"/>
      <c r="ND1" s="20"/>
      <c r="NE1" s="20"/>
      <c r="NF1" s="20"/>
      <c r="NG1" s="20"/>
      <c r="NH1" s="20"/>
      <c r="NI1" s="20"/>
      <c r="NJ1" s="20"/>
      <c r="NK1" s="20"/>
      <c r="NL1" s="20"/>
      <c r="NM1" s="20"/>
      <c r="NN1" s="20"/>
      <c r="NO1" s="20"/>
      <c r="NP1" s="20"/>
      <c r="NQ1" s="20"/>
      <c r="NR1" s="20"/>
      <c r="NS1" s="20"/>
      <c r="NT1" s="20"/>
      <c r="NU1" s="20"/>
      <c r="NV1" s="20"/>
      <c r="NW1" s="20"/>
      <c r="NX1" s="20"/>
      <c r="NY1" s="20"/>
      <c r="NZ1" s="20"/>
      <c r="OA1" s="20"/>
      <c r="OB1" s="20"/>
      <c r="OC1" s="20"/>
      <c r="OD1" s="20"/>
      <c r="OE1" s="20"/>
      <c r="OF1" s="20"/>
      <c r="OG1" s="20"/>
      <c r="OH1" s="20"/>
      <c r="OI1" s="20"/>
      <c r="OJ1" s="20"/>
      <c r="OK1" s="20"/>
      <c r="OL1" s="20"/>
      <c r="OM1" s="20"/>
      <c r="ON1" s="20"/>
      <c r="OO1" s="20"/>
      <c r="OP1" s="20"/>
      <c r="OQ1" s="20"/>
      <c r="OR1" s="20"/>
      <c r="OS1" s="20"/>
      <c r="OT1" s="20"/>
      <c r="OU1" s="20"/>
      <c r="OV1" s="20"/>
      <c r="OW1" s="20"/>
      <c r="OX1" s="20"/>
      <c r="OY1" s="20"/>
      <c r="OZ1" s="20"/>
      <c r="PA1" s="20"/>
      <c r="PB1" s="20"/>
      <c r="PC1" s="20"/>
      <c r="PD1" s="20"/>
      <c r="PE1" s="20"/>
      <c r="PF1" s="20"/>
      <c r="PG1" s="20"/>
      <c r="PH1" s="20"/>
      <c r="PI1" s="20"/>
      <c r="PJ1" s="20"/>
      <c r="PK1" s="20"/>
      <c r="PL1" s="20"/>
      <c r="PM1" s="20"/>
      <c r="PN1" s="20"/>
      <c r="PO1" s="20"/>
      <c r="PP1" s="20"/>
      <c r="PQ1" s="20"/>
      <c r="PR1" s="20"/>
      <c r="PS1" s="20"/>
      <c r="PT1" s="20"/>
      <c r="PU1" s="20"/>
      <c r="PV1" s="20"/>
      <c r="PW1" s="20"/>
      <c r="PX1" s="20"/>
      <c r="PY1" s="20"/>
      <c r="PZ1" s="20"/>
      <c r="QA1" s="20"/>
      <c r="QB1" s="20"/>
      <c r="QC1" s="20"/>
      <c r="QD1" s="20"/>
      <c r="QE1" s="20"/>
      <c r="QF1" s="20"/>
      <c r="QG1" s="20"/>
      <c r="QH1" s="20"/>
      <c r="QI1" s="20"/>
      <c r="QJ1" s="20"/>
      <c r="QK1" s="20"/>
      <c r="QL1" s="20"/>
      <c r="QM1" s="20"/>
      <c r="QN1" s="20"/>
      <c r="QO1" s="20"/>
      <c r="QP1" s="20"/>
      <c r="QQ1" s="20"/>
      <c r="QR1" s="20"/>
      <c r="QS1" s="20"/>
      <c r="QT1" s="20"/>
      <c r="QU1" s="20"/>
      <c r="QV1" s="20"/>
      <c r="QW1" s="20"/>
      <c r="QX1" s="20"/>
      <c r="QY1" s="20"/>
      <c r="QZ1" s="20"/>
      <c r="RA1" s="20"/>
      <c r="RB1" s="20"/>
      <c r="RC1" s="20"/>
      <c r="RD1" s="20"/>
      <c r="RE1" s="20"/>
      <c r="RF1" s="20"/>
      <c r="RG1" s="20"/>
      <c r="RH1" s="20"/>
      <c r="RI1" s="20"/>
      <c r="RJ1" s="20"/>
      <c r="RK1" s="20"/>
      <c r="RL1" s="20"/>
      <c r="RM1" s="20"/>
      <c r="RN1" s="20"/>
      <c r="RO1" s="20"/>
      <c r="RP1" s="20"/>
      <c r="RQ1" s="20"/>
      <c r="RR1" s="20"/>
      <c r="RS1" s="20"/>
      <c r="RT1" s="20"/>
      <c r="RU1" s="20"/>
      <c r="RV1" s="20"/>
      <c r="RW1" s="20"/>
      <c r="RX1" s="20"/>
      <c r="RY1" s="20"/>
      <c r="RZ1" s="20"/>
      <c r="SA1" s="20"/>
      <c r="SB1" s="20"/>
      <c r="SC1" s="20"/>
      <c r="SD1" s="20"/>
      <c r="SE1" s="20"/>
      <c r="SF1" s="20"/>
      <c r="SG1" s="20"/>
      <c r="SH1" s="20"/>
      <c r="SI1" s="20"/>
      <c r="SJ1" s="20"/>
      <c r="SK1" s="20"/>
      <c r="SL1" s="20"/>
      <c r="SM1" s="20"/>
      <c r="SN1" s="20"/>
      <c r="SO1" s="20"/>
      <c r="SP1" s="20"/>
      <c r="SQ1" s="20"/>
      <c r="SR1" s="20"/>
      <c r="SS1" s="20"/>
      <c r="ST1" s="20"/>
      <c r="SU1" s="20"/>
      <c r="SV1" s="20"/>
      <c r="SW1" s="20"/>
      <c r="SX1" s="20"/>
      <c r="SY1" s="20"/>
      <c r="SZ1" s="20"/>
      <c r="TA1" s="20"/>
      <c r="TB1" s="20"/>
      <c r="TC1" s="20"/>
      <c r="TD1" s="20"/>
      <c r="TE1" s="20"/>
      <c r="TF1" s="20"/>
      <c r="TG1" s="20"/>
      <c r="TH1" s="20"/>
      <c r="TI1" s="20"/>
      <c r="TJ1" s="20"/>
      <c r="TK1" s="20"/>
      <c r="TL1" s="20"/>
      <c r="TM1" s="20"/>
      <c r="TN1" s="20"/>
      <c r="TO1" s="20"/>
      <c r="TP1" s="20"/>
      <c r="TQ1" s="20"/>
      <c r="TR1" s="20"/>
      <c r="TS1" s="20"/>
      <c r="TT1" s="20"/>
      <c r="TU1" s="20"/>
      <c r="TV1" s="20"/>
      <c r="TW1" s="20"/>
      <c r="TX1" s="20"/>
      <c r="TY1" s="20"/>
      <c r="TZ1" s="20"/>
      <c r="UA1" s="20"/>
      <c r="UB1" s="20"/>
      <c r="UC1" s="20"/>
      <c r="UD1" s="20"/>
      <c r="UE1" s="20"/>
      <c r="UF1" s="20"/>
      <c r="UG1" s="20"/>
      <c r="UH1" s="20"/>
      <c r="UI1" s="20"/>
      <c r="UJ1" s="20"/>
      <c r="UK1" s="20"/>
      <c r="UL1" s="20"/>
      <c r="UM1" s="20"/>
      <c r="UN1" s="20"/>
      <c r="UO1" s="20"/>
      <c r="UP1" s="20"/>
      <c r="UQ1" s="20"/>
      <c r="UR1" s="20"/>
      <c r="US1" s="20"/>
      <c r="UT1" s="20"/>
      <c r="UU1" s="20"/>
      <c r="UV1" s="20"/>
      <c r="UW1" s="20"/>
      <c r="UX1" s="20"/>
      <c r="UY1" s="20"/>
      <c r="UZ1" s="20"/>
      <c r="VA1" s="20"/>
      <c r="VB1" s="20"/>
      <c r="VC1" s="20"/>
      <c r="VD1" s="20"/>
      <c r="VE1" s="20"/>
      <c r="VF1" s="20"/>
      <c r="VG1" s="20"/>
      <c r="VH1" s="20"/>
      <c r="VI1" s="20"/>
      <c r="VJ1" s="20"/>
      <c r="VK1" s="20"/>
      <c r="VL1" s="20"/>
      <c r="VM1" s="20"/>
      <c r="VN1" s="20"/>
      <c r="VO1" s="20"/>
      <c r="VP1" s="20"/>
      <c r="VQ1" s="20"/>
      <c r="VR1" s="20"/>
      <c r="VS1" s="20"/>
      <c r="VT1" s="20"/>
      <c r="VU1" s="20"/>
      <c r="VV1" s="20"/>
      <c r="VW1" s="20"/>
      <c r="VX1" s="20"/>
      <c r="VY1" s="20"/>
      <c r="VZ1" s="20"/>
      <c r="WA1" s="20"/>
      <c r="WB1" s="20"/>
      <c r="WC1" s="20"/>
      <c r="WD1" s="20"/>
      <c r="WE1" s="20"/>
      <c r="WF1" s="20"/>
      <c r="WG1" s="20"/>
      <c r="WH1" s="20"/>
      <c r="WI1" s="20"/>
      <c r="WJ1" s="20"/>
      <c r="WK1" s="20"/>
      <c r="WL1" s="20"/>
      <c r="WM1" s="20"/>
      <c r="WN1" s="20"/>
      <c r="WO1" s="20"/>
      <c r="WP1" s="20"/>
      <c r="WQ1" s="20"/>
      <c r="WR1" s="20"/>
      <c r="WS1" s="20"/>
      <c r="WT1" s="20"/>
      <c r="WU1" s="20"/>
      <c r="WV1" s="20"/>
      <c r="WW1" s="20"/>
      <c r="WX1" s="20"/>
      <c r="WY1" s="20"/>
      <c r="WZ1" s="20"/>
      <c r="XA1" s="20"/>
      <c r="XB1" s="20"/>
      <c r="XC1" s="20"/>
      <c r="XD1" s="20"/>
      <c r="XE1" s="20"/>
      <c r="XF1" s="20"/>
      <c r="XG1" s="20"/>
      <c r="XH1" s="20"/>
      <c r="XI1" s="20"/>
      <c r="XJ1" s="20"/>
      <c r="XK1" s="20"/>
      <c r="XL1" s="20"/>
      <c r="XM1" s="20"/>
      <c r="XN1" s="20"/>
      <c r="XO1" s="20"/>
      <c r="XP1" s="20"/>
      <c r="XQ1" s="20"/>
      <c r="XR1" s="20"/>
      <c r="XS1" s="20"/>
      <c r="XT1" s="20"/>
      <c r="XU1" s="20"/>
      <c r="XV1" s="20"/>
      <c r="XW1" s="20"/>
      <c r="XX1" s="20"/>
      <c r="XY1" s="20"/>
      <c r="XZ1" s="20"/>
      <c r="YA1" s="20"/>
      <c r="YB1" s="20"/>
      <c r="YC1" s="20"/>
      <c r="YD1" s="20"/>
      <c r="YE1" s="20"/>
      <c r="YF1" s="20"/>
      <c r="YG1" s="20"/>
      <c r="YH1" s="20"/>
      <c r="YI1" s="20"/>
      <c r="YJ1" s="20"/>
      <c r="YK1" s="20"/>
      <c r="YL1" s="20"/>
      <c r="YM1" s="20"/>
      <c r="YN1" s="20"/>
      <c r="YO1" s="20"/>
      <c r="YP1" s="20"/>
      <c r="YQ1" s="20"/>
      <c r="YR1" s="20"/>
      <c r="YS1" s="20"/>
      <c r="YT1" s="20"/>
      <c r="YU1" s="20"/>
      <c r="YV1" s="20"/>
      <c r="YW1" s="20"/>
      <c r="YX1" s="20"/>
      <c r="YY1" s="20"/>
      <c r="YZ1" s="20"/>
      <c r="ZA1" s="20"/>
      <c r="ZB1" s="20"/>
      <c r="ZC1" s="20"/>
      <c r="ZD1" s="20"/>
      <c r="ZE1" s="20"/>
      <c r="ZF1" s="20"/>
      <c r="ZG1" s="20"/>
      <c r="ZH1" s="20"/>
      <c r="ZI1" s="20"/>
      <c r="ZJ1" s="20"/>
      <c r="ZK1" s="20"/>
      <c r="ZL1" s="20"/>
      <c r="ZM1" s="20"/>
      <c r="ZN1" s="20"/>
      <c r="ZO1" s="20"/>
      <c r="ZP1" s="20"/>
      <c r="ZQ1" s="20"/>
      <c r="ZR1" s="20"/>
      <c r="ZS1" s="20"/>
      <c r="ZT1" s="20"/>
      <c r="ZU1" s="20"/>
      <c r="ZV1" s="20"/>
      <c r="ZW1" s="20"/>
      <c r="ZX1" s="20"/>
      <c r="ZY1" s="20"/>
      <c r="ZZ1" s="20"/>
      <c r="AAA1" s="20"/>
      <c r="AAB1" s="20"/>
      <c r="AAC1" s="20"/>
      <c r="AAD1" s="20"/>
      <c r="AAE1" s="20"/>
      <c r="AAF1" s="20"/>
      <c r="AAG1" s="20"/>
      <c r="AAH1" s="20"/>
      <c r="AAI1" s="20"/>
      <c r="AAJ1" s="20"/>
      <c r="AAK1" s="20"/>
      <c r="AAL1" s="20"/>
      <c r="AAM1" s="20"/>
      <c r="AAN1" s="20"/>
      <c r="AAO1" s="20"/>
      <c r="AAP1" s="20"/>
      <c r="AAQ1" s="20"/>
      <c r="AAR1" s="20"/>
      <c r="AAS1" s="20"/>
      <c r="AAT1" s="20"/>
      <c r="AAU1" s="20"/>
      <c r="AAV1" s="20"/>
      <c r="AAW1" s="20"/>
      <c r="AAX1" s="20"/>
      <c r="AAY1" s="20"/>
      <c r="AAZ1" s="20"/>
      <c r="ABA1" s="20"/>
      <c r="ABB1" s="20"/>
      <c r="ABC1" s="20"/>
      <c r="ABD1" s="20"/>
      <c r="ABE1" s="20"/>
      <c r="ABF1" s="20"/>
      <c r="ABG1" s="20"/>
      <c r="ABH1" s="20"/>
      <c r="ABI1" s="20"/>
      <c r="ABJ1" s="20"/>
      <c r="ABK1" s="20"/>
      <c r="ABL1" s="20"/>
      <c r="ABM1" s="20"/>
      <c r="ABN1" s="20"/>
      <c r="ABO1" s="20"/>
      <c r="ABP1" s="20"/>
      <c r="ABQ1" s="20"/>
      <c r="ABR1" s="20"/>
      <c r="ABS1" s="20"/>
      <c r="ABT1" s="20"/>
      <c r="ABU1" s="20"/>
      <c r="ABV1" s="20"/>
      <c r="ABW1" s="20"/>
      <c r="ABX1" s="20"/>
      <c r="ABY1" s="20"/>
      <c r="ABZ1" s="20"/>
      <c r="ACA1" s="20"/>
      <c r="ACB1" s="20"/>
      <c r="ACC1" s="20"/>
      <c r="ACD1" s="20"/>
      <c r="ACE1" s="20"/>
      <c r="ACF1" s="20"/>
      <c r="ACG1" s="20"/>
      <c r="ACH1" s="20"/>
      <c r="ACI1" s="20"/>
      <c r="ACJ1" s="20"/>
      <c r="ACK1" s="20"/>
      <c r="ACL1" s="20"/>
      <c r="ACM1" s="20"/>
      <c r="ACN1" s="20"/>
      <c r="ACO1" s="20"/>
      <c r="ACP1" s="20"/>
      <c r="ACQ1" s="20"/>
      <c r="ACR1" s="20"/>
      <c r="ACS1" s="20"/>
      <c r="ACT1" s="20"/>
      <c r="ACU1" s="20"/>
      <c r="ACV1" s="20"/>
      <c r="ACW1" s="20"/>
      <c r="ACX1" s="20"/>
      <c r="ACY1" s="20"/>
      <c r="ACZ1" s="20"/>
      <c r="ADA1" s="20"/>
      <c r="ADB1" s="20"/>
      <c r="ADC1" s="20"/>
      <c r="ADD1" s="20"/>
      <c r="ADE1" s="20"/>
      <c r="ADF1" s="20"/>
      <c r="ADG1" s="20"/>
      <c r="ADH1" s="20"/>
      <c r="ADI1" s="20"/>
      <c r="ADJ1" s="20"/>
      <c r="ADK1" s="20"/>
      <c r="ADL1" s="20"/>
      <c r="ADM1" s="20"/>
      <c r="ADN1" s="20"/>
      <c r="ADO1" s="20"/>
      <c r="ADP1" s="20"/>
      <c r="ADQ1" s="20"/>
      <c r="ADR1" s="20"/>
      <c r="ADS1" s="20"/>
      <c r="ADT1" s="20"/>
      <c r="ADU1" s="20"/>
      <c r="ADV1" s="20"/>
      <c r="ADW1" s="20"/>
      <c r="ADX1" s="20"/>
      <c r="ADY1" s="20"/>
      <c r="ADZ1" s="20"/>
      <c r="AEA1" s="20"/>
      <c r="AEB1" s="20"/>
      <c r="AEC1" s="20"/>
      <c r="AED1" s="20"/>
      <c r="AEE1" s="20"/>
      <c r="AEF1" s="20"/>
      <c r="AEG1" s="20"/>
      <c r="AEH1" s="20"/>
      <c r="AEI1" s="20"/>
      <c r="AEJ1" s="20"/>
      <c r="AEK1" s="20"/>
      <c r="AEL1" s="20"/>
      <c r="AEM1" s="20"/>
      <c r="AEN1" s="20"/>
      <c r="AEO1" s="20"/>
      <c r="AEP1" s="20"/>
      <c r="AEQ1" s="20"/>
      <c r="AER1" s="20"/>
      <c r="AES1" s="20"/>
      <c r="AET1" s="20"/>
      <c r="AEU1" s="20"/>
      <c r="AEV1" s="20"/>
      <c r="AEW1" s="20"/>
      <c r="AEX1" s="20"/>
      <c r="AEY1" s="20"/>
      <c r="AEZ1" s="20"/>
      <c r="AFA1" s="20"/>
      <c r="AFB1" s="20"/>
      <c r="AFC1" s="20"/>
      <c r="AFD1" s="20"/>
      <c r="AFE1" s="20"/>
      <c r="AFF1" s="20"/>
      <c r="AFG1" s="20"/>
      <c r="AFH1" s="20"/>
      <c r="AFI1" s="20"/>
      <c r="AFJ1" s="20"/>
      <c r="AFK1" s="20"/>
      <c r="AFL1" s="20"/>
      <c r="AFM1" s="20"/>
      <c r="AFN1" s="20"/>
      <c r="AFO1" s="20"/>
      <c r="AFP1" s="20"/>
      <c r="AFQ1" s="20"/>
      <c r="AFR1" s="20"/>
      <c r="AFS1" s="20"/>
      <c r="AFT1" s="20"/>
      <c r="AFU1" s="20"/>
      <c r="AFV1" s="20"/>
      <c r="AFW1" s="20"/>
      <c r="AFX1" s="20"/>
      <c r="AFY1" s="20"/>
      <c r="AFZ1" s="20"/>
      <c r="AGA1" s="20"/>
      <c r="AGB1" s="20"/>
      <c r="AGC1" s="20"/>
      <c r="AGD1" s="20"/>
      <c r="AGE1" s="20"/>
      <c r="AGF1" s="20"/>
      <c r="AGG1" s="20"/>
      <c r="AGH1" s="20"/>
      <c r="AGI1" s="20"/>
      <c r="AGJ1" s="20"/>
      <c r="AGK1" s="20"/>
      <c r="AGL1" s="20"/>
      <c r="AGM1" s="20"/>
      <c r="AGN1" s="20"/>
      <c r="AGO1" s="20"/>
      <c r="AGP1" s="20"/>
      <c r="AGQ1" s="20"/>
      <c r="AGR1" s="20"/>
      <c r="AGS1" s="20"/>
      <c r="AGT1" s="20"/>
      <c r="AGU1" s="20"/>
      <c r="AGV1" s="20"/>
      <c r="AGW1" s="20"/>
      <c r="AGX1" s="20"/>
      <c r="AGY1" s="20"/>
      <c r="AGZ1" s="20"/>
      <c r="AHA1" s="20"/>
      <c r="AHB1" s="20"/>
      <c r="AHC1" s="20"/>
      <c r="AHD1" s="20"/>
      <c r="AHE1" s="20"/>
      <c r="AHF1" s="20"/>
      <c r="AHG1" s="20"/>
      <c r="AHH1" s="20"/>
      <c r="AHI1" s="20"/>
      <c r="AHJ1" s="20"/>
      <c r="AHK1" s="20"/>
      <c r="AHL1" s="20"/>
      <c r="AHM1" s="20"/>
      <c r="AHN1" s="20"/>
      <c r="AHO1" s="20"/>
      <c r="AHP1" s="20"/>
      <c r="AHQ1" s="20"/>
      <c r="AHR1" s="20"/>
      <c r="AHS1" s="20"/>
      <c r="AHT1" s="20"/>
      <c r="AHU1" s="20"/>
      <c r="AHV1" s="20"/>
      <c r="AHW1" s="20"/>
      <c r="AHX1" s="20"/>
      <c r="AHY1" s="20"/>
      <c r="AHZ1" s="20"/>
      <c r="AIA1" s="20"/>
      <c r="AIB1" s="20"/>
      <c r="AIC1" s="20"/>
      <c r="AID1" s="20"/>
      <c r="AIE1" s="20"/>
      <c r="AIF1" s="20"/>
      <c r="AIG1" s="20"/>
      <c r="AIH1" s="20"/>
      <c r="AII1" s="20"/>
      <c r="AIJ1" s="20"/>
      <c r="AIK1" s="20"/>
      <c r="AIL1" s="20"/>
      <c r="AIM1" s="20"/>
      <c r="AIN1" s="20"/>
      <c r="AIO1" s="20"/>
      <c r="AIP1" s="20"/>
      <c r="AIQ1" s="20"/>
      <c r="AIR1" s="20"/>
      <c r="AIS1" s="20"/>
      <c r="AIT1" s="20"/>
      <c r="AIU1" s="20"/>
      <c r="AIV1" s="20"/>
      <c r="AIW1" s="20"/>
      <c r="AIX1" s="20"/>
      <c r="AIY1" s="20"/>
      <c r="AIZ1" s="20"/>
      <c r="AJA1" s="20"/>
      <c r="AJB1" s="20"/>
      <c r="AJC1" s="20"/>
      <c r="AJD1" s="20"/>
      <c r="AJE1" s="20"/>
      <c r="AJF1" s="20"/>
      <c r="AJG1" s="20"/>
      <c r="AJH1" s="20"/>
      <c r="AJI1" s="20"/>
      <c r="AJJ1" s="20"/>
      <c r="AJK1" s="20"/>
      <c r="AJL1" s="20"/>
      <c r="AJM1" s="20"/>
      <c r="AJN1" s="20"/>
      <c r="AJO1" s="20"/>
      <c r="AJP1" s="20"/>
      <c r="AJQ1" s="20"/>
      <c r="AJR1" s="20"/>
      <c r="AJS1" s="20"/>
      <c r="AJT1" s="20"/>
      <c r="AJU1" s="20"/>
      <c r="AJV1" s="20"/>
      <c r="AJW1" s="20"/>
      <c r="AJX1" s="20"/>
      <c r="AJY1" s="20"/>
      <c r="AJZ1" s="20"/>
      <c r="AKA1" s="20"/>
      <c r="AKB1" s="20"/>
      <c r="AKC1" s="20"/>
      <c r="AKD1" s="20"/>
      <c r="AKE1" s="20"/>
      <c r="AKF1" s="20"/>
      <c r="AKG1" s="20"/>
      <c r="AKH1" s="20"/>
      <c r="AKI1" s="20"/>
      <c r="AKJ1" s="20"/>
      <c r="AKK1" s="20"/>
      <c r="AKL1" s="20"/>
      <c r="AKM1" s="20"/>
      <c r="AKN1" s="20"/>
      <c r="AKO1" s="20"/>
      <c r="AKP1" s="20"/>
      <c r="AKQ1" s="20"/>
      <c r="AKR1" s="20"/>
      <c r="AKS1" s="20"/>
      <c r="AKT1" s="20"/>
      <c r="AKU1" s="20"/>
      <c r="AKV1" s="20"/>
      <c r="AKW1" s="20"/>
      <c r="AKX1" s="20"/>
      <c r="AKY1" s="20"/>
      <c r="AKZ1" s="20"/>
      <c r="ALA1" s="20"/>
      <c r="ALB1" s="20"/>
      <c r="ALC1" s="20"/>
      <c r="ALD1" s="20"/>
      <c r="ALE1" s="20"/>
      <c r="ALF1" s="20"/>
      <c r="ALG1" s="20"/>
      <c r="ALH1" s="20"/>
      <c r="ALI1" s="20"/>
      <c r="ALJ1" s="20"/>
      <c r="ALK1" s="20"/>
      <c r="ALL1" s="20"/>
      <c r="ALM1" s="20"/>
      <c r="ALN1" s="20"/>
      <c r="ALO1" s="20"/>
      <c r="ALP1" s="20"/>
      <c r="ALQ1" s="20"/>
      <c r="ALR1" s="20"/>
      <c r="ALS1" s="20"/>
      <c r="ALT1" s="20"/>
      <c r="ALU1" s="20"/>
      <c r="ALV1" s="20"/>
      <c r="ALW1" s="20"/>
      <c r="ALX1" s="20"/>
      <c r="ALY1" s="20"/>
      <c r="ALZ1" s="20"/>
      <c r="AMA1" s="20"/>
      <c r="AMB1" s="20"/>
      <c r="AMC1" s="20"/>
      <c r="AMD1" s="20"/>
      <c r="AME1" s="20"/>
      <c r="AMF1" s="20"/>
      <c r="AMG1" s="20"/>
      <c r="AMH1" s="20"/>
      <c r="AMI1" s="20"/>
      <c r="AMJ1" s="20"/>
      <c r="AMK1" s="20"/>
      <c r="AML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  <c r="FI3" s="24"/>
      <c r="FJ3" s="24"/>
      <c r="FK3" s="24"/>
      <c r="FL3" s="24"/>
      <c r="FM3" s="24"/>
      <c r="FN3" s="24"/>
      <c r="FO3" s="24"/>
      <c r="FP3" s="24"/>
      <c r="FQ3" s="24"/>
      <c r="FR3" s="24"/>
      <c r="FS3" s="24"/>
      <c r="FT3" s="24"/>
      <c r="FU3" s="24"/>
      <c r="FV3" s="24"/>
      <c r="FW3" s="24"/>
      <c r="FX3" s="24"/>
      <c r="FY3" s="24"/>
      <c r="FZ3" s="24"/>
      <c r="GA3" s="24"/>
      <c r="GB3" s="24"/>
      <c r="GC3" s="24"/>
      <c r="GD3" s="24"/>
      <c r="GE3" s="24"/>
      <c r="GF3" s="24"/>
      <c r="GG3" s="24"/>
      <c r="GH3" s="24"/>
      <c r="GI3" s="24"/>
      <c r="GJ3" s="24"/>
      <c r="GK3" s="24"/>
      <c r="GL3" s="24"/>
      <c r="GM3" s="24"/>
      <c r="GN3" s="24"/>
      <c r="GO3" s="24"/>
      <c r="GP3" s="24"/>
      <c r="GQ3" s="24"/>
      <c r="GR3" s="24"/>
      <c r="GS3" s="24"/>
      <c r="GT3" s="24"/>
      <c r="GU3" s="24"/>
      <c r="GV3" s="24"/>
      <c r="GW3" s="24"/>
      <c r="GX3" s="24"/>
      <c r="GY3" s="24"/>
      <c r="GZ3" s="24"/>
      <c r="HA3" s="24"/>
      <c r="HB3" s="24"/>
      <c r="HC3" s="24"/>
      <c r="HD3" s="24"/>
      <c r="HE3" s="24"/>
      <c r="HF3" s="24"/>
      <c r="HG3" s="24"/>
      <c r="HH3" s="24"/>
      <c r="HI3" s="24"/>
      <c r="HJ3" s="24"/>
      <c r="HK3" s="24"/>
      <c r="HL3" s="24"/>
      <c r="HM3" s="24"/>
      <c r="HN3" s="24"/>
      <c r="HO3" s="24"/>
      <c r="HP3" s="24"/>
      <c r="HQ3" s="24"/>
      <c r="HR3" s="24"/>
      <c r="HS3" s="24"/>
      <c r="HT3" s="24"/>
      <c r="HU3" s="24"/>
      <c r="HV3" s="24"/>
      <c r="HW3" s="24"/>
      <c r="HX3" s="24"/>
      <c r="HY3" s="24"/>
      <c r="HZ3" s="24"/>
      <c r="IA3" s="24"/>
      <c r="IB3" s="24"/>
      <c r="IC3" s="24"/>
      <c r="ID3" s="24"/>
      <c r="IE3" s="24"/>
      <c r="IF3" s="24"/>
      <c r="IG3" s="24"/>
      <c r="IH3" s="24"/>
      <c r="II3" s="24"/>
      <c r="IJ3" s="24"/>
      <c r="IK3" s="24"/>
      <c r="IL3" s="24"/>
      <c r="IM3" s="24"/>
      <c r="IN3" s="24"/>
      <c r="IO3" s="24"/>
      <c r="IP3" s="24"/>
      <c r="IQ3" s="24"/>
      <c r="IR3" s="24"/>
      <c r="IS3" s="24"/>
      <c r="IT3" s="24"/>
      <c r="IU3" s="24"/>
      <c r="IV3" s="24"/>
      <c r="IW3" s="24"/>
      <c r="IX3" s="24"/>
      <c r="IY3" s="24"/>
      <c r="IZ3" s="24"/>
      <c r="JA3" s="24"/>
      <c r="JB3" s="24"/>
      <c r="JC3" s="24"/>
      <c r="JD3" s="24"/>
      <c r="JE3" s="24"/>
      <c r="JF3" s="24"/>
      <c r="JG3" s="24"/>
      <c r="JH3" s="24"/>
      <c r="JI3" s="24"/>
      <c r="JJ3" s="24"/>
      <c r="JK3" s="24"/>
      <c r="JL3" s="24"/>
      <c r="JM3" s="24"/>
      <c r="JN3" s="24"/>
      <c r="JO3" s="24"/>
      <c r="JP3" s="24"/>
      <c r="JQ3" s="24"/>
      <c r="JR3" s="24"/>
      <c r="JS3" s="24"/>
      <c r="JT3" s="24"/>
      <c r="JU3" s="24"/>
      <c r="JV3" s="24"/>
      <c r="JW3" s="24"/>
      <c r="JX3" s="24"/>
      <c r="JY3" s="24"/>
      <c r="JZ3" s="24"/>
      <c r="KA3" s="24"/>
      <c r="KB3" s="24"/>
      <c r="KC3" s="24"/>
      <c r="KD3" s="24"/>
      <c r="KE3" s="24"/>
      <c r="KF3" s="24"/>
      <c r="KG3" s="24"/>
      <c r="KH3" s="24"/>
      <c r="KI3" s="24"/>
      <c r="KJ3" s="24"/>
      <c r="KK3" s="24"/>
      <c r="KL3" s="24"/>
      <c r="KM3" s="24"/>
      <c r="KN3" s="24"/>
      <c r="KO3" s="24"/>
      <c r="KP3" s="24"/>
      <c r="KQ3" s="24"/>
      <c r="KR3" s="24"/>
      <c r="KS3" s="24"/>
      <c r="KT3" s="24"/>
      <c r="KU3" s="24"/>
      <c r="KV3" s="24"/>
      <c r="KW3" s="24"/>
      <c r="KX3" s="24"/>
      <c r="KY3" s="24"/>
      <c r="KZ3" s="24"/>
      <c r="LA3" s="24"/>
      <c r="LB3" s="24"/>
      <c r="LC3" s="24"/>
      <c r="LD3" s="24"/>
      <c r="LE3" s="24"/>
      <c r="LF3" s="24"/>
      <c r="LG3" s="24"/>
      <c r="LH3" s="24"/>
      <c r="LI3" s="24"/>
      <c r="LJ3" s="24"/>
      <c r="LK3" s="24"/>
      <c r="LL3" s="24"/>
      <c r="LM3" s="24"/>
      <c r="LN3" s="24"/>
      <c r="LO3" s="24"/>
      <c r="LP3" s="24"/>
      <c r="LQ3" s="24"/>
      <c r="LR3" s="24"/>
      <c r="LS3" s="24"/>
      <c r="LT3" s="24"/>
      <c r="LU3" s="24"/>
      <c r="LV3" s="24"/>
      <c r="LW3" s="24"/>
      <c r="LX3" s="24"/>
      <c r="LY3" s="24"/>
      <c r="LZ3" s="24"/>
      <c r="MA3" s="24"/>
      <c r="MB3" s="24"/>
      <c r="MC3" s="24"/>
      <c r="MD3" s="24"/>
      <c r="ME3" s="24"/>
      <c r="MF3" s="24"/>
      <c r="MG3" s="24"/>
      <c r="MH3" s="24"/>
      <c r="MI3" s="24"/>
      <c r="MJ3" s="24"/>
      <c r="MK3" s="24"/>
      <c r="ML3" s="24"/>
      <c r="MM3" s="24"/>
      <c r="MN3" s="24"/>
      <c r="MO3" s="24"/>
      <c r="MP3" s="24"/>
      <c r="MQ3" s="24"/>
      <c r="MR3" s="24"/>
      <c r="MS3" s="24"/>
      <c r="MT3" s="24"/>
      <c r="MU3" s="24"/>
      <c r="MV3" s="24"/>
      <c r="MW3" s="24"/>
      <c r="MX3" s="24"/>
      <c r="MY3" s="24"/>
      <c r="MZ3" s="24"/>
      <c r="NA3" s="24"/>
      <c r="NB3" s="24"/>
      <c r="NC3" s="24"/>
      <c r="ND3" s="24"/>
      <c r="NE3" s="24"/>
      <c r="NF3" s="24"/>
      <c r="NG3" s="24"/>
      <c r="NH3" s="24"/>
      <c r="NI3" s="24"/>
      <c r="NJ3" s="24"/>
      <c r="NK3" s="24"/>
      <c r="NL3" s="24"/>
      <c r="NM3" s="24"/>
      <c r="NN3" s="24"/>
      <c r="NO3" s="24"/>
      <c r="NP3" s="24"/>
      <c r="NQ3" s="24"/>
      <c r="NR3" s="24"/>
      <c r="NS3" s="24"/>
      <c r="NT3" s="24"/>
      <c r="NU3" s="24"/>
      <c r="NV3" s="24"/>
      <c r="NW3" s="24"/>
      <c r="NX3" s="24"/>
      <c r="NY3" s="24"/>
      <c r="NZ3" s="24"/>
      <c r="OA3" s="24"/>
      <c r="OB3" s="24"/>
      <c r="OC3" s="24"/>
      <c r="OD3" s="24"/>
      <c r="OE3" s="24"/>
      <c r="OF3" s="24"/>
      <c r="OG3" s="24"/>
      <c r="OH3" s="24"/>
      <c r="OI3" s="24"/>
      <c r="OJ3" s="24"/>
      <c r="OK3" s="24"/>
      <c r="OL3" s="24"/>
      <c r="OM3" s="24"/>
      <c r="ON3" s="24"/>
      <c r="OO3" s="24"/>
      <c r="OP3" s="24"/>
      <c r="OQ3" s="24"/>
      <c r="OR3" s="24"/>
      <c r="OS3" s="24"/>
      <c r="OT3" s="24"/>
      <c r="OU3" s="24"/>
      <c r="OV3" s="24"/>
      <c r="OW3" s="24"/>
      <c r="OX3" s="24"/>
      <c r="OY3" s="24"/>
      <c r="OZ3" s="24"/>
      <c r="PA3" s="24"/>
      <c r="PB3" s="24"/>
      <c r="PC3" s="24"/>
      <c r="PD3" s="24"/>
      <c r="PE3" s="24"/>
      <c r="PF3" s="24"/>
      <c r="PG3" s="24"/>
      <c r="PH3" s="24"/>
      <c r="PI3" s="24"/>
      <c r="PJ3" s="24"/>
      <c r="PK3" s="24"/>
      <c r="PL3" s="24"/>
      <c r="PM3" s="24"/>
      <c r="PN3" s="24"/>
      <c r="PO3" s="24"/>
      <c r="PP3" s="24"/>
      <c r="PQ3" s="24"/>
      <c r="PR3" s="24"/>
      <c r="PS3" s="24"/>
      <c r="PT3" s="24"/>
      <c r="PU3" s="24"/>
      <c r="PV3" s="24"/>
      <c r="PW3" s="24"/>
      <c r="PX3" s="24"/>
      <c r="PY3" s="24"/>
      <c r="PZ3" s="24"/>
      <c r="QA3" s="24"/>
      <c r="QB3" s="24"/>
      <c r="QC3" s="24"/>
      <c r="QD3" s="24"/>
      <c r="QE3" s="24"/>
      <c r="QF3" s="24"/>
      <c r="QG3" s="24"/>
      <c r="QH3" s="24"/>
      <c r="QI3" s="24"/>
      <c r="QJ3" s="24"/>
      <c r="QK3" s="24"/>
      <c r="QL3" s="24"/>
      <c r="QM3" s="24"/>
      <c r="QN3" s="24"/>
      <c r="QO3" s="24"/>
      <c r="QP3" s="24"/>
      <c r="QQ3" s="24"/>
      <c r="QR3" s="24"/>
      <c r="QS3" s="24"/>
      <c r="QT3" s="24"/>
      <c r="QU3" s="24"/>
      <c r="QV3" s="24"/>
      <c r="QW3" s="24"/>
      <c r="QX3" s="24"/>
      <c r="QY3" s="24"/>
      <c r="QZ3" s="24"/>
      <c r="RA3" s="24"/>
      <c r="RB3" s="24"/>
      <c r="RC3" s="24"/>
      <c r="RD3" s="24"/>
      <c r="RE3" s="24"/>
      <c r="RF3" s="24"/>
      <c r="RG3" s="24"/>
      <c r="RH3" s="24"/>
      <c r="RI3" s="24"/>
      <c r="RJ3" s="24"/>
      <c r="RK3" s="24"/>
      <c r="RL3" s="24"/>
      <c r="RM3" s="24"/>
      <c r="RN3" s="24"/>
      <c r="RO3" s="24"/>
      <c r="RP3" s="24"/>
      <c r="RQ3" s="24"/>
      <c r="RR3" s="24"/>
      <c r="RS3" s="24"/>
      <c r="RT3" s="24"/>
      <c r="RU3" s="24"/>
      <c r="RV3" s="24"/>
      <c r="RW3" s="24"/>
      <c r="RX3" s="24"/>
      <c r="RY3" s="24"/>
      <c r="RZ3" s="24"/>
      <c r="SA3" s="24"/>
      <c r="SB3" s="24"/>
      <c r="SC3" s="24"/>
      <c r="SD3" s="24"/>
      <c r="SE3" s="24"/>
      <c r="SF3" s="24"/>
      <c r="SG3" s="24"/>
      <c r="SH3" s="24"/>
      <c r="SI3" s="24"/>
      <c r="SJ3" s="24"/>
      <c r="SK3" s="24"/>
      <c r="SL3" s="24"/>
      <c r="SM3" s="24"/>
      <c r="SN3" s="24"/>
      <c r="SO3" s="24"/>
      <c r="SP3" s="24"/>
      <c r="SQ3" s="24"/>
      <c r="SR3" s="24"/>
      <c r="SS3" s="24"/>
      <c r="ST3" s="24"/>
      <c r="SU3" s="24"/>
      <c r="SV3" s="24"/>
      <c r="SW3" s="24"/>
      <c r="SX3" s="24"/>
      <c r="SY3" s="24"/>
      <c r="SZ3" s="24"/>
      <c r="TA3" s="24"/>
      <c r="TB3" s="24"/>
      <c r="TC3" s="24"/>
      <c r="TD3" s="24"/>
      <c r="TE3" s="24"/>
      <c r="TF3" s="24"/>
      <c r="TG3" s="24"/>
      <c r="TH3" s="24"/>
      <c r="TI3" s="24"/>
      <c r="TJ3" s="24"/>
      <c r="TK3" s="24"/>
      <c r="TL3" s="24"/>
      <c r="TM3" s="24"/>
      <c r="TN3" s="24"/>
      <c r="TO3" s="24"/>
      <c r="TP3" s="24"/>
      <c r="TQ3" s="24"/>
      <c r="TR3" s="24"/>
      <c r="TS3" s="24"/>
      <c r="TT3" s="24"/>
      <c r="TU3" s="24"/>
      <c r="TV3" s="24"/>
      <c r="TW3" s="24"/>
      <c r="TX3" s="24"/>
      <c r="TY3" s="24"/>
      <c r="TZ3" s="24"/>
      <c r="UA3" s="24"/>
      <c r="UB3" s="24"/>
      <c r="UC3" s="24"/>
      <c r="UD3" s="24"/>
      <c r="UE3" s="24"/>
      <c r="UF3" s="24"/>
      <c r="UG3" s="24"/>
      <c r="UH3" s="24"/>
      <c r="UI3" s="24"/>
      <c r="UJ3" s="24"/>
      <c r="UK3" s="24"/>
      <c r="UL3" s="24"/>
      <c r="UM3" s="24"/>
      <c r="UN3" s="24"/>
      <c r="UO3" s="24"/>
      <c r="UP3" s="24"/>
      <c r="UQ3" s="24"/>
      <c r="UR3" s="24"/>
      <c r="US3" s="24"/>
      <c r="UT3" s="24"/>
      <c r="UU3" s="24"/>
      <c r="UV3" s="24"/>
      <c r="UW3" s="24"/>
      <c r="UX3" s="24"/>
      <c r="UY3" s="24"/>
      <c r="UZ3" s="24"/>
      <c r="VA3" s="24"/>
      <c r="VB3" s="24"/>
      <c r="VC3" s="24"/>
      <c r="VD3" s="24"/>
      <c r="VE3" s="24"/>
      <c r="VF3" s="24"/>
      <c r="VG3" s="24"/>
      <c r="VH3" s="24"/>
      <c r="VI3" s="24"/>
      <c r="VJ3" s="24"/>
      <c r="VK3" s="24"/>
      <c r="VL3" s="24"/>
      <c r="VM3" s="24"/>
      <c r="VN3" s="24"/>
      <c r="VO3" s="24"/>
      <c r="VP3" s="24"/>
      <c r="VQ3" s="24"/>
      <c r="VR3" s="24"/>
      <c r="VS3" s="24"/>
      <c r="VT3" s="24"/>
      <c r="VU3" s="24"/>
      <c r="VV3" s="24"/>
      <c r="VW3" s="24"/>
      <c r="VX3" s="24"/>
      <c r="VY3" s="24"/>
      <c r="VZ3" s="24"/>
      <c r="WA3" s="24"/>
      <c r="WB3" s="24"/>
      <c r="WC3" s="24"/>
      <c r="WD3" s="24"/>
      <c r="WE3" s="24"/>
      <c r="WF3" s="24"/>
      <c r="WG3" s="24"/>
      <c r="WH3" s="24"/>
      <c r="WI3" s="24"/>
      <c r="WJ3" s="24"/>
      <c r="WK3" s="24"/>
      <c r="WL3" s="24"/>
      <c r="WM3" s="24"/>
      <c r="WN3" s="24"/>
      <c r="WO3" s="24"/>
      <c r="WP3" s="24"/>
      <c r="WQ3" s="24"/>
      <c r="WR3" s="24"/>
      <c r="WS3" s="24"/>
      <c r="WT3" s="24"/>
      <c r="WU3" s="24"/>
      <c r="WV3" s="24"/>
      <c r="WW3" s="24"/>
      <c r="WX3" s="24"/>
      <c r="WY3" s="24"/>
      <c r="WZ3" s="24"/>
      <c r="XA3" s="24"/>
      <c r="XB3" s="24"/>
      <c r="XC3" s="24"/>
      <c r="XD3" s="24"/>
      <c r="XE3" s="24"/>
      <c r="XF3" s="24"/>
      <c r="XG3" s="24"/>
      <c r="XH3" s="24"/>
      <c r="XI3" s="24"/>
      <c r="XJ3" s="24"/>
      <c r="XK3" s="24"/>
      <c r="XL3" s="24"/>
      <c r="XM3" s="24"/>
      <c r="XN3" s="24"/>
      <c r="XO3" s="24"/>
      <c r="XP3" s="24"/>
      <c r="XQ3" s="24"/>
      <c r="XR3" s="24"/>
      <c r="XS3" s="24"/>
      <c r="XT3" s="24"/>
      <c r="XU3" s="24"/>
      <c r="XV3" s="24"/>
      <c r="XW3" s="24"/>
      <c r="XX3" s="24"/>
      <c r="XY3" s="24"/>
      <c r="XZ3" s="24"/>
      <c r="YA3" s="24"/>
      <c r="YB3" s="24"/>
      <c r="YC3" s="24"/>
      <c r="YD3" s="24"/>
      <c r="YE3" s="24"/>
      <c r="YF3" s="24"/>
      <c r="YG3" s="24"/>
      <c r="YH3" s="24"/>
      <c r="YI3" s="24"/>
      <c r="YJ3" s="24"/>
      <c r="YK3" s="24"/>
      <c r="YL3" s="24"/>
      <c r="YM3" s="24"/>
      <c r="YN3" s="24"/>
      <c r="YO3" s="24"/>
      <c r="YP3" s="24"/>
      <c r="YQ3" s="24"/>
      <c r="YR3" s="24"/>
      <c r="YS3" s="24"/>
      <c r="YT3" s="24"/>
      <c r="YU3" s="24"/>
      <c r="YV3" s="24"/>
      <c r="YW3" s="24"/>
      <c r="YX3" s="24"/>
      <c r="YY3" s="24"/>
      <c r="YZ3" s="24"/>
      <c r="ZA3" s="24"/>
      <c r="ZB3" s="24"/>
      <c r="ZC3" s="24"/>
      <c r="ZD3" s="24"/>
      <c r="ZE3" s="24"/>
      <c r="ZF3" s="24"/>
      <c r="ZG3" s="24"/>
      <c r="ZH3" s="24"/>
      <c r="ZI3" s="24"/>
      <c r="ZJ3" s="24"/>
      <c r="ZK3" s="24"/>
      <c r="ZL3" s="24"/>
      <c r="ZM3" s="24"/>
      <c r="ZN3" s="24"/>
      <c r="ZO3" s="24"/>
      <c r="ZP3" s="24"/>
      <c r="ZQ3" s="24"/>
      <c r="ZR3" s="24"/>
      <c r="ZS3" s="24"/>
      <c r="ZT3" s="24"/>
      <c r="ZU3" s="24"/>
      <c r="ZV3" s="24"/>
      <c r="ZW3" s="24"/>
      <c r="ZX3" s="24"/>
      <c r="ZY3" s="24"/>
      <c r="ZZ3" s="24"/>
      <c r="AAA3" s="24"/>
      <c r="AAB3" s="24"/>
      <c r="AAC3" s="24"/>
      <c r="AAD3" s="24"/>
      <c r="AAE3" s="24"/>
      <c r="AAF3" s="24"/>
      <c r="AAG3" s="24"/>
      <c r="AAH3" s="24"/>
      <c r="AAI3" s="24"/>
      <c r="AAJ3" s="24"/>
      <c r="AAK3" s="24"/>
      <c r="AAL3" s="24"/>
      <c r="AAM3" s="24"/>
      <c r="AAN3" s="24"/>
      <c r="AAO3" s="24"/>
      <c r="AAP3" s="24"/>
      <c r="AAQ3" s="24"/>
      <c r="AAR3" s="24"/>
      <c r="AAS3" s="24"/>
      <c r="AAT3" s="24"/>
      <c r="AAU3" s="24"/>
      <c r="AAV3" s="24"/>
      <c r="AAW3" s="24"/>
      <c r="AAX3" s="24"/>
      <c r="AAY3" s="24"/>
      <c r="AAZ3" s="24"/>
      <c r="ABA3" s="24"/>
      <c r="ABB3" s="24"/>
      <c r="ABC3" s="24"/>
      <c r="ABD3" s="24"/>
      <c r="ABE3" s="24"/>
      <c r="ABF3" s="24"/>
      <c r="ABG3" s="24"/>
      <c r="ABH3" s="24"/>
      <c r="ABI3" s="24"/>
      <c r="ABJ3" s="24"/>
      <c r="ABK3" s="24"/>
      <c r="ABL3" s="24"/>
      <c r="ABM3" s="24"/>
      <c r="ABN3" s="24"/>
      <c r="ABO3" s="24"/>
      <c r="ABP3" s="24"/>
      <c r="ABQ3" s="24"/>
      <c r="ABR3" s="24"/>
      <c r="ABS3" s="24"/>
      <c r="ABT3" s="24"/>
      <c r="ABU3" s="24"/>
      <c r="ABV3" s="24"/>
      <c r="ABW3" s="24"/>
      <c r="ABX3" s="24"/>
      <c r="ABY3" s="24"/>
      <c r="ABZ3" s="24"/>
      <c r="ACA3" s="24"/>
      <c r="ACB3" s="24"/>
      <c r="ACC3" s="24"/>
      <c r="ACD3" s="24"/>
      <c r="ACE3" s="24"/>
      <c r="ACF3" s="24"/>
      <c r="ACG3" s="24"/>
      <c r="ACH3" s="24"/>
      <c r="ACI3" s="24"/>
      <c r="ACJ3" s="24"/>
      <c r="ACK3" s="24"/>
      <c r="ACL3" s="24"/>
      <c r="ACM3" s="24"/>
      <c r="ACN3" s="24"/>
      <c r="ACO3" s="24"/>
      <c r="ACP3" s="24"/>
      <c r="ACQ3" s="24"/>
      <c r="ACR3" s="24"/>
      <c r="ACS3" s="24"/>
      <c r="ACT3" s="24"/>
      <c r="ACU3" s="24"/>
      <c r="ACV3" s="24"/>
      <c r="ACW3" s="24"/>
      <c r="ACX3" s="24"/>
      <c r="ACY3" s="24"/>
      <c r="ACZ3" s="24"/>
      <c r="ADA3" s="24"/>
      <c r="ADB3" s="24"/>
      <c r="ADC3" s="24"/>
      <c r="ADD3" s="24"/>
      <c r="ADE3" s="24"/>
      <c r="ADF3" s="24"/>
      <c r="ADG3" s="24"/>
      <c r="ADH3" s="24"/>
      <c r="ADI3" s="24"/>
      <c r="ADJ3" s="24"/>
      <c r="ADK3" s="24"/>
      <c r="ADL3" s="24"/>
      <c r="ADM3" s="24"/>
      <c r="ADN3" s="24"/>
      <c r="ADO3" s="24"/>
      <c r="ADP3" s="24"/>
      <c r="ADQ3" s="24"/>
      <c r="ADR3" s="24"/>
      <c r="ADS3" s="24"/>
      <c r="ADT3" s="24"/>
      <c r="ADU3" s="24"/>
      <c r="ADV3" s="24"/>
      <c r="ADW3" s="24"/>
      <c r="ADX3" s="24"/>
      <c r="ADY3" s="24"/>
      <c r="ADZ3" s="24"/>
      <c r="AEA3" s="24"/>
      <c r="AEB3" s="24"/>
      <c r="AEC3" s="24"/>
      <c r="AED3" s="24"/>
      <c r="AEE3" s="24"/>
      <c r="AEF3" s="24"/>
      <c r="AEG3" s="24"/>
      <c r="AEH3" s="24"/>
      <c r="AEI3" s="24"/>
      <c r="AEJ3" s="24"/>
      <c r="AEK3" s="24"/>
      <c r="AEL3" s="24"/>
      <c r="AEM3" s="24"/>
      <c r="AEN3" s="24"/>
      <c r="AEO3" s="24"/>
      <c r="AEP3" s="24"/>
      <c r="AEQ3" s="24"/>
      <c r="AER3" s="24"/>
      <c r="AES3" s="24"/>
      <c r="AET3" s="24"/>
      <c r="AEU3" s="24"/>
      <c r="AEV3" s="24"/>
      <c r="AEW3" s="24"/>
      <c r="AEX3" s="24"/>
      <c r="AEY3" s="24"/>
      <c r="AEZ3" s="24"/>
      <c r="AFA3" s="24"/>
      <c r="AFB3" s="24"/>
      <c r="AFC3" s="24"/>
      <c r="AFD3" s="24"/>
      <c r="AFE3" s="24"/>
      <c r="AFF3" s="24"/>
      <c r="AFG3" s="24"/>
      <c r="AFH3" s="24"/>
      <c r="AFI3" s="24"/>
      <c r="AFJ3" s="24"/>
      <c r="AFK3" s="24"/>
      <c r="AFL3" s="24"/>
      <c r="AFM3" s="24"/>
      <c r="AFN3" s="24"/>
      <c r="AFO3" s="24"/>
      <c r="AFP3" s="24"/>
      <c r="AFQ3" s="24"/>
      <c r="AFR3" s="24"/>
      <c r="AFS3" s="24"/>
      <c r="AFT3" s="24"/>
      <c r="AFU3" s="24"/>
      <c r="AFV3" s="24"/>
      <c r="AFW3" s="24"/>
      <c r="AFX3" s="24"/>
      <c r="AFY3" s="24"/>
      <c r="AFZ3" s="24"/>
      <c r="AGA3" s="24"/>
      <c r="AGB3" s="24"/>
      <c r="AGC3" s="24"/>
      <c r="AGD3" s="24"/>
      <c r="AGE3" s="24"/>
      <c r="AGF3" s="24"/>
      <c r="AGG3" s="24"/>
      <c r="AGH3" s="24"/>
      <c r="AGI3" s="24"/>
      <c r="AGJ3" s="24"/>
      <c r="AGK3" s="24"/>
      <c r="AGL3" s="24"/>
      <c r="AGM3" s="24"/>
      <c r="AGN3" s="24"/>
      <c r="AGO3" s="24"/>
      <c r="AGP3" s="24"/>
      <c r="AGQ3" s="24"/>
      <c r="AGR3" s="24"/>
      <c r="AGS3" s="24"/>
      <c r="AGT3" s="24"/>
      <c r="AGU3" s="24"/>
      <c r="AGV3" s="24"/>
      <c r="AGW3" s="24"/>
      <c r="AGX3" s="24"/>
      <c r="AGY3" s="24"/>
      <c r="AGZ3" s="24"/>
      <c r="AHA3" s="24"/>
      <c r="AHB3" s="24"/>
      <c r="AHC3" s="24"/>
      <c r="AHD3" s="24"/>
      <c r="AHE3" s="24"/>
      <c r="AHF3" s="24"/>
      <c r="AHG3" s="24"/>
      <c r="AHH3" s="24"/>
      <c r="AHI3" s="24"/>
      <c r="AHJ3" s="24"/>
      <c r="AHK3" s="24"/>
      <c r="AHL3" s="24"/>
      <c r="AHM3" s="24"/>
      <c r="AHN3" s="24"/>
      <c r="AHO3" s="24"/>
      <c r="AHP3" s="24"/>
      <c r="AHQ3" s="24"/>
      <c r="AHR3" s="24"/>
      <c r="AHS3" s="24"/>
      <c r="AHT3" s="24"/>
      <c r="AHU3" s="24"/>
      <c r="AHV3" s="24"/>
      <c r="AHW3" s="24"/>
      <c r="AHX3" s="24"/>
      <c r="AHY3" s="24"/>
      <c r="AHZ3" s="24"/>
      <c r="AIA3" s="24"/>
      <c r="AIB3" s="24"/>
      <c r="AIC3" s="24"/>
      <c r="AID3" s="24"/>
      <c r="AIE3" s="24"/>
      <c r="AIF3" s="24"/>
      <c r="AIG3" s="24"/>
      <c r="AIH3" s="24"/>
      <c r="AII3" s="24"/>
      <c r="AIJ3" s="24"/>
      <c r="AIK3" s="24"/>
      <c r="AIL3" s="24"/>
      <c r="AIM3" s="24"/>
      <c r="AIN3" s="24"/>
      <c r="AIO3" s="24"/>
      <c r="AIP3" s="24"/>
      <c r="AIQ3" s="24"/>
      <c r="AIR3" s="24"/>
      <c r="AIS3" s="24"/>
      <c r="AIT3" s="24"/>
      <c r="AIU3" s="24"/>
      <c r="AIV3" s="24"/>
      <c r="AIW3" s="24"/>
      <c r="AIX3" s="24"/>
      <c r="AIY3" s="24"/>
      <c r="AIZ3" s="24"/>
      <c r="AJA3" s="24"/>
      <c r="AJB3" s="24"/>
      <c r="AJC3" s="24"/>
      <c r="AJD3" s="24"/>
      <c r="AJE3" s="24"/>
      <c r="AJF3" s="24"/>
      <c r="AJG3" s="24"/>
      <c r="AJH3" s="24"/>
      <c r="AJI3" s="24"/>
      <c r="AJJ3" s="24"/>
      <c r="AJK3" s="24"/>
      <c r="AJL3" s="24"/>
      <c r="AJM3" s="24"/>
      <c r="AJN3" s="24"/>
      <c r="AJO3" s="24"/>
      <c r="AJP3" s="24"/>
      <c r="AJQ3" s="24"/>
      <c r="AJR3" s="24"/>
      <c r="AJS3" s="24"/>
      <c r="AJT3" s="24"/>
      <c r="AJU3" s="24"/>
      <c r="AJV3" s="24"/>
      <c r="AJW3" s="24"/>
      <c r="AJX3" s="24"/>
      <c r="AJY3" s="24"/>
      <c r="AJZ3" s="24"/>
      <c r="AKA3" s="24"/>
      <c r="AKB3" s="24"/>
      <c r="AKC3" s="24"/>
      <c r="AKD3" s="24"/>
      <c r="AKE3" s="24"/>
      <c r="AKF3" s="24"/>
      <c r="AKG3" s="24"/>
      <c r="AKH3" s="24"/>
      <c r="AKI3" s="24"/>
      <c r="AKJ3" s="24"/>
      <c r="AKK3" s="24"/>
      <c r="AKL3" s="24"/>
      <c r="AKM3" s="24"/>
      <c r="AKN3" s="24"/>
      <c r="AKO3" s="24"/>
      <c r="AKP3" s="24"/>
      <c r="AKQ3" s="24"/>
      <c r="AKR3" s="24"/>
      <c r="AKS3" s="24"/>
      <c r="AKT3" s="24"/>
      <c r="AKU3" s="24"/>
      <c r="AKV3" s="24"/>
      <c r="AKW3" s="24"/>
      <c r="AKX3" s="24"/>
      <c r="AKY3" s="24"/>
      <c r="AKZ3" s="24"/>
      <c r="ALA3" s="24"/>
      <c r="ALB3" s="24"/>
      <c r="ALC3" s="24"/>
      <c r="ALD3" s="24"/>
      <c r="ALE3" s="24"/>
      <c r="ALF3" s="24"/>
      <c r="ALG3" s="24"/>
      <c r="ALH3" s="24"/>
      <c r="ALI3" s="24"/>
      <c r="ALJ3" s="24"/>
      <c r="ALK3" s="24"/>
      <c r="ALL3" s="24"/>
      <c r="ALM3" s="24"/>
      <c r="ALN3" s="24"/>
      <c r="ALO3" s="24"/>
      <c r="ALP3" s="24"/>
      <c r="ALQ3" s="24"/>
      <c r="ALR3" s="24"/>
      <c r="ALS3" s="24"/>
      <c r="ALT3" s="24"/>
      <c r="ALU3" s="24"/>
      <c r="ALV3" s="24"/>
      <c r="ALW3" s="24"/>
      <c r="ALX3" s="24"/>
      <c r="ALY3" s="24"/>
      <c r="ALZ3" s="24"/>
      <c r="AMA3" s="24"/>
      <c r="AMB3" s="24"/>
      <c r="AMC3" s="24"/>
      <c r="AMD3" s="24"/>
      <c r="AME3" s="24"/>
      <c r="AMF3" s="24"/>
      <c r="AMG3" s="24"/>
      <c r="AMH3" s="24"/>
      <c r="AMI3" s="24"/>
      <c r="AMJ3" s="24"/>
      <c r="AMK3" s="24"/>
      <c r="AML3" s="24"/>
    </row>
    <row r="4" ht="15.75" customHeight="1">
      <c r="A4" s="25"/>
      <c r="B4" s="25" t="str">
        <f>IFERROR(__xludf.DUMMYFUNCTION("IF(C3="""","""",Transpose(IMPORTRANGE('_Settings'!$B$3,C3&amp;""!A4:A1000"")))"),"FetchAccountPositions")</f>
        <v>FetchAccountPositions</v>
      </c>
      <c r="C4" s="25" t="str">
        <f>IFERROR(__xludf.DUMMYFUNCTION("""COMPUTED_VALUE"""),"AddCash")</f>
        <v>AddCash</v>
      </c>
      <c r="D4" s="25" t="str">
        <f>IFERROR(__xludf.DUMMYFUNCTION("""COMPUTED_VALUE"""),"VerifyGridData")</f>
        <v>VerifyGridData</v>
      </c>
      <c r="E4" s="25" t="str">
        <f>IFERROR(__xludf.DUMMYFUNCTION("""COMPUTED_VALUE"""),"RunRebalance")</f>
        <v>RunRebalance</v>
      </c>
      <c r="F4" s="25" t="str">
        <f>IFERROR(__xludf.DUMMYFUNCTION("""COMPUTED_VALUE"""),"EnableComplianceTab")</f>
        <v>EnableComplianceTab</v>
      </c>
      <c r="G4" s="25" t="str">
        <f>IFERROR(__xludf.DUMMYFUNCTION("""COMPUTED_VALUE"""),"RebalancePreference")</f>
        <v>RebalancePreference</v>
      </c>
      <c r="H4" s="25" t="str">
        <f>IFERROR(__xludf.DUMMYFUNCTION("""COMPUTED_VALUE"""),"ImportModelPortfolio")</f>
        <v>ImportModelPortfolio</v>
      </c>
      <c r="I4" s="25" t="str">
        <f>IFERROR(__xludf.DUMMYFUNCTION("""COMPUTED_VALUE"""),"RebalanceAcrossSecurities")</f>
        <v>RebalanceAcrossSecurities</v>
      </c>
      <c r="J4" s="25" t="str">
        <f>IFERROR(__xludf.DUMMYFUNCTION("""COMPUTED_VALUE"""),"CheckBasketCompliance")</f>
        <v>CheckBasketCompliance</v>
      </c>
      <c r="K4" s="25" t="str">
        <f>IFERROR(__xludf.DUMMYFUNCTION("""COMPUTED_VALUE"""),"ClearCalculations")</f>
        <v>ClearCalculations</v>
      </c>
      <c r="L4" s="25" t="str">
        <f>IFERROR(__xludf.DUMMYFUNCTION("""COMPUTED_VALUE"""),"ModifyRebalance")</f>
        <v>ModifyRebalance</v>
      </c>
      <c r="M4" s="25" t="str">
        <f>IFERROR(__xludf.DUMMYFUNCTION("""COMPUTED_VALUE"""),"ModelPortfolio")</f>
        <v>ModelPortfolio</v>
      </c>
      <c r="N4" s="25" t="str">
        <f>IFERROR(__xludf.DUMMYFUNCTION("""COMPUTED_VALUE"""),"LockandUnlockGridData")</f>
        <v>LockandUnlockGridData</v>
      </c>
      <c r="O4" s="25" t="str">
        <f>IFERROR(__xludf.DUMMYFUNCTION("""COMPUTED_VALUE"""),"RefreshGridData")</f>
        <v>RefreshGridData</v>
      </c>
      <c r="P4" s="26" t="str">
        <f>IFERROR(__xludf.DUMMYFUNCTION("""COMPUTED_VALUE"""),"SendtoStaging")</f>
        <v>SendtoStaging</v>
      </c>
      <c r="Q4" s="26" t="str">
        <f>IFERROR(__xludf.DUMMYFUNCTION("""COMPUTED_VALUE"""),"SendToStagingExport")</f>
        <v>SendToStagingExport</v>
      </c>
      <c r="R4" s="26" t="str">
        <f>IFERROR(__xludf.DUMMYFUNCTION("""COMPUTED_VALUE"""),"RebalanceViaBloomberg")</f>
        <v>RebalanceViaBloomberg</v>
      </c>
      <c r="S4" s="26" t="str">
        <f>IFERROR(__xludf.DUMMYFUNCTION("""COMPUTED_VALUE"""),"AddUserAdjustedNAV")</f>
        <v>AddUserAdjustedNAV</v>
      </c>
      <c r="T4" s="26" t="str">
        <f>IFERROR(__xludf.DUMMYFUNCTION("""COMPUTED_VALUE"""),"SymbologyChangeRB")</f>
        <v>SymbologyChangeRB</v>
      </c>
      <c r="U4" s="26" t="str">
        <f>IFERROR(__xludf.DUMMYFUNCTION("""COMPUTED_VALUE"""),"CloseRebalancer")</f>
        <v>CloseRebalancer</v>
      </c>
      <c r="V4" s="26" t="str">
        <f>IFERROR(__xludf.DUMMYFUNCTION("""COMPUTED_VALUE"""),"AddCustomCashUsingImport")</f>
        <v>AddCustomCashUsingImport</v>
      </c>
      <c r="W4" s="26" t="str">
        <f>IFERROR(__xludf.DUMMYFUNCTION("""COMPUTED_VALUE"""),"EditRebalanceGrid")</f>
        <v>EditRebalanceGrid</v>
      </c>
      <c r="X4" s="26" t="str">
        <f>IFERROR(__xludf.DUMMYFUNCTION("""COMPUTED_VALUE"""),"SaveTradeList")</f>
        <v>SaveTradeList</v>
      </c>
      <c r="Y4" s="26" t="str">
        <f>IFERROR(__xludf.DUMMYFUNCTION("""COMPUTED_VALUE"""),"NavImpactingComponent")</f>
        <v>NavImpactingComponent</v>
      </c>
      <c r="Z4" s="26" t="str">
        <f>IFERROR(__xludf.DUMMYFUNCTION("""COMPUTED_VALUE"""),"ImportUsingRebalAccrossSec")</f>
        <v>ImportUsingRebalAccrossSec</v>
      </c>
      <c r="AA4" s="26" t="str">
        <f>IFERROR(__xludf.DUMMYFUNCTION("""COMPUTED_VALUE"""),"EditImportStatus")</f>
        <v>EditImportStatus</v>
      </c>
      <c r="AB4" s="26" t="str">
        <f>IFERROR(__xludf.DUMMYFUNCTION("""COMPUTED_VALUE"""),"SelectActionsOnImportStatus")</f>
        <v>SelectActionsOnImportStatus</v>
      </c>
      <c r="AC4" s="26" t="str">
        <f>IFERROR(__xludf.DUMMYFUNCTION("""COMPUTED_VALUE"""),"VerifyImportStatus")</f>
        <v>VerifyImportStatus</v>
      </c>
      <c r="AD4" s="26" t="str">
        <f>IFERROR(__xludf.DUMMYFUNCTION("""COMPUTED_VALUE"""),"AddNewModelPortfolio")</f>
        <v>AddNewModelPortfolio</v>
      </c>
      <c r="AE4" s="26" t="str">
        <f>IFERROR(__xludf.DUMMYFUNCTION("""COMPUTED_VALUE"""),"VerifyBuySellList")</f>
        <v>VerifyBuySellList</v>
      </c>
      <c r="AF4" s="26" t="str">
        <f>IFERROR(__xludf.DUMMYFUNCTION("""COMPUTED_VALUE"""),"CreateOrViewModelPortfolio")</f>
        <v>CreateOrViewModelPortfolio</v>
      </c>
      <c r="AG4" s="26" t="str">
        <f>IFERROR(__xludf.DUMMYFUNCTION("""COMPUTED_VALUE"""),"VerifyModelPortfolio")</f>
        <v>VerifyModelPortfolio</v>
      </c>
      <c r="AH4" s="26" t="str">
        <f>IFERROR(__xludf.DUMMYFUNCTION("""COMPUTED_VALUE"""),"VerifyTradeListSummary")</f>
        <v>VerifyTradeListSummary</v>
      </c>
      <c r="AI4" s="26" t="str">
        <f>IFERROR(__xludf.DUMMYFUNCTION("""COMPUTED_VALUE"""),"ActionOnTBSListSummary")</f>
        <v>ActionOnTBSListSummary</v>
      </c>
      <c r="AJ4" s="26" t="str">
        <f>IFERROR(__xludf.DUMMYFUNCTION("""COMPUTED_VALUE"""),"VerifyTLOSideSummary")</f>
        <v>VerifyTLOSideSummary</v>
      </c>
      <c r="AK4" s="26" t="str">
        <f>IFERROR(__xludf.DUMMYFUNCTION("""COMPUTED_VALUE"""),"SelectAndVerifyTradeList")</f>
        <v>SelectAndVerifyTradeList</v>
      </c>
      <c r="AL4" s="26" t="str">
        <f>IFERROR(__xludf.DUMMYFUNCTION("""COMPUTED_VALUE"""),"ActionOnTradeBuySellListView")</f>
        <v>ActionOnTradeBuySellListView</v>
      </c>
      <c r="AM4" s="26" t="str">
        <f>IFERROR(__xludf.DUMMYFUNCTION("""COMPUTED_VALUE"""),"ImportOnRB")</f>
        <v>ImportOnRB</v>
      </c>
      <c r="AN4" s="26" t="str">
        <f>IFERROR(__xludf.DUMMYFUNCTION("""COMPUTED_VALUE"""),"VerifyImportGridRBForInvalidSec")</f>
        <v>VerifyImportGridRBForInvalidSec</v>
      </c>
      <c r="AO4" s="26" t="str">
        <f>IFERROR(__xludf.DUMMYFUNCTION("""COMPUTED_VALUE"""),"VerifyImportGridRBForValidSec")</f>
        <v>VerifyImportGridRBForValidSec</v>
      </c>
      <c r="AP4" s="26" t="str">
        <f>IFERROR(__xludf.DUMMYFUNCTION("""COMPUTED_VALUE"""),"ActionOnRSAImportGrid")</f>
        <v>ActionOnRSAImportGrid</v>
      </c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  <c r="FM4" s="26"/>
      <c r="FN4" s="26"/>
      <c r="FO4" s="26"/>
      <c r="FP4" s="26"/>
      <c r="FQ4" s="26"/>
      <c r="FR4" s="26"/>
      <c r="FS4" s="26"/>
      <c r="FT4" s="26"/>
      <c r="FU4" s="26"/>
      <c r="FV4" s="26"/>
      <c r="FW4" s="26"/>
      <c r="FX4" s="26"/>
      <c r="FY4" s="26"/>
      <c r="FZ4" s="26"/>
      <c r="GA4" s="26"/>
      <c r="GB4" s="26"/>
      <c r="GC4" s="26"/>
      <c r="GD4" s="26"/>
      <c r="GE4" s="26"/>
      <c r="GF4" s="26"/>
      <c r="GG4" s="26"/>
      <c r="GH4" s="26"/>
      <c r="GI4" s="26"/>
      <c r="GJ4" s="26"/>
      <c r="GK4" s="26"/>
      <c r="GL4" s="26"/>
      <c r="GM4" s="26"/>
      <c r="GN4" s="26"/>
      <c r="GO4" s="26"/>
      <c r="GP4" s="26"/>
      <c r="GQ4" s="26"/>
      <c r="GR4" s="26"/>
      <c r="GS4" s="26"/>
      <c r="GT4" s="26"/>
      <c r="GU4" s="26"/>
      <c r="GV4" s="26"/>
      <c r="GW4" s="26"/>
      <c r="GX4" s="26"/>
      <c r="GY4" s="26"/>
      <c r="GZ4" s="26"/>
      <c r="HA4" s="26"/>
      <c r="HB4" s="26"/>
      <c r="HC4" s="26"/>
      <c r="HD4" s="26"/>
      <c r="HE4" s="26"/>
      <c r="HF4" s="26"/>
      <c r="HG4" s="26"/>
      <c r="HH4" s="26"/>
      <c r="HI4" s="26"/>
      <c r="HJ4" s="26"/>
      <c r="HK4" s="26"/>
      <c r="HL4" s="26"/>
      <c r="HM4" s="26"/>
      <c r="HN4" s="26"/>
      <c r="HO4" s="26"/>
      <c r="HP4" s="26"/>
      <c r="HQ4" s="26"/>
      <c r="HR4" s="26"/>
      <c r="HS4" s="26"/>
      <c r="HT4" s="26"/>
      <c r="HU4" s="26"/>
      <c r="HV4" s="26"/>
      <c r="HW4" s="26"/>
      <c r="HX4" s="26"/>
      <c r="HY4" s="26"/>
      <c r="HZ4" s="26"/>
      <c r="IA4" s="26"/>
      <c r="IB4" s="26"/>
      <c r="IC4" s="26"/>
      <c r="ID4" s="26"/>
      <c r="IE4" s="26"/>
      <c r="IF4" s="26"/>
      <c r="IG4" s="26"/>
      <c r="IH4" s="26"/>
      <c r="II4" s="26"/>
      <c r="IJ4" s="26"/>
      <c r="IK4" s="26"/>
      <c r="IL4" s="26"/>
      <c r="IM4" s="26"/>
      <c r="IN4" s="26"/>
      <c r="IO4" s="26"/>
      <c r="IP4" s="26"/>
      <c r="IQ4" s="26"/>
      <c r="IR4" s="26"/>
      <c r="IS4" s="26"/>
      <c r="IT4" s="26"/>
      <c r="IU4" s="26"/>
      <c r="IV4" s="26"/>
      <c r="IW4" s="26"/>
      <c r="IX4" s="26"/>
      <c r="IY4" s="26"/>
      <c r="IZ4" s="26"/>
      <c r="JA4" s="26"/>
      <c r="JB4" s="26"/>
      <c r="JC4" s="26"/>
      <c r="JD4" s="26"/>
      <c r="JE4" s="26"/>
      <c r="JF4" s="26"/>
      <c r="JG4" s="26"/>
      <c r="JH4" s="26"/>
      <c r="JI4" s="26"/>
      <c r="JJ4" s="26"/>
      <c r="JK4" s="26"/>
      <c r="JL4" s="26"/>
      <c r="JM4" s="26"/>
      <c r="JN4" s="26"/>
      <c r="JO4" s="26"/>
      <c r="JP4" s="26"/>
      <c r="JQ4" s="26"/>
      <c r="JR4" s="26"/>
      <c r="JS4" s="26"/>
      <c r="JT4" s="26"/>
      <c r="JU4" s="26"/>
      <c r="JV4" s="26"/>
      <c r="JW4" s="26"/>
      <c r="JX4" s="26"/>
      <c r="JY4" s="26"/>
      <c r="JZ4" s="26"/>
      <c r="KA4" s="26"/>
      <c r="KB4" s="26"/>
      <c r="KC4" s="26"/>
      <c r="KD4" s="26"/>
      <c r="KE4" s="26"/>
      <c r="KF4" s="26"/>
      <c r="KG4" s="26"/>
      <c r="KH4" s="26"/>
      <c r="KI4" s="26"/>
      <c r="KJ4" s="26"/>
      <c r="KK4" s="26"/>
      <c r="KL4" s="26"/>
      <c r="KM4" s="26"/>
      <c r="KN4" s="26"/>
      <c r="KO4" s="26"/>
      <c r="KP4" s="26"/>
      <c r="KQ4" s="26"/>
      <c r="KR4" s="26"/>
      <c r="KS4" s="26"/>
      <c r="KT4" s="26"/>
      <c r="KU4" s="26"/>
      <c r="KV4" s="26"/>
      <c r="KW4" s="26"/>
      <c r="KX4" s="26"/>
      <c r="KY4" s="26"/>
      <c r="KZ4" s="26"/>
      <c r="LA4" s="26"/>
      <c r="LB4" s="26"/>
      <c r="LC4" s="26"/>
      <c r="LD4" s="26"/>
      <c r="LE4" s="26"/>
      <c r="LF4" s="26"/>
      <c r="LG4" s="26"/>
      <c r="LH4" s="26"/>
      <c r="LI4" s="26"/>
      <c r="LJ4" s="26"/>
      <c r="LK4" s="26"/>
      <c r="LL4" s="26"/>
      <c r="LM4" s="26"/>
      <c r="LN4" s="26"/>
      <c r="LO4" s="26"/>
      <c r="LP4" s="26"/>
      <c r="LQ4" s="26"/>
      <c r="LR4" s="26"/>
      <c r="LS4" s="26"/>
      <c r="LT4" s="26"/>
      <c r="LU4" s="26"/>
      <c r="LV4" s="26"/>
      <c r="LW4" s="26"/>
      <c r="LX4" s="26"/>
      <c r="LY4" s="26"/>
      <c r="LZ4" s="26"/>
      <c r="MA4" s="26"/>
      <c r="MB4" s="26"/>
      <c r="MC4" s="26"/>
      <c r="MD4" s="26"/>
      <c r="ME4" s="26"/>
      <c r="MF4" s="26"/>
      <c r="MG4" s="26"/>
      <c r="MH4" s="26"/>
      <c r="MI4" s="26"/>
      <c r="MJ4" s="26"/>
      <c r="MK4" s="26"/>
      <c r="ML4" s="26"/>
      <c r="MM4" s="26"/>
      <c r="MN4" s="26"/>
      <c r="MO4" s="26"/>
      <c r="MP4" s="26"/>
      <c r="MQ4" s="26"/>
      <c r="MR4" s="26"/>
      <c r="MS4" s="26"/>
      <c r="MT4" s="26"/>
      <c r="MU4" s="26"/>
      <c r="MV4" s="26"/>
      <c r="MW4" s="26"/>
      <c r="MX4" s="26"/>
      <c r="MY4" s="26"/>
      <c r="MZ4" s="26"/>
      <c r="NA4" s="26"/>
      <c r="NB4" s="26"/>
      <c r="NC4" s="26"/>
      <c r="ND4" s="26"/>
      <c r="NE4" s="26"/>
      <c r="NF4" s="26"/>
      <c r="NG4" s="26"/>
      <c r="NH4" s="26"/>
      <c r="NI4" s="26"/>
      <c r="NJ4" s="26"/>
      <c r="NK4" s="26"/>
      <c r="NL4" s="26"/>
      <c r="NM4" s="26"/>
      <c r="NN4" s="26"/>
      <c r="NO4" s="26"/>
      <c r="NP4" s="26"/>
      <c r="NQ4" s="26"/>
      <c r="NR4" s="26"/>
      <c r="NS4" s="26"/>
      <c r="NT4" s="26"/>
      <c r="NU4" s="26"/>
      <c r="NV4" s="26"/>
      <c r="NW4" s="26"/>
      <c r="NX4" s="26"/>
      <c r="NY4" s="26"/>
      <c r="NZ4" s="26"/>
      <c r="OA4" s="26"/>
      <c r="OB4" s="26"/>
      <c r="OC4" s="26"/>
      <c r="OD4" s="26"/>
      <c r="OE4" s="26"/>
      <c r="OF4" s="26"/>
      <c r="OG4" s="26"/>
      <c r="OH4" s="26"/>
      <c r="OI4" s="26"/>
      <c r="OJ4" s="26"/>
      <c r="OK4" s="26"/>
      <c r="OL4" s="26"/>
      <c r="OM4" s="26"/>
      <c r="ON4" s="26"/>
      <c r="OO4" s="26"/>
      <c r="OP4" s="26"/>
      <c r="OQ4" s="26"/>
      <c r="OR4" s="26"/>
      <c r="OS4" s="26"/>
      <c r="OT4" s="26"/>
      <c r="OU4" s="26"/>
      <c r="OV4" s="26"/>
      <c r="OW4" s="26"/>
      <c r="OX4" s="26"/>
      <c r="OY4" s="26"/>
      <c r="OZ4" s="26"/>
      <c r="PA4" s="26"/>
      <c r="PB4" s="26"/>
      <c r="PC4" s="26"/>
      <c r="PD4" s="26"/>
      <c r="PE4" s="26"/>
      <c r="PF4" s="26"/>
      <c r="PG4" s="26"/>
      <c r="PH4" s="26"/>
      <c r="PI4" s="26"/>
      <c r="PJ4" s="26"/>
      <c r="PK4" s="26"/>
      <c r="PL4" s="26"/>
      <c r="PM4" s="26"/>
      <c r="PN4" s="26"/>
      <c r="PO4" s="26"/>
      <c r="PP4" s="26"/>
      <c r="PQ4" s="26"/>
      <c r="PR4" s="26"/>
      <c r="PS4" s="26"/>
      <c r="PT4" s="26"/>
      <c r="PU4" s="26"/>
      <c r="PV4" s="26"/>
      <c r="PW4" s="26"/>
      <c r="PX4" s="26"/>
      <c r="PY4" s="26"/>
      <c r="PZ4" s="26"/>
      <c r="QA4" s="26"/>
      <c r="QB4" s="26"/>
      <c r="QC4" s="26"/>
      <c r="QD4" s="26"/>
      <c r="QE4" s="26"/>
      <c r="QF4" s="26"/>
      <c r="QG4" s="26"/>
      <c r="QH4" s="26"/>
      <c r="QI4" s="26"/>
      <c r="QJ4" s="26"/>
      <c r="QK4" s="26"/>
      <c r="QL4" s="26"/>
      <c r="QM4" s="26"/>
      <c r="QN4" s="26"/>
      <c r="QO4" s="26"/>
      <c r="QP4" s="26"/>
      <c r="QQ4" s="26"/>
      <c r="QR4" s="26"/>
      <c r="QS4" s="26"/>
      <c r="QT4" s="26"/>
      <c r="QU4" s="26"/>
      <c r="QV4" s="26"/>
      <c r="QW4" s="26"/>
      <c r="QX4" s="26"/>
      <c r="QY4" s="26"/>
      <c r="QZ4" s="26"/>
      <c r="RA4" s="26"/>
      <c r="RB4" s="26"/>
      <c r="RC4" s="26"/>
      <c r="RD4" s="26"/>
      <c r="RE4" s="26"/>
      <c r="RF4" s="26"/>
      <c r="RG4" s="26"/>
      <c r="RH4" s="26"/>
      <c r="RI4" s="26"/>
      <c r="RJ4" s="26"/>
      <c r="RK4" s="26"/>
      <c r="RL4" s="26"/>
      <c r="RM4" s="26"/>
      <c r="RN4" s="26"/>
      <c r="RO4" s="26"/>
      <c r="RP4" s="26"/>
      <c r="RQ4" s="26"/>
      <c r="RR4" s="26"/>
      <c r="RS4" s="26"/>
      <c r="RT4" s="26"/>
      <c r="RU4" s="26"/>
      <c r="RV4" s="26"/>
      <c r="RW4" s="26"/>
      <c r="RX4" s="26"/>
      <c r="RY4" s="26"/>
      <c r="RZ4" s="26"/>
      <c r="SA4" s="26"/>
      <c r="SB4" s="26"/>
      <c r="SC4" s="26"/>
      <c r="SD4" s="26"/>
      <c r="SE4" s="26"/>
      <c r="SF4" s="26"/>
      <c r="SG4" s="26"/>
      <c r="SH4" s="26"/>
      <c r="SI4" s="26"/>
      <c r="SJ4" s="26"/>
      <c r="SK4" s="26"/>
      <c r="SL4" s="26"/>
      <c r="SM4" s="26"/>
      <c r="SN4" s="26"/>
      <c r="SO4" s="26"/>
      <c r="SP4" s="26"/>
      <c r="SQ4" s="26"/>
      <c r="SR4" s="26"/>
      <c r="SS4" s="26"/>
      <c r="ST4" s="26"/>
      <c r="SU4" s="26"/>
      <c r="SV4" s="26"/>
      <c r="SW4" s="26"/>
      <c r="SX4" s="26"/>
      <c r="SY4" s="26"/>
      <c r="SZ4" s="26"/>
      <c r="TA4" s="26"/>
      <c r="TB4" s="26"/>
      <c r="TC4" s="26"/>
      <c r="TD4" s="26"/>
      <c r="TE4" s="26"/>
      <c r="TF4" s="26"/>
      <c r="TG4" s="26"/>
      <c r="TH4" s="26"/>
      <c r="TI4" s="26"/>
      <c r="TJ4" s="26"/>
      <c r="TK4" s="26"/>
      <c r="TL4" s="26"/>
      <c r="TM4" s="26"/>
      <c r="TN4" s="26"/>
      <c r="TO4" s="26"/>
      <c r="TP4" s="26"/>
      <c r="TQ4" s="26"/>
      <c r="TR4" s="26"/>
      <c r="TS4" s="26"/>
      <c r="TT4" s="26"/>
      <c r="TU4" s="26"/>
      <c r="TV4" s="26"/>
      <c r="TW4" s="26"/>
      <c r="TX4" s="26"/>
      <c r="TY4" s="26"/>
      <c r="TZ4" s="26"/>
      <c r="UA4" s="26"/>
      <c r="UB4" s="26"/>
      <c r="UC4" s="26"/>
      <c r="UD4" s="26"/>
      <c r="UE4" s="26"/>
      <c r="UF4" s="26"/>
      <c r="UG4" s="26"/>
      <c r="UH4" s="26"/>
      <c r="UI4" s="26"/>
      <c r="UJ4" s="26"/>
      <c r="UK4" s="26"/>
      <c r="UL4" s="26"/>
      <c r="UM4" s="26"/>
      <c r="UN4" s="26"/>
      <c r="UO4" s="26"/>
      <c r="UP4" s="26"/>
      <c r="UQ4" s="26"/>
      <c r="UR4" s="26"/>
      <c r="US4" s="26"/>
      <c r="UT4" s="26"/>
      <c r="UU4" s="26"/>
      <c r="UV4" s="26"/>
      <c r="UW4" s="26"/>
      <c r="UX4" s="26"/>
      <c r="UY4" s="26"/>
      <c r="UZ4" s="26"/>
      <c r="VA4" s="26"/>
      <c r="VB4" s="26"/>
      <c r="VC4" s="26"/>
      <c r="VD4" s="26"/>
      <c r="VE4" s="26"/>
      <c r="VF4" s="26"/>
      <c r="VG4" s="26"/>
      <c r="VH4" s="26"/>
      <c r="VI4" s="26"/>
      <c r="VJ4" s="26"/>
      <c r="VK4" s="26"/>
      <c r="VL4" s="26"/>
      <c r="VM4" s="26"/>
      <c r="VN4" s="26"/>
      <c r="VO4" s="26"/>
      <c r="VP4" s="26"/>
      <c r="VQ4" s="26"/>
      <c r="VR4" s="26"/>
      <c r="VS4" s="26"/>
      <c r="VT4" s="26"/>
      <c r="VU4" s="26"/>
      <c r="VV4" s="26"/>
      <c r="VW4" s="26"/>
      <c r="VX4" s="26"/>
      <c r="VY4" s="26"/>
      <c r="VZ4" s="26"/>
      <c r="WA4" s="26"/>
      <c r="WB4" s="26"/>
      <c r="WC4" s="26"/>
      <c r="WD4" s="26"/>
      <c r="WE4" s="26"/>
      <c r="WF4" s="26"/>
      <c r="WG4" s="26"/>
      <c r="WH4" s="26"/>
      <c r="WI4" s="26"/>
      <c r="WJ4" s="26"/>
      <c r="WK4" s="26"/>
      <c r="WL4" s="26"/>
      <c r="WM4" s="26"/>
      <c r="WN4" s="26"/>
      <c r="WO4" s="26"/>
      <c r="WP4" s="26"/>
      <c r="WQ4" s="26"/>
      <c r="WR4" s="26"/>
      <c r="WS4" s="26"/>
      <c r="WT4" s="26"/>
      <c r="WU4" s="26"/>
      <c r="WV4" s="26"/>
      <c r="WW4" s="26"/>
      <c r="WX4" s="26"/>
      <c r="WY4" s="26"/>
      <c r="WZ4" s="26"/>
      <c r="XA4" s="26"/>
      <c r="XB4" s="26"/>
      <c r="XC4" s="26"/>
      <c r="XD4" s="26"/>
      <c r="XE4" s="26"/>
      <c r="XF4" s="26"/>
      <c r="XG4" s="26"/>
      <c r="XH4" s="26"/>
      <c r="XI4" s="26"/>
      <c r="XJ4" s="26"/>
      <c r="XK4" s="26"/>
      <c r="XL4" s="26"/>
      <c r="XM4" s="26"/>
      <c r="XN4" s="26"/>
      <c r="XO4" s="26"/>
      <c r="XP4" s="26"/>
      <c r="XQ4" s="26"/>
      <c r="XR4" s="26"/>
      <c r="XS4" s="26"/>
      <c r="XT4" s="26"/>
      <c r="XU4" s="26"/>
      <c r="XV4" s="26"/>
      <c r="XW4" s="26"/>
      <c r="XX4" s="26"/>
      <c r="XY4" s="26"/>
      <c r="XZ4" s="26"/>
      <c r="YA4" s="26"/>
      <c r="YB4" s="26"/>
      <c r="YC4" s="26"/>
      <c r="YD4" s="26"/>
      <c r="YE4" s="26"/>
      <c r="YF4" s="26"/>
      <c r="YG4" s="26"/>
      <c r="YH4" s="26"/>
      <c r="YI4" s="26"/>
      <c r="YJ4" s="26"/>
      <c r="YK4" s="26"/>
      <c r="YL4" s="26"/>
      <c r="YM4" s="26"/>
      <c r="YN4" s="26"/>
      <c r="YO4" s="26"/>
      <c r="YP4" s="26"/>
      <c r="YQ4" s="26"/>
      <c r="YR4" s="26"/>
      <c r="YS4" s="26"/>
      <c r="YT4" s="26"/>
      <c r="YU4" s="26"/>
      <c r="YV4" s="26"/>
      <c r="YW4" s="26"/>
      <c r="YX4" s="26"/>
      <c r="YY4" s="26"/>
      <c r="YZ4" s="26"/>
      <c r="ZA4" s="26"/>
      <c r="ZB4" s="26"/>
      <c r="ZC4" s="26"/>
      <c r="ZD4" s="26"/>
      <c r="ZE4" s="26"/>
      <c r="ZF4" s="26"/>
      <c r="ZG4" s="26"/>
      <c r="ZH4" s="26"/>
      <c r="ZI4" s="26"/>
      <c r="ZJ4" s="26"/>
      <c r="ZK4" s="26"/>
      <c r="ZL4" s="26"/>
      <c r="ZM4" s="26"/>
      <c r="ZN4" s="26"/>
      <c r="ZO4" s="26"/>
      <c r="ZP4" s="26"/>
      <c r="ZQ4" s="26"/>
      <c r="ZR4" s="26"/>
      <c r="ZS4" s="26"/>
      <c r="ZT4" s="26"/>
      <c r="ZU4" s="26"/>
      <c r="ZV4" s="26"/>
      <c r="ZW4" s="26"/>
      <c r="ZX4" s="26"/>
      <c r="ZY4" s="26"/>
      <c r="ZZ4" s="26"/>
      <c r="AAA4" s="26"/>
      <c r="AAB4" s="26"/>
      <c r="AAC4" s="26"/>
      <c r="AAD4" s="26"/>
      <c r="AAE4" s="26"/>
      <c r="AAF4" s="26"/>
      <c r="AAG4" s="26"/>
      <c r="AAH4" s="26"/>
      <c r="AAI4" s="26"/>
      <c r="AAJ4" s="26"/>
      <c r="AAK4" s="26"/>
      <c r="AAL4" s="26"/>
      <c r="AAM4" s="26"/>
      <c r="AAN4" s="26"/>
      <c r="AAO4" s="26"/>
      <c r="AAP4" s="26"/>
      <c r="AAQ4" s="26"/>
      <c r="AAR4" s="26"/>
      <c r="AAS4" s="26"/>
      <c r="AAT4" s="26"/>
      <c r="AAU4" s="26"/>
      <c r="AAV4" s="26"/>
      <c r="AAW4" s="26"/>
      <c r="AAX4" s="26"/>
      <c r="AAY4" s="26"/>
      <c r="AAZ4" s="26"/>
      <c r="ABA4" s="26"/>
      <c r="ABB4" s="26"/>
      <c r="ABC4" s="26"/>
      <c r="ABD4" s="26"/>
      <c r="ABE4" s="26"/>
      <c r="ABF4" s="26"/>
      <c r="ABG4" s="26"/>
      <c r="ABH4" s="26"/>
      <c r="ABI4" s="26"/>
      <c r="ABJ4" s="26"/>
      <c r="ABK4" s="26"/>
      <c r="ABL4" s="26"/>
      <c r="ABM4" s="26"/>
      <c r="ABN4" s="26"/>
      <c r="ABO4" s="26"/>
      <c r="ABP4" s="26"/>
      <c r="ABQ4" s="26"/>
      <c r="ABR4" s="26"/>
      <c r="ABS4" s="26"/>
      <c r="ABT4" s="26"/>
      <c r="ABU4" s="26"/>
      <c r="ABV4" s="26"/>
      <c r="ABW4" s="26"/>
      <c r="ABX4" s="26"/>
      <c r="ABY4" s="26"/>
      <c r="ABZ4" s="26"/>
      <c r="ACA4" s="26"/>
      <c r="ACB4" s="26"/>
      <c r="ACC4" s="26"/>
      <c r="ACD4" s="26"/>
      <c r="ACE4" s="26"/>
      <c r="ACF4" s="26"/>
      <c r="ACG4" s="26"/>
      <c r="ACH4" s="26"/>
      <c r="ACI4" s="26"/>
      <c r="ACJ4" s="26"/>
      <c r="ACK4" s="26"/>
      <c r="ACL4" s="26"/>
      <c r="ACM4" s="26"/>
      <c r="ACN4" s="26"/>
      <c r="ACO4" s="26"/>
      <c r="ACP4" s="26"/>
      <c r="ACQ4" s="26"/>
      <c r="ACR4" s="26"/>
      <c r="ACS4" s="26"/>
      <c r="ACT4" s="26"/>
      <c r="ACU4" s="26"/>
      <c r="ACV4" s="26"/>
      <c r="ACW4" s="26"/>
      <c r="ACX4" s="26"/>
      <c r="ACY4" s="26"/>
      <c r="ACZ4" s="26"/>
      <c r="ADA4" s="26"/>
      <c r="ADB4" s="26"/>
      <c r="ADC4" s="26"/>
      <c r="ADD4" s="26"/>
      <c r="ADE4" s="26"/>
      <c r="ADF4" s="26"/>
      <c r="ADG4" s="26"/>
      <c r="ADH4" s="26"/>
      <c r="ADI4" s="26"/>
      <c r="ADJ4" s="26"/>
      <c r="ADK4" s="26"/>
      <c r="ADL4" s="26"/>
      <c r="ADM4" s="26"/>
      <c r="ADN4" s="26"/>
      <c r="ADO4" s="26"/>
      <c r="ADP4" s="26"/>
      <c r="ADQ4" s="26"/>
      <c r="ADR4" s="26"/>
      <c r="ADS4" s="26"/>
      <c r="ADT4" s="26"/>
      <c r="ADU4" s="26"/>
      <c r="ADV4" s="26"/>
      <c r="ADW4" s="26"/>
      <c r="ADX4" s="26"/>
      <c r="ADY4" s="26"/>
      <c r="ADZ4" s="26"/>
      <c r="AEA4" s="26"/>
      <c r="AEB4" s="26"/>
      <c r="AEC4" s="26"/>
      <c r="AED4" s="26"/>
      <c r="AEE4" s="26"/>
      <c r="AEF4" s="26"/>
      <c r="AEG4" s="26"/>
      <c r="AEH4" s="26"/>
      <c r="AEI4" s="26"/>
      <c r="AEJ4" s="26"/>
      <c r="AEK4" s="26"/>
      <c r="AEL4" s="26"/>
      <c r="AEM4" s="26"/>
      <c r="AEN4" s="26"/>
      <c r="AEO4" s="26"/>
      <c r="AEP4" s="26"/>
      <c r="AEQ4" s="26"/>
      <c r="AER4" s="26"/>
      <c r="AES4" s="26"/>
      <c r="AET4" s="26"/>
      <c r="AEU4" s="26"/>
      <c r="AEV4" s="26"/>
      <c r="AEW4" s="26"/>
      <c r="AEX4" s="26"/>
      <c r="AEY4" s="26"/>
      <c r="AEZ4" s="26"/>
      <c r="AFA4" s="26"/>
      <c r="AFB4" s="26"/>
      <c r="AFC4" s="26"/>
      <c r="AFD4" s="26"/>
      <c r="AFE4" s="26"/>
      <c r="AFF4" s="26"/>
      <c r="AFG4" s="26"/>
      <c r="AFH4" s="26"/>
      <c r="AFI4" s="26"/>
      <c r="AFJ4" s="26"/>
      <c r="AFK4" s="26"/>
      <c r="AFL4" s="26"/>
      <c r="AFM4" s="26"/>
      <c r="AFN4" s="26"/>
      <c r="AFO4" s="26"/>
      <c r="AFP4" s="26"/>
      <c r="AFQ4" s="26"/>
      <c r="AFR4" s="26"/>
      <c r="AFS4" s="26"/>
      <c r="AFT4" s="26"/>
      <c r="AFU4" s="26"/>
      <c r="AFV4" s="26"/>
      <c r="AFW4" s="26"/>
      <c r="AFX4" s="26"/>
      <c r="AFY4" s="26"/>
      <c r="AFZ4" s="26"/>
      <c r="AGA4" s="26"/>
      <c r="AGB4" s="26"/>
      <c r="AGC4" s="26"/>
      <c r="AGD4" s="26"/>
      <c r="AGE4" s="26"/>
      <c r="AGF4" s="26"/>
      <c r="AGG4" s="26"/>
      <c r="AGH4" s="26"/>
      <c r="AGI4" s="26"/>
      <c r="AGJ4" s="26"/>
      <c r="AGK4" s="26"/>
      <c r="AGL4" s="26"/>
      <c r="AGM4" s="26"/>
      <c r="AGN4" s="26"/>
      <c r="AGO4" s="26"/>
      <c r="AGP4" s="26"/>
      <c r="AGQ4" s="26"/>
      <c r="AGR4" s="26"/>
      <c r="AGS4" s="26"/>
      <c r="AGT4" s="26"/>
      <c r="AGU4" s="26"/>
      <c r="AGV4" s="26"/>
      <c r="AGW4" s="26"/>
      <c r="AGX4" s="26"/>
      <c r="AGY4" s="26"/>
      <c r="AGZ4" s="26"/>
      <c r="AHA4" s="26"/>
      <c r="AHB4" s="26"/>
      <c r="AHC4" s="26"/>
      <c r="AHD4" s="26"/>
      <c r="AHE4" s="26"/>
      <c r="AHF4" s="26"/>
      <c r="AHG4" s="26"/>
      <c r="AHH4" s="26"/>
      <c r="AHI4" s="26"/>
      <c r="AHJ4" s="26"/>
      <c r="AHK4" s="26"/>
      <c r="AHL4" s="26"/>
      <c r="AHM4" s="26"/>
      <c r="AHN4" s="26"/>
      <c r="AHO4" s="26"/>
      <c r="AHP4" s="26"/>
      <c r="AHQ4" s="26"/>
      <c r="AHR4" s="26"/>
      <c r="AHS4" s="26"/>
      <c r="AHT4" s="26"/>
      <c r="AHU4" s="26"/>
      <c r="AHV4" s="26"/>
      <c r="AHW4" s="26"/>
      <c r="AHX4" s="26"/>
      <c r="AHY4" s="26"/>
      <c r="AHZ4" s="26"/>
      <c r="AIA4" s="26"/>
      <c r="AIB4" s="26"/>
      <c r="AIC4" s="26"/>
      <c r="AID4" s="26"/>
      <c r="AIE4" s="26"/>
      <c r="AIF4" s="26"/>
      <c r="AIG4" s="26"/>
      <c r="AIH4" s="26"/>
      <c r="AII4" s="26"/>
      <c r="AIJ4" s="26"/>
      <c r="AIK4" s="26"/>
      <c r="AIL4" s="26"/>
      <c r="AIM4" s="26"/>
      <c r="AIN4" s="26"/>
      <c r="AIO4" s="26"/>
      <c r="AIP4" s="26"/>
      <c r="AIQ4" s="26"/>
      <c r="AIR4" s="26"/>
      <c r="AIS4" s="26"/>
      <c r="AIT4" s="26"/>
      <c r="AIU4" s="26"/>
      <c r="AIV4" s="26"/>
      <c r="AIW4" s="26"/>
      <c r="AIX4" s="26"/>
      <c r="AIY4" s="26"/>
      <c r="AIZ4" s="26"/>
      <c r="AJA4" s="26"/>
      <c r="AJB4" s="26"/>
      <c r="AJC4" s="26"/>
      <c r="AJD4" s="26"/>
      <c r="AJE4" s="26"/>
      <c r="AJF4" s="26"/>
      <c r="AJG4" s="26"/>
      <c r="AJH4" s="26"/>
      <c r="AJI4" s="26"/>
      <c r="AJJ4" s="26"/>
      <c r="AJK4" s="26"/>
      <c r="AJL4" s="26"/>
      <c r="AJM4" s="26"/>
      <c r="AJN4" s="26"/>
      <c r="AJO4" s="26"/>
      <c r="AJP4" s="26"/>
      <c r="AJQ4" s="26"/>
      <c r="AJR4" s="26"/>
      <c r="AJS4" s="26"/>
      <c r="AJT4" s="26"/>
      <c r="AJU4" s="26"/>
      <c r="AJV4" s="26"/>
      <c r="AJW4" s="26"/>
      <c r="AJX4" s="26"/>
      <c r="AJY4" s="26"/>
      <c r="AJZ4" s="26"/>
      <c r="AKA4" s="26"/>
      <c r="AKB4" s="26"/>
      <c r="AKC4" s="26"/>
      <c r="AKD4" s="26"/>
      <c r="AKE4" s="26"/>
      <c r="AKF4" s="26"/>
      <c r="AKG4" s="26"/>
      <c r="AKH4" s="26"/>
      <c r="AKI4" s="26"/>
      <c r="AKJ4" s="26"/>
      <c r="AKK4" s="26"/>
      <c r="AKL4" s="26"/>
      <c r="AKM4" s="26"/>
      <c r="AKN4" s="26"/>
      <c r="AKO4" s="26"/>
      <c r="AKP4" s="26"/>
      <c r="AKQ4" s="26"/>
      <c r="AKR4" s="26"/>
      <c r="AKS4" s="26"/>
      <c r="AKT4" s="26"/>
      <c r="AKU4" s="26"/>
      <c r="AKV4" s="26"/>
      <c r="AKW4" s="26"/>
      <c r="AKX4" s="26"/>
      <c r="AKY4" s="26"/>
      <c r="AKZ4" s="26"/>
      <c r="ALA4" s="26"/>
      <c r="ALB4" s="26"/>
      <c r="ALC4" s="26"/>
      <c r="ALD4" s="26"/>
      <c r="ALE4" s="26"/>
      <c r="ALF4" s="26"/>
      <c r="ALG4" s="26"/>
      <c r="ALH4" s="26"/>
      <c r="ALI4" s="26"/>
      <c r="ALJ4" s="26"/>
      <c r="ALK4" s="26"/>
      <c r="ALL4" s="26"/>
      <c r="ALM4" s="26"/>
      <c r="ALN4" s="26"/>
      <c r="ALO4" s="26"/>
      <c r="ALP4" s="26"/>
      <c r="ALQ4" s="26"/>
      <c r="ALR4" s="26"/>
      <c r="ALS4" s="26"/>
      <c r="ALT4" s="26"/>
      <c r="ALU4" s="26"/>
      <c r="ALV4" s="26"/>
      <c r="ALW4" s="26"/>
      <c r="ALX4" s="26"/>
      <c r="ALY4" s="26"/>
      <c r="ALZ4" s="26"/>
      <c r="AMA4" s="26"/>
      <c r="AMB4" s="26"/>
      <c r="AMC4" s="26"/>
      <c r="AMD4" s="26"/>
      <c r="AME4" s="26"/>
      <c r="AMF4" s="26"/>
      <c r="AMG4" s="26"/>
      <c r="AMH4" s="26"/>
      <c r="AMI4" s="26"/>
      <c r="AMJ4" s="26"/>
      <c r="AMK4" s="26"/>
      <c r="AML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IFERROR(__xludf.DUMMYFUNCTION("""COMPUTED_VALUE"""),"Lock/Unlock")</f>
        <v>Lock/Unlock</v>
      </c>
      <c r="C5" s="28" t="str">
        <f>IFERROR(__xludf.DUMMYFUNCTION("""COMPUTED_VALUE"""),"Account")</f>
        <v>Account</v>
      </c>
      <c r="D5" s="28" t="str">
        <f>IFERROR(__xludf.DUMMYFUNCTION("""COMPUTED_VALUE"""),"Symbol")</f>
        <v>Symbol</v>
      </c>
      <c r="E5" s="28" t="str">
        <f>IFERROR(__xludf.DUMMYFUNCTION("""COMPUTED_VALUE"""),"Asset")</f>
        <v>Asset</v>
      </c>
      <c r="F5" s="29" t="str">
        <f>IFERROR(__xludf.DUMMYFUNCTION("""COMPUTED_VALUE"""),"Side")</f>
        <v>Side</v>
      </c>
      <c r="G5" s="28" t="str">
        <f>IFERROR(__xludf.DUMMYFUNCTION("""COMPUTED_VALUE"""),"Price (Local)")</f>
        <v>Price (Local)</v>
      </c>
      <c r="H5" s="28" t="str">
        <f>IFERROR(__xludf.DUMMYFUNCTION("""COMPUTED_VALUE"""),"Price (Base)")</f>
        <v>Price (Base)</v>
      </c>
      <c r="I5" s="28" t="str">
        <f>IFERROR(__xludf.DUMMYFUNCTION("""COMPUTED_VALUE"""),"FX Rate")</f>
        <v>FX Rate</v>
      </c>
      <c r="J5" s="28" t="str">
        <f>IFERROR(__xludf.DUMMYFUNCTION("""COMPUTED_VALUE"""),"Current %")</f>
        <v>Current %</v>
      </c>
      <c r="K5" s="28" t="str">
        <f>IFERROR(__xludf.DUMMYFUNCTION("""COMPUTED_VALUE"""),"Current Position")</f>
        <v>Current Position</v>
      </c>
      <c r="L5" s="28" t="str">
        <f>IFERROR(__xludf.DUMMYFUNCTION("""COMPUTED_VALUE"""),"Current Market Value (Local)")</f>
        <v>Current Market Value (Local)</v>
      </c>
      <c r="M5" s="28" t="str">
        <f>IFERROR(__xludf.DUMMYFUNCTION("""COMPUTED_VALUE"""),"Current Market Value")</f>
        <v>Current Market Value</v>
      </c>
      <c r="N5" s="28" t="str">
        <f>IFERROR(__xludf.DUMMYFUNCTION("""COMPUTED_VALUE"""),"Target %")</f>
        <v>Target %</v>
      </c>
      <c r="O5" s="28" t="str">
        <f>IFERROR(__xludf.DUMMYFUNCTION("""COMPUTED_VALUE"""),"Target Position")</f>
        <v>Target Position</v>
      </c>
      <c r="P5" s="28" t="str">
        <f>IFERROR(__xludf.DUMMYFUNCTION("""COMPUTED_VALUE"""),"Target Market Value (Local)")</f>
        <v>Target Market Value (Local)</v>
      </c>
      <c r="Q5" s="28" t="str">
        <f>IFERROR(__xludf.DUMMYFUNCTION("""COMPUTED_VALUE"""),"Target Market Value")</f>
        <v>Target Market Value</v>
      </c>
      <c r="R5" s="28" t="str">
        <f>IFERROR(__xludf.DUMMYFUNCTION("""COMPUTED_VALUE"""),"Buy/Sell Qty")</f>
        <v>Buy/Sell Qty</v>
      </c>
      <c r="S5" s="28" t="str">
        <f>IFERROR(__xludf.DUMMYFUNCTION("""COMPUTED_VALUE"""),"Buy/Sell Value")</f>
        <v>Buy/Sell Value</v>
      </c>
      <c r="T5" s="30" t="str">
        <f>IFERROR(__xludf.DUMMYFUNCTION("""COMPUTED_VALUE"""),"Sector")</f>
        <v>Sector</v>
      </c>
      <c r="U5" s="30" t="str">
        <f>IFERROR(__xludf.DUMMYFUNCTION("""COMPUTED_VALUE"""),"FactSet Symbol")</f>
        <v>FactSet Symbol</v>
      </c>
      <c r="V5" s="30" t="str">
        <f>IFERROR(__xludf.DUMMYFUNCTION("""COMPUTED_VALUE"""),"ACTIV Symbol")</f>
        <v>ACTIV Symbol</v>
      </c>
      <c r="W5" s="30" t="str">
        <f>IFERROR(__xludf.DUMMYFUNCTION("""COMPUTED_VALUE"""),"Round Lot")</f>
        <v>Round Lot</v>
      </c>
      <c r="X5" s="30" t="str">
        <f>IFERROR(__xludf.DUMMYFUNCTION("""COMPUTED_VALUE"""),"Bloomberg Symbol")</f>
        <v>Bloomberg Symbol</v>
      </c>
      <c r="Y5" s="30" t="str">
        <f>IFERROR(__xludf.DUMMYFUNCTION("""COMPUTED_VALUE"""),"Verify On SM")</f>
        <v>Verify On SM</v>
      </c>
      <c r="Z5" s="30" t="str">
        <f>IFERROR(__xludf.DUMMYFUNCTION("""COMPUTED_VALUE"""),"Columns To Verify On SM")</f>
        <v>Columns To Verify On SM</v>
      </c>
      <c r="AA5" s="30" t="str">
        <f>IFERROR(__xludf.DUMMYFUNCTION("""COMPUTED_VALUE"""),"% Change")</f>
        <v>% Change</v>
      </c>
      <c r="AB5" s="30" t="str">
        <f>IFERROR(__xludf.DUMMYFUNCTION("""COMPUTED_VALUE"""),"Tolerance %")</f>
        <v>Tolerance %</v>
      </c>
      <c r="AC5" s="30" t="str">
        <f>IFERROR(__xludf.DUMMYFUNCTION("""COMPUTED_VALUE"""),"Model %")</f>
        <v>Model %</v>
      </c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  <c r="EY5" s="30"/>
      <c r="EZ5" s="30"/>
      <c r="FA5" s="30"/>
      <c r="FB5" s="30"/>
      <c r="FC5" s="30"/>
      <c r="FD5" s="30"/>
      <c r="FE5" s="30"/>
      <c r="FF5" s="30"/>
      <c r="FG5" s="30"/>
      <c r="FH5" s="30"/>
      <c r="FI5" s="30"/>
      <c r="FJ5" s="30"/>
      <c r="FK5" s="30"/>
      <c r="FL5" s="30"/>
      <c r="FM5" s="30"/>
      <c r="FN5" s="30"/>
      <c r="FO5" s="30"/>
      <c r="FP5" s="30"/>
      <c r="FQ5" s="30"/>
      <c r="FR5" s="30"/>
      <c r="FS5" s="30"/>
      <c r="FT5" s="30"/>
      <c r="FU5" s="30"/>
      <c r="FV5" s="30"/>
      <c r="FW5" s="30"/>
      <c r="FX5" s="30"/>
      <c r="FY5" s="30"/>
      <c r="FZ5" s="30"/>
      <c r="GA5" s="30"/>
      <c r="GB5" s="30"/>
      <c r="GC5" s="30"/>
      <c r="GD5" s="30"/>
      <c r="GE5" s="30"/>
      <c r="GF5" s="30"/>
      <c r="GG5" s="30"/>
      <c r="GH5" s="30"/>
      <c r="GI5" s="30"/>
      <c r="GJ5" s="30"/>
      <c r="GK5" s="30"/>
      <c r="GL5" s="30"/>
      <c r="GM5" s="30"/>
      <c r="GN5" s="30"/>
      <c r="GO5" s="30"/>
      <c r="GP5" s="30"/>
      <c r="GQ5" s="30"/>
      <c r="GR5" s="30"/>
      <c r="GS5" s="30"/>
      <c r="GT5" s="30"/>
      <c r="GU5" s="30"/>
      <c r="GV5" s="30"/>
      <c r="GW5" s="30"/>
      <c r="GX5" s="30"/>
      <c r="GY5" s="30"/>
      <c r="GZ5" s="30"/>
      <c r="HA5" s="30"/>
      <c r="HB5" s="30"/>
      <c r="HC5" s="30"/>
      <c r="HD5" s="30"/>
      <c r="HE5" s="30"/>
      <c r="HF5" s="30"/>
      <c r="HG5" s="30"/>
      <c r="HH5" s="30"/>
      <c r="HI5" s="30"/>
      <c r="HJ5" s="30"/>
      <c r="HK5" s="30"/>
      <c r="HL5" s="30"/>
      <c r="HM5" s="30"/>
      <c r="HN5" s="30"/>
      <c r="HO5" s="30"/>
      <c r="HP5" s="30"/>
      <c r="HQ5" s="30"/>
      <c r="HR5" s="30"/>
      <c r="HS5" s="30"/>
      <c r="HT5" s="30"/>
      <c r="HU5" s="30"/>
      <c r="HV5" s="30"/>
      <c r="HW5" s="30"/>
      <c r="HX5" s="30"/>
      <c r="HY5" s="30"/>
      <c r="HZ5" s="30"/>
      <c r="IA5" s="30"/>
      <c r="IB5" s="30"/>
      <c r="IC5" s="30"/>
      <c r="ID5" s="30"/>
      <c r="IE5" s="30"/>
      <c r="IF5" s="30"/>
      <c r="IG5" s="30"/>
      <c r="IH5" s="30"/>
      <c r="II5" s="30"/>
      <c r="IJ5" s="30"/>
      <c r="IK5" s="30"/>
      <c r="IL5" s="30"/>
      <c r="IM5" s="30"/>
      <c r="IN5" s="30"/>
      <c r="IO5" s="30"/>
      <c r="IP5" s="30"/>
      <c r="IQ5" s="30"/>
      <c r="IR5" s="30"/>
      <c r="IS5" s="30"/>
      <c r="IT5" s="30"/>
      <c r="IU5" s="30"/>
      <c r="IV5" s="30"/>
      <c r="IW5" s="30"/>
      <c r="IX5" s="30"/>
      <c r="IY5" s="30"/>
      <c r="IZ5" s="30"/>
      <c r="JA5" s="30"/>
      <c r="JB5" s="30"/>
      <c r="JC5" s="30"/>
      <c r="JD5" s="30"/>
      <c r="JE5" s="30"/>
      <c r="JF5" s="30"/>
      <c r="JG5" s="30"/>
      <c r="JH5" s="30"/>
      <c r="JI5" s="30"/>
      <c r="JJ5" s="30"/>
      <c r="JK5" s="30"/>
      <c r="JL5" s="30"/>
      <c r="JM5" s="30"/>
      <c r="JN5" s="30"/>
      <c r="JO5" s="30"/>
      <c r="JP5" s="30"/>
      <c r="JQ5" s="30"/>
      <c r="JR5" s="30"/>
      <c r="JS5" s="30"/>
      <c r="JT5" s="30"/>
      <c r="JU5" s="30"/>
      <c r="JV5" s="30"/>
      <c r="JW5" s="30"/>
      <c r="JX5" s="30"/>
      <c r="JY5" s="30"/>
      <c r="JZ5" s="30"/>
      <c r="KA5" s="30"/>
      <c r="KB5" s="30"/>
      <c r="KC5" s="30"/>
      <c r="KD5" s="30"/>
      <c r="KE5" s="30"/>
      <c r="KF5" s="30"/>
      <c r="KG5" s="30"/>
      <c r="KH5" s="30"/>
      <c r="KI5" s="30"/>
      <c r="KJ5" s="30"/>
      <c r="KK5" s="30"/>
      <c r="KL5" s="30"/>
      <c r="KM5" s="30"/>
      <c r="KN5" s="30"/>
      <c r="KO5" s="30"/>
      <c r="KP5" s="30"/>
      <c r="KQ5" s="30"/>
      <c r="KR5" s="30"/>
      <c r="KS5" s="30"/>
      <c r="KT5" s="30"/>
      <c r="KU5" s="30"/>
      <c r="KV5" s="30"/>
      <c r="KW5" s="30"/>
      <c r="KX5" s="30"/>
      <c r="KY5" s="30"/>
      <c r="KZ5" s="30"/>
      <c r="LA5" s="30"/>
      <c r="LB5" s="30"/>
      <c r="LC5" s="30"/>
      <c r="LD5" s="30"/>
      <c r="LE5" s="30"/>
      <c r="LF5" s="30"/>
      <c r="LG5" s="30"/>
      <c r="LH5" s="30"/>
      <c r="LI5" s="30"/>
      <c r="LJ5" s="30"/>
      <c r="LK5" s="30"/>
      <c r="LL5" s="30"/>
      <c r="LM5" s="30"/>
      <c r="LN5" s="30"/>
      <c r="LO5" s="30"/>
      <c r="LP5" s="30"/>
      <c r="LQ5" s="30"/>
      <c r="LR5" s="30"/>
      <c r="LS5" s="30"/>
      <c r="LT5" s="30"/>
      <c r="LU5" s="30"/>
      <c r="LV5" s="30"/>
      <c r="LW5" s="30"/>
      <c r="LX5" s="30"/>
      <c r="LY5" s="30"/>
      <c r="LZ5" s="30"/>
      <c r="MA5" s="30"/>
      <c r="MB5" s="30"/>
      <c r="MC5" s="30"/>
      <c r="MD5" s="30"/>
      <c r="ME5" s="30"/>
      <c r="MF5" s="30"/>
      <c r="MG5" s="30"/>
      <c r="MH5" s="30"/>
      <c r="MI5" s="30"/>
      <c r="MJ5" s="30"/>
      <c r="MK5" s="30"/>
      <c r="ML5" s="30"/>
      <c r="MM5" s="30"/>
      <c r="MN5" s="30"/>
      <c r="MO5" s="30"/>
      <c r="MP5" s="30"/>
      <c r="MQ5" s="30"/>
      <c r="MR5" s="30"/>
      <c r="MS5" s="30"/>
      <c r="MT5" s="30"/>
      <c r="MU5" s="30"/>
      <c r="MV5" s="30"/>
      <c r="MW5" s="30"/>
      <c r="MX5" s="30"/>
      <c r="MY5" s="30"/>
      <c r="MZ5" s="30"/>
      <c r="NA5" s="30"/>
      <c r="NB5" s="30"/>
      <c r="NC5" s="30"/>
      <c r="ND5" s="30"/>
      <c r="NE5" s="30"/>
      <c r="NF5" s="30"/>
      <c r="NG5" s="30"/>
      <c r="NH5" s="30"/>
      <c r="NI5" s="30"/>
      <c r="NJ5" s="30"/>
      <c r="NK5" s="30"/>
      <c r="NL5" s="30"/>
      <c r="NM5" s="30"/>
      <c r="NN5" s="30"/>
      <c r="NO5" s="30"/>
      <c r="NP5" s="30"/>
      <c r="NQ5" s="30"/>
      <c r="NR5" s="30"/>
      <c r="NS5" s="30"/>
      <c r="NT5" s="30"/>
      <c r="NU5" s="30"/>
      <c r="NV5" s="30"/>
      <c r="NW5" s="30"/>
      <c r="NX5" s="30"/>
      <c r="NY5" s="30"/>
      <c r="NZ5" s="30"/>
      <c r="OA5" s="30"/>
      <c r="OB5" s="30"/>
      <c r="OC5" s="30"/>
      <c r="OD5" s="30"/>
      <c r="OE5" s="30"/>
      <c r="OF5" s="30"/>
      <c r="OG5" s="30"/>
      <c r="OH5" s="30"/>
      <c r="OI5" s="30"/>
      <c r="OJ5" s="30"/>
      <c r="OK5" s="30"/>
      <c r="OL5" s="30"/>
      <c r="OM5" s="30"/>
      <c r="ON5" s="30"/>
      <c r="OO5" s="30"/>
      <c r="OP5" s="30"/>
      <c r="OQ5" s="30"/>
      <c r="OR5" s="30"/>
      <c r="OS5" s="30"/>
      <c r="OT5" s="30"/>
      <c r="OU5" s="30"/>
      <c r="OV5" s="30"/>
      <c r="OW5" s="30"/>
      <c r="OX5" s="30"/>
      <c r="OY5" s="30"/>
      <c r="OZ5" s="30"/>
      <c r="PA5" s="30"/>
      <c r="PB5" s="30"/>
      <c r="PC5" s="30"/>
      <c r="PD5" s="30"/>
      <c r="PE5" s="30"/>
      <c r="PF5" s="30"/>
      <c r="PG5" s="30"/>
      <c r="PH5" s="30"/>
      <c r="PI5" s="30"/>
      <c r="PJ5" s="30"/>
      <c r="PK5" s="30"/>
      <c r="PL5" s="30"/>
      <c r="PM5" s="30"/>
      <c r="PN5" s="30"/>
      <c r="PO5" s="30"/>
      <c r="PP5" s="30"/>
      <c r="PQ5" s="30"/>
      <c r="PR5" s="30"/>
      <c r="PS5" s="30"/>
      <c r="PT5" s="30"/>
      <c r="PU5" s="30"/>
      <c r="PV5" s="30"/>
      <c r="PW5" s="30"/>
      <c r="PX5" s="30"/>
      <c r="PY5" s="30"/>
      <c r="PZ5" s="30"/>
      <c r="QA5" s="30"/>
      <c r="QB5" s="30"/>
      <c r="QC5" s="30"/>
      <c r="QD5" s="30"/>
      <c r="QE5" s="30"/>
      <c r="QF5" s="30"/>
      <c r="QG5" s="30"/>
      <c r="QH5" s="30"/>
      <c r="QI5" s="30"/>
      <c r="QJ5" s="30"/>
      <c r="QK5" s="30"/>
      <c r="QL5" s="30"/>
      <c r="QM5" s="30"/>
      <c r="QN5" s="30"/>
      <c r="QO5" s="30"/>
      <c r="QP5" s="30"/>
      <c r="QQ5" s="30"/>
      <c r="QR5" s="30"/>
      <c r="QS5" s="30"/>
      <c r="QT5" s="30"/>
      <c r="QU5" s="30"/>
      <c r="QV5" s="30"/>
      <c r="QW5" s="30"/>
      <c r="QX5" s="30"/>
      <c r="QY5" s="30"/>
      <c r="QZ5" s="30"/>
      <c r="RA5" s="30"/>
      <c r="RB5" s="30"/>
      <c r="RC5" s="30"/>
      <c r="RD5" s="30"/>
      <c r="RE5" s="30"/>
      <c r="RF5" s="30"/>
      <c r="RG5" s="30"/>
      <c r="RH5" s="30"/>
      <c r="RI5" s="30"/>
      <c r="RJ5" s="30"/>
      <c r="RK5" s="30"/>
      <c r="RL5" s="30"/>
      <c r="RM5" s="30"/>
      <c r="RN5" s="30"/>
      <c r="RO5" s="30"/>
      <c r="RP5" s="30"/>
      <c r="RQ5" s="30"/>
      <c r="RR5" s="30"/>
      <c r="RS5" s="30"/>
      <c r="RT5" s="30"/>
      <c r="RU5" s="30"/>
      <c r="RV5" s="30"/>
      <c r="RW5" s="30"/>
      <c r="RX5" s="30"/>
      <c r="RY5" s="30"/>
      <c r="RZ5" s="30"/>
      <c r="SA5" s="30"/>
      <c r="SB5" s="30"/>
      <c r="SC5" s="30"/>
      <c r="SD5" s="30"/>
      <c r="SE5" s="30"/>
      <c r="SF5" s="30"/>
      <c r="SG5" s="30"/>
      <c r="SH5" s="30"/>
      <c r="SI5" s="30"/>
      <c r="SJ5" s="30"/>
      <c r="SK5" s="30"/>
      <c r="SL5" s="30"/>
      <c r="SM5" s="30"/>
      <c r="SN5" s="30"/>
      <c r="SO5" s="30"/>
      <c r="SP5" s="30"/>
      <c r="SQ5" s="30"/>
      <c r="SR5" s="30"/>
      <c r="SS5" s="30"/>
      <c r="ST5" s="30"/>
      <c r="SU5" s="30"/>
      <c r="SV5" s="30"/>
      <c r="SW5" s="30"/>
      <c r="SX5" s="30"/>
      <c r="SY5" s="30"/>
      <c r="SZ5" s="30"/>
      <c r="TA5" s="30"/>
      <c r="TB5" s="30"/>
      <c r="TC5" s="30"/>
      <c r="TD5" s="30"/>
      <c r="TE5" s="30"/>
      <c r="TF5" s="30"/>
      <c r="TG5" s="30"/>
      <c r="TH5" s="30"/>
      <c r="TI5" s="30"/>
      <c r="TJ5" s="30"/>
      <c r="TK5" s="30"/>
      <c r="TL5" s="30"/>
      <c r="TM5" s="30"/>
      <c r="TN5" s="30"/>
      <c r="TO5" s="30"/>
      <c r="TP5" s="30"/>
      <c r="TQ5" s="30"/>
      <c r="TR5" s="30"/>
      <c r="TS5" s="30"/>
      <c r="TT5" s="30"/>
      <c r="TU5" s="30"/>
      <c r="TV5" s="30"/>
      <c r="TW5" s="30"/>
      <c r="TX5" s="30"/>
      <c r="TY5" s="30"/>
      <c r="TZ5" s="30"/>
      <c r="UA5" s="30"/>
      <c r="UB5" s="30"/>
      <c r="UC5" s="30"/>
      <c r="UD5" s="30"/>
      <c r="UE5" s="30"/>
      <c r="UF5" s="30"/>
      <c r="UG5" s="30"/>
      <c r="UH5" s="30"/>
      <c r="UI5" s="30"/>
      <c r="UJ5" s="30"/>
      <c r="UK5" s="30"/>
      <c r="UL5" s="30"/>
      <c r="UM5" s="30"/>
      <c r="UN5" s="30"/>
      <c r="UO5" s="30"/>
      <c r="UP5" s="30"/>
      <c r="UQ5" s="30"/>
      <c r="UR5" s="30"/>
      <c r="US5" s="30"/>
      <c r="UT5" s="30"/>
      <c r="UU5" s="30"/>
      <c r="UV5" s="30"/>
      <c r="UW5" s="30"/>
      <c r="UX5" s="30"/>
      <c r="UY5" s="30"/>
      <c r="UZ5" s="30"/>
      <c r="VA5" s="30"/>
      <c r="VB5" s="30"/>
      <c r="VC5" s="30"/>
      <c r="VD5" s="30"/>
      <c r="VE5" s="30"/>
      <c r="VF5" s="30"/>
      <c r="VG5" s="30"/>
      <c r="VH5" s="30"/>
      <c r="VI5" s="30"/>
      <c r="VJ5" s="30"/>
      <c r="VK5" s="30"/>
      <c r="VL5" s="30"/>
      <c r="VM5" s="30"/>
      <c r="VN5" s="30"/>
      <c r="VO5" s="30"/>
      <c r="VP5" s="30"/>
      <c r="VQ5" s="30"/>
      <c r="VR5" s="30"/>
      <c r="VS5" s="30"/>
      <c r="VT5" s="30"/>
      <c r="VU5" s="30"/>
      <c r="VV5" s="30"/>
      <c r="VW5" s="30"/>
      <c r="VX5" s="30"/>
      <c r="VY5" s="30"/>
      <c r="VZ5" s="30"/>
      <c r="WA5" s="30"/>
      <c r="WB5" s="30"/>
      <c r="WC5" s="30"/>
      <c r="WD5" s="30"/>
      <c r="WE5" s="30"/>
      <c r="WF5" s="30"/>
      <c r="WG5" s="30"/>
      <c r="WH5" s="30"/>
      <c r="WI5" s="30"/>
      <c r="WJ5" s="30"/>
      <c r="WK5" s="30"/>
      <c r="WL5" s="30"/>
      <c r="WM5" s="30"/>
      <c r="WN5" s="30"/>
      <c r="WO5" s="30"/>
      <c r="WP5" s="30"/>
      <c r="WQ5" s="30"/>
      <c r="WR5" s="30"/>
      <c r="WS5" s="30"/>
      <c r="WT5" s="30"/>
      <c r="WU5" s="30"/>
      <c r="WV5" s="30"/>
      <c r="WW5" s="30"/>
      <c r="WX5" s="30"/>
      <c r="WY5" s="30"/>
      <c r="WZ5" s="30"/>
      <c r="XA5" s="30"/>
      <c r="XB5" s="30"/>
      <c r="XC5" s="30"/>
      <c r="XD5" s="30"/>
      <c r="XE5" s="30"/>
      <c r="XF5" s="30"/>
      <c r="XG5" s="30"/>
      <c r="XH5" s="30"/>
      <c r="XI5" s="30"/>
      <c r="XJ5" s="30"/>
      <c r="XK5" s="30"/>
      <c r="XL5" s="30"/>
      <c r="XM5" s="30"/>
      <c r="XN5" s="30"/>
      <c r="XO5" s="30"/>
      <c r="XP5" s="30"/>
      <c r="XQ5" s="30"/>
      <c r="XR5" s="30"/>
      <c r="XS5" s="30"/>
      <c r="XT5" s="30"/>
      <c r="XU5" s="30"/>
      <c r="XV5" s="30"/>
      <c r="XW5" s="30"/>
      <c r="XX5" s="30"/>
      <c r="XY5" s="30"/>
      <c r="XZ5" s="30"/>
      <c r="YA5" s="30"/>
      <c r="YB5" s="30"/>
      <c r="YC5" s="30"/>
      <c r="YD5" s="30"/>
      <c r="YE5" s="30"/>
      <c r="YF5" s="30"/>
      <c r="YG5" s="30"/>
      <c r="YH5" s="30"/>
      <c r="YI5" s="30"/>
      <c r="YJ5" s="30"/>
      <c r="YK5" s="30"/>
      <c r="YL5" s="30"/>
      <c r="YM5" s="30"/>
      <c r="YN5" s="30"/>
      <c r="YO5" s="30"/>
      <c r="YP5" s="30"/>
      <c r="YQ5" s="30"/>
      <c r="YR5" s="30"/>
      <c r="YS5" s="30"/>
      <c r="YT5" s="30"/>
      <c r="YU5" s="30"/>
      <c r="YV5" s="30"/>
      <c r="YW5" s="30"/>
      <c r="YX5" s="30"/>
      <c r="YY5" s="30"/>
      <c r="YZ5" s="30"/>
      <c r="ZA5" s="30"/>
      <c r="ZB5" s="30"/>
      <c r="ZC5" s="30"/>
      <c r="ZD5" s="30"/>
      <c r="ZE5" s="30"/>
      <c r="ZF5" s="30"/>
      <c r="ZG5" s="30"/>
      <c r="ZH5" s="30"/>
      <c r="ZI5" s="30"/>
      <c r="ZJ5" s="30"/>
      <c r="ZK5" s="30"/>
      <c r="ZL5" s="30"/>
      <c r="ZM5" s="30"/>
      <c r="ZN5" s="30"/>
      <c r="ZO5" s="30"/>
      <c r="ZP5" s="30"/>
      <c r="ZQ5" s="30"/>
      <c r="ZR5" s="30"/>
      <c r="ZS5" s="30"/>
      <c r="ZT5" s="30"/>
      <c r="ZU5" s="30"/>
      <c r="ZV5" s="30"/>
      <c r="ZW5" s="30"/>
      <c r="ZX5" s="30"/>
      <c r="ZY5" s="30"/>
      <c r="ZZ5" s="30"/>
      <c r="AAA5" s="30"/>
      <c r="AAB5" s="30"/>
      <c r="AAC5" s="30"/>
      <c r="AAD5" s="30"/>
      <c r="AAE5" s="30"/>
      <c r="AAF5" s="30"/>
      <c r="AAG5" s="30"/>
      <c r="AAH5" s="30"/>
      <c r="AAI5" s="30"/>
      <c r="AAJ5" s="30"/>
      <c r="AAK5" s="30"/>
      <c r="AAL5" s="30"/>
      <c r="AAM5" s="30"/>
      <c r="AAN5" s="30"/>
      <c r="AAO5" s="30"/>
      <c r="AAP5" s="30"/>
      <c r="AAQ5" s="30"/>
      <c r="AAR5" s="30"/>
      <c r="AAS5" s="30"/>
      <c r="AAT5" s="30"/>
      <c r="AAU5" s="30"/>
      <c r="AAV5" s="30"/>
      <c r="AAW5" s="30"/>
      <c r="AAX5" s="30"/>
      <c r="AAY5" s="30"/>
      <c r="AAZ5" s="30"/>
      <c r="ABA5" s="30"/>
      <c r="ABB5" s="30"/>
      <c r="ABC5" s="30"/>
      <c r="ABD5" s="30"/>
      <c r="ABE5" s="30"/>
      <c r="ABF5" s="30"/>
      <c r="ABG5" s="30"/>
      <c r="ABH5" s="30"/>
      <c r="ABI5" s="30"/>
      <c r="ABJ5" s="30"/>
      <c r="ABK5" s="30"/>
      <c r="ABL5" s="30"/>
      <c r="ABM5" s="30"/>
      <c r="ABN5" s="30"/>
      <c r="ABO5" s="30"/>
      <c r="ABP5" s="30"/>
      <c r="ABQ5" s="30"/>
      <c r="ABR5" s="30"/>
      <c r="ABS5" s="30"/>
      <c r="ABT5" s="30"/>
      <c r="ABU5" s="30"/>
      <c r="ABV5" s="30"/>
      <c r="ABW5" s="30"/>
      <c r="ABX5" s="30"/>
      <c r="ABY5" s="30"/>
      <c r="ABZ5" s="30"/>
      <c r="ACA5" s="30"/>
      <c r="ACB5" s="30"/>
      <c r="ACC5" s="30"/>
      <c r="ACD5" s="30"/>
      <c r="ACE5" s="30"/>
      <c r="ACF5" s="30"/>
      <c r="ACG5" s="30"/>
      <c r="ACH5" s="30"/>
      <c r="ACI5" s="30"/>
      <c r="ACJ5" s="30"/>
      <c r="ACK5" s="30"/>
      <c r="ACL5" s="30"/>
      <c r="ACM5" s="30"/>
      <c r="ACN5" s="30"/>
      <c r="ACO5" s="30"/>
      <c r="ACP5" s="30"/>
      <c r="ACQ5" s="30"/>
      <c r="ACR5" s="30"/>
      <c r="ACS5" s="30"/>
      <c r="ACT5" s="30"/>
      <c r="ACU5" s="30"/>
      <c r="ACV5" s="30"/>
      <c r="ACW5" s="30"/>
      <c r="ACX5" s="30"/>
      <c r="ACY5" s="30"/>
      <c r="ACZ5" s="30"/>
      <c r="ADA5" s="30"/>
      <c r="ADB5" s="30"/>
      <c r="ADC5" s="30"/>
      <c r="ADD5" s="30"/>
      <c r="ADE5" s="30"/>
      <c r="ADF5" s="30"/>
      <c r="ADG5" s="30"/>
      <c r="ADH5" s="30"/>
      <c r="ADI5" s="30"/>
      <c r="ADJ5" s="30"/>
      <c r="ADK5" s="30"/>
      <c r="ADL5" s="30"/>
      <c r="ADM5" s="30"/>
      <c r="ADN5" s="30"/>
      <c r="ADO5" s="30"/>
      <c r="ADP5" s="30"/>
      <c r="ADQ5" s="30"/>
      <c r="ADR5" s="30"/>
      <c r="ADS5" s="30"/>
      <c r="ADT5" s="30"/>
      <c r="ADU5" s="30"/>
      <c r="ADV5" s="30"/>
      <c r="ADW5" s="30"/>
      <c r="ADX5" s="30"/>
      <c r="ADY5" s="30"/>
      <c r="ADZ5" s="30"/>
      <c r="AEA5" s="30"/>
      <c r="AEB5" s="30"/>
      <c r="AEC5" s="30"/>
      <c r="AED5" s="30"/>
      <c r="AEE5" s="30"/>
      <c r="AEF5" s="30"/>
      <c r="AEG5" s="30"/>
      <c r="AEH5" s="30"/>
      <c r="AEI5" s="30"/>
      <c r="AEJ5" s="30"/>
      <c r="AEK5" s="30"/>
      <c r="AEL5" s="30"/>
      <c r="AEM5" s="30"/>
      <c r="AEN5" s="30"/>
      <c r="AEO5" s="30"/>
      <c r="AEP5" s="30"/>
      <c r="AEQ5" s="30"/>
      <c r="AER5" s="30"/>
      <c r="AES5" s="30"/>
      <c r="AET5" s="30"/>
      <c r="AEU5" s="30"/>
      <c r="AEV5" s="30"/>
      <c r="AEW5" s="30"/>
      <c r="AEX5" s="30"/>
      <c r="AEY5" s="30"/>
      <c r="AEZ5" s="30"/>
      <c r="AFA5" s="30"/>
      <c r="AFB5" s="30"/>
      <c r="AFC5" s="30"/>
      <c r="AFD5" s="30"/>
      <c r="AFE5" s="30"/>
      <c r="AFF5" s="30"/>
      <c r="AFG5" s="30"/>
      <c r="AFH5" s="30"/>
      <c r="AFI5" s="30"/>
      <c r="AFJ5" s="30"/>
      <c r="AFK5" s="30"/>
      <c r="AFL5" s="30"/>
      <c r="AFM5" s="30"/>
      <c r="AFN5" s="30"/>
      <c r="AFO5" s="30"/>
      <c r="AFP5" s="30"/>
      <c r="AFQ5" s="30"/>
      <c r="AFR5" s="30"/>
      <c r="AFS5" s="30"/>
      <c r="AFT5" s="30"/>
      <c r="AFU5" s="30"/>
      <c r="AFV5" s="30"/>
      <c r="AFW5" s="30"/>
      <c r="AFX5" s="30"/>
      <c r="AFY5" s="30"/>
      <c r="AFZ5" s="30"/>
      <c r="AGA5" s="30"/>
      <c r="AGB5" s="30"/>
      <c r="AGC5" s="30"/>
      <c r="AGD5" s="30"/>
      <c r="AGE5" s="30"/>
      <c r="AGF5" s="30"/>
      <c r="AGG5" s="30"/>
      <c r="AGH5" s="30"/>
      <c r="AGI5" s="30"/>
      <c r="AGJ5" s="30"/>
      <c r="AGK5" s="30"/>
      <c r="AGL5" s="30"/>
      <c r="AGM5" s="30"/>
      <c r="AGN5" s="30"/>
      <c r="AGO5" s="30"/>
      <c r="AGP5" s="30"/>
      <c r="AGQ5" s="30"/>
      <c r="AGR5" s="30"/>
      <c r="AGS5" s="30"/>
      <c r="AGT5" s="30"/>
      <c r="AGU5" s="30"/>
      <c r="AGV5" s="30"/>
      <c r="AGW5" s="30"/>
      <c r="AGX5" s="30"/>
      <c r="AGY5" s="30"/>
      <c r="AGZ5" s="30"/>
      <c r="AHA5" s="30"/>
      <c r="AHB5" s="30"/>
      <c r="AHC5" s="30"/>
      <c r="AHD5" s="30"/>
      <c r="AHE5" s="30"/>
      <c r="AHF5" s="30"/>
      <c r="AHG5" s="30"/>
      <c r="AHH5" s="30"/>
      <c r="AHI5" s="30"/>
      <c r="AHJ5" s="30"/>
      <c r="AHK5" s="30"/>
      <c r="AHL5" s="30"/>
      <c r="AHM5" s="30"/>
      <c r="AHN5" s="30"/>
      <c r="AHO5" s="30"/>
      <c r="AHP5" s="30"/>
      <c r="AHQ5" s="30"/>
      <c r="AHR5" s="30"/>
      <c r="AHS5" s="30"/>
      <c r="AHT5" s="30"/>
      <c r="AHU5" s="30"/>
      <c r="AHV5" s="30"/>
      <c r="AHW5" s="30"/>
      <c r="AHX5" s="30"/>
      <c r="AHY5" s="30"/>
      <c r="AHZ5" s="30"/>
      <c r="AIA5" s="30"/>
      <c r="AIB5" s="30"/>
      <c r="AIC5" s="30"/>
      <c r="AID5" s="30"/>
      <c r="AIE5" s="30"/>
      <c r="AIF5" s="30"/>
      <c r="AIG5" s="30"/>
      <c r="AIH5" s="30"/>
      <c r="AII5" s="30"/>
      <c r="AIJ5" s="30"/>
      <c r="AIK5" s="30"/>
      <c r="AIL5" s="30"/>
      <c r="AIM5" s="30"/>
      <c r="AIN5" s="30"/>
      <c r="AIO5" s="30"/>
      <c r="AIP5" s="30"/>
      <c r="AIQ5" s="30"/>
      <c r="AIR5" s="30"/>
      <c r="AIS5" s="30"/>
      <c r="AIT5" s="30"/>
      <c r="AIU5" s="30"/>
      <c r="AIV5" s="30"/>
      <c r="AIW5" s="30"/>
      <c r="AIX5" s="30"/>
      <c r="AIY5" s="30"/>
      <c r="AIZ5" s="30"/>
      <c r="AJA5" s="30"/>
      <c r="AJB5" s="30"/>
      <c r="AJC5" s="30"/>
      <c r="AJD5" s="30"/>
      <c r="AJE5" s="30"/>
      <c r="AJF5" s="30"/>
      <c r="AJG5" s="30"/>
      <c r="AJH5" s="30"/>
      <c r="AJI5" s="30"/>
      <c r="AJJ5" s="30"/>
      <c r="AJK5" s="30"/>
      <c r="AJL5" s="30"/>
      <c r="AJM5" s="30"/>
      <c r="AJN5" s="30"/>
      <c r="AJO5" s="30"/>
      <c r="AJP5" s="30"/>
      <c r="AJQ5" s="30"/>
      <c r="AJR5" s="30"/>
      <c r="AJS5" s="30"/>
      <c r="AJT5" s="30"/>
      <c r="AJU5" s="30"/>
      <c r="AJV5" s="30"/>
      <c r="AJW5" s="30"/>
      <c r="AJX5" s="30"/>
      <c r="AJY5" s="30"/>
      <c r="AJZ5" s="30"/>
      <c r="AKA5" s="30"/>
      <c r="AKB5" s="30"/>
      <c r="AKC5" s="30"/>
      <c r="AKD5" s="30"/>
      <c r="AKE5" s="30"/>
      <c r="AKF5" s="30"/>
      <c r="AKG5" s="30"/>
      <c r="AKH5" s="30"/>
      <c r="AKI5" s="30"/>
      <c r="AKJ5" s="30"/>
      <c r="AKK5" s="30"/>
      <c r="AKL5" s="30"/>
      <c r="AKM5" s="30"/>
      <c r="AKN5" s="30"/>
      <c r="AKO5" s="30"/>
      <c r="AKP5" s="30"/>
      <c r="AKQ5" s="30"/>
      <c r="AKR5" s="30"/>
      <c r="AKS5" s="30"/>
      <c r="AKT5" s="30"/>
      <c r="AKU5" s="30"/>
      <c r="AKV5" s="30"/>
      <c r="AKW5" s="30"/>
      <c r="AKX5" s="30"/>
      <c r="AKY5" s="30"/>
      <c r="AKZ5" s="30"/>
      <c r="ALA5" s="30"/>
      <c r="ALB5" s="30"/>
      <c r="ALC5" s="30"/>
      <c r="ALD5" s="30"/>
      <c r="ALE5" s="30"/>
      <c r="ALF5" s="30"/>
      <c r="ALG5" s="30"/>
      <c r="ALH5" s="30"/>
      <c r="ALI5" s="30"/>
      <c r="ALJ5" s="30"/>
      <c r="ALK5" s="30"/>
      <c r="ALL5" s="30"/>
      <c r="ALM5" s="30"/>
      <c r="ALN5" s="30"/>
      <c r="ALO5" s="30"/>
      <c r="ALP5" s="30"/>
      <c r="ALQ5" s="30"/>
      <c r="ALR5" s="30"/>
      <c r="ALS5" s="30"/>
      <c r="ALT5" s="30"/>
      <c r="ALU5" s="30"/>
      <c r="ALV5" s="30"/>
      <c r="ALW5" s="30"/>
      <c r="ALX5" s="30"/>
      <c r="ALY5" s="30"/>
      <c r="ALZ5" s="30"/>
      <c r="AMA5" s="30"/>
      <c r="AMB5" s="30"/>
      <c r="AMC5" s="30"/>
      <c r="AMD5" s="30"/>
      <c r="AME5" s="30"/>
      <c r="AMF5" s="30"/>
      <c r="AMG5" s="30"/>
      <c r="AMH5" s="30"/>
      <c r="AMI5" s="30"/>
      <c r="AMJ5" s="30"/>
      <c r="AMK5" s="30"/>
      <c r="AML5" s="30"/>
    </row>
    <row r="6" ht="15.75" customHeight="1">
      <c r="A6" s="32" t="s">
        <v>20</v>
      </c>
      <c r="B6" s="32" t="s">
        <v>20</v>
      </c>
      <c r="C6" s="8" t="s">
        <v>21</v>
      </c>
      <c r="D6" s="32" t="s">
        <v>22</v>
      </c>
      <c r="E6" s="8" t="s">
        <v>22</v>
      </c>
      <c r="F6" s="8" t="s">
        <v>23</v>
      </c>
      <c r="G6" s="8">
        <v>1.0</v>
      </c>
      <c r="H6" s="8">
        <v>1.0</v>
      </c>
      <c r="I6" s="8">
        <v>1.0</v>
      </c>
      <c r="J6" s="8"/>
      <c r="K6" s="8">
        <v>0.0</v>
      </c>
      <c r="L6" s="8">
        <v>0.0</v>
      </c>
      <c r="M6" s="8">
        <v>0.0</v>
      </c>
      <c r="N6" s="8"/>
      <c r="O6" s="8">
        <v>0.0</v>
      </c>
      <c r="P6">
        <v>0.0</v>
      </c>
      <c r="Q6">
        <v>0.0</v>
      </c>
      <c r="R6">
        <v>0.0</v>
      </c>
      <c r="S6">
        <v>0.0</v>
      </c>
      <c r="T6" t="s">
        <v>22</v>
      </c>
      <c r="AB6" t="s">
        <v>20</v>
      </c>
      <c r="AC6" t="s">
        <v>20</v>
      </c>
      <c r="AD6" t="s">
        <v>20</v>
      </c>
      <c r="AE6" t="s">
        <v>20</v>
      </c>
      <c r="AF6" t="s">
        <v>20</v>
      </c>
      <c r="AG6" t="s">
        <v>20</v>
      </c>
      <c r="AH6" t="s">
        <v>20</v>
      </c>
      <c r="AI6" t="s">
        <v>20</v>
      </c>
      <c r="AJ6" t="s">
        <v>20</v>
      </c>
      <c r="AK6" t="s">
        <v>20</v>
      </c>
      <c r="AL6" t="s">
        <v>20</v>
      </c>
      <c r="AM6" t="s">
        <v>20</v>
      </c>
      <c r="AN6" t="s">
        <v>20</v>
      </c>
      <c r="AO6" t="s">
        <v>20</v>
      </c>
      <c r="AP6" t="s">
        <v>20</v>
      </c>
      <c r="AQ6" t="s">
        <v>20</v>
      </c>
      <c r="AR6" t="s">
        <v>20</v>
      </c>
      <c r="AS6" t="s">
        <v>20</v>
      </c>
      <c r="AT6" t="s">
        <v>20</v>
      </c>
      <c r="AU6" t="s">
        <v>20</v>
      </c>
      <c r="AV6" t="s">
        <v>20</v>
      </c>
      <c r="AW6" t="s">
        <v>20</v>
      </c>
      <c r="AX6" t="s">
        <v>20</v>
      </c>
      <c r="AY6" t="s">
        <v>20</v>
      </c>
      <c r="AZ6" t="s">
        <v>20</v>
      </c>
      <c r="BA6" t="s">
        <v>20</v>
      </c>
      <c r="BB6" t="s">
        <v>20</v>
      </c>
      <c r="BC6" t="s">
        <v>20</v>
      </c>
      <c r="BD6" t="s">
        <v>20</v>
      </c>
      <c r="BE6" t="s">
        <v>20</v>
      </c>
      <c r="BF6" t="s">
        <v>20</v>
      </c>
      <c r="BG6" t="s">
        <v>20</v>
      </c>
      <c r="BH6" t="s">
        <v>20</v>
      </c>
      <c r="BI6" t="s">
        <v>20</v>
      </c>
      <c r="BJ6" t="s">
        <v>20</v>
      </c>
      <c r="BK6" t="s">
        <v>20</v>
      </c>
      <c r="BL6" t="s">
        <v>20</v>
      </c>
      <c r="BM6" t="s">
        <v>20</v>
      </c>
      <c r="BN6" t="s">
        <v>20</v>
      </c>
      <c r="BO6" t="s">
        <v>20</v>
      </c>
      <c r="BP6" t="s">
        <v>20</v>
      </c>
      <c r="BQ6" t="s">
        <v>20</v>
      </c>
      <c r="BR6" t="s">
        <v>20</v>
      </c>
      <c r="BS6" t="s">
        <v>20</v>
      </c>
      <c r="BT6" t="s">
        <v>20</v>
      </c>
      <c r="BU6" t="s">
        <v>20</v>
      </c>
      <c r="BV6" t="s">
        <v>20</v>
      </c>
      <c r="BW6" t="s">
        <v>20</v>
      </c>
      <c r="BX6" t="s">
        <v>20</v>
      </c>
      <c r="BY6" t="s">
        <v>20</v>
      </c>
      <c r="BZ6" t="s">
        <v>20</v>
      </c>
      <c r="CA6" t="s">
        <v>20</v>
      </c>
      <c r="CB6" t="s">
        <v>20</v>
      </c>
      <c r="CC6" t="s">
        <v>20</v>
      </c>
      <c r="CD6" t="s">
        <v>20</v>
      </c>
      <c r="CE6" t="s">
        <v>20</v>
      </c>
      <c r="CF6" t="s">
        <v>20</v>
      </c>
      <c r="CG6" t="s">
        <v>20</v>
      </c>
      <c r="CH6" t="s">
        <v>20</v>
      </c>
      <c r="CI6" t="s">
        <v>20</v>
      </c>
      <c r="CJ6" t="s">
        <v>20</v>
      </c>
      <c r="CK6" t="s">
        <v>20</v>
      </c>
      <c r="CL6" t="s">
        <v>20</v>
      </c>
      <c r="CM6" t="s">
        <v>20</v>
      </c>
      <c r="CN6" t="s">
        <v>20</v>
      </c>
      <c r="CO6" t="s">
        <v>20</v>
      </c>
      <c r="CP6" t="s">
        <v>20</v>
      </c>
      <c r="CQ6" t="s">
        <v>20</v>
      </c>
      <c r="CR6" t="s">
        <v>20</v>
      </c>
      <c r="CS6" t="s">
        <v>20</v>
      </c>
      <c r="CT6" t="s">
        <v>20</v>
      </c>
      <c r="CU6" t="s">
        <v>20</v>
      </c>
      <c r="CV6" t="s">
        <v>20</v>
      </c>
      <c r="CW6" t="s">
        <v>20</v>
      </c>
      <c r="CX6" t="s">
        <v>20</v>
      </c>
      <c r="CY6" t="s">
        <v>20</v>
      </c>
      <c r="CZ6" t="s">
        <v>20</v>
      </c>
      <c r="DA6" t="s">
        <v>20</v>
      </c>
      <c r="DB6" t="s">
        <v>20</v>
      </c>
      <c r="DC6" t="s">
        <v>20</v>
      </c>
      <c r="DD6" t="s">
        <v>20</v>
      </c>
      <c r="DE6" t="s">
        <v>20</v>
      </c>
      <c r="DF6" t="s">
        <v>20</v>
      </c>
      <c r="DG6" t="s">
        <v>20</v>
      </c>
      <c r="DH6" t="s">
        <v>20</v>
      </c>
      <c r="DI6" t="s">
        <v>20</v>
      </c>
      <c r="DJ6" t="s">
        <v>20</v>
      </c>
      <c r="DK6" t="s">
        <v>20</v>
      </c>
      <c r="DL6" t="s">
        <v>20</v>
      </c>
      <c r="DM6" t="s">
        <v>20</v>
      </c>
      <c r="DN6" t="s">
        <v>20</v>
      </c>
      <c r="DO6" t="s">
        <v>20</v>
      </c>
      <c r="DP6" t="s">
        <v>20</v>
      </c>
      <c r="DQ6" t="s">
        <v>20</v>
      </c>
      <c r="DR6" t="s">
        <v>20</v>
      </c>
      <c r="DS6" t="s">
        <v>20</v>
      </c>
      <c r="DT6" t="s">
        <v>20</v>
      </c>
      <c r="DU6" t="s">
        <v>20</v>
      </c>
      <c r="DV6" t="s">
        <v>20</v>
      </c>
      <c r="DW6" t="s">
        <v>20</v>
      </c>
      <c r="DX6" t="s">
        <v>20</v>
      </c>
      <c r="DY6" t="s">
        <v>20</v>
      </c>
      <c r="DZ6" t="s">
        <v>20</v>
      </c>
      <c r="EA6" t="s">
        <v>20</v>
      </c>
      <c r="EB6" t="s">
        <v>20</v>
      </c>
      <c r="EC6" t="s">
        <v>20</v>
      </c>
      <c r="ED6" t="s">
        <v>20</v>
      </c>
      <c r="EE6" t="s">
        <v>20</v>
      </c>
      <c r="EF6" t="s">
        <v>20</v>
      </c>
      <c r="EG6" t="s">
        <v>20</v>
      </c>
      <c r="EH6" t="s">
        <v>20</v>
      </c>
      <c r="EI6" t="s">
        <v>20</v>
      </c>
      <c r="EJ6" t="s">
        <v>20</v>
      </c>
      <c r="EK6" t="s">
        <v>20</v>
      </c>
      <c r="EL6" t="s">
        <v>20</v>
      </c>
      <c r="EM6" t="s">
        <v>20</v>
      </c>
      <c r="EN6" t="s">
        <v>20</v>
      </c>
      <c r="EO6" t="s">
        <v>20</v>
      </c>
      <c r="EP6" t="s">
        <v>20</v>
      </c>
      <c r="EQ6" t="s">
        <v>20</v>
      </c>
      <c r="ER6" t="s">
        <v>20</v>
      </c>
      <c r="ES6" t="s">
        <v>20</v>
      </c>
      <c r="ET6" t="s">
        <v>20</v>
      </c>
      <c r="EU6" t="s">
        <v>20</v>
      </c>
      <c r="EV6" t="s">
        <v>20</v>
      </c>
      <c r="EW6" t="s">
        <v>20</v>
      </c>
      <c r="EX6" t="s">
        <v>20</v>
      </c>
      <c r="EY6" t="s">
        <v>20</v>
      </c>
      <c r="EZ6" t="s">
        <v>20</v>
      </c>
      <c r="FA6" t="s">
        <v>20</v>
      </c>
      <c r="FB6" t="s">
        <v>20</v>
      </c>
      <c r="FC6" t="s">
        <v>20</v>
      </c>
      <c r="FD6" t="s">
        <v>20</v>
      </c>
      <c r="FE6" t="s">
        <v>20</v>
      </c>
      <c r="FF6" t="s">
        <v>20</v>
      </c>
      <c r="FG6" t="s">
        <v>20</v>
      </c>
      <c r="FH6" t="s">
        <v>20</v>
      </c>
      <c r="FI6" t="s">
        <v>20</v>
      </c>
      <c r="FJ6" t="s">
        <v>20</v>
      </c>
      <c r="FK6" t="s">
        <v>20</v>
      </c>
      <c r="FL6" t="s">
        <v>20</v>
      </c>
      <c r="FM6" t="s">
        <v>20</v>
      </c>
      <c r="FN6" t="s">
        <v>20</v>
      </c>
      <c r="FO6" t="s">
        <v>20</v>
      </c>
      <c r="FP6" t="s">
        <v>20</v>
      </c>
      <c r="FQ6" t="s">
        <v>20</v>
      </c>
      <c r="FR6" s="33"/>
      <c r="FS6" s="33"/>
      <c r="FT6" s="33"/>
      <c r="FU6" s="33"/>
      <c r="FV6" s="33"/>
      <c r="FW6" s="33"/>
      <c r="FX6" s="33"/>
      <c r="FY6" s="33"/>
      <c r="FZ6" s="33"/>
      <c r="GA6" s="33"/>
      <c r="GB6" s="33"/>
      <c r="GC6" s="33"/>
      <c r="GD6" s="33"/>
      <c r="GE6" s="33"/>
      <c r="GF6" s="33"/>
      <c r="GG6" s="33"/>
      <c r="GH6" s="33"/>
      <c r="GI6" s="33"/>
      <c r="GJ6" s="33"/>
      <c r="GK6" s="33"/>
      <c r="GL6" s="33"/>
      <c r="GM6" s="33"/>
      <c r="GN6" s="33"/>
      <c r="GO6" s="33"/>
      <c r="GP6" s="33"/>
      <c r="GQ6" s="33"/>
      <c r="GR6" s="33"/>
      <c r="GS6" s="33"/>
      <c r="GT6" s="33"/>
      <c r="GU6" s="33"/>
      <c r="GV6" s="33"/>
      <c r="GW6" s="33"/>
      <c r="GX6" s="33"/>
      <c r="GY6" s="33"/>
      <c r="GZ6" s="33"/>
      <c r="HA6" s="33"/>
      <c r="HB6" s="33"/>
      <c r="HC6" s="33"/>
      <c r="HD6" s="33"/>
      <c r="HE6" s="33"/>
      <c r="HF6" s="33"/>
      <c r="HG6" s="33"/>
      <c r="HH6" s="33"/>
      <c r="HI6" s="33"/>
      <c r="HJ6" s="33"/>
      <c r="HK6" s="33"/>
      <c r="HL6" s="33"/>
      <c r="HM6" s="33"/>
      <c r="HN6" s="33"/>
      <c r="HO6" s="33"/>
      <c r="HP6" s="33"/>
      <c r="HQ6" s="33"/>
      <c r="HR6" s="33"/>
      <c r="HS6" s="33"/>
      <c r="HT6" s="33"/>
      <c r="HU6" s="33"/>
      <c r="HV6" s="33"/>
      <c r="HW6" s="33"/>
      <c r="HX6" s="33"/>
      <c r="HY6" s="33"/>
      <c r="HZ6" s="33"/>
      <c r="IA6" s="33"/>
      <c r="IB6" s="33"/>
      <c r="IC6" s="33"/>
      <c r="ID6" s="33"/>
      <c r="IE6" s="33"/>
      <c r="IF6" s="33"/>
      <c r="IG6" s="33"/>
      <c r="IH6" s="33"/>
      <c r="II6" s="33"/>
      <c r="IJ6" s="33"/>
      <c r="IK6" s="33"/>
      <c r="IL6" s="33"/>
      <c r="IM6" s="33"/>
      <c r="IN6" s="33"/>
      <c r="IO6" s="33"/>
      <c r="IP6" s="33"/>
      <c r="IQ6" s="33"/>
      <c r="IR6" s="33"/>
      <c r="IS6" s="33"/>
      <c r="IT6" s="33"/>
      <c r="IU6" s="33"/>
      <c r="IV6" s="33"/>
      <c r="IW6" s="33"/>
      <c r="IX6" s="33"/>
      <c r="IY6" s="33"/>
      <c r="IZ6" s="33"/>
      <c r="JA6" s="33"/>
      <c r="JB6" s="33"/>
      <c r="JC6" s="33"/>
      <c r="JD6" s="33"/>
      <c r="JE6" s="33"/>
      <c r="JF6" s="33"/>
      <c r="JG6" s="33"/>
      <c r="JH6" s="33"/>
      <c r="JI6" s="33"/>
      <c r="JJ6" s="33"/>
      <c r="JK6" s="33"/>
      <c r="JL6" s="33"/>
      <c r="JM6" s="33"/>
      <c r="JN6" s="33"/>
      <c r="JO6" s="33"/>
      <c r="JP6" s="33"/>
      <c r="JQ6" s="33"/>
      <c r="JR6" s="33"/>
      <c r="JS6" s="33"/>
      <c r="JT6" s="33"/>
      <c r="JU6" s="33"/>
      <c r="JV6" s="33"/>
      <c r="JW6" s="33"/>
      <c r="JX6" s="33"/>
      <c r="JY6" s="33"/>
      <c r="JZ6" s="33"/>
      <c r="KA6" s="33"/>
      <c r="KB6" s="33"/>
      <c r="KC6" s="33"/>
      <c r="KD6" s="33"/>
      <c r="KE6" s="33"/>
      <c r="KF6" s="33"/>
      <c r="KG6" s="33"/>
      <c r="KH6" s="33"/>
      <c r="KI6" s="33"/>
      <c r="KJ6" s="33"/>
      <c r="KK6" s="33"/>
      <c r="KL6" s="33"/>
      <c r="KM6" s="33"/>
      <c r="KN6" s="33"/>
      <c r="KO6" s="33"/>
      <c r="KP6" s="33"/>
      <c r="KQ6" s="33"/>
      <c r="KR6" s="33"/>
      <c r="KS6" s="33"/>
      <c r="KT6" s="33"/>
      <c r="KU6" s="33"/>
      <c r="KV6" s="33"/>
      <c r="KW6" s="33"/>
      <c r="KX6" s="33"/>
      <c r="KY6" s="33"/>
      <c r="KZ6" s="33"/>
      <c r="LA6" s="33"/>
      <c r="LB6" s="33"/>
      <c r="LC6" s="33"/>
      <c r="LD6" s="33"/>
      <c r="LE6" s="33"/>
      <c r="LF6" s="33"/>
      <c r="LG6" s="33"/>
      <c r="LH6" s="33"/>
      <c r="LI6" s="33"/>
      <c r="LJ6" s="33"/>
      <c r="LK6" s="33"/>
      <c r="LL6" s="33"/>
      <c r="LM6" s="33"/>
      <c r="LN6" s="33"/>
      <c r="LO6" s="33"/>
      <c r="LP6" s="33"/>
      <c r="LQ6" s="33"/>
      <c r="LR6" s="33"/>
      <c r="LS6" s="33"/>
      <c r="LT6" s="33"/>
      <c r="LU6" s="33"/>
      <c r="LV6" s="33"/>
      <c r="LW6" s="33"/>
      <c r="LX6" s="33"/>
      <c r="LY6" s="33"/>
      <c r="LZ6" s="33"/>
      <c r="MA6" s="33"/>
      <c r="MB6" s="33"/>
      <c r="MC6" s="33"/>
      <c r="MD6" s="33"/>
      <c r="ME6" s="33"/>
      <c r="MF6" s="33"/>
      <c r="MG6" s="33"/>
      <c r="MH6" s="33"/>
      <c r="MI6" s="33"/>
      <c r="MJ6" s="33"/>
      <c r="MK6" s="33"/>
      <c r="ML6" s="33"/>
      <c r="MM6" s="33"/>
      <c r="MN6" s="33"/>
      <c r="MO6" s="33"/>
      <c r="MP6" s="33"/>
      <c r="MQ6" s="33"/>
      <c r="MR6" s="33"/>
      <c r="MS6" s="33"/>
      <c r="MT6" s="33"/>
      <c r="MU6" s="33"/>
      <c r="MV6" s="33"/>
      <c r="MW6" s="33"/>
      <c r="MX6" s="33"/>
      <c r="MY6" s="33"/>
      <c r="MZ6" s="33"/>
      <c r="NA6" s="33"/>
      <c r="NB6" s="33"/>
      <c r="NC6" s="33"/>
      <c r="ND6" s="33"/>
      <c r="NE6" s="33"/>
      <c r="NF6" s="33"/>
      <c r="NG6" s="33"/>
      <c r="NH6" s="33"/>
      <c r="NI6" s="33"/>
      <c r="NJ6" s="33"/>
      <c r="NK6" s="33"/>
      <c r="NL6" s="33"/>
      <c r="NM6" s="33"/>
      <c r="NN6" s="33"/>
      <c r="NO6" s="33"/>
      <c r="NP6" s="33"/>
      <c r="NQ6" s="33"/>
      <c r="NR6" s="33"/>
      <c r="NS6" s="33"/>
      <c r="NT6" s="33"/>
      <c r="NU6" s="33"/>
      <c r="NV6" s="33"/>
      <c r="NW6" s="33"/>
      <c r="NX6" s="33"/>
      <c r="NY6" s="33"/>
      <c r="NZ6" s="33"/>
      <c r="OA6" s="33"/>
      <c r="OB6" s="33"/>
      <c r="OC6" s="33"/>
      <c r="OD6" s="33"/>
      <c r="OE6" s="33"/>
      <c r="OF6" s="33"/>
      <c r="OG6" s="33"/>
      <c r="OH6" s="33"/>
      <c r="OI6" s="33"/>
      <c r="OJ6" s="33"/>
      <c r="OK6" s="33"/>
      <c r="OL6" s="33"/>
      <c r="OM6" s="33"/>
      <c r="ON6" s="33"/>
      <c r="OO6" s="33"/>
      <c r="OP6" s="33"/>
      <c r="OQ6" s="33"/>
      <c r="OR6" s="33"/>
      <c r="OS6" s="33"/>
      <c r="OT6" s="33"/>
      <c r="OU6" s="33"/>
      <c r="OV6" s="33"/>
      <c r="OW6" s="33"/>
      <c r="OX6" s="33"/>
      <c r="OY6" s="33"/>
      <c r="OZ6" s="33"/>
      <c r="PA6" s="33"/>
      <c r="PB6" s="33"/>
      <c r="PC6" s="33"/>
      <c r="PD6" s="33"/>
      <c r="PE6" s="33"/>
      <c r="PF6" s="33"/>
      <c r="PG6" s="33"/>
      <c r="PH6" s="33"/>
      <c r="PI6" s="33"/>
      <c r="PJ6" s="33"/>
      <c r="PK6" s="33"/>
      <c r="PL6" s="33"/>
      <c r="PM6" s="33"/>
      <c r="PN6" s="33"/>
      <c r="PO6" s="33"/>
      <c r="PP6" s="33"/>
      <c r="PQ6" s="33"/>
      <c r="PR6" s="33"/>
      <c r="PS6" s="33"/>
      <c r="PT6" s="33"/>
      <c r="PU6" s="33"/>
      <c r="PV6" s="33"/>
      <c r="PW6" s="33"/>
      <c r="PX6" s="33"/>
      <c r="PY6" s="33"/>
      <c r="PZ6" s="33"/>
      <c r="QA6" s="33"/>
      <c r="QB6" s="33"/>
      <c r="QC6" s="33"/>
      <c r="QD6" s="33"/>
      <c r="QE6" s="33"/>
      <c r="QF6" s="33"/>
      <c r="QG6" s="33"/>
      <c r="QH6" s="33"/>
      <c r="QI6" s="33"/>
      <c r="QJ6" s="33"/>
      <c r="QK6" s="33"/>
      <c r="QL6" s="33"/>
      <c r="QM6" s="33"/>
      <c r="QN6" s="33"/>
      <c r="QO6" s="33"/>
      <c r="QP6" s="33"/>
      <c r="QQ6" s="33"/>
      <c r="QR6" s="33"/>
      <c r="QS6" s="33"/>
      <c r="QT6" s="33"/>
      <c r="QU6" s="33"/>
      <c r="QV6" s="33"/>
      <c r="QW6" s="33"/>
      <c r="QX6" s="33"/>
      <c r="QY6" s="33"/>
      <c r="QZ6" s="33"/>
      <c r="RA6" s="33"/>
      <c r="RB6" s="33"/>
      <c r="RC6" s="33"/>
      <c r="RD6" s="33"/>
      <c r="RE6" s="33"/>
      <c r="RF6" s="33"/>
      <c r="RG6" s="33"/>
      <c r="RH6" s="33"/>
      <c r="RI6" s="33"/>
      <c r="RJ6" s="33"/>
      <c r="RK6" s="33"/>
      <c r="RL6" s="33"/>
      <c r="RM6" s="33"/>
      <c r="RN6" s="33"/>
      <c r="RO6" s="33"/>
      <c r="RP6" s="33"/>
      <c r="RQ6" s="33"/>
      <c r="RR6" s="33"/>
      <c r="RS6" s="33"/>
      <c r="RT6" s="33"/>
      <c r="RU6" s="33"/>
      <c r="RV6" s="33"/>
      <c r="RW6" s="33"/>
      <c r="RX6" s="33"/>
      <c r="RY6" s="33"/>
      <c r="RZ6" s="33"/>
      <c r="SA6" s="33"/>
      <c r="SB6" s="33"/>
      <c r="SC6" s="33"/>
      <c r="SD6" s="33"/>
      <c r="SE6" s="33"/>
      <c r="SF6" s="33"/>
      <c r="SG6" s="33"/>
      <c r="SH6" s="33"/>
      <c r="SI6" s="33"/>
      <c r="SJ6" s="33"/>
      <c r="SK6" s="33"/>
      <c r="SL6" s="33"/>
      <c r="SM6" s="33"/>
      <c r="SN6" s="33"/>
      <c r="SO6" s="33"/>
      <c r="SP6" s="33"/>
      <c r="SQ6" s="33"/>
      <c r="SR6" s="33"/>
      <c r="SS6" s="33"/>
      <c r="ST6" s="33"/>
      <c r="SU6" s="33"/>
      <c r="SV6" s="33"/>
      <c r="SW6" s="33"/>
      <c r="SX6" s="33"/>
      <c r="SY6" s="33"/>
      <c r="SZ6" s="33"/>
      <c r="TA6" s="33"/>
      <c r="TB6" s="33"/>
      <c r="TC6" s="33"/>
      <c r="TD6" s="33"/>
      <c r="TE6" s="33"/>
      <c r="TF6" s="33"/>
      <c r="TG6" s="33"/>
      <c r="TH6" s="33"/>
      <c r="TI6" s="33"/>
      <c r="TJ6" s="33"/>
      <c r="TK6" s="33"/>
      <c r="TL6" s="33"/>
      <c r="TM6" s="33"/>
      <c r="TN6" s="33"/>
      <c r="TO6" s="33"/>
      <c r="TP6" s="33"/>
      <c r="TQ6" s="33"/>
      <c r="TR6" s="33"/>
      <c r="TS6" s="33"/>
      <c r="TT6" s="33"/>
      <c r="TU6" s="33"/>
      <c r="TV6" s="33"/>
      <c r="TW6" s="33"/>
      <c r="TX6" s="33"/>
      <c r="TY6" s="33"/>
      <c r="TZ6" s="33"/>
      <c r="UA6" s="33"/>
      <c r="UB6" s="33"/>
      <c r="UC6" s="33"/>
      <c r="UD6" s="33"/>
      <c r="UE6" s="33"/>
      <c r="UF6" s="33"/>
      <c r="UG6" s="33"/>
      <c r="UH6" s="33"/>
      <c r="UI6" s="33"/>
      <c r="UJ6" s="33"/>
      <c r="UK6" s="33"/>
      <c r="UL6" s="33"/>
      <c r="UM6" s="33"/>
      <c r="UN6" s="33"/>
      <c r="UO6" s="33"/>
      <c r="UP6" s="33"/>
      <c r="UQ6" s="33"/>
      <c r="UR6" s="33"/>
      <c r="US6" s="33"/>
      <c r="UT6" s="33"/>
      <c r="UU6" s="33"/>
      <c r="UV6" s="33"/>
      <c r="UW6" s="33"/>
      <c r="UX6" s="33"/>
      <c r="UY6" s="33"/>
      <c r="UZ6" s="33"/>
      <c r="VA6" s="33"/>
      <c r="VB6" s="33"/>
      <c r="VC6" s="33"/>
      <c r="VD6" s="33"/>
      <c r="VE6" s="33"/>
      <c r="VF6" s="33"/>
      <c r="VG6" s="33"/>
      <c r="VH6" s="33"/>
      <c r="VI6" s="33"/>
      <c r="VJ6" s="33"/>
      <c r="VK6" s="33"/>
      <c r="VL6" s="33"/>
      <c r="VM6" s="33"/>
      <c r="VN6" s="33"/>
      <c r="VO6" s="33"/>
      <c r="VP6" s="33"/>
      <c r="VQ6" s="33"/>
      <c r="VR6" s="33"/>
      <c r="VS6" s="33"/>
      <c r="VT6" s="33"/>
      <c r="VU6" s="33"/>
      <c r="VV6" s="33"/>
      <c r="VW6" s="33"/>
      <c r="VX6" s="33"/>
      <c r="VY6" s="33"/>
      <c r="VZ6" s="33"/>
      <c r="WA6" s="33"/>
      <c r="WB6" s="33"/>
      <c r="WC6" s="33"/>
      <c r="WD6" s="33"/>
      <c r="WE6" s="33"/>
      <c r="WF6" s="33"/>
      <c r="WG6" s="33"/>
      <c r="WH6" s="33"/>
      <c r="WI6" s="33"/>
      <c r="WJ6" s="33"/>
      <c r="WK6" s="33"/>
      <c r="WL6" s="33"/>
      <c r="WM6" s="33"/>
      <c r="WN6" s="33"/>
      <c r="WO6" s="33"/>
      <c r="WP6" s="33"/>
      <c r="WQ6" s="33"/>
      <c r="WR6" s="33"/>
      <c r="WS6" s="33"/>
      <c r="WT6" s="33"/>
      <c r="WU6" s="33"/>
      <c r="WV6" s="33"/>
      <c r="WW6" s="33"/>
      <c r="WX6" s="33"/>
      <c r="WY6" s="33"/>
      <c r="WZ6" s="33"/>
      <c r="XA6" s="33"/>
      <c r="XB6" s="33"/>
      <c r="XC6" s="33"/>
      <c r="XD6" s="33"/>
      <c r="XE6" s="33"/>
      <c r="XF6" s="33"/>
      <c r="XG6" s="33"/>
      <c r="XH6" s="33"/>
      <c r="XI6" s="33"/>
      <c r="XJ6" s="33"/>
      <c r="XK6" s="33"/>
      <c r="XL6" s="33"/>
      <c r="XM6" s="33"/>
      <c r="XN6" s="33"/>
      <c r="XO6" s="33"/>
      <c r="XP6" s="33"/>
      <c r="XQ6" s="33"/>
      <c r="XR6" s="33"/>
      <c r="XS6" s="33"/>
      <c r="XT6" s="33"/>
      <c r="XU6" s="33"/>
      <c r="XV6" s="33"/>
      <c r="XW6" s="33"/>
      <c r="XX6" s="33"/>
      <c r="XY6" s="33"/>
      <c r="XZ6" s="33"/>
      <c r="YA6" s="33"/>
      <c r="YB6" s="33"/>
      <c r="YC6" s="33"/>
      <c r="YD6" s="33"/>
      <c r="YE6" s="33"/>
      <c r="YF6" s="33"/>
      <c r="YG6" s="33"/>
      <c r="YH6" s="33"/>
      <c r="YI6" s="33"/>
      <c r="YJ6" s="33"/>
      <c r="YK6" s="33"/>
      <c r="YL6" s="33"/>
      <c r="YM6" s="33"/>
      <c r="YN6" s="33"/>
      <c r="YO6" s="33"/>
      <c r="YP6" s="33"/>
      <c r="YQ6" s="33"/>
      <c r="YR6" s="33"/>
      <c r="YS6" s="33"/>
      <c r="YT6" s="33"/>
      <c r="YU6" s="33"/>
      <c r="YV6" s="33"/>
      <c r="YW6" s="33"/>
      <c r="YX6" s="33"/>
      <c r="YY6" s="33"/>
      <c r="YZ6" s="33"/>
      <c r="ZA6" s="33"/>
      <c r="ZB6" s="33"/>
      <c r="ZC6" s="33"/>
      <c r="ZD6" s="33"/>
      <c r="ZE6" s="33"/>
      <c r="ZF6" s="33"/>
      <c r="ZG6" s="33"/>
      <c r="ZH6" s="33"/>
      <c r="ZI6" s="33"/>
      <c r="ZJ6" s="33"/>
      <c r="ZK6" s="33"/>
      <c r="ZL6" s="33"/>
      <c r="ZM6" s="33"/>
      <c r="ZN6" s="33"/>
      <c r="ZO6" s="33"/>
      <c r="ZP6" s="33"/>
      <c r="ZQ6" s="33"/>
      <c r="ZR6" s="33"/>
      <c r="ZS6" s="33"/>
      <c r="ZT6" s="33"/>
      <c r="ZU6" s="33"/>
      <c r="ZV6" s="33"/>
      <c r="ZW6" s="33"/>
      <c r="ZX6" s="33"/>
      <c r="ZY6" s="33"/>
      <c r="ZZ6" s="33"/>
      <c r="AAA6" s="33"/>
      <c r="AAB6" s="33"/>
      <c r="AAC6" s="33"/>
      <c r="AAD6" s="33"/>
      <c r="AAE6" s="33"/>
      <c r="AAF6" s="33"/>
      <c r="AAG6" s="33"/>
      <c r="AAH6" s="33"/>
      <c r="AAI6" s="33"/>
      <c r="AAJ6" s="33"/>
      <c r="AAK6" s="33"/>
      <c r="AAL6" s="33"/>
      <c r="AAM6" s="33"/>
      <c r="AAN6" s="33"/>
      <c r="AAO6" s="33"/>
      <c r="AAP6" s="33"/>
      <c r="AAQ6" s="33"/>
      <c r="AAR6" s="33"/>
      <c r="AAS6" s="33"/>
      <c r="AAT6" s="33"/>
      <c r="AAU6" s="33"/>
      <c r="AAV6" s="33"/>
      <c r="AAW6" s="33"/>
      <c r="AAX6" s="33"/>
      <c r="AAY6" s="33"/>
      <c r="AAZ6" s="33"/>
      <c r="ABA6" s="33"/>
      <c r="ABB6" s="33"/>
      <c r="ABC6" s="33"/>
      <c r="ABD6" s="33"/>
      <c r="ABE6" s="33"/>
      <c r="ABF6" s="33"/>
      <c r="ABG6" s="33"/>
      <c r="ABH6" s="33"/>
      <c r="ABI6" s="33"/>
      <c r="ABJ6" s="33"/>
      <c r="ABK6" s="33"/>
      <c r="ABL6" s="33"/>
      <c r="ABM6" s="33"/>
      <c r="ABN6" s="33"/>
      <c r="ABO6" s="33"/>
      <c r="ABP6" s="33"/>
      <c r="ABQ6" s="33"/>
      <c r="ABR6" s="33"/>
      <c r="ABS6" s="33"/>
      <c r="ABT6" s="33"/>
      <c r="ABU6" s="33"/>
      <c r="ABV6" s="33"/>
      <c r="ABW6" s="33"/>
      <c r="ABX6" s="33"/>
      <c r="ABY6" s="33"/>
      <c r="ABZ6" s="33"/>
      <c r="ACA6" s="33"/>
      <c r="ACB6" s="33"/>
      <c r="ACC6" s="33"/>
      <c r="ACD6" s="33"/>
      <c r="ACE6" s="33"/>
      <c r="ACF6" s="33"/>
      <c r="ACG6" s="33"/>
      <c r="ACH6" s="33"/>
      <c r="ACI6" s="33"/>
      <c r="ACJ6" s="33"/>
      <c r="ACK6" s="33"/>
      <c r="ACL6" s="33"/>
      <c r="ACM6" s="33"/>
      <c r="ACN6" s="33"/>
      <c r="ACO6" s="33"/>
      <c r="ACP6" s="33"/>
      <c r="ACQ6" s="33"/>
      <c r="ACR6" s="33"/>
      <c r="ACS6" s="33"/>
      <c r="ACT6" s="33"/>
      <c r="ACU6" s="33"/>
      <c r="ACV6" s="33"/>
      <c r="ACW6" s="33"/>
      <c r="ACX6" s="33"/>
      <c r="ACY6" s="33"/>
      <c r="ACZ6" s="33"/>
      <c r="ADA6" s="33"/>
      <c r="ADB6" s="33"/>
      <c r="ADC6" s="33"/>
      <c r="ADD6" s="33"/>
      <c r="ADE6" s="33"/>
      <c r="ADF6" s="33"/>
      <c r="ADG6" s="33"/>
      <c r="ADH6" s="33"/>
      <c r="ADI6" s="33"/>
      <c r="ADJ6" s="33"/>
      <c r="ADK6" s="33"/>
      <c r="ADL6" s="33"/>
      <c r="ADM6" s="33"/>
      <c r="ADN6" s="33"/>
      <c r="ADO6" s="33"/>
      <c r="ADP6" s="33"/>
      <c r="ADQ6" s="33"/>
      <c r="ADR6" s="33"/>
      <c r="ADS6" s="33"/>
      <c r="ADT6" s="33"/>
      <c r="ADU6" s="33"/>
      <c r="ADV6" s="33"/>
      <c r="ADW6" s="33"/>
      <c r="ADX6" s="33"/>
      <c r="ADY6" s="33"/>
      <c r="ADZ6" s="33"/>
      <c r="AEA6" s="33"/>
      <c r="AEB6" s="33"/>
      <c r="AEC6" s="33"/>
      <c r="AED6" s="33"/>
      <c r="AEE6" s="33"/>
      <c r="AEF6" s="33"/>
      <c r="AEG6" s="33"/>
      <c r="AEH6" s="33"/>
      <c r="AEI6" s="33"/>
      <c r="AEJ6" s="33"/>
      <c r="AEK6" s="33"/>
      <c r="AEL6" s="33"/>
      <c r="AEM6" s="33"/>
      <c r="AEN6" s="33"/>
      <c r="AEO6" s="33"/>
      <c r="AEP6" s="33"/>
      <c r="AEQ6" s="33"/>
      <c r="AER6" s="33"/>
      <c r="AES6" s="33"/>
      <c r="AET6" s="33"/>
      <c r="AEU6" s="33"/>
      <c r="AEV6" s="33"/>
      <c r="AEW6" s="33"/>
      <c r="AEX6" s="33"/>
      <c r="AEY6" s="33"/>
      <c r="AEZ6" s="33"/>
      <c r="AFA6" s="33"/>
      <c r="AFB6" s="33"/>
      <c r="AFC6" s="33"/>
      <c r="AFD6" s="33"/>
      <c r="AFE6" s="33"/>
      <c r="AFF6" s="33"/>
      <c r="AFG6" s="33"/>
      <c r="AFH6" s="33"/>
      <c r="AFI6" s="33"/>
      <c r="AFJ6" s="33"/>
      <c r="AFK6" s="33"/>
      <c r="AFL6" s="33"/>
      <c r="AFM6" s="33"/>
      <c r="AFN6" s="33"/>
      <c r="AFO6" s="33"/>
      <c r="AFP6" s="33"/>
      <c r="AFQ6" s="33"/>
      <c r="AFR6" s="33"/>
      <c r="AFS6" s="33"/>
      <c r="AFT6" s="33"/>
      <c r="AFU6" s="33"/>
      <c r="AFV6" s="33"/>
      <c r="AFW6" s="33"/>
      <c r="AFX6" s="33"/>
      <c r="AFY6" s="33"/>
      <c r="AFZ6" s="33"/>
      <c r="AGA6" s="33"/>
      <c r="AGB6" s="33"/>
      <c r="AGC6" s="33"/>
      <c r="AGD6" s="33"/>
      <c r="AGE6" s="33"/>
      <c r="AGF6" s="33"/>
      <c r="AGG6" s="33"/>
      <c r="AGH6" s="33"/>
      <c r="AGI6" s="33"/>
      <c r="AGJ6" s="33"/>
      <c r="AGK6" s="33"/>
      <c r="AGL6" s="33"/>
      <c r="AGM6" s="33"/>
      <c r="AGN6" s="33"/>
      <c r="AGO6" s="33"/>
      <c r="AGP6" s="33"/>
      <c r="AGQ6" s="33"/>
      <c r="AGR6" s="33"/>
      <c r="AGS6" s="33"/>
      <c r="AGT6" s="33"/>
      <c r="AGU6" s="33"/>
      <c r="AGV6" s="33"/>
      <c r="AGW6" s="33"/>
      <c r="AGX6" s="33"/>
      <c r="AGY6" s="33"/>
      <c r="AGZ6" s="33"/>
      <c r="AHA6" s="33"/>
      <c r="AHB6" s="33"/>
      <c r="AHC6" s="33"/>
      <c r="AHD6" s="33"/>
      <c r="AHE6" s="33"/>
      <c r="AHF6" s="33"/>
      <c r="AHG6" s="33"/>
      <c r="AHH6" s="33"/>
      <c r="AHI6" s="33"/>
      <c r="AHJ6" s="33"/>
      <c r="AHK6" s="33"/>
      <c r="AHL6" s="33"/>
      <c r="AHM6" s="33"/>
      <c r="AHN6" s="33"/>
      <c r="AHO6" s="33"/>
      <c r="AHP6" s="33"/>
      <c r="AHQ6" s="33"/>
      <c r="AHR6" s="33"/>
      <c r="AHS6" s="33"/>
      <c r="AHT6" s="33"/>
      <c r="AHU6" s="33"/>
      <c r="AHV6" s="33"/>
      <c r="AHW6" s="33"/>
      <c r="AHX6" s="33"/>
      <c r="AHY6" s="33"/>
      <c r="AHZ6" s="33"/>
      <c r="AIA6" s="33"/>
      <c r="AIB6" s="33"/>
      <c r="AIC6" s="33"/>
      <c r="AID6" s="33"/>
      <c r="AIE6" s="33"/>
      <c r="AIF6" s="33"/>
      <c r="AIG6" s="33"/>
      <c r="AIH6" s="33"/>
      <c r="AII6" s="33"/>
      <c r="AIJ6" s="33"/>
      <c r="AIK6" s="33"/>
      <c r="AIL6" s="33"/>
      <c r="AIM6" s="33"/>
      <c r="AIN6" s="33"/>
      <c r="AIO6" s="33"/>
      <c r="AIP6" s="33"/>
      <c r="AIQ6" s="33"/>
      <c r="AIR6" s="33"/>
      <c r="AIS6" s="33"/>
      <c r="AIT6" s="33"/>
      <c r="AIU6" s="33"/>
      <c r="AIV6" s="33"/>
      <c r="AIW6" s="33"/>
      <c r="AIX6" s="33"/>
      <c r="AIY6" s="33"/>
      <c r="AIZ6" s="33"/>
      <c r="AJA6" s="33"/>
      <c r="AJB6" s="33"/>
      <c r="AJC6" s="33"/>
      <c r="AJD6" s="33"/>
      <c r="AJE6" s="33"/>
      <c r="AJF6" s="33"/>
      <c r="AJG6" s="33"/>
      <c r="AJH6" s="33"/>
      <c r="AJI6" s="33"/>
      <c r="AJJ6" s="33"/>
      <c r="AJK6" s="33"/>
      <c r="AJL6" s="33"/>
      <c r="AJM6" s="33"/>
      <c r="AJN6" s="33"/>
      <c r="AJO6" s="33"/>
      <c r="AJP6" s="33"/>
      <c r="AJQ6" s="33"/>
      <c r="AJR6" s="33"/>
      <c r="AJS6" s="33"/>
      <c r="AJT6" s="33"/>
      <c r="AJU6" s="33"/>
      <c r="AJV6" s="33"/>
      <c r="AJW6" s="33"/>
      <c r="AJX6" s="33"/>
      <c r="AJY6" s="33"/>
      <c r="AJZ6" s="33"/>
      <c r="AKA6" s="33"/>
      <c r="AKB6" s="33"/>
      <c r="AKC6" s="33"/>
      <c r="AKD6" s="33"/>
      <c r="AKE6" s="33"/>
      <c r="AKF6" s="33"/>
      <c r="AKG6" s="33"/>
      <c r="AKH6" s="33"/>
      <c r="AKI6" s="33"/>
      <c r="AKJ6" s="33"/>
      <c r="AKK6" s="33"/>
      <c r="AKL6" s="33"/>
      <c r="AKM6" s="33"/>
      <c r="AKN6" s="33"/>
      <c r="AKO6" s="33"/>
      <c r="AKP6" s="33"/>
      <c r="AKQ6" s="33"/>
      <c r="AKR6" s="33"/>
      <c r="AKS6" s="33"/>
      <c r="AKT6" s="33"/>
      <c r="AKU6" s="33"/>
      <c r="AKV6" s="33"/>
      <c r="AKW6" s="33"/>
      <c r="AKX6" s="33"/>
      <c r="AKY6" s="33"/>
      <c r="AKZ6" s="33"/>
      <c r="ALA6" s="33"/>
      <c r="ALB6" s="33"/>
      <c r="ALC6" s="33"/>
      <c r="ALD6" s="33"/>
      <c r="ALE6" s="33"/>
      <c r="ALF6" s="33"/>
      <c r="ALG6" s="33"/>
      <c r="ALH6" s="33"/>
      <c r="ALI6" s="33"/>
      <c r="ALJ6" s="33"/>
      <c r="ALK6" s="33"/>
      <c r="ALL6" s="33"/>
      <c r="ALM6" s="33"/>
      <c r="ALN6" s="33"/>
      <c r="ALO6" s="33"/>
      <c r="ALP6" s="33"/>
      <c r="ALQ6" s="33"/>
      <c r="ALR6" s="33"/>
      <c r="ALS6" s="33"/>
      <c r="ALT6" s="33"/>
      <c r="ALU6" s="33"/>
      <c r="ALV6" s="33"/>
      <c r="ALW6" s="33"/>
      <c r="ALX6" s="33"/>
      <c r="ALY6" s="33"/>
      <c r="ALZ6" s="33"/>
      <c r="AMA6" s="33"/>
      <c r="AMB6" s="33"/>
      <c r="AMC6" s="33"/>
      <c r="AMD6" s="33"/>
      <c r="AME6" s="33"/>
      <c r="AMF6" s="33"/>
      <c r="AMG6" s="33"/>
      <c r="AMH6" s="33"/>
      <c r="AMI6" s="33"/>
      <c r="AMJ6" s="33"/>
      <c r="AMK6" s="33"/>
      <c r="AML6" s="33"/>
    </row>
    <row r="7" ht="15.75" customHeight="1">
      <c r="A7" s="8" t="s">
        <v>20</v>
      </c>
      <c r="B7" s="8" t="s">
        <v>20</v>
      </c>
      <c r="C7" s="8" t="s">
        <v>24</v>
      </c>
      <c r="D7" s="8" t="s">
        <v>22</v>
      </c>
      <c r="E7" s="8" t="s">
        <v>22</v>
      </c>
      <c r="F7" s="8" t="s">
        <v>23</v>
      </c>
      <c r="G7" s="8">
        <v>1.0</v>
      </c>
      <c r="H7" s="8">
        <v>1.0</v>
      </c>
      <c r="I7" s="8">
        <v>1.0</v>
      </c>
      <c r="J7" s="8"/>
      <c r="K7" s="8">
        <v>0.0</v>
      </c>
      <c r="L7" s="8">
        <v>0.0</v>
      </c>
      <c r="M7" s="8">
        <v>0.0</v>
      </c>
      <c r="N7" s="8"/>
      <c r="O7" s="8">
        <v>0.0</v>
      </c>
      <c r="P7">
        <v>0.0</v>
      </c>
      <c r="Q7">
        <v>0.0</v>
      </c>
      <c r="R7">
        <v>0.0</v>
      </c>
      <c r="S7">
        <v>0.0</v>
      </c>
      <c r="T7" t="s">
        <v>22</v>
      </c>
      <c r="AB7" t="s">
        <v>20</v>
      </c>
      <c r="AC7" t="s">
        <v>20</v>
      </c>
      <c r="AD7" t="s">
        <v>20</v>
      </c>
      <c r="AE7" t="s">
        <v>20</v>
      </c>
      <c r="AF7" t="s">
        <v>20</v>
      </c>
      <c r="AG7" t="s">
        <v>20</v>
      </c>
      <c r="AH7" t="s">
        <v>20</v>
      </c>
      <c r="AI7" t="s">
        <v>20</v>
      </c>
      <c r="AJ7" t="s">
        <v>20</v>
      </c>
      <c r="AK7" t="s">
        <v>20</v>
      </c>
      <c r="AL7" t="s">
        <v>20</v>
      </c>
      <c r="AM7" t="s">
        <v>20</v>
      </c>
      <c r="AN7" t="s">
        <v>20</v>
      </c>
      <c r="AO7" t="s">
        <v>20</v>
      </c>
      <c r="AP7" t="s">
        <v>20</v>
      </c>
      <c r="AQ7" t="s">
        <v>20</v>
      </c>
      <c r="AR7" t="s">
        <v>20</v>
      </c>
      <c r="AS7" t="s">
        <v>20</v>
      </c>
      <c r="AT7" t="s">
        <v>20</v>
      </c>
      <c r="AU7" t="s">
        <v>20</v>
      </c>
      <c r="AV7" t="s">
        <v>20</v>
      </c>
      <c r="AW7" t="s">
        <v>20</v>
      </c>
      <c r="AX7" t="s">
        <v>20</v>
      </c>
      <c r="AY7" t="s">
        <v>20</v>
      </c>
      <c r="AZ7" t="s">
        <v>20</v>
      </c>
      <c r="BA7" t="s">
        <v>20</v>
      </c>
      <c r="BB7" t="s">
        <v>20</v>
      </c>
      <c r="BC7" t="s">
        <v>20</v>
      </c>
      <c r="BD7" t="s">
        <v>20</v>
      </c>
      <c r="BE7" t="s">
        <v>20</v>
      </c>
      <c r="BF7" t="s">
        <v>20</v>
      </c>
      <c r="BG7" t="s">
        <v>20</v>
      </c>
      <c r="BH7" t="s">
        <v>20</v>
      </c>
      <c r="BI7" t="s">
        <v>20</v>
      </c>
      <c r="BJ7" t="s">
        <v>20</v>
      </c>
      <c r="BK7" t="s">
        <v>20</v>
      </c>
      <c r="BL7" t="s">
        <v>20</v>
      </c>
      <c r="BM7" t="s">
        <v>20</v>
      </c>
      <c r="BN7" t="s">
        <v>20</v>
      </c>
      <c r="BO7" t="s">
        <v>20</v>
      </c>
      <c r="BP7" t="s">
        <v>20</v>
      </c>
      <c r="BQ7" t="s">
        <v>20</v>
      </c>
      <c r="BR7" t="s">
        <v>20</v>
      </c>
      <c r="BS7" t="s">
        <v>20</v>
      </c>
      <c r="BT7" t="s">
        <v>20</v>
      </c>
      <c r="BU7" t="s">
        <v>20</v>
      </c>
      <c r="BV7" t="s">
        <v>20</v>
      </c>
      <c r="BW7" t="s">
        <v>20</v>
      </c>
      <c r="BX7" t="s">
        <v>20</v>
      </c>
      <c r="BY7" t="s">
        <v>20</v>
      </c>
      <c r="BZ7" t="s">
        <v>20</v>
      </c>
      <c r="CA7" t="s">
        <v>20</v>
      </c>
      <c r="CB7" t="s">
        <v>20</v>
      </c>
      <c r="CC7" t="s">
        <v>20</v>
      </c>
      <c r="CD7" t="s">
        <v>20</v>
      </c>
      <c r="CE7" t="s">
        <v>20</v>
      </c>
      <c r="CF7" t="s">
        <v>20</v>
      </c>
      <c r="CG7" t="s">
        <v>20</v>
      </c>
      <c r="CH7" t="s">
        <v>20</v>
      </c>
      <c r="CI7" t="s">
        <v>20</v>
      </c>
      <c r="CJ7" t="s">
        <v>20</v>
      </c>
      <c r="CK7" t="s">
        <v>20</v>
      </c>
      <c r="CL7" t="s">
        <v>20</v>
      </c>
      <c r="CM7" t="s">
        <v>20</v>
      </c>
      <c r="CN7" t="s">
        <v>20</v>
      </c>
      <c r="CO7" t="s">
        <v>20</v>
      </c>
      <c r="CP7" t="s">
        <v>20</v>
      </c>
      <c r="CQ7" t="s">
        <v>20</v>
      </c>
      <c r="CR7" t="s">
        <v>20</v>
      </c>
      <c r="CS7" t="s">
        <v>20</v>
      </c>
      <c r="CT7" t="s">
        <v>20</v>
      </c>
      <c r="CU7" t="s">
        <v>20</v>
      </c>
      <c r="CV7" t="s">
        <v>20</v>
      </c>
      <c r="CW7" t="s">
        <v>20</v>
      </c>
      <c r="CX7" t="s">
        <v>20</v>
      </c>
      <c r="CY7" t="s">
        <v>20</v>
      </c>
      <c r="CZ7" t="s">
        <v>20</v>
      </c>
      <c r="DA7" t="s">
        <v>20</v>
      </c>
      <c r="DB7" t="s">
        <v>20</v>
      </c>
      <c r="DC7" t="s">
        <v>20</v>
      </c>
      <c r="DD7" t="s">
        <v>20</v>
      </c>
      <c r="DE7" t="s">
        <v>20</v>
      </c>
      <c r="DF7" t="s">
        <v>20</v>
      </c>
      <c r="DG7" t="s">
        <v>20</v>
      </c>
      <c r="DH7" t="s">
        <v>20</v>
      </c>
      <c r="DI7" t="s">
        <v>20</v>
      </c>
      <c r="DJ7" t="s">
        <v>20</v>
      </c>
      <c r="DK7" t="s">
        <v>20</v>
      </c>
      <c r="DL7" t="s">
        <v>20</v>
      </c>
      <c r="DM7" t="s">
        <v>20</v>
      </c>
      <c r="DN7" t="s">
        <v>20</v>
      </c>
      <c r="DO7" t="s">
        <v>20</v>
      </c>
      <c r="DP7" t="s">
        <v>20</v>
      </c>
      <c r="DQ7" t="s">
        <v>20</v>
      </c>
      <c r="DR7" t="s">
        <v>20</v>
      </c>
      <c r="DS7" t="s">
        <v>20</v>
      </c>
      <c r="DT7" t="s">
        <v>20</v>
      </c>
      <c r="DU7" t="s">
        <v>20</v>
      </c>
      <c r="DV7" t="s">
        <v>20</v>
      </c>
      <c r="DW7" t="s">
        <v>20</v>
      </c>
      <c r="DX7" t="s">
        <v>20</v>
      </c>
      <c r="DY7" t="s">
        <v>20</v>
      </c>
      <c r="DZ7" t="s">
        <v>20</v>
      </c>
      <c r="EA7" t="s">
        <v>20</v>
      </c>
      <c r="EB7" t="s">
        <v>20</v>
      </c>
      <c r="EC7" t="s">
        <v>20</v>
      </c>
      <c r="ED7" t="s">
        <v>20</v>
      </c>
      <c r="EE7" t="s">
        <v>20</v>
      </c>
      <c r="EF7" t="s">
        <v>20</v>
      </c>
      <c r="EG7" t="s">
        <v>20</v>
      </c>
      <c r="EH7" t="s">
        <v>20</v>
      </c>
      <c r="EI7" t="s">
        <v>20</v>
      </c>
      <c r="EJ7" t="s">
        <v>20</v>
      </c>
      <c r="EK7" t="s">
        <v>20</v>
      </c>
      <c r="EL7" t="s">
        <v>20</v>
      </c>
      <c r="EM7" t="s">
        <v>20</v>
      </c>
      <c r="EN7" t="s">
        <v>20</v>
      </c>
      <c r="EO7" t="s">
        <v>20</v>
      </c>
      <c r="EP7" t="s">
        <v>20</v>
      </c>
      <c r="EQ7" t="s">
        <v>20</v>
      </c>
      <c r="ER7" t="s">
        <v>20</v>
      </c>
      <c r="ES7" t="s">
        <v>20</v>
      </c>
      <c r="ET7" t="s">
        <v>20</v>
      </c>
      <c r="EU7" t="s">
        <v>20</v>
      </c>
      <c r="EV7" t="s">
        <v>20</v>
      </c>
      <c r="EW7" t="s">
        <v>20</v>
      </c>
      <c r="EX7" t="s">
        <v>20</v>
      </c>
      <c r="EY7" t="s">
        <v>20</v>
      </c>
      <c r="EZ7" t="s">
        <v>20</v>
      </c>
      <c r="FA7" t="s">
        <v>20</v>
      </c>
      <c r="FB7" t="s">
        <v>20</v>
      </c>
      <c r="FC7" t="s">
        <v>20</v>
      </c>
      <c r="FD7" t="s">
        <v>20</v>
      </c>
      <c r="FE7" t="s">
        <v>20</v>
      </c>
      <c r="FF7" t="s">
        <v>20</v>
      </c>
      <c r="FG7" t="s">
        <v>20</v>
      </c>
      <c r="FH7" t="s">
        <v>20</v>
      </c>
      <c r="FI7" t="s">
        <v>20</v>
      </c>
      <c r="FJ7" t="s">
        <v>20</v>
      </c>
      <c r="FK7" t="s">
        <v>20</v>
      </c>
      <c r="FL7" t="s">
        <v>20</v>
      </c>
      <c r="FM7" t="s">
        <v>20</v>
      </c>
      <c r="FN7" t="s">
        <v>20</v>
      </c>
      <c r="FO7" t="s">
        <v>20</v>
      </c>
      <c r="FP7" t="s">
        <v>20</v>
      </c>
      <c r="FQ7" t="s">
        <v>20</v>
      </c>
      <c r="FR7" s="33"/>
      <c r="FS7" s="33"/>
      <c r="FT7" s="33"/>
      <c r="FU7" s="33"/>
      <c r="FV7" s="33"/>
      <c r="FW7" s="33"/>
      <c r="FX7" s="33"/>
      <c r="FY7" s="33"/>
      <c r="FZ7" s="33"/>
      <c r="GA7" s="33"/>
      <c r="GB7" s="33"/>
      <c r="GC7" s="33"/>
      <c r="GD7" s="33"/>
      <c r="GE7" s="33"/>
      <c r="GF7" s="33"/>
      <c r="GG7" s="33"/>
      <c r="GH7" s="33"/>
      <c r="GI7" s="33"/>
      <c r="GJ7" s="33"/>
      <c r="GK7" s="33"/>
      <c r="GL7" s="33"/>
      <c r="GM7" s="33"/>
      <c r="GN7" s="33"/>
      <c r="GO7" s="33"/>
      <c r="GP7" s="33"/>
      <c r="GQ7" s="33"/>
      <c r="GR7" s="33"/>
      <c r="GS7" s="33"/>
      <c r="GT7" s="33"/>
      <c r="GU7" s="33"/>
      <c r="GV7" s="33"/>
      <c r="GW7" s="33"/>
      <c r="GX7" s="33"/>
      <c r="GY7" s="33"/>
      <c r="GZ7" s="33"/>
      <c r="HA7" s="33"/>
      <c r="HB7" s="33"/>
      <c r="HC7" s="33"/>
      <c r="HD7" s="33"/>
      <c r="HE7" s="33"/>
      <c r="HF7" s="33"/>
      <c r="HG7" s="33"/>
      <c r="HH7" s="33"/>
      <c r="HI7" s="33"/>
      <c r="HJ7" s="33"/>
      <c r="HK7" s="33"/>
      <c r="HL7" s="33"/>
      <c r="HM7" s="33"/>
      <c r="HN7" s="33"/>
      <c r="HO7" s="33"/>
      <c r="HP7" s="33"/>
      <c r="HQ7" s="33"/>
      <c r="HR7" s="33"/>
      <c r="HS7" s="33"/>
      <c r="HT7" s="33"/>
      <c r="HU7" s="33"/>
      <c r="HV7" s="33"/>
      <c r="HW7" s="33"/>
      <c r="HX7" s="33"/>
      <c r="HY7" s="33"/>
      <c r="HZ7" s="33"/>
      <c r="IA7" s="33"/>
      <c r="IB7" s="33"/>
      <c r="IC7" s="33"/>
      <c r="ID7" s="33"/>
      <c r="IE7" s="33"/>
      <c r="IF7" s="33"/>
      <c r="IG7" s="33"/>
      <c r="IH7" s="33"/>
      <c r="II7" s="33"/>
      <c r="IJ7" s="33"/>
      <c r="IK7" s="33"/>
      <c r="IL7" s="33"/>
      <c r="IM7" s="33"/>
      <c r="IN7" s="33"/>
      <c r="IO7" s="33"/>
      <c r="IP7" s="33"/>
      <c r="IQ7" s="33"/>
      <c r="IR7" s="33"/>
      <c r="IS7" s="33"/>
      <c r="IT7" s="33"/>
      <c r="IU7" s="33"/>
      <c r="IV7" s="33"/>
      <c r="IW7" s="33"/>
      <c r="IX7" s="33"/>
      <c r="IY7" s="33"/>
      <c r="IZ7" s="33"/>
      <c r="JA7" s="33"/>
      <c r="JB7" s="33"/>
      <c r="JC7" s="33"/>
      <c r="JD7" s="33"/>
      <c r="JE7" s="33"/>
      <c r="JF7" s="33"/>
      <c r="JG7" s="33"/>
      <c r="JH7" s="33"/>
      <c r="JI7" s="33"/>
      <c r="JJ7" s="33"/>
      <c r="JK7" s="33"/>
      <c r="JL7" s="33"/>
      <c r="JM7" s="33"/>
      <c r="JN7" s="33"/>
      <c r="JO7" s="33"/>
      <c r="JP7" s="33"/>
      <c r="JQ7" s="33"/>
      <c r="JR7" s="33"/>
      <c r="JS7" s="33"/>
      <c r="JT7" s="33"/>
      <c r="JU7" s="33"/>
      <c r="JV7" s="33"/>
      <c r="JW7" s="33"/>
      <c r="JX7" s="33"/>
      <c r="JY7" s="33"/>
      <c r="JZ7" s="33"/>
      <c r="KA7" s="33"/>
      <c r="KB7" s="33"/>
      <c r="KC7" s="33"/>
      <c r="KD7" s="33"/>
      <c r="KE7" s="33"/>
      <c r="KF7" s="33"/>
      <c r="KG7" s="33"/>
      <c r="KH7" s="33"/>
      <c r="KI7" s="33"/>
      <c r="KJ7" s="33"/>
      <c r="KK7" s="33"/>
      <c r="KL7" s="33"/>
      <c r="KM7" s="33"/>
      <c r="KN7" s="33"/>
      <c r="KO7" s="33"/>
      <c r="KP7" s="33"/>
      <c r="KQ7" s="33"/>
      <c r="KR7" s="33"/>
      <c r="KS7" s="33"/>
      <c r="KT7" s="33"/>
      <c r="KU7" s="33"/>
      <c r="KV7" s="33"/>
      <c r="KW7" s="33"/>
      <c r="KX7" s="33"/>
      <c r="KY7" s="33"/>
      <c r="KZ7" s="33"/>
      <c r="LA7" s="33"/>
      <c r="LB7" s="33"/>
      <c r="LC7" s="33"/>
      <c r="LD7" s="33"/>
      <c r="LE7" s="33"/>
      <c r="LF7" s="33"/>
      <c r="LG7" s="33"/>
      <c r="LH7" s="33"/>
      <c r="LI7" s="33"/>
      <c r="LJ7" s="33"/>
      <c r="LK7" s="33"/>
      <c r="LL7" s="33"/>
      <c r="LM7" s="33"/>
      <c r="LN7" s="33"/>
      <c r="LO7" s="33"/>
      <c r="LP7" s="33"/>
      <c r="LQ7" s="33"/>
      <c r="LR7" s="33"/>
      <c r="LS7" s="33"/>
      <c r="LT7" s="33"/>
      <c r="LU7" s="33"/>
      <c r="LV7" s="33"/>
      <c r="LW7" s="33"/>
      <c r="LX7" s="33"/>
      <c r="LY7" s="33"/>
      <c r="LZ7" s="33"/>
      <c r="MA7" s="33"/>
      <c r="MB7" s="33"/>
      <c r="MC7" s="33"/>
      <c r="MD7" s="33"/>
      <c r="ME7" s="33"/>
      <c r="MF7" s="33"/>
      <c r="MG7" s="33"/>
      <c r="MH7" s="33"/>
      <c r="MI7" s="33"/>
      <c r="MJ7" s="33"/>
      <c r="MK7" s="33"/>
      <c r="ML7" s="33"/>
      <c r="MM7" s="33"/>
      <c r="MN7" s="33"/>
      <c r="MO7" s="33"/>
      <c r="MP7" s="33"/>
      <c r="MQ7" s="33"/>
      <c r="MR7" s="33"/>
      <c r="MS7" s="33"/>
      <c r="MT7" s="33"/>
      <c r="MU7" s="33"/>
      <c r="MV7" s="33"/>
      <c r="MW7" s="33"/>
      <c r="MX7" s="33"/>
      <c r="MY7" s="33"/>
      <c r="MZ7" s="33"/>
      <c r="NA7" s="33"/>
      <c r="NB7" s="33"/>
      <c r="NC7" s="33"/>
      <c r="ND7" s="33"/>
      <c r="NE7" s="33"/>
      <c r="NF7" s="33"/>
      <c r="NG7" s="33"/>
      <c r="NH7" s="33"/>
      <c r="NI7" s="33"/>
      <c r="NJ7" s="33"/>
      <c r="NK7" s="33"/>
      <c r="NL7" s="33"/>
      <c r="NM7" s="33"/>
      <c r="NN7" s="33"/>
      <c r="NO7" s="33"/>
      <c r="NP7" s="33"/>
      <c r="NQ7" s="33"/>
      <c r="NR7" s="33"/>
      <c r="NS7" s="33"/>
      <c r="NT7" s="33"/>
      <c r="NU7" s="33"/>
      <c r="NV7" s="33"/>
      <c r="NW7" s="33"/>
      <c r="NX7" s="33"/>
      <c r="NY7" s="33"/>
      <c r="NZ7" s="33"/>
      <c r="OA7" s="33"/>
      <c r="OB7" s="33"/>
      <c r="OC7" s="33"/>
      <c r="OD7" s="33"/>
      <c r="OE7" s="33"/>
      <c r="OF7" s="33"/>
      <c r="OG7" s="33"/>
      <c r="OH7" s="33"/>
      <c r="OI7" s="33"/>
      <c r="OJ7" s="33"/>
      <c r="OK7" s="33"/>
      <c r="OL7" s="33"/>
      <c r="OM7" s="33"/>
      <c r="ON7" s="33"/>
      <c r="OO7" s="33"/>
      <c r="OP7" s="33"/>
      <c r="OQ7" s="33"/>
      <c r="OR7" s="33"/>
      <c r="OS7" s="33"/>
      <c r="OT7" s="33"/>
      <c r="OU7" s="33"/>
      <c r="OV7" s="33"/>
      <c r="OW7" s="33"/>
      <c r="OX7" s="33"/>
      <c r="OY7" s="33"/>
      <c r="OZ7" s="33"/>
      <c r="PA7" s="33"/>
      <c r="PB7" s="33"/>
      <c r="PC7" s="33"/>
      <c r="PD7" s="33"/>
      <c r="PE7" s="33"/>
      <c r="PF7" s="33"/>
      <c r="PG7" s="33"/>
      <c r="PH7" s="33"/>
      <c r="PI7" s="33"/>
      <c r="PJ7" s="33"/>
      <c r="PK7" s="33"/>
      <c r="PL7" s="33"/>
      <c r="PM7" s="33"/>
      <c r="PN7" s="33"/>
      <c r="PO7" s="33"/>
      <c r="PP7" s="33"/>
      <c r="PQ7" s="33"/>
      <c r="PR7" s="33"/>
      <c r="PS7" s="33"/>
      <c r="PT7" s="33"/>
      <c r="PU7" s="33"/>
      <c r="PV7" s="33"/>
      <c r="PW7" s="33"/>
      <c r="PX7" s="33"/>
      <c r="PY7" s="33"/>
      <c r="PZ7" s="33"/>
      <c r="QA7" s="33"/>
      <c r="QB7" s="33"/>
      <c r="QC7" s="33"/>
      <c r="QD7" s="33"/>
      <c r="QE7" s="33"/>
      <c r="QF7" s="33"/>
      <c r="QG7" s="33"/>
      <c r="QH7" s="33"/>
      <c r="QI7" s="33"/>
      <c r="QJ7" s="33"/>
      <c r="QK7" s="33"/>
      <c r="QL7" s="33"/>
      <c r="QM7" s="33"/>
      <c r="QN7" s="33"/>
      <c r="QO7" s="33"/>
      <c r="QP7" s="33"/>
      <c r="QQ7" s="33"/>
      <c r="QR7" s="33"/>
      <c r="QS7" s="33"/>
      <c r="QT7" s="33"/>
      <c r="QU7" s="33"/>
      <c r="QV7" s="33"/>
      <c r="QW7" s="33"/>
      <c r="QX7" s="33"/>
      <c r="QY7" s="33"/>
      <c r="QZ7" s="33"/>
      <c r="RA7" s="33"/>
      <c r="RB7" s="33"/>
      <c r="RC7" s="33"/>
      <c r="RD7" s="33"/>
      <c r="RE7" s="33"/>
      <c r="RF7" s="33"/>
      <c r="RG7" s="33"/>
      <c r="RH7" s="33"/>
      <c r="RI7" s="33"/>
      <c r="RJ7" s="33"/>
      <c r="RK7" s="33"/>
      <c r="RL7" s="33"/>
      <c r="RM7" s="33"/>
      <c r="RN7" s="33"/>
      <c r="RO7" s="33"/>
      <c r="RP7" s="33"/>
      <c r="RQ7" s="33"/>
      <c r="RR7" s="33"/>
      <c r="RS7" s="33"/>
      <c r="RT7" s="33"/>
      <c r="RU7" s="33"/>
      <c r="RV7" s="33"/>
      <c r="RW7" s="33"/>
      <c r="RX7" s="33"/>
      <c r="RY7" s="33"/>
      <c r="RZ7" s="33"/>
      <c r="SA7" s="33"/>
      <c r="SB7" s="33"/>
      <c r="SC7" s="33"/>
      <c r="SD7" s="33"/>
      <c r="SE7" s="33"/>
      <c r="SF7" s="33"/>
      <c r="SG7" s="33"/>
      <c r="SH7" s="33"/>
      <c r="SI7" s="33"/>
      <c r="SJ7" s="33"/>
      <c r="SK7" s="33"/>
      <c r="SL7" s="33"/>
      <c r="SM7" s="33"/>
      <c r="SN7" s="33"/>
      <c r="SO7" s="33"/>
      <c r="SP7" s="33"/>
      <c r="SQ7" s="33"/>
      <c r="SR7" s="33"/>
      <c r="SS7" s="33"/>
      <c r="ST7" s="33"/>
      <c r="SU7" s="33"/>
      <c r="SV7" s="33"/>
      <c r="SW7" s="33"/>
      <c r="SX7" s="33"/>
      <c r="SY7" s="33"/>
      <c r="SZ7" s="33"/>
      <c r="TA7" s="33"/>
      <c r="TB7" s="33"/>
      <c r="TC7" s="33"/>
      <c r="TD7" s="33"/>
      <c r="TE7" s="33"/>
      <c r="TF7" s="33"/>
      <c r="TG7" s="33"/>
      <c r="TH7" s="33"/>
      <c r="TI7" s="33"/>
      <c r="TJ7" s="33"/>
      <c r="TK7" s="33"/>
      <c r="TL7" s="33"/>
      <c r="TM7" s="33"/>
      <c r="TN7" s="33"/>
      <c r="TO7" s="33"/>
      <c r="TP7" s="33"/>
      <c r="TQ7" s="33"/>
      <c r="TR7" s="33"/>
      <c r="TS7" s="33"/>
      <c r="TT7" s="33"/>
      <c r="TU7" s="33"/>
      <c r="TV7" s="33"/>
      <c r="TW7" s="33"/>
      <c r="TX7" s="33"/>
      <c r="TY7" s="33"/>
      <c r="TZ7" s="33"/>
      <c r="UA7" s="33"/>
      <c r="UB7" s="33"/>
      <c r="UC7" s="33"/>
      <c r="UD7" s="33"/>
      <c r="UE7" s="33"/>
      <c r="UF7" s="33"/>
      <c r="UG7" s="33"/>
      <c r="UH7" s="33"/>
      <c r="UI7" s="33"/>
      <c r="UJ7" s="33"/>
      <c r="UK7" s="33"/>
      <c r="UL7" s="33"/>
      <c r="UM7" s="33"/>
      <c r="UN7" s="33"/>
      <c r="UO7" s="33"/>
      <c r="UP7" s="33"/>
      <c r="UQ7" s="33"/>
      <c r="UR7" s="33"/>
      <c r="US7" s="33"/>
      <c r="UT7" s="33"/>
      <c r="UU7" s="33"/>
      <c r="UV7" s="33"/>
      <c r="UW7" s="33"/>
      <c r="UX7" s="33"/>
      <c r="UY7" s="33"/>
      <c r="UZ7" s="33"/>
      <c r="VA7" s="33"/>
      <c r="VB7" s="33"/>
      <c r="VC7" s="33"/>
      <c r="VD7" s="33"/>
      <c r="VE7" s="33"/>
      <c r="VF7" s="33"/>
      <c r="VG7" s="33"/>
      <c r="VH7" s="33"/>
      <c r="VI7" s="33"/>
      <c r="VJ7" s="33"/>
      <c r="VK7" s="33"/>
      <c r="VL7" s="33"/>
      <c r="VM7" s="33"/>
      <c r="VN7" s="33"/>
      <c r="VO7" s="33"/>
      <c r="VP7" s="33"/>
      <c r="VQ7" s="33"/>
      <c r="VR7" s="33"/>
      <c r="VS7" s="33"/>
      <c r="VT7" s="33"/>
      <c r="VU7" s="33"/>
      <c r="VV7" s="33"/>
      <c r="VW7" s="33"/>
      <c r="VX7" s="33"/>
      <c r="VY7" s="33"/>
      <c r="VZ7" s="33"/>
      <c r="WA7" s="33"/>
      <c r="WB7" s="33"/>
      <c r="WC7" s="33"/>
      <c r="WD7" s="33"/>
      <c r="WE7" s="33"/>
      <c r="WF7" s="33"/>
      <c r="WG7" s="33"/>
      <c r="WH7" s="33"/>
      <c r="WI7" s="33"/>
      <c r="WJ7" s="33"/>
      <c r="WK7" s="33"/>
      <c r="WL7" s="33"/>
      <c r="WM7" s="33"/>
      <c r="WN7" s="33"/>
      <c r="WO7" s="33"/>
      <c r="WP7" s="33"/>
      <c r="WQ7" s="33"/>
      <c r="WR7" s="33"/>
      <c r="WS7" s="33"/>
      <c r="WT7" s="33"/>
      <c r="WU7" s="33"/>
      <c r="WV7" s="33"/>
      <c r="WW7" s="33"/>
      <c r="WX7" s="33"/>
      <c r="WY7" s="33"/>
      <c r="WZ7" s="33"/>
      <c r="XA7" s="33"/>
      <c r="XB7" s="33"/>
      <c r="XC7" s="33"/>
      <c r="XD7" s="33"/>
      <c r="XE7" s="33"/>
      <c r="XF7" s="33"/>
      <c r="XG7" s="33"/>
      <c r="XH7" s="33"/>
      <c r="XI7" s="33"/>
      <c r="XJ7" s="33"/>
      <c r="XK7" s="33"/>
      <c r="XL7" s="33"/>
      <c r="XM7" s="33"/>
      <c r="XN7" s="33"/>
      <c r="XO7" s="33"/>
      <c r="XP7" s="33"/>
      <c r="XQ7" s="33"/>
      <c r="XR7" s="33"/>
      <c r="XS7" s="33"/>
      <c r="XT7" s="33"/>
      <c r="XU7" s="33"/>
      <c r="XV7" s="33"/>
      <c r="XW7" s="33"/>
      <c r="XX7" s="33"/>
      <c r="XY7" s="33"/>
      <c r="XZ7" s="33"/>
      <c r="YA7" s="33"/>
      <c r="YB7" s="33"/>
      <c r="YC7" s="33"/>
      <c r="YD7" s="33"/>
      <c r="YE7" s="33"/>
      <c r="YF7" s="33"/>
      <c r="YG7" s="33"/>
      <c r="YH7" s="33"/>
      <c r="YI7" s="33"/>
      <c r="YJ7" s="33"/>
      <c r="YK7" s="33"/>
      <c r="YL7" s="33"/>
      <c r="YM7" s="33"/>
      <c r="YN7" s="33"/>
      <c r="YO7" s="33"/>
      <c r="YP7" s="33"/>
      <c r="YQ7" s="33"/>
      <c r="YR7" s="33"/>
      <c r="YS7" s="33"/>
      <c r="YT7" s="33"/>
      <c r="YU7" s="33"/>
      <c r="YV7" s="33"/>
      <c r="YW7" s="33"/>
      <c r="YX7" s="33"/>
      <c r="YY7" s="33"/>
      <c r="YZ7" s="33"/>
      <c r="ZA7" s="33"/>
      <c r="ZB7" s="33"/>
      <c r="ZC7" s="33"/>
      <c r="ZD7" s="33"/>
      <c r="ZE7" s="33"/>
      <c r="ZF7" s="33"/>
      <c r="ZG7" s="33"/>
      <c r="ZH7" s="33"/>
      <c r="ZI7" s="33"/>
      <c r="ZJ7" s="33"/>
      <c r="ZK7" s="33"/>
      <c r="ZL7" s="33"/>
      <c r="ZM7" s="33"/>
      <c r="ZN7" s="33"/>
      <c r="ZO7" s="33"/>
      <c r="ZP7" s="33"/>
      <c r="ZQ7" s="33"/>
      <c r="ZR7" s="33"/>
      <c r="ZS7" s="33"/>
      <c r="ZT7" s="33"/>
      <c r="ZU7" s="33"/>
      <c r="ZV7" s="33"/>
      <c r="ZW7" s="33"/>
      <c r="ZX7" s="33"/>
      <c r="ZY7" s="33"/>
      <c r="ZZ7" s="33"/>
      <c r="AAA7" s="33"/>
      <c r="AAB7" s="33"/>
      <c r="AAC7" s="33"/>
      <c r="AAD7" s="33"/>
      <c r="AAE7" s="33"/>
      <c r="AAF7" s="33"/>
      <c r="AAG7" s="33"/>
      <c r="AAH7" s="33"/>
      <c r="AAI7" s="33"/>
      <c r="AAJ7" s="33"/>
      <c r="AAK7" s="33"/>
      <c r="AAL7" s="33"/>
      <c r="AAM7" s="33"/>
      <c r="AAN7" s="33"/>
      <c r="AAO7" s="33"/>
      <c r="AAP7" s="33"/>
      <c r="AAQ7" s="33"/>
      <c r="AAR7" s="33"/>
      <c r="AAS7" s="33"/>
      <c r="AAT7" s="33"/>
      <c r="AAU7" s="33"/>
      <c r="AAV7" s="33"/>
      <c r="AAW7" s="33"/>
      <c r="AAX7" s="33"/>
      <c r="AAY7" s="33"/>
      <c r="AAZ7" s="33"/>
      <c r="ABA7" s="33"/>
      <c r="ABB7" s="33"/>
      <c r="ABC7" s="33"/>
      <c r="ABD7" s="33"/>
      <c r="ABE7" s="33"/>
      <c r="ABF7" s="33"/>
      <c r="ABG7" s="33"/>
      <c r="ABH7" s="33"/>
      <c r="ABI7" s="33"/>
      <c r="ABJ7" s="33"/>
      <c r="ABK7" s="33"/>
      <c r="ABL7" s="33"/>
      <c r="ABM7" s="33"/>
      <c r="ABN7" s="33"/>
      <c r="ABO7" s="33"/>
      <c r="ABP7" s="33"/>
      <c r="ABQ7" s="33"/>
      <c r="ABR7" s="33"/>
      <c r="ABS7" s="33"/>
      <c r="ABT7" s="33"/>
      <c r="ABU7" s="33"/>
      <c r="ABV7" s="33"/>
      <c r="ABW7" s="33"/>
      <c r="ABX7" s="33"/>
      <c r="ABY7" s="33"/>
      <c r="ABZ7" s="33"/>
      <c r="ACA7" s="33"/>
      <c r="ACB7" s="33"/>
      <c r="ACC7" s="33"/>
      <c r="ACD7" s="33"/>
      <c r="ACE7" s="33"/>
      <c r="ACF7" s="33"/>
      <c r="ACG7" s="33"/>
      <c r="ACH7" s="33"/>
      <c r="ACI7" s="33"/>
      <c r="ACJ7" s="33"/>
      <c r="ACK7" s="33"/>
      <c r="ACL7" s="33"/>
      <c r="ACM7" s="33"/>
      <c r="ACN7" s="33"/>
      <c r="ACO7" s="33"/>
      <c r="ACP7" s="33"/>
      <c r="ACQ7" s="33"/>
      <c r="ACR7" s="33"/>
      <c r="ACS7" s="33"/>
      <c r="ACT7" s="33"/>
      <c r="ACU7" s="33"/>
      <c r="ACV7" s="33"/>
      <c r="ACW7" s="33"/>
      <c r="ACX7" s="33"/>
      <c r="ACY7" s="33"/>
      <c r="ACZ7" s="33"/>
      <c r="ADA7" s="33"/>
      <c r="ADB7" s="33"/>
      <c r="ADC7" s="33"/>
      <c r="ADD7" s="33"/>
      <c r="ADE7" s="33"/>
      <c r="ADF7" s="33"/>
      <c r="ADG7" s="33"/>
      <c r="ADH7" s="33"/>
      <c r="ADI7" s="33"/>
      <c r="ADJ7" s="33"/>
      <c r="ADK7" s="33"/>
      <c r="ADL7" s="33"/>
      <c r="ADM7" s="33"/>
      <c r="ADN7" s="33"/>
      <c r="ADO7" s="33"/>
      <c r="ADP7" s="33"/>
      <c r="ADQ7" s="33"/>
      <c r="ADR7" s="33"/>
      <c r="ADS7" s="33"/>
      <c r="ADT7" s="33"/>
      <c r="ADU7" s="33"/>
      <c r="ADV7" s="33"/>
      <c r="ADW7" s="33"/>
      <c r="ADX7" s="33"/>
      <c r="ADY7" s="33"/>
      <c r="ADZ7" s="33"/>
      <c r="AEA7" s="33"/>
      <c r="AEB7" s="33"/>
      <c r="AEC7" s="33"/>
      <c r="AED7" s="33"/>
      <c r="AEE7" s="33"/>
      <c r="AEF7" s="33"/>
      <c r="AEG7" s="33"/>
      <c r="AEH7" s="33"/>
      <c r="AEI7" s="33"/>
      <c r="AEJ7" s="33"/>
      <c r="AEK7" s="33"/>
      <c r="AEL7" s="33"/>
      <c r="AEM7" s="33"/>
      <c r="AEN7" s="33"/>
      <c r="AEO7" s="33"/>
      <c r="AEP7" s="33"/>
      <c r="AEQ7" s="33"/>
      <c r="AER7" s="33"/>
      <c r="AES7" s="33"/>
      <c r="AET7" s="33"/>
      <c r="AEU7" s="33"/>
      <c r="AEV7" s="33"/>
      <c r="AEW7" s="33"/>
      <c r="AEX7" s="33"/>
      <c r="AEY7" s="33"/>
      <c r="AEZ7" s="33"/>
      <c r="AFA7" s="33"/>
      <c r="AFB7" s="33"/>
      <c r="AFC7" s="33"/>
      <c r="AFD7" s="33"/>
      <c r="AFE7" s="33"/>
      <c r="AFF7" s="33"/>
      <c r="AFG7" s="33"/>
      <c r="AFH7" s="33"/>
      <c r="AFI7" s="33"/>
      <c r="AFJ7" s="33"/>
      <c r="AFK7" s="33"/>
      <c r="AFL7" s="33"/>
      <c r="AFM7" s="33"/>
      <c r="AFN7" s="33"/>
      <c r="AFO7" s="33"/>
      <c r="AFP7" s="33"/>
      <c r="AFQ7" s="33"/>
      <c r="AFR7" s="33"/>
      <c r="AFS7" s="33"/>
      <c r="AFT7" s="33"/>
      <c r="AFU7" s="33"/>
      <c r="AFV7" s="33"/>
      <c r="AFW7" s="33"/>
      <c r="AFX7" s="33"/>
      <c r="AFY7" s="33"/>
      <c r="AFZ7" s="33"/>
      <c r="AGA7" s="33"/>
      <c r="AGB7" s="33"/>
      <c r="AGC7" s="33"/>
      <c r="AGD7" s="33"/>
      <c r="AGE7" s="33"/>
      <c r="AGF7" s="33"/>
      <c r="AGG7" s="33"/>
      <c r="AGH7" s="33"/>
      <c r="AGI7" s="33"/>
      <c r="AGJ7" s="33"/>
      <c r="AGK7" s="33"/>
      <c r="AGL7" s="33"/>
      <c r="AGM7" s="33"/>
      <c r="AGN7" s="33"/>
      <c r="AGO7" s="33"/>
      <c r="AGP7" s="33"/>
      <c r="AGQ7" s="33"/>
      <c r="AGR7" s="33"/>
      <c r="AGS7" s="33"/>
      <c r="AGT7" s="33"/>
      <c r="AGU7" s="33"/>
      <c r="AGV7" s="33"/>
      <c r="AGW7" s="33"/>
      <c r="AGX7" s="33"/>
      <c r="AGY7" s="33"/>
      <c r="AGZ7" s="33"/>
      <c r="AHA7" s="33"/>
      <c r="AHB7" s="33"/>
      <c r="AHC7" s="33"/>
      <c r="AHD7" s="33"/>
      <c r="AHE7" s="33"/>
      <c r="AHF7" s="33"/>
      <c r="AHG7" s="33"/>
      <c r="AHH7" s="33"/>
      <c r="AHI7" s="33"/>
      <c r="AHJ7" s="33"/>
      <c r="AHK7" s="33"/>
      <c r="AHL7" s="33"/>
      <c r="AHM7" s="33"/>
      <c r="AHN7" s="33"/>
      <c r="AHO7" s="33"/>
      <c r="AHP7" s="33"/>
      <c r="AHQ7" s="33"/>
      <c r="AHR7" s="33"/>
      <c r="AHS7" s="33"/>
      <c r="AHT7" s="33"/>
      <c r="AHU7" s="33"/>
      <c r="AHV7" s="33"/>
      <c r="AHW7" s="33"/>
      <c r="AHX7" s="33"/>
      <c r="AHY7" s="33"/>
      <c r="AHZ7" s="33"/>
      <c r="AIA7" s="33"/>
      <c r="AIB7" s="33"/>
      <c r="AIC7" s="33"/>
      <c r="AID7" s="33"/>
      <c r="AIE7" s="33"/>
      <c r="AIF7" s="33"/>
      <c r="AIG7" s="33"/>
      <c r="AIH7" s="33"/>
      <c r="AII7" s="33"/>
      <c r="AIJ7" s="33"/>
      <c r="AIK7" s="33"/>
      <c r="AIL7" s="33"/>
      <c r="AIM7" s="33"/>
      <c r="AIN7" s="33"/>
      <c r="AIO7" s="33"/>
      <c r="AIP7" s="33"/>
      <c r="AIQ7" s="33"/>
      <c r="AIR7" s="33"/>
      <c r="AIS7" s="33"/>
      <c r="AIT7" s="33"/>
      <c r="AIU7" s="33"/>
      <c r="AIV7" s="33"/>
      <c r="AIW7" s="33"/>
      <c r="AIX7" s="33"/>
      <c r="AIY7" s="33"/>
      <c r="AIZ7" s="33"/>
      <c r="AJA7" s="33"/>
      <c r="AJB7" s="33"/>
      <c r="AJC7" s="33"/>
      <c r="AJD7" s="33"/>
      <c r="AJE7" s="33"/>
      <c r="AJF7" s="33"/>
      <c r="AJG7" s="33"/>
      <c r="AJH7" s="33"/>
      <c r="AJI7" s="33"/>
      <c r="AJJ7" s="33"/>
      <c r="AJK7" s="33"/>
      <c r="AJL7" s="33"/>
      <c r="AJM7" s="33"/>
      <c r="AJN7" s="33"/>
      <c r="AJO7" s="33"/>
      <c r="AJP7" s="33"/>
      <c r="AJQ7" s="33"/>
      <c r="AJR7" s="33"/>
      <c r="AJS7" s="33"/>
      <c r="AJT7" s="33"/>
      <c r="AJU7" s="33"/>
      <c r="AJV7" s="33"/>
      <c r="AJW7" s="33"/>
      <c r="AJX7" s="33"/>
      <c r="AJY7" s="33"/>
      <c r="AJZ7" s="33"/>
      <c r="AKA7" s="33"/>
      <c r="AKB7" s="33"/>
      <c r="AKC7" s="33"/>
      <c r="AKD7" s="33"/>
      <c r="AKE7" s="33"/>
      <c r="AKF7" s="33"/>
      <c r="AKG7" s="33"/>
      <c r="AKH7" s="33"/>
      <c r="AKI7" s="33"/>
      <c r="AKJ7" s="33"/>
      <c r="AKK7" s="33"/>
      <c r="AKL7" s="33"/>
      <c r="AKM7" s="33"/>
      <c r="AKN7" s="33"/>
      <c r="AKO7" s="33"/>
      <c r="AKP7" s="33"/>
      <c r="AKQ7" s="33"/>
      <c r="AKR7" s="33"/>
      <c r="AKS7" s="33"/>
      <c r="AKT7" s="33"/>
      <c r="AKU7" s="33"/>
      <c r="AKV7" s="33"/>
      <c r="AKW7" s="33"/>
      <c r="AKX7" s="33"/>
      <c r="AKY7" s="33"/>
      <c r="AKZ7" s="33"/>
      <c r="ALA7" s="33"/>
      <c r="ALB7" s="33"/>
      <c r="ALC7" s="33"/>
      <c r="ALD7" s="33"/>
      <c r="ALE7" s="33"/>
      <c r="ALF7" s="33"/>
      <c r="ALG7" s="33"/>
      <c r="ALH7" s="33"/>
      <c r="ALI7" s="33"/>
      <c r="ALJ7" s="33"/>
      <c r="ALK7" s="33"/>
      <c r="ALL7" s="33"/>
      <c r="ALM7" s="33"/>
      <c r="ALN7" s="33"/>
      <c r="ALO7" s="33"/>
      <c r="ALP7" s="33"/>
      <c r="ALQ7" s="33"/>
      <c r="ALR7" s="33"/>
      <c r="ALS7" s="33"/>
      <c r="ALT7" s="33"/>
      <c r="ALU7" s="33"/>
      <c r="ALV7" s="33"/>
      <c r="ALW7" s="33"/>
      <c r="ALX7" s="33"/>
      <c r="ALY7" s="33"/>
      <c r="ALZ7" s="33"/>
      <c r="AMA7" s="33"/>
      <c r="AMB7" s="33"/>
      <c r="AMC7" s="33"/>
      <c r="AMD7" s="33"/>
      <c r="AME7" s="33"/>
      <c r="AMF7" s="33"/>
      <c r="AMG7" s="33"/>
      <c r="AMH7" s="33"/>
      <c r="AMI7" s="33"/>
      <c r="AMJ7" s="33"/>
      <c r="AMK7" s="33"/>
      <c r="AML7" s="33"/>
    </row>
    <row r="8" ht="15.75" customHeight="1">
      <c r="A8" s="8" t="s">
        <v>20</v>
      </c>
      <c r="B8" s="8" t="s">
        <v>20</v>
      </c>
      <c r="C8" s="8" t="s">
        <v>25</v>
      </c>
      <c r="D8" s="8" t="s">
        <v>22</v>
      </c>
      <c r="E8" s="8" t="s">
        <v>22</v>
      </c>
      <c r="F8" s="8" t="s">
        <v>23</v>
      </c>
      <c r="G8" s="8">
        <v>1.0</v>
      </c>
      <c r="H8" s="8">
        <v>1.0</v>
      </c>
      <c r="I8" s="8">
        <v>1.0</v>
      </c>
      <c r="J8" s="8"/>
      <c r="K8" s="8">
        <v>0.0</v>
      </c>
      <c r="L8" s="8">
        <v>0.0</v>
      </c>
      <c r="M8" s="8">
        <v>0.0</v>
      </c>
      <c r="N8" s="8"/>
      <c r="O8" s="8">
        <v>0.0</v>
      </c>
      <c r="P8">
        <v>0.0</v>
      </c>
      <c r="Q8">
        <v>0.0</v>
      </c>
      <c r="R8">
        <v>0.0</v>
      </c>
      <c r="S8">
        <v>0.0</v>
      </c>
      <c r="T8" t="s">
        <v>22</v>
      </c>
      <c r="AB8" t="s">
        <v>20</v>
      </c>
      <c r="AC8" t="s">
        <v>20</v>
      </c>
      <c r="AD8" t="s">
        <v>20</v>
      </c>
      <c r="AE8" t="s">
        <v>20</v>
      </c>
      <c r="AF8" t="s">
        <v>20</v>
      </c>
      <c r="AG8" t="s">
        <v>20</v>
      </c>
      <c r="AH8" t="s">
        <v>20</v>
      </c>
      <c r="AI8" t="s">
        <v>20</v>
      </c>
      <c r="AJ8" t="s">
        <v>20</v>
      </c>
      <c r="AK8" t="s">
        <v>20</v>
      </c>
      <c r="AL8" t="s">
        <v>20</v>
      </c>
      <c r="AM8" t="s">
        <v>20</v>
      </c>
      <c r="AN8" t="s">
        <v>20</v>
      </c>
      <c r="AO8" t="s">
        <v>20</v>
      </c>
      <c r="AP8" t="s">
        <v>20</v>
      </c>
      <c r="AQ8" t="s">
        <v>20</v>
      </c>
      <c r="AR8" t="s">
        <v>20</v>
      </c>
      <c r="AS8" t="s">
        <v>20</v>
      </c>
      <c r="AT8" t="s">
        <v>20</v>
      </c>
      <c r="AU8" t="s">
        <v>20</v>
      </c>
      <c r="AV8" t="s">
        <v>20</v>
      </c>
      <c r="AW8" t="s">
        <v>20</v>
      </c>
      <c r="AX8" t="s">
        <v>20</v>
      </c>
      <c r="AY8" t="s">
        <v>20</v>
      </c>
      <c r="AZ8" t="s">
        <v>20</v>
      </c>
      <c r="BA8" t="s">
        <v>20</v>
      </c>
      <c r="BB8" t="s">
        <v>20</v>
      </c>
      <c r="BC8" t="s">
        <v>20</v>
      </c>
      <c r="BD8" t="s">
        <v>20</v>
      </c>
      <c r="BE8" t="s">
        <v>20</v>
      </c>
      <c r="BF8" t="s">
        <v>20</v>
      </c>
      <c r="BG8" t="s">
        <v>20</v>
      </c>
      <c r="BH8" t="s">
        <v>20</v>
      </c>
      <c r="BI8" t="s">
        <v>20</v>
      </c>
      <c r="BJ8" t="s">
        <v>20</v>
      </c>
      <c r="BK8" t="s">
        <v>20</v>
      </c>
      <c r="BL8" t="s">
        <v>20</v>
      </c>
      <c r="BM8" t="s">
        <v>20</v>
      </c>
      <c r="BN8" t="s">
        <v>20</v>
      </c>
      <c r="BO8" t="s">
        <v>20</v>
      </c>
      <c r="BP8" t="s">
        <v>20</v>
      </c>
      <c r="BQ8" t="s">
        <v>20</v>
      </c>
      <c r="BR8" t="s">
        <v>20</v>
      </c>
      <c r="BS8" t="s">
        <v>20</v>
      </c>
      <c r="BT8" t="s">
        <v>20</v>
      </c>
      <c r="BU8" t="s">
        <v>20</v>
      </c>
      <c r="BV8" t="s">
        <v>20</v>
      </c>
      <c r="BW8" t="s">
        <v>20</v>
      </c>
      <c r="BX8" t="s">
        <v>20</v>
      </c>
      <c r="BY8" t="s">
        <v>20</v>
      </c>
      <c r="BZ8" t="s">
        <v>20</v>
      </c>
      <c r="CA8" t="s">
        <v>20</v>
      </c>
      <c r="CB8" t="s">
        <v>20</v>
      </c>
      <c r="CC8" t="s">
        <v>20</v>
      </c>
      <c r="CD8" t="s">
        <v>20</v>
      </c>
      <c r="CE8" t="s">
        <v>20</v>
      </c>
      <c r="CF8" t="s">
        <v>20</v>
      </c>
      <c r="CG8" t="s">
        <v>20</v>
      </c>
      <c r="CH8" t="s">
        <v>20</v>
      </c>
      <c r="CI8" t="s">
        <v>20</v>
      </c>
      <c r="CJ8" t="s">
        <v>20</v>
      </c>
      <c r="CK8" t="s">
        <v>20</v>
      </c>
      <c r="CL8" t="s">
        <v>20</v>
      </c>
      <c r="CM8" t="s">
        <v>20</v>
      </c>
      <c r="CN8" t="s">
        <v>20</v>
      </c>
      <c r="CO8" t="s">
        <v>20</v>
      </c>
      <c r="CP8" t="s">
        <v>20</v>
      </c>
      <c r="CQ8" t="s">
        <v>20</v>
      </c>
      <c r="CR8" t="s">
        <v>20</v>
      </c>
      <c r="CS8" t="s">
        <v>20</v>
      </c>
      <c r="CT8" t="s">
        <v>20</v>
      </c>
      <c r="CU8" t="s">
        <v>20</v>
      </c>
      <c r="CV8" t="s">
        <v>20</v>
      </c>
      <c r="CW8" t="s">
        <v>20</v>
      </c>
      <c r="CX8" t="s">
        <v>20</v>
      </c>
      <c r="CY8" t="s">
        <v>20</v>
      </c>
      <c r="CZ8" t="s">
        <v>20</v>
      </c>
      <c r="DA8" t="s">
        <v>20</v>
      </c>
      <c r="DB8" t="s">
        <v>20</v>
      </c>
      <c r="DC8" t="s">
        <v>20</v>
      </c>
      <c r="DD8" t="s">
        <v>20</v>
      </c>
      <c r="DE8" t="s">
        <v>20</v>
      </c>
      <c r="DF8" t="s">
        <v>20</v>
      </c>
      <c r="DG8" t="s">
        <v>20</v>
      </c>
      <c r="DH8" t="s">
        <v>20</v>
      </c>
      <c r="DI8" t="s">
        <v>20</v>
      </c>
      <c r="DJ8" t="s">
        <v>20</v>
      </c>
      <c r="DK8" t="s">
        <v>20</v>
      </c>
      <c r="DL8" t="s">
        <v>20</v>
      </c>
      <c r="DM8" t="s">
        <v>20</v>
      </c>
      <c r="DN8" t="s">
        <v>20</v>
      </c>
      <c r="DO8" t="s">
        <v>20</v>
      </c>
      <c r="DP8" t="s">
        <v>20</v>
      </c>
      <c r="DQ8" t="s">
        <v>20</v>
      </c>
      <c r="DR8" t="s">
        <v>20</v>
      </c>
      <c r="DS8" t="s">
        <v>20</v>
      </c>
      <c r="DT8" t="s">
        <v>20</v>
      </c>
      <c r="DU8" t="s">
        <v>20</v>
      </c>
      <c r="DV8" t="s">
        <v>20</v>
      </c>
      <c r="DW8" t="s">
        <v>20</v>
      </c>
      <c r="DX8" t="s">
        <v>20</v>
      </c>
      <c r="DY8" t="s">
        <v>20</v>
      </c>
      <c r="DZ8" t="s">
        <v>20</v>
      </c>
      <c r="EA8" t="s">
        <v>20</v>
      </c>
      <c r="EB8" t="s">
        <v>20</v>
      </c>
      <c r="EC8" t="s">
        <v>20</v>
      </c>
      <c r="ED8" t="s">
        <v>20</v>
      </c>
      <c r="EE8" t="s">
        <v>20</v>
      </c>
      <c r="EF8" t="s">
        <v>20</v>
      </c>
      <c r="EG8" t="s">
        <v>20</v>
      </c>
      <c r="EH8" t="s">
        <v>20</v>
      </c>
      <c r="EI8" t="s">
        <v>20</v>
      </c>
      <c r="EJ8" t="s">
        <v>20</v>
      </c>
      <c r="EK8" t="s">
        <v>20</v>
      </c>
      <c r="EL8" t="s">
        <v>20</v>
      </c>
      <c r="EM8" t="s">
        <v>20</v>
      </c>
      <c r="EN8" t="s">
        <v>20</v>
      </c>
      <c r="EO8" t="s">
        <v>20</v>
      </c>
      <c r="EP8" t="s">
        <v>20</v>
      </c>
      <c r="EQ8" t="s">
        <v>20</v>
      </c>
      <c r="ER8" t="s">
        <v>20</v>
      </c>
      <c r="ES8" t="s">
        <v>20</v>
      </c>
      <c r="ET8" t="s">
        <v>20</v>
      </c>
      <c r="EU8" t="s">
        <v>20</v>
      </c>
      <c r="EV8" t="s">
        <v>20</v>
      </c>
      <c r="EW8" t="s">
        <v>20</v>
      </c>
      <c r="EX8" t="s">
        <v>20</v>
      </c>
      <c r="EY8" t="s">
        <v>20</v>
      </c>
      <c r="EZ8" t="s">
        <v>20</v>
      </c>
      <c r="FA8" t="s">
        <v>20</v>
      </c>
      <c r="FB8" t="s">
        <v>20</v>
      </c>
      <c r="FC8" t="s">
        <v>20</v>
      </c>
      <c r="FD8" t="s">
        <v>20</v>
      </c>
      <c r="FE8" t="s">
        <v>20</v>
      </c>
      <c r="FF8" t="s">
        <v>20</v>
      </c>
      <c r="FG8" t="s">
        <v>20</v>
      </c>
      <c r="FH8" t="s">
        <v>20</v>
      </c>
      <c r="FI8" t="s">
        <v>20</v>
      </c>
      <c r="FJ8" t="s">
        <v>20</v>
      </c>
      <c r="FK8" t="s">
        <v>20</v>
      </c>
      <c r="FL8" t="s">
        <v>20</v>
      </c>
      <c r="FM8" t="s">
        <v>20</v>
      </c>
      <c r="FN8" t="s">
        <v>20</v>
      </c>
      <c r="FO8" t="s">
        <v>20</v>
      </c>
      <c r="FP8" t="s">
        <v>20</v>
      </c>
      <c r="FQ8" t="s">
        <v>20</v>
      </c>
      <c r="FR8" s="33"/>
      <c r="FS8" s="33"/>
      <c r="FT8" s="33"/>
      <c r="FU8" s="33"/>
      <c r="FV8" s="33"/>
      <c r="FW8" s="33"/>
      <c r="FX8" s="33"/>
      <c r="FY8" s="33"/>
      <c r="FZ8" s="33"/>
      <c r="GA8" s="33"/>
      <c r="GB8" s="33"/>
      <c r="GC8" s="33"/>
      <c r="GD8" s="33"/>
      <c r="GE8" s="33"/>
      <c r="GF8" s="33"/>
      <c r="GG8" s="33"/>
      <c r="GH8" s="33"/>
      <c r="GI8" s="33"/>
      <c r="GJ8" s="33"/>
      <c r="GK8" s="33"/>
      <c r="GL8" s="33"/>
      <c r="GM8" s="33"/>
      <c r="GN8" s="33"/>
      <c r="GO8" s="33"/>
      <c r="GP8" s="33"/>
      <c r="GQ8" s="33"/>
      <c r="GR8" s="33"/>
      <c r="GS8" s="33"/>
      <c r="GT8" s="33"/>
      <c r="GU8" s="33"/>
      <c r="GV8" s="33"/>
      <c r="GW8" s="33"/>
      <c r="GX8" s="33"/>
      <c r="GY8" s="33"/>
      <c r="GZ8" s="33"/>
      <c r="HA8" s="33"/>
      <c r="HB8" s="33"/>
      <c r="HC8" s="33"/>
      <c r="HD8" s="33"/>
      <c r="HE8" s="33"/>
      <c r="HF8" s="33"/>
      <c r="HG8" s="33"/>
      <c r="HH8" s="33"/>
      <c r="HI8" s="33"/>
      <c r="HJ8" s="33"/>
      <c r="HK8" s="33"/>
      <c r="HL8" s="33"/>
      <c r="HM8" s="33"/>
      <c r="HN8" s="33"/>
      <c r="HO8" s="33"/>
      <c r="HP8" s="33"/>
      <c r="HQ8" s="33"/>
      <c r="HR8" s="33"/>
      <c r="HS8" s="33"/>
      <c r="HT8" s="33"/>
      <c r="HU8" s="33"/>
      <c r="HV8" s="33"/>
      <c r="HW8" s="33"/>
      <c r="HX8" s="33"/>
      <c r="HY8" s="33"/>
      <c r="HZ8" s="33"/>
      <c r="IA8" s="33"/>
      <c r="IB8" s="33"/>
      <c r="IC8" s="33"/>
      <c r="ID8" s="33"/>
      <c r="IE8" s="33"/>
      <c r="IF8" s="33"/>
      <c r="IG8" s="33"/>
      <c r="IH8" s="33"/>
      <c r="II8" s="33"/>
      <c r="IJ8" s="33"/>
      <c r="IK8" s="33"/>
      <c r="IL8" s="33"/>
      <c r="IM8" s="33"/>
      <c r="IN8" s="33"/>
      <c r="IO8" s="33"/>
      <c r="IP8" s="33"/>
      <c r="IQ8" s="33"/>
      <c r="IR8" s="33"/>
      <c r="IS8" s="33"/>
      <c r="IT8" s="33"/>
      <c r="IU8" s="33"/>
      <c r="IV8" s="33"/>
      <c r="IW8" s="33"/>
      <c r="IX8" s="33"/>
      <c r="IY8" s="33"/>
      <c r="IZ8" s="33"/>
      <c r="JA8" s="33"/>
      <c r="JB8" s="33"/>
      <c r="JC8" s="33"/>
      <c r="JD8" s="33"/>
      <c r="JE8" s="33"/>
      <c r="JF8" s="33"/>
      <c r="JG8" s="33"/>
      <c r="JH8" s="33"/>
      <c r="JI8" s="33"/>
      <c r="JJ8" s="33"/>
      <c r="JK8" s="33"/>
      <c r="JL8" s="33"/>
      <c r="JM8" s="33"/>
      <c r="JN8" s="33"/>
      <c r="JO8" s="33"/>
      <c r="JP8" s="33"/>
      <c r="JQ8" s="33"/>
      <c r="JR8" s="33"/>
      <c r="JS8" s="33"/>
      <c r="JT8" s="33"/>
      <c r="JU8" s="33"/>
      <c r="JV8" s="33"/>
      <c r="JW8" s="33"/>
      <c r="JX8" s="33"/>
      <c r="JY8" s="33"/>
      <c r="JZ8" s="33"/>
      <c r="KA8" s="33"/>
      <c r="KB8" s="33"/>
      <c r="KC8" s="33"/>
      <c r="KD8" s="33"/>
      <c r="KE8" s="33"/>
      <c r="KF8" s="33"/>
      <c r="KG8" s="33"/>
      <c r="KH8" s="33"/>
      <c r="KI8" s="33"/>
      <c r="KJ8" s="33"/>
      <c r="KK8" s="33"/>
      <c r="KL8" s="33"/>
      <c r="KM8" s="33"/>
      <c r="KN8" s="33"/>
      <c r="KO8" s="33"/>
      <c r="KP8" s="33"/>
      <c r="KQ8" s="33"/>
      <c r="KR8" s="33"/>
      <c r="KS8" s="33"/>
      <c r="KT8" s="33"/>
      <c r="KU8" s="33"/>
      <c r="KV8" s="33"/>
      <c r="KW8" s="33"/>
      <c r="KX8" s="33"/>
      <c r="KY8" s="33"/>
      <c r="KZ8" s="33"/>
      <c r="LA8" s="33"/>
      <c r="LB8" s="33"/>
      <c r="LC8" s="33"/>
      <c r="LD8" s="33"/>
      <c r="LE8" s="33"/>
      <c r="LF8" s="33"/>
      <c r="LG8" s="33"/>
      <c r="LH8" s="33"/>
      <c r="LI8" s="33"/>
      <c r="LJ8" s="33"/>
      <c r="LK8" s="33"/>
      <c r="LL8" s="33"/>
      <c r="LM8" s="33"/>
      <c r="LN8" s="33"/>
      <c r="LO8" s="33"/>
      <c r="LP8" s="33"/>
      <c r="LQ8" s="33"/>
      <c r="LR8" s="33"/>
      <c r="LS8" s="33"/>
      <c r="LT8" s="33"/>
      <c r="LU8" s="33"/>
      <c r="LV8" s="33"/>
      <c r="LW8" s="33"/>
      <c r="LX8" s="33"/>
      <c r="LY8" s="33"/>
      <c r="LZ8" s="33"/>
      <c r="MA8" s="33"/>
      <c r="MB8" s="33"/>
      <c r="MC8" s="33"/>
      <c r="MD8" s="33"/>
      <c r="ME8" s="33"/>
      <c r="MF8" s="33"/>
      <c r="MG8" s="33"/>
      <c r="MH8" s="33"/>
      <c r="MI8" s="33"/>
      <c r="MJ8" s="33"/>
      <c r="MK8" s="33"/>
      <c r="ML8" s="33"/>
      <c r="MM8" s="33"/>
      <c r="MN8" s="33"/>
      <c r="MO8" s="33"/>
      <c r="MP8" s="33"/>
      <c r="MQ8" s="33"/>
      <c r="MR8" s="33"/>
      <c r="MS8" s="33"/>
      <c r="MT8" s="33"/>
      <c r="MU8" s="33"/>
      <c r="MV8" s="33"/>
      <c r="MW8" s="33"/>
      <c r="MX8" s="33"/>
      <c r="MY8" s="33"/>
      <c r="MZ8" s="33"/>
      <c r="NA8" s="33"/>
      <c r="NB8" s="33"/>
      <c r="NC8" s="33"/>
      <c r="ND8" s="33"/>
      <c r="NE8" s="33"/>
      <c r="NF8" s="33"/>
      <c r="NG8" s="33"/>
      <c r="NH8" s="33"/>
      <c r="NI8" s="33"/>
      <c r="NJ8" s="33"/>
      <c r="NK8" s="33"/>
      <c r="NL8" s="33"/>
      <c r="NM8" s="33"/>
      <c r="NN8" s="33"/>
      <c r="NO8" s="33"/>
      <c r="NP8" s="33"/>
      <c r="NQ8" s="33"/>
      <c r="NR8" s="33"/>
      <c r="NS8" s="33"/>
      <c r="NT8" s="33"/>
      <c r="NU8" s="33"/>
      <c r="NV8" s="33"/>
      <c r="NW8" s="33"/>
      <c r="NX8" s="33"/>
      <c r="NY8" s="33"/>
      <c r="NZ8" s="33"/>
      <c r="OA8" s="33"/>
      <c r="OB8" s="33"/>
      <c r="OC8" s="33"/>
      <c r="OD8" s="33"/>
      <c r="OE8" s="33"/>
      <c r="OF8" s="33"/>
      <c r="OG8" s="33"/>
      <c r="OH8" s="33"/>
      <c r="OI8" s="33"/>
      <c r="OJ8" s="33"/>
      <c r="OK8" s="33"/>
      <c r="OL8" s="33"/>
      <c r="OM8" s="33"/>
      <c r="ON8" s="33"/>
      <c r="OO8" s="33"/>
      <c r="OP8" s="33"/>
      <c r="OQ8" s="33"/>
      <c r="OR8" s="33"/>
      <c r="OS8" s="33"/>
      <c r="OT8" s="33"/>
      <c r="OU8" s="33"/>
      <c r="OV8" s="33"/>
      <c r="OW8" s="33"/>
      <c r="OX8" s="33"/>
      <c r="OY8" s="33"/>
      <c r="OZ8" s="33"/>
      <c r="PA8" s="33"/>
      <c r="PB8" s="33"/>
      <c r="PC8" s="33"/>
      <c r="PD8" s="33"/>
      <c r="PE8" s="33"/>
      <c r="PF8" s="33"/>
      <c r="PG8" s="33"/>
      <c r="PH8" s="33"/>
      <c r="PI8" s="33"/>
      <c r="PJ8" s="33"/>
      <c r="PK8" s="33"/>
      <c r="PL8" s="33"/>
      <c r="PM8" s="33"/>
      <c r="PN8" s="33"/>
      <c r="PO8" s="33"/>
      <c r="PP8" s="33"/>
      <c r="PQ8" s="33"/>
      <c r="PR8" s="33"/>
      <c r="PS8" s="33"/>
      <c r="PT8" s="33"/>
      <c r="PU8" s="33"/>
      <c r="PV8" s="33"/>
      <c r="PW8" s="33"/>
      <c r="PX8" s="33"/>
      <c r="PY8" s="33"/>
      <c r="PZ8" s="33"/>
      <c r="QA8" s="33"/>
      <c r="QB8" s="33"/>
      <c r="QC8" s="33"/>
      <c r="QD8" s="33"/>
      <c r="QE8" s="33"/>
      <c r="QF8" s="33"/>
      <c r="QG8" s="33"/>
      <c r="QH8" s="33"/>
      <c r="QI8" s="33"/>
      <c r="QJ8" s="33"/>
      <c r="QK8" s="33"/>
      <c r="QL8" s="33"/>
      <c r="QM8" s="33"/>
      <c r="QN8" s="33"/>
      <c r="QO8" s="33"/>
      <c r="QP8" s="33"/>
      <c r="QQ8" s="33"/>
      <c r="QR8" s="33"/>
      <c r="QS8" s="33"/>
      <c r="QT8" s="33"/>
      <c r="QU8" s="33"/>
      <c r="QV8" s="33"/>
      <c r="QW8" s="33"/>
      <c r="QX8" s="33"/>
      <c r="QY8" s="33"/>
      <c r="QZ8" s="33"/>
      <c r="RA8" s="33"/>
      <c r="RB8" s="33"/>
      <c r="RC8" s="33"/>
      <c r="RD8" s="33"/>
      <c r="RE8" s="33"/>
      <c r="RF8" s="33"/>
      <c r="RG8" s="33"/>
      <c r="RH8" s="33"/>
      <c r="RI8" s="33"/>
      <c r="RJ8" s="33"/>
      <c r="RK8" s="33"/>
      <c r="RL8" s="33"/>
      <c r="RM8" s="33"/>
      <c r="RN8" s="33"/>
      <c r="RO8" s="33"/>
      <c r="RP8" s="33"/>
      <c r="RQ8" s="33"/>
      <c r="RR8" s="33"/>
      <c r="RS8" s="33"/>
      <c r="RT8" s="33"/>
      <c r="RU8" s="33"/>
      <c r="RV8" s="33"/>
      <c r="RW8" s="33"/>
      <c r="RX8" s="33"/>
      <c r="RY8" s="33"/>
      <c r="RZ8" s="33"/>
      <c r="SA8" s="33"/>
      <c r="SB8" s="33"/>
      <c r="SC8" s="33"/>
      <c r="SD8" s="33"/>
      <c r="SE8" s="33"/>
      <c r="SF8" s="33"/>
      <c r="SG8" s="33"/>
      <c r="SH8" s="33"/>
      <c r="SI8" s="33"/>
      <c r="SJ8" s="33"/>
      <c r="SK8" s="33"/>
      <c r="SL8" s="33"/>
      <c r="SM8" s="33"/>
      <c r="SN8" s="33"/>
      <c r="SO8" s="33"/>
      <c r="SP8" s="33"/>
      <c r="SQ8" s="33"/>
      <c r="SR8" s="33"/>
      <c r="SS8" s="33"/>
      <c r="ST8" s="33"/>
      <c r="SU8" s="33"/>
      <c r="SV8" s="33"/>
      <c r="SW8" s="33"/>
      <c r="SX8" s="33"/>
      <c r="SY8" s="33"/>
      <c r="SZ8" s="33"/>
      <c r="TA8" s="33"/>
      <c r="TB8" s="33"/>
      <c r="TC8" s="33"/>
      <c r="TD8" s="33"/>
      <c r="TE8" s="33"/>
      <c r="TF8" s="33"/>
      <c r="TG8" s="33"/>
      <c r="TH8" s="33"/>
      <c r="TI8" s="33"/>
      <c r="TJ8" s="33"/>
      <c r="TK8" s="33"/>
      <c r="TL8" s="33"/>
      <c r="TM8" s="33"/>
      <c r="TN8" s="33"/>
      <c r="TO8" s="33"/>
      <c r="TP8" s="33"/>
      <c r="TQ8" s="33"/>
      <c r="TR8" s="33"/>
      <c r="TS8" s="33"/>
      <c r="TT8" s="33"/>
      <c r="TU8" s="33"/>
      <c r="TV8" s="33"/>
      <c r="TW8" s="33"/>
      <c r="TX8" s="33"/>
      <c r="TY8" s="33"/>
      <c r="TZ8" s="33"/>
      <c r="UA8" s="33"/>
      <c r="UB8" s="33"/>
      <c r="UC8" s="33"/>
      <c r="UD8" s="33"/>
      <c r="UE8" s="33"/>
      <c r="UF8" s="33"/>
      <c r="UG8" s="33"/>
      <c r="UH8" s="33"/>
      <c r="UI8" s="33"/>
      <c r="UJ8" s="33"/>
      <c r="UK8" s="33"/>
      <c r="UL8" s="33"/>
      <c r="UM8" s="33"/>
      <c r="UN8" s="33"/>
      <c r="UO8" s="33"/>
      <c r="UP8" s="33"/>
      <c r="UQ8" s="33"/>
      <c r="UR8" s="33"/>
      <c r="US8" s="33"/>
      <c r="UT8" s="33"/>
      <c r="UU8" s="33"/>
      <c r="UV8" s="33"/>
      <c r="UW8" s="33"/>
      <c r="UX8" s="33"/>
      <c r="UY8" s="33"/>
      <c r="UZ8" s="33"/>
      <c r="VA8" s="33"/>
      <c r="VB8" s="33"/>
      <c r="VC8" s="33"/>
      <c r="VD8" s="33"/>
      <c r="VE8" s="33"/>
      <c r="VF8" s="33"/>
      <c r="VG8" s="33"/>
      <c r="VH8" s="33"/>
      <c r="VI8" s="33"/>
      <c r="VJ8" s="33"/>
      <c r="VK8" s="33"/>
      <c r="VL8" s="33"/>
      <c r="VM8" s="33"/>
      <c r="VN8" s="33"/>
      <c r="VO8" s="33"/>
      <c r="VP8" s="33"/>
      <c r="VQ8" s="33"/>
      <c r="VR8" s="33"/>
      <c r="VS8" s="33"/>
      <c r="VT8" s="33"/>
      <c r="VU8" s="33"/>
      <c r="VV8" s="33"/>
      <c r="VW8" s="33"/>
      <c r="VX8" s="33"/>
      <c r="VY8" s="33"/>
      <c r="VZ8" s="33"/>
      <c r="WA8" s="33"/>
      <c r="WB8" s="33"/>
      <c r="WC8" s="33"/>
      <c r="WD8" s="33"/>
      <c r="WE8" s="33"/>
      <c r="WF8" s="33"/>
      <c r="WG8" s="33"/>
      <c r="WH8" s="33"/>
      <c r="WI8" s="33"/>
      <c r="WJ8" s="33"/>
      <c r="WK8" s="33"/>
      <c r="WL8" s="33"/>
      <c r="WM8" s="33"/>
      <c r="WN8" s="33"/>
      <c r="WO8" s="33"/>
      <c r="WP8" s="33"/>
      <c r="WQ8" s="33"/>
      <c r="WR8" s="33"/>
      <c r="WS8" s="33"/>
      <c r="WT8" s="33"/>
      <c r="WU8" s="33"/>
      <c r="WV8" s="33"/>
      <c r="WW8" s="33"/>
      <c r="WX8" s="33"/>
      <c r="WY8" s="33"/>
      <c r="WZ8" s="33"/>
      <c r="XA8" s="33"/>
      <c r="XB8" s="33"/>
      <c r="XC8" s="33"/>
      <c r="XD8" s="33"/>
      <c r="XE8" s="33"/>
      <c r="XF8" s="33"/>
      <c r="XG8" s="33"/>
      <c r="XH8" s="33"/>
      <c r="XI8" s="33"/>
      <c r="XJ8" s="33"/>
      <c r="XK8" s="33"/>
      <c r="XL8" s="33"/>
      <c r="XM8" s="33"/>
      <c r="XN8" s="33"/>
      <c r="XO8" s="33"/>
      <c r="XP8" s="33"/>
      <c r="XQ8" s="33"/>
      <c r="XR8" s="33"/>
      <c r="XS8" s="33"/>
      <c r="XT8" s="33"/>
      <c r="XU8" s="33"/>
      <c r="XV8" s="33"/>
      <c r="XW8" s="33"/>
      <c r="XX8" s="33"/>
      <c r="XY8" s="33"/>
      <c r="XZ8" s="33"/>
      <c r="YA8" s="33"/>
      <c r="YB8" s="33"/>
      <c r="YC8" s="33"/>
      <c r="YD8" s="33"/>
      <c r="YE8" s="33"/>
      <c r="YF8" s="33"/>
      <c r="YG8" s="33"/>
      <c r="YH8" s="33"/>
      <c r="YI8" s="33"/>
      <c r="YJ8" s="33"/>
      <c r="YK8" s="33"/>
      <c r="YL8" s="33"/>
      <c r="YM8" s="33"/>
      <c r="YN8" s="33"/>
      <c r="YO8" s="33"/>
      <c r="YP8" s="33"/>
      <c r="YQ8" s="33"/>
      <c r="YR8" s="33"/>
      <c r="YS8" s="33"/>
      <c r="YT8" s="33"/>
      <c r="YU8" s="33"/>
      <c r="YV8" s="33"/>
      <c r="YW8" s="33"/>
      <c r="YX8" s="33"/>
      <c r="YY8" s="33"/>
      <c r="YZ8" s="33"/>
      <c r="ZA8" s="33"/>
      <c r="ZB8" s="33"/>
      <c r="ZC8" s="33"/>
      <c r="ZD8" s="33"/>
      <c r="ZE8" s="33"/>
      <c r="ZF8" s="33"/>
      <c r="ZG8" s="33"/>
      <c r="ZH8" s="33"/>
      <c r="ZI8" s="33"/>
      <c r="ZJ8" s="33"/>
      <c r="ZK8" s="33"/>
      <c r="ZL8" s="33"/>
      <c r="ZM8" s="33"/>
      <c r="ZN8" s="33"/>
      <c r="ZO8" s="33"/>
      <c r="ZP8" s="33"/>
      <c r="ZQ8" s="33"/>
      <c r="ZR8" s="33"/>
      <c r="ZS8" s="33"/>
      <c r="ZT8" s="33"/>
      <c r="ZU8" s="33"/>
      <c r="ZV8" s="33"/>
      <c r="ZW8" s="33"/>
      <c r="ZX8" s="33"/>
      <c r="ZY8" s="33"/>
      <c r="ZZ8" s="33"/>
      <c r="AAA8" s="33"/>
      <c r="AAB8" s="33"/>
      <c r="AAC8" s="33"/>
      <c r="AAD8" s="33"/>
      <c r="AAE8" s="33"/>
      <c r="AAF8" s="33"/>
      <c r="AAG8" s="33"/>
      <c r="AAH8" s="33"/>
      <c r="AAI8" s="33"/>
      <c r="AAJ8" s="33"/>
      <c r="AAK8" s="33"/>
      <c r="AAL8" s="33"/>
      <c r="AAM8" s="33"/>
      <c r="AAN8" s="33"/>
      <c r="AAO8" s="33"/>
      <c r="AAP8" s="33"/>
      <c r="AAQ8" s="33"/>
      <c r="AAR8" s="33"/>
      <c r="AAS8" s="33"/>
      <c r="AAT8" s="33"/>
      <c r="AAU8" s="33"/>
      <c r="AAV8" s="33"/>
      <c r="AAW8" s="33"/>
      <c r="AAX8" s="33"/>
      <c r="AAY8" s="33"/>
      <c r="AAZ8" s="33"/>
      <c r="ABA8" s="33"/>
      <c r="ABB8" s="33"/>
      <c r="ABC8" s="33"/>
      <c r="ABD8" s="33"/>
      <c r="ABE8" s="33"/>
      <c r="ABF8" s="33"/>
      <c r="ABG8" s="33"/>
      <c r="ABH8" s="33"/>
      <c r="ABI8" s="33"/>
      <c r="ABJ8" s="33"/>
      <c r="ABK8" s="33"/>
      <c r="ABL8" s="33"/>
      <c r="ABM8" s="33"/>
      <c r="ABN8" s="33"/>
      <c r="ABO8" s="33"/>
      <c r="ABP8" s="33"/>
      <c r="ABQ8" s="33"/>
      <c r="ABR8" s="33"/>
      <c r="ABS8" s="33"/>
      <c r="ABT8" s="33"/>
      <c r="ABU8" s="33"/>
      <c r="ABV8" s="33"/>
      <c r="ABW8" s="33"/>
      <c r="ABX8" s="33"/>
      <c r="ABY8" s="33"/>
      <c r="ABZ8" s="33"/>
      <c r="ACA8" s="33"/>
      <c r="ACB8" s="33"/>
      <c r="ACC8" s="33"/>
      <c r="ACD8" s="33"/>
      <c r="ACE8" s="33"/>
      <c r="ACF8" s="33"/>
      <c r="ACG8" s="33"/>
      <c r="ACH8" s="33"/>
      <c r="ACI8" s="33"/>
      <c r="ACJ8" s="33"/>
      <c r="ACK8" s="33"/>
      <c r="ACL8" s="33"/>
      <c r="ACM8" s="33"/>
      <c r="ACN8" s="33"/>
      <c r="ACO8" s="33"/>
      <c r="ACP8" s="33"/>
      <c r="ACQ8" s="33"/>
      <c r="ACR8" s="33"/>
      <c r="ACS8" s="33"/>
      <c r="ACT8" s="33"/>
      <c r="ACU8" s="33"/>
      <c r="ACV8" s="33"/>
      <c r="ACW8" s="33"/>
      <c r="ACX8" s="33"/>
      <c r="ACY8" s="33"/>
      <c r="ACZ8" s="33"/>
      <c r="ADA8" s="33"/>
      <c r="ADB8" s="33"/>
      <c r="ADC8" s="33"/>
      <c r="ADD8" s="33"/>
      <c r="ADE8" s="33"/>
      <c r="ADF8" s="33"/>
      <c r="ADG8" s="33"/>
      <c r="ADH8" s="33"/>
      <c r="ADI8" s="33"/>
      <c r="ADJ8" s="33"/>
      <c r="ADK8" s="33"/>
      <c r="ADL8" s="33"/>
      <c r="ADM8" s="33"/>
      <c r="ADN8" s="33"/>
      <c r="ADO8" s="33"/>
      <c r="ADP8" s="33"/>
      <c r="ADQ8" s="33"/>
      <c r="ADR8" s="33"/>
      <c r="ADS8" s="33"/>
      <c r="ADT8" s="33"/>
      <c r="ADU8" s="33"/>
      <c r="ADV8" s="33"/>
      <c r="ADW8" s="33"/>
      <c r="ADX8" s="33"/>
      <c r="ADY8" s="33"/>
      <c r="ADZ8" s="33"/>
      <c r="AEA8" s="33"/>
      <c r="AEB8" s="33"/>
      <c r="AEC8" s="33"/>
      <c r="AED8" s="33"/>
      <c r="AEE8" s="33"/>
      <c r="AEF8" s="33"/>
      <c r="AEG8" s="33"/>
      <c r="AEH8" s="33"/>
      <c r="AEI8" s="33"/>
      <c r="AEJ8" s="33"/>
      <c r="AEK8" s="33"/>
      <c r="AEL8" s="33"/>
      <c r="AEM8" s="33"/>
      <c r="AEN8" s="33"/>
      <c r="AEO8" s="33"/>
      <c r="AEP8" s="33"/>
      <c r="AEQ8" s="33"/>
      <c r="AER8" s="33"/>
      <c r="AES8" s="33"/>
      <c r="AET8" s="33"/>
      <c r="AEU8" s="33"/>
      <c r="AEV8" s="33"/>
      <c r="AEW8" s="33"/>
      <c r="AEX8" s="33"/>
      <c r="AEY8" s="33"/>
      <c r="AEZ8" s="33"/>
      <c r="AFA8" s="33"/>
      <c r="AFB8" s="33"/>
      <c r="AFC8" s="33"/>
      <c r="AFD8" s="33"/>
      <c r="AFE8" s="33"/>
      <c r="AFF8" s="33"/>
      <c r="AFG8" s="33"/>
      <c r="AFH8" s="33"/>
      <c r="AFI8" s="33"/>
      <c r="AFJ8" s="33"/>
      <c r="AFK8" s="33"/>
      <c r="AFL8" s="33"/>
      <c r="AFM8" s="33"/>
      <c r="AFN8" s="33"/>
      <c r="AFO8" s="33"/>
      <c r="AFP8" s="33"/>
      <c r="AFQ8" s="33"/>
      <c r="AFR8" s="33"/>
      <c r="AFS8" s="33"/>
      <c r="AFT8" s="33"/>
      <c r="AFU8" s="33"/>
      <c r="AFV8" s="33"/>
      <c r="AFW8" s="33"/>
      <c r="AFX8" s="33"/>
      <c r="AFY8" s="33"/>
      <c r="AFZ8" s="33"/>
      <c r="AGA8" s="33"/>
      <c r="AGB8" s="33"/>
      <c r="AGC8" s="33"/>
      <c r="AGD8" s="33"/>
      <c r="AGE8" s="33"/>
      <c r="AGF8" s="33"/>
      <c r="AGG8" s="33"/>
      <c r="AGH8" s="33"/>
      <c r="AGI8" s="33"/>
      <c r="AGJ8" s="33"/>
      <c r="AGK8" s="33"/>
      <c r="AGL8" s="33"/>
      <c r="AGM8" s="33"/>
      <c r="AGN8" s="33"/>
      <c r="AGO8" s="33"/>
      <c r="AGP8" s="33"/>
      <c r="AGQ8" s="33"/>
      <c r="AGR8" s="33"/>
      <c r="AGS8" s="33"/>
      <c r="AGT8" s="33"/>
      <c r="AGU8" s="33"/>
      <c r="AGV8" s="33"/>
      <c r="AGW8" s="33"/>
      <c r="AGX8" s="33"/>
      <c r="AGY8" s="33"/>
      <c r="AGZ8" s="33"/>
      <c r="AHA8" s="33"/>
      <c r="AHB8" s="33"/>
      <c r="AHC8" s="33"/>
      <c r="AHD8" s="33"/>
      <c r="AHE8" s="33"/>
      <c r="AHF8" s="33"/>
      <c r="AHG8" s="33"/>
      <c r="AHH8" s="33"/>
      <c r="AHI8" s="33"/>
      <c r="AHJ8" s="33"/>
      <c r="AHK8" s="33"/>
      <c r="AHL8" s="33"/>
      <c r="AHM8" s="33"/>
      <c r="AHN8" s="33"/>
      <c r="AHO8" s="33"/>
      <c r="AHP8" s="33"/>
      <c r="AHQ8" s="33"/>
      <c r="AHR8" s="33"/>
      <c r="AHS8" s="33"/>
      <c r="AHT8" s="33"/>
      <c r="AHU8" s="33"/>
      <c r="AHV8" s="33"/>
      <c r="AHW8" s="33"/>
      <c r="AHX8" s="33"/>
      <c r="AHY8" s="33"/>
      <c r="AHZ8" s="33"/>
      <c r="AIA8" s="33"/>
      <c r="AIB8" s="33"/>
      <c r="AIC8" s="33"/>
      <c r="AID8" s="33"/>
      <c r="AIE8" s="33"/>
      <c r="AIF8" s="33"/>
      <c r="AIG8" s="33"/>
      <c r="AIH8" s="33"/>
      <c r="AII8" s="33"/>
      <c r="AIJ8" s="33"/>
      <c r="AIK8" s="33"/>
      <c r="AIL8" s="33"/>
      <c r="AIM8" s="33"/>
      <c r="AIN8" s="33"/>
      <c r="AIO8" s="33"/>
      <c r="AIP8" s="33"/>
      <c r="AIQ8" s="33"/>
      <c r="AIR8" s="33"/>
      <c r="AIS8" s="33"/>
      <c r="AIT8" s="33"/>
      <c r="AIU8" s="33"/>
      <c r="AIV8" s="33"/>
      <c r="AIW8" s="33"/>
      <c r="AIX8" s="33"/>
      <c r="AIY8" s="33"/>
      <c r="AIZ8" s="33"/>
      <c r="AJA8" s="33"/>
      <c r="AJB8" s="33"/>
      <c r="AJC8" s="33"/>
      <c r="AJD8" s="33"/>
      <c r="AJE8" s="33"/>
      <c r="AJF8" s="33"/>
      <c r="AJG8" s="33"/>
      <c r="AJH8" s="33"/>
      <c r="AJI8" s="33"/>
      <c r="AJJ8" s="33"/>
      <c r="AJK8" s="33"/>
      <c r="AJL8" s="33"/>
      <c r="AJM8" s="33"/>
      <c r="AJN8" s="33"/>
      <c r="AJO8" s="33"/>
      <c r="AJP8" s="33"/>
      <c r="AJQ8" s="33"/>
      <c r="AJR8" s="33"/>
      <c r="AJS8" s="33"/>
      <c r="AJT8" s="33"/>
      <c r="AJU8" s="33"/>
      <c r="AJV8" s="33"/>
      <c r="AJW8" s="33"/>
      <c r="AJX8" s="33"/>
      <c r="AJY8" s="33"/>
      <c r="AJZ8" s="33"/>
      <c r="AKA8" s="33"/>
      <c r="AKB8" s="33"/>
      <c r="AKC8" s="33"/>
      <c r="AKD8" s="33"/>
      <c r="AKE8" s="33"/>
      <c r="AKF8" s="33"/>
      <c r="AKG8" s="33"/>
      <c r="AKH8" s="33"/>
      <c r="AKI8" s="33"/>
      <c r="AKJ8" s="33"/>
      <c r="AKK8" s="33"/>
      <c r="AKL8" s="33"/>
      <c r="AKM8" s="33"/>
      <c r="AKN8" s="33"/>
      <c r="AKO8" s="33"/>
      <c r="AKP8" s="33"/>
      <c r="AKQ8" s="33"/>
      <c r="AKR8" s="33"/>
      <c r="AKS8" s="33"/>
      <c r="AKT8" s="33"/>
      <c r="AKU8" s="33"/>
      <c r="AKV8" s="33"/>
      <c r="AKW8" s="33"/>
      <c r="AKX8" s="33"/>
      <c r="AKY8" s="33"/>
      <c r="AKZ8" s="33"/>
      <c r="ALA8" s="33"/>
      <c r="ALB8" s="33"/>
      <c r="ALC8" s="33"/>
      <c r="ALD8" s="33"/>
      <c r="ALE8" s="33"/>
      <c r="ALF8" s="33"/>
      <c r="ALG8" s="33"/>
      <c r="ALH8" s="33"/>
      <c r="ALI8" s="33"/>
      <c r="ALJ8" s="33"/>
      <c r="ALK8" s="33"/>
      <c r="ALL8" s="33"/>
      <c r="ALM8" s="33"/>
      <c r="ALN8" s="33"/>
      <c r="ALO8" s="33"/>
      <c r="ALP8" s="33"/>
      <c r="ALQ8" s="33"/>
      <c r="ALR8" s="33"/>
      <c r="ALS8" s="33"/>
      <c r="ALT8" s="33"/>
      <c r="ALU8" s="33"/>
      <c r="ALV8" s="33"/>
      <c r="ALW8" s="33"/>
      <c r="ALX8" s="33"/>
      <c r="ALY8" s="33"/>
      <c r="ALZ8" s="33"/>
      <c r="AMA8" s="33"/>
      <c r="AMB8" s="33"/>
      <c r="AMC8" s="33"/>
      <c r="AMD8" s="33"/>
      <c r="AME8" s="33"/>
      <c r="AMF8" s="33"/>
      <c r="AMG8" s="33"/>
      <c r="AMH8" s="33"/>
      <c r="AMI8" s="33"/>
      <c r="AMJ8" s="33"/>
      <c r="AMK8" s="33"/>
      <c r="AML8" s="33"/>
    </row>
    <row r="9" ht="15.75" customHeight="1">
      <c r="A9" s="8" t="s">
        <v>20</v>
      </c>
      <c r="B9" s="8" t="s">
        <v>20</v>
      </c>
      <c r="C9" s="8" t="s">
        <v>26</v>
      </c>
      <c r="D9" s="8" t="s">
        <v>22</v>
      </c>
      <c r="E9" s="8" t="s">
        <v>22</v>
      </c>
      <c r="F9" s="8" t="s">
        <v>23</v>
      </c>
      <c r="G9" s="8">
        <v>1.0</v>
      </c>
      <c r="H9" s="8">
        <v>1.0</v>
      </c>
      <c r="I9" s="8">
        <v>1.0</v>
      </c>
      <c r="J9" s="8"/>
      <c r="K9" s="8">
        <v>0.0</v>
      </c>
      <c r="L9" s="8">
        <v>0.0</v>
      </c>
      <c r="M9" s="8">
        <v>0.0</v>
      </c>
      <c r="N9" s="8"/>
      <c r="O9" s="8">
        <v>0.0</v>
      </c>
      <c r="P9">
        <v>0.0</v>
      </c>
      <c r="Q9">
        <v>0.0</v>
      </c>
      <c r="R9">
        <v>0.0</v>
      </c>
      <c r="S9">
        <v>0.0</v>
      </c>
      <c r="T9" t="s">
        <v>22</v>
      </c>
      <c r="AB9" t="s">
        <v>20</v>
      </c>
      <c r="AC9" t="s">
        <v>20</v>
      </c>
      <c r="AD9" t="s">
        <v>20</v>
      </c>
      <c r="AE9" t="s">
        <v>20</v>
      </c>
      <c r="AF9" t="s">
        <v>20</v>
      </c>
      <c r="AG9" t="s">
        <v>20</v>
      </c>
      <c r="AH9" t="s">
        <v>20</v>
      </c>
      <c r="AI9" t="s">
        <v>20</v>
      </c>
      <c r="AJ9" t="s">
        <v>20</v>
      </c>
      <c r="AK9" t="s">
        <v>20</v>
      </c>
      <c r="AL9" t="s">
        <v>20</v>
      </c>
      <c r="AM9" t="s">
        <v>20</v>
      </c>
      <c r="AN9" t="s">
        <v>20</v>
      </c>
      <c r="AO9" t="s">
        <v>20</v>
      </c>
      <c r="AP9" t="s">
        <v>20</v>
      </c>
      <c r="AQ9" t="s">
        <v>20</v>
      </c>
      <c r="AR9" t="s">
        <v>20</v>
      </c>
      <c r="AS9" t="s">
        <v>20</v>
      </c>
      <c r="AT9" t="s">
        <v>20</v>
      </c>
      <c r="AU9" t="s">
        <v>20</v>
      </c>
      <c r="AV9" t="s">
        <v>20</v>
      </c>
      <c r="AW9" t="s">
        <v>20</v>
      </c>
      <c r="AX9" t="s">
        <v>20</v>
      </c>
      <c r="AY9" t="s">
        <v>20</v>
      </c>
      <c r="AZ9" t="s">
        <v>20</v>
      </c>
      <c r="BA9" t="s">
        <v>20</v>
      </c>
      <c r="BB9" t="s">
        <v>20</v>
      </c>
      <c r="BC9" t="s">
        <v>20</v>
      </c>
      <c r="BD9" t="s">
        <v>20</v>
      </c>
      <c r="BE9" t="s">
        <v>20</v>
      </c>
      <c r="BF9" t="s">
        <v>20</v>
      </c>
      <c r="BG9" t="s">
        <v>20</v>
      </c>
      <c r="BH9" t="s">
        <v>20</v>
      </c>
      <c r="BI9" t="s">
        <v>20</v>
      </c>
      <c r="BJ9" t="s">
        <v>20</v>
      </c>
      <c r="BK9" t="s">
        <v>20</v>
      </c>
      <c r="BL9" t="s">
        <v>20</v>
      </c>
      <c r="BM9" t="s">
        <v>20</v>
      </c>
      <c r="BN9" t="s">
        <v>20</v>
      </c>
      <c r="BO9" t="s">
        <v>20</v>
      </c>
      <c r="BP9" t="s">
        <v>20</v>
      </c>
      <c r="BQ9" t="s">
        <v>20</v>
      </c>
      <c r="BR9" t="s">
        <v>20</v>
      </c>
      <c r="BS9" t="s">
        <v>20</v>
      </c>
      <c r="BT9" t="s">
        <v>20</v>
      </c>
      <c r="BU9" t="s">
        <v>20</v>
      </c>
      <c r="BV9" t="s">
        <v>20</v>
      </c>
      <c r="BW9" t="s">
        <v>20</v>
      </c>
      <c r="BX9" t="s">
        <v>20</v>
      </c>
      <c r="BY9" t="s">
        <v>20</v>
      </c>
      <c r="BZ9" t="s">
        <v>20</v>
      </c>
      <c r="CA9" t="s">
        <v>20</v>
      </c>
      <c r="CB9" t="s">
        <v>20</v>
      </c>
      <c r="CC9" t="s">
        <v>20</v>
      </c>
      <c r="CD9" t="s">
        <v>20</v>
      </c>
      <c r="CE9" t="s">
        <v>20</v>
      </c>
      <c r="CF9" t="s">
        <v>20</v>
      </c>
      <c r="CG9" t="s">
        <v>20</v>
      </c>
      <c r="CH9" t="s">
        <v>20</v>
      </c>
      <c r="CI9" t="s">
        <v>20</v>
      </c>
      <c r="CJ9" t="s">
        <v>20</v>
      </c>
      <c r="CK9" t="s">
        <v>20</v>
      </c>
      <c r="CL9" t="s">
        <v>20</v>
      </c>
      <c r="CM9" t="s">
        <v>20</v>
      </c>
      <c r="CN9" t="s">
        <v>20</v>
      </c>
      <c r="CO9" t="s">
        <v>20</v>
      </c>
      <c r="CP9" t="s">
        <v>20</v>
      </c>
      <c r="CQ9" t="s">
        <v>20</v>
      </c>
      <c r="CR9" t="s">
        <v>20</v>
      </c>
      <c r="CS9" t="s">
        <v>20</v>
      </c>
      <c r="CT9" t="s">
        <v>20</v>
      </c>
      <c r="CU9" t="s">
        <v>20</v>
      </c>
      <c r="CV9" t="s">
        <v>20</v>
      </c>
      <c r="CW9" t="s">
        <v>20</v>
      </c>
      <c r="CX9" t="s">
        <v>20</v>
      </c>
      <c r="CY9" t="s">
        <v>20</v>
      </c>
      <c r="CZ9" t="s">
        <v>20</v>
      </c>
      <c r="DA9" t="s">
        <v>20</v>
      </c>
      <c r="DB9" t="s">
        <v>20</v>
      </c>
      <c r="DC9" t="s">
        <v>20</v>
      </c>
      <c r="DD9" t="s">
        <v>20</v>
      </c>
      <c r="DE9" t="s">
        <v>20</v>
      </c>
      <c r="DF9" t="s">
        <v>20</v>
      </c>
      <c r="DG9" t="s">
        <v>20</v>
      </c>
      <c r="DH9" t="s">
        <v>20</v>
      </c>
      <c r="DI9" t="s">
        <v>20</v>
      </c>
      <c r="DJ9" t="s">
        <v>20</v>
      </c>
      <c r="DK9" t="s">
        <v>20</v>
      </c>
      <c r="DL9" t="s">
        <v>20</v>
      </c>
      <c r="DM9" t="s">
        <v>20</v>
      </c>
      <c r="DN9" t="s">
        <v>20</v>
      </c>
      <c r="DO9" t="s">
        <v>20</v>
      </c>
      <c r="DP9" t="s">
        <v>20</v>
      </c>
      <c r="DQ9" t="s">
        <v>20</v>
      </c>
      <c r="DR9" t="s">
        <v>20</v>
      </c>
      <c r="DS9" t="s">
        <v>20</v>
      </c>
      <c r="DT9" t="s">
        <v>20</v>
      </c>
      <c r="DU9" t="s">
        <v>20</v>
      </c>
      <c r="DV9" t="s">
        <v>20</v>
      </c>
      <c r="DW9" t="s">
        <v>20</v>
      </c>
      <c r="DX9" t="s">
        <v>20</v>
      </c>
      <c r="DY9" t="s">
        <v>20</v>
      </c>
      <c r="DZ9" t="s">
        <v>20</v>
      </c>
      <c r="EA9" t="s">
        <v>20</v>
      </c>
      <c r="EB9" t="s">
        <v>20</v>
      </c>
      <c r="EC9" t="s">
        <v>20</v>
      </c>
      <c r="ED9" t="s">
        <v>20</v>
      </c>
      <c r="EE9" t="s">
        <v>20</v>
      </c>
      <c r="EF9" t="s">
        <v>20</v>
      </c>
      <c r="EG9" t="s">
        <v>20</v>
      </c>
      <c r="EH9" t="s">
        <v>20</v>
      </c>
      <c r="EI9" t="s">
        <v>20</v>
      </c>
      <c r="EJ9" t="s">
        <v>20</v>
      </c>
      <c r="EK9" t="s">
        <v>20</v>
      </c>
      <c r="EL9" t="s">
        <v>20</v>
      </c>
      <c r="EM9" t="s">
        <v>20</v>
      </c>
      <c r="EN9" t="s">
        <v>20</v>
      </c>
      <c r="EO9" t="s">
        <v>20</v>
      </c>
      <c r="EP9" t="s">
        <v>20</v>
      </c>
      <c r="EQ9" t="s">
        <v>20</v>
      </c>
      <c r="ER9" t="s">
        <v>20</v>
      </c>
      <c r="ES9" t="s">
        <v>20</v>
      </c>
      <c r="ET9" t="s">
        <v>20</v>
      </c>
      <c r="EU9" t="s">
        <v>20</v>
      </c>
      <c r="EV9" t="s">
        <v>20</v>
      </c>
      <c r="EW9" t="s">
        <v>20</v>
      </c>
      <c r="EX9" t="s">
        <v>20</v>
      </c>
      <c r="EY9" t="s">
        <v>20</v>
      </c>
      <c r="EZ9" t="s">
        <v>20</v>
      </c>
      <c r="FA9" t="s">
        <v>20</v>
      </c>
      <c r="FB9" t="s">
        <v>20</v>
      </c>
      <c r="FC9" t="s">
        <v>20</v>
      </c>
      <c r="FD9" t="s">
        <v>20</v>
      </c>
      <c r="FE9" t="s">
        <v>20</v>
      </c>
      <c r="FF9" t="s">
        <v>20</v>
      </c>
      <c r="FG9" t="s">
        <v>20</v>
      </c>
      <c r="FH9" t="s">
        <v>20</v>
      </c>
      <c r="FI9" t="s">
        <v>20</v>
      </c>
      <c r="FJ9" t="s">
        <v>20</v>
      </c>
      <c r="FK9" t="s">
        <v>20</v>
      </c>
      <c r="FL9" t="s">
        <v>20</v>
      </c>
      <c r="FM9" t="s">
        <v>20</v>
      </c>
      <c r="FN9" t="s">
        <v>20</v>
      </c>
      <c r="FO9" t="s">
        <v>20</v>
      </c>
      <c r="FP9" t="s">
        <v>20</v>
      </c>
      <c r="FQ9" t="s">
        <v>20</v>
      </c>
      <c r="FR9" s="33"/>
      <c r="FS9" s="33"/>
      <c r="FT9" s="33"/>
      <c r="FU9" s="33"/>
      <c r="FV9" s="33"/>
      <c r="FW9" s="33"/>
      <c r="FX9" s="33"/>
      <c r="FY9" s="33"/>
      <c r="FZ9" s="33"/>
      <c r="GA9" s="33"/>
      <c r="GB9" s="33"/>
      <c r="GC9" s="33"/>
      <c r="GD9" s="33"/>
      <c r="GE9" s="33"/>
      <c r="GF9" s="33"/>
      <c r="GG9" s="33"/>
      <c r="GH9" s="33"/>
      <c r="GI9" s="33"/>
      <c r="GJ9" s="33"/>
      <c r="GK9" s="33"/>
      <c r="GL9" s="33"/>
      <c r="GM9" s="33"/>
      <c r="GN9" s="33"/>
      <c r="GO9" s="33"/>
      <c r="GP9" s="33"/>
      <c r="GQ9" s="33"/>
      <c r="GR9" s="33"/>
      <c r="GS9" s="33"/>
      <c r="GT9" s="33"/>
      <c r="GU9" s="33"/>
      <c r="GV9" s="33"/>
      <c r="GW9" s="33"/>
      <c r="GX9" s="33"/>
      <c r="GY9" s="33"/>
      <c r="GZ9" s="33"/>
      <c r="HA9" s="33"/>
      <c r="HB9" s="33"/>
      <c r="HC9" s="33"/>
      <c r="HD9" s="33"/>
      <c r="HE9" s="33"/>
      <c r="HF9" s="33"/>
      <c r="HG9" s="33"/>
      <c r="HH9" s="33"/>
      <c r="HI9" s="33"/>
      <c r="HJ9" s="33"/>
      <c r="HK9" s="33"/>
      <c r="HL9" s="33"/>
      <c r="HM9" s="33"/>
      <c r="HN9" s="33"/>
      <c r="HO9" s="33"/>
      <c r="HP9" s="33"/>
      <c r="HQ9" s="33"/>
      <c r="HR9" s="33"/>
      <c r="HS9" s="33"/>
      <c r="HT9" s="33"/>
      <c r="HU9" s="33"/>
      <c r="HV9" s="33"/>
      <c r="HW9" s="33"/>
      <c r="HX9" s="33"/>
      <c r="HY9" s="33"/>
      <c r="HZ9" s="33"/>
      <c r="IA9" s="33"/>
      <c r="IB9" s="33"/>
      <c r="IC9" s="33"/>
      <c r="ID9" s="33"/>
      <c r="IE9" s="33"/>
      <c r="IF9" s="33"/>
      <c r="IG9" s="33"/>
      <c r="IH9" s="33"/>
      <c r="II9" s="33"/>
      <c r="IJ9" s="33"/>
      <c r="IK9" s="33"/>
      <c r="IL9" s="33"/>
      <c r="IM9" s="33"/>
      <c r="IN9" s="33"/>
      <c r="IO9" s="33"/>
      <c r="IP9" s="33"/>
      <c r="IQ9" s="33"/>
      <c r="IR9" s="33"/>
      <c r="IS9" s="33"/>
      <c r="IT9" s="33"/>
      <c r="IU9" s="33"/>
      <c r="IV9" s="33"/>
      <c r="IW9" s="33"/>
      <c r="IX9" s="33"/>
      <c r="IY9" s="33"/>
      <c r="IZ9" s="33"/>
      <c r="JA9" s="33"/>
      <c r="JB9" s="33"/>
      <c r="JC9" s="33"/>
      <c r="JD9" s="33"/>
      <c r="JE9" s="33"/>
      <c r="JF9" s="33"/>
      <c r="JG9" s="33"/>
      <c r="JH9" s="33"/>
      <c r="JI9" s="33"/>
      <c r="JJ9" s="33"/>
      <c r="JK9" s="33"/>
      <c r="JL9" s="33"/>
      <c r="JM9" s="33"/>
      <c r="JN9" s="33"/>
      <c r="JO9" s="33"/>
      <c r="JP9" s="33"/>
      <c r="JQ9" s="33"/>
      <c r="JR9" s="33"/>
      <c r="JS9" s="33"/>
      <c r="JT9" s="33"/>
      <c r="JU9" s="33"/>
      <c r="JV9" s="33"/>
      <c r="JW9" s="33"/>
      <c r="JX9" s="33"/>
      <c r="JY9" s="33"/>
      <c r="JZ9" s="33"/>
      <c r="KA9" s="33"/>
      <c r="KB9" s="33"/>
      <c r="KC9" s="33"/>
      <c r="KD9" s="33"/>
      <c r="KE9" s="33"/>
      <c r="KF9" s="33"/>
      <c r="KG9" s="33"/>
      <c r="KH9" s="33"/>
      <c r="KI9" s="33"/>
      <c r="KJ9" s="33"/>
      <c r="KK9" s="33"/>
      <c r="KL9" s="33"/>
      <c r="KM9" s="33"/>
      <c r="KN9" s="33"/>
      <c r="KO9" s="33"/>
      <c r="KP9" s="33"/>
      <c r="KQ9" s="33"/>
      <c r="KR9" s="33"/>
      <c r="KS9" s="33"/>
      <c r="KT9" s="33"/>
      <c r="KU9" s="33"/>
      <c r="KV9" s="33"/>
      <c r="KW9" s="33"/>
      <c r="KX9" s="33"/>
      <c r="KY9" s="33"/>
      <c r="KZ9" s="33"/>
      <c r="LA9" s="33"/>
      <c r="LB9" s="33"/>
      <c r="LC9" s="33"/>
      <c r="LD9" s="33"/>
      <c r="LE9" s="33"/>
      <c r="LF9" s="33"/>
      <c r="LG9" s="33"/>
      <c r="LH9" s="33"/>
      <c r="LI9" s="33"/>
      <c r="LJ9" s="33"/>
      <c r="LK9" s="33"/>
      <c r="LL9" s="33"/>
      <c r="LM9" s="33"/>
      <c r="LN9" s="33"/>
      <c r="LO9" s="33"/>
      <c r="LP9" s="33"/>
      <c r="LQ9" s="33"/>
      <c r="LR9" s="33"/>
      <c r="LS9" s="33"/>
      <c r="LT9" s="33"/>
      <c r="LU9" s="33"/>
      <c r="LV9" s="33"/>
      <c r="LW9" s="33"/>
      <c r="LX9" s="33"/>
      <c r="LY9" s="33"/>
      <c r="LZ9" s="33"/>
      <c r="MA9" s="33"/>
      <c r="MB9" s="33"/>
      <c r="MC9" s="33"/>
      <c r="MD9" s="33"/>
      <c r="ME9" s="33"/>
      <c r="MF9" s="33"/>
      <c r="MG9" s="33"/>
      <c r="MH9" s="33"/>
      <c r="MI9" s="33"/>
      <c r="MJ9" s="33"/>
      <c r="MK9" s="33"/>
      <c r="ML9" s="33"/>
      <c r="MM9" s="33"/>
      <c r="MN9" s="33"/>
      <c r="MO9" s="33"/>
      <c r="MP9" s="33"/>
      <c r="MQ9" s="33"/>
      <c r="MR9" s="33"/>
      <c r="MS9" s="33"/>
      <c r="MT9" s="33"/>
      <c r="MU9" s="33"/>
      <c r="MV9" s="33"/>
      <c r="MW9" s="33"/>
      <c r="MX9" s="33"/>
      <c r="MY9" s="33"/>
      <c r="MZ9" s="33"/>
      <c r="NA9" s="33"/>
      <c r="NB9" s="33"/>
      <c r="NC9" s="33"/>
      <c r="ND9" s="33"/>
      <c r="NE9" s="33"/>
      <c r="NF9" s="33"/>
      <c r="NG9" s="33"/>
      <c r="NH9" s="33"/>
      <c r="NI9" s="33"/>
      <c r="NJ9" s="33"/>
      <c r="NK9" s="33"/>
      <c r="NL9" s="33"/>
      <c r="NM9" s="33"/>
      <c r="NN9" s="33"/>
      <c r="NO9" s="33"/>
      <c r="NP9" s="33"/>
      <c r="NQ9" s="33"/>
      <c r="NR9" s="33"/>
      <c r="NS9" s="33"/>
      <c r="NT9" s="33"/>
      <c r="NU9" s="33"/>
      <c r="NV9" s="33"/>
      <c r="NW9" s="33"/>
      <c r="NX9" s="33"/>
      <c r="NY9" s="33"/>
      <c r="NZ9" s="33"/>
      <c r="OA9" s="33"/>
      <c r="OB9" s="33"/>
      <c r="OC9" s="33"/>
      <c r="OD9" s="33"/>
      <c r="OE9" s="33"/>
      <c r="OF9" s="33"/>
      <c r="OG9" s="33"/>
      <c r="OH9" s="33"/>
      <c r="OI9" s="33"/>
      <c r="OJ9" s="33"/>
      <c r="OK9" s="33"/>
      <c r="OL9" s="33"/>
      <c r="OM9" s="33"/>
      <c r="ON9" s="33"/>
      <c r="OO9" s="33"/>
      <c r="OP9" s="33"/>
      <c r="OQ9" s="33"/>
      <c r="OR9" s="33"/>
      <c r="OS9" s="33"/>
      <c r="OT9" s="33"/>
      <c r="OU9" s="33"/>
      <c r="OV9" s="33"/>
      <c r="OW9" s="33"/>
      <c r="OX9" s="33"/>
      <c r="OY9" s="33"/>
      <c r="OZ9" s="33"/>
      <c r="PA9" s="33"/>
      <c r="PB9" s="33"/>
      <c r="PC9" s="33"/>
      <c r="PD9" s="33"/>
      <c r="PE9" s="33"/>
      <c r="PF9" s="33"/>
      <c r="PG9" s="33"/>
      <c r="PH9" s="33"/>
      <c r="PI9" s="33"/>
      <c r="PJ9" s="33"/>
      <c r="PK9" s="33"/>
      <c r="PL9" s="33"/>
      <c r="PM9" s="33"/>
      <c r="PN9" s="33"/>
      <c r="PO9" s="33"/>
      <c r="PP9" s="33"/>
      <c r="PQ9" s="33"/>
      <c r="PR9" s="33"/>
      <c r="PS9" s="33"/>
      <c r="PT9" s="33"/>
      <c r="PU9" s="33"/>
      <c r="PV9" s="33"/>
      <c r="PW9" s="33"/>
      <c r="PX9" s="33"/>
      <c r="PY9" s="33"/>
      <c r="PZ9" s="33"/>
      <c r="QA9" s="33"/>
      <c r="QB9" s="33"/>
      <c r="QC9" s="33"/>
      <c r="QD9" s="33"/>
      <c r="QE9" s="33"/>
      <c r="QF9" s="33"/>
      <c r="QG9" s="33"/>
      <c r="QH9" s="33"/>
      <c r="QI9" s="33"/>
      <c r="QJ9" s="33"/>
      <c r="QK9" s="33"/>
      <c r="QL9" s="33"/>
      <c r="QM9" s="33"/>
      <c r="QN9" s="33"/>
      <c r="QO9" s="33"/>
      <c r="QP9" s="33"/>
      <c r="QQ9" s="33"/>
      <c r="QR9" s="33"/>
      <c r="QS9" s="33"/>
      <c r="QT9" s="33"/>
      <c r="QU9" s="33"/>
      <c r="QV9" s="33"/>
      <c r="QW9" s="33"/>
      <c r="QX9" s="33"/>
      <c r="QY9" s="33"/>
      <c r="QZ9" s="33"/>
      <c r="RA9" s="33"/>
      <c r="RB9" s="33"/>
      <c r="RC9" s="33"/>
      <c r="RD9" s="33"/>
      <c r="RE9" s="33"/>
      <c r="RF9" s="33"/>
      <c r="RG9" s="33"/>
      <c r="RH9" s="33"/>
      <c r="RI9" s="33"/>
      <c r="RJ9" s="33"/>
      <c r="RK9" s="33"/>
      <c r="RL9" s="33"/>
      <c r="RM9" s="33"/>
      <c r="RN9" s="33"/>
      <c r="RO9" s="33"/>
      <c r="RP9" s="33"/>
      <c r="RQ9" s="33"/>
      <c r="RR9" s="33"/>
      <c r="RS9" s="33"/>
      <c r="RT9" s="33"/>
      <c r="RU9" s="33"/>
      <c r="RV9" s="33"/>
      <c r="RW9" s="33"/>
      <c r="RX9" s="33"/>
      <c r="RY9" s="33"/>
      <c r="RZ9" s="33"/>
      <c r="SA9" s="33"/>
      <c r="SB9" s="33"/>
      <c r="SC9" s="33"/>
      <c r="SD9" s="33"/>
      <c r="SE9" s="33"/>
      <c r="SF9" s="33"/>
      <c r="SG9" s="33"/>
      <c r="SH9" s="33"/>
      <c r="SI9" s="33"/>
      <c r="SJ9" s="33"/>
      <c r="SK9" s="33"/>
      <c r="SL9" s="33"/>
      <c r="SM9" s="33"/>
      <c r="SN9" s="33"/>
      <c r="SO9" s="33"/>
      <c r="SP9" s="33"/>
      <c r="SQ9" s="33"/>
      <c r="SR9" s="33"/>
      <c r="SS9" s="33"/>
      <c r="ST9" s="33"/>
      <c r="SU9" s="33"/>
      <c r="SV9" s="33"/>
      <c r="SW9" s="33"/>
      <c r="SX9" s="33"/>
      <c r="SY9" s="33"/>
      <c r="SZ9" s="33"/>
      <c r="TA9" s="33"/>
      <c r="TB9" s="33"/>
      <c r="TC9" s="33"/>
      <c r="TD9" s="33"/>
      <c r="TE9" s="33"/>
      <c r="TF9" s="33"/>
      <c r="TG9" s="33"/>
      <c r="TH9" s="33"/>
      <c r="TI9" s="33"/>
      <c r="TJ9" s="33"/>
      <c r="TK9" s="33"/>
      <c r="TL9" s="33"/>
      <c r="TM9" s="33"/>
      <c r="TN9" s="33"/>
      <c r="TO9" s="33"/>
      <c r="TP9" s="33"/>
      <c r="TQ9" s="33"/>
      <c r="TR9" s="33"/>
      <c r="TS9" s="33"/>
      <c r="TT9" s="33"/>
      <c r="TU9" s="33"/>
      <c r="TV9" s="33"/>
      <c r="TW9" s="33"/>
      <c r="TX9" s="33"/>
      <c r="TY9" s="33"/>
      <c r="TZ9" s="33"/>
      <c r="UA9" s="33"/>
      <c r="UB9" s="33"/>
      <c r="UC9" s="33"/>
      <c r="UD9" s="33"/>
      <c r="UE9" s="33"/>
      <c r="UF9" s="33"/>
      <c r="UG9" s="33"/>
      <c r="UH9" s="33"/>
      <c r="UI9" s="33"/>
      <c r="UJ9" s="33"/>
      <c r="UK9" s="33"/>
      <c r="UL9" s="33"/>
      <c r="UM9" s="33"/>
      <c r="UN9" s="33"/>
      <c r="UO9" s="33"/>
      <c r="UP9" s="33"/>
      <c r="UQ9" s="33"/>
      <c r="UR9" s="33"/>
      <c r="US9" s="33"/>
      <c r="UT9" s="33"/>
      <c r="UU9" s="33"/>
      <c r="UV9" s="33"/>
      <c r="UW9" s="33"/>
      <c r="UX9" s="33"/>
      <c r="UY9" s="33"/>
      <c r="UZ9" s="33"/>
      <c r="VA9" s="33"/>
      <c r="VB9" s="33"/>
      <c r="VC9" s="33"/>
      <c r="VD9" s="33"/>
      <c r="VE9" s="33"/>
      <c r="VF9" s="33"/>
      <c r="VG9" s="33"/>
      <c r="VH9" s="33"/>
      <c r="VI9" s="33"/>
      <c r="VJ9" s="33"/>
      <c r="VK9" s="33"/>
      <c r="VL9" s="33"/>
      <c r="VM9" s="33"/>
      <c r="VN9" s="33"/>
      <c r="VO9" s="33"/>
      <c r="VP9" s="33"/>
      <c r="VQ9" s="33"/>
      <c r="VR9" s="33"/>
      <c r="VS9" s="33"/>
      <c r="VT9" s="33"/>
      <c r="VU9" s="33"/>
      <c r="VV9" s="33"/>
      <c r="VW9" s="33"/>
      <c r="VX9" s="33"/>
      <c r="VY9" s="33"/>
      <c r="VZ9" s="33"/>
      <c r="WA9" s="33"/>
      <c r="WB9" s="33"/>
      <c r="WC9" s="33"/>
      <c r="WD9" s="33"/>
      <c r="WE9" s="33"/>
      <c r="WF9" s="33"/>
      <c r="WG9" s="33"/>
      <c r="WH9" s="33"/>
      <c r="WI9" s="33"/>
      <c r="WJ9" s="33"/>
      <c r="WK9" s="33"/>
      <c r="WL9" s="33"/>
      <c r="WM9" s="33"/>
      <c r="WN9" s="33"/>
      <c r="WO9" s="33"/>
      <c r="WP9" s="33"/>
      <c r="WQ9" s="33"/>
      <c r="WR9" s="33"/>
      <c r="WS9" s="33"/>
      <c r="WT9" s="33"/>
      <c r="WU9" s="33"/>
      <c r="WV9" s="33"/>
      <c r="WW9" s="33"/>
      <c r="WX9" s="33"/>
      <c r="WY9" s="33"/>
      <c r="WZ9" s="33"/>
      <c r="XA9" s="33"/>
      <c r="XB9" s="33"/>
      <c r="XC9" s="33"/>
      <c r="XD9" s="33"/>
      <c r="XE9" s="33"/>
      <c r="XF9" s="33"/>
      <c r="XG9" s="33"/>
      <c r="XH9" s="33"/>
      <c r="XI9" s="33"/>
      <c r="XJ9" s="33"/>
      <c r="XK9" s="33"/>
      <c r="XL9" s="33"/>
      <c r="XM9" s="33"/>
      <c r="XN9" s="33"/>
      <c r="XO9" s="33"/>
      <c r="XP9" s="33"/>
      <c r="XQ9" s="33"/>
      <c r="XR9" s="33"/>
      <c r="XS9" s="33"/>
      <c r="XT9" s="33"/>
      <c r="XU9" s="33"/>
      <c r="XV9" s="33"/>
      <c r="XW9" s="33"/>
      <c r="XX9" s="33"/>
      <c r="XY9" s="33"/>
      <c r="XZ9" s="33"/>
      <c r="YA9" s="33"/>
      <c r="YB9" s="33"/>
      <c r="YC9" s="33"/>
      <c r="YD9" s="33"/>
      <c r="YE9" s="33"/>
      <c r="YF9" s="33"/>
      <c r="YG9" s="33"/>
      <c r="YH9" s="33"/>
      <c r="YI9" s="33"/>
      <c r="YJ9" s="33"/>
      <c r="YK9" s="33"/>
      <c r="YL9" s="33"/>
      <c r="YM9" s="33"/>
      <c r="YN9" s="33"/>
      <c r="YO9" s="33"/>
      <c r="YP9" s="33"/>
      <c r="YQ9" s="33"/>
      <c r="YR9" s="33"/>
      <c r="YS9" s="33"/>
      <c r="YT9" s="33"/>
      <c r="YU9" s="33"/>
      <c r="YV9" s="33"/>
      <c r="YW9" s="33"/>
      <c r="YX9" s="33"/>
      <c r="YY9" s="33"/>
      <c r="YZ9" s="33"/>
      <c r="ZA9" s="33"/>
      <c r="ZB9" s="33"/>
      <c r="ZC9" s="33"/>
      <c r="ZD9" s="33"/>
      <c r="ZE9" s="33"/>
      <c r="ZF9" s="33"/>
      <c r="ZG9" s="33"/>
      <c r="ZH9" s="33"/>
      <c r="ZI9" s="33"/>
      <c r="ZJ9" s="33"/>
      <c r="ZK9" s="33"/>
      <c r="ZL9" s="33"/>
      <c r="ZM9" s="33"/>
      <c r="ZN9" s="33"/>
      <c r="ZO9" s="33"/>
      <c r="ZP9" s="33"/>
      <c r="ZQ9" s="33"/>
      <c r="ZR9" s="33"/>
      <c r="ZS9" s="33"/>
      <c r="ZT9" s="33"/>
      <c r="ZU9" s="33"/>
      <c r="ZV9" s="33"/>
      <c r="ZW9" s="33"/>
      <c r="ZX9" s="33"/>
      <c r="ZY9" s="33"/>
      <c r="ZZ9" s="33"/>
      <c r="AAA9" s="33"/>
      <c r="AAB9" s="33"/>
      <c r="AAC9" s="33"/>
      <c r="AAD9" s="33"/>
      <c r="AAE9" s="33"/>
      <c r="AAF9" s="33"/>
      <c r="AAG9" s="33"/>
      <c r="AAH9" s="33"/>
      <c r="AAI9" s="33"/>
      <c r="AAJ9" s="33"/>
      <c r="AAK9" s="33"/>
      <c r="AAL9" s="33"/>
      <c r="AAM9" s="33"/>
      <c r="AAN9" s="33"/>
      <c r="AAO9" s="33"/>
      <c r="AAP9" s="33"/>
      <c r="AAQ9" s="33"/>
      <c r="AAR9" s="33"/>
      <c r="AAS9" s="33"/>
      <c r="AAT9" s="33"/>
      <c r="AAU9" s="33"/>
      <c r="AAV9" s="33"/>
      <c r="AAW9" s="33"/>
      <c r="AAX9" s="33"/>
      <c r="AAY9" s="33"/>
      <c r="AAZ9" s="33"/>
      <c r="ABA9" s="33"/>
      <c r="ABB9" s="33"/>
      <c r="ABC9" s="33"/>
      <c r="ABD9" s="33"/>
      <c r="ABE9" s="33"/>
      <c r="ABF9" s="33"/>
      <c r="ABG9" s="33"/>
      <c r="ABH9" s="33"/>
      <c r="ABI9" s="33"/>
      <c r="ABJ9" s="33"/>
      <c r="ABK9" s="33"/>
      <c r="ABL9" s="33"/>
      <c r="ABM9" s="33"/>
      <c r="ABN9" s="33"/>
      <c r="ABO9" s="33"/>
      <c r="ABP9" s="33"/>
      <c r="ABQ9" s="33"/>
      <c r="ABR9" s="33"/>
      <c r="ABS9" s="33"/>
      <c r="ABT9" s="33"/>
      <c r="ABU9" s="33"/>
      <c r="ABV9" s="33"/>
      <c r="ABW9" s="33"/>
      <c r="ABX9" s="33"/>
      <c r="ABY9" s="33"/>
      <c r="ABZ9" s="33"/>
      <c r="ACA9" s="33"/>
      <c r="ACB9" s="33"/>
      <c r="ACC9" s="33"/>
      <c r="ACD9" s="33"/>
      <c r="ACE9" s="33"/>
      <c r="ACF9" s="33"/>
      <c r="ACG9" s="33"/>
      <c r="ACH9" s="33"/>
      <c r="ACI9" s="33"/>
      <c r="ACJ9" s="33"/>
      <c r="ACK9" s="33"/>
      <c r="ACL9" s="33"/>
      <c r="ACM9" s="33"/>
      <c r="ACN9" s="33"/>
      <c r="ACO9" s="33"/>
      <c r="ACP9" s="33"/>
      <c r="ACQ9" s="33"/>
      <c r="ACR9" s="33"/>
      <c r="ACS9" s="33"/>
      <c r="ACT9" s="33"/>
      <c r="ACU9" s="33"/>
      <c r="ACV9" s="33"/>
      <c r="ACW9" s="33"/>
      <c r="ACX9" s="33"/>
      <c r="ACY9" s="33"/>
      <c r="ACZ9" s="33"/>
      <c r="ADA9" s="33"/>
      <c r="ADB9" s="33"/>
      <c r="ADC9" s="33"/>
      <c r="ADD9" s="33"/>
      <c r="ADE9" s="33"/>
      <c r="ADF9" s="33"/>
      <c r="ADG9" s="33"/>
      <c r="ADH9" s="33"/>
      <c r="ADI9" s="33"/>
      <c r="ADJ9" s="33"/>
      <c r="ADK9" s="33"/>
      <c r="ADL9" s="33"/>
      <c r="ADM9" s="33"/>
      <c r="ADN9" s="33"/>
      <c r="ADO9" s="33"/>
      <c r="ADP9" s="33"/>
      <c r="ADQ9" s="33"/>
      <c r="ADR9" s="33"/>
      <c r="ADS9" s="33"/>
      <c r="ADT9" s="33"/>
      <c r="ADU9" s="33"/>
      <c r="ADV9" s="33"/>
      <c r="ADW9" s="33"/>
      <c r="ADX9" s="33"/>
      <c r="ADY9" s="33"/>
      <c r="ADZ9" s="33"/>
      <c r="AEA9" s="33"/>
      <c r="AEB9" s="33"/>
      <c r="AEC9" s="33"/>
      <c r="AED9" s="33"/>
      <c r="AEE9" s="33"/>
      <c r="AEF9" s="33"/>
      <c r="AEG9" s="33"/>
      <c r="AEH9" s="33"/>
      <c r="AEI9" s="33"/>
      <c r="AEJ9" s="33"/>
      <c r="AEK9" s="33"/>
      <c r="AEL9" s="33"/>
      <c r="AEM9" s="33"/>
      <c r="AEN9" s="33"/>
      <c r="AEO9" s="33"/>
      <c r="AEP9" s="33"/>
      <c r="AEQ9" s="33"/>
      <c r="AER9" s="33"/>
      <c r="AES9" s="33"/>
      <c r="AET9" s="33"/>
      <c r="AEU9" s="33"/>
      <c r="AEV9" s="33"/>
      <c r="AEW9" s="33"/>
      <c r="AEX9" s="33"/>
      <c r="AEY9" s="33"/>
      <c r="AEZ9" s="33"/>
      <c r="AFA9" s="33"/>
      <c r="AFB9" s="33"/>
      <c r="AFC9" s="33"/>
      <c r="AFD9" s="33"/>
      <c r="AFE9" s="33"/>
      <c r="AFF9" s="33"/>
      <c r="AFG9" s="33"/>
      <c r="AFH9" s="33"/>
      <c r="AFI9" s="33"/>
      <c r="AFJ9" s="33"/>
      <c r="AFK9" s="33"/>
      <c r="AFL9" s="33"/>
      <c r="AFM9" s="33"/>
      <c r="AFN9" s="33"/>
      <c r="AFO9" s="33"/>
      <c r="AFP9" s="33"/>
      <c r="AFQ9" s="33"/>
      <c r="AFR9" s="33"/>
      <c r="AFS9" s="33"/>
      <c r="AFT9" s="33"/>
      <c r="AFU9" s="33"/>
      <c r="AFV9" s="33"/>
      <c r="AFW9" s="33"/>
      <c r="AFX9" s="33"/>
      <c r="AFY9" s="33"/>
      <c r="AFZ9" s="33"/>
      <c r="AGA9" s="33"/>
      <c r="AGB9" s="33"/>
      <c r="AGC9" s="33"/>
      <c r="AGD9" s="33"/>
      <c r="AGE9" s="33"/>
      <c r="AGF9" s="33"/>
      <c r="AGG9" s="33"/>
      <c r="AGH9" s="33"/>
      <c r="AGI9" s="33"/>
      <c r="AGJ9" s="33"/>
      <c r="AGK9" s="33"/>
      <c r="AGL9" s="33"/>
      <c r="AGM9" s="33"/>
      <c r="AGN9" s="33"/>
      <c r="AGO9" s="33"/>
      <c r="AGP9" s="33"/>
      <c r="AGQ9" s="33"/>
      <c r="AGR9" s="33"/>
      <c r="AGS9" s="33"/>
      <c r="AGT9" s="33"/>
      <c r="AGU9" s="33"/>
      <c r="AGV9" s="33"/>
      <c r="AGW9" s="33"/>
      <c r="AGX9" s="33"/>
      <c r="AGY9" s="33"/>
      <c r="AGZ9" s="33"/>
      <c r="AHA9" s="33"/>
      <c r="AHB9" s="33"/>
      <c r="AHC9" s="33"/>
      <c r="AHD9" s="33"/>
      <c r="AHE9" s="33"/>
      <c r="AHF9" s="33"/>
      <c r="AHG9" s="33"/>
      <c r="AHH9" s="33"/>
      <c r="AHI9" s="33"/>
      <c r="AHJ9" s="33"/>
      <c r="AHK9" s="33"/>
      <c r="AHL9" s="33"/>
      <c r="AHM9" s="33"/>
      <c r="AHN9" s="33"/>
      <c r="AHO9" s="33"/>
      <c r="AHP9" s="33"/>
      <c r="AHQ9" s="33"/>
      <c r="AHR9" s="33"/>
      <c r="AHS9" s="33"/>
      <c r="AHT9" s="33"/>
      <c r="AHU9" s="33"/>
      <c r="AHV9" s="33"/>
      <c r="AHW9" s="33"/>
      <c r="AHX9" s="33"/>
      <c r="AHY9" s="33"/>
      <c r="AHZ9" s="33"/>
      <c r="AIA9" s="33"/>
      <c r="AIB9" s="33"/>
      <c r="AIC9" s="33"/>
      <c r="AID9" s="33"/>
      <c r="AIE9" s="33"/>
      <c r="AIF9" s="33"/>
      <c r="AIG9" s="33"/>
      <c r="AIH9" s="33"/>
      <c r="AII9" s="33"/>
      <c r="AIJ9" s="33"/>
      <c r="AIK9" s="33"/>
      <c r="AIL9" s="33"/>
      <c r="AIM9" s="33"/>
      <c r="AIN9" s="33"/>
      <c r="AIO9" s="33"/>
      <c r="AIP9" s="33"/>
      <c r="AIQ9" s="33"/>
      <c r="AIR9" s="33"/>
      <c r="AIS9" s="33"/>
      <c r="AIT9" s="33"/>
      <c r="AIU9" s="33"/>
      <c r="AIV9" s="33"/>
      <c r="AIW9" s="33"/>
      <c r="AIX9" s="33"/>
      <c r="AIY9" s="33"/>
      <c r="AIZ9" s="33"/>
      <c r="AJA9" s="33"/>
      <c r="AJB9" s="33"/>
      <c r="AJC9" s="33"/>
      <c r="AJD9" s="33"/>
      <c r="AJE9" s="33"/>
      <c r="AJF9" s="33"/>
      <c r="AJG9" s="33"/>
      <c r="AJH9" s="33"/>
      <c r="AJI9" s="33"/>
      <c r="AJJ9" s="33"/>
      <c r="AJK9" s="33"/>
      <c r="AJL9" s="33"/>
      <c r="AJM9" s="33"/>
      <c r="AJN9" s="33"/>
      <c r="AJO9" s="33"/>
      <c r="AJP9" s="33"/>
      <c r="AJQ9" s="33"/>
      <c r="AJR9" s="33"/>
      <c r="AJS9" s="33"/>
      <c r="AJT9" s="33"/>
      <c r="AJU9" s="33"/>
      <c r="AJV9" s="33"/>
      <c r="AJW9" s="33"/>
      <c r="AJX9" s="33"/>
      <c r="AJY9" s="33"/>
      <c r="AJZ9" s="33"/>
      <c r="AKA9" s="33"/>
      <c r="AKB9" s="33"/>
      <c r="AKC9" s="33"/>
      <c r="AKD9" s="33"/>
      <c r="AKE9" s="33"/>
      <c r="AKF9" s="33"/>
      <c r="AKG9" s="33"/>
      <c r="AKH9" s="33"/>
      <c r="AKI9" s="33"/>
      <c r="AKJ9" s="33"/>
      <c r="AKK9" s="33"/>
      <c r="AKL9" s="33"/>
      <c r="AKM9" s="33"/>
      <c r="AKN9" s="33"/>
      <c r="AKO9" s="33"/>
      <c r="AKP9" s="33"/>
      <c r="AKQ9" s="33"/>
      <c r="AKR9" s="33"/>
      <c r="AKS9" s="33"/>
      <c r="AKT9" s="33"/>
      <c r="AKU9" s="33"/>
      <c r="AKV9" s="33"/>
      <c r="AKW9" s="33"/>
      <c r="AKX9" s="33"/>
      <c r="AKY9" s="33"/>
      <c r="AKZ9" s="33"/>
      <c r="ALA9" s="33"/>
      <c r="ALB9" s="33"/>
      <c r="ALC9" s="33"/>
      <c r="ALD9" s="33"/>
      <c r="ALE9" s="33"/>
      <c r="ALF9" s="33"/>
      <c r="ALG9" s="33"/>
      <c r="ALH9" s="33"/>
      <c r="ALI9" s="33"/>
      <c r="ALJ9" s="33"/>
      <c r="ALK9" s="33"/>
      <c r="ALL9" s="33"/>
      <c r="ALM9" s="33"/>
      <c r="ALN9" s="33"/>
      <c r="ALO9" s="33"/>
      <c r="ALP9" s="33"/>
      <c r="ALQ9" s="33"/>
      <c r="ALR9" s="33"/>
      <c r="ALS9" s="33"/>
      <c r="ALT9" s="33"/>
      <c r="ALU9" s="33"/>
      <c r="ALV9" s="33"/>
      <c r="ALW9" s="33"/>
      <c r="ALX9" s="33"/>
      <c r="ALY9" s="33"/>
      <c r="ALZ9" s="33"/>
      <c r="AMA9" s="33"/>
      <c r="AMB9" s="33"/>
      <c r="AMC9" s="33"/>
      <c r="AMD9" s="33"/>
      <c r="AME9" s="33"/>
      <c r="AMF9" s="33"/>
      <c r="AMG9" s="33"/>
      <c r="AMH9" s="33"/>
      <c r="AMI9" s="33"/>
      <c r="AMJ9" s="33"/>
      <c r="AMK9" s="33"/>
      <c r="AML9" s="33"/>
    </row>
    <row r="10" ht="15.75" customHeight="1">
      <c r="A10" s="8" t="s">
        <v>20</v>
      </c>
      <c r="B10" s="8" t="s">
        <v>20</v>
      </c>
      <c r="C10" s="8" t="s">
        <v>27</v>
      </c>
      <c r="D10" s="8" t="s">
        <v>22</v>
      </c>
      <c r="E10" s="8" t="s">
        <v>22</v>
      </c>
      <c r="F10" s="8" t="s">
        <v>23</v>
      </c>
      <c r="G10" s="8">
        <v>1.0</v>
      </c>
      <c r="H10" s="8">
        <v>1.0</v>
      </c>
      <c r="I10" s="8">
        <v>1.0</v>
      </c>
      <c r="J10" s="8"/>
      <c r="K10" s="8">
        <v>0.0</v>
      </c>
      <c r="L10" s="8">
        <v>0.0</v>
      </c>
      <c r="M10" s="8">
        <v>0.0</v>
      </c>
      <c r="N10" s="8"/>
      <c r="O10" s="8">
        <v>0.0</v>
      </c>
      <c r="P10">
        <v>0.0</v>
      </c>
      <c r="Q10">
        <v>0.0</v>
      </c>
      <c r="R10">
        <v>0.0</v>
      </c>
      <c r="S10">
        <v>0.0</v>
      </c>
      <c r="T10" t="s">
        <v>22</v>
      </c>
      <c r="AB10" t="s">
        <v>20</v>
      </c>
      <c r="AC10" t="s">
        <v>20</v>
      </c>
      <c r="AD10" t="s">
        <v>20</v>
      </c>
      <c r="AE10" t="s">
        <v>20</v>
      </c>
      <c r="AF10" t="s">
        <v>20</v>
      </c>
      <c r="AG10" t="s">
        <v>20</v>
      </c>
      <c r="AH10" t="s">
        <v>20</v>
      </c>
      <c r="AI10" t="s">
        <v>20</v>
      </c>
      <c r="AJ10" t="s">
        <v>20</v>
      </c>
      <c r="AK10" t="s">
        <v>20</v>
      </c>
      <c r="AL10" t="s">
        <v>20</v>
      </c>
      <c r="AM10" t="s">
        <v>20</v>
      </c>
      <c r="AN10" t="s">
        <v>20</v>
      </c>
      <c r="AO10" t="s">
        <v>20</v>
      </c>
      <c r="AP10" t="s">
        <v>20</v>
      </c>
      <c r="AQ10" t="s">
        <v>20</v>
      </c>
      <c r="AR10" t="s">
        <v>20</v>
      </c>
      <c r="AS10" t="s">
        <v>20</v>
      </c>
      <c r="AT10" t="s">
        <v>20</v>
      </c>
      <c r="AU10" t="s">
        <v>20</v>
      </c>
      <c r="AV10" t="s">
        <v>20</v>
      </c>
      <c r="AW10" t="s">
        <v>20</v>
      </c>
      <c r="AX10" t="s">
        <v>20</v>
      </c>
      <c r="AY10" t="s">
        <v>20</v>
      </c>
      <c r="AZ10" t="s">
        <v>20</v>
      </c>
      <c r="BA10" t="s">
        <v>20</v>
      </c>
      <c r="BB10" t="s">
        <v>20</v>
      </c>
      <c r="BC10" t="s">
        <v>20</v>
      </c>
      <c r="BD10" t="s">
        <v>20</v>
      </c>
      <c r="BE10" t="s">
        <v>20</v>
      </c>
      <c r="BF10" t="s">
        <v>20</v>
      </c>
      <c r="BG10" t="s">
        <v>20</v>
      </c>
      <c r="BH10" t="s">
        <v>20</v>
      </c>
      <c r="BI10" t="s">
        <v>20</v>
      </c>
      <c r="BJ10" t="s">
        <v>20</v>
      </c>
      <c r="BK10" t="s">
        <v>20</v>
      </c>
      <c r="BL10" t="s">
        <v>20</v>
      </c>
      <c r="BM10" t="s">
        <v>20</v>
      </c>
      <c r="BN10" t="s">
        <v>20</v>
      </c>
      <c r="BO10" t="s">
        <v>20</v>
      </c>
      <c r="BP10" t="s">
        <v>20</v>
      </c>
      <c r="BQ10" t="s">
        <v>20</v>
      </c>
      <c r="BR10" t="s">
        <v>20</v>
      </c>
      <c r="BS10" t="s">
        <v>20</v>
      </c>
      <c r="BT10" t="s">
        <v>20</v>
      </c>
      <c r="BU10" t="s">
        <v>20</v>
      </c>
      <c r="BV10" t="s">
        <v>20</v>
      </c>
      <c r="BW10" t="s">
        <v>20</v>
      </c>
      <c r="BX10" t="s">
        <v>20</v>
      </c>
      <c r="BY10" t="s">
        <v>20</v>
      </c>
      <c r="BZ10" t="s">
        <v>20</v>
      </c>
      <c r="CA10" t="s">
        <v>20</v>
      </c>
      <c r="CB10" t="s">
        <v>20</v>
      </c>
      <c r="CC10" t="s">
        <v>20</v>
      </c>
      <c r="CD10" t="s">
        <v>20</v>
      </c>
      <c r="CE10" t="s">
        <v>20</v>
      </c>
      <c r="CF10" t="s">
        <v>20</v>
      </c>
      <c r="CG10" t="s">
        <v>20</v>
      </c>
      <c r="CH10" t="s">
        <v>20</v>
      </c>
      <c r="CI10" t="s">
        <v>20</v>
      </c>
      <c r="CJ10" t="s">
        <v>20</v>
      </c>
      <c r="CK10" t="s">
        <v>20</v>
      </c>
      <c r="CL10" t="s">
        <v>20</v>
      </c>
      <c r="CM10" t="s">
        <v>20</v>
      </c>
      <c r="CN10" t="s">
        <v>20</v>
      </c>
      <c r="CO10" t="s">
        <v>20</v>
      </c>
      <c r="CP10" t="s">
        <v>20</v>
      </c>
      <c r="CQ10" t="s">
        <v>20</v>
      </c>
      <c r="CR10" t="s">
        <v>20</v>
      </c>
      <c r="CS10" t="s">
        <v>20</v>
      </c>
      <c r="CT10" t="s">
        <v>20</v>
      </c>
      <c r="CU10" t="s">
        <v>20</v>
      </c>
      <c r="CV10" t="s">
        <v>20</v>
      </c>
      <c r="CW10" t="s">
        <v>20</v>
      </c>
      <c r="CX10" t="s">
        <v>20</v>
      </c>
      <c r="CY10" t="s">
        <v>20</v>
      </c>
      <c r="CZ10" t="s">
        <v>20</v>
      </c>
      <c r="DA10" t="s">
        <v>20</v>
      </c>
      <c r="DB10" t="s">
        <v>20</v>
      </c>
      <c r="DC10" t="s">
        <v>20</v>
      </c>
      <c r="DD10" t="s">
        <v>20</v>
      </c>
      <c r="DE10" t="s">
        <v>20</v>
      </c>
      <c r="DF10" t="s">
        <v>20</v>
      </c>
      <c r="DG10" t="s">
        <v>20</v>
      </c>
      <c r="DH10" t="s">
        <v>20</v>
      </c>
      <c r="DI10" t="s">
        <v>20</v>
      </c>
      <c r="DJ10" t="s">
        <v>20</v>
      </c>
      <c r="DK10" t="s">
        <v>20</v>
      </c>
      <c r="DL10" t="s">
        <v>20</v>
      </c>
      <c r="DM10" t="s">
        <v>20</v>
      </c>
      <c r="DN10" t="s">
        <v>20</v>
      </c>
      <c r="DO10" t="s">
        <v>20</v>
      </c>
      <c r="DP10" t="s">
        <v>20</v>
      </c>
      <c r="DQ10" t="s">
        <v>20</v>
      </c>
      <c r="DR10" t="s">
        <v>20</v>
      </c>
      <c r="DS10" t="s">
        <v>20</v>
      </c>
      <c r="DT10" t="s">
        <v>20</v>
      </c>
      <c r="DU10" t="s">
        <v>20</v>
      </c>
      <c r="DV10" t="s">
        <v>20</v>
      </c>
      <c r="DW10" t="s">
        <v>20</v>
      </c>
      <c r="DX10" t="s">
        <v>20</v>
      </c>
      <c r="DY10" t="s">
        <v>20</v>
      </c>
      <c r="DZ10" t="s">
        <v>20</v>
      </c>
      <c r="EA10" t="s">
        <v>20</v>
      </c>
      <c r="EB10" t="s">
        <v>20</v>
      </c>
      <c r="EC10" t="s">
        <v>20</v>
      </c>
      <c r="ED10" t="s">
        <v>20</v>
      </c>
      <c r="EE10" t="s">
        <v>20</v>
      </c>
      <c r="EF10" t="s">
        <v>20</v>
      </c>
      <c r="EG10" t="s">
        <v>20</v>
      </c>
      <c r="EH10" t="s">
        <v>20</v>
      </c>
      <c r="EI10" t="s">
        <v>20</v>
      </c>
      <c r="EJ10" t="s">
        <v>20</v>
      </c>
      <c r="EK10" t="s">
        <v>20</v>
      </c>
      <c r="EL10" t="s">
        <v>20</v>
      </c>
      <c r="EM10" t="s">
        <v>20</v>
      </c>
      <c r="EN10" t="s">
        <v>20</v>
      </c>
      <c r="EO10" t="s">
        <v>20</v>
      </c>
      <c r="EP10" t="s">
        <v>20</v>
      </c>
      <c r="EQ10" t="s">
        <v>20</v>
      </c>
      <c r="ER10" t="s">
        <v>20</v>
      </c>
      <c r="ES10" t="s">
        <v>20</v>
      </c>
      <c r="ET10" t="s">
        <v>20</v>
      </c>
      <c r="EU10" t="s">
        <v>20</v>
      </c>
      <c r="EV10" t="s">
        <v>20</v>
      </c>
      <c r="EW10" t="s">
        <v>20</v>
      </c>
      <c r="EX10" t="s">
        <v>20</v>
      </c>
      <c r="EY10" t="s">
        <v>20</v>
      </c>
      <c r="EZ10" t="s">
        <v>20</v>
      </c>
      <c r="FA10" t="s">
        <v>20</v>
      </c>
      <c r="FB10" t="s">
        <v>20</v>
      </c>
      <c r="FC10" t="s">
        <v>20</v>
      </c>
      <c r="FD10" t="s">
        <v>20</v>
      </c>
      <c r="FE10" t="s">
        <v>20</v>
      </c>
      <c r="FF10" t="s">
        <v>20</v>
      </c>
      <c r="FG10" t="s">
        <v>20</v>
      </c>
      <c r="FH10" t="s">
        <v>20</v>
      </c>
      <c r="FI10" t="s">
        <v>20</v>
      </c>
      <c r="FJ10" t="s">
        <v>20</v>
      </c>
      <c r="FK10" t="s">
        <v>20</v>
      </c>
      <c r="FL10" t="s">
        <v>20</v>
      </c>
      <c r="FM10" t="s">
        <v>20</v>
      </c>
      <c r="FN10" t="s">
        <v>20</v>
      </c>
      <c r="FO10" t="s">
        <v>20</v>
      </c>
      <c r="FP10" t="s">
        <v>20</v>
      </c>
      <c r="FQ10" t="s">
        <v>20</v>
      </c>
      <c r="FR10" s="33"/>
      <c r="FS10" s="33"/>
      <c r="FT10" s="33"/>
      <c r="FU10" s="33"/>
      <c r="FV10" s="33"/>
      <c r="FW10" s="33"/>
      <c r="FX10" s="33"/>
      <c r="FY10" s="33"/>
      <c r="FZ10" s="33"/>
      <c r="GA10" s="33"/>
      <c r="GB10" s="33"/>
      <c r="GC10" s="33"/>
      <c r="GD10" s="33"/>
      <c r="GE10" s="33"/>
      <c r="GF10" s="33"/>
      <c r="GG10" s="33"/>
      <c r="GH10" s="33"/>
      <c r="GI10" s="33"/>
      <c r="GJ10" s="33"/>
      <c r="GK10" s="33"/>
      <c r="GL10" s="33"/>
      <c r="GM10" s="33"/>
      <c r="GN10" s="33"/>
      <c r="GO10" s="33"/>
      <c r="GP10" s="33"/>
      <c r="GQ10" s="33"/>
      <c r="GR10" s="33"/>
      <c r="GS10" s="33"/>
      <c r="GT10" s="33"/>
      <c r="GU10" s="33"/>
      <c r="GV10" s="33"/>
      <c r="GW10" s="33"/>
      <c r="GX10" s="33"/>
      <c r="GY10" s="33"/>
      <c r="GZ10" s="33"/>
      <c r="HA10" s="33"/>
      <c r="HB10" s="33"/>
      <c r="HC10" s="33"/>
      <c r="HD10" s="33"/>
      <c r="HE10" s="33"/>
      <c r="HF10" s="33"/>
      <c r="HG10" s="33"/>
      <c r="HH10" s="33"/>
      <c r="HI10" s="33"/>
      <c r="HJ10" s="33"/>
      <c r="HK10" s="33"/>
      <c r="HL10" s="33"/>
      <c r="HM10" s="33"/>
      <c r="HN10" s="33"/>
      <c r="HO10" s="33"/>
      <c r="HP10" s="33"/>
      <c r="HQ10" s="33"/>
      <c r="HR10" s="33"/>
      <c r="HS10" s="33"/>
      <c r="HT10" s="33"/>
      <c r="HU10" s="33"/>
      <c r="HV10" s="33"/>
      <c r="HW10" s="33"/>
      <c r="HX10" s="33"/>
      <c r="HY10" s="33"/>
      <c r="HZ10" s="33"/>
      <c r="IA10" s="33"/>
      <c r="IB10" s="33"/>
      <c r="IC10" s="33"/>
      <c r="ID10" s="33"/>
      <c r="IE10" s="33"/>
      <c r="IF10" s="33"/>
      <c r="IG10" s="33"/>
      <c r="IH10" s="33"/>
      <c r="II10" s="33"/>
      <c r="IJ10" s="33"/>
      <c r="IK10" s="33"/>
      <c r="IL10" s="33"/>
      <c r="IM10" s="33"/>
      <c r="IN10" s="33"/>
      <c r="IO10" s="33"/>
      <c r="IP10" s="33"/>
      <c r="IQ10" s="33"/>
      <c r="IR10" s="33"/>
      <c r="IS10" s="33"/>
      <c r="IT10" s="33"/>
      <c r="IU10" s="33"/>
      <c r="IV10" s="33"/>
      <c r="IW10" s="33"/>
      <c r="IX10" s="33"/>
      <c r="IY10" s="33"/>
      <c r="IZ10" s="33"/>
      <c r="JA10" s="33"/>
      <c r="JB10" s="33"/>
      <c r="JC10" s="33"/>
      <c r="JD10" s="33"/>
      <c r="JE10" s="33"/>
      <c r="JF10" s="33"/>
      <c r="JG10" s="33"/>
      <c r="JH10" s="33"/>
      <c r="JI10" s="33"/>
      <c r="JJ10" s="33"/>
      <c r="JK10" s="33"/>
      <c r="JL10" s="33"/>
      <c r="JM10" s="33"/>
      <c r="JN10" s="33"/>
      <c r="JO10" s="33"/>
      <c r="JP10" s="33"/>
      <c r="JQ10" s="33"/>
      <c r="JR10" s="33"/>
      <c r="JS10" s="33"/>
      <c r="JT10" s="33"/>
      <c r="JU10" s="33"/>
      <c r="JV10" s="33"/>
      <c r="JW10" s="33"/>
      <c r="JX10" s="33"/>
      <c r="JY10" s="33"/>
      <c r="JZ10" s="33"/>
      <c r="KA10" s="33"/>
      <c r="KB10" s="33"/>
      <c r="KC10" s="33"/>
      <c r="KD10" s="33"/>
      <c r="KE10" s="33"/>
      <c r="KF10" s="33"/>
      <c r="KG10" s="33"/>
      <c r="KH10" s="33"/>
      <c r="KI10" s="33"/>
      <c r="KJ10" s="33"/>
      <c r="KK10" s="33"/>
      <c r="KL10" s="33"/>
      <c r="KM10" s="33"/>
      <c r="KN10" s="33"/>
      <c r="KO10" s="33"/>
      <c r="KP10" s="33"/>
      <c r="KQ10" s="33"/>
      <c r="KR10" s="33"/>
      <c r="KS10" s="33"/>
      <c r="KT10" s="33"/>
      <c r="KU10" s="33"/>
      <c r="KV10" s="33"/>
      <c r="KW10" s="33"/>
      <c r="KX10" s="33"/>
      <c r="KY10" s="33"/>
      <c r="KZ10" s="33"/>
      <c r="LA10" s="33"/>
      <c r="LB10" s="33"/>
      <c r="LC10" s="33"/>
      <c r="LD10" s="33"/>
      <c r="LE10" s="33"/>
      <c r="LF10" s="33"/>
      <c r="LG10" s="33"/>
      <c r="LH10" s="33"/>
      <c r="LI10" s="33"/>
      <c r="LJ10" s="33"/>
      <c r="LK10" s="33"/>
      <c r="LL10" s="33"/>
      <c r="LM10" s="33"/>
      <c r="LN10" s="33"/>
      <c r="LO10" s="33"/>
      <c r="LP10" s="33"/>
      <c r="LQ10" s="33"/>
      <c r="LR10" s="33"/>
      <c r="LS10" s="33"/>
      <c r="LT10" s="33"/>
      <c r="LU10" s="33"/>
      <c r="LV10" s="33"/>
      <c r="LW10" s="33"/>
      <c r="LX10" s="33"/>
      <c r="LY10" s="33"/>
      <c r="LZ10" s="33"/>
      <c r="MA10" s="33"/>
      <c r="MB10" s="33"/>
      <c r="MC10" s="33"/>
      <c r="MD10" s="33"/>
      <c r="ME10" s="33"/>
      <c r="MF10" s="33"/>
      <c r="MG10" s="33"/>
      <c r="MH10" s="33"/>
      <c r="MI10" s="33"/>
      <c r="MJ10" s="33"/>
      <c r="MK10" s="33"/>
      <c r="ML10" s="33"/>
      <c r="MM10" s="33"/>
      <c r="MN10" s="33"/>
      <c r="MO10" s="33"/>
      <c r="MP10" s="33"/>
      <c r="MQ10" s="33"/>
      <c r="MR10" s="33"/>
      <c r="MS10" s="33"/>
      <c r="MT10" s="33"/>
      <c r="MU10" s="33"/>
      <c r="MV10" s="33"/>
      <c r="MW10" s="33"/>
      <c r="MX10" s="33"/>
      <c r="MY10" s="33"/>
      <c r="MZ10" s="33"/>
      <c r="NA10" s="33"/>
      <c r="NB10" s="33"/>
      <c r="NC10" s="33"/>
      <c r="ND10" s="33"/>
      <c r="NE10" s="33"/>
      <c r="NF10" s="33"/>
      <c r="NG10" s="33"/>
      <c r="NH10" s="33"/>
      <c r="NI10" s="33"/>
      <c r="NJ10" s="33"/>
      <c r="NK10" s="33"/>
      <c r="NL10" s="33"/>
      <c r="NM10" s="33"/>
      <c r="NN10" s="33"/>
      <c r="NO10" s="33"/>
      <c r="NP10" s="33"/>
      <c r="NQ10" s="33"/>
      <c r="NR10" s="33"/>
      <c r="NS10" s="33"/>
      <c r="NT10" s="33"/>
      <c r="NU10" s="33"/>
      <c r="NV10" s="33"/>
      <c r="NW10" s="33"/>
      <c r="NX10" s="33"/>
      <c r="NY10" s="33"/>
      <c r="NZ10" s="33"/>
      <c r="OA10" s="33"/>
      <c r="OB10" s="33"/>
      <c r="OC10" s="33"/>
      <c r="OD10" s="33"/>
      <c r="OE10" s="33"/>
      <c r="OF10" s="33"/>
      <c r="OG10" s="33"/>
      <c r="OH10" s="33"/>
      <c r="OI10" s="33"/>
      <c r="OJ10" s="33"/>
      <c r="OK10" s="33"/>
      <c r="OL10" s="33"/>
      <c r="OM10" s="33"/>
      <c r="ON10" s="33"/>
      <c r="OO10" s="33"/>
      <c r="OP10" s="33"/>
      <c r="OQ10" s="33"/>
      <c r="OR10" s="33"/>
      <c r="OS10" s="33"/>
      <c r="OT10" s="33"/>
      <c r="OU10" s="33"/>
      <c r="OV10" s="33"/>
      <c r="OW10" s="33"/>
      <c r="OX10" s="33"/>
      <c r="OY10" s="33"/>
      <c r="OZ10" s="33"/>
      <c r="PA10" s="33"/>
      <c r="PB10" s="33"/>
      <c r="PC10" s="33"/>
      <c r="PD10" s="33"/>
      <c r="PE10" s="33"/>
      <c r="PF10" s="33"/>
      <c r="PG10" s="33"/>
      <c r="PH10" s="33"/>
      <c r="PI10" s="33"/>
      <c r="PJ10" s="33"/>
      <c r="PK10" s="33"/>
      <c r="PL10" s="33"/>
      <c r="PM10" s="33"/>
      <c r="PN10" s="33"/>
      <c r="PO10" s="33"/>
      <c r="PP10" s="33"/>
      <c r="PQ10" s="33"/>
      <c r="PR10" s="33"/>
      <c r="PS10" s="33"/>
      <c r="PT10" s="33"/>
      <c r="PU10" s="33"/>
      <c r="PV10" s="33"/>
      <c r="PW10" s="33"/>
      <c r="PX10" s="33"/>
      <c r="PY10" s="33"/>
      <c r="PZ10" s="33"/>
      <c r="QA10" s="33"/>
      <c r="QB10" s="33"/>
      <c r="QC10" s="33"/>
      <c r="QD10" s="33"/>
      <c r="QE10" s="33"/>
      <c r="QF10" s="33"/>
      <c r="QG10" s="33"/>
      <c r="QH10" s="33"/>
      <c r="QI10" s="33"/>
      <c r="QJ10" s="33"/>
      <c r="QK10" s="33"/>
      <c r="QL10" s="33"/>
      <c r="QM10" s="33"/>
      <c r="QN10" s="33"/>
      <c r="QO10" s="33"/>
      <c r="QP10" s="33"/>
      <c r="QQ10" s="33"/>
      <c r="QR10" s="33"/>
      <c r="QS10" s="33"/>
      <c r="QT10" s="33"/>
      <c r="QU10" s="33"/>
      <c r="QV10" s="33"/>
      <c r="QW10" s="33"/>
      <c r="QX10" s="33"/>
      <c r="QY10" s="33"/>
      <c r="QZ10" s="33"/>
      <c r="RA10" s="33"/>
      <c r="RB10" s="33"/>
      <c r="RC10" s="33"/>
      <c r="RD10" s="33"/>
      <c r="RE10" s="33"/>
      <c r="RF10" s="33"/>
      <c r="RG10" s="33"/>
      <c r="RH10" s="33"/>
      <c r="RI10" s="33"/>
      <c r="RJ10" s="33"/>
      <c r="RK10" s="33"/>
      <c r="RL10" s="33"/>
      <c r="RM10" s="33"/>
      <c r="RN10" s="33"/>
      <c r="RO10" s="33"/>
      <c r="RP10" s="33"/>
      <c r="RQ10" s="33"/>
      <c r="RR10" s="33"/>
      <c r="RS10" s="33"/>
      <c r="RT10" s="33"/>
      <c r="RU10" s="33"/>
      <c r="RV10" s="33"/>
      <c r="RW10" s="33"/>
      <c r="RX10" s="33"/>
      <c r="RY10" s="33"/>
      <c r="RZ10" s="33"/>
      <c r="SA10" s="33"/>
      <c r="SB10" s="33"/>
      <c r="SC10" s="33"/>
      <c r="SD10" s="33"/>
      <c r="SE10" s="33"/>
      <c r="SF10" s="33"/>
      <c r="SG10" s="33"/>
      <c r="SH10" s="33"/>
      <c r="SI10" s="33"/>
      <c r="SJ10" s="33"/>
      <c r="SK10" s="33"/>
      <c r="SL10" s="33"/>
      <c r="SM10" s="33"/>
      <c r="SN10" s="33"/>
      <c r="SO10" s="33"/>
      <c r="SP10" s="33"/>
      <c r="SQ10" s="33"/>
      <c r="SR10" s="33"/>
      <c r="SS10" s="33"/>
      <c r="ST10" s="33"/>
      <c r="SU10" s="33"/>
      <c r="SV10" s="33"/>
      <c r="SW10" s="33"/>
      <c r="SX10" s="33"/>
      <c r="SY10" s="33"/>
      <c r="SZ10" s="33"/>
      <c r="TA10" s="33"/>
      <c r="TB10" s="33"/>
      <c r="TC10" s="33"/>
      <c r="TD10" s="33"/>
      <c r="TE10" s="33"/>
      <c r="TF10" s="33"/>
      <c r="TG10" s="33"/>
      <c r="TH10" s="33"/>
      <c r="TI10" s="33"/>
      <c r="TJ10" s="33"/>
      <c r="TK10" s="33"/>
      <c r="TL10" s="33"/>
      <c r="TM10" s="33"/>
      <c r="TN10" s="33"/>
      <c r="TO10" s="33"/>
      <c r="TP10" s="33"/>
      <c r="TQ10" s="33"/>
      <c r="TR10" s="33"/>
      <c r="TS10" s="33"/>
      <c r="TT10" s="33"/>
      <c r="TU10" s="33"/>
      <c r="TV10" s="33"/>
      <c r="TW10" s="33"/>
      <c r="TX10" s="33"/>
      <c r="TY10" s="33"/>
      <c r="TZ10" s="33"/>
      <c r="UA10" s="33"/>
      <c r="UB10" s="33"/>
      <c r="UC10" s="33"/>
      <c r="UD10" s="33"/>
      <c r="UE10" s="33"/>
      <c r="UF10" s="33"/>
      <c r="UG10" s="33"/>
      <c r="UH10" s="33"/>
      <c r="UI10" s="33"/>
      <c r="UJ10" s="33"/>
      <c r="UK10" s="33"/>
      <c r="UL10" s="33"/>
      <c r="UM10" s="33"/>
      <c r="UN10" s="33"/>
      <c r="UO10" s="33"/>
      <c r="UP10" s="33"/>
      <c r="UQ10" s="33"/>
      <c r="UR10" s="33"/>
      <c r="US10" s="33"/>
      <c r="UT10" s="33"/>
      <c r="UU10" s="33"/>
      <c r="UV10" s="33"/>
      <c r="UW10" s="33"/>
      <c r="UX10" s="33"/>
      <c r="UY10" s="33"/>
      <c r="UZ10" s="33"/>
      <c r="VA10" s="33"/>
      <c r="VB10" s="33"/>
      <c r="VC10" s="33"/>
      <c r="VD10" s="33"/>
      <c r="VE10" s="33"/>
      <c r="VF10" s="33"/>
      <c r="VG10" s="33"/>
      <c r="VH10" s="33"/>
      <c r="VI10" s="33"/>
      <c r="VJ10" s="33"/>
      <c r="VK10" s="33"/>
      <c r="VL10" s="33"/>
      <c r="VM10" s="33"/>
      <c r="VN10" s="33"/>
      <c r="VO10" s="33"/>
      <c r="VP10" s="33"/>
      <c r="VQ10" s="33"/>
      <c r="VR10" s="33"/>
      <c r="VS10" s="33"/>
      <c r="VT10" s="33"/>
      <c r="VU10" s="33"/>
      <c r="VV10" s="33"/>
      <c r="VW10" s="33"/>
      <c r="VX10" s="33"/>
      <c r="VY10" s="33"/>
      <c r="VZ10" s="33"/>
      <c r="WA10" s="33"/>
      <c r="WB10" s="33"/>
      <c r="WC10" s="33"/>
      <c r="WD10" s="33"/>
      <c r="WE10" s="33"/>
      <c r="WF10" s="33"/>
      <c r="WG10" s="33"/>
      <c r="WH10" s="33"/>
      <c r="WI10" s="33"/>
      <c r="WJ10" s="33"/>
      <c r="WK10" s="33"/>
      <c r="WL10" s="33"/>
      <c r="WM10" s="33"/>
      <c r="WN10" s="33"/>
      <c r="WO10" s="33"/>
      <c r="WP10" s="33"/>
      <c r="WQ10" s="33"/>
      <c r="WR10" s="33"/>
      <c r="WS10" s="33"/>
      <c r="WT10" s="33"/>
      <c r="WU10" s="33"/>
      <c r="WV10" s="33"/>
      <c r="WW10" s="33"/>
      <c r="WX10" s="33"/>
      <c r="WY10" s="33"/>
      <c r="WZ10" s="33"/>
      <c r="XA10" s="33"/>
      <c r="XB10" s="33"/>
      <c r="XC10" s="33"/>
      <c r="XD10" s="33"/>
      <c r="XE10" s="33"/>
      <c r="XF10" s="33"/>
      <c r="XG10" s="33"/>
      <c r="XH10" s="33"/>
      <c r="XI10" s="33"/>
      <c r="XJ10" s="33"/>
      <c r="XK10" s="33"/>
      <c r="XL10" s="33"/>
      <c r="XM10" s="33"/>
      <c r="XN10" s="33"/>
      <c r="XO10" s="33"/>
      <c r="XP10" s="33"/>
      <c r="XQ10" s="33"/>
      <c r="XR10" s="33"/>
      <c r="XS10" s="33"/>
      <c r="XT10" s="33"/>
      <c r="XU10" s="33"/>
      <c r="XV10" s="33"/>
      <c r="XW10" s="33"/>
      <c r="XX10" s="33"/>
      <c r="XY10" s="33"/>
      <c r="XZ10" s="33"/>
      <c r="YA10" s="33"/>
      <c r="YB10" s="33"/>
      <c r="YC10" s="33"/>
      <c r="YD10" s="33"/>
      <c r="YE10" s="33"/>
      <c r="YF10" s="33"/>
      <c r="YG10" s="33"/>
      <c r="YH10" s="33"/>
      <c r="YI10" s="33"/>
      <c r="YJ10" s="33"/>
      <c r="YK10" s="33"/>
      <c r="YL10" s="33"/>
      <c r="YM10" s="33"/>
      <c r="YN10" s="33"/>
      <c r="YO10" s="33"/>
      <c r="YP10" s="33"/>
      <c r="YQ10" s="33"/>
      <c r="YR10" s="33"/>
      <c r="YS10" s="33"/>
      <c r="YT10" s="33"/>
      <c r="YU10" s="33"/>
      <c r="YV10" s="33"/>
      <c r="YW10" s="33"/>
      <c r="YX10" s="33"/>
      <c r="YY10" s="33"/>
      <c r="YZ10" s="33"/>
      <c r="ZA10" s="33"/>
      <c r="ZB10" s="33"/>
      <c r="ZC10" s="33"/>
      <c r="ZD10" s="33"/>
      <c r="ZE10" s="33"/>
      <c r="ZF10" s="33"/>
      <c r="ZG10" s="33"/>
      <c r="ZH10" s="33"/>
      <c r="ZI10" s="33"/>
      <c r="ZJ10" s="33"/>
      <c r="ZK10" s="33"/>
      <c r="ZL10" s="33"/>
      <c r="ZM10" s="33"/>
      <c r="ZN10" s="33"/>
      <c r="ZO10" s="33"/>
      <c r="ZP10" s="33"/>
      <c r="ZQ10" s="33"/>
      <c r="ZR10" s="33"/>
      <c r="ZS10" s="33"/>
      <c r="ZT10" s="33"/>
      <c r="ZU10" s="33"/>
      <c r="ZV10" s="33"/>
      <c r="ZW10" s="33"/>
      <c r="ZX10" s="33"/>
      <c r="ZY10" s="33"/>
      <c r="ZZ10" s="33"/>
      <c r="AAA10" s="33"/>
      <c r="AAB10" s="33"/>
      <c r="AAC10" s="33"/>
      <c r="AAD10" s="33"/>
      <c r="AAE10" s="33"/>
      <c r="AAF10" s="33"/>
      <c r="AAG10" s="33"/>
      <c r="AAH10" s="33"/>
      <c r="AAI10" s="33"/>
      <c r="AAJ10" s="33"/>
      <c r="AAK10" s="33"/>
      <c r="AAL10" s="33"/>
      <c r="AAM10" s="33"/>
      <c r="AAN10" s="33"/>
      <c r="AAO10" s="33"/>
      <c r="AAP10" s="33"/>
      <c r="AAQ10" s="33"/>
      <c r="AAR10" s="33"/>
      <c r="AAS10" s="33"/>
      <c r="AAT10" s="33"/>
      <c r="AAU10" s="33"/>
      <c r="AAV10" s="33"/>
      <c r="AAW10" s="33"/>
      <c r="AAX10" s="33"/>
      <c r="AAY10" s="33"/>
      <c r="AAZ10" s="33"/>
      <c r="ABA10" s="33"/>
      <c r="ABB10" s="33"/>
      <c r="ABC10" s="33"/>
      <c r="ABD10" s="33"/>
      <c r="ABE10" s="33"/>
      <c r="ABF10" s="33"/>
      <c r="ABG10" s="33"/>
      <c r="ABH10" s="33"/>
      <c r="ABI10" s="33"/>
      <c r="ABJ10" s="33"/>
      <c r="ABK10" s="33"/>
      <c r="ABL10" s="33"/>
      <c r="ABM10" s="33"/>
      <c r="ABN10" s="33"/>
      <c r="ABO10" s="33"/>
      <c r="ABP10" s="33"/>
      <c r="ABQ10" s="33"/>
      <c r="ABR10" s="33"/>
      <c r="ABS10" s="33"/>
      <c r="ABT10" s="33"/>
      <c r="ABU10" s="33"/>
      <c r="ABV10" s="33"/>
      <c r="ABW10" s="33"/>
      <c r="ABX10" s="33"/>
      <c r="ABY10" s="33"/>
      <c r="ABZ10" s="33"/>
      <c r="ACA10" s="33"/>
      <c r="ACB10" s="33"/>
      <c r="ACC10" s="33"/>
      <c r="ACD10" s="33"/>
      <c r="ACE10" s="33"/>
      <c r="ACF10" s="33"/>
      <c r="ACG10" s="33"/>
      <c r="ACH10" s="33"/>
      <c r="ACI10" s="33"/>
      <c r="ACJ10" s="33"/>
      <c r="ACK10" s="33"/>
      <c r="ACL10" s="33"/>
      <c r="ACM10" s="33"/>
      <c r="ACN10" s="33"/>
      <c r="ACO10" s="33"/>
      <c r="ACP10" s="33"/>
      <c r="ACQ10" s="33"/>
      <c r="ACR10" s="33"/>
      <c r="ACS10" s="33"/>
      <c r="ACT10" s="33"/>
      <c r="ACU10" s="33"/>
      <c r="ACV10" s="33"/>
      <c r="ACW10" s="33"/>
      <c r="ACX10" s="33"/>
      <c r="ACY10" s="33"/>
      <c r="ACZ10" s="33"/>
      <c r="ADA10" s="33"/>
      <c r="ADB10" s="33"/>
      <c r="ADC10" s="33"/>
      <c r="ADD10" s="33"/>
      <c r="ADE10" s="33"/>
      <c r="ADF10" s="33"/>
      <c r="ADG10" s="33"/>
      <c r="ADH10" s="33"/>
      <c r="ADI10" s="33"/>
      <c r="ADJ10" s="33"/>
      <c r="ADK10" s="33"/>
      <c r="ADL10" s="33"/>
      <c r="ADM10" s="33"/>
      <c r="ADN10" s="33"/>
      <c r="ADO10" s="33"/>
      <c r="ADP10" s="33"/>
      <c r="ADQ10" s="33"/>
      <c r="ADR10" s="33"/>
      <c r="ADS10" s="33"/>
      <c r="ADT10" s="33"/>
      <c r="ADU10" s="33"/>
      <c r="ADV10" s="33"/>
      <c r="ADW10" s="33"/>
      <c r="ADX10" s="33"/>
      <c r="ADY10" s="33"/>
      <c r="ADZ10" s="33"/>
      <c r="AEA10" s="33"/>
      <c r="AEB10" s="33"/>
      <c r="AEC10" s="33"/>
      <c r="AED10" s="33"/>
      <c r="AEE10" s="33"/>
      <c r="AEF10" s="33"/>
      <c r="AEG10" s="33"/>
      <c r="AEH10" s="33"/>
      <c r="AEI10" s="33"/>
      <c r="AEJ10" s="33"/>
      <c r="AEK10" s="33"/>
      <c r="AEL10" s="33"/>
      <c r="AEM10" s="33"/>
      <c r="AEN10" s="33"/>
      <c r="AEO10" s="33"/>
      <c r="AEP10" s="33"/>
      <c r="AEQ10" s="33"/>
      <c r="AER10" s="33"/>
      <c r="AES10" s="33"/>
      <c r="AET10" s="33"/>
      <c r="AEU10" s="33"/>
      <c r="AEV10" s="33"/>
      <c r="AEW10" s="33"/>
      <c r="AEX10" s="33"/>
      <c r="AEY10" s="33"/>
      <c r="AEZ10" s="33"/>
      <c r="AFA10" s="33"/>
      <c r="AFB10" s="33"/>
      <c r="AFC10" s="33"/>
      <c r="AFD10" s="33"/>
      <c r="AFE10" s="33"/>
      <c r="AFF10" s="33"/>
      <c r="AFG10" s="33"/>
      <c r="AFH10" s="33"/>
      <c r="AFI10" s="33"/>
      <c r="AFJ10" s="33"/>
      <c r="AFK10" s="33"/>
      <c r="AFL10" s="33"/>
      <c r="AFM10" s="33"/>
      <c r="AFN10" s="33"/>
      <c r="AFO10" s="33"/>
      <c r="AFP10" s="33"/>
      <c r="AFQ10" s="33"/>
      <c r="AFR10" s="33"/>
      <c r="AFS10" s="33"/>
      <c r="AFT10" s="33"/>
      <c r="AFU10" s="33"/>
      <c r="AFV10" s="33"/>
      <c r="AFW10" s="33"/>
      <c r="AFX10" s="33"/>
      <c r="AFY10" s="33"/>
      <c r="AFZ10" s="33"/>
      <c r="AGA10" s="33"/>
      <c r="AGB10" s="33"/>
      <c r="AGC10" s="33"/>
      <c r="AGD10" s="33"/>
      <c r="AGE10" s="33"/>
      <c r="AGF10" s="33"/>
      <c r="AGG10" s="33"/>
      <c r="AGH10" s="33"/>
      <c r="AGI10" s="33"/>
      <c r="AGJ10" s="33"/>
      <c r="AGK10" s="33"/>
      <c r="AGL10" s="33"/>
      <c r="AGM10" s="33"/>
      <c r="AGN10" s="33"/>
      <c r="AGO10" s="33"/>
      <c r="AGP10" s="33"/>
      <c r="AGQ10" s="33"/>
      <c r="AGR10" s="33"/>
      <c r="AGS10" s="33"/>
      <c r="AGT10" s="33"/>
      <c r="AGU10" s="33"/>
      <c r="AGV10" s="33"/>
      <c r="AGW10" s="33"/>
      <c r="AGX10" s="33"/>
      <c r="AGY10" s="33"/>
      <c r="AGZ10" s="33"/>
      <c r="AHA10" s="33"/>
      <c r="AHB10" s="33"/>
      <c r="AHC10" s="33"/>
      <c r="AHD10" s="33"/>
      <c r="AHE10" s="33"/>
      <c r="AHF10" s="33"/>
      <c r="AHG10" s="33"/>
      <c r="AHH10" s="33"/>
      <c r="AHI10" s="33"/>
      <c r="AHJ10" s="33"/>
      <c r="AHK10" s="33"/>
      <c r="AHL10" s="33"/>
      <c r="AHM10" s="33"/>
      <c r="AHN10" s="33"/>
      <c r="AHO10" s="33"/>
      <c r="AHP10" s="33"/>
      <c r="AHQ10" s="33"/>
      <c r="AHR10" s="33"/>
      <c r="AHS10" s="33"/>
      <c r="AHT10" s="33"/>
      <c r="AHU10" s="33"/>
      <c r="AHV10" s="33"/>
      <c r="AHW10" s="33"/>
      <c r="AHX10" s="33"/>
      <c r="AHY10" s="33"/>
      <c r="AHZ10" s="33"/>
      <c r="AIA10" s="33"/>
      <c r="AIB10" s="33"/>
      <c r="AIC10" s="33"/>
      <c r="AID10" s="33"/>
      <c r="AIE10" s="33"/>
      <c r="AIF10" s="33"/>
      <c r="AIG10" s="33"/>
      <c r="AIH10" s="33"/>
      <c r="AII10" s="33"/>
      <c r="AIJ10" s="33"/>
      <c r="AIK10" s="33"/>
      <c r="AIL10" s="33"/>
      <c r="AIM10" s="33"/>
      <c r="AIN10" s="33"/>
      <c r="AIO10" s="33"/>
      <c r="AIP10" s="33"/>
      <c r="AIQ10" s="33"/>
      <c r="AIR10" s="33"/>
      <c r="AIS10" s="33"/>
      <c r="AIT10" s="33"/>
      <c r="AIU10" s="33"/>
      <c r="AIV10" s="33"/>
      <c r="AIW10" s="33"/>
      <c r="AIX10" s="33"/>
      <c r="AIY10" s="33"/>
      <c r="AIZ10" s="33"/>
      <c r="AJA10" s="33"/>
      <c r="AJB10" s="33"/>
      <c r="AJC10" s="33"/>
      <c r="AJD10" s="33"/>
      <c r="AJE10" s="33"/>
      <c r="AJF10" s="33"/>
      <c r="AJG10" s="33"/>
      <c r="AJH10" s="33"/>
      <c r="AJI10" s="33"/>
      <c r="AJJ10" s="33"/>
      <c r="AJK10" s="33"/>
      <c r="AJL10" s="33"/>
      <c r="AJM10" s="33"/>
      <c r="AJN10" s="33"/>
      <c r="AJO10" s="33"/>
      <c r="AJP10" s="33"/>
      <c r="AJQ10" s="33"/>
      <c r="AJR10" s="33"/>
      <c r="AJS10" s="33"/>
      <c r="AJT10" s="33"/>
      <c r="AJU10" s="33"/>
      <c r="AJV10" s="33"/>
      <c r="AJW10" s="33"/>
      <c r="AJX10" s="33"/>
      <c r="AJY10" s="33"/>
      <c r="AJZ10" s="33"/>
      <c r="AKA10" s="33"/>
      <c r="AKB10" s="33"/>
      <c r="AKC10" s="33"/>
      <c r="AKD10" s="33"/>
      <c r="AKE10" s="33"/>
      <c r="AKF10" s="33"/>
      <c r="AKG10" s="33"/>
      <c r="AKH10" s="33"/>
      <c r="AKI10" s="33"/>
      <c r="AKJ10" s="33"/>
      <c r="AKK10" s="33"/>
      <c r="AKL10" s="33"/>
      <c r="AKM10" s="33"/>
      <c r="AKN10" s="33"/>
      <c r="AKO10" s="33"/>
      <c r="AKP10" s="33"/>
      <c r="AKQ10" s="33"/>
      <c r="AKR10" s="33"/>
      <c r="AKS10" s="33"/>
      <c r="AKT10" s="33"/>
      <c r="AKU10" s="33"/>
      <c r="AKV10" s="33"/>
      <c r="AKW10" s="33"/>
      <c r="AKX10" s="33"/>
      <c r="AKY10" s="33"/>
      <c r="AKZ10" s="33"/>
      <c r="ALA10" s="33"/>
      <c r="ALB10" s="33"/>
      <c r="ALC10" s="33"/>
      <c r="ALD10" s="33"/>
      <c r="ALE10" s="33"/>
      <c r="ALF10" s="33"/>
      <c r="ALG10" s="33"/>
      <c r="ALH10" s="33"/>
      <c r="ALI10" s="33"/>
      <c r="ALJ10" s="33"/>
      <c r="ALK10" s="33"/>
      <c r="ALL10" s="33"/>
      <c r="ALM10" s="33"/>
      <c r="ALN10" s="33"/>
      <c r="ALO10" s="33"/>
      <c r="ALP10" s="33"/>
      <c r="ALQ10" s="33"/>
      <c r="ALR10" s="33"/>
      <c r="ALS10" s="33"/>
      <c r="ALT10" s="33"/>
      <c r="ALU10" s="33"/>
      <c r="ALV10" s="33"/>
      <c r="ALW10" s="33"/>
      <c r="ALX10" s="33"/>
      <c r="ALY10" s="33"/>
      <c r="ALZ10" s="33"/>
      <c r="AMA10" s="33"/>
      <c r="AMB10" s="33"/>
      <c r="AMC10" s="33"/>
      <c r="AMD10" s="33"/>
      <c r="AME10" s="33"/>
      <c r="AMF10" s="33"/>
      <c r="AMG10" s="33"/>
      <c r="AMH10" s="33"/>
      <c r="AMI10" s="33"/>
      <c r="AMJ10" s="33"/>
      <c r="AMK10" s="33"/>
      <c r="AML10" s="33"/>
    </row>
    <row r="11" ht="15.75" customHeight="1">
      <c r="A11" s="8" t="s">
        <v>20</v>
      </c>
      <c r="B11" s="8" t="s">
        <v>20</v>
      </c>
      <c r="C11" s="8" t="s">
        <v>21</v>
      </c>
      <c r="D11" s="8" t="s">
        <v>28</v>
      </c>
      <c r="E11" s="8" t="s">
        <v>28</v>
      </c>
      <c r="F11" s="8" t="s">
        <v>23</v>
      </c>
      <c r="G11" s="8">
        <v>1.0</v>
      </c>
      <c r="H11" s="8">
        <v>1.0</v>
      </c>
      <c r="I11" s="8">
        <v>1.0</v>
      </c>
      <c r="J11" s="8"/>
      <c r="K11" s="8">
        <v>0.0</v>
      </c>
      <c r="L11" s="8">
        <v>0.0</v>
      </c>
      <c r="M11" s="8">
        <v>0.0</v>
      </c>
      <c r="N11" s="8"/>
      <c r="O11" s="8">
        <v>0.0</v>
      </c>
      <c r="P11">
        <v>0.0</v>
      </c>
      <c r="Q11">
        <v>0.0</v>
      </c>
      <c r="R11">
        <v>0.0</v>
      </c>
      <c r="S11">
        <v>0.0</v>
      </c>
      <c r="T11" t="s">
        <v>28</v>
      </c>
      <c r="AB11" t="s">
        <v>20</v>
      </c>
      <c r="AC11" t="s">
        <v>20</v>
      </c>
      <c r="AD11" t="s">
        <v>20</v>
      </c>
      <c r="AE11" t="s">
        <v>20</v>
      </c>
      <c r="AF11" t="s">
        <v>20</v>
      </c>
      <c r="AG11" t="s">
        <v>20</v>
      </c>
      <c r="AH11" t="s">
        <v>20</v>
      </c>
      <c r="AI11" t="s">
        <v>20</v>
      </c>
      <c r="AJ11" t="s">
        <v>20</v>
      </c>
      <c r="AK11" t="s">
        <v>20</v>
      </c>
      <c r="AL11" t="s">
        <v>20</v>
      </c>
      <c r="AM11" t="s">
        <v>20</v>
      </c>
      <c r="AN11" t="s">
        <v>20</v>
      </c>
      <c r="AO11" t="s">
        <v>20</v>
      </c>
      <c r="AP11" t="s">
        <v>20</v>
      </c>
      <c r="AQ11" t="s">
        <v>20</v>
      </c>
      <c r="AR11" t="s">
        <v>20</v>
      </c>
      <c r="AS11" t="s">
        <v>20</v>
      </c>
      <c r="AT11" t="s">
        <v>20</v>
      </c>
      <c r="AU11" t="s">
        <v>20</v>
      </c>
      <c r="AV11" t="s">
        <v>20</v>
      </c>
      <c r="AW11" t="s">
        <v>20</v>
      </c>
      <c r="AX11" t="s">
        <v>20</v>
      </c>
      <c r="AY11" t="s">
        <v>20</v>
      </c>
      <c r="AZ11" t="s">
        <v>20</v>
      </c>
      <c r="BA11" t="s">
        <v>20</v>
      </c>
      <c r="BB11" t="s">
        <v>20</v>
      </c>
      <c r="BC11" t="s">
        <v>20</v>
      </c>
      <c r="BD11" t="s">
        <v>20</v>
      </c>
      <c r="BE11" t="s">
        <v>20</v>
      </c>
      <c r="BF11" t="s">
        <v>20</v>
      </c>
      <c r="BG11" t="s">
        <v>20</v>
      </c>
      <c r="BH11" t="s">
        <v>20</v>
      </c>
      <c r="BI11" t="s">
        <v>20</v>
      </c>
      <c r="BJ11" t="s">
        <v>20</v>
      </c>
      <c r="BK11" t="s">
        <v>20</v>
      </c>
      <c r="BL11" t="s">
        <v>20</v>
      </c>
      <c r="BM11" t="s">
        <v>20</v>
      </c>
      <c r="BN11" t="s">
        <v>20</v>
      </c>
      <c r="BO11" t="s">
        <v>20</v>
      </c>
      <c r="BP11" t="s">
        <v>20</v>
      </c>
      <c r="BQ11" t="s">
        <v>20</v>
      </c>
      <c r="BR11" t="s">
        <v>20</v>
      </c>
      <c r="BS11" t="s">
        <v>20</v>
      </c>
      <c r="BT11" t="s">
        <v>20</v>
      </c>
      <c r="BU11" t="s">
        <v>20</v>
      </c>
      <c r="BV11" t="s">
        <v>20</v>
      </c>
      <c r="BW11" t="s">
        <v>20</v>
      </c>
      <c r="BX11" t="s">
        <v>20</v>
      </c>
      <c r="BY11" t="s">
        <v>20</v>
      </c>
      <c r="BZ11" t="s">
        <v>20</v>
      </c>
      <c r="CA11" t="s">
        <v>20</v>
      </c>
      <c r="CB11" t="s">
        <v>20</v>
      </c>
      <c r="CC11" t="s">
        <v>20</v>
      </c>
      <c r="CD11" t="s">
        <v>20</v>
      </c>
      <c r="CE11" t="s">
        <v>20</v>
      </c>
      <c r="CF11" t="s">
        <v>20</v>
      </c>
      <c r="CG11" t="s">
        <v>20</v>
      </c>
      <c r="CH11" t="s">
        <v>20</v>
      </c>
      <c r="CI11" t="s">
        <v>20</v>
      </c>
      <c r="CJ11" t="s">
        <v>20</v>
      </c>
      <c r="CK11" t="s">
        <v>20</v>
      </c>
      <c r="CL11" t="s">
        <v>20</v>
      </c>
      <c r="CM11" t="s">
        <v>20</v>
      </c>
      <c r="CN11" t="s">
        <v>20</v>
      </c>
      <c r="CO11" t="s">
        <v>20</v>
      </c>
      <c r="CP11" t="s">
        <v>20</v>
      </c>
      <c r="CQ11" t="s">
        <v>20</v>
      </c>
      <c r="CR11" t="s">
        <v>20</v>
      </c>
      <c r="CS11" t="s">
        <v>20</v>
      </c>
      <c r="CT11" t="s">
        <v>20</v>
      </c>
      <c r="CU11" t="s">
        <v>20</v>
      </c>
      <c r="CV11" t="s">
        <v>20</v>
      </c>
      <c r="CW11" t="s">
        <v>20</v>
      </c>
      <c r="CX11" t="s">
        <v>20</v>
      </c>
      <c r="CY11" t="s">
        <v>20</v>
      </c>
      <c r="CZ11" t="s">
        <v>20</v>
      </c>
      <c r="DA11" t="s">
        <v>20</v>
      </c>
      <c r="DB11" t="s">
        <v>20</v>
      </c>
      <c r="DC11" t="s">
        <v>20</v>
      </c>
      <c r="DD11" t="s">
        <v>20</v>
      </c>
      <c r="DE11" t="s">
        <v>20</v>
      </c>
      <c r="DF11" t="s">
        <v>20</v>
      </c>
      <c r="DG11" t="s">
        <v>20</v>
      </c>
      <c r="DH11" t="s">
        <v>20</v>
      </c>
      <c r="DI11" t="s">
        <v>20</v>
      </c>
      <c r="DJ11" t="s">
        <v>20</v>
      </c>
      <c r="DK11" t="s">
        <v>20</v>
      </c>
      <c r="DL11" t="s">
        <v>20</v>
      </c>
      <c r="DM11" t="s">
        <v>20</v>
      </c>
      <c r="DN11" t="s">
        <v>20</v>
      </c>
      <c r="DO11" t="s">
        <v>20</v>
      </c>
      <c r="DP11" t="s">
        <v>20</v>
      </c>
      <c r="DQ11" t="s">
        <v>20</v>
      </c>
      <c r="DR11" t="s">
        <v>20</v>
      </c>
      <c r="DS11" t="s">
        <v>20</v>
      </c>
      <c r="DT11" t="s">
        <v>20</v>
      </c>
      <c r="DU11" t="s">
        <v>20</v>
      </c>
      <c r="DV11" t="s">
        <v>20</v>
      </c>
      <c r="DW11" t="s">
        <v>20</v>
      </c>
      <c r="DX11" t="s">
        <v>20</v>
      </c>
      <c r="DY11" t="s">
        <v>20</v>
      </c>
      <c r="DZ11" t="s">
        <v>20</v>
      </c>
      <c r="EA11" t="s">
        <v>20</v>
      </c>
      <c r="EB11" t="s">
        <v>20</v>
      </c>
      <c r="EC11" t="s">
        <v>20</v>
      </c>
      <c r="ED11" t="s">
        <v>20</v>
      </c>
      <c r="EE11" t="s">
        <v>20</v>
      </c>
      <c r="EF11" t="s">
        <v>20</v>
      </c>
      <c r="EG11" t="s">
        <v>20</v>
      </c>
      <c r="EH11" t="s">
        <v>20</v>
      </c>
      <c r="EI11" t="s">
        <v>20</v>
      </c>
      <c r="EJ11" t="s">
        <v>20</v>
      </c>
      <c r="EK11" t="s">
        <v>20</v>
      </c>
      <c r="EL11" t="s">
        <v>20</v>
      </c>
      <c r="EM11" t="s">
        <v>20</v>
      </c>
      <c r="EN11" t="s">
        <v>20</v>
      </c>
      <c r="EO11" t="s">
        <v>20</v>
      </c>
      <c r="EP11" t="s">
        <v>20</v>
      </c>
      <c r="EQ11" t="s">
        <v>20</v>
      </c>
      <c r="ER11" t="s">
        <v>20</v>
      </c>
      <c r="ES11" t="s">
        <v>20</v>
      </c>
      <c r="ET11" t="s">
        <v>20</v>
      </c>
      <c r="EU11" t="s">
        <v>20</v>
      </c>
      <c r="EV11" t="s">
        <v>20</v>
      </c>
      <c r="EW11" t="s">
        <v>20</v>
      </c>
      <c r="EX11" t="s">
        <v>20</v>
      </c>
      <c r="EY11" t="s">
        <v>20</v>
      </c>
      <c r="EZ11" t="s">
        <v>20</v>
      </c>
      <c r="FA11" t="s">
        <v>20</v>
      </c>
      <c r="FB11" t="s">
        <v>20</v>
      </c>
      <c r="FC11" t="s">
        <v>20</v>
      </c>
      <c r="FD11" t="s">
        <v>20</v>
      </c>
      <c r="FE11" t="s">
        <v>20</v>
      </c>
      <c r="FF11" t="s">
        <v>20</v>
      </c>
      <c r="FG11" t="s">
        <v>20</v>
      </c>
      <c r="FH11" t="s">
        <v>20</v>
      </c>
      <c r="FI11" t="s">
        <v>20</v>
      </c>
      <c r="FJ11" t="s">
        <v>20</v>
      </c>
      <c r="FK11" t="s">
        <v>20</v>
      </c>
      <c r="FL11" t="s">
        <v>20</v>
      </c>
      <c r="FM11" t="s">
        <v>20</v>
      </c>
      <c r="FN11" t="s">
        <v>20</v>
      </c>
      <c r="FO11" t="s">
        <v>20</v>
      </c>
      <c r="FP11" t="s">
        <v>20</v>
      </c>
      <c r="FQ11" t="s">
        <v>20</v>
      </c>
      <c r="FR11" s="33"/>
      <c r="FS11" s="33"/>
      <c r="FT11" s="33"/>
      <c r="FU11" s="33"/>
      <c r="FV11" s="33"/>
      <c r="FW11" s="33"/>
      <c r="FX11" s="33"/>
      <c r="FY11" s="33"/>
      <c r="FZ11" s="33"/>
      <c r="GA11" s="33"/>
      <c r="GB11" s="33"/>
      <c r="GC11" s="33"/>
      <c r="GD11" s="33"/>
      <c r="GE11" s="33"/>
      <c r="GF11" s="33"/>
      <c r="GG11" s="33"/>
      <c r="GH11" s="33"/>
      <c r="GI11" s="33"/>
      <c r="GJ11" s="33"/>
      <c r="GK11" s="33"/>
      <c r="GL11" s="33"/>
      <c r="GM11" s="33"/>
      <c r="GN11" s="33"/>
      <c r="GO11" s="33"/>
      <c r="GP11" s="33"/>
      <c r="GQ11" s="33"/>
      <c r="GR11" s="33"/>
      <c r="GS11" s="33"/>
      <c r="GT11" s="33"/>
      <c r="GU11" s="33"/>
      <c r="GV11" s="33"/>
      <c r="GW11" s="33"/>
      <c r="GX11" s="33"/>
      <c r="GY11" s="33"/>
      <c r="GZ11" s="33"/>
      <c r="HA11" s="33"/>
      <c r="HB11" s="33"/>
      <c r="HC11" s="33"/>
      <c r="HD11" s="33"/>
      <c r="HE11" s="33"/>
      <c r="HF11" s="33"/>
      <c r="HG11" s="33"/>
      <c r="HH11" s="33"/>
      <c r="HI11" s="33"/>
      <c r="HJ11" s="33"/>
      <c r="HK11" s="33"/>
      <c r="HL11" s="33"/>
      <c r="HM11" s="33"/>
      <c r="HN11" s="33"/>
      <c r="HO11" s="33"/>
      <c r="HP11" s="33"/>
      <c r="HQ11" s="33"/>
      <c r="HR11" s="33"/>
      <c r="HS11" s="33"/>
      <c r="HT11" s="33"/>
      <c r="HU11" s="33"/>
      <c r="HV11" s="33"/>
      <c r="HW11" s="33"/>
      <c r="HX11" s="33"/>
      <c r="HY11" s="33"/>
      <c r="HZ11" s="33"/>
      <c r="IA11" s="33"/>
      <c r="IB11" s="33"/>
      <c r="IC11" s="33"/>
      <c r="ID11" s="33"/>
      <c r="IE11" s="33"/>
      <c r="IF11" s="33"/>
      <c r="IG11" s="33"/>
      <c r="IH11" s="33"/>
      <c r="II11" s="33"/>
      <c r="IJ11" s="33"/>
      <c r="IK11" s="33"/>
      <c r="IL11" s="33"/>
      <c r="IM11" s="33"/>
      <c r="IN11" s="33"/>
      <c r="IO11" s="33"/>
      <c r="IP11" s="33"/>
      <c r="IQ11" s="33"/>
      <c r="IR11" s="33"/>
      <c r="IS11" s="33"/>
      <c r="IT11" s="33"/>
      <c r="IU11" s="33"/>
      <c r="IV11" s="33"/>
      <c r="IW11" s="33"/>
      <c r="IX11" s="33"/>
      <c r="IY11" s="33"/>
      <c r="IZ11" s="33"/>
      <c r="JA11" s="33"/>
      <c r="JB11" s="33"/>
      <c r="JC11" s="33"/>
      <c r="JD11" s="33"/>
      <c r="JE11" s="33"/>
      <c r="JF11" s="33"/>
      <c r="JG11" s="33"/>
      <c r="JH11" s="33"/>
      <c r="JI11" s="33"/>
      <c r="JJ11" s="33"/>
      <c r="JK11" s="33"/>
      <c r="JL11" s="33"/>
      <c r="JM11" s="33"/>
      <c r="JN11" s="33"/>
      <c r="JO11" s="33"/>
      <c r="JP11" s="33"/>
      <c r="JQ11" s="33"/>
      <c r="JR11" s="33"/>
      <c r="JS11" s="33"/>
      <c r="JT11" s="33"/>
      <c r="JU11" s="33"/>
      <c r="JV11" s="33"/>
      <c r="JW11" s="33"/>
      <c r="JX11" s="33"/>
      <c r="JY11" s="33"/>
      <c r="JZ11" s="33"/>
      <c r="KA11" s="33"/>
      <c r="KB11" s="33"/>
      <c r="KC11" s="33"/>
      <c r="KD11" s="33"/>
      <c r="KE11" s="33"/>
      <c r="KF11" s="33"/>
      <c r="KG11" s="33"/>
      <c r="KH11" s="33"/>
      <c r="KI11" s="33"/>
      <c r="KJ11" s="33"/>
      <c r="KK11" s="33"/>
      <c r="KL11" s="33"/>
      <c r="KM11" s="33"/>
      <c r="KN11" s="33"/>
      <c r="KO11" s="33"/>
      <c r="KP11" s="33"/>
      <c r="KQ11" s="33"/>
      <c r="KR11" s="33"/>
      <c r="KS11" s="33"/>
      <c r="KT11" s="33"/>
      <c r="KU11" s="33"/>
      <c r="KV11" s="33"/>
      <c r="KW11" s="33"/>
      <c r="KX11" s="33"/>
      <c r="KY11" s="33"/>
      <c r="KZ11" s="33"/>
      <c r="LA11" s="33"/>
      <c r="LB11" s="33"/>
      <c r="LC11" s="33"/>
      <c r="LD11" s="33"/>
      <c r="LE11" s="33"/>
      <c r="LF11" s="33"/>
      <c r="LG11" s="33"/>
      <c r="LH11" s="33"/>
      <c r="LI11" s="33"/>
      <c r="LJ11" s="33"/>
      <c r="LK11" s="33"/>
      <c r="LL11" s="33"/>
      <c r="LM11" s="33"/>
      <c r="LN11" s="33"/>
      <c r="LO11" s="33"/>
      <c r="LP11" s="33"/>
      <c r="LQ11" s="33"/>
      <c r="LR11" s="33"/>
      <c r="LS11" s="33"/>
      <c r="LT11" s="33"/>
      <c r="LU11" s="33"/>
      <c r="LV11" s="33"/>
      <c r="LW11" s="33"/>
      <c r="LX11" s="33"/>
      <c r="LY11" s="33"/>
      <c r="LZ11" s="33"/>
      <c r="MA11" s="33"/>
      <c r="MB11" s="33"/>
      <c r="MC11" s="33"/>
      <c r="MD11" s="33"/>
      <c r="ME11" s="33"/>
      <c r="MF11" s="33"/>
      <c r="MG11" s="33"/>
      <c r="MH11" s="33"/>
      <c r="MI11" s="33"/>
      <c r="MJ11" s="33"/>
      <c r="MK11" s="33"/>
      <c r="ML11" s="33"/>
      <c r="MM11" s="33"/>
      <c r="MN11" s="33"/>
      <c r="MO11" s="33"/>
      <c r="MP11" s="33"/>
      <c r="MQ11" s="33"/>
      <c r="MR11" s="33"/>
      <c r="MS11" s="33"/>
      <c r="MT11" s="33"/>
      <c r="MU11" s="33"/>
      <c r="MV11" s="33"/>
      <c r="MW11" s="33"/>
      <c r="MX11" s="33"/>
      <c r="MY11" s="33"/>
      <c r="MZ11" s="33"/>
      <c r="NA11" s="33"/>
      <c r="NB11" s="33"/>
      <c r="NC11" s="33"/>
      <c r="ND11" s="33"/>
      <c r="NE11" s="33"/>
      <c r="NF11" s="33"/>
      <c r="NG11" s="33"/>
      <c r="NH11" s="33"/>
      <c r="NI11" s="33"/>
      <c r="NJ11" s="33"/>
      <c r="NK11" s="33"/>
      <c r="NL11" s="33"/>
      <c r="NM11" s="33"/>
      <c r="NN11" s="33"/>
      <c r="NO11" s="33"/>
      <c r="NP11" s="33"/>
      <c r="NQ11" s="33"/>
      <c r="NR11" s="33"/>
      <c r="NS11" s="33"/>
      <c r="NT11" s="33"/>
      <c r="NU11" s="33"/>
      <c r="NV11" s="33"/>
      <c r="NW11" s="33"/>
      <c r="NX11" s="33"/>
      <c r="NY11" s="33"/>
      <c r="NZ11" s="33"/>
      <c r="OA11" s="33"/>
      <c r="OB11" s="33"/>
      <c r="OC11" s="33"/>
      <c r="OD11" s="33"/>
      <c r="OE11" s="33"/>
      <c r="OF11" s="33"/>
      <c r="OG11" s="33"/>
      <c r="OH11" s="33"/>
      <c r="OI11" s="33"/>
      <c r="OJ11" s="33"/>
      <c r="OK11" s="33"/>
      <c r="OL11" s="33"/>
      <c r="OM11" s="33"/>
      <c r="ON11" s="33"/>
      <c r="OO11" s="33"/>
      <c r="OP11" s="33"/>
      <c r="OQ11" s="33"/>
      <c r="OR11" s="33"/>
      <c r="OS11" s="33"/>
      <c r="OT11" s="33"/>
      <c r="OU11" s="33"/>
      <c r="OV11" s="33"/>
      <c r="OW11" s="33"/>
      <c r="OX11" s="33"/>
      <c r="OY11" s="33"/>
      <c r="OZ11" s="33"/>
      <c r="PA11" s="33"/>
      <c r="PB11" s="33"/>
      <c r="PC11" s="33"/>
      <c r="PD11" s="33"/>
      <c r="PE11" s="33"/>
      <c r="PF11" s="33"/>
      <c r="PG11" s="33"/>
      <c r="PH11" s="33"/>
      <c r="PI11" s="33"/>
      <c r="PJ11" s="33"/>
      <c r="PK11" s="33"/>
      <c r="PL11" s="33"/>
      <c r="PM11" s="33"/>
      <c r="PN11" s="33"/>
      <c r="PO11" s="33"/>
      <c r="PP11" s="33"/>
      <c r="PQ11" s="33"/>
      <c r="PR11" s="33"/>
      <c r="PS11" s="33"/>
      <c r="PT11" s="33"/>
      <c r="PU11" s="33"/>
      <c r="PV11" s="33"/>
      <c r="PW11" s="33"/>
      <c r="PX11" s="33"/>
      <c r="PY11" s="33"/>
      <c r="PZ11" s="33"/>
      <c r="QA11" s="33"/>
      <c r="QB11" s="33"/>
      <c r="QC11" s="33"/>
      <c r="QD11" s="33"/>
      <c r="QE11" s="33"/>
      <c r="QF11" s="33"/>
      <c r="QG11" s="33"/>
      <c r="QH11" s="33"/>
      <c r="QI11" s="33"/>
      <c r="QJ11" s="33"/>
      <c r="QK11" s="33"/>
      <c r="QL11" s="33"/>
      <c r="QM11" s="33"/>
      <c r="QN11" s="33"/>
      <c r="QO11" s="33"/>
      <c r="QP11" s="33"/>
      <c r="QQ11" s="33"/>
      <c r="QR11" s="33"/>
      <c r="QS11" s="33"/>
      <c r="QT11" s="33"/>
      <c r="QU11" s="33"/>
      <c r="QV11" s="33"/>
      <c r="QW11" s="33"/>
      <c r="QX11" s="33"/>
      <c r="QY11" s="33"/>
      <c r="QZ11" s="33"/>
      <c r="RA11" s="33"/>
      <c r="RB11" s="33"/>
      <c r="RC11" s="33"/>
      <c r="RD11" s="33"/>
      <c r="RE11" s="33"/>
      <c r="RF11" s="33"/>
      <c r="RG11" s="33"/>
      <c r="RH11" s="33"/>
      <c r="RI11" s="33"/>
      <c r="RJ11" s="33"/>
      <c r="RK11" s="33"/>
      <c r="RL11" s="33"/>
      <c r="RM11" s="33"/>
      <c r="RN11" s="33"/>
      <c r="RO11" s="33"/>
      <c r="RP11" s="33"/>
      <c r="RQ11" s="33"/>
      <c r="RR11" s="33"/>
      <c r="RS11" s="33"/>
      <c r="RT11" s="33"/>
      <c r="RU11" s="33"/>
      <c r="RV11" s="33"/>
      <c r="RW11" s="33"/>
      <c r="RX11" s="33"/>
      <c r="RY11" s="33"/>
      <c r="RZ11" s="33"/>
      <c r="SA11" s="33"/>
      <c r="SB11" s="33"/>
      <c r="SC11" s="33"/>
      <c r="SD11" s="33"/>
      <c r="SE11" s="33"/>
      <c r="SF11" s="33"/>
      <c r="SG11" s="33"/>
      <c r="SH11" s="33"/>
      <c r="SI11" s="33"/>
      <c r="SJ11" s="33"/>
      <c r="SK11" s="33"/>
      <c r="SL11" s="33"/>
      <c r="SM11" s="33"/>
      <c r="SN11" s="33"/>
      <c r="SO11" s="33"/>
      <c r="SP11" s="33"/>
      <c r="SQ11" s="33"/>
      <c r="SR11" s="33"/>
      <c r="SS11" s="33"/>
      <c r="ST11" s="33"/>
      <c r="SU11" s="33"/>
      <c r="SV11" s="33"/>
      <c r="SW11" s="33"/>
      <c r="SX11" s="33"/>
      <c r="SY11" s="33"/>
      <c r="SZ11" s="33"/>
      <c r="TA11" s="33"/>
      <c r="TB11" s="33"/>
      <c r="TC11" s="33"/>
      <c r="TD11" s="33"/>
      <c r="TE11" s="33"/>
      <c r="TF11" s="33"/>
      <c r="TG11" s="33"/>
      <c r="TH11" s="33"/>
      <c r="TI11" s="33"/>
      <c r="TJ11" s="33"/>
      <c r="TK11" s="33"/>
      <c r="TL11" s="33"/>
      <c r="TM11" s="33"/>
      <c r="TN11" s="33"/>
      <c r="TO11" s="33"/>
      <c r="TP11" s="33"/>
      <c r="TQ11" s="33"/>
      <c r="TR11" s="33"/>
      <c r="TS11" s="33"/>
      <c r="TT11" s="33"/>
      <c r="TU11" s="33"/>
      <c r="TV11" s="33"/>
      <c r="TW11" s="33"/>
      <c r="TX11" s="33"/>
      <c r="TY11" s="33"/>
      <c r="TZ11" s="33"/>
      <c r="UA11" s="33"/>
      <c r="UB11" s="33"/>
      <c r="UC11" s="33"/>
      <c r="UD11" s="33"/>
      <c r="UE11" s="33"/>
      <c r="UF11" s="33"/>
      <c r="UG11" s="33"/>
      <c r="UH11" s="33"/>
      <c r="UI11" s="33"/>
      <c r="UJ11" s="33"/>
      <c r="UK11" s="33"/>
      <c r="UL11" s="33"/>
      <c r="UM11" s="33"/>
      <c r="UN11" s="33"/>
      <c r="UO11" s="33"/>
      <c r="UP11" s="33"/>
      <c r="UQ11" s="33"/>
      <c r="UR11" s="33"/>
      <c r="US11" s="33"/>
      <c r="UT11" s="33"/>
      <c r="UU11" s="33"/>
      <c r="UV11" s="33"/>
      <c r="UW11" s="33"/>
      <c r="UX11" s="33"/>
      <c r="UY11" s="33"/>
      <c r="UZ11" s="33"/>
      <c r="VA11" s="33"/>
      <c r="VB11" s="33"/>
      <c r="VC11" s="33"/>
      <c r="VD11" s="33"/>
      <c r="VE11" s="33"/>
      <c r="VF11" s="33"/>
      <c r="VG11" s="33"/>
      <c r="VH11" s="33"/>
      <c r="VI11" s="33"/>
      <c r="VJ11" s="33"/>
      <c r="VK11" s="33"/>
      <c r="VL11" s="33"/>
      <c r="VM11" s="33"/>
      <c r="VN11" s="33"/>
      <c r="VO11" s="33"/>
      <c r="VP11" s="33"/>
      <c r="VQ11" s="33"/>
      <c r="VR11" s="33"/>
      <c r="VS11" s="33"/>
      <c r="VT11" s="33"/>
      <c r="VU11" s="33"/>
      <c r="VV11" s="33"/>
      <c r="VW11" s="33"/>
      <c r="VX11" s="33"/>
      <c r="VY11" s="33"/>
      <c r="VZ11" s="33"/>
      <c r="WA11" s="33"/>
      <c r="WB11" s="33"/>
      <c r="WC11" s="33"/>
      <c r="WD11" s="33"/>
      <c r="WE11" s="33"/>
      <c r="WF11" s="33"/>
      <c r="WG11" s="33"/>
      <c r="WH11" s="33"/>
      <c r="WI11" s="33"/>
      <c r="WJ11" s="33"/>
      <c r="WK11" s="33"/>
      <c r="WL11" s="33"/>
      <c r="WM11" s="33"/>
      <c r="WN11" s="33"/>
      <c r="WO11" s="33"/>
      <c r="WP11" s="33"/>
      <c r="WQ11" s="33"/>
      <c r="WR11" s="33"/>
      <c r="WS11" s="33"/>
      <c r="WT11" s="33"/>
      <c r="WU11" s="33"/>
      <c r="WV11" s="33"/>
      <c r="WW11" s="33"/>
      <c r="WX11" s="33"/>
      <c r="WY11" s="33"/>
      <c r="WZ11" s="33"/>
      <c r="XA11" s="33"/>
      <c r="XB11" s="33"/>
      <c r="XC11" s="33"/>
      <c r="XD11" s="33"/>
      <c r="XE11" s="33"/>
      <c r="XF11" s="33"/>
      <c r="XG11" s="33"/>
      <c r="XH11" s="33"/>
      <c r="XI11" s="33"/>
      <c r="XJ11" s="33"/>
      <c r="XK11" s="33"/>
      <c r="XL11" s="33"/>
      <c r="XM11" s="33"/>
      <c r="XN11" s="33"/>
      <c r="XO11" s="33"/>
      <c r="XP11" s="33"/>
      <c r="XQ11" s="33"/>
      <c r="XR11" s="33"/>
      <c r="XS11" s="33"/>
      <c r="XT11" s="33"/>
      <c r="XU11" s="33"/>
      <c r="XV11" s="33"/>
      <c r="XW11" s="33"/>
      <c r="XX11" s="33"/>
      <c r="XY11" s="33"/>
      <c r="XZ11" s="33"/>
      <c r="YA11" s="33"/>
      <c r="YB11" s="33"/>
      <c r="YC11" s="33"/>
      <c r="YD11" s="33"/>
      <c r="YE11" s="33"/>
      <c r="YF11" s="33"/>
      <c r="YG11" s="33"/>
      <c r="YH11" s="33"/>
      <c r="YI11" s="33"/>
      <c r="YJ11" s="33"/>
      <c r="YK11" s="33"/>
      <c r="YL11" s="33"/>
      <c r="YM11" s="33"/>
      <c r="YN11" s="33"/>
      <c r="YO11" s="33"/>
      <c r="YP11" s="33"/>
      <c r="YQ11" s="33"/>
      <c r="YR11" s="33"/>
      <c r="YS11" s="33"/>
      <c r="YT11" s="33"/>
      <c r="YU11" s="33"/>
      <c r="YV11" s="33"/>
      <c r="YW11" s="33"/>
      <c r="YX11" s="33"/>
      <c r="YY11" s="33"/>
      <c r="YZ11" s="33"/>
      <c r="ZA11" s="33"/>
      <c r="ZB11" s="33"/>
      <c r="ZC11" s="33"/>
      <c r="ZD11" s="33"/>
      <c r="ZE11" s="33"/>
      <c r="ZF11" s="33"/>
      <c r="ZG11" s="33"/>
      <c r="ZH11" s="33"/>
      <c r="ZI11" s="33"/>
      <c r="ZJ11" s="33"/>
      <c r="ZK11" s="33"/>
      <c r="ZL11" s="33"/>
      <c r="ZM11" s="33"/>
      <c r="ZN11" s="33"/>
      <c r="ZO11" s="33"/>
      <c r="ZP11" s="33"/>
      <c r="ZQ11" s="33"/>
      <c r="ZR11" s="33"/>
      <c r="ZS11" s="33"/>
      <c r="ZT11" s="33"/>
      <c r="ZU11" s="33"/>
      <c r="ZV11" s="33"/>
      <c r="ZW11" s="33"/>
      <c r="ZX11" s="33"/>
      <c r="ZY11" s="33"/>
      <c r="ZZ11" s="33"/>
      <c r="AAA11" s="33"/>
      <c r="AAB11" s="33"/>
      <c r="AAC11" s="33"/>
      <c r="AAD11" s="33"/>
      <c r="AAE11" s="33"/>
      <c r="AAF11" s="33"/>
      <c r="AAG11" s="33"/>
      <c r="AAH11" s="33"/>
      <c r="AAI11" s="33"/>
      <c r="AAJ11" s="33"/>
      <c r="AAK11" s="33"/>
      <c r="AAL11" s="33"/>
      <c r="AAM11" s="33"/>
      <c r="AAN11" s="33"/>
      <c r="AAO11" s="33"/>
      <c r="AAP11" s="33"/>
      <c r="AAQ11" s="33"/>
      <c r="AAR11" s="33"/>
      <c r="AAS11" s="33"/>
      <c r="AAT11" s="33"/>
      <c r="AAU11" s="33"/>
      <c r="AAV11" s="33"/>
      <c r="AAW11" s="33"/>
      <c r="AAX11" s="33"/>
      <c r="AAY11" s="33"/>
      <c r="AAZ11" s="33"/>
      <c r="ABA11" s="33"/>
      <c r="ABB11" s="33"/>
      <c r="ABC11" s="33"/>
      <c r="ABD11" s="33"/>
      <c r="ABE11" s="33"/>
      <c r="ABF11" s="33"/>
      <c r="ABG11" s="33"/>
      <c r="ABH11" s="33"/>
      <c r="ABI11" s="33"/>
      <c r="ABJ11" s="33"/>
      <c r="ABK11" s="33"/>
      <c r="ABL11" s="33"/>
      <c r="ABM11" s="33"/>
      <c r="ABN11" s="33"/>
      <c r="ABO11" s="33"/>
      <c r="ABP11" s="33"/>
      <c r="ABQ11" s="33"/>
      <c r="ABR11" s="33"/>
      <c r="ABS11" s="33"/>
      <c r="ABT11" s="33"/>
      <c r="ABU11" s="33"/>
      <c r="ABV11" s="33"/>
      <c r="ABW11" s="33"/>
      <c r="ABX11" s="33"/>
      <c r="ABY11" s="33"/>
      <c r="ABZ11" s="33"/>
      <c r="ACA11" s="33"/>
      <c r="ACB11" s="33"/>
      <c r="ACC11" s="33"/>
      <c r="ACD11" s="33"/>
      <c r="ACE11" s="33"/>
      <c r="ACF11" s="33"/>
      <c r="ACG11" s="33"/>
      <c r="ACH11" s="33"/>
      <c r="ACI11" s="33"/>
      <c r="ACJ11" s="33"/>
      <c r="ACK11" s="33"/>
      <c r="ACL11" s="33"/>
      <c r="ACM11" s="33"/>
      <c r="ACN11" s="33"/>
      <c r="ACO11" s="33"/>
      <c r="ACP11" s="33"/>
      <c r="ACQ11" s="33"/>
      <c r="ACR11" s="33"/>
      <c r="ACS11" s="33"/>
      <c r="ACT11" s="33"/>
      <c r="ACU11" s="33"/>
      <c r="ACV11" s="33"/>
      <c r="ACW11" s="33"/>
      <c r="ACX11" s="33"/>
      <c r="ACY11" s="33"/>
      <c r="ACZ11" s="33"/>
      <c r="ADA11" s="33"/>
      <c r="ADB11" s="33"/>
      <c r="ADC11" s="33"/>
      <c r="ADD11" s="33"/>
      <c r="ADE11" s="33"/>
      <c r="ADF11" s="33"/>
      <c r="ADG11" s="33"/>
      <c r="ADH11" s="33"/>
      <c r="ADI11" s="33"/>
      <c r="ADJ11" s="33"/>
      <c r="ADK11" s="33"/>
      <c r="ADL11" s="33"/>
      <c r="ADM11" s="33"/>
      <c r="ADN11" s="33"/>
      <c r="ADO11" s="33"/>
      <c r="ADP11" s="33"/>
      <c r="ADQ11" s="33"/>
      <c r="ADR11" s="33"/>
      <c r="ADS11" s="33"/>
      <c r="ADT11" s="33"/>
      <c r="ADU11" s="33"/>
      <c r="ADV11" s="33"/>
      <c r="ADW11" s="33"/>
      <c r="ADX11" s="33"/>
      <c r="ADY11" s="33"/>
      <c r="ADZ11" s="33"/>
      <c r="AEA11" s="33"/>
      <c r="AEB11" s="33"/>
      <c r="AEC11" s="33"/>
      <c r="AED11" s="33"/>
      <c r="AEE11" s="33"/>
      <c r="AEF11" s="33"/>
      <c r="AEG11" s="33"/>
      <c r="AEH11" s="33"/>
      <c r="AEI11" s="33"/>
      <c r="AEJ11" s="33"/>
      <c r="AEK11" s="33"/>
      <c r="AEL11" s="33"/>
      <c r="AEM11" s="33"/>
      <c r="AEN11" s="33"/>
      <c r="AEO11" s="33"/>
      <c r="AEP11" s="33"/>
      <c r="AEQ11" s="33"/>
      <c r="AER11" s="33"/>
      <c r="AES11" s="33"/>
      <c r="AET11" s="33"/>
      <c r="AEU11" s="33"/>
      <c r="AEV11" s="33"/>
      <c r="AEW11" s="33"/>
      <c r="AEX11" s="33"/>
      <c r="AEY11" s="33"/>
      <c r="AEZ11" s="33"/>
      <c r="AFA11" s="33"/>
      <c r="AFB11" s="33"/>
      <c r="AFC11" s="33"/>
      <c r="AFD11" s="33"/>
      <c r="AFE11" s="33"/>
      <c r="AFF11" s="33"/>
      <c r="AFG11" s="33"/>
      <c r="AFH11" s="33"/>
      <c r="AFI11" s="33"/>
      <c r="AFJ11" s="33"/>
      <c r="AFK11" s="33"/>
      <c r="AFL11" s="33"/>
      <c r="AFM11" s="33"/>
      <c r="AFN11" s="33"/>
      <c r="AFO11" s="33"/>
      <c r="AFP11" s="33"/>
      <c r="AFQ11" s="33"/>
      <c r="AFR11" s="33"/>
      <c r="AFS11" s="33"/>
      <c r="AFT11" s="33"/>
      <c r="AFU11" s="33"/>
      <c r="AFV11" s="33"/>
      <c r="AFW11" s="33"/>
      <c r="AFX11" s="33"/>
      <c r="AFY11" s="33"/>
      <c r="AFZ11" s="33"/>
      <c r="AGA11" s="33"/>
      <c r="AGB11" s="33"/>
      <c r="AGC11" s="33"/>
      <c r="AGD11" s="33"/>
      <c r="AGE11" s="33"/>
      <c r="AGF11" s="33"/>
      <c r="AGG11" s="33"/>
      <c r="AGH11" s="33"/>
      <c r="AGI11" s="33"/>
      <c r="AGJ11" s="33"/>
      <c r="AGK11" s="33"/>
      <c r="AGL11" s="33"/>
      <c r="AGM11" s="33"/>
      <c r="AGN11" s="33"/>
      <c r="AGO11" s="33"/>
      <c r="AGP11" s="33"/>
      <c r="AGQ11" s="33"/>
      <c r="AGR11" s="33"/>
      <c r="AGS11" s="33"/>
      <c r="AGT11" s="33"/>
      <c r="AGU11" s="33"/>
      <c r="AGV11" s="33"/>
      <c r="AGW11" s="33"/>
      <c r="AGX11" s="33"/>
      <c r="AGY11" s="33"/>
      <c r="AGZ11" s="33"/>
      <c r="AHA11" s="33"/>
      <c r="AHB11" s="33"/>
      <c r="AHC11" s="33"/>
      <c r="AHD11" s="33"/>
      <c r="AHE11" s="33"/>
      <c r="AHF11" s="33"/>
      <c r="AHG11" s="33"/>
      <c r="AHH11" s="33"/>
      <c r="AHI11" s="33"/>
      <c r="AHJ11" s="33"/>
      <c r="AHK11" s="33"/>
      <c r="AHL11" s="33"/>
      <c r="AHM11" s="33"/>
      <c r="AHN11" s="33"/>
      <c r="AHO11" s="33"/>
      <c r="AHP11" s="33"/>
      <c r="AHQ11" s="33"/>
      <c r="AHR11" s="33"/>
      <c r="AHS11" s="33"/>
      <c r="AHT11" s="33"/>
      <c r="AHU11" s="33"/>
      <c r="AHV11" s="33"/>
      <c r="AHW11" s="33"/>
      <c r="AHX11" s="33"/>
      <c r="AHY11" s="33"/>
      <c r="AHZ11" s="33"/>
      <c r="AIA11" s="33"/>
      <c r="AIB11" s="33"/>
      <c r="AIC11" s="33"/>
      <c r="AID11" s="33"/>
      <c r="AIE11" s="33"/>
      <c r="AIF11" s="33"/>
      <c r="AIG11" s="33"/>
      <c r="AIH11" s="33"/>
      <c r="AII11" s="33"/>
      <c r="AIJ11" s="33"/>
      <c r="AIK11" s="33"/>
      <c r="AIL11" s="33"/>
      <c r="AIM11" s="33"/>
      <c r="AIN11" s="33"/>
      <c r="AIO11" s="33"/>
      <c r="AIP11" s="33"/>
      <c r="AIQ11" s="33"/>
      <c r="AIR11" s="33"/>
      <c r="AIS11" s="33"/>
      <c r="AIT11" s="33"/>
      <c r="AIU11" s="33"/>
      <c r="AIV11" s="33"/>
      <c r="AIW11" s="33"/>
      <c r="AIX11" s="33"/>
      <c r="AIY11" s="33"/>
      <c r="AIZ11" s="33"/>
      <c r="AJA11" s="33"/>
      <c r="AJB11" s="33"/>
      <c r="AJC11" s="33"/>
      <c r="AJD11" s="33"/>
      <c r="AJE11" s="33"/>
      <c r="AJF11" s="33"/>
      <c r="AJG11" s="33"/>
      <c r="AJH11" s="33"/>
      <c r="AJI11" s="33"/>
      <c r="AJJ11" s="33"/>
      <c r="AJK11" s="33"/>
      <c r="AJL11" s="33"/>
      <c r="AJM11" s="33"/>
      <c r="AJN11" s="33"/>
      <c r="AJO11" s="33"/>
      <c r="AJP11" s="33"/>
      <c r="AJQ11" s="33"/>
      <c r="AJR11" s="33"/>
      <c r="AJS11" s="33"/>
      <c r="AJT11" s="33"/>
      <c r="AJU11" s="33"/>
      <c r="AJV11" s="33"/>
      <c r="AJW11" s="33"/>
      <c r="AJX11" s="33"/>
      <c r="AJY11" s="33"/>
      <c r="AJZ11" s="33"/>
      <c r="AKA11" s="33"/>
      <c r="AKB11" s="33"/>
      <c r="AKC11" s="33"/>
      <c r="AKD11" s="33"/>
      <c r="AKE11" s="33"/>
      <c r="AKF11" s="33"/>
      <c r="AKG11" s="33"/>
      <c r="AKH11" s="33"/>
      <c r="AKI11" s="33"/>
      <c r="AKJ11" s="33"/>
      <c r="AKK11" s="33"/>
      <c r="AKL11" s="33"/>
      <c r="AKM11" s="33"/>
      <c r="AKN11" s="33"/>
      <c r="AKO11" s="33"/>
      <c r="AKP11" s="33"/>
      <c r="AKQ11" s="33"/>
      <c r="AKR11" s="33"/>
      <c r="AKS11" s="33"/>
      <c r="AKT11" s="33"/>
      <c r="AKU11" s="33"/>
      <c r="AKV11" s="33"/>
      <c r="AKW11" s="33"/>
      <c r="AKX11" s="33"/>
      <c r="AKY11" s="33"/>
      <c r="AKZ11" s="33"/>
      <c r="ALA11" s="33"/>
      <c r="ALB11" s="33"/>
      <c r="ALC11" s="33"/>
      <c r="ALD11" s="33"/>
      <c r="ALE11" s="33"/>
      <c r="ALF11" s="33"/>
      <c r="ALG11" s="33"/>
      <c r="ALH11" s="33"/>
      <c r="ALI11" s="33"/>
      <c r="ALJ11" s="33"/>
      <c r="ALK11" s="33"/>
      <c r="ALL11" s="33"/>
      <c r="ALM11" s="33"/>
      <c r="ALN11" s="33"/>
      <c r="ALO11" s="33"/>
      <c r="ALP11" s="33"/>
      <c r="ALQ11" s="33"/>
      <c r="ALR11" s="33"/>
      <c r="ALS11" s="33"/>
      <c r="ALT11" s="33"/>
      <c r="ALU11" s="33"/>
      <c r="ALV11" s="33"/>
      <c r="ALW11" s="33"/>
      <c r="ALX11" s="33"/>
      <c r="ALY11" s="33"/>
      <c r="ALZ11" s="33"/>
      <c r="AMA11" s="33"/>
      <c r="AMB11" s="33"/>
      <c r="AMC11" s="33"/>
      <c r="AMD11" s="33"/>
      <c r="AME11" s="33"/>
      <c r="AMF11" s="33"/>
      <c r="AMG11" s="33"/>
      <c r="AMH11" s="33"/>
      <c r="AMI11" s="33"/>
      <c r="AMJ11" s="33"/>
      <c r="AMK11" s="33"/>
      <c r="AML11" s="33"/>
    </row>
    <row r="12" ht="15.75" customHeight="1">
      <c r="A12" s="8" t="s">
        <v>20</v>
      </c>
      <c r="B12" s="8" t="s">
        <v>20</v>
      </c>
      <c r="C12" s="8" t="s">
        <v>24</v>
      </c>
      <c r="D12" s="8" t="s">
        <v>28</v>
      </c>
      <c r="E12" s="8" t="s">
        <v>28</v>
      </c>
      <c r="F12" s="8" t="s">
        <v>23</v>
      </c>
      <c r="G12" s="8">
        <v>1.0</v>
      </c>
      <c r="H12" s="8">
        <v>1.0</v>
      </c>
      <c r="I12" s="8">
        <v>1.0</v>
      </c>
      <c r="J12" s="8"/>
      <c r="K12" s="8">
        <v>0.0</v>
      </c>
      <c r="L12" s="8">
        <v>0.0</v>
      </c>
      <c r="M12" s="8">
        <v>0.0</v>
      </c>
      <c r="N12" s="8"/>
      <c r="O12" s="8">
        <v>0.0</v>
      </c>
      <c r="P12">
        <v>0.0</v>
      </c>
      <c r="Q12">
        <v>0.0</v>
      </c>
      <c r="R12">
        <v>0.0</v>
      </c>
      <c r="S12">
        <v>0.0</v>
      </c>
      <c r="T12" t="s">
        <v>28</v>
      </c>
      <c r="AB12" t="s">
        <v>20</v>
      </c>
      <c r="AC12" t="s">
        <v>20</v>
      </c>
      <c r="AD12" t="s">
        <v>20</v>
      </c>
      <c r="AE12" t="s">
        <v>20</v>
      </c>
      <c r="AF12" t="s">
        <v>20</v>
      </c>
      <c r="AG12" t="s">
        <v>20</v>
      </c>
      <c r="AH12" t="s">
        <v>20</v>
      </c>
      <c r="AI12" t="s">
        <v>20</v>
      </c>
      <c r="AJ12" t="s">
        <v>20</v>
      </c>
      <c r="AK12" t="s">
        <v>20</v>
      </c>
      <c r="AL12" t="s">
        <v>20</v>
      </c>
      <c r="AM12" t="s">
        <v>20</v>
      </c>
      <c r="AN12" t="s">
        <v>20</v>
      </c>
      <c r="AO12" t="s">
        <v>20</v>
      </c>
      <c r="AP12" t="s">
        <v>20</v>
      </c>
      <c r="AQ12" t="s">
        <v>20</v>
      </c>
      <c r="AR12" t="s">
        <v>20</v>
      </c>
      <c r="AS12" t="s">
        <v>20</v>
      </c>
      <c r="AT12" t="s">
        <v>20</v>
      </c>
      <c r="AU12" t="s">
        <v>20</v>
      </c>
      <c r="AV12" t="s">
        <v>20</v>
      </c>
      <c r="AW12" t="s">
        <v>20</v>
      </c>
      <c r="AX12" t="s">
        <v>20</v>
      </c>
      <c r="AY12" t="s">
        <v>20</v>
      </c>
      <c r="AZ12" t="s">
        <v>20</v>
      </c>
      <c r="BA12" t="s">
        <v>20</v>
      </c>
      <c r="BB12" t="s">
        <v>20</v>
      </c>
      <c r="BC12" t="s">
        <v>20</v>
      </c>
      <c r="BD12" t="s">
        <v>20</v>
      </c>
      <c r="BE12" t="s">
        <v>20</v>
      </c>
      <c r="BF12" t="s">
        <v>20</v>
      </c>
      <c r="BG12" t="s">
        <v>20</v>
      </c>
      <c r="BH12" t="s">
        <v>20</v>
      </c>
      <c r="BI12" t="s">
        <v>20</v>
      </c>
      <c r="BJ12" t="s">
        <v>20</v>
      </c>
      <c r="BK12" t="s">
        <v>20</v>
      </c>
      <c r="BL12" t="s">
        <v>20</v>
      </c>
      <c r="BM12" t="s">
        <v>20</v>
      </c>
      <c r="BN12" t="s">
        <v>20</v>
      </c>
      <c r="BO12" t="s">
        <v>20</v>
      </c>
      <c r="BP12" t="s">
        <v>20</v>
      </c>
      <c r="BQ12" t="s">
        <v>20</v>
      </c>
      <c r="BR12" t="s">
        <v>20</v>
      </c>
      <c r="BS12" t="s">
        <v>20</v>
      </c>
      <c r="BT12" t="s">
        <v>20</v>
      </c>
      <c r="BU12" t="s">
        <v>20</v>
      </c>
      <c r="BV12" t="s">
        <v>20</v>
      </c>
      <c r="BW12" t="s">
        <v>20</v>
      </c>
      <c r="BX12" t="s">
        <v>20</v>
      </c>
      <c r="BY12" t="s">
        <v>20</v>
      </c>
      <c r="BZ12" t="s">
        <v>20</v>
      </c>
      <c r="CA12" t="s">
        <v>20</v>
      </c>
      <c r="CB12" t="s">
        <v>20</v>
      </c>
      <c r="CC12" t="s">
        <v>20</v>
      </c>
      <c r="CD12" t="s">
        <v>20</v>
      </c>
      <c r="CE12" t="s">
        <v>20</v>
      </c>
      <c r="CF12" t="s">
        <v>20</v>
      </c>
      <c r="CG12" t="s">
        <v>20</v>
      </c>
      <c r="CH12" t="s">
        <v>20</v>
      </c>
      <c r="CI12" t="s">
        <v>20</v>
      </c>
      <c r="CJ12" t="s">
        <v>20</v>
      </c>
      <c r="CK12" t="s">
        <v>20</v>
      </c>
      <c r="CL12" t="s">
        <v>20</v>
      </c>
      <c r="CM12" t="s">
        <v>20</v>
      </c>
      <c r="CN12" t="s">
        <v>20</v>
      </c>
      <c r="CO12" t="s">
        <v>20</v>
      </c>
      <c r="CP12" t="s">
        <v>20</v>
      </c>
      <c r="CQ12" t="s">
        <v>20</v>
      </c>
      <c r="CR12" t="s">
        <v>20</v>
      </c>
      <c r="CS12" t="s">
        <v>20</v>
      </c>
      <c r="CT12" t="s">
        <v>20</v>
      </c>
      <c r="CU12" t="s">
        <v>20</v>
      </c>
      <c r="CV12" t="s">
        <v>20</v>
      </c>
      <c r="CW12" t="s">
        <v>20</v>
      </c>
      <c r="CX12" t="s">
        <v>20</v>
      </c>
      <c r="CY12" t="s">
        <v>20</v>
      </c>
      <c r="CZ12" t="s">
        <v>20</v>
      </c>
      <c r="DA12" t="s">
        <v>20</v>
      </c>
      <c r="DB12" t="s">
        <v>20</v>
      </c>
      <c r="DC12" t="s">
        <v>20</v>
      </c>
      <c r="DD12" t="s">
        <v>20</v>
      </c>
      <c r="DE12" t="s">
        <v>20</v>
      </c>
      <c r="DF12" t="s">
        <v>20</v>
      </c>
      <c r="DG12" t="s">
        <v>20</v>
      </c>
      <c r="DH12" t="s">
        <v>20</v>
      </c>
      <c r="DI12" t="s">
        <v>20</v>
      </c>
      <c r="DJ12" t="s">
        <v>20</v>
      </c>
      <c r="DK12" t="s">
        <v>20</v>
      </c>
      <c r="DL12" t="s">
        <v>20</v>
      </c>
      <c r="DM12" t="s">
        <v>20</v>
      </c>
      <c r="DN12" t="s">
        <v>20</v>
      </c>
      <c r="DO12" t="s">
        <v>20</v>
      </c>
      <c r="DP12" t="s">
        <v>20</v>
      </c>
      <c r="DQ12" t="s">
        <v>20</v>
      </c>
      <c r="DR12" t="s">
        <v>20</v>
      </c>
      <c r="DS12" t="s">
        <v>20</v>
      </c>
      <c r="DT12" t="s">
        <v>20</v>
      </c>
      <c r="DU12" t="s">
        <v>20</v>
      </c>
      <c r="DV12" t="s">
        <v>20</v>
      </c>
      <c r="DW12" t="s">
        <v>20</v>
      </c>
      <c r="DX12" t="s">
        <v>20</v>
      </c>
      <c r="DY12" t="s">
        <v>20</v>
      </c>
      <c r="DZ12" t="s">
        <v>20</v>
      </c>
      <c r="EA12" t="s">
        <v>20</v>
      </c>
      <c r="EB12" t="s">
        <v>20</v>
      </c>
      <c r="EC12" t="s">
        <v>20</v>
      </c>
      <c r="ED12" t="s">
        <v>20</v>
      </c>
      <c r="EE12" t="s">
        <v>20</v>
      </c>
      <c r="EF12" t="s">
        <v>20</v>
      </c>
      <c r="EG12" t="s">
        <v>20</v>
      </c>
      <c r="EH12" t="s">
        <v>20</v>
      </c>
      <c r="EI12" t="s">
        <v>20</v>
      </c>
      <c r="EJ12" t="s">
        <v>20</v>
      </c>
      <c r="EK12" t="s">
        <v>20</v>
      </c>
      <c r="EL12" t="s">
        <v>20</v>
      </c>
      <c r="EM12" t="s">
        <v>20</v>
      </c>
      <c r="EN12" t="s">
        <v>20</v>
      </c>
      <c r="EO12" t="s">
        <v>20</v>
      </c>
      <c r="EP12" t="s">
        <v>20</v>
      </c>
      <c r="EQ12" t="s">
        <v>20</v>
      </c>
      <c r="ER12" t="s">
        <v>20</v>
      </c>
      <c r="ES12" t="s">
        <v>20</v>
      </c>
      <c r="ET12" t="s">
        <v>20</v>
      </c>
      <c r="EU12" t="s">
        <v>20</v>
      </c>
      <c r="EV12" t="s">
        <v>20</v>
      </c>
      <c r="EW12" t="s">
        <v>20</v>
      </c>
      <c r="EX12" t="s">
        <v>20</v>
      </c>
      <c r="EY12" t="s">
        <v>20</v>
      </c>
      <c r="EZ12" t="s">
        <v>20</v>
      </c>
      <c r="FA12" t="s">
        <v>20</v>
      </c>
      <c r="FB12" t="s">
        <v>20</v>
      </c>
      <c r="FC12" t="s">
        <v>20</v>
      </c>
      <c r="FD12" t="s">
        <v>20</v>
      </c>
      <c r="FE12" t="s">
        <v>20</v>
      </c>
      <c r="FF12" t="s">
        <v>20</v>
      </c>
      <c r="FG12" t="s">
        <v>20</v>
      </c>
      <c r="FH12" t="s">
        <v>20</v>
      </c>
      <c r="FI12" t="s">
        <v>20</v>
      </c>
      <c r="FJ12" t="s">
        <v>20</v>
      </c>
      <c r="FK12" t="s">
        <v>20</v>
      </c>
      <c r="FL12" t="s">
        <v>20</v>
      </c>
      <c r="FM12" t="s">
        <v>20</v>
      </c>
      <c r="FN12" t="s">
        <v>20</v>
      </c>
      <c r="FO12" t="s">
        <v>20</v>
      </c>
      <c r="FP12" t="s">
        <v>20</v>
      </c>
      <c r="FQ12" t="s">
        <v>20</v>
      </c>
      <c r="FR12" s="33"/>
      <c r="FS12" s="33"/>
      <c r="FT12" s="33"/>
      <c r="FU12" s="33"/>
      <c r="FV12" s="33"/>
      <c r="FW12" s="33"/>
      <c r="FX12" s="33"/>
      <c r="FY12" s="33"/>
      <c r="FZ12" s="33"/>
      <c r="GA12" s="33"/>
      <c r="GB12" s="33"/>
      <c r="GC12" s="33"/>
      <c r="GD12" s="33"/>
      <c r="GE12" s="33"/>
      <c r="GF12" s="33"/>
      <c r="GG12" s="33"/>
      <c r="GH12" s="33"/>
      <c r="GI12" s="33"/>
      <c r="GJ12" s="33"/>
      <c r="GK12" s="33"/>
      <c r="GL12" s="33"/>
      <c r="GM12" s="33"/>
      <c r="GN12" s="33"/>
      <c r="GO12" s="33"/>
      <c r="GP12" s="33"/>
      <c r="GQ12" s="33"/>
      <c r="GR12" s="33"/>
      <c r="GS12" s="33"/>
      <c r="GT12" s="33"/>
      <c r="GU12" s="33"/>
      <c r="GV12" s="33"/>
      <c r="GW12" s="33"/>
      <c r="GX12" s="33"/>
      <c r="GY12" s="33"/>
      <c r="GZ12" s="33"/>
      <c r="HA12" s="33"/>
      <c r="HB12" s="33"/>
      <c r="HC12" s="33"/>
      <c r="HD12" s="33"/>
      <c r="HE12" s="33"/>
      <c r="HF12" s="33"/>
      <c r="HG12" s="33"/>
      <c r="HH12" s="33"/>
      <c r="HI12" s="33"/>
      <c r="HJ12" s="33"/>
      <c r="HK12" s="33"/>
      <c r="HL12" s="33"/>
      <c r="HM12" s="33"/>
      <c r="HN12" s="33"/>
      <c r="HO12" s="33"/>
      <c r="HP12" s="33"/>
      <c r="HQ12" s="33"/>
      <c r="HR12" s="33"/>
      <c r="HS12" s="33"/>
      <c r="HT12" s="33"/>
      <c r="HU12" s="33"/>
      <c r="HV12" s="33"/>
      <c r="HW12" s="33"/>
      <c r="HX12" s="33"/>
      <c r="HY12" s="33"/>
      <c r="HZ12" s="33"/>
      <c r="IA12" s="33"/>
      <c r="IB12" s="33"/>
      <c r="IC12" s="33"/>
      <c r="ID12" s="33"/>
      <c r="IE12" s="33"/>
      <c r="IF12" s="33"/>
      <c r="IG12" s="33"/>
      <c r="IH12" s="33"/>
      <c r="II12" s="33"/>
      <c r="IJ12" s="33"/>
      <c r="IK12" s="33"/>
      <c r="IL12" s="33"/>
      <c r="IM12" s="33"/>
      <c r="IN12" s="33"/>
      <c r="IO12" s="33"/>
      <c r="IP12" s="33"/>
      <c r="IQ12" s="33"/>
      <c r="IR12" s="33"/>
      <c r="IS12" s="33"/>
      <c r="IT12" s="33"/>
      <c r="IU12" s="33"/>
      <c r="IV12" s="33"/>
      <c r="IW12" s="33"/>
      <c r="IX12" s="33"/>
      <c r="IY12" s="33"/>
      <c r="IZ12" s="33"/>
      <c r="JA12" s="33"/>
      <c r="JB12" s="33"/>
      <c r="JC12" s="33"/>
      <c r="JD12" s="33"/>
      <c r="JE12" s="33"/>
      <c r="JF12" s="33"/>
      <c r="JG12" s="33"/>
      <c r="JH12" s="33"/>
      <c r="JI12" s="33"/>
      <c r="JJ12" s="33"/>
      <c r="JK12" s="33"/>
      <c r="JL12" s="33"/>
      <c r="JM12" s="33"/>
      <c r="JN12" s="33"/>
      <c r="JO12" s="33"/>
      <c r="JP12" s="33"/>
      <c r="JQ12" s="33"/>
      <c r="JR12" s="33"/>
      <c r="JS12" s="33"/>
      <c r="JT12" s="33"/>
      <c r="JU12" s="33"/>
      <c r="JV12" s="33"/>
      <c r="JW12" s="33"/>
      <c r="JX12" s="33"/>
      <c r="JY12" s="33"/>
      <c r="JZ12" s="33"/>
      <c r="KA12" s="33"/>
      <c r="KB12" s="33"/>
      <c r="KC12" s="33"/>
      <c r="KD12" s="33"/>
      <c r="KE12" s="33"/>
      <c r="KF12" s="33"/>
      <c r="KG12" s="33"/>
      <c r="KH12" s="33"/>
      <c r="KI12" s="33"/>
      <c r="KJ12" s="33"/>
      <c r="KK12" s="33"/>
      <c r="KL12" s="33"/>
      <c r="KM12" s="33"/>
      <c r="KN12" s="33"/>
      <c r="KO12" s="33"/>
      <c r="KP12" s="33"/>
      <c r="KQ12" s="33"/>
      <c r="KR12" s="33"/>
      <c r="KS12" s="33"/>
      <c r="KT12" s="33"/>
      <c r="KU12" s="33"/>
      <c r="KV12" s="33"/>
      <c r="KW12" s="33"/>
      <c r="KX12" s="33"/>
      <c r="KY12" s="33"/>
      <c r="KZ12" s="33"/>
      <c r="LA12" s="33"/>
      <c r="LB12" s="33"/>
      <c r="LC12" s="33"/>
      <c r="LD12" s="33"/>
      <c r="LE12" s="33"/>
      <c r="LF12" s="33"/>
      <c r="LG12" s="33"/>
      <c r="LH12" s="33"/>
      <c r="LI12" s="33"/>
      <c r="LJ12" s="33"/>
      <c r="LK12" s="33"/>
      <c r="LL12" s="33"/>
      <c r="LM12" s="33"/>
      <c r="LN12" s="33"/>
      <c r="LO12" s="33"/>
      <c r="LP12" s="33"/>
      <c r="LQ12" s="33"/>
      <c r="LR12" s="33"/>
      <c r="LS12" s="33"/>
      <c r="LT12" s="33"/>
      <c r="LU12" s="33"/>
      <c r="LV12" s="33"/>
      <c r="LW12" s="33"/>
      <c r="LX12" s="33"/>
      <c r="LY12" s="33"/>
      <c r="LZ12" s="33"/>
      <c r="MA12" s="33"/>
      <c r="MB12" s="33"/>
      <c r="MC12" s="33"/>
      <c r="MD12" s="33"/>
      <c r="ME12" s="33"/>
      <c r="MF12" s="33"/>
      <c r="MG12" s="33"/>
      <c r="MH12" s="33"/>
      <c r="MI12" s="33"/>
      <c r="MJ12" s="33"/>
      <c r="MK12" s="33"/>
      <c r="ML12" s="33"/>
      <c r="MM12" s="33"/>
      <c r="MN12" s="33"/>
      <c r="MO12" s="33"/>
      <c r="MP12" s="33"/>
      <c r="MQ12" s="33"/>
      <c r="MR12" s="33"/>
      <c r="MS12" s="33"/>
      <c r="MT12" s="33"/>
      <c r="MU12" s="33"/>
      <c r="MV12" s="33"/>
      <c r="MW12" s="33"/>
      <c r="MX12" s="33"/>
      <c r="MY12" s="33"/>
      <c r="MZ12" s="33"/>
      <c r="NA12" s="33"/>
      <c r="NB12" s="33"/>
      <c r="NC12" s="33"/>
      <c r="ND12" s="33"/>
      <c r="NE12" s="33"/>
      <c r="NF12" s="33"/>
      <c r="NG12" s="33"/>
      <c r="NH12" s="33"/>
      <c r="NI12" s="33"/>
      <c r="NJ12" s="33"/>
      <c r="NK12" s="33"/>
      <c r="NL12" s="33"/>
      <c r="NM12" s="33"/>
      <c r="NN12" s="33"/>
      <c r="NO12" s="33"/>
      <c r="NP12" s="33"/>
      <c r="NQ12" s="33"/>
      <c r="NR12" s="33"/>
      <c r="NS12" s="33"/>
      <c r="NT12" s="33"/>
      <c r="NU12" s="33"/>
      <c r="NV12" s="33"/>
      <c r="NW12" s="33"/>
      <c r="NX12" s="33"/>
      <c r="NY12" s="33"/>
      <c r="NZ12" s="33"/>
      <c r="OA12" s="33"/>
      <c r="OB12" s="33"/>
      <c r="OC12" s="33"/>
      <c r="OD12" s="33"/>
      <c r="OE12" s="33"/>
      <c r="OF12" s="33"/>
      <c r="OG12" s="33"/>
      <c r="OH12" s="33"/>
      <c r="OI12" s="33"/>
      <c r="OJ12" s="33"/>
      <c r="OK12" s="33"/>
      <c r="OL12" s="33"/>
      <c r="OM12" s="33"/>
      <c r="ON12" s="33"/>
      <c r="OO12" s="33"/>
      <c r="OP12" s="33"/>
      <c r="OQ12" s="33"/>
      <c r="OR12" s="33"/>
      <c r="OS12" s="33"/>
      <c r="OT12" s="33"/>
      <c r="OU12" s="33"/>
      <c r="OV12" s="33"/>
      <c r="OW12" s="33"/>
      <c r="OX12" s="33"/>
      <c r="OY12" s="33"/>
      <c r="OZ12" s="33"/>
      <c r="PA12" s="33"/>
      <c r="PB12" s="33"/>
      <c r="PC12" s="33"/>
      <c r="PD12" s="33"/>
      <c r="PE12" s="33"/>
      <c r="PF12" s="33"/>
      <c r="PG12" s="33"/>
      <c r="PH12" s="33"/>
      <c r="PI12" s="33"/>
      <c r="PJ12" s="33"/>
      <c r="PK12" s="33"/>
      <c r="PL12" s="33"/>
      <c r="PM12" s="33"/>
      <c r="PN12" s="33"/>
      <c r="PO12" s="33"/>
      <c r="PP12" s="33"/>
      <c r="PQ12" s="33"/>
      <c r="PR12" s="33"/>
      <c r="PS12" s="33"/>
      <c r="PT12" s="33"/>
      <c r="PU12" s="33"/>
      <c r="PV12" s="33"/>
      <c r="PW12" s="33"/>
      <c r="PX12" s="33"/>
      <c r="PY12" s="33"/>
      <c r="PZ12" s="33"/>
      <c r="QA12" s="33"/>
      <c r="QB12" s="33"/>
      <c r="QC12" s="33"/>
      <c r="QD12" s="33"/>
      <c r="QE12" s="33"/>
      <c r="QF12" s="33"/>
      <c r="QG12" s="33"/>
      <c r="QH12" s="33"/>
      <c r="QI12" s="33"/>
      <c r="QJ12" s="33"/>
      <c r="QK12" s="33"/>
      <c r="QL12" s="33"/>
      <c r="QM12" s="33"/>
      <c r="QN12" s="33"/>
      <c r="QO12" s="33"/>
      <c r="QP12" s="33"/>
      <c r="QQ12" s="33"/>
      <c r="QR12" s="33"/>
      <c r="QS12" s="33"/>
      <c r="QT12" s="33"/>
      <c r="QU12" s="33"/>
      <c r="QV12" s="33"/>
      <c r="QW12" s="33"/>
      <c r="QX12" s="33"/>
      <c r="QY12" s="33"/>
      <c r="QZ12" s="33"/>
      <c r="RA12" s="33"/>
      <c r="RB12" s="33"/>
      <c r="RC12" s="33"/>
      <c r="RD12" s="33"/>
      <c r="RE12" s="33"/>
      <c r="RF12" s="33"/>
      <c r="RG12" s="33"/>
      <c r="RH12" s="33"/>
      <c r="RI12" s="33"/>
      <c r="RJ12" s="33"/>
      <c r="RK12" s="33"/>
      <c r="RL12" s="33"/>
      <c r="RM12" s="33"/>
      <c r="RN12" s="33"/>
      <c r="RO12" s="33"/>
      <c r="RP12" s="33"/>
      <c r="RQ12" s="33"/>
      <c r="RR12" s="33"/>
      <c r="RS12" s="33"/>
      <c r="RT12" s="33"/>
      <c r="RU12" s="33"/>
      <c r="RV12" s="33"/>
      <c r="RW12" s="33"/>
      <c r="RX12" s="33"/>
      <c r="RY12" s="33"/>
      <c r="RZ12" s="33"/>
      <c r="SA12" s="33"/>
      <c r="SB12" s="33"/>
      <c r="SC12" s="33"/>
      <c r="SD12" s="33"/>
      <c r="SE12" s="33"/>
      <c r="SF12" s="33"/>
      <c r="SG12" s="33"/>
      <c r="SH12" s="33"/>
      <c r="SI12" s="33"/>
      <c r="SJ12" s="33"/>
      <c r="SK12" s="33"/>
      <c r="SL12" s="33"/>
      <c r="SM12" s="33"/>
      <c r="SN12" s="33"/>
      <c r="SO12" s="33"/>
      <c r="SP12" s="33"/>
      <c r="SQ12" s="33"/>
      <c r="SR12" s="33"/>
      <c r="SS12" s="33"/>
      <c r="ST12" s="33"/>
      <c r="SU12" s="33"/>
      <c r="SV12" s="33"/>
      <c r="SW12" s="33"/>
      <c r="SX12" s="33"/>
      <c r="SY12" s="33"/>
      <c r="SZ12" s="33"/>
      <c r="TA12" s="33"/>
      <c r="TB12" s="33"/>
      <c r="TC12" s="33"/>
      <c r="TD12" s="33"/>
      <c r="TE12" s="33"/>
      <c r="TF12" s="33"/>
      <c r="TG12" s="33"/>
      <c r="TH12" s="33"/>
      <c r="TI12" s="33"/>
      <c r="TJ12" s="33"/>
      <c r="TK12" s="33"/>
      <c r="TL12" s="33"/>
      <c r="TM12" s="33"/>
      <c r="TN12" s="33"/>
      <c r="TO12" s="33"/>
      <c r="TP12" s="33"/>
      <c r="TQ12" s="33"/>
      <c r="TR12" s="33"/>
      <c r="TS12" s="33"/>
      <c r="TT12" s="33"/>
      <c r="TU12" s="33"/>
      <c r="TV12" s="33"/>
      <c r="TW12" s="33"/>
      <c r="TX12" s="33"/>
      <c r="TY12" s="33"/>
      <c r="TZ12" s="33"/>
      <c r="UA12" s="33"/>
      <c r="UB12" s="33"/>
      <c r="UC12" s="33"/>
      <c r="UD12" s="33"/>
      <c r="UE12" s="33"/>
      <c r="UF12" s="33"/>
      <c r="UG12" s="33"/>
      <c r="UH12" s="33"/>
      <c r="UI12" s="33"/>
      <c r="UJ12" s="33"/>
      <c r="UK12" s="33"/>
      <c r="UL12" s="33"/>
      <c r="UM12" s="33"/>
      <c r="UN12" s="33"/>
      <c r="UO12" s="33"/>
      <c r="UP12" s="33"/>
      <c r="UQ12" s="33"/>
      <c r="UR12" s="33"/>
      <c r="US12" s="33"/>
      <c r="UT12" s="33"/>
      <c r="UU12" s="33"/>
      <c r="UV12" s="33"/>
      <c r="UW12" s="33"/>
      <c r="UX12" s="33"/>
      <c r="UY12" s="33"/>
      <c r="UZ12" s="33"/>
      <c r="VA12" s="33"/>
      <c r="VB12" s="33"/>
      <c r="VC12" s="33"/>
      <c r="VD12" s="33"/>
      <c r="VE12" s="33"/>
      <c r="VF12" s="33"/>
      <c r="VG12" s="33"/>
      <c r="VH12" s="33"/>
      <c r="VI12" s="33"/>
      <c r="VJ12" s="33"/>
      <c r="VK12" s="33"/>
      <c r="VL12" s="33"/>
      <c r="VM12" s="33"/>
      <c r="VN12" s="33"/>
      <c r="VO12" s="33"/>
      <c r="VP12" s="33"/>
      <c r="VQ12" s="33"/>
      <c r="VR12" s="33"/>
      <c r="VS12" s="33"/>
      <c r="VT12" s="33"/>
      <c r="VU12" s="33"/>
      <c r="VV12" s="33"/>
      <c r="VW12" s="33"/>
      <c r="VX12" s="33"/>
      <c r="VY12" s="33"/>
      <c r="VZ12" s="33"/>
      <c r="WA12" s="33"/>
      <c r="WB12" s="33"/>
      <c r="WC12" s="33"/>
      <c r="WD12" s="33"/>
      <c r="WE12" s="33"/>
      <c r="WF12" s="33"/>
      <c r="WG12" s="33"/>
      <c r="WH12" s="33"/>
      <c r="WI12" s="33"/>
      <c r="WJ12" s="33"/>
      <c r="WK12" s="33"/>
      <c r="WL12" s="33"/>
      <c r="WM12" s="33"/>
      <c r="WN12" s="33"/>
      <c r="WO12" s="33"/>
      <c r="WP12" s="33"/>
      <c r="WQ12" s="33"/>
      <c r="WR12" s="33"/>
      <c r="WS12" s="33"/>
      <c r="WT12" s="33"/>
      <c r="WU12" s="33"/>
      <c r="WV12" s="33"/>
      <c r="WW12" s="33"/>
      <c r="WX12" s="33"/>
      <c r="WY12" s="33"/>
      <c r="WZ12" s="33"/>
      <c r="XA12" s="33"/>
      <c r="XB12" s="33"/>
      <c r="XC12" s="33"/>
      <c r="XD12" s="33"/>
      <c r="XE12" s="33"/>
      <c r="XF12" s="33"/>
      <c r="XG12" s="33"/>
      <c r="XH12" s="33"/>
      <c r="XI12" s="33"/>
      <c r="XJ12" s="33"/>
      <c r="XK12" s="33"/>
      <c r="XL12" s="33"/>
      <c r="XM12" s="33"/>
      <c r="XN12" s="33"/>
      <c r="XO12" s="33"/>
      <c r="XP12" s="33"/>
      <c r="XQ12" s="33"/>
      <c r="XR12" s="33"/>
      <c r="XS12" s="33"/>
      <c r="XT12" s="33"/>
      <c r="XU12" s="33"/>
      <c r="XV12" s="33"/>
      <c r="XW12" s="33"/>
      <c r="XX12" s="33"/>
      <c r="XY12" s="33"/>
      <c r="XZ12" s="33"/>
      <c r="YA12" s="33"/>
      <c r="YB12" s="33"/>
      <c r="YC12" s="33"/>
      <c r="YD12" s="33"/>
      <c r="YE12" s="33"/>
      <c r="YF12" s="33"/>
      <c r="YG12" s="33"/>
      <c r="YH12" s="33"/>
      <c r="YI12" s="33"/>
      <c r="YJ12" s="33"/>
      <c r="YK12" s="33"/>
      <c r="YL12" s="33"/>
      <c r="YM12" s="33"/>
      <c r="YN12" s="33"/>
      <c r="YO12" s="33"/>
      <c r="YP12" s="33"/>
      <c r="YQ12" s="33"/>
      <c r="YR12" s="33"/>
      <c r="YS12" s="33"/>
      <c r="YT12" s="33"/>
      <c r="YU12" s="33"/>
      <c r="YV12" s="33"/>
      <c r="YW12" s="33"/>
      <c r="YX12" s="33"/>
      <c r="YY12" s="33"/>
      <c r="YZ12" s="33"/>
      <c r="ZA12" s="33"/>
      <c r="ZB12" s="33"/>
      <c r="ZC12" s="33"/>
      <c r="ZD12" s="33"/>
      <c r="ZE12" s="33"/>
      <c r="ZF12" s="33"/>
      <c r="ZG12" s="33"/>
      <c r="ZH12" s="33"/>
      <c r="ZI12" s="33"/>
      <c r="ZJ12" s="33"/>
      <c r="ZK12" s="33"/>
      <c r="ZL12" s="33"/>
      <c r="ZM12" s="33"/>
      <c r="ZN12" s="33"/>
      <c r="ZO12" s="33"/>
      <c r="ZP12" s="33"/>
      <c r="ZQ12" s="33"/>
      <c r="ZR12" s="33"/>
      <c r="ZS12" s="33"/>
      <c r="ZT12" s="33"/>
      <c r="ZU12" s="33"/>
      <c r="ZV12" s="33"/>
      <c r="ZW12" s="33"/>
      <c r="ZX12" s="33"/>
      <c r="ZY12" s="33"/>
      <c r="ZZ12" s="33"/>
      <c r="AAA12" s="33"/>
      <c r="AAB12" s="33"/>
      <c r="AAC12" s="33"/>
      <c r="AAD12" s="33"/>
      <c r="AAE12" s="33"/>
      <c r="AAF12" s="33"/>
      <c r="AAG12" s="33"/>
      <c r="AAH12" s="33"/>
      <c r="AAI12" s="33"/>
      <c r="AAJ12" s="33"/>
      <c r="AAK12" s="33"/>
      <c r="AAL12" s="33"/>
      <c r="AAM12" s="33"/>
      <c r="AAN12" s="33"/>
      <c r="AAO12" s="33"/>
      <c r="AAP12" s="33"/>
      <c r="AAQ12" s="33"/>
      <c r="AAR12" s="33"/>
      <c r="AAS12" s="33"/>
      <c r="AAT12" s="33"/>
      <c r="AAU12" s="33"/>
      <c r="AAV12" s="33"/>
      <c r="AAW12" s="33"/>
      <c r="AAX12" s="33"/>
      <c r="AAY12" s="33"/>
      <c r="AAZ12" s="33"/>
      <c r="ABA12" s="33"/>
      <c r="ABB12" s="33"/>
      <c r="ABC12" s="33"/>
      <c r="ABD12" s="33"/>
      <c r="ABE12" s="33"/>
      <c r="ABF12" s="33"/>
      <c r="ABG12" s="33"/>
      <c r="ABH12" s="33"/>
      <c r="ABI12" s="33"/>
      <c r="ABJ12" s="33"/>
      <c r="ABK12" s="33"/>
      <c r="ABL12" s="33"/>
      <c r="ABM12" s="33"/>
      <c r="ABN12" s="33"/>
      <c r="ABO12" s="33"/>
      <c r="ABP12" s="33"/>
      <c r="ABQ12" s="33"/>
      <c r="ABR12" s="33"/>
      <c r="ABS12" s="33"/>
      <c r="ABT12" s="33"/>
      <c r="ABU12" s="33"/>
      <c r="ABV12" s="33"/>
      <c r="ABW12" s="33"/>
      <c r="ABX12" s="33"/>
      <c r="ABY12" s="33"/>
      <c r="ABZ12" s="33"/>
      <c r="ACA12" s="33"/>
      <c r="ACB12" s="33"/>
      <c r="ACC12" s="33"/>
      <c r="ACD12" s="33"/>
      <c r="ACE12" s="33"/>
      <c r="ACF12" s="33"/>
      <c r="ACG12" s="33"/>
      <c r="ACH12" s="33"/>
      <c r="ACI12" s="33"/>
      <c r="ACJ12" s="33"/>
      <c r="ACK12" s="33"/>
      <c r="ACL12" s="33"/>
      <c r="ACM12" s="33"/>
      <c r="ACN12" s="33"/>
      <c r="ACO12" s="33"/>
      <c r="ACP12" s="33"/>
      <c r="ACQ12" s="33"/>
      <c r="ACR12" s="33"/>
      <c r="ACS12" s="33"/>
      <c r="ACT12" s="33"/>
      <c r="ACU12" s="33"/>
      <c r="ACV12" s="33"/>
      <c r="ACW12" s="33"/>
      <c r="ACX12" s="33"/>
      <c r="ACY12" s="33"/>
      <c r="ACZ12" s="33"/>
      <c r="ADA12" s="33"/>
      <c r="ADB12" s="33"/>
      <c r="ADC12" s="33"/>
      <c r="ADD12" s="33"/>
      <c r="ADE12" s="33"/>
      <c r="ADF12" s="33"/>
      <c r="ADG12" s="33"/>
      <c r="ADH12" s="33"/>
      <c r="ADI12" s="33"/>
      <c r="ADJ12" s="33"/>
      <c r="ADK12" s="33"/>
      <c r="ADL12" s="33"/>
      <c r="ADM12" s="33"/>
      <c r="ADN12" s="33"/>
      <c r="ADO12" s="33"/>
      <c r="ADP12" s="33"/>
      <c r="ADQ12" s="33"/>
      <c r="ADR12" s="33"/>
      <c r="ADS12" s="33"/>
      <c r="ADT12" s="33"/>
      <c r="ADU12" s="33"/>
      <c r="ADV12" s="33"/>
      <c r="ADW12" s="33"/>
      <c r="ADX12" s="33"/>
      <c r="ADY12" s="33"/>
      <c r="ADZ12" s="33"/>
      <c r="AEA12" s="33"/>
      <c r="AEB12" s="33"/>
      <c r="AEC12" s="33"/>
      <c r="AED12" s="33"/>
      <c r="AEE12" s="33"/>
      <c r="AEF12" s="33"/>
      <c r="AEG12" s="33"/>
      <c r="AEH12" s="33"/>
      <c r="AEI12" s="33"/>
      <c r="AEJ12" s="33"/>
      <c r="AEK12" s="33"/>
      <c r="AEL12" s="33"/>
      <c r="AEM12" s="33"/>
      <c r="AEN12" s="33"/>
      <c r="AEO12" s="33"/>
      <c r="AEP12" s="33"/>
      <c r="AEQ12" s="33"/>
      <c r="AER12" s="33"/>
      <c r="AES12" s="33"/>
      <c r="AET12" s="33"/>
      <c r="AEU12" s="33"/>
      <c r="AEV12" s="33"/>
      <c r="AEW12" s="33"/>
      <c r="AEX12" s="33"/>
      <c r="AEY12" s="33"/>
      <c r="AEZ12" s="33"/>
      <c r="AFA12" s="33"/>
      <c r="AFB12" s="33"/>
      <c r="AFC12" s="33"/>
      <c r="AFD12" s="33"/>
      <c r="AFE12" s="33"/>
      <c r="AFF12" s="33"/>
      <c r="AFG12" s="33"/>
      <c r="AFH12" s="33"/>
      <c r="AFI12" s="33"/>
      <c r="AFJ12" s="33"/>
      <c r="AFK12" s="33"/>
      <c r="AFL12" s="33"/>
      <c r="AFM12" s="33"/>
      <c r="AFN12" s="33"/>
      <c r="AFO12" s="33"/>
      <c r="AFP12" s="33"/>
      <c r="AFQ12" s="33"/>
      <c r="AFR12" s="33"/>
      <c r="AFS12" s="33"/>
      <c r="AFT12" s="33"/>
      <c r="AFU12" s="33"/>
      <c r="AFV12" s="33"/>
      <c r="AFW12" s="33"/>
      <c r="AFX12" s="33"/>
      <c r="AFY12" s="33"/>
      <c r="AFZ12" s="33"/>
      <c r="AGA12" s="33"/>
      <c r="AGB12" s="33"/>
      <c r="AGC12" s="33"/>
      <c r="AGD12" s="33"/>
      <c r="AGE12" s="33"/>
      <c r="AGF12" s="33"/>
      <c r="AGG12" s="33"/>
      <c r="AGH12" s="33"/>
      <c r="AGI12" s="33"/>
      <c r="AGJ12" s="33"/>
      <c r="AGK12" s="33"/>
      <c r="AGL12" s="33"/>
      <c r="AGM12" s="33"/>
      <c r="AGN12" s="33"/>
      <c r="AGO12" s="33"/>
      <c r="AGP12" s="33"/>
      <c r="AGQ12" s="33"/>
      <c r="AGR12" s="33"/>
      <c r="AGS12" s="33"/>
      <c r="AGT12" s="33"/>
      <c r="AGU12" s="33"/>
      <c r="AGV12" s="33"/>
      <c r="AGW12" s="33"/>
      <c r="AGX12" s="33"/>
      <c r="AGY12" s="33"/>
      <c r="AGZ12" s="33"/>
      <c r="AHA12" s="33"/>
      <c r="AHB12" s="33"/>
      <c r="AHC12" s="33"/>
      <c r="AHD12" s="33"/>
      <c r="AHE12" s="33"/>
      <c r="AHF12" s="33"/>
      <c r="AHG12" s="33"/>
      <c r="AHH12" s="33"/>
      <c r="AHI12" s="33"/>
      <c r="AHJ12" s="33"/>
      <c r="AHK12" s="33"/>
      <c r="AHL12" s="33"/>
      <c r="AHM12" s="33"/>
      <c r="AHN12" s="33"/>
      <c r="AHO12" s="33"/>
      <c r="AHP12" s="33"/>
      <c r="AHQ12" s="33"/>
      <c r="AHR12" s="33"/>
      <c r="AHS12" s="33"/>
      <c r="AHT12" s="33"/>
      <c r="AHU12" s="33"/>
      <c r="AHV12" s="33"/>
      <c r="AHW12" s="33"/>
      <c r="AHX12" s="33"/>
      <c r="AHY12" s="33"/>
      <c r="AHZ12" s="33"/>
      <c r="AIA12" s="33"/>
      <c r="AIB12" s="33"/>
      <c r="AIC12" s="33"/>
      <c r="AID12" s="33"/>
      <c r="AIE12" s="33"/>
      <c r="AIF12" s="33"/>
      <c r="AIG12" s="33"/>
      <c r="AIH12" s="33"/>
      <c r="AII12" s="33"/>
      <c r="AIJ12" s="33"/>
      <c r="AIK12" s="33"/>
      <c r="AIL12" s="33"/>
      <c r="AIM12" s="33"/>
      <c r="AIN12" s="33"/>
      <c r="AIO12" s="33"/>
      <c r="AIP12" s="33"/>
      <c r="AIQ12" s="33"/>
      <c r="AIR12" s="33"/>
      <c r="AIS12" s="33"/>
      <c r="AIT12" s="33"/>
      <c r="AIU12" s="33"/>
      <c r="AIV12" s="33"/>
      <c r="AIW12" s="33"/>
      <c r="AIX12" s="33"/>
      <c r="AIY12" s="33"/>
      <c r="AIZ12" s="33"/>
      <c r="AJA12" s="33"/>
      <c r="AJB12" s="33"/>
      <c r="AJC12" s="33"/>
      <c r="AJD12" s="33"/>
      <c r="AJE12" s="33"/>
      <c r="AJF12" s="33"/>
      <c r="AJG12" s="33"/>
      <c r="AJH12" s="33"/>
      <c r="AJI12" s="33"/>
      <c r="AJJ12" s="33"/>
      <c r="AJK12" s="33"/>
      <c r="AJL12" s="33"/>
      <c r="AJM12" s="33"/>
      <c r="AJN12" s="33"/>
      <c r="AJO12" s="33"/>
      <c r="AJP12" s="33"/>
      <c r="AJQ12" s="33"/>
      <c r="AJR12" s="33"/>
      <c r="AJS12" s="33"/>
      <c r="AJT12" s="33"/>
      <c r="AJU12" s="33"/>
      <c r="AJV12" s="33"/>
      <c r="AJW12" s="33"/>
      <c r="AJX12" s="33"/>
      <c r="AJY12" s="33"/>
      <c r="AJZ12" s="33"/>
      <c r="AKA12" s="33"/>
      <c r="AKB12" s="33"/>
      <c r="AKC12" s="33"/>
      <c r="AKD12" s="33"/>
      <c r="AKE12" s="33"/>
      <c r="AKF12" s="33"/>
      <c r="AKG12" s="33"/>
      <c r="AKH12" s="33"/>
      <c r="AKI12" s="33"/>
      <c r="AKJ12" s="33"/>
      <c r="AKK12" s="33"/>
      <c r="AKL12" s="33"/>
      <c r="AKM12" s="33"/>
      <c r="AKN12" s="33"/>
      <c r="AKO12" s="33"/>
      <c r="AKP12" s="33"/>
      <c r="AKQ12" s="33"/>
      <c r="AKR12" s="33"/>
      <c r="AKS12" s="33"/>
      <c r="AKT12" s="33"/>
      <c r="AKU12" s="33"/>
      <c r="AKV12" s="33"/>
      <c r="AKW12" s="33"/>
      <c r="AKX12" s="33"/>
      <c r="AKY12" s="33"/>
      <c r="AKZ12" s="33"/>
      <c r="ALA12" s="33"/>
      <c r="ALB12" s="33"/>
      <c r="ALC12" s="33"/>
      <c r="ALD12" s="33"/>
      <c r="ALE12" s="33"/>
      <c r="ALF12" s="33"/>
      <c r="ALG12" s="33"/>
      <c r="ALH12" s="33"/>
      <c r="ALI12" s="33"/>
      <c r="ALJ12" s="33"/>
      <c r="ALK12" s="33"/>
      <c r="ALL12" s="33"/>
      <c r="ALM12" s="33"/>
      <c r="ALN12" s="33"/>
      <c r="ALO12" s="33"/>
      <c r="ALP12" s="33"/>
      <c r="ALQ12" s="33"/>
      <c r="ALR12" s="33"/>
      <c r="ALS12" s="33"/>
      <c r="ALT12" s="33"/>
      <c r="ALU12" s="33"/>
      <c r="ALV12" s="33"/>
      <c r="ALW12" s="33"/>
      <c r="ALX12" s="33"/>
      <c r="ALY12" s="33"/>
      <c r="ALZ12" s="33"/>
      <c r="AMA12" s="33"/>
      <c r="AMB12" s="33"/>
      <c r="AMC12" s="33"/>
      <c r="AMD12" s="33"/>
      <c r="AME12" s="33"/>
      <c r="AMF12" s="33"/>
      <c r="AMG12" s="33"/>
      <c r="AMH12" s="33"/>
      <c r="AMI12" s="33"/>
      <c r="AMJ12" s="33"/>
      <c r="AMK12" s="33"/>
      <c r="AML12" s="33"/>
    </row>
    <row r="13" ht="15.75" customHeight="1">
      <c r="A13" s="8" t="s">
        <v>20</v>
      </c>
      <c r="B13" s="8" t="s">
        <v>20</v>
      </c>
      <c r="C13" s="8" t="s">
        <v>25</v>
      </c>
      <c r="D13" s="8" t="s">
        <v>28</v>
      </c>
      <c r="E13" s="8" t="s">
        <v>28</v>
      </c>
      <c r="F13" s="8" t="s">
        <v>23</v>
      </c>
      <c r="G13" s="8">
        <v>1.0</v>
      </c>
      <c r="H13" s="8">
        <v>1.0</v>
      </c>
      <c r="I13" s="8">
        <v>1.0</v>
      </c>
      <c r="J13" s="8"/>
      <c r="K13" s="8">
        <v>0.0</v>
      </c>
      <c r="L13" s="8">
        <v>0.0</v>
      </c>
      <c r="M13" s="8">
        <v>0.0</v>
      </c>
      <c r="N13" s="8"/>
      <c r="O13" s="8">
        <v>0.0</v>
      </c>
      <c r="P13">
        <v>0.0</v>
      </c>
      <c r="Q13">
        <v>0.0</v>
      </c>
      <c r="R13">
        <v>0.0</v>
      </c>
      <c r="S13">
        <v>0.0</v>
      </c>
      <c r="T13" t="s">
        <v>28</v>
      </c>
      <c r="AB13" t="s">
        <v>20</v>
      </c>
      <c r="AC13" t="s">
        <v>20</v>
      </c>
      <c r="AD13" t="s">
        <v>20</v>
      </c>
      <c r="AE13" t="s">
        <v>20</v>
      </c>
      <c r="AF13" t="s">
        <v>20</v>
      </c>
      <c r="AG13" t="s">
        <v>20</v>
      </c>
      <c r="AH13" t="s">
        <v>20</v>
      </c>
      <c r="AI13" t="s">
        <v>20</v>
      </c>
      <c r="AJ13" t="s">
        <v>20</v>
      </c>
      <c r="AK13" t="s">
        <v>20</v>
      </c>
      <c r="AL13" t="s">
        <v>20</v>
      </c>
      <c r="AM13" t="s">
        <v>20</v>
      </c>
      <c r="AN13" t="s">
        <v>20</v>
      </c>
      <c r="AO13" t="s">
        <v>20</v>
      </c>
      <c r="AP13" t="s">
        <v>20</v>
      </c>
      <c r="AQ13" t="s">
        <v>20</v>
      </c>
      <c r="AR13" t="s">
        <v>20</v>
      </c>
      <c r="AS13" t="s">
        <v>20</v>
      </c>
      <c r="AT13" t="s">
        <v>20</v>
      </c>
      <c r="AU13" t="s">
        <v>20</v>
      </c>
      <c r="AV13" t="s">
        <v>20</v>
      </c>
      <c r="AW13" t="s">
        <v>20</v>
      </c>
      <c r="AX13" t="s">
        <v>20</v>
      </c>
      <c r="AY13" t="s">
        <v>20</v>
      </c>
      <c r="AZ13" t="s">
        <v>20</v>
      </c>
      <c r="BA13" t="s">
        <v>20</v>
      </c>
      <c r="BB13" t="s">
        <v>20</v>
      </c>
      <c r="BC13" t="s">
        <v>20</v>
      </c>
      <c r="BD13" t="s">
        <v>20</v>
      </c>
      <c r="BE13" t="s">
        <v>20</v>
      </c>
      <c r="BF13" t="s">
        <v>20</v>
      </c>
      <c r="BG13" t="s">
        <v>20</v>
      </c>
      <c r="BH13" t="s">
        <v>20</v>
      </c>
      <c r="BI13" t="s">
        <v>20</v>
      </c>
      <c r="BJ13" t="s">
        <v>20</v>
      </c>
      <c r="BK13" t="s">
        <v>20</v>
      </c>
      <c r="BL13" t="s">
        <v>20</v>
      </c>
      <c r="BM13" t="s">
        <v>20</v>
      </c>
      <c r="BN13" t="s">
        <v>20</v>
      </c>
      <c r="BO13" t="s">
        <v>20</v>
      </c>
      <c r="BP13" t="s">
        <v>20</v>
      </c>
      <c r="BQ13" t="s">
        <v>20</v>
      </c>
      <c r="BR13" t="s">
        <v>20</v>
      </c>
      <c r="BS13" t="s">
        <v>20</v>
      </c>
      <c r="BT13" t="s">
        <v>20</v>
      </c>
      <c r="BU13" t="s">
        <v>20</v>
      </c>
      <c r="BV13" t="s">
        <v>20</v>
      </c>
      <c r="BW13" t="s">
        <v>20</v>
      </c>
      <c r="BX13" t="s">
        <v>20</v>
      </c>
      <c r="BY13" t="s">
        <v>20</v>
      </c>
      <c r="BZ13" t="s">
        <v>20</v>
      </c>
      <c r="CA13" t="s">
        <v>20</v>
      </c>
      <c r="CB13" t="s">
        <v>20</v>
      </c>
      <c r="CC13" t="s">
        <v>20</v>
      </c>
      <c r="CD13" t="s">
        <v>20</v>
      </c>
      <c r="CE13" t="s">
        <v>20</v>
      </c>
      <c r="CF13" t="s">
        <v>20</v>
      </c>
      <c r="CG13" t="s">
        <v>20</v>
      </c>
      <c r="CH13" t="s">
        <v>20</v>
      </c>
      <c r="CI13" t="s">
        <v>20</v>
      </c>
      <c r="CJ13" t="s">
        <v>20</v>
      </c>
      <c r="CK13" t="s">
        <v>20</v>
      </c>
      <c r="CL13" t="s">
        <v>20</v>
      </c>
      <c r="CM13" t="s">
        <v>20</v>
      </c>
      <c r="CN13" t="s">
        <v>20</v>
      </c>
      <c r="CO13" t="s">
        <v>20</v>
      </c>
      <c r="CP13" t="s">
        <v>20</v>
      </c>
      <c r="CQ13" t="s">
        <v>20</v>
      </c>
      <c r="CR13" t="s">
        <v>20</v>
      </c>
      <c r="CS13" t="s">
        <v>20</v>
      </c>
      <c r="CT13" t="s">
        <v>20</v>
      </c>
      <c r="CU13" t="s">
        <v>20</v>
      </c>
      <c r="CV13" t="s">
        <v>20</v>
      </c>
      <c r="CW13" t="s">
        <v>20</v>
      </c>
      <c r="CX13" t="s">
        <v>20</v>
      </c>
      <c r="CY13" t="s">
        <v>20</v>
      </c>
      <c r="CZ13" t="s">
        <v>20</v>
      </c>
      <c r="DA13" t="s">
        <v>20</v>
      </c>
      <c r="DB13" t="s">
        <v>20</v>
      </c>
      <c r="DC13" t="s">
        <v>20</v>
      </c>
      <c r="DD13" t="s">
        <v>20</v>
      </c>
      <c r="DE13" t="s">
        <v>20</v>
      </c>
      <c r="DF13" t="s">
        <v>20</v>
      </c>
      <c r="DG13" t="s">
        <v>20</v>
      </c>
      <c r="DH13" t="s">
        <v>20</v>
      </c>
      <c r="DI13" t="s">
        <v>20</v>
      </c>
      <c r="DJ13" t="s">
        <v>20</v>
      </c>
      <c r="DK13" t="s">
        <v>20</v>
      </c>
      <c r="DL13" t="s">
        <v>20</v>
      </c>
      <c r="DM13" t="s">
        <v>20</v>
      </c>
      <c r="DN13" t="s">
        <v>20</v>
      </c>
      <c r="DO13" t="s">
        <v>20</v>
      </c>
      <c r="DP13" t="s">
        <v>20</v>
      </c>
      <c r="DQ13" t="s">
        <v>20</v>
      </c>
      <c r="DR13" t="s">
        <v>20</v>
      </c>
      <c r="DS13" t="s">
        <v>20</v>
      </c>
      <c r="DT13" t="s">
        <v>20</v>
      </c>
      <c r="DU13" t="s">
        <v>20</v>
      </c>
      <c r="DV13" t="s">
        <v>20</v>
      </c>
      <c r="DW13" t="s">
        <v>20</v>
      </c>
      <c r="DX13" t="s">
        <v>20</v>
      </c>
      <c r="DY13" t="s">
        <v>20</v>
      </c>
      <c r="DZ13" t="s">
        <v>20</v>
      </c>
      <c r="EA13" t="s">
        <v>20</v>
      </c>
      <c r="EB13" t="s">
        <v>20</v>
      </c>
      <c r="EC13" t="s">
        <v>20</v>
      </c>
      <c r="ED13" t="s">
        <v>20</v>
      </c>
      <c r="EE13" t="s">
        <v>20</v>
      </c>
      <c r="EF13" t="s">
        <v>20</v>
      </c>
      <c r="EG13" t="s">
        <v>20</v>
      </c>
      <c r="EH13" t="s">
        <v>20</v>
      </c>
      <c r="EI13" t="s">
        <v>20</v>
      </c>
      <c r="EJ13" t="s">
        <v>20</v>
      </c>
      <c r="EK13" t="s">
        <v>20</v>
      </c>
      <c r="EL13" t="s">
        <v>20</v>
      </c>
      <c r="EM13" t="s">
        <v>20</v>
      </c>
      <c r="EN13" t="s">
        <v>20</v>
      </c>
      <c r="EO13" t="s">
        <v>20</v>
      </c>
      <c r="EP13" t="s">
        <v>20</v>
      </c>
      <c r="EQ13" t="s">
        <v>20</v>
      </c>
      <c r="ER13" t="s">
        <v>20</v>
      </c>
      <c r="ES13" t="s">
        <v>20</v>
      </c>
      <c r="ET13" t="s">
        <v>20</v>
      </c>
      <c r="EU13" t="s">
        <v>20</v>
      </c>
      <c r="EV13" t="s">
        <v>20</v>
      </c>
      <c r="EW13" t="s">
        <v>20</v>
      </c>
      <c r="EX13" t="s">
        <v>20</v>
      </c>
      <c r="EY13" t="s">
        <v>20</v>
      </c>
      <c r="EZ13" t="s">
        <v>20</v>
      </c>
      <c r="FA13" t="s">
        <v>20</v>
      </c>
      <c r="FB13" t="s">
        <v>20</v>
      </c>
      <c r="FC13" t="s">
        <v>20</v>
      </c>
      <c r="FD13" t="s">
        <v>20</v>
      </c>
      <c r="FE13" t="s">
        <v>20</v>
      </c>
      <c r="FF13" t="s">
        <v>20</v>
      </c>
      <c r="FG13" t="s">
        <v>20</v>
      </c>
      <c r="FH13" t="s">
        <v>20</v>
      </c>
      <c r="FI13" t="s">
        <v>20</v>
      </c>
      <c r="FJ13" t="s">
        <v>20</v>
      </c>
      <c r="FK13" t="s">
        <v>20</v>
      </c>
      <c r="FL13" t="s">
        <v>20</v>
      </c>
      <c r="FM13" t="s">
        <v>20</v>
      </c>
      <c r="FN13" t="s">
        <v>20</v>
      </c>
      <c r="FO13" t="s">
        <v>20</v>
      </c>
      <c r="FP13" t="s">
        <v>20</v>
      </c>
      <c r="FQ13" t="s">
        <v>20</v>
      </c>
      <c r="FR13" s="33"/>
      <c r="FS13" s="33"/>
      <c r="FT13" s="33"/>
      <c r="FU13" s="33"/>
      <c r="FV13" s="33"/>
      <c r="FW13" s="33"/>
      <c r="FX13" s="33"/>
      <c r="FY13" s="33"/>
      <c r="FZ13" s="33"/>
      <c r="GA13" s="33"/>
      <c r="GB13" s="33"/>
      <c r="GC13" s="33"/>
      <c r="GD13" s="33"/>
      <c r="GE13" s="33"/>
      <c r="GF13" s="33"/>
      <c r="GG13" s="33"/>
      <c r="GH13" s="33"/>
      <c r="GI13" s="33"/>
      <c r="GJ13" s="33"/>
      <c r="GK13" s="33"/>
      <c r="GL13" s="33"/>
      <c r="GM13" s="33"/>
      <c r="GN13" s="33"/>
      <c r="GO13" s="33"/>
      <c r="GP13" s="33"/>
      <c r="GQ13" s="33"/>
      <c r="GR13" s="33"/>
      <c r="GS13" s="33"/>
      <c r="GT13" s="33"/>
      <c r="GU13" s="33"/>
      <c r="GV13" s="33"/>
      <c r="GW13" s="33"/>
      <c r="GX13" s="33"/>
      <c r="GY13" s="33"/>
      <c r="GZ13" s="33"/>
      <c r="HA13" s="33"/>
      <c r="HB13" s="33"/>
      <c r="HC13" s="33"/>
      <c r="HD13" s="33"/>
      <c r="HE13" s="33"/>
      <c r="HF13" s="33"/>
      <c r="HG13" s="33"/>
      <c r="HH13" s="33"/>
      <c r="HI13" s="33"/>
      <c r="HJ13" s="33"/>
      <c r="HK13" s="33"/>
      <c r="HL13" s="33"/>
      <c r="HM13" s="33"/>
      <c r="HN13" s="33"/>
      <c r="HO13" s="33"/>
      <c r="HP13" s="33"/>
      <c r="HQ13" s="33"/>
      <c r="HR13" s="33"/>
      <c r="HS13" s="33"/>
      <c r="HT13" s="33"/>
      <c r="HU13" s="33"/>
      <c r="HV13" s="33"/>
      <c r="HW13" s="33"/>
      <c r="HX13" s="33"/>
      <c r="HY13" s="33"/>
      <c r="HZ13" s="33"/>
      <c r="IA13" s="33"/>
      <c r="IB13" s="33"/>
      <c r="IC13" s="33"/>
      <c r="ID13" s="33"/>
      <c r="IE13" s="33"/>
      <c r="IF13" s="33"/>
      <c r="IG13" s="33"/>
      <c r="IH13" s="33"/>
      <c r="II13" s="33"/>
      <c r="IJ13" s="33"/>
      <c r="IK13" s="33"/>
      <c r="IL13" s="33"/>
      <c r="IM13" s="33"/>
      <c r="IN13" s="33"/>
      <c r="IO13" s="33"/>
      <c r="IP13" s="33"/>
      <c r="IQ13" s="33"/>
      <c r="IR13" s="33"/>
      <c r="IS13" s="33"/>
      <c r="IT13" s="33"/>
      <c r="IU13" s="33"/>
      <c r="IV13" s="33"/>
      <c r="IW13" s="33"/>
      <c r="IX13" s="33"/>
      <c r="IY13" s="33"/>
      <c r="IZ13" s="33"/>
      <c r="JA13" s="33"/>
      <c r="JB13" s="33"/>
      <c r="JC13" s="33"/>
      <c r="JD13" s="33"/>
      <c r="JE13" s="33"/>
      <c r="JF13" s="33"/>
      <c r="JG13" s="33"/>
      <c r="JH13" s="33"/>
      <c r="JI13" s="33"/>
      <c r="JJ13" s="33"/>
      <c r="JK13" s="33"/>
      <c r="JL13" s="33"/>
      <c r="JM13" s="33"/>
      <c r="JN13" s="33"/>
      <c r="JO13" s="33"/>
      <c r="JP13" s="33"/>
      <c r="JQ13" s="33"/>
      <c r="JR13" s="33"/>
      <c r="JS13" s="33"/>
      <c r="JT13" s="33"/>
      <c r="JU13" s="33"/>
      <c r="JV13" s="33"/>
      <c r="JW13" s="33"/>
      <c r="JX13" s="33"/>
      <c r="JY13" s="33"/>
      <c r="JZ13" s="33"/>
      <c r="KA13" s="33"/>
      <c r="KB13" s="33"/>
      <c r="KC13" s="33"/>
      <c r="KD13" s="33"/>
      <c r="KE13" s="33"/>
      <c r="KF13" s="33"/>
      <c r="KG13" s="33"/>
      <c r="KH13" s="33"/>
      <c r="KI13" s="33"/>
      <c r="KJ13" s="33"/>
      <c r="KK13" s="33"/>
      <c r="KL13" s="33"/>
      <c r="KM13" s="33"/>
      <c r="KN13" s="33"/>
      <c r="KO13" s="33"/>
      <c r="KP13" s="33"/>
      <c r="KQ13" s="33"/>
      <c r="KR13" s="33"/>
      <c r="KS13" s="33"/>
      <c r="KT13" s="33"/>
      <c r="KU13" s="33"/>
      <c r="KV13" s="33"/>
      <c r="KW13" s="33"/>
      <c r="KX13" s="33"/>
      <c r="KY13" s="33"/>
      <c r="KZ13" s="33"/>
      <c r="LA13" s="33"/>
      <c r="LB13" s="33"/>
      <c r="LC13" s="33"/>
      <c r="LD13" s="33"/>
      <c r="LE13" s="33"/>
      <c r="LF13" s="33"/>
      <c r="LG13" s="33"/>
      <c r="LH13" s="33"/>
      <c r="LI13" s="33"/>
      <c r="LJ13" s="33"/>
      <c r="LK13" s="33"/>
      <c r="LL13" s="33"/>
      <c r="LM13" s="33"/>
      <c r="LN13" s="33"/>
      <c r="LO13" s="33"/>
      <c r="LP13" s="33"/>
      <c r="LQ13" s="33"/>
      <c r="LR13" s="33"/>
      <c r="LS13" s="33"/>
      <c r="LT13" s="33"/>
      <c r="LU13" s="33"/>
      <c r="LV13" s="33"/>
      <c r="LW13" s="33"/>
      <c r="LX13" s="33"/>
      <c r="LY13" s="33"/>
      <c r="LZ13" s="33"/>
      <c r="MA13" s="33"/>
      <c r="MB13" s="33"/>
      <c r="MC13" s="33"/>
      <c r="MD13" s="33"/>
      <c r="ME13" s="33"/>
      <c r="MF13" s="33"/>
      <c r="MG13" s="33"/>
      <c r="MH13" s="33"/>
      <c r="MI13" s="33"/>
      <c r="MJ13" s="33"/>
      <c r="MK13" s="33"/>
      <c r="ML13" s="33"/>
      <c r="MM13" s="33"/>
      <c r="MN13" s="33"/>
      <c r="MO13" s="33"/>
      <c r="MP13" s="33"/>
      <c r="MQ13" s="33"/>
      <c r="MR13" s="33"/>
      <c r="MS13" s="33"/>
      <c r="MT13" s="33"/>
      <c r="MU13" s="33"/>
      <c r="MV13" s="33"/>
      <c r="MW13" s="33"/>
      <c r="MX13" s="33"/>
      <c r="MY13" s="33"/>
      <c r="MZ13" s="33"/>
      <c r="NA13" s="33"/>
      <c r="NB13" s="33"/>
      <c r="NC13" s="33"/>
      <c r="ND13" s="33"/>
      <c r="NE13" s="33"/>
      <c r="NF13" s="33"/>
      <c r="NG13" s="33"/>
      <c r="NH13" s="33"/>
      <c r="NI13" s="33"/>
      <c r="NJ13" s="33"/>
      <c r="NK13" s="33"/>
      <c r="NL13" s="33"/>
      <c r="NM13" s="33"/>
      <c r="NN13" s="33"/>
      <c r="NO13" s="33"/>
      <c r="NP13" s="33"/>
      <c r="NQ13" s="33"/>
      <c r="NR13" s="33"/>
      <c r="NS13" s="33"/>
      <c r="NT13" s="33"/>
      <c r="NU13" s="33"/>
      <c r="NV13" s="33"/>
      <c r="NW13" s="33"/>
      <c r="NX13" s="33"/>
      <c r="NY13" s="33"/>
      <c r="NZ13" s="33"/>
      <c r="OA13" s="33"/>
      <c r="OB13" s="33"/>
      <c r="OC13" s="33"/>
      <c r="OD13" s="33"/>
      <c r="OE13" s="33"/>
      <c r="OF13" s="33"/>
      <c r="OG13" s="33"/>
      <c r="OH13" s="33"/>
      <c r="OI13" s="33"/>
      <c r="OJ13" s="33"/>
      <c r="OK13" s="33"/>
      <c r="OL13" s="33"/>
      <c r="OM13" s="33"/>
      <c r="ON13" s="33"/>
      <c r="OO13" s="33"/>
      <c r="OP13" s="33"/>
      <c r="OQ13" s="33"/>
      <c r="OR13" s="33"/>
      <c r="OS13" s="33"/>
      <c r="OT13" s="33"/>
      <c r="OU13" s="33"/>
      <c r="OV13" s="33"/>
      <c r="OW13" s="33"/>
      <c r="OX13" s="33"/>
      <c r="OY13" s="33"/>
      <c r="OZ13" s="33"/>
      <c r="PA13" s="33"/>
      <c r="PB13" s="33"/>
      <c r="PC13" s="33"/>
      <c r="PD13" s="33"/>
      <c r="PE13" s="33"/>
      <c r="PF13" s="33"/>
      <c r="PG13" s="33"/>
      <c r="PH13" s="33"/>
      <c r="PI13" s="33"/>
      <c r="PJ13" s="33"/>
      <c r="PK13" s="33"/>
      <c r="PL13" s="33"/>
      <c r="PM13" s="33"/>
      <c r="PN13" s="33"/>
      <c r="PO13" s="33"/>
      <c r="PP13" s="33"/>
      <c r="PQ13" s="33"/>
      <c r="PR13" s="33"/>
      <c r="PS13" s="33"/>
      <c r="PT13" s="33"/>
      <c r="PU13" s="33"/>
      <c r="PV13" s="33"/>
      <c r="PW13" s="33"/>
      <c r="PX13" s="33"/>
      <c r="PY13" s="33"/>
      <c r="PZ13" s="33"/>
      <c r="QA13" s="33"/>
      <c r="QB13" s="33"/>
      <c r="QC13" s="33"/>
      <c r="QD13" s="33"/>
      <c r="QE13" s="33"/>
      <c r="QF13" s="33"/>
      <c r="QG13" s="33"/>
      <c r="QH13" s="33"/>
      <c r="QI13" s="33"/>
      <c r="QJ13" s="33"/>
      <c r="QK13" s="33"/>
      <c r="QL13" s="33"/>
      <c r="QM13" s="33"/>
      <c r="QN13" s="33"/>
      <c r="QO13" s="33"/>
      <c r="QP13" s="33"/>
      <c r="QQ13" s="33"/>
      <c r="QR13" s="33"/>
      <c r="QS13" s="33"/>
      <c r="QT13" s="33"/>
      <c r="QU13" s="33"/>
      <c r="QV13" s="33"/>
      <c r="QW13" s="33"/>
      <c r="QX13" s="33"/>
      <c r="QY13" s="33"/>
      <c r="QZ13" s="33"/>
      <c r="RA13" s="33"/>
      <c r="RB13" s="33"/>
      <c r="RC13" s="33"/>
      <c r="RD13" s="33"/>
      <c r="RE13" s="33"/>
      <c r="RF13" s="33"/>
      <c r="RG13" s="33"/>
      <c r="RH13" s="33"/>
      <c r="RI13" s="33"/>
      <c r="RJ13" s="33"/>
      <c r="RK13" s="33"/>
      <c r="RL13" s="33"/>
      <c r="RM13" s="33"/>
      <c r="RN13" s="33"/>
      <c r="RO13" s="33"/>
      <c r="RP13" s="33"/>
      <c r="RQ13" s="33"/>
      <c r="RR13" s="33"/>
      <c r="RS13" s="33"/>
      <c r="RT13" s="33"/>
      <c r="RU13" s="33"/>
      <c r="RV13" s="33"/>
      <c r="RW13" s="33"/>
      <c r="RX13" s="33"/>
      <c r="RY13" s="33"/>
      <c r="RZ13" s="33"/>
      <c r="SA13" s="33"/>
      <c r="SB13" s="33"/>
      <c r="SC13" s="33"/>
      <c r="SD13" s="33"/>
      <c r="SE13" s="33"/>
      <c r="SF13" s="33"/>
      <c r="SG13" s="33"/>
      <c r="SH13" s="33"/>
      <c r="SI13" s="33"/>
      <c r="SJ13" s="33"/>
      <c r="SK13" s="33"/>
      <c r="SL13" s="33"/>
      <c r="SM13" s="33"/>
      <c r="SN13" s="33"/>
      <c r="SO13" s="33"/>
      <c r="SP13" s="33"/>
      <c r="SQ13" s="33"/>
      <c r="SR13" s="33"/>
      <c r="SS13" s="33"/>
      <c r="ST13" s="33"/>
      <c r="SU13" s="33"/>
      <c r="SV13" s="33"/>
      <c r="SW13" s="33"/>
      <c r="SX13" s="33"/>
      <c r="SY13" s="33"/>
      <c r="SZ13" s="33"/>
      <c r="TA13" s="33"/>
      <c r="TB13" s="33"/>
      <c r="TC13" s="33"/>
      <c r="TD13" s="33"/>
      <c r="TE13" s="33"/>
      <c r="TF13" s="33"/>
      <c r="TG13" s="33"/>
      <c r="TH13" s="33"/>
      <c r="TI13" s="33"/>
      <c r="TJ13" s="33"/>
      <c r="TK13" s="33"/>
      <c r="TL13" s="33"/>
      <c r="TM13" s="33"/>
      <c r="TN13" s="33"/>
      <c r="TO13" s="33"/>
      <c r="TP13" s="33"/>
      <c r="TQ13" s="33"/>
      <c r="TR13" s="33"/>
      <c r="TS13" s="33"/>
      <c r="TT13" s="33"/>
      <c r="TU13" s="33"/>
      <c r="TV13" s="33"/>
      <c r="TW13" s="33"/>
      <c r="TX13" s="33"/>
      <c r="TY13" s="33"/>
      <c r="TZ13" s="33"/>
      <c r="UA13" s="33"/>
      <c r="UB13" s="33"/>
      <c r="UC13" s="33"/>
      <c r="UD13" s="33"/>
      <c r="UE13" s="33"/>
      <c r="UF13" s="33"/>
      <c r="UG13" s="33"/>
      <c r="UH13" s="33"/>
      <c r="UI13" s="33"/>
      <c r="UJ13" s="33"/>
      <c r="UK13" s="33"/>
      <c r="UL13" s="33"/>
      <c r="UM13" s="33"/>
      <c r="UN13" s="33"/>
      <c r="UO13" s="33"/>
      <c r="UP13" s="33"/>
      <c r="UQ13" s="33"/>
      <c r="UR13" s="33"/>
      <c r="US13" s="33"/>
      <c r="UT13" s="33"/>
      <c r="UU13" s="33"/>
      <c r="UV13" s="33"/>
      <c r="UW13" s="33"/>
      <c r="UX13" s="33"/>
      <c r="UY13" s="33"/>
      <c r="UZ13" s="33"/>
      <c r="VA13" s="33"/>
      <c r="VB13" s="33"/>
      <c r="VC13" s="33"/>
      <c r="VD13" s="33"/>
      <c r="VE13" s="33"/>
      <c r="VF13" s="33"/>
      <c r="VG13" s="33"/>
      <c r="VH13" s="33"/>
      <c r="VI13" s="33"/>
      <c r="VJ13" s="33"/>
      <c r="VK13" s="33"/>
      <c r="VL13" s="33"/>
      <c r="VM13" s="33"/>
      <c r="VN13" s="33"/>
      <c r="VO13" s="33"/>
      <c r="VP13" s="33"/>
      <c r="VQ13" s="33"/>
      <c r="VR13" s="33"/>
      <c r="VS13" s="33"/>
      <c r="VT13" s="33"/>
      <c r="VU13" s="33"/>
      <c r="VV13" s="33"/>
      <c r="VW13" s="33"/>
      <c r="VX13" s="33"/>
      <c r="VY13" s="33"/>
      <c r="VZ13" s="33"/>
      <c r="WA13" s="33"/>
      <c r="WB13" s="33"/>
      <c r="WC13" s="33"/>
      <c r="WD13" s="33"/>
      <c r="WE13" s="33"/>
      <c r="WF13" s="33"/>
      <c r="WG13" s="33"/>
      <c r="WH13" s="33"/>
      <c r="WI13" s="33"/>
      <c r="WJ13" s="33"/>
      <c r="WK13" s="33"/>
      <c r="WL13" s="33"/>
      <c r="WM13" s="33"/>
      <c r="WN13" s="33"/>
      <c r="WO13" s="33"/>
      <c r="WP13" s="33"/>
      <c r="WQ13" s="33"/>
      <c r="WR13" s="33"/>
      <c r="WS13" s="33"/>
      <c r="WT13" s="33"/>
      <c r="WU13" s="33"/>
      <c r="WV13" s="33"/>
      <c r="WW13" s="33"/>
      <c r="WX13" s="33"/>
      <c r="WY13" s="33"/>
      <c r="WZ13" s="33"/>
      <c r="XA13" s="33"/>
      <c r="XB13" s="33"/>
      <c r="XC13" s="33"/>
      <c r="XD13" s="33"/>
      <c r="XE13" s="33"/>
      <c r="XF13" s="33"/>
      <c r="XG13" s="33"/>
      <c r="XH13" s="33"/>
      <c r="XI13" s="33"/>
      <c r="XJ13" s="33"/>
      <c r="XK13" s="33"/>
      <c r="XL13" s="33"/>
      <c r="XM13" s="33"/>
      <c r="XN13" s="33"/>
      <c r="XO13" s="33"/>
      <c r="XP13" s="33"/>
      <c r="XQ13" s="33"/>
      <c r="XR13" s="33"/>
      <c r="XS13" s="33"/>
      <c r="XT13" s="33"/>
      <c r="XU13" s="33"/>
      <c r="XV13" s="33"/>
      <c r="XW13" s="33"/>
      <c r="XX13" s="33"/>
      <c r="XY13" s="33"/>
      <c r="XZ13" s="33"/>
      <c r="YA13" s="33"/>
      <c r="YB13" s="33"/>
      <c r="YC13" s="33"/>
      <c r="YD13" s="33"/>
      <c r="YE13" s="33"/>
      <c r="YF13" s="33"/>
      <c r="YG13" s="33"/>
      <c r="YH13" s="33"/>
      <c r="YI13" s="33"/>
      <c r="YJ13" s="33"/>
      <c r="YK13" s="33"/>
      <c r="YL13" s="33"/>
      <c r="YM13" s="33"/>
      <c r="YN13" s="33"/>
      <c r="YO13" s="33"/>
      <c r="YP13" s="33"/>
      <c r="YQ13" s="33"/>
      <c r="YR13" s="33"/>
      <c r="YS13" s="33"/>
      <c r="YT13" s="33"/>
      <c r="YU13" s="33"/>
      <c r="YV13" s="33"/>
      <c r="YW13" s="33"/>
      <c r="YX13" s="33"/>
      <c r="YY13" s="33"/>
      <c r="YZ13" s="33"/>
      <c r="ZA13" s="33"/>
      <c r="ZB13" s="33"/>
      <c r="ZC13" s="33"/>
      <c r="ZD13" s="33"/>
      <c r="ZE13" s="33"/>
      <c r="ZF13" s="33"/>
      <c r="ZG13" s="33"/>
      <c r="ZH13" s="33"/>
      <c r="ZI13" s="33"/>
      <c r="ZJ13" s="33"/>
      <c r="ZK13" s="33"/>
      <c r="ZL13" s="33"/>
      <c r="ZM13" s="33"/>
      <c r="ZN13" s="33"/>
      <c r="ZO13" s="33"/>
      <c r="ZP13" s="33"/>
      <c r="ZQ13" s="33"/>
      <c r="ZR13" s="33"/>
      <c r="ZS13" s="33"/>
      <c r="ZT13" s="33"/>
      <c r="ZU13" s="33"/>
      <c r="ZV13" s="33"/>
      <c r="ZW13" s="33"/>
      <c r="ZX13" s="33"/>
      <c r="ZY13" s="33"/>
      <c r="ZZ13" s="33"/>
      <c r="AAA13" s="33"/>
      <c r="AAB13" s="33"/>
      <c r="AAC13" s="33"/>
      <c r="AAD13" s="33"/>
      <c r="AAE13" s="33"/>
      <c r="AAF13" s="33"/>
      <c r="AAG13" s="33"/>
      <c r="AAH13" s="33"/>
      <c r="AAI13" s="33"/>
      <c r="AAJ13" s="33"/>
      <c r="AAK13" s="33"/>
      <c r="AAL13" s="33"/>
      <c r="AAM13" s="33"/>
      <c r="AAN13" s="33"/>
      <c r="AAO13" s="33"/>
      <c r="AAP13" s="33"/>
      <c r="AAQ13" s="33"/>
      <c r="AAR13" s="33"/>
      <c r="AAS13" s="33"/>
      <c r="AAT13" s="33"/>
      <c r="AAU13" s="33"/>
      <c r="AAV13" s="33"/>
      <c r="AAW13" s="33"/>
      <c r="AAX13" s="33"/>
      <c r="AAY13" s="33"/>
      <c r="AAZ13" s="33"/>
      <c r="ABA13" s="33"/>
      <c r="ABB13" s="33"/>
      <c r="ABC13" s="33"/>
      <c r="ABD13" s="33"/>
      <c r="ABE13" s="33"/>
      <c r="ABF13" s="33"/>
      <c r="ABG13" s="33"/>
      <c r="ABH13" s="33"/>
      <c r="ABI13" s="33"/>
      <c r="ABJ13" s="33"/>
      <c r="ABK13" s="33"/>
      <c r="ABL13" s="33"/>
      <c r="ABM13" s="33"/>
      <c r="ABN13" s="33"/>
      <c r="ABO13" s="33"/>
      <c r="ABP13" s="33"/>
      <c r="ABQ13" s="33"/>
      <c r="ABR13" s="33"/>
      <c r="ABS13" s="33"/>
      <c r="ABT13" s="33"/>
      <c r="ABU13" s="33"/>
      <c r="ABV13" s="33"/>
      <c r="ABW13" s="33"/>
      <c r="ABX13" s="33"/>
      <c r="ABY13" s="33"/>
      <c r="ABZ13" s="33"/>
      <c r="ACA13" s="33"/>
      <c r="ACB13" s="33"/>
      <c r="ACC13" s="33"/>
      <c r="ACD13" s="33"/>
      <c r="ACE13" s="33"/>
      <c r="ACF13" s="33"/>
      <c r="ACG13" s="33"/>
      <c r="ACH13" s="33"/>
      <c r="ACI13" s="33"/>
      <c r="ACJ13" s="33"/>
      <c r="ACK13" s="33"/>
      <c r="ACL13" s="33"/>
      <c r="ACM13" s="33"/>
      <c r="ACN13" s="33"/>
      <c r="ACO13" s="33"/>
      <c r="ACP13" s="33"/>
      <c r="ACQ13" s="33"/>
      <c r="ACR13" s="33"/>
      <c r="ACS13" s="33"/>
      <c r="ACT13" s="33"/>
      <c r="ACU13" s="33"/>
      <c r="ACV13" s="33"/>
      <c r="ACW13" s="33"/>
      <c r="ACX13" s="33"/>
      <c r="ACY13" s="33"/>
      <c r="ACZ13" s="33"/>
      <c r="ADA13" s="33"/>
      <c r="ADB13" s="33"/>
      <c r="ADC13" s="33"/>
      <c r="ADD13" s="33"/>
      <c r="ADE13" s="33"/>
      <c r="ADF13" s="33"/>
      <c r="ADG13" s="33"/>
      <c r="ADH13" s="33"/>
      <c r="ADI13" s="33"/>
      <c r="ADJ13" s="33"/>
      <c r="ADK13" s="33"/>
      <c r="ADL13" s="33"/>
      <c r="ADM13" s="33"/>
      <c r="ADN13" s="33"/>
      <c r="ADO13" s="33"/>
      <c r="ADP13" s="33"/>
      <c r="ADQ13" s="33"/>
      <c r="ADR13" s="33"/>
      <c r="ADS13" s="33"/>
      <c r="ADT13" s="33"/>
      <c r="ADU13" s="33"/>
      <c r="ADV13" s="33"/>
      <c r="ADW13" s="33"/>
      <c r="ADX13" s="33"/>
      <c r="ADY13" s="33"/>
      <c r="ADZ13" s="33"/>
      <c r="AEA13" s="33"/>
      <c r="AEB13" s="33"/>
      <c r="AEC13" s="33"/>
      <c r="AED13" s="33"/>
      <c r="AEE13" s="33"/>
      <c r="AEF13" s="33"/>
      <c r="AEG13" s="33"/>
      <c r="AEH13" s="33"/>
      <c r="AEI13" s="33"/>
      <c r="AEJ13" s="33"/>
      <c r="AEK13" s="33"/>
      <c r="AEL13" s="33"/>
      <c r="AEM13" s="33"/>
      <c r="AEN13" s="33"/>
      <c r="AEO13" s="33"/>
      <c r="AEP13" s="33"/>
      <c r="AEQ13" s="33"/>
      <c r="AER13" s="33"/>
      <c r="AES13" s="33"/>
      <c r="AET13" s="33"/>
      <c r="AEU13" s="33"/>
      <c r="AEV13" s="33"/>
      <c r="AEW13" s="33"/>
      <c r="AEX13" s="33"/>
      <c r="AEY13" s="33"/>
      <c r="AEZ13" s="33"/>
      <c r="AFA13" s="33"/>
      <c r="AFB13" s="33"/>
      <c r="AFC13" s="33"/>
      <c r="AFD13" s="33"/>
      <c r="AFE13" s="33"/>
      <c r="AFF13" s="33"/>
      <c r="AFG13" s="33"/>
      <c r="AFH13" s="33"/>
      <c r="AFI13" s="33"/>
      <c r="AFJ13" s="33"/>
      <c r="AFK13" s="33"/>
      <c r="AFL13" s="33"/>
      <c r="AFM13" s="33"/>
      <c r="AFN13" s="33"/>
      <c r="AFO13" s="33"/>
      <c r="AFP13" s="33"/>
      <c r="AFQ13" s="33"/>
      <c r="AFR13" s="33"/>
      <c r="AFS13" s="33"/>
      <c r="AFT13" s="33"/>
      <c r="AFU13" s="33"/>
      <c r="AFV13" s="33"/>
      <c r="AFW13" s="33"/>
      <c r="AFX13" s="33"/>
      <c r="AFY13" s="33"/>
      <c r="AFZ13" s="33"/>
      <c r="AGA13" s="33"/>
      <c r="AGB13" s="33"/>
      <c r="AGC13" s="33"/>
      <c r="AGD13" s="33"/>
      <c r="AGE13" s="33"/>
      <c r="AGF13" s="33"/>
      <c r="AGG13" s="33"/>
      <c r="AGH13" s="33"/>
      <c r="AGI13" s="33"/>
      <c r="AGJ13" s="33"/>
      <c r="AGK13" s="33"/>
      <c r="AGL13" s="33"/>
      <c r="AGM13" s="33"/>
      <c r="AGN13" s="33"/>
      <c r="AGO13" s="33"/>
      <c r="AGP13" s="33"/>
      <c r="AGQ13" s="33"/>
      <c r="AGR13" s="33"/>
      <c r="AGS13" s="33"/>
      <c r="AGT13" s="33"/>
      <c r="AGU13" s="33"/>
      <c r="AGV13" s="33"/>
      <c r="AGW13" s="33"/>
      <c r="AGX13" s="33"/>
      <c r="AGY13" s="33"/>
      <c r="AGZ13" s="33"/>
      <c r="AHA13" s="33"/>
      <c r="AHB13" s="33"/>
      <c r="AHC13" s="33"/>
      <c r="AHD13" s="33"/>
      <c r="AHE13" s="33"/>
      <c r="AHF13" s="33"/>
      <c r="AHG13" s="33"/>
      <c r="AHH13" s="33"/>
      <c r="AHI13" s="33"/>
      <c r="AHJ13" s="33"/>
      <c r="AHK13" s="33"/>
      <c r="AHL13" s="33"/>
      <c r="AHM13" s="33"/>
      <c r="AHN13" s="33"/>
      <c r="AHO13" s="33"/>
      <c r="AHP13" s="33"/>
      <c r="AHQ13" s="33"/>
      <c r="AHR13" s="33"/>
      <c r="AHS13" s="33"/>
      <c r="AHT13" s="33"/>
      <c r="AHU13" s="33"/>
      <c r="AHV13" s="33"/>
      <c r="AHW13" s="33"/>
      <c r="AHX13" s="33"/>
      <c r="AHY13" s="33"/>
      <c r="AHZ13" s="33"/>
      <c r="AIA13" s="33"/>
      <c r="AIB13" s="33"/>
      <c r="AIC13" s="33"/>
      <c r="AID13" s="33"/>
      <c r="AIE13" s="33"/>
      <c r="AIF13" s="33"/>
      <c r="AIG13" s="33"/>
      <c r="AIH13" s="33"/>
      <c r="AII13" s="33"/>
      <c r="AIJ13" s="33"/>
      <c r="AIK13" s="33"/>
      <c r="AIL13" s="33"/>
      <c r="AIM13" s="33"/>
      <c r="AIN13" s="33"/>
      <c r="AIO13" s="33"/>
      <c r="AIP13" s="33"/>
      <c r="AIQ13" s="33"/>
      <c r="AIR13" s="33"/>
      <c r="AIS13" s="33"/>
      <c r="AIT13" s="33"/>
      <c r="AIU13" s="33"/>
      <c r="AIV13" s="33"/>
      <c r="AIW13" s="33"/>
      <c r="AIX13" s="33"/>
      <c r="AIY13" s="33"/>
      <c r="AIZ13" s="33"/>
      <c r="AJA13" s="33"/>
      <c r="AJB13" s="33"/>
      <c r="AJC13" s="33"/>
      <c r="AJD13" s="33"/>
      <c r="AJE13" s="33"/>
      <c r="AJF13" s="33"/>
      <c r="AJG13" s="33"/>
      <c r="AJH13" s="33"/>
      <c r="AJI13" s="33"/>
      <c r="AJJ13" s="33"/>
      <c r="AJK13" s="33"/>
      <c r="AJL13" s="33"/>
      <c r="AJM13" s="33"/>
      <c r="AJN13" s="33"/>
      <c r="AJO13" s="33"/>
      <c r="AJP13" s="33"/>
      <c r="AJQ13" s="33"/>
      <c r="AJR13" s="33"/>
      <c r="AJS13" s="33"/>
      <c r="AJT13" s="33"/>
      <c r="AJU13" s="33"/>
      <c r="AJV13" s="33"/>
      <c r="AJW13" s="33"/>
      <c r="AJX13" s="33"/>
      <c r="AJY13" s="33"/>
      <c r="AJZ13" s="33"/>
      <c r="AKA13" s="33"/>
      <c r="AKB13" s="33"/>
      <c r="AKC13" s="33"/>
      <c r="AKD13" s="33"/>
      <c r="AKE13" s="33"/>
      <c r="AKF13" s="33"/>
      <c r="AKG13" s="33"/>
      <c r="AKH13" s="33"/>
      <c r="AKI13" s="33"/>
      <c r="AKJ13" s="33"/>
      <c r="AKK13" s="33"/>
      <c r="AKL13" s="33"/>
      <c r="AKM13" s="33"/>
      <c r="AKN13" s="33"/>
      <c r="AKO13" s="33"/>
      <c r="AKP13" s="33"/>
      <c r="AKQ13" s="33"/>
      <c r="AKR13" s="33"/>
      <c r="AKS13" s="33"/>
      <c r="AKT13" s="33"/>
      <c r="AKU13" s="33"/>
      <c r="AKV13" s="33"/>
      <c r="AKW13" s="33"/>
      <c r="AKX13" s="33"/>
      <c r="AKY13" s="33"/>
      <c r="AKZ13" s="33"/>
      <c r="ALA13" s="33"/>
      <c r="ALB13" s="33"/>
      <c r="ALC13" s="33"/>
      <c r="ALD13" s="33"/>
      <c r="ALE13" s="33"/>
      <c r="ALF13" s="33"/>
      <c r="ALG13" s="33"/>
      <c r="ALH13" s="33"/>
      <c r="ALI13" s="33"/>
      <c r="ALJ13" s="33"/>
      <c r="ALK13" s="33"/>
      <c r="ALL13" s="33"/>
      <c r="ALM13" s="33"/>
      <c r="ALN13" s="33"/>
      <c r="ALO13" s="33"/>
      <c r="ALP13" s="33"/>
      <c r="ALQ13" s="33"/>
      <c r="ALR13" s="33"/>
      <c r="ALS13" s="33"/>
      <c r="ALT13" s="33"/>
      <c r="ALU13" s="33"/>
      <c r="ALV13" s="33"/>
      <c r="ALW13" s="33"/>
      <c r="ALX13" s="33"/>
      <c r="ALY13" s="33"/>
      <c r="ALZ13" s="33"/>
      <c r="AMA13" s="33"/>
      <c r="AMB13" s="33"/>
      <c r="AMC13" s="33"/>
      <c r="AMD13" s="33"/>
      <c r="AME13" s="33"/>
      <c r="AMF13" s="33"/>
      <c r="AMG13" s="33"/>
      <c r="AMH13" s="33"/>
      <c r="AMI13" s="33"/>
      <c r="AMJ13" s="33"/>
      <c r="AMK13" s="33"/>
      <c r="AML13" s="33"/>
    </row>
    <row r="14" ht="15.75" customHeight="1">
      <c r="A14" s="8" t="s">
        <v>20</v>
      </c>
      <c r="B14" s="8" t="s">
        <v>20</v>
      </c>
      <c r="C14" s="8" t="s">
        <v>26</v>
      </c>
      <c r="D14" s="8" t="s">
        <v>28</v>
      </c>
      <c r="E14" s="8" t="s">
        <v>28</v>
      </c>
      <c r="F14" s="8" t="s">
        <v>23</v>
      </c>
      <c r="G14" s="8">
        <v>1.0</v>
      </c>
      <c r="H14" s="8">
        <v>1.0</v>
      </c>
      <c r="I14" s="8">
        <v>1.0</v>
      </c>
      <c r="J14" s="8"/>
      <c r="K14" s="8">
        <v>0.0</v>
      </c>
      <c r="L14" s="8">
        <v>0.0</v>
      </c>
      <c r="M14" s="8">
        <v>0.0</v>
      </c>
      <c r="N14" s="8"/>
      <c r="O14" s="8">
        <v>0.0</v>
      </c>
      <c r="P14">
        <v>0.0</v>
      </c>
      <c r="Q14">
        <v>0.0</v>
      </c>
      <c r="R14">
        <v>0.0</v>
      </c>
      <c r="S14">
        <v>0.0</v>
      </c>
      <c r="T14" t="s">
        <v>28</v>
      </c>
      <c r="AB14" t="s">
        <v>20</v>
      </c>
      <c r="AC14" t="s">
        <v>20</v>
      </c>
      <c r="AD14" t="s">
        <v>20</v>
      </c>
      <c r="AE14" t="s">
        <v>20</v>
      </c>
      <c r="AF14" t="s">
        <v>20</v>
      </c>
      <c r="AG14" t="s">
        <v>20</v>
      </c>
      <c r="AH14" t="s">
        <v>20</v>
      </c>
      <c r="AI14" t="s">
        <v>20</v>
      </c>
      <c r="AJ14" t="s">
        <v>20</v>
      </c>
      <c r="AK14" t="s">
        <v>20</v>
      </c>
      <c r="AL14" t="s">
        <v>20</v>
      </c>
      <c r="AM14" t="s">
        <v>20</v>
      </c>
      <c r="AN14" t="s">
        <v>20</v>
      </c>
      <c r="AO14" t="s">
        <v>20</v>
      </c>
      <c r="AP14" t="s">
        <v>20</v>
      </c>
      <c r="AQ14" t="s">
        <v>20</v>
      </c>
      <c r="AR14" t="s">
        <v>20</v>
      </c>
      <c r="AS14" t="s">
        <v>20</v>
      </c>
      <c r="AT14" t="s">
        <v>20</v>
      </c>
      <c r="AU14" t="s">
        <v>20</v>
      </c>
      <c r="AV14" t="s">
        <v>20</v>
      </c>
      <c r="AW14" t="s">
        <v>20</v>
      </c>
      <c r="AX14" t="s">
        <v>20</v>
      </c>
      <c r="AY14" t="s">
        <v>20</v>
      </c>
      <c r="AZ14" t="s">
        <v>20</v>
      </c>
      <c r="BA14" t="s">
        <v>20</v>
      </c>
      <c r="BB14" t="s">
        <v>20</v>
      </c>
      <c r="BC14" t="s">
        <v>20</v>
      </c>
      <c r="BD14" t="s">
        <v>20</v>
      </c>
      <c r="BE14" t="s">
        <v>20</v>
      </c>
      <c r="BF14" t="s">
        <v>20</v>
      </c>
      <c r="BG14" t="s">
        <v>20</v>
      </c>
      <c r="BH14" t="s">
        <v>20</v>
      </c>
      <c r="BI14" t="s">
        <v>20</v>
      </c>
      <c r="BJ14" t="s">
        <v>20</v>
      </c>
      <c r="BK14" t="s">
        <v>20</v>
      </c>
      <c r="BL14" t="s">
        <v>20</v>
      </c>
      <c r="BM14" t="s">
        <v>20</v>
      </c>
      <c r="BN14" t="s">
        <v>20</v>
      </c>
      <c r="BO14" t="s">
        <v>20</v>
      </c>
      <c r="BP14" t="s">
        <v>20</v>
      </c>
      <c r="BQ14" t="s">
        <v>20</v>
      </c>
      <c r="BR14" t="s">
        <v>20</v>
      </c>
      <c r="BS14" t="s">
        <v>20</v>
      </c>
      <c r="BT14" t="s">
        <v>20</v>
      </c>
      <c r="BU14" t="s">
        <v>20</v>
      </c>
      <c r="BV14" t="s">
        <v>20</v>
      </c>
      <c r="BW14" t="s">
        <v>20</v>
      </c>
      <c r="BX14" t="s">
        <v>20</v>
      </c>
      <c r="BY14" t="s">
        <v>20</v>
      </c>
      <c r="BZ14" t="s">
        <v>20</v>
      </c>
      <c r="CA14" t="s">
        <v>20</v>
      </c>
      <c r="CB14" t="s">
        <v>20</v>
      </c>
      <c r="CC14" t="s">
        <v>20</v>
      </c>
      <c r="CD14" t="s">
        <v>20</v>
      </c>
      <c r="CE14" t="s">
        <v>20</v>
      </c>
      <c r="CF14" t="s">
        <v>20</v>
      </c>
      <c r="CG14" t="s">
        <v>20</v>
      </c>
      <c r="CH14" t="s">
        <v>20</v>
      </c>
      <c r="CI14" t="s">
        <v>20</v>
      </c>
      <c r="CJ14" t="s">
        <v>20</v>
      </c>
      <c r="CK14" t="s">
        <v>20</v>
      </c>
      <c r="CL14" t="s">
        <v>20</v>
      </c>
      <c r="CM14" t="s">
        <v>20</v>
      </c>
      <c r="CN14" t="s">
        <v>20</v>
      </c>
      <c r="CO14" t="s">
        <v>20</v>
      </c>
      <c r="CP14" t="s">
        <v>20</v>
      </c>
      <c r="CQ14" t="s">
        <v>20</v>
      </c>
      <c r="CR14" t="s">
        <v>20</v>
      </c>
      <c r="CS14" t="s">
        <v>20</v>
      </c>
      <c r="CT14" t="s">
        <v>20</v>
      </c>
      <c r="CU14" t="s">
        <v>20</v>
      </c>
      <c r="CV14" t="s">
        <v>20</v>
      </c>
      <c r="CW14" t="s">
        <v>20</v>
      </c>
      <c r="CX14" t="s">
        <v>20</v>
      </c>
      <c r="CY14" t="s">
        <v>20</v>
      </c>
      <c r="CZ14" t="s">
        <v>20</v>
      </c>
      <c r="DA14" t="s">
        <v>20</v>
      </c>
      <c r="DB14" t="s">
        <v>20</v>
      </c>
      <c r="DC14" t="s">
        <v>20</v>
      </c>
      <c r="DD14" t="s">
        <v>20</v>
      </c>
      <c r="DE14" t="s">
        <v>20</v>
      </c>
      <c r="DF14" t="s">
        <v>20</v>
      </c>
      <c r="DG14" t="s">
        <v>20</v>
      </c>
      <c r="DH14" t="s">
        <v>20</v>
      </c>
      <c r="DI14" t="s">
        <v>20</v>
      </c>
      <c r="DJ14" t="s">
        <v>20</v>
      </c>
      <c r="DK14" t="s">
        <v>20</v>
      </c>
      <c r="DL14" t="s">
        <v>20</v>
      </c>
      <c r="DM14" t="s">
        <v>20</v>
      </c>
      <c r="DN14" t="s">
        <v>20</v>
      </c>
      <c r="DO14" t="s">
        <v>20</v>
      </c>
      <c r="DP14" t="s">
        <v>20</v>
      </c>
      <c r="DQ14" t="s">
        <v>20</v>
      </c>
      <c r="DR14" t="s">
        <v>20</v>
      </c>
      <c r="DS14" t="s">
        <v>20</v>
      </c>
      <c r="DT14" t="s">
        <v>20</v>
      </c>
      <c r="DU14" t="s">
        <v>20</v>
      </c>
      <c r="DV14" t="s">
        <v>20</v>
      </c>
      <c r="DW14" t="s">
        <v>20</v>
      </c>
      <c r="DX14" t="s">
        <v>20</v>
      </c>
      <c r="DY14" t="s">
        <v>20</v>
      </c>
      <c r="DZ14" t="s">
        <v>20</v>
      </c>
      <c r="EA14" t="s">
        <v>20</v>
      </c>
      <c r="EB14" t="s">
        <v>20</v>
      </c>
      <c r="EC14" t="s">
        <v>20</v>
      </c>
      <c r="ED14" t="s">
        <v>20</v>
      </c>
      <c r="EE14" t="s">
        <v>20</v>
      </c>
      <c r="EF14" t="s">
        <v>20</v>
      </c>
      <c r="EG14" t="s">
        <v>20</v>
      </c>
      <c r="EH14" t="s">
        <v>20</v>
      </c>
      <c r="EI14" t="s">
        <v>20</v>
      </c>
      <c r="EJ14" t="s">
        <v>20</v>
      </c>
      <c r="EK14" t="s">
        <v>20</v>
      </c>
      <c r="EL14" t="s">
        <v>20</v>
      </c>
      <c r="EM14" t="s">
        <v>20</v>
      </c>
      <c r="EN14" t="s">
        <v>20</v>
      </c>
      <c r="EO14" t="s">
        <v>20</v>
      </c>
      <c r="EP14" t="s">
        <v>20</v>
      </c>
      <c r="EQ14" t="s">
        <v>20</v>
      </c>
      <c r="ER14" t="s">
        <v>20</v>
      </c>
      <c r="ES14" t="s">
        <v>20</v>
      </c>
      <c r="ET14" t="s">
        <v>20</v>
      </c>
      <c r="EU14" t="s">
        <v>20</v>
      </c>
      <c r="EV14" t="s">
        <v>20</v>
      </c>
      <c r="EW14" t="s">
        <v>20</v>
      </c>
      <c r="EX14" t="s">
        <v>20</v>
      </c>
      <c r="EY14" t="s">
        <v>20</v>
      </c>
      <c r="EZ14" t="s">
        <v>20</v>
      </c>
      <c r="FA14" t="s">
        <v>20</v>
      </c>
      <c r="FB14" t="s">
        <v>20</v>
      </c>
      <c r="FC14" t="s">
        <v>20</v>
      </c>
      <c r="FD14" t="s">
        <v>20</v>
      </c>
      <c r="FE14" t="s">
        <v>20</v>
      </c>
      <c r="FF14" t="s">
        <v>20</v>
      </c>
      <c r="FG14" t="s">
        <v>20</v>
      </c>
      <c r="FH14" t="s">
        <v>20</v>
      </c>
      <c r="FI14" t="s">
        <v>20</v>
      </c>
      <c r="FJ14" t="s">
        <v>20</v>
      </c>
      <c r="FK14" t="s">
        <v>20</v>
      </c>
      <c r="FL14" t="s">
        <v>20</v>
      </c>
      <c r="FM14" t="s">
        <v>20</v>
      </c>
      <c r="FN14" t="s">
        <v>20</v>
      </c>
      <c r="FO14" t="s">
        <v>20</v>
      </c>
      <c r="FP14" t="s">
        <v>20</v>
      </c>
      <c r="FQ14" t="s">
        <v>20</v>
      </c>
      <c r="FR14" s="33"/>
      <c r="FS14" s="33"/>
      <c r="FT14" s="33"/>
      <c r="FU14" s="33"/>
      <c r="FV14" s="33"/>
      <c r="FW14" s="33"/>
      <c r="FX14" s="33"/>
      <c r="FY14" s="33"/>
      <c r="FZ14" s="33"/>
      <c r="GA14" s="33"/>
      <c r="GB14" s="33"/>
      <c r="GC14" s="33"/>
      <c r="GD14" s="33"/>
      <c r="GE14" s="33"/>
      <c r="GF14" s="33"/>
      <c r="GG14" s="33"/>
      <c r="GH14" s="33"/>
      <c r="GI14" s="33"/>
      <c r="GJ14" s="33"/>
      <c r="GK14" s="33"/>
      <c r="GL14" s="33"/>
      <c r="GM14" s="33"/>
      <c r="GN14" s="33"/>
      <c r="GO14" s="33"/>
      <c r="GP14" s="33"/>
      <c r="GQ14" s="33"/>
      <c r="GR14" s="33"/>
      <c r="GS14" s="33"/>
      <c r="GT14" s="33"/>
      <c r="GU14" s="33"/>
      <c r="GV14" s="33"/>
      <c r="GW14" s="33"/>
      <c r="GX14" s="33"/>
      <c r="GY14" s="33"/>
      <c r="GZ14" s="33"/>
      <c r="HA14" s="33"/>
      <c r="HB14" s="33"/>
      <c r="HC14" s="33"/>
      <c r="HD14" s="33"/>
      <c r="HE14" s="33"/>
      <c r="HF14" s="33"/>
      <c r="HG14" s="33"/>
      <c r="HH14" s="33"/>
      <c r="HI14" s="33"/>
      <c r="HJ14" s="33"/>
      <c r="HK14" s="33"/>
      <c r="HL14" s="33"/>
      <c r="HM14" s="33"/>
      <c r="HN14" s="33"/>
      <c r="HO14" s="33"/>
      <c r="HP14" s="33"/>
      <c r="HQ14" s="33"/>
      <c r="HR14" s="33"/>
      <c r="HS14" s="33"/>
      <c r="HT14" s="33"/>
      <c r="HU14" s="33"/>
      <c r="HV14" s="33"/>
      <c r="HW14" s="33"/>
      <c r="HX14" s="33"/>
      <c r="HY14" s="33"/>
      <c r="HZ14" s="33"/>
      <c r="IA14" s="33"/>
      <c r="IB14" s="33"/>
      <c r="IC14" s="33"/>
      <c r="ID14" s="33"/>
      <c r="IE14" s="33"/>
      <c r="IF14" s="33"/>
      <c r="IG14" s="33"/>
      <c r="IH14" s="33"/>
      <c r="II14" s="33"/>
      <c r="IJ14" s="33"/>
      <c r="IK14" s="33"/>
      <c r="IL14" s="33"/>
      <c r="IM14" s="33"/>
      <c r="IN14" s="33"/>
      <c r="IO14" s="33"/>
      <c r="IP14" s="33"/>
      <c r="IQ14" s="33"/>
      <c r="IR14" s="33"/>
      <c r="IS14" s="33"/>
      <c r="IT14" s="33"/>
      <c r="IU14" s="33"/>
      <c r="IV14" s="33"/>
      <c r="IW14" s="33"/>
      <c r="IX14" s="33"/>
      <c r="IY14" s="33"/>
      <c r="IZ14" s="33"/>
      <c r="JA14" s="33"/>
      <c r="JB14" s="33"/>
      <c r="JC14" s="33"/>
      <c r="JD14" s="33"/>
      <c r="JE14" s="33"/>
      <c r="JF14" s="33"/>
      <c r="JG14" s="33"/>
      <c r="JH14" s="33"/>
      <c r="JI14" s="33"/>
      <c r="JJ14" s="33"/>
      <c r="JK14" s="33"/>
      <c r="JL14" s="33"/>
      <c r="JM14" s="33"/>
      <c r="JN14" s="33"/>
      <c r="JO14" s="33"/>
      <c r="JP14" s="33"/>
      <c r="JQ14" s="33"/>
      <c r="JR14" s="33"/>
      <c r="JS14" s="33"/>
      <c r="JT14" s="33"/>
      <c r="JU14" s="33"/>
      <c r="JV14" s="33"/>
      <c r="JW14" s="33"/>
      <c r="JX14" s="33"/>
      <c r="JY14" s="33"/>
      <c r="JZ14" s="33"/>
      <c r="KA14" s="33"/>
      <c r="KB14" s="33"/>
      <c r="KC14" s="33"/>
      <c r="KD14" s="33"/>
      <c r="KE14" s="33"/>
      <c r="KF14" s="33"/>
      <c r="KG14" s="33"/>
      <c r="KH14" s="33"/>
      <c r="KI14" s="33"/>
      <c r="KJ14" s="33"/>
      <c r="KK14" s="33"/>
      <c r="KL14" s="33"/>
      <c r="KM14" s="33"/>
      <c r="KN14" s="33"/>
      <c r="KO14" s="33"/>
      <c r="KP14" s="33"/>
      <c r="KQ14" s="33"/>
      <c r="KR14" s="33"/>
      <c r="KS14" s="33"/>
      <c r="KT14" s="33"/>
      <c r="KU14" s="33"/>
      <c r="KV14" s="33"/>
      <c r="KW14" s="33"/>
      <c r="KX14" s="33"/>
      <c r="KY14" s="33"/>
      <c r="KZ14" s="33"/>
      <c r="LA14" s="33"/>
      <c r="LB14" s="33"/>
      <c r="LC14" s="33"/>
      <c r="LD14" s="33"/>
      <c r="LE14" s="33"/>
      <c r="LF14" s="33"/>
      <c r="LG14" s="33"/>
      <c r="LH14" s="33"/>
      <c r="LI14" s="33"/>
      <c r="LJ14" s="33"/>
      <c r="LK14" s="33"/>
      <c r="LL14" s="33"/>
      <c r="LM14" s="33"/>
      <c r="LN14" s="33"/>
      <c r="LO14" s="33"/>
      <c r="LP14" s="33"/>
      <c r="LQ14" s="33"/>
      <c r="LR14" s="33"/>
      <c r="LS14" s="33"/>
      <c r="LT14" s="33"/>
      <c r="LU14" s="33"/>
      <c r="LV14" s="33"/>
      <c r="LW14" s="33"/>
      <c r="LX14" s="33"/>
      <c r="LY14" s="33"/>
      <c r="LZ14" s="33"/>
      <c r="MA14" s="33"/>
      <c r="MB14" s="33"/>
      <c r="MC14" s="33"/>
      <c r="MD14" s="33"/>
      <c r="ME14" s="33"/>
      <c r="MF14" s="33"/>
      <c r="MG14" s="33"/>
      <c r="MH14" s="33"/>
      <c r="MI14" s="33"/>
      <c r="MJ14" s="33"/>
      <c r="MK14" s="33"/>
      <c r="ML14" s="33"/>
      <c r="MM14" s="33"/>
      <c r="MN14" s="33"/>
      <c r="MO14" s="33"/>
      <c r="MP14" s="33"/>
      <c r="MQ14" s="33"/>
      <c r="MR14" s="33"/>
      <c r="MS14" s="33"/>
      <c r="MT14" s="33"/>
      <c r="MU14" s="33"/>
      <c r="MV14" s="33"/>
      <c r="MW14" s="33"/>
      <c r="MX14" s="33"/>
      <c r="MY14" s="33"/>
      <c r="MZ14" s="33"/>
      <c r="NA14" s="33"/>
      <c r="NB14" s="33"/>
      <c r="NC14" s="33"/>
      <c r="ND14" s="33"/>
      <c r="NE14" s="33"/>
      <c r="NF14" s="33"/>
      <c r="NG14" s="33"/>
      <c r="NH14" s="33"/>
      <c r="NI14" s="33"/>
      <c r="NJ14" s="33"/>
      <c r="NK14" s="33"/>
      <c r="NL14" s="33"/>
      <c r="NM14" s="33"/>
      <c r="NN14" s="33"/>
      <c r="NO14" s="33"/>
      <c r="NP14" s="33"/>
      <c r="NQ14" s="33"/>
      <c r="NR14" s="33"/>
      <c r="NS14" s="33"/>
      <c r="NT14" s="33"/>
      <c r="NU14" s="33"/>
      <c r="NV14" s="33"/>
      <c r="NW14" s="33"/>
      <c r="NX14" s="33"/>
      <c r="NY14" s="33"/>
      <c r="NZ14" s="33"/>
      <c r="OA14" s="33"/>
      <c r="OB14" s="33"/>
      <c r="OC14" s="33"/>
      <c r="OD14" s="33"/>
      <c r="OE14" s="33"/>
      <c r="OF14" s="33"/>
      <c r="OG14" s="33"/>
      <c r="OH14" s="33"/>
      <c r="OI14" s="33"/>
      <c r="OJ14" s="33"/>
      <c r="OK14" s="33"/>
      <c r="OL14" s="33"/>
      <c r="OM14" s="33"/>
      <c r="ON14" s="33"/>
      <c r="OO14" s="33"/>
      <c r="OP14" s="33"/>
      <c r="OQ14" s="33"/>
      <c r="OR14" s="33"/>
      <c r="OS14" s="33"/>
      <c r="OT14" s="33"/>
      <c r="OU14" s="33"/>
      <c r="OV14" s="33"/>
      <c r="OW14" s="33"/>
      <c r="OX14" s="33"/>
      <c r="OY14" s="33"/>
      <c r="OZ14" s="33"/>
      <c r="PA14" s="33"/>
      <c r="PB14" s="33"/>
      <c r="PC14" s="33"/>
      <c r="PD14" s="33"/>
      <c r="PE14" s="33"/>
      <c r="PF14" s="33"/>
      <c r="PG14" s="33"/>
      <c r="PH14" s="33"/>
      <c r="PI14" s="33"/>
      <c r="PJ14" s="33"/>
      <c r="PK14" s="33"/>
      <c r="PL14" s="33"/>
      <c r="PM14" s="33"/>
      <c r="PN14" s="33"/>
      <c r="PO14" s="33"/>
      <c r="PP14" s="33"/>
      <c r="PQ14" s="33"/>
      <c r="PR14" s="33"/>
      <c r="PS14" s="33"/>
      <c r="PT14" s="33"/>
      <c r="PU14" s="33"/>
      <c r="PV14" s="33"/>
      <c r="PW14" s="33"/>
      <c r="PX14" s="33"/>
      <c r="PY14" s="33"/>
      <c r="PZ14" s="33"/>
      <c r="QA14" s="33"/>
      <c r="QB14" s="33"/>
      <c r="QC14" s="33"/>
      <c r="QD14" s="33"/>
      <c r="QE14" s="33"/>
      <c r="QF14" s="33"/>
      <c r="QG14" s="33"/>
      <c r="QH14" s="33"/>
      <c r="QI14" s="33"/>
      <c r="QJ14" s="33"/>
      <c r="QK14" s="33"/>
      <c r="QL14" s="33"/>
      <c r="QM14" s="33"/>
      <c r="QN14" s="33"/>
      <c r="QO14" s="33"/>
      <c r="QP14" s="33"/>
      <c r="QQ14" s="33"/>
      <c r="QR14" s="33"/>
      <c r="QS14" s="33"/>
      <c r="QT14" s="33"/>
      <c r="QU14" s="33"/>
      <c r="QV14" s="33"/>
      <c r="QW14" s="33"/>
      <c r="QX14" s="33"/>
      <c r="QY14" s="33"/>
      <c r="QZ14" s="33"/>
      <c r="RA14" s="33"/>
      <c r="RB14" s="33"/>
      <c r="RC14" s="33"/>
      <c r="RD14" s="33"/>
      <c r="RE14" s="33"/>
      <c r="RF14" s="33"/>
      <c r="RG14" s="33"/>
      <c r="RH14" s="33"/>
      <c r="RI14" s="33"/>
      <c r="RJ14" s="33"/>
      <c r="RK14" s="33"/>
      <c r="RL14" s="33"/>
      <c r="RM14" s="33"/>
      <c r="RN14" s="33"/>
      <c r="RO14" s="33"/>
      <c r="RP14" s="33"/>
      <c r="RQ14" s="33"/>
      <c r="RR14" s="33"/>
      <c r="RS14" s="33"/>
      <c r="RT14" s="33"/>
      <c r="RU14" s="33"/>
      <c r="RV14" s="33"/>
      <c r="RW14" s="33"/>
      <c r="RX14" s="33"/>
      <c r="RY14" s="33"/>
      <c r="RZ14" s="33"/>
      <c r="SA14" s="33"/>
      <c r="SB14" s="33"/>
      <c r="SC14" s="33"/>
      <c r="SD14" s="33"/>
      <c r="SE14" s="33"/>
      <c r="SF14" s="33"/>
      <c r="SG14" s="33"/>
      <c r="SH14" s="33"/>
      <c r="SI14" s="33"/>
      <c r="SJ14" s="33"/>
      <c r="SK14" s="33"/>
      <c r="SL14" s="33"/>
      <c r="SM14" s="33"/>
      <c r="SN14" s="33"/>
      <c r="SO14" s="33"/>
      <c r="SP14" s="33"/>
      <c r="SQ14" s="33"/>
      <c r="SR14" s="33"/>
      <c r="SS14" s="33"/>
      <c r="ST14" s="33"/>
      <c r="SU14" s="33"/>
      <c r="SV14" s="33"/>
      <c r="SW14" s="33"/>
      <c r="SX14" s="33"/>
      <c r="SY14" s="33"/>
      <c r="SZ14" s="33"/>
      <c r="TA14" s="33"/>
      <c r="TB14" s="33"/>
      <c r="TC14" s="33"/>
      <c r="TD14" s="33"/>
      <c r="TE14" s="33"/>
      <c r="TF14" s="33"/>
      <c r="TG14" s="33"/>
      <c r="TH14" s="33"/>
      <c r="TI14" s="33"/>
      <c r="TJ14" s="33"/>
      <c r="TK14" s="33"/>
      <c r="TL14" s="33"/>
      <c r="TM14" s="33"/>
      <c r="TN14" s="33"/>
      <c r="TO14" s="33"/>
      <c r="TP14" s="33"/>
      <c r="TQ14" s="33"/>
      <c r="TR14" s="33"/>
      <c r="TS14" s="33"/>
      <c r="TT14" s="33"/>
      <c r="TU14" s="33"/>
      <c r="TV14" s="33"/>
      <c r="TW14" s="33"/>
      <c r="TX14" s="33"/>
      <c r="TY14" s="33"/>
      <c r="TZ14" s="33"/>
      <c r="UA14" s="33"/>
      <c r="UB14" s="33"/>
      <c r="UC14" s="33"/>
      <c r="UD14" s="33"/>
      <c r="UE14" s="33"/>
      <c r="UF14" s="33"/>
      <c r="UG14" s="33"/>
      <c r="UH14" s="33"/>
      <c r="UI14" s="33"/>
      <c r="UJ14" s="33"/>
      <c r="UK14" s="33"/>
      <c r="UL14" s="33"/>
      <c r="UM14" s="33"/>
      <c r="UN14" s="33"/>
      <c r="UO14" s="33"/>
      <c r="UP14" s="33"/>
      <c r="UQ14" s="33"/>
      <c r="UR14" s="33"/>
      <c r="US14" s="33"/>
      <c r="UT14" s="33"/>
      <c r="UU14" s="33"/>
      <c r="UV14" s="33"/>
      <c r="UW14" s="33"/>
      <c r="UX14" s="33"/>
      <c r="UY14" s="33"/>
      <c r="UZ14" s="33"/>
      <c r="VA14" s="33"/>
      <c r="VB14" s="33"/>
      <c r="VC14" s="33"/>
      <c r="VD14" s="33"/>
      <c r="VE14" s="33"/>
      <c r="VF14" s="33"/>
      <c r="VG14" s="33"/>
      <c r="VH14" s="33"/>
      <c r="VI14" s="33"/>
      <c r="VJ14" s="33"/>
      <c r="VK14" s="33"/>
      <c r="VL14" s="33"/>
      <c r="VM14" s="33"/>
      <c r="VN14" s="33"/>
      <c r="VO14" s="33"/>
      <c r="VP14" s="33"/>
      <c r="VQ14" s="33"/>
      <c r="VR14" s="33"/>
      <c r="VS14" s="33"/>
      <c r="VT14" s="33"/>
      <c r="VU14" s="33"/>
      <c r="VV14" s="33"/>
      <c r="VW14" s="33"/>
      <c r="VX14" s="33"/>
      <c r="VY14" s="33"/>
      <c r="VZ14" s="33"/>
      <c r="WA14" s="33"/>
      <c r="WB14" s="33"/>
      <c r="WC14" s="33"/>
      <c r="WD14" s="33"/>
      <c r="WE14" s="33"/>
      <c r="WF14" s="33"/>
      <c r="WG14" s="33"/>
      <c r="WH14" s="33"/>
      <c r="WI14" s="33"/>
      <c r="WJ14" s="33"/>
      <c r="WK14" s="33"/>
      <c r="WL14" s="33"/>
      <c r="WM14" s="33"/>
      <c r="WN14" s="33"/>
      <c r="WO14" s="33"/>
      <c r="WP14" s="33"/>
      <c r="WQ14" s="33"/>
      <c r="WR14" s="33"/>
      <c r="WS14" s="33"/>
      <c r="WT14" s="33"/>
      <c r="WU14" s="33"/>
      <c r="WV14" s="33"/>
      <c r="WW14" s="33"/>
      <c r="WX14" s="33"/>
      <c r="WY14" s="33"/>
      <c r="WZ14" s="33"/>
      <c r="XA14" s="33"/>
      <c r="XB14" s="33"/>
      <c r="XC14" s="33"/>
      <c r="XD14" s="33"/>
      <c r="XE14" s="33"/>
      <c r="XF14" s="33"/>
      <c r="XG14" s="33"/>
      <c r="XH14" s="33"/>
      <c r="XI14" s="33"/>
      <c r="XJ14" s="33"/>
      <c r="XK14" s="33"/>
      <c r="XL14" s="33"/>
      <c r="XM14" s="33"/>
      <c r="XN14" s="33"/>
      <c r="XO14" s="33"/>
      <c r="XP14" s="33"/>
      <c r="XQ14" s="33"/>
      <c r="XR14" s="33"/>
      <c r="XS14" s="33"/>
      <c r="XT14" s="33"/>
      <c r="XU14" s="33"/>
      <c r="XV14" s="33"/>
      <c r="XW14" s="33"/>
      <c r="XX14" s="33"/>
      <c r="XY14" s="33"/>
      <c r="XZ14" s="33"/>
      <c r="YA14" s="33"/>
      <c r="YB14" s="33"/>
      <c r="YC14" s="33"/>
      <c r="YD14" s="33"/>
      <c r="YE14" s="33"/>
      <c r="YF14" s="33"/>
      <c r="YG14" s="33"/>
      <c r="YH14" s="33"/>
      <c r="YI14" s="33"/>
      <c r="YJ14" s="33"/>
      <c r="YK14" s="33"/>
      <c r="YL14" s="33"/>
      <c r="YM14" s="33"/>
      <c r="YN14" s="33"/>
      <c r="YO14" s="33"/>
      <c r="YP14" s="33"/>
      <c r="YQ14" s="33"/>
      <c r="YR14" s="33"/>
      <c r="YS14" s="33"/>
      <c r="YT14" s="33"/>
      <c r="YU14" s="33"/>
      <c r="YV14" s="33"/>
      <c r="YW14" s="33"/>
      <c r="YX14" s="33"/>
      <c r="YY14" s="33"/>
      <c r="YZ14" s="33"/>
      <c r="ZA14" s="33"/>
      <c r="ZB14" s="33"/>
      <c r="ZC14" s="33"/>
      <c r="ZD14" s="33"/>
      <c r="ZE14" s="33"/>
      <c r="ZF14" s="33"/>
      <c r="ZG14" s="33"/>
      <c r="ZH14" s="33"/>
      <c r="ZI14" s="33"/>
      <c r="ZJ14" s="33"/>
      <c r="ZK14" s="33"/>
      <c r="ZL14" s="33"/>
      <c r="ZM14" s="33"/>
      <c r="ZN14" s="33"/>
      <c r="ZO14" s="33"/>
      <c r="ZP14" s="33"/>
      <c r="ZQ14" s="33"/>
      <c r="ZR14" s="33"/>
      <c r="ZS14" s="33"/>
      <c r="ZT14" s="33"/>
      <c r="ZU14" s="33"/>
      <c r="ZV14" s="33"/>
      <c r="ZW14" s="33"/>
      <c r="ZX14" s="33"/>
      <c r="ZY14" s="33"/>
      <c r="ZZ14" s="33"/>
      <c r="AAA14" s="33"/>
      <c r="AAB14" s="33"/>
      <c r="AAC14" s="33"/>
      <c r="AAD14" s="33"/>
      <c r="AAE14" s="33"/>
      <c r="AAF14" s="33"/>
      <c r="AAG14" s="33"/>
      <c r="AAH14" s="33"/>
      <c r="AAI14" s="33"/>
      <c r="AAJ14" s="33"/>
      <c r="AAK14" s="33"/>
      <c r="AAL14" s="33"/>
      <c r="AAM14" s="33"/>
      <c r="AAN14" s="33"/>
      <c r="AAO14" s="33"/>
      <c r="AAP14" s="33"/>
      <c r="AAQ14" s="33"/>
      <c r="AAR14" s="33"/>
      <c r="AAS14" s="33"/>
      <c r="AAT14" s="33"/>
      <c r="AAU14" s="33"/>
      <c r="AAV14" s="33"/>
      <c r="AAW14" s="33"/>
      <c r="AAX14" s="33"/>
      <c r="AAY14" s="33"/>
      <c r="AAZ14" s="33"/>
      <c r="ABA14" s="33"/>
      <c r="ABB14" s="33"/>
      <c r="ABC14" s="33"/>
      <c r="ABD14" s="33"/>
      <c r="ABE14" s="33"/>
      <c r="ABF14" s="33"/>
      <c r="ABG14" s="33"/>
      <c r="ABH14" s="33"/>
      <c r="ABI14" s="33"/>
      <c r="ABJ14" s="33"/>
      <c r="ABK14" s="33"/>
      <c r="ABL14" s="33"/>
      <c r="ABM14" s="33"/>
      <c r="ABN14" s="33"/>
      <c r="ABO14" s="33"/>
      <c r="ABP14" s="33"/>
      <c r="ABQ14" s="33"/>
      <c r="ABR14" s="33"/>
      <c r="ABS14" s="33"/>
      <c r="ABT14" s="33"/>
      <c r="ABU14" s="33"/>
      <c r="ABV14" s="33"/>
      <c r="ABW14" s="33"/>
      <c r="ABX14" s="33"/>
      <c r="ABY14" s="33"/>
      <c r="ABZ14" s="33"/>
      <c r="ACA14" s="33"/>
      <c r="ACB14" s="33"/>
      <c r="ACC14" s="33"/>
      <c r="ACD14" s="33"/>
      <c r="ACE14" s="33"/>
      <c r="ACF14" s="33"/>
      <c r="ACG14" s="33"/>
      <c r="ACH14" s="33"/>
      <c r="ACI14" s="33"/>
      <c r="ACJ14" s="33"/>
      <c r="ACK14" s="33"/>
      <c r="ACL14" s="33"/>
      <c r="ACM14" s="33"/>
      <c r="ACN14" s="33"/>
      <c r="ACO14" s="33"/>
      <c r="ACP14" s="33"/>
      <c r="ACQ14" s="33"/>
      <c r="ACR14" s="33"/>
      <c r="ACS14" s="33"/>
      <c r="ACT14" s="33"/>
      <c r="ACU14" s="33"/>
      <c r="ACV14" s="33"/>
      <c r="ACW14" s="33"/>
      <c r="ACX14" s="33"/>
      <c r="ACY14" s="33"/>
      <c r="ACZ14" s="33"/>
      <c r="ADA14" s="33"/>
      <c r="ADB14" s="33"/>
      <c r="ADC14" s="33"/>
      <c r="ADD14" s="33"/>
      <c r="ADE14" s="33"/>
      <c r="ADF14" s="33"/>
      <c r="ADG14" s="33"/>
      <c r="ADH14" s="33"/>
      <c r="ADI14" s="33"/>
      <c r="ADJ14" s="33"/>
      <c r="ADK14" s="33"/>
      <c r="ADL14" s="33"/>
      <c r="ADM14" s="33"/>
      <c r="ADN14" s="33"/>
      <c r="ADO14" s="33"/>
      <c r="ADP14" s="33"/>
      <c r="ADQ14" s="33"/>
      <c r="ADR14" s="33"/>
      <c r="ADS14" s="33"/>
      <c r="ADT14" s="33"/>
      <c r="ADU14" s="33"/>
      <c r="ADV14" s="33"/>
      <c r="ADW14" s="33"/>
      <c r="ADX14" s="33"/>
      <c r="ADY14" s="33"/>
      <c r="ADZ14" s="33"/>
      <c r="AEA14" s="33"/>
      <c r="AEB14" s="33"/>
      <c r="AEC14" s="33"/>
      <c r="AED14" s="33"/>
      <c r="AEE14" s="33"/>
      <c r="AEF14" s="33"/>
      <c r="AEG14" s="33"/>
      <c r="AEH14" s="33"/>
      <c r="AEI14" s="33"/>
      <c r="AEJ14" s="33"/>
      <c r="AEK14" s="33"/>
      <c r="AEL14" s="33"/>
      <c r="AEM14" s="33"/>
      <c r="AEN14" s="33"/>
      <c r="AEO14" s="33"/>
      <c r="AEP14" s="33"/>
      <c r="AEQ14" s="33"/>
      <c r="AER14" s="33"/>
      <c r="AES14" s="33"/>
      <c r="AET14" s="33"/>
      <c r="AEU14" s="33"/>
      <c r="AEV14" s="33"/>
      <c r="AEW14" s="33"/>
      <c r="AEX14" s="33"/>
      <c r="AEY14" s="33"/>
      <c r="AEZ14" s="33"/>
      <c r="AFA14" s="33"/>
      <c r="AFB14" s="33"/>
      <c r="AFC14" s="33"/>
      <c r="AFD14" s="33"/>
      <c r="AFE14" s="33"/>
      <c r="AFF14" s="33"/>
      <c r="AFG14" s="33"/>
      <c r="AFH14" s="33"/>
      <c r="AFI14" s="33"/>
      <c r="AFJ14" s="33"/>
      <c r="AFK14" s="33"/>
      <c r="AFL14" s="33"/>
      <c r="AFM14" s="33"/>
      <c r="AFN14" s="33"/>
      <c r="AFO14" s="33"/>
      <c r="AFP14" s="33"/>
      <c r="AFQ14" s="33"/>
      <c r="AFR14" s="33"/>
      <c r="AFS14" s="33"/>
      <c r="AFT14" s="33"/>
      <c r="AFU14" s="33"/>
      <c r="AFV14" s="33"/>
      <c r="AFW14" s="33"/>
      <c r="AFX14" s="33"/>
      <c r="AFY14" s="33"/>
      <c r="AFZ14" s="33"/>
      <c r="AGA14" s="33"/>
      <c r="AGB14" s="33"/>
      <c r="AGC14" s="33"/>
      <c r="AGD14" s="33"/>
      <c r="AGE14" s="33"/>
      <c r="AGF14" s="33"/>
      <c r="AGG14" s="33"/>
      <c r="AGH14" s="33"/>
      <c r="AGI14" s="33"/>
      <c r="AGJ14" s="33"/>
      <c r="AGK14" s="33"/>
      <c r="AGL14" s="33"/>
      <c r="AGM14" s="33"/>
      <c r="AGN14" s="33"/>
      <c r="AGO14" s="33"/>
      <c r="AGP14" s="33"/>
      <c r="AGQ14" s="33"/>
      <c r="AGR14" s="33"/>
      <c r="AGS14" s="33"/>
      <c r="AGT14" s="33"/>
      <c r="AGU14" s="33"/>
      <c r="AGV14" s="33"/>
      <c r="AGW14" s="33"/>
      <c r="AGX14" s="33"/>
      <c r="AGY14" s="33"/>
      <c r="AGZ14" s="33"/>
      <c r="AHA14" s="33"/>
      <c r="AHB14" s="33"/>
      <c r="AHC14" s="33"/>
      <c r="AHD14" s="33"/>
      <c r="AHE14" s="33"/>
      <c r="AHF14" s="33"/>
      <c r="AHG14" s="33"/>
      <c r="AHH14" s="33"/>
      <c r="AHI14" s="33"/>
      <c r="AHJ14" s="33"/>
      <c r="AHK14" s="33"/>
      <c r="AHL14" s="33"/>
      <c r="AHM14" s="33"/>
      <c r="AHN14" s="33"/>
      <c r="AHO14" s="33"/>
      <c r="AHP14" s="33"/>
      <c r="AHQ14" s="33"/>
      <c r="AHR14" s="33"/>
      <c r="AHS14" s="33"/>
      <c r="AHT14" s="33"/>
      <c r="AHU14" s="33"/>
      <c r="AHV14" s="33"/>
      <c r="AHW14" s="33"/>
      <c r="AHX14" s="33"/>
      <c r="AHY14" s="33"/>
      <c r="AHZ14" s="33"/>
      <c r="AIA14" s="33"/>
      <c r="AIB14" s="33"/>
      <c r="AIC14" s="33"/>
      <c r="AID14" s="33"/>
      <c r="AIE14" s="33"/>
      <c r="AIF14" s="33"/>
      <c r="AIG14" s="33"/>
      <c r="AIH14" s="33"/>
      <c r="AII14" s="33"/>
      <c r="AIJ14" s="33"/>
      <c r="AIK14" s="33"/>
      <c r="AIL14" s="33"/>
      <c r="AIM14" s="33"/>
      <c r="AIN14" s="33"/>
      <c r="AIO14" s="33"/>
      <c r="AIP14" s="33"/>
      <c r="AIQ14" s="33"/>
      <c r="AIR14" s="33"/>
      <c r="AIS14" s="33"/>
      <c r="AIT14" s="33"/>
      <c r="AIU14" s="33"/>
      <c r="AIV14" s="33"/>
      <c r="AIW14" s="33"/>
      <c r="AIX14" s="33"/>
      <c r="AIY14" s="33"/>
      <c r="AIZ14" s="33"/>
      <c r="AJA14" s="33"/>
      <c r="AJB14" s="33"/>
      <c r="AJC14" s="33"/>
      <c r="AJD14" s="33"/>
      <c r="AJE14" s="33"/>
      <c r="AJF14" s="33"/>
      <c r="AJG14" s="33"/>
      <c r="AJH14" s="33"/>
      <c r="AJI14" s="33"/>
      <c r="AJJ14" s="33"/>
      <c r="AJK14" s="33"/>
      <c r="AJL14" s="33"/>
      <c r="AJM14" s="33"/>
      <c r="AJN14" s="33"/>
      <c r="AJO14" s="33"/>
      <c r="AJP14" s="33"/>
      <c r="AJQ14" s="33"/>
      <c r="AJR14" s="33"/>
      <c r="AJS14" s="33"/>
      <c r="AJT14" s="33"/>
      <c r="AJU14" s="33"/>
      <c r="AJV14" s="33"/>
      <c r="AJW14" s="33"/>
      <c r="AJX14" s="33"/>
      <c r="AJY14" s="33"/>
      <c r="AJZ14" s="33"/>
      <c r="AKA14" s="33"/>
      <c r="AKB14" s="33"/>
      <c r="AKC14" s="33"/>
      <c r="AKD14" s="33"/>
      <c r="AKE14" s="33"/>
      <c r="AKF14" s="33"/>
      <c r="AKG14" s="33"/>
      <c r="AKH14" s="33"/>
      <c r="AKI14" s="33"/>
      <c r="AKJ14" s="33"/>
      <c r="AKK14" s="33"/>
      <c r="AKL14" s="33"/>
      <c r="AKM14" s="33"/>
      <c r="AKN14" s="33"/>
      <c r="AKO14" s="33"/>
      <c r="AKP14" s="33"/>
      <c r="AKQ14" s="33"/>
      <c r="AKR14" s="33"/>
      <c r="AKS14" s="33"/>
      <c r="AKT14" s="33"/>
      <c r="AKU14" s="33"/>
      <c r="AKV14" s="33"/>
      <c r="AKW14" s="33"/>
      <c r="AKX14" s="33"/>
      <c r="AKY14" s="33"/>
      <c r="AKZ14" s="33"/>
      <c r="ALA14" s="33"/>
      <c r="ALB14" s="33"/>
      <c r="ALC14" s="33"/>
      <c r="ALD14" s="33"/>
      <c r="ALE14" s="33"/>
      <c r="ALF14" s="33"/>
      <c r="ALG14" s="33"/>
      <c r="ALH14" s="33"/>
      <c r="ALI14" s="33"/>
      <c r="ALJ14" s="33"/>
      <c r="ALK14" s="33"/>
      <c r="ALL14" s="33"/>
      <c r="ALM14" s="33"/>
      <c r="ALN14" s="33"/>
      <c r="ALO14" s="33"/>
      <c r="ALP14" s="33"/>
      <c r="ALQ14" s="33"/>
      <c r="ALR14" s="33"/>
      <c r="ALS14" s="33"/>
      <c r="ALT14" s="33"/>
      <c r="ALU14" s="33"/>
      <c r="ALV14" s="33"/>
      <c r="ALW14" s="33"/>
      <c r="ALX14" s="33"/>
      <c r="ALY14" s="33"/>
      <c r="ALZ14" s="33"/>
      <c r="AMA14" s="33"/>
      <c r="AMB14" s="33"/>
      <c r="AMC14" s="33"/>
      <c r="AMD14" s="33"/>
      <c r="AME14" s="33"/>
      <c r="AMF14" s="33"/>
      <c r="AMG14" s="33"/>
      <c r="AMH14" s="33"/>
      <c r="AMI14" s="33"/>
      <c r="AMJ14" s="33"/>
      <c r="AMK14" s="33"/>
      <c r="AML14" s="33"/>
    </row>
    <row r="15" ht="15.75" customHeight="1">
      <c r="A15" s="8" t="s">
        <v>20</v>
      </c>
      <c r="B15" s="8" t="s">
        <v>20</v>
      </c>
      <c r="C15" s="8" t="s">
        <v>27</v>
      </c>
      <c r="D15" s="8" t="s">
        <v>28</v>
      </c>
      <c r="E15" s="8" t="s">
        <v>28</v>
      </c>
      <c r="F15" s="8" t="s">
        <v>23</v>
      </c>
      <c r="G15" s="8">
        <v>1.0</v>
      </c>
      <c r="H15" s="8">
        <v>1.0</v>
      </c>
      <c r="I15" s="8">
        <v>1.0</v>
      </c>
      <c r="J15" s="8"/>
      <c r="K15" s="8">
        <v>0.0</v>
      </c>
      <c r="L15" s="8">
        <v>0.0</v>
      </c>
      <c r="M15" s="8">
        <v>0.0</v>
      </c>
      <c r="N15" s="8"/>
      <c r="O15" s="8">
        <v>0.0</v>
      </c>
      <c r="P15">
        <v>0.0</v>
      </c>
      <c r="Q15">
        <v>0.0</v>
      </c>
      <c r="R15">
        <v>0.0</v>
      </c>
      <c r="S15">
        <v>0.0</v>
      </c>
      <c r="T15" t="s">
        <v>28</v>
      </c>
      <c r="AB15" t="s">
        <v>20</v>
      </c>
      <c r="AC15" t="s">
        <v>20</v>
      </c>
      <c r="AD15" t="s">
        <v>20</v>
      </c>
      <c r="AE15" t="s">
        <v>20</v>
      </c>
      <c r="AF15" t="s">
        <v>20</v>
      </c>
      <c r="AG15" t="s">
        <v>20</v>
      </c>
      <c r="AH15" t="s">
        <v>20</v>
      </c>
      <c r="AI15" t="s">
        <v>20</v>
      </c>
      <c r="AJ15" t="s">
        <v>20</v>
      </c>
      <c r="AK15" t="s">
        <v>20</v>
      </c>
      <c r="AL15" t="s">
        <v>20</v>
      </c>
      <c r="AM15" t="s">
        <v>20</v>
      </c>
      <c r="AN15" t="s">
        <v>20</v>
      </c>
      <c r="AO15" t="s">
        <v>20</v>
      </c>
      <c r="AP15" t="s">
        <v>20</v>
      </c>
      <c r="AQ15" t="s">
        <v>20</v>
      </c>
      <c r="AR15" t="s">
        <v>20</v>
      </c>
      <c r="AS15" t="s">
        <v>20</v>
      </c>
      <c r="AT15" t="s">
        <v>20</v>
      </c>
      <c r="AU15" t="s">
        <v>20</v>
      </c>
      <c r="AV15" t="s">
        <v>20</v>
      </c>
      <c r="AW15" t="s">
        <v>20</v>
      </c>
      <c r="AX15" t="s">
        <v>20</v>
      </c>
      <c r="AY15" t="s">
        <v>20</v>
      </c>
      <c r="AZ15" t="s">
        <v>20</v>
      </c>
      <c r="BA15" t="s">
        <v>20</v>
      </c>
      <c r="BB15" t="s">
        <v>20</v>
      </c>
      <c r="BC15" t="s">
        <v>20</v>
      </c>
      <c r="BD15" t="s">
        <v>20</v>
      </c>
      <c r="BE15" t="s">
        <v>20</v>
      </c>
      <c r="BF15" t="s">
        <v>20</v>
      </c>
      <c r="BG15" t="s">
        <v>20</v>
      </c>
      <c r="BH15" t="s">
        <v>20</v>
      </c>
      <c r="BI15" t="s">
        <v>20</v>
      </c>
      <c r="BJ15" t="s">
        <v>20</v>
      </c>
      <c r="BK15" t="s">
        <v>20</v>
      </c>
      <c r="BL15" t="s">
        <v>20</v>
      </c>
      <c r="BM15" t="s">
        <v>20</v>
      </c>
      <c r="BN15" t="s">
        <v>20</v>
      </c>
      <c r="BO15" t="s">
        <v>20</v>
      </c>
      <c r="BP15" t="s">
        <v>20</v>
      </c>
      <c r="BQ15" t="s">
        <v>20</v>
      </c>
      <c r="BR15" t="s">
        <v>20</v>
      </c>
      <c r="BS15" t="s">
        <v>20</v>
      </c>
      <c r="BT15" t="s">
        <v>20</v>
      </c>
      <c r="BU15" t="s">
        <v>20</v>
      </c>
      <c r="BV15" t="s">
        <v>20</v>
      </c>
      <c r="BW15" t="s">
        <v>20</v>
      </c>
      <c r="BX15" t="s">
        <v>20</v>
      </c>
      <c r="BY15" t="s">
        <v>20</v>
      </c>
      <c r="BZ15" t="s">
        <v>20</v>
      </c>
      <c r="CA15" t="s">
        <v>20</v>
      </c>
      <c r="CB15" t="s">
        <v>20</v>
      </c>
      <c r="CC15" t="s">
        <v>20</v>
      </c>
      <c r="CD15" t="s">
        <v>20</v>
      </c>
      <c r="CE15" t="s">
        <v>20</v>
      </c>
      <c r="CF15" t="s">
        <v>20</v>
      </c>
      <c r="CG15" t="s">
        <v>20</v>
      </c>
      <c r="CH15" t="s">
        <v>20</v>
      </c>
      <c r="CI15" t="s">
        <v>20</v>
      </c>
      <c r="CJ15" t="s">
        <v>20</v>
      </c>
      <c r="CK15" t="s">
        <v>20</v>
      </c>
      <c r="CL15" t="s">
        <v>20</v>
      </c>
      <c r="CM15" t="s">
        <v>20</v>
      </c>
      <c r="CN15" t="s">
        <v>20</v>
      </c>
      <c r="CO15" t="s">
        <v>20</v>
      </c>
      <c r="CP15" t="s">
        <v>20</v>
      </c>
      <c r="CQ15" t="s">
        <v>20</v>
      </c>
      <c r="CR15" t="s">
        <v>20</v>
      </c>
      <c r="CS15" t="s">
        <v>20</v>
      </c>
      <c r="CT15" t="s">
        <v>20</v>
      </c>
      <c r="CU15" t="s">
        <v>20</v>
      </c>
      <c r="CV15" t="s">
        <v>20</v>
      </c>
      <c r="CW15" t="s">
        <v>20</v>
      </c>
      <c r="CX15" t="s">
        <v>20</v>
      </c>
      <c r="CY15" t="s">
        <v>20</v>
      </c>
      <c r="CZ15" t="s">
        <v>20</v>
      </c>
      <c r="DA15" t="s">
        <v>20</v>
      </c>
      <c r="DB15" t="s">
        <v>20</v>
      </c>
      <c r="DC15" t="s">
        <v>20</v>
      </c>
      <c r="DD15" t="s">
        <v>20</v>
      </c>
      <c r="DE15" t="s">
        <v>20</v>
      </c>
      <c r="DF15" t="s">
        <v>20</v>
      </c>
      <c r="DG15" t="s">
        <v>20</v>
      </c>
      <c r="DH15" t="s">
        <v>20</v>
      </c>
      <c r="DI15" t="s">
        <v>20</v>
      </c>
      <c r="DJ15" t="s">
        <v>20</v>
      </c>
      <c r="DK15" t="s">
        <v>20</v>
      </c>
      <c r="DL15" t="s">
        <v>20</v>
      </c>
      <c r="DM15" t="s">
        <v>20</v>
      </c>
      <c r="DN15" t="s">
        <v>20</v>
      </c>
      <c r="DO15" t="s">
        <v>20</v>
      </c>
      <c r="DP15" t="s">
        <v>20</v>
      </c>
      <c r="DQ15" t="s">
        <v>20</v>
      </c>
      <c r="DR15" t="s">
        <v>20</v>
      </c>
      <c r="DS15" t="s">
        <v>20</v>
      </c>
      <c r="DT15" t="s">
        <v>20</v>
      </c>
      <c r="DU15" t="s">
        <v>20</v>
      </c>
      <c r="DV15" t="s">
        <v>20</v>
      </c>
      <c r="DW15" t="s">
        <v>20</v>
      </c>
      <c r="DX15" t="s">
        <v>20</v>
      </c>
      <c r="DY15" t="s">
        <v>20</v>
      </c>
      <c r="DZ15" t="s">
        <v>20</v>
      </c>
      <c r="EA15" t="s">
        <v>20</v>
      </c>
      <c r="EB15" t="s">
        <v>20</v>
      </c>
      <c r="EC15" t="s">
        <v>20</v>
      </c>
      <c r="ED15" t="s">
        <v>20</v>
      </c>
      <c r="EE15" t="s">
        <v>20</v>
      </c>
      <c r="EF15" t="s">
        <v>20</v>
      </c>
      <c r="EG15" t="s">
        <v>20</v>
      </c>
      <c r="EH15" t="s">
        <v>20</v>
      </c>
      <c r="EI15" t="s">
        <v>20</v>
      </c>
      <c r="EJ15" t="s">
        <v>20</v>
      </c>
      <c r="EK15" t="s">
        <v>20</v>
      </c>
      <c r="EL15" t="s">
        <v>20</v>
      </c>
      <c r="EM15" t="s">
        <v>20</v>
      </c>
      <c r="EN15" t="s">
        <v>20</v>
      </c>
      <c r="EO15" t="s">
        <v>20</v>
      </c>
      <c r="EP15" t="s">
        <v>20</v>
      </c>
      <c r="EQ15" t="s">
        <v>20</v>
      </c>
      <c r="ER15" t="s">
        <v>20</v>
      </c>
      <c r="ES15" t="s">
        <v>20</v>
      </c>
      <c r="ET15" t="s">
        <v>20</v>
      </c>
      <c r="EU15" t="s">
        <v>20</v>
      </c>
      <c r="EV15" t="s">
        <v>20</v>
      </c>
      <c r="EW15" t="s">
        <v>20</v>
      </c>
      <c r="EX15" t="s">
        <v>20</v>
      </c>
      <c r="EY15" t="s">
        <v>20</v>
      </c>
      <c r="EZ15" t="s">
        <v>20</v>
      </c>
      <c r="FA15" t="s">
        <v>20</v>
      </c>
      <c r="FB15" t="s">
        <v>20</v>
      </c>
      <c r="FC15" t="s">
        <v>20</v>
      </c>
      <c r="FD15" t="s">
        <v>20</v>
      </c>
      <c r="FE15" t="s">
        <v>20</v>
      </c>
      <c r="FF15" t="s">
        <v>20</v>
      </c>
      <c r="FG15" t="s">
        <v>20</v>
      </c>
      <c r="FH15" t="s">
        <v>20</v>
      </c>
      <c r="FI15" t="s">
        <v>20</v>
      </c>
      <c r="FJ15" t="s">
        <v>20</v>
      </c>
      <c r="FK15" t="s">
        <v>20</v>
      </c>
      <c r="FL15" t="s">
        <v>20</v>
      </c>
      <c r="FM15" t="s">
        <v>20</v>
      </c>
      <c r="FN15" t="s">
        <v>20</v>
      </c>
      <c r="FO15" t="s">
        <v>20</v>
      </c>
      <c r="FP15" t="s">
        <v>20</v>
      </c>
      <c r="FQ15" t="s">
        <v>20</v>
      </c>
      <c r="FR15" s="33"/>
      <c r="FS15" s="33"/>
      <c r="FT15" s="33"/>
      <c r="FU15" s="33"/>
      <c r="FV15" s="33"/>
      <c r="FW15" s="33"/>
      <c r="FX15" s="33"/>
      <c r="FY15" s="33"/>
      <c r="FZ15" s="33"/>
      <c r="GA15" s="33"/>
      <c r="GB15" s="33"/>
      <c r="GC15" s="33"/>
      <c r="GD15" s="33"/>
      <c r="GE15" s="33"/>
      <c r="GF15" s="33"/>
      <c r="GG15" s="33"/>
      <c r="GH15" s="33"/>
      <c r="GI15" s="33"/>
      <c r="GJ15" s="33"/>
      <c r="GK15" s="33"/>
      <c r="GL15" s="33"/>
      <c r="GM15" s="33"/>
      <c r="GN15" s="33"/>
      <c r="GO15" s="33"/>
      <c r="GP15" s="33"/>
      <c r="GQ15" s="33"/>
      <c r="GR15" s="33"/>
      <c r="GS15" s="33"/>
      <c r="GT15" s="33"/>
      <c r="GU15" s="33"/>
      <c r="GV15" s="33"/>
      <c r="GW15" s="33"/>
      <c r="GX15" s="33"/>
      <c r="GY15" s="33"/>
      <c r="GZ15" s="33"/>
      <c r="HA15" s="33"/>
      <c r="HB15" s="33"/>
      <c r="HC15" s="33"/>
      <c r="HD15" s="33"/>
      <c r="HE15" s="33"/>
      <c r="HF15" s="33"/>
      <c r="HG15" s="33"/>
      <c r="HH15" s="33"/>
      <c r="HI15" s="33"/>
      <c r="HJ15" s="33"/>
      <c r="HK15" s="33"/>
      <c r="HL15" s="33"/>
      <c r="HM15" s="33"/>
      <c r="HN15" s="33"/>
      <c r="HO15" s="33"/>
      <c r="HP15" s="33"/>
      <c r="HQ15" s="33"/>
      <c r="HR15" s="33"/>
      <c r="HS15" s="33"/>
      <c r="HT15" s="33"/>
      <c r="HU15" s="33"/>
      <c r="HV15" s="33"/>
      <c r="HW15" s="33"/>
      <c r="HX15" s="33"/>
      <c r="HY15" s="33"/>
      <c r="HZ15" s="33"/>
      <c r="IA15" s="33"/>
      <c r="IB15" s="33"/>
      <c r="IC15" s="33"/>
      <c r="ID15" s="33"/>
      <c r="IE15" s="33"/>
      <c r="IF15" s="33"/>
      <c r="IG15" s="33"/>
      <c r="IH15" s="33"/>
      <c r="II15" s="33"/>
      <c r="IJ15" s="33"/>
      <c r="IK15" s="33"/>
      <c r="IL15" s="33"/>
      <c r="IM15" s="33"/>
      <c r="IN15" s="33"/>
      <c r="IO15" s="33"/>
      <c r="IP15" s="33"/>
      <c r="IQ15" s="33"/>
      <c r="IR15" s="33"/>
      <c r="IS15" s="33"/>
      <c r="IT15" s="33"/>
      <c r="IU15" s="33"/>
      <c r="IV15" s="33"/>
      <c r="IW15" s="33"/>
      <c r="IX15" s="33"/>
      <c r="IY15" s="33"/>
      <c r="IZ15" s="33"/>
      <c r="JA15" s="33"/>
      <c r="JB15" s="33"/>
      <c r="JC15" s="33"/>
      <c r="JD15" s="33"/>
      <c r="JE15" s="33"/>
      <c r="JF15" s="33"/>
      <c r="JG15" s="33"/>
      <c r="JH15" s="33"/>
      <c r="JI15" s="33"/>
      <c r="JJ15" s="33"/>
      <c r="JK15" s="33"/>
      <c r="JL15" s="33"/>
      <c r="JM15" s="33"/>
      <c r="JN15" s="33"/>
      <c r="JO15" s="33"/>
      <c r="JP15" s="33"/>
      <c r="JQ15" s="33"/>
      <c r="JR15" s="33"/>
      <c r="JS15" s="33"/>
      <c r="JT15" s="33"/>
      <c r="JU15" s="33"/>
      <c r="JV15" s="33"/>
      <c r="JW15" s="33"/>
      <c r="JX15" s="33"/>
      <c r="JY15" s="33"/>
      <c r="JZ15" s="33"/>
      <c r="KA15" s="33"/>
      <c r="KB15" s="33"/>
      <c r="KC15" s="33"/>
      <c r="KD15" s="33"/>
      <c r="KE15" s="33"/>
      <c r="KF15" s="33"/>
      <c r="KG15" s="33"/>
      <c r="KH15" s="33"/>
      <c r="KI15" s="33"/>
      <c r="KJ15" s="33"/>
      <c r="KK15" s="33"/>
      <c r="KL15" s="33"/>
      <c r="KM15" s="33"/>
      <c r="KN15" s="33"/>
      <c r="KO15" s="33"/>
      <c r="KP15" s="33"/>
      <c r="KQ15" s="33"/>
      <c r="KR15" s="33"/>
      <c r="KS15" s="33"/>
      <c r="KT15" s="33"/>
      <c r="KU15" s="33"/>
      <c r="KV15" s="33"/>
      <c r="KW15" s="33"/>
      <c r="KX15" s="33"/>
      <c r="KY15" s="33"/>
      <c r="KZ15" s="33"/>
      <c r="LA15" s="33"/>
      <c r="LB15" s="33"/>
      <c r="LC15" s="33"/>
      <c r="LD15" s="33"/>
      <c r="LE15" s="33"/>
      <c r="LF15" s="33"/>
      <c r="LG15" s="33"/>
      <c r="LH15" s="33"/>
      <c r="LI15" s="33"/>
      <c r="LJ15" s="33"/>
      <c r="LK15" s="33"/>
      <c r="LL15" s="33"/>
      <c r="LM15" s="33"/>
      <c r="LN15" s="33"/>
      <c r="LO15" s="33"/>
      <c r="LP15" s="33"/>
      <c r="LQ15" s="33"/>
      <c r="LR15" s="33"/>
      <c r="LS15" s="33"/>
      <c r="LT15" s="33"/>
      <c r="LU15" s="33"/>
      <c r="LV15" s="33"/>
      <c r="LW15" s="33"/>
      <c r="LX15" s="33"/>
      <c r="LY15" s="33"/>
      <c r="LZ15" s="33"/>
      <c r="MA15" s="33"/>
      <c r="MB15" s="33"/>
      <c r="MC15" s="33"/>
      <c r="MD15" s="33"/>
      <c r="ME15" s="33"/>
      <c r="MF15" s="33"/>
      <c r="MG15" s="33"/>
      <c r="MH15" s="33"/>
      <c r="MI15" s="33"/>
      <c r="MJ15" s="33"/>
      <c r="MK15" s="33"/>
      <c r="ML15" s="33"/>
      <c r="MM15" s="33"/>
      <c r="MN15" s="33"/>
      <c r="MO15" s="33"/>
      <c r="MP15" s="33"/>
      <c r="MQ15" s="33"/>
      <c r="MR15" s="33"/>
      <c r="MS15" s="33"/>
      <c r="MT15" s="33"/>
      <c r="MU15" s="33"/>
      <c r="MV15" s="33"/>
      <c r="MW15" s="33"/>
      <c r="MX15" s="33"/>
      <c r="MY15" s="33"/>
      <c r="MZ15" s="33"/>
      <c r="NA15" s="33"/>
      <c r="NB15" s="33"/>
      <c r="NC15" s="33"/>
      <c r="ND15" s="33"/>
      <c r="NE15" s="33"/>
      <c r="NF15" s="33"/>
      <c r="NG15" s="33"/>
      <c r="NH15" s="33"/>
      <c r="NI15" s="33"/>
      <c r="NJ15" s="33"/>
      <c r="NK15" s="33"/>
      <c r="NL15" s="33"/>
      <c r="NM15" s="33"/>
      <c r="NN15" s="33"/>
      <c r="NO15" s="33"/>
      <c r="NP15" s="33"/>
      <c r="NQ15" s="33"/>
      <c r="NR15" s="33"/>
      <c r="NS15" s="33"/>
      <c r="NT15" s="33"/>
      <c r="NU15" s="33"/>
      <c r="NV15" s="33"/>
      <c r="NW15" s="33"/>
      <c r="NX15" s="33"/>
      <c r="NY15" s="33"/>
      <c r="NZ15" s="33"/>
      <c r="OA15" s="33"/>
      <c r="OB15" s="33"/>
      <c r="OC15" s="33"/>
      <c r="OD15" s="33"/>
      <c r="OE15" s="33"/>
      <c r="OF15" s="33"/>
      <c r="OG15" s="33"/>
      <c r="OH15" s="33"/>
      <c r="OI15" s="33"/>
      <c r="OJ15" s="33"/>
      <c r="OK15" s="33"/>
      <c r="OL15" s="33"/>
      <c r="OM15" s="33"/>
      <c r="ON15" s="33"/>
      <c r="OO15" s="33"/>
      <c r="OP15" s="33"/>
      <c r="OQ15" s="33"/>
      <c r="OR15" s="33"/>
      <c r="OS15" s="33"/>
      <c r="OT15" s="33"/>
      <c r="OU15" s="33"/>
      <c r="OV15" s="33"/>
      <c r="OW15" s="33"/>
      <c r="OX15" s="33"/>
      <c r="OY15" s="33"/>
      <c r="OZ15" s="33"/>
      <c r="PA15" s="33"/>
      <c r="PB15" s="33"/>
      <c r="PC15" s="33"/>
      <c r="PD15" s="33"/>
      <c r="PE15" s="33"/>
      <c r="PF15" s="33"/>
      <c r="PG15" s="33"/>
      <c r="PH15" s="33"/>
      <c r="PI15" s="33"/>
      <c r="PJ15" s="33"/>
      <c r="PK15" s="33"/>
      <c r="PL15" s="33"/>
      <c r="PM15" s="33"/>
      <c r="PN15" s="33"/>
      <c r="PO15" s="33"/>
      <c r="PP15" s="33"/>
      <c r="PQ15" s="33"/>
      <c r="PR15" s="33"/>
      <c r="PS15" s="33"/>
      <c r="PT15" s="33"/>
      <c r="PU15" s="33"/>
      <c r="PV15" s="33"/>
      <c r="PW15" s="33"/>
      <c r="PX15" s="33"/>
      <c r="PY15" s="33"/>
      <c r="PZ15" s="33"/>
      <c r="QA15" s="33"/>
      <c r="QB15" s="33"/>
      <c r="QC15" s="33"/>
      <c r="QD15" s="33"/>
      <c r="QE15" s="33"/>
      <c r="QF15" s="33"/>
      <c r="QG15" s="33"/>
      <c r="QH15" s="33"/>
      <c r="QI15" s="33"/>
      <c r="QJ15" s="33"/>
      <c r="QK15" s="33"/>
      <c r="QL15" s="33"/>
      <c r="QM15" s="33"/>
      <c r="QN15" s="33"/>
      <c r="QO15" s="33"/>
      <c r="QP15" s="33"/>
      <c r="QQ15" s="33"/>
      <c r="QR15" s="33"/>
      <c r="QS15" s="33"/>
      <c r="QT15" s="33"/>
      <c r="QU15" s="33"/>
      <c r="QV15" s="33"/>
      <c r="QW15" s="33"/>
      <c r="QX15" s="33"/>
      <c r="QY15" s="33"/>
      <c r="QZ15" s="33"/>
      <c r="RA15" s="33"/>
      <c r="RB15" s="33"/>
      <c r="RC15" s="33"/>
      <c r="RD15" s="33"/>
      <c r="RE15" s="33"/>
      <c r="RF15" s="33"/>
      <c r="RG15" s="33"/>
      <c r="RH15" s="33"/>
      <c r="RI15" s="33"/>
      <c r="RJ15" s="33"/>
      <c r="RK15" s="33"/>
      <c r="RL15" s="33"/>
      <c r="RM15" s="33"/>
      <c r="RN15" s="33"/>
      <c r="RO15" s="33"/>
      <c r="RP15" s="33"/>
      <c r="RQ15" s="33"/>
      <c r="RR15" s="33"/>
      <c r="RS15" s="33"/>
      <c r="RT15" s="33"/>
      <c r="RU15" s="33"/>
      <c r="RV15" s="33"/>
      <c r="RW15" s="33"/>
      <c r="RX15" s="33"/>
      <c r="RY15" s="33"/>
      <c r="RZ15" s="33"/>
      <c r="SA15" s="33"/>
      <c r="SB15" s="33"/>
      <c r="SC15" s="33"/>
      <c r="SD15" s="33"/>
      <c r="SE15" s="33"/>
      <c r="SF15" s="33"/>
      <c r="SG15" s="33"/>
      <c r="SH15" s="33"/>
      <c r="SI15" s="33"/>
      <c r="SJ15" s="33"/>
      <c r="SK15" s="33"/>
      <c r="SL15" s="33"/>
      <c r="SM15" s="33"/>
      <c r="SN15" s="33"/>
      <c r="SO15" s="33"/>
      <c r="SP15" s="33"/>
      <c r="SQ15" s="33"/>
      <c r="SR15" s="33"/>
      <c r="SS15" s="33"/>
      <c r="ST15" s="33"/>
      <c r="SU15" s="33"/>
      <c r="SV15" s="33"/>
      <c r="SW15" s="33"/>
      <c r="SX15" s="33"/>
      <c r="SY15" s="33"/>
      <c r="SZ15" s="33"/>
      <c r="TA15" s="33"/>
      <c r="TB15" s="33"/>
      <c r="TC15" s="33"/>
      <c r="TD15" s="33"/>
      <c r="TE15" s="33"/>
      <c r="TF15" s="33"/>
      <c r="TG15" s="33"/>
      <c r="TH15" s="33"/>
      <c r="TI15" s="33"/>
      <c r="TJ15" s="33"/>
      <c r="TK15" s="33"/>
      <c r="TL15" s="33"/>
      <c r="TM15" s="33"/>
      <c r="TN15" s="33"/>
      <c r="TO15" s="33"/>
      <c r="TP15" s="33"/>
      <c r="TQ15" s="33"/>
      <c r="TR15" s="33"/>
      <c r="TS15" s="33"/>
      <c r="TT15" s="33"/>
      <c r="TU15" s="33"/>
      <c r="TV15" s="33"/>
      <c r="TW15" s="33"/>
      <c r="TX15" s="33"/>
      <c r="TY15" s="33"/>
      <c r="TZ15" s="33"/>
      <c r="UA15" s="33"/>
      <c r="UB15" s="33"/>
      <c r="UC15" s="33"/>
      <c r="UD15" s="33"/>
      <c r="UE15" s="33"/>
      <c r="UF15" s="33"/>
      <c r="UG15" s="33"/>
      <c r="UH15" s="33"/>
      <c r="UI15" s="33"/>
      <c r="UJ15" s="33"/>
      <c r="UK15" s="33"/>
      <c r="UL15" s="33"/>
      <c r="UM15" s="33"/>
      <c r="UN15" s="33"/>
      <c r="UO15" s="33"/>
      <c r="UP15" s="33"/>
      <c r="UQ15" s="33"/>
      <c r="UR15" s="33"/>
      <c r="US15" s="33"/>
      <c r="UT15" s="33"/>
      <c r="UU15" s="33"/>
      <c r="UV15" s="33"/>
      <c r="UW15" s="33"/>
      <c r="UX15" s="33"/>
      <c r="UY15" s="33"/>
      <c r="UZ15" s="33"/>
      <c r="VA15" s="33"/>
      <c r="VB15" s="33"/>
      <c r="VC15" s="33"/>
      <c r="VD15" s="33"/>
      <c r="VE15" s="33"/>
      <c r="VF15" s="33"/>
      <c r="VG15" s="33"/>
      <c r="VH15" s="33"/>
      <c r="VI15" s="33"/>
      <c r="VJ15" s="33"/>
      <c r="VK15" s="33"/>
      <c r="VL15" s="33"/>
      <c r="VM15" s="33"/>
      <c r="VN15" s="33"/>
      <c r="VO15" s="33"/>
      <c r="VP15" s="33"/>
      <c r="VQ15" s="33"/>
      <c r="VR15" s="33"/>
      <c r="VS15" s="33"/>
      <c r="VT15" s="33"/>
      <c r="VU15" s="33"/>
      <c r="VV15" s="33"/>
      <c r="VW15" s="33"/>
      <c r="VX15" s="33"/>
      <c r="VY15" s="33"/>
      <c r="VZ15" s="33"/>
      <c r="WA15" s="33"/>
      <c r="WB15" s="33"/>
      <c r="WC15" s="33"/>
      <c r="WD15" s="33"/>
      <c r="WE15" s="33"/>
      <c r="WF15" s="33"/>
      <c r="WG15" s="33"/>
      <c r="WH15" s="33"/>
      <c r="WI15" s="33"/>
      <c r="WJ15" s="33"/>
      <c r="WK15" s="33"/>
      <c r="WL15" s="33"/>
      <c r="WM15" s="33"/>
      <c r="WN15" s="33"/>
      <c r="WO15" s="33"/>
      <c r="WP15" s="33"/>
      <c r="WQ15" s="33"/>
      <c r="WR15" s="33"/>
      <c r="WS15" s="33"/>
      <c r="WT15" s="33"/>
      <c r="WU15" s="33"/>
      <c r="WV15" s="33"/>
      <c r="WW15" s="33"/>
      <c r="WX15" s="33"/>
      <c r="WY15" s="33"/>
      <c r="WZ15" s="33"/>
      <c r="XA15" s="33"/>
      <c r="XB15" s="33"/>
      <c r="XC15" s="33"/>
      <c r="XD15" s="33"/>
      <c r="XE15" s="33"/>
      <c r="XF15" s="33"/>
      <c r="XG15" s="33"/>
      <c r="XH15" s="33"/>
      <c r="XI15" s="33"/>
      <c r="XJ15" s="33"/>
      <c r="XK15" s="33"/>
      <c r="XL15" s="33"/>
      <c r="XM15" s="33"/>
      <c r="XN15" s="33"/>
      <c r="XO15" s="33"/>
      <c r="XP15" s="33"/>
      <c r="XQ15" s="33"/>
      <c r="XR15" s="33"/>
      <c r="XS15" s="33"/>
      <c r="XT15" s="33"/>
      <c r="XU15" s="33"/>
      <c r="XV15" s="33"/>
      <c r="XW15" s="33"/>
      <c r="XX15" s="33"/>
      <c r="XY15" s="33"/>
      <c r="XZ15" s="33"/>
      <c r="YA15" s="33"/>
      <c r="YB15" s="33"/>
      <c r="YC15" s="33"/>
      <c r="YD15" s="33"/>
      <c r="YE15" s="33"/>
      <c r="YF15" s="33"/>
      <c r="YG15" s="33"/>
      <c r="YH15" s="33"/>
      <c r="YI15" s="33"/>
      <c r="YJ15" s="33"/>
      <c r="YK15" s="33"/>
      <c r="YL15" s="33"/>
      <c r="YM15" s="33"/>
      <c r="YN15" s="33"/>
      <c r="YO15" s="33"/>
      <c r="YP15" s="33"/>
      <c r="YQ15" s="33"/>
      <c r="YR15" s="33"/>
      <c r="YS15" s="33"/>
      <c r="YT15" s="33"/>
      <c r="YU15" s="33"/>
      <c r="YV15" s="33"/>
      <c r="YW15" s="33"/>
      <c r="YX15" s="33"/>
      <c r="YY15" s="33"/>
      <c r="YZ15" s="33"/>
      <c r="ZA15" s="33"/>
      <c r="ZB15" s="33"/>
      <c r="ZC15" s="33"/>
      <c r="ZD15" s="33"/>
      <c r="ZE15" s="33"/>
      <c r="ZF15" s="33"/>
      <c r="ZG15" s="33"/>
      <c r="ZH15" s="33"/>
      <c r="ZI15" s="33"/>
      <c r="ZJ15" s="33"/>
      <c r="ZK15" s="33"/>
      <c r="ZL15" s="33"/>
      <c r="ZM15" s="33"/>
      <c r="ZN15" s="33"/>
      <c r="ZO15" s="33"/>
      <c r="ZP15" s="33"/>
      <c r="ZQ15" s="33"/>
      <c r="ZR15" s="33"/>
      <c r="ZS15" s="33"/>
      <c r="ZT15" s="33"/>
      <c r="ZU15" s="33"/>
      <c r="ZV15" s="33"/>
      <c r="ZW15" s="33"/>
      <c r="ZX15" s="33"/>
      <c r="ZY15" s="33"/>
      <c r="ZZ15" s="33"/>
      <c r="AAA15" s="33"/>
      <c r="AAB15" s="33"/>
      <c r="AAC15" s="33"/>
      <c r="AAD15" s="33"/>
      <c r="AAE15" s="33"/>
      <c r="AAF15" s="33"/>
      <c r="AAG15" s="33"/>
      <c r="AAH15" s="33"/>
      <c r="AAI15" s="33"/>
      <c r="AAJ15" s="33"/>
      <c r="AAK15" s="33"/>
      <c r="AAL15" s="33"/>
      <c r="AAM15" s="33"/>
      <c r="AAN15" s="33"/>
      <c r="AAO15" s="33"/>
      <c r="AAP15" s="33"/>
      <c r="AAQ15" s="33"/>
      <c r="AAR15" s="33"/>
      <c r="AAS15" s="33"/>
      <c r="AAT15" s="33"/>
      <c r="AAU15" s="33"/>
      <c r="AAV15" s="33"/>
      <c r="AAW15" s="33"/>
      <c r="AAX15" s="33"/>
      <c r="AAY15" s="33"/>
      <c r="AAZ15" s="33"/>
      <c r="ABA15" s="33"/>
      <c r="ABB15" s="33"/>
      <c r="ABC15" s="33"/>
      <c r="ABD15" s="33"/>
      <c r="ABE15" s="33"/>
      <c r="ABF15" s="33"/>
      <c r="ABG15" s="33"/>
      <c r="ABH15" s="33"/>
      <c r="ABI15" s="33"/>
      <c r="ABJ15" s="33"/>
      <c r="ABK15" s="33"/>
      <c r="ABL15" s="33"/>
      <c r="ABM15" s="33"/>
      <c r="ABN15" s="33"/>
      <c r="ABO15" s="33"/>
      <c r="ABP15" s="33"/>
      <c r="ABQ15" s="33"/>
      <c r="ABR15" s="33"/>
      <c r="ABS15" s="33"/>
      <c r="ABT15" s="33"/>
      <c r="ABU15" s="33"/>
      <c r="ABV15" s="33"/>
      <c r="ABW15" s="33"/>
      <c r="ABX15" s="33"/>
      <c r="ABY15" s="33"/>
      <c r="ABZ15" s="33"/>
      <c r="ACA15" s="33"/>
      <c r="ACB15" s="33"/>
      <c r="ACC15" s="33"/>
      <c r="ACD15" s="33"/>
      <c r="ACE15" s="33"/>
      <c r="ACF15" s="33"/>
      <c r="ACG15" s="33"/>
      <c r="ACH15" s="33"/>
      <c r="ACI15" s="33"/>
      <c r="ACJ15" s="33"/>
      <c r="ACK15" s="33"/>
      <c r="ACL15" s="33"/>
      <c r="ACM15" s="33"/>
      <c r="ACN15" s="33"/>
      <c r="ACO15" s="33"/>
      <c r="ACP15" s="33"/>
      <c r="ACQ15" s="33"/>
      <c r="ACR15" s="33"/>
      <c r="ACS15" s="33"/>
      <c r="ACT15" s="33"/>
      <c r="ACU15" s="33"/>
      <c r="ACV15" s="33"/>
      <c r="ACW15" s="33"/>
      <c r="ACX15" s="33"/>
      <c r="ACY15" s="33"/>
      <c r="ACZ15" s="33"/>
      <c r="ADA15" s="33"/>
      <c r="ADB15" s="33"/>
      <c r="ADC15" s="33"/>
      <c r="ADD15" s="33"/>
      <c r="ADE15" s="33"/>
      <c r="ADF15" s="33"/>
      <c r="ADG15" s="33"/>
      <c r="ADH15" s="33"/>
      <c r="ADI15" s="33"/>
      <c r="ADJ15" s="33"/>
      <c r="ADK15" s="33"/>
      <c r="ADL15" s="33"/>
      <c r="ADM15" s="33"/>
      <c r="ADN15" s="33"/>
      <c r="ADO15" s="33"/>
      <c r="ADP15" s="33"/>
      <c r="ADQ15" s="33"/>
      <c r="ADR15" s="33"/>
      <c r="ADS15" s="33"/>
      <c r="ADT15" s="33"/>
      <c r="ADU15" s="33"/>
      <c r="ADV15" s="33"/>
      <c r="ADW15" s="33"/>
      <c r="ADX15" s="33"/>
      <c r="ADY15" s="33"/>
      <c r="ADZ15" s="33"/>
      <c r="AEA15" s="33"/>
      <c r="AEB15" s="33"/>
      <c r="AEC15" s="33"/>
      <c r="AED15" s="33"/>
      <c r="AEE15" s="33"/>
      <c r="AEF15" s="33"/>
      <c r="AEG15" s="33"/>
      <c r="AEH15" s="33"/>
      <c r="AEI15" s="33"/>
      <c r="AEJ15" s="33"/>
      <c r="AEK15" s="33"/>
      <c r="AEL15" s="33"/>
      <c r="AEM15" s="33"/>
      <c r="AEN15" s="33"/>
      <c r="AEO15" s="33"/>
      <c r="AEP15" s="33"/>
      <c r="AEQ15" s="33"/>
      <c r="AER15" s="33"/>
      <c r="AES15" s="33"/>
      <c r="AET15" s="33"/>
      <c r="AEU15" s="33"/>
      <c r="AEV15" s="33"/>
      <c r="AEW15" s="33"/>
      <c r="AEX15" s="33"/>
      <c r="AEY15" s="33"/>
      <c r="AEZ15" s="33"/>
      <c r="AFA15" s="33"/>
      <c r="AFB15" s="33"/>
      <c r="AFC15" s="33"/>
      <c r="AFD15" s="33"/>
      <c r="AFE15" s="33"/>
      <c r="AFF15" s="33"/>
      <c r="AFG15" s="33"/>
      <c r="AFH15" s="33"/>
      <c r="AFI15" s="33"/>
      <c r="AFJ15" s="33"/>
      <c r="AFK15" s="33"/>
      <c r="AFL15" s="33"/>
      <c r="AFM15" s="33"/>
      <c r="AFN15" s="33"/>
      <c r="AFO15" s="33"/>
      <c r="AFP15" s="33"/>
      <c r="AFQ15" s="33"/>
      <c r="AFR15" s="33"/>
      <c r="AFS15" s="33"/>
      <c r="AFT15" s="33"/>
      <c r="AFU15" s="33"/>
      <c r="AFV15" s="33"/>
      <c r="AFW15" s="33"/>
      <c r="AFX15" s="33"/>
      <c r="AFY15" s="33"/>
      <c r="AFZ15" s="33"/>
      <c r="AGA15" s="33"/>
      <c r="AGB15" s="33"/>
      <c r="AGC15" s="33"/>
      <c r="AGD15" s="33"/>
      <c r="AGE15" s="33"/>
      <c r="AGF15" s="33"/>
      <c r="AGG15" s="33"/>
      <c r="AGH15" s="33"/>
      <c r="AGI15" s="33"/>
      <c r="AGJ15" s="33"/>
      <c r="AGK15" s="33"/>
      <c r="AGL15" s="33"/>
      <c r="AGM15" s="33"/>
      <c r="AGN15" s="33"/>
      <c r="AGO15" s="33"/>
      <c r="AGP15" s="33"/>
      <c r="AGQ15" s="33"/>
      <c r="AGR15" s="33"/>
      <c r="AGS15" s="33"/>
      <c r="AGT15" s="33"/>
      <c r="AGU15" s="33"/>
      <c r="AGV15" s="33"/>
      <c r="AGW15" s="33"/>
      <c r="AGX15" s="33"/>
      <c r="AGY15" s="33"/>
      <c r="AGZ15" s="33"/>
      <c r="AHA15" s="33"/>
      <c r="AHB15" s="33"/>
      <c r="AHC15" s="33"/>
      <c r="AHD15" s="33"/>
      <c r="AHE15" s="33"/>
      <c r="AHF15" s="33"/>
      <c r="AHG15" s="33"/>
      <c r="AHH15" s="33"/>
      <c r="AHI15" s="33"/>
      <c r="AHJ15" s="33"/>
      <c r="AHK15" s="33"/>
      <c r="AHL15" s="33"/>
      <c r="AHM15" s="33"/>
      <c r="AHN15" s="33"/>
      <c r="AHO15" s="33"/>
      <c r="AHP15" s="33"/>
      <c r="AHQ15" s="33"/>
      <c r="AHR15" s="33"/>
      <c r="AHS15" s="33"/>
      <c r="AHT15" s="33"/>
      <c r="AHU15" s="33"/>
      <c r="AHV15" s="33"/>
      <c r="AHW15" s="33"/>
      <c r="AHX15" s="33"/>
      <c r="AHY15" s="33"/>
      <c r="AHZ15" s="33"/>
      <c r="AIA15" s="33"/>
      <c r="AIB15" s="33"/>
      <c r="AIC15" s="33"/>
      <c r="AID15" s="33"/>
      <c r="AIE15" s="33"/>
      <c r="AIF15" s="33"/>
      <c r="AIG15" s="33"/>
      <c r="AIH15" s="33"/>
      <c r="AII15" s="33"/>
      <c r="AIJ15" s="33"/>
      <c r="AIK15" s="33"/>
      <c r="AIL15" s="33"/>
      <c r="AIM15" s="33"/>
      <c r="AIN15" s="33"/>
      <c r="AIO15" s="33"/>
      <c r="AIP15" s="33"/>
      <c r="AIQ15" s="33"/>
      <c r="AIR15" s="33"/>
      <c r="AIS15" s="33"/>
      <c r="AIT15" s="33"/>
      <c r="AIU15" s="33"/>
      <c r="AIV15" s="33"/>
      <c r="AIW15" s="33"/>
      <c r="AIX15" s="33"/>
      <c r="AIY15" s="33"/>
      <c r="AIZ15" s="33"/>
      <c r="AJA15" s="33"/>
      <c r="AJB15" s="33"/>
      <c r="AJC15" s="33"/>
      <c r="AJD15" s="33"/>
      <c r="AJE15" s="33"/>
      <c r="AJF15" s="33"/>
      <c r="AJG15" s="33"/>
      <c r="AJH15" s="33"/>
      <c r="AJI15" s="33"/>
      <c r="AJJ15" s="33"/>
      <c r="AJK15" s="33"/>
      <c r="AJL15" s="33"/>
      <c r="AJM15" s="33"/>
      <c r="AJN15" s="33"/>
      <c r="AJO15" s="33"/>
      <c r="AJP15" s="33"/>
      <c r="AJQ15" s="33"/>
      <c r="AJR15" s="33"/>
      <c r="AJS15" s="33"/>
      <c r="AJT15" s="33"/>
      <c r="AJU15" s="33"/>
      <c r="AJV15" s="33"/>
      <c r="AJW15" s="33"/>
      <c r="AJX15" s="33"/>
      <c r="AJY15" s="33"/>
      <c r="AJZ15" s="33"/>
      <c r="AKA15" s="33"/>
      <c r="AKB15" s="33"/>
      <c r="AKC15" s="33"/>
      <c r="AKD15" s="33"/>
      <c r="AKE15" s="33"/>
      <c r="AKF15" s="33"/>
      <c r="AKG15" s="33"/>
      <c r="AKH15" s="33"/>
      <c r="AKI15" s="33"/>
      <c r="AKJ15" s="33"/>
      <c r="AKK15" s="33"/>
      <c r="AKL15" s="33"/>
      <c r="AKM15" s="33"/>
      <c r="AKN15" s="33"/>
      <c r="AKO15" s="33"/>
      <c r="AKP15" s="33"/>
      <c r="AKQ15" s="33"/>
      <c r="AKR15" s="33"/>
      <c r="AKS15" s="33"/>
      <c r="AKT15" s="33"/>
      <c r="AKU15" s="33"/>
      <c r="AKV15" s="33"/>
      <c r="AKW15" s="33"/>
      <c r="AKX15" s="33"/>
      <c r="AKY15" s="33"/>
      <c r="AKZ15" s="33"/>
      <c r="ALA15" s="33"/>
      <c r="ALB15" s="33"/>
      <c r="ALC15" s="33"/>
      <c r="ALD15" s="33"/>
      <c r="ALE15" s="33"/>
      <c r="ALF15" s="33"/>
      <c r="ALG15" s="33"/>
      <c r="ALH15" s="33"/>
      <c r="ALI15" s="33"/>
      <c r="ALJ15" s="33"/>
      <c r="ALK15" s="33"/>
      <c r="ALL15" s="33"/>
      <c r="ALM15" s="33"/>
      <c r="ALN15" s="33"/>
      <c r="ALO15" s="33"/>
      <c r="ALP15" s="33"/>
      <c r="ALQ15" s="33"/>
      <c r="ALR15" s="33"/>
      <c r="ALS15" s="33"/>
      <c r="ALT15" s="33"/>
      <c r="ALU15" s="33"/>
      <c r="ALV15" s="33"/>
      <c r="ALW15" s="33"/>
      <c r="ALX15" s="33"/>
      <c r="ALY15" s="33"/>
      <c r="ALZ15" s="33"/>
      <c r="AMA15" s="33"/>
      <c r="AMB15" s="33"/>
      <c r="AMC15" s="33"/>
      <c r="AMD15" s="33"/>
      <c r="AME15" s="33"/>
      <c r="AMF15" s="33"/>
      <c r="AMG15" s="33"/>
      <c r="AMH15" s="33"/>
      <c r="AMI15" s="33"/>
      <c r="AMJ15" s="33"/>
      <c r="AMK15" s="33"/>
      <c r="AML15" s="33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VerifyGridData!$4:$4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IFERROR(__xludf.DUMMYFUNCTION("IF(C3="""","""",Transpose(IMPORTRANGE('_Settings'!$B$3,C3&amp;""!A4:A1000"")))"),"FetchAccountPositions")</f>
        <v>FetchAccountPositions</v>
      </c>
      <c r="C4" s="25" t="str">
        <f>IFERROR(__xludf.DUMMYFUNCTION("""COMPUTED_VALUE"""),"AddCash")</f>
        <v>AddCash</v>
      </c>
      <c r="D4" s="25" t="str">
        <f>IFERROR(__xludf.DUMMYFUNCTION("""COMPUTED_VALUE"""),"VerifyGridData")</f>
        <v>VerifyGridData</v>
      </c>
      <c r="E4" s="25" t="str">
        <f>IFERROR(__xludf.DUMMYFUNCTION("""COMPUTED_VALUE"""),"RunRebalance")</f>
        <v>RunRebalance</v>
      </c>
      <c r="F4" s="25" t="str">
        <f>IFERROR(__xludf.DUMMYFUNCTION("""COMPUTED_VALUE"""),"EnableComplianceTab")</f>
        <v>EnableComplianceTab</v>
      </c>
      <c r="G4" s="25" t="str">
        <f>IFERROR(__xludf.DUMMYFUNCTION("""COMPUTED_VALUE"""),"RebalancePreference")</f>
        <v>RebalancePreference</v>
      </c>
      <c r="H4" s="25" t="str">
        <f>IFERROR(__xludf.DUMMYFUNCTION("""COMPUTED_VALUE"""),"ImportModelPortfolio")</f>
        <v>ImportModelPortfolio</v>
      </c>
      <c r="I4" s="25" t="str">
        <f>IFERROR(__xludf.DUMMYFUNCTION("""COMPUTED_VALUE"""),"RebalanceAcrossSecurities")</f>
        <v>RebalanceAcrossSecurities</v>
      </c>
      <c r="J4" s="25" t="str">
        <f>IFERROR(__xludf.DUMMYFUNCTION("""COMPUTED_VALUE"""),"CheckBasketCompliance")</f>
        <v>CheckBasketCompliance</v>
      </c>
      <c r="K4" s="25" t="str">
        <f>IFERROR(__xludf.DUMMYFUNCTION("""COMPUTED_VALUE"""),"ClearCalculations")</f>
        <v>ClearCalculations</v>
      </c>
      <c r="L4" s="25" t="str">
        <f>IFERROR(__xludf.DUMMYFUNCTION("""COMPUTED_VALUE"""),"ModifyRebalance")</f>
        <v>ModifyRebalance</v>
      </c>
      <c r="M4" s="25" t="str">
        <f>IFERROR(__xludf.DUMMYFUNCTION("""COMPUTED_VALUE"""),"ModelPortfolio")</f>
        <v>ModelPortfolio</v>
      </c>
      <c r="N4" s="25" t="str">
        <f>IFERROR(__xludf.DUMMYFUNCTION("""COMPUTED_VALUE"""),"LockandUnlockGridData")</f>
        <v>LockandUnlockGridData</v>
      </c>
      <c r="O4" s="25" t="str">
        <f>IFERROR(__xludf.DUMMYFUNCTION("""COMPUTED_VALUE"""),"RefreshGridData")</f>
        <v>RefreshGridData</v>
      </c>
      <c r="P4" s="26" t="str">
        <f>IFERROR(__xludf.DUMMYFUNCTION("""COMPUTED_VALUE"""),"SendtoStaging")</f>
        <v>SendtoStaging</v>
      </c>
      <c r="Q4" s="26" t="str">
        <f>IFERROR(__xludf.DUMMYFUNCTION("""COMPUTED_VALUE"""),"SendToStagingExport")</f>
        <v>SendToStagingExport</v>
      </c>
      <c r="R4" s="26" t="str">
        <f>IFERROR(__xludf.DUMMYFUNCTION("""COMPUTED_VALUE"""),"RebalanceViaBloomberg")</f>
        <v>RebalanceViaBloomberg</v>
      </c>
      <c r="S4" s="26" t="str">
        <f>IFERROR(__xludf.DUMMYFUNCTION("""COMPUTED_VALUE"""),"AddUserAdjustedNAV")</f>
        <v>AddUserAdjustedNAV</v>
      </c>
      <c r="T4" s="26" t="str">
        <f>IFERROR(__xludf.DUMMYFUNCTION("""COMPUTED_VALUE"""),"SymbologyChangeRB")</f>
        <v>SymbologyChangeRB</v>
      </c>
      <c r="U4" s="26" t="str">
        <f>IFERROR(__xludf.DUMMYFUNCTION("""COMPUTED_VALUE"""),"CloseRebalancer")</f>
        <v>CloseRebalancer</v>
      </c>
      <c r="V4" s="26" t="str">
        <f>IFERROR(__xludf.DUMMYFUNCTION("""COMPUTED_VALUE"""),"AddCustomCashUsingImport")</f>
        <v>AddCustomCashUsingImport</v>
      </c>
      <c r="W4" s="26" t="str">
        <f>IFERROR(__xludf.DUMMYFUNCTION("""COMPUTED_VALUE"""),"EditRebalanceGrid")</f>
        <v>EditRebalanceGrid</v>
      </c>
      <c r="X4" s="26" t="str">
        <f>IFERROR(__xludf.DUMMYFUNCTION("""COMPUTED_VALUE"""),"SaveTradeList")</f>
        <v>SaveTradeList</v>
      </c>
      <c r="Y4" s="26" t="str">
        <f>IFERROR(__xludf.DUMMYFUNCTION("""COMPUTED_VALUE"""),"NavImpactingComponent")</f>
        <v>NavImpactingComponent</v>
      </c>
      <c r="Z4" s="26" t="str">
        <f>IFERROR(__xludf.DUMMYFUNCTION("""COMPUTED_VALUE"""),"ImportUsingRebalAccrossSec")</f>
        <v>ImportUsingRebalAccrossSec</v>
      </c>
      <c r="AA4" s="26" t="str">
        <f>IFERROR(__xludf.DUMMYFUNCTION("""COMPUTED_VALUE"""),"EditImportStatus")</f>
        <v>EditImportStatus</v>
      </c>
      <c r="AB4" s="26" t="str">
        <f>IFERROR(__xludf.DUMMYFUNCTION("""COMPUTED_VALUE"""),"SelectActionsOnImportStatus")</f>
        <v>SelectActionsOnImportStatus</v>
      </c>
      <c r="AC4" s="26" t="str">
        <f>IFERROR(__xludf.DUMMYFUNCTION("""COMPUTED_VALUE"""),"VerifyImportStatus")</f>
        <v>VerifyImportStatus</v>
      </c>
      <c r="AD4" s="26" t="str">
        <f>IFERROR(__xludf.DUMMYFUNCTION("""COMPUTED_VALUE"""),"AddNewModelPortfolio")</f>
        <v>AddNewModelPortfolio</v>
      </c>
      <c r="AE4" s="26" t="str">
        <f>IFERROR(__xludf.DUMMYFUNCTION("""COMPUTED_VALUE"""),"VerifyBuySellList")</f>
        <v>VerifyBuySellList</v>
      </c>
      <c r="AF4" s="26" t="str">
        <f>IFERROR(__xludf.DUMMYFUNCTION("""COMPUTED_VALUE"""),"CreateOrViewModelPortfolio")</f>
        <v>CreateOrViewModelPortfolio</v>
      </c>
      <c r="AG4" s="26" t="str">
        <f>IFERROR(__xludf.DUMMYFUNCTION("""COMPUTED_VALUE"""),"VerifyModelPortfolio")</f>
        <v>VerifyModelPortfolio</v>
      </c>
      <c r="AH4" s="26" t="str">
        <f>IFERROR(__xludf.DUMMYFUNCTION("""COMPUTED_VALUE"""),"VerifyTradeListSummary")</f>
        <v>VerifyTradeListSummary</v>
      </c>
      <c r="AI4" s="26" t="str">
        <f>IFERROR(__xludf.DUMMYFUNCTION("""COMPUTED_VALUE"""),"ActionOnTBSListSummary")</f>
        <v>ActionOnTBSListSummary</v>
      </c>
      <c r="AJ4" s="26" t="str">
        <f>IFERROR(__xludf.DUMMYFUNCTION("""COMPUTED_VALUE"""),"VerifyTLOSideSummary")</f>
        <v>VerifyTLOSideSummary</v>
      </c>
      <c r="AK4" s="26" t="str">
        <f>IFERROR(__xludf.DUMMYFUNCTION("""COMPUTED_VALUE"""),"SelectAndVerifyTradeList")</f>
        <v>SelectAndVerifyTradeList</v>
      </c>
      <c r="AL4" s="26" t="str">
        <f>IFERROR(__xludf.DUMMYFUNCTION("""COMPUTED_VALUE"""),"ActionOnTradeBuySellListView")</f>
        <v>ActionOnTradeBuySellListView</v>
      </c>
      <c r="AM4" s="26" t="str">
        <f>IFERROR(__xludf.DUMMYFUNCTION("""COMPUTED_VALUE"""),"ImportOnRB")</f>
        <v>ImportOnRB</v>
      </c>
      <c r="AN4" s="26" t="str">
        <f>IFERROR(__xludf.DUMMYFUNCTION("""COMPUTED_VALUE"""),"VerifyImportGridRBForInvalidSec")</f>
        <v>VerifyImportGridRBForInvalidSec</v>
      </c>
      <c r="AO4" s="26" t="str">
        <f>IFERROR(__xludf.DUMMYFUNCTION("""COMPUTED_VALUE"""),"VerifyImportGridRBForValidSec")</f>
        <v>VerifyImportGridRBForValidSec</v>
      </c>
      <c r="AP4" s="26" t="str">
        <f>IFERROR(__xludf.DUMMYFUNCTION("""COMPUTED_VALUE"""),"ActionOnRSAImportGrid")</f>
        <v>ActionOnRSAImportGrid</v>
      </c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IFERROR(__xludf.DUMMYFUNCTION("""COMPUTED_VALUE"""),"Account/Groups")</f>
        <v>Account/Groups</v>
      </c>
      <c r="C5" s="28" t="str">
        <f>IFERROR(__xludf.DUMMYFUNCTION("""COMPUTED_VALUE"""),"Account Positions")</f>
        <v>Account Positions</v>
      </c>
      <c r="D5" s="28" t="str">
        <f>IFERROR(__xludf.DUMMYFUNCTION("""COMPUTED_VALUE"""),"Calculation Level")</f>
        <v>Calculation Level</v>
      </c>
      <c r="E5" s="28" t="str">
        <f>IFERROR(__xludf.DUMMYFUNCTION("""COMPUTED_VALUE"""),"Refresh")</f>
        <v>Refresh</v>
      </c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29</v>
      </c>
      <c r="C6" s="8"/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FetchAccountPositions1!$4:$4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026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  <c r="FJ1" s="20"/>
      <c r="FK1" s="20"/>
      <c r="FL1" s="20"/>
      <c r="FM1" s="20"/>
      <c r="FN1" s="20"/>
      <c r="FO1" s="20"/>
      <c r="FP1" s="20"/>
      <c r="FQ1" s="20"/>
      <c r="FR1" s="20"/>
      <c r="FS1" s="20"/>
      <c r="FT1" s="20"/>
      <c r="FU1" s="20"/>
      <c r="FV1" s="20"/>
      <c r="FW1" s="20"/>
      <c r="FX1" s="20"/>
      <c r="FY1" s="20"/>
      <c r="FZ1" s="20"/>
      <c r="GA1" s="20"/>
      <c r="GB1" s="20"/>
      <c r="GC1" s="20"/>
      <c r="GD1" s="20"/>
      <c r="GE1" s="20"/>
      <c r="GF1" s="20"/>
      <c r="GG1" s="20"/>
      <c r="GH1" s="20"/>
      <c r="GI1" s="20"/>
      <c r="GJ1" s="20"/>
      <c r="GK1" s="20"/>
      <c r="GL1" s="20"/>
      <c r="GM1" s="20"/>
      <c r="GN1" s="20"/>
      <c r="GO1" s="20"/>
      <c r="GP1" s="20"/>
      <c r="GQ1" s="20"/>
      <c r="GR1" s="20"/>
      <c r="GS1" s="20"/>
      <c r="GT1" s="20"/>
      <c r="GU1" s="20"/>
      <c r="GV1" s="20"/>
      <c r="GW1" s="20"/>
      <c r="GX1" s="20"/>
      <c r="GY1" s="20"/>
      <c r="GZ1" s="20"/>
      <c r="HA1" s="20"/>
      <c r="HB1" s="20"/>
      <c r="HC1" s="20"/>
      <c r="HD1" s="20"/>
      <c r="HE1" s="20"/>
      <c r="HF1" s="20"/>
      <c r="HG1" s="20"/>
      <c r="HH1" s="20"/>
      <c r="HI1" s="20"/>
      <c r="HJ1" s="20"/>
      <c r="HK1" s="20"/>
      <c r="HL1" s="20"/>
      <c r="HM1" s="20"/>
      <c r="HN1" s="20"/>
      <c r="HO1" s="20"/>
      <c r="HP1" s="20"/>
      <c r="HQ1" s="20"/>
      <c r="HR1" s="20"/>
      <c r="HS1" s="20"/>
      <c r="HT1" s="20"/>
      <c r="HU1" s="20"/>
      <c r="HV1" s="20"/>
      <c r="HW1" s="20"/>
      <c r="HX1" s="20"/>
      <c r="HY1" s="20"/>
      <c r="HZ1" s="20"/>
      <c r="IA1" s="20"/>
      <c r="IB1" s="20"/>
      <c r="IC1" s="20"/>
      <c r="ID1" s="20"/>
      <c r="IE1" s="20"/>
      <c r="IF1" s="20"/>
      <c r="IG1" s="20"/>
      <c r="IH1" s="20"/>
      <c r="II1" s="20"/>
      <c r="IJ1" s="20"/>
      <c r="IK1" s="20"/>
      <c r="IL1" s="20"/>
      <c r="IM1" s="20"/>
      <c r="IN1" s="20"/>
      <c r="IO1" s="20"/>
      <c r="IP1" s="20"/>
      <c r="IQ1" s="20"/>
      <c r="IR1" s="20"/>
      <c r="IS1" s="20"/>
      <c r="IT1" s="20"/>
      <c r="IU1" s="20"/>
      <c r="IV1" s="20"/>
      <c r="IW1" s="20"/>
      <c r="IX1" s="20"/>
      <c r="IY1" s="20"/>
      <c r="IZ1" s="20"/>
      <c r="JA1" s="20"/>
      <c r="JB1" s="20"/>
      <c r="JC1" s="20"/>
      <c r="JD1" s="20"/>
      <c r="JE1" s="20"/>
      <c r="JF1" s="20"/>
      <c r="JG1" s="20"/>
      <c r="JH1" s="20"/>
      <c r="JI1" s="20"/>
      <c r="JJ1" s="20"/>
      <c r="JK1" s="20"/>
      <c r="JL1" s="20"/>
      <c r="JM1" s="20"/>
      <c r="JN1" s="20"/>
      <c r="JO1" s="20"/>
      <c r="JP1" s="20"/>
      <c r="JQ1" s="20"/>
      <c r="JR1" s="20"/>
      <c r="JS1" s="20"/>
      <c r="JT1" s="20"/>
      <c r="JU1" s="20"/>
      <c r="JV1" s="20"/>
      <c r="JW1" s="20"/>
      <c r="JX1" s="20"/>
      <c r="JY1" s="20"/>
      <c r="JZ1" s="20"/>
      <c r="KA1" s="20"/>
      <c r="KB1" s="20"/>
      <c r="KC1" s="20"/>
      <c r="KD1" s="20"/>
      <c r="KE1" s="20"/>
      <c r="KF1" s="20"/>
      <c r="KG1" s="20"/>
      <c r="KH1" s="20"/>
      <c r="KI1" s="20"/>
      <c r="KJ1" s="20"/>
      <c r="KK1" s="20"/>
      <c r="KL1" s="20"/>
      <c r="KM1" s="20"/>
      <c r="KN1" s="20"/>
      <c r="KO1" s="20"/>
      <c r="KP1" s="20"/>
      <c r="KQ1" s="20"/>
      <c r="KR1" s="20"/>
      <c r="KS1" s="20"/>
      <c r="KT1" s="20"/>
      <c r="KU1" s="20"/>
      <c r="KV1" s="20"/>
      <c r="KW1" s="20"/>
      <c r="KX1" s="20"/>
      <c r="KY1" s="20"/>
      <c r="KZ1" s="20"/>
      <c r="LA1" s="20"/>
      <c r="LB1" s="20"/>
      <c r="LC1" s="20"/>
      <c r="LD1" s="20"/>
      <c r="LE1" s="20"/>
      <c r="LF1" s="20"/>
      <c r="LG1" s="20"/>
      <c r="LH1" s="20"/>
      <c r="LI1" s="20"/>
      <c r="LJ1" s="20"/>
      <c r="LK1" s="20"/>
      <c r="LL1" s="20"/>
      <c r="LM1" s="20"/>
      <c r="LN1" s="20"/>
      <c r="LO1" s="20"/>
      <c r="LP1" s="20"/>
      <c r="LQ1" s="20"/>
      <c r="LR1" s="20"/>
      <c r="LS1" s="20"/>
      <c r="LT1" s="20"/>
      <c r="LU1" s="20"/>
      <c r="LV1" s="20"/>
      <c r="LW1" s="20"/>
      <c r="LX1" s="20"/>
      <c r="LY1" s="20"/>
      <c r="LZ1" s="20"/>
      <c r="MA1" s="20"/>
      <c r="MB1" s="20"/>
      <c r="MC1" s="20"/>
      <c r="MD1" s="20"/>
      <c r="ME1" s="20"/>
      <c r="MF1" s="20"/>
      <c r="MG1" s="20"/>
      <c r="MH1" s="20"/>
      <c r="MI1" s="20"/>
      <c r="MJ1" s="20"/>
      <c r="MK1" s="20"/>
      <c r="ML1" s="20"/>
      <c r="MM1" s="20"/>
      <c r="MN1" s="20"/>
      <c r="MO1" s="20"/>
      <c r="MP1" s="20"/>
      <c r="MQ1" s="20"/>
      <c r="MR1" s="20"/>
      <c r="MS1" s="20"/>
      <c r="MT1" s="20"/>
      <c r="MU1" s="20"/>
      <c r="MV1" s="20"/>
      <c r="MW1" s="20"/>
      <c r="MX1" s="20"/>
      <c r="MY1" s="20"/>
      <c r="MZ1" s="20"/>
      <c r="NA1" s="20"/>
      <c r="NB1" s="20"/>
      <c r="NC1" s="20"/>
      <c r="ND1" s="20"/>
      <c r="NE1" s="20"/>
      <c r="NF1" s="20"/>
      <c r="NG1" s="20"/>
      <c r="NH1" s="20"/>
      <c r="NI1" s="20"/>
      <c r="NJ1" s="20"/>
      <c r="NK1" s="20"/>
      <c r="NL1" s="20"/>
      <c r="NM1" s="20"/>
      <c r="NN1" s="20"/>
      <c r="NO1" s="20"/>
      <c r="NP1" s="20"/>
      <c r="NQ1" s="20"/>
      <c r="NR1" s="20"/>
      <c r="NS1" s="20"/>
      <c r="NT1" s="20"/>
      <c r="NU1" s="20"/>
      <c r="NV1" s="20"/>
      <c r="NW1" s="20"/>
      <c r="NX1" s="20"/>
      <c r="NY1" s="20"/>
      <c r="NZ1" s="20"/>
      <c r="OA1" s="20"/>
      <c r="OB1" s="20"/>
      <c r="OC1" s="20"/>
      <c r="OD1" s="20"/>
      <c r="OE1" s="20"/>
      <c r="OF1" s="20"/>
      <c r="OG1" s="20"/>
      <c r="OH1" s="20"/>
      <c r="OI1" s="20"/>
      <c r="OJ1" s="20"/>
      <c r="OK1" s="20"/>
      <c r="OL1" s="20"/>
      <c r="OM1" s="20"/>
      <c r="ON1" s="20"/>
      <c r="OO1" s="20"/>
      <c r="OP1" s="20"/>
      <c r="OQ1" s="20"/>
      <c r="OR1" s="20"/>
      <c r="OS1" s="20"/>
      <c r="OT1" s="20"/>
      <c r="OU1" s="20"/>
      <c r="OV1" s="20"/>
      <c r="OW1" s="20"/>
      <c r="OX1" s="20"/>
      <c r="OY1" s="20"/>
      <c r="OZ1" s="20"/>
      <c r="PA1" s="20"/>
      <c r="PB1" s="20"/>
      <c r="PC1" s="20"/>
      <c r="PD1" s="20"/>
      <c r="PE1" s="20"/>
      <c r="PF1" s="20"/>
      <c r="PG1" s="20"/>
      <c r="PH1" s="20"/>
      <c r="PI1" s="20"/>
      <c r="PJ1" s="20"/>
      <c r="PK1" s="20"/>
      <c r="PL1" s="20"/>
      <c r="PM1" s="20"/>
      <c r="PN1" s="20"/>
      <c r="PO1" s="20"/>
      <c r="PP1" s="20"/>
      <c r="PQ1" s="20"/>
      <c r="PR1" s="20"/>
      <c r="PS1" s="20"/>
      <c r="PT1" s="20"/>
      <c r="PU1" s="20"/>
      <c r="PV1" s="20"/>
      <c r="PW1" s="20"/>
      <c r="PX1" s="20"/>
      <c r="PY1" s="20"/>
      <c r="PZ1" s="20"/>
      <c r="QA1" s="20"/>
      <c r="QB1" s="20"/>
      <c r="QC1" s="20"/>
      <c r="QD1" s="20"/>
      <c r="QE1" s="20"/>
      <c r="QF1" s="20"/>
      <c r="QG1" s="20"/>
      <c r="QH1" s="20"/>
      <c r="QI1" s="20"/>
      <c r="QJ1" s="20"/>
      <c r="QK1" s="20"/>
      <c r="QL1" s="20"/>
      <c r="QM1" s="20"/>
      <c r="QN1" s="20"/>
      <c r="QO1" s="20"/>
      <c r="QP1" s="20"/>
      <c r="QQ1" s="20"/>
      <c r="QR1" s="20"/>
      <c r="QS1" s="20"/>
      <c r="QT1" s="20"/>
      <c r="QU1" s="20"/>
      <c r="QV1" s="20"/>
      <c r="QW1" s="20"/>
      <c r="QX1" s="20"/>
      <c r="QY1" s="20"/>
      <c r="QZ1" s="20"/>
      <c r="RA1" s="20"/>
      <c r="RB1" s="20"/>
      <c r="RC1" s="20"/>
      <c r="RD1" s="20"/>
      <c r="RE1" s="20"/>
      <c r="RF1" s="20"/>
      <c r="RG1" s="20"/>
      <c r="RH1" s="20"/>
      <c r="RI1" s="20"/>
      <c r="RJ1" s="20"/>
      <c r="RK1" s="20"/>
      <c r="RL1" s="20"/>
      <c r="RM1" s="20"/>
      <c r="RN1" s="20"/>
      <c r="RO1" s="20"/>
      <c r="RP1" s="20"/>
      <c r="RQ1" s="20"/>
      <c r="RR1" s="20"/>
      <c r="RS1" s="20"/>
      <c r="RT1" s="20"/>
      <c r="RU1" s="20"/>
      <c r="RV1" s="20"/>
      <c r="RW1" s="20"/>
      <c r="RX1" s="20"/>
      <c r="RY1" s="20"/>
      <c r="RZ1" s="20"/>
      <c r="SA1" s="20"/>
      <c r="SB1" s="20"/>
      <c r="SC1" s="20"/>
      <c r="SD1" s="20"/>
      <c r="SE1" s="20"/>
      <c r="SF1" s="20"/>
      <c r="SG1" s="20"/>
      <c r="SH1" s="20"/>
      <c r="SI1" s="20"/>
      <c r="SJ1" s="20"/>
      <c r="SK1" s="20"/>
      <c r="SL1" s="20"/>
      <c r="SM1" s="20"/>
      <c r="SN1" s="20"/>
      <c r="SO1" s="20"/>
      <c r="SP1" s="20"/>
      <c r="SQ1" s="20"/>
      <c r="SR1" s="20"/>
      <c r="SS1" s="20"/>
      <c r="ST1" s="20"/>
      <c r="SU1" s="20"/>
      <c r="SV1" s="20"/>
      <c r="SW1" s="20"/>
      <c r="SX1" s="20"/>
      <c r="SY1" s="20"/>
      <c r="SZ1" s="20"/>
      <c r="TA1" s="20"/>
      <c r="TB1" s="20"/>
      <c r="TC1" s="20"/>
      <c r="TD1" s="20"/>
      <c r="TE1" s="20"/>
      <c r="TF1" s="20"/>
      <c r="TG1" s="20"/>
      <c r="TH1" s="20"/>
      <c r="TI1" s="20"/>
      <c r="TJ1" s="20"/>
      <c r="TK1" s="20"/>
      <c r="TL1" s="20"/>
      <c r="TM1" s="20"/>
      <c r="TN1" s="20"/>
      <c r="TO1" s="20"/>
      <c r="TP1" s="20"/>
      <c r="TQ1" s="20"/>
      <c r="TR1" s="20"/>
      <c r="TS1" s="20"/>
      <c r="TT1" s="20"/>
      <c r="TU1" s="20"/>
      <c r="TV1" s="20"/>
      <c r="TW1" s="20"/>
      <c r="TX1" s="20"/>
      <c r="TY1" s="20"/>
      <c r="TZ1" s="20"/>
      <c r="UA1" s="20"/>
      <c r="UB1" s="20"/>
      <c r="UC1" s="20"/>
      <c r="UD1" s="20"/>
      <c r="UE1" s="20"/>
      <c r="UF1" s="20"/>
      <c r="UG1" s="20"/>
      <c r="UH1" s="20"/>
      <c r="UI1" s="20"/>
      <c r="UJ1" s="20"/>
      <c r="UK1" s="20"/>
      <c r="UL1" s="20"/>
      <c r="UM1" s="20"/>
      <c r="UN1" s="20"/>
      <c r="UO1" s="20"/>
      <c r="UP1" s="20"/>
      <c r="UQ1" s="20"/>
      <c r="UR1" s="20"/>
      <c r="US1" s="20"/>
      <c r="UT1" s="20"/>
      <c r="UU1" s="20"/>
      <c r="UV1" s="20"/>
      <c r="UW1" s="20"/>
      <c r="UX1" s="20"/>
      <c r="UY1" s="20"/>
      <c r="UZ1" s="20"/>
      <c r="VA1" s="20"/>
      <c r="VB1" s="20"/>
      <c r="VC1" s="20"/>
      <c r="VD1" s="20"/>
      <c r="VE1" s="20"/>
      <c r="VF1" s="20"/>
      <c r="VG1" s="20"/>
      <c r="VH1" s="20"/>
      <c r="VI1" s="20"/>
      <c r="VJ1" s="20"/>
      <c r="VK1" s="20"/>
      <c r="VL1" s="20"/>
      <c r="VM1" s="20"/>
      <c r="VN1" s="20"/>
      <c r="VO1" s="20"/>
      <c r="VP1" s="20"/>
      <c r="VQ1" s="20"/>
      <c r="VR1" s="20"/>
      <c r="VS1" s="20"/>
      <c r="VT1" s="20"/>
      <c r="VU1" s="20"/>
      <c r="VV1" s="20"/>
      <c r="VW1" s="20"/>
      <c r="VX1" s="20"/>
      <c r="VY1" s="20"/>
      <c r="VZ1" s="20"/>
      <c r="WA1" s="20"/>
      <c r="WB1" s="20"/>
      <c r="WC1" s="20"/>
      <c r="WD1" s="20"/>
      <c r="WE1" s="20"/>
      <c r="WF1" s="20"/>
      <c r="WG1" s="20"/>
      <c r="WH1" s="20"/>
      <c r="WI1" s="20"/>
      <c r="WJ1" s="20"/>
      <c r="WK1" s="20"/>
      <c r="WL1" s="20"/>
      <c r="WM1" s="20"/>
      <c r="WN1" s="20"/>
      <c r="WO1" s="20"/>
      <c r="WP1" s="20"/>
      <c r="WQ1" s="20"/>
      <c r="WR1" s="20"/>
      <c r="WS1" s="20"/>
      <c r="WT1" s="20"/>
      <c r="WU1" s="20"/>
      <c r="WV1" s="20"/>
      <c r="WW1" s="20"/>
      <c r="WX1" s="20"/>
      <c r="WY1" s="20"/>
      <c r="WZ1" s="20"/>
      <c r="XA1" s="20"/>
      <c r="XB1" s="20"/>
      <c r="XC1" s="20"/>
      <c r="XD1" s="20"/>
      <c r="XE1" s="20"/>
      <c r="XF1" s="20"/>
      <c r="XG1" s="20"/>
      <c r="XH1" s="20"/>
      <c r="XI1" s="20"/>
      <c r="XJ1" s="20"/>
      <c r="XK1" s="20"/>
      <c r="XL1" s="20"/>
      <c r="XM1" s="20"/>
      <c r="XN1" s="20"/>
      <c r="XO1" s="20"/>
      <c r="XP1" s="20"/>
      <c r="XQ1" s="20"/>
      <c r="XR1" s="20"/>
      <c r="XS1" s="20"/>
      <c r="XT1" s="20"/>
      <c r="XU1" s="20"/>
      <c r="XV1" s="20"/>
      <c r="XW1" s="20"/>
      <c r="XX1" s="20"/>
      <c r="XY1" s="20"/>
      <c r="XZ1" s="20"/>
      <c r="YA1" s="20"/>
      <c r="YB1" s="20"/>
      <c r="YC1" s="20"/>
      <c r="YD1" s="20"/>
      <c r="YE1" s="20"/>
      <c r="YF1" s="20"/>
      <c r="YG1" s="20"/>
      <c r="YH1" s="20"/>
      <c r="YI1" s="20"/>
      <c r="YJ1" s="20"/>
      <c r="YK1" s="20"/>
      <c r="YL1" s="20"/>
      <c r="YM1" s="20"/>
      <c r="YN1" s="20"/>
      <c r="YO1" s="20"/>
      <c r="YP1" s="20"/>
      <c r="YQ1" s="20"/>
      <c r="YR1" s="20"/>
      <c r="YS1" s="20"/>
      <c r="YT1" s="20"/>
      <c r="YU1" s="20"/>
      <c r="YV1" s="20"/>
      <c r="YW1" s="20"/>
      <c r="YX1" s="20"/>
      <c r="YY1" s="20"/>
      <c r="YZ1" s="20"/>
      <c r="ZA1" s="20"/>
      <c r="ZB1" s="20"/>
      <c r="ZC1" s="20"/>
      <c r="ZD1" s="20"/>
      <c r="ZE1" s="20"/>
      <c r="ZF1" s="20"/>
      <c r="ZG1" s="20"/>
      <c r="ZH1" s="20"/>
      <c r="ZI1" s="20"/>
      <c r="ZJ1" s="20"/>
      <c r="ZK1" s="20"/>
      <c r="ZL1" s="20"/>
      <c r="ZM1" s="20"/>
      <c r="ZN1" s="20"/>
      <c r="ZO1" s="20"/>
      <c r="ZP1" s="20"/>
      <c r="ZQ1" s="20"/>
      <c r="ZR1" s="20"/>
      <c r="ZS1" s="20"/>
      <c r="ZT1" s="20"/>
      <c r="ZU1" s="20"/>
      <c r="ZV1" s="20"/>
      <c r="ZW1" s="20"/>
      <c r="ZX1" s="20"/>
      <c r="ZY1" s="20"/>
      <c r="ZZ1" s="20"/>
      <c r="AAA1" s="20"/>
      <c r="AAB1" s="20"/>
      <c r="AAC1" s="20"/>
      <c r="AAD1" s="20"/>
      <c r="AAE1" s="20"/>
      <c r="AAF1" s="20"/>
      <c r="AAG1" s="20"/>
      <c r="AAH1" s="20"/>
      <c r="AAI1" s="20"/>
      <c r="AAJ1" s="20"/>
      <c r="AAK1" s="20"/>
      <c r="AAL1" s="20"/>
      <c r="AAM1" s="20"/>
      <c r="AAN1" s="20"/>
      <c r="AAO1" s="20"/>
      <c r="AAP1" s="20"/>
      <c r="AAQ1" s="20"/>
      <c r="AAR1" s="20"/>
      <c r="AAS1" s="20"/>
      <c r="AAT1" s="20"/>
      <c r="AAU1" s="20"/>
      <c r="AAV1" s="20"/>
      <c r="AAW1" s="20"/>
      <c r="AAX1" s="20"/>
      <c r="AAY1" s="20"/>
      <c r="AAZ1" s="20"/>
      <c r="ABA1" s="20"/>
      <c r="ABB1" s="20"/>
      <c r="ABC1" s="20"/>
      <c r="ABD1" s="20"/>
      <c r="ABE1" s="20"/>
      <c r="ABF1" s="20"/>
      <c r="ABG1" s="20"/>
      <c r="ABH1" s="20"/>
      <c r="ABI1" s="20"/>
      <c r="ABJ1" s="20"/>
      <c r="ABK1" s="20"/>
      <c r="ABL1" s="20"/>
      <c r="ABM1" s="20"/>
      <c r="ABN1" s="20"/>
      <c r="ABO1" s="20"/>
      <c r="ABP1" s="20"/>
      <c r="ABQ1" s="20"/>
      <c r="ABR1" s="20"/>
      <c r="ABS1" s="20"/>
      <c r="ABT1" s="20"/>
      <c r="ABU1" s="20"/>
      <c r="ABV1" s="20"/>
      <c r="ABW1" s="20"/>
      <c r="ABX1" s="20"/>
      <c r="ABY1" s="20"/>
      <c r="ABZ1" s="20"/>
      <c r="ACA1" s="20"/>
      <c r="ACB1" s="20"/>
      <c r="ACC1" s="20"/>
      <c r="ACD1" s="20"/>
      <c r="ACE1" s="20"/>
      <c r="ACF1" s="20"/>
      <c r="ACG1" s="20"/>
      <c r="ACH1" s="20"/>
      <c r="ACI1" s="20"/>
      <c r="ACJ1" s="20"/>
      <c r="ACK1" s="20"/>
      <c r="ACL1" s="20"/>
      <c r="ACM1" s="20"/>
      <c r="ACN1" s="20"/>
      <c r="ACO1" s="20"/>
      <c r="ACP1" s="20"/>
      <c r="ACQ1" s="20"/>
      <c r="ACR1" s="20"/>
      <c r="ACS1" s="20"/>
      <c r="ACT1" s="20"/>
      <c r="ACU1" s="20"/>
      <c r="ACV1" s="20"/>
      <c r="ACW1" s="20"/>
      <c r="ACX1" s="20"/>
      <c r="ACY1" s="20"/>
      <c r="ACZ1" s="20"/>
      <c r="ADA1" s="20"/>
      <c r="ADB1" s="20"/>
      <c r="ADC1" s="20"/>
      <c r="ADD1" s="20"/>
      <c r="ADE1" s="20"/>
      <c r="ADF1" s="20"/>
      <c r="ADG1" s="20"/>
      <c r="ADH1" s="20"/>
      <c r="ADI1" s="20"/>
      <c r="ADJ1" s="20"/>
      <c r="ADK1" s="20"/>
      <c r="ADL1" s="20"/>
      <c r="ADM1" s="20"/>
      <c r="ADN1" s="20"/>
      <c r="ADO1" s="20"/>
      <c r="ADP1" s="20"/>
      <c r="ADQ1" s="20"/>
      <c r="ADR1" s="20"/>
      <c r="ADS1" s="20"/>
      <c r="ADT1" s="20"/>
      <c r="ADU1" s="20"/>
      <c r="ADV1" s="20"/>
      <c r="ADW1" s="20"/>
      <c r="ADX1" s="20"/>
      <c r="ADY1" s="20"/>
      <c r="ADZ1" s="20"/>
      <c r="AEA1" s="20"/>
      <c r="AEB1" s="20"/>
      <c r="AEC1" s="20"/>
      <c r="AED1" s="20"/>
      <c r="AEE1" s="20"/>
      <c r="AEF1" s="20"/>
      <c r="AEG1" s="20"/>
      <c r="AEH1" s="20"/>
      <c r="AEI1" s="20"/>
      <c r="AEJ1" s="20"/>
      <c r="AEK1" s="20"/>
      <c r="AEL1" s="20"/>
      <c r="AEM1" s="20"/>
      <c r="AEN1" s="20"/>
      <c r="AEO1" s="20"/>
      <c r="AEP1" s="20"/>
      <c r="AEQ1" s="20"/>
      <c r="AER1" s="20"/>
      <c r="AES1" s="20"/>
      <c r="AET1" s="20"/>
      <c r="AEU1" s="20"/>
      <c r="AEV1" s="20"/>
      <c r="AEW1" s="20"/>
      <c r="AEX1" s="20"/>
      <c r="AEY1" s="20"/>
      <c r="AEZ1" s="20"/>
      <c r="AFA1" s="20"/>
      <c r="AFB1" s="20"/>
      <c r="AFC1" s="20"/>
      <c r="AFD1" s="20"/>
      <c r="AFE1" s="20"/>
      <c r="AFF1" s="20"/>
      <c r="AFG1" s="20"/>
      <c r="AFH1" s="20"/>
      <c r="AFI1" s="20"/>
      <c r="AFJ1" s="20"/>
      <c r="AFK1" s="20"/>
      <c r="AFL1" s="20"/>
      <c r="AFM1" s="20"/>
      <c r="AFN1" s="20"/>
      <c r="AFO1" s="20"/>
      <c r="AFP1" s="20"/>
      <c r="AFQ1" s="20"/>
      <c r="AFR1" s="20"/>
      <c r="AFS1" s="20"/>
      <c r="AFT1" s="20"/>
      <c r="AFU1" s="20"/>
      <c r="AFV1" s="20"/>
      <c r="AFW1" s="20"/>
      <c r="AFX1" s="20"/>
      <c r="AFY1" s="20"/>
      <c r="AFZ1" s="20"/>
      <c r="AGA1" s="20"/>
      <c r="AGB1" s="20"/>
      <c r="AGC1" s="20"/>
      <c r="AGD1" s="20"/>
      <c r="AGE1" s="20"/>
      <c r="AGF1" s="20"/>
      <c r="AGG1" s="20"/>
      <c r="AGH1" s="20"/>
      <c r="AGI1" s="20"/>
      <c r="AGJ1" s="20"/>
      <c r="AGK1" s="20"/>
      <c r="AGL1" s="20"/>
      <c r="AGM1" s="20"/>
      <c r="AGN1" s="20"/>
      <c r="AGO1" s="20"/>
      <c r="AGP1" s="20"/>
      <c r="AGQ1" s="20"/>
      <c r="AGR1" s="20"/>
      <c r="AGS1" s="20"/>
      <c r="AGT1" s="20"/>
      <c r="AGU1" s="20"/>
      <c r="AGV1" s="20"/>
      <c r="AGW1" s="20"/>
      <c r="AGX1" s="20"/>
      <c r="AGY1" s="20"/>
      <c r="AGZ1" s="20"/>
      <c r="AHA1" s="20"/>
      <c r="AHB1" s="20"/>
      <c r="AHC1" s="20"/>
      <c r="AHD1" s="20"/>
      <c r="AHE1" s="20"/>
      <c r="AHF1" s="20"/>
      <c r="AHG1" s="20"/>
      <c r="AHH1" s="20"/>
      <c r="AHI1" s="20"/>
      <c r="AHJ1" s="20"/>
      <c r="AHK1" s="20"/>
      <c r="AHL1" s="20"/>
      <c r="AHM1" s="20"/>
      <c r="AHN1" s="20"/>
      <c r="AHO1" s="20"/>
      <c r="AHP1" s="20"/>
      <c r="AHQ1" s="20"/>
      <c r="AHR1" s="20"/>
      <c r="AHS1" s="20"/>
      <c r="AHT1" s="20"/>
      <c r="AHU1" s="20"/>
      <c r="AHV1" s="20"/>
      <c r="AHW1" s="20"/>
      <c r="AHX1" s="20"/>
      <c r="AHY1" s="20"/>
      <c r="AHZ1" s="20"/>
      <c r="AIA1" s="20"/>
      <c r="AIB1" s="20"/>
      <c r="AIC1" s="20"/>
      <c r="AID1" s="20"/>
      <c r="AIE1" s="20"/>
      <c r="AIF1" s="20"/>
      <c r="AIG1" s="20"/>
      <c r="AIH1" s="20"/>
      <c r="AII1" s="20"/>
      <c r="AIJ1" s="20"/>
      <c r="AIK1" s="20"/>
      <c r="AIL1" s="20"/>
      <c r="AIM1" s="20"/>
      <c r="AIN1" s="20"/>
      <c r="AIO1" s="20"/>
      <c r="AIP1" s="20"/>
      <c r="AIQ1" s="20"/>
      <c r="AIR1" s="20"/>
      <c r="AIS1" s="20"/>
      <c r="AIT1" s="20"/>
      <c r="AIU1" s="20"/>
      <c r="AIV1" s="20"/>
      <c r="AIW1" s="20"/>
      <c r="AIX1" s="20"/>
      <c r="AIY1" s="20"/>
      <c r="AIZ1" s="20"/>
      <c r="AJA1" s="20"/>
      <c r="AJB1" s="20"/>
      <c r="AJC1" s="20"/>
      <c r="AJD1" s="20"/>
      <c r="AJE1" s="20"/>
      <c r="AJF1" s="20"/>
      <c r="AJG1" s="20"/>
      <c r="AJH1" s="20"/>
      <c r="AJI1" s="20"/>
      <c r="AJJ1" s="20"/>
      <c r="AJK1" s="20"/>
      <c r="AJL1" s="20"/>
      <c r="AJM1" s="20"/>
      <c r="AJN1" s="20"/>
      <c r="AJO1" s="20"/>
      <c r="AJP1" s="20"/>
      <c r="AJQ1" s="20"/>
      <c r="AJR1" s="20"/>
      <c r="AJS1" s="20"/>
      <c r="AJT1" s="20"/>
      <c r="AJU1" s="20"/>
      <c r="AJV1" s="20"/>
      <c r="AJW1" s="20"/>
      <c r="AJX1" s="20"/>
      <c r="AJY1" s="20"/>
      <c r="AJZ1" s="20"/>
      <c r="AKA1" s="20"/>
      <c r="AKB1" s="20"/>
      <c r="AKC1" s="20"/>
      <c r="AKD1" s="20"/>
      <c r="AKE1" s="20"/>
      <c r="AKF1" s="20"/>
      <c r="AKG1" s="20"/>
      <c r="AKH1" s="20"/>
      <c r="AKI1" s="20"/>
      <c r="AKJ1" s="20"/>
      <c r="AKK1" s="20"/>
      <c r="AKL1" s="20"/>
      <c r="AKM1" s="20"/>
      <c r="AKN1" s="20"/>
      <c r="AKO1" s="20"/>
      <c r="AKP1" s="20"/>
      <c r="AKQ1" s="20"/>
      <c r="AKR1" s="20"/>
      <c r="AKS1" s="20"/>
      <c r="AKT1" s="20"/>
      <c r="AKU1" s="20"/>
      <c r="AKV1" s="20"/>
      <c r="AKW1" s="20"/>
      <c r="AKX1" s="20"/>
      <c r="AKY1" s="20"/>
      <c r="AKZ1" s="20"/>
      <c r="ALA1" s="20"/>
      <c r="ALB1" s="20"/>
      <c r="ALC1" s="20"/>
      <c r="ALD1" s="20"/>
      <c r="ALE1" s="20"/>
      <c r="ALF1" s="20"/>
      <c r="ALG1" s="20"/>
      <c r="ALH1" s="20"/>
      <c r="ALI1" s="20"/>
      <c r="ALJ1" s="20"/>
      <c r="ALK1" s="20"/>
      <c r="ALL1" s="20"/>
      <c r="ALM1" s="20"/>
      <c r="ALN1" s="20"/>
      <c r="ALO1" s="20"/>
      <c r="ALP1" s="20"/>
      <c r="ALQ1" s="20"/>
      <c r="ALR1" s="20"/>
      <c r="ALS1" s="20"/>
      <c r="ALT1" s="20"/>
      <c r="ALU1" s="20"/>
      <c r="ALV1" s="20"/>
      <c r="ALW1" s="20"/>
      <c r="ALX1" s="20"/>
      <c r="ALY1" s="20"/>
      <c r="ALZ1" s="20"/>
      <c r="AMA1" s="20"/>
      <c r="AMB1" s="20"/>
      <c r="AMC1" s="20"/>
      <c r="AMD1" s="20"/>
      <c r="AME1" s="20"/>
      <c r="AMF1" s="20"/>
      <c r="AMG1" s="20"/>
      <c r="AMH1" s="20"/>
      <c r="AMI1" s="20"/>
      <c r="AMJ1" s="20"/>
      <c r="AMK1" s="20"/>
      <c r="AML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  <c r="FI3" s="24"/>
      <c r="FJ3" s="24"/>
      <c r="FK3" s="24"/>
      <c r="FL3" s="24"/>
      <c r="FM3" s="24"/>
      <c r="FN3" s="24"/>
      <c r="FO3" s="24"/>
      <c r="FP3" s="24"/>
      <c r="FQ3" s="24"/>
      <c r="FR3" s="24"/>
      <c r="FS3" s="24"/>
      <c r="FT3" s="24"/>
      <c r="FU3" s="24"/>
      <c r="FV3" s="24"/>
      <c r="FW3" s="24"/>
      <c r="FX3" s="24"/>
      <c r="FY3" s="24"/>
      <c r="FZ3" s="24"/>
      <c r="GA3" s="24"/>
      <c r="GB3" s="24"/>
      <c r="GC3" s="24"/>
      <c r="GD3" s="24"/>
      <c r="GE3" s="24"/>
      <c r="GF3" s="24"/>
      <c r="GG3" s="24"/>
      <c r="GH3" s="24"/>
      <c r="GI3" s="24"/>
      <c r="GJ3" s="24"/>
      <c r="GK3" s="24"/>
      <c r="GL3" s="24"/>
      <c r="GM3" s="24"/>
      <c r="GN3" s="24"/>
      <c r="GO3" s="24"/>
      <c r="GP3" s="24"/>
      <c r="GQ3" s="24"/>
      <c r="GR3" s="24"/>
      <c r="GS3" s="24"/>
      <c r="GT3" s="24"/>
      <c r="GU3" s="24"/>
      <c r="GV3" s="24"/>
      <c r="GW3" s="24"/>
      <c r="GX3" s="24"/>
      <c r="GY3" s="24"/>
      <c r="GZ3" s="24"/>
      <c r="HA3" s="24"/>
      <c r="HB3" s="24"/>
      <c r="HC3" s="24"/>
      <c r="HD3" s="24"/>
      <c r="HE3" s="24"/>
      <c r="HF3" s="24"/>
      <c r="HG3" s="24"/>
      <c r="HH3" s="24"/>
      <c r="HI3" s="24"/>
      <c r="HJ3" s="24"/>
      <c r="HK3" s="24"/>
      <c r="HL3" s="24"/>
      <c r="HM3" s="24"/>
      <c r="HN3" s="24"/>
      <c r="HO3" s="24"/>
      <c r="HP3" s="24"/>
      <c r="HQ3" s="24"/>
      <c r="HR3" s="24"/>
      <c r="HS3" s="24"/>
      <c r="HT3" s="24"/>
      <c r="HU3" s="24"/>
      <c r="HV3" s="24"/>
      <c r="HW3" s="24"/>
      <c r="HX3" s="24"/>
      <c r="HY3" s="24"/>
      <c r="HZ3" s="24"/>
      <c r="IA3" s="24"/>
      <c r="IB3" s="24"/>
      <c r="IC3" s="24"/>
      <c r="ID3" s="24"/>
      <c r="IE3" s="24"/>
      <c r="IF3" s="24"/>
      <c r="IG3" s="24"/>
      <c r="IH3" s="24"/>
      <c r="II3" s="24"/>
      <c r="IJ3" s="24"/>
      <c r="IK3" s="24"/>
      <c r="IL3" s="24"/>
      <c r="IM3" s="24"/>
      <c r="IN3" s="24"/>
      <c r="IO3" s="24"/>
      <c r="IP3" s="24"/>
      <c r="IQ3" s="24"/>
      <c r="IR3" s="24"/>
      <c r="IS3" s="24"/>
      <c r="IT3" s="24"/>
      <c r="IU3" s="24"/>
      <c r="IV3" s="24"/>
      <c r="IW3" s="24"/>
      <c r="IX3" s="24"/>
      <c r="IY3" s="24"/>
      <c r="IZ3" s="24"/>
      <c r="JA3" s="24"/>
      <c r="JB3" s="24"/>
      <c r="JC3" s="24"/>
      <c r="JD3" s="24"/>
      <c r="JE3" s="24"/>
      <c r="JF3" s="24"/>
      <c r="JG3" s="24"/>
      <c r="JH3" s="24"/>
      <c r="JI3" s="24"/>
      <c r="JJ3" s="24"/>
      <c r="JK3" s="24"/>
      <c r="JL3" s="24"/>
      <c r="JM3" s="24"/>
      <c r="JN3" s="24"/>
      <c r="JO3" s="24"/>
      <c r="JP3" s="24"/>
      <c r="JQ3" s="24"/>
      <c r="JR3" s="24"/>
      <c r="JS3" s="24"/>
      <c r="JT3" s="24"/>
      <c r="JU3" s="24"/>
      <c r="JV3" s="24"/>
      <c r="JW3" s="24"/>
      <c r="JX3" s="24"/>
      <c r="JY3" s="24"/>
      <c r="JZ3" s="24"/>
      <c r="KA3" s="24"/>
      <c r="KB3" s="24"/>
      <c r="KC3" s="24"/>
      <c r="KD3" s="24"/>
      <c r="KE3" s="24"/>
      <c r="KF3" s="24"/>
      <c r="KG3" s="24"/>
      <c r="KH3" s="24"/>
      <c r="KI3" s="24"/>
      <c r="KJ3" s="24"/>
      <c r="KK3" s="24"/>
      <c r="KL3" s="24"/>
      <c r="KM3" s="24"/>
      <c r="KN3" s="24"/>
      <c r="KO3" s="24"/>
      <c r="KP3" s="24"/>
      <c r="KQ3" s="24"/>
      <c r="KR3" s="24"/>
      <c r="KS3" s="24"/>
      <c r="KT3" s="24"/>
      <c r="KU3" s="24"/>
      <c r="KV3" s="24"/>
      <c r="KW3" s="24"/>
      <c r="KX3" s="24"/>
      <c r="KY3" s="24"/>
      <c r="KZ3" s="24"/>
      <c r="LA3" s="24"/>
      <c r="LB3" s="24"/>
      <c r="LC3" s="24"/>
      <c r="LD3" s="24"/>
      <c r="LE3" s="24"/>
      <c r="LF3" s="24"/>
      <c r="LG3" s="24"/>
      <c r="LH3" s="24"/>
      <c r="LI3" s="24"/>
      <c r="LJ3" s="24"/>
      <c r="LK3" s="24"/>
      <c r="LL3" s="24"/>
      <c r="LM3" s="24"/>
      <c r="LN3" s="24"/>
      <c r="LO3" s="24"/>
      <c r="LP3" s="24"/>
      <c r="LQ3" s="24"/>
      <c r="LR3" s="24"/>
      <c r="LS3" s="24"/>
      <c r="LT3" s="24"/>
      <c r="LU3" s="24"/>
      <c r="LV3" s="24"/>
      <c r="LW3" s="24"/>
      <c r="LX3" s="24"/>
      <c r="LY3" s="24"/>
      <c r="LZ3" s="24"/>
      <c r="MA3" s="24"/>
      <c r="MB3" s="24"/>
      <c r="MC3" s="24"/>
      <c r="MD3" s="24"/>
      <c r="ME3" s="24"/>
      <c r="MF3" s="24"/>
      <c r="MG3" s="24"/>
      <c r="MH3" s="24"/>
      <c r="MI3" s="24"/>
      <c r="MJ3" s="24"/>
      <c r="MK3" s="24"/>
      <c r="ML3" s="24"/>
      <c r="MM3" s="24"/>
      <c r="MN3" s="24"/>
      <c r="MO3" s="24"/>
      <c r="MP3" s="24"/>
      <c r="MQ3" s="24"/>
      <c r="MR3" s="24"/>
      <c r="MS3" s="24"/>
      <c r="MT3" s="24"/>
      <c r="MU3" s="24"/>
      <c r="MV3" s="24"/>
      <c r="MW3" s="24"/>
      <c r="MX3" s="24"/>
      <c r="MY3" s="24"/>
      <c r="MZ3" s="24"/>
      <c r="NA3" s="24"/>
      <c r="NB3" s="24"/>
      <c r="NC3" s="24"/>
      <c r="ND3" s="24"/>
      <c r="NE3" s="24"/>
      <c r="NF3" s="24"/>
      <c r="NG3" s="24"/>
      <c r="NH3" s="24"/>
      <c r="NI3" s="24"/>
      <c r="NJ3" s="24"/>
      <c r="NK3" s="24"/>
      <c r="NL3" s="24"/>
      <c r="NM3" s="24"/>
      <c r="NN3" s="24"/>
      <c r="NO3" s="24"/>
      <c r="NP3" s="24"/>
      <c r="NQ3" s="24"/>
      <c r="NR3" s="24"/>
      <c r="NS3" s="24"/>
      <c r="NT3" s="24"/>
      <c r="NU3" s="24"/>
      <c r="NV3" s="24"/>
      <c r="NW3" s="24"/>
      <c r="NX3" s="24"/>
      <c r="NY3" s="24"/>
      <c r="NZ3" s="24"/>
      <c r="OA3" s="24"/>
      <c r="OB3" s="24"/>
      <c r="OC3" s="24"/>
      <c r="OD3" s="24"/>
      <c r="OE3" s="24"/>
      <c r="OF3" s="24"/>
      <c r="OG3" s="24"/>
      <c r="OH3" s="24"/>
      <c r="OI3" s="24"/>
      <c r="OJ3" s="24"/>
      <c r="OK3" s="24"/>
      <c r="OL3" s="24"/>
      <c r="OM3" s="24"/>
      <c r="ON3" s="24"/>
      <c r="OO3" s="24"/>
      <c r="OP3" s="24"/>
      <c r="OQ3" s="24"/>
      <c r="OR3" s="24"/>
      <c r="OS3" s="24"/>
      <c r="OT3" s="24"/>
      <c r="OU3" s="24"/>
      <c r="OV3" s="24"/>
      <c r="OW3" s="24"/>
      <c r="OX3" s="24"/>
      <c r="OY3" s="24"/>
      <c r="OZ3" s="24"/>
      <c r="PA3" s="24"/>
      <c r="PB3" s="24"/>
      <c r="PC3" s="24"/>
      <c r="PD3" s="24"/>
      <c r="PE3" s="24"/>
      <c r="PF3" s="24"/>
      <c r="PG3" s="24"/>
      <c r="PH3" s="24"/>
      <c r="PI3" s="24"/>
      <c r="PJ3" s="24"/>
      <c r="PK3" s="24"/>
      <c r="PL3" s="24"/>
      <c r="PM3" s="24"/>
      <c r="PN3" s="24"/>
      <c r="PO3" s="24"/>
      <c r="PP3" s="24"/>
      <c r="PQ3" s="24"/>
      <c r="PR3" s="24"/>
      <c r="PS3" s="24"/>
      <c r="PT3" s="24"/>
      <c r="PU3" s="24"/>
      <c r="PV3" s="24"/>
      <c r="PW3" s="24"/>
      <c r="PX3" s="24"/>
      <c r="PY3" s="24"/>
      <c r="PZ3" s="24"/>
      <c r="QA3" s="24"/>
      <c r="QB3" s="24"/>
      <c r="QC3" s="24"/>
      <c r="QD3" s="24"/>
      <c r="QE3" s="24"/>
      <c r="QF3" s="24"/>
      <c r="QG3" s="24"/>
      <c r="QH3" s="24"/>
      <c r="QI3" s="24"/>
      <c r="QJ3" s="24"/>
      <c r="QK3" s="24"/>
      <c r="QL3" s="24"/>
      <c r="QM3" s="24"/>
      <c r="QN3" s="24"/>
      <c r="QO3" s="24"/>
      <c r="QP3" s="24"/>
      <c r="QQ3" s="24"/>
      <c r="QR3" s="24"/>
      <c r="QS3" s="24"/>
      <c r="QT3" s="24"/>
      <c r="QU3" s="24"/>
      <c r="QV3" s="24"/>
      <c r="QW3" s="24"/>
      <c r="QX3" s="24"/>
      <c r="QY3" s="24"/>
      <c r="QZ3" s="24"/>
      <c r="RA3" s="24"/>
      <c r="RB3" s="24"/>
      <c r="RC3" s="24"/>
      <c r="RD3" s="24"/>
      <c r="RE3" s="24"/>
      <c r="RF3" s="24"/>
      <c r="RG3" s="24"/>
      <c r="RH3" s="24"/>
      <c r="RI3" s="24"/>
      <c r="RJ3" s="24"/>
      <c r="RK3" s="24"/>
      <c r="RL3" s="24"/>
      <c r="RM3" s="24"/>
      <c r="RN3" s="24"/>
      <c r="RO3" s="24"/>
      <c r="RP3" s="24"/>
      <c r="RQ3" s="24"/>
      <c r="RR3" s="24"/>
      <c r="RS3" s="24"/>
      <c r="RT3" s="24"/>
      <c r="RU3" s="24"/>
      <c r="RV3" s="24"/>
      <c r="RW3" s="24"/>
      <c r="RX3" s="24"/>
      <c r="RY3" s="24"/>
      <c r="RZ3" s="24"/>
      <c r="SA3" s="24"/>
      <c r="SB3" s="24"/>
      <c r="SC3" s="24"/>
      <c r="SD3" s="24"/>
      <c r="SE3" s="24"/>
      <c r="SF3" s="24"/>
      <c r="SG3" s="24"/>
      <c r="SH3" s="24"/>
      <c r="SI3" s="24"/>
      <c r="SJ3" s="24"/>
      <c r="SK3" s="24"/>
      <c r="SL3" s="24"/>
      <c r="SM3" s="24"/>
      <c r="SN3" s="24"/>
      <c r="SO3" s="24"/>
      <c r="SP3" s="24"/>
      <c r="SQ3" s="24"/>
      <c r="SR3" s="24"/>
      <c r="SS3" s="24"/>
      <c r="ST3" s="24"/>
      <c r="SU3" s="24"/>
      <c r="SV3" s="24"/>
      <c r="SW3" s="24"/>
      <c r="SX3" s="24"/>
      <c r="SY3" s="24"/>
      <c r="SZ3" s="24"/>
      <c r="TA3" s="24"/>
      <c r="TB3" s="24"/>
      <c r="TC3" s="24"/>
      <c r="TD3" s="24"/>
      <c r="TE3" s="24"/>
      <c r="TF3" s="24"/>
      <c r="TG3" s="24"/>
      <c r="TH3" s="24"/>
      <c r="TI3" s="24"/>
      <c r="TJ3" s="24"/>
      <c r="TK3" s="24"/>
      <c r="TL3" s="24"/>
      <c r="TM3" s="24"/>
      <c r="TN3" s="24"/>
      <c r="TO3" s="24"/>
      <c r="TP3" s="24"/>
      <c r="TQ3" s="24"/>
      <c r="TR3" s="24"/>
      <c r="TS3" s="24"/>
      <c r="TT3" s="24"/>
      <c r="TU3" s="24"/>
      <c r="TV3" s="24"/>
      <c r="TW3" s="24"/>
      <c r="TX3" s="24"/>
      <c r="TY3" s="24"/>
      <c r="TZ3" s="24"/>
      <c r="UA3" s="24"/>
      <c r="UB3" s="24"/>
      <c r="UC3" s="24"/>
      <c r="UD3" s="24"/>
      <c r="UE3" s="24"/>
      <c r="UF3" s="24"/>
      <c r="UG3" s="24"/>
      <c r="UH3" s="24"/>
      <c r="UI3" s="24"/>
      <c r="UJ3" s="24"/>
      <c r="UK3" s="24"/>
      <c r="UL3" s="24"/>
      <c r="UM3" s="24"/>
      <c r="UN3" s="24"/>
      <c r="UO3" s="24"/>
      <c r="UP3" s="24"/>
      <c r="UQ3" s="24"/>
      <c r="UR3" s="24"/>
      <c r="US3" s="24"/>
      <c r="UT3" s="24"/>
      <c r="UU3" s="24"/>
      <c r="UV3" s="24"/>
      <c r="UW3" s="24"/>
      <c r="UX3" s="24"/>
      <c r="UY3" s="24"/>
      <c r="UZ3" s="24"/>
      <c r="VA3" s="24"/>
      <c r="VB3" s="24"/>
      <c r="VC3" s="24"/>
      <c r="VD3" s="24"/>
      <c r="VE3" s="24"/>
      <c r="VF3" s="24"/>
      <c r="VG3" s="24"/>
      <c r="VH3" s="24"/>
      <c r="VI3" s="24"/>
      <c r="VJ3" s="24"/>
      <c r="VK3" s="24"/>
      <c r="VL3" s="24"/>
      <c r="VM3" s="24"/>
      <c r="VN3" s="24"/>
      <c r="VO3" s="24"/>
      <c r="VP3" s="24"/>
      <c r="VQ3" s="24"/>
      <c r="VR3" s="24"/>
      <c r="VS3" s="24"/>
      <c r="VT3" s="24"/>
      <c r="VU3" s="24"/>
      <c r="VV3" s="24"/>
      <c r="VW3" s="24"/>
      <c r="VX3" s="24"/>
      <c r="VY3" s="24"/>
      <c r="VZ3" s="24"/>
      <c r="WA3" s="24"/>
      <c r="WB3" s="24"/>
      <c r="WC3" s="24"/>
      <c r="WD3" s="24"/>
      <c r="WE3" s="24"/>
      <c r="WF3" s="24"/>
      <c r="WG3" s="24"/>
      <c r="WH3" s="24"/>
      <c r="WI3" s="24"/>
      <c r="WJ3" s="24"/>
      <c r="WK3" s="24"/>
      <c r="WL3" s="24"/>
      <c r="WM3" s="24"/>
      <c r="WN3" s="24"/>
      <c r="WO3" s="24"/>
      <c r="WP3" s="24"/>
      <c r="WQ3" s="24"/>
      <c r="WR3" s="24"/>
      <c r="WS3" s="24"/>
      <c r="WT3" s="24"/>
      <c r="WU3" s="24"/>
      <c r="WV3" s="24"/>
      <c r="WW3" s="24"/>
      <c r="WX3" s="24"/>
      <c r="WY3" s="24"/>
      <c r="WZ3" s="24"/>
      <c r="XA3" s="24"/>
      <c r="XB3" s="24"/>
      <c r="XC3" s="24"/>
      <c r="XD3" s="24"/>
      <c r="XE3" s="24"/>
      <c r="XF3" s="24"/>
      <c r="XG3" s="24"/>
      <c r="XH3" s="24"/>
      <c r="XI3" s="24"/>
      <c r="XJ3" s="24"/>
      <c r="XK3" s="24"/>
      <c r="XL3" s="24"/>
      <c r="XM3" s="24"/>
      <c r="XN3" s="24"/>
      <c r="XO3" s="24"/>
      <c r="XP3" s="24"/>
      <c r="XQ3" s="24"/>
      <c r="XR3" s="24"/>
      <c r="XS3" s="24"/>
      <c r="XT3" s="24"/>
      <c r="XU3" s="24"/>
      <c r="XV3" s="24"/>
      <c r="XW3" s="24"/>
      <c r="XX3" s="24"/>
      <c r="XY3" s="24"/>
      <c r="XZ3" s="24"/>
      <c r="YA3" s="24"/>
      <c r="YB3" s="24"/>
      <c r="YC3" s="24"/>
      <c r="YD3" s="24"/>
      <c r="YE3" s="24"/>
      <c r="YF3" s="24"/>
      <c r="YG3" s="24"/>
      <c r="YH3" s="24"/>
      <c r="YI3" s="24"/>
      <c r="YJ3" s="24"/>
      <c r="YK3" s="24"/>
      <c r="YL3" s="24"/>
      <c r="YM3" s="24"/>
      <c r="YN3" s="24"/>
      <c r="YO3" s="24"/>
      <c r="YP3" s="24"/>
      <c r="YQ3" s="24"/>
      <c r="YR3" s="24"/>
      <c r="YS3" s="24"/>
      <c r="YT3" s="24"/>
      <c r="YU3" s="24"/>
      <c r="YV3" s="24"/>
      <c r="YW3" s="24"/>
      <c r="YX3" s="24"/>
      <c r="YY3" s="24"/>
      <c r="YZ3" s="24"/>
      <c r="ZA3" s="24"/>
      <c r="ZB3" s="24"/>
      <c r="ZC3" s="24"/>
      <c r="ZD3" s="24"/>
      <c r="ZE3" s="24"/>
      <c r="ZF3" s="24"/>
      <c r="ZG3" s="24"/>
      <c r="ZH3" s="24"/>
      <c r="ZI3" s="24"/>
      <c r="ZJ3" s="24"/>
      <c r="ZK3" s="24"/>
      <c r="ZL3" s="24"/>
      <c r="ZM3" s="24"/>
      <c r="ZN3" s="24"/>
      <c r="ZO3" s="24"/>
      <c r="ZP3" s="24"/>
      <c r="ZQ3" s="24"/>
      <c r="ZR3" s="24"/>
      <c r="ZS3" s="24"/>
      <c r="ZT3" s="24"/>
      <c r="ZU3" s="24"/>
      <c r="ZV3" s="24"/>
      <c r="ZW3" s="24"/>
      <c r="ZX3" s="24"/>
      <c r="ZY3" s="24"/>
      <c r="ZZ3" s="24"/>
      <c r="AAA3" s="24"/>
      <c r="AAB3" s="24"/>
      <c r="AAC3" s="24"/>
      <c r="AAD3" s="24"/>
      <c r="AAE3" s="24"/>
      <c r="AAF3" s="24"/>
      <c r="AAG3" s="24"/>
      <c r="AAH3" s="24"/>
      <c r="AAI3" s="24"/>
      <c r="AAJ3" s="24"/>
      <c r="AAK3" s="24"/>
      <c r="AAL3" s="24"/>
      <c r="AAM3" s="24"/>
      <c r="AAN3" s="24"/>
      <c r="AAO3" s="24"/>
      <c r="AAP3" s="24"/>
      <c r="AAQ3" s="24"/>
      <c r="AAR3" s="24"/>
      <c r="AAS3" s="24"/>
      <c r="AAT3" s="24"/>
      <c r="AAU3" s="24"/>
      <c r="AAV3" s="24"/>
      <c r="AAW3" s="24"/>
      <c r="AAX3" s="24"/>
      <c r="AAY3" s="24"/>
      <c r="AAZ3" s="24"/>
      <c r="ABA3" s="24"/>
      <c r="ABB3" s="24"/>
      <c r="ABC3" s="24"/>
      <c r="ABD3" s="24"/>
      <c r="ABE3" s="24"/>
      <c r="ABF3" s="24"/>
      <c r="ABG3" s="24"/>
      <c r="ABH3" s="24"/>
      <c r="ABI3" s="24"/>
      <c r="ABJ3" s="24"/>
      <c r="ABK3" s="24"/>
      <c r="ABL3" s="24"/>
      <c r="ABM3" s="24"/>
      <c r="ABN3" s="24"/>
      <c r="ABO3" s="24"/>
      <c r="ABP3" s="24"/>
      <c r="ABQ3" s="24"/>
      <c r="ABR3" s="24"/>
      <c r="ABS3" s="24"/>
      <c r="ABT3" s="24"/>
      <c r="ABU3" s="24"/>
      <c r="ABV3" s="24"/>
      <c r="ABW3" s="24"/>
      <c r="ABX3" s="24"/>
      <c r="ABY3" s="24"/>
      <c r="ABZ3" s="24"/>
      <c r="ACA3" s="24"/>
      <c r="ACB3" s="24"/>
      <c r="ACC3" s="24"/>
      <c r="ACD3" s="24"/>
      <c r="ACE3" s="24"/>
      <c r="ACF3" s="24"/>
      <c r="ACG3" s="24"/>
      <c r="ACH3" s="24"/>
      <c r="ACI3" s="24"/>
      <c r="ACJ3" s="24"/>
      <c r="ACK3" s="24"/>
      <c r="ACL3" s="24"/>
      <c r="ACM3" s="24"/>
      <c r="ACN3" s="24"/>
      <c r="ACO3" s="24"/>
      <c r="ACP3" s="24"/>
      <c r="ACQ3" s="24"/>
      <c r="ACR3" s="24"/>
      <c r="ACS3" s="24"/>
      <c r="ACT3" s="24"/>
      <c r="ACU3" s="24"/>
      <c r="ACV3" s="24"/>
      <c r="ACW3" s="24"/>
      <c r="ACX3" s="24"/>
      <c r="ACY3" s="24"/>
      <c r="ACZ3" s="24"/>
      <c r="ADA3" s="24"/>
      <c r="ADB3" s="24"/>
      <c r="ADC3" s="24"/>
      <c r="ADD3" s="24"/>
      <c r="ADE3" s="24"/>
      <c r="ADF3" s="24"/>
      <c r="ADG3" s="24"/>
      <c r="ADH3" s="24"/>
      <c r="ADI3" s="24"/>
      <c r="ADJ3" s="24"/>
      <c r="ADK3" s="24"/>
      <c r="ADL3" s="24"/>
      <c r="ADM3" s="24"/>
      <c r="ADN3" s="24"/>
      <c r="ADO3" s="24"/>
      <c r="ADP3" s="24"/>
      <c r="ADQ3" s="24"/>
      <c r="ADR3" s="24"/>
      <c r="ADS3" s="24"/>
      <c r="ADT3" s="24"/>
      <c r="ADU3" s="24"/>
      <c r="ADV3" s="24"/>
      <c r="ADW3" s="24"/>
      <c r="ADX3" s="24"/>
      <c r="ADY3" s="24"/>
      <c r="ADZ3" s="24"/>
      <c r="AEA3" s="24"/>
      <c r="AEB3" s="24"/>
      <c r="AEC3" s="24"/>
      <c r="AED3" s="24"/>
      <c r="AEE3" s="24"/>
      <c r="AEF3" s="24"/>
      <c r="AEG3" s="24"/>
      <c r="AEH3" s="24"/>
      <c r="AEI3" s="24"/>
      <c r="AEJ3" s="24"/>
      <c r="AEK3" s="24"/>
      <c r="AEL3" s="24"/>
      <c r="AEM3" s="24"/>
      <c r="AEN3" s="24"/>
      <c r="AEO3" s="24"/>
      <c r="AEP3" s="24"/>
      <c r="AEQ3" s="24"/>
      <c r="AER3" s="24"/>
      <c r="AES3" s="24"/>
      <c r="AET3" s="24"/>
      <c r="AEU3" s="24"/>
      <c r="AEV3" s="24"/>
      <c r="AEW3" s="24"/>
      <c r="AEX3" s="24"/>
      <c r="AEY3" s="24"/>
      <c r="AEZ3" s="24"/>
      <c r="AFA3" s="24"/>
      <c r="AFB3" s="24"/>
      <c r="AFC3" s="24"/>
      <c r="AFD3" s="24"/>
      <c r="AFE3" s="24"/>
      <c r="AFF3" s="24"/>
      <c r="AFG3" s="24"/>
      <c r="AFH3" s="24"/>
      <c r="AFI3" s="24"/>
      <c r="AFJ3" s="24"/>
      <c r="AFK3" s="24"/>
      <c r="AFL3" s="24"/>
      <c r="AFM3" s="24"/>
      <c r="AFN3" s="24"/>
      <c r="AFO3" s="24"/>
      <c r="AFP3" s="24"/>
      <c r="AFQ3" s="24"/>
      <c r="AFR3" s="24"/>
      <c r="AFS3" s="24"/>
      <c r="AFT3" s="24"/>
      <c r="AFU3" s="24"/>
      <c r="AFV3" s="24"/>
      <c r="AFW3" s="24"/>
      <c r="AFX3" s="24"/>
      <c r="AFY3" s="24"/>
      <c r="AFZ3" s="24"/>
      <c r="AGA3" s="24"/>
      <c r="AGB3" s="24"/>
      <c r="AGC3" s="24"/>
      <c r="AGD3" s="24"/>
      <c r="AGE3" s="24"/>
      <c r="AGF3" s="24"/>
      <c r="AGG3" s="24"/>
      <c r="AGH3" s="24"/>
      <c r="AGI3" s="24"/>
      <c r="AGJ3" s="24"/>
      <c r="AGK3" s="24"/>
      <c r="AGL3" s="24"/>
      <c r="AGM3" s="24"/>
      <c r="AGN3" s="24"/>
      <c r="AGO3" s="24"/>
      <c r="AGP3" s="24"/>
      <c r="AGQ3" s="24"/>
      <c r="AGR3" s="24"/>
      <c r="AGS3" s="24"/>
      <c r="AGT3" s="24"/>
      <c r="AGU3" s="24"/>
      <c r="AGV3" s="24"/>
      <c r="AGW3" s="24"/>
      <c r="AGX3" s="24"/>
      <c r="AGY3" s="24"/>
      <c r="AGZ3" s="24"/>
      <c r="AHA3" s="24"/>
      <c r="AHB3" s="24"/>
      <c r="AHC3" s="24"/>
      <c r="AHD3" s="24"/>
      <c r="AHE3" s="24"/>
      <c r="AHF3" s="24"/>
      <c r="AHG3" s="24"/>
      <c r="AHH3" s="24"/>
      <c r="AHI3" s="24"/>
      <c r="AHJ3" s="24"/>
      <c r="AHK3" s="24"/>
      <c r="AHL3" s="24"/>
      <c r="AHM3" s="24"/>
      <c r="AHN3" s="24"/>
      <c r="AHO3" s="24"/>
      <c r="AHP3" s="24"/>
      <c r="AHQ3" s="24"/>
      <c r="AHR3" s="24"/>
      <c r="AHS3" s="24"/>
      <c r="AHT3" s="24"/>
      <c r="AHU3" s="24"/>
      <c r="AHV3" s="24"/>
      <c r="AHW3" s="24"/>
      <c r="AHX3" s="24"/>
      <c r="AHY3" s="24"/>
      <c r="AHZ3" s="24"/>
      <c r="AIA3" s="24"/>
      <c r="AIB3" s="24"/>
      <c r="AIC3" s="24"/>
      <c r="AID3" s="24"/>
      <c r="AIE3" s="24"/>
      <c r="AIF3" s="24"/>
      <c r="AIG3" s="24"/>
      <c r="AIH3" s="24"/>
      <c r="AII3" s="24"/>
      <c r="AIJ3" s="24"/>
      <c r="AIK3" s="24"/>
      <c r="AIL3" s="24"/>
      <c r="AIM3" s="24"/>
      <c r="AIN3" s="24"/>
      <c r="AIO3" s="24"/>
      <c r="AIP3" s="24"/>
      <c r="AIQ3" s="24"/>
      <c r="AIR3" s="24"/>
      <c r="AIS3" s="24"/>
      <c r="AIT3" s="24"/>
      <c r="AIU3" s="24"/>
      <c r="AIV3" s="24"/>
      <c r="AIW3" s="24"/>
      <c r="AIX3" s="24"/>
      <c r="AIY3" s="24"/>
      <c r="AIZ3" s="24"/>
      <c r="AJA3" s="24"/>
      <c r="AJB3" s="24"/>
      <c r="AJC3" s="24"/>
      <c r="AJD3" s="24"/>
      <c r="AJE3" s="24"/>
      <c r="AJF3" s="24"/>
      <c r="AJG3" s="24"/>
      <c r="AJH3" s="24"/>
      <c r="AJI3" s="24"/>
      <c r="AJJ3" s="24"/>
      <c r="AJK3" s="24"/>
      <c r="AJL3" s="24"/>
      <c r="AJM3" s="24"/>
      <c r="AJN3" s="24"/>
      <c r="AJO3" s="24"/>
      <c r="AJP3" s="24"/>
      <c r="AJQ3" s="24"/>
      <c r="AJR3" s="24"/>
      <c r="AJS3" s="24"/>
      <c r="AJT3" s="24"/>
      <c r="AJU3" s="24"/>
      <c r="AJV3" s="24"/>
      <c r="AJW3" s="24"/>
      <c r="AJX3" s="24"/>
      <c r="AJY3" s="24"/>
      <c r="AJZ3" s="24"/>
      <c r="AKA3" s="24"/>
      <c r="AKB3" s="24"/>
      <c r="AKC3" s="24"/>
      <c r="AKD3" s="24"/>
      <c r="AKE3" s="24"/>
      <c r="AKF3" s="24"/>
      <c r="AKG3" s="24"/>
      <c r="AKH3" s="24"/>
      <c r="AKI3" s="24"/>
      <c r="AKJ3" s="24"/>
      <c r="AKK3" s="24"/>
      <c r="AKL3" s="24"/>
      <c r="AKM3" s="24"/>
      <c r="AKN3" s="24"/>
      <c r="AKO3" s="24"/>
      <c r="AKP3" s="24"/>
      <c r="AKQ3" s="24"/>
      <c r="AKR3" s="24"/>
      <c r="AKS3" s="24"/>
      <c r="AKT3" s="24"/>
      <c r="AKU3" s="24"/>
      <c r="AKV3" s="24"/>
      <c r="AKW3" s="24"/>
      <c r="AKX3" s="24"/>
      <c r="AKY3" s="24"/>
      <c r="AKZ3" s="24"/>
      <c r="ALA3" s="24"/>
      <c r="ALB3" s="24"/>
      <c r="ALC3" s="24"/>
      <c r="ALD3" s="24"/>
      <c r="ALE3" s="24"/>
      <c r="ALF3" s="24"/>
      <c r="ALG3" s="24"/>
      <c r="ALH3" s="24"/>
      <c r="ALI3" s="24"/>
      <c r="ALJ3" s="24"/>
      <c r="ALK3" s="24"/>
      <c r="ALL3" s="24"/>
      <c r="ALM3" s="24"/>
      <c r="ALN3" s="24"/>
      <c r="ALO3" s="24"/>
      <c r="ALP3" s="24"/>
      <c r="ALQ3" s="24"/>
      <c r="ALR3" s="24"/>
      <c r="ALS3" s="24"/>
      <c r="ALT3" s="24"/>
      <c r="ALU3" s="24"/>
      <c r="ALV3" s="24"/>
      <c r="ALW3" s="24"/>
      <c r="ALX3" s="24"/>
      <c r="ALY3" s="24"/>
      <c r="ALZ3" s="24"/>
      <c r="AMA3" s="24"/>
      <c r="AMB3" s="24"/>
      <c r="AMC3" s="24"/>
      <c r="AMD3" s="24"/>
      <c r="AME3" s="24"/>
      <c r="AMF3" s="24"/>
      <c r="AMG3" s="24"/>
      <c r="AMH3" s="24"/>
      <c r="AMI3" s="24"/>
      <c r="AMJ3" s="24"/>
      <c r="AMK3" s="24"/>
      <c r="AML3" s="24"/>
    </row>
    <row r="4" ht="15.75" customHeight="1">
      <c r="A4" s="25"/>
      <c r="B4" s="25" t="str">
        <f>IFERROR(__xludf.DUMMYFUNCTION("IF(C3="""","""",Transpose(IMPORTRANGE('_Settings'!$B$3,C3&amp;""!A4:A1000"")))"),"FetchAccountPositions")</f>
        <v>FetchAccountPositions</v>
      </c>
      <c r="C4" s="25" t="str">
        <f>IFERROR(__xludf.DUMMYFUNCTION("""COMPUTED_VALUE"""),"AddCash")</f>
        <v>AddCash</v>
      </c>
      <c r="D4" s="25" t="str">
        <f>IFERROR(__xludf.DUMMYFUNCTION("""COMPUTED_VALUE"""),"VerifyGridData")</f>
        <v>VerifyGridData</v>
      </c>
      <c r="E4" s="25" t="str">
        <f>IFERROR(__xludf.DUMMYFUNCTION("""COMPUTED_VALUE"""),"RunRebalance")</f>
        <v>RunRebalance</v>
      </c>
      <c r="F4" s="25" t="str">
        <f>IFERROR(__xludf.DUMMYFUNCTION("""COMPUTED_VALUE"""),"EnableComplianceTab")</f>
        <v>EnableComplianceTab</v>
      </c>
      <c r="G4" s="25" t="str">
        <f>IFERROR(__xludf.DUMMYFUNCTION("""COMPUTED_VALUE"""),"RebalancePreference")</f>
        <v>RebalancePreference</v>
      </c>
      <c r="H4" s="25" t="str">
        <f>IFERROR(__xludf.DUMMYFUNCTION("""COMPUTED_VALUE"""),"ImportModelPortfolio")</f>
        <v>ImportModelPortfolio</v>
      </c>
      <c r="I4" s="25" t="str">
        <f>IFERROR(__xludf.DUMMYFUNCTION("""COMPUTED_VALUE"""),"RebalanceAcrossSecurities")</f>
        <v>RebalanceAcrossSecurities</v>
      </c>
      <c r="J4" s="25" t="str">
        <f>IFERROR(__xludf.DUMMYFUNCTION("""COMPUTED_VALUE"""),"CheckBasketCompliance")</f>
        <v>CheckBasketCompliance</v>
      </c>
      <c r="K4" s="25" t="str">
        <f>IFERROR(__xludf.DUMMYFUNCTION("""COMPUTED_VALUE"""),"ClearCalculations")</f>
        <v>ClearCalculations</v>
      </c>
      <c r="L4" s="25" t="str">
        <f>IFERROR(__xludf.DUMMYFUNCTION("""COMPUTED_VALUE"""),"ModifyRebalance")</f>
        <v>ModifyRebalance</v>
      </c>
      <c r="M4" s="25" t="str">
        <f>IFERROR(__xludf.DUMMYFUNCTION("""COMPUTED_VALUE"""),"ModelPortfolio")</f>
        <v>ModelPortfolio</v>
      </c>
      <c r="N4" s="25" t="str">
        <f>IFERROR(__xludf.DUMMYFUNCTION("""COMPUTED_VALUE"""),"LockandUnlockGridData")</f>
        <v>LockandUnlockGridData</v>
      </c>
      <c r="O4" s="25" t="str">
        <f>IFERROR(__xludf.DUMMYFUNCTION("""COMPUTED_VALUE"""),"RefreshGridData")</f>
        <v>RefreshGridData</v>
      </c>
      <c r="P4" s="26" t="str">
        <f>IFERROR(__xludf.DUMMYFUNCTION("""COMPUTED_VALUE"""),"SendtoStaging")</f>
        <v>SendtoStaging</v>
      </c>
      <c r="Q4" s="26" t="str">
        <f>IFERROR(__xludf.DUMMYFUNCTION("""COMPUTED_VALUE"""),"SendToStagingExport")</f>
        <v>SendToStagingExport</v>
      </c>
      <c r="R4" s="26" t="str">
        <f>IFERROR(__xludf.DUMMYFUNCTION("""COMPUTED_VALUE"""),"RebalanceViaBloomberg")</f>
        <v>RebalanceViaBloomberg</v>
      </c>
      <c r="S4" s="26" t="str">
        <f>IFERROR(__xludf.DUMMYFUNCTION("""COMPUTED_VALUE"""),"AddUserAdjustedNAV")</f>
        <v>AddUserAdjustedNAV</v>
      </c>
      <c r="T4" s="26" t="str">
        <f>IFERROR(__xludf.DUMMYFUNCTION("""COMPUTED_VALUE"""),"SymbologyChangeRB")</f>
        <v>SymbologyChangeRB</v>
      </c>
      <c r="U4" s="26" t="str">
        <f>IFERROR(__xludf.DUMMYFUNCTION("""COMPUTED_VALUE"""),"CloseRebalancer")</f>
        <v>CloseRebalancer</v>
      </c>
      <c r="V4" s="26" t="str">
        <f>IFERROR(__xludf.DUMMYFUNCTION("""COMPUTED_VALUE"""),"AddCustomCashUsingImport")</f>
        <v>AddCustomCashUsingImport</v>
      </c>
      <c r="W4" s="26" t="str">
        <f>IFERROR(__xludf.DUMMYFUNCTION("""COMPUTED_VALUE"""),"EditRebalanceGrid")</f>
        <v>EditRebalanceGrid</v>
      </c>
      <c r="X4" s="26" t="str">
        <f>IFERROR(__xludf.DUMMYFUNCTION("""COMPUTED_VALUE"""),"SaveTradeList")</f>
        <v>SaveTradeList</v>
      </c>
      <c r="Y4" s="26" t="str">
        <f>IFERROR(__xludf.DUMMYFUNCTION("""COMPUTED_VALUE"""),"NavImpactingComponent")</f>
        <v>NavImpactingComponent</v>
      </c>
      <c r="Z4" s="26" t="str">
        <f>IFERROR(__xludf.DUMMYFUNCTION("""COMPUTED_VALUE"""),"ImportUsingRebalAccrossSec")</f>
        <v>ImportUsingRebalAccrossSec</v>
      </c>
      <c r="AA4" s="26" t="str">
        <f>IFERROR(__xludf.DUMMYFUNCTION("""COMPUTED_VALUE"""),"EditImportStatus")</f>
        <v>EditImportStatus</v>
      </c>
      <c r="AB4" s="26" t="str">
        <f>IFERROR(__xludf.DUMMYFUNCTION("""COMPUTED_VALUE"""),"SelectActionsOnImportStatus")</f>
        <v>SelectActionsOnImportStatus</v>
      </c>
      <c r="AC4" s="26" t="str">
        <f>IFERROR(__xludf.DUMMYFUNCTION("""COMPUTED_VALUE"""),"VerifyImportStatus")</f>
        <v>VerifyImportStatus</v>
      </c>
      <c r="AD4" s="26" t="str">
        <f>IFERROR(__xludf.DUMMYFUNCTION("""COMPUTED_VALUE"""),"AddNewModelPortfolio")</f>
        <v>AddNewModelPortfolio</v>
      </c>
      <c r="AE4" s="26" t="str">
        <f>IFERROR(__xludf.DUMMYFUNCTION("""COMPUTED_VALUE"""),"VerifyBuySellList")</f>
        <v>VerifyBuySellList</v>
      </c>
      <c r="AF4" s="26" t="str">
        <f>IFERROR(__xludf.DUMMYFUNCTION("""COMPUTED_VALUE"""),"CreateOrViewModelPortfolio")</f>
        <v>CreateOrViewModelPortfolio</v>
      </c>
      <c r="AG4" s="26" t="str">
        <f>IFERROR(__xludf.DUMMYFUNCTION("""COMPUTED_VALUE"""),"VerifyModelPortfolio")</f>
        <v>VerifyModelPortfolio</v>
      </c>
      <c r="AH4" s="26" t="str">
        <f>IFERROR(__xludf.DUMMYFUNCTION("""COMPUTED_VALUE"""),"VerifyTradeListSummary")</f>
        <v>VerifyTradeListSummary</v>
      </c>
      <c r="AI4" s="26" t="str">
        <f>IFERROR(__xludf.DUMMYFUNCTION("""COMPUTED_VALUE"""),"ActionOnTBSListSummary")</f>
        <v>ActionOnTBSListSummary</v>
      </c>
      <c r="AJ4" s="26" t="str">
        <f>IFERROR(__xludf.DUMMYFUNCTION("""COMPUTED_VALUE"""),"VerifyTLOSideSummary")</f>
        <v>VerifyTLOSideSummary</v>
      </c>
      <c r="AK4" s="26" t="str">
        <f>IFERROR(__xludf.DUMMYFUNCTION("""COMPUTED_VALUE"""),"SelectAndVerifyTradeList")</f>
        <v>SelectAndVerifyTradeList</v>
      </c>
      <c r="AL4" s="26" t="str">
        <f>IFERROR(__xludf.DUMMYFUNCTION("""COMPUTED_VALUE"""),"ActionOnTradeBuySellListView")</f>
        <v>ActionOnTradeBuySellListView</v>
      </c>
      <c r="AM4" s="26" t="str">
        <f>IFERROR(__xludf.DUMMYFUNCTION("""COMPUTED_VALUE"""),"ImportOnRB")</f>
        <v>ImportOnRB</v>
      </c>
      <c r="AN4" s="26" t="str">
        <f>IFERROR(__xludf.DUMMYFUNCTION("""COMPUTED_VALUE"""),"VerifyImportGridRBForInvalidSec")</f>
        <v>VerifyImportGridRBForInvalidSec</v>
      </c>
      <c r="AO4" s="26" t="str">
        <f>IFERROR(__xludf.DUMMYFUNCTION("""COMPUTED_VALUE"""),"VerifyImportGridRBForValidSec")</f>
        <v>VerifyImportGridRBForValidSec</v>
      </c>
      <c r="AP4" s="26" t="str">
        <f>IFERROR(__xludf.DUMMYFUNCTION("""COMPUTED_VALUE"""),"ActionOnRSAImportGrid")</f>
        <v>ActionOnRSAImportGrid</v>
      </c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  <c r="FM4" s="26"/>
      <c r="FN4" s="26"/>
      <c r="FO4" s="26"/>
      <c r="FP4" s="26"/>
      <c r="FQ4" s="26"/>
      <c r="FR4" s="26"/>
      <c r="FS4" s="26"/>
      <c r="FT4" s="26"/>
      <c r="FU4" s="26"/>
      <c r="FV4" s="26"/>
      <c r="FW4" s="26"/>
      <c r="FX4" s="26"/>
      <c r="FY4" s="26"/>
      <c r="FZ4" s="26"/>
      <c r="GA4" s="26"/>
      <c r="GB4" s="26"/>
      <c r="GC4" s="26"/>
      <c r="GD4" s="26"/>
      <c r="GE4" s="26"/>
      <c r="GF4" s="26"/>
      <c r="GG4" s="26"/>
      <c r="GH4" s="26"/>
      <c r="GI4" s="26"/>
      <c r="GJ4" s="26"/>
      <c r="GK4" s="26"/>
      <c r="GL4" s="26"/>
      <c r="GM4" s="26"/>
      <c r="GN4" s="26"/>
      <c r="GO4" s="26"/>
      <c r="GP4" s="26"/>
      <c r="GQ4" s="26"/>
      <c r="GR4" s="26"/>
      <c r="GS4" s="26"/>
      <c r="GT4" s="26"/>
      <c r="GU4" s="26"/>
      <c r="GV4" s="26"/>
      <c r="GW4" s="26"/>
      <c r="GX4" s="26"/>
      <c r="GY4" s="26"/>
      <c r="GZ4" s="26"/>
      <c r="HA4" s="26"/>
      <c r="HB4" s="26"/>
      <c r="HC4" s="26"/>
      <c r="HD4" s="26"/>
      <c r="HE4" s="26"/>
      <c r="HF4" s="26"/>
      <c r="HG4" s="26"/>
      <c r="HH4" s="26"/>
      <c r="HI4" s="26"/>
      <c r="HJ4" s="26"/>
      <c r="HK4" s="26"/>
      <c r="HL4" s="26"/>
      <c r="HM4" s="26"/>
      <c r="HN4" s="26"/>
      <c r="HO4" s="26"/>
      <c r="HP4" s="26"/>
      <c r="HQ4" s="26"/>
      <c r="HR4" s="26"/>
      <c r="HS4" s="26"/>
      <c r="HT4" s="26"/>
      <c r="HU4" s="26"/>
      <c r="HV4" s="26"/>
      <c r="HW4" s="26"/>
      <c r="HX4" s="26"/>
      <c r="HY4" s="26"/>
      <c r="HZ4" s="26"/>
      <c r="IA4" s="26"/>
      <c r="IB4" s="26"/>
      <c r="IC4" s="26"/>
      <c r="ID4" s="26"/>
      <c r="IE4" s="26"/>
      <c r="IF4" s="26"/>
      <c r="IG4" s="26"/>
      <c r="IH4" s="26"/>
      <c r="II4" s="26"/>
      <c r="IJ4" s="26"/>
      <c r="IK4" s="26"/>
      <c r="IL4" s="26"/>
      <c r="IM4" s="26"/>
      <c r="IN4" s="26"/>
      <c r="IO4" s="26"/>
      <c r="IP4" s="26"/>
      <c r="IQ4" s="26"/>
      <c r="IR4" s="26"/>
      <c r="IS4" s="26"/>
      <c r="IT4" s="26"/>
      <c r="IU4" s="26"/>
      <c r="IV4" s="26"/>
      <c r="IW4" s="26"/>
      <c r="IX4" s="26"/>
      <c r="IY4" s="26"/>
      <c r="IZ4" s="26"/>
      <c r="JA4" s="26"/>
      <c r="JB4" s="26"/>
      <c r="JC4" s="26"/>
      <c r="JD4" s="26"/>
      <c r="JE4" s="26"/>
      <c r="JF4" s="26"/>
      <c r="JG4" s="26"/>
      <c r="JH4" s="26"/>
      <c r="JI4" s="26"/>
      <c r="JJ4" s="26"/>
      <c r="JK4" s="26"/>
      <c r="JL4" s="26"/>
      <c r="JM4" s="26"/>
      <c r="JN4" s="26"/>
      <c r="JO4" s="26"/>
      <c r="JP4" s="26"/>
      <c r="JQ4" s="26"/>
      <c r="JR4" s="26"/>
      <c r="JS4" s="26"/>
      <c r="JT4" s="26"/>
      <c r="JU4" s="26"/>
      <c r="JV4" s="26"/>
      <c r="JW4" s="26"/>
      <c r="JX4" s="26"/>
      <c r="JY4" s="26"/>
      <c r="JZ4" s="26"/>
      <c r="KA4" s="26"/>
      <c r="KB4" s="26"/>
      <c r="KC4" s="26"/>
      <c r="KD4" s="26"/>
      <c r="KE4" s="26"/>
      <c r="KF4" s="26"/>
      <c r="KG4" s="26"/>
      <c r="KH4" s="26"/>
      <c r="KI4" s="26"/>
      <c r="KJ4" s="26"/>
      <c r="KK4" s="26"/>
      <c r="KL4" s="26"/>
      <c r="KM4" s="26"/>
      <c r="KN4" s="26"/>
      <c r="KO4" s="26"/>
      <c r="KP4" s="26"/>
      <c r="KQ4" s="26"/>
      <c r="KR4" s="26"/>
      <c r="KS4" s="26"/>
      <c r="KT4" s="26"/>
      <c r="KU4" s="26"/>
      <c r="KV4" s="26"/>
      <c r="KW4" s="26"/>
      <c r="KX4" s="26"/>
      <c r="KY4" s="26"/>
      <c r="KZ4" s="26"/>
      <c r="LA4" s="26"/>
      <c r="LB4" s="26"/>
      <c r="LC4" s="26"/>
      <c r="LD4" s="26"/>
      <c r="LE4" s="26"/>
      <c r="LF4" s="26"/>
      <c r="LG4" s="26"/>
      <c r="LH4" s="26"/>
      <c r="LI4" s="26"/>
      <c r="LJ4" s="26"/>
      <c r="LK4" s="26"/>
      <c r="LL4" s="26"/>
      <c r="LM4" s="26"/>
      <c r="LN4" s="26"/>
      <c r="LO4" s="26"/>
      <c r="LP4" s="26"/>
      <c r="LQ4" s="26"/>
      <c r="LR4" s="26"/>
      <c r="LS4" s="26"/>
      <c r="LT4" s="26"/>
      <c r="LU4" s="26"/>
      <c r="LV4" s="26"/>
      <c r="LW4" s="26"/>
      <c r="LX4" s="26"/>
      <c r="LY4" s="26"/>
      <c r="LZ4" s="26"/>
      <c r="MA4" s="26"/>
      <c r="MB4" s="26"/>
      <c r="MC4" s="26"/>
      <c r="MD4" s="26"/>
      <c r="ME4" s="26"/>
      <c r="MF4" s="26"/>
      <c r="MG4" s="26"/>
      <c r="MH4" s="26"/>
      <c r="MI4" s="26"/>
      <c r="MJ4" s="26"/>
      <c r="MK4" s="26"/>
      <c r="ML4" s="26"/>
      <c r="MM4" s="26"/>
      <c r="MN4" s="26"/>
      <c r="MO4" s="26"/>
      <c r="MP4" s="26"/>
      <c r="MQ4" s="26"/>
      <c r="MR4" s="26"/>
      <c r="MS4" s="26"/>
      <c r="MT4" s="26"/>
      <c r="MU4" s="26"/>
      <c r="MV4" s="26"/>
      <c r="MW4" s="26"/>
      <c r="MX4" s="26"/>
      <c r="MY4" s="26"/>
      <c r="MZ4" s="26"/>
      <c r="NA4" s="26"/>
      <c r="NB4" s="26"/>
      <c r="NC4" s="26"/>
      <c r="ND4" s="26"/>
      <c r="NE4" s="26"/>
      <c r="NF4" s="26"/>
      <c r="NG4" s="26"/>
      <c r="NH4" s="26"/>
      <c r="NI4" s="26"/>
      <c r="NJ4" s="26"/>
      <c r="NK4" s="26"/>
      <c r="NL4" s="26"/>
      <c r="NM4" s="26"/>
      <c r="NN4" s="26"/>
      <c r="NO4" s="26"/>
      <c r="NP4" s="26"/>
      <c r="NQ4" s="26"/>
      <c r="NR4" s="26"/>
      <c r="NS4" s="26"/>
      <c r="NT4" s="26"/>
      <c r="NU4" s="26"/>
      <c r="NV4" s="26"/>
      <c r="NW4" s="26"/>
      <c r="NX4" s="26"/>
      <c r="NY4" s="26"/>
      <c r="NZ4" s="26"/>
      <c r="OA4" s="26"/>
      <c r="OB4" s="26"/>
      <c r="OC4" s="26"/>
      <c r="OD4" s="26"/>
      <c r="OE4" s="26"/>
      <c r="OF4" s="26"/>
      <c r="OG4" s="26"/>
      <c r="OH4" s="26"/>
      <c r="OI4" s="26"/>
      <c r="OJ4" s="26"/>
      <c r="OK4" s="26"/>
      <c r="OL4" s="26"/>
      <c r="OM4" s="26"/>
      <c r="ON4" s="26"/>
      <c r="OO4" s="26"/>
      <c r="OP4" s="26"/>
      <c r="OQ4" s="26"/>
      <c r="OR4" s="26"/>
      <c r="OS4" s="26"/>
      <c r="OT4" s="26"/>
      <c r="OU4" s="26"/>
      <c r="OV4" s="26"/>
      <c r="OW4" s="26"/>
      <c r="OX4" s="26"/>
      <c r="OY4" s="26"/>
      <c r="OZ4" s="26"/>
      <c r="PA4" s="26"/>
      <c r="PB4" s="26"/>
      <c r="PC4" s="26"/>
      <c r="PD4" s="26"/>
      <c r="PE4" s="26"/>
      <c r="PF4" s="26"/>
      <c r="PG4" s="26"/>
      <c r="PH4" s="26"/>
      <c r="PI4" s="26"/>
      <c r="PJ4" s="26"/>
      <c r="PK4" s="26"/>
      <c r="PL4" s="26"/>
      <c r="PM4" s="26"/>
      <c r="PN4" s="26"/>
      <c r="PO4" s="26"/>
      <c r="PP4" s="26"/>
      <c r="PQ4" s="26"/>
      <c r="PR4" s="26"/>
      <c r="PS4" s="26"/>
      <c r="PT4" s="26"/>
      <c r="PU4" s="26"/>
      <c r="PV4" s="26"/>
      <c r="PW4" s="26"/>
      <c r="PX4" s="26"/>
      <c r="PY4" s="26"/>
      <c r="PZ4" s="26"/>
      <c r="QA4" s="26"/>
      <c r="QB4" s="26"/>
      <c r="QC4" s="26"/>
      <c r="QD4" s="26"/>
      <c r="QE4" s="26"/>
      <c r="QF4" s="26"/>
      <c r="QG4" s="26"/>
      <c r="QH4" s="26"/>
      <c r="QI4" s="26"/>
      <c r="QJ4" s="26"/>
      <c r="QK4" s="26"/>
      <c r="QL4" s="26"/>
      <c r="QM4" s="26"/>
      <c r="QN4" s="26"/>
      <c r="QO4" s="26"/>
      <c r="QP4" s="26"/>
      <c r="QQ4" s="26"/>
      <c r="QR4" s="26"/>
      <c r="QS4" s="26"/>
      <c r="QT4" s="26"/>
      <c r="QU4" s="26"/>
      <c r="QV4" s="26"/>
      <c r="QW4" s="26"/>
      <c r="QX4" s="26"/>
      <c r="QY4" s="26"/>
      <c r="QZ4" s="26"/>
      <c r="RA4" s="26"/>
      <c r="RB4" s="26"/>
      <c r="RC4" s="26"/>
      <c r="RD4" s="26"/>
      <c r="RE4" s="26"/>
      <c r="RF4" s="26"/>
      <c r="RG4" s="26"/>
      <c r="RH4" s="26"/>
      <c r="RI4" s="26"/>
      <c r="RJ4" s="26"/>
      <c r="RK4" s="26"/>
      <c r="RL4" s="26"/>
      <c r="RM4" s="26"/>
      <c r="RN4" s="26"/>
      <c r="RO4" s="26"/>
      <c r="RP4" s="26"/>
      <c r="RQ4" s="26"/>
      <c r="RR4" s="26"/>
      <c r="RS4" s="26"/>
      <c r="RT4" s="26"/>
      <c r="RU4" s="26"/>
      <c r="RV4" s="26"/>
      <c r="RW4" s="26"/>
      <c r="RX4" s="26"/>
      <c r="RY4" s="26"/>
      <c r="RZ4" s="26"/>
      <c r="SA4" s="26"/>
      <c r="SB4" s="26"/>
      <c r="SC4" s="26"/>
      <c r="SD4" s="26"/>
      <c r="SE4" s="26"/>
      <c r="SF4" s="26"/>
      <c r="SG4" s="26"/>
      <c r="SH4" s="26"/>
      <c r="SI4" s="26"/>
      <c r="SJ4" s="26"/>
      <c r="SK4" s="26"/>
      <c r="SL4" s="26"/>
      <c r="SM4" s="26"/>
      <c r="SN4" s="26"/>
      <c r="SO4" s="26"/>
      <c r="SP4" s="26"/>
      <c r="SQ4" s="26"/>
      <c r="SR4" s="26"/>
      <c r="SS4" s="26"/>
      <c r="ST4" s="26"/>
      <c r="SU4" s="26"/>
      <c r="SV4" s="26"/>
      <c r="SW4" s="26"/>
      <c r="SX4" s="26"/>
      <c r="SY4" s="26"/>
      <c r="SZ4" s="26"/>
      <c r="TA4" s="26"/>
      <c r="TB4" s="26"/>
      <c r="TC4" s="26"/>
      <c r="TD4" s="26"/>
      <c r="TE4" s="26"/>
      <c r="TF4" s="26"/>
      <c r="TG4" s="26"/>
      <c r="TH4" s="26"/>
      <c r="TI4" s="26"/>
      <c r="TJ4" s="26"/>
      <c r="TK4" s="26"/>
      <c r="TL4" s="26"/>
      <c r="TM4" s="26"/>
      <c r="TN4" s="26"/>
      <c r="TO4" s="26"/>
      <c r="TP4" s="26"/>
      <c r="TQ4" s="26"/>
      <c r="TR4" s="26"/>
      <c r="TS4" s="26"/>
      <c r="TT4" s="26"/>
      <c r="TU4" s="26"/>
      <c r="TV4" s="26"/>
      <c r="TW4" s="26"/>
      <c r="TX4" s="26"/>
      <c r="TY4" s="26"/>
      <c r="TZ4" s="26"/>
      <c r="UA4" s="26"/>
      <c r="UB4" s="26"/>
      <c r="UC4" s="26"/>
      <c r="UD4" s="26"/>
      <c r="UE4" s="26"/>
      <c r="UF4" s="26"/>
      <c r="UG4" s="26"/>
      <c r="UH4" s="26"/>
      <c r="UI4" s="26"/>
      <c r="UJ4" s="26"/>
      <c r="UK4" s="26"/>
      <c r="UL4" s="26"/>
      <c r="UM4" s="26"/>
      <c r="UN4" s="26"/>
      <c r="UO4" s="26"/>
      <c r="UP4" s="26"/>
      <c r="UQ4" s="26"/>
      <c r="UR4" s="26"/>
      <c r="US4" s="26"/>
      <c r="UT4" s="26"/>
      <c r="UU4" s="26"/>
      <c r="UV4" s="26"/>
      <c r="UW4" s="26"/>
      <c r="UX4" s="26"/>
      <c r="UY4" s="26"/>
      <c r="UZ4" s="26"/>
      <c r="VA4" s="26"/>
      <c r="VB4" s="26"/>
      <c r="VC4" s="26"/>
      <c r="VD4" s="26"/>
      <c r="VE4" s="26"/>
      <c r="VF4" s="26"/>
      <c r="VG4" s="26"/>
      <c r="VH4" s="26"/>
      <c r="VI4" s="26"/>
      <c r="VJ4" s="26"/>
      <c r="VK4" s="26"/>
      <c r="VL4" s="26"/>
      <c r="VM4" s="26"/>
      <c r="VN4" s="26"/>
      <c r="VO4" s="26"/>
      <c r="VP4" s="26"/>
      <c r="VQ4" s="26"/>
      <c r="VR4" s="26"/>
      <c r="VS4" s="26"/>
      <c r="VT4" s="26"/>
      <c r="VU4" s="26"/>
      <c r="VV4" s="26"/>
      <c r="VW4" s="26"/>
      <c r="VX4" s="26"/>
      <c r="VY4" s="26"/>
      <c r="VZ4" s="26"/>
      <c r="WA4" s="26"/>
      <c r="WB4" s="26"/>
      <c r="WC4" s="26"/>
      <c r="WD4" s="26"/>
      <c r="WE4" s="26"/>
      <c r="WF4" s="26"/>
      <c r="WG4" s="26"/>
      <c r="WH4" s="26"/>
      <c r="WI4" s="26"/>
      <c r="WJ4" s="26"/>
      <c r="WK4" s="26"/>
      <c r="WL4" s="26"/>
      <c r="WM4" s="26"/>
      <c r="WN4" s="26"/>
      <c r="WO4" s="26"/>
      <c r="WP4" s="26"/>
      <c r="WQ4" s="26"/>
      <c r="WR4" s="26"/>
      <c r="WS4" s="26"/>
      <c r="WT4" s="26"/>
      <c r="WU4" s="26"/>
      <c r="WV4" s="26"/>
      <c r="WW4" s="26"/>
      <c r="WX4" s="26"/>
      <c r="WY4" s="26"/>
      <c r="WZ4" s="26"/>
      <c r="XA4" s="26"/>
      <c r="XB4" s="26"/>
      <c r="XC4" s="26"/>
      <c r="XD4" s="26"/>
      <c r="XE4" s="26"/>
      <c r="XF4" s="26"/>
      <c r="XG4" s="26"/>
      <c r="XH4" s="26"/>
      <c r="XI4" s="26"/>
      <c r="XJ4" s="26"/>
      <c r="XK4" s="26"/>
      <c r="XL4" s="26"/>
      <c r="XM4" s="26"/>
      <c r="XN4" s="26"/>
      <c r="XO4" s="26"/>
      <c r="XP4" s="26"/>
      <c r="XQ4" s="26"/>
      <c r="XR4" s="26"/>
      <c r="XS4" s="26"/>
      <c r="XT4" s="26"/>
      <c r="XU4" s="26"/>
      <c r="XV4" s="26"/>
      <c r="XW4" s="26"/>
      <c r="XX4" s="26"/>
      <c r="XY4" s="26"/>
      <c r="XZ4" s="26"/>
      <c r="YA4" s="26"/>
      <c r="YB4" s="26"/>
      <c r="YC4" s="26"/>
      <c r="YD4" s="26"/>
      <c r="YE4" s="26"/>
      <c r="YF4" s="26"/>
      <c r="YG4" s="26"/>
      <c r="YH4" s="26"/>
      <c r="YI4" s="26"/>
      <c r="YJ4" s="26"/>
      <c r="YK4" s="26"/>
      <c r="YL4" s="26"/>
      <c r="YM4" s="26"/>
      <c r="YN4" s="26"/>
      <c r="YO4" s="26"/>
      <c r="YP4" s="26"/>
      <c r="YQ4" s="26"/>
      <c r="YR4" s="26"/>
      <c r="YS4" s="26"/>
      <c r="YT4" s="26"/>
      <c r="YU4" s="26"/>
      <c r="YV4" s="26"/>
      <c r="YW4" s="26"/>
      <c r="YX4" s="26"/>
      <c r="YY4" s="26"/>
      <c r="YZ4" s="26"/>
      <c r="ZA4" s="26"/>
      <c r="ZB4" s="26"/>
      <c r="ZC4" s="26"/>
      <c r="ZD4" s="26"/>
      <c r="ZE4" s="26"/>
      <c r="ZF4" s="26"/>
      <c r="ZG4" s="26"/>
      <c r="ZH4" s="26"/>
      <c r="ZI4" s="26"/>
      <c r="ZJ4" s="26"/>
      <c r="ZK4" s="26"/>
      <c r="ZL4" s="26"/>
      <c r="ZM4" s="26"/>
      <c r="ZN4" s="26"/>
      <c r="ZO4" s="26"/>
      <c r="ZP4" s="26"/>
      <c r="ZQ4" s="26"/>
      <c r="ZR4" s="26"/>
      <c r="ZS4" s="26"/>
      <c r="ZT4" s="26"/>
      <c r="ZU4" s="26"/>
      <c r="ZV4" s="26"/>
      <c r="ZW4" s="26"/>
      <c r="ZX4" s="26"/>
      <c r="ZY4" s="26"/>
      <c r="ZZ4" s="26"/>
      <c r="AAA4" s="26"/>
      <c r="AAB4" s="26"/>
      <c r="AAC4" s="26"/>
      <c r="AAD4" s="26"/>
      <c r="AAE4" s="26"/>
      <c r="AAF4" s="26"/>
      <c r="AAG4" s="26"/>
      <c r="AAH4" s="26"/>
      <c r="AAI4" s="26"/>
      <c r="AAJ4" s="26"/>
      <c r="AAK4" s="26"/>
      <c r="AAL4" s="26"/>
      <c r="AAM4" s="26"/>
      <c r="AAN4" s="26"/>
      <c r="AAO4" s="26"/>
      <c r="AAP4" s="26"/>
      <c r="AAQ4" s="26"/>
      <c r="AAR4" s="26"/>
      <c r="AAS4" s="26"/>
      <c r="AAT4" s="26"/>
      <c r="AAU4" s="26"/>
      <c r="AAV4" s="26"/>
      <c r="AAW4" s="26"/>
      <c r="AAX4" s="26"/>
      <c r="AAY4" s="26"/>
      <c r="AAZ4" s="26"/>
      <c r="ABA4" s="26"/>
      <c r="ABB4" s="26"/>
      <c r="ABC4" s="26"/>
      <c r="ABD4" s="26"/>
      <c r="ABE4" s="26"/>
      <c r="ABF4" s="26"/>
      <c r="ABG4" s="26"/>
      <c r="ABH4" s="26"/>
      <c r="ABI4" s="26"/>
      <c r="ABJ4" s="26"/>
      <c r="ABK4" s="26"/>
      <c r="ABL4" s="26"/>
      <c r="ABM4" s="26"/>
      <c r="ABN4" s="26"/>
      <c r="ABO4" s="26"/>
      <c r="ABP4" s="26"/>
      <c r="ABQ4" s="26"/>
      <c r="ABR4" s="26"/>
      <c r="ABS4" s="26"/>
      <c r="ABT4" s="26"/>
      <c r="ABU4" s="26"/>
      <c r="ABV4" s="26"/>
      <c r="ABW4" s="26"/>
      <c r="ABX4" s="26"/>
      <c r="ABY4" s="26"/>
      <c r="ABZ4" s="26"/>
      <c r="ACA4" s="26"/>
      <c r="ACB4" s="26"/>
      <c r="ACC4" s="26"/>
      <c r="ACD4" s="26"/>
      <c r="ACE4" s="26"/>
      <c r="ACF4" s="26"/>
      <c r="ACG4" s="26"/>
      <c r="ACH4" s="26"/>
      <c r="ACI4" s="26"/>
      <c r="ACJ4" s="26"/>
      <c r="ACK4" s="26"/>
      <c r="ACL4" s="26"/>
      <c r="ACM4" s="26"/>
      <c r="ACN4" s="26"/>
      <c r="ACO4" s="26"/>
      <c r="ACP4" s="26"/>
      <c r="ACQ4" s="26"/>
      <c r="ACR4" s="26"/>
      <c r="ACS4" s="26"/>
      <c r="ACT4" s="26"/>
      <c r="ACU4" s="26"/>
      <c r="ACV4" s="26"/>
      <c r="ACW4" s="26"/>
      <c r="ACX4" s="26"/>
      <c r="ACY4" s="26"/>
      <c r="ACZ4" s="26"/>
      <c r="ADA4" s="26"/>
      <c r="ADB4" s="26"/>
      <c r="ADC4" s="26"/>
      <c r="ADD4" s="26"/>
      <c r="ADE4" s="26"/>
      <c r="ADF4" s="26"/>
      <c r="ADG4" s="26"/>
      <c r="ADH4" s="26"/>
      <c r="ADI4" s="26"/>
      <c r="ADJ4" s="26"/>
      <c r="ADK4" s="26"/>
      <c r="ADL4" s="26"/>
      <c r="ADM4" s="26"/>
      <c r="ADN4" s="26"/>
      <c r="ADO4" s="26"/>
      <c r="ADP4" s="26"/>
      <c r="ADQ4" s="26"/>
      <c r="ADR4" s="26"/>
      <c r="ADS4" s="26"/>
      <c r="ADT4" s="26"/>
      <c r="ADU4" s="26"/>
      <c r="ADV4" s="26"/>
      <c r="ADW4" s="26"/>
      <c r="ADX4" s="26"/>
      <c r="ADY4" s="26"/>
      <c r="ADZ4" s="26"/>
      <c r="AEA4" s="26"/>
      <c r="AEB4" s="26"/>
      <c r="AEC4" s="26"/>
      <c r="AED4" s="26"/>
      <c r="AEE4" s="26"/>
      <c r="AEF4" s="26"/>
      <c r="AEG4" s="26"/>
      <c r="AEH4" s="26"/>
      <c r="AEI4" s="26"/>
      <c r="AEJ4" s="26"/>
      <c r="AEK4" s="26"/>
      <c r="AEL4" s="26"/>
      <c r="AEM4" s="26"/>
      <c r="AEN4" s="26"/>
      <c r="AEO4" s="26"/>
      <c r="AEP4" s="26"/>
      <c r="AEQ4" s="26"/>
      <c r="AER4" s="26"/>
      <c r="AES4" s="26"/>
      <c r="AET4" s="26"/>
      <c r="AEU4" s="26"/>
      <c r="AEV4" s="26"/>
      <c r="AEW4" s="26"/>
      <c r="AEX4" s="26"/>
      <c r="AEY4" s="26"/>
      <c r="AEZ4" s="26"/>
      <c r="AFA4" s="26"/>
      <c r="AFB4" s="26"/>
      <c r="AFC4" s="26"/>
      <c r="AFD4" s="26"/>
      <c r="AFE4" s="26"/>
      <c r="AFF4" s="26"/>
      <c r="AFG4" s="26"/>
      <c r="AFH4" s="26"/>
      <c r="AFI4" s="26"/>
      <c r="AFJ4" s="26"/>
      <c r="AFK4" s="26"/>
      <c r="AFL4" s="26"/>
      <c r="AFM4" s="26"/>
      <c r="AFN4" s="26"/>
      <c r="AFO4" s="26"/>
      <c r="AFP4" s="26"/>
      <c r="AFQ4" s="26"/>
      <c r="AFR4" s="26"/>
      <c r="AFS4" s="26"/>
      <c r="AFT4" s="26"/>
      <c r="AFU4" s="26"/>
      <c r="AFV4" s="26"/>
      <c r="AFW4" s="26"/>
      <c r="AFX4" s="26"/>
      <c r="AFY4" s="26"/>
      <c r="AFZ4" s="26"/>
      <c r="AGA4" s="26"/>
      <c r="AGB4" s="26"/>
      <c r="AGC4" s="26"/>
      <c r="AGD4" s="26"/>
      <c r="AGE4" s="26"/>
      <c r="AGF4" s="26"/>
      <c r="AGG4" s="26"/>
      <c r="AGH4" s="26"/>
      <c r="AGI4" s="26"/>
      <c r="AGJ4" s="26"/>
      <c r="AGK4" s="26"/>
      <c r="AGL4" s="26"/>
      <c r="AGM4" s="26"/>
      <c r="AGN4" s="26"/>
      <c r="AGO4" s="26"/>
      <c r="AGP4" s="26"/>
      <c r="AGQ4" s="26"/>
      <c r="AGR4" s="26"/>
      <c r="AGS4" s="26"/>
      <c r="AGT4" s="26"/>
      <c r="AGU4" s="26"/>
      <c r="AGV4" s="26"/>
      <c r="AGW4" s="26"/>
      <c r="AGX4" s="26"/>
      <c r="AGY4" s="26"/>
      <c r="AGZ4" s="26"/>
      <c r="AHA4" s="26"/>
      <c r="AHB4" s="26"/>
      <c r="AHC4" s="26"/>
      <c r="AHD4" s="26"/>
      <c r="AHE4" s="26"/>
      <c r="AHF4" s="26"/>
      <c r="AHG4" s="26"/>
      <c r="AHH4" s="26"/>
      <c r="AHI4" s="26"/>
      <c r="AHJ4" s="26"/>
      <c r="AHK4" s="26"/>
      <c r="AHL4" s="26"/>
      <c r="AHM4" s="26"/>
      <c r="AHN4" s="26"/>
      <c r="AHO4" s="26"/>
      <c r="AHP4" s="26"/>
      <c r="AHQ4" s="26"/>
      <c r="AHR4" s="26"/>
      <c r="AHS4" s="26"/>
      <c r="AHT4" s="26"/>
      <c r="AHU4" s="26"/>
      <c r="AHV4" s="26"/>
      <c r="AHW4" s="26"/>
      <c r="AHX4" s="26"/>
      <c r="AHY4" s="26"/>
      <c r="AHZ4" s="26"/>
      <c r="AIA4" s="26"/>
      <c r="AIB4" s="26"/>
      <c r="AIC4" s="26"/>
      <c r="AID4" s="26"/>
      <c r="AIE4" s="26"/>
      <c r="AIF4" s="26"/>
      <c r="AIG4" s="26"/>
      <c r="AIH4" s="26"/>
      <c r="AII4" s="26"/>
      <c r="AIJ4" s="26"/>
      <c r="AIK4" s="26"/>
      <c r="AIL4" s="26"/>
      <c r="AIM4" s="26"/>
      <c r="AIN4" s="26"/>
      <c r="AIO4" s="26"/>
      <c r="AIP4" s="26"/>
      <c r="AIQ4" s="26"/>
      <c r="AIR4" s="26"/>
      <c r="AIS4" s="26"/>
      <c r="AIT4" s="26"/>
      <c r="AIU4" s="26"/>
      <c r="AIV4" s="26"/>
      <c r="AIW4" s="26"/>
      <c r="AIX4" s="26"/>
      <c r="AIY4" s="26"/>
      <c r="AIZ4" s="26"/>
      <c r="AJA4" s="26"/>
      <c r="AJB4" s="26"/>
      <c r="AJC4" s="26"/>
      <c r="AJD4" s="26"/>
      <c r="AJE4" s="26"/>
      <c r="AJF4" s="26"/>
      <c r="AJG4" s="26"/>
      <c r="AJH4" s="26"/>
      <c r="AJI4" s="26"/>
      <c r="AJJ4" s="26"/>
      <c r="AJK4" s="26"/>
      <c r="AJL4" s="26"/>
      <c r="AJM4" s="26"/>
      <c r="AJN4" s="26"/>
      <c r="AJO4" s="26"/>
      <c r="AJP4" s="26"/>
      <c r="AJQ4" s="26"/>
      <c r="AJR4" s="26"/>
      <c r="AJS4" s="26"/>
      <c r="AJT4" s="26"/>
      <c r="AJU4" s="26"/>
      <c r="AJV4" s="26"/>
      <c r="AJW4" s="26"/>
      <c r="AJX4" s="26"/>
      <c r="AJY4" s="26"/>
      <c r="AJZ4" s="26"/>
      <c r="AKA4" s="26"/>
      <c r="AKB4" s="26"/>
      <c r="AKC4" s="26"/>
      <c r="AKD4" s="26"/>
      <c r="AKE4" s="26"/>
      <c r="AKF4" s="26"/>
      <c r="AKG4" s="26"/>
      <c r="AKH4" s="26"/>
      <c r="AKI4" s="26"/>
      <c r="AKJ4" s="26"/>
      <c r="AKK4" s="26"/>
      <c r="AKL4" s="26"/>
      <c r="AKM4" s="26"/>
      <c r="AKN4" s="26"/>
      <c r="AKO4" s="26"/>
      <c r="AKP4" s="26"/>
      <c r="AKQ4" s="26"/>
      <c r="AKR4" s="26"/>
      <c r="AKS4" s="26"/>
      <c r="AKT4" s="26"/>
      <c r="AKU4" s="26"/>
      <c r="AKV4" s="26"/>
      <c r="AKW4" s="26"/>
      <c r="AKX4" s="26"/>
      <c r="AKY4" s="26"/>
      <c r="AKZ4" s="26"/>
      <c r="ALA4" s="26"/>
      <c r="ALB4" s="26"/>
      <c r="ALC4" s="26"/>
      <c r="ALD4" s="26"/>
      <c r="ALE4" s="26"/>
      <c r="ALF4" s="26"/>
      <c r="ALG4" s="26"/>
      <c r="ALH4" s="26"/>
      <c r="ALI4" s="26"/>
      <c r="ALJ4" s="26"/>
      <c r="ALK4" s="26"/>
      <c r="ALL4" s="26"/>
      <c r="ALM4" s="26"/>
      <c r="ALN4" s="26"/>
      <c r="ALO4" s="26"/>
      <c r="ALP4" s="26"/>
      <c r="ALQ4" s="26"/>
      <c r="ALR4" s="26"/>
      <c r="ALS4" s="26"/>
      <c r="ALT4" s="26"/>
      <c r="ALU4" s="26"/>
      <c r="ALV4" s="26"/>
      <c r="ALW4" s="26"/>
      <c r="ALX4" s="26"/>
      <c r="ALY4" s="26"/>
      <c r="ALZ4" s="26"/>
      <c r="AMA4" s="26"/>
      <c r="AMB4" s="26"/>
      <c r="AMC4" s="26"/>
      <c r="AMD4" s="26"/>
      <c r="AME4" s="26"/>
      <c r="AMF4" s="26"/>
      <c r="AMG4" s="26"/>
      <c r="AMH4" s="26"/>
      <c r="AMI4" s="26"/>
      <c r="AMJ4" s="26"/>
      <c r="AMK4" s="26"/>
      <c r="AML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IFERROR(__xludf.DUMMYFUNCTION("""COMPUTED_VALUE"""),"Lock/Unlock")</f>
        <v>Lock/Unlock</v>
      </c>
      <c r="C5" s="28" t="str">
        <f>IFERROR(__xludf.DUMMYFUNCTION("""COMPUTED_VALUE"""),"Account")</f>
        <v>Account</v>
      </c>
      <c r="D5" s="28" t="str">
        <f>IFERROR(__xludf.DUMMYFUNCTION("""COMPUTED_VALUE"""),"Symbol")</f>
        <v>Symbol</v>
      </c>
      <c r="E5" s="28" t="str">
        <f>IFERROR(__xludf.DUMMYFUNCTION("""COMPUTED_VALUE"""),"Asset")</f>
        <v>Asset</v>
      </c>
      <c r="F5" s="29" t="str">
        <f>IFERROR(__xludf.DUMMYFUNCTION("""COMPUTED_VALUE"""),"Side")</f>
        <v>Side</v>
      </c>
      <c r="G5" s="28" t="str">
        <f>IFERROR(__xludf.DUMMYFUNCTION("""COMPUTED_VALUE"""),"Price (Local)")</f>
        <v>Price (Local)</v>
      </c>
      <c r="H5" s="28" t="str">
        <f>IFERROR(__xludf.DUMMYFUNCTION("""COMPUTED_VALUE"""),"Price (Base)")</f>
        <v>Price (Base)</v>
      </c>
      <c r="I5" s="28" t="str">
        <f>IFERROR(__xludf.DUMMYFUNCTION("""COMPUTED_VALUE"""),"FX Rate")</f>
        <v>FX Rate</v>
      </c>
      <c r="J5" s="28" t="str">
        <f>IFERROR(__xludf.DUMMYFUNCTION("""COMPUTED_VALUE"""),"Current %")</f>
        <v>Current %</v>
      </c>
      <c r="K5" s="28" t="str">
        <f>IFERROR(__xludf.DUMMYFUNCTION("""COMPUTED_VALUE"""),"Current Position")</f>
        <v>Current Position</v>
      </c>
      <c r="L5" s="28" t="str">
        <f>IFERROR(__xludf.DUMMYFUNCTION("""COMPUTED_VALUE"""),"Current Market Value (Local)")</f>
        <v>Current Market Value (Local)</v>
      </c>
      <c r="M5" s="28" t="str">
        <f>IFERROR(__xludf.DUMMYFUNCTION("""COMPUTED_VALUE"""),"Current Market Value")</f>
        <v>Current Market Value</v>
      </c>
      <c r="N5" s="28" t="str">
        <f>IFERROR(__xludf.DUMMYFUNCTION("""COMPUTED_VALUE"""),"Target %")</f>
        <v>Target %</v>
      </c>
      <c r="O5" s="28" t="str">
        <f>IFERROR(__xludf.DUMMYFUNCTION("""COMPUTED_VALUE"""),"Target Position")</f>
        <v>Target Position</v>
      </c>
      <c r="P5" s="28" t="str">
        <f>IFERROR(__xludf.DUMMYFUNCTION("""COMPUTED_VALUE"""),"Target Market Value (Local)")</f>
        <v>Target Market Value (Local)</v>
      </c>
      <c r="Q5" s="28" t="str">
        <f>IFERROR(__xludf.DUMMYFUNCTION("""COMPUTED_VALUE"""),"Target Market Value")</f>
        <v>Target Market Value</v>
      </c>
      <c r="R5" s="28" t="str">
        <f>IFERROR(__xludf.DUMMYFUNCTION("""COMPUTED_VALUE"""),"Buy/Sell Qty")</f>
        <v>Buy/Sell Qty</v>
      </c>
      <c r="S5" s="28" t="str">
        <f>IFERROR(__xludf.DUMMYFUNCTION("""COMPUTED_VALUE"""),"Buy/Sell Value")</f>
        <v>Buy/Sell Value</v>
      </c>
      <c r="T5" s="30" t="str">
        <f>IFERROR(__xludf.DUMMYFUNCTION("""COMPUTED_VALUE"""),"Sector")</f>
        <v>Sector</v>
      </c>
      <c r="U5" s="30" t="str">
        <f>IFERROR(__xludf.DUMMYFUNCTION("""COMPUTED_VALUE"""),"FactSet Symbol")</f>
        <v>FactSet Symbol</v>
      </c>
      <c r="V5" s="30" t="str">
        <f>IFERROR(__xludf.DUMMYFUNCTION("""COMPUTED_VALUE"""),"ACTIV Symbol")</f>
        <v>ACTIV Symbol</v>
      </c>
      <c r="W5" s="30" t="str">
        <f>IFERROR(__xludf.DUMMYFUNCTION("""COMPUTED_VALUE"""),"Round Lot")</f>
        <v>Round Lot</v>
      </c>
      <c r="X5" s="30" t="str">
        <f>IFERROR(__xludf.DUMMYFUNCTION("""COMPUTED_VALUE"""),"Bloomberg Symbol")</f>
        <v>Bloomberg Symbol</v>
      </c>
      <c r="Y5" s="30" t="str">
        <f>IFERROR(__xludf.DUMMYFUNCTION("""COMPUTED_VALUE"""),"Verify On SM")</f>
        <v>Verify On SM</v>
      </c>
      <c r="Z5" s="30" t="str">
        <f>IFERROR(__xludf.DUMMYFUNCTION("""COMPUTED_VALUE"""),"Columns To Verify On SM")</f>
        <v>Columns To Verify On SM</v>
      </c>
      <c r="AA5" s="30" t="str">
        <f>IFERROR(__xludf.DUMMYFUNCTION("""COMPUTED_VALUE"""),"% Change")</f>
        <v>% Change</v>
      </c>
      <c r="AB5" s="30" t="str">
        <f>IFERROR(__xludf.DUMMYFUNCTION("""COMPUTED_VALUE"""),"Tolerance %")</f>
        <v>Tolerance %</v>
      </c>
      <c r="AC5" s="30" t="str">
        <f>IFERROR(__xludf.DUMMYFUNCTION("""COMPUTED_VALUE"""),"Model %")</f>
        <v>Model %</v>
      </c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  <c r="EY5" s="30"/>
      <c r="EZ5" s="30"/>
      <c r="FA5" s="30"/>
      <c r="FB5" s="30"/>
      <c r="FC5" s="30"/>
      <c r="FD5" s="30"/>
      <c r="FE5" s="30"/>
      <c r="FF5" s="30"/>
      <c r="FG5" s="30"/>
      <c r="FH5" s="30"/>
      <c r="FI5" s="30"/>
      <c r="FJ5" s="30"/>
      <c r="FK5" s="30"/>
      <c r="FL5" s="30"/>
      <c r="FM5" s="30"/>
      <c r="FN5" s="30"/>
      <c r="FO5" s="30"/>
      <c r="FP5" s="30"/>
      <c r="FQ5" s="30"/>
      <c r="FR5" s="30"/>
      <c r="FS5" s="30"/>
      <c r="FT5" s="30"/>
      <c r="FU5" s="30"/>
      <c r="FV5" s="30"/>
      <c r="FW5" s="30"/>
      <c r="FX5" s="30"/>
      <c r="FY5" s="30"/>
      <c r="FZ5" s="30"/>
      <c r="GA5" s="30"/>
      <c r="GB5" s="30"/>
      <c r="GC5" s="30"/>
      <c r="GD5" s="30"/>
      <c r="GE5" s="30"/>
      <c r="GF5" s="30"/>
      <c r="GG5" s="30"/>
      <c r="GH5" s="30"/>
      <c r="GI5" s="30"/>
      <c r="GJ5" s="30"/>
      <c r="GK5" s="30"/>
      <c r="GL5" s="30"/>
      <c r="GM5" s="30"/>
      <c r="GN5" s="30"/>
      <c r="GO5" s="30"/>
      <c r="GP5" s="30"/>
      <c r="GQ5" s="30"/>
      <c r="GR5" s="30"/>
      <c r="GS5" s="30"/>
      <c r="GT5" s="30"/>
      <c r="GU5" s="30"/>
      <c r="GV5" s="30"/>
      <c r="GW5" s="30"/>
      <c r="GX5" s="30"/>
      <c r="GY5" s="30"/>
      <c r="GZ5" s="30"/>
      <c r="HA5" s="30"/>
      <c r="HB5" s="30"/>
      <c r="HC5" s="30"/>
      <c r="HD5" s="30"/>
      <c r="HE5" s="30"/>
      <c r="HF5" s="30"/>
      <c r="HG5" s="30"/>
      <c r="HH5" s="30"/>
      <c r="HI5" s="30"/>
      <c r="HJ5" s="30"/>
      <c r="HK5" s="30"/>
      <c r="HL5" s="30"/>
      <c r="HM5" s="30"/>
      <c r="HN5" s="30"/>
      <c r="HO5" s="30"/>
      <c r="HP5" s="30"/>
      <c r="HQ5" s="30"/>
      <c r="HR5" s="30"/>
      <c r="HS5" s="30"/>
      <c r="HT5" s="30"/>
      <c r="HU5" s="30"/>
      <c r="HV5" s="30"/>
      <c r="HW5" s="30"/>
      <c r="HX5" s="30"/>
      <c r="HY5" s="30"/>
      <c r="HZ5" s="30"/>
      <c r="IA5" s="30"/>
      <c r="IB5" s="30"/>
      <c r="IC5" s="30"/>
      <c r="ID5" s="30"/>
      <c r="IE5" s="30"/>
      <c r="IF5" s="30"/>
      <c r="IG5" s="30"/>
      <c r="IH5" s="30"/>
      <c r="II5" s="30"/>
      <c r="IJ5" s="30"/>
      <c r="IK5" s="30"/>
      <c r="IL5" s="30"/>
      <c r="IM5" s="30"/>
      <c r="IN5" s="30"/>
      <c r="IO5" s="30"/>
      <c r="IP5" s="30"/>
      <c r="IQ5" s="30"/>
      <c r="IR5" s="30"/>
      <c r="IS5" s="30"/>
      <c r="IT5" s="30"/>
      <c r="IU5" s="30"/>
      <c r="IV5" s="30"/>
      <c r="IW5" s="30"/>
      <c r="IX5" s="30"/>
      <c r="IY5" s="30"/>
      <c r="IZ5" s="30"/>
      <c r="JA5" s="30"/>
      <c r="JB5" s="30"/>
      <c r="JC5" s="30"/>
      <c r="JD5" s="30"/>
      <c r="JE5" s="30"/>
      <c r="JF5" s="30"/>
      <c r="JG5" s="30"/>
      <c r="JH5" s="30"/>
      <c r="JI5" s="30"/>
      <c r="JJ5" s="30"/>
      <c r="JK5" s="30"/>
      <c r="JL5" s="30"/>
      <c r="JM5" s="30"/>
      <c r="JN5" s="30"/>
      <c r="JO5" s="30"/>
      <c r="JP5" s="30"/>
      <c r="JQ5" s="30"/>
      <c r="JR5" s="30"/>
      <c r="JS5" s="30"/>
      <c r="JT5" s="30"/>
      <c r="JU5" s="30"/>
      <c r="JV5" s="30"/>
      <c r="JW5" s="30"/>
      <c r="JX5" s="30"/>
      <c r="JY5" s="30"/>
      <c r="JZ5" s="30"/>
      <c r="KA5" s="30"/>
      <c r="KB5" s="30"/>
      <c r="KC5" s="30"/>
      <c r="KD5" s="30"/>
      <c r="KE5" s="30"/>
      <c r="KF5" s="30"/>
      <c r="KG5" s="30"/>
      <c r="KH5" s="30"/>
      <c r="KI5" s="30"/>
      <c r="KJ5" s="30"/>
      <c r="KK5" s="30"/>
      <c r="KL5" s="30"/>
      <c r="KM5" s="30"/>
      <c r="KN5" s="30"/>
      <c r="KO5" s="30"/>
      <c r="KP5" s="30"/>
      <c r="KQ5" s="30"/>
      <c r="KR5" s="30"/>
      <c r="KS5" s="30"/>
      <c r="KT5" s="30"/>
      <c r="KU5" s="30"/>
      <c r="KV5" s="30"/>
      <c r="KW5" s="30"/>
      <c r="KX5" s="30"/>
      <c r="KY5" s="30"/>
      <c r="KZ5" s="30"/>
      <c r="LA5" s="30"/>
      <c r="LB5" s="30"/>
      <c r="LC5" s="30"/>
      <c r="LD5" s="30"/>
      <c r="LE5" s="30"/>
      <c r="LF5" s="30"/>
      <c r="LG5" s="30"/>
      <c r="LH5" s="30"/>
      <c r="LI5" s="30"/>
      <c r="LJ5" s="30"/>
      <c r="LK5" s="30"/>
      <c r="LL5" s="30"/>
      <c r="LM5" s="30"/>
      <c r="LN5" s="30"/>
      <c r="LO5" s="30"/>
      <c r="LP5" s="30"/>
      <c r="LQ5" s="30"/>
      <c r="LR5" s="30"/>
      <c r="LS5" s="30"/>
      <c r="LT5" s="30"/>
      <c r="LU5" s="30"/>
      <c r="LV5" s="30"/>
      <c r="LW5" s="30"/>
      <c r="LX5" s="30"/>
      <c r="LY5" s="30"/>
      <c r="LZ5" s="30"/>
      <c r="MA5" s="30"/>
      <c r="MB5" s="30"/>
      <c r="MC5" s="30"/>
      <c r="MD5" s="30"/>
      <c r="ME5" s="30"/>
      <c r="MF5" s="30"/>
      <c r="MG5" s="30"/>
      <c r="MH5" s="30"/>
      <c r="MI5" s="30"/>
      <c r="MJ5" s="30"/>
      <c r="MK5" s="30"/>
      <c r="ML5" s="30"/>
      <c r="MM5" s="30"/>
      <c r="MN5" s="30"/>
      <c r="MO5" s="30"/>
      <c r="MP5" s="30"/>
      <c r="MQ5" s="30"/>
      <c r="MR5" s="30"/>
      <c r="MS5" s="30"/>
      <c r="MT5" s="30"/>
      <c r="MU5" s="30"/>
      <c r="MV5" s="30"/>
      <c r="MW5" s="30"/>
      <c r="MX5" s="30"/>
      <c r="MY5" s="30"/>
      <c r="MZ5" s="30"/>
      <c r="NA5" s="30"/>
      <c r="NB5" s="30"/>
      <c r="NC5" s="30"/>
      <c r="ND5" s="30"/>
      <c r="NE5" s="30"/>
      <c r="NF5" s="30"/>
      <c r="NG5" s="30"/>
      <c r="NH5" s="30"/>
      <c r="NI5" s="30"/>
      <c r="NJ5" s="30"/>
      <c r="NK5" s="30"/>
      <c r="NL5" s="30"/>
      <c r="NM5" s="30"/>
      <c r="NN5" s="30"/>
      <c r="NO5" s="30"/>
      <c r="NP5" s="30"/>
      <c r="NQ5" s="30"/>
      <c r="NR5" s="30"/>
      <c r="NS5" s="30"/>
      <c r="NT5" s="30"/>
      <c r="NU5" s="30"/>
      <c r="NV5" s="30"/>
      <c r="NW5" s="30"/>
      <c r="NX5" s="30"/>
      <c r="NY5" s="30"/>
      <c r="NZ5" s="30"/>
      <c r="OA5" s="30"/>
      <c r="OB5" s="30"/>
      <c r="OC5" s="30"/>
      <c r="OD5" s="30"/>
      <c r="OE5" s="30"/>
      <c r="OF5" s="30"/>
      <c r="OG5" s="30"/>
      <c r="OH5" s="30"/>
      <c r="OI5" s="30"/>
      <c r="OJ5" s="30"/>
      <c r="OK5" s="30"/>
      <c r="OL5" s="30"/>
      <c r="OM5" s="30"/>
      <c r="ON5" s="30"/>
      <c r="OO5" s="30"/>
      <c r="OP5" s="30"/>
      <c r="OQ5" s="30"/>
      <c r="OR5" s="30"/>
      <c r="OS5" s="30"/>
      <c r="OT5" s="30"/>
      <c r="OU5" s="30"/>
      <c r="OV5" s="30"/>
      <c r="OW5" s="30"/>
      <c r="OX5" s="30"/>
      <c r="OY5" s="30"/>
      <c r="OZ5" s="30"/>
      <c r="PA5" s="30"/>
      <c r="PB5" s="30"/>
      <c r="PC5" s="30"/>
      <c r="PD5" s="30"/>
      <c r="PE5" s="30"/>
      <c r="PF5" s="30"/>
      <c r="PG5" s="30"/>
      <c r="PH5" s="30"/>
      <c r="PI5" s="30"/>
      <c r="PJ5" s="30"/>
      <c r="PK5" s="30"/>
      <c r="PL5" s="30"/>
      <c r="PM5" s="30"/>
      <c r="PN5" s="30"/>
      <c r="PO5" s="30"/>
      <c r="PP5" s="30"/>
      <c r="PQ5" s="30"/>
      <c r="PR5" s="30"/>
      <c r="PS5" s="30"/>
      <c r="PT5" s="30"/>
      <c r="PU5" s="30"/>
      <c r="PV5" s="30"/>
      <c r="PW5" s="30"/>
      <c r="PX5" s="30"/>
      <c r="PY5" s="30"/>
      <c r="PZ5" s="30"/>
      <c r="QA5" s="30"/>
      <c r="QB5" s="30"/>
      <c r="QC5" s="30"/>
      <c r="QD5" s="30"/>
      <c r="QE5" s="30"/>
      <c r="QF5" s="30"/>
      <c r="QG5" s="30"/>
      <c r="QH5" s="30"/>
      <c r="QI5" s="30"/>
      <c r="QJ5" s="30"/>
      <c r="QK5" s="30"/>
      <c r="QL5" s="30"/>
      <c r="QM5" s="30"/>
      <c r="QN5" s="30"/>
      <c r="QO5" s="30"/>
      <c r="QP5" s="30"/>
      <c r="QQ5" s="30"/>
      <c r="QR5" s="30"/>
      <c r="QS5" s="30"/>
      <c r="QT5" s="30"/>
      <c r="QU5" s="30"/>
      <c r="QV5" s="30"/>
      <c r="QW5" s="30"/>
      <c r="QX5" s="30"/>
      <c r="QY5" s="30"/>
      <c r="QZ5" s="30"/>
      <c r="RA5" s="30"/>
      <c r="RB5" s="30"/>
      <c r="RC5" s="30"/>
      <c r="RD5" s="30"/>
      <c r="RE5" s="30"/>
      <c r="RF5" s="30"/>
      <c r="RG5" s="30"/>
      <c r="RH5" s="30"/>
      <c r="RI5" s="30"/>
      <c r="RJ5" s="30"/>
      <c r="RK5" s="30"/>
      <c r="RL5" s="30"/>
      <c r="RM5" s="30"/>
      <c r="RN5" s="30"/>
      <c r="RO5" s="30"/>
      <c r="RP5" s="30"/>
      <c r="RQ5" s="30"/>
      <c r="RR5" s="30"/>
      <c r="RS5" s="30"/>
      <c r="RT5" s="30"/>
      <c r="RU5" s="30"/>
      <c r="RV5" s="30"/>
      <c r="RW5" s="30"/>
      <c r="RX5" s="30"/>
      <c r="RY5" s="30"/>
      <c r="RZ5" s="30"/>
      <c r="SA5" s="30"/>
      <c r="SB5" s="30"/>
      <c r="SC5" s="30"/>
      <c r="SD5" s="30"/>
      <c r="SE5" s="30"/>
      <c r="SF5" s="30"/>
      <c r="SG5" s="30"/>
      <c r="SH5" s="30"/>
      <c r="SI5" s="30"/>
      <c r="SJ5" s="30"/>
      <c r="SK5" s="30"/>
      <c r="SL5" s="30"/>
      <c r="SM5" s="30"/>
      <c r="SN5" s="30"/>
      <c r="SO5" s="30"/>
      <c r="SP5" s="30"/>
      <c r="SQ5" s="30"/>
      <c r="SR5" s="30"/>
      <c r="SS5" s="30"/>
      <c r="ST5" s="30"/>
      <c r="SU5" s="30"/>
      <c r="SV5" s="30"/>
      <c r="SW5" s="30"/>
      <c r="SX5" s="30"/>
      <c r="SY5" s="30"/>
      <c r="SZ5" s="30"/>
      <c r="TA5" s="30"/>
      <c r="TB5" s="30"/>
      <c r="TC5" s="30"/>
      <c r="TD5" s="30"/>
      <c r="TE5" s="30"/>
      <c r="TF5" s="30"/>
      <c r="TG5" s="30"/>
      <c r="TH5" s="30"/>
      <c r="TI5" s="30"/>
      <c r="TJ5" s="30"/>
      <c r="TK5" s="30"/>
      <c r="TL5" s="30"/>
      <c r="TM5" s="30"/>
      <c r="TN5" s="30"/>
      <c r="TO5" s="30"/>
      <c r="TP5" s="30"/>
      <c r="TQ5" s="30"/>
      <c r="TR5" s="30"/>
      <c r="TS5" s="30"/>
      <c r="TT5" s="30"/>
      <c r="TU5" s="30"/>
      <c r="TV5" s="30"/>
      <c r="TW5" s="30"/>
      <c r="TX5" s="30"/>
      <c r="TY5" s="30"/>
      <c r="TZ5" s="30"/>
      <c r="UA5" s="30"/>
      <c r="UB5" s="30"/>
      <c r="UC5" s="30"/>
      <c r="UD5" s="30"/>
      <c r="UE5" s="30"/>
      <c r="UF5" s="30"/>
      <c r="UG5" s="30"/>
      <c r="UH5" s="30"/>
      <c r="UI5" s="30"/>
      <c r="UJ5" s="30"/>
      <c r="UK5" s="30"/>
      <c r="UL5" s="30"/>
      <c r="UM5" s="30"/>
      <c r="UN5" s="30"/>
      <c r="UO5" s="30"/>
      <c r="UP5" s="30"/>
      <c r="UQ5" s="30"/>
      <c r="UR5" s="30"/>
      <c r="US5" s="30"/>
      <c r="UT5" s="30"/>
      <c r="UU5" s="30"/>
      <c r="UV5" s="30"/>
      <c r="UW5" s="30"/>
      <c r="UX5" s="30"/>
      <c r="UY5" s="30"/>
      <c r="UZ5" s="30"/>
      <c r="VA5" s="30"/>
      <c r="VB5" s="30"/>
      <c r="VC5" s="30"/>
      <c r="VD5" s="30"/>
      <c r="VE5" s="30"/>
      <c r="VF5" s="30"/>
      <c r="VG5" s="30"/>
      <c r="VH5" s="30"/>
      <c r="VI5" s="30"/>
      <c r="VJ5" s="30"/>
      <c r="VK5" s="30"/>
      <c r="VL5" s="30"/>
      <c r="VM5" s="30"/>
      <c r="VN5" s="30"/>
      <c r="VO5" s="30"/>
      <c r="VP5" s="30"/>
      <c r="VQ5" s="30"/>
      <c r="VR5" s="30"/>
      <c r="VS5" s="30"/>
      <c r="VT5" s="30"/>
      <c r="VU5" s="30"/>
      <c r="VV5" s="30"/>
      <c r="VW5" s="30"/>
      <c r="VX5" s="30"/>
      <c r="VY5" s="30"/>
      <c r="VZ5" s="30"/>
      <c r="WA5" s="30"/>
      <c r="WB5" s="30"/>
      <c r="WC5" s="30"/>
      <c r="WD5" s="30"/>
      <c r="WE5" s="30"/>
      <c r="WF5" s="30"/>
      <c r="WG5" s="30"/>
      <c r="WH5" s="30"/>
      <c r="WI5" s="30"/>
      <c r="WJ5" s="30"/>
      <c r="WK5" s="30"/>
      <c r="WL5" s="30"/>
      <c r="WM5" s="30"/>
      <c r="WN5" s="30"/>
      <c r="WO5" s="30"/>
      <c r="WP5" s="30"/>
      <c r="WQ5" s="30"/>
      <c r="WR5" s="30"/>
      <c r="WS5" s="30"/>
      <c r="WT5" s="30"/>
      <c r="WU5" s="30"/>
      <c r="WV5" s="30"/>
      <c r="WW5" s="30"/>
      <c r="WX5" s="30"/>
      <c r="WY5" s="30"/>
      <c r="WZ5" s="30"/>
      <c r="XA5" s="30"/>
      <c r="XB5" s="30"/>
      <c r="XC5" s="30"/>
      <c r="XD5" s="30"/>
      <c r="XE5" s="30"/>
      <c r="XF5" s="30"/>
      <c r="XG5" s="30"/>
      <c r="XH5" s="30"/>
      <c r="XI5" s="30"/>
      <c r="XJ5" s="30"/>
      <c r="XK5" s="30"/>
      <c r="XL5" s="30"/>
      <c r="XM5" s="30"/>
      <c r="XN5" s="30"/>
      <c r="XO5" s="30"/>
      <c r="XP5" s="30"/>
      <c r="XQ5" s="30"/>
      <c r="XR5" s="30"/>
      <c r="XS5" s="30"/>
      <c r="XT5" s="30"/>
      <c r="XU5" s="30"/>
      <c r="XV5" s="30"/>
      <c r="XW5" s="30"/>
      <c r="XX5" s="30"/>
      <c r="XY5" s="30"/>
      <c r="XZ5" s="30"/>
      <c r="YA5" s="30"/>
      <c r="YB5" s="30"/>
      <c r="YC5" s="30"/>
      <c r="YD5" s="30"/>
      <c r="YE5" s="30"/>
      <c r="YF5" s="30"/>
      <c r="YG5" s="30"/>
      <c r="YH5" s="30"/>
      <c r="YI5" s="30"/>
      <c r="YJ5" s="30"/>
      <c r="YK5" s="30"/>
      <c r="YL5" s="30"/>
      <c r="YM5" s="30"/>
      <c r="YN5" s="30"/>
      <c r="YO5" s="30"/>
      <c r="YP5" s="30"/>
      <c r="YQ5" s="30"/>
      <c r="YR5" s="30"/>
      <c r="YS5" s="30"/>
      <c r="YT5" s="30"/>
      <c r="YU5" s="30"/>
      <c r="YV5" s="30"/>
      <c r="YW5" s="30"/>
      <c r="YX5" s="30"/>
      <c r="YY5" s="30"/>
      <c r="YZ5" s="30"/>
      <c r="ZA5" s="30"/>
      <c r="ZB5" s="30"/>
      <c r="ZC5" s="30"/>
      <c r="ZD5" s="30"/>
      <c r="ZE5" s="30"/>
      <c r="ZF5" s="30"/>
      <c r="ZG5" s="30"/>
      <c r="ZH5" s="30"/>
      <c r="ZI5" s="30"/>
      <c r="ZJ5" s="30"/>
      <c r="ZK5" s="30"/>
      <c r="ZL5" s="30"/>
      <c r="ZM5" s="30"/>
      <c r="ZN5" s="30"/>
      <c r="ZO5" s="30"/>
      <c r="ZP5" s="30"/>
      <c r="ZQ5" s="30"/>
      <c r="ZR5" s="30"/>
      <c r="ZS5" s="30"/>
      <c r="ZT5" s="30"/>
      <c r="ZU5" s="30"/>
      <c r="ZV5" s="30"/>
      <c r="ZW5" s="30"/>
      <c r="ZX5" s="30"/>
      <c r="ZY5" s="30"/>
      <c r="ZZ5" s="30"/>
      <c r="AAA5" s="30"/>
      <c r="AAB5" s="30"/>
      <c r="AAC5" s="30"/>
      <c r="AAD5" s="30"/>
      <c r="AAE5" s="30"/>
      <c r="AAF5" s="30"/>
      <c r="AAG5" s="30"/>
      <c r="AAH5" s="30"/>
      <c r="AAI5" s="30"/>
      <c r="AAJ5" s="30"/>
      <c r="AAK5" s="30"/>
      <c r="AAL5" s="30"/>
      <c r="AAM5" s="30"/>
      <c r="AAN5" s="30"/>
      <c r="AAO5" s="30"/>
      <c r="AAP5" s="30"/>
      <c r="AAQ5" s="30"/>
      <c r="AAR5" s="30"/>
      <c r="AAS5" s="30"/>
      <c r="AAT5" s="30"/>
      <c r="AAU5" s="30"/>
      <c r="AAV5" s="30"/>
      <c r="AAW5" s="30"/>
      <c r="AAX5" s="30"/>
      <c r="AAY5" s="30"/>
      <c r="AAZ5" s="30"/>
      <c r="ABA5" s="30"/>
      <c r="ABB5" s="30"/>
      <c r="ABC5" s="30"/>
      <c r="ABD5" s="30"/>
      <c r="ABE5" s="30"/>
      <c r="ABF5" s="30"/>
      <c r="ABG5" s="30"/>
      <c r="ABH5" s="30"/>
      <c r="ABI5" s="30"/>
      <c r="ABJ5" s="30"/>
      <c r="ABK5" s="30"/>
      <c r="ABL5" s="30"/>
      <c r="ABM5" s="30"/>
      <c r="ABN5" s="30"/>
      <c r="ABO5" s="30"/>
      <c r="ABP5" s="30"/>
      <c r="ABQ5" s="30"/>
      <c r="ABR5" s="30"/>
      <c r="ABS5" s="30"/>
      <c r="ABT5" s="30"/>
      <c r="ABU5" s="30"/>
      <c r="ABV5" s="30"/>
      <c r="ABW5" s="30"/>
      <c r="ABX5" s="30"/>
      <c r="ABY5" s="30"/>
      <c r="ABZ5" s="30"/>
      <c r="ACA5" s="30"/>
      <c r="ACB5" s="30"/>
      <c r="ACC5" s="30"/>
      <c r="ACD5" s="30"/>
      <c r="ACE5" s="30"/>
      <c r="ACF5" s="30"/>
      <c r="ACG5" s="30"/>
      <c r="ACH5" s="30"/>
      <c r="ACI5" s="30"/>
      <c r="ACJ5" s="30"/>
      <c r="ACK5" s="30"/>
      <c r="ACL5" s="30"/>
      <c r="ACM5" s="30"/>
      <c r="ACN5" s="30"/>
      <c r="ACO5" s="30"/>
      <c r="ACP5" s="30"/>
      <c r="ACQ5" s="30"/>
      <c r="ACR5" s="30"/>
      <c r="ACS5" s="30"/>
      <c r="ACT5" s="30"/>
      <c r="ACU5" s="30"/>
      <c r="ACV5" s="30"/>
      <c r="ACW5" s="30"/>
      <c r="ACX5" s="30"/>
      <c r="ACY5" s="30"/>
      <c r="ACZ5" s="30"/>
      <c r="ADA5" s="30"/>
      <c r="ADB5" s="30"/>
      <c r="ADC5" s="30"/>
      <c r="ADD5" s="30"/>
      <c r="ADE5" s="30"/>
      <c r="ADF5" s="30"/>
      <c r="ADG5" s="30"/>
      <c r="ADH5" s="30"/>
      <c r="ADI5" s="30"/>
      <c r="ADJ5" s="30"/>
      <c r="ADK5" s="30"/>
      <c r="ADL5" s="30"/>
      <c r="ADM5" s="30"/>
      <c r="ADN5" s="30"/>
      <c r="ADO5" s="30"/>
      <c r="ADP5" s="30"/>
      <c r="ADQ5" s="30"/>
      <c r="ADR5" s="30"/>
      <c r="ADS5" s="30"/>
      <c r="ADT5" s="30"/>
      <c r="ADU5" s="30"/>
      <c r="ADV5" s="30"/>
      <c r="ADW5" s="30"/>
      <c r="ADX5" s="30"/>
      <c r="ADY5" s="30"/>
      <c r="ADZ5" s="30"/>
      <c r="AEA5" s="30"/>
      <c r="AEB5" s="30"/>
      <c r="AEC5" s="30"/>
      <c r="AED5" s="30"/>
      <c r="AEE5" s="30"/>
      <c r="AEF5" s="30"/>
      <c r="AEG5" s="30"/>
      <c r="AEH5" s="30"/>
      <c r="AEI5" s="30"/>
      <c r="AEJ5" s="30"/>
      <c r="AEK5" s="30"/>
      <c r="AEL5" s="30"/>
      <c r="AEM5" s="30"/>
      <c r="AEN5" s="30"/>
      <c r="AEO5" s="30"/>
      <c r="AEP5" s="30"/>
      <c r="AEQ5" s="30"/>
      <c r="AER5" s="30"/>
      <c r="AES5" s="30"/>
      <c r="AET5" s="30"/>
      <c r="AEU5" s="30"/>
      <c r="AEV5" s="30"/>
      <c r="AEW5" s="30"/>
      <c r="AEX5" s="30"/>
      <c r="AEY5" s="30"/>
      <c r="AEZ5" s="30"/>
      <c r="AFA5" s="30"/>
      <c r="AFB5" s="30"/>
      <c r="AFC5" s="30"/>
      <c r="AFD5" s="30"/>
      <c r="AFE5" s="30"/>
      <c r="AFF5" s="30"/>
      <c r="AFG5" s="30"/>
      <c r="AFH5" s="30"/>
      <c r="AFI5" s="30"/>
      <c r="AFJ5" s="30"/>
      <c r="AFK5" s="30"/>
      <c r="AFL5" s="30"/>
      <c r="AFM5" s="30"/>
      <c r="AFN5" s="30"/>
      <c r="AFO5" s="30"/>
      <c r="AFP5" s="30"/>
      <c r="AFQ5" s="30"/>
      <c r="AFR5" s="30"/>
      <c r="AFS5" s="30"/>
      <c r="AFT5" s="30"/>
      <c r="AFU5" s="30"/>
      <c r="AFV5" s="30"/>
      <c r="AFW5" s="30"/>
      <c r="AFX5" s="30"/>
      <c r="AFY5" s="30"/>
      <c r="AFZ5" s="30"/>
      <c r="AGA5" s="30"/>
      <c r="AGB5" s="30"/>
      <c r="AGC5" s="30"/>
      <c r="AGD5" s="30"/>
      <c r="AGE5" s="30"/>
      <c r="AGF5" s="30"/>
      <c r="AGG5" s="30"/>
      <c r="AGH5" s="30"/>
      <c r="AGI5" s="30"/>
      <c r="AGJ5" s="30"/>
      <c r="AGK5" s="30"/>
      <c r="AGL5" s="30"/>
      <c r="AGM5" s="30"/>
      <c r="AGN5" s="30"/>
      <c r="AGO5" s="30"/>
      <c r="AGP5" s="30"/>
      <c r="AGQ5" s="30"/>
      <c r="AGR5" s="30"/>
      <c r="AGS5" s="30"/>
      <c r="AGT5" s="30"/>
      <c r="AGU5" s="30"/>
      <c r="AGV5" s="30"/>
      <c r="AGW5" s="30"/>
      <c r="AGX5" s="30"/>
      <c r="AGY5" s="30"/>
      <c r="AGZ5" s="30"/>
      <c r="AHA5" s="30"/>
      <c r="AHB5" s="30"/>
      <c r="AHC5" s="30"/>
      <c r="AHD5" s="30"/>
      <c r="AHE5" s="30"/>
      <c r="AHF5" s="30"/>
      <c r="AHG5" s="30"/>
      <c r="AHH5" s="30"/>
      <c r="AHI5" s="30"/>
      <c r="AHJ5" s="30"/>
      <c r="AHK5" s="30"/>
      <c r="AHL5" s="30"/>
      <c r="AHM5" s="30"/>
      <c r="AHN5" s="30"/>
      <c r="AHO5" s="30"/>
      <c r="AHP5" s="30"/>
      <c r="AHQ5" s="30"/>
      <c r="AHR5" s="30"/>
      <c r="AHS5" s="30"/>
      <c r="AHT5" s="30"/>
      <c r="AHU5" s="30"/>
      <c r="AHV5" s="30"/>
      <c r="AHW5" s="30"/>
      <c r="AHX5" s="30"/>
      <c r="AHY5" s="30"/>
      <c r="AHZ5" s="30"/>
      <c r="AIA5" s="30"/>
      <c r="AIB5" s="30"/>
      <c r="AIC5" s="30"/>
      <c r="AID5" s="30"/>
      <c r="AIE5" s="30"/>
      <c r="AIF5" s="30"/>
      <c r="AIG5" s="30"/>
      <c r="AIH5" s="30"/>
      <c r="AII5" s="30"/>
      <c r="AIJ5" s="30"/>
      <c r="AIK5" s="30"/>
      <c r="AIL5" s="30"/>
      <c r="AIM5" s="30"/>
      <c r="AIN5" s="30"/>
      <c r="AIO5" s="30"/>
      <c r="AIP5" s="30"/>
      <c r="AIQ5" s="30"/>
      <c r="AIR5" s="30"/>
      <c r="AIS5" s="30"/>
      <c r="AIT5" s="30"/>
      <c r="AIU5" s="30"/>
      <c r="AIV5" s="30"/>
      <c r="AIW5" s="30"/>
      <c r="AIX5" s="30"/>
      <c r="AIY5" s="30"/>
      <c r="AIZ5" s="30"/>
      <c r="AJA5" s="30"/>
      <c r="AJB5" s="30"/>
      <c r="AJC5" s="30"/>
      <c r="AJD5" s="30"/>
      <c r="AJE5" s="30"/>
      <c r="AJF5" s="30"/>
      <c r="AJG5" s="30"/>
      <c r="AJH5" s="30"/>
      <c r="AJI5" s="30"/>
      <c r="AJJ5" s="30"/>
      <c r="AJK5" s="30"/>
      <c r="AJL5" s="30"/>
      <c r="AJM5" s="30"/>
      <c r="AJN5" s="30"/>
      <c r="AJO5" s="30"/>
      <c r="AJP5" s="30"/>
      <c r="AJQ5" s="30"/>
      <c r="AJR5" s="30"/>
      <c r="AJS5" s="30"/>
      <c r="AJT5" s="30"/>
      <c r="AJU5" s="30"/>
      <c r="AJV5" s="30"/>
      <c r="AJW5" s="30"/>
      <c r="AJX5" s="30"/>
      <c r="AJY5" s="30"/>
      <c r="AJZ5" s="30"/>
      <c r="AKA5" s="30"/>
      <c r="AKB5" s="30"/>
      <c r="AKC5" s="30"/>
      <c r="AKD5" s="30"/>
      <c r="AKE5" s="30"/>
      <c r="AKF5" s="30"/>
      <c r="AKG5" s="30"/>
      <c r="AKH5" s="30"/>
      <c r="AKI5" s="30"/>
      <c r="AKJ5" s="30"/>
      <c r="AKK5" s="30"/>
      <c r="AKL5" s="30"/>
      <c r="AKM5" s="30"/>
      <c r="AKN5" s="30"/>
      <c r="AKO5" s="30"/>
      <c r="AKP5" s="30"/>
      <c r="AKQ5" s="30"/>
      <c r="AKR5" s="30"/>
      <c r="AKS5" s="30"/>
      <c r="AKT5" s="30"/>
      <c r="AKU5" s="30"/>
      <c r="AKV5" s="30"/>
      <c r="AKW5" s="30"/>
      <c r="AKX5" s="30"/>
      <c r="AKY5" s="30"/>
      <c r="AKZ5" s="30"/>
      <c r="ALA5" s="30"/>
      <c r="ALB5" s="30"/>
      <c r="ALC5" s="30"/>
      <c r="ALD5" s="30"/>
      <c r="ALE5" s="30"/>
      <c r="ALF5" s="30"/>
      <c r="ALG5" s="30"/>
      <c r="ALH5" s="30"/>
      <c r="ALI5" s="30"/>
      <c r="ALJ5" s="30"/>
      <c r="ALK5" s="30"/>
      <c r="ALL5" s="30"/>
      <c r="ALM5" s="30"/>
      <c r="ALN5" s="30"/>
      <c r="ALO5" s="30"/>
      <c r="ALP5" s="30"/>
      <c r="ALQ5" s="30"/>
      <c r="ALR5" s="30"/>
      <c r="ALS5" s="30"/>
      <c r="ALT5" s="30"/>
      <c r="ALU5" s="30"/>
      <c r="ALV5" s="30"/>
      <c r="ALW5" s="30"/>
      <c r="ALX5" s="30"/>
      <c r="ALY5" s="30"/>
      <c r="ALZ5" s="30"/>
      <c r="AMA5" s="30"/>
      <c r="AMB5" s="30"/>
      <c r="AMC5" s="30"/>
      <c r="AMD5" s="30"/>
      <c r="AME5" s="30"/>
      <c r="AMF5" s="30"/>
      <c r="AMG5" s="30"/>
      <c r="AMH5" s="30"/>
      <c r="AMI5" s="30"/>
      <c r="AMJ5" s="30"/>
      <c r="AMK5" s="30"/>
      <c r="AML5" s="30"/>
    </row>
    <row r="6" ht="15.75" customHeight="1">
      <c r="A6" s="8" t="s">
        <v>20</v>
      </c>
      <c r="B6" s="8" t="s">
        <v>20</v>
      </c>
      <c r="C6" s="13" t="s">
        <v>18</v>
      </c>
      <c r="D6" s="8" t="s">
        <v>22</v>
      </c>
      <c r="E6" s="8" t="s">
        <v>22</v>
      </c>
      <c r="F6" s="8" t="s">
        <v>23</v>
      </c>
      <c r="G6" s="8">
        <v>1.0</v>
      </c>
      <c r="H6" s="8">
        <v>1.0</v>
      </c>
      <c r="I6" s="8">
        <v>1.0</v>
      </c>
      <c r="J6" s="8"/>
      <c r="K6" s="8">
        <v>0.0</v>
      </c>
      <c r="L6" s="8">
        <v>0.0</v>
      </c>
      <c r="M6" s="8">
        <v>0.0</v>
      </c>
      <c r="N6" s="8"/>
      <c r="O6" s="8">
        <v>0.0</v>
      </c>
      <c r="P6">
        <v>0.0</v>
      </c>
      <c r="Q6">
        <v>0.0</v>
      </c>
      <c r="R6">
        <v>0.0</v>
      </c>
      <c r="S6">
        <v>0.0</v>
      </c>
      <c r="T6" t="s">
        <v>22</v>
      </c>
      <c r="AB6" t="s">
        <v>20</v>
      </c>
      <c r="AC6" t="s">
        <v>20</v>
      </c>
      <c r="AD6" t="s">
        <v>20</v>
      </c>
      <c r="AE6" t="s">
        <v>20</v>
      </c>
      <c r="AF6" t="s">
        <v>20</v>
      </c>
      <c r="AG6" t="s">
        <v>20</v>
      </c>
      <c r="AH6" t="s">
        <v>20</v>
      </c>
      <c r="AI6" t="s">
        <v>20</v>
      </c>
      <c r="AJ6" t="s">
        <v>20</v>
      </c>
      <c r="AK6" t="s">
        <v>20</v>
      </c>
      <c r="AL6" t="s">
        <v>20</v>
      </c>
      <c r="AM6" t="s">
        <v>20</v>
      </c>
      <c r="AN6" t="s">
        <v>20</v>
      </c>
      <c r="AO6" t="s">
        <v>20</v>
      </c>
      <c r="AP6" t="s">
        <v>20</v>
      </c>
      <c r="AQ6" t="s">
        <v>20</v>
      </c>
      <c r="AR6" t="s">
        <v>20</v>
      </c>
      <c r="AS6" t="s">
        <v>20</v>
      </c>
      <c r="AT6" t="s">
        <v>20</v>
      </c>
      <c r="AU6" t="s">
        <v>20</v>
      </c>
      <c r="AV6" t="s">
        <v>20</v>
      </c>
      <c r="AW6" t="s">
        <v>20</v>
      </c>
      <c r="AX6" t="s">
        <v>20</v>
      </c>
      <c r="AY6" t="s">
        <v>20</v>
      </c>
      <c r="AZ6" t="s">
        <v>20</v>
      </c>
      <c r="BA6" t="s">
        <v>20</v>
      </c>
      <c r="BB6" t="s">
        <v>20</v>
      </c>
      <c r="BC6" t="s">
        <v>20</v>
      </c>
      <c r="BD6" t="s">
        <v>20</v>
      </c>
      <c r="BE6" t="s">
        <v>20</v>
      </c>
      <c r="BF6" t="s">
        <v>20</v>
      </c>
      <c r="BG6" t="s">
        <v>20</v>
      </c>
      <c r="BH6" t="s">
        <v>20</v>
      </c>
      <c r="BI6" t="s">
        <v>20</v>
      </c>
      <c r="BJ6" t="s">
        <v>20</v>
      </c>
      <c r="BK6" t="s">
        <v>20</v>
      </c>
      <c r="BL6" t="s">
        <v>20</v>
      </c>
      <c r="BM6" t="s">
        <v>20</v>
      </c>
      <c r="BN6" t="s">
        <v>20</v>
      </c>
      <c r="BO6" t="s">
        <v>20</v>
      </c>
      <c r="BP6" t="s">
        <v>20</v>
      </c>
      <c r="BQ6" t="s">
        <v>20</v>
      </c>
      <c r="BR6" t="s">
        <v>20</v>
      </c>
      <c r="BS6" t="s">
        <v>20</v>
      </c>
      <c r="BT6" t="s">
        <v>20</v>
      </c>
      <c r="BU6" t="s">
        <v>20</v>
      </c>
      <c r="BV6" t="s">
        <v>20</v>
      </c>
      <c r="BW6" t="s">
        <v>20</v>
      </c>
      <c r="BX6" t="s">
        <v>20</v>
      </c>
      <c r="BY6" t="s">
        <v>20</v>
      </c>
      <c r="BZ6" t="s">
        <v>20</v>
      </c>
      <c r="CA6" t="s">
        <v>20</v>
      </c>
      <c r="CB6" t="s">
        <v>20</v>
      </c>
      <c r="CC6" t="s">
        <v>20</v>
      </c>
      <c r="CD6" t="s">
        <v>20</v>
      </c>
      <c r="CE6" t="s">
        <v>20</v>
      </c>
      <c r="CF6" t="s">
        <v>20</v>
      </c>
      <c r="CG6" t="s">
        <v>20</v>
      </c>
      <c r="CH6" t="s">
        <v>20</v>
      </c>
      <c r="CI6" t="s">
        <v>20</v>
      </c>
      <c r="CJ6" t="s">
        <v>20</v>
      </c>
      <c r="CK6" t="s">
        <v>20</v>
      </c>
      <c r="CL6" t="s">
        <v>20</v>
      </c>
      <c r="CM6" t="s">
        <v>20</v>
      </c>
      <c r="CN6" t="s">
        <v>20</v>
      </c>
      <c r="CO6" t="s">
        <v>20</v>
      </c>
      <c r="CP6" t="s">
        <v>20</v>
      </c>
      <c r="CQ6" t="s">
        <v>20</v>
      </c>
      <c r="CR6" t="s">
        <v>20</v>
      </c>
      <c r="CS6" t="s">
        <v>20</v>
      </c>
      <c r="CT6" t="s">
        <v>20</v>
      </c>
      <c r="CU6" t="s">
        <v>20</v>
      </c>
      <c r="CV6" t="s">
        <v>20</v>
      </c>
      <c r="CW6" t="s">
        <v>20</v>
      </c>
      <c r="CX6" t="s">
        <v>20</v>
      </c>
      <c r="CY6" t="s">
        <v>20</v>
      </c>
      <c r="CZ6" t="s">
        <v>20</v>
      </c>
      <c r="DA6" t="s">
        <v>20</v>
      </c>
      <c r="DB6" t="s">
        <v>20</v>
      </c>
      <c r="DC6" t="s">
        <v>20</v>
      </c>
      <c r="DD6" t="s">
        <v>20</v>
      </c>
      <c r="DE6" t="s">
        <v>20</v>
      </c>
      <c r="DF6" t="s">
        <v>20</v>
      </c>
      <c r="DG6" t="s">
        <v>20</v>
      </c>
      <c r="DH6" t="s">
        <v>20</v>
      </c>
      <c r="DI6" t="s">
        <v>20</v>
      </c>
      <c r="DJ6" t="s">
        <v>20</v>
      </c>
      <c r="DK6" t="s">
        <v>20</v>
      </c>
      <c r="DL6" t="s">
        <v>20</v>
      </c>
      <c r="DM6" t="s">
        <v>20</v>
      </c>
      <c r="DN6" t="s">
        <v>20</v>
      </c>
      <c r="DO6" t="s">
        <v>20</v>
      </c>
      <c r="DP6" t="s">
        <v>20</v>
      </c>
      <c r="DQ6" t="s">
        <v>20</v>
      </c>
      <c r="DR6" t="s">
        <v>20</v>
      </c>
      <c r="DS6" t="s">
        <v>20</v>
      </c>
      <c r="DT6" t="s">
        <v>20</v>
      </c>
      <c r="DU6" t="s">
        <v>20</v>
      </c>
      <c r="DV6" t="s">
        <v>20</v>
      </c>
      <c r="DW6" t="s">
        <v>20</v>
      </c>
      <c r="DX6" t="s">
        <v>20</v>
      </c>
      <c r="DY6" t="s">
        <v>20</v>
      </c>
      <c r="DZ6" t="s">
        <v>20</v>
      </c>
      <c r="EA6" t="s">
        <v>20</v>
      </c>
      <c r="EB6" t="s">
        <v>20</v>
      </c>
      <c r="EC6" t="s">
        <v>20</v>
      </c>
      <c r="ED6" t="s">
        <v>20</v>
      </c>
      <c r="EE6" t="s">
        <v>20</v>
      </c>
      <c r="EF6" t="s">
        <v>20</v>
      </c>
      <c r="EG6" t="s">
        <v>20</v>
      </c>
      <c r="EH6" t="s">
        <v>20</v>
      </c>
      <c r="EI6" t="s">
        <v>20</v>
      </c>
      <c r="EJ6" t="s">
        <v>20</v>
      </c>
      <c r="EK6" t="s">
        <v>20</v>
      </c>
      <c r="EL6" t="s">
        <v>20</v>
      </c>
      <c r="EM6" t="s">
        <v>20</v>
      </c>
      <c r="EN6" t="s">
        <v>20</v>
      </c>
      <c r="EO6" t="s">
        <v>20</v>
      </c>
      <c r="EP6" t="s">
        <v>20</v>
      </c>
      <c r="EQ6" t="s">
        <v>20</v>
      </c>
      <c r="ER6" t="s">
        <v>20</v>
      </c>
      <c r="ES6" t="s">
        <v>20</v>
      </c>
      <c r="ET6" t="s">
        <v>20</v>
      </c>
      <c r="EU6" t="s">
        <v>20</v>
      </c>
      <c r="EV6" t="s">
        <v>20</v>
      </c>
      <c r="EW6" t="s">
        <v>20</v>
      </c>
      <c r="EX6" t="s">
        <v>20</v>
      </c>
      <c r="EY6" t="s">
        <v>20</v>
      </c>
      <c r="EZ6" t="s">
        <v>20</v>
      </c>
      <c r="FA6" t="s">
        <v>20</v>
      </c>
      <c r="FB6" t="s">
        <v>20</v>
      </c>
      <c r="FC6" t="s">
        <v>20</v>
      </c>
      <c r="FD6" t="s">
        <v>20</v>
      </c>
      <c r="FE6" t="s">
        <v>20</v>
      </c>
      <c r="FF6" t="s">
        <v>20</v>
      </c>
      <c r="FG6" t="s">
        <v>20</v>
      </c>
      <c r="FH6" t="s">
        <v>20</v>
      </c>
      <c r="FI6" t="s">
        <v>20</v>
      </c>
      <c r="FJ6" t="s">
        <v>20</v>
      </c>
      <c r="FK6" t="s">
        <v>20</v>
      </c>
      <c r="FL6" t="s">
        <v>20</v>
      </c>
      <c r="FM6" t="s">
        <v>20</v>
      </c>
      <c r="FN6" t="s">
        <v>20</v>
      </c>
      <c r="FO6" t="s">
        <v>20</v>
      </c>
      <c r="FP6" t="s">
        <v>20</v>
      </c>
      <c r="FQ6" t="s">
        <v>20</v>
      </c>
      <c r="FR6" s="33"/>
      <c r="FS6" s="33"/>
      <c r="FT6" s="33"/>
      <c r="FU6" s="33"/>
      <c r="FV6" s="33"/>
      <c r="FW6" s="33"/>
      <c r="FX6" s="33"/>
      <c r="FY6" s="33"/>
      <c r="FZ6" s="33"/>
      <c r="GA6" s="33"/>
      <c r="GB6" s="33"/>
      <c r="GC6" s="33"/>
      <c r="GD6" s="33"/>
      <c r="GE6" s="33"/>
      <c r="GF6" s="33"/>
      <c r="GG6" s="33"/>
      <c r="GH6" s="33"/>
      <c r="GI6" s="33"/>
      <c r="GJ6" s="33"/>
      <c r="GK6" s="33"/>
      <c r="GL6" s="33"/>
      <c r="GM6" s="33"/>
      <c r="GN6" s="33"/>
      <c r="GO6" s="33"/>
      <c r="GP6" s="33"/>
      <c r="GQ6" s="33"/>
      <c r="GR6" s="33"/>
      <c r="GS6" s="33"/>
      <c r="GT6" s="33"/>
      <c r="GU6" s="33"/>
      <c r="GV6" s="33"/>
      <c r="GW6" s="33"/>
      <c r="GX6" s="33"/>
      <c r="GY6" s="33"/>
      <c r="GZ6" s="33"/>
      <c r="HA6" s="33"/>
      <c r="HB6" s="33"/>
      <c r="HC6" s="33"/>
      <c r="HD6" s="33"/>
      <c r="HE6" s="33"/>
      <c r="HF6" s="33"/>
      <c r="HG6" s="33"/>
      <c r="HH6" s="33"/>
      <c r="HI6" s="33"/>
      <c r="HJ6" s="33"/>
      <c r="HK6" s="33"/>
      <c r="HL6" s="33"/>
      <c r="HM6" s="33"/>
      <c r="HN6" s="33"/>
      <c r="HO6" s="33"/>
      <c r="HP6" s="33"/>
      <c r="HQ6" s="33"/>
      <c r="HR6" s="33"/>
      <c r="HS6" s="33"/>
      <c r="HT6" s="33"/>
      <c r="HU6" s="33"/>
      <c r="HV6" s="33"/>
      <c r="HW6" s="33"/>
      <c r="HX6" s="33"/>
      <c r="HY6" s="33"/>
      <c r="HZ6" s="33"/>
      <c r="IA6" s="33"/>
      <c r="IB6" s="33"/>
      <c r="IC6" s="33"/>
      <c r="ID6" s="33"/>
      <c r="IE6" s="33"/>
      <c r="IF6" s="33"/>
      <c r="IG6" s="33"/>
      <c r="IH6" s="33"/>
      <c r="II6" s="33"/>
      <c r="IJ6" s="33"/>
      <c r="IK6" s="33"/>
      <c r="IL6" s="33"/>
      <c r="IM6" s="33"/>
      <c r="IN6" s="33"/>
      <c r="IO6" s="33"/>
      <c r="IP6" s="33"/>
      <c r="IQ6" s="33"/>
      <c r="IR6" s="33"/>
      <c r="IS6" s="33"/>
      <c r="IT6" s="33"/>
      <c r="IU6" s="33"/>
      <c r="IV6" s="33"/>
      <c r="IW6" s="33"/>
      <c r="IX6" s="33"/>
      <c r="IY6" s="33"/>
      <c r="IZ6" s="33"/>
      <c r="JA6" s="33"/>
      <c r="JB6" s="33"/>
      <c r="JC6" s="33"/>
      <c r="JD6" s="33"/>
      <c r="JE6" s="33"/>
      <c r="JF6" s="33"/>
      <c r="JG6" s="33"/>
      <c r="JH6" s="33"/>
      <c r="JI6" s="33"/>
      <c r="JJ6" s="33"/>
      <c r="JK6" s="33"/>
      <c r="JL6" s="33"/>
      <c r="JM6" s="33"/>
      <c r="JN6" s="33"/>
      <c r="JO6" s="33"/>
      <c r="JP6" s="33"/>
      <c r="JQ6" s="33"/>
      <c r="JR6" s="33"/>
      <c r="JS6" s="33"/>
      <c r="JT6" s="33"/>
      <c r="JU6" s="33"/>
      <c r="JV6" s="33"/>
      <c r="JW6" s="33"/>
      <c r="JX6" s="33"/>
      <c r="JY6" s="33"/>
      <c r="JZ6" s="33"/>
      <c r="KA6" s="33"/>
      <c r="KB6" s="33"/>
      <c r="KC6" s="33"/>
      <c r="KD6" s="33"/>
      <c r="KE6" s="33"/>
      <c r="KF6" s="33"/>
      <c r="KG6" s="33"/>
      <c r="KH6" s="33"/>
      <c r="KI6" s="33"/>
      <c r="KJ6" s="33"/>
      <c r="KK6" s="33"/>
      <c r="KL6" s="33"/>
      <c r="KM6" s="33"/>
      <c r="KN6" s="33"/>
      <c r="KO6" s="33"/>
      <c r="KP6" s="33"/>
      <c r="KQ6" s="33"/>
      <c r="KR6" s="33"/>
      <c r="KS6" s="33"/>
      <c r="KT6" s="33"/>
      <c r="KU6" s="33"/>
      <c r="KV6" s="33"/>
      <c r="KW6" s="33"/>
      <c r="KX6" s="33"/>
      <c r="KY6" s="33"/>
      <c r="KZ6" s="33"/>
      <c r="LA6" s="33"/>
      <c r="LB6" s="33"/>
      <c r="LC6" s="33"/>
      <c r="LD6" s="33"/>
      <c r="LE6" s="33"/>
      <c r="LF6" s="33"/>
      <c r="LG6" s="33"/>
      <c r="LH6" s="33"/>
      <c r="LI6" s="33"/>
      <c r="LJ6" s="33"/>
      <c r="LK6" s="33"/>
      <c r="LL6" s="33"/>
      <c r="LM6" s="33"/>
      <c r="LN6" s="33"/>
      <c r="LO6" s="33"/>
      <c r="LP6" s="33"/>
      <c r="LQ6" s="33"/>
      <c r="LR6" s="33"/>
      <c r="LS6" s="33"/>
      <c r="LT6" s="33"/>
      <c r="LU6" s="33"/>
      <c r="LV6" s="33"/>
      <c r="LW6" s="33"/>
      <c r="LX6" s="33"/>
      <c r="LY6" s="33"/>
      <c r="LZ6" s="33"/>
      <c r="MA6" s="33"/>
      <c r="MB6" s="33"/>
      <c r="MC6" s="33"/>
      <c r="MD6" s="33"/>
      <c r="ME6" s="33"/>
      <c r="MF6" s="33"/>
      <c r="MG6" s="33"/>
      <c r="MH6" s="33"/>
      <c r="MI6" s="33"/>
      <c r="MJ6" s="33"/>
      <c r="MK6" s="33"/>
      <c r="ML6" s="33"/>
      <c r="MM6" s="33"/>
      <c r="MN6" s="33"/>
      <c r="MO6" s="33"/>
      <c r="MP6" s="33"/>
      <c r="MQ6" s="33"/>
      <c r="MR6" s="33"/>
      <c r="MS6" s="33"/>
      <c r="MT6" s="33"/>
      <c r="MU6" s="33"/>
      <c r="MV6" s="33"/>
      <c r="MW6" s="33"/>
      <c r="MX6" s="33"/>
      <c r="MY6" s="33"/>
      <c r="MZ6" s="33"/>
      <c r="NA6" s="33"/>
      <c r="NB6" s="33"/>
      <c r="NC6" s="33"/>
      <c r="ND6" s="33"/>
      <c r="NE6" s="33"/>
      <c r="NF6" s="33"/>
      <c r="NG6" s="33"/>
      <c r="NH6" s="33"/>
      <c r="NI6" s="33"/>
      <c r="NJ6" s="33"/>
      <c r="NK6" s="33"/>
      <c r="NL6" s="33"/>
      <c r="NM6" s="33"/>
      <c r="NN6" s="33"/>
      <c r="NO6" s="33"/>
      <c r="NP6" s="33"/>
      <c r="NQ6" s="33"/>
      <c r="NR6" s="33"/>
      <c r="NS6" s="33"/>
      <c r="NT6" s="33"/>
      <c r="NU6" s="33"/>
      <c r="NV6" s="33"/>
      <c r="NW6" s="33"/>
      <c r="NX6" s="33"/>
      <c r="NY6" s="33"/>
      <c r="NZ6" s="33"/>
      <c r="OA6" s="33"/>
      <c r="OB6" s="33"/>
      <c r="OC6" s="33"/>
      <c r="OD6" s="33"/>
      <c r="OE6" s="33"/>
      <c r="OF6" s="33"/>
      <c r="OG6" s="33"/>
      <c r="OH6" s="33"/>
      <c r="OI6" s="33"/>
      <c r="OJ6" s="33"/>
      <c r="OK6" s="33"/>
      <c r="OL6" s="33"/>
      <c r="OM6" s="33"/>
      <c r="ON6" s="33"/>
      <c r="OO6" s="33"/>
      <c r="OP6" s="33"/>
      <c r="OQ6" s="33"/>
      <c r="OR6" s="33"/>
      <c r="OS6" s="33"/>
      <c r="OT6" s="33"/>
      <c r="OU6" s="33"/>
      <c r="OV6" s="33"/>
      <c r="OW6" s="33"/>
      <c r="OX6" s="33"/>
      <c r="OY6" s="33"/>
      <c r="OZ6" s="33"/>
      <c r="PA6" s="33"/>
      <c r="PB6" s="33"/>
      <c r="PC6" s="33"/>
      <c r="PD6" s="33"/>
      <c r="PE6" s="33"/>
      <c r="PF6" s="33"/>
      <c r="PG6" s="33"/>
      <c r="PH6" s="33"/>
      <c r="PI6" s="33"/>
      <c r="PJ6" s="33"/>
      <c r="PK6" s="33"/>
      <c r="PL6" s="33"/>
      <c r="PM6" s="33"/>
      <c r="PN6" s="33"/>
      <c r="PO6" s="33"/>
      <c r="PP6" s="33"/>
      <c r="PQ6" s="33"/>
      <c r="PR6" s="33"/>
      <c r="PS6" s="33"/>
      <c r="PT6" s="33"/>
      <c r="PU6" s="33"/>
      <c r="PV6" s="33"/>
      <c r="PW6" s="33"/>
      <c r="PX6" s="33"/>
      <c r="PY6" s="33"/>
      <c r="PZ6" s="33"/>
      <c r="QA6" s="33"/>
      <c r="QB6" s="33"/>
      <c r="QC6" s="33"/>
      <c r="QD6" s="33"/>
      <c r="QE6" s="33"/>
      <c r="QF6" s="33"/>
      <c r="QG6" s="33"/>
      <c r="QH6" s="33"/>
      <c r="QI6" s="33"/>
      <c r="QJ6" s="33"/>
      <c r="QK6" s="33"/>
      <c r="QL6" s="33"/>
      <c r="QM6" s="33"/>
      <c r="QN6" s="33"/>
      <c r="QO6" s="33"/>
      <c r="QP6" s="33"/>
      <c r="QQ6" s="33"/>
      <c r="QR6" s="33"/>
      <c r="QS6" s="33"/>
      <c r="QT6" s="33"/>
      <c r="QU6" s="33"/>
      <c r="QV6" s="33"/>
      <c r="QW6" s="33"/>
      <c r="QX6" s="33"/>
      <c r="QY6" s="33"/>
      <c r="QZ6" s="33"/>
      <c r="RA6" s="33"/>
      <c r="RB6" s="33"/>
      <c r="RC6" s="33"/>
      <c r="RD6" s="33"/>
      <c r="RE6" s="33"/>
      <c r="RF6" s="33"/>
      <c r="RG6" s="33"/>
      <c r="RH6" s="33"/>
      <c r="RI6" s="33"/>
      <c r="RJ6" s="33"/>
      <c r="RK6" s="33"/>
      <c r="RL6" s="33"/>
      <c r="RM6" s="33"/>
      <c r="RN6" s="33"/>
      <c r="RO6" s="33"/>
      <c r="RP6" s="33"/>
      <c r="RQ6" s="33"/>
      <c r="RR6" s="33"/>
      <c r="RS6" s="33"/>
      <c r="RT6" s="33"/>
      <c r="RU6" s="33"/>
      <c r="RV6" s="33"/>
      <c r="RW6" s="33"/>
      <c r="RX6" s="33"/>
      <c r="RY6" s="33"/>
      <c r="RZ6" s="33"/>
      <c r="SA6" s="33"/>
      <c r="SB6" s="33"/>
      <c r="SC6" s="33"/>
      <c r="SD6" s="33"/>
      <c r="SE6" s="33"/>
      <c r="SF6" s="33"/>
      <c r="SG6" s="33"/>
      <c r="SH6" s="33"/>
      <c r="SI6" s="33"/>
      <c r="SJ6" s="33"/>
      <c r="SK6" s="33"/>
      <c r="SL6" s="33"/>
      <c r="SM6" s="33"/>
      <c r="SN6" s="33"/>
      <c r="SO6" s="33"/>
      <c r="SP6" s="33"/>
      <c r="SQ6" s="33"/>
      <c r="SR6" s="33"/>
      <c r="SS6" s="33"/>
      <c r="ST6" s="33"/>
      <c r="SU6" s="33"/>
      <c r="SV6" s="33"/>
      <c r="SW6" s="33"/>
      <c r="SX6" s="33"/>
      <c r="SY6" s="33"/>
      <c r="SZ6" s="33"/>
      <c r="TA6" s="33"/>
      <c r="TB6" s="33"/>
      <c r="TC6" s="33"/>
      <c r="TD6" s="33"/>
      <c r="TE6" s="33"/>
      <c r="TF6" s="33"/>
      <c r="TG6" s="33"/>
      <c r="TH6" s="33"/>
      <c r="TI6" s="33"/>
      <c r="TJ6" s="33"/>
      <c r="TK6" s="33"/>
      <c r="TL6" s="33"/>
      <c r="TM6" s="33"/>
      <c r="TN6" s="33"/>
      <c r="TO6" s="33"/>
      <c r="TP6" s="33"/>
      <c r="TQ6" s="33"/>
      <c r="TR6" s="33"/>
      <c r="TS6" s="33"/>
      <c r="TT6" s="33"/>
      <c r="TU6" s="33"/>
      <c r="TV6" s="33"/>
      <c r="TW6" s="33"/>
      <c r="TX6" s="33"/>
      <c r="TY6" s="33"/>
      <c r="TZ6" s="33"/>
      <c r="UA6" s="33"/>
      <c r="UB6" s="33"/>
      <c r="UC6" s="33"/>
      <c r="UD6" s="33"/>
      <c r="UE6" s="33"/>
      <c r="UF6" s="33"/>
      <c r="UG6" s="33"/>
      <c r="UH6" s="33"/>
      <c r="UI6" s="33"/>
      <c r="UJ6" s="33"/>
      <c r="UK6" s="33"/>
      <c r="UL6" s="33"/>
      <c r="UM6" s="33"/>
      <c r="UN6" s="33"/>
      <c r="UO6" s="33"/>
      <c r="UP6" s="33"/>
      <c r="UQ6" s="33"/>
      <c r="UR6" s="33"/>
      <c r="US6" s="33"/>
      <c r="UT6" s="33"/>
      <c r="UU6" s="33"/>
      <c r="UV6" s="33"/>
      <c r="UW6" s="33"/>
      <c r="UX6" s="33"/>
      <c r="UY6" s="33"/>
      <c r="UZ6" s="33"/>
      <c r="VA6" s="33"/>
      <c r="VB6" s="33"/>
      <c r="VC6" s="33"/>
      <c r="VD6" s="33"/>
      <c r="VE6" s="33"/>
      <c r="VF6" s="33"/>
      <c r="VG6" s="33"/>
      <c r="VH6" s="33"/>
      <c r="VI6" s="33"/>
      <c r="VJ6" s="33"/>
      <c r="VK6" s="33"/>
      <c r="VL6" s="33"/>
      <c r="VM6" s="33"/>
      <c r="VN6" s="33"/>
      <c r="VO6" s="33"/>
      <c r="VP6" s="33"/>
      <c r="VQ6" s="33"/>
      <c r="VR6" s="33"/>
      <c r="VS6" s="33"/>
      <c r="VT6" s="33"/>
      <c r="VU6" s="33"/>
      <c r="VV6" s="33"/>
      <c r="VW6" s="33"/>
      <c r="VX6" s="33"/>
      <c r="VY6" s="33"/>
      <c r="VZ6" s="33"/>
      <c r="WA6" s="33"/>
      <c r="WB6" s="33"/>
      <c r="WC6" s="33"/>
      <c r="WD6" s="33"/>
      <c r="WE6" s="33"/>
      <c r="WF6" s="33"/>
      <c r="WG6" s="33"/>
      <c r="WH6" s="33"/>
      <c r="WI6" s="33"/>
      <c r="WJ6" s="33"/>
      <c r="WK6" s="33"/>
      <c r="WL6" s="33"/>
      <c r="WM6" s="33"/>
      <c r="WN6" s="33"/>
      <c r="WO6" s="33"/>
      <c r="WP6" s="33"/>
      <c r="WQ6" s="33"/>
      <c r="WR6" s="33"/>
      <c r="WS6" s="33"/>
      <c r="WT6" s="33"/>
      <c r="WU6" s="33"/>
      <c r="WV6" s="33"/>
      <c r="WW6" s="33"/>
      <c r="WX6" s="33"/>
      <c r="WY6" s="33"/>
      <c r="WZ6" s="33"/>
      <c r="XA6" s="33"/>
      <c r="XB6" s="33"/>
      <c r="XC6" s="33"/>
      <c r="XD6" s="33"/>
      <c r="XE6" s="33"/>
      <c r="XF6" s="33"/>
      <c r="XG6" s="33"/>
      <c r="XH6" s="33"/>
      <c r="XI6" s="33"/>
      <c r="XJ6" s="33"/>
      <c r="XK6" s="33"/>
      <c r="XL6" s="33"/>
      <c r="XM6" s="33"/>
      <c r="XN6" s="33"/>
      <c r="XO6" s="33"/>
      <c r="XP6" s="33"/>
      <c r="XQ6" s="33"/>
      <c r="XR6" s="33"/>
      <c r="XS6" s="33"/>
      <c r="XT6" s="33"/>
      <c r="XU6" s="33"/>
      <c r="XV6" s="33"/>
      <c r="XW6" s="33"/>
      <c r="XX6" s="33"/>
      <c r="XY6" s="33"/>
      <c r="XZ6" s="33"/>
      <c r="YA6" s="33"/>
      <c r="YB6" s="33"/>
      <c r="YC6" s="33"/>
      <c r="YD6" s="33"/>
      <c r="YE6" s="33"/>
      <c r="YF6" s="33"/>
      <c r="YG6" s="33"/>
      <c r="YH6" s="33"/>
      <c r="YI6" s="33"/>
      <c r="YJ6" s="33"/>
      <c r="YK6" s="33"/>
      <c r="YL6" s="33"/>
      <c r="YM6" s="33"/>
      <c r="YN6" s="33"/>
      <c r="YO6" s="33"/>
      <c r="YP6" s="33"/>
      <c r="YQ6" s="33"/>
      <c r="YR6" s="33"/>
      <c r="YS6" s="33"/>
      <c r="YT6" s="33"/>
      <c r="YU6" s="33"/>
      <c r="YV6" s="33"/>
      <c r="YW6" s="33"/>
      <c r="YX6" s="33"/>
      <c r="YY6" s="33"/>
      <c r="YZ6" s="33"/>
      <c r="ZA6" s="33"/>
      <c r="ZB6" s="33"/>
      <c r="ZC6" s="33"/>
      <c r="ZD6" s="33"/>
      <c r="ZE6" s="33"/>
      <c r="ZF6" s="33"/>
      <c r="ZG6" s="33"/>
      <c r="ZH6" s="33"/>
      <c r="ZI6" s="33"/>
      <c r="ZJ6" s="33"/>
      <c r="ZK6" s="33"/>
      <c r="ZL6" s="33"/>
      <c r="ZM6" s="33"/>
      <c r="ZN6" s="33"/>
      <c r="ZO6" s="33"/>
      <c r="ZP6" s="33"/>
      <c r="ZQ6" s="33"/>
      <c r="ZR6" s="33"/>
      <c r="ZS6" s="33"/>
      <c r="ZT6" s="33"/>
      <c r="ZU6" s="33"/>
      <c r="ZV6" s="33"/>
      <c r="ZW6" s="33"/>
      <c r="ZX6" s="33"/>
      <c r="ZY6" s="33"/>
      <c r="ZZ6" s="33"/>
      <c r="AAA6" s="33"/>
      <c r="AAB6" s="33"/>
      <c r="AAC6" s="33"/>
      <c r="AAD6" s="33"/>
      <c r="AAE6" s="33"/>
      <c r="AAF6" s="33"/>
      <c r="AAG6" s="33"/>
      <c r="AAH6" s="33"/>
      <c r="AAI6" s="33"/>
      <c r="AAJ6" s="33"/>
      <c r="AAK6" s="33"/>
      <c r="AAL6" s="33"/>
      <c r="AAM6" s="33"/>
      <c r="AAN6" s="33"/>
      <c r="AAO6" s="33"/>
      <c r="AAP6" s="33"/>
      <c r="AAQ6" s="33"/>
      <c r="AAR6" s="33"/>
      <c r="AAS6" s="33"/>
      <c r="AAT6" s="33"/>
      <c r="AAU6" s="33"/>
      <c r="AAV6" s="33"/>
      <c r="AAW6" s="33"/>
      <c r="AAX6" s="33"/>
      <c r="AAY6" s="33"/>
      <c r="AAZ6" s="33"/>
      <c r="ABA6" s="33"/>
      <c r="ABB6" s="33"/>
      <c r="ABC6" s="33"/>
      <c r="ABD6" s="33"/>
      <c r="ABE6" s="33"/>
      <c r="ABF6" s="33"/>
      <c r="ABG6" s="33"/>
      <c r="ABH6" s="33"/>
      <c r="ABI6" s="33"/>
      <c r="ABJ6" s="33"/>
      <c r="ABK6" s="33"/>
      <c r="ABL6" s="33"/>
      <c r="ABM6" s="33"/>
      <c r="ABN6" s="33"/>
      <c r="ABO6" s="33"/>
      <c r="ABP6" s="33"/>
      <c r="ABQ6" s="33"/>
      <c r="ABR6" s="33"/>
      <c r="ABS6" s="33"/>
      <c r="ABT6" s="33"/>
      <c r="ABU6" s="33"/>
      <c r="ABV6" s="33"/>
      <c r="ABW6" s="33"/>
      <c r="ABX6" s="33"/>
      <c r="ABY6" s="33"/>
      <c r="ABZ6" s="33"/>
      <c r="ACA6" s="33"/>
      <c r="ACB6" s="33"/>
      <c r="ACC6" s="33"/>
      <c r="ACD6" s="33"/>
      <c r="ACE6" s="33"/>
      <c r="ACF6" s="33"/>
      <c r="ACG6" s="33"/>
      <c r="ACH6" s="33"/>
      <c r="ACI6" s="33"/>
      <c r="ACJ6" s="33"/>
      <c r="ACK6" s="33"/>
      <c r="ACL6" s="33"/>
      <c r="ACM6" s="33"/>
      <c r="ACN6" s="33"/>
      <c r="ACO6" s="33"/>
      <c r="ACP6" s="33"/>
      <c r="ACQ6" s="33"/>
      <c r="ACR6" s="33"/>
      <c r="ACS6" s="33"/>
      <c r="ACT6" s="33"/>
      <c r="ACU6" s="33"/>
      <c r="ACV6" s="33"/>
      <c r="ACW6" s="33"/>
      <c r="ACX6" s="33"/>
      <c r="ACY6" s="33"/>
      <c r="ACZ6" s="33"/>
      <c r="ADA6" s="33"/>
      <c r="ADB6" s="33"/>
      <c r="ADC6" s="33"/>
      <c r="ADD6" s="33"/>
      <c r="ADE6" s="33"/>
      <c r="ADF6" s="33"/>
      <c r="ADG6" s="33"/>
      <c r="ADH6" s="33"/>
      <c r="ADI6" s="33"/>
      <c r="ADJ6" s="33"/>
      <c r="ADK6" s="33"/>
      <c r="ADL6" s="33"/>
      <c r="ADM6" s="33"/>
      <c r="ADN6" s="33"/>
      <c r="ADO6" s="33"/>
      <c r="ADP6" s="33"/>
      <c r="ADQ6" s="33"/>
      <c r="ADR6" s="33"/>
      <c r="ADS6" s="33"/>
      <c r="ADT6" s="33"/>
      <c r="ADU6" s="33"/>
      <c r="ADV6" s="33"/>
      <c r="ADW6" s="33"/>
      <c r="ADX6" s="33"/>
      <c r="ADY6" s="33"/>
      <c r="ADZ6" s="33"/>
      <c r="AEA6" s="33"/>
      <c r="AEB6" s="33"/>
      <c r="AEC6" s="33"/>
      <c r="AED6" s="33"/>
      <c r="AEE6" s="33"/>
      <c r="AEF6" s="33"/>
      <c r="AEG6" s="33"/>
      <c r="AEH6" s="33"/>
      <c r="AEI6" s="33"/>
      <c r="AEJ6" s="33"/>
      <c r="AEK6" s="33"/>
      <c r="AEL6" s="33"/>
      <c r="AEM6" s="33"/>
      <c r="AEN6" s="33"/>
      <c r="AEO6" s="33"/>
      <c r="AEP6" s="33"/>
      <c r="AEQ6" s="33"/>
      <c r="AER6" s="33"/>
      <c r="AES6" s="33"/>
      <c r="AET6" s="33"/>
      <c r="AEU6" s="33"/>
      <c r="AEV6" s="33"/>
      <c r="AEW6" s="33"/>
      <c r="AEX6" s="33"/>
      <c r="AEY6" s="33"/>
      <c r="AEZ6" s="33"/>
      <c r="AFA6" s="33"/>
      <c r="AFB6" s="33"/>
      <c r="AFC6" s="33"/>
      <c r="AFD6" s="33"/>
      <c r="AFE6" s="33"/>
      <c r="AFF6" s="33"/>
      <c r="AFG6" s="33"/>
      <c r="AFH6" s="33"/>
      <c r="AFI6" s="33"/>
      <c r="AFJ6" s="33"/>
      <c r="AFK6" s="33"/>
      <c r="AFL6" s="33"/>
      <c r="AFM6" s="33"/>
      <c r="AFN6" s="33"/>
      <c r="AFO6" s="33"/>
      <c r="AFP6" s="33"/>
      <c r="AFQ6" s="33"/>
      <c r="AFR6" s="33"/>
      <c r="AFS6" s="33"/>
      <c r="AFT6" s="33"/>
      <c r="AFU6" s="33"/>
      <c r="AFV6" s="33"/>
      <c r="AFW6" s="33"/>
      <c r="AFX6" s="33"/>
      <c r="AFY6" s="33"/>
      <c r="AFZ6" s="33"/>
      <c r="AGA6" s="33"/>
      <c r="AGB6" s="33"/>
      <c r="AGC6" s="33"/>
      <c r="AGD6" s="33"/>
      <c r="AGE6" s="33"/>
      <c r="AGF6" s="33"/>
      <c r="AGG6" s="33"/>
      <c r="AGH6" s="33"/>
      <c r="AGI6" s="33"/>
      <c r="AGJ6" s="33"/>
      <c r="AGK6" s="33"/>
      <c r="AGL6" s="33"/>
      <c r="AGM6" s="33"/>
      <c r="AGN6" s="33"/>
      <c r="AGO6" s="33"/>
      <c r="AGP6" s="33"/>
      <c r="AGQ6" s="33"/>
      <c r="AGR6" s="33"/>
      <c r="AGS6" s="33"/>
      <c r="AGT6" s="33"/>
      <c r="AGU6" s="33"/>
      <c r="AGV6" s="33"/>
      <c r="AGW6" s="33"/>
      <c r="AGX6" s="33"/>
      <c r="AGY6" s="33"/>
      <c r="AGZ6" s="33"/>
      <c r="AHA6" s="33"/>
      <c r="AHB6" s="33"/>
      <c r="AHC6" s="33"/>
      <c r="AHD6" s="33"/>
      <c r="AHE6" s="33"/>
      <c r="AHF6" s="33"/>
      <c r="AHG6" s="33"/>
      <c r="AHH6" s="33"/>
      <c r="AHI6" s="33"/>
      <c r="AHJ6" s="33"/>
      <c r="AHK6" s="33"/>
      <c r="AHL6" s="33"/>
      <c r="AHM6" s="33"/>
      <c r="AHN6" s="33"/>
      <c r="AHO6" s="33"/>
      <c r="AHP6" s="33"/>
      <c r="AHQ6" s="33"/>
      <c r="AHR6" s="33"/>
      <c r="AHS6" s="33"/>
      <c r="AHT6" s="33"/>
      <c r="AHU6" s="33"/>
      <c r="AHV6" s="33"/>
      <c r="AHW6" s="33"/>
      <c r="AHX6" s="33"/>
      <c r="AHY6" s="33"/>
      <c r="AHZ6" s="33"/>
      <c r="AIA6" s="33"/>
      <c r="AIB6" s="33"/>
      <c r="AIC6" s="33"/>
      <c r="AID6" s="33"/>
      <c r="AIE6" s="33"/>
      <c r="AIF6" s="33"/>
      <c r="AIG6" s="33"/>
      <c r="AIH6" s="33"/>
      <c r="AII6" s="33"/>
      <c r="AIJ6" s="33"/>
      <c r="AIK6" s="33"/>
      <c r="AIL6" s="33"/>
      <c r="AIM6" s="33"/>
      <c r="AIN6" s="33"/>
      <c r="AIO6" s="33"/>
      <c r="AIP6" s="33"/>
      <c r="AIQ6" s="33"/>
      <c r="AIR6" s="33"/>
      <c r="AIS6" s="33"/>
      <c r="AIT6" s="33"/>
      <c r="AIU6" s="33"/>
      <c r="AIV6" s="33"/>
      <c r="AIW6" s="33"/>
      <c r="AIX6" s="33"/>
      <c r="AIY6" s="33"/>
      <c r="AIZ6" s="33"/>
      <c r="AJA6" s="33"/>
      <c r="AJB6" s="33"/>
      <c r="AJC6" s="33"/>
      <c r="AJD6" s="33"/>
      <c r="AJE6" s="33"/>
      <c r="AJF6" s="33"/>
      <c r="AJG6" s="33"/>
      <c r="AJH6" s="33"/>
      <c r="AJI6" s="33"/>
      <c r="AJJ6" s="33"/>
      <c r="AJK6" s="33"/>
      <c r="AJL6" s="33"/>
      <c r="AJM6" s="33"/>
      <c r="AJN6" s="33"/>
      <c r="AJO6" s="33"/>
      <c r="AJP6" s="33"/>
      <c r="AJQ6" s="33"/>
      <c r="AJR6" s="33"/>
      <c r="AJS6" s="33"/>
      <c r="AJT6" s="33"/>
      <c r="AJU6" s="33"/>
      <c r="AJV6" s="33"/>
      <c r="AJW6" s="33"/>
      <c r="AJX6" s="33"/>
      <c r="AJY6" s="33"/>
      <c r="AJZ6" s="33"/>
      <c r="AKA6" s="33"/>
      <c r="AKB6" s="33"/>
      <c r="AKC6" s="33"/>
      <c r="AKD6" s="33"/>
      <c r="AKE6" s="33"/>
      <c r="AKF6" s="33"/>
      <c r="AKG6" s="33"/>
      <c r="AKH6" s="33"/>
      <c r="AKI6" s="33"/>
      <c r="AKJ6" s="33"/>
      <c r="AKK6" s="33"/>
      <c r="AKL6" s="33"/>
      <c r="AKM6" s="33"/>
      <c r="AKN6" s="33"/>
      <c r="AKO6" s="33"/>
      <c r="AKP6" s="33"/>
      <c r="AKQ6" s="33"/>
      <c r="AKR6" s="33"/>
      <c r="AKS6" s="33"/>
      <c r="AKT6" s="33"/>
      <c r="AKU6" s="33"/>
      <c r="AKV6" s="33"/>
      <c r="AKW6" s="33"/>
      <c r="AKX6" s="33"/>
      <c r="AKY6" s="33"/>
      <c r="AKZ6" s="33"/>
      <c r="ALA6" s="33"/>
      <c r="ALB6" s="33"/>
      <c r="ALC6" s="33"/>
      <c r="ALD6" s="33"/>
      <c r="ALE6" s="33"/>
      <c r="ALF6" s="33"/>
      <c r="ALG6" s="33"/>
      <c r="ALH6" s="33"/>
      <c r="ALI6" s="33"/>
      <c r="ALJ6" s="33"/>
      <c r="ALK6" s="33"/>
      <c r="ALL6" s="33"/>
      <c r="ALM6" s="33"/>
      <c r="ALN6" s="33"/>
      <c r="ALO6" s="33"/>
      <c r="ALP6" s="33"/>
      <c r="ALQ6" s="33"/>
      <c r="ALR6" s="33"/>
      <c r="ALS6" s="33"/>
      <c r="ALT6" s="33"/>
      <c r="ALU6" s="33"/>
      <c r="ALV6" s="33"/>
      <c r="ALW6" s="33"/>
      <c r="ALX6" s="33"/>
      <c r="ALY6" s="33"/>
      <c r="ALZ6" s="33"/>
      <c r="AMA6" s="33"/>
      <c r="AMB6" s="33"/>
      <c r="AMC6" s="33"/>
      <c r="AMD6" s="33"/>
      <c r="AME6" s="33"/>
      <c r="AMF6" s="33"/>
      <c r="AMG6" s="33"/>
      <c r="AMH6" s="33"/>
      <c r="AMI6" s="33"/>
      <c r="AMJ6" s="33"/>
      <c r="AMK6" s="33"/>
      <c r="AML6" s="33"/>
    </row>
    <row r="7" ht="15.75" customHeight="1">
      <c r="A7" s="8" t="s">
        <v>20</v>
      </c>
      <c r="B7" s="8" t="s">
        <v>20</v>
      </c>
      <c r="C7" s="13" t="s">
        <v>30</v>
      </c>
      <c r="D7" s="8" t="s">
        <v>22</v>
      </c>
      <c r="E7" s="8" t="s">
        <v>22</v>
      </c>
      <c r="F7" s="8" t="s">
        <v>23</v>
      </c>
      <c r="G7" s="8">
        <v>1.0</v>
      </c>
      <c r="H7" s="8">
        <v>1.0</v>
      </c>
      <c r="I7" s="8">
        <v>1.0</v>
      </c>
      <c r="J7" s="8"/>
      <c r="K7" s="8">
        <v>0.0</v>
      </c>
      <c r="L7" s="8">
        <v>0.0</v>
      </c>
      <c r="M7" s="8">
        <v>0.0</v>
      </c>
      <c r="N7" s="8"/>
      <c r="O7" s="8">
        <v>0.0</v>
      </c>
      <c r="P7">
        <v>0.0</v>
      </c>
      <c r="Q7">
        <v>0.0</v>
      </c>
      <c r="R7">
        <v>0.0</v>
      </c>
      <c r="S7">
        <v>0.0</v>
      </c>
      <c r="T7" t="s">
        <v>22</v>
      </c>
      <c r="AB7" t="s">
        <v>20</v>
      </c>
      <c r="AC7" t="s">
        <v>20</v>
      </c>
      <c r="AD7" t="s">
        <v>20</v>
      </c>
      <c r="AE7" t="s">
        <v>20</v>
      </c>
      <c r="AF7" t="s">
        <v>20</v>
      </c>
      <c r="AG7" t="s">
        <v>20</v>
      </c>
      <c r="AH7" t="s">
        <v>20</v>
      </c>
      <c r="AI7" t="s">
        <v>20</v>
      </c>
      <c r="AJ7" t="s">
        <v>20</v>
      </c>
      <c r="AK7" t="s">
        <v>20</v>
      </c>
      <c r="AL7" t="s">
        <v>20</v>
      </c>
      <c r="AM7" t="s">
        <v>20</v>
      </c>
      <c r="AN7" t="s">
        <v>20</v>
      </c>
      <c r="AO7" t="s">
        <v>20</v>
      </c>
      <c r="AP7" t="s">
        <v>20</v>
      </c>
      <c r="AQ7" t="s">
        <v>20</v>
      </c>
      <c r="AR7" t="s">
        <v>20</v>
      </c>
      <c r="AS7" t="s">
        <v>20</v>
      </c>
      <c r="AT7" t="s">
        <v>20</v>
      </c>
      <c r="AU7" t="s">
        <v>20</v>
      </c>
      <c r="AV7" t="s">
        <v>20</v>
      </c>
      <c r="AW7" t="s">
        <v>20</v>
      </c>
      <c r="AX7" t="s">
        <v>20</v>
      </c>
      <c r="AY7" t="s">
        <v>20</v>
      </c>
      <c r="AZ7" t="s">
        <v>20</v>
      </c>
      <c r="BA7" t="s">
        <v>20</v>
      </c>
      <c r="BB7" t="s">
        <v>20</v>
      </c>
      <c r="BC7" t="s">
        <v>20</v>
      </c>
      <c r="BD7" t="s">
        <v>20</v>
      </c>
      <c r="BE7" t="s">
        <v>20</v>
      </c>
      <c r="BF7" t="s">
        <v>20</v>
      </c>
      <c r="BG7" t="s">
        <v>20</v>
      </c>
      <c r="BH7" t="s">
        <v>20</v>
      </c>
      <c r="BI7" t="s">
        <v>20</v>
      </c>
      <c r="BJ7" t="s">
        <v>20</v>
      </c>
      <c r="BK7" t="s">
        <v>20</v>
      </c>
      <c r="BL7" t="s">
        <v>20</v>
      </c>
      <c r="BM7" t="s">
        <v>20</v>
      </c>
      <c r="BN7" t="s">
        <v>20</v>
      </c>
      <c r="BO7" t="s">
        <v>20</v>
      </c>
      <c r="BP7" t="s">
        <v>20</v>
      </c>
      <c r="BQ7" t="s">
        <v>20</v>
      </c>
      <c r="BR7" t="s">
        <v>20</v>
      </c>
      <c r="BS7" t="s">
        <v>20</v>
      </c>
      <c r="BT7" t="s">
        <v>20</v>
      </c>
      <c r="BU7" t="s">
        <v>20</v>
      </c>
      <c r="BV7" t="s">
        <v>20</v>
      </c>
      <c r="BW7" t="s">
        <v>20</v>
      </c>
      <c r="BX7" t="s">
        <v>20</v>
      </c>
      <c r="BY7" t="s">
        <v>20</v>
      </c>
      <c r="BZ7" t="s">
        <v>20</v>
      </c>
      <c r="CA7" t="s">
        <v>20</v>
      </c>
      <c r="CB7" t="s">
        <v>20</v>
      </c>
      <c r="CC7" t="s">
        <v>20</v>
      </c>
      <c r="CD7" t="s">
        <v>20</v>
      </c>
      <c r="CE7" t="s">
        <v>20</v>
      </c>
      <c r="CF7" t="s">
        <v>20</v>
      </c>
      <c r="CG7" t="s">
        <v>20</v>
      </c>
      <c r="CH7" t="s">
        <v>20</v>
      </c>
      <c r="CI7" t="s">
        <v>20</v>
      </c>
      <c r="CJ7" t="s">
        <v>20</v>
      </c>
      <c r="CK7" t="s">
        <v>20</v>
      </c>
      <c r="CL7" t="s">
        <v>20</v>
      </c>
      <c r="CM7" t="s">
        <v>20</v>
      </c>
      <c r="CN7" t="s">
        <v>20</v>
      </c>
      <c r="CO7" t="s">
        <v>20</v>
      </c>
      <c r="CP7" t="s">
        <v>20</v>
      </c>
      <c r="CQ7" t="s">
        <v>20</v>
      </c>
      <c r="CR7" t="s">
        <v>20</v>
      </c>
      <c r="CS7" t="s">
        <v>20</v>
      </c>
      <c r="CT7" t="s">
        <v>20</v>
      </c>
      <c r="CU7" t="s">
        <v>20</v>
      </c>
      <c r="CV7" t="s">
        <v>20</v>
      </c>
      <c r="CW7" t="s">
        <v>20</v>
      </c>
      <c r="CX7" t="s">
        <v>20</v>
      </c>
      <c r="CY7" t="s">
        <v>20</v>
      </c>
      <c r="CZ7" t="s">
        <v>20</v>
      </c>
      <c r="DA7" t="s">
        <v>20</v>
      </c>
      <c r="DB7" t="s">
        <v>20</v>
      </c>
      <c r="DC7" t="s">
        <v>20</v>
      </c>
      <c r="DD7" t="s">
        <v>20</v>
      </c>
      <c r="DE7" t="s">
        <v>20</v>
      </c>
      <c r="DF7" t="s">
        <v>20</v>
      </c>
      <c r="DG7" t="s">
        <v>20</v>
      </c>
      <c r="DH7" t="s">
        <v>20</v>
      </c>
      <c r="DI7" t="s">
        <v>20</v>
      </c>
      <c r="DJ7" t="s">
        <v>20</v>
      </c>
      <c r="DK7" t="s">
        <v>20</v>
      </c>
      <c r="DL7" t="s">
        <v>20</v>
      </c>
      <c r="DM7" t="s">
        <v>20</v>
      </c>
      <c r="DN7" t="s">
        <v>20</v>
      </c>
      <c r="DO7" t="s">
        <v>20</v>
      </c>
      <c r="DP7" t="s">
        <v>20</v>
      </c>
      <c r="DQ7" t="s">
        <v>20</v>
      </c>
      <c r="DR7" t="s">
        <v>20</v>
      </c>
      <c r="DS7" t="s">
        <v>20</v>
      </c>
      <c r="DT7" t="s">
        <v>20</v>
      </c>
      <c r="DU7" t="s">
        <v>20</v>
      </c>
      <c r="DV7" t="s">
        <v>20</v>
      </c>
      <c r="DW7" t="s">
        <v>20</v>
      </c>
      <c r="DX7" t="s">
        <v>20</v>
      </c>
      <c r="DY7" t="s">
        <v>20</v>
      </c>
      <c r="DZ7" t="s">
        <v>20</v>
      </c>
      <c r="EA7" t="s">
        <v>20</v>
      </c>
      <c r="EB7" t="s">
        <v>20</v>
      </c>
      <c r="EC7" t="s">
        <v>20</v>
      </c>
      <c r="ED7" t="s">
        <v>20</v>
      </c>
      <c r="EE7" t="s">
        <v>20</v>
      </c>
      <c r="EF7" t="s">
        <v>20</v>
      </c>
      <c r="EG7" t="s">
        <v>20</v>
      </c>
      <c r="EH7" t="s">
        <v>20</v>
      </c>
      <c r="EI7" t="s">
        <v>20</v>
      </c>
      <c r="EJ7" t="s">
        <v>20</v>
      </c>
      <c r="EK7" t="s">
        <v>20</v>
      </c>
      <c r="EL7" t="s">
        <v>20</v>
      </c>
      <c r="EM7" t="s">
        <v>20</v>
      </c>
      <c r="EN7" t="s">
        <v>20</v>
      </c>
      <c r="EO7" t="s">
        <v>20</v>
      </c>
      <c r="EP7" t="s">
        <v>20</v>
      </c>
      <c r="EQ7" t="s">
        <v>20</v>
      </c>
      <c r="ER7" t="s">
        <v>20</v>
      </c>
      <c r="ES7" t="s">
        <v>20</v>
      </c>
      <c r="ET7" t="s">
        <v>20</v>
      </c>
      <c r="EU7" t="s">
        <v>20</v>
      </c>
      <c r="EV7" t="s">
        <v>20</v>
      </c>
      <c r="EW7" t="s">
        <v>20</v>
      </c>
      <c r="EX7" t="s">
        <v>20</v>
      </c>
      <c r="EY7" t="s">
        <v>20</v>
      </c>
      <c r="EZ7" t="s">
        <v>20</v>
      </c>
      <c r="FA7" t="s">
        <v>20</v>
      </c>
      <c r="FB7" t="s">
        <v>20</v>
      </c>
      <c r="FC7" t="s">
        <v>20</v>
      </c>
      <c r="FD7" t="s">
        <v>20</v>
      </c>
      <c r="FE7" t="s">
        <v>20</v>
      </c>
      <c r="FF7" t="s">
        <v>20</v>
      </c>
      <c r="FG7" t="s">
        <v>20</v>
      </c>
      <c r="FH7" t="s">
        <v>20</v>
      </c>
      <c r="FI7" t="s">
        <v>20</v>
      </c>
      <c r="FJ7" t="s">
        <v>20</v>
      </c>
      <c r="FK7" t="s">
        <v>20</v>
      </c>
      <c r="FL7" t="s">
        <v>20</v>
      </c>
      <c r="FM7" t="s">
        <v>20</v>
      </c>
      <c r="FN7" t="s">
        <v>20</v>
      </c>
      <c r="FO7" t="s">
        <v>20</v>
      </c>
      <c r="FP7" t="s">
        <v>20</v>
      </c>
      <c r="FQ7" t="s">
        <v>20</v>
      </c>
      <c r="FR7" s="33"/>
      <c r="FS7" s="33"/>
      <c r="FT7" s="33"/>
      <c r="FU7" s="33"/>
      <c r="FV7" s="33"/>
      <c r="FW7" s="33"/>
      <c r="FX7" s="33"/>
      <c r="FY7" s="33"/>
      <c r="FZ7" s="33"/>
      <c r="GA7" s="33"/>
      <c r="GB7" s="33"/>
      <c r="GC7" s="33"/>
      <c r="GD7" s="33"/>
      <c r="GE7" s="33"/>
      <c r="GF7" s="33"/>
      <c r="GG7" s="33"/>
      <c r="GH7" s="33"/>
      <c r="GI7" s="33"/>
      <c r="GJ7" s="33"/>
      <c r="GK7" s="33"/>
      <c r="GL7" s="33"/>
      <c r="GM7" s="33"/>
      <c r="GN7" s="33"/>
      <c r="GO7" s="33"/>
      <c r="GP7" s="33"/>
      <c r="GQ7" s="33"/>
      <c r="GR7" s="33"/>
      <c r="GS7" s="33"/>
      <c r="GT7" s="33"/>
      <c r="GU7" s="33"/>
      <c r="GV7" s="33"/>
      <c r="GW7" s="33"/>
      <c r="GX7" s="33"/>
      <c r="GY7" s="33"/>
      <c r="GZ7" s="33"/>
      <c r="HA7" s="33"/>
      <c r="HB7" s="33"/>
      <c r="HC7" s="33"/>
      <c r="HD7" s="33"/>
      <c r="HE7" s="33"/>
      <c r="HF7" s="33"/>
      <c r="HG7" s="33"/>
      <c r="HH7" s="33"/>
      <c r="HI7" s="33"/>
      <c r="HJ7" s="33"/>
      <c r="HK7" s="33"/>
      <c r="HL7" s="33"/>
      <c r="HM7" s="33"/>
      <c r="HN7" s="33"/>
      <c r="HO7" s="33"/>
      <c r="HP7" s="33"/>
      <c r="HQ7" s="33"/>
      <c r="HR7" s="33"/>
      <c r="HS7" s="33"/>
      <c r="HT7" s="33"/>
      <c r="HU7" s="33"/>
      <c r="HV7" s="33"/>
      <c r="HW7" s="33"/>
      <c r="HX7" s="33"/>
      <c r="HY7" s="33"/>
      <c r="HZ7" s="33"/>
      <c r="IA7" s="33"/>
      <c r="IB7" s="33"/>
      <c r="IC7" s="33"/>
      <c r="ID7" s="33"/>
      <c r="IE7" s="33"/>
      <c r="IF7" s="33"/>
      <c r="IG7" s="33"/>
      <c r="IH7" s="33"/>
      <c r="II7" s="33"/>
      <c r="IJ7" s="33"/>
      <c r="IK7" s="33"/>
      <c r="IL7" s="33"/>
      <c r="IM7" s="33"/>
      <c r="IN7" s="33"/>
      <c r="IO7" s="33"/>
      <c r="IP7" s="33"/>
      <c r="IQ7" s="33"/>
      <c r="IR7" s="33"/>
      <c r="IS7" s="33"/>
      <c r="IT7" s="33"/>
      <c r="IU7" s="33"/>
      <c r="IV7" s="33"/>
      <c r="IW7" s="33"/>
      <c r="IX7" s="33"/>
      <c r="IY7" s="33"/>
      <c r="IZ7" s="33"/>
      <c r="JA7" s="33"/>
      <c r="JB7" s="33"/>
      <c r="JC7" s="33"/>
      <c r="JD7" s="33"/>
      <c r="JE7" s="33"/>
      <c r="JF7" s="33"/>
      <c r="JG7" s="33"/>
      <c r="JH7" s="33"/>
      <c r="JI7" s="33"/>
      <c r="JJ7" s="33"/>
      <c r="JK7" s="33"/>
      <c r="JL7" s="33"/>
      <c r="JM7" s="33"/>
      <c r="JN7" s="33"/>
      <c r="JO7" s="33"/>
      <c r="JP7" s="33"/>
      <c r="JQ7" s="33"/>
      <c r="JR7" s="33"/>
      <c r="JS7" s="33"/>
      <c r="JT7" s="33"/>
      <c r="JU7" s="33"/>
      <c r="JV7" s="33"/>
      <c r="JW7" s="33"/>
      <c r="JX7" s="33"/>
      <c r="JY7" s="33"/>
      <c r="JZ7" s="33"/>
      <c r="KA7" s="33"/>
      <c r="KB7" s="33"/>
      <c r="KC7" s="33"/>
      <c r="KD7" s="33"/>
      <c r="KE7" s="33"/>
      <c r="KF7" s="33"/>
      <c r="KG7" s="33"/>
      <c r="KH7" s="33"/>
      <c r="KI7" s="33"/>
      <c r="KJ7" s="33"/>
      <c r="KK7" s="33"/>
      <c r="KL7" s="33"/>
      <c r="KM7" s="33"/>
      <c r="KN7" s="33"/>
      <c r="KO7" s="33"/>
      <c r="KP7" s="33"/>
      <c r="KQ7" s="33"/>
      <c r="KR7" s="33"/>
      <c r="KS7" s="33"/>
      <c r="KT7" s="33"/>
      <c r="KU7" s="33"/>
      <c r="KV7" s="33"/>
      <c r="KW7" s="33"/>
      <c r="KX7" s="33"/>
      <c r="KY7" s="33"/>
      <c r="KZ7" s="33"/>
      <c r="LA7" s="33"/>
      <c r="LB7" s="33"/>
      <c r="LC7" s="33"/>
      <c r="LD7" s="33"/>
      <c r="LE7" s="33"/>
      <c r="LF7" s="33"/>
      <c r="LG7" s="33"/>
      <c r="LH7" s="33"/>
      <c r="LI7" s="33"/>
      <c r="LJ7" s="33"/>
      <c r="LK7" s="33"/>
      <c r="LL7" s="33"/>
      <c r="LM7" s="33"/>
      <c r="LN7" s="33"/>
      <c r="LO7" s="33"/>
      <c r="LP7" s="33"/>
      <c r="LQ7" s="33"/>
      <c r="LR7" s="33"/>
      <c r="LS7" s="33"/>
      <c r="LT7" s="33"/>
      <c r="LU7" s="33"/>
      <c r="LV7" s="33"/>
      <c r="LW7" s="33"/>
      <c r="LX7" s="33"/>
      <c r="LY7" s="33"/>
      <c r="LZ7" s="33"/>
      <c r="MA7" s="33"/>
      <c r="MB7" s="33"/>
      <c r="MC7" s="33"/>
      <c r="MD7" s="33"/>
      <c r="ME7" s="33"/>
      <c r="MF7" s="33"/>
      <c r="MG7" s="33"/>
      <c r="MH7" s="33"/>
      <c r="MI7" s="33"/>
      <c r="MJ7" s="33"/>
      <c r="MK7" s="33"/>
      <c r="ML7" s="33"/>
      <c r="MM7" s="33"/>
      <c r="MN7" s="33"/>
      <c r="MO7" s="33"/>
      <c r="MP7" s="33"/>
      <c r="MQ7" s="33"/>
      <c r="MR7" s="33"/>
      <c r="MS7" s="33"/>
      <c r="MT7" s="33"/>
      <c r="MU7" s="33"/>
      <c r="MV7" s="33"/>
      <c r="MW7" s="33"/>
      <c r="MX7" s="33"/>
      <c r="MY7" s="33"/>
      <c r="MZ7" s="33"/>
      <c r="NA7" s="33"/>
      <c r="NB7" s="33"/>
      <c r="NC7" s="33"/>
      <c r="ND7" s="33"/>
      <c r="NE7" s="33"/>
      <c r="NF7" s="33"/>
      <c r="NG7" s="33"/>
      <c r="NH7" s="33"/>
      <c r="NI7" s="33"/>
      <c r="NJ7" s="33"/>
      <c r="NK7" s="33"/>
      <c r="NL7" s="33"/>
      <c r="NM7" s="33"/>
      <c r="NN7" s="33"/>
      <c r="NO7" s="33"/>
      <c r="NP7" s="33"/>
      <c r="NQ7" s="33"/>
      <c r="NR7" s="33"/>
      <c r="NS7" s="33"/>
      <c r="NT7" s="33"/>
      <c r="NU7" s="33"/>
      <c r="NV7" s="33"/>
      <c r="NW7" s="33"/>
      <c r="NX7" s="33"/>
      <c r="NY7" s="33"/>
      <c r="NZ7" s="33"/>
      <c r="OA7" s="33"/>
      <c r="OB7" s="33"/>
      <c r="OC7" s="33"/>
      <c r="OD7" s="33"/>
      <c r="OE7" s="33"/>
      <c r="OF7" s="33"/>
      <c r="OG7" s="33"/>
      <c r="OH7" s="33"/>
      <c r="OI7" s="33"/>
      <c r="OJ7" s="33"/>
      <c r="OK7" s="33"/>
      <c r="OL7" s="33"/>
      <c r="OM7" s="33"/>
      <c r="ON7" s="33"/>
      <c r="OO7" s="33"/>
      <c r="OP7" s="33"/>
      <c r="OQ7" s="33"/>
      <c r="OR7" s="33"/>
      <c r="OS7" s="33"/>
      <c r="OT7" s="33"/>
      <c r="OU7" s="33"/>
      <c r="OV7" s="33"/>
      <c r="OW7" s="33"/>
      <c r="OX7" s="33"/>
      <c r="OY7" s="33"/>
      <c r="OZ7" s="33"/>
      <c r="PA7" s="33"/>
      <c r="PB7" s="33"/>
      <c r="PC7" s="33"/>
      <c r="PD7" s="33"/>
      <c r="PE7" s="33"/>
      <c r="PF7" s="33"/>
      <c r="PG7" s="33"/>
      <c r="PH7" s="33"/>
      <c r="PI7" s="33"/>
      <c r="PJ7" s="33"/>
      <c r="PK7" s="33"/>
      <c r="PL7" s="33"/>
      <c r="PM7" s="33"/>
      <c r="PN7" s="33"/>
      <c r="PO7" s="33"/>
      <c r="PP7" s="33"/>
      <c r="PQ7" s="33"/>
      <c r="PR7" s="33"/>
      <c r="PS7" s="33"/>
      <c r="PT7" s="33"/>
      <c r="PU7" s="33"/>
      <c r="PV7" s="33"/>
      <c r="PW7" s="33"/>
      <c r="PX7" s="33"/>
      <c r="PY7" s="33"/>
      <c r="PZ7" s="33"/>
      <c r="QA7" s="33"/>
      <c r="QB7" s="33"/>
      <c r="QC7" s="33"/>
      <c r="QD7" s="33"/>
      <c r="QE7" s="33"/>
      <c r="QF7" s="33"/>
      <c r="QG7" s="33"/>
      <c r="QH7" s="33"/>
      <c r="QI7" s="33"/>
      <c r="QJ7" s="33"/>
      <c r="QK7" s="33"/>
      <c r="QL7" s="33"/>
      <c r="QM7" s="33"/>
      <c r="QN7" s="33"/>
      <c r="QO7" s="33"/>
      <c r="QP7" s="33"/>
      <c r="QQ7" s="33"/>
      <c r="QR7" s="33"/>
      <c r="QS7" s="33"/>
      <c r="QT7" s="33"/>
      <c r="QU7" s="33"/>
      <c r="QV7" s="33"/>
      <c r="QW7" s="33"/>
      <c r="QX7" s="33"/>
      <c r="QY7" s="33"/>
      <c r="QZ7" s="33"/>
      <c r="RA7" s="33"/>
      <c r="RB7" s="33"/>
      <c r="RC7" s="33"/>
      <c r="RD7" s="33"/>
      <c r="RE7" s="33"/>
      <c r="RF7" s="33"/>
      <c r="RG7" s="33"/>
      <c r="RH7" s="33"/>
      <c r="RI7" s="33"/>
      <c r="RJ7" s="33"/>
      <c r="RK7" s="33"/>
      <c r="RL7" s="33"/>
      <c r="RM7" s="33"/>
      <c r="RN7" s="33"/>
      <c r="RO7" s="33"/>
      <c r="RP7" s="33"/>
      <c r="RQ7" s="33"/>
      <c r="RR7" s="33"/>
      <c r="RS7" s="33"/>
      <c r="RT7" s="33"/>
      <c r="RU7" s="33"/>
      <c r="RV7" s="33"/>
      <c r="RW7" s="33"/>
      <c r="RX7" s="33"/>
      <c r="RY7" s="33"/>
      <c r="RZ7" s="33"/>
      <c r="SA7" s="33"/>
      <c r="SB7" s="33"/>
      <c r="SC7" s="33"/>
      <c r="SD7" s="33"/>
      <c r="SE7" s="33"/>
      <c r="SF7" s="33"/>
      <c r="SG7" s="33"/>
      <c r="SH7" s="33"/>
      <c r="SI7" s="33"/>
      <c r="SJ7" s="33"/>
      <c r="SK7" s="33"/>
      <c r="SL7" s="33"/>
      <c r="SM7" s="33"/>
      <c r="SN7" s="33"/>
      <c r="SO7" s="33"/>
      <c r="SP7" s="33"/>
      <c r="SQ7" s="33"/>
      <c r="SR7" s="33"/>
      <c r="SS7" s="33"/>
      <c r="ST7" s="33"/>
      <c r="SU7" s="33"/>
      <c r="SV7" s="33"/>
      <c r="SW7" s="33"/>
      <c r="SX7" s="33"/>
      <c r="SY7" s="33"/>
      <c r="SZ7" s="33"/>
      <c r="TA7" s="33"/>
      <c r="TB7" s="33"/>
      <c r="TC7" s="33"/>
      <c r="TD7" s="33"/>
      <c r="TE7" s="33"/>
      <c r="TF7" s="33"/>
      <c r="TG7" s="33"/>
      <c r="TH7" s="33"/>
      <c r="TI7" s="33"/>
      <c r="TJ7" s="33"/>
      <c r="TK7" s="33"/>
      <c r="TL7" s="33"/>
      <c r="TM7" s="33"/>
      <c r="TN7" s="33"/>
      <c r="TO7" s="33"/>
      <c r="TP7" s="33"/>
      <c r="TQ7" s="33"/>
      <c r="TR7" s="33"/>
      <c r="TS7" s="33"/>
      <c r="TT7" s="33"/>
      <c r="TU7" s="33"/>
      <c r="TV7" s="33"/>
      <c r="TW7" s="33"/>
      <c r="TX7" s="33"/>
      <c r="TY7" s="33"/>
      <c r="TZ7" s="33"/>
      <c r="UA7" s="33"/>
      <c r="UB7" s="33"/>
      <c r="UC7" s="33"/>
      <c r="UD7" s="33"/>
      <c r="UE7" s="33"/>
      <c r="UF7" s="33"/>
      <c r="UG7" s="33"/>
      <c r="UH7" s="33"/>
      <c r="UI7" s="33"/>
      <c r="UJ7" s="33"/>
      <c r="UK7" s="33"/>
      <c r="UL7" s="33"/>
      <c r="UM7" s="33"/>
      <c r="UN7" s="33"/>
      <c r="UO7" s="33"/>
      <c r="UP7" s="33"/>
      <c r="UQ7" s="33"/>
      <c r="UR7" s="33"/>
      <c r="US7" s="33"/>
      <c r="UT7" s="33"/>
      <c r="UU7" s="33"/>
      <c r="UV7" s="33"/>
      <c r="UW7" s="33"/>
      <c r="UX7" s="33"/>
      <c r="UY7" s="33"/>
      <c r="UZ7" s="33"/>
      <c r="VA7" s="33"/>
      <c r="VB7" s="33"/>
      <c r="VC7" s="33"/>
      <c r="VD7" s="33"/>
      <c r="VE7" s="33"/>
      <c r="VF7" s="33"/>
      <c r="VG7" s="33"/>
      <c r="VH7" s="33"/>
      <c r="VI7" s="33"/>
      <c r="VJ7" s="33"/>
      <c r="VK7" s="33"/>
      <c r="VL7" s="33"/>
      <c r="VM7" s="33"/>
      <c r="VN7" s="33"/>
      <c r="VO7" s="33"/>
      <c r="VP7" s="33"/>
      <c r="VQ7" s="33"/>
      <c r="VR7" s="33"/>
      <c r="VS7" s="33"/>
      <c r="VT7" s="33"/>
      <c r="VU7" s="33"/>
      <c r="VV7" s="33"/>
      <c r="VW7" s="33"/>
      <c r="VX7" s="33"/>
      <c r="VY7" s="33"/>
      <c r="VZ7" s="33"/>
      <c r="WA7" s="33"/>
      <c r="WB7" s="33"/>
      <c r="WC7" s="33"/>
      <c r="WD7" s="33"/>
      <c r="WE7" s="33"/>
      <c r="WF7" s="33"/>
      <c r="WG7" s="33"/>
      <c r="WH7" s="33"/>
      <c r="WI7" s="33"/>
      <c r="WJ7" s="33"/>
      <c r="WK7" s="33"/>
      <c r="WL7" s="33"/>
      <c r="WM7" s="33"/>
      <c r="WN7" s="33"/>
      <c r="WO7" s="33"/>
      <c r="WP7" s="33"/>
      <c r="WQ7" s="33"/>
      <c r="WR7" s="33"/>
      <c r="WS7" s="33"/>
      <c r="WT7" s="33"/>
      <c r="WU7" s="33"/>
      <c r="WV7" s="33"/>
      <c r="WW7" s="33"/>
      <c r="WX7" s="33"/>
      <c r="WY7" s="33"/>
      <c r="WZ7" s="33"/>
      <c r="XA7" s="33"/>
      <c r="XB7" s="33"/>
      <c r="XC7" s="33"/>
      <c r="XD7" s="33"/>
      <c r="XE7" s="33"/>
      <c r="XF7" s="33"/>
      <c r="XG7" s="33"/>
      <c r="XH7" s="33"/>
      <c r="XI7" s="33"/>
      <c r="XJ7" s="33"/>
      <c r="XK7" s="33"/>
      <c r="XL7" s="33"/>
      <c r="XM7" s="33"/>
      <c r="XN7" s="33"/>
      <c r="XO7" s="33"/>
      <c r="XP7" s="33"/>
      <c r="XQ7" s="33"/>
      <c r="XR7" s="33"/>
      <c r="XS7" s="33"/>
      <c r="XT7" s="33"/>
      <c r="XU7" s="33"/>
      <c r="XV7" s="33"/>
      <c r="XW7" s="33"/>
      <c r="XX7" s="33"/>
      <c r="XY7" s="33"/>
      <c r="XZ7" s="33"/>
      <c r="YA7" s="33"/>
      <c r="YB7" s="33"/>
      <c r="YC7" s="33"/>
      <c r="YD7" s="33"/>
      <c r="YE7" s="33"/>
      <c r="YF7" s="33"/>
      <c r="YG7" s="33"/>
      <c r="YH7" s="33"/>
      <c r="YI7" s="33"/>
      <c r="YJ7" s="33"/>
      <c r="YK7" s="33"/>
      <c r="YL7" s="33"/>
      <c r="YM7" s="33"/>
      <c r="YN7" s="33"/>
      <c r="YO7" s="33"/>
      <c r="YP7" s="33"/>
      <c r="YQ7" s="33"/>
      <c r="YR7" s="33"/>
      <c r="YS7" s="33"/>
      <c r="YT7" s="33"/>
      <c r="YU7" s="33"/>
      <c r="YV7" s="33"/>
      <c r="YW7" s="33"/>
      <c r="YX7" s="33"/>
      <c r="YY7" s="33"/>
      <c r="YZ7" s="33"/>
      <c r="ZA7" s="33"/>
      <c r="ZB7" s="33"/>
      <c r="ZC7" s="33"/>
      <c r="ZD7" s="33"/>
      <c r="ZE7" s="33"/>
      <c r="ZF7" s="33"/>
      <c r="ZG7" s="33"/>
      <c r="ZH7" s="33"/>
      <c r="ZI7" s="33"/>
      <c r="ZJ7" s="33"/>
      <c r="ZK7" s="33"/>
      <c r="ZL7" s="33"/>
      <c r="ZM7" s="33"/>
      <c r="ZN7" s="33"/>
      <c r="ZO7" s="33"/>
      <c r="ZP7" s="33"/>
      <c r="ZQ7" s="33"/>
      <c r="ZR7" s="33"/>
      <c r="ZS7" s="33"/>
      <c r="ZT7" s="33"/>
      <c r="ZU7" s="33"/>
      <c r="ZV7" s="33"/>
      <c r="ZW7" s="33"/>
      <c r="ZX7" s="33"/>
      <c r="ZY7" s="33"/>
      <c r="ZZ7" s="33"/>
      <c r="AAA7" s="33"/>
      <c r="AAB7" s="33"/>
      <c r="AAC7" s="33"/>
      <c r="AAD7" s="33"/>
      <c r="AAE7" s="33"/>
      <c r="AAF7" s="33"/>
      <c r="AAG7" s="33"/>
      <c r="AAH7" s="33"/>
      <c r="AAI7" s="33"/>
      <c r="AAJ7" s="33"/>
      <c r="AAK7" s="33"/>
      <c r="AAL7" s="33"/>
      <c r="AAM7" s="33"/>
      <c r="AAN7" s="33"/>
      <c r="AAO7" s="33"/>
      <c r="AAP7" s="33"/>
      <c r="AAQ7" s="33"/>
      <c r="AAR7" s="33"/>
      <c r="AAS7" s="33"/>
      <c r="AAT7" s="33"/>
      <c r="AAU7" s="33"/>
      <c r="AAV7" s="33"/>
      <c r="AAW7" s="33"/>
      <c r="AAX7" s="33"/>
      <c r="AAY7" s="33"/>
      <c r="AAZ7" s="33"/>
      <c r="ABA7" s="33"/>
      <c r="ABB7" s="33"/>
      <c r="ABC7" s="33"/>
      <c r="ABD7" s="33"/>
      <c r="ABE7" s="33"/>
      <c r="ABF7" s="33"/>
      <c r="ABG7" s="33"/>
      <c r="ABH7" s="33"/>
      <c r="ABI7" s="33"/>
      <c r="ABJ7" s="33"/>
      <c r="ABK7" s="33"/>
      <c r="ABL7" s="33"/>
      <c r="ABM7" s="33"/>
      <c r="ABN7" s="33"/>
      <c r="ABO7" s="33"/>
      <c r="ABP7" s="33"/>
      <c r="ABQ7" s="33"/>
      <c r="ABR7" s="33"/>
      <c r="ABS7" s="33"/>
      <c r="ABT7" s="33"/>
      <c r="ABU7" s="33"/>
      <c r="ABV7" s="33"/>
      <c r="ABW7" s="33"/>
      <c r="ABX7" s="33"/>
      <c r="ABY7" s="33"/>
      <c r="ABZ7" s="33"/>
      <c r="ACA7" s="33"/>
      <c r="ACB7" s="33"/>
      <c r="ACC7" s="33"/>
      <c r="ACD7" s="33"/>
      <c r="ACE7" s="33"/>
      <c r="ACF7" s="33"/>
      <c r="ACG7" s="33"/>
      <c r="ACH7" s="33"/>
      <c r="ACI7" s="33"/>
      <c r="ACJ7" s="33"/>
      <c r="ACK7" s="33"/>
      <c r="ACL7" s="33"/>
      <c r="ACM7" s="33"/>
      <c r="ACN7" s="33"/>
      <c r="ACO7" s="33"/>
      <c r="ACP7" s="33"/>
      <c r="ACQ7" s="33"/>
      <c r="ACR7" s="33"/>
      <c r="ACS7" s="33"/>
      <c r="ACT7" s="33"/>
      <c r="ACU7" s="33"/>
      <c r="ACV7" s="33"/>
      <c r="ACW7" s="33"/>
      <c r="ACX7" s="33"/>
      <c r="ACY7" s="33"/>
      <c r="ACZ7" s="33"/>
      <c r="ADA7" s="33"/>
      <c r="ADB7" s="33"/>
      <c r="ADC7" s="33"/>
      <c r="ADD7" s="33"/>
      <c r="ADE7" s="33"/>
      <c r="ADF7" s="33"/>
      <c r="ADG7" s="33"/>
      <c r="ADH7" s="33"/>
      <c r="ADI7" s="33"/>
      <c r="ADJ7" s="33"/>
      <c r="ADK7" s="33"/>
      <c r="ADL7" s="33"/>
      <c r="ADM7" s="33"/>
      <c r="ADN7" s="33"/>
      <c r="ADO7" s="33"/>
      <c r="ADP7" s="33"/>
      <c r="ADQ7" s="33"/>
      <c r="ADR7" s="33"/>
      <c r="ADS7" s="33"/>
      <c r="ADT7" s="33"/>
      <c r="ADU7" s="33"/>
      <c r="ADV7" s="33"/>
      <c r="ADW7" s="33"/>
      <c r="ADX7" s="33"/>
      <c r="ADY7" s="33"/>
      <c r="ADZ7" s="33"/>
      <c r="AEA7" s="33"/>
      <c r="AEB7" s="33"/>
      <c r="AEC7" s="33"/>
      <c r="AED7" s="33"/>
      <c r="AEE7" s="33"/>
      <c r="AEF7" s="33"/>
      <c r="AEG7" s="33"/>
      <c r="AEH7" s="33"/>
      <c r="AEI7" s="33"/>
      <c r="AEJ7" s="33"/>
      <c r="AEK7" s="33"/>
      <c r="AEL7" s="33"/>
      <c r="AEM7" s="33"/>
      <c r="AEN7" s="33"/>
      <c r="AEO7" s="33"/>
      <c r="AEP7" s="33"/>
      <c r="AEQ7" s="33"/>
      <c r="AER7" s="33"/>
      <c r="AES7" s="33"/>
      <c r="AET7" s="33"/>
      <c r="AEU7" s="33"/>
      <c r="AEV7" s="33"/>
      <c r="AEW7" s="33"/>
      <c r="AEX7" s="33"/>
      <c r="AEY7" s="33"/>
      <c r="AEZ7" s="33"/>
      <c r="AFA7" s="33"/>
      <c r="AFB7" s="33"/>
      <c r="AFC7" s="33"/>
      <c r="AFD7" s="33"/>
      <c r="AFE7" s="33"/>
      <c r="AFF7" s="33"/>
      <c r="AFG7" s="33"/>
      <c r="AFH7" s="33"/>
      <c r="AFI7" s="33"/>
      <c r="AFJ7" s="33"/>
      <c r="AFK7" s="33"/>
      <c r="AFL7" s="33"/>
      <c r="AFM7" s="33"/>
      <c r="AFN7" s="33"/>
      <c r="AFO7" s="33"/>
      <c r="AFP7" s="33"/>
      <c r="AFQ7" s="33"/>
      <c r="AFR7" s="33"/>
      <c r="AFS7" s="33"/>
      <c r="AFT7" s="33"/>
      <c r="AFU7" s="33"/>
      <c r="AFV7" s="33"/>
      <c r="AFW7" s="33"/>
      <c r="AFX7" s="33"/>
      <c r="AFY7" s="33"/>
      <c r="AFZ7" s="33"/>
      <c r="AGA7" s="33"/>
      <c r="AGB7" s="33"/>
      <c r="AGC7" s="33"/>
      <c r="AGD7" s="33"/>
      <c r="AGE7" s="33"/>
      <c r="AGF7" s="33"/>
      <c r="AGG7" s="33"/>
      <c r="AGH7" s="33"/>
      <c r="AGI7" s="33"/>
      <c r="AGJ7" s="33"/>
      <c r="AGK7" s="33"/>
      <c r="AGL7" s="33"/>
      <c r="AGM7" s="33"/>
      <c r="AGN7" s="33"/>
      <c r="AGO7" s="33"/>
      <c r="AGP7" s="33"/>
      <c r="AGQ7" s="33"/>
      <c r="AGR7" s="33"/>
      <c r="AGS7" s="33"/>
      <c r="AGT7" s="33"/>
      <c r="AGU7" s="33"/>
      <c r="AGV7" s="33"/>
      <c r="AGW7" s="33"/>
      <c r="AGX7" s="33"/>
      <c r="AGY7" s="33"/>
      <c r="AGZ7" s="33"/>
      <c r="AHA7" s="33"/>
      <c r="AHB7" s="33"/>
      <c r="AHC7" s="33"/>
      <c r="AHD7" s="33"/>
      <c r="AHE7" s="33"/>
      <c r="AHF7" s="33"/>
      <c r="AHG7" s="33"/>
      <c r="AHH7" s="33"/>
      <c r="AHI7" s="33"/>
      <c r="AHJ7" s="33"/>
      <c r="AHK7" s="33"/>
      <c r="AHL7" s="33"/>
      <c r="AHM7" s="33"/>
      <c r="AHN7" s="33"/>
      <c r="AHO7" s="33"/>
      <c r="AHP7" s="33"/>
      <c r="AHQ7" s="33"/>
      <c r="AHR7" s="33"/>
      <c r="AHS7" s="33"/>
      <c r="AHT7" s="33"/>
      <c r="AHU7" s="33"/>
      <c r="AHV7" s="33"/>
      <c r="AHW7" s="33"/>
      <c r="AHX7" s="33"/>
      <c r="AHY7" s="33"/>
      <c r="AHZ7" s="33"/>
      <c r="AIA7" s="33"/>
      <c r="AIB7" s="33"/>
      <c r="AIC7" s="33"/>
      <c r="AID7" s="33"/>
      <c r="AIE7" s="33"/>
      <c r="AIF7" s="33"/>
      <c r="AIG7" s="33"/>
      <c r="AIH7" s="33"/>
      <c r="AII7" s="33"/>
      <c r="AIJ7" s="33"/>
      <c r="AIK7" s="33"/>
      <c r="AIL7" s="33"/>
      <c r="AIM7" s="33"/>
      <c r="AIN7" s="33"/>
      <c r="AIO7" s="33"/>
      <c r="AIP7" s="33"/>
      <c r="AIQ7" s="33"/>
      <c r="AIR7" s="33"/>
      <c r="AIS7" s="33"/>
      <c r="AIT7" s="33"/>
      <c r="AIU7" s="33"/>
      <c r="AIV7" s="33"/>
      <c r="AIW7" s="33"/>
      <c r="AIX7" s="33"/>
      <c r="AIY7" s="33"/>
      <c r="AIZ7" s="33"/>
      <c r="AJA7" s="33"/>
      <c r="AJB7" s="33"/>
      <c r="AJC7" s="33"/>
      <c r="AJD7" s="33"/>
      <c r="AJE7" s="33"/>
      <c r="AJF7" s="33"/>
      <c r="AJG7" s="33"/>
      <c r="AJH7" s="33"/>
      <c r="AJI7" s="33"/>
      <c r="AJJ7" s="33"/>
      <c r="AJK7" s="33"/>
      <c r="AJL7" s="33"/>
      <c r="AJM7" s="33"/>
      <c r="AJN7" s="33"/>
      <c r="AJO7" s="33"/>
      <c r="AJP7" s="33"/>
      <c r="AJQ7" s="33"/>
      <c r="AJR7" s="33"/>
      <c r="AJS7" s="33"/>
      <c r="AJT7" s="33"/>
      <c r="AJU7" s="33"/>
      <c r="AJV7" s="33"/>
      <c r="AJW7" s="33"/>
      <c r="AJX7" s="33"/>
      <c r="AJY7" s="33"/>
      <c r="AJZ7" s="33"/>
      <c r="AKA7" s="33"/>
      <c r="AKB7" s="33"/>
      <c r="AKC7" s="33"/>
      <c r="AKD7" s="33"/>
      <c r="AKE7" s="33"/>
      <c r="AKF7" s="33"/>
      <c r="AKG7" s="33"/>
      <c r="AKH7" s="33"/>
      <c r="AKI7" s="33"/>
      <c r="AKJ7" s="33"/>
      <c r="AKK7" s="33"/>
      <c r="AKL7" s="33"/>
      <c r="AKM7" s="33"/>
      <c r="AKN7" s="33"/>
      <c r="AKO7" s="33"/>
      <c r="AKP7" s="33"/>
      <c r="AKQ7" s="33"/>
      <c r="AKR7" s="33"/>
      <c r="AKS7" s="33"/>
      <c r="AKT7" s="33"/>
      <c r="AKU7" s="33"/>
      <c r="AKV7" s="33"/>
      <c r="AKW7" s="33"/>
      <c r="AKX7" s="33"/>
      <c r="AKY7" s="33"/>
      <c r="AKZ7" s="33"/>
      <c r="ALA7" s="33"/>
      <c r="ALB7" s="33"/>
      <c r="ALC7" s="33"/>
      <c r="ALD7" s="33"/>
      <c r="ALE7" s="33"/>
      <c r="ALF7" s="33"/>
      <c r="ALG7" s="33"/>
      <c r="ALH7" s="33"/>
      <c r="ALI7" s="33"/>
      <c r="ALJ7" s="33"/>
      <c r="ALK7" s="33"/>
      <c r="ALL7" s="33"/>
      <c r="ALM7" s="33"/>
      <c r="ALN7" s="33"/>
      <c r="ALO7" s="33"/>
      <c r="ALP7" s="33"/>
      <c r="ALQ7" s="33"/>
      <c r="ALR7" s="33"/>
      <c r="ALS7" s="33"/>
      <c r="ALT7" s="33"/>
      <c r="ALU7" s="33"/>
      <c r="ALV7" s="33"/>
      <c r="ALW7" s="33"/>
      <c r="ALX7" s="33"/>
      <c r="ALY7" s="33"/>
      <c r="ALZ7" s="33"/>
      <c r="AMA7" s="33"/>
      <c r="AMB7" s="33"/>
      <c r="AMC7" s="33"/>
      <c r="AMD7" s="33"/>
      <c r="AME7" s="33"/>
      <c r="AMF7" s="33"/>
      <c r="AMG7" s="33"/>
      <c r="AMH7" s="33"/>
      <c r="AMI7" s="33"/>
      <c r="AMJ7" s="33"/>
      <c r="AMK7" s="33"/>
      <c r="AML7" s="33"/>
    </row>
    <row r="8" ht="15.75" customHeight="1">
      <c r="A8" s="8" t="s">
        <v>20</v>
      </c>
      <c r="B8" s="8" t="s">
        <v>20</v>
      </c>
      <c r="C8" s="13" t="s">
        <v>18</v>
      </c>
      <c r="D8" s="8" t="s">
        <v>28</v>
      </c>
      <c r="E8" s="8" t="s">
        <v>28</v>
      </c>
      <c r="F8" s="8" t="s">
        <v>23</v>
      </c>
      <c r="G8" s="8">
        <v>1.0</v>
      </c>
      <c r="H8" s="8">
        <v>1.0</v>
      </c>
      <c r="I8" s="8">
        <v>1.0</v>
      </c>
      <c r="J8" s="8"/>
      <c r="K8" s="8">
        <v>0.0</v>
      </c>
      <c r="L8" s="8">
        <v>0.0</v>
      </c>
      <c r="M8" s="8">
        <v>0.0</v>
      </c>
      <c r="N8" s="8"/>
      <c r="O8" s="8">
        <v>0.0</v>
      </c>
      <c r="P8">
        <v>0.0</v>
      </c>
      <c r="Q8">
        <v>0.0</v>
      </c>
      <c r="R8">
        <v>0.0</v>
      </c>
      <c r="S8">
        <v>0.0</v>
      </c>
      <c r="T8" t="s">
        <v>28</v>
      </c>
      <c r="AB8" t="s">
        <v>20</v>
      </c>
      <c r="AC8" t="s">
        <v>20</v>
      </c>
      <c r="AD8" t="s">
        <v>20</v>
      </c>
      <c r="AE8" t="s">
        <v>20</v>
      </c>
      <c r="AF8" t="s">
        <v>20</v>
      </c>
      <c r="AG8" t="s">
        <v>20</v>
      </c>
      <c r="AH8" t="s">
        <v>20</v>
      </c>
      <c r="AI8" t="s">
        <v>20</v>
      </c>
      <c r="AJ8" t="s">
        <v>20</v>
      </c>
      <c r="AK8" t="s">
        <v>20</v>
      </c>
      <c r="AL8" t="s">
        <v>20</v>
      </c>
      <c r="AM8" t="s">
        <v>20</v>
      </c>
      <c r="AN8" t="s">
        <v>20</v>
      </c>
      <c r="AO8" t="s">
        <v>20</v>
      </c>
      <c r="AP8" t="s">
        <v>20</v>
      </c>
      <c r="AQ8" t="s">
        <v>20</v>
      </c>
      <c r="AR8" t="s">
        <v>20</v>
      </c>
      <c r="AS8" t="s">
        <v>20</v>
      </c>
      <c r="AT8" t="s">
        <v>20</v>
      </c>
      <c r="AU8" t="s">
        <v>20</v>
      </c>
      <c r="AV8" t="s">
        <v>20</v>
      </c>
      <c r="AW8" t="s">
        <v>20</v>
      </c>
      <c r="AX8" t="s">
        <v>20</v>
      </c>
      <c r="AY8" t="s">
        <v>20</v>
      </c>
      <c r="AZ8" t="s">
        <v>20</v>
      </c>
      <c r="BA8" t="s">
        <v>20</v>
      </c>
      <c r="BB8" t="s">
        <v>20</v>
      </c>
      <c r="BC8" t="s">
        <v>20</v>
      </c>
      <c r="BD8" t="s">
        <v>20</v>
      </c>
      <c r="BE8" t="s">
        <v>20</v>
      </c>
      <c r="BF8" t="s">
        <v>20</v>
      </c>
      <c r="BG8" t="s">
        <v>20</v>
      </c>
      <c r="BH8" t="s">
        <v>20</v>
      </c>
      <c r="BI8" t="s">
        <v>20</v>
      </c>
      <c r="BJ8" t="s">
        <v>20</v>
      </c>
      <c r="BK8" t="s">
        <v>20</v>
      </c>
      <c r="BL8" t="s">
        <v>20</v>
      </c>
      <c r="BM8" t="s">
        <v>20</v>
      </c>
      <c r="BN8" t="s">
        <v>20</v>
      </c>
      <c r="BO8" t="s">
        <v>20</v>
      </c>
      <c r="BP8" t="s">
        <v>20</v>
      </c>
      <c r="BQ8" t="s">
        <v>20</v>
      </c>
      <c r="BR8" t="s">
        <v>20</v>
      </c>
      <c r="BS8" t="s">
        <v>20</v>
      </c>
      <c r="BT8" t="s">
        <v>20</v>
      </c>
      <c r="BU8" t="s">
        <v>20</v>
      </c>
      <c r="BV8" t="s">
        <v>20</v>
      </c>
      <c r="BW8" t="s">
        <v>20</v>
      </c>
      <c r="BX8" t="s">
        <v>20</v>
      </c>
      <c r="BY8" t="s">
        <v>20</v>
      </c>
      <c r="BZ8" t="s">
        <v>20</v>
      </c>
      <c r="CA8" t="s">
        <v>20</v>
      </c>
      <c r="CB8" t="s">
        <v>20</v>
      </c>
      <c r="CC8" t="s">
        <v>20</v>
      </c>
      <c r="CD8" t="s">
        <v>20</v>
      </c>
      <c r="CE8" t="s">
        <v>20</v>
      </c>
      <c r="CF8" t="s">
        <v>20</v>
      </c>
      <c r="CG8" t="s">
        <v>20</v>
      </c>
      <c r="CH8" t="s">
        <v>20</v>
      </c>
      <c r="CI8" t="s">
        <v>20</v>
      </c>
      <c r="CJ8" t="s">
        <v>20</v>
      </c>
      <c r="CK8" t="s">
        <v>20</v>
      </c>
      <c r="CL8" t="s">
        <v>20</v>
      </c>
      <c r="CM8" t="s">
        <v>20</v>
      </c>
      <c r="CN8" t="s">
        <v>20</v>
      </c>
      <c r="CO8" t="s">
        <v>20</v>
      </c>
      <c r="CP8" t="s">
        <v>20</v>
      </c>
      <c r="CQ8" t="s">
        <v>20</v>
      </c>
      <c r="CR8" t="s">
        <v>20</v>
      </c>
      <c r="CS8" t="s">
        <v>20</v>
      </c>
      <c r="CT8" t="s">
        <v>20</v>
      </c>
      <c r="CU8" t="s">
        <v>20</v>
      </c>
      <c r="CV8" t="s">
        <v>20</v>
      </c>
      <c r="CW8" t="s">
        <v>20</v>
      </c>
      <c r="CX8" t="s">
        <v>20</v>
      </c>
      <c r="CY8" t="s">
        <v>20</v>
      </c>
      <c r="CZ8" t="s">
        <v>20</v>
      </c>
      <c r="DA8" t="s">
        <v>20</v>
      </c>
      <c r="DB8" t="s">
        <v>20</v>
      </c>
      <c r="DC8" t="s">
        <v>20</v>
      </c>
      <c r="DD8" t="s">
        <v>20</v>
      </c>
      <c r="DE8" t="s">
        <v>20</v>
      </c>
      <c r="DF8" t="s">
        <v>20</v>
      </c>
      <c r="DG8" t="s">
        <v>20</v>
      </c>
      <c r="DH8" t="s">
        <v>20</v>
      </c>
      <c r="DI8" t="s">
        <v>20</v>
      </c>
      <c r="DJ8" t="s">
        <v>20</v>
      </c>
      <c r="DK8" t="s">
        <v>20</v>
      </c>
      <c r="DL8" t="s">
        <v>20</v>
      </c>
      <c r="DM8" t="s">
        <v>20</v>
      </c>
      <c r="DN8" t="s">
        <v>20</v>
      </c>
      <c r="DO8" t="s">
        <v>20</v>
      </c>
      <c r="DP8" t="s">
        <v>20</v>
      </c>
      <c r="DQ8" t="s">
        <v>20</v>
      </c>
      <c r="DR8" t="s">
        <v>20</v>
      </c>
      <c r="DS8" t="s">
        <v>20</v>
      </c>
      <c r="DT8" t="s">
        <v>20</v>
      </c>
      <c r="DU8" t="s">
        <v>20</v>
      </c>
      <c r="DV8" t="s">
        <v>20</v>
      </c>
      <c r="DW8" t="s">
        <v>20</v>
      </c>
      <c r="DX8" t="s">
        <v>20</v>
      </c>
      <c r="DY8" t="s">
        <v>20</v>
      </c>
      <c r="DZ8" t="s">
        <v>20</v>
      </c>
      <c r="EA8" t="s">
        <v>20</v>
      </c>
      <c r="EB8" t="s">
        <v>20</v>
      </c>
      <c r="EC8" t="s">
        <v>20</v>
      </c>
      <c r="ED8" t="s">
        <v>20</v>
      </c>
      <c r="EE8" t="s">
        <v>20</v>
      </c>
      <c r="EF8" t="s">
        <v>20</v>
      </c>
      <c r="EG8" t="s">
        <v>20</v>
      </c>
      <c r="EH8" t="s">
        <v>20</v>
      </c>
      <c r="EI8" t="s">
        <v>20</v>
      </c>
      <c r="EJ8" t="s">
        <v>20</v>
      </c>
      <c r="EK8" t="s">
        <v>20</v>
      </c>
      <c r="EL8" t="s">
        <v>20</v>
      </c>
      <c r="EM8" t="s">
        <v>20</v>
      </c>
      <c r="EN8" t="s">
        <v>20</v>
      </c>
      <c r="EO8" t="s">
        <v>20</v>
      </c>
      <c r="EP8" t="s">
        <v>20</v>
      </c>
      <c r="EQ8" t="s">
        <v>20</v>
      </c>
      <c r="ER8" t="s">
        <v>20</v>
      </c>
      <c r="ES8" t="s">
        <v>20</v>
      </c>
      <c r="ET8" t="s">
        <v>20</v>
      </c>
      <c r="EU8" t="s">
        <v>20</v>
      </c>
      <c r="EV8" t="s">
        <v>20</v>
      </c>
      <c r="EW8" t="s">
        <v>20</v>
      </c>
      <c r="EX8" t="s">
        <v>20</v>
      </c>
      <c r="EY8" t="s">
        <v>20</v>
      </c>
      <c r="EZ8" t="s">
        <v>20</v>
      </c>
      <c r="FA8" t="s">
        <v>20</v>
      </c>
      <c r="FB8" t="s">
        <v>20</v>
      </c>
      <c r="FC8" t="s">
        <v>20</v>
      </c>
      <c r="FD8" t="s">
        <v>20</v>
      </c>
      <c r="FE8" t="s">
        <v>20</v>
      </c>
      <c r="FF8" t="s">
        <v>20</v>
      </c>
      <c r="FG8" t="s">
        <v>20</v>
      </c>
      <c r="FH8" t="s">
        <v>20</v>
      </c>
      <c r="FI8" t="s">
        <v>20</v>
      </c>
      <c r="FJ8" t="s">
        <v>20</v>
      </c>
      <c r="FK8" t="s">
        <v>20</v>
      </c>
      <c r="FL8" t="s">
        <v>20</v>
      </c>
      <c r="FM8" t="s">
        <v>20</v>
      </c>
      <c r="FN8" t="s">
        <v>20</v>
      </c>
      <c r="FO8" t="s">
        <v>20</v>
      </c>
      <c r="FP8" t="s">
        <v>20</v>
      </c>
      <c r="FQ8" t="s">
        <v>20</v>
      </c>
      <c r="FR8" s="33"/>
      <c r="FS8" s="33"/>
      <c r="FT8" s="33"/>
      <c r="FU8" s="33"/>
      <c r="FV8" s="33"/>
      <c r="FW8" s="33"/>
      <c r="FX8" s="33"/>
      <c r="FY8" s="33"/>
      <c r="FZ8" s="33"/>
      <c r="GA8" s="33"/>
      <c r="GB8" s="33"/>
      <c r="GC8" s="33"/>
      <c r="GD8" s="33"/>
      <c r="GE8" s="33"/>
      <c r="GF8" s="33"/>
      <c r="GG8" s="33"/>
      <c r="GH8" s="33"/>
      <c r="GI8" s="33"/>
      <c r="GJ8" s="33"/>
      <c r="GK8" s="33"/>
      <c r="GL8" s="33"/>
      <c r="GM8" s="33"/>
      <c r="GN8" s="33"/>
      <c r="GO8" s="33"/>
      <c r="GP8" s="33"/>
      <c r="GQ8" s="33"/>
      <c r="GR8" s="33"/>
      <c r="GS8" s="33"/>
      <c r="GT8" s="33"/>
      <c r="GU8" s="33"/>
      <c r="GV8" s="33"/>
      <c r="GW8" s="33"/>
      <c r="GX8" s="33"/>
      <c r="GY8" s="33"/>
      <c r="GZ8" s="33"/>
      <c r="HA8" s="33"/>
      <c r="HB8" s="33"/>
      <c r="HC8" s="33"/>
      <c r="HD8" s="33"/>
      <c r="HE8" s="33"/>
      <c r="HF8" s="33"/>
      <c r="HG8" s="33"/>
      <c r="HH8" s="33"/>
      <c r="HI8" s="33"/>
      <c r="HJ8" s="33"/>
      <c r="HK8" s="33"/>
      <c r="HL8" s="33"/>
      <c r="HM8" s="33"/>
      <c r="HN8" s="33"/>
      <c r="HO8" s="33"/>
      <c r="HP8" s="33"/>
      <c r="HQ8" s="33"/>
      <c r="HR8" s="33"/>
      <c r="HS8" s="33"/>
      <c r="HT8" s="33"/>
      <c r="HU8" s="33"/>
      <c r="HV8" s="33"/>
      <c r="HW8" s="33"/>
      <c r="HX8" s="33"/>
      <c r="HY8" s="33"/>
      <c r="HZ8" s="33"/>
      <c r="IA8" s="33"/>
      <c r="IB8" s="33"/>
      <c r="IC8" s="33"/>
      <c r="ID8" s="33"/>
      <c r="IE8" s="33"/>
      <c r="IF8" s="33"/>
      <c r="IG8" s="33"/>
      <c r="IH8" s="33"/>
      <c r="II8" s="33"/>
      <c r="IJ8" s="33"/>
      <c r="IK8" s="33"/>
      <c r="IL8" s="33"/>
      <c r="IM8" s="33"/>
      <c r="IN8" s="33"/>
      <c r="IO8" s="33"/>
      <c r="IP8" s="33"/>
      <c r="IQ8" s="33"/>
      <c r="IR8" s="33"/>
      <c r="IS8" s="33"/>
      <c r="IT8" s="33"/>
      <c r="IU8" s="33"/>
      <c r="IV8" s="33"/>
      <c r="IW8" s="33"/>
      <c r="IX8" s="33"/>
      <c r="IY8" s="33"/>
      <c r="IZ8" s="33"/>
      <c r="JA8" s="33"/>
      <c r="JB8" s="33"/>
      <c r="JC8" s="33"/>
      <c r="JD8" s="33"/>
      <c r="JE8" s="33"/>
      <c r="JF8" s="33"/>
      <c r="JG8" s="33"/>
      <c r="JH8" s="33"/>
      <c r="JI8" s="33"/>
      <c r="JJ8" s="33"/>
      <c r="JK8" s="33"/>
      <c r="JL8" s="33"/>
      <c r="JM8" s="33"/>
      <c r="JN8" s="33"/>
      <c r="JO8" s="33"/>
      <c r="JP8" s="33"/>
      <c r="JQ8" s="33"/>
      <c r="JR8" s="33"/>
      <c r="JS8" s="33"/>
      <c r="JT8" s="33"/>
      <c r="JU8" s="33"/>
      <c r="JV8" s="33"/>
      <c r="JW8" s="33"/>
      <c r="JX8" s="33"/>
      <c r="JY8" s="33"/>
      <c r="JZ8" s="33"/>
      <c r="KA8" s="33"/>
      <c r="KB8" s="33"/>
      <c r="KC8" s="33"/>
      <c r="KD8" s="33"/>
      <c r="KE8" s="33"/>
      <c r="KF8" s="33"/>
      <c r="KG8" s="33"/>
      <c r="KH8" s="33"/>
      <c r="KI8" s="33"/>
      <c r="KJ8" s="33"/>
      <c r="KK8" s="33"/>
      <c r="KL8" s="33"/>
      <c r="KM8" s="33"/>
      <c r="KN8" s="33"/>
      <c r="KO8" s="33"/>
      <c r="KP8" s="33"/>
      <c r="KQ8" s="33"/>
      <c r="KR8" s="33"/>
      <c r="KS8" s="33"/>
      <c r="KT8" s="33"/>
      <c r="KU8" s="33"/>
      <c r="KV8" s="33"/>
      <c r="KW8" s="33"/>
      <c r="KX8" s="33"/>
      <c r="KY8" s="33"/>
      <c r="KZ8" s="33"/>
      <c r="LA8" s="33"/>
      <c r="LB8" s="33"/>
      <c r="LC8" s="33"/>
      <c r="LD8" s="33"/>
      <c r="LE8" s="33"/>
      <c r="LF8" s="33"/>
      <c r="LG8" s="33"/>
      <c r="LH8" s="33"/>
      <c r="LI8" s="33"/>
      <c r="LJ8" s="33"/>
      <c r="LK8" s="33"/>
      <c r="LL8" s="33"/>
      <c r="LM8" s="33"/>
      <c r="LN8" s="33"/>
      <c r="LO8" s="33"/>
      <c r="LP8" s="33"/>
      <c r="LQ8" s="33"/>
      <c r="LR8" s="33"/>
      <c r="LS8" s="33"/>
      <c r="LT8" s="33"/>
      <c r="LU8" s="33"/>
      <c r="LV8" s="33"/>
      <c r="LW8" s="33"/>
      <c r="LX8" s="33"/>
      <c r="LY8" s="33"/>
      <c r="LZ8" s="33"/>
      <c r="MA8" s="33"/>
      <c r="MB8" s="33"/>
      <c r="MC8" s="33"/>
      <c r="MD8" s="33"/>
      <c r="ME8" s="33"/>
      <c r="MF8" s="33"/>
      <c r="MG8" s="33"/>
      <c r="MH8" s="33"/>
      <c r="MI8" s="33"/>
      <c r="MJ8" s="33"/>
      <c r="MK8" s="33"/>
      <c r="ML8" s="33"/>
      <c r="MM8" s="33"/>
      <c r="MN8" s="33"/>
      <c r="MO8" s="33"/>
      <c r="MP8" s="33"/>
      <c r="MQ8" s="33"/>
      <c r="MR8" s="33"/>
      <c r="MS8" s="33"/>
      <c r="MT8" s="33"/>
      <c r="MU8" s="33"/>
      <c r="MV8" s="33"/>
      <c r="MW8" s="33"/>
      <c r="MX8" s="33"/>
      <c r="MY8" s="33"/>
      <c r="MZ8" s="33"/>
      <c r="NA8" s="33"/>
      <c r="NB8" s="33"/>
      <c r="NC8" s="33"/>
      <c r="ND8" s="33"/>
      <c r="NE8" s="33"/>
      <c r="NF8" s="33"/>
      <c r="NG8" s="33"/>
      <c r="NH8" s="33"/>
      <c r="NI8" s="33"/>
      <c r="NJ8" s="33"/>
      <c r="NK8" s="33"/>
      <c r="NL8" s="33"/>
      <c r="NM8" s="33"/>
      <c r="NN8" s="33"/>
      <c r="NO8" s="33"/>
      <c r="NP8" s="33"/>
      <c r="NQ8" s="33"/>
      <c r="NR8" s="33"/>
      <c r="NS8" s="33"/>
      <c r="NT8" s="33"/>
      <c r="NU8" s="33"/>
      <c r="NV8" s="33"/>
      <c r="NW8" s="33"/>
      <c r="NX8" s="33"/>
      <c r="NY8" s="33"/>
      <c r="NZ8" s="33"/>
      <c r="OA8" s="33"/>
      <c r="OB8" s="33"/>
      <c r="OC8" s="33"/>
      <c r="OD8" s="33"/>
      <c r="OE8" s="33"/>
      <c r="OF8" s="33"/>
      <c r="OG8" s="33"/>
      <c r="OH8" s="33"/>
      <c r="OI8" s="33"/>
      <c r="OJ8" s="33"/>
      <c r="OK8" s="33"/>
      <c r="OL8" s="33"/>
      <c r="OM8" s="33"/>
      <c r="ON8" s="33"/>
      <c r="OO8" s="33"/>
      <c r="OP8" s="33"/>
      <c r="OQ8" s="33"/>
      <c r="OR8" s="33"/>
      <c r="OS8" s="33"/>
      <c r="OT8" s="33"/>
      <c r="OU8" s="33"/>
      <c r="OV8" s="33"/>
      <c r="OW8" s="33"/>
      <c r="OX8" s="33"/>
      <c r="OY8" s="33"/>
      <c r="OZ8" s="33"/>
      <c r="PA8" s="33"/>
      <c r="PB8" s="33"/>
      <c r="PC8" s="33"/>
      <c r="PD8" s="33"/>
      <c r="PE8" s="33"/>
      <c r="PF8" s="33"/>
      <c r="PG8" s="33"/>
      <c r="PH8" s="33"/>
      <c r="PI8" s="33"/>
      <c r="PJ8" s="33"/>
      <c r="PK8" s="33"/>
      <c r="PL8" s="33"/>
      <c r="PM8" s="33"/>
      <c r="PN8" s="33"/>
      <c r="PO8" s="33"/>
      <c r="PP8" s="33"/>
      <c r="PQ8" s="33"/>
      <c r="PR8" s="33"/>
      <c r="PS8" s="33"/>
      <c r="PT8" s="33"/>
      <c r="PU8" s="33"/>
      <c r="PV8" s="33"/>
      <c r="PW8" s="33"/>
      <c r="PX8" s="33"/>
      <c r="PY8" s="33"/>
      <c r="PZ8" s="33"/>
      <c r="QA8" s="33"/>
      <c r="QB8" s="33"/>
      <c r="QC8" s="33"/>
      <c r="QD8" s="33"/>
      <c r="QE8" s="33"/>
      <c r="QF8" s="33"/>
      <c r="QG8" s="33"/>
      <c r="QH8" s="33"/>
      <c r="QI8" s="33"/>
      <c r="QJ8" s="33"/>
      <c r="QK8" s="33"/>
      <c r="QL8" s="33"/>
      <c r="QM8" s="33"/>
      <c r="QN8" s="33"/>
      <c r="QO8" s="33"/>
      <c r="QP8" s="33"/>
      <c r="QQ8" s="33"/>
      <c r="QR8" s="33"/>
      <c r="QS8" s="33"/>
      <c r="QT8" s="33"/>
      <c r="QU8" s="33"/>
      <c r="QV8" s="33"/>
      <c r="QW8" s="33"/>
      <c r="QX8" s="33"/>
      <c r="QY8" s="33"/>
      <c r="QZ8" s="33"/>
      <c r="RA8" s="33"/>
      <c r="RB8" s="33"/>
      <c r="RC8" s="33"/>
      <c r="RD8" s="33"/>
      <c r="RE8" s="33"/>
      <c r="RF8" s="33"/>
      <c r="RG8" s="33"/>
      <c r="RH8" s="33"/>
      <c r="RI8" s="33"/>
      <c r="RJ8" s="33"/>
      <c r="RK8" s="33"/>
      <c r="RL8" s="33"/>
      <c r="RM8" s="33"/>
      <c r="RN8" s="33"/>
      <c r="RO8" s="33"/>
      <c r="RP8" s="33"/>
      <c r="RQ8" s="33"/>
      <c r="RR8" s="33"/>
      <c r="RS8" s="33"/>
      <c r="RT8" s="33"/>
      <c r="RU8" s="33"/>
      <c r="RV8" s="33"/>
      <c r="RW8" s="33"/>
      <c r="RX8" s="33"/>
      <c r="RY8" s="33"/>
      <c r="RZ8" s="33"/>
      <c r="SA8" s="33"/>
      <c r="SB8" s="33"/>
      <c r="SC8" s="33"/>
      <c r="SD8" s="33"/>
      <c r="SE8" s="33"/>
      <c r="SF8" s="33"/>
      <c r="SG8" s="33"/>
      <c r="SH8" s="33"/>
      <c r="SI8" s="33"/>
      <c r="SJ8" s="33"/>
      <c r="SK8" s="33"/>
      <c r="SL8" s="33"/>
      <c r="SM8" s="33"/>
      <c r="SN8" s="33"/>
      <c r="SO8" s="33"/>
      <c r="SP8" s="33"/>
      <c r="SQ8" s="33"/>
      <c r="SR8" s="33"/>
      <c r="SS8" s="33"/>
      <c r="ST8" s="33"/>
      <c r="SU8" s="33"/>
      <c r="SV8" s="33"/>
      <c r="SW8" s="33"/>
      <c r="SX8" s="33"/>
      <c r="SY8" s="33"/>
      <c r="SZ8" s="33"/>
      <c r="TA8" s="33"/>
      <c r="TB8" s="33"/>
      <c r="TC8" s="33"/>
      <c r="TD8" s="33"/>
      <c r="TE8" s="33"/>
      <c r="TF8" s="33"/>
      <c r="TG8" s="33"/>
      <c r="TH8" s="33"/>
      <c r="TI8" s="33"/>
      <c r="TJ8" s="33"/>
      <c r="TK8" s="33"/>
      <c r="TL8" s="33"/>
      <c r="TM8" s="33"/>
      <c r="TN8" s="33"/>
      <c r="TO8" s="33"/>
      <c r="TP8" s="33"/>
      <c r="TQ8" s="33"/>
      <c r="TR8" s="33"/>
      <c r="TS8" s="33"/>
      <c r="TT8" s="33"/>
      <c r="TU8" s="33"/>
      <c r="TV8" s="33"/>
      <c r="TW8" s="33"/>
      <c r="TX8" s="33"/>
      <c r="TY8" s="33"/>
      <c r="TZ8" s="33"/>
      <c r="UA8" s="33"/>
      <c r="UB8" s="33"/>
      <c r="UC8" s="33"/>
      <c r="UD8" s="33"/>
      <c r="UE8" s="33"/>
      <c r="UF8" s="33"/>
      <c r="UG8" s="33"/>
      <c r="UH8" s="33"/>
      <c r="UI8" s="33"/>
      <c r="UJ8" s="33"/>
      <c r="UK8" s="33"/>
      <c r="UL8" s="33"/>
      <c r="UM8" s="33"/>
      <c r="UN8" s="33"/>
      <c r="UO8" s="33"/>
      <c r="UP8" s="33"/>
      <c r="UQ8" s="33"/>
      <c r="UR8" s="33"/>
      <c r="US8" s="33"/>
      <c r="UT8" s="33"/>
      <c r="UU8" s="33"/>
      <c r="UV8" s="33"/>
      <c r="UW8" s="33"/>
      <c r="UX8" s="33"/>
      <c r="UY8" s="33"/>
      <c r="UZ8" s="33"/>
      <c r="VA8" s="33"/>
      <c r="VB8" s="33"/>
      <c r="VC8" s="33"/>
      <c r="VD8" s="33"/>
      <c r="VE8" s="33"/>
      <c r="VF8" s="33"/>
      <c r="VG8" s="33"/>
      <c r="VH8" s="33"/>
      <c r="VI8" s="33"/>
      <c r="VJ8" s="33"/>
      <c r="VK8" s="33"/>
      <c r="VL8" s="33"/>
      <c r="VM8" s="33"/>
      <c r="VN8" s="33"/>
      <c r="VO8" s="33"/>
      <c r="VP8" s="33"/>
      <c r="VQ8" s="33"/>
      <c r="VR8" s="33"/>
      <c r="VS8" s="33"/>
      <c r="VT8" s="33"/>
      <c r="VU8" s="33"/>
      <c r="VV8" s="33"/>
      <c r="VW8" s="33"/>
      <c r="VX8" s="33"/>
      <c r="VY8" s="33"/>
      <c r="VZ8" s="33"/>
      <c r="WA8" s="33"/>
      <c r="WB8" s="33"/>
      <c r="WC8" s="33"/>
      <c r="WD8" s="33"/>
      <c r="WE8" s="33"/>
      <c r="WF8" s="33"/>
      <c r="WG8" s="33"/>
      <c r="WH8" s="33"/>
      <c r="WI8" s="33"/>
      <c r="WJ8" s="33"/>
      <c r="WK8" s="33"/>
      <c r="WL8" s="33"/>
      <c r="WM8" s="33"/>
      <c r="WN8" s="33"/>
      <c r="WO8" s="33"/>
      <c r="WP8" s="33"/>
      <c r="WQ8" s="33"/>
      <c r="WR8" s="33"/>
      <c r="WS8" s="33"/>
      <c r="WT8" s="33"/>
      <c r="WU8" s="33"/>
      <c r="WV8" s="33"/>
      <c r="WW8" s="33"/>
      <c r="WX8" s="33"/>
      <c r="WY8" s="33"/>
      <c r="WZ8" s="33"/>
      <c r="XA8" s="33"/>
      <c r="XB8" s="33"/>
      <c r="XC8" s="33"/>
      <c r="XD8" s="33"/>
      <c r="XE8" s="33"/>
      <c r="XF8" s="33"/>
      <c r="XG8" s="33"/>
      <c r="XH8" s="33"/>
      <c r="XI8" s="33"/>
      <c r="XJ8" s="33"/>
      <c r="XK8" s="33"/>
      <c r="XL8" s="33"/>
      <c r="XM8" s="33"/>
      <c r="XN8" s="33"/>
      <c r="XO8" s="33"/>
      <c r="XP8" s="33"/>
      <c r="XQ8" s="33"/>
      <c r="XR8" s="33"/>
      <c r="XS8" s="33"/>
      <c r="XT8" s="33"/>
      <c r="XU8" s="33"/>
      <c r="XV8" s="33"/>
      <c r="XW8" s="33"/>
      <c r="XX8" s="33"/>
      <c r="XY8" s="33"/>
      <c r="XZ8" s="33"/>
      <c r="YA8" s="33"/>
      <c r="YB8" s="33"/>
      <c r="YC8" s="33"/>
      <c r="YD8" s="33"/>
      <c r="YE8" s="33"/>
      <c r="YF8" s="33"/>
      <c r="YG8" s="33"/>
      <c r="YH8" s="33"/>
      <c r="YI8" s="33"/>
      <c r="YJ8" s="33"/>
      <c r="YK8" s="33"/>
      <c r="YL8" s="33"/>
      <c r="YM8" s="33"/>
      <c r="YN8" s="33"/>
      <c r="YO8" s="33"/>
      <c r="YP8" s="33"/>
      <c r="YQ8" s="33"/>
      <c r="YR8" s="33"/>
      <c r="YS8" s="33"/>
      <c r="YT8" s="33"/>
      <c r="YU8" s="33"/>
      <c r="YV8" s="33"/>
      <c r="YW8" s="33"/>
      <c r="YX8" s="33"/>
      <c r="YY8" s="33"/>
      <c r="YZ8" s="33"/>
      <c r="ZA8" s="33"/>
      <c r="ZB8" s="33"/>
      <c r="ZC8" s="33"/>
      <c r="ZD8" s="33"/>
      <c r="ZE8" s="33"/>
      <c r="ZF8" s="33"/>
      <c r="ZG8" s="33"/>
      <c r="ZH8" s="33"/>
      <c r="ZI8" s="33"/>
      <c r="ZJ8" s="33"/>
      <c r="ZK8" s="33"/>
      <c r="ZL8" s="33"/>
      <c r="ZM8" s="33"/>
      <c r="ZN8" s="33"/>
      <c r="ZO8" s="33"/>
      <c r="ZP8" s="33"/>
      <c r="ZQ8" s="33"/>
      <c r="ZR8" s="33"/>
      <c r="ZS8" s="33"/>
      <c r="ZT8" s="33"/>
      <c r="ZU8" s="33"/>
      <c r="ZV8" s="33"/>
      <c r="ZW8" s="33"/>
      <c r="ZX8" s="33"/>
      <c r="ZY8" s="33"/>
      <c r="ZZ8" s="33"/>
      <c r="AAA8" s="33"/>
      <c r="AAB8" s="33"/>
      <c r="AAC8" s="33"/>
      <c r="AAD8" s="33"/>
      <c r="AAE8" s="33"/>
      <c r="AAF8" s="33"/>
      <c r="AAG8" s="33"/>
      <c r="AAH8" s="33"/>
      <c r="AAI8" s="33"/>
      <c r="AAJ8" s="33"/>
      <c r="AAK8" s="33"/>
      <c r="AAL8" s="33"/>
      <c r="AAM8" s="33"/>
      <c r="AAN8" s="33"/>
      <c r="AAO8" s="33"/>
      <c r="AAP8" s="33"/>
      <c r="AAQ8" s="33"/>
      <c r="AAR8" s="33"/>
      <c r="AAS8" s="33"/>
      <c r="AAT8" s="33"/>
      <c r="AAU8" s="33"/>
      <c r="AAV8" s="33"/>
      <c r="AAW8" s="33"/>
      <c r="AAX8" s="33"/>
      <c r="AAY8" s="33"/>
      <c r="AAZ8" s="33"/>
      <c r="ABA8" s="33"/>
      <c r="ABB8" s="33"/>
      <c r="ABC8" s="33"/>
      <c r="ABD8" s="33"/>
      <c r="ABE8" s="33"/>
      <c r="ABF8" s="33"/>
      <c r="ABG8" s="33"/>
      <c r="ABH8" s="33"/>
      <c r="ABI8" s="33"/>
      <c r="ABJ8" s="33"/>
      <c r="ABK8" s="33"/>
      <c r="ABL8" s="33"/>
      <c r="ABM8" s="33"/>
      <c r="ABN8" s="33"/>
      <c r="ABO8" s="33"/>
      <c r="ABP8" s="33"/>
      <c r="ABQ8" s="33"/>
      <c r="ABR8" s="33"/>
      <c r="ABS8" s="33"/>
      <c r="ABT8" s="33"/>
      <c r="ABU8" s="33"/>
      <c r="ABV8" s="33"/>
      <c r="ABW8" s="33"/>
      <c r="ABX8" s="33"/>
      <c r="ABY8" s="33"/>
      <c r="ABZ8" s="33"/>
      <c r="ACA8" s="33"/>
      <c r="ACB8" s="33"/>
      <c r="ACC8" s="33"/>
      <c r="ACD8" s="33"/>
      <c r="ACE8" s="33"/>
      <c r="ACF8" s="33"/>
      <c r="ACG8" s="33"/>
      <c r="ACH8" s="33"/>
      <c r="ACI8" s="33"/>
      <c r="ACJ8" s="33"/>
      <c r="ACK8" s="33"/>
      <c r="ACL8" s="33"/>
      <c r="ACM8" s="33"/>
      <c r="ACN8" s="33"/>
      <c r="ACO8" s="33"/>
      <c r="ACP8" s="33"/>
      <c r="ACQ8" s="33"/>
      <c r="ACR8" s="33"/>
      <c r="ACS8" s="33"/>
      <c r="ACT8" s="33"/>
      <c r="ACU8" s="33"/>
      <c r="ACV8" s="33"/>
      <c r="ACW8" s="33"/>
      <c r="ACX8" s="33"/>
      <c r="ACY8" s="33"/>
      <c r="ACZ8" s="33"/>
      <c r="ADA8" s="33"/>
      <c r="ADB8" s="33"/>
      <c r="ADC8" s="33"/>
      <c r="ADD8" s="33"/>
      <c r="ADE8" s="33"/>
      <c r="ADF8" s="33"/>
      <c r="ADG8" s="33"/>
      <c r="ADH8" s="33"/>
      <c r="ADI8" s="33"/>
      <c r="ADJ8" s="33"/>
      <c r="ADK8" s="33"/>
      <c r="ADL8" s="33"/>
      <c r="ADM8" s="33"/>
      <c r="ADN8" s="33"/>
      <c r="ADO8" s="33"/>
      <c r="ADP8" s="33"/>
      <c r="ADQ8" s="33"/>
      <c r="ADR8" s="33"/>
      <c r="ADS8" s="33"/>
      <c r="ADT8" s="33"/>
      <c r="ADU8" s="33"/>
      <c r="ADV8" s="33"/>
      <c r="ADW8" s="33"/>
      <c r="ADX8" s="33"/>
      <c r="ADY8" s="33"/>
      <c r="ADZ8" s="33"/>
      <c r="AEA8" s="33"/>
      <c r="AEB8" s="33"/>
      <c r="AEC8" s="33"/>
      <c r="AED8" s="33"/>
      <c r="AEE8" s="33"/>
      <c r="AEF8" s="33"/>
      <c r="AEG8" s="33"/>
      <c r="AEH8" s="33"/>
      <c r="AEI8" s="33"/>
      <c r="AEJ8" s="33"/>
      <c r="AEK8" s="33"/>
      <c r="AEL8" s="33"/>
      <c r="AEM8" s="33"/>
      <c r="AEN8" s="33"/>
      <c r="AEO8" s="33"/>
      <c r="AEP8" s="33"/>
      <c r="AEQ8" s="33"/>
      <c r="AER8" s="33"/>
      <c r="AES8" s="33"/>
      <c r="AET8" s="33"/>
      <c r="AEU8" s="33"/>
      <c r="AEV8" s="33"/>
      <c r="AEW8" s="33"/>
      <c r="AEX8" s="33"/>
      <c r="AEY8" s="33"/>
      <c r="AEZ8" s="33"/>
      <c r="AFA8" s="33"/>
      <c r="AFB8" s="33"/>
      <c r="AFC8" s="33"/>
      <c r="AFD8" s="33"/>
      <c r="AFE8" s="33"/>
      <c r="AFF8" s="33"/>
      <c r="AFG8" s="33"/>
      <c r="AFH8" s="33"/>
      <c r="AFI8" s="33"/>
      <c r="AFJ8" s="33"/>
      <c r="AFK8" s="33"/>
      <c r="AFL8" s="33"/>
      <c r="AFM8" s="33"/>
      <c r="AFN8" s="33"/>
      <c r="AFO8" s="33"/>
      <c r="AFP8" s="33"/>
      <c r="AFQ8" s="33"/>
      <c r="AFR8" s="33"/>
      <c r="AFS8" s="33"/>
      <c r="AFT8" s="33"/>
      <c r="AFU8" s="33"/>
      <c r="AFV8" s="33"/>
      <c r="AFW8" s="33"/>
      <c r="AFX8" s="33"/>
      <c r="AFY8" s="33"/>
      <c r="AFZ8" s="33"/>
      <c r="AGA8" s="33"/>
      <c r="AGB8" s="33"/>
      <c r="AGC8" s="33"/>
      <c r="AGD8" s="33"/>
      <c r="AGE8" s="33"/>
      <c r="AGF8" s="33"/>
      <c r="AGG8" s="33"/>
      <c r="AGH8" s="33"/>
      <c r="AGI8" s="33"/>
      <c r="AGJ8" s="33"/>
      <c r="AGK8" s="33"/>
      <c r="AGL8" s="33"/>
      <c r="AGM8" s="33"/>
      <c r="AGN8" s="33"/>
      <c r="AGO8" s="33"/>
      <c r="AGP8" s="33"/>
      <c r="AGQ8" s="33"/>
      <c r="AGR8" s="33"/>
      <c r="AGS8" s="33"/>
      <c r="AGT8" s="33"/>
      <c r="AGU8" s="33"/>
      <c r="AGV8" s="33"/>
      <c r="AGW8" s="33"/>
      <c r="AGX8" s="33"/>
      <c r="AGY8" s="33"/>
      <c r="AGZ8" s="33"/>
      <c r="AHA8" s="33"/>
      <c r="AHB8" s="33"/>
      <c r="AHC8" s="33"/>
      <c r="AHD8" s="33"/>
      <c r="AHE8" s="33"/>
      <c r="AHF8" s="33"/>
      <c r="AHG8" s="33"/>
      <c r="AHH8" s="33"/>
      <c r="AHI8" s="33"/>
      <c r="AHJ8" s="33"/>
      <c r="AHK8" s="33"/>
      <c r="AHL8" s="33"/>
      <c r="AHM8" s="33"/>
      <c r="AHN8" s="33"/>
      <c r="AHO8" s="33"/>
      <c r="AHP8" s="33"/>
      <c r="AHQ8" s="33"/>
      <c r="AHR8" s="33"/>
      <c r="AHS8" s="33"/>
      <c r="AHT8" s="33"/>
      <c r="AHU8" s="33"/>
      <c r="AHV8" s="33"/>
      <c r="AHW8" s="33"/>
      <c r="AHX8" s="33"/>
      <c r="AHY8" s="33"/>
      <c r="AHZ8" s="33"/>
      <c r="AIA8" s="33"/>
      <c r="AIB8" s="33"/>
      <c r="AIC8" s="33"/>
      <c r="AID8" s="33"/>
      <c r="AIE8" s="33"/>
      <c r="AIF8" s="33"/>
      <c r="AIG8" s="33"/>
      <c r="AIH8" s="33"/>
      <c r="AII8" s="33"/>
      <c r="AIJ8" s="33"/>
      <c r="AIK8" s="33"/>
      <c r="AIL8" s="33"/>
      <c r="AIM8" s="33"/>
      <c r="AIN8" s="33"/>
      <c r="AIO8" s="33"/>
      <c r="AIP8" s="33"/>
      <c r="AIQ8" s="33"/>
      <c r="AIR8" s="33"/>
      <c r="AIS8" s="33"/>
      <c r="AIT8" s="33"/>
      <c r="AIU8" s="33"/>
      <c r="AIV8" s="33"/>
      <c r="AIW8" s="33"/>
      <c r="AIX8" s="33"/>
      <c r="AIY8" s="33"/>
      <c r="AIZ8" s="33"/>
      <c r="AJA8" s="33"/>
      <c r="AJB8" s="33"/>
      <c r="AJC8" s="33"/>
      <c r="AJD8" s="33"/>
      <c r="AJE8" s="33"/>
      <c r="AJF8" s="33"/>
      <c r="AJG8" s="33"/>
      <c r="AJH8" s="33"/>
      <c r="AJI8" s="33"/>
      <c r="AJJ8" s="33"/>
      <c r="AJK8" s="33"/>
      <c r="AJL8" s="33"/>
      <c r="AJM8" s="33"/>
      <c r="AJN8" s="33"/>
      <c r="AJO8" s="33"/>
      <c r="AJP8" s="33"/>
      <c r="AJQ8" s="33"/>
      <c r="AJR8" s="33"/>
      <c r="AJS8" s="33"/>
      <c r="AJT8" s="33"/>
      <c r="AJU8" s="33"/>
      <c r="AJV8" s="33"/>
      <c r="AJW8" s="33"/>
      <c r="AJX8" s="33"/>
      <c r="AJY8" s="33"/>
      <c r="AJZ8" s="33"/>
      <c r="AKA8" s="33"/>
      <c r="AKB8" s="33"/>
      <c r="AKC8" s="33"/>
      <c r="AKD8" s="33"/>
      <c r="AKE8" s="33"/>
      <c r="AKF8" s="33"/>
      <c r="AKG8" s="33"/>
      <c r="AKH8" s="33"/>
      <c r="AKI8" s="33"/>
      <c r="AKJ8" s="33"/>
      <c r="AKK8" s="33"/>
      <c r="AKL8" s="33"/>
      <c r="AKM8" s="33"/>
      <c r="AKN8" s="33"/>
      <c r="AKO8" s="33"/>
      <c r="AKP8" s="33"/>
      <c r="AKQ8" s="33"/>
      <c r="AKR8" s="33"/>
      <c r="AKS8" s="33"/>
      <c r="AKT8" s="33"/>
      <c r="AKU8" s="33"/>
      <c r="AKV8" s="33"/>
      <c r="AKW8" s="33"/>
      <c r="AKX8" s="33"/>
      <c r="AKY8" s="33"/>
      <c r="AKZ8" s="33"/>
      <c r="ALA8" s="33"/>
      <c r="ALB8" s="33"/>
      <c r="ALC8" s="33"/>
      <c r="ALD8" s="33"/>
      <c r="ALE8" s="33"/>
      <c r="ALF8" s="33"/>
      <c r="ALG8" s="33"/>
      <c r="ALH8" s="33"/>
      <c r="ALI8" s="33"/>
      <c r="ALJ8" s="33"/>
      <c r="ALK8" s="33"/>
      <c r="ALL8" s="33"/>
      <c r="ALM8" s="33"/>
      <c r="ALN8" s="33"/>
      <c r="ALO8" s="33"/>
      <c r="ALP8" s="33"/>
      <c r="ALQ8" s="33"/>
      <c r="ALR8" s="33"/>
      <c r="ALS8" s="33"/>
      <c r="ALT8" s="33"/>
      <c r="ALU8" s="33"/>
      <c r="ALV8" s="33"/>
      <c r="ALW8" s="33"/>
      <c r="ALX8" s="33"/>
      <c r="ALY8" s="33"/>
      <c r="ALZ8" s="33"/>
      <c r="AMA8" s="33"/>
      <c r="AMB8" s="33"/>
      <c r="AMC8" s="33"/>
      <c r="AMD8" s="33"/>
      <c r="AME8" s="33"/>
      <c r="AMF8" s="33"/>
      <c r="AMG8" s="33"/>
      <c r="AMH8" s="33"/>
      <c r="AMI8" s="33"/>
      <c r="AMJ8" s="33"/>
      <c r="AMK8" s="33"/>
      <c r="AML8" s="33"/>
    </row>
    <row r="9" ht="15.75" customHeight="1">
      <c r="A9" s="8" t="s">
        <v>20</v>
      </c>
      <c r="B9" s="8" t="s">
        <v>20</v>
      </c>
      <c r="C9" s="13" t="s">
        <v>30</v>
      </c>
      <c r="D9" s="8" t="s">
        <v>28</v>
      </c>
      <c r="E9" s="8" t="s">
        <v>28</v>
      </c>
      <c r="F9" s="8" t="s">
        <v>23</v>
      </c>
      <c r="G9" s="8">
        <v>1.0</v>
      </c>
      <c r="H9" s="8">
        <v>1.0</v>
      </c>
      <c r="I9" s="8">
        <v>1.0</v>
      </c>
      <c r="J9" s="8"/>
      <c r="K9" s="8">
        <v>0.0</v>
      </c>
      <c r="L9" s="8">
        <v>0.0</v>
      </c>
      <c r="M9" s="8">
        <v>0.0</v>
      </c>
      <c r="N9" s="8"/>
      <c r="O9" s="8">
        <v>0.0</v>
      </c>
      <c r="P9">
        <v>0.0</v>
      </c>
      <c r="Q9">
        <v>0.0</v>
      </c>
      <c r="R9">
        <v>0.0</v>
      </c>
      <c r="S9">
        <v>0.0</v>
      </c>
      <c r="T9" t="s">
        <v>28</v>
      </c>
      <c r="AB9" t="s">
        <v>20</v>
      </c>
      <c r="AC9" t="s">
        <v>20</v>
      </c>
      <c r="AD9" t="s">
        <v>20</v>
      </c>
      <c r="AE9" t="s">
        <v>20</v>
      </c>
      <c r="AF9" t="s">
        <v>20</v>
      </c>
      <c r="AG9" t="s">
        <v>20</v>
      </c>
      <c r="AH9" t="s">
        <v>20</v>
      </c>
      <c r="AI9" t="s">
        <v>20</v>
      </c>
      <c r="AJ9" t="s">
        <v>20</v>
      </c>
      <c r="AK9" t="s">
        <v>20</v>
      </c>
      <c r="AL9" t="s">
        <v>20</v>
      </c>
      <c r="AM9" t="s">
        <v>20</v>
      </c>
      <c r="AN9" t="s">
        <v>20</v>
      </c>
      <c r="AO9" t="s">
        <v>20</v>
      </c>
      <c r="AP9" t="s">
        <v>20</v>
      </c>
      <c r="AQ9" t="s">
        <v>20</v>
      </c>
      <c r="AR9" t="s">
        <v>20</v>
      </c>
      <c r="AS9" t="s">
        <v>20</v>
      </c>
      <c r="AT9" t="s">
        <v>20</v>
      </c>
      <c r="AU9" t="s">
        <v>20</v>
      </c>
      <c r="AV9" t="s">
        <v>20</v>
      </c>
      <c r="AW9" t="s">
        <v>20</v>
      </c>
      <c r="AX9" t="s">
        <v>20</v>
      </c>
      <c r="AY9" t="s">
        <v>20</v>
      </c>
      <c r="AZ9" t="s">
        <v>20</v>
      </c>
      <c r="BA9" t="s">
        <v>20</v>
      </c>
      <c r="BB9" t="s">
        <v>20</v>
      </c>
      <c r="BC9" t="s">
        <v>20</v>
      </c>
      <c r="BD9" t="s">
        <v>20</v>
      </c>
      <c r="BE9" t="s">
        <v>20</v>
      </c>
      <c r="BF9" t="s">
        <v>20</v>
      </c>
      <c r="BG9" t="s">
        <v>20</v>
      </c>
      <c r="BH9" t="s">
        <v>20</v>
      </c>
      <c r="BI9" t="s">
        <v>20</v>
      </c>
      <c r="BJ9" t="s">
        <v>20</v>
      </c>
      <c r="BK9" t="s">
        <v>20</v>
      </c>
      <c r="BL9" t="s">
        <v>20</v>
      </c>
      <c r="BM9" t="s">
        <v>20</v>
      </c>
      <c r="BN9" t="s">
        <v>20</v>
      </c>
      <c r="BO9" t="s">
        <v>20</v>
      </c>
      <c r="BP9" t="s">
        <v>20</v>
      </c>
      <c r="BQ9" t="s">
        <v>20</v>
      </c>
      <c r="BR9" t="s">
        <v>20</v>
      </c>
      <c r="BS9" t="s">
        <v>20</v>
      </c>
      <c r="BT9" t="s">
        <v>20</v>
      </c>
      <c r="BU9" t="s">
        <v>20</v>
      </c>
      <c r="BV9" t="s">
        <v>20</v>
      </c>
      <c r="BW9" t="s">
        <v>20</v>
      </c>
      <c r="BX9" t="s">
        <v>20</v>
      </c>
      <c r="BY9" t="s">
        <v>20</v>
      </c>
      <c r="BZ9" t="s">
        <v>20</v>
      </c>
      <c r="CA9" t="s">
        <v>20</v>
      </c>
      <c r="CB9" t="s">
        <v>20</v>
      </c>
      <c r="CC9" t="s">
        <v>20</v>
      </c>
      <c r="CD9" t="s">
        <v>20</v>
      </c>
      <c r="CE9" t="s">
        <v>20</v>
      </c>
      <c r="CF9" t="s">
        <v>20</v>
      </c>
      <c r="CG9" t="s">
        <v>20</v>
      </c>
      <c r="CH9" t="s">
        <v>20</v>
      </c>
      <c r="CI9" t="s">
        <v>20</v>
      </c>
      <c r="CJ9" t="s">
        <v>20</v>
      </c>
      <c r="CK9" t="s">
        <v>20</v>
      </c>
      <c r="CL9" t="s">
        <v>20</v>
      </c>
      <c r="CM9" t="s">
        <v>20</v>
      </c>
      <c r="CN9" t="s">
        <v>20</v>
      </c>
      <c r="CO9" t="s">
        <v>20</v>
      </c>
      <c r="CP9" t="s">
        <v>20</v>
      </c>
      <c r="CQ9" t="s">
        <v>20</v>
      </c>
      <c r="CR9" t="s">
        <v>20</v>
      </c>
      <c r="CS9" t="s">
        <v>20</v>
      </c>
      <c r="CT9" t="s">
        <v>20</v>
      </c>
      <c r="CU9" t="s">
        <v>20</v>
      </c>
      <c r="CV9" t="s">
        <v>20</v>
      </c>
      <c r="CW9" t="s">
        <v>20</v>
      </c>
      <c r="CX9" t="s">
        <v>20</v>
      </c>
      <c r="CY9" t="s">
        <v>20</v>
      </c>
      <c r="CZ9" t="s">
        <v>20</v>
      </c>
      <c r="DA9" t="s">
        <v>20</v>
      </c>
      <c r="DB9" t="s">
        <v>20</v>
      </c>
      <c r="DC9" t="s">
        <v>20</v>
      </c>
      <c r="DD9" t="s">
        <v>20</v>
      </c>
      <c r="DE9" t="s">
        <v>20</v>
      </c>
      <c r="DF9" t="s">
        <v>20</v>
      </c>
      <c r="DG9" t="s">
        <v>20</v>
      </c>
      <c r="DH9" t="s">
        <v>20</v>
      </c>
      <c r="DI9" t="s">
        <v>20</v>
      </c>
      <c r="DJ9" t="s">
        <v>20</v>
      </c>
      <c r="DK9" t="s">
        <v>20</v>
      </c>
      <c r="DL9" t="s">
        <v>20</v>
      </c>
      <c r="DM9" t="s">
        <v>20</v>
      </c>
      <c r="DN9" t="s">
        <v>20</v>
      </c>
      <c r="DO9" t="s">
        <v>20</v>
      </c>
      <c r="DP9" t="s">
        <v>20</v>
      </c>
      <c r="DQ9" t="s">
        <v>20</v>
      </c>
      <c r="DR9" t="s">
        <v>20</v>
      </c>
      <c r="DS9" t="s">
        <v>20</v>
      </c>
      <c r="DT9" t="s">
        <v>20</v>
      </c>
      <c r="DU9" t="s">
        <v>20</v>
      </c>
      <c r="DV9" t="s">
        <v>20</v>
      </c>
      <c r="DW9" t="s">
        <v>20</v>
      </c>
      <c r="DX9" t="s">
        <v>20</v>
      </c>
      <c r="DY9" t="s">
        <v>20</v>
      </c>
      <c r="DZ9" t="s">
        <v>20</v>
      </c>
      <c r="EA9" t="s">
        <v>20</v>
      </c>
      <c r="EB9" t="s">
        <v>20</v>
      </c>
      <c r="EC9" t="s">
        <v>20</v>
      </c>
      <c r="ED9" t="s">
        <v>20</v>
      </c>
      <c r="EE9" t="s">
        <v>20</v>
      </c>
      <c r="EF9" t="s">
        <v>20</v>
      </c>
      <c r="EG9" t="s">
        <v>20</v>
      </c>
      <c r="EH9" t="s">
        <v>20</v>
      </c>
      <c r="EI9" t="s">
        <v>20</v>
      </c>
      <c r="EJ9" t="s">
        <v>20</v>
      </c>
      <c r="EK9" t="s">
        <v>20</v>
      </c>
      <c r="EL9" t="s">
        <v>20</v>
      </c>
      <c r="EM9" t="s">
        <v>20</v>
      </c>
      <c r="EN9" t="s">
        <v>20</v>
      </c>
      <c r="EO9" t="s">
        <v>20</v>
      </c>
      <c r="EP9" t="s">
        <v>20</v>
      </c>
      <c r="EQ9" t="s">
        <v>20</v>
      </c>
      <c r="ER9" t="s">
        <v>20</v>
      </c>
      <c r="ES9" t="s">
        <v>20</v>
      </c>
      <c r="ET9" t="s">
        <v>20</v>
      </c>
      <c r="EU9" t="s">
        <v>20</v>
      </c>
      <c r="EV9" t="s">
        <v>20</v>
      </c>
      <c r="EW9" t="s">
        <v>20</v>
      </c>
      <c r="EX9" t="s">
        <v>20</v>
      </c>
      <c r="EY9" t="s">
        <v>20</v>
      </c>
      <c r="EZ9" t="s">
        <v>20</v>
      </c>
      <c r="FA9" t="s">
        <v>20</v>
      </c>
      <c r="FB9" t="s">
        <v>20</v>
      </c>
      <c r="FC9" t="s">
        <v>20</v>
      </c>
      <c r="FD9" t="s">
        <v>20</v>
      </c>
      <c r="FE9" t="s">
        <v>20</v>
      </c>
      <c r="FF9" t="s">
        <v>20</v>
      </c>
      <c r="FG9" t="s">
        <v>20</v>
      </c>
      <c r="FH9" t="s">
        <v>20</v>
      </c>
      <c r="FI9" t="s">
        <v>20</v>
      </c>
      <c r="FJ9" t="s">
        <v>20</v>
      </c>
      <c r="FK9" t="s">
        <v>20</v>
      </c>
      <c r="FL9" t="s">
        <v>20</v>
      </c>
      <c r="FM9" t="s">
        <v>20</v>
      </c>
      <c r="FN9" t="s">
        <v>20</v>
      </c>
      <c r="FO9" t="s">
        <v>20</v>
      </c>
      <c r="FP9" t="s">
        <v>20</v>
      </c>
      <c r="FQ9" t="s">
        <v>20</v>
      </c>
      <c r="FR9" s="33"/>
      <c r="FS9" s="33"/>
      <c r="FT9" s="33"/>
      <c r="FU9" s="33"/>
      <c r="FV9" s="33"/>
      <c r="FW9" s="33"/>
      <c r="FX9" s="33"/>
      <c r="FY9" s="33"/>
      <c r="FZ9" s="33"/>
      <c r="GA9" s="33"/>
      <c r="GB9" s="33"/>
      <c r="GC9" s="33"/>
      <c r="GD9" s="33"/>
      <c r="GE9" s="33"/>
      <c r="GF9" s="33"/>
      <c r="GG9" s="33"/>
      <c r="GH9" s="33"/>
      <c r="GI9" s="33"/>
      <c r="GJ9" s="33"/>
      <c r="GK9" s="33"/>
      <c r="GL9" s="33"/>
      <c r="GM9" s="33"/>
      <c r="GN9" s="33"/>
      <c r="GO9" s="33"/>
      <c r="GP9" s="33"/>
      <c r="GQ9" s="33"/>
      <c r="GR9" s="33"/>
      <c r="GS9" s="33"/>
      <c r="GT9" s="33"/>
      <c r="GU9" s="33"/>
      <c r="GV9" s="33"/>
      <c r="GW9" s="33"/>
      <c r="GX9" s="33"/>
      <c r="GY9" s="33"/>
      <c r="GZ9" s="33"/>
      <c r="HA9" s="33"/>
      <c r="HB9" s="33"/>
      <c r="HC9" s="33"/>
      <c r="HD9" s="33"/>
      <c r="HE9" s="33"/>
      <c r="HF9" s="33"/>
      <c r="HG9" s="33"/>
      <c r="HH9" s="33"/>
      <c r="HI9" s="33"/>
      <c r="HJ9" s="33"/>
      <c r="HK9" s="33"/>
      <c r="HL9" s="33"/>
      <c r="HM9" s="33"/>
      <c r="HN9" s="33"/>
      <c r="HO9" s="33"/>
      <c r="HP9" s="33"/>
      <c r="HQ9" s="33"/>
      <c r="HR9" s="33"/>
      <c r="HS9" s="33"/>
      <c r="HT9" s="33"/>
      <c r="HU9" s="33"/>
      <c r="HV9" s="33"/>
      <c r="HW9" s="33"/>
      <c r="HX9" s="33"/>
      <c r="HY9" s="33"/>
      <c r="HZ9" s="33"/>
      <c r="IA9" s="33"/>
      <c r="IB9" s="33"/>
      <c r="IC9" s="33"/>
      <c r="ID9" s="33"/>
      <c r="IE9" s="33"/>
      <c r="IF9" s="33"/>
      <c r="IG9" s="33"/>
      <c r="IH9" s="33"/>
      <c r="II9" s="33"/>
      <c r="IJ9" s="33"/>
      <c r="IK9" s="33"/>
      <c r="IL9" s="33"/>
      <c r="IM9" s="33"/>
      <c r="IN9" s="33"/>
      <c r="IO9" s="33"/>
      <c r="IP9" s="33"/>
      <c r="IQ9" s="33"/>
      <c r="IR9" s="33"/>
      <c r="IS9" s="33"/>
      <c r="IT9" s="33"/>
      <c r="IU9" s="33"/>
      <c r="IV9" s="33"/>
      <c r="IW9" s="33"/>
      <c r="IX9" s="33"/>
      <c r="IY9" s="33"/>
      <c r="IZ9" s="33"/>
      <c r="JA9" s="33"/>
      <c r="JB9" s="33"/>
      <c r="JC9" s="33"/>
      <c r="JD9" s="33"/>
      <c r="JE9" s="33"/>
      <c r="JF9" s="33"/>
      <c r="JG9" s="33"/>
      <c r="JH9" s="33"/>
      <c r="JI9" s="33"/>
      <c r="JJ9" s="33"/>
      <c r="JK9" s="33"/>
      <c r="JL9" s="33"/>
      <c r="JM9" s="33"/>
      <c r="JN9" s="33"/>
      <c r="JO9" s="33"/>
      <c r="JP9" s="33"/>
      <c r="JQ9" s="33"/>
      <c r="JR9" s="33"/>
      <c r="JS9" s="33"/>
      <c r="JT9" s="33"/>
      <c r="JU9" s="33"/>
      <c r="JV9" s="33"/>
      <c r="JW9" s="33"/>
      <c r="JX9" s="33"/>
      <c r="JY9" s="33"/>
      <c r="JZ9" s="33"/>
      <c r="KA9" s="33"/>
      <c r="KB9" s="33"/>
      <c r="KC9" s="33"/>
      <c r="KD9" s="33"/>
      <c r="KE9" s="33"/>
      <c r="KF9" s="33"/>
      <c r="KG9" s="33"/>
      <c r="KH9" s="33"/>
      <c r="KI9" s="33"/>
      <c r="KJ9" s="33"/>
      <c r="KK9" s="33"/>
      <c r="KL9" s="33"/>
      <c r="KM9" s="33"/>
      <c r="KN9" s="33"/>
      <c r="KO9" s="33"/>
      <c r="KP9" s="33"/>
      <c r="KQ9" s="33"/>
      <c r="KR9" s="33"/>
      <c r="KS9" s="33"/>
      <c r="KT9" s="33"/>
      <c r="KU9" s="33"/>
      <c r="KV9" s="33"/>
      <c r="KW9" s="33"/>
      <c r="KX9" s="33"/>
      <c r="KY9" s="33"/>
      <c r="KZ9" s="33"/>
      <c r="LA9" s="33"/>
      <c r="LB9" s="33"/>
      <c r="LC9" s="33"/>
      <c r="LD9" s="33"/>
      <c r="LE9" s="33"/>
      <c r="LF9" s="33"/>
      <c r="LG9" s="33"/>
      <c r="LH9" s="33"/>
      <c r="LI9" s="33"/>
      <c r="LJ9" s="33"/>
      <c r="LK9" s="33"/>
      <c r="LL9" s="33"/>
      <c r="LM9" s="33"/>
      <c r="LN9" s="33"/>
      <c r="LO9" s="33"/>
      <c r="LP9" s="33"/>
      <c r="LQ9" s="33"/>
      <c r="LR9" s="33"/>
      <c r="LS9" s="33"/>
      <c r="LT9" s="33"/>
      <c r="LU9" s="33"/>
      <c r="LV9" s="33"/>
      <c r="LW9" s="33"/>
      <c r="LX9" s="33"/>
      <c r="LY9" s="33"/>
      <c r="LZ9" s="33"/>
      <c r="MA9" s="33"/>
      <c r="MB9" s="33"/>
      <c r="MC9" s="33"/>
      <c r="MD9" s="33"/>
      <c r="ME9" s="33"/>
      <c r="MF9" s="33"/>
      <c r="MG9" s="33"/>
      <c r="MH9" s="33"/>
      <c r="MI9" s="33"/>
      <c r="MJ9" s="33"/>
      <c r="MK9" s="33"/>
      <c r="ML9" s="33"/>
      <c r="MM9" s="33"/>
      <c r="MN9" s="33"/>
      <c r="MO9" s="33"/>
      <c r="MP9" s="33"/>
      <c r="MQ9" s="33"/>
      <c r="MR9" s="33"/>
      <c r="MS9" s="33"/>
      <c r="MT9" s="33"/>
      <c r="MU9" s="33"/>
      <c r="MV9" s="33"/>
      <c r="MW9" s="33"/>
      <c r="MX9" s="33"/>
      <c r="MY9" s="33"/>
      <c r="MZ9" s="33"/>
      <c r="NA9" s="33"/>
      <c r="NB9" s="33"/>
      <c r="NC9" s="33"/>
      <c r="ND9" s="33"/>
      <c r="NE9" s="33"/>
      <c r="NF9" s="33"/>
      <c r="NG9" s="33"/>
      <c r="NH9" s="33"/>
      <c r="NI9" s="33"/>
      <c r="NJ9" s="33"/>
      <c r="NK9" s="33"/>
      <c r="NL9" s="33"/>
      <c r="NM9" s="33"/>
      <c r="NN9" s="33"/>
      <c r="NO9" s="33"/>
      <c r="NP9" s="33"/>
      <c r="NQ9" s="33"/>
      <c r="NR9" s="33"/>
      <c r="NS9" s="33"/>
      <c r="NT9" s="33"/>
      <c r="NU9" s="33"/>
      <c r="NV9" s="33"/>
      <c r="NW9" s="33"/>
      <c r="NX9" s="33"/>
      <c r="NY9" s="33"/>
      <c r="NZ9" s="33"/>
      <c r="OA9" s="33"/>
      <c r="OB9" s="33"/>
      <c r="OC9" s="33"/>
      <c r="OD9" s="33"/>
      <c r="OE9" s="33"/>
      <c r="OF9" s="33"/>
      <c r="OG9" s="33"/>
      <c r="OH9" s="33"/>
      <c r="OI9" s="33"/>
      <c r="OJ9" s="33"/>
      <c r="OK9" s="33"/>
      <c r="OL9" s="33"/>
      <c r="OM9" s="33"/>
      <c r="ON9" s="33"/>
      <c r="OO9" s="33"/>
      <c r="OP9" s="33"/>
      <c r="OQ9" s="33"/>
      <c r="OR9" s="33"/>
      <c r="OS9" s="33"/>
      <c r="OT9" s="33"/>
      <c r="OU9" s="33"/>
      <c r="OV9" s="33"/>
      <c r="OW9" s="33"/>
      <c r="OX9" s="33"/>
      <c r="OY9" s="33"/>
      <c r="OZ9" s="33"/>
      <c r="PA9" s="33"/>
      <c r="PB9" s="33"/>
      <c r="PC9" s="33"/>
      <c r="PD9" s="33"/>
      <c r="PE9" s="33"/>
      <c r="PF9" s="33"/>
      <c r="PG9" s="33"/>
      <c r="PH9" s="33"/>
      <c r="PI9" s="33"/>
      <c r="PJ9" s="33"/>
      <c r="PK9" s="33"/>
      <c r="PL9" s="33"/>
      <c r="PM9" s="33"/>
      <c r="PN9" s="33"/>
      <c r="PO9" s="33"/>
      <c r="PP9" s="33"/>
      <c r="PQ9" s="33"/>
      <c r="PR9" s="33"/>
      <c r="PS9" s="33"/>
      <c r="PT9" s="33"/>
      <c r="PU9" s="33"/>
      <c r="PV9" s="33"/>
      <c r="PW9" s="33"/>
      <c r="PX9" s="33"/>
      <c r="PY9" s="33"/>
      <c r="PZ9" s="33"/>
      <c r="QA9" s="33"/>
      <c r="QB9" s="33"/>
      <c r="QC9" s="33"/>
      <c r="QD9" s="33"/>
      <c r="QE9" s="33"/>
      <c r="QF9" s="33"/>
      <c r="QG9" s="33"/>
      <c r="QH9" s="33"/>
      <c r="QI9" s="33"/>
      <c r="QJ9" s="33"/>
      <c r="QK9" s="33"/>
      <c r="QL9" s="33"/>
      <c r="QM9" s="33"/>
      <c r="QN9" s="33"/>
      <c r="QO9" s="33"/>
      <c r="QP9" s="33"/>
      <c r="QQ9" s="33"/>
      <c r="QR9" s="33"/>
      <c r="QS9" s="33"/>
      <c r="QT9" s="33"/>
      <c r="QU9" s="33"/>
      <c r="QV9" s="33"/>
      <c r="QW9" s="33"/>
      <c r="QX9" s="33"/>
      <c r="QY9" s="33"/>
      <c r="QZ9" s="33"/>
      <c r="RA9" s="33"/>
      <c r="RB9" s="33"/>
      <c r="RC9" s="33"/>
      <c r="RD9" s="33"/>
      <c r="RE9" s="33"/>
      <c r="RF9" s="33"/>
      <c r="RG9" s="33"/>
      <c r="RH9" s="33"/>
      <c r="RI9" s="33"/>
      <c r="RJ9" s="33"/>
      <c r="RK9" s="33"/>
      <c r="RL9" s="33"/>
      <c r="RM9" s="33"/>
      <c r="RN9" s="33"/>
      <c r="RO9" s="33"/>
      <c r="RP9" s="33"/>
      <c r="RQ9" s="33"/>
      <c r="RR9" s="33"/>
      <c r="RS9" s="33"/>
      <c r="RT9" s="33"/>
      <c r="RU9" s="33"/>
      <c r="RV9" s="33"/>
      <c r="RW9" s="33"/>
      <c r="RX9" s="33"/>
      <c r="RY9" s="33"/>
      <c r="RZ9" s="33"/>
      <c r="SA9" s="33"/>
      <c r="SB9" s="33"/>
      <c r="SC9" s="33"/>
      <c r="SD9" s="33"/>
      <c r="SE9" s="33"/>
      <c r="SF9" s="33"/>
      <c r="SG9" s="33"/>
      <c r="SH9" s="33"/>
      <c r="SI9" s="33"/>
      <c r="SJ9" s="33"/>
      <c r="SK9" s="33"/>
      <c r="SL9" s="33"/>
      <c r="SM9" s="33"/>
      <c r="SN9" s="33"/>
      <c r="SO9" s="33"/>
      <c r="SP9" s="33"/>
      <c r="SQ9" s="33"/>
      <c r="SR9" s="33"/>
      <c r="SS9" s="33"/>
      <c r="ST9" s="33"/>
      <c r="SU9" s="33"/>
      <c r="SV9" s="33"/>
      <c r="SW9" s="33"/>
      <c r="SX9" s="33"/>
      <c r="SY9" s="33"/>
      <c r="SZ9" s="33"/>
      <c r="TA9" s="33"/>
      <c r="TB9" s="33"/>
      <c r="TC9" s="33"/>
      <c r="TD9" s="33"/>
      <c r="TE9" s="33"/>
      <c r="TF9" s="33"/>
      <c r="TG9" s="33"/>
      <c r="TH9" s="33"/>
      <c r="TI9" s="33"/>
      <c r="TJ9" s="33"/>
      <c r="TK9" s="33"/>
      <c r="TL9" s="33"/>
      <c r="TM9" s="33"/>
      <c r="TN9" s="33"/>
      <c r="TO9" s="33"/>
      <c r="TP9" s="33"/>
      <c r="TQ9" s="33"/>
      <c r="TR9" s="33"/>
      <c r="TS9" s="33"/>
      <c r="TT9" s="33"/>
      <c r="TU9" s="33"/>
      <c r="TV9" s="33"/>
      <c r="TW9" s="33"/>
      <c r="TX9" s="33"/>
      <c r="TY9" s="33"/>
      <c r="TZ9" s="33"/>
      <c r="UA9" s="33"/>
      <c r="UB9" s="33"/>
      <c r="UC9" s="33"/>
      <c r="UD9" s="33"/>
      <c r="UE9" s="33"/>
      <c r="UF9" s="33"/>
      <c r="UG9" s="33"/>
      <c r="UH9" s="33"/>
      <c r="UI9" s="33"/>
      <c r="UJ9" s="33"/>
      <c r="UK9" s="33"/>
      <c r="UL9" s="33"/>
      <c r="UM9" s="33"/>
      <c r="UN9" s="33"/>
      <c r="UO9" s="33"/>
      <c r="UP9" s="33"/>
      <c r="UQ9" s="33"/>
      <c r="UR9" s="33"/>
      <c r="US9" s="33"/>
      <c r="UT9" s="33"/>
      <c r="UU9" s="33"/>
      <c r="UV9" s="33"/>
      <c r="UW9" s="33"/>
      <c r="UX9" s="33"/>
      <c r="UY9" s="33"/>
      <c r="UZ9" s="33"/>
      <c r="VA9" s="33"/>
      <c r="VB9" s="33"/>
      <c r="VC9" s="33"/>
      <c r="VD9" s="33"/>
      <c r="VE9" s="33"/>
      <c r="VF9" s="33"/>
      <c r="VG9" s="33"/>
      <c r="VH9" s="33"/>
      <c r="VI9" s="33"/>
      <c r="VJ9" s="33"/>
      <c r="VK9" s="33"/>
      <c r="VL9" s="33"/>
      <c r="VM9" s="33"/>
      <c r="VN9" s="33"/>
      <c r="VO9" s="33"/>
      <c r="VP9" s="33"/>
      <c r="VQ9" s="33"/>
      <c r="VR9" s="33"/>
      <c r="VS9" s="33"/>
      <c r="VT9" s="33"/>
      <c r="VU9" s="33"/>
      <c r="VV9" s="33"/>
      <c r="VW9" s="33"/>
      <c r="VX9" s="33"/>
      <c r="VY9" s="33"/>
      <c r="VZ9" s="33"/>
      <c r="WA9" s="33"/>
      <c r="WB9" s="33"/>
      <c r="WC9" s="33"/>
      <c r="WD9" s="33"/>
      <c r="WE9" s="33"/>
      <c r="WF9" s="33"/>
      <c r="WG9" s="33"/>
      <c r="WH9" s="33"/>
      <c r="WI9" s="33"/>
      <c r="WJ9" s="33"/>
      <c r="WK9" s="33"/>
      <c r="WL9" s="33"/>
      <c r="WM9" s="33"/>
      <c r="WN9" s="33"/>
      <c r="WO9" s="33"/>
      <c r="WP9" s="33"/>
      <c r="WQ9" s="33"/>
      <c r="WR9" s="33"/>
      <c r="WS9" s="33"/>
      <c r="WT9" s="33"/>
      <c r="WU9" s="33"/>
      <c r="WV9" s="33"/>
      <c r="WW9" s="33"/>
      <c r="WX9" s="33"/>
      <c r="WY9" s="33"/>
      <c r="WZ9" s="33"/>
      <c r="XA9" s="33"/>
      <c r="XB9" s="33"/>
      <c r="XC9" s="33"/>
      <c r="XD9" s="33"/>
      <c r="XE9" s="33"/>
      <c r="XF9" s="33"/>
      <c r="XG9" s="33"/>
      <c r="XH9" s="33"/>
      <c r="XI9" s="33"/>
      <c r="XJ9" s="33"/>
      <c r="XK9" s="33"/>
      <c r="XL9" s="33"/>
      <c r="XM9" s="33"/>
      <c r="XN9" s="33"/>
      <c r="XO9" s="33"/>
      <c r="XP9" s="33"/>
      <c r="XQ9" s="33"/>
      <c r="XR9" s="33"/>
      <c r="XS9" s="33"/>
      <c r="XT9" s="33"/>
      <c r="XU9" s="33"/>
      <c r="XV9" s="33"/>
      <c r="XW9" s="33"/>
      <c r="XX9" s="33"/>
      <c r="XY9" s="33"/>
      <c r="XZ9" s="33"/>
      <c r="YA9" s="33"/>
      <c r="YB9" s="33"/>
      <c r="YC9" s="33"/>
      <c r="YD9" s="33"/>
      <c r="YE9" s="33"/>
      <c r="YF9" s="33"/>
      <c r="YG9" s="33"/>
      <c r="YH9" s="33"/>
      <c r="YI9" s="33"/>
      <c r="YJ9" s="33"/>
      <c r="YK9" s="33"/>
      <c r="YL9" s="33"/>
      <c r="YM9" s="33"/>
      <c r="YN9" s="33"/>
      <c r="YO9" s="33"/>
      <c r="YP9" s="33"/>
      <c r="YQ9" s="33"/>
      <c r="YR9" s="33"/>
      <c r="YS9" s="33"/>
      <c r="YT9" s="33"/>
      <c r="YU9" s="33"/>
      <c r="YV9" s="33"/>
      <c r="YW9" s="33"/>
      <c r="YX9" s="33"/>
      <c r="YY9" s="33"/>
      <c r="YZ9" s="33"/>
      <c r="ZA9" s="33"/>
      <c r="ZB9" s="33"/>
      <c r="ZC9" s="33"/>
      <c r="ZD9" s="33"/>
      <c r="ZE9" s="33"/>
      <c r="ZF9" s="33"/>
      <c r="ZG9" s="33"/>
      <c r="ZH9" s="33"/>
      <c r="ZI9" s="33"/>
      <c r="ZJ9" s="33"/>
      <c r="ZK9" s="33"/>
      <c r="ZL9" s="33"/>
      <c r="ZM9" s="33"/>
      <c r="ZN9" s="33"/>
      <c r="ZO9" s="33"/>
      <c r="ZP9" s="33"/>
      <c r="ZQ9" s="33"/>
      <c r="ZR9" s="33"/>
      <c r="ZS9" s="33"/>
      <c r="ZT9" s="33"/>
      <c r="ZU9" s="33"/>
      <c r="ZV9" s="33"/>
      <c r="ZW9" s="33"/>
      <c r="ZX9" s="33"/>
      <c r="ZY9" s="33"/>
      <c r="ZZ9" s="33"/>
      <c r="AAA9" s="33"/>
      <c r="AAB9" s="33"/>
      <c r="AAC9" s="33"/>
      <c r="AAD9" s="33"/>
      <c r="AAE9" s="33"/>
      <c r="AAF9" s="33"/>
      <c r="AAG9" s="33"/>
      <c r="AAH9" s="33"/>
      <c r="AAI9" s="33"/>
      <c r="AAJ9" s="33"/>
      <c r="AAK9" s="33"/>
      <c r="AAL9" s="33"/>
      <c r="AAM9" s="33"/>
      <c r="AAN9" s="33"/>
      <c r="AAO9" s="33"/>
      <c r="AAP9" s="33"/>
      <c r="AAQ9" s="33"/>
      <c r="AAR9" s="33"/>
      <c r="AAS9" s="33"/>
      <c r="AAT9" s="33"/>
      <c r="AAU9" s="33"/>
      <c r="AAV9" s="33"/>
      <c r="AAW9" s="33"/>
      <c r="AAX9" s="33"/>
      <c r="AAY9" s="33"/>
      <c r="AAZ9" s="33"/>
      <c r="ABA9" s="33"/>
      <c r="ABB9" s="33"/>
      <c r="ABC9" s="33"/>
      <c r="ABD9" s="33"/>
      <c r="ABE9" s="33"/>
      <c r="ABF9" s="33"/>
      <c r="ABG9" s="33"/>
      <c r="ABH9" s="33"/>
      <c r="ABI9" s="33"/>
      <c r="ABJ9" s="33"/>
      <c r="ABK9" s="33"/>
      <c r="ABL9" s="33"/>
      <c r="ABM9" s="33"/>
      <c r="ABN9" s="33"/>
      <c r="ABO9" s="33"/>
      <c r="ABP9" s="33"/>
      <c r="ABQ9" s="33"/>
      <c r="ABR9" s="33"/>
      <c r="ABS9" s="33"/>
      <c r="ABT9" s="33"/>
      <c r="ABU9" s="33"/>
      <c r="ABV9" s="33"/>
      <c r="ABW9" s="33"/>
      <c r="ABX9" s="33"/>
      <c r="ABY9" s="33"/>
      <c r="ABZ9" s="33"/>
      <c r="ACA9" s="33"/>
      <c r="ACB9" s="33"/>
      <c r="ACC9" s="33"/>
      <c r="ACD9" s="33"/>
      <c r="ACE9" s="33"/>
      <c r="ACF9" s="33"/>
      <c r="ACG9" s="33"/>
      <c r="ACH9" s="33"/>
      <c r="ACI9" s="33"/>
      <c r="ACJ9" s="33"/>
      <c r="ACK9" s="33"/>
      <c r="ACL9" s="33"/>
      <c r="ACM9" s="33"/>
      <c r="ACN9" s="33"/>
      <c r="ACO9" s="33"/>
      <c r="ACP9" s="33"/>
      <c r="ACQ9" s="33"/>
      <c r="ACR9" s="33"/>
      <c r="ACS9" s="33"/>
      <c r="ACT9" s="33"/>
      <c r="ACU9" s="33"/>
      <c r="ACV9" s="33"/>
      <c r="ACW9" s="33"/>
      <c r="ACX9" s="33"/>
      <c r="ACY9" s="33"/>
      <c r="ACZ9" s="33"/>
      <c r="ADA9" s="33"/>
      <c r="ADB9" s="33"/>
      <c r="ADC9" s="33"/>
      <c r="ADD9" s="33"/>
      <c r="ADE9" s="33"/>
      <c r="ADF9" s="33"/>
      <c r="ADG9" s="33"/>
      <c r="ADH9" s="33"/>
      <c r="ADI9" s="33"/>
      <c r="ADJ9" s="33"/>
      <c r="ADK9" s="33"/>
      <c r="ADL9" s="33"/>
      <c r="ADM9" s="33"/>
      <c r="ADN9" s="33"/>
      <c r="ADO9" s="33"/>
      <c r="ADP9" s="33"/>
      <c r="ADQ9" s="33"/>
      <c r="ADR9" s="33"/>
      <c r="ADS9" s="33"/>
      <c r="ADT9" s="33"/>
      <c r="ADU9" s="33"/>
      <c r="ADV9" s="33"/>
      <c r="ADW9" s="33"/>
      <c r="ADX9" s="33"/>
      <c r="ADY9" s="33"/>
      <c r="ADZ9" s="33"/>
      <c r="AEA9" s="33"/>
      <c r="AEB9" s="33"/>
      <c r="AEC9" s="33"/>
      <c r="AED9" s="33"/>
      <c r="AEE9" s="33"/>
      <c r="AEF9" s="33"/>
      <c r="AEG9" s="33"/>
      <c r="AEH9" s="33"/>
      <c r="AEI9" s="33"/>
      <c r="AEJ9" s="33"/>
      <c r="AEK9" s="33"/>
      <c r="AEL9" s="33"/>
      <c r="AEM9" s="33"/>
      <c r="AEN9" s="33"/>
      <c r="AEO9" s="33"/>
      <c r="AEP9" s="33"/>
      <c r="AEQ9" s="33"/>
      <c r="AER9" s="33"/>
      <c r="AES9" s="33"/>
      <c r="AET9" s="33"/>
      <c r="AEU9" s="33"/>
      <c r="AEV9" s="33"/>
      <c r="AEW9" s="33"/>
      <c r="AEX9" s="33"/>
      <c r="AEY9" s="33"/>
      <c r="AEZ9" s="33"/>
      <c r="AFA9" s="33"/>
      <c r="AFB9" s="33"/>
      <c r="AFC9" s="33"/>
      <c r="AFD9" s="33"/>
      <c r="AFE9" s="33"/>
      <c r="AFF9" s="33"/>
      <c r="AFG9" s="33"/>
      <c r="AFH9" s="33"/>
      <c r="AFI9" s="33"/>
      <c r="AFJ9" s="33"/>
      <c r="AFK9" s="33"/>
      <c r="AFL9" s="33"/>
      <c r="AFM9" s="33"/>
      <c r="AFN9" s="33"/>
      <c r="AFO9" s="33"/>
      <c r="AFP9" s="33"/>
      <c r="AFQ9" s="33"/>
      <c r="AFR9" s="33"/>
      <c r="AFS9" s="33"/>
      <c r="AFT9" s="33"/>
      <c r="AFU9" s="33"/>
      <c r="AFV9" s="33"/>
      <c r="AFW9" s="33"/>
      <c r="AFX9" s="33"/>
      <c r="AFY9" s="33"/>
      <c r="AFZ9" s="33"/>
      <c r="AGA9" s="33"/>
      <c r="AGB9" s="33"/>
      <c r="AGC9" s="33"/>
      <c r="AGD9" s="33"/>
      <c r="AGE9" s="33"/>
      <c r="AGF9" s="33"/>
      <c r="AGG9" s="33"/>
      <c r="AGH9" s="33"/>
      <c r="AGI9" s="33"/>
      <c r="AGJ9" s="33"/>
      <c r="AGK9" s="33"/>
      <c r="AGL9" s="33"/>
      <c r="AGM9" s="33"/>
      <c r="AGN9" s="33"/>
      <c r="AGO9" s="33"/>
      <c r="AGP9" s="33"/>
      <c r="AGQ9" s="33"/>
      <c r="AGR9" s="33"/>
      <c r="AGS9" s="33"/>
      <c r="AGT9" s="33"/>
      <c r="AGU9" s="33"/>
      <c r="AGV9" s="33"/>
      <c r="AGW9" s="33"/>
      <c r="AGX9" s="33"/>
      <c r="AGY9" s="33"/>
      <c r="AGZ9" s="33"/>
      <c r="AHA9" s="33"/>
      <c r="AHB9" s="33"/>
      <c r="AHC9" s="33"/>
      <c r="AHD9" s="33"/>
      <c r="AHE9" s="33"/>
      <c r="AHF9" s="33"/>
      <c r="AHG9" s="33"/>
      <c r="AHH9" s="33"/>
      <c r="AHI9" s="33"/>
      <c r="AHJ9" s="33"/>
      <c r="AHK9" s="33"/>
      <c r="AHL9" s="33"/>
      <c r="AHM9" s="33"/>
      <c r="AHN9" s="33"/>
      <c r="AHO9" s="33"/>
      <c r="AHP9" s="33"/>
      <c r="AHQ9" s="33"/>
      <c r="AHR9" s="33"/>
      <c r="AHS9" s="33"/>
      <c r="AHT9" s="33"/>
      <c r="AHU9" s="33"/>
      <c r="AHV9" s="33"/>
      <c r="AHW9" s="33"/>
      <c r="AHX9" s="33"/>
      <c r="AHY9" s="33"/>
      <c r="AHZ9" s="33"/>
      <c r="AIA9" s="33"/>
      <c r="AIB9" s="33"/>
      <c r="AIC9" s="33"/>
      <c r="AID9" s="33"/>
      <c r="AIE9" s="33"/>
      <c r="AIF9" s="33"/>
      <c r="AIG9" s="33"/>
      <c r="AIH9" s="33"/>
      <c r="AII9" s="33"/>
      <c r="AIJ9" s="33"/>
      <c r="AIK9" s="33"/>
      <c r="AIL9" s="33"/>
      <c r="AIM9" s="33"/>
      <c r="AIN9" s="33"/>
      <c r="AIO9" s="33"/>
      <c r="AIP9" s="33"/>
      <c r="AIQ9" s="33"/>
      <c r="AIR9" s="33"/>
      <c r="AIS9" s="33"/>
      <c r="AIT9" s="33"/>
      <c r="AIU9" s="33"/>
      <c r="AIV9" s="33"/>
      <c r="AIW9" s="33"/>
      <c r="AIX9" s="33"/>
      <c r="AIY9" s="33"/>
      <c r="AIZ9" s="33"/>
      <c r="AJA9" s="33"/>
      <c r="AJB9" s="33"/>
      <c r="AJC9" s="33"/>
      <c r="AJD9" s="33"/>
      <c r="AJE9" s="33"/>
      <c r="AJF9" s="33"/>
      <c r="AJG9" s="33"/>
      <c r="AJH9" s="33"/>
      <c r="AJI9" s="33"/>
      <c r="AJJ9" s="33"/>
      <c r="AJK9" s="33"/>
      <c r="AJL9" s="33"/>
      <c r="AJM9" s="33"/>
      <c r="AJN9" s="33"/>
      <c r="AJO9" s="33"/>
      <c r="AJP9" s="33"/>
      <c r="AJQ9" s="33"/>
      <c r="AJR9" s="33"/>
      <c r="AJS9" s="33"/>
      <c r="AJT9" s="33"/>
      <c r="AJU9" s="33"/>
      <c r="AJV9" s="33"/>
      <c r="AJW9" s="33"/>
      <c r="AJX9" s="33"/>
      <c r="AJY9" s="33"/>
      <c r="AJZ9" s="33"/>
      <c r="AKA9" s="33"/>
      <c r="AKB9" s="33"/>
      <c r="AKC9" s="33"/>
      <c r="AKD9" s="33"/>
      <c r="AKE9" s="33"/>
      <c r="AKF9" s="33"/>
      <c r="AKG9" s="33"/>
      <c r="AKH9" s="33"/>
      <c r="AKI9" s="33"/>
      <c r="AKJ9" s="33"/>
      <c r="AKK9" s="33"/>
      <c r="AKL9" s="33"/>
      <c r="AKM9" s="33"/>
      <c r="AKN9" s="33"/>
      <c r="AKO9" s="33"/>
      <c r="AKP9" s="33"/>
      <c r="AKQ9" s="33"/>
      <c r="AKR9" s="33"/>
      <c r="AKS9" s="33"/>
      <c r="AKT9" s="33"/>
      <c r="AKU9" s="33"/>
      <c r="AKV9" s="33"/>
      <c r="AKW9" s="33"/>
      <c r="AKX9" s="33"/>
      <c r="AKY9" s="33"/>
      <c r="AKZ9" s="33"/>
      <c r="ALA9" s="33"/>
      <c r="ALB9" s="33"/>
      <c r="ALC9" s="33"/>
      <c r="ALD9" s="33"/>
      <c r="ALE9" s="33"/>
      <c r="ALF9" s="33"/>
      <c r="ALG9" s="33"/>
      <c r="ALH9" s="33"/>
      <c r="ALI9" s="33"/>
      <c r="ALJ9" s="33"/>
      <c r="ALK9" s="33"/>
      <c r="ALL9" s="33"/>
      <c r="ALM9" s="33"/>
      <c r="ALN9" s="33"/>
      <c r="ALO9" s="33"/>
      <c r="ALP9" s="33"/>
      <c r="ALQ9" s="33"/>
      <c r="ALR9" s="33"/>
      <c r="ALS9" s="33"/>
      <c r="ALT9" s="33"/>
      <c r="ALU9" s="33"/>
      <c r="ALV9" s="33"/>
      <c r="ALW9" s="33"/>
      <c r="ALX9" s="33"/>
      <c r="ALY9" s="33"/>
      <c r="ALZ9" s="33"/>
      <c r="AMA9" s="33"/>
      <c r="AMB9" s="33"/>
      <c r="AMC9" s="33"/>
      <c r="AMD9" s="33"/>
      <c r="AME9" s="33"/>
      <c r="AMF9" s="33"/>
      <c r="AMG9" s="33"/>
      <c r="AMH9" s="33"/>
      <c r="AMI9" s="33"/>
      <c r="AMJ9" s="33"/>
      <c r="AMK9" s="33"/>
      <c r="AML9" s="33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VerifyGridData1!$4:$4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IFERROR(__xludf.DUMMYFUNCTION("IF(C3="""","""",Transpose(IMPORTRANGE('_Settings'!$B$3,C3&amp;""!A4:A1000"")))"),"FetchAccountPositions")</f>
        <v>FetchAccountPositions</v>
      </c>
      <c r="C4" s="25" t="str">
        <f>IFERROR(__xludf.DUMMYFUNCTION("""COMPUTED_VALUE"""),"AddCash")</f>
        <v>AddCash</v>
      </c>
      <c r="D4" s="25" t="str">
        <f>IFERROR(__xludf.DUMMYFUNCTION("""COMPUTED_VALUE"""),"VerifyGridData")</f>
        <v>VerifyGridData</v>
      </c>
      <c r="E4" s="25" t="str">
        <f>IFERROR(__xludf.DUMMYFUNCTION("""COMPUTED_VALUE"""),"RunRebalance")</f>
        <v>RunRebalance</v>
      </c>
      <c r="F4" s="25" t="str">
        <f>IFERROR(__xludf.DUMMYFUNCTION("""COMPUTED_VALUE"""),"EnableComplianceTab")</f>
        <v>EnableComplianceTab</v>
      </c>
      <c r="G4" s="25" t="str">
        <f>IFERROR(__xludf.DUMMYFUNCTION("""COMPUTED_VALUE"""),"RebalancePreference")</f>
        <v>RebalancePreference</v>
      </c>
      <c r="H4" s="25" t="str">
        <f>IFERROR(__xludf.DUMMYFUNCTION("""COMPUTED_VALUE"""),"ImportModelPortfolio")</f>
        <v>ImportModelPortfolio</v>
      </c>
      <c r="I4" s="25" t="str">
        <f>IFERROR(__xludf.DUMMYFUNCTION("""COMPUTED_VALUE"""),"RebalanceAcrossSecurities")</f>
        <v>RebalanceAcrossSecurities</v>
      </c>
      <c r="J4" s="25" t="str">
        <f>IFERROR(__xludf.DUMMYFUNCTION("""COMPUTED_VALUE"""),"CheckBasketCompliance")</f>
        <v>CheckBasketCompliance</v>
      </c>
      <c r="K4" s="25" t="str">
        <f>IFERROR(__xludf.DUMMYFUNCTION("""COMPUTED_VALUE"""),"ClearCalculations")</f>
        <v>ClearCalculations</v>
      </c>
      <c r="L4" s="25" t="str">
        <f>IFERROR(__xludf.DUMMYFUNCTION("""COMPUTED_VALUE"""),"ModifyRebalance")</f>
        <v>ModifyRebalance</v>
      </c>
      <c r="M4" s="25" t="str">
        <f>IFERROR(__xludf.DUMMYFUNCTION("""COMPUTED_VALUE"""),"ModelPortfolio")</f>
        <v>ModelPortfolio</v>
      </c>
      <c r="N4" s="25" t="str">
        <f>IFERROR(__xludf.DUMMYFUNCTION("""COMPUTED_VALUE"""),"LockandUnlockGridData")</f>
        <v>LockandUnlockGridData</v>
      </c>
      <c r="O4" s="25" t="str">
        <f>IFERROR(__xludf.DUMMYFUNCTION("""COMPUTED_VALUE"""),"RefreshGridData")</f>
        <v>RefreshGridData</v>
      </c>
      <c r="P4" s="26" t="str">
        <f>IFERROR(__xludf.DUMMYFUNCTION("""COMPUTED_VALUE"""),"SendtoStaging")</f>
        <v>SendtoStaging</v>
      </c>
      <c r="Q4" s="26" t="str">
        <f>IFERROR(__xludf.DUMMYFUNCTION("""COMPUTED_VALUE"""),"SendToStagingExport")</f>
        <v>SendToStagingExport</v>
      </c>
      <c r="R4" s="26" t="str">
        <f>IFERROR(__xludf.DUMMYFUNCTION("""COMPUTED_VALUE"""),"RebalanceViaBloomberg")</f>
        <v>RebalanceViaBloomberg</v>
      </c>
      <c r="S4" s="26" t="str">
        <f>IFERROR(__xludf.DUMMYFUNCTION("""COMPUTED_VALUE"""),"AddUserAdjustedNAV")</f>
        <v>AddUserAdjustedNAV</v>
      </c>
      <c r="T4" s="26" t="str">
        <f>IFERROR(__xludf.DUMMYFUNCTION("""COMPUTED_VALUE"""),"SymbologyChangeRB")</f>
        <v>SymbologyChangeRB</v>
      </c>
      <c r="U4" s="26" t="str">
        <f>IFERROR(__xludf.DUMMYFUNCTION("""COMPUTED_VALUE"""),"CloseRebalancer")</f>
        <v>CloseRebalancer</v>
      </c>
      <c r="V4" s="26" t="str">
        <f>IFERROR(__xludf.DUMMYFUNCTION("""COMPUTED_VALUE"""),"AddCustomCashUsingImport")</f>
        <v>AddCustomCashUsingImport</v>
      </c>
      <c r="W4" s="26" t="str">
        <f>IFERROR(__xludf.DUMMYFUNCTION("""COMPUTED_VALUE"""),"EditRebalanceGrid")</f>
        <v>EditRebalanceGrid</v>
      </c>
      <c r="X4" s="26" t="str">
        <f>IFERROR(__xludf.DUMMYFUNCTION("""COMPUTED_VALUE"""),"SaveTradeList")</f>
        <v>SaveTradeList</v>
      </c>
      <c r="Y4" s="26" t="str">
        <f>IFERROR(__xludf.DUMMYFUNCTION("""COMPUTED_VALUE"""),"NavImpactingComponent")</f>
        <v>NavImpactingComponent</v>
      </c>
      <c r="Z4" s="26" t="str">
        <f>IFERROR(__xludf.DUMMYFUNCTION("""COMPUTED_VALUE"""),"ImportUsingRebalAccrossSec")</f>
        <v>ImportUsingRebalAccrossSec</v>
      </c>
      <c r="AA4" s="26" t="str">
        <f>IFERROR(__xludf.DUMMYFUNCTION("""COMPUTED_VALUE"""),"EditImportStatus")</f>
        <v>EditImportStatus</v>
      </c>
      <c r="AB4" s="26" t="str">
        <f>IFERROR(__xludf.DUMMYFUNCTION("""COMPUTED_VALUE"""),"SelectActionsOnImportStatus")</f>
        <v>SelectActionsOnImportStatus</v>
      </c>
      <c r="AC4" s="26" t="str">
        <f>IFERROR(__xludf.DUMMYFUNCTION("""COMPUTED_VALUE"""),"VerifyImportStatus")</f>
        <v>VerifyImportStatus</v>
      </c>
      <c r="AD4" s="26" t="str">
        <f>IFERROR(__xludf.DUMMYFUNCTION("""COMPUTED_VALUE"""),"AddNewModelPortfolio")</f>
        <v>AddNewModelPortfolio</v>
      </c>
      <c r="AE4" s="26" t="str">
        <f>IFERROR(__xludf.DUMMYFUNCTION("""COMPUTED_VALUE"""),"VerifyBuySellList")</f>
        <v>VerifyBuySellList</v>
      </c>
      <c r="AF4" s="26" t="str">
        <f>IFERROR(__xludf.DUMMYFUNCTION("""COMPUTED_VALUE"""),"CreateOrViewModelPortfolio")</f>
        <v>CreateOrViewModelPortfolio</v>
      </c>
      <c r="AG4" s="26" t="str">
        <f>IFERROR(__xludf.DUMMYFUNCTION("""COMPUTED_VALUE"""),"VerifyModelPortfolio")</f>
        <v>VerifyModelPortfolio</v>
      </c>
      <c r="AH4" s="26" t="str">
        <f>IFERROR(__xludf.DUMMYFUNCTION("""COMPUTED_VALUE"""),"VerifyTradeListSummary")</f>
        <v>VerifyTradeListSummary</v>
      </c>
      <c r="AI4" s="26" t="str">
        <f>IFERROR(__xludf.DUMMYFUNCTION("""COMPUTED_VALUE"""),"ActionOnTBSListSummary")</f>
        <v>ActionOnTBSListSummary</v>
      </c>
      <c r="AJ4" s="26" t="str">
        <f>IFERROR(__xludf.DUMMYFUNCTION("""COMPUTED_VALUE"""),"VerifyTLOSideSummary")</f>
        <v>VerifyTLOSideSummary</v>
      </c>
      <c r="AK4" s="26" t="str">
        <f>IFERROR(__xludf.DUMMYFUNCTION("""COMPUTED_VALUE"""),"SelectAndVerifyTradeList")</f>
        <v>SelectAndVerifyTradeList</v>
      </c>
      <c r="AL4" s="26" t="str">
        <f>IFERROR(__xludf.DUMMYFUNCTION("""COMPUTED_VALUE"""),"ActionOnTradeBuySellListView")</f>
        <v>ActionOnTradeBuySellListView</v>
      </c>
      <c r="AM4" s="26" t="str">
        <f>IFERROR(__xludf.DUMMYFUNCTION("""COMPUTED_VALUE"""),"ImportOnRB")</f>
        <v>ImportOnRB</v>
      </c>
      <c r="AN4" s="26" t="str">
        <f>IFERROR(__xludf.DUMMYFUNCTION("""COMPUTED_VALUE"""),"VerifyImportGridRBForInvalidSec")</f>
        <v>VerifyImportGridRBForInvalidSec</v>
      </c>
      <c r="AO4" s="26" t="str">
        <f>IFERROR(__xludf.DUMMYFUNCTION("""COMPUTED_VALUE"""),"VerifyImportGridRBForValidSec")</f>
        <v>VerifyImportGridRBForValidSec</v>
      </c>
      <c r="AP4" s="26" t="str">
        <f>IFERROR(__xludf.DUMMYFUNCTION("""COMPUTED_VALUE"""),"ActionOnRSAImportGrid")</f>
        <v>ActionOnRSAImportGrid</v>
      </c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IFERROR(__xludf.DUMMYFUNCTION("""COMPUTED_VALUE"""),"RoundLotPreference")</f>
        <v>RoundLotPreference</v>
      </c>
      <c r="C5" s="28" t="str">
        <f>IFERROR(__xludf.DUMMYFUNCTION("""COMPUTED_VALUE"""),"ReinvestCash")</f>
        <v>ReinvestCash</v>
      </c>
      <c r="D5" s="28" t="str">
        <f>IFERROR(__xludf.DUMMYFUNCTION("""COMPUTED_VALUE"""),"Sell to Raise Cash")</f>
        <v>Sell to Raise Cash</v>
      </c>
      <c r="E5" s="28" t="str">
        <f>IFERROR(__xludf.DUMMYFUNCTION("""COMPUTED_VALUE"""),"No Shorting")</f>
        <v>No Shorting</v>
      </c>
      <c r="F5" s="29" t="str">
        <f>IFERROR(__xludf.DUMMYFUNCTION("""COMPUTED_VALUE"""),"Allow Negative Cash")</f>
        <v>Allow Negative Cash</v>
      </c>
      <c r="G5" s="28" t="str">
        <f>IFERROR(__xludf.DUMMYFUNCTION("""COMPUTED_VALUE"""),"Rebalance Across Securities")</f>
        <v>Rebalance Across Securities</v>
      </c>
      <c r="H5" s="28" t="str">
        <f>IFERROR(__xludf.DUMMYFUNCTION("""COMPUTED_VALUE"""),"Other Items Impacting NAV")</f>
        <v>Other Items Impacting NAV</v>
      </c>
      <c r="I5" s="28" t="str">
        <f>IFERROR(__xludf.DUMMYFUNCTION("""COMPUTED_VALUE"""),"NAV Calculation Preference")</f>
        <v>NAV Calculation Preference</v>
      </c>
      <c r="J5" s="28" t="str">
        <f>IFERROR(__xludf.DUMMYFUNCTION("""COMPUTED_VALUE"""),"Account/Groups Visibility")</f>
        <v>Account/Groups Visibility</v>
      </c>
      <c r="K5" s="28" t="str">
        <f>IFERROR(__xludf.DUMMYFUNCTION("""COMPUTED_VALUE"""),"Always Ask for Saving Orders")</f>
        <v>Always Ask for Saving Orders</v>
      </c>
      <c r="L5" s="28" t="str">
        <f>IFERROR(__xludf.DUMMYFUNCTION("""COMPUTED_VALUE"""),"Rounding Type")</f>
        <v>Rounding Type</v>
      </c>
      <c r="M5" s="28" t="str">
        <f>IFERROR(__xludf.DUMMYFUNCTION("""COMPUTED_VALUE"""),"/=/-/=:")</f>
        <v>/=/-/=:</v>
      </c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/>
      <c r="E6" s="31"/>
      <c r="F6" s="8"/>
      <c r="G6" s="8"/>
      <c r="H6" s="8"/>
      <c r="I6" s="8"/>
      <c r="J6" s="13" t="s">
        <v>31</v>
      </c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RebalancePreference1!$4:$4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IFERROR(__xludf.DUMMYFUNCTION("IF(C3="""","""",Transpose(IMPORTRANGE('_Settings'!$B$3,C3&amp;""!A4:A1000"")))"),"FetchAccountPositions")</f>
        <v>FetchAccountPositions</v>
      </c>
      <c r="C4" s="25" t="str">
        <f>IFERROR(__xludf.DUMMYFUNCTION("""COMPUTED_VALUE"""),"AddCash")</f>
        <v>AddCash</v>
      </c>
      <c r="D4" s="25" t="str">
        <f>IFERROR(__xludf.DUMMYFUNCTION("""COMPUTED_VALUE"""),"VerifyGridData")</f>
        <v>VerifyGridData</v>
      </c>
      <c r="E4" s="25" t="str">
        <f>IFERROR(__xludf.DUMMYFUNCTION("""COMPUTED_VALUE"""),"RunRebalance")</f>
        <v>RunRebalance</v>
      </c>
      <c r="F4" s="25" t="str">
        <f>IFERROR(__xludf.DUMMYFUNCTION("""COMPUTED_VALUE"""),"EnableComplianceTab")</f>
        <v>EnableComplianceTab</v>
      </c>
      <c r="G4" s="25" t="str">
        <f>IFERROR(__xludf.DUMMYFUNCTION("""COMPUTED_VALUE"""),"RebalancePreference")</f>
        <v>RebalancePreference</v>
      </c>
      <c r="H4" s="25" t="str">
        <f>IFERROR(__xludf.DUMMYFUNCTION("""COMPUTED_VALUE"""),"ImportModelPortfolio")</f>
        <v>ImportModelPortfolio</v>
      </c>
      <c r="I4" s="25" t="str">
        <f>IFERROR(__xludf.DUMMYFUNCTION("""COMPUTED_VALUE"""),"RebalanceAcrossSecurities")</f>
        <v>RebalanceAcrossSecurities</v>
      </c>
      <c r="J4" s="25" t="str">
        <f>IFERROR(__xludf.DUMMYFUNCTION("""COMPUTED_VALUE"""),"CheckBasketCompliance")</f>
        <v>CheckBasketCompliance</v>
      </c>
      <c r="K4" s="25" t="str">
        <f>IFERROR(__xludf.DUMMYFUNCTION("""COMPUTED_VALUE"""),"ClearCalculations")</f>
        <v>ClearCalculations</v>
      </c>
      <c r="L4" s="25" t="str">
        <f>IFERROR(__xludf.DUMMYFUNCTION("""COMPUTED_VALUE"""),"ModifyRebalance")</f>
        <v>ModifyRebalance</v>
      </c>
      <c r="M4" s="25" t="str">
        <f>IFERROR(__xludf.DUMMYFUNCTION("""COMPUTED_VALUE"""),"ModelPortfolio")</f>
        <v>ModelPortfolio</v>
      </c>
      <c r="N4" s="25" t="str">
        <f>IFERROR(__xludf.DUMMYFUNCTION("""COMPUTED_VALUE"""),"LockandUnlockGridData")</f>
        <v>LockandUnlockGridData</v>
      </c>
      <c r="O4" s="25" t="str">
        <f>IFERROR(__xludf.DUMMYFUNCTION("""COMPUTED_VALUE"""),"RefreshGridData")</f>
        <v>RefreshGridData</v>
      </c>
      <c r="P4" s="26" t="str">
        <f>IFERROR(__xludf.DUMMYFUNCTION("""COMPUTED_VALUE"""),"SendtoStaging")</f>
        <v>SendtoStaging</v>
      </c>
      <c r="Q4" s="26" t="str">
        <f>IFERROR(__xludf.DUMMYFUNCTION("""COMPUTED_VALUE"""),"SendToStagingExport")</f>
        <v>SendToStagingExport</v>
      </c>
      <c r="R4" s="26" t="str">
        <f>IFERROR(__xludf.DUMMYFUNCTION("""COMPUTED_VALUE"""),"RebalanceViaBloomberg")</f>
        <v>RebalanceViaBloomberg</v>
      </c>
      <c r="S4" s="26" t="str">
        <f>IFERROR(__xludf.DUMMYFUNCTION("""COMPUTED_VALUE"""),"AddUserAdjustedNAV")</f>
        <v>AddUserAdjustedNAV</v>
      </c>
      <c r="T4" s="26" t="str">
        <f>IFERROR(__xludf.DUMMYFUNCTION("""COMPUTED_VALUE"""),"SymbologyChangeRB")</f>
        <v>SymbologyChangeRB</v>
      </c>
      <c r="U4" s="26" t="str">
        <f>IFERROR(__xludf.DUMMYFUNCTION("""COMPUTED_VALUE"""),"CloseRebalancer")</f>
        <v>CloseRebalancer</v>
      </c>
      <c r="V4" s="26" t="str">
        <f>IFERROR(__xludf.DUMMYFUNCTION("""COMPUTED_VALUE"""),"AddCustomCashUsingImport")</f>
        <v>AddCustomCashUsingImport</v>
      </c>
      <c r="W4" s="26" t="str">
        <f>IFERROR(__xludf.DUMMYFUNCTION("""COMPUTED_VALUE"""),"EditRebalanceGrid")</f>
        <v>EditRebalanceGrid</v>
      </c>
      <c r="X4" s="26" t="str">
        <f>IFERROR(__xludf.DUMMYFUNCTION("""COMPUTED_VALUE"""),"SaveTradeList")</f>
        <v>SaveTradeList</v>
      </c>
      <c r="Y4" s="26" t="str">
        <f>IFERROR(__xludf.DUMMYFUNCTION("""COMPUTED_VALUE"""),"NavImpactingComponent")</f>
        <v>NavImpactingComponent</v>
      </c>
      <c r="Z4" s="26" t="str">
        <f>IFERROR(__xludf.DUMMYFUNCTION("""COMPUTED_VALUE"""),"ImportUsingRebalAccrossSec")</f>
        <v>ImportUsingRebalAccrossSec</v>
      </c>
      <c r="AA4" s="26" t="str">
        <f>IFERROR(__xludf.DUMMYFUNCTION("""COMPUTED_VALUE"""),"EditImportStatus")</f>
        <v>EditImportStatus</v>
      </c>
      <c r="AB4" s="26" t="str">
        <f>IFERROR(__xludf.DUMMYFUNCTION("""COMPUTED_VALUE"""),"SelectActionsOnImportStatus")</f>
        <v>SelectActionsOnImportStatus</v>
      </c>
      <c r="AC4" s="26" t="str">
        <f>IFERROR(__xludf.DUMMYFUNCTION("""COMPUTED_VALUE"""),"VerifyImportStatus")</f>
        <v>VerifyImportStatus</v>
      </c>
      <c r="AD4" s="26" t="str">
        <f>IFERROR(__xludf.DUMMYFUNCTION("""COMPUTED_VALUE"""),"AddNewModelPortfolio")</f>
        <v>AddNewModelPortfolio</v>
      </c>
      <c r="AE4" s="26" t="str">
        <f>IFERROR(__xludf.DUMMYFUNCTION("""COMPUTED_VALUE"""),"VerifyBuySellList")</f>
        <v>VerifyBuySellList</v>
      </c>
      <c r="AF4" s="26" t="str">
        <f>IFERROR(__xludf.DUMMYFUNCTION("""COMPUTED_VALUE"""),"CreateOrViewModelPortfolio")</f>
        <v>CreateOrViewModelPortfolio</v>
      </c>
      <c r="AG4" s="26" t="str">
        <f>IFERROR(__xludf.DUMMYFUNCTION("""COMPUTED_VALUE"""),"VerifyModelPortfolio")</f>
        <v>VerifyModelPortfolio</v>
      </c>
      <c r="AH4" s="26" t="str">
        <f>IFERROR(__xludf.DUMMYFUNCTION("""COMPUTED_VALUE"""),"VerifyTradeListSummary")</f>
        <v>VerifyTradeListSummary</v>
      </c>
      <c r="AI4" s="26" t="str">
        <f>IFERROR(__xludf.DUMMYFUNCTION("""COMPUTED_VALUE"""),"ActionOnTBSListSummary")</f>
        <v>ActionOnTBSListSummary</v>
      </c>
      <c r="AJ4" s="26" t="str">
        <f>IFERROR(__xludf.DUMMYFUNCTION("""COMPUTED_VALUE"""),"VerifyTLOSideSummary")</f>
        <v>VerifyTLOSideSummary</v>
      </c>
      <c r="AK4" s="26" t="str">
        <f>IFERROR(__xludf.DUMMYFUNCTION("""COMPUTED_VALUE"""),"SelectAndVerifyTradeList")</f>
        <v>SelectAndVerifyTradeList</v>
      </c>
      <c r="AL4" s="26" t="str">
        <f>IFERROR(__xludf.DUMMYFUNCTION("""COMPUTED_VALUE"""),"ActionOnTradeBuySellListView")</f>
        <v>ActionOnTradeBuySellListView</v>
      </c>
      <c r="AM4" s="26" t="str">
        <f>IFERROR(__xludf.DUMMYFUNCTION("""COMPUTED_VALUE"""),"ImportOnRB")</f>
        <v>ImportOnRB</v>
      </c>
      <c r="AN4" s="26" t="str">
        <f>IFERROR(__xludf.DUMMYFUNCTION("""COMPUTED_VALUE"""),"VerifyImportGridRBForInvalidSec")</f>
        <v>VerifyImportGridRBForInvalidSec</v>
      </c>
      <c r="AO4" s="26" t="str">
        <f>IFERROR(__xludf.DUMMYFUNCTION("""COMPUTED_VALUE"""),"VerifyImportGridRBForValidSec")</f>
        <v>VerifyImportGridRBForValidSec</v>
      </c>
      <c r="AP4" s="26" t="str">
        <f>IFERROR(__xludf.DUMMYFUNCTION("""COMPUTED_VALUE"""),"ActionOnRSAImportGrid")</f>
        <v>ActionOnRSAImportGrid</v>
      </c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IFERROR(__xludf.DUMMYFUNCTION("""COMPUTED_VALUE"""),"Account/Groups")</f>
        <v>Account/Groups</v>
      </c>
      <c r="C5" s="28" t="str">
        <f>IFERROR(__xludf.DUMMYFUNCTION("""COMPUTED_VALUE"""),"Account Positions")</f>
        <v>Account Positions</v>
      </c>
      <c r="D5" s="28" t="str">
        <f>IFERROR(__xludf.DUMMYFUNCTION("""COMPUTED_VALUE"""),"Calculation Level")</f>
        <v>Calculation Level</v>
      </c>
      <c r="E5" s="28" t="str">
        <f>IFERROR(__xludf.DUMMYFUNCTION("""COMPUTED_VALUE"""),"Refresh")</f>
        <v>Refresh</v>
      </c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18</v>
      </c>
      <c r="C6" s="8"/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FetchAccountPositions2!$4:$4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IFERROR(__xludf.DUMMYFUNCTION("IF(C3="""","""",Transpose(IMPORTRANGE('_Settings'!$B$3,C3&amp;""!A4:A1000"")))"),"FetchAccountPositions")</f>
        <v>FetchAccountPositions</v>
      </c>
      <c r="C4" s="25" t="str">
        <f>IFERROR(__xludf.DUMMYFUNCTION("""COMPUTED_VALUE"""),"AddCash")</f>
        <v>AddCash</v>
      </c>
      <c r="D4" s="25" t="str">
        <f>IFERROR(__xludf.DUMMYFUNCTION("""COMPUTED_VALUE"""),"VerifyGridData")</f>
        <v>VerifyGridData</v>
      </c>
      <c r="E4" s="25" t="str">
        <f>IFERROR(__xludf.DUMMYFUNCTION("""COMPUTED_VALUE"""),"RunRebalance")</f>
        <v>RunRebalance</v>
      </c>
      <c r="F4" s="25" t="str">
        <f>IFERROR(__xludf.DUMMYFUNCTION("""COMPUTED_VALUE"""),"EnableComplianceTab")</f>
        <v>EnableComplianceTab</v>
      </c>
      <c r="G4" s="25" t="str">
        <f>IFERROR(__xludf.DUMMYFUNCTION("""COMPUTED_VALUE"""),"RebalancePreference")</f>
        <v>RebalancePreference</v>
      </c>
      <c r="H4" s="25" t="str">
        <f>IFERROR(__xludf.DUMMYFUNCTION("""COMPUTED_VALUE"""),"ImportModelPortfolio")</f>
        <v>ImportModelPortfolio</v>
      </c>
      <c r="I4" s="25" t="str">
        <f>IFERROR(__xludf.DUMMYFUNCTION("""COMPUTED_VALUE"""),"RebalanceAcrossSecurities")</f>
        <v>RebalanceAcrossSecurities</v>
      </c>
      <c r="J4" s="25" t="str">
        <f>IFERROR(__xludf.DUMMYFUNCTION("""COMPUTED_VALUE"""),"CheckBasketCompliance")</f>
        <v>CheckBasketCompliance</v>
      </c>
      <c r="K4" s="25" t="str">
        <f>IFERROR(__xludf.DUMMYFUNCTION("""COMPUTED_VALUE"""),"ClearCalculations")</f>
        <v>ClearCalculations</v>
      </c>
      <c r="L4" s="25" t="str">
        <f>IFERROR(__xludf.DUMMYFUNCTION("""COMPUTED_VALUE"""),"ModifyRebalance")</f>
        <v>ModifyRebalance</v>
      </c>
      <c r="M4" s="25" t="str">
        <f>IFERROR(__xludf.DUMMYFUNCTION("""COMPUTED_VALUE"""),"ModelPortfolio")</f>
        <v>ModelPortfolio</v>
      </c>
      <c r="N4" s="25" t="str">
        <f>IFERROR(__xludf.DUMMYFUNCTION("""COMPUTED_VALUE"""),"LockandUnlockGridData")</f>
        <v>LockandUnlockGridData</v>
      </c>
      <c r="O4" s="25" t="str">
        <f>IFERROR(__xludf.DUMMYFUNCTION("""COMPUTED_VALUE"""),"RefreshGridData")</f>
        <v>RefreshGridData</v>
      </c>
      <c r="P4" s="26" t="str">
        <f>IFERROR(__xludf.DUMMYFUNCTION("""COMPUTED_VALUE"""),"SendtoStaging")</f>
        <v>SendtoStaging</v>
      </c>
      <c r="Q4" s="26" t="str">
        <f>IFERROR(__xludf.DUMMYFUNCTION("""COMPUTED_VALUE"""),"SendToStagingExport")</f>
        <v>SendToStagingExport</v>
      </c>
      <c r="R4" s="26" t="str">
        <f>IFERROR(__xludf.DUMMYFUNCTION("""COMPUTED_VALUE"""),"RebalanceViaBloomberg")</f>
        <v>RebalanceViaBloomberg</v>
      </c>
      <c r="S4" s="26" t="str">
        <f>IFERROR(__xludf.DUMMYFUNCTION("""COMPUTED_VALUE"""),"AddUserAdjustedNAV")</f>
        <v>AddUserAdjustedNAV</v>
      </c>
      <c r="T4" s="26" t="str">
        <f>IFERROR(__xludf.DUMMYFUNCTION("""COMPUTED_VALUE"""),"SymbologyChangeRB")</f>
        <v>SymbologyChangeRB</v>
      </c>
      <c r="U4" s="26" t="str">
        <f>IFERROR(__xludf.DUMMYFUNCTION("""COMPUTED_VALUE"""),"CloseRebalancer")</f>
        <v>CloseRebalancer</v>
      </c>
      <c r="V4" s="26" t="str">
        <f>IFERROR(__xludf.DUMMYFUNCTION("""COMPUTED_VALUE"""),"AddCustomCashUsingImport")</f>
        <v>AddCustomCashUsingImport</v>
      </c>
      <c r="W4" s="26" t="str">
        <f>IFERROR(__xludf.DUMMYFUNCTION("""COMPUTED_VALUE"""),"EditRebalanceGrid")</f>
        <v>EditRebalanceGrid</v>
      </c>
      <c r="X4" s="26" t="str">
        <f>IFERROR(__xludf.DUMMYFUNCTION("""COMPUTED_VALUE"""),"SaveTradeList")</f>
        <v>SaveTradeList</v>
      </c>
      <c r="Y4" s="26" t="str">
        <f>IFERROR(__xludf.DUMMYFUNCTION("""COMPUTED_VALUE"""),"NavImpactingComponent")</f>
        <v>NavImpactingComponent</v>
      </c>
      <c r="Z4" s="26" t="str">
        <f>IFERROR(__xludf.DUMMYFUNCTION("""COMPUTED_VALUE"""),"ImportUsingRebalAccrossSec")</f>
        <v>ImportUsingRebalAccrossSec</v>
      </c>
      <c r="AA4" s="26" t="str">
        <f>IFERROR(__xludf.DUMMYFUNCTION("""COMPUTED_VALUE"""),"EditImportStatus")</f>
        <v>EditImportStatus</v>
      </c>
      <c r="AB4" s="26" t="str">
        <f>IFERROR(__xludf.DUMMYFUNCTION("""COMPUTED_VALUE"""),"SelectActionsOnImportStatus")</f>
        <v>SelectActionsOnImportStatus</v>
      </c>
      <c r="AC4" s="26" t="str">
        <f>IFERROR(__xludf.DUMMYFUNCTION("""COMPUTED_VALUE"""),"VerifyImportStatus")</f>
        <v>VerifyImportStatus</v>
      </c>
      <c r="AD4" s="26" t="str">
        <f>IFERROR(__xludf.DUMMYFUNCTION("""COMPUTED_VALUE"""),"AddNewModelPortfolio")</f>
        <v>AddNewModelPortfolio</v>
      </c>
      <c r="AE4" s="26" t="str">
        <f>IFERROR(__xludf.DUMMYFUNCTION("""COMPUTED_VALUE"""),"VerifyBuySellList")</f>
        <v>VerifyBuySellList</v>
      </c>
      <c r="AF4" s="26" t="str">
        <f>IFERROR(__xludf.DUMMYFUNCTION("""COMPUTED_VALUE"""),"CreateOrViewModelPortfolio")</f>
        <v>CreateOrViewModelPortfolio</v>
      </c>
      <c r="AG4" s="26" t="str">
        <f>IFERROR(__xludf.DUMMYFUNCTION("""COMPUTED_VALUE"""),"VerifyModelPortfolio")</f>
        <v>VerifyModelPortfolio</v>
      </c>
      <c r="AH4" s="26" t="str">
        <f>IFERROR(__xludf.DUMMYFUNCTION("""COMPUTED_VALUE"""),"VerifyTradeListSummary")</f>
        <v>VerifyTradeListSummary</v>
      </c>
      <c r="AI4" s="26" t="str">
        <f>IFERROR(__xludf.DUMMYFUNCTION("""COMPUTED_VALUE"""),"ActionOnTBSListSummary")</f>
        <v>ActionOnTBSListSummary</v>
      </c>
      <c r="AJ4" s="26" t="str">
        <f>IFERROR(__xludf.DUMMYFUNCTION("""COMPUTED_VALUE"""),"VerifyTLOSideSummary")</f>
        <v>VerifyTLOSideSummary</v>
      </c>
      <c r="AK4" s="26" t="str">
        <f>IFERROR(__xludf.DUMMYFUNCTION("""COMPUTED_VALUE"""),"SelectAndVerifyTradeList")</f>
        <v>SelectAndVerifyTradeList</v>
      </c>
      <c r="AL4" s="26" t="str">
        <f>IFERROR(__xludf.DUMMYFUNCTION("""COMPUTED_VALUE"""),"ActionOnTradeBuySellListView")</f>
        <v>ActionOnTradeBuySellListView</v>
      </c>
      <c r="AM4" s="26" t="str">
        <f>IFERROR(__xludf.DUMMYFUNCTION("""COMPUTED_VALUE"""),"ImportOnRB")</f>
        <v>ImportOnRB</v>
      </c>
      <c r="AN4" s="26" t="str">
        <f>IFERROR(__xludf.DUMMYFUNCTION("""COMPUTED_VALUE"""),"VerifyImportGridRBForInvalidSec")</f>
        <v>VerifyImportGridRBForInvalidSec</v>
      </c>
      <c r="AO4" s="26" t="str">
        <f>IFERROR(__xludf.DUMMYFUNCTION("""COMPUTED_VALUE"""),"VerifyImportGridRBForValidSec")</f>
        <v>VerifyImportGridRBForValidSec</v>
      </c>
      <c r="AP4" s="26" t="str">
        <f>IFERROR(__xludf.DUMMYFUNCTION("""COMPUTED_VALUE"""),"ActionOnRSAImportGrid")</f>
        <v>ActionOnRSAImportGrid</v>
      </c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IFERROR(__xludf.DUMMYFUNCTION("""COMPUTED_VALUE"""),"Account/Groups")</f>
        <v>Account/Groups</v>
      </c>
      <c r="C5" s="28" t="str">
        <f>IFERROR(__xludf.DUMMYFUNCTION("""COMPUTED_VALUE"""),"Account Positions")</f>
        <v>Account Positions</v>
      </c>
      <c r="D5" s="28" t="str">
        <f>IFERROR(__xludf.DUMMYFUNCTION("""COMPUTED_VALUE"""),"Calculation Level")</f>
        <v>Calculation Level</v>
      </c>
      <c r="E5" s="28" t="str">
        <f>IFERROR(__xludf.DUMMYFUNCTION("""COMPUTED_VALUE"""),"Refresh")</f>
        <v>Refresh</v>
      </c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29</v>
      </c>
      <c r="C6" s="8"/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FetchAccountPositions3!$4:$4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026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  <c r="FJ1" s="20"/>
      <c r="FK1" s="20"/>
      <c r="FL1" s="20"/>
      <c r="FM1" s="20"/>
      <c r="FN1" s="20"/>
      <c r="FO1" s="20"/>
      <c r="FP1" s="20"/>
      <c r="FQ1" s="20"/>
      <c r="FR1" s="20"/>
      <c r="FS1" s="20"/>
      <c r="FT1" s="20"/>
      <c r="FU1" s="20"/>
      <c r="FV1" s="20"/>
      <c r="FW1" s="20"/>
      <c r="FX1" s="20"/>
      <c r="FY1" s="20"/>
      <c r="FZ1" s="20"/>
      <c r="GA1" s="20"/>
      <c r="GB1" s="20"/>
      <c r="GC1" s="20"/>
      <c r="GD1" s="20"/>
      <c r="GE1" s="20"/>
      <c r="GF1" s="20"/>
      <c r="GG1" s="20"/>
      <c r="GH1" s="20"/>
      <c r="GI1" s="20"/>
      <c r="GJ1" s="20"/>
      <c r="GK1" s="20"/>
      <c r="GL1" s="20"/>
      <c r="GM1" s="20"/>
      <c r="GN1" s="20"/>
      <c r="GO1" s="20"/>
      <c r="GP1" s="20"/>
      <c r="GQ1" s="20"/>
      <c r="GR1" s="20"/>
      <c r="GS1" s="20"/>
      <c r="GT1" s="20"/>
      <c r="GU1" s="20"/>
      <c r="GV1" s="20"/>
      <c r="GW1" s="20"/>
      <c r="GX1" s="20"/>
      <c r="GY1" s="20"/>
      <c r="GZ1" s="20"/>
      <c r="HA1" s="20"/>
      <c r="HB1" s="20"/>
      <c r="HC1" s="20"/>
      <c r="HD1" s="20"/>
      <c r="HE1" s="20"/>
      <c r="HF1" s="20"/>
      <c r="HG1" s="20"/>
      <c r="HH1" s="20"/>
      <c r="HI1" s="20"/>
      <c r="HJ1" s="20"/>
      <c r="HK1" s="20"/>
      <c r="HL1" s="20"/>
      <c r="HM1" s="20"/>
      <c r="HN1" s="20"/>
      <c r="HO1" s="20"/>
      <c r="HP1" s="20"/>
      <c r="HQ1" s="20"/>
      <c r="HR1" s="20"/>
      <c r="HS1" s="20"/>
      <c r="HT1" s="20"/>
      <c r="HU1" s="20"/>
      <c r="HV1" s="20"/>
      <c r="HW1" s="20"/>
      <c r="HX1" s="20"/>
      <c r="HY1" s="20"/>
      <c r="HZ1" s="20"/>
      <c r="IA1" s="20"/>
      <c r="IB1" s="20"/>
      <c r="IC1" s="20"/>
      <c r="ID1" s="20"/>
      <c r="IE1" s="20"/>
      <c r="IF1" s="20"/>
      <c r="IG1" s="20"/>
      <c r="IH1" s="20"/>
      <c r="II1" s="20"/>
      <c r="IJ1" s="20"/>
      <c r="IK1" s="20"/>
      <c r="IL1" s="20"/>
      <c r="IM1" s="20"/>
      <c r="IN1" s="20"/>
      <c r="IO1" s="20"/>
      <c r="IP1" s="20"/>
      <c r="IQ1" s="20"/>
      <c r="IR1" s="20"/>
      <c r="IS1" s="20"/>
      <c r="IT1" s="20"/>
      <c r="IU1" s="20"/>
      <c r="IV1" s="20"/>
      <c r="IW1" s="20"/>
      <c r="IX1" s="20"/>
      <c r="IY1" s="20"/>
      <c r="IZ1" s="20"/>
      <c r="JA1" s="20"/>
      <c r="JB1" s="20"/>
      <c r="JC1" s="20"/>
      <c r="JD1" s="20"/>
      <c r="JE1" s="20"/>
      <c r="JF1" s="20"/>
      <c r="JG1" s="20"/>
      <c r="JH1" s="20"/>
      <c r="JI1" s="20"/>
      <c r="JJ1" s="20"/>
      <c r="JK1" s="20"/>
      <c r="JL1" s="20"/>
      <c r="JM1" s="20"/>
      <c r="JN1" s="20"/>
      <c r="JO1" s="20"/>
      <c r="JP1" s="20"/>
      <c r="JQ1" s="20"/>
      <c r="JR1" s="20"/>
      <c r="JS1" s="20"/>
      <c r="JT1" s="20"/>
      <c r="JU1" s="20"/>
      <c r="JV1" s="20"/>
      <c r="JW1" s="20"/>
      <c r="JX1" s="20"/>
      <c r="JY1" s="20"/>
      <c r="JZ1" s="20"/>
      <c r="KA1" s="20"/>
      <c r="KB1" s="20"/>
      <c r="KC1" s="20"/>
      <c r="KD1" s="20"/>
      <c r="KE1" s="20"/>
      <c r="KF1" s="20"/>
      <c r="KG1" s="20"/>
      <c r="KH1" s="20"/>
      <c r="KI1" s="20"/>
      <c r="KJ1" s="20"/>
      <c r="KK1" s="20"/>
      <c r="KL1" s="20"/>
      <c r="KM1" s="20"/>
      <c r="KN1" s="20"/>
      <c r="KO1" s="20"/>
      <c r="KP1" s="20"/>
      <c r="KQ1" s="20"/>
      <c r="KR1" s="20"/>
      <c r="KS1" s="20"/>
      <c r="KT1" s="20"/>
      <c r="KU1" s="20"/>
      <c r="KV1" s="20"/>
      <c r="KW1" s="20"/>
      <c r="KX1" s="20"/>
      <c r="KY1" s="20"/>
      <c r="KZ1" s="20"/>
      <c r="LA1" s="20"/>
      <c r="LB1" s="20"/>
      <c r="LC1" s="20"/>
      <c r="LD1" s="20"/>
      <c r="LE1" s="20"/>
      <c r="LF1" s="20"/>
      <c r="LG1" s="20"/>
      <c r="LH1" s="20"/>
      <c r="LI1" s="20"/>
      <c r="LJ1" s="20"/>
      <c r="LK1" s="20"/>
      <c r="LL1" s="20"/>
      <c r="LM1" s="20"/>
      <c r="LN1" s="20"/>
      <c r="LO1" s="20"/>
      <c r="LP1" s="20"/>
      <c r="LQ1" s="20"/>
      <c r="LR1" s="20"/>
      <c r="LS1" s="20"/>
      <c r="LT1" s="20"/>
      <c r="LU1" s="20"/>
      <c r="LV1" s="20"/>
      <c r="LW1" s="20"/>
      <c r="LX1" s="20"/>
      <c r="LY1" s="20"/>
      <c r="LZ1" s="20"/>
      <c r="MA1" s="20"/>
      <c r="MB1" s="20"/>
      <c r="MC1" s="20"/>
      <c r="MD1" s="20"/>
      <c r="ME1" s="20"/>
      <c r="MF1" s="20"/>
      <c r="MG1" s="20"/>
      <c r="MH1" s="20"/>
      <c r="MI1" s="20"/>
      <c r="MJ1" s="20"/>
      <c r="MK1" s="20"/>
      <c r="ML1" s="20"/>
      <c r="MM1" s="20"/>
      <c r="MN1" s="20"/>
      <c r="MO1" s="20"/>
      <c r="MP1" s="20"/>
      <c r="MQ1" s="20"/>
      <c r="MR1" s="20"/>
      <c r="MS1" s="20"/>
      <c r="MT1" s="20"/>
      <c r="MU1" s="20"/>
      <c r="MV1" s="20"/>
      <c r="MW1" s="20"/>
      <c r="MX1" s="20"/>
      <c r="MY1" s="20"/>
      <c r="MZ1" s="20"/>
      <c r="NA1" s="20"/>
      <c r="NB1" s="20"/>
      <c r="NC1" s="20"/>
      <c r="ND1" s="20"/>
      <c r="NE1" s="20"/>
      <c r="NF1" s="20"/>
      <c r="NG1" s="20"/>
      <c r="NH1" s="20"/>
      <c r="NI1" s="20"/>
      <c r="NJ1" s="20"/>
      <c r="NK1" s="20"/>
      <c r="NL1" s="20"/>
      <c r="NM1" s="20"/>
      <c r="NN1" s="20"/>
      <c r="NO1" s="20"/>
      <c r="NP1" s="20"/>
      <c r="NQ1" s="20"/>
      <c r="NR1" s="20"/>
      <c r="NS1" s="20"/>
      <c r="NT1" s="20"/>
      <c r="NU1" s="20"/>
      <c r="NV1" s="20"/>
      <c r="NW1" s="20"/>
      <c r="NX1" s="20"/>
      <c r="NY1" s="20"/>
      <c r="NZ1" s="20"/>
      <c r="OA1" s="20"/>
      <c r="OB1" s="20"/>
      <c r="OC1" s="20"/>
      <c r="OD1" s="20"/>
      <c r="OE1" s="20"/>
      <c r="OF1" s="20"/>
      <c r="OG1" s="20"/>
      <c r="OH1" s="20"/>
      <c r="OI1" s="20"/>
      <c r="OJ1" s="20"/>
      <c r="OK1" s="20"/>
      <c r="OL1" s="20"/>
      <c r="OM1" s="20"/>
      <c r="ON1" s="20"/>
      <c r="OO1" s="20"/>
      <c r="OP1" s="20"/>
      <c r="OQ1" s="20"/>
      <c r="OR1" s="20"/>
      <c r="OS1" s="20"/>
      <c r="OT1" s="20"/>
      <c r="OU1" s="20"/>
      <c r="OV1" s="20"/>
      <c r="OW1" s="20"/>
      <c r="OX1" s="20"/>
      <c r="OY1" s="20"/>
      <c r="OZ1" s="20"/>
      <c r="PA1" s="20"/>
      <c r="PB1" s="20"/>
      <c r="PC1" s="20"/>
      <c r="PD1" s="20"/>
      <c r="PE1" s="20"/>
      <c r="PF1" s="20"/>
      <c r="PG1" s="20"/>
      <c r="PH1" s="20"/>
      <c r="PI1" s="20"/>
      <c r="PJ1" s="20"/>
      <c r="PK1" s="20"/>
      <c r="PL1" s="20"/>
      <c r="PM1" s="20"/>
      <c r="PN1" s="20"/>
      <c r="PO1" s="20"/>
      <c r="PP1" s="20"/>
      <c r="PQ1" s="20"/>
      <c r="PR1" s="20"/>
      <c r="PS1" s="20"/>
      <c r="PT1" s="20"/>
      <c r="PU1" s="20"/>
      <c r="PV1" s="20"/>
      <c r="PW1" s="20"/>
      <c r="PX1" s="20"/>
      <c r="PY1" s="20"/>
      <c r="PZ1" s="20"/>
      <c r="QA1" s="20"/>
      <c r="QB1" s="20"/>
      <c r="QC1" s="20"/>
      <c r="QD1" s="20"/>
      <c r="QE1" s="20"/>
      <c r="QF1" s="20"/>
      <c r="QG1" s="20"/>
      <c r="QH1" s="20"/>
      <c r="QI1" s="20"/>
      <c r="QJ1" s="20"/>
      <c r="QK1" s="20"/>
      <c r="QL1" s="20"/>
      <c r="QM1" s="20"/>
      <c r="QN1" s="20"/>
      <c r="QO1" s="20"/>
      <c r="QP1" s="20"/>
      <c r="QQ1" s="20"/>
      <c r="QR1" s="20"/>
      <c r="QS1" s="20"/>
      <c r="QT1" s="20"/>
      <c r="QU1" s="20"/>
      <c r="QV1" s="20"/>
      <c r="QW1" s="20"/>
      <c r="QX1" s="20"/>
      <c r="QY1" s="20"/>
      <c r="QZ1" s="20"/>
      <c r="RA1" s="20"/>
      <c r="RB1" s="20"/>
      <c r="RC1" s="20"/>
      <c r="RD1" s="20"/>
      <c r="RE1" s="20"/>
      <c r="RF1" s="20"/>
      <c r="RG1" s="20"/>
      <c r="RH1" s="20"/>
      <c r="RI1" s="20"/>
      <c r="RJ1" s="20"/>
      <c r="RK1" s="20"/>
      <c r="RL1" s="20"/>
      <c r="RM1" s="20"/>
      <c r="RN1" s="20"/>
      <c r="RO1" s="20"/>
      <c r="RP1" s="20"/>
      <c r="RQ1" s="20"/>
      <c r="RR1" s="20"/>
      <c r="RS1" s="20"/>
      <c r="RT1" s="20"/>
      <c r="RU1" s="20"/>
      <c r="RV1" s="20"/>
      <c r="RW1" s="20"/>
      <c r="RX1" s="20"/>
      <c r="RY1" s="20"/>
      <c r="RZ1" s="20"/>
      <c r="SA1" s="20"/>
      <c r="SB1" s="20"/>
      <c r="SC1" s="20"/>
      <c r="SD1" s="20"/>
      <c r="SE1" s="20"/>
      <c r="SF1" s="20"/>
      <c r="SG1" s="20"/>
      <c r="SH1" s="20"/>
      <c r="SI1" s="20"/>
      <c r="SJ1" s="20"/>
      <c r="SK1" s="20"/>
      <c r="SL1" s="20"/>
      <c r="SM1" s="20"/>
      <c r="SN1" s="20"/>
      <c r="SO1" s="20"/>
      <c r="SP1" s="20"/>
      <c r="SQ1" s="20"/>
      <c r="SR1" s="20"/>
      <c r="SS1" s="20"/>
      <c r="ST1" s="20"/>
      <c r="SU1" s="20"/>
      <c r="SV1" s="20"/>
      <c r="SW1" s="20"/>
      <c r="SX1" s="20"/>
      <c r="SY1" s="20"/>
      <c r="SZ1" s="20"/>
      <c r="TA1" s="20"/>
      <c r="TB1" s="20"/>
      <c r="TC1" s="20"/>
      <c r="TD1" s="20"/>
      <c r="TE1" s="20"/>
      <c r="TF1" s="20"/>
      <c r="TG1" s="20"/>
      <c r="TH1" s="20"/>
      <c r="TI1" s="20"/>
      <c r="TJ1" s="20"/>
      <c r="TK1" s="20"/>
      <c r="TL1" s="20"/>
      <c r="TM1" s="20"/>
      <c r="TN1" s="20"/>
      <c r="TO1" s="20"/>
      <c r="TP1" s="20"/>
      <c r="TQ1" s="20"/>
      <c r="TR1" s="20"/>
      <c r="TS1" s="20"/>
      <c r="TT1" s="20"/>
      <c r="TU1" s="20"/>
      <c r="TV1" s="20"/>
      <c r="TW1" s="20"/>
      <c r="TX1" s="20"/>
      <c r="TY1" s="20"/>
      <c r="TZ1" s="20"/>
      <c r="UA1" s="20"/>
      <c r="UB1" s="20"/>
      <c r="UC1" s="20"/>
      <c r="UD1" s="20"/>
      <c r="UE1" s="20"/>
      <c r="UF1" s="20"/>
      <c r="UG1" s="20"/>
      <c r="UH1" s="20"/>
      <c r="UI1" s="20"/>
      <c r="UJ1" s="20"/>
      <c r="UK1" s="20"/>
      <c r="UL1" s="20"/>
      <c r="UM1" s="20"/>
      <c r="UN1" s="20"/>
      <c r="UO1" s="20"/>
      <c r="UP1" s="20"/>
      <c r="UQ1" s="20"/>
      <c r="UR1" s="20"/>
      <c r="US1" s="20"/>
      <c r="UT1" s="20"/>
      <c r="UU1" s="20"/>
      <c r="UV1" s="20"/>
      <c r="UW1" s="20"/>
      <c r="UX1" s="20"/>
      <c r="UY1" s="20"/>
      <c r="UZ1" s="20"/>
      <c r="VA1" s="20"/>
      <c r="VB1" s="20"/>
      <c r="VC1" s="20"/>
      <c r="VD1" s="20"/>
      <c r="VE1" s="20"/>
      <c r="VF1" s="20"/>
      <c r="VG1" s="20"/>
      <c r="VH1" s="20"/>
      <c r="VI1" s="20"/>
      <c r="VJ1" s="20"/>
      <c r="VK1" s="20"/>
      <c r="VL1" s="20"/>
      <c r="VM1" s="20"/>
      <c r="VN1" s="20"/>
      <c r="VO1" s="20"/>
      <c r="VP1" s="20"/>
      <c r="VQ1" s="20"/>
      <c r="VR1" s="20"/>
      <c r="VS1" s="20"/>
      <c r="VT1" s="20"/>
      <c r="VU1" s="20"/>
      <c r="VV1" s="20"/>
      <c r="VW1" s="20"/>
      <c r="VX1" s="20"/>
      <c r="VY1" s="20"/>
      <c r="VZ1" s="20"/>
      <c r="WA1" s="20"/>
      <c r="WB1" s="20"/>
      <c r="WC1" s="20"/>
      <c r="WD1" s="20"/>
      <c r="WE1" s="20"/>
      <c r="WF1" s="20"/>
      <c r="WG1" s="20"/>
      <c r="WH1" s="20"/>
      <c r="WI1" s="20"/>
      <c r="WJ1" s="20"/>
      <c r="WK1" s="20"/>
      <c r="WL1" s="20"/>
      <c r="WM1" s="20"/>
      <c r="WN1" s="20"/>
      <c r="WO1" s="20"/>
      <c r="WP1" s="20"/>
      <c r="WQ1" s="20"/>
      <c r="WR1" s="20"/>
      <c r="WS1" s="20"/>
      <c r="WT1" s="20"/>
      <c r="WU1" s="20"/>
      <c r="WV1" s="20"/>
      <c r="WW1" s="20"/>
      <c r="WX1" s="20"/>
      <c r="WY1" s="20"/>
      <c r="WZ1" s="20"/>
      <c r="XA1" s="20"/>
      <c r="XB1" s="20"/>
      <c r="XC1" s="20"/>
      <c r="XD1" s="20"/>
      <c r="XE1" s="20"/>
      <c r="XF1" s="20"/>
      <c r="XG1" s="20"/>
      <c r="XH1" s="20"/>
      <c r="XI1" s="20"/>
      <c r="XJ1" s="20"/>
      <c r="XK1" s="20"/>
      <c r="XL1" s="20"/>
      <c r="XM1" s="20"/>
      <c r="XN1" s="20"/>
      <c r="XO1" s="20"/>
      <c r="XP1" s="20"/>
      <c r="XQ1" s="20"/>
      <c r="XR1" s="20"/>
      <c r="XS1" s="20"/>
      <c r="XT1" s="20"/>
      <c r="XU1" s="20"/>
      <c r="XV1" s="20"/>
      <c r="XW1" s="20"/>
      <c r="XX1" s="20"/>
      <c r="XY1" s="20"/>
      <c r="XZ1" s="20"/>
      <c r="YA1" s="20"/>
      <c r="YB1" s="20"/>
      <c r="YC1" s="20"/>
      <c r="YD1" s="20"/>
      <c r="YE1" s="20"/>
      <c r="YF1" s="20"/>
      <c r="YG1" s="20"/>
      <c r="YH1" s="20"/>
      <c r="YI1" s="20"/>
      <c r="YJ1" s="20"/>
      <c r="YK1" s="20"/>
      <c r="YL1" s="20"/>
      <c r="YM1" s="20"/>
      <c r="YN1" s="20"/>
      <c r="YO1" s="20"/>
      <c r="YP1" s="20"/>
      <c r="YQ1" s="20"/>
      <c r="YR1" s="20"/>
      <c r="YS1" s="20"/>
      <c r="YT1" s="20"/>
      <c r="YU1" s="20"/>
      <c r="YV1" s="20"/>
      <c r="YW1" s="20"/>
      <c r="YX1" s="20"/>
      <c r="YY1" s="20"/>
      <c r="YZ1" s="20"/>
      <c r="ZA1" s="20"/>
      <c r="ZB1" s="20"/>
      <c r="ZC1" s="20"/>
      <c r="ZD1" s="20"/>
      <c r="ZE1" s="20"/>
      <c r="ZF1" s="20"/>
      <c r="ZG1" s="20"/>
      <c r="ZH1" s="20"/>
      <c r="ZI1" s="20"/>
      <c r="ZJ1" s="20"/>
      <c r="ZK1" s="20"/>
      <c r="ZL1" s="20"/>
      <c r="ZM1" s="20"/>
      <c r="ZN1" s="20"/>
      <c r="ZO1" s="20"/>
      <c r="ZP1" s="20"/>
      <c r="ZQ1" s="20"/>
      <c r="ZR1" s="20"/>
      <c r="ZS1" s="20"/>
      <c r="ZT1" s="20"/>
      <c r="ZU1" s="20"/>
      <c r="ZV1" s="20"/>
      <c r="ZW1" s="20"/>
      <c r="ZX1" s="20"/>
      <c r="ZY1" s="20"/>
      <c r="ZZ1" s="20"/>
      <c r="AAA1" s="20"/>
      <c r="AAB1" s="20"/>
      <c r="AAC1" s="20"/>
      <c r="AAD1" s="20"/>
      <c r="AAE1" s="20"/>
      <c r="AAF1" s="20"/>
      <c r="AAG1" s="20"/>
      <c r="AAH1" s="20"/>
      <c r="AAI1" s="20"/>
      <c r="AAJ1" s="20"/>
      <c r="AAK1" s="20"/>
      <c r="AAL1" s="20"/>
      <c r="AAM1" s="20"/>
      <c r="AAN1" s="20"/>
      <c r="AAO1" s="20"/>
      <c r="AAP1" s="20"/>
      <c r="AAQ1" s="20"/>
      <c r="AAR1" s="20"/>
      <c r="AAS1" s="20"/>
      <c r="AAT1" s="20"/>
      <c r="AAU1" s="20"/>
      <c r="AAV1" s="20"/>
      <c r="AAW1" s="20"/>
      <c r="AAX1" s="20"/>
      <c r="AAY1" s="20"/>
      <c r="AAZ1" s="20"/>
      <c r="ABA1" s="20"/>
      <c r="ABB1" s="20"/>
      <c r="ABC1" s="20"/>
      <c r="ABD1" s="20"/>
      <c r="ABE1" s="20"/>
      <c r="ABF1" s="20"/>
      <c r="ABG1" s="20"/>
      <c r="ABH1" s="20"/>
      <c r="ABI1" s="20"/>
      <c r="ABJ1" s="20"/>
      <c r="ABK1" s="20"/>
      <c r="ABL1" s="20"/>
      <c r="ABM1" s="20"/>
      <c r="ABN1" s="20"/>
      <c r="ABO1" s="20"/>
      <c r="ABP1" s="20"/>
      <c r="ABQ1" s="20"/>
      <c r="ABR1" s="20"/>
      <c r="ABS1" s="20"/>
      <c r="ABT1" s="20"/>
      <c r="ABU1" s="20"/>
      <c r="ABV1" s="20"/>
      <c r="ABW1" s="20"/>
      <c r="ABX1" s="20"/>
      <c r="ABY1" s="20"/>
      <c r="ABZ1" s="20"/>
      <c r="ACA1" s="20"/>
      <c r="ACB1" s="20"/>
      <c r="ACC1" s="20"/>
      <c r="ACD1" s="20"/>
      <c r="ACE1" s="20"/>
      <c r="ACF1" s="20"/>
      <c r="ACG1" s="20"/>
      <c r="ACH1" s="20"/>
      <c r="ACI1" s="20"/>
      <c r="ACJ1" s="20"/>
      <c r="ACK1" s="20"/>
      <c r="ACL1" s="20"/>
      <c r="ACM1" s="20"/>
      <c r="ACN1" s="20"/>
      <c r="ACO1" s="20"/>
      <c r="ACP1" s="20"/>
      <c r="ACQ1" s="20"/>
      <c r="ACR1" s="20"/>
      <c r="ACS1" s="20"/>
      <c r="ACT1" s="20"/>
      <c r="ACU1" s="20"/>
      <c r="ACV1" s="20"/>
      <c r="ACW1" s="20"/>
      <c r="ACX1" s="20"/>
      <c r="ACY1" s="20"/>
      <c r="ACZ1" s="20"/>
      <c r="ADA1" s="20"/>
      <c r="ADB1" s="20"/>
      <c r="ADC1" s="20"/>
      <c r="ADD1" s="20"/>
      <c r="ADE1" s="20"/>
      <c r="ADF1" s="20"/>
      <c r="ADG1" s="20"/>
      <c r="ADH1" s="20"/>
      <c r="ADI1" s="20"/>
      <c r="ADJ1" s="20"/>
      <c r="ADK1" s="20"/>
      <c r="ADL1" s="20"/>
      <c r="ADM1" s="20"/>
      <c r="ADN1" s="20"/>
      <c r="ADO1" s="20"/>
      <c r="ADP1" s="20"/>
      <c r="ADQ1" s="20"/>
      <c r="ADR1" s="20"/>
      <c r="ADS1" s="20"/>
      <c r="ADT1" s="20"/>
      <c r="ADU1" s="20"/>
      <c r="ADV1" s="20"/>
      <c r="ADW1" s="20"/>
      <c r="ADX1" s="20"/>
      <c r="ADY1" s="20"/>
      <c r="ADZ1" s="20"/>
      <c r="AEA1" s="20"/>
      <c r="AEB1" s="20"/>
      <c r="AEC1" s="20"/>
      <c r="AED1" s="20"/>
      <c r="AEE1" s="20"/>
      <c r="AEF1" s="20"/>
      <c r="AEG1" s="20"/>
      <c r="AEH1" s="20"/>
      <c r="AEI1" s="20"/>
      <c r="AEJ1" s="20"/>
      <c r="AEK1" s="20"/>
      <c r="AEL1" s="20"/>
      <c r="AEM1" s="20"/>
      <c r="AEN1" s="20"/>
      <c r="AEO1" s="20"/>
      <c r="AEP1" s="20"/>
      <c r="AEQ1" s="20"/>
      <c r="AER1" s="20"/>
      <c r="AES1" s="20"/>
      <c r="AET1" s="20"/>
      <c r="AEU1" s="20"/>
      <c r="AEV1" s="20"/>
      <c r="AEW1" s="20"/>
      <c r="AEX1" s="20"/>
      <c r="AEY1" s="20"/>
      <c r="AEZ1" s="20"/>
      <c r="AFA1" s="20"/>
      <c r="AFB1" s="20"/>
      <c r="AFC1" s="20"/>
      <c r="AFD1" s="20"/>
      <c r="AFE1" s="20"/>
      <c r="AFF1" s="20"/>
      <c r="AFG1" s="20"/>
      <c r="AFH1" s="20"/>
      <c r="AFI1" s="20"/>
      <c r="AFJ1" s="20"/>
      <c r="AFK1" s="20"/>
      <c r="AFL1" s="20"/>
      <c r="AFM1" s="20"/>
      <c r="AFN1" s="20"/>
      <c r="AFO1" s="20"/>
      <c r="AFP1" s="20"/>
      <c r="AFQ1" s="20"/>
      <c r="AFR1" s="20"/>
      <c r="AFS1" s="20"/>
      <c r="AFT1" s="20"/>
      <c r="AFU1" s="20"/>
      <c r="AFV1" s="20"/>
      <c r="AFW1" s="20"/>
      <c r="AFX1" s="20"/>
      <c r="AFY1" s="20"/>
      <c r="AFZ1" s="20"/>
      <c r="AGA1" s="20"/>
      <c r="AGB1" s="20"/>
      <c r="AGC1" s="20"/>
      <c r="AGD1" s="20"/>
      <c r="AGE1" s="20"/>
      <c r="AGF1" s="20"/>
      <c r="AGG1" s="20"/>
      <c r="AGH1" s="20"/>
      <c r="AGI1" s="20"/>
      <c r="AGJ1" s="20"/>
      <c r="AGK1" s="20"/>
      <c r="AGL1" s="20"/>
      <c r="AGM1" s="20"/>
      <c r="AGN1" s="20"/>
      <c r="AGO1" s="20"/>
      <c r="AGP1" s="20"/>
      <c r="AGQ1" s="20"/>
      <c r="AGR1" s="20"/>
      <c r="AGS1" s="20"/>
      <c r="AGT1" s="20"/>
      <c r="AGU1" s="20"/>
      <c r="AGV1" s="20"/>
      <c r="AGW1" s="20"/>
      <c r="AGX1" s="20"/>
      <c r="AGY1" s="20"/>
      <c r="AGZ1" s="20"/>
      <c r="AHA1" s="20"/>
      <c r="AHB1" s="20"/>
      <c r="AHC1" s="20"/>
      <c r="AHD1" s="20"/>
      <c r="AHE1" s="20"/>
      <c r="AHF1" s="20"/>
      <c r="AHG1" s="20"/>
      <c r="AHH1" s="20"/>
      <c r="AHI1" s="20"/>
      <c r="AHJ1" s="20"/>
      <c r="AHK1" s="20"/>
      <c r="AHL1" s="20"/>
      <c r="AHM1" s="20"/>
      <c r="AHN1" s="20"/>
      <c r="AHO1" s="20"/>
      <c r="AHP1" s="20"/>
      <c r="AHQ1" s="20"/>
      <c r="AHR1" s="20"/>
      <c r="AHS1" s="20"/>
      <c r="AHT1" s="20"/>
      <c r="AHU1" s="20"/>
      <c r="AHV1" s="20"/>
      <c r="AHW1" s="20"/>
      <c r="AHX1" s="20"/>
      <c r="AHY1" s="20"/>
      <c r="AHZ1" s="20"/>
      <c r="AIA1" s="20"/>
      <c r="AIB1" s="20"/>
      <c r="AIC1" s="20"/>
      <c r="AID1" s="20"/>
      <c r="AIE1" s="20"/>
      <c r="AIF1" s="20"/>
      <c r="AIG1" s="20"/>
      <c r="AIH1" s="20"/>
      <c r="AII1" s="20"/>
      <c r="AIJ1" s="20"/>
      <c r="AIK1" s="20"/>
      <c r="AIL1" s="20"/>
      <c r="AIM1" s="20"/>
      <c r="AIN1" s="20"/>
      <c r="AIO1" s="20"/>
      <c r="AIP1" s="20"/>
      <c r="AIQ1" s="20"/>
      <c r="AIR1" s="20"/>
      <c r="AIS1" s="20"/>
      <c r="AIT1" s="20"/>
      <c r="AIU1" s="20"/>
      <c r="AIV1" s="20"/>
      <c r="AIW1" s="20"/>
      <c r="AIX1" s="20"/>
      <c r="AIY1" s="20"/>
      <c r="AIZ1" s="20"/>
      <c r="AJA1" s="20"/>
      <c r="AJB1" s="20"/>
      <c r="AJC1" s="20"/>
      <c r="AJD1" s="20"/>
      <c r="AJE1" s="20"/>
      <c r="AJF1" s="20"/>
      <c r="AJG1" s="20"/>
      <c r="AJH1" s="20"/>
      <c r="AJI1" s="20"/>
      <c r="AJJ1" s="20"/>
      <c r="AJK1" s="20"/>
      <c r="AJL1" s="20"/>
      <c r="AJM1" s="20"/>
      <c r="AJN1" s="20"/>
      <c r="AJO1" s="20"/>
      <c r="AJP1" s="20"/>
      <c r="AJQ1" s="20"/>
      <c r="AJR1" s="20"/>
      <c r="AJS1" s="20"/>
      <c r="AJT1" s="20"/>
      <c r="AJU1" s="20"/>
      <c r="AJV1" s="20"/>
      <c r="AJW1" s="20"/>
      <c r="AJX1" s="20"/>
      <c r="AJY1" s="20"/>
      <c r="AJZ1" s="20"/>
      <c r="AKA1" s="20"/>
      <c r="AKB1" s="20"/>
      <c r="AKC1" s="20"/>
      <c r="AKD1" s="20"/>
      <c r="AKE1" s="20"/>
      <c r="AKF1" s="20"/>
      <c r="AKG1" s="20"/>
      <c r="AKH1" s="20"/>
      <c r="AKI1" s="20"/>
      <c r="AKJ1" s="20"/>
      <c r="AKK1" s="20"/>
      <c r="AKL1" s="20"/>
      <c r="AKM1" s="20"/>
      <c r="AKN1" s="20"/>
      <c r="AKO1" s="20"/>
      <c r="AKP1" s="20"/>
      <c r="AKQ1" s="20"/>
      <c r="AKR1" s="20"/>
      <c r="AKS1" s="20"/>
      <c r="AKT1" s="20"/>
      <c r="AKU1" s="20"/>
      <c r="AKV1" s="20"/>
      <c r="AKW1" s="20"/>
      <c r="AKX1" s="20"/>
      <c r="AKY1" s="20"/>
      <c r="AKZ1" s="20"/>
      <c r="ALA1" s="20"/>
      <c r="ALB1" s="20"/>
      <c r="ALC1" s="20"/>
      <c r="ALD1" s="20"/>
      <c r="ALE1" s="20"/>
      <c r="ALF1" s="20"/>
      <c r="ALG1" s="20"/>
      <c r="ALH1" s="20"/>
      <c r="ALI1" s="20"/>
      <c r="ALJ1" s="20"/>
      <c r="ALK1" s="20"/>
      <c r="ALL1" s="20"/>
      <c r="ALM1" s="20"/>
      <c r="ALN1" s="20"/>
      <c r="ALO1" s="20"/>
      <c r="ALP1" s="20"/>
      <c r="ALQ1" s="20"/>
      <c r="ALR1" s="20"/>
      <c r="ALS1" s="20"/>
      <c r="ALT1" s="20"/>
      <c r="ALU1" s="20"/>
      <c r="ALV1" s="20"/>
      <c r="ALW1" s="20"/>
      <c r="ALX1" s="20"/>
      <c r="ALY1" s="20"/>
      <c r="ALZ1" s="20"/>
      <c r="AMA1" s="20"/>
      <c r="AMB1" s="20"/>
      <c r="AMC1" s="20"/>
      <c r="AMD1" s="20"/>
      <c r="AME1" s="20"/>
      <c r="AMF1" s="20"/>
      <c r="AMG1" s="20"/>
      <c r="AMH1" s="20"/>
      <c r="AMI1" s="20"/>
      <c r="AMJ1" s="20"/>
      <c r="AMK1" s="20"/>
      <c r="AML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  <c r="FI3" s="24"/>
      <c r="FJ3" s="24"/>
      <c r="FK3" s="24"/>
      <c r="FL3" s="24"/>
      <c r="FM3" s="24"/>
      <c r="FN3" s="24"/>
      <c r="FO3" s="24"/>
      <c r="FP3" s="24"/>
      <c r="FQ3" s="24"/>
      <c r="FR3" s="24"/>
      <c r="FS3" s="24"/>
      <c r="FT3" s="24"/>
      <c r="FU3" s="24"/>
      <c r="FV3" s="24"/>
      <c r="FW3" s="24"/>
      <c r="FX3" s="24"/>
      <c r="FY3" s="24"/>
      <c r="FZ3" s="24"/>
      <c r="GA3" s="24"/>
      <c r="GB3" s="24"/>
      <c r="GC3" s="24"/>
      <c r="GD3" s="24"/>
      <c r="GE3" s="24"/>
      <c r="GF3" s="24"/>
      <c r="GG3" s="24"/>
      <c r="GH3" s="24"/>
      <c r="GI3" s="24"/>
      <c r="GJ3" s="24"/>
      <c r="GK3" s="24"/>
      <c r="GL3" s="24"/>
      <c r="GM3" s="24"/>
      <c r="GN3" s="24"/>
      <c r="GO3" s="24"/>
      <c r="GP3" s="24"/>
      <c r="GQ3" s="24"/>
      <c r="GR3" s="24"/>
      <c r="GS3" s="24"/>
      <c r="GT3" s="24"/>
      <c r="GU3" s="24"/>
      <c r="GV3" s="24"/>
      <c r="GW3" s="24"/>
      <c r="GX3" s="24"/>
      <c r="GY3" s="24"/>
      <c r="GZ3" s="24"/>
      <c r="HA3" s="24"/>
      <c r="HB3" s="24"/>
      <c r="HC3" s="24"/>
      <c r="HD3" s="24"/>
      <c r="HE3" s="24"/>
      <c r="HF3" s="24"/>
      <c r="HG3" s="24"/>
      <c r="HH3" s="24"/>
      <c r="HI3" s="24"/>
      <c r="HJ3" s="24"/>
      <c r="HK3" s="24"/>
      <c r="HL3" s="24"/>
      <c r="HM3" s="24"/>
      <c r="HN3" s="24"/>
      <c r="HO3" s="24"/>
      <c r="HP3" s="24"/>
      <c r="HQ3" s="24"/>
      <c r="HR3" s="24"/>
      <c r="HS3" s="24"/>
      <c r="HT3" s="24"/>
      <c r="HU3" s="24"/>
      <c r="HV3" s="24"/>
      <c r="HW3" s="24"/>
      <c r="HX3" s="24"/>
      <c r="HY3" s="24"/>
      <c r="HZ3" s="24"/>
      <c r="IA3" s="24"/>
      <c r="IB3" s="24"/>
      <c r="IC3" s="24"/>
      <c r="ID3" s="24"/>
      <c r="IE3" s="24"/>
      <c r="IF3" s="24"/>
      <c r="IG3" s="24"/>
      <c r="IH3" s="24"/>
      <c r="II3" s="24"/>
      <c r="IJ3" s="24"/>
      <c r="IK3" s="24"/>
      <c r="IL3" s="24"/>
      <c r="IM3" s="24"/>
      <c r="IN3" s="24"/>
      <c r="IO3" s="24"/>
      <c r="IP3" s="24"/>
      <c r="IQ3" s="24"/>
      <c r="IR3" s="24"/>
      <c r="IS3" s="24"/>
      <c r="IT3" s="24"/>
      <c r="IU3" s="24"/>
      <c r="IV3" s="24"/>
      <c r="IW3" s="24"/>
      <c r="IX3" s="24"/>
      <c r="IY3" s="24"/>
      <c r="IZ3" s="24"/>
      <c r="JA3" s="24"/>
      <c r="JB3" s="24"/>
      <c r="JC3" s="24"/>
      <c r="JD3" s="24"/>
      <c r="JE3" s="24"/>
      <c r="JF3" s="24"/>
      <c r="JG3" s="24"/>
      <c r="JH3" s="24"/>
      <c r="JI3" s="24"/>
      <c r="JJ3" s="24"/>
      <c r="JK3" s="24"/>
      <c r="JL3" s="24"/>
      <c r="JM3" s="24"/>
      <c r="JN3" s="24"/>
      <c r="JO3" s="24"/>
      <c r="JP3" s="24"/>
      <c r="JQ3" s="24"/>
      <c r="JR3" s="24"/>
      <c r="JS3" s="24"/>
      <c r="JT3" s="24"/>
      <c r="JU3" s="24"/>
      <c r="JV3" s="24"/>
      <c r="JW3" s="24"/>
      <c r="JX3" s="24"/>
      <c r="JY3" s="24"/>
      <c r="JZ3" s="24"/>
      <c r="KA3" s="24"/>
      <c r="KB3" s="24"/>
      <c r="KC3" s="24"/>
      <c r="KD3" s="24"/>
      <c r="KE3" s="24"/>
      <c r="KF3" s="24"/>
      <c r="KG3" s="24"/>
      <c r="KH3" s="24"/>
      <c r="KI3" s="24"/>
      <c r="KJ3" s="24"/>
      <c r="KK3" s="24"/>
      <c r="KL3" s="24"/>
      <c r="KM3" s="24"/>
      <c r="KN3" s="24"/>
      <c r="KO3" s="24"/>
      <c r="KP3" s="24"/>
      <c r="KQ3" s="24"/>
      <c r="KR3" s="24"/>
      <c r="KS3" s="24"/>
      <c r="KT3" s="24"/>
      <c r="KU3" s="24"/>
      <c r="KV3" s="24"/>
      <c r="KW3" s="24"/>
      <c r="KX3" s="24"/>
      <c r="KY3" s="24"/>
      <c r="KZ3" s="24"/>
      <c r="LA3" s="24"/>
      <c r="LB3" s="24"/>
      <c r="LC3" s="24"/>
      <c r="LD3" s="24"/>
      <c r="LE3" s="24"/>
      <c r="LF3" s="24"/>
      <c r="LG3" s="24"/>
      <c r="LH3" s="24"/>
      <c r="LI3" s="24"/>
      <c r="LJ3" s="24"/>
      <c r="LK3" s="24"/>
      <c r="LL3" s="24"/>
      <c r="LM3" s="24"/>
      <c r="LN3" s="24"/>
      <c r="LO3" s="24"/>
      <c r="LP3" s="24"/>
      <c r="LQ3" s="24"/>
      <c r="LR3" s="24"/>
      <c r="LS3" s="24"/>
      <c r="LT3" s="24"/>
      <c r="LU3" s="24"/>
      <c r="LV3" s="24"/>
      <c r="LW3" s="24"/>
      <c r="LX3" s="24"/>
      <c r="LY3" s="24"/>
      <c r="LZ3" s="24"/>
      <c r="MA3" s="24"/>
      <c r="MB3" s="24"/>
      <c r="MC3" s="24"/>
      <c r="MD3" s="24"/>
      <c r="ME3" s="24"/>
      <c r="MF3" s="24"/>
      <c r="MG3" s="24"/>
      <c r="MH3" s="24"/>
      <c r="MI3" s="24"/>
      <c r="MJ3" s="24"/>
      <c r="MK3" s="24"/>
      <c r="ML3" s="24"/>
      <c r="MM3" s="24"/>
      <c r="MN3" s="24"/>
      <c r="MO3" s="24"/>
      <c r="MP3" s="24"/>
      <c r="MQ3" s="24"/>
      <c r="MR3" s="24"/>
      <c r="MS3" s="24"/>
      <c r="MT3" s="24"/>
      <c r="MU3" s="24"/>
      <c r="MV3" s="24"/>
      <c r="MW3" s="24"/>
      <c r="MX3" s="24"/>
      <c r="MY3" s="24"/>
      <c r="MZ3" s="24"/>
      <c r="NA3" s="24"/>
      <c r="NB3" s="24"/>
      <c r="NC3" s="24"/>
      <c r="ND3" s="24"/>
      <c r="NE3" s="24"/>
      <c r="NF3" s="24"/>
      <c r="NG3" s="24"/>
      <c r="NH3" s="24"/>
      <c r="NI3" s="24"/>
      <c r="NJ3" s="24"/>
      <c r="NK3" s="24"/>
      <c r="NL3" s="24"/>
      <c r="NM3" s="24"/>
      <c r="NN3" s="24"/>
      <c r="NO3" s="24"/>
      <c r="NP3" s="24"/>
      <c r="NQ3" s="24"/>
      <c r="NR3" s="24"/>
      <c r="NS3" s="24"/>
      <c r="NT3" s="24"/>
      <c r="NU3" s="24"/>
      <c r="NV3" s="24"/>
      <c r="NW3" s="24"/>
      <c r="NX3" s="24"/>
      <c r="NY3" s="24"/>
      <c r="NZ3" s="24"/>
      <c r="OA3" s="24"/>
      <c r="OB3" s="24"/>
      <c r="OC3" s="24"/>
      <c r="OD3" s="24"/>
      <c r="OE3" s="24"/>
      <c r="OF3" s="24"/>
      <c r="OG3" s="24"/>
      <c r="OH3" s="24"/>
      <c r="OI3" s="24"/>
      <c r="OJ3" s="24"/>
      <c r="OK3" s="24"/>
      <c r="OL3" s="24"/>
      <c r="OM3" s="24"/>
      <c r="ON3" s="24"/>
      <c r="OO3" s="24"/>
      <c r="OP3" s="24"/>
      <c r="OQ3" s="24"/>
      <c r="OR3" s="24"/>
      <c r="OS3" s="24"/>
      <c r="OT3" s="24"/>
      <c r="OU3" s="24"/>
      <c r="OV3" s="24"/>
      <c r="OW3" s="24"/>
      <c r="OX3" s="24"/>
      <c r="OY3" s="24"/>
      <c r="OZ3" s="24"/>
      <c r="PA3" s="24"/>
      <c r="PB3" s="24"/>
      <c r="PC3" s="24"/>
      <c r="PD3" s="24"/>
      <c r="PE3" s="24"/>
      <c r="PF3" s="24"/>
      <c r="PG3" s="24"/>
      <c r="PH3" s="24"/>
      <c r="PI3" s="24"/>
      <c r="PJ3" s="24"/>
      <c r="PK3" s="24"/>
      <c r="PL3" s="24"/>
      <c r="PM3" s="24"/>
      <c r="PN3" s="24"/>
      <c r="PO3" s="24"/>
      <c r="PP3" s="24"/>
      <c r="PQ3" s="24"/>
      <c r="PR3" s="24"/>
      <c r="PS3" s="24"/>
      <c r="PT3" s="24"/>
      <c r="PU3" s="24"/>
      <c r="PV3" s="24"/>
      <c r="PW3" s="24"/>
      <c r="PX3" s="24"/>
      <c r="PY3" s="24"/>
      <c r="PZ3" s="24"/>
      <c r="QA3" s="24"/>
      <c r="QB3" s="24"/>
      <c r="QC3" s="24"/>
      <c r="QD3" s="24"/>
      <c r="QE3" s="24"/>
      <c r="QF3" s="24"/>
      <c r="QG3" s="24"/>
      <c r="QH3" s="24"/>
      <c r="QI3" s="24"/>
      <c r="QJ3" s="24"/>
      <c r="QK3" s="24"/>
      <c r="QL3" s="24"/>
      <c r="QM3" s="24"/>
      <c r="QN3" s="24"/>
      <c r="QO3" s="24"/>
      <c r="QP3" s="24"/>
      <c r="QQ3" s="24"/>
      <c r="QR3" s="24"/>
      <c r="QS3" s="24"/>
      <c r="QT3" s="24"/>
      <c r="QU3" s="24"/>
      <c r="QV3" s="24"/>
      <c r="QW3" s="24"/>
      <c r="QX3" s="24"/>
      <c r="QY3" s="24"/>
      <c r="QZ3" s="24"/>
      <c r="RA3" s="24"/>
      <c r="RB3" s="24"/>
      <c r="RC3" s="24"/>
      <c r="RD3" s="24"/>
      <c r="RE3" s="24"/>
      <c r="RF3" s="24"/>
      <c r="RG3" s="24"/>
      <c r="RH3" s="24"/>
      <c r="RI3" s="24"/>
      <c r="RJ3" s="24"/>
      <c r="RK3" s="24"/>
      <c r="RL3" s="24"/>
      <c r="RM3" s="24"/>
      <c r="RN3" s="24"/>
      <c r="RO3" s="24"/>
      <c r="RP3" s="24"/>
      <c r="RQ3" s="24"/>
      <c r="RR3" s="24"/>
      <c r="RS3" s="24"/>
      <c r="RT3" s="24"/>
      <c r="RU3" s="24"/>
      <c r="RV3" s="24"/>
      <c r="RW3" s="24"/>
      <c r="RX3" s="24"/>
      <c r="RY3" s="24"/>
      <c r="RZ3" s="24"/>
      <c r="SA3" s="24"/>
      <c r="SB3" s="24"/>
      <c r="SC3" s="24"/>
      <c r="SD3" s="24"/>
      <c r="SE3" s="24"/>
      <c r="SF3" s="24"/>
      <c r="SG3" s="24"/>
      <c r="SH3" s="24"/>
      <c r="SI3" s="24"/>
      <c r="SJ3" s="24"/>
      <c r="SK3" s="24"/>
      <c r="SL3" s="24"/>
      <c r="SM3" s="24"/>
      <c r="SN3" s="24"/>
      <c r="SO3" s="24"/>
      <c r="SP3" s="24"/>
      <c r="SQ3" s="24"/>
      <c r="SR3" s="24"/>
      <c r="SS3" s="24"/>
      <c r="ST3" s="24"/>
      <c r="SU3" s="24"/>
      <c r="SV3" s="24"/>
      <c r="SW3" s="24"/>
      <c r="SX3" s="24"/>
      <c r="SY3" s="24"/>
      <c r="SZ3" s="24"/>
      <c r="TA3" s="24"/>
      <c r="TB3" s="24"/>
      <c r="TC3" s="24"/>
      <c r="TD3" s="24"/>
      <c r="TE3" s="24"/>
      <c r="TF3" s="24"/>
      <c r="TG3" s="24"/>
      <c r="TH3" s="24"/>
      <c r="TI3" s="24"/>
      <c r="TJ3" s="24"/>
      <c r="TK3" s="24"/>
      <c r="TL3" s="24"/>
      <c r="TM3" s="24"/>
      <c r="TN3" s="24"/>
      <c r="TO3" s="24"/>
      <c r="TP3" s="24"/>
      <c r="TQ3" s="24"/>
      <c r="TR3" s="24"/>
      <c r="TS3" s="24"/>
      <c r="TT3" s="24"/>
      <c r="TU3" s="24"/>
      <c r="TV3" s="24"/>
      <c r="TW3" s="24"/>
      <c r="TX3" s="24"/>
      <c r="TY3" s="24"/>
      <c r="TZ3" s="24"/>
      <c r="UA3" s="24"/>
      <c r="UB3" s="24"/>
      <c r="UC3" s="24"/>
      <c r="UD3" s="24"/>
      <c r="UE3" s="24"/>
      <c r="UF3" s="24"/>
      <c r="UG3" s="24"/>
      <c r="UH3" s="24"/>
      <c r="UI3" s="24"/>
      <c r="UJ3" s="24"/>
      <c r="UK3" s="24"/>
      <c r="UL3" s="24"/>
      <c r="UM3" s="24"/>
      <c r="UN3" s="24"/>
      <c r="UO3" s="24"/>
      <c r="UP3" s="24"/>
      <c r="UQ3" s="24"/>
      <c r="UR3" s="24"/>
      <c r="US3" s="24"/>
      <c r="UT3" s="24"/>
      <c r="UU3" s="24"/>
      <c r="UV3" s="24"/>
      <c r="UW3" s="24"/>
      <c r="UX3" s="24"/>
      <c r="UY3" s="24"/>
      <c r="UZ3" s="24"/>
      <c r="VA3" s="24"/>
      <c r="VB3" s="24"/>
      <c r="VC3" s="24"/>
      <c r="VD3" s="24"/>
      <c r="VE3" s="24"/>
      <c r="VF3" s="24"/>
      <c r="VG3" s="24"/>
      <c r="VH3" s="24"/>
      <c r="VI3" s="24"/>
      <c r="VJ3" s="24"/>
      <c r="VK3" s="24"/>
      <c r="VL3" s="24"/>
      <c r="VM3" s="24"/>
      <c r="VN3" s="24"/>
      <c r="VO3" s="24"/>
      <c r="VP3" s="24"/>
      <c r="VQ3" s="24"/>
      <c r="VR3" s="24"/>
      <c r="VS3" s="24"/>
      <c r="VT3" s="24"/>
      <c r="VU3" s="24"/>
      <c r="VV3" s="24"/>
      <c r="VW3" s="24"/>
      <c r="VX3" s="24"/>
      <c r="VY3" s="24"/>
      <c r="VZ3" s="24"/>
      <c r="WA3" s="24"/>
      <c r="WB3" s="24"/>
      <c r="WC3" s="24"/>
      <c r="WD3" s="24"/>
      <c r="WE3" s="24"/>
      <c r="WF3" s="24"/>
      <c r="WG3" s="24"/>
      <c r="WH3" s="24"/>
      <c r="WI3" s="24"/>
      <c r="WJ3" s="24"/>
      <c r="WK3" s="24"/>
      <c r="WL3" s="24"/>
      <c r="WM3" s="24"/>
      <c r="WN3" s="24"/>
      <c r="WO3" s="24"/>
      <c r="WP3" s="24"/>
      <c r="WQ3" s="24"/>
      <c r="WR3" s="24"/>
      <c r="WS3" s="24"/>
      <c r="WT3" s="24"/>
      <c r="WU3" s="24"/>
      <c r="WV3" s="24"/>
      <c r="WW3" s="24"/>
      <c r="WX3" s="24"/>
      <c r="WY3" s="24"/>
      <c r="WZ3" s="24"/>
      <c r="XA3" s="24"/>
      <c r="XB3" s="24"/>
      <c r="XC3" s="24"/>
      <c r="XD3" s="24"/>
      <c r="XE3" s="24"/>
      <c r="XF3" s="24"/>
      <c r="XG3" s="24"/>
      <c r="XH3" s="24"/>
      <c r="XI3" s="24"/>
      <c r="XJ3" s="24"/>
      <c r="XK3" s="24"/>
      <c r="XL3" s="24"/>
      <c r="XM3" s="24"/>
      <c r="XN3" s="24"/>
      <c r="XO3" s="24"/>
      <c r="XP3" s="24"/>
      <c r="XQ3" s="24"/>
      <c r="XR3" s="24"/>
      <c r="XS3" s="24"/>
      <c r="XT3" s="24"/>
      <c r="XU3" s="24"/>
      <c r="XV3" s="24"/>
      <c r="XW3" s="24"/>
      <c r="XX3" s="24"/>
      <c r="XY3" s="24"/>
      <c r="XZ3" s="24"/>
      <c r="YA3" s="24"/>
      <c r="YB3" s="24"/>
      <c r="YC3" s="24"/>
      <c r="YD3" s="24"/>
      <c r="YE3" s="24"/>
      <c r="YF3" s="24"/>
      <c r="YG3" s="24"/>
      <c r="YH3" s="24"/>
      <c r="YI3" s="24"/>
      <c r="YJ3" s="24"/>
      <c r="YK3" s="24"/>
      <c r="YL3" s="24"/>
      <c r="YM3" s="24"/>
      <c r="YN3" s="24"/>
      <c r="YO3" s="24"/>
      <c r="YP3" s="24"/>
      <c r="YQ3" s="24"/>
      <c r="YR3" s="24"/>
      <c r="YS3" s="24"/>
      <c r="YT3" s="24"/>
      <c r="YU3" s="24"/>
      <c r="YV3" s="24"/>
      <c r="YW3" s="24"/>
      <c r="YX3" s="24"/>
      <c r="YY3" s="24"/>
      <c r="YZ3" s="24"/>
      <c r="ZA3" s="24"/>
      <c r="ZB3" s="24"/>
      <c r="ZC3" s="24"/>
      <c r="ZD3" s="24"/>
      <c r="ZE3" s="24"/>
      <c r="ZF3" s="24"/>
      <c r="ZG3" s="24"/>
      <c r="ZH3" s="24"/>
      <c r="ZI3" s="24"/>
      <c r="ZJ3" s="24"/>
      <c r="ZK3" s="24"/>
      <c r="ZL3" s="24"/>
      <c r="ZM3" s="24"/>
      <c r="ZN3" s="24"/>
      <c r="ZO3" s="24"/>
      <c r="ZP3" s="24"/>
      <c r="ZQ3" s="24"/>
      <c r="ZR3" s="24"/>
      <c r="ZS3" s="24"/>
      <c r="ZT3" s="24"/>
      <c r="ZU3" s="24"/>
      <c r="ZV3" s="24"/>
      <c r="ZW3" s="24"/>
      <c r="ZX3" s="24"/>
      <c r="ZY3" s="24"/>
      <c r="ZZ3" s="24"/>
      <c r="AAA3" s="24"/>
      <c r="AAB3" s="24"/>
      <c r="AAC3" s="24"/>
      <c r="AAD3" s="24"/>
      <c r="AAE3" s="24"/>
      <c r="AAF3" s="24"/>
      <c r="AAG3" s="24"/>
      <c r="AAH3" s="24"/>
      <c r="AAI3" s="24"/>
      <c r="AAJ3" s="24"/>
      <c r="AAK3" s="24"/>
      <c r="AAL3" s="24"/>
      <c r="AAM3" s="24"/>
      <c r="AAN3" s="24"/>
      <c r="AAO3" s="24"/>
      <c r="AAP3" s="24"/>
      <c r="AAQ3" s="24"/>
      <c r="AAR3" s="24"/>
      <c r="AAS3" s="24"/>
      <c r="AAT3" s="24"/>
      <c r="AAU3" s="24"/>
      <c r="AAV3" s="24"/>
      <c r="AAW3" s="24"/>
      <c r="AAX3" s="24"/>
      <c r="AAY3" s="24"/>
      <c r="AAZ3" s="24"/>
      <c r="ABA3" s="24"/>
      <c r="ABB3" s="24"/>
      <c r="ABC3" s="24"/>
      <c r="ABD3" s="24"/>
      <c r="ABE3" s="24"/>
      <c r="ABF3" s="24"/>
      <c r="ABG3" s="24"/>
      <c r="ABH3" s="24"/>
      <c r="ABI3" s="24"/>
      <c r="ABJ3" s="24"/>
      <c r="ABK3" s="24"/>
      <c r="ABL3" s="24"/>
      <c r="ABM3" s="24"/>
      <c r="ABN3" s="24"/>
      <c r="ABO3" s="24"/>
      <c r="ABP3" s="24"/>
      <c r="ABQ3" s="24"/>
      <c r="ABR3" s="24"/>
      <c r="ABS3" s="24"/>
      <c r="ABT3" s="24"/>
      <c r="ABU3" s="24"/>
      <c r="ABV3" s="24"/>
      <c r="ABW3" s="24"/>
      <c r="ABX3" s="24"/>
      <c r="ABY3" s="24"/>
      <c r="ABZ3" s="24"/>
      <c r="ACA3" s="24"/>
      <c r="ACB3" s="24"/>
      <c r="ACC3" s="24"/>
      <c r="ACD3" s="24"/>
      <c r="ACE3" s="24"/>
      <c r="ACF3" s="24"/>
      <c r="ACG3" s="24"/>
      <c r="ACH3" s="24"/>
      <c r="ACI3" s="24"/>
      <c r="ACJ3" s="24"/>
      <c r="ACK3" s="24"/>
      <c r="ACL3" s="24"/>
      <c r="ACM3" s="24"/>
      <c r="ACN3" s="24"/>
      <c r="ACO3" s="24"/>
      <c r="ACP3" s="24"/>
      <c r="ACQ3" s="24"/>
      <c r="ACR3" s="24"/>
      <c r="ACS3" s="24"/>
      <c r="ACT3" s="24"/>
      <c r="ACU3" s="24"/>
      <c r="ACV3" s="24"/>
      <c r="ACW3" s="24"/>
      <c r="ACX3" s="24"/>
      <c r="ACY3" s="24"/>
      <c r="ACZ3" s="24"/>
      <c r="ADA3" s="24"/>
      <c r="ADB3" s="24"/>
      <c r="ADC3" s="24"/>
      <c r="ADD3" s="24"/>
      <c r="ADE3" s="24"/>
      <c r="ADF3" s="24"/>
      <c r="ADG3" s="24"/>
      <c r="ADH3" s="24"/>
      <c r="ADI3" s="24"/>
      <c r="ADJ3" s="24"/>
      <c r="ADK3" s="24"/>
      <c r="ADL3" s="24"/>
      <c r="ADM3" s="24"/>
      <c r="ADN3" s="24"/>
      <c r="ADO3" s="24"/>
      <c r="ADP3" s="24"/>
      <c r="ADQ3" s="24"/>
      <c r="ADR3" s="24"/>
      <c r="ADS3" s="24"/>
      <c r="ADT3" s="24"/>
      <c r="ADU3" s="24"/>
      <c r="ADV3" s="24"/>
      <c r="ADW3" s="24"/>
      <c r="ADX3" s="24"/>
      <c r="ADY3" s="24"/>
      <c r="ADZ3" s="24"/>
      <c r="AEA3" s="24"/>
      <c r="AEB3" s="24"/>
      <c r="AEC3" s="24"/>
      <c r="AED3" s="24"/>
      <c r="AEE3" s="24"/>
      <c r="AEF3" s="24"/>
      <c r="AEG3" s="24"/>
      <c r="AEH3" s="24"/>
      <c r="AEI3" s="24"/>
      <c r="AEJ3" s="24"/>
      <c r="AEK3" s="24"/>
      <c r="AEL3" s="24"/>
      <c r="AEM3" s="24"/>
      <c r="AEN3" s="24"/>
      <c r="AEO3" s="24"/>
      <c r="AEP3" s="24"/>
      <c r="AEQ3" s="24"/>
      <c r="AER3" s="24"/>
      <c r="AES3" s="24"/>
      <c r="AET3" s="24"/>
      <c r="AEU3" s="24"/>
      <c r="AEV3" s="24"/>
      <c r="AEW3" s="24"/>
      <c r="AEX3" s="24"/>
      <c r="AEY3" s="24"/>
      <c r="AEZ3" s="24"/>
      <c r="AFA3" s="24"/>
      <c r="AFB3" s="24"/>
      <c r="AFC3" s="24"/>
      <c r="AFD3" s="24"/>
      <c r="AFE3" s="24"/>
      <c r="AFF3" s="24"/>
      <c r="AFG3" s="24"/>
      <c r="AFH3" s="24"/>
      <c r="AFI3" s="24"/>
      <c r="AFJ3" s="24"/>
      <c r="AFK3" s="24"/>
      <c r="AFL3" s="24"/>
      <c r="AFM3" s="24"/>
      <c r="AFN3" s="24"/>
      <c r="AFO3" s="24"/>
      <c r="AFP3" s="24"/>
      <c r="AFQ3" s="24"/>
      <c r="AFR3" s="24"/>
      <c r="AFS3" s="24"/>
      <c r="AFT3" s="24"/>
      <c r="AFU3" s="24"/>
      <c r="AFV3" s="24"/>
      <c r="AFW3" s="24"/>
      <c r="AFX3" s="24"/>
      <c r="AFY3" s="24"/>
      <c r="AFZ3" s="24"/>
      <c r="AGA3" s="24"/>
      <c r="AGB3" s="24"/>
      <c r="AGC3" s="24"/>
      <c r="AGD3" s="24"/>
      <c r="AGE3" s="24"/>
      <c r="AGF3" s="24"/>
      <c r="AGG3" s="24"/>
      <c r="AGH3" s="24"/>
      <c r="AGI3" s="24"/>
      <c r="AGJ3" s="24"/>
      <c r="AGK3" s="24"/>
      <c r="AGL3" s="24"/>
      <c r="AGM3" s="24"/>
      <c r="AGN3" s="24"/>
      <c r="AGO3" s="24"/>
      <c r="AGP3" s="24"/>
      <c r="AGQ3" s="24"/>
      <c r="AGR3" s="24"/>
      <c r="AGS3" s="24"/>
      <c r="AGT3" s="24"/>
      <c r="AGU3" s="24"/>
      <c r="AGV3" s="24"/>
      <c r="AGW3" s="24"/>
      <c r="AGX3" s="24"/>
      <c r="AGY3" s="24"/>
      <c r="AGZ3" s="24"/>
      <c r="AHA3" s="24"/>
      <c r="AHB3" s="24"/>
      <c r="AHC3" s="24"/>
      <c r="AHD3" s="24"/>
      <c r="AHE3" s="24"/>
      <c r="AHF3" s="24"/>
      <c r="AHG3" s="24"/>
      <c r="AHH3" s="24"/>
      <c r="AHI3" s="24"/>
      <c r="AHJ3" s="24"/>
      <c r="AHK3" s="24"/>
      <c r="AHL3" s="24"/>
      <c r="AHM3" s="24"/>
      <c r="AHN3" s="24"/>
      <c r="AHO3" s="24"/>
      <c r="AHP3" s="24"/>
      <c r="AHQ3" s="24"/>
      <c r="AHR3" s="24"/>
      <c r="AHS3" s="24"/>
      <c r="AHT3" s="24"/>
      <c r="AHU3" s="24"/>
      <c r="AHV3" s="24"/>
      <c r="AHW3" s="24"/>
      <c r="AHX3" s="24"/>
      <c r="AHY3" s="24"/>
      <c r="AHZ3" s="24"/>
      <c r="AIA3" s="24"/>
      <c r="AIB3" s="24"/>
      <c r="AIC3" s="24"/>
      <c r="AID3" s="24"/>
      <c r="AIE3" s="24"/>
      <c r="AIF3" s="24"/>
      <c r="AIG3" s="24"/>
      <c r="AIH3" s="24"/>
      <c r="AII3" s="24"/>
      <c r="AIJ3" s="24"/>
      <c r="AIK3" s="24"/>
      <c r="AIL3" s="24"/>
      <c r="AIM3" s="24"/>
      <c r="AIN3" s="24"/>
      <c r="AIO3" s="24"/>
      <c r="AIP3" s="24"/>
      <c r="AIQ3" s="24"/>
      <c r="AIR3" s="24"/>
      <c r="AIS3" s="24"/>
      <c r="AIT3" s="24"/>
      <c r="AIU3" s="24"/>
      <c r="AIV3" s="24"/>
      <c r="AIW3" s="24"/>
      <c r="AIX3" s="24"/>
      <c r="AIY3" s="24"/>
      <c r="AIZ3" s="24"/>
      <c r="AJA3" s="24"/>
      <c r="AJB3" s="24"/>
      <c r="AJC3" s="24"/>
      <c r="AJD3" s="24"/>
      <c r="AJE3" s="24"/>
      <c r="AJF3" s="24"/>
      <c r="AJG3" s="24"/>
      <c r="AJH3" s="24"/>
      <c r="AJI3" s="24"/>
      <c r="AJJ3" s="24"/>
      <c r="AJK3" s="24"/>
      <c r="AJL3" s="24"/>
      <c r="AJM3" s="24"/>
      <c r="AJN3" s="24"/>
      <c r="AJO3" s="24"/>
      <c r="AJP3" s="24"/>
      <c r="AJQ3" s="24"/>
      <c r="AJR3" s="24"/>
      <c r="AJS3" s="24"/>
      <c r="AJT3" s="24"/>
      <c r="AJU3" s="24"/>
      <c r="AJV3" s="24"/>
      <c r="AJW3" s="24"/>
      <c r="AJX3" s="24"/>
      <c r="AJY3" s="24"/>
      <c r="AJZ3" s="24"/>
      <c r="AKA3" s="24"/>
      <c r="AKB3" s="24"/>
      <c r="AKC3" s="24"/>
      <c r="AKD3" s="24"/>
      <c r="AKE3" s="24"/>
      <c r="AKF3" s="24"/>
      <c r="AKG3" s="24"/>
      <c r="AKH3" s="24"/>
      <c r="AKI3" s="24"/>
      <c r="AKJ3" s="24"/>
      <c r="AKK3" s="24"/>
      <c r="AKL3" s="24"/>
      <c r="AKM3" s="24"/>
      <c r="AKN3" s="24"/>
      <c r="AKO3" s="24"/>
      <c r="AKP3" s="24"/>
      <c r="AKQ3" s="24"/>
      <c r="AKR3" s="24"/>
      <c r="AKS3" s="24"/>
      <c r="AKT3" s="24"/>
      <c r="AKU3" s="24"/>
      <c r="AKV3" s="24"/>
      <c r="AKW3" s="24"/>
      <c r="AKX3" s="24"/>
      <c r="AKY3" s="24"/>
      <c r="AKZ3" s="24"/>
      <c r="ALA3" s="24"/>
      <c r="ALB3" s="24"/>
      <c r="ALC3" s="24"/>
      <c r="ALD3" s="24"/>
      <c r="ALE3" s="24"/>
      <c r="ALF3" s="24"/>
      <c r="ALG3" s="24"/>
      <c r="ALH3" s="24"/>
      <c r="ALI3" s="24"/>
      <c r="ALJ3" s="24"/>
      <c r="ALK3" s="24"/>
      <c r="ALL3" s="24"/>
      <c r="ALM3" s="24"/>
      <c r="ALN3" s="24"/>
      <c r="ALO3" s="24"/>
      <c r="ALP3" s="24"/>
      <c r="ALQ3" s="24"/>
      <c r="ALR3" s="24"/>
      <c r="ALS3" s="24"/>
      <c r="ALT3" s="24"/>
      <c r="ALU3" s="24"/>
      <c r="ALV3" s="24"/>
      <c r="ALW3" s="24"/>
      <c r="ALX3" s="24"/>
      <c r="ALY3" s="24"/>
      <c r="ALZ3" s="24"/>
      <c r="AMA3" s="24"/>
      <c r="AMB3" s="24"/>
      <c r="AMC3" s="24"/>
      <c r="AMD3" s="24"/>
      <c r="AME3" s="24"/>
      <c r="AMF3" s="24"/>
      <c r="AMG3" s="24"/>
      <c r="AMH3" s="24"/>
      <c r="AMI3" s="24"/>
      <c r="AMJ3" s="24"/>
      <c r="AMK3" s="24"/>
      <c r="AML3" s="24"/>
    </row>
    <row r="4" ht="15.75" customHeight="1">
      <c r="A4" s="25"/>
      <c r="B4" s="25" t="str">
        <f>IFERROR(__xludf.DUMMYFUNCTION("IF(C3="""","""",Transpose(IMPORTRANGE('_Settings'!$B$3,C3&amp;""!A4:A1000"")))"),"FetchAccountPositions")</f>
        <v>FetchAccountPositions</v>
      </c>
      <c r="C4" s="25" t="str">
        <f>IFERROR(__xludf.DUMMYFUNCTION("""COMPUTED_VALUE"""),"AddCash")</f>
        <v>AddCash</v>
      </c>
      <c r="D4" s="25" t="str">
        <f>IFERROR(__xludf.DUMMYFUNCTION("""COMPUTED_VALUE"""),"VerifyGridData")</f>
        <v>VerifyGridData</v>
      </c>
      <c r="E4" s="25" t="str">
        <f>IFERROR(__xludf.DUMMYFUNCTION("""COMPUTED_VALUE"""),"RunRebalance")</f>
        <v>RunRebalance</v>
      </c>
      <c r="F4" s="25" t="str">
        <f>IFERROR(__xludf.DUMMYFUNCTION("""COMPUTED_VALUE"""),"EnableComplianceTab")</f>
        <v>EnableComplianceTab</v>
      </c>
      <c r="G4" s="25" t="str">
        <f>IFERROR(__xludf.DUMMYFUNCTION("""COMPUTED_VALUE"""),"RebalancePreference")</f>
        <v>RebalancePreference</v>
      </c>
      <c r="H4" s="25" t="str">
        <f>IFERROR(__xludf.DUMMYFUNCTION("""COMPUTED_VALUE"""),"ImportModelPortfolio")</f>
        <v>ImportModelPortfolio</v>
      </c>
      <c r="I4" s="25" t="str">
        <f>IFERROR(__xludf.DUMMYFUNCTION("""COMPUTED_VALUE"""),"RebalanceAcrossSecurities")</f>
        <v>RebalanceAcrossSecurities</v>
      </c>
      <c r="J4" s="25" t="str">
        <f>IFERROR(__xludf.DUMMYFUNCTION("""COMPUTED_VALUE"""),"CheckBasketCompliance")</f>
        <v>CheckBasketCompliance</v>
      </c>
      <c r="K4" s="25" t="str">
        <f>IFERROR(__xludf.DUMMYFUNCTION("""COMPUTED_VALUE"""),"ClearCalculations")</f>
        <v>ClearCalculations</v>
      </c>
      <c r="L4" s="25" t="str">
        <f>IFERROR(__xludf.DUMMYFUNCTION("""COMPUTED_VALUE"""),"ModifyRebalance")</f>
        <v>ModifyRebalance</v>
      </c>
      <c r="M4" s="25" t="str">
        <f>IFERROR(__xludf.DUMMYFUNCTION("""COMPUTED_VALUE"""),"ModelPortfolio")</f>
        <v>ModelPortfolio</v>
      </c>
      <c r="N4" s="25" t="str">
        <f>IFERROR(__xludf.DUMMYFUNCTION("""COMPUTED_VALUE"""),"LockandUnlockGridData")</f>
        <v>LockandUnlockGridData</v>
      </c>
      <c r="O4" s="25" t="str">
        <f>IFERROR(__xludf.DUMMYFUNCTION("""COMPUTED_VALUE"""),"RefreshGridData")</f>
        <v>RefreshGridData</v>
      </c>
      <c r="P4" s="26" t="str">
        <f>IFERROR(__xludf.DUMMYFUNCTION("""COMPUTED_VALUE"""),"SendtoStaging")</f>
        <v>SendtoStaging</v>
      </c>
      <c r="Q4" s="26" t="str">
        <f>IFERROR(__xludf.DUMMYFUNCTION("""COMPUTED_VALUE"""),"SendToStagingExport")</f>
        <v>SendToStagingExport</v>
      </c>
      <c r="R4" s="26" t="str">
        <f>IFERROR(__xludf.DUMMYFUNCTION("""COMPUTED_VALUE"""),"RebalanceViaBloomberg")</f>
        <v>RebalanceViaBloomberg</v>
      </c>
      <c r="S4" s="26" t="str">
        <f>IFERROR(__xludf.DUMMYFUNCTION("""COMPUTED_VALUE"""),"AddUserAdjustedNAV")</f>
        <v>AddUserAdjustedNAV</v>
      </c>
      <c r="T4" s="26" t="str">
        <f>IFERROR(__xludf.DUMMYFUNCTION("""COMPUTED_VALUE"""),"SymbologyChangeRB")</f>
        <v>SymbologyChangeRB</v>
      </c>
      <c r="U4" s="26" t="str">
        <f>IFERROR(__xludf.DUMMYFUNCTION("""COMPUTED_VALUE"""),"CloseRebalancer")</f>
        <v>CloseRebalancer</v>
      </c>
      <c r="V4" s="26" t="str">
        <f>IFERROR(__xludf.DUMMYFUNCTION("""COMPUTED_VALUE"""),"AddCustomCashUsingImport")</f>
        <v>AddCustomCashUsingImport</v>
      </c>
      <c r="W4" s="26" t="str">
        <f>IFERROR(__xludf.DUMMYFUNCTION("""COMPUTED_VALUE"""),"EditRebalanceGrid")</f>
        <v>EditRebalanceGrid</v>
      </c>
      <c r="X4" s="26" t="str">
        <f>IFERROR(__xludf.DUMMYFUNCTION("""COMPUTED_VALUE"""),"SaveTradeList")</f>
        <v>SaveTradeList</v>
      </c>
      <c r="Y4" s="26" t="str">
        <f>IFERROR(__xludf.DUMMYFUNCTION("""COMPUTED_VALUE"""),"NavImpactingComponent")</f>
        <v>NavImpactingComponent</v>
      </c>
      <c r="Z4" s="26" t="str">
        <f>IFERROR(__xludf.DUMMYFUNCTION("""COMPUTED_VALUE"""),"ImportUsingRebalAccrossSec")</f>
        <v>ImportUsingRebalAccrossSec</v>
      </c>
      <c r="AA4" s="26" t="str">
        <f>IFERROR(__xludf.DUMMYFUNCTION("""COMPUTED_VALUE"""),"EditImportStatus")</f>
        <v>EditImportStatus</v>
      </c>
      <c r="AB4" s="26" t="str">
        <f>IFERROR(__xludf.DUMMYFUNCTION("""COMPUTED_VALUE"""),"SelectActionsOnImportStatus")</f>
        <v>SelectActionsOnImportStatus</v>
      </c>
      <c r="AC4" s="26" t="str">
        <f>IFERROR(__xludf.DUMMYFUNCTION("""COMPUTED_VALUE"""),"VerifyImportStatus")</f>
        <v>VerifyImportStatus</v>
      </c>
      <c r="AD4" s="26" t="str">
        <f>IFERROR(__xludf.DUMMYFUNCTION("""COMPUTED_VALUE"""),"AddNewModelPortfolio")</f>
        <v>AddNewModelPortfolio</v>
      </c>
      <c r="AE4" s="26" t="str">
        <f>IFERROR(__xludf.DUMMYFUNCTION("""COMPUTED_VALUE"""),"VerifyBuySellList")</f>
        <v>VerifyBuySellList</v>
      </c>
      <c r="AF4" s="26" t="str">
        <f>IFERROR(__xludf.DUMMYFUNCTION("""COMPUTED_VALUE"""),"CreateOrViewModelPortfolio")</f>
        <v>CreateOrViewModelPortfolio</v>
      </c>
      <c r="AG4" s="26" t="str">
        <f>IFERROR(__xludf.DUMMYFUNCTION("""COMPUTED_VALUE"""),"VerifyModelPortfolio")</f>
        <v>VerifyModelPortfolio</v>
      </c>
      <c r="AH4" s="26" t="str">
        <f>IFERROR(__xludf.DUMMYFUNCTION("""COMPUTED_VALUE"""),"VerifyTradeListSummary")</f>
        <v>VerifyTradeListSummary</v>
      </c>
      <c r="AI4" s="26" t="str">
        <f>IFERROR(__xludf.DUMMYFUNCTION("""COMPUTED_VALUE"""),"ActionOnTBSListSummary")</f>
        <v>ActionOnTBSListSummary</v>
      </c>
      <c r="AJ4" s="26" t="str">
        <f>IFERROR(__xludf.DUMMYFUNCTION("""COMPUTED_VALUE"""),"VerifyTLOSideSummary")</f>
        <v>VerifyTLOSideSummary</v>
      </c>
      <c r="AK4" s="26" t="str">
        <f>IFERROR(__xludf.DUMMYFUNCTION("""COMPUTED_VALUE"""),"SelectAndVerifyTradeList")</f>
        <v>SelectAndVerifyTradeList</v>
      </c>
      <c r="AL4" s="26" t="str">
        <f>IFERROR(__xludf.DUMMYFUNCTION("""COMPUTED_VALUE"""),"ActionOnTradeBuySellListView")</f>
        <v>ActionOnTradeBuySellListView</v>
      </c>
      <c r="AM4" s="26" t="str">
        <f>IFERROR(__xludf.DUMMYFUNCTION("""COMPUTED_VALUE"""),"ImportOnRB")</f>
        <v>ImportOnRB</v>
      </c>
      <c r="AN4" s="26" t="str">
        <f>IFERROR(__xludf.DUMMYFUNCTION("""COMPUTED_VALUE"""),"VerifyImportGridRBForInvalidSec")</f>
        <v>VerifyImportGridRBForInvalidSec</v>
      </c>
      <c r="AO4" s="26" t="str">
        <f>IFERROR(__xludf.DUMMYFUNCTION("""COMPUTED_VALUE"""),"VerifyImportGridRBForValidSec")</f>
        <v>VerifyImportGridRBForValidSec</v>
      </c>
      <c r="AP4" s="26" t="str">
        <f>IFERROR(__xludf.DUMMYFUNCTION("""COMPUTED_VALUE"""),"ActionOnRSAImportGrid")</f>
        <v>ActionOnRSAImportGrid</v>
      </c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  <c r="FM4" s="26"/>
      <c r="FN4" s="26"/>
      <c r="FO4" s="26"/>
      <c r="FP4" s="26"/>
      <c r="FQ4" s="26"/>
      <c r="FR4" s="26"/>
      <c r="FS4" s="26"/>
      <c r="FT4" s="26"/>
      <c r="FU4" s="26"/>
      <c r="FV4" s="26"/>
      <c r="FW4" s="26"/>
      <c r="FX4" s="26"/>
      <c r="FY4" s="26"/>
      <c r="FZ4" s="26"/>
      <c r="GA4" s="26"/>
      <c r="GB4" s="26"/>
      <c r="GC4" s="26"/>
      <c r="GD4" s="26"/>
      <c r="GE4" s="26"/>
      <c r="GF4" s="26"/>
      <c r="GG4" s="26"/>
      <c r="GH4" s="26"/>
      <c r="GI4" s="26"/>
      <c r="GJ4" s="26"/>
      <c r="GK4" s="26"/>
      <c r="GL4" s="26"/>
      <c r="GM4" s="26"/>
      <c r="GN4" s="26"/>
      <c r="GO4" s="26"/>
      <c r="GP4" s="26"/>
      <c r="GQ4" s="26"/>
      <c r="GR4" s="26"/>
      <c r="GS4" s="26"/>
      <c r="GT4" s="26"/>
      <c r="GU4" s="26"/>
      <c r="GV4" s="26"/>
      <c r="GW4" s="26"/>
      <c r="GX4" s="26"/>
      <c r="GY4" s="26"/>
      <c r="GZ4" s="26"/>
      <c r="HA4" s="26"/>
      <c r="HB4" s="26"/>
      <c r="HC4" s="26"/>
      <c r="HD4" s="26"/>
      <c r="HE4" s="26"/>
      <c r="HF4" s="26"/>
      <c r="HG4" s="26"/>
      <c r="HH4" s="26"/>
      <c r="HI4" s="26"/>
      <c r="HJ4" s="26"/>
      <c r="HK4" s="26"/>
      <c r="HL4" s="26"/>
      <c r="HM4" s="26"/>
      <c r="HN4" s="26"/>
      <c r="HO4" s="26"/>
      <c r="HP4" s="26"/>
      <c r="HQ4" s="26"/>
      <c r="HR4" s="26"/>
      <c r="HS4" s="26"/>
      <c r="HT4" s="26"/>
      <c r="HU4" s="26"/>
      <c r="HV4" s="26"/>
      <c r="HW4" s="26"/>
      <c r="HX4" s="26"/>
      <c r="HY4" s="26"/>
      <c r="HZ4" s="26"/>
      <c r="IA4" s="26"/>
      <c r="IB4" s="26"/>
      <c r="IC4" s="26"/>
      <c r="ID4" s="26"/>
      <c r="IE4" s="26"/>
      <c r="IF4" s="26"/>
      <c r="IG4" s="26"/>
      <c r="IH4" s="26"/>
      <c r="II4" s="26"/>
      <c r="IJ4" s="26"/>
      <c r="IK4" s="26"/>
      <c r="IL4" s="26"/>
      <c r="IM4" s="26"/>
      <c r="IN4" s="26"/>
      <c r="IO4" s="26"/>
      <c r="IP4" s="26"/>
      <c r="IQ4" s="26"/>
      <c r="IR4" s="26"/>
      <c r="IS4" s="26"/>
      <c r="IT4" s="26"/>
      <c r="IU4" s="26"/>
      <c r="IV4" s="26"/>
      <c r="IW4" s="26"/>
      <c r="IX4" s="26"/>
      <c r="IY4" s="26"/>
      <c r="IZ4" s="26"/>
      <c r="JA4" s="26"/>
      <c r="JB4" s="26"/>
      <c r="JC4" s="26"/>
      <c r="JD4" s="26"/>
      <c r="JE4" s="26"/>
      <c r="JF4" s="26"/>
      <c r="JG4" s="26"/>
      <c r="JH4" s="26"/>
      <c r="JI4" s="26"/>
      <c r="JJ4" s="26"/>
      <c r="JK4" s="26"/>
      <c r="JL4" s="26"/>
      <c r="JM4" s="26"/>
      <c r="JN4" s="26"/>
      <c r="JO4" s="26"/>
      <c r="JP4" s="26"/>
      <c r="JQ4" s="26"/>
      <c r="JR4" s="26"/>
      <c r="JS4" s="26"/>
      <c r="JT4" s="26"/>
      <c r="JU4" s="26"/>
      <c r="JV4" s="26"/>
      <c r="JW4" s="26"/>
      <c r="JX4" s="26"/>
      <c r="JY4" s="26"/>
      <c r="JZ4" s="26"/>
      <c r="KA4" s="26"/>
      <c r="KB4" s="26"/>
      <c r="KC4" s="26"/>
      <c r="KD4" s="26"/>
      <c r="KE4" s="26"/>
      <c r="KF4" s="26"/>
      <c r="KG4" s="26"/>
      <c r="KH4" s="26"/>
      <c r="KI4" s="26"/>
      <c r="KJ4" s="26"/>
      <c r="KK4" s="26"/>
      <c r="KL4" s="26"/>
      <c r="KM4" s="26"/>
      <c r="KN4" s="26"/>
      <c r="KO4" s="26"/>
      <c r="KP4" s="26"/>
      <c r="KQ4" s="26"/>
      <c r="KR4" s="26"/>
      <c r="KS4" s="26"/>
      <c r="KT4" s="26"/>
      <c r="KU4" s="26"/>
      <c r="KV4" s="26"/>
      <c r="KW4" s="26"/>
      <c r="KX4" s="26"/>
      <c r="KY4" s="26"/>
      <c r="KZ4" s="26"/>
      <c r="LA4" s="26"/>
      <c r="LB4" s="26"/>
      <c r="LC4" s="26"/>
      <c r="LD4" s="26"/>
      <c r="LE4" s="26"/>
      <c r="LF4" s="26"/>
      <c r="LG4" s="26"/>
      <c r="LH4" s="26"/>
      <c r="LI4" s="26"/>
      <c r="LJ4" s="26"/>
      <c r="LK4" s="26"/>
      <c r="LL4" s="26"/>
      <c r="LM4" s="26"/>
      <c r="LN4" s="26"/>
      <c r="LO4" s="26"/>
      <c r="LP4" s="26"/>
      <c r="LQ4" s="26"/>
      <c r="LR4" s="26"/>
      <c r="LS4" s="26"/>
      <c r="LT4" s="26"/>
      <c r="LU4" s="26"/>
      <c r="LV4" s="26"/>
      <c r="LW4" s="26"/>
      <c r="LX4" s="26"/>
      <c r="LY4" s="26"/>
      <c r="LZ4" s="26"/>
      <c r="MA4" s="26"/>
      <c r="MB4" s="26"/>
      <c r="MC4" s="26"/>
      <c r="MD4" s="26"/>
      <c r="ME4" s="26"/>
      <c r="MF4" s="26"/>
      <c r="MG4" s="26"/>
      <c r="MH4" s="26"/>
      <c r="MI4" s="26"/>
      <c r="MJ4" s="26"/>
      <c r="MK4" s="26"/>
      <c r="ML4" s="26"/>
      <c r="MM4" s="26"/>
      <c r="MN4" s="26"/>
      <c r="MO4" s="26"/>
      <c r="MP4" s="26"/>
      <c r="MQ4" s="26"/>
      <c r="MR4" s="26"/>
      <c r="MS4" s="26"/>
      <c r="MT4" s="26"/>
      <c r="MU4" s="26"/>
      <c r="MV4" s="26"/>
      <c r="MW4" s="26"/>
      <c r="MX4" s="26"/>
      <c r="MY4" s="26"/>
      <c r="MZ4" s="26"/>
      <c r="NA4" s="26"/>
      <c r="NB4" s="26"/>
      <c r="NC4" s="26"/>
      <c r="ND4" s="26"/>
      <c r="NE4" s="26"/>
      <c r="NF4" s="26"/>
      <c r="NG4" s="26"/>
      <c r="NH4" s="26"/>
      <c r="NI4" s="26"/>
      <c r="NJ4" s="26"/>
      <c r="NK4" s="26"/>
      <c r="NL4" s="26"/>
      <c r="NM4" s="26"/>
      <c r="NN4" s="26"/>
      <c r="NO4" s="26"/>
      <c r="NP4" s="26"/>
      <c r="NQ4" s="26"/>
      <c r="NR4" s="26"/>
      <c r="NS4" s="26"/>
      <c r="NT4" s="26"/>
      <c r="NU4" s="26"/>
      <c r="NV4" s="26"/>
      <c r="NW4" s="26"/>
      <c r="NX4" s="26"/>
      <c r="NY4" s="26"/>
      <c r="NZ4" s="26"/>
      <c r="OA4" s="26"/>
      <c r="OB4" s="26"/>
      <c r="OC4" s="26"/>
      <c r="OD4" s="26"/>
      <c r="OE4" s="26"/>
      <c r="OF4" s="26"/>
      <c r="OG4" s="26"/>
      <c r="OH4" s="26"/>
      <c r="OI4" s="26"/>
      <c r="OJ4" s="26"/>
      <c r="OK4" s="26"/>
      <c r="OL4" s="26"/>
      <c r="OM4" s="26"/>
      <c r="ON4" s="26"/>
      <c r="OO4" s="26"/>
      <c r="OP4" s="26"/>
      <c r="OQ4" s="26"/>
      <c r="OR4" s="26"/>
      <c r="OS4" s="26"/>
      <c r="OT4" s="26"/>
      <c r="OU4" s="26"/>
      <c r="OV4" s="26"/>
      <c r="OW4" s="26"/>
      <c r="OX4" s="26"/>
      <c r="OY4" s="26"/>
      <c r="OZ4" s="26"/>
      <c r="PA4" s="26"/>
      <c r="PB4" s="26"/>
      <c r="PC4" s="26"/>
      <c r="PD4" s="26"/>
      <c r="PE4" s="26"/>
      <c r="PF4" s="26"/>
      <c r="PG4" s="26"/>
      <c r="PH4" s="26"/>
      <c r="PI4" s="26"/>
      <c r="PJ4" s="26"/>
      <c r="PK4" s="26"/>
      <c r="PL4" s="26"/>
      <c r="PM4" s="26"/>
      <c r="PN4" s="26"/>
      <c r="PO4" s="26"/>
      <c r="PP4" s="26"/>
      <c r="PQ4" s="26"/>
      <c r="PR4" s="26"/>
      <c r="PS4" s="26"/>
      <c r="PT4" s="26"/>
      <c r="PU4" s="26"/>
      <c r="PV4" s="26"/>
      <c r="PW4" s="26"/>
      <c r="PX4" s="26"/>
      <c r="PY4" s="26"/>
      <c r="PZ4" s="26"/>
      <c r="QA4" s="26"/>
      <c r="QB4" s="26"/>
      <c r="QC4" s="26"/>
      <c r="QD4" s="26"/>
      <c r="QE4" s="26"/>
      <c r="QF4" s="26"/>
      <c r="QG4" s="26"/>
      <c r="QH4" s="26"/>
      <c r="QI4" s="26"/>
      <c r="QJ4" s="26"/>
      <c r="QK4" s="26"/>
      <c r="QL4" s="26"/>
      <c r="QM4" s="26"/>
      <c r="QN4" s="26"/>
      <c r="QO4" s="26"/>
      <c r="QP4" s="26"/>
      <c r="QQ4" s="26"/>
      <c r="QR4" s="26"/>
      <c r="QS4" s="26"/>
      <c r="QT4" s="26"/>
      <c r="QU4" s="26"/>
      <c r="QV4" s="26"/>
      <c r="QW4" s="26"/>
      <c r="QX4" s="26"/>
      <c r="QY4" s="26"/>
      <c r="QZ4" s="26"/>
      <c r="RA4" s="26"/>
      <c r="RB4" s="26"/>
      <c r="RC4" s="26"/>
      <c r="RD4" s="26"/>
      <c r="RE4" s="26"/>
      <c r="RF4" s="26"/>
      <c r="RG4" s="26"/>
      <c r="RH4" s="26"/>
      <c r="RI4" s="26"/>
      <c r="RJ4" s="26"/>
      <c r="RK4" s="26"/>
      <c r="RL4" s="26"/>
      <c r="RM4" s="26"/>
      <c r="RN4" s="26"/>
      <c r="RO4" s="26"/>
      <c r="RP4" s="26"/>
      <c r="RQ4" s="26"/>
      <c r="RR4" s="26"/>
      <c r="RS4" s="26"/>
      <c r="RT4" s="26"/>
      <c r="RU4" s="26"/>
      <c r="RV4" s="26"/>
      <c r="RW4" s="26"/>
      <c r="RX4" s="26"/>
      <c r="RY4" s="26"/>
      <c r="RZ4" s="26"/>
      <c r="SA4" s="26"/>
      <c r="SB4" s="26"/>
      <c r="SC4" s="26"/>
      <c r="SD4" s="26"/>
      <c r="SE4" s="26"/>
      <c r="SF4" s="26"/>
      <c r="SG4" s="26"/>
      <c r="SH4" s="26"/>
      <c r="SI4" s="26"/>
      <c r="SJ4" s="26"/>
      <c r="SK4" s="26"/>
      <c r="SL4" s="26"/>
      <c r="SM4" s="26"/>
      <c r="SN4" s="26"/>
      <c r="SO4" s="26"/>
      <c r="SP4" s="26"/>
      <c r="SQ4" s="26"/>
      <c r="SR4" s="26"/>
      <c r="SS4" s="26"/>
      <c r="ST4" s="26"/>
      <c r="SU4" s="26"/>
      <c r="SV4" s="26"/>
      <c r="SW4" s="26"/>
      <c r="SX4" s="26"/>
      <c r="SY4" s="26"/>
      <c r="SZ4" s="26"/>
      <c r="TA4" s="26"/>
      <c r="TB4" s="26"/>
      <c r="TC4" s="26"/>
      <c r="TD4" s="26"/>
      <c r="TE4" s="26"/>
      <c r="TF4" s="26"/>
      <c r="TG4" s="26"/>
      <c r="TH4" s="26"/>
      <c r="TI4" s="26"/>
      <c r="TJ4" s="26"/>
      <c r="TK4" s="26"/>
      <c r="TL4" s="26"/>
      <c r="TM4" s="26"/>
      <c r="TN4" s="26"/>
      <c r="TO4" s="26"/>
      <c r="TP4" s="26"/>
      <c r="TQ4" s="26"/>
      <c r="TR4" s="26"/>
      <c r="TS4" s="26"/>
      <c r="TT4" s="26"/>
      <c r="TU4" s="26"/>
      <c r="TV4" s="26"/>
      <c r="TW4" s="26"/>
      <c r="TX4" s="26"/>
      <c r="TY4" s="26"/>
      <c r="TZ4" s="26"/>
      <c r="UA4" s="26"/>
      <c r="UB4" s="26"/>
      <c r="UC4" s="26"/>
      <c r="UD4" s="26"/>
      <c r="UE4" s="26"/>
      <c r="UF4" s="26"/>
      <c r="UG4" s="26"/>
      <c r="UH4" s="26"/>
      <c r="UI4" s="26"/>
      <c r="UJ4" s="26"/>
      <c r="UK4" s="26"/>
      <c r="UL4" s="26"/>
      <c r="UM4" s="26"/>
      <c r="UN4" s="26"/>
      <c r="UO4" s="26"/>
      <c r="UP4" s="26"/>
      <c r="UQ4" s="26"/>
      <c r="UR4" s="26"/>
      <c r="US4" s="26"/>
      <c r="UT4" s="26"/>
      <c r="UU4" s="26"/>
      <c r="UV4" s="26"/>
      <c r="UW4" s="26"/>
      <c r="UX4" s="26"/>
      <c r="UY4" s="26"/>
      <c r="UZ4" s="26"/>
      <c r="VA4" s="26"/>
      <c r="VB4" s="26"/>
      <c r="VC4" s="26"/>
      <c r="VD4" s="26"/>
      <c r="VE4" s="26"/>
      <c r="VF4" s="26"/>
      <c r="VG4" s="26"/>
      <c r="VH4" s="26"/>
      <c r="VI4" s="26"/>
      <c r="VJ4" s="26"/>
      <c r="VK4" s="26"/>
      <c r="VL4" s="26"/>
      <c r="VM4" s="26"/>
      <c r="VN4" s="26"/>
      <c r="VO4" s="26"/>
      <c r="VP4" s="26"/>
      <c r="VQ4" s="26"/>
      <c r="VR4" s="26"/>
      <c r="VS4" s="26"/>
      <c r="VT4" s="26"/>
      <c r="VU4" s="26"/>
      <c r="VV4" s="26"/>
      <c r="VW4" s="26"/>
      <c r="VX4" s="26"/>
      <c r="VY4" s="26"/>
      <c r="VZ4" s="26"/>
      <c r="WA4" s="26"/>
      <c r="WB4" s="26"/>
      <c r="WC4" s="26"/>
      <c r="WD4" s="26"/>
      <c r="WE4" s="26"/>
      <c r="WF4" s="26"/>
      <c r="WG4" s="26"/>
      <c r="WH4" s="26"/>
      <c r="WI4" s="26"/>
      <c r="WJ4" s="26"/>
      <c r="WK4" s="26"/>
      <c r="WL4" s="26"/>
      <c r="WM4" s="26"/>
      <c r="WN4" s="26"/>
      <c r="WO4" s="26"/>
      <c r="WP4" s="26"/>
      <c r="WQ4" s="26"/>
      <c r="WR4" s="26"/>
      <c r="WS4" s="26"/>
      <c r="WT4" s="26"/>
      <c r="WU4" s="26"/>
      <c r="WV4" s="26"/>
      <c r="WW4" s="26"/>
      <c r="WX4" s="26"/>
      <c r="WY4" s="26"/>
      <c r="WZ4" s="26"/>
      <c r="XA4" s="26"/>
      <c r="XB4" s="26"/>
      <c r="XC4" s="26"/>
      <c r="XD4" s="26"/>
      <c r="XE4" s="26"/>
      <c r="XF4" s="26"/>
      <c r="XG4" s="26"/>
      <c r="XH4" s="26"/>
      <c r="XI4" s="26"/>
      <c r="XJ4" s="26"/>
      <c r="XK4" s="26"/>
      <c r="XL4" s="26"/>
      <c r="XM4" s="26"/>
      <c r="XN4" s="26"/>
      <c r="XO4" s="26"/>
      <c r="XP4" s="26"/>
      <c r="XQ4" s="26"/>
      <c r="XR4" s="26"/>
      <c r="XS4" s="26"/>
      <c r="XT4" s="26"/>
      <c r="XU4" s="26"/>
      <c r="XV4" s="26"/>
      <c r="XW4" s="26"/>
      <c r="XX4" s="26"/>
      <c r="XY4" s="26"/>
      <c r="XZ4" s="26"/>
      <c r="YA4" s="26"/>
      <c r="YB4" s="26"/>
      <c r="YC4" s="26"/>
      <c r="YD4" s="26"/>
      <c r="YE4" s="26"/>
      <c r="YF4" s="26"/>
      <c r="YG4" s="26"/>
      <c r="YH4" s="26"/>
      <c r="YI4" s="26"/>
      <c r="YJ4" s="26"/>
      <c r="YK4" s="26"/>
      <c r="YL4" s="26"/>
      <c r="YM4" s="26"/>
      <c r="YN4" s="26"/>
      <c r="YO4" s="26"/>
      <c r="YP4" s="26"/>
      <c r="YQ4" s="26"/>
      <c r="YR4" s="26"/>
      <c r="YS4" s="26"/>
      <c r="YT4" s="26"/>
      <c r="YU4" s="26"/>
      <c r="YV4" s="26"/>
      <c r="YW4" s="26"/>
      <c r="YX4" s="26"/>
      <c r="YY4" s="26"/>
      <c r="YZ4" s="26"/>
      <c r="ZA4" s="26"/>
      <c r="ZB4" s="26"/>
      <c r="ZC4" s="26"/>
      <c r="ZD4" s="26"/>
      <c r="ZE4" s="26"/>
      <c r="ZF4" s="26"/>
      <c r="ZG4" s="26"/>
      <c r="ZH4" s="26"/>
      <c r="ZI4" s="26"/>
      <c r="ZJ4" s="26"/>
      <c r="ZK4" s="26"/>
      <c r="ZL4" s="26"/>
      <c r="ZM4" s="26"/>
      <c r="ZN4" s="26"/>
      <c r="ZO4" s="26"/>
      <c r="ZP4" s="26"/>
      <c r="ZQ4" s="26"/>
      <c r="ZR4" s="26"/>
      <c r="ZS4" s="26"/>
      <c r="ZT4" s="26"/>
      <c r="ZU4" s="26"/>
      <c r="ZV4" s="26"/>
      <c r="ZW4" s="26"/>
      <c r="ZX4" s="26"/>
      <c r="ZY4" s="26"/>
      <c r="ZZ4" s="26"/>
      <c r="AAA4" s="26"/>
      <c r="AAB4" s="26"/>
      <c r="AAC4" s="26"/>
      <c r="AAD4" s="26"/>
      <c r="AAE4" s="26"/>
      <c r="AAF4" s="26"/>
      <c r="AAG4" s="26"/>
      <c r="AAH4" s="26"/>
      <c r="AAI4" s="26"/>
      <c r="AAJ4" s="26"/>
      <c r="AAK4" s="26"/>
      <c r="AAL4" s="26"/>
      <c r="AAM4" s="26"/>
      <c r="AAN4" s="26"/>
      <c r="AAO4" s="26"/>
      <c r="AAP4" s="26"/>
      <c r="AAQ4" s="26"/>
      <c r="AAR4" s="26"/>
      <c r="AAS4" s="26"/>
      <c r="AAT4" s="26"/>
      <c r="AAU4" s="26"/>
      <c r="AAV4" s="26"/>
      <c r="AAW4" s="26"/>
      <c r="AAX4" s="26"/>
      <c r="AAY4" s="26"/>
      <c r="AAZ4" s="26"/>
      <c r="ABA4" s="26"/>
      <c r="ABB4" s="26"/>
      <c r="ABC4" s="26"/>
      <c r="ABD4" s="26"/>
      <c r="ABE4" s="26"/>
      <c r="ABF4" s="26"/>
      <c r="ABG4" s="26"/>
      <c r="ABH4" s="26"/>
      <c r="ABI4" s="26"/>
      <c r="ABJ4" s="26"/>
      <c r="ABK4" s="26"/>
      <c r="ABL4" s="26"/>
      <c r="ABM4" s="26"/>
      <c r="ABN4" s="26"/>
      <c r="ABO4" s="26"/>
      <c r="ABP4" s="26"/>
      <c r="ABQ4" s="26"/>
      <c r="ABR4" s="26"/>
      <c r="ABS4" s="26"/>
      <c r="ABT4" s="26"/>
      <c r="ABU4" s="26"/>
      <c r="ABV4" s="26"/>
      <c r="ABW4" s="26"/>
      <c r="ABX4" s="26"/>
      <c r="ABY4" s="26"/>
      <c r="ABZ4" s="26"/>
      <c r="ACA4" s="26"/>
      <c r="ACB4" s="26"/>
      <c r="ACC4" s="26"/>
      <c r="ACD4" s="26"/>
      <c r="ACE4" s="26"/>
      <c r="ACF4" s="26"/>
      <c r="ACG4" s="26"/>
      <c r="ACH4" s="26"/>
      <c r="ACI4" s="26"/>
      <c r="ACJ4" s="26"/>
      <c r="ACK4" s="26"/>
      <c r="ACL4" s="26"/>
      <c r="ACM4" s="26"/>
      <c r="ACN4" s="26"/>
      <c r="ACO4" s="26"/>
      <c r="ACP4" s="26"/>
      <c r="ACQ4" s="26"/>
      <c r="ACR4" s="26"/>
      <c r="ACS4" s="26"/>
      <c r="ACT4" s="26"/>
      <c r="ACU4" s="26"/>
      <c r="ACV4" s="26"/>
      <c r="ACW4" s="26"/>
      <c r="ACX4" s="26"/>
      <c r="ACY4" s="26"/>
      <c r="ACZ4" s="26"/>
      <c r="ADA4" s="26"/>
      <c r="ADB4" s="26"/>
      <c r="ADC4" s="26"/>
      <c r="ADD4" s="26"/>
      <c r="ADE4" s="26"/>
      <c r="ADF4" s="26"/>
      <c r="ADG4" s="26"/>
      <c r="ADH4" s="26"/>
      <c r="ADI4" s="26"/>
      <c r="ADJ4" s="26"/>
      <c r="ADK4" s="26"/>
      <c r="ADL4" s="26"/>
      <c r="ADM4" s="26"/>
      <c r="ADN4" s="26"/>
      <c r="ADO4" s="26"/>
      <c r="ADP4" s="26"/>
      <c r="ADQ4" s="26"/>
      <c r="ADR4" s="26"/>
      <c r="ADS4" s="26"/>
      <c r="ADT4" s="26"/>
      <c r="ADU4" s="26"/>
      <c r="ADV4" s="26"/>
      <c r="ADW4" s="26"/>
      <c r="ADX4" s="26"/>
      <c r="ADY4" s="26"/>
      <c r="ADZ4" s="26"/>
      <c r="AEA4" s="26"/>
      <c r="AEB4" s="26"/>
      <c r="AEC4" s="26"/>
      <c r="AED4" s="26"/>
      <c r="AEE4" s="26"/>
      <c r="AEF4" s="26"/>
      <c r="AEG4" s="26"/>
      <c r="AEH4" s="26"/>
      <c r="AEI4" s="26"/>
      <c r="AEJ4" s="26"/>
      <c r="AEK4" s="26"/>
      <c r="AEL4" s="26"/>
      <c r="AEM4" s="26"/>
      <c r="AEN4" s="26"/>
      <c r="AEO4" s="26"/>
      <c r="AEP4" s="26"/>
      <c r="AEQ4" s="26"/>
      <c r="AER4" s="26"/>
      <c r="AES4" s="26"/>
      <c r="AET4" s="26"/>
      <c r="AEU4" s="26"/>
      <c r="AEV4" s="26"/>
      <c r="AEW4" s="26"/>
      <c r="AEX4" s="26"/>
      <c r="AEY4" s="26"/>
      <c r="AEZ4" s="26"/>
      <c r="AFA4" s="26"/>
      <c r="AFB4" s="26"/>
      <c r="AFC4" s="26"/>
      <c r="AFD4" s="26"/>
      <c r="AFE4" s="26"/>
      <c r="AFF4" s="26"/>
      <c r="AFG4" s="26"/>
      <c r="AFH4" s="26"/>
      <c r="AFI4" s="26"/>
      <c r="AFJ4" s="26"/>
      <c r="AFK4" s="26"/>
      <c r="AFL4" s="26"/>
      <c r="AFM4" s="26"/>
      <c r="AFN4" s="26"/>
      <c r="AFO4" s="26"/>
      <c r="AFP4" s="26"/>
      <c r="AFQ4" s="26"/>
      <c r="AFR4" s="26"/>
      <c r="AFS4" s="26"/>
      <c r="AFT4" s="26"/>
      <c r="AFU4" s="26"/>
      <c r="AFV4" s="26"/>
      <c r="AFW4" s="26"/>
      <c r="AFX4" s="26"/>
      <c r="AFY4" s="26"/>
      <c r="AFZ4" s="26"/>
      <c r="AGA4" s="26"/>
      <c r="AGB4" s="26"/>
      <c r="AGC4" s="26"/>
      <c r="AGD4" s="26"/>
      <c r="AGE4" s="26"/>
      <c r="AGF4" s="26"/>
      <c r="AGG4" s="26"/>
      <c r="AGH4" s="26"/>
      <c r="AGI4" s="26"/>
      <c r="AGJ4" s="26"/>
      <c r="AGK4" s="26"/>
      <c r="AGL4" s="26"/>
      <c r="AGM4" s="26"/>
      <c r="AGN4" s="26"/>
      <c r="AGO4" s="26"/>
      <c r="AGP4" s="26"/>
      <c r="AGQ4" s="26"/>
      <c r="AGR4" s="26"/>
      <c r="AGS4" s="26"/>
      <c r="AGT4" s="26"/>
      <c r="AGU4" s="26"/>
      <c r="AGV4" s="26"/>
      <c r="AGW4" s="26"/>
      <c r="AGX4" s="26"/>
      <c r="AGY4" s="26"/>
      <c r="AGZ4" s="26"/>
      <c r="AHA4" s="26"/>
      <c r="AHB4" s="26"/>
      <c r="AHC4" s="26"/>
      <c r="AHD4" s="26"/>
      <c r="AHE4" s="26"/>
      <c r="AHF4" s="26"/>
      <c r="AHG4" s="26"/>
      <c r="AHH4" s="26"/>
      <c r="AHI4" s="26"/>
      <c r="AHJ4" s="26"/>
      <c r="AHK4" s="26"/>
      <c r="AHL4" s="26"/>
      <c r="AHM4" s="26"/>
      <c r="AHN4" s="26"/>
      <c r="AHO4" s="26"/>
      <c r="AHP4" s="26"/>
      <c r="AHQ4" s="26"/>
      <c r="AHR4" s="26"/>
      <c r="AHS4" s="26"/>
      <c r="AHT4" s="26"/>
      <c r="AHU4" s="26"/>
      <c r="AHV4" s="26"/>
      <c r="AHW4" s="26"/>
      <c r="AHX4" s="26"/>
      <c r="AHY4" s="26"/>
      <c r="AHZ4" s="26"/>
      <c r="AIA4" s="26"/>
      <c r="AIB4" s="26"/>
      <c r="AIC4" s="26"/>
      <c r="AID4" s="26"/>
      <c r="AIE4" s="26"/>
      <c r="AIF4" s="26"/>
      <c r="AIG4" s="26"/>
      <c r="AIH4" s="26"/>
      <c r="AII4" s="26"/>
      <c r="AIJ4" s="26"/>
      <c r="AIK4" s="26"/>
      <c r="AIL4" s="26"/>
      <c r="AIM4" s="26"/>
      <c r="AIN4" s="26"/>
      <c r="AIO4" s="26"/>
      <c r="AIP4" s="26"/>
      <c r="AIQ4" s="26"/>
      <c r="AIR4" s="26"/>
      <c r="AIS4" s="26"/>
      <c r="AIT4" s="26"/>
      <c r="AIU4" s="26"/>
      <c r="AIV4" s="26"/>
      <c r="AIW4" s="26"/>
      <c r="AIX4" s="26"/>
      <c r="AIY4" s="26"/>
      <c r="AIZ4" s="26"/>
      <c r="AJA4" s="26"/>
      <c r="AJB4" s="26"/>
      <c r="AJC4" s="26"/>
      <c r="AJD4" s="26"/>
      <c r="AJE4" s="26"/>
      <c r="AJF4" s="26"/>
      <c r="AJG4" s="26"/>
      <c r="AJH4" s="26"/>
      <c r="AJI4" s="26"/>
      <c r="AJJ4" s="26"/>
      <c r="AJK4" s="26"/>
      <c r="AJL4" s="26"/>
      <c r="AJM4" s="26"/>
      <c r="AJN4" s="26"/>
      <c r="AJO4" s="26"/>
      <c r="AJP4" s="26"/>
      <c r="AJQ4" s="26"/>
      <c r="AJR4" s="26"/>
      <c r="AJS4" s="26"/>
      <c r="AJT4" s="26"/>
      <c r="AJU4" s="26"/>
      <c r="AJV4" s="26"/>
      <c r="AJW4" s="26"/>
      <c r="AJX4" s="26"/>
      <c r="AJY4" s="26"/>
      <c r="AJZ4" s="26"/>
      <c r="AKA4" s="26"/>
      <c r="AKB4" s="26"/>
      <c r="AKC4" s="26"/>
      <c r="AKD4" s="26"/>
      <c r="AKE4" s="26"/>
      <c r="AKF4" s="26"/>
      <c r="AKG4" s="26"/>
      <c r="AKH4" s="26"/>
      <c r="AKI4" s="26"/>
      <c r="AKJ4" s="26"/>
      <c r="AKK4" s="26"/>
      <c r="AKL4" s="26"/>
      <c r="AKM4" s="26"/>
      <c r="AKN4" s="26"/>
      <c r="AKO4" s="26"/>
      <c r="AKP4" s="26"/>
      <c r="AKQ4" s="26"/>
      <c r="AKR4" s="26"/>
      <c r="AKS4" s="26"/>
      <c r="AKT4" s="26"/>
      <c r="AKU4" s="26"/>
      <c r="AKV4" s="26"/>
      <c r="AKW4" s="26"/>
      <c r="AKX4" s="26"/>
      <c r="AKY4" s="26"/>
      <c r="AKZ4" s="26"/>
      <c r="ALA4" s="26"/>
      <c r="ALB4" s="26"/>
      <c r="ALC4" s="26"/>
      <c r="ALD4" s="26"/>
      <c r="ALE4" s="26"/>
      <c r="ALF4" s="26"/>
      <c r="ALG4" s="26"/>
      <c r="ALH4" s="26"/>
      <c r="ALI4" s="26"/>
      <c r="ALJ4" s="26"/>
      <c r="ALK4" s="26"/>
      <c r="ALL4" s="26"/>
      <c r="ALM4" s="26"/>
      <c r="ALN4" s="26"/>
      <c r="ALO4" s="26"/>
      <c r="ALP4" s="26"/>
      <c r="ALQ4" s="26"/>
      <c r="ALR4" s="26"/>
      <c r="ALS4" s="26"/>
      <c r="ALT4" s="26"/>
      <c r="ALU4" s="26"/>
      <c r="ALV4" s="26"/>
      <c r="ALW4" s="26"/>
      <c r="ALX4" s="26"/>
      <c r="ALY4" s="26"/>
      <c r="ALZ4" s="26"/>
      <c r="AMA4" s="26"/>
      <c r="AMB4" s="26"/>
      <c r="AMC4" s="26"/>
      <c r="AMD4" s="26"/>
      <c r="AME4" s="26"/>
      <c r="AMF4" s="26"/>
      <c r="AMG4" s="26"/>
      <c r="AMH4" s="26"/>
      <c r="AMI4" s="26"/>
      <c r="AMJ4" s="26"/>
      <c r="AMK4" s="26"/>
      <c r="AML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IFERROR(__xludf.DUMMYFUNCTION("""COMPUTED_VALUE"""),"Lock/Unlock")</f>
        <v>Lock/Unlock</v>
      </c>
      <c r="C5" s="28" t="str">
        <f>IFERROR(__xludf.DUMMYFUNCTION("""COMPUTED_VALUE"""),"Account")</f>
        <v>Account</v>
      </c>
      <c r="D5" s="28" t="str">
        <f>IFERROR(__xludf.DUMMYFUNCTION("""COMPUTED_VALUE"""),"Symbol")</f>
        <v>Symbol</v>
      </c>
      <c r="E5" s="28" t="str">
        <f>IFERROR(__xludf.DUMMYFUNCTION("""COMPUTED_VALUE"""),"Asset")</f>
        <v>Asset</v>
      </c>
      <c r="F5" s="29" t="str">
        <f>IFERROR(__xludf.DUMMYFUNCTION("""COMPUTED_VALUE"""),"Side")</f>
        <v>Side</v>
      </c>
      <c r="G5" s="28" t="str">
        <f>IFERROR(__xludf.DUMMYFUNCTION("""COMPUTED_VALUE"""),"Price (Local)")</f>
        <v>Price (Local)</v>
      </c>
      <c r="H5" s="28" t="str">
        <f>IFERROR(__xludf.DUMMYFUNCTION("""COMPUTED_VALUE"""),"Price (Base)")</f>
        <v>Price (Base)</v>
      </c>
      <c r="I5" s="28" t="str">
        <f>IFERROR(__xludf.DUMMYFUNCTION("""COMPUTED_VALUE"""),"FX Rate")</f>
        <v>FX Rate</v>
      </c>
      <c r="J5" s="28" t="str">
        <f>IFERROR(__xludf.DUMMYFUNCTION("""COMPUTED_VALUE"""),"Current %")</f>
        <v>Current %</v>
      </c>
      <c r="K5" s="28" t="str">
        <f>IFERROR(__xludf.DUMMYFUNCTION("""COMPUTED_VALUE"""),"Current Position")</f>
        <v>Current Position</v>
      </c>
      <c r="L5" s="28" t="str">
        <f>IFERROR(__xludf.DUMMYFUNCTION("""COMPUTED_VALUE"""),"Current Market Value (Local)")</f>
        <v>Current Market Value (Local)</v>
      </c>
      <c r="M5" s="28" t="str">
        <f>IFERROR(__xludf.DUMMYFUNCTION("""COMPUTED_VALUE"""),"Current Market Value")</f>
        <v>Current Market Value</v>
      </c>
      <c r="N5" s="28" t="str">
        <f>IFERROR(__xludf.DUMMYFUNCTION("""COMPUTED_VALUE"""),"Target %")</f>
        <v>Target %</v>
      </c>
      <c r="O5" s="28" t="str">
        <f>IFERROR(__xludf.DUMMYFUNCTION("""COMPUTED_VALUE"""),"Target Position")</f>
        <v>Target Position</v>
      </c>
      <c r="P5" s="28" t="str">
        <f>IFERROR(__xludf.DUMMYFUNCTION("""COMPUTED_VALUE"""),"Target Market Value (Local)")</f>
        <v>Target Market Value (Local)</v>
      </c>
      <c r="Q5" s="28" t="str">
        <f>IFERROR(__xludf.DUMMYFUNCTION("""COMPUTED_VALUE"""),"Target Market Value")</f>
        <v>Target Market Value</v>
      </c>
      <c r="R5" s="28" t="str">
        <f>IFERROR(__xludf.DUMMYFUNCTION("""COMPUTED_VALUE"""),"Buy/Sell Qty")</f>
        <v>Buy/Sell Qty</v>
      </c>
      <c r="S5" s="28" t="str">
        <f>IFERROR(__xludf.DUMMYFUNCTION("""COMPUTED_VALUE"""),"Buy/Sell Value")</f>
        <v>Buy/Sell Value</v>
      </c>
      <c r="T5" s="30" t="str">
        <f>IFERROR(__xludf.DUMMYFUNCTION("""COMPUTED_VALUE"""),"Sector")</f>
        <v>Sector</v>
      </c>
      <c r="U5" s="30" t="str">
        <f>IFERROR(__xludf.DUMMYFUNCTION("""COMPUTED_VALUE"""),"FactSet Symbol")</f>
        <v>FactSet Symbol</v>
      </c>
      <c r="V5" s="30" t="str">
        <f>IFERROR(__xludf.DUMMYFUNCTION("""COMPUTED_VALUE"""),"ACTIV Symbol")</f>
        <v>ACTIV Symbol</v>
      </c>
      <c r="W5" s="30" t="str">
        <f>IFERROR(__xludf.DUMMYFUNCTION("""COMPUTED_VALUE"""),"Round Lot")</f>
        <v>Round Lot</v>
      </c>
      <c r="X5" s="30" t="str">
        <f>IFERROR(__xludf.DUMMYFUNCTION("""COMPUTED_VALUE"""),"Bloomberg Symbol")</f>
        <v>Bloomberg Symbol</v>
      </c>
      <c r="Y5" s="30" t="str">
        <f>IFERROR(__xludf.DUMMYFUNCTION("""COMPUTED_VALUE"""),"Verify On SM")</f>
        <v>Verify On SM</v>
      </c>
      <c r="Z5" s="30" t="str">
        <f>IFERROR(__xludf.DUMMYFUNCTION("""COMPUTED_VALUE"""),"Columns To Verify On SM")</f>
        <v>Columns To Verify On SM</v>
      </c>
      <c r="AA5" s="30" t="str">
        <f>IFERROR(__xludf.DUMMYFUNCTION("""COMPUTED_VALUE"""),"% Change")</f>
        <v>% Change</v>
      </c>
      <c r="AB5" s="30" t="str">
        <f>IFERROR(__xludf.DUMMYFUNCTION("""COMPUTED_VALUE"""),"Tolerance %")</f>
        <v>Tolerance %</v>
      </c>
      <c r="AC5" s="30" t="str">
        <f>IFERROR(__xludf.DUMMYFUNCTION("""COMPUTED_VALUE"""),"Model %")</f>
        <v>Model %</v>
      </c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  <c r="EY5" s="30"/>
      <c r="EZ5" s="30"/>
      <c r="FA5" s="30"/>
      <c r="FB5" s="30"/>
      <c r="FC5" s="30"/>
      <c r="FD5" s="30"/>
      <c r="FE5" s="30"/>
      <c r="FF5" s="30"/>
      <c r="FG5" s="30"/>
      <c r="FH5" s="30"/>
      <c r="FI5" s="30"/>
      <c r="FJ5" s="30"/>
      <c r="FK5" s="30"/>
      <c r="FL5" s="30"/>
      <c r="FM5" s="30"/>
      <c r="FN5" s="30"/>
      <c r="FO5" s="30"/>
      <c r="FP5" s="30"/>
      <c r="FQ5" s="30"/>
      <c r="FR5" s="30"/>
      <c r="FS5" s="30"/>
      <c r="FT5" s="30"/>
      <c r="FU5" s="30"/>
      <c r="FV5" s="30"/>
      <c r="FW5" s="30"/>
      <c r="FX5" s="30"/>
      <c r="FY5" s="30"/>
      <c r="FZ5" s="30"/>
      <c r="GA5" s="30"/>
      <c r="GB5" s="30"/>
      <c r="GC5" s="30"/>
      <c r="GD5" s="30"/>
      <c r="GE5" s="30"/>
      <c r="GF5" s="30"/>
      <c r="GG5" s="30"/>
      <c r="GH5" s="30"/>
      <c r="GI5" s="30"/>
      <c r="GJ5" s="30"/>
      <c r="GK5" s="30"/>
      <c r="GL5" s="30"/>
      <c r="GM5" s="30"/>
      <c r="GN5" s="30"/>
      <c r="GO5" s="30"/>
      <c r="GP5" s="30"/>
      <c r="GQ5" s="30"/>
      <c r="GR5" s="30"/>
      <c r="GS5" s="30"/>
      <c r="GT5" s="30"/>
      <c r="GU5" s="30"/>
      <c r="GV5" s="30"/>
      <c r="GW5" s="30"/>
      <c r="GX5" s="30"/>
      <c r="GY5" s="30"/>
      <c r="GZ5" s="30"/>
      <c r="HA5" s="30"/>
      <c r="HB5" s="30"/>
      <c r="HC5" s="30"/>
      <c r="HD5" s="30"/>
      <c r="HE5" s="30"/>
      <c r="HF5" s="30"/>
      <c r="HG5" s="30"/>
      <c r="HH5" s="30"/>
      <c r="HI5" s="30"/>
      <c r="HJ5" s="30"/>
      <c r="HK5" s="30"/>
      <c r="HL5" s="30"/>
      <c r="HM5" s="30"/>
      <c r="HN5" s="30"/>
      <c r="HO5" s="30"/>
      <c r="HP5" s="30"/>
      <c r="HQ5" s="30"/>
      <c r="HR5" s="30"/>
      <c r="HS5" s="30"/>
      <c r="HT5" s="30"/>
      <c r="HU5" s="30"/>
      <c r="HV5" s="30"/>
      <c r="HW5" s="30"/>
      <c r="HX5" s="30"/>
      <c r="HY5" s="30"/>
      <c r="HZ5" s="30"/>
      <c r="IA5" s="30"/>
      <c r="IB5" s="30"/>
      <c r="IC5" s="30"/>
      <c r="ID5" s="30"/>
      <c r="IE5" s="30"/>
      <c r="IF5" s="30"/>
      <c r="IG5" s="30"/>
      <c r="IH5" s="30"/>
      <c r="II5" s="30"/>
      <c r="IJ5" s="30"/>
      <c r="IK5" s="30"/>
      <c r="IL5" s="30"/>
      <c r="IM5" s="30"/>
      <c r="IN5" s="30"/>
      <c r="IO5" s="30"/>
      <c r="IP5" s="30"/>
      <c r="IQ5" s="30"/>
      <c r="IR5" s="30"/>
      <c r="IS5" s="30"/>
      <c r="IT5" s="30"/>
      <c r="IU5" s="30"/>
      <c r="IV5" s="30"/>
      <c r="IW5" s="30"/>
      <c r="IX5" s="30"/>
      <c r="IY5" s="30"/>
      <c r="IZ5" s="30"/>
      <c r="JA5" s="30"/>
      <c r="JB5" s="30"/>
      <c r="JC5" s="30"/>
      <c r="JD5" s="30"/>
      <c r="JE5" s="30"/>
      <c r="JF5" s="30"/>
      <c r="JG5" s="30"/>
      <c r="JH5" s="30"/>
      <c r="JI5" s="30"/>
      <c r="JJ5" s="30"/>
      <c r="JK5" s="30"/>
      <c r="JL5" s="30"/>
      <c r="JM5" s="30"/>
      <c r="JN5" s="30"/>
      <c r="JO5" s="30"/>
      <c r="JP5" s="30"/>
      <c r="JQ5" s="30"/>
      <c r="JR5" s="30"/>
      <c r="JS5" s="30"/>
      <c r="JT5" s="30"/>
      <c r="JU5" s="30"/>
      <c r="JV5" s="30"/>
      <c r="JW5" s="30"/>
      <c r="JX5" s="30"/>
      <c r="JY5" s="30"/>
      <c r="JZ5" s="30"/>
      <c r="KA5" s="30"/>
      <c r="KB5" s="30"/>
      <c r="KC5" s="30"/>
      <c r="KD5" s="30"/>
      <c r="KE5" s="30"/>
      <c r="KF5" s="30"/>
      <c r="KG5" s="30"/>
      <c r="KH5" s="30"/>
      <c r="KI5" s="30"/>
      <c r="KJ5" s="30"/>
      <c r="KK5" s="30"/>
      <c r="KL5" s="30"/>
      <c r="KM5" s="30"/>
      <c r="KN5" s="30"/>
      <c r="KO5" s="30"/>
      <c r="KP5" s="30"/>
      <c r="KQ5" s="30"/>
      <c r="KR5" s="30"/>
      <c r="KS5" s="30"/>
      <c r="KT5" s="30"/>
      <c r="KU5" s="30"/>
      <c r="KV5" s="30"/>
      <c r="KW5" s="30"/>
      <c r="KX5" s="30"/>
      <c r="KY5" s="30"/>
      <c r="KZ5" s="30"/>
      <c r="LA5" s="30"/>
      <c r="LB5" s="30"/>
      <c r="LC5" s="30"/>
      <c r="LD5" s="30"/>
      <c r="LE5" s="30"/>
      <c r="LF5" s="30"/>
      <c r="LG5" s="30"/>
      <c r="LH5" s="30"/>
      <c r="LI5" s="30"/>
      <c r="LJ5" s="30"/>
      <c r="LK5" s="30"/>
      <c r="LL5" s="30"/>
      <c r="LM5" s="30"/>
      <c r="LN5" s="30"/>
      <c r="LO5" s="30"/>
      <c r="LP5" s="30"/>
      <c r="LQ5" s="30"/>
      <c r="LR5" s="30"/>
      <c r="LS5" s="30"/>
      <c r="LT5" s="30"/>
      <c r="LU5" s="30"/>
      <c r="LV5" s="30"/>
      <c r="LW5" s="30"/>
      <c r="LX5" s="30"/>
      <c r="LY5" s="30"/>
      <c r="LZ5" s="30"/>
      <c r="MA5" s="30"/>
      <c r="MB5" s="30"/>
      <c r="MC5" s="30"/>
      <c r="MD5" s="30"/>
      <c r="ME5" s="30"/>
      <c r="MF5" s="30"/>
      <c r="MG5" s="30"/>
      <c r="MH5" s="30"/>
      <c r="MI5" s="30"/>
      <c r="MJ5" s="30"/>
      <c r="MK5" s="30"/>
      <c r="ML5" s="30"/>
      <c r="MM5" s="30"/>
      <c r="MN5" s="30"/>
      <c r="MO5" s="30"/>
      <c r="MP5" s="30"/>
      <c r="MQ5" s="30"/>
      <c r="MR5" s="30"/>
      <c r="MS5" s="30"/>
      <c r="MT5" s="30"/>
      <c r="MU5" s="30"/>
      <c r="MV5" s="30"/>
      <c r="MW5" s="30"/>
      <c r="MX5" s="30"/>
      <c r="MY5" s="30"/>
      <c r="MZ5" s="30"/>
      <c r="NA5" s="30"/>
      <c r="NB5" s="30"/>
      <c r="NC5" s="30"/>
      <c r="ND5" s="30"/>
      <c r="NE5" s="30"/>
      <c r="NF5" s="30"/>
      <c r="NG5" s="30"/>
      <c r="NH5" s="30"/>
      <c r="NI5" s="30"/>
      <c r="NJ5" s="30"/>
      <c r="NK5" s="30"/>
      <c r="NL5" s="30"/>
      <c r="NM5" s="30"/>
      <c r="NN5" s="30"/>
      <c r="NO5" s="30"/>
      <c r="NP5" s="30"/>
      <c r="NQ5" s="30"/>
      <c r="NR5" s="30"/>
      <c r="NS5" s="30"/>
      <c r="NT5" s="30"/>
      <c r="NU5" s="30"/>
      <c r="NV5" s="30"/>
      <c r="NW5" s="30"/>
      <c r="NX5" s="30"/>
      <c r="NY5" s="30"/>
      <c r="NZ5" s="30"/>
      <c r="OA5" s="30"/>
      <c r="OB5" s="30"/>
      <c r="OC5" s="30"/>
      <c r="OD5" s="30"/>
      <c r="OE5" s="30"/>
      <c r="OF5" s="30"/>
      <c r="OG5" s="30"/>
      <c r="OH5" s="30"/>
      <c r="OI5" s="30"/>
      <c r="OJ5" s="30"/>
      <c r="OK5" s="30"/>
      <c r="OL5" s="30"/>
      <c r="OM5" s="30"/>
      <c r="ON5" s="30"/>
      <c r="OO5" s="30"/>
      <c r="OP5" s="30"/>
      <c r="OQ5" s="30"/>
      <c r="OR5" s="30"/>
      <c r="OS5" s="30"/>
      <c r="OT5" s="30"/>
      <c r="OU5" s="30"/>
      <c r="OV5" s="30"/>
      <c r="OW5" s="30"/>
      <c r="OX5" s="30"/>
      <c r="OY5" s="30"/>
      <c r="OZ5" s="30"/>
      <c r="PA5" s="30"/>
      <c r="PB5" s="30"/>
      <c r="PC5" s="30"/>
      <c r="PD5" s="30"/>
      <c r="PE5" s="30"/>
      <c r="PF5" s="30"/>
      <c r="PG5" s="30"/>
      <c r="PH5" s="30"/>
      <c r="PI5" s="30"/>
      <c r="PJ5" s="30"/>
      <c r="PK5" s="30"/>
      <c r="PL5" s="30"/>
      <c r="PM5" s="30"/>
      <c r="PN5" s="30"/>
      <c r="PO5" s="30"/>
      <c r="PP5" s="30"/>
      <c r="PQ5" s="30"/>
      <c r="PR5" s="30"/>
      <c r="PS5" s="30"/>
      <c r="PT5" s="30"/>
      <c r="PU5" s="30"/>
      <c r="PV5" s="30"/>
      <c r="PW5" s="30"/>
      <c r="PX5" s="30"/>
      <c r="PY5" s="30"/>
      <c r="PZ5" s="30"/>
      <c r="QA5" s="30"/>
      <c r="QB5" s="30"/>
      <c r="QC5" s="30"/>
      <c r="QD5" s="30"/>
      <c r="QE5" s="30"/>
      <c r="QF5" s="30"/>
      <c r="QG5" s="30"/>
      <c r="QH5" s="30"/>
      <c r="QI5" s="30"/>
      <c r="QJ5" s="30"/>
      <c r="QK5" s="30"/>
      <c r="QL5" s="30"/>
      <c r="QM5" s="30"/>
      <c r="QN5" s="30"/>
      <c r="QO5" s="30"/>
      <c r="QP5" s="30"/>
      <c r="QQ5" s="30"/>
      <c r="QR5" s="30"/>
      <c r="QS5" s="30"/>
      <c r="QT5" s="30"/>
      <c r="QU5" s="30"/>
      <c r="QV5" s="30"/>
      <c r="QW5" s="30"/>
      <c r="QX5" s="30"/>
      <c r="QY5" s="30"/>
      <c r="QZ5" s="30"/>
      <c r="RA5" s="30"/>
      <c r="RB5" s="30"/>
      <c r="RC5" s="30"/>
      <c r="RD5" s="30"/>
      <c r="RE5" s="30"/>
      <c r="RF5" s="30"/>
      <c r="RG5" s="30"/>
      <c r="RH5" s="30"/>
      <c r="RI5" s="30"/>
      <c r="RJ5" s="30"/>
      <c r="RK5" s="30"/>
      <c r="RL5" s="30"/>
      <c r="RM5" s="30"/>
      <c r="RN5" s="30"/>
      <c r="RO5" s="30"/>
      <c r="RP5" s="30"/>
      <c r="RQ5" s="30"/>
      <c r="RR5" s="30"/>
      <c r="RS5" s="30"/>
      <c r="RT5" s="30"/>
      <c r="RU5" s="30"/>
      <c r="RV5" s="30"/>
      <c r="RW5" s="30"/>
      <c r="RX5" s="30"/>
      <c r="RY5" s="30"/>
      <c r="RZ5" s="30"/>
      <c r="SA5" s="30"/>
      <c r="SB5" s="30"/>
      <c r="SC5" s="30"/>
      <c r="SD5" s="30"/>
      <c r="SE5" s="30"/>
      <c r="SF5" s="30"/>
      <c r="SG5" s="30"/>
      <c r="SH5" s="30"/>
      <c r="SI5" s="30"/>
      <c r="SJ5" s="30"/>
      <c r="SK5" s="30"/>
      <c r="SL5" s="30"/>
      <c r="SM5" s="30"/>
      <c r="SN5" s="30"/>
      <c r="SO5" s="30"/>
      <c r="SP5" s="30"/>
      <c r="SQ5" s="30"/>
      <c r="SR5" s="30"/>
      <c r="SS5" s="30"/>
      <c r="ST5" s="30"/>
      <c r="SU5" s="30"/>
      <c r="SV5" s="30"/>
      <c r="SW5" s="30"/>
      <c r="SX5" s="30"/>
      <c r="SY5" s="30"/>
      <c r="SZ5" s="30"/>
      <c r="TA5" s="30"/>
      <c r="TB5" s="30"/>
      <c r="TC5" s="30"/>
      <c r="TD5" s="30"/>
      <c r="TE5" s="30"/>
      <c r="TF5" s="30"/>
      <c r="TG5" s="30"/>
      <c r="TH5" s="30"/>
      <c r="TI5" s="30"/>
      <c r="TJ5" s="30"/>
      <c r="TK5" s="30"/>
      <c r="TL5" s="30"/>
      <c r="TM5" s="30"/>
      <c r="TN5" s="30"/>
      <c r="TO5" s="30"/>
      <c r="TP5" s="30"/>
      <c r="TQ5" s="30"/>
      <c r="TR5" s="30"/>
      <c r="TS5" s="30"/>
      <c r="TT5" s="30"/>
      <c r="TU5" s="30"/>
      <c r="TV5" s="30"/>
      <c r="TW5" s="30"/>
      <c r="TX5" s="30"/>
      <c r="TY5" s="30"/>
      <c r="TZ5" s="30"/>
      <c r="UA5" s="30"/>
      <c r="UB5" s="30"/>
      <c r="UC5" s="30"/>
      <c r="UD5" s="30"/>
      <c r="UE5" s="30"/>
      <c r="UF5" s="30"/>
      <c r="UG5" s="30"/>
      <c r="UH5" s="30"/>
      <c r="UI5" s="30"/>
      <c r="UJ5" s="30"/>
      <c r="UK5" s="30"/>
      <c r="UL5" s="30"/>
      <c r="UM5" s="30"/>
      <c r="UN5" s="30"/>
      <c r="UO5" s="30"/>
      <c r="UP5" s="30"/>
      <c r="UQ5" s="30"/>
      <c r="UR5" s="30"/>
      <c r="US5" s="30"/>
      <c r="UT5" s="30"/>
      <c r="UU5" s="30"/>
      <c r="UV5" s="30"/>
      <c r="UW5" s="30"/>
      <c r="UX5" s="30"/>
      <c r="UY5" s="30"/>
      <c r="UZ5" s="30"/>
      <c r="VA5" s="30"/>
      <c r="VB5" s="30"/>
      <c r="VC5" s="30"/>
      <c r="VD5" s="30"/>
      <c r="VE5" s="30"/>
      <c r="VF5" s="30"/>
      <c r="VG5" s="30"/>
      <c r="VH5" s="30"/>
      <c r="VI5" s="30"/>
      <c r="VJ5" s="30"/>
      <c r="VK5" s="30"/>
      <c r="VL5" s="30"/>
      <c r="VM5" s="30"/>
      <c r="VN5" s="30"/>
      <c r="VO5" s="30"/>
      <c r="VP5" s="30"/>
      <c r="VQ5" s="30"/>
      <c r="VR5" s="30"/>
      <c r="VS5" s="30"/>
      <c r="VT5" s="30"/>
      <c r="VU5" s="30"/>
      <c r="VV5" s="30"/>
      <c r="VW5" s="30"/>
      <c r="VX5" s="30"/>
      <c r="VY5" s="30"/>
      <c r="VZ5" s="30"/>
      <c r="WA5" s="30"/>
      <c r="WB5" s="30"/>
      <c r="WC5" s="30"/>
      <c r="WD5" s="30"/>
      <c r="WE5" s="30"/>
      <c r="WF5" s="30"/>
      <c r="WG5" s="30"/>
      <c r="WH5" s="30"/>
      <c r="WI5" s="30"/>
      <c r="WJ5" s="30"/>
      <c r="WK5" s="30"/>
      <c r="WL5" s="30"/>
      <c r="WM5" s="30"/>
      <c r="WN5" s="30"/>
      <c r="WO5" s="30"/>
      <c r="WP5" s="30"/>
      <c r="WQ5" s="30"/>
      <c r="WR5" s="30"/>
      <c r="WS5" s="30"/>
      <c r="WT5" s="30"/>
      <c r="WU5" s="30"/>
      <c r="WV5" s="30"/>
      <c r="WW5" s="30"/>
      <c r="WX5" s="30"/>
      <c r="WY5" s="30"/>
      <c r="WZ5" s="30"/>
      <c r="XA5" s="30"/>
      <c r="XB5" s="30"/>
      <c r="XC5" s="30"/>
      <c r="XD5" s="30"/>
      <c r="XE5" s="30"/>
      <c r="XF5" s="30"/>
      <c r="XG5" s="30"/>
      <c r="XH5" s="30"/>
      <c r="XI5" s="30"/>
      <c r="XJ5" s="30"/>
      <c r="XK5" s="30"/>
      <c r="XL5" s="30"/>
      <c r="XM5" s="30"/>
      <c r="XN5" s="30"/>
      <c r="XO5" s="30"/>
      <c r="XP5" s="30"/>
      <c r="XQ5" s="30"/>
      <c r="XR5" s="30"/>
      <c r="XS5" s="30"/>
      <c r="XT5" s="30"/>
      <c r="XU5" s="30"/>
      <c r="XV5" s="30"/>
      <c r="XW5" s="30"/>
      <c r="XX5" s="30"/>
      <c r="XY5" s="30"/>
      <c r="XZ5" s="30"/>
      <c r="YA5" s="30"/>
      <c r="YB5" s="30"/>
      <c r="YC5" s="30"/>
      <c r="YD5" s="30"/>
      <c r="YE5" s="30"/>
      <c r="YF5" s="30"/>
      <c r="YG5" s="30"/>
      <c r="YH5" s="30"/>
      <c r="YI5" s="30"/>
      <c r="YJ5" s="30"/>
      <c r="YK5" s="30"/>
      <c r="YL5" s="30"/>
      <c r="YM5" s="30"/>
      <c r="YN5" s="30"/>
      <c r="YO5" s="30"/>
      <c r="YP5" s="30"/>
      <c r="YQ5" s="30"/>
      <c r="YR5" s="30"/>
      <c r="YS5" s="30"/>
      <c r="YT5" s="30"/>
      <c r="YU5" s="30"/>
      <c r="YV5" s="30"/>
      <c r="YW5" s="30"/>
      <c r="YX5" s="30"/>
      <c r="YY5" s="30"/>
      <c r="YZ5" s="30"/>
      <c r="ZA5" s="30"/>
      <c r="ZB5" s="30"/>
      <c r="ZC5" s="30"/>
      <c r="ZD5" s="30"/>
      <c r="ZE5" s="30"/>
      <c r="ZF5" s="30"/>
      <c r="ZG5" s="30"/>
      <c r="ZH5" s="30"/>
      <c r="ZI5" s="30"/>
      <c r="ZJ5" s="30"/>
      <c r="ZK5" s="30"/>
      <c r="ZL5" s="30"/>
      <c r="ZM5" s="30"/>
      <c r="ZN5" s="30"/>
      <c r="ZO5" s="30"/>
      <c r="ZP5" s="30"/>
      <c r="ZQ5" s="30"/>
      <c r="ZR5" s="30"/>
      <c r="ZS5" s="30"/>
      <c r="ZT5" s="30"/>
      <c r="ZU5" s="30"/>
      <c r="ZV5" s="30"/>
      <c r="ZW5" s="30"/>
      <c r="ZX5" s="30"/>
      <c r="ZY5" s="30"/>
      <c r="ZZ5" s="30"/>
      <c r="AAA5" s="30"/>
      <c r="AAB5" s="30"/>
      <c r="AAC5" s="30"/>
      <c r="AAD5" s="30"/>
      <c r="AAE5" s="30"/>
      <c r="AAF5" s="30"/>
      <c r="AAG5" s="30"/>
      <c r="AAH5" s="30"/>
      <c r="AAI5" s="30"/>
      <c r="AAJ5" s="30"/>
      <c r="AAK5" s="30"/>
      <c r="AAL5" s="30"/>
      <c r="AAM5" s="30"/>
      <c r="AAN5" s="30"/>
      <c r="AAO5" s="30"/>
      <c r="AAP5" s="30"/>
      <c r="AAQ5" s="30"/>
      <c r="AAR5" s="30"/>
      <c r="AAS5" s="30"/>
      <c r="AAT5" s="30"/>
      <c r="AAU5" s="30"/>
      <c r="AAV5" s="30"/>
      <c r="AAW5" s="30"/>
      <c r="AAX5" s="30"/>
      <c r="AAY5" s="30"/>
      <c r="AAZ5" s="30"/>
      <c r="ABA5" s="30"/>
      <c r="ABB5" s="30"/>
      <c r="ABC5" s="30"/>
      <c r="ABD5" s="30"/>
      <c r="ABE5" s="30"/>
      <c r="ABF5" s="30"/>
      <c r="ABG5" s="30"/>
      <c r="ABH5" s="30"/>
      <c r="ABI5" s="30"/>
      <c r="ABJ5" s="30"/>
      <c r="ABK5" s="30"/>
      <c r="ABL5" s="30"/>
      <c r="ABM5" s="30"/>
      <c r="ABN5" s="30"/>
      <c r="ABO5" s="30"/>
      <c r="ABP5" s="30"/>
      <c r="ABQ5" s="30"/>
      <c r="ABR5" s="30"/>
      <c r="ABS5" s="30"/>
      <c r="ABT5" s="30"/>
      <c r="ABU5" s="30"/>
      <c r="ABV5" s="30"/>
      <c r="ABW5" s="30"/>
      <c r="ABX5" s="30"/>
      <c r="ABY5" s="30"/>
      <c r="ABZ5" s="30"/>
      <c r="ACA5" s="30"/>
      <c r="ACB5" s="30"/>
      <c r="ACC5" s="30"/>
      <c r="ACD5" s="30"/>
      <c r="ACE5" s="30"/>
      <c r="ACF5" s="30"/>
      <c r="ACG5" s="30"/>
      <c r="ACH5" s="30"/>
      <c r="ACI5" s="30"/>
      <c r="ACJ5" s="30"/>
      <c r="ACK5" s="30"/>
      <c r="ACL5" s="30"/>
      <c r="ACM5" s="30"/>
      <c r="ACN5" s="30"/>
      <c r="ACO5" s="30"/>
      <c r="ACP5" s="30"/>
      <c r="ACQ5" s="30"/>
      <c r="ACR5" s="30"/>
      <c r="ACS5" s="30"/>
      <c r="ACT5" s="30"/>
      <c r="ACU5" s="30"/>
      <c r="ACV5" s="30"/>
      <c r="ACW5" s="30"/>
      <c r="ACX5" s="30"/>
      <c r="ACY5" s="30"/>
      <c r="ACZ5" s="30"/>
      <c r="ADA5" s="30"/>
      <c r="ADB5" s="30"/>
      <c r="ADC5" s="30"/>
      <c r="ADD5" s="30"/>
      <c r="ADE5" s="30"/>
      <c r="ADF5" s="30"/>
      <c r="ADG5" s="30"/>
      <c r="ADH5" s="30"/>
      <c r="ADI5" s="30"/>
      <c r="ADJ5" s="30"/>
      <c r="ADK5" s="30"/>
      <c r="ADL5" s="30"/>
      <c r="ADM5" s="30"/>
      <c r="ADN5" s="30"/>
      <c r="ADO5" s="30"/>
      <c r="ADP5" s="30"/>
      <c r="ADQ5" s="30"/>
      <c r="ADR5" s="30"/>
      <c r="ADS5" s="30"/>
      <c r="ADT5" s="30"/>
      <c r="ADU5" s="30"/>
      <c r="ADV5" s="30"/>
      <c r="ADW5" s="30"/>
      <c r="ADX5" s="30"/>
      <c r="ADY5" s="30"/>
      <c r="ADZ5" s="30"/>
      <c r="AEA5" s="30"/>
      <c r="AEB5" s="30"/>
      <c r="AEC5" s="30"/>
      <c r="AED5" s="30"/>
      <c r="AEE5" s="30"/>
      <c r="AEF5" s="30"/>
      <c r="AEG5" s="30"/>
      <c r="AEH5" s="30"/>
      <c r="AEI5" s="30"/>
      <c r="AEJ5" s="30"/>
      <c r="AEK5" s="30"/>
      <c r="AEL5" s="30"/>
      <c r="AEM5" s="30"/>
      <c r="AEN5" s="30"/>
      <c r="AEO5" s="30"/>
      <c r="AEP5" s="30"/>
      <c r="AEQ5" s="30"/>
      <c r="AER5" s="30"/>
      <c r="AES5" s="30"/>
      <c r="AET5" s="30"/>
      <c r="AEU5" s="30"/>
      <c r="AEV5" s="30"/>
      <c r="AEW5" s="30"/>
      <c r="AEX5" s="30"/>
      <c r="AEY5" s="30"/>
      <c r="AEZ5" s="30"/>
      <c r="AFA5" s="30"/>
      <c r="AFB5" s="30"/>
      <c r="AFC5" s="30"/>
      <c r="AFD5" s="30"/>
      <c r="AFE5" s="30"/>
      <c r="AFF5" s="30"/>
      <c r="AFG5" s="30"/>
      <c r="AFH5" s="30"/>
      <c r="AFI5" s="30"/>
      <c r="AFJ5" s="30"/>
      <c r="AFK5" s="30"/>
      <c r="AFL5" s="30"/>
      <c r="AFM5" s="30"/>
      <c r="AFN5" s="30"/>
      <c r="AFO5" s="30"/>
      <c r="AFP5" s="30"/>
      <c r="AFQ5" s="30"/>
      <c r="AFR5" s="30"/>
      <c r="AFS5" s="30"/>
      <c r="AFT5" s="30"/>
      <c r="AFU5" s="30"/>
      <c r="AFV5" s="30"/>
      <c r="AFW5" s="30"/>
      <c r="AFX5" s="30"/>
      <c r="AFY5" s="30"/>
      <c r="AFZ5" s="30"/>
      <c r="AGA5" s="30"/>
      <c r="AGB5" s="30"/>
      <c r="AGC5" s="30"/>
      <c r="AGD5" s="30"/>
      <c r="AGE5" s="30"/>
      <c r="AGF5" s="30"/>
      <c r="AGG5" s="30"/>
      <c r="AGH5" s="30"/>
      <c r="AGI5" s="30"/>
      <c r="AGJ5" s="30"/>
      <c r="AGK5" s="30"/>
      <c r="AGL5" s="30"/>
      <c r="AGM5" s="30"/>
      <c r="AGN5" s="30"/>
      <c r="AGO5" s="30"/>
      <c r="AGP5" s="30"/>
      <c r="AGQ5" s="30"/>
      <c r="AGR5" s="30"/>
      <c r="AGS5" s="30"/>
      <c r="AGT5" s="30"/>
      <c r="AGU5" s="30"/>
      <c r="AGV5" s="30"/>
      <c r="AGW5" s="30"/>
      <c r="AGX5" s="30"/>
      <c r="AGY5" s="30"/>
      <c r="AGZ5" s="30"/>
      <c r="AHA5" s="30"/>
      <c r="AHB5" s="30"/>
      <c r="AHC5" s="30"/>
      <c r="AHD5" s="30"/>
      <c r="AHE5" s="30"/>
      <c r="AHF5" s="30"/>
      <c r="AHG5" s="30"/>
      <c r="AHH5" s="30"/>
      <c r="AHI5" s="30"/>
      <c r="AHJ5" s="30"/>
      <c r="AHK5" s="30"/>
      <c r="AHL5" s="30"/>
      <c r="AHM5" s="30"/>
      <c r="AHN5" s="30"/>
      <c r="AHO5" s="30"/>
      <c r="AHP5" s="30"/>
      <c r="AHQ5" s="30"/>
      <c r="AHR5" s="30"/>
      <c r="AHS5" s="30"/>
      <c r="AHT5" s="30"/>
      <c r="AHU5" s="30"/>
      <c r="AHV5" s="30"/>
      <c r="AHW5" s="30"/>
      <c r="AHX5" s="30"/>
      <c r="AHY5" s="30"/>
      <c r="AHZ5" s="30"/>
      <c r="AIA5" s="30"/>
      <c r="AIB5" s="30"/>
      <c r="AIC5" s="30"/>
      <c r="AID5" s="30"/>
      <c r="AIE5" s="30"/>
      <c r="AIF5" s="30"/>
      <c r="AIG5" s="30"/>
      <c r="AIH5" s="30"/>
      <c r="AII5" s="30"/>
      <c r="AIJ5" s="30"/>
      <c r="AIK5" s="30"/>
      <c r="AIL5" s="30"/>
      <c r="AIM5" s="30"/>
      <c r="AIN5" s="30"/>
      <c r="AIO5" s="30"/>
      <c r="AIP5" s="30"/>
      <c r="AIQ5" s="30"/>
      <c r="AIR5" s="30"/>
      <c r="AIS5" s="30"/>
      <c r="AIT5" s="30"/>
      <c r="AIU5" s="30"/>
      <c r="AIV5" s="30"/>
      <c r="AIW5" s="30"/>
      <c r="AIX5" s="30"/>
      <c r="AIY5" s="30"/>
      <c r="AIZ5" s="30"/>
      <c r="AJA5" s="30"/>
      <c r="AJB5" s="30"/>
      <c r="AJC5" s="30"/>
      <c r="AJD5" s="30"/>
      <c r="AJE5" s="30"/>
      <c r="AJF5" s="30"/>
      <c r="AJG5" s="30"/>
      <c r="AJH5" s="30"/>
      <c r="AJI5" s="30"/>
      <c r="AJJ5" s="30"/>
      <c r="AJK5" s="30"/>
      <c r="AJL5" s="30"/>
      <c r="AJM5" s="30"/>
      <c r="AJN5" s="30"/>
      <c r="AJO5" s="30"/>
      <c r="AJP5" s="30"/>
      <c r="AJQ5" s="30"/>
      <c r="AJR5" s="30"/>
      <c r="AJS5" s="30"/>
      <c r="AJT5" s="30"/>
      <c r="AJU5" s="30"/>
      <c r="AJV5" s="30"/>
      <c r="AJW5" s="30"/>
      <c r="AJX5" s="30"/>
      <c r="AJY5" s="30"/>
      <c r="AJZ5" s="30"/>
      <c r="AKA5" s="30"/>
      <c r="AKB5" s="30"/>
      <c r="AKC5" s="30"/>
      <c r="AKD5" s="30"/>
      <c r="AKE5" s="30"/>
      <c r="AKF5" s="30"/>
      <c r="AKG5" s="30"/>
      <c r="AKH5" s="30"/>
      <c r="AKI5" s="30"/>
      <c r="AKJ5" s="30"/>
      <c r="AKK5" s="30"/>
      <c r="AKL5" s="30"/>
      <c r="AKM5" s="30"/>
      <c r="AKN5" s="30"/>
      <c r="AKO5" s="30"/>
      <c r="AKP5" s="30"/>
      <c r="AKQ5" s="30"/>
      <c r="AKR5" s="30"/>
      <c r="AKS5" s="30"/>
      <c r="AKT5" s="30"/>
      <c r="AKU5" s="30"/>
      <c r="AKV5" s="30"/>
      <c r="AKW5" s="30"/>
      <c r="AKX5" s="30"/>
      <c r="AKY5" s="30"/>
      <c r="AKZ5" s="30"/>
      <c r="ALA5" s="30"/>
      <c r="ALB5" s="30"/>
      <c r="ALC5" s="30"/>
      <c r="ALD5" s="30"/>
      <c r="ALE5" s="30"/>
      <c r="ALF5" s="30"/>
      <c r="ALG5" s="30"/>
      <c r="ALH5" s="30"/>
      <c r="ALI5" s="30"/>
      <c r="ALJ5" s="30"/>
      <c r="ALK5" s="30"/>
      <c r="ALL5" s="30"/>
      <c r="ALM5" s="30"/>
      <c r="ALN5" s="30"/>
      <c r="ALO5" s="30"/>
      <c r="ALP5" s="30"/>
      <c r="ALQ5" s="30"/>
      <c r="ALR5" s="30"/>
      <c r="ALS5" s="30"/>
      <c r="ALT5" s="30"/>
      <c r="ALU5" s="30"/>
      <c r="ALV5" s="30"/>
      <c r="ALW5" s="30"/>
      <c r="ALX5" s="30"/>
      <c r="ALY5" s="30"/>
      <c r="ALZ5" s="30"/>
      <c r="AMA5" s="30"/>
      <c r="AMB5" s="30"/>
      <c r="AMC5" s="30"/>
      <c r="AMD5" s="30"/>
      <c r="AME5" s="30"/>
      <c r="AMF5" s="30"/>
      <c r="AMG5" s="30"/>
      <c r="AMH5" s="30"/>
      <c r="AMI5" s="30"/>
      <c r="AMJ5" s="30"/>
      <c r="AMK5" s="30"/>
      <c r="AML5" s="30"/>
    </row>
    <row r="6" ht="15.75" customHeight="1">
      <c r="A6" s="34" t="s">
        <v>20</v>
      </c>
      <c r="B6" s="34" t="s">
        <v>20</v>
      </c>
      <c r="C6" s="35" t="s">
        <v>18</v>
      </c>
      <c r="D6" s="36" t="s">
        <v>22</v>
      </c>
      <c r="E6" s="35" t="s">
        <v>22</v>
      </c>
      <c r="F6" s="35" t="s">
        <v>23</v>
      </c>
      <c r="G6" s="37">
        <v>1.0</v>
      </c>
      <c r="H6" s="37">
        <v>1.0</v>
      </c>
      <c r="I6" s="37">
        <v>1.0</v>
      </c>
      <c r="J6" s="38"/>
      <c r="K6" s="37">
        <v>0.0</v>
      </c>
      <c r="L6" s="37">
        <v>0.0</v>
      </c>
      <c r="M6" s="37">
        <v>0.0</v>
      </c>
      <c r="N6" s="38"/>
      <c r="O6" s="37">
        <v>0.0</v>
      </c>
      <c r="P6" s="39">
        <v>0.0</v>
      </c>
      <c r="Q6" s="39">
        <v>0.0</v>
      </c>
      <c r="R6" s="39">
        <v>0.0</v>
      </c>
      <c r="S6" s="39">
        <v>0.0</v>
      </c>
      <c r="T6" s="38" t="s">
        <v>22</v>
      </c>
      <c r="U6" s="38"/>
      <c r="V6" s="38"/>
      <c r="W6" s="38"/>
      <c r="X6" s="38"/>
      <c r="Y6" s="38"/>
      <c r="Z6" s="38"/>
      <c r="AA6" s="38"/>
      <c r="AB6" s="38" t="s">
        <v>20</v>
      </c>
      <c r="AC6" s="38" t="s">
        <v>20</v>
      </c>
      <c r="AD6" s="38" t="s">
        <v>20</v>
      </c>
      <c r="AE6" s="38" t="s">
        <v>20</v>
      </c>
      <c r="AF6" s="38" t="s">
        <v>20</v>
      </c>
      <c r="AG6" s="38" t="s">
        <v>20</v>
      </c>
      <c r="AH6" s="38" t="s">
        <v>20</v>
      </c>
      <c r="AI6" s="38" t="s">
        <v>20</v>
      </c>
      <c r="AJ6" s="38" t="s">
        <v>20</v>
      </c>
      <c r="AK6" s="38" t="s">
        <v>20</v>
      </c>
      <c r="AL6" s="38" t="s">
        <v>20</v>
      </c>
      <c r="AM6" s="38" t="s">
        <v>20</v>
      </c>
      <c r="AN6" s="38" t="s">
        <v>20</v>
      </c>
      <c r="AO6" s="38" t="s">
        <v>20</v>
      </c>
      <c r="AP6" s="38" t="s">
        <v>20</v>
      </c>
      <c r="AQ6" s="38" t="s">
        <v>20</v>
      </c>
      <c r="AR6" s="38" t="s">
        <v>20</v>
      </c>
      <c r="AS6" s="38" t="s">
        <v>20</v>
      </c>
      <c r="AT6" s="38" t="s">
        <v>20</v>
      </c>
      <c r="AU6" s="38" t="s">
        <v>20</v>
      </c>
      <c r="AV6" s="38" t="s">
        <v>20</v>
      </c>
      <c r="AW6" s="38" t="s">
        <v>20</v>
      </c>
      <c r="AX6" s="38" t="s">
        <v>20</v>
      </c>
      <c r="AY6" s="38" t="s">
        <v>20</v>
      </c>
      <c r="AZ6" s="38" t="s">
        <v>20</v>
      </c>
      <c r="BA6" s="38" t="s">
        <v>20</v>
      </c>
      <c r="BB6" s="38" t="s">
        <v>20</v>
      </c>
      <c r="BC6" s="38" t="s">
        <v>20</v>
      </c>
      <c r="BD6" s="38" t="s">
        <v>20</v>
      </c>
      <c r="BE6" s="38" t="s">
        <v>20</v>
      </c>
      <c r="BF6" s="38" t="s">
        <v>20</v>
      </c>
      <c r="BG6" s="38" t="s">
        <v>20</v>
      </c>
      <c r="BH6" s="38" t="s">
        <v>20</v>
      </c>
      <c r="BI6" s="38" t="s">
        <v>20</v>
      </c>
      <c r="BJ6" s="38" t="s">
        <v>20</v>
      </c>
      <c r="BK6" s="38" t="s">
        <v>20</v>
      </c>
      <c r="BL6" s="38" t="s">
        <v>20</v>
      </c>
      <c r="BM6" s="38" t="s">
        <v>20</v>
      </c>
      <c r="BN6" s="38" t="s">
        <v>20</v>
      </c>
      <c r="BO6" s="38" t="s">
        <v>20</v>
      </c>
      <c r="BP6" s="38" t="s">
        <v>20</v>
      </c>
      <c r="BQ6" s="38" t="s">
        <v>20</v>
      </c>
      <c r="BR6" s="38" t="s">
        <v>20</v>
      </c>
      <c r="BS6" s="38" t="s">
        <v>20</v>
      </c>
      <c r="BT6" s="38" t="s">
        <v>20</v>
      </c>
      <c r="BU6" s="38" t="s">
        <v>20</v>
      </c>
      <c r="BV6" s="38" t="s">
        <v>20</v>
      </c>
      <c r="BW6" s="38" t="s">
        <v>20</v>
      </c>
      <c r="BX6" s="38" t="s">
        <v>20</v>
      </c>
      <c r="BY6" s="38" t="s">
        <v>20</v>
      </c>
      <c r="BZ6" s="38" t="s">
        <v>20</v>
      </c>
      <c r="CA6" s="38" t="s">
        <v>20</v>
      </c>
      <c r="CB6" s="38" t="s">
        <v>20</v>
      </c>
      <c r="CC6" s="38" t="s">
        <v>20</v>
      </c>
      <c r="CD6" s="38" t="s">
        <v>20</v>
      </c>
      <c r="CE6" s="38" t="s">
        <v>20</v>
      </c>
      <c r="CF6" s="38" t="s">
        <v>20</v>
      </c>
      <c r="CG6" s="38" t="s">
        <v>20</v>
      </c>
      <c r="CH6" s="38" t="s">
        <v>20</v>
      </c>
      <c r="CI6" s="38" t="s">
        <v>20</v>
      </c>
      <c r="CJ6" s="38" t="s">
        <v>20</v>
      </c>
      <c r="CK6" s="38" t="s">
        <v>20</v>
      </c>
      <c r="CL6" s="38" t="s">
        <v>20</v>
      </c>
      <c r="CM6" s="38" t="s">
        <v>20</v>
      </c>
      <c r="CN6" s="38" t="s">
        <v>20</v>
      </c>
      <c r="CO6" s="38" t="s">
        <v>20</v>
      </c>
      <c r="CP6" s="38" t="s">
        <v>20</v>
      </c>
      <c r="CQ6" s="38" t="s">
        <v>20</v>
      </c>
      <c r="CR6" s="38" t="s">
        <v>20</v>
      </c>
      <c r="CS6" s="38" t="s">
        <v>20</v>
      </c>
      <c r="CT6" s="38" t="s">
        <v>20</v>
      </c>
      <c r="CU6" s="38" t="s">
        <v>20</v>
      </c>
      <c r="CV6" s="38" t="s">
        <v>20</v>
      </c>
      <c r="CW6" s="38" t="s">
        <v>20</v>
      </c>
      <c r="CX6" s="38" t="s">
        <v>20</v>
      </c>
      <c r="CY6" s="38" t="s">
        <v>20</v>
      </c>
      <c r="CZ6" s="38" t="s">
        <v>20</v>
      </c>
      <c r="DA6" s="38" t="s">
        <v>20</v>
      </c>
      <c r="DB6" s="38" t="s">
        <v>20</v>
      </c>
      <c r="DC6" s="38" t="s">
        <v>20</v>
      </c>
      <c r="DD6" s="38" t="s">
        <v>20</v>
      </c>
      <c r="DE6" s="38" t="s">
        <v>20</v>
      </c>
      <c r="DF6" s="38" t="s">
        <v>20</v>
      </c>
      <c r="DG6" s="38" t="s">
        <v>20</v>
      </c>
      <c r="DH6" s="38" t="s">
        <v>20</v>
      </c>
      <c r="DI6" s="38" t="s">
        <v>20</v>
      </c>
      <c r="DJ6" s="38" t="s">
        <v>20</v>
      </c>
      <c r="DK6" s="38" t="s">
        <v>20</v>
      </c>
      <c r="DL6" s="38" t="s">
        <v>20</v>
      </c>
      <c r="DM6" s="38" t="s">
        <v>20</v>
      </c>
      <c r="DN6" s="38" t="s">
        <v>20</v>
      </c>
      <c r="DO6" s="38" t="s">
        <v>20</v>
      </c>
      <c r="DP6" s="38" t="s">
        <v>20</v>
      </c>
      <c r="DQ6" s="38" t="s">
        <v>20</v>
      </c>
      <c r="DR6" s="38" t="s">
        <v>20</v>
      </c>
      <c r="DS6" s="38" t="s">
        <v>20</v>
      </c>
      <c r="DT6" s="38" t="s">
        <v>20</v>
      </c>
      <c r="DU6" s="38" t="s">
        <v>20</v>
      </c>
      <c r="DV6" s="38" t="s">
        <v>20</v>
      </c>
      <c r="DW6" s="38" t="s">
        <v>20</v>
      </c>
      <c r="DX6" s="38" t="s">
        <v>20</v>
      </c>
      <c r="DY6" s="38" t="s">
        <v>20</v>
      </c>
      <c r="DZ6" s="38" t="s">
        <v>20</v>
      </c>
      <c r="EA6" s="38" t="s">
        <v>20</v>
      </c>
      <c r="EB6" s="38" t="s">
        <v>20</v>
      </c>
      <c r="EC6" s="38" t="s">
        <v>20</v>
      </c>
      <c r="ED6" s="38" t="s">
        <v>20</v>
      </c>
      <c r="EE6" s="38" t="s">
        <v>20</v>
      </c>
      <c r="EF6" s="38" t="s">
        <v>20</v>
      </c>
      <c r="EG6" s="38" t="s">
        <v>20</v>
      </c>
      <c r="EH6" s="38" t="s">
        <v>20</v>
      </c>
      <c r="EI6" s="38" t="s">
        <v>20</v>
      </c>
      <c r="EJ6" s="38" t="s">
        <v>20</v>
      </c>
      <c r="EK6" s="38" t="s">
        <v>20</v>
      </c>
      <c r="EL6" s="38" t="s">
        <v>20</v>
      </c>
      <c r="EM6" s="38" t="s">
        <v>20</v>
      </c>
      <c r="EN6" s="38" t="s">
        <v>20</v>
      </c>
      <c r="EO6" s="38" t="s">
        <v>20</v>
      </c>
      <c r="EP6" s="38" t="s">
        <v>20</v>
      </c>
      <c r="EQ6" s="38" t="s">
        <v>20</v>
      </c>
      <c r="ER6" s="38" t="s">
        <v>20</v>
      </c>
      <c r="ES6" s="38" t="s">
        <v>20</v>
      </c>
      <c r="ET6" s="38" t="s">
        <v>20</v>
      </c>
      <c r="EU6" s="38" t="s">
        <v>20</v>
      </c>
      <c r="EV6" s="38" t="s">
        <v>20</v>
      </c>
      <c r="EW6" s="38" t="s">
        <v>20</v>
      </c>
      <c r="EX6" s="38" t="s">
        <v>20</v>
      </c>
      <c r="EY6" s="38" t="s">
        <v>20</v>
      </c>
      <c r="EZ6" s="38" t="s">
        <v>20</v>
      </c>
      <c r="FA6" s="38" t="s">
        <v>20</v>
      </c>
      <c r="FB6" s="38" t="s">
        <v>20</v>
      </c>
      <c r="FC6" s="38" t="s">
        <v>20</v>
      </c>
      <c r="FD6" s="38" t="s">
        <v>20</v>
      </c>
      <c r="FE6" s="38" t="s">
        <v>20</v>
      </c>
      <c r="FF6" s="38" t="s">
        <v>20</v>
      </c>
      <c r="FG6" s="38" t="s">
        <v>20</v>
      </c>
      <c r="FH6" s="38" t="s">
        <v>20</v>
      </c>
      <c r="FI6" s="38" t="s">
        <v>20</v>
      </c>
      <c r="FJ6" s="38" t="s">
        <v>20</v>
      </c>
      <c r="FK6" s="38" t="s">
        <v>20</v>
      </c>
      <c r="FL6" s="38" t="s">
        <v>20</v>
      </c>
      <c r="FM6" s="38" t="s">
        <v>20</v>
      </c>
      <c r="FN6" s="38" t="s">
        <v>20</v>
      </c>
      <c r="FO6" s="38" t="s">
        <v>20</v>
      </c>
      <c r="FP6" s="38" t="s">
        <v>20</v>
      </c>
      <c r="FQ6" s="38" t="s">
        <v>20</v>
      </c>
      <c r="FR6" s="40"/>
      <c r="FS6" s="40"/>
      <c r="FT6" s="40"/>
      <c r="FU6" s="40"/>
      <c r="FV6" s="40"/>
      <c r="FW6" s="40"/>
      <c r="FX6" s="40"/>
      <c r="FY6" s="40"/>
      <c r="FZ6" s="40"/>
      <c r="GA6" s="40"/>
      <c r="GB6" s="40"/>
      <c r="GC6" s="40"/>
      <c r="GD6" s="40"/>
      <c r="GE6" s="40"/>
      <c r="GF6" s="40"/>
      <c r="GG6" s="40"/>
      <c r="GH6" s="40"/>
      <c r="GI6" s="40"/>
      <c r="GJ6" s="40"/>
      <c r="GK6" s="40"/>
      <c r="GL6" s="40"/>
      <c r="GM6" s="40"/>
      <c r="GN6" s="40"/>
      <c r="GO6" s="40"/>
      <c r="GP6" s="40"/>
      <c r="GQ6" s="40"/>
      <c r="GR6" s="40"/>
      <c r="GS6" s="40"/>
      <c r="GT6" s="40"/>
      <c r="GU6" s="40"/>
      <c r="GV6" s="40"/>
      <c r="GW6" s="40"/>
      <c r="GX6" s="40"/>
      <c r="GY6" s="40"/>
      <c r="GZ6" s="40"/>
      <c r="HA6" s="40"/>
      <c r="HB6" s="40"/>
      <c r="HC6" s="40"/>
      <c r="HD6" s="40"/>
      <c r="HE6" s="40"/>
      <c r="HF6" s="40"/>
      <c r="HG6" s="40"/>
      <c r="HH6" s="40"/>
      <c r="HI6" s="40"/>
      <c r="HJ6" s="40"/>
      <c r="HK6" s="40"/>
      <c r="HL6" s="40"/>
      <c r="HM6" s="40"/>
      <c r="HN6" s="40"/>
      <c r="HO6" s="40"/>
      <c r="HP6" s="40"/>
      <c r="HQ6" s="40"/>
      <c r="HR6" s="40"/>
      <c r="HS6" s="40"/>
      <c r="HT6" s="40"/>
      <c r="HU6" s="40"/>
      <c r="HV6" s="40"/>
      <c r="HW6" s="40"/>
      <c r="HX6" s="40"/>
      <c r="HY6" s="40"/>
      <c r="HZ6" s="40"/>
      <c r="IA6" s="40"/>
      <c r="IB6" s="40"/>
      <c r="IC6" s="40"/>
      <c r="ID6" s="40"/>
      <c r="IE6" s="40"/>
      <c r="IF6" s="40"/>
      <c r="IG6" s="40"/>
      <c r="IH6" s="40"/>
      <c r="II6" s="40"/>
      <c r="IJ6" s="40"/>
      <c r="IK6" s="40"/>
      <c r="IL6" s="40"/>
      <c r="IM6" s="40"/>
      <c r="IN6" s="40"/>
      <c r="IO6" s="40"/>
      <c r="IP6" s="40"/>
      <c r="IQ6" s="40"/>
      <c r="IR6" s="40"/>
      <c r="IS6" s="40"/>
      <c r="IT6" s="40"/>
      <c r="IU6" s="40"/>
      <c r="IV6" s="40"/>
      <c r="IW6" s="40"/>
      <c r="IX6" s="40"/>
      <c r="IY6" s="40"/>
      <c r="IZ6" s="40"/>
      <c r="JA6" s="40"/>
      <c r="JB6" s="40"/>
      <c r="JC6" s="40"/>
      <c r="JD6" s="40"/>
      <c r="JE6" s="40"/>
      <c r="JF6" s="40"/>
      <c r="JG6" s="40"/>
      <c r="JH6" s="40"/>
      <c r="JI6" s="40"/>
      <c r="JJ6" s="40"/>
      <c r="JK6" s="40"/>
      <c r="JL6" s="40"/>
      <c r="JM6" s="40"/>
      <c r="JN6" s="40"/>
      <c r="JO6" s="40"/>
      <c r="JP6" s="40"/>
      <c r="JQ6" s="40"/>
      <c r="JR6" s="40"/>
      <c r="JS6" s="40"/>
      <c r="JT6" s="40"/>
      <c r="JU6" s="40"/>
      <c r="JV6" s="40"/>
      <c r="JW6" s="40"/>
      <c r="JX6" s="40"/>
      <c r="JY6" s="40"/>
      <c r="JZ6" s="40"/>
      <c r="KA6" s="40"/>
      <c r="KB6" s="40"/>
      <c r="KC6" s="40"/>
      <c r="KD6" s="40"/>
      <c r="KE6" s="40"/>
      <c r="KF6" s="40"/>
      <c r="KG6" s="40"/>
      <c r="KH6" s="40"/>
      <c r="KI6" s="40"/>
      <c r="KJ6" s="40"/>
      <c r="KK6" s="40"/>
      <c r="KL6" s="40"/>
      <c r="KM6" s="40"/>
      <c r="KN6" s="40"/>
      <c r="KO6" s="40"/>
      <c r="KP6" s="40"/>
      <c r="KQ6" s="40"/>
      <c r="KR6" s="40"/>
      <c r="KS6" s="40"/>
      <c r="KT6" s="40"/>
      <c r="KU6" s="40"/>
      <c r="KV6" s="40"/>
      <c r="KW6" s="40"/>
      <c r="KX6" s="40"/>
      <c r="KY6" s="40"/>
      <c r="KZ6" s="40"/>
      <c r="LA6" s="40"/>
      <c r="LB6" s="40"/>
      <c r="LC6" s="40"/>
      <c r="LD6" s="40"/>
      <c r="LE6" s="40"/>
      <c r="LF6" s="40"/>
      <c r="LG6" s="40"/>
      <c r="LH6" s="40"/>
      <c r="LI6" s="40"/>
      <c r="LJ6" s="40"/>
      <c r="LK6" s="40"/>
      <c r="LL6" s="40"/>
      <c r="LM6" s="40"/>
      <c r="LN6" s="40"/>
      <c r="LO6" s="40"/>
      <c r="LP6" s="40"/>
      <c r="LQ6" s="40"/>
      <c r="LR6" s="40"/>
      <c r="LS6" s="40"/>
      <c r="LT6" s="40"/>
      <c r="LU6" s="40"/>
      <c r="LV6" s="40"/>
      <c r="LW6" s="40"/>
      <c r="LX6" s="40"/>
      <c r="LY6" s="40"/>
      <c r="LZ6" s="40"/>
      <c r="MA6" s="40"/>
      <c r="MB6" s="40"/>
      <c r="MC6" s="40"/>
      <c r="MD6" s="40"/>
      <c r="ME6" s="40"/>
      <c r="MF6" s="40"/>
      <c r="MG6" s="40"/>
      <c r="MH6" s="40"/>
      <c r="MI6" s="40"/>
      <c r="MJ6" s="40"/>
      <c r="MK6" s="40"/>
      <c r="ML6" s="40"/>
      <c r="MM6" s="40"/>
      <c r="MN6" s="40"/>
      <c r="MO6" s="40"/>
      <c r="MP6" s="40"/>
      <c r="MQ6" s="40"/>
      <c r="MR6" s="40"/>
      <c r="MS6" s="40"/>
      <c r="MT6" s="40"/>
      <c r="MU6" s="40"/>
      <c r="MV6" s="40"/>
      <c r="MW6" s="40"/>
      <c r="MX6" s="40"/>
      <c r="MY6" s="40"/>
      <c r="MZ6" s="40"/>
      <c r="NA6" s="40"/>
      <c r="NB6" s="40"/>
      <c r="NC6" s="40"/>
      <c r="ND6" s="40"/>
      <c r="NE6" s="40"/>
      <c r="NF6" s="40"/>
      <c r="NG6" s="40"/>
      <c r="NH6" s="40"/>
      <c r="NI6" s="40"/>
      <c r="NJ6" s="40"/>
      <c r="NK6" s="40"/>
      <c r="NL6" s="40"/>
      <c r="NM6" s="40"/>
      <c r="NN6" s="40"/>
      <c r="NO6" s="40"/>
      <c r="NP6" s="40"/>
      <c r="NQ6" s="40"/>
      <c r="NR6" s="40"/>
      <c r="NS6" s="40"/>
      <c r="NT6" s="40"/>
      <c r="NU6" s="40"/>
      <c r="NV6" s="40"/>
      <c r="NW6" s="40"/>
      <c r="NX6" s="40"/>
      <c r="NY6" s="40"/>
      <c r="NZ6" s="40"/>
      <c r="OA6" s="40"/>
      <c r="OB6" s="40"/>
      <c r="OC6" s="40"/>
      <c r="OD6" s="40"/>
      <c r="OE6" s="40"/>
      <c r="OF6" s="40"/>
      <c r="OG6" s="40"/>
      <c r="OH6" s="40"/>
      <c r="OI6" s="40"/>
      <c r="OJ6" s="40"/>
      <c r="OK6" s="40"/>
      <c r="OL6" s="40"/>
      <c r="OM6" s="40"/>
      <c r="ON6" s="40"/>
      <c r="OO6" s="40"/>
      <c r="OP6" s="40"/>
      <c r="OQ6" s="40"/>
      <c r="OR6" s="40"/>
      <c r="OS6" s="40"/>
      <c r="OT6" s="40"/>
      <c r="OU6" s="40"/>
      <c r="OV6" s="40"/>
      <c r="OW6" s="40"/>
      <c r="OX6" s="40"/>
      <c r="OY6" s="40"/>
      <c r="OZ6" s="40"/>
      <c r="PA6" s="40"/>
      <c r="PB6" s="40"/>
      <c r="PC6" s="40"/>
      <c r="PD6" s="40"/>
      <c r="PE6" s="40"/>
      <c r="PF6" s="40"/>
      <c r="PG6" s="40"/>
      <c r="PH6" s="40"/>
      <c r="PI6" s="40"/>
      <c r="PJ6" s="40"/>
      <c r="PK6" s="40"/>
      <c r="PL6" s="40"/>
      <c r="PM6" s="40"/>
      <c r="PN6" s="40"/>
      <c r="PO6" s="40"/>
      <c r="PP6" s="40"/>
      <c r="PQ6" s="40"/>
      <c r="PR6" s="40"/>
      <c r="PS6" s="40"/>
      <c r="PT6" s="40"/>
      <c r="PU6" s="40"/>
      <c r="PV6" s="40"/>
      <c r="PW6" s="40"/>
      <c r="PX6" s="40"/>
      <c r="PY6" s="40"/>
      <c r="PZ6" s="40"/>
      <c r="QA6" s="40"/>
      <c r="QB6" s="40"/>
      <c r="QC6" s="40"/>
      <c r="QD6" s="40"/>
      <c r="QE6" s="40"/>
      <c r="QF6" s="40"/>
      <c r="QG6" s="40"/>
      <c r="QH6" s="40"/>
      <c r="QI6" s="40"/>
      <c r="QJ6" s="40"/>
      <c r="QK6" s="40"/>
      <c r="QL6" s="40"/>
      <c r="QM6" s="40"/>
      <c r="QN6" s="40"/>
      <c r="QO6" s="40"/>
      <c r="QP6" s="40"/>
      <c r="QQ6" s="40"/>
      <c r="QR6" s="40"/>
      <c r="QS6" s="40"/>
      <c r="QT6" s="40"/>
      <c r="QU6" s="40"/>
      <c r="QV6" s="40"/>
      <c r="QW6" s="40"/>
      <c r="QX6" s="40"/>
      <c r="QY6" s="40"/>
      <c r="QZ6" s="40"/>
      <c r="RA6" s="40"/>
      <c r="RB6" s="40"/>
      <c r="RC6" s="40"/>
      <c r="RD6" s="40"/>
      <c r="RE6" s="40"/>
      <c r="RF6" s="40"/>
      <c r="RG6" s="40"/>
      <c r="RH6" s="40"/>
      <c r="RI6" s="40"/>
      <c r="RJ6" s="40"/>
      <c r="RK6" s="40"/>
      <c r="RL6" s="40"/>
      <c r="RM6" s="40"/>
      <c r="RN6" s="40"/>
      <c r="RO6" s="40"/>
      <c r="RP6" s="40"/>
      <c r="RQ6" s="40"/>
      <c r="RR6" s="40"/>
      <c r="RS6" s="40"/>
      <c r="RT6" s="40"/>
      <c r="RU6" s="40"/>
      <c r="RV6" s="40"/>
      <c r="RW6" s="40"/>
      <c r="RX6" s="40"/>
      <c r="RY6" s="40"/>
      <c r="RZ6" s="40"/>
      <c r="SA6" s="40"/>
      <c r="SB6" s="40"/>
      <c r="SC6" s="40"/>
      <c r="SD6" s="40"/>
      <c r="SE6" s="40"/>
      <c r="SF6" s="40"/>
      <c r="SG6" s="40"/>
      <c r="SH6" s="40"/>
      <c r="SI6" s="40"/>
      <c r="SJ6" s="40"/>
      <c r="SK6" s="40"/>
      <c r="SL6" s="40"/>
      <c r="SM6" s="40"/>
      <c r="SN6" s="40"/>
      <c r="SO6" s="40"/>
      <c r="SP6" s="40"/>
      <c r="SQ6" s="40"/>
      <c r="SR6" s="40"/>
      <c r="SS6" s="40"/>
      <c r="ST6" s="40"/>
      <c r="SU6" s="40"/>
      <c r="SV6" s="40"/>
      <c r="SW6" s="40"/>
      <c r="SX6" s="40"/>
      <c r="SY6" s="40"/>
      <c r="SZ6" s="40"/>
      <c r="TA6" s="40"/>
      <c r="TB6" s="40"/>
      <c r="TC6" s="40"/>
      <c r="TD6" s="40"/>
      <c r="TE6" s="40"/>
      <c r="TF6" s="40"/>
      <c r="TG6" s="40"/>
      <c r="TH6" s="40"/>
      <c r="TI6" s="40"/>
      <c r="TJ6" s="40"/>
      <c r="TK6" s="40"/>
      <c r="TL6" s="40"/>
      <c r="TM6" s="40"/>
      <c r="TN6" s="40"/>
      <c r="TO6" s="40"/>
      <c r="TP6" s="40"/>
      <c r="TQ6" s="40"/>
      <c r="TR6" s="40"/>
      <c r="TS6" s="40"/>
      <c r="TT6" s="40"/>
      <c r="TU6" s="40"/>
      <c r="TV6" s="40"/>
      <c r="TW6" s="40"/>
      <c r="TX6" s="40"/>
      <c r="TY6" s="40"/>
      <c r="TZ6" s="40"/>
      <c r="UA6" s="40"/>
      <c r="UB6" s="40"/>
      <c r="UC6" s="40"/>
      <c r="UD6" s="40"/>
      <c r="UE6" s="40"/>
      <c r="UF6" s="40"/>
      <c r="UG6" s="40"/>
      <c r="UH6" s="40"/>
      <c r="UI6" s="40"/>
      <c r="UJ6" s="40"/>
      <c r="UK6" s="40"/>
      <c r="UL6" s="40"/>
      <c r="UM6" s="40"/>
      <c r="UN6" s="40"/>
      <c r="UO6" s="40"/>
      <c r="UP6" s="40"/>
      <c r="UQ6" s="40"/>
      <c r="UR6" s="40"/>
      <c r="US6" s="40"/>
      <c r="UT6" s="40"/>
      <c r="UU6" s="40"/>
      <c r="UV6" s="40"/>
      <c r="UW6" s="40"/>
      <c r="UX6" s="40"/>
      <c r="UY6" s="40"/>
      <c r="UZ6" s="40"/>
      <c r="VA6" s="40"/>
      <c r="VB6" s="40"/>
      <c r="VC6" s="40"/>
      <c r="VD6" s="40"/>
      <c r="VE6" s="40"/>
      <c r="VF6" s="40"/>
      <c r="VG6" s="40"/>
      <c r="VH6" s="40"/>
      <c r="VI6" s="40"/>
      <c r="VJ6" s="40"/>
      <c r="VK6" s="40"/>
      <c r="VL6" s="40"/>
      <c r="VM6" s="40"/>
      <c r="VN6" s="40"/>
      <c r="VO6" s="40"/>
      <c r="VP6" s="40"/>
      <c r="VQ6" s="40"/>
      <c r="VR6" s="40"/>
      <c r="VS6" s="40"/>
      <c r="VT6" s="40"/>
      <c r="VU6" s="40"/>
      <c r="VV6" s="40"/>
      <c r="VW6" s="40"/>
      <c r="VX6" s="40"/>
      <c r="VY6" s="40"/>
      <c r="VZ6" s="40"/>
      <c r="WA6" s="40"/>
      <c r="WB6" s="40"/>
      <c r="WC6" s="40"/>
      <c r="WD6" s="40"/>
      <c r="WE6" s="40"/>
      <c r="WF6" s="40"/>
      <c r="WG6" s="40"/>
      <c r="WH6" s="40"/>
      <c r="WI6" s="40"/>
      <c r="WJ6" s="40"/>
      <c r="WK6" s="40"/>
      <c r="WL6" s="40"/>
      <c r="WM6" s="40"/>
      <c r="WN6" s="40"/>
      <c r="WO6" s="40"/>
      <c r="WP6" s="40"/>
      <c r="WQ6" s="40"/>
      <c r="WR6" s="40"/>
      <c r="WS6" s="40"/>
      <c r="WT6" s="40"/>
      <c r="WU6" s="40"/>
      <c r="WV6" s="40"/>
      <c r="WW6" s="40"/>
      <c r="WX6" s="40"/>
      <c r="WY6" s="40"/>
      <c r="WZ6" s="40"/>
      <c r="XA6" s="40"/>
      <c r="XB6" s="40"/>
      <c r="XC6" s="40"/>
      <c r="XD6" s="40"/>
      <c r="XE6" s="40"/>
      <c r="XF6" s="40"/>
      <c r="XG6" s="40"/>
      <c r="XH6" s="40"/>
      <c r="XI6" s="40"/>
      <c r="XJ6" s="40"/>
      <c r="XK6" s="40"/>
      <c r="XL6" s="40"/>
      <c r="XM6" s="40"/>
      <c r="XN6" s="40"/>
      <c r="XO6" s="40"/>
      <c r="XP6" s="40"/>
      <c r="XQ6" s="40"/>
      <c r="XR6" s="40"/>
      <c r="XS6" s="40"/>
      <c r="XT6" s="40"/>
      <c r="XU6" s="40"/>
      <c r="XV6" s="40"/>
      <c r="XW6" s="40"/>
      <c r="XX6" s="40"/>
      <c r="XY6" s="40"/>
      <c r="XZ6" s="40"/>
      <c r="YA6" s="40"/>
      <c r="YB6" s="40"/>
      <c r="YC6" s="40"/>
      <c r="YD6" s="40"/>
      <c r="YE6" s="40"/>
      <c r="YF6" s="40"/>
      <c r="YG6" s="40"/>
      <c r="YH6" s="40"/>
      <c r="YI6" s="40"/>
      <c r="YJ6" s="40"/>
      <c r="YK6" s="40"/>
      <c r="YL6" s="40"/>
      <c r="YM6" s="40"/>
      <c r="YN6" s="40"/>
      <c r="YO6" s="40"/>
      <c r="YP6" s="40"/>
      <c r="YQ6" s="40"/>
      <c r="YR6" s="40"/>
      <c r="YS6" s="40"/>
      <c r="YT6" s="40"/>
      <c r="YU6" s="40"/>
      <c r="YV6" s="40"/>
      <c r="YW6" s="40"/>
      <c r="YX6" s="40"/>
      <c r="YY6" s="40"/>
      <c r="YZ6" s="40"/>
      <c r="ZA6" s="40"/>
      <c r="ZB6" s="40"/>
      <c r="ZC6" s="40"/>
      <c r="ZD6" s="40"/>
      <c r="ZE6" s="40"/>
      <c r="ZF6" s="40"/>
      <c r="ZG6" s="40"/>
      <c r="ZH6" s="40"/>
      <c r="ZI6" s="40"/>
      <c r="ZJ6" s="40"/>
      <c r="ZK6" s="40"/>
      <c r="ZL6" s="40"/>
      <c r="ZM6" s="40"/>
      <c r="ZN6" s="40"/>
      <c r="ZO6" s="40"/>
      <c r="ZP6" s="40"/>
      <c r="ZQ6" s="40"/>
      <c r="ZR6" s="40"/>
      <c r="ZS6" s="40"/>
      <c r="ZT6" s="40"/>
      <c r="ZU6" s="40"/>
      <c r="ZV6" s="40"/>
      <c r="ZW6" s="40"/>
      <c r="ZX6" s="40"/>
      <c r="ZY6" s="40"/>
      <c r="ZZ6" s="40"/>
      <c r="AAA6" s="40"/>
      <c r="AAB6" s="40"/>
      <c r="AAC6" s="40"/>
      <c r="AAD6" s="40"/>
      <c r="AAE6" s="40"/>
      <c r="AAF6" s="40"/>
      <c r="AAG6" s="40"/>
      <c r="AAH6" s="40"/>
      <c r="AAI6" s="40"/>
      <c r="AAJ6" s="40"/>
      <c r="AAK6" s="40"/>
      <c r="AAL6" s="40"/>
      <c r="AAM6" s="40"/>
      <c r="AAN6" s="40"/>
      <c r="AAO6" s="40"/>
      <c r="AAP6" s="40"/>
      <c r="AAQ6" s="40"/>
      <c r="AAR6" s="40"/>
      <c r="AAS6" s="40"/>
      <c r="AAT6" s="40"/>
      <c r="AAU6" s="40"/>
      <c r="AAV6" s="40"/>
      <c r="AAW6" s="40"/>
      <c r="AAX6" s="40"/>
      <c r="AAY6" s="40"/>
      <c r="AAZ6" s="40"/>
      <c r="ABA6" s="40"/>
      <c r="ABB6" s="40"/>
      <c r="ABC6" s="40"/>
      <c r="ABD6" s="40"/>
      <c r="ABE6" s="40"/>
      <c r="ABF6" s="40"/>
      <c r="ABG6" s="40"/>
      <c r="ABH6" s="40"/>
      <c r="ABI6" s="40"/>
      <c r="ABJ6" s="40"/>
      <c r="ABK6" s="40"/>
      <c r="ABL6" s="40"/>
      <c r="ABM6" s="40"/>
      <c r="ABN6" s="40"/>
      <c r="ABO6" s="40"/>
      <c r="ABP6" s="40"/>
      <c r="ABQ6" s="40"/>
      <c r="ABR6" s="40"/>
      <c r="ABS6" s="40"/>
      <c r="ABT6" s="40"/>
      <c r="ABU6" s="40"/>
      <c r="ABV6" s="40"/>
      <c r="ABW6" s="40"/>
      <c r="ABX6" s="40"/>
      <c r="ABY6" s="40"/>
      <c r="ABZ6" s="40"/>
      <c r="ACA6" s="40"/>
      <c r="ACB6" s="40"/>
      <c r="ACC6" s="40"/>
      <c r="ACD6" s="40"/>
      <c r="ACE6" s="40"/>
      <c r="ACF6" s="40"/>
      <c r="ACG6" s="40"/>
      <c r="ACH6" s="40"/>
      <c r="ACI6" s="40"/>
      <c r="ACJ6" s="40"/>
      <c r="ACK6" s="40"/>
      <c r="ACL6" s="40"/>
      <c r="ACM6" s="40"/>
      <c r="ACN6" s="40"/>
      <c r="ACO6" s="40"/>
      <c r="ACP6" s="40"/>
      <c r="ACQ6" s="40"/>
      <c r="ACR6" s="40"/>
      <c r="ACS6" s="40"/>
      <c r="ACT6" s="40"/>
      <c r="ACU6" s="40"/>
      <c r="ACV6" s="40"/>
      <c r="ACW6" s="40"/>
      <c r="ACX6" s="40"/>
      <c r="ACY6" s="40"/>
      <c r="ACZ6" s="40"/>
      <c r="ADA6" s="40"/>
      <c r="ADB6" s="40"/>
      <c r="ADC6" s="40"/>
      <c r="ADD6" s="40"/>
      <c r="ADE6" s="40"/>
      <c r="ADF6" s="40"/>
      <c r="ADG6" s="40"/>
      <c r="ADH6" s="40"/>
      <c r="ADI6" s="40"/>
      <c r="ADJ6" s="40"/>
      <c r="ADK6" s="40"/>
      <c r="ADL6" s="40"/>
      <c r="ADM6" s="40"/>
      <c r="ADN6" s="40"/>
      <c r="ADO6" s="40"/>
      <c r="ADP6" s="40"/>
      <c r="ADQ6" s="40"/>
      <c r="ADR6" s="40"/>
      <c r="ADS6" s="40"/>
      <c r="ADT6" s="40"/>
      <c r="ADU6" s="40"/>
      <c r="ADV6" s="40"/>
      <c r="ADW6" s="40"/>
      <c r="ADX6" s="40"/>
      <c r="ADY6" s="40"/>
      <c r="ADZ6" s="40"/>
      <c r="AEA6" s="40"/>
      <c r="AEB6" s="40"/>
      <c r="AEC6" s="40"/>
      <c r="AED6" s="40"/>
      <c r="AEE6" s="40"/>
      <c r="AEF6" s="40"/>
      <c r="AEG6" s="40"/>
      <c r="AEH6" s="40"/>
      <c r="AEI6" s="40"/>
      <c r="AEJ6" s="40"/>
      <c r="AEK6" s="40"/>
      <c r="AEL6" s="40"/>
      <c r="AEM6" s="40"/>
      <c r="AEN6" s="40"/>
      <c r="AEO6" s="40"/>
      <c r="AEP6" s="40"/>
      <c r="AEQ6" s="40"/>
      <c r="AER6" s="40"/>
      <c r="AES6" s="40"/>
      <c r="AET6" s="40"/>
      <c r="AEU6" s="40"/>
      <c r="AEV6" s="40"/>
      <c r="AEW6" s="40"/>
      <c r="AEX6" s="40"/>
      <c r="AEY6" s="40"/>
      <c r="AEZ6" s="40"/>
      <c r="AFA6" s="40"/>
      <c r="AFB6" s="40"/>
      <c r="AFC6" s="40"/>
      <c r="AFD6" s="40"/>
      <c r="AFE6" s="40"/>
      <c r="AFF6" s="40"/>
      <c r="AFG6" s="40"/>
      <c r="AFH6" s="40"/>
      <c r="AFI6" s="40"/>
      <c r="AFJ6" s="40"/>
      <c r="AFK6" s="40"/>
      <c r="AFL6" s="40"/>
      <c r="AFM6" s="40"/>
      <c r="AFN6" s="40"/>
      <c r="AFO6" s="40"/>
      <c r="AFP6" s="40"/>
      <c r="AFQ6" s="40"/>
      <c r="AFR6" s="40"/>
      <c r="AFS6" s="40"/>
      <c r="AFT6" s="40"/>
      <c r="AFU6" s="40"/>
      <c r="AFV6" s="40"/>
      <c r="AFW6" s="40"/>
      <c r="AFX6" s="40"/>
      <c r="AFY6" s="40"/>
      <c r="AFZ6" s="40"/>
      <c r="AGA6" s="40"/>
      <c r="AGB6" s="40"/>
      <c r="AGC6" s="40"/>
      <c r="AGD6" s="40"/>
      <c r="AGE6" s="40"/>
      <c r="AGF6" s="40"/>
      <c r="AGG6" s="40"/>
      <c r="AGH6" s="40"/>
      <c r="AGI6" s="40"/>
      <c r="AGJ6" s="40"/>
      <c r="AGK6" s="40"/>
      <c r="AGL6" s="40"/>
      <c r="AGM6" s="40"/>
      <c r="AGN6" s="40"/>
      <c r="AGO6" s="40"/>
      <c r="AGP6" s="40"/>
      <c r="AGQ6" s="40"/>
      <c r="AGR6" s="40"/>
      <c r="AGS6" s="40"/>
      <c r="AGT6" s="40"/>
      <c r="AGU6" s="40"/>
      <c r="AGV6" s="40"/>
      <c r="AGW6" s="40"/>
      <c r="AGX6" s="40"/>
      <c r="AGY6" s="40"/>
      <c r="AGZ6" s="40"/>
      <c r="AHA6" s="40"/>
      <c r="AHB6" s="40"/>
      <c r="AHC6" s="40"/>
      <c r="AHD6" s="40"/>
      <c r="AHE6" s="40"/>
      <c r="AHF6" s="40"/>
      <c r="AHG6" s="40"/>
      <c r="AHH6" s="40"/>
      <c r="AHI6" s="40"/>
      <c r="AHJ6" s="40"/>
      <c r="AHK6" s="40"/>
      <c r="AHL6" s="40"/>
      <c r="AHM6" s="40"/>
      <c r="AHN6" s="40"/>
      <c r="AHO6" s="40"/>
      <c r="AHP6" s="40"/>
      <c r="AHQ6" s="40"/>
      <c r="AHR6" s="40"/>
      <c r="AHS6" s="40"/>
      <c r="AHT6" s="40"/>
      <c r="AHU6" s="40"/>
      <c r="AHV6" s="40"/>
      <c r="AHW6" s="40"/>
      <c r="AHX6" s="40"/>
      <c r="AHY6" s="40"/>
      <c r="AHZ6" s="40"/>
      <c r="AIA6" s="40"/>
      <c r="AIB6" s="40"/>
      <c r="AIC6" s="40"/>
      <c r="AID6" s="40"/>
      <c r="AIE6" s="40"/>
      <c r="AIF6" s="40"/>
      <c r="AIG6" s="40"/>
      <c r="AIH6" s="40"/>
      <c r="AII6" s="40"/>
      <c r="AIJ6" s="40"/>
      <c r="AIK6" s="40"/>
      <c r="AIL6" s="40"/>
      <c r="AIM6" s="40"/>
      <c r="AIN6" s="40"/>
      <c r="AIO6" s="40"/>
      <c r="AIP6" s="40"/>
      <c r="AIQ6" s="40"/>
      <c r="AIR6" s="40"/>
      <c r="AIS6" s="40"/>
      <c r="AIT6" s="40"/>
      <c r="AIU6" s="40"/>
      <c r="AIV6" s="40"/>
      <c r="AIW6" s="40"/>
      <c r="AIX6" s="40"/>
      <c r="AIY6" s="40"/>
      <c r="AIZ6" s="40"/>
      <c r="AJA6" s="40"/>
      <c r="AJB6" s="40"/>
      <c r="AJC6" s="40"/>
      <c r="AJD6" s="40"/>
      <c r="AJE6" s="40"/>
      <c r="AJF6" s="40"/>
      <c r="AJG6" s="40"/>
      <c r="AJH6" s="40"/>
      <c r="AJI6" s="40"/>
      <c r="AJJ6" s="40"/>
      <c r="AJK6" s="40"/>
      <c r="AJL6" s="40"/>
      <c r="AJM6" s="40"/>
      <c r="AJN6" s="40"/>
      <c r="AJO6" s="40"/>
      <c r="AJP6" s="40"/>
      <c r="AJQ6" s="40"/>
      <c r="AJR6" s="40"/>
      <c r="AJS6" s="40"/>
      <c r="AJT6" s="40"/>
      <c r="AJU6" s="40"/>
      <c r="AJV6" s="40"/>
      <c r="AJW6" s="40"/>
      <c r="AJX6" s="40"/>
      <c r="AJY6" s="40"/>
      <c r="AJZ6" s="40"/>
      <c r="AKA6" s="40"/>
      <c r="AKB6" s="40"/>
      <c r="AKC6" s="40"/>
      <c r="AKD6" s="40"/>
      <c r="AKE6" s="40"/>
      <c r="AKF6" s="40"/>
      <c r="AKG6" s="40"/>
      <c r="AKH6" s="40"/>
      <c r="AKI6" s="40"/>
      <c r="AKJ6" s="40"/>
      <c r="AKK6" s="40"/>
      <c r="AKL6" s="40"/>
      <c r="AKM6" s="40"/>
      <c r="AKN6" s="40"/>
      <c r="AKO6" s="40"/>
      <c r="AKP6" s="40"/>
      <c r="AKQ6" s="40"/>
      <c r="AKR6" s="40"/>
      <c r="AKS6" s="40"/>
      <c r="AKT6" s="40"/>
      <c r="AKU6" s="40"/>
      <c r="AKV6" s="40"/>
      <c r="AKW6" s="40"/>
      <c r="AKX6" s="40"/>
      <c r="AKY6" s="40"/>
      <c r="AKZ6" s="40"/>
      <c r="ALA6" s="40"/>
      <c r="ALB6" s="40"/>
      <c r="ALC6" s="40"/>
      <c r="ALD6" s="40"/>
      <c r="ALE6" s="40"/>
      <c r="ALF6" s="40"/>
      <c r="ALG6" s="40"/>
      <c r="ALH6" s="40"/>
      <c r="ALI6" s="40"/>
      <c r="ALJ6" s="40"/>
      <c r="ALK6" s="40"/>
      <c r="ALL6" s="40"/>
      <c r="ALM6" s="40"/>
      <c r="ALN6" s="40"/>
      <c r="ALO6" s="40"/>
      <c r="ALP6" s="40"/>
      <c r="ALQ6" s="40"/>
      <c r="ALR6" s="40"/>
      <c r="ALS6" s="40"/>
      <c r="ALT6" s="40"/>
      <c r="ALU6" s="40"/>
      <c r="ALV6" s="40"/>
      <c r="ALW6" s="40"/>
      <c r="ALX6" s="40"/>
      <c r="ALY6" s="40"/>
      <c r="ALZ6" s="40"/>
      <c r="AMA6" s="40"/>
      <c r="AMB6" s="40"/>
      <c r="AMC6" s="40"/>
      <c r="AMD6" s="40"/>
      <c r="AME6" s="40"/>
      <c r="AMF6" s="40"/>
      <c r="AMG6" s="40"/>
      <c r="AMH6" s="40"/>
      <c r="AMI6" s="40"/>
      <c r="AMJ6" s="40"/>
      <c r="AMK6" s="40"/>
      <c r="AML6" s="40"/>
    </row>
    <row r="7" ht="15.75" customHeight="1">
      <c r="A7" s="38" t="s">
        <v>20</v>
      </c>
      <c r="B7" s="38" t="s">
        <v>20</v>
      </c>
      <c r="C7" s="35" t="s">
        <v>18</v>
      </c>
      <c r="D7" s="35" t="s">
        <v>28</v>
      </c>
      <c r="E7" s="35" t="s">
        <v>28</v>
      </c>
      <c r="F7" s="35" t="s">
        <v>23</v>
      </c>
      <c r="G7" s="37">
        <v>1.0</v>
      </c>
      <c r="H7" s="37">
        <v>1.0</v>
      </c>
      <c r="I7" s="37">
        <v>1.0</v>
      </c>
      <c r="J7" s="38"/>
      <c r="K7" s="37">
        <v>0.0</v>
      </c>
      <c r="L7" s="37">
        <v>0.0</v>
      </c>
      <c r="M7" s="37">
        <v>0.0</v>
      </c>
      <c r="N7" s="38"/>
      <c r="O7" s="37">
        <v>0.0</v>
      </c>
      <c r="P7" s="39">
        <v>0.0</v>
      </c>
      <c r="Q7" s="39">
        <v>0.0</v>
      </c>
      <c r="R7" s="39">
        <v>0.0</v>
      </c>
      <c r="S7" s="39">
        <v>0.0</v>
      </c>
      <c r="T7" s="38" t="s">
        <v>28</v>
      </c>
      <c r="U7" s="38"/>
      <c r="V7" s="38"/>
      <c r="W7" s="38"/>
      <c r="X7" s="38"/>
      <c r="Y7" s="38"/>
      <c r="Z7" s="38"/>
      <c r="AA7" s="38"/>
      <c r="AB7" s="38" t="s">
        <v>20</v>
      </c>
      <c r="AC7" s="38" t="s">
        <v>20</v>
      </c>
      <c r="AD7" s="38" t="s">
        <v>20</v>
      </c>
      <c r="AE7" s="38" t="s">
        <v>20</v>
      </c>
      <c r="AF7" s="38" t="s">
        <v>20</v>
      </c>
      <c r="AG7" s="38" t="s">
        <v>20</v>
      </c>
      <c r="AH7" s="38" t="s">
        <v>20</v>
      </c>
      <c r="AI7" s="38" t="s">
        <v>20</v>
      </c>
      <c r="AJ7" s="38" t="s">
        <v>20</v>
      </c>
      <c r="AK7" s="38" t="s">
        <v>20</v>
      </c>
      <c r="AL7" s="38" t="s">
        <v>20</v>
      </c>
      <c r="AM7" s="38" t="s">
        <v>20</v>
      </c>
      <c r="AN7" s="38" t="s">
        <v>20</v>
      </c>
      <c r="AO7" s="38" t="s">
        <v>20</v>
      </c>
      <c r="AP7" s="38" t="s">
        <v>20</v>
      </c>
      <c r="AQ7" s="38" t="s">
        <v>20</v>
      </c>
      <c r="AR7" s="38" t="s">
        <v>20</v>
      </c>
      <c r="AS7" s="38" t="s">
        <v>20</v>
      </c>
      <c r="AT7" s="38" t="s">
        <v>20</v>
      </c>
      <c r="AU7" s="38" t="s">
        <v>20</v>
      </c>
      <c r="AV7" s="38" t="s">
        <v>20</v>
      </c>
      <c r="AW7" s="38" t="s">
        <v>20</v>
      </c>
      <c r="AX7" s="38" t="s">
        <v>20</v>
      </c>
      <c r="AY7" s="38" t="s">
        <v>20</v>
      </c>
      <c r="AZ7" s="38" t="s">
        <v>20</v>
      </c>
      <c r="BA7" s="38" t="s">
        <v>20</v>
      </c>
      <c r="BB7" s="38" t="s">
        <v>20</v>
      </c>
      <c r="BC7" s="38" t="s">
        <v>20</v>
      </c>
      <c r="BD7" s="38" t="s">
        <v>20</v>
      </c>
      <c r="BE7" s="38" t="s">
        <v>20</v>
      </c>
      <c r="BF7" s="38" t="s">
        <v>20</v>
      </c>
      <c r="BG7" s="38" t="s">
        <v>20</v>
      </c>
      <c r="BH7" s="38" t="s">
        <v>20</v>
      </c>
      <c r="BI7" s="38" t="s">
        <v>20</v>
      </c>
      <c r="BJ7" s="38" t="s">
        <v>20</v>
      </c>
      <c r="BK7" s="38" t="s">
        <v>20</v>
      </c>
      <c r="BL7" s="38" t="s">
        <v>20</v>
      </c>
      <c r="BM7" s="38" t="s">
        <v>20</v>
      </c>
      <c r="BN7" s="38" t="s">
        <v>20</v>
      </c>
      <c r="BO7" s="38" t="s">
        <v>20</v>
      </c>
      <c r="BP7" s="38" t="s">
        <v>20</v>
      </c>
      <c r="BQ7" s="38" t="s">
        <v>20</v>
      </c>
      <c r="BR7" s="38" t="s">
        <v>20</v>
      </c>
      <c r="BS7" s="38" t="s">
        <v>20</v>
      </c>
      <c r="BT7" s="38" t="s">
        <v>20</v>
      </c>
      <c r="BU7" s="38" t="s">
        <v>20</v>
      </c>
      <c r="BV7" s="38" t="s">
        <v>20</v>
      </c>
      <c r="BW7" s="38" t="s">
        <v>20</v>
      </c>
      <c r="BX7" s="38" t="s">
        <v>20</v>
      </c>
      <c r="BY7" s="38" t="s">
        <v>20</v>
      </c>
      <c r="BZ7" s="38" t="s">
        <v>20</v>
      </c>
      <c r="CA7" s="38" t="s">
        <v>20</v>
      </c>
      <c r="CB7" s="38" t="s">
        <v>20</v>
      </c>
      <c r="CC7" s="38" t="s">
        <v>20</v>
      </c>
      <c r="CD7" s="38" t="s">
        <v>20</v>
      </c>
      <c r="CE7" s="38" t="s">
        <v>20</v>
      </c>
      <c r="CF7" s="38" t="s">
        <v>20</v>
      </c>
      <c r="CG7" s="38" t="s">
        <v>20</v>
      </c>
      <c r="CH7" s="38" t="s">
        <v>20</v>
      </c>
      <c r="CI7" s="38" t="s">
        <v>20</v>
      </c>
      <c r="CJ7" s="38" t="s">
        <v>20</v>
      </c>
      <c r="CK7" s="38" t="s">
        <v>20</v>
      </c>
      <c r="CL7" s="38" t="s">
        <v>20</v>
      </c>
      <c r="CM7" s="38" t="s">
        <v>20</v>
      </c>
      <c r="CN7" s="38" t="s">
        <v>20</v>
      </c>
      <c r="CO7" s="38" t="s">
        <v>20</v>
      </c>
      <c r="CP7" s="38" t="s">
        <v>20</v>
      </c>
      <c r="CQ7" s="38" t="s">
        <v>20</v>
      </c>
      <c r="CR7" s="38" t="s">
        <v>20</v>
      </c>
      <c r="CS7" s="38" t="s">
        <v>20</v>
      </c>
      <c r="CT7" s="38" t="s">
        <v>20</v>
      </c>
      <c r="CU7" s="38" t="s">
        <v>20</v>
      </c>
      <c r="CV7" s="38" t="s">
        <v>20</v>
      </c>
      <c r="CW7" s="38" t="s">
        <v>20</v>
      </c>
      <c r="CX7" s="38" t="s">
        <v>20</v>
      </c>
      <c r="CY7" s="38" t="s">
        <v>20</v>
      </c>
      <c r="CZ7" s="38" t="s">
        <v>20</v>
      </c>
      <c r="DA7" s="38" t="s">
        <v>20</v>
      </c>
      <c r="DB7" s="38" t="s">
        <v>20</v>
      </c>
      <c r="DC7" s="38" t="s">
        <v>20</v>
      </c>
      <c r="DD7" s="38" t="s">
        <v>20</v>
      </c>
      <c r="DE7" s="38" t="s">
        <v>20</v>
      </c>
      <c r="DF7" s="38" t="s">
        <v>20</v>
      </c>
      <c r="DG7" s="38" t="s">
        <v>20</v>
      </c>
      <c r="DH7" s="38" t="s">
        <v>20</v>
      </c>
      <c r="DI7" s="38" t="s">
        <v>20</v>
      </c>
      <c r="DJ7" s="38" t="s">
        <v>20</v>
      </c>
      <c r="DK7" s="38" t="s">
        <v>20</v>
      </c>
      <c r="DL7" s="38" t="s">
        <v>20</v>
      </c>
      <c r="DM7" s="38" t="s">
        <v>20</v>
      </c>
      <c r="DN7" s="38" t="s">
        <v>20</v>
      </c>
      <c r="DO7" s="38" t="s">
        <v>20</v>
      </c>
      <c r="DP7" s="38" t="s">
        <v>20</v>
      </c>
      <c r="DQ7" s="38" t="s">
        <v>20</v>
      </c>
      <c r="DR7" s="38" t="s">
        <v>20</v>
      </c>
      <c r="DS7" s="38" t="s">
        <v>20</v>
      </c>
      <c r="DT7" s="38" t="s">
        <v>20</v>
      </c>
      <c r="DU7" s="38" t="s">
        <v>20</v>
      </c>
      <c r="DV7" s="38" t="s">
        <v>20</v>
      </c>
      <c r="DW7" s="38" t="s">
        <v>20</v>
      </c>
      <c r="DX7" s="38" t="s">
        <v>20</v>
      </c>
      <c r="DY7" s="38" t="s">
        <v>20</v>
      </c>
      <c r="DZ7" s="38" t="s">
        <v>20</v>
      </c>
      <c r="EA7" s="38" t="s">
        <v>20</v>
      </c>
      <c r="EB7" s="38" t="s">
        <v>20</v>
      </c>
      <c r="EC7" s="38" t="s">
        <v>20</v>
      </c>
      <c r="ED7" s="38" t="s">
        <v>20</v>
      </c>
      <c r="EE7" s="38" t="s">
        <v>20</v>
      </c>
      <c r="EF7" s="38" t="s">
        <v>20</v>
      </c>
      <c r="EG7" s="38" t="s">
        <v>20</v>
      </c>
      <c r="EH7" s="38" t="s">
        <v>20</v>
      </c>
      <c r="EI7" s="38" t="s">
        <v>20</v>
      </c>
      <c r="EJ7" s="38" t="s">
        <v>20</v>
      </c>
      <c r="EK7" s="38" t="s">
        <v>20</v>
      </c>
      <c r="EL7" s="38" t="s">
        <v>20</v>
      </c>
      <c r="EM7" s="38" t="s">
        <v>20</v>
      </c>
      <c r="EN7" s="38" t="s">
        <v>20</v>
      </c>
      <c r="EO7" s="38" t="s">
        <v>20</v>
      </c>
      <c r="EP7" s="38" t="s">
        <v>20</v>
      </c>
      <c r="EQ7" s="38" t="s">
        <v>20</v>
      </c>
      <c r="ER7" s="38" t="s">
        <v>20</v>
      </c>
      <c r="ES7" s="38" t="s">
        <v>20</v>
      </c>
      <c r="ET7" s="38" t="s">
        <v>20</v>
      </c>
      <c r="EU7" s="38" t="s">
        <v>20</v>
      </c>
      <c r="EV7" s="38" t="s">
        <v>20</v>
      </c>
      <c r="EW7" s="38" t="s">
        <v>20</v>
      </c>
      <c r="EX7" s="38" t="s">
        <v>20</v>
      </c>
      <c r="EY7" s="38" t="s">
        <v>20</v>
      </c>
      <c r="EZ7" s="38" t="s">
        <v>20</v>
      </c>
      <c r="FA7" s="38" t="s">
        <v>20</v>
      </c>
      <c r="FB7" s="38" t="s">
        <v>20</v>
      </c>
      <c r="FC7" s="38" t="s">
        <v>20</v>
      </c>
      <c r="FD7" s="38" t="s">
        <v>20</v>
      </c>
      <c r="FE7" s="38" t="s">
        <v>20</v>
      </c>
      <c r="FF7" s="38" t="s">
        <v>20</v>
      </c>
      <c r="FG7" s="38" t="s">
        <v>20</v>
      </c>
      <c r="FH7" s="38" t="s">
        <v>20</v>
      </c>
      <c r="FI7" s="38" t="s">
        <v>20</v>
      </c>
      <c r="FJ7" s="38" t="s">
        <v>20</v>
      </c>
      <c r="FK7" s="38" t="s">
        <v>20</v>
      </c>
      <c r="FL7" s="38" t="s">
        <v>20</v>
      </c>
      <c r="FM7" s="38" t="s">
        <v>20</v>
      </c>
      <c r="FN7" s="38" t="s">
        <v>20</v>
      </c>
      <c r="FO7" s="38" t="s">
        <v>20</v>
      </c>
      <c r="FP7" s="38" t="s">
        <v>20</v>
      </c>
      <c r="FQ7" s="38" t="s">
        <v>20</v>
      </c>
      <c r="FR7" s="40"/>
      <c r="FS7" s="40"/>
      <c r="FT7" s="40"/>
      <c r="FU7" s="40"/>
      <c r="FV7" s="40"/>
      <c r="FW7" s="40"/>
      <c r="FX7" s="40"/>
      <c r="FY7" s="40"/>
      <c r="FZ7" s="40"/>
      <c r="GA7" s="40"/>
      <c r="GB7" s="40"/>
      <c r="GC7" s="40"/>
      <c r="GD7" s="40"/>
      <c r="GE7" s="40"/>
      <c r="GF7" s="40"/>
      <c r="GG7" s="40"/>
      <c r="GH7" s="40"/>
      <c r="GI7" s="40"/>
      <c r="GJ7" s="40"/>
      <c r="GK7" s="40"/>
      <c r="GL7" s="40"/>
      <c r="GM7" s="40"/>
      <c r="GN7" s="40"/>
      <c r="GO7" s="40"/>
      <c r="GP7" s="40"/>
      <c r="GQ7" s="40"/>
      <c r="GR7" s="40"/>
      <c r="GS7" s="40"/>
      <c r="GT7" s="40"/>
      <c r="GU7" s="40"/>
      <c r="GV7" s="40"/>
      <c r="GW7" s="40"/>
      <c r="GX7" s="40"/>
      <c r="GY7" s="40"/>
      <c r="GZ7" s="40"/>
      <c r="HA7" s="40"/>
      <c r="HB7" s="40"/>
      <c r="HC7" s="40"/>
      <c r="HD7" s="40"/>
      <c r="HE7" s="40"/>
      <c r="HF7" s="40"/>
      <c r="HG7" s="40"/>
      <c r="HH7" s="40"/>
      <c r="HI7" s="40"/>
      <c r="HJ7" s="40"/>
      <c r="HK7" s="40"/>
      <c r="HL7" s="40"/>
      <c r="HM7" s="40"/>
      <c r="HN7" s="40"/>
      <c r="HO7" s="40"/>
      <c r="HP7" s="40"/>
      <c r="HQ7" s="40"/>
      <c r="HR7" s="40"/>
      <c r="HS7" s="40"/>
      <c r="HT7" s="40"/>
      <c r="HU7" s="40"/>
      <c r="HV7" s="40"/>
      <c r="HW7" s="40"/>
      <c r="HX7" s="40"/>
      <c r="HY7" s="40"/>
      <c r="HZ7" s="40"/>
      <c r="IA7" s="40"/>
      <c r="IB7" s="40"/>
      <c r="IC7" s="40"/>
      <c r="ID7" s="40"/>
      <c r="IE7" s="40"/>
      <c r="IF7" s="40"/>
      <c r="IG7" s="40"/>
      <c r="IH7" s="40"/>
      <c r="II7" s="40"/>
      <c r="IJ7" s="40"/>
      <c r="IK7" s="40"/>
      <c r="IL7" s="40"/>
      <c r="IM7" s="40"/>
      <c r="IN7" s="40"/>
      <c r="IO7" s="40"/>
      <c r="IP7" s="40"/>
      <c r="IQ7" s="40"/>
      <c r="IR7" s="40"/>
      <c r="IS7" s="40"/>
      <c r="IT7" s="40"/>
      <c r="IU7" s="40"/>
      <c r="IV7" s="40"/>
      <c r="IW7" s="40"/>
      <c r="IX7" s="40"/>
      <c r="IY7" s="40"/>
      <c r="IZ7" s="40"/>
      <c r="JA7" s="40"/>
      <c r="JB7" s="40"/>
      <c r="JC7" s="40"/>
      <c r="JD7" s="40"/>
      <c r="JE7" s="40"/>
      <c r="JF7" s="40"/>
      <c r="JG7" s="40"/>
      <c r="JH7" s="40"/>
      <c r="JI7" s="40"/>
      <c r="JJ7" s="40"/>
      <c r="JK7" s="40"/>
      <c r="JL7" s="40"/>
      <c r="JM7" s="40"/>
      <c r="JN7" s="40"/>
      <c r="JO7" s="40"/>
      <c r="JP7" s="40"/>
      <c r="JQ7" s="40"/>
      <c r="JR7" s="40"/>
      <c r="JS7" s="40"/>
      <c r="JT7" s="40"/>
      <c r="JU7" s="40"/>
      <c r="JV7" s="40"/>
      <c r="JW7" s="40"/>
      <c r="JX7" s="40"/>
      <c r="JY7" s="40"/>
      <c r="JZ7" s="40"/>
      <c r="KA7" s="40"/>
      <c r="KB7" s="40"/>
      <c r="KC7" s="40"/>
      <c r="KD7" s="40"/>
      <c r="KE7" s="40"/>
      <c r="KF7" s="40"/>
      <c r="KG7" s="40"/>
      <c r="KH7" s="40"/>
      <c r="KI7" s="40"/>
      <c r="KJ7" s="40"/>
      <c r="KK7" s="40"/>
      <c r="KL7" s="40"/>
      <c r="KM7" s="40"/>
      <c r="KN7" s="40"/>
      <c r="KO7" s="40"/>
      <c r="KP7" s="40"/>
      <c r="KQ7" s="40"/>
      <c r="KR7" s="40"/>
      <c r="KS7" s="40"/>
      <c r="KT7" s="40"/>
      <c r="KU7" s="40"/>
      <c r="KV7" s="40"/>
      <c r="KW7" s="40"/>
      <c r="KX7" s="40"/>
      <c r="KY7" s="40"/>
      <c r="KZ7" s="40"/>
      <c r="LA7" s="40"/>
      <c r="LB7" s="40"/>
      <c r="LC7" s="40"/>
      <c r="LD7" s="40"/>
      <c r="LE7" s="40"/>
      <c r="LF7" s="40"/>
      <c r="LG7" s="40"/>
      <c r="LH7" s="40"/>
      <c r="LI7" s="40"/>
      <c r="LJ7" s="40"/>
      <c r="LK7" s="40"/>
      <c r="LL7" s="40"/>
      <c r="LM7" s="40"/>
      <c r="LN7" s="40"/>
      <c r="LO7" s="40"/>
      <c r="LP7" s="40"/>
      <c r="LQ7" s="40"/>
      <c r="LR7" s="40"/>
      <c r="LS7" s="40"/>
      <c r="LT7" s="40"/>
      <c r="LU7" s="40"/>
      <c r="LV7" s="40"/>
      <c r="LW7" s="40"/>
      <c r="LX7" s="40"/>
      <c r="LY7" s="40"/>
      <c r="LZ7" s="40"/>
      <c r="MA7" s="40"/>
      <c r="MB7" s="40"/>
      <c r="MC7" s="40"/>
      <c r="MD7" s="40"/>
      <c r="ME7" s="40"/>
      <c r="MF7" s="40"/>
      <c r="MG7" s="40"/>
      <c r="MH7" s="40"/>
      <c r="MI7" s="40"/>
      <c r="MJ7" s="40"/>
      <c r="MK7" s="40"/>
      <c r="ML7" s="40"/>
      <c r="MM7" s="40"/>
      <c r="MN7" s="40"/>
      <c r="MO7" s="40"/>
      <c r="MP7" s="40"/>
      <c r="MQ7" s="40"/>
      <c r="MR7" s="40"/>
      <c r="MS7" s="40"/>
      <c r="MT7" s="40"/>
      <c r="MU7" s="40"/>
      <c r="MV7" s="40"/>
      <c r="MW7" s="40"/>
      <c r="MX7" s="40"/>
      <c r="MY7" s="40"/>
      <c r="MZ7" s="40"/>
      <c r="NA7" s="40"/>
      <c r="NB7" s="40"/>
      <c r="NC7" s="40"/>
      <c r="ND7" s="40"/>
      <c r="NE7" s="40"/>
      <c r="NF7" s="40"/>
      <c r="NG7" s="40"/>
      <c r="NH7" s="40"/>
      <c r="NI7" s="40"/>
      <c r="NJ7" s="40"/>
      <c r="NK7" s="40"/>
      <c r="NL7" s="40"/>
      <c r="NM7" s="40"/>
      <c r="NN7" s="40"/>
      <c r="NO7" s="40"/>
      <c r="NP7" s="40"/>
      <c r="NQ7" s="40"/>
      <c r="NR7" s="40"/>
      <c r="NS7" s="40"/>
      <c r="NT7" s="40"/>
      <c r="NU7" s="40"/>
      <c r="NV7" s="40"/>
      <c r="NW7" s="40"/>
      <c r="NX7" s="40"/>
      <c r="NY7" s="40"/>
      <c r="NZ7" s="40"/>
      <c r="OA7" s="40"/>
      <c r="OB7" s="40"/>
      <c r="OC7" s="40"/>
      <c r="OD7" s="40"/>
      <c r="OE7" s="40"/>
      <c r="OF7" s="40"/>
      <c r="OG7" s="40"/>
      <c r="OH7" s="40"/>
      <c r="OI7" s="40"/>
      <c r="OJ7" s="40"/>
      <c r="OK7" s="40"/>
      <c r="OL7" s="40"/>
      <c r="OM7" s="40"/>
      <c r="ON7" s="40"/>
      <c r="OO7" s="40"/>
      <c r="OP7" s="40"/>
      <c r="OQ7" s="40"/>
      <c r="OR7" s="40"/>
      <c r="OS7" s="40"/>
      <c r="OT7" s="40"/>
      <c r="OU7" s="40"/>
      <c r="OV7" s="40"/>
      <c r="OW7" s="40"/>
      <c r="OX7" s="40"/>
      <c r="OY7" s="40"/>
      <c r="OZ7" s="40"/>
      <c r="PA7" s="40"/>
      <c r="PB7" s="40"/>
      <c r="PC7" s="40"/>
      <c r="PD7" s="40"/>
      <c r="PE7" s="40"/>
      <c r="PF7" s="40"/>
      <c r="PG7" s="40"/>
      <c r="PH7" s="40"/>
      <c r="PI7" s="40"/>
      <c r="PJ7" s="40"/>
      <c r="PK7" s="40"/>
      <c r="PL7" s="40"/>
      <c r="PM7" s="40"/>
      <c r="PN7" s="40"/>
      <c r="PO7" s="40"/>
      <c r="PP7" s="40"/>
      <c r="PQ7" s="40"/>
      <c r="PR7" s="40"/>
      <c r="PS7" s="40"/>
      <c r="PT7" s="40"/>
      <c r="PU7" s="40"/>
      <c r="PV7" s="40"/>
      <c r="PW7" s="40"/>
      <c r="PX7" s="40"/>
      <c r="PY7" s="40"/>
      <c r="PZ7" s="40"/>
      <c r="QA7" s="40"/>
      <c r="QB7" s="40"/>
      <c r="QC7" s="40"/>
      <c r="QD7" s="40"/>
      <c r="QE7" s="40"/>
      <c r="QF7" s="40"/>
      <c r="QG7" s="40"/>
      <c r="QH7" s="40"/>
      <c r="QI7" s="40"/>
      <c r="QJ7" s="40"/>
      <c r="QK7" s="40"/>
      <c r="QL7" s="40"/>
      <c r="QM7" s="40"/>
      <c r="QN7" s="40"/>
      <c r="QO7" s="40"/>
      <c r="QP7" s="40"/>
      <c r="QQ7" s="40"/>
      <c r="QR7" s="40"/>
      <c r="QS7" s="40"/>
      <c r="QT7" s="40"/>
      <c r="QU7" s="40"/>
      <c r="QV7" s="40"/>
      <c r="QW7" s="40"/>
      <c r="QX7" s="40"/>
      <c r="QY7" s="40"/>
      <c r="QZ7" s="40"/>
      <c r="RA7" s="40"/>
      <c r="RB7" s="40"/>
      <c r="RC7" s="40"/>
      <c r="RD7" s="40"/>
      <c r="RE7" s="40"/>
      <c r="RF7" s="40"/>
      <c r="RG7" s="40"/>
      <c r="RH7" s="40"/>
      <c r="RI7" s="40"/>
      <c r="RJ7" s="40"/>
      <c r="RK7" s="40"/>
      <c r="RL7" s="40"/>
      <c r="RM7" s="40"/>
      <c r="RN7" s="40"/>
      <c r="RO7" s="40"/>
      <c r="RP7" s="40"/>
      <c r="RQ7" s="40"/>
      <c r="RR7" s="40"/>
      <c r="RS7" s="40"/>
      <c r="RT7" s="40"/>
      <c r="RU7" s="40"/>
      <c r="RV7" s="40"/>
      <c r="RW7" s="40"/>
      <c r="RX7" s="40"/>
      <c r="RY7" s="40"/>
      <c r="RZ7" s="40"/>
      <c r="SA7" s="40"/>
      <c r="SB7" s="40"/>
      <c r="SC7" s="40"/>
      <c r="SD7" s="40"/>
      <c r="SE7" s="40"/>
      <c r="SF7" s="40"/>
      <c r="SG7" s="40"/>
      <c r="SH7" s="40"/>
      <c r="SI7" s="40"/>
      <c r="SJ7" s="40"/>
      <c r="SK7" s="40"/>
      <c r="SL7" s="40"/>
      <c r="SM7" s="40"/>
      <c r="SN7" s="40"/>
      <c r="SO7" s="40"/>
      <c r="SP7" s="40"/>
      <c r="SQ7" s="40"/>
      <c r="SR7" s="40"/>
      <c r="SS7" s="40"/>
      <c r="ST7" s="40"/>
      <c r="SU7" s="40"/>
      <c r="SV7" s="40"/>
      <c r="SW7" s="40"/>
      <c r="SX7" s="40"/>
      <c r="SY7" s="40"/>
      <c r="SZ7" s="40"/>
      <c r="TA7" s="40"/>
      <c r="TB7" s="40"/>
      <c r="TC7" s="40"/>
      <c r="TD7" s="40"/>
      <c r="TE7" s="40"/>
      <c r="TF7" s="40"/>
      <c r="TG7" s="40"/>
      <c r="TH7" s="40"/>
      <c r="TI7" s="40"/>
      <c r="TJ7" s="40"/>
      <c r="TK7" s="40"/>
      <c r="TL7" s="40"/>
      <c r="TM7" s="40"/>
      <c r="TN7" s="40"/>
      <c r="TO7" s="40"/>
      <c r="TP7" s="40"/>
      <c r="TQ7" s="40"/>
      <c r="TR7" s="40"/>
      <c r="TS7" s="40"/>
      <c r="TT7" s="40"/>
      <c r="TU7" s="40"/>
      <c r="TV7" s="40"/>
      <c r="TW7" s="40"/>
      <c r="TX7" s="40"/>
      <c r="TY7" s="40"/>
      <c r="TZ7" s="40"/>
      <c r="UA7" s="40"/>
      <c r="UB7" s="40"/>
      <c r="UC7" s="40"/>
      <c r="UD7" s="40"/>
      <c r="UE7" s="40"/>
      <c r="UF7" s="40"/>
      <c r="UG7" s="40"/>
      <c r="UH7" s="40"/>
      <c r="UI7" s="40"/>
      <c r="UJ7" s="40"/>
      <c r="UK7" s="40"/>
      <c r="UL7" s="40"/>
      <c r="UM7" s="40"/>
      <c r="UN7" s="40"/>
      <c r="UO7" s="40"/>
      <c r="UP7" s="40"/>
      <c r="UQ7" s="40"/>
      <c r="UR7" s="40"/>
      <c r="US7" s="40"/>
      <c r="UT7" s="40"/>
      <c r="UU7" s="40"/>
      <c r="UV7" s="40"/>
      <c r="UW7" s="40"/>
      <c r="UX7" s="40"/>
      <c r="UY7" s="40"/>
      <c r="UZ7" s="40"/>
      <c r="VA7" s="40"/>
      <c r="VB7" s="40"/>
      <c r="VC7" s="40"/>
      <c r="VD7" s="40"/>
      <c r="VE7" s="40"/>
      <c r="VF7" s="40"/>
      <c r="VG7" s="40"/>
      <c r="VH7" s="40"/>
      <c r="VI7" s="40"/>
      <c r="VJ7" s="40"/>
      <c r="VK7" s="40"/>
      <c r="VL7" s="40"/>
      <c r="VM7" s="40"/>
      <c r="VN7" s="40"/>
      <c r="VO7" s="40"/>
      <c r="VP7" s="40"/>
      <c r="VQ7" s="40"/>
      <c r="VR7" s="40"/>
      <c r="VS7" s="40"/>
      <c r="VT7" s="40"/>
      <c r="VU7" s="40"/>
      <c r="VV7" s="40"/>
      <c r="VW7" s="40"/>
      <c r="VX7" s="40"/>
      <c r="VY7" s="40"/>
      <c r="VZ7" s="40"/>
      <c r="WA7" s="40"/>
      <c r="WB7" s="40"/>
      <c r="WC7" s="40"/>
      <c r="WD7" s="40"/>
      <c r="WE7" s="40"/>
      <c r="WF7" s="40"/>
      <c r="WG7" s="40"/>
      <c r="WH7" s="40"/>
      <c r="WI7" s="40"/>
      <c r="WJ7" s="40"/>
      <c r="WK7" s="40"/>
      <c r="WL7" s="40"/>
      <c r="WM7" s="40"/>
      <c r="WN7" s="40"/>
      <c r="WO7" s="40"/>
      <c r="WP7" s="40"/>
      <c r="WQ7" s="40"/>
      <c r="WR7" s="40"/>
      <c r="WS7" s="40"/>
      <c r="WT7" s="40"/>
      <c r="WU7" s="40"/>
      <c r="WV7" s="40"/>
      <c r="WW7" s="40"/>
      <c r="WX7" s="40"/>
      <c r="WY7" s="40"/>
      <c r="WZ7" s="40"/>
      <c r="XA7" s="40"/>
      <c r="XB7" s="40"/>
      <c r="XC7" s="40"/>
      <c r="XD7" s="40"/>
      <c r="XE7" s="40"/>
      <c r="XF7" s="40"/>
      <c r="XG7" s="40"/>
      <c r="XH7" s="40"/>
      <c r="XI7" s="40"/>
      <c r="XJ7" s="40"/>
      <c r="XK7" s="40"/>
      <c r="XL7" s="40"/>
      <c r="XM7" s="40"/>
      <c r="XN7" s="40"/>
      <c r="XO7" s="40"/>
      <c r="XP7" s="40"/>
      <c r="XQ7" s="40"/>
      <c r="XR7" s="40"/>
      <c r="XS7" s="40"/>
      <c r="XT7" s="40"/>
      <c r="XU7" s="40"/>
      <c r="XV7" s="40"/>
      <c r="XW7" s="40"/>
      <c r="XX7" s="40"/>
      <c r="XY7" s="40"/>
      <c r="XZ7" s="40"/>
      <c r="YA7" s="40"/>
      <c r="YB7" s="40"/>
      <c r="YC7" s="40"/>
      <c r="YD7" s="40"/>
      <c r="YE7" s="40"/>
      <c r="YF7" s="40"/>
      <c r="YG7" s="40"/>
      <c r="YH7" s="40"/>
      <c r="YI7" s="40"/>
      <c r="YJ7" s="40"/>
      <c r="YK7" s="40"/>
      <c r="YL7" s="40"/>
      <c r="YM7" s="40"/>
      <c r="YN7" s="40"/>
      <c r="YO7" s="40"/>
      <c r="YP7" s="40"/>
      <c r="YQ7" s="40"/>
      <c r="YR7" s="40"/>
      <c r="YS7" s="40"/>
      <c r="YT7" s="40"/>
      <c r="YU7" s="40"/>
      <c r="YV7" s="40"/>
      <c r="YW7" s="40"/>
      <c r="YX7" s="40"/>
      <c r="YY7" s="40"/>
      <c r="YZ7" s="40"/>
      <c r="ZA7" s="40"/>
      <c r="ZB7" s="40"/>
      <c r="ZC7" s="40"/>
      <c r="ZD7" s="40"/>
      <c r="ZE7" s="40"/>
      <c r="ZF7" s="40"/>
      <c r="ZG7" s="40"/>
      <c r="ZH7" s="40"/>
      <c r="ZI7" s="40"/>
      <c r="ZJ7" s="40"/>
      <c r="ZK7" s="40"/>
      <c r="ZL7" s="40"/>
      <c r="ZM7" s="40"/>
      <c r="ZN7" s="40"/>
      <c r="ZO7" s="40"/>
      <c r="ZP7" s="40"/>
      <c r="ZQ7" s="40"/>
      <c r="ZR7" s="40"/>
      <c r="ZS7" s="40"/>
      <c r="ZT7" s="40"/>
      <c r="ZU7" s="40"/>
      <c r="ZV7" s="40"/>
      <c r="ZW7" s="40"/>
      <c r="ZX7" s="40"/>
      <c r="ZY7" s="40"/>
      <c r="ZZ7" s="40"/>
      <c r="AAA7" s="40"/>
      <c r="AAB7" s="40"/>
      <c r="AAC7" s="40"/>
      <c r="AAD7" s="40"/>
      <c r="AAE7" s="40"/>
      <c r="AAF7" s="40"/>
      <c r="AAG7" s="40"/>
      <c r="AAH7" s="40"/>
      <c r="AAI7" s="40"/>
      <c r="AAJ7" s="40"/>
      <c r="AAK7" s="40"/>
      <c r="AAL7" s="40"/>
      <c r="AAM7" s="40"/>
      <c r="AAN7" s="40"/>
      <c r="AAO7" s="40"/>
      <c r="AAP7" s="40"/>
      <c r="AAQ7" s="40"/>
      <c r="AAR7" s="40"/>
      <c r="AAS7" s="40"/>
      <c r="AAT7" s="40"/>
      <c r="AAU7" s="40"/>
      <c r="AAV7" s="40"/>
      <c r="AAW7" s="40"/>
      <c r="AAX7" s="40"/>
      <c r="AAY7" s="40"/>
      <c r="AAZ7" s="40"/>
      <c r="ABA7" s="40"/>
      <c r="ABB7" s="40"/>
      <c r="ABC7" s="40"/>
      <c r="ABD7" s="40"/>
      <c r="ABE7" s="40"/>
      <c r="ABF7" s="40"/>
      <c r="ABG7" s="40"/>
      <c r="ABH7" s="40"/>
      <c r="ABI7" s="40"/>
      <c r="ABJ7" s="40"/>
      <c r="ABK7" s="40"/>
      <c r="ABL7" s="40"/>
      <c r="ABM7" s="40"/>
      <c r="ABN7" s="40"/>
      <c r="ABO7" s="40"/>
      <c r="ABP7" s="40"/>
      <c r="ABQ7" s="40"/>
      <c r="ABR7" s="40"/>
      <c r="ABS7" s="40"/>
      <c r="ABT7" s="40"/>
      <c r="ABU7" s="40"/>
      <c r="ABV7" s="40"/>
      <c r="ABW7" s="40"/>
      <c r="ABX7" s="40"/>
      <c r="ABY7" s="40"/>
      <c r="ABZ7" s="40"/>
      <c r="ACA7" s="40"/>
      <c r="ACB7" s="40"/>
      <c r="ACC7" s="40"/>
      <c r="ACD7" s="40"/>
      <c r="ACE7" s="40"/>
      <c r="ACF7" s="40"/>
      <c r="ACG7" s="40"/>
      <c r="ACH7" s="40"/>
      <c r="ACI7" s="40"/>
      <c r="ACJ7" s="40"/>
      <c r="ACK7" s="40"/>
      <c r="ACL7" s="40"/>
      <c r="ACM7" s="40"/>
      <c r="ACN7" s="40"/>
      <c r="ACO7" s="40"/>
      <c r="ACP7" s="40"/>
      <c r="ACQ7" s="40"/>
      <c r="ACR7" s="40"/>
      <c r="ACS7" s="40"/>
      <c r="ACT7" s="40"/>
      <c r="ACU7" s="40"/>
      <c r="ACV7" s="40"/>
      <c r="ACW7" s="40"/>
      <c r="ACX7" s="40"/>
      <c r="ACY7" s="40"/>
      <c r="ACZ7" s="40"/>
      <c r="ADA7" s="40"/>
      <c r="ADB7" s="40"/>
      <c r="ADC7" s="40"/>
      <c r="ADD7" s="40"/>
      <c r="ADE7" s="40"/>
      <c r="ADF7" s="40"/>
      <c r="ADG7" s="40"/>
      <c r="ADH7" s="40"/>
      <c r="ADI7" s="40"/>
      <c r="ADJ7" s="40"/>
      <c r="ADK7" s="40"/>
      <c r="ADL7" s="40"/>
      <c r="ADM7" s="40"/>
      <c r="ADN7" s="40"/>
      <c r="ADO7" s="40"/>
      <c r="ADP7" s="40"/>
      <c r="ADQ7" s="40"/>
      <c r="ADR7" s="40"/>
      <c r="ADS7" s="40"/>
      <c r="ADT7" s="40"/>
      <c r="ADU7" s="40"/>
      <c r="ADV7" s="40"/>
      <c r="ADW7" s="40"/>
      <c r="ADX7" s="40"/>
      <c r="ADY7" s="40"/>
      <c r="ADZ7" s="40"/>
      <c r="AEA7" s="40"/>
      <c r="AEB7" s="40"/>
      <c r="AEC7" s="40"/>
      <c r="AED7" s="40"/>
      <c r="AEE7" s="40"/>
      <c r="AEF7" s="40"/>
      <c r="AEG7" s="40"/>
      <c r="AEH7" s="40"/>
      <c r="AEI7" s="40"/>
      <c r="AEJ7" s="40"/>
      <c r="AEK7" s="40"/>
      <c r="AEL7" s="40"/>
      <c r="AEM7" s="40"/>
      <c r="AEN7" s="40"/>
      <c r="AEO7" s="40"/>
      <c r="AEP7" s="40"/>
      <c r="AEQ7" s="40"/>
      <c r="AER7" s="40"/>
      <c r="AES7" s="40"/>
      <c r="AET7" s="40"/>
      <c r="AEU7" s="40"/>
      <c r="AEV7" s="40"/>
      <c r="AEW7" s="40"/>
      <c r="AEX7" s="40"/>
      <c r="AEY7" s="40"/>
      <c r="AEZ7" s="40"/>
      <c r="AFA7" s="40"/>
      <c r="AFB7" s="40"/>
      <c r="AFC7" s="40"/>
      <c r="AFD7" s="40"/>
      <c r="AFE7" s="40"/>
      <c r="AFF7" s="40"/>
      <c r="AFG7" s="40"/>
      <c r="AFH7" s="40"/>
      <c r="AFI7" s="40"/>
      <c r="AFJ7" s="40"/>
      <c r="AFK7" s="40"/>
      <c r="AFL7" s="40"/>
      <c r="AFM7" s="40"/>
      <c r="AFN7" s="40"/>
      <c r="AFO7" s="40"/>
      <c r="AFP7" s="40"/>
      <c r="AFQ7" s="40"/>
      <c r="AFR7" s="40"/>
      <c r="AFS7" s="40"/>
      <c r="AFT7" s="40"/>
      <c r="AFU7" s="40"/>
      <c r="AFV7" s="40"/>
      <c r="AFW7" s="40"/>
      <c r="AFX7" s="40"/>
      <c r="AFY7" s="40"/>
      <c r="AFZ7" s="40"/>
      <c r="AGA7" s="40"/>
      <c r="AGB7" s="40"/>
      <c r="AGC7" s="40"/>
      <c r="AGD7" s="40"/>
      <c r="AGE7" s="40"/>
      <c r="AGF7" s="40"/>
      <c r="AGG7" s="40"/>
      <c r="AGH7" s="40"/>
      <c r="AGI7" s="40"/>
      <c r="AGJ7" s="40"/>
      <c r="AGK7" s="40"/>
      <c r="AGL7" s="40"/>
      <c r="AGM7" s="40"/>
      <c r="AGN7" s="40"/>
      <c r="AGO7" s="40"/>
      <c r="AGP7" s="40"/>
      <c r="AGQ7" s="40"/>
      <c r="AGR7" s="40"/>
      <c r="AGS7" s="40"/>
      <c r="AGT7" s="40"/>
      <c r="AGU7" s="40"/>
      <c r="AGV7" s="40"/>
      <c r="AGW7" s="40"/>
      <c r="AGX7" s="40"/>
      <c r="AGY7" s="40"/>
      <c r="AGZ7" s="40"/>
      <c r="AHA7" s="40"/>
      <c r="AHB7" s="40"/>
      <c r="AHC7" s="40"/>
      <c r="AHD7" s="40"/>
      <c r="AHE7" s="40"/>
      <c r="AHF7" s="40"/>
      <c r="AHG7" s="40"/>
      <c r="AHH7" s="40"/>
      <c r="AHI7" s="40"/>
      <c r="AHJ7" s="40"/>
      <c r="AHK7" s="40"/>
      <c r="AHL7" s="40"/>
      <c r="AHM7" s="40"/>
      <c r="AHN7" s="40"/>
      <c r="AHO7" s="40"/>
      <c r="AHP7" s="40"/>
      <c r="AHQ7" s="40"/>
      <c r="AHR7" s="40"/>
      <c r="AHS7" s="40"/>
      <c r="AHT7" s="40"/>
      <c r="AHU7" s="40"/>
      <c r="AHV7" s="40"/>
      <c r="AHW7" s="40"/>
      <c r="AHX7" s="40"/>
      <c r="AHY7" s="40"/>
      <c r="AHZ7" s="40"/>
      <c r="AIA7" s="40"/>
      <c r="AIB7" s="40"/>
      <c r="AIC7" s="40"/>
      <c r="AID7" s="40"/>
      <c r="AIE7" s="40"/>
      <c r="AIF7" s="40"/>
      <c r="AIG7" s="40"/>
      <c r="AIH7" s="40"/>
      <c r="AII7" s="40"/>
      <c r="AIJ7" s="40"/>
      <c r="AIK7" s="40"/>
      <c r="AIL7" s="40"/>
      <c r="AIM7" s="40"/>
      <c r="AIN7" s="40"/>
      <c r="AIO7" s="40"/>
      <c r="AIP7" s="40"/>
      <c r="AIQ7" s="40"/>
      <c r="AIR7" s="40"/>
      <c r="AIS7" s="40"/>
      <c r="AIT7" s="40"/>
      <c r="AIU7" s="40"/>
      <c r="AIV7" s="40"/>
      <c r="AIW7" s="40"/>
      <c r="AIX7" s="40"/>
      <c r="AIY7" s="40"/>
      <c r="AIZ7" s="40"/>
      <c r="AJA7" s="40"/>
      <c r="AJB7" s="40"/>
      <c r="AJC7" s="40"/>
      <c r="AJD7" s="40"/>
      <c r="AJE7" s="40"/>
      <c r="AJF7" s="40"/>
      <c r="AJG7" s="40"/>
      <c r="AJH7" s="40"/>
      <c r="AJI7" s="40"/>
      <c r="AJJ7" s="40"/>
      <c r="AJK7" s="40"/>
      <c r="AJL7" s="40"/>
      <c r="AJM7" s="40"/>
      <c r="AJN7" s="40"/>
      <c r="AJO7" s="40"/>
      <c r="AJP7" s="40"/>
      <c r="AJQ7" s="40"/>
      <c r="AJR7" s="40"/>
      <c r="AJS7" s="40"/>
      <c r="AJT7" s="40"/>
      <c r="AJU7" s="40"/>
      <c r="AJV7" s="40"/>
      <c r="AJW7" s="40"/>
      <c r="AJX7" s="40"/>
      <c r="AJY7" s="40"/>
      <c r="AJZ7" s="40"/>
      <c r="AKA7" s="40"/>
      <c r="AKB7" s="40"/>
      <c r="AKC7" s="40"/>
      <c r="AKD7" s="40"/>
      <c r="AKE7" s="40"/>
      <c r="AKF7" s="40"/>
      <c r="AKG7" s="40"/>
      <c r="AKH7" s="40"/>
      <c r="AKI7" s="40"/>
      <c r="AKJ7" s="40"/>
      <c r="AKK7" s="40"/>
      <c r="AKL7" s="40"/>
      <c r="AKM7" s="40"/>
      <c r="AKN7" s="40"/>
      <c r="AKO7" s="40"/>
      <c r="AKP7" s="40"/>
      <c r="AKQ7" s="40"/>
      <c r="AKR7" s="40"/>
      <c r="AKS7" s="40"/>
      <c r="AKT7" s="40"/>
      <c r="AKU7" s="40"/>
      <c r="AKV7" s="40"/>
      <c r="AKW7" s="40"/>
      <c r="AKX7" s="40"/>
      <c r="AKY7" s="40"/>
      <c r="AKZ7" s="40"/>
      <c r="ALA7" s="40"/>
      <c r="ALB7" s="40"/>
      <c r="ALC7" s="40"/>
      <c r="ALD7" s="40"/>
      <c r="ALE7" s="40"/>
      <c r="ALF7" s="40"/>
      <c r="ALG7" s="40"/>
      <c r="ALH7" s="40"/>
      <c r="ALI7" s="40"/>
      <c r="ALJ7" s="40"/>
      <c r="ALK7" s="40"/>
      <c r="ALL7" s="40"/>
      <c r="ALM7" s="40"/>
      <c r="ALN7" s="40"/>
      <c r="ALO7" s="40"/>
      <c r="ALP7" s="40"/>
      <c r="ALQ7" s="40"/>
      <c r="ALR7" s="40"/>
      <c r="ALS7" s="40"/>
      <c r="ALT7" s="40"/>
      <c r="ALU7" s="40"/>
      <c r="ALV7" s="40"/>
      <c r="ALW7" s="40"/>
      <c r="ALX7" s="40"/>
      <c r="ALY7" s="40"/>
      <c r="ALZ7" s="40"/>
      <c r="AMA7" s="40"/>
      <c r="AMB7" s="40"/>
      <c r="AMC7" s="40"/>
      <c r="AMD7" s="40"/>
      <c r="AME7" s="40"/>
      <c r="AMF7" s="40"/>
      <c r="AMG7" s="40"/>
      <c r="AMH7" s="40"/>
      <c r="AMI7" s="40"/>
      <c r="AMJ7" s="40"/>
      <c r="AMK7" s="40"/>
      <c r="AML7" s="40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VerifyGridData2!$4:$4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IFERROR(__xludf.DUMMYFUNCTION("IF(C3="""","""",Transpose(IMPORTRANGE('_Settings'!$B$3,C3&amp;""!A4:A1000"")))"),"FetchAccountPositions")</f>
        <v>FetchAccountPositions</v>
      </c>
      <c r="C4" s="25" t="str">
        <f>IFERROR(__xludf.DUMMYFUNCTION("""COMPUTED_VALUE"""),"AddCash")</f>
        <v>AddCash</v>
      </c>
      <c r="D4" s="25" t="str">
        <f>IFERROR(__xludf.DUMMYFUNCTION("""COMPUTED_VALUE"""),"VerifyGridData")</f>
        <v>VerifyGridData</v>
      </c>
      <c r="E4" s="25" t="str">
        <f>IFERROR(__xludf.DUMMYFUNCTION("""COMPUTED_VALUE"""),"RunRebalance")</f>
        <v>RunRebalance</v>
      </c>
      <c r="F4" s="25" t="str">
        <f>IFERROR(__xludf.DUMMYFUNCTION("""COMPUTED_VALUE"""),"EnableComplianceTab")</f>
        <v>EnableComplianceTab</v>
      </c>
      <c r="G4" s="25" t="str">
        <f>IFERROR(__xludf.DUMMYFUNCTION("""COMPUTED_VALUE"""),"RebalancePreference")</f>
        <v>RebalancePreference</v>
      </c>
      <c r="H4" s="25" t="str">
        <f>IFERROR(__xludf.DUMMYFUNCTION("""COMPUTED_VALUE"""),"ImportModelPortfolio")</f>
        <v>ImportModelPortfolio</v>
      </c>
      <c r="I4" s="25" t="str">
        <f>IFERROR(__xludf.DUMMYFUNCTION("""COMPUTED_VALUE"""),"RebalanceAcrossSecurities")</f>
        <v>RebalanceAcrossSecurities</v>
      </c>
      <c r="J4" s="25" t="str">
        <f>IFERROR(__xludf.DUMMYFUNCTION("""COMPUTED_VALUE"""),"CheckBasketCompliance")</f>
        <v>CheckBasketCompliance</v>
      </c>
      <c r="K4" s="25" t="str">
        <f>IFERROR(__xludf.DUMMYFUNCTION("""COMPUTED_VALUE"""),"ClearCalculations")</f>
        <v>ClearCalculations</v>
      </c>
      <c r="L4" s="25" t="str">
        <f>IFERROR(__xludf.DUMMYFUNCTION("""COMPUTED_VALUE"""),"ModifyRebalance")</f>
        <v>ModifyRebalance</v>
      </c>
      <c r="M4" s="25" t="str">
        <f>IFERROR(__xludf.DUMMYFUNCTION("""COMPUTED_VALUE"""),"ModelPortfolio")</f>
        <v>ModelPortfolio</v>
      </c>
      <c r="N4" s="25" t="str">
        <f>IFERROR(__xludf.DUMMYFUNCTION("""COMPUTED_VALUE"""),"LockandUnlockGridData")</f>
        <v>LockandUnlockGridData</v>
      </c>
      <c r="O4" s="25" t="str">
        <f>IFERROR(__xludf.DUMMYFUNCTION("""COMPUTED_VALUE"""),"RefreshGridData")</f>
        <v>RefreshGridData</v>
      </c>
      <c r="P4" s="26" t="str">
        <f>IFERROR(__xludf.DUMMYFUNCTION("""COMPUTED_VALUE"""),"SendtoStaging")</f>
        <v>SendtoStaging</v>
      </c>
      <c r="Q4" s="26" t="str">
        <f>IFERROR(__xludf.DUMMYFUNCTION("""COMPUTED_VALUE"""),"SendToStagingExport")</f>
        <v>SendToStagingExport</v>
      </c>
      <c r="R4" s="26" t="str">
        <f>IFERROR(__xludf.DUMMYFUNCTION("""COMPUTED_VALUE"""),"RebalanceViaBloomberg")</f>
        <v>RebalanceViaBloomberg</v>
      </c>
      <c r="S4" s="26" t="str">
        <f>IFERROR(__xludf.DUMMYFUNCTION("""COMPUTED_VALUE"""),"AddUserAdjustedNAV")</f>
        <v>AddUserAdjustedNAV</v>
      </c>
      <c r="T4" s="26" t="str">
        <f>IFERROR(__xludf.DUMMYFUNCTION("""COMPUTED_VALUE"""),"SymbologyChangeRB")</f>
        <v>SymbologyChangeRB</v>
      </c>
      <c r="U4" s="26" t="str">
        <f>IFERROR(__xludf.DUMMYFUNCTION("""COMPUTED_VALUE"""),"CloseRebalancer")</f>
        <v>CloseRebalancer</v>
      </c>
      <c r="V4" s="26" t="str">
        <f>IFERROR(__xludf.DUMMYFUNCTION("""COMPUTED_VALUE"""),"AddCustomCashUsingImport")</f>
        <v>AddCustomCashUsingImport</v>
      </c>
      <c r="W4" s="26" t="str">
        <f>IFERROR(__xludf.DUMMYFUNCTION("""COMPUTED_VALUE"""),"EditRebalanceGrid")</f>
        <v>EditRebalanceGrid</v>
      </c>
      <c r="X4" s="26" t="str">
        <f>IFERROR(__xludf.DUMMYFUNCTION("""COMPUTED_VALUE"""),"SaveTradeList")</f>
        <v>SaveTradeList</v>
      </c>
      <c r="Y4" s="26" t="str">
        <f>IFERROR(__xludf.DUMMYFUNCTION("""COMPUTED_VALUE"""),"NavImpactingComponent")</f>
        <v>NavImpactingComponent</v>
      </c>
      <c r="Z4" s="26" t="str">
        <f>IFERROR(__xludf.DUMMYFUNCTION("""COMPUTED_VALUE"""),"ImportUsingRebalAccrossSec")</f>
        <v>ImportUsingRebalAccrossSec</v>
      </c>
      <c r="AA4" s="26" t="str">
        <f>IFERROR(__xludf.DUMMYFUNCTION("""COMPUTED_VALUE"""),"EditImportStatus")</f>
        <v>EditImportStatus</v>
      </c>
      <c r="AB4" s="26" t="str">
        <f>IFERROR(__xludf.DUMMYFUNCTION("""COMPUTED_VALUE"""),"SelectActionsOnImportStatus")</f>
        <v>SelectActionsOnImportStatus</v>
      </c>
      <c r="AC4" s="26" t="str">
        <f>IFERROR(__xludf.DUMMYFUNCTION("""COMPUTED_VALUE"""),"VerifyImportStatus")</f>
        <v>VerifyImportStatus</v>
      </c>
      <c r="AD4" s="26" t="str">
        <f>IFERROR(__xludf.DUMMYFUNCTION("""COMPUTED_VALUE"""),"AddNewModelPortfolio")</f>
        <v>AddNewModelPortfolio</v>
      </c>
      <c r="AE4" s="26" t="str">
        <f>IFERROR(__xludf.DUMMYFUNCTION("""COMPUTED_VALUE"""),"VerifyBuySellList")</f>
        <v>VerifyBuySellList</v>
      </c>
      <c r="AF4" s="26" t="str">
        <f>IFERROR(__xludf.DUMMYFUNCTION("""COMPUTED_VALUE"""),"CreateOrViewModelPortfolio")</f>
        <v>CreateOrViewModelPortfolio</v>
      </c>
      <c r="AG4" s="26" t="str">
        <f>IFERROR(__xludf.DUMMYFUNCTION("""COMPUTED_VALUE"""),"VerifyModelPortfolio")</f>
        <v>VerifyModelPortfolio</v>
      </c>
      <c r="AH4" s="26" t="str">
        <f>IFERROR(__xludf.DUMMYFUNCTION("""COMPUTED_VALUE"""),"VerifyTradeListSummary")</f>
        <v>VerifyTradeListSummary</v>
      </c>
      <c r="AI4" s="26" t="str">
        <f>IFERROR(__xludf.DUMMYFUNCTION("""COMPUTED_VALUE"""),"ActionOnTBSListSummary")</f>
        <v>ActionOnTBSListSummary</v>
      </c>
      <c r="AJ4" s="26" t="str">
        <f>IFERROR(__xludf.DUMMYFUNCTION("""COMPUTED_VALUE"""),"VerifyTLOSideSummary")</f>
        <v>VerifyTLOSideSummary</v>
      </c>
      <c r="AK4" s="26" t="str">
        <f>IFERROR(__xludf.DUMMYFUNCTION("""COMPUTED_VALUE"""),"SelectAndVerifyTradeList")</f>
        <v>SelectAndVerifyTradeList</v>
      </c>
      <c r="AL4" s="26" t="str">
        <f>IFERROR(__xludf.DUMMYFUNCTION("""COMPUTED_VALUE"""),"ActionOnTradeBuySellListView")</f>
        <v>ActionOnTradeBuySellListView</v>
      </c>
      <c r="AM4" s="26" t="str">
        <f>IFERROR(__xludf.DUMMYFUNCTION("""COMPUTED_VALUE"""),"ImportOnRB")</f>
        <v>ImportOnRB</v>
      </c>
      <c r="AN4" s="26" t="str">
        <f>IFERROR(__xludf.DUMMYFUNCTION("""COMPUTED_VALUE"""),"VerifyImportGridRBForInvalidSec")</f>
        <v>VerifyImportGridRBForInvalidSec</v>
      </c>
      <c r="AO4" s="26" t="str">
        <f>IFERROR(__xludf.DUMMYFUNCTION("""COMPUTED_VALUE"""),"VerifyImportGridRBForValidSec")</f>
        <v>VerifyImportGridRBForValidSec</v>
      </c>
      <c r="AP4" s="26" t="str">
        <f>IFERROR(__xludf.DUMMYFUNCTION("""COMPUTED_VALUE"""),"ActionOnRSAImportGrid")</f>
        <v>ActionOnRSAImportGrid</v>
      </c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IFERROR(__xludf.DUMMYFUNCTION("""COMPUTED_VALUE"""),"RoundLotPreference")</f>
        <v>RoundLotPreference</v>
      </c>
      <c r="C5" s="28" t="str">
        <f>IFERROR(__xludf.DUMMYFUNCTION("""COMPUTED_VALUE"""),"ReinvestCash")</f>
        <v>ReinvestCash</v>
      </c>
      <c r="D5" s="28" t="str">
        <f>IFERROR(__xludf.DUMMYFUNCTION("""COMPUTED_VALUE"""),"Sell to Raise Cash")</f>
        <v>Sell to Raise Cash</v>
      </c>
      <c r="E5" s="28" t="str">
        <f>IFERROR(__xludf.DUMMYFUNCTION("""COMPUTED_VALUE"""),"No Shorting")</f>
        <v>No Shorting</v>
      </c>
      <c r="F5" s="29" t="str">
        <f>IFERROR(__xludf.DUMMYFUNCTION("""COMPUTED_VALUE"""),"Allow Negative Cash")</f>
        <v>Allow Negative Cash</v>
      </c>
      <c r="G5" s="28" t="str">
        <f>IFERROR(__xludf.DUMMYFUNCTION("""COMPUTED_VALUE"""),"Rebalance Across Securities")</f>
        <v>Rebalance Across Securities</v>
      </c>
      <c r="H5" s="28" t="str">
        <f>IFERROR(__xludf.DUMMYFUNCTION("""COMPUTED_VALUE"""),"Other Items Impacting NAV")</f>
        <v>Other Items Impacting NAV</v>
      </c>
      <c r="I5" s="28" t="str">
        <f>IFERROR(__xludf.DUMMYFUNCTION("""COMPUTED_VALUE"""),"NAV Calculation Preference")</f>
        <v>NAV Calculation Preference</v>
      </c>
      <c r="J5" s="28" t="str">
        <f>IFERROR(__xludf.DUMMYFUNCTION("""COMPUTED_VALUE"""),"Account/Groups Visibility")</f>
        <v>Account/Groups Visibility</v>
      </c>
      <c r="K5" s="28" t="str">
        <f>IFERROR(__xludf.DUMMYFUNCTION("""COMPUTED_VALUE"""),"Always Ask for Saving Orders")</f>
        <v>Always Ask for Saving Orders</v>
      </c>
      <c r="L5" s="28" t="str">
        <f>IFERROR(__xludf.DUMMYFUNCTION("""COMPUTED_VALUE"""),"Rounding Type")</f>
        <v>Rounding Type</v>
      </c>
      <c r="M5" s="28" t="str">
        <f>IFERROR(__xludf.DUMMYFUNCTION("""COMPUTED_VALUE"""),"/=/-/=:")</f>
        <v>/=/-/=:</v>
      </c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/>
      <c r="E6" s="31"/>
      <c r="F6" s="8"/>
      <c r="G6" s="8"/>
      <c r="H6" s="8"/>
      <c r="I6" s="8"/>
      <c r="J6" s="13" t="s">
        <v>32</v>
      </c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RebalancePreference2!$4:$4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IFERROR(__xludf.DUMMYFUNCTION("IF(C3="""","""",Transpose(IMPORTRANGE('_Settings'!$B$3,C3&amp;""!A4:A1000"")))"),"FetchAccountPositions")</f>
        <v>FetchAccountPositions</v>
      </c>
      <c r="C4" s="25" t="str">
        <f>IFERROR(__xludf.DUMMYFUNCTION("""COMPUTED_VALUE"""),"AddCash")</f>
        <v>AddCash</v>
      </c>
      <c r="D4" s="25" t="str">
        <f>IFERROR(__xludf.DUMMYFUNCTION("""COMPUTED_VALUE"""),"VerifyGridData")</f>
        <v>VerifyGridData</v>
      </c>
      <c r="E4" s="25" t="str">
        <f>IFERROR(__xludf.DUMMYFUNCTION("""COMPUTED_VALUE"""),"RunRebalance")</f>
        <v>RunRebalance</v>
      </c>
      <c r="F4" s="25" t="str">
        <f>IFERROR(__xludf.DUMMYFUNCTION("""COMPUTED_VALUE"""),"EnableComplianceTab")</f>
        <v>EnableComplianceTab</v>
      </c>
      <c r="G4" s="25" t="str">
        <f>IFERROR(__xludf.DUMMYFUNCTION("""COMPUTED_VALUE"""),"RebalancePreference")</f>
        <v>RebalancePreference</v>
      </c>
      <c r="H4" s="25" t="str">
        <f>IFERROR(__xludf.DUMMYFUNCTION("""COMPUTED_VALUE"""),"ImportModelPortfolio")</f>
        <v>ImportModelPortfolio</v>
      </c>
      <c r="I4" s="25" t="str">
        <f>IFERROR(__xludf.DUMMYFUNCTION("""COMPUTED_VALUE"""),"RebalanceAcrossSecurities")</f>
        <v>RebalanceAcrossSecurities</v>
      </c>
      <c r="J4" s="25" t="str">
        <f>IFERROR(__xludf.DUMMYFUNCTION("""COMPUTED_VALUE"""),"CheckBasketCompliance")</f>
        <v>CheckBasketCompliance</v>
      </c>
      <c r="K4" s="25" t="str">
        <f>IFERROR(__xludf.DUMMYFUNCTION("""COMPUTED_VALUE"""),"ClearCalculations")</f>
        <v>ClearCalculations</v>
      </c>
      <c r="L4" s="25" t="str">
        <f>IFERROR(__xludf.DUMMYFUNCTION("""COMPUTED_VALUE"""),"ModifyRebalance")</f>
        <v>ModifyRebalance</v>
      </c>
      <c r="M4" s="25" t="str">
        <f>IFERROR(__xludf.DUMMYFUNCTION("""COMPUTED_VALUE"""),"ModelPortfolio")</f>
        <v>ModelPortfolio</v>
      </c>
      <c r="N4" s="25" t="str">
        <f>IFERROR(__xludf.DUMMYFUNCTION("""COMPUTED_VALUE"""),"LockandUnlockGridData")</f>
        <v>LockandUnlockGridData</v>
      </c>
      <c r="O4" s="25" t="str">
        <f>IFERROR(__xludf.DUMMYFUNCTION("""COMPUTED_VALUE"""),"RefreshGridData")</f>
        <v>RefreshGridData</v>
      </c>
      <c r="P4" s="26" t="str">
        <f>IFERROR(__xludf.DUMMYFUNCTION("""COMPUTED_VALUE"""),"SendtoStaging")</f>
        <v>SendtoStaging</v>
      </c>
      <c r="Q4" s="26" t="str">
        <f>IFERROR(__xludf.DUMMYFUNCTION("""COMPUTED_VALUE"""),"SendToStagingExport")</f>
        <v>SendToStagingExport</v>
      </c>
      <c r="R4" s="26" t="str">
        <f>IFERROR(__xludf.DUMMYFUNCTION("""COMPUTED_VALUE"""),"RebalanceViaBloomberg")</f>
        <v>RebalanceViaBloomberg</v>
      </c>
      <c r="S4" s="26" t="str">
        <f>IFERROR(__xludf.DUMMYFUNCTION("""COMPUTED_VALUE"""),"AddUserAdjustedNAV")</f>
        <v>AddUserAdjustedNAV</v>
      </c>
      <c r="T4" s="26" t="str">
        <f>IFERROR(__xludf.DUMMYFUNCTION("""COMPUTED_VALUE"""),"SymbologyChangeRB")</f>
        <v>SymbologyChangeRB</v>
      </c>
      <c r="U4" s="26" t="str">
        <f>IFERROR(__xludf.DUMMYFUNCTION("""COMPUTED_VALUE"""),"CloseRebalancer")</f>
        <v>CloseRebalancer</v>
      </c>
      <c r="V4" s="26" t="str">
        <f>IFERROR(__xludf.DUMMYFUNCTION("""COMPUTED_VALUE"""),"AddCustomCashUsingImport")</f>
        <v>AddCustomCashUsingImport</v>
      </c>
      <c r="W4" s="26" t="str">
        <f>IFERROR(__xludf.DUMMYFUNCTION("""COMPUTED_VALUE"""),"EditRebalanceGrid")</f>
        <v>EditRebalanceGrid</v>
      </c>
      <c r="X4" s="26" t="str">
        <f>IFERROR(__xludf.DUMMYFUNCTION("""COMPUTED_VALUE"""),"SaveTradeList")</f>
        <v>SaveTradeList</v>
      </c>
      <c r="Y4" s="26" t="str">
        <f>IFERROR(__xludf.DUMMYFUNCTION("""COMPUTED_VALUE"""),"NavImpactingComponent")</f>
        <v>NavImpactingComponent</v>
      </c>
      <c r="Z4" s="26" t="str">
        <f>IFERROR(__xludf.DUMMYFUNCTION("""COMPUTED_VALUE"""),"ImportUsingRebalAccrossSec")</f>
        <v>ImportUsingRebalAccrossSec</v>
      </c>
      <c r="AA4" s="26" t="str">
        <f>IFERROR(__xludf.DUMMYFUNCTION("""COMPUTED_VALUE"""),"EditImportStatus")</f>
        <v>EditImportStatus</v>
      </c>
      <c r="AB4" s="26" t="str">
        <f>IFERROR(__xludf.DUMMYFUNCTION("""COMPUTED_VALUE"""),"SelectActionsOnImportStatus")</f>
        <v>SelectActionsOnImportStatus</v>
      </c>
      <c r="AC4" s="26" t="str">
        <f>IFERROR(__xludf.DUMMYFUNCTION("""COMPUTED_VALUE"""),"VerifyImportStatus")</f>
        <v>VerifyImportStatus</v>
      </c>
      <c r="AD4" s="26" t="str">
        <f>IFERROR(__xludf.DUMMYFUNCTION("""COMPUTED_VALUE"""),"AddNewModelPortfolio")</f>
        <v>AddNewModelPortfolio</v>
      </c>
      <c r="AE4" s="26" t="str">
        <f>IFERROR(__xludf.DUMMYFUNCTION("""COMPUTED_VALUE"""),"VerifyBuySellList")</f>
        <v>VerifyBuySellList</v>
      </c>
      <c r="AF4" s="26" t="str">
        <f>IFERROR(__xludf.DUMMYFUNCTION("""COMPUTED_VALUE"""),"CreateOrViewModelPortfolio")</f>
        <v>CreateOrViewModelPortfolio</v>
      </c>
      <c r="AG4" s="26" t="str">
        <f>IFERROR(__xludf.DUMMYFUNCTION("""COMPUTED_VALUE"""),"VerifyModelPortfolio")</f>
        <v>VerifyModelPortfolio</v>
      </c>
      <c r="AH4" s="26" t="str">
        <f>IFERROR(__xludf.DUMMYFUNCTION("""COMPUTED_VALUE"""),"VerifyTradeListSummary")</f>
        <v>VerifyTradeListSummary</v>
      </c>
      <c r="AI4" s="26" t="str">
        <f>IFERROR(__xludf.DUMMYFUNCTION("""COMPUTED_VALUE"""),"ActionOnTBSListSummary")</f>
        <v>ActionOnTBSListSummary</v>
      </c>
      <c r="AJ4" s="26" t="str">
        <f>IFERROR(__xludf.DUMMYFUNCTION("""COMPUTED_VALUE"""),"VerifyTLOSideSummary")</f>
        <v>VerifyTLOSideSummary</v>
      </c>
      <c r="AK4" s="26" t="str">
        <f>IFERROR(__xludf.DUMMYFUNCTION("""COMPUTED_VALUE"""),"SelectAndVerifyTradeList")</f>
        <v>SelectAndVerifyTradeList</v>
      </c>
      <c r="AL4" s="26" t="str">
        <f>IFERROR(__xludf.DUMMYFUNCTION("""COMPUTED_VALUE"""),"ActionOnTradeBuySellListView")</f>
        <v>ActionOnTradeBuySellListView</v>
      </c>
      <c r="AM4" s="26" t="str">
        <f>IFERROR(__xludf.DUMMYFUNCTION("""COMPUTED_VALUE"""),"ImportOnRB")</f>
        <v>ImportOnRB</v>
      </c>
      <c r="AN4" s="26" t="str">
        <f>IFERROR(__xludf.DUMMYFUNCTION("""COMPUTED_VALUE"""),"VerifyImportGridRBForInvalidSec")</f>
        <v>VerifyImportGridRBForInvalidSec</v>
      </c>
      <c r="AO4" s="26" t="str">
        <f>IFERROR(__xludf.DUMMYFUNCTION("""COMPUTED_VALUE"""),"VerifyImportGridRBForValidSec")</f>
        <v>VerifyImportGridRBForValidSec</v>
      </c>
      <c r="AP4" s="26" t="str">
        <f>IFERROR(__xludf.DUMMYFUNCTION("""COMPUTED_VALUE"""),"ActionOnRSAImportGrid")</f>
        <v>ActionOnRSAImportGrid</v>
      </c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IFERROR(__xludf.DUMMYFUNCTION("""COMPUTED_VALUE"""),"Account/Groups")</f>
        <v>Account/Groups</v>
      </c>
      <c r="C5" s="28" t="str">
        <f>IFERROR(__xludf.DUMMYFUNCTION("""COMPUTED_VALUE"""),"Account Positions")</f>
        <v>Account Positions</v>
      </c>
      <c r="D5" s="28" t="str">
        <f>IFERROR(__xludf.DUMMYFUNCTION("""COMPUTED_VALUE"""),"Calculation Level")</f>
        <v>Calculation Level</v>
      </c>
      <c r="E5" s="28" t="str">
        <f>IFERROR(__xludf.DUMMYFUNCTION("""COMPUTED_VALUE"""),"Refresh")</f>
        <v>Refresh</v>
      </c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33</v>
      </c>
      <c r="C6" s="8"/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FetchAccountPositions4!$4:$4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026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  <c r="FJ1" s="20"/>
      <c r="FK1" s="20"/>
      <c r="FL1" s="20"/>
      <c r="FM1" s="20"/>
      <c r="FN1" s="20"/>
      <c r="FO1" s="20"/>
      <c r="FP1" s="20"/>
      <c r="FQ1" s="20"/>
      <c r="FR1" s="20"/>
      <c r="FS1" s="20"/>
      <c r="FT1" s="20"/>
      <c r="FU1" s="20"/>
      <c r="FV1" s="20"/>
      <c r="FW1" s="20"/>
      <c r="FX1" s="20"/>
      <c r="FY1" s="20"/>
      <c r="FZ1" s="20"/>
      <c r="GA1" s="20"/>
      <c r="GB1" s="20"/>
      <c r="GC1" s="20"/>
      <c r="GD1" s="20"/>
      <c r="GE1" s="20"/>
      <c r="GF1" s="20"/>
      <c r="GG1" s="20"/>
      <c r="GH1" s="20"/>
      <c r="GI1" s="20"/>
      <c r="GJ1" s="20"/>
      <c r="GK1" s="20"/>
      <c r="GL1" s="20"/>
      <c r="GM1" s="20"/>
      <c r="GN1" s="20"/>
      <c r="GO1" s="20"/>
      <c r="GP1" s="20"/>
      <c r="GQ1" s="20"/>
      <c r="GR1" s="20"/>
      <c r="GS1" s="20"/>
      <c r="GT1" s="20"/>
      <c r="GU1" s="20"/>
      <c r="GV1" s="20"/>
      <c r="GW1" s="20"/>
      <c r="GX1" s="20"/>
      <c r="GY1" s="20"/>
      <c r="GZ1" s="20"/>
      <c r="HA1" s="20"/>
      <c r="HB1" s="20"/>
      <c r="HC1" s="20"/>
      <c r="HD1" s="20"/>
      <c r="HE1" s="20"/>
      <c r="HF1" s="20"/>
      <c r="HG1" s="20"/>
      <c r="HH1" s="20"/>
      <c r="HI1" s="20"/>
      <c r="HJ1" s="20"/>
      <c r="HK1" s="20"/>
      <c r="HL1" s="20"/>
      <c r="HM1" s="20"/>
      <c r="HN1" s="20"/>
      <c r="HO1" s="20"/>
      <c r="HP1" s="20"/>
      <c r="HQ1" s="20"/>
      <c r="HR1" s="20"/>
      <c r="HS1" s="20"/>
      <c r="HT1" s="20"/>
      <c r="HU1" s="20"/>
      <c r="HV1" s="20"/>
      <c r="HW1" s="20"/>
      <c r="HX1" s="20"/>
      <c r="HY1" s="20"/>
      <c r="HZ1" s="20"/>
      <c r="IA1" s="20"/>
      <c r="IB1" s="20"/>
      <c r="IC1" s="20"/>
      <c r="ID1" s="20"/>
      <c r="IE1" s="20"/>
      <c r="IF1" s="20"/>
      <c r="IG1" s="20"/>
      <c r="IH1" s="20"/>
      <c r="II1" s="20"/>
      <c r="IJ1" s="20"/>
      <c r="IK1" s="20"/>
      <c r="IL1" s="20"/>
      <c r="IM1" s="20"/>
      <c r="IN1" s="20"/>
      <c r="IO1" s="20"/>
      <c r="IP1" s="20"/>
      <c r="IQ1" s="20"/>
      <c r="IR1" s="20"/>
      <c r="IS1" s="20"/>
      <c r="IT1" s="20"/>
      <c r="IU1" s="20"/>
      <c r="IV1" s="20"/>
      <c r="IW1" s="20"/>
      <c r="IX1" s="20"/>
      <c r="IY1" s="20"/>
      <c r="IZ1" s="20"/>
      <c r="JA1" s="20"/>
      <c r="JB1" s="20"/>
      <c r="JC1" s="20"/>
      <c r="JD1" s="20"/>
      <c r="JE1" s="20"/>
      <c r="JF1" s="20"/>
      <c r="JG1" s="20"/>
      <c r="JH1" s="20"/>
      <c r="JI1" s="20"/>
      <c r="JJ1" s="20"/>
      <c r="JK1" s="20"/>
      <c r="JL1" s="20"/>
      <c r="JM1" s="20"/>
      <c r="JN1" s="20"/>
      <c r="JO1" s="20"/>
      <c r="JP1" s="20"/>
      <c r="JQ1" s="20"/>
      <c r="JR1" s="20"/>
      <c r="JS1" s="20"/>
      <c r="JT1" s="20"/>
      <c r="JU1" s="20"/>
      <c r="JV1" s="20"/>
      <c r="JW1" s="20"/>
      <c r="JX1" s="20"/>
      <c r="JY1" s="20"/>
      <c r="JZ1" s="20"/>
      <c r="KA1" s="20"/>
      <c r="KB1" s="20"/>
      <c r="KC1" s="20"/>
      <c r="KD1" s="20"/>
      <c r="KE1" s="20"/>
      <c r="KF1" s="20"/>
      <c r="KG1" s="20"/>
      <c r="KH1" s="20"/>
      <c r="KI1" s="20"/>
      <c r="KJ1" s="20"/>
      <c r="KK1" s="20"/>
      <c r="KL1" s="20"/>
      <c r="KM1" s="20"/>
      <c r="KN1" s="20"/>
      <c r="KO1" s="20"/>
      <c r="KP1" s="20"/>
      <c r="KQ1" s="20"/>
      <c r="KR1" s="20"/>
      <c r="KS1" s="20"/>
      <c r="KT1" s="20"/>
      <c r="KU1" s="20"/>
      <c r="KV1" s="20"/>
      <c r="KW1" s="20"/>
      <c r="KX1" s="20"/>
      <c r="KY1" s="20"/>
      <c r="KZ1" s="20"/>
      <c r="LA1" s="20"/>
      <c r="LB1" s="20"/>
      <c r="LC1" s="20"/>
      <c r="LD1" s="20"/>
      <c r="LE1" s="20"/>
      <c r="LF1" s="20"/>
      <c r="LG1" s="20"/>
      <c r="LH1" s="20"/>
      <c r="LI1" s="20"/>
      <c r="LJ1" s="20"/>
      <c r="LK1" s="20"/>
      <c r="LL1" s="20"/>
      <c r="LM1" s="20"/>
      <c r="LN1" s="20"/>
      <c r="LO1" s="20"/>
      <c r="LP1" s="20"/>
      <c r="LQ1" s="20"/>
      <c r="LR1" s="20"/>
      <c r="LS1" s="20"/>
      <c r="LT1" s="20"/>
      <c r="LU1" s="20"/>
      <c r="LV1" s="20"/>
      <c r="LW1" s="20"/>
      <c r="LX1" s="20"/>
      <c r="LY1" s="20"/>
      <c r="LZ1" s="20"/>
      <c r="MA1" s="20"/>
      <c r="MB1" s="20"/>
      <c r="MC1" s="20"/>
      <c r="MD1" s="20"/>
      <c r="ME1" s="20"/>
      <c r="MF1" s="20"/>
      <c r="MG1" s="20"/>
      <c r="MH1" s="20"/>
      <c r="MI1" s="20"/>
      <c r="MJ1" s="20"/>
      <c r="MK1" s="20"/>
      <c r="ML1" s="20"/>
      <c r="MM1" s="20"/>
      <c r="MN1" s="20"/>
      <c r="MO1" s="20"/>
      <c r="MP1" s="20"/>
      <c r="MQ1" s="20"/>
      <c r="MR1" s="20"/>
      <c r="MS1" s="20"/>
      <c r="MT1" s="20"/>
      <c r="MU1" s="20"/>
      <c r="MV1" s="20"/>
      <c r="MW1" s="20"/>
      <c r="MX1" s="20"/>
      <c r="MY1" s="20"/>
      <c r="MZ1" s="20"/>
      <c r="NA1" s="20"/>
      <c r="NB1" s="20"/>
      <c r="NC1" s="20"/>
      <c r="ND1" s="20"/>
      <c r="NE1" s="20"/>
      <c r="NF1" s="20"/>
      <c r="NG1" s="20"/>
      <c r="NH1" s="20"/>
      <c r="NI1" s="20"/>
      <c r="NJ1" s="20"/>
      <c r="NK1" s="20"/>
      <c r="NL1" s="20"/>
      <c r="NM1" s="20"/>
      <c r="NN1" s="20"/>
      <c r="NO1" s="20"/>
      <c r="NP1" s="20"/>
      <c r="NQ1" s="20"/>
      <c r="NR1" s="20"/>
      <c r="NS1" s="20"/>
      <c r="NT1" s="20"/>
      <c r="NU1" s="20"/>
      <c r="NV1" s="20"/>
      <c r="NW1" s="20"/>
      <c r="NX1" s="20"/>
      <c r="NY1" s="20"/>
      <c r="NZ1" s="20"/>
      <c r="OA1" s="20"/>
      <c r="OB1" s="20"/>
      <c r="OC1" s="20"/>
      <c r="OD1" s="20"/>
      <c r="OE1" s="20"/>
      <c r="OF1" s="20"/>
      <c r="OG1" s="20"/>
      <c r="OH1" s="20"/>
      <c r="OI1" s="20"/>
      <c r="OJ1" s="20"/>
      <c r="OK1" s="20"/>
      <c r="OL1" s="20"/>
      <c r="OM1" s="20"/>
      <c r="ON1" s="20"/>
      <c r="OO1" s="20"/>
      <c r="OP1" s="20"/>
      <c r="OQ1" s="20"/>
      <c r="OR1" s="20"/>
      <c r="OS1" s="20"/>
      <c r="OT1" s="20"/>
      <c r="OU1" s="20"/>
      <c r="OV1" s="20"/>
      <c r="OW1" s="20"/>
      <c r="OX1" s="20"/>
      <c r="OY1" s="20"/>
      <c r="OZ1" s="20"/>
      <c r="PA1" s="20"/>
      <c r="PB1" s="20"/>
      <c r="PC1" s="20"/>
      <c r="PD1" s="20"/>
      <c r="PE1" s="20"/>
      <c r="PF1" s="20"/>
      <c r="PG1" s="20"/>
      <c r="PH1" s="20"/>
      <c r="PI1" s="20"/>
      <c r="PJ1" s="20"/>
      <c r="PK1" s="20"/>
      <c r="PL1" s="20"/>
      <c r="PM1" s="20"/>
      <c r="PN1" s="20"/>
      <c r="PO1" s="20"/>
      <c r="PP1" s="20"/>
      <c r="PQ1" s="20"/>
      <c r="PR1" s="20"/>
      <c r="PS1" s="20"/>
      <c r="PT1" s="20"/>
      <c r="PU1" s="20"/>
      <c r="PV1" s="20"/>
      <c r="PW1" s="20"/>
      <c r="PX1" s="20"/>
      <c r="PY1" s="20"/>
      <c r="PZ1" s="20"/>
      <c r="QA1" s="20"/>
      <c r="QB1" s="20"/>
      <c r="QC1" s="20"/>
      <c r="QD1" s="20"/>
      <c r="QE1" s="20"/>
      <c r="QF1" s="20"/>
      <c r="QG1" s="20"/>
      <c r="QH1" s="20"/>
      <c r="QI1" s="20"/>
      <c r="QJ1" s="20"/>
      <c r="QK1" s="20"/>
      <c r="QL1" s="20"/>
      <c r="QM1" s="20"/>
      <c r="QN1" s="20"/>
      <c r="QO1" s="20"/>
      <c r="QP1" s="20"/>
      <c r="QQ1" s="20"/>
      <c r="QR1" s="20"/>
      <c r="QS1" s="20"/>
      <c r="QT1" s="20"/>
      <c r="QU1" s="20"/>
      <c r="QV1" s="20"/>
      <c r="QW1" s="20"/>
      <c r="QX1" s="20"/>
      <c r="QY1" s="20"/>
      <c r="QZ1" s="20"/>
      <c r="RA1" s="20"/>
      <c r="RB1" s="20"/>
      <c r="RC1" s="20"/>
      <c r="RD1" s="20"/>
      <c r="RE1" s="20"/>
      <c r="RF1" s="20"/>
      <c r="RG1" s="20"/>
      <c r="RH1" s="20"/>
      <c r="RI1" s="20"/>
      <c r="RJ1" s="20"/>
      <c r="RK1" s="20"/>
      <c r="RL1" s="20"/>
      <c r="RM1" s="20"/>
      <c r="RN1" s="20"/>
      <c r="RO1" s="20"/>
      <c r="RP1" s="20"/>
      <c r="RQ1" s="20"/>
      <c r="RR1" s="20"/>
      <c r="RS1" s="20"/>
      <c r="RT1" s="20"/>
      <c r="RU1" s="20"/>
      <c r="RV1" s="20"/>
      <c r="RW1" s="20"/>
      <c r="RX1" s="20"/>
      <c r="RY1" s="20"/>
      <c r="RZ1" s="20"/>
      <c r="SA1" s="20"/>
      <c r="SB1" s="20"/>
      <c r="SC1" s="20"/>
      <c r="SD1" s="20"/>
      <c r="SE1" s="20"/>
      <c r="SF1" s="20"/>
      <c r="SG1" s="20"/>
      <c r="SH1" s="20"/>
      <c r="SI1" s="20"/>
      <c r="SJ1" s="20"/>
      <c r="SK1" s="20"/>
      <c r="SL1" s="20"/>
      <c r="SM1" s="20"/>
      <c r="SN1" s="20"/>
      <c r="SO1" s="20"/>
      <c r="SP1" s="20"/>
      <c r="SQ1" s="20"/>
      <c r="SR1" s="20"/>
      <c r="SS1" s="20"/>
      <c r="ST1" s="20"/>
      <c r="SU1" s="20"/>
      <c r="SV1" s="20"/>
      <c r="SW1" s="20"/>
      <c r="SX1" s="20"/>
      <c r="SY1" s="20"/>
      <c r="SZ1" s="20"/>
      <c r="TA1" s="20"/>
      <c r="TB1" s="20"/>
      <c r="TC1" s="20"/>
      <c r="TD1" s="20"/>
      <c r="TE1" s="20"/>
      <c r="TF1" s="20"/>
      <c r="TG1" s="20"/>
      <c r="TH1" s="20"/>
      <c r="TI1" s="20"/>
      <c r="TJ1" s="20"/>
      <c r="TK1" s="20"/>
      <c r="TL1" s="20"/>
      <c r="TM1" s="20"/>
      <c r="TN1" s="20"/>
      <c r="TO1" s="20"/>
      <c r="TP1" s="20"/>
      <c r="TQ1" s="20"/>
      <c r="TR1" s="20"/>
      <c r="TS1" s="20"/>
      <c r="TT1" s="20"/>
      <c r="TU1" s="20"/>
      <c r="TV1" s="20"/>
      <c r="TW1" s="20"/>
      <c r="TX1" s="20"/>
      <c r="TY1" s="20"/>
      <c r="TZ1" s="20"/>
      <c r="UA1" s="20"/>
      <c r="UB1" s="20"/>
      <c r="UC1" s="20"/>
      <c r="UD1" s="20"/>
      <c r="UE1" s="20"/>
      <c r="UF1" s="20"/>
      <c r="UG1" s="20"/>
      <c r="UH1" s="20"/>
      <c r="UI1" s="20"/>
      <c r="UJ1" s="20"/>
      <c r="UK1" s="20"/>
      <c r="UL1" s="20"/>
      <c r="UM1" s="20"/>
      <c r="UN1" s="20"/>
      <c r="UO1" s="20"/>
      <c r="UP1" s="20"/>
      <c r="UQ1" s="20"/>
      <c r="UR1" s="20"/>
      <c r="US1" s="20"/>
      <c r="UT1" s="20"/>
      <c r="UU1" s="20"/>
      <c r="UV1" s="20"/>
      <c r="UW1" s="20"/>
      <c r="UX1" s="20"/>
      <c r="UY1" s="20"/>
      <c r="UZ1" s="20"/>
      <c r="VA1" s="20"/>
      <c r="VB1" s="20"/>
      <c r="VC1" s="20"/>
      <c r="VD1" s="20"/>
      <c r="VE1" s="20"/>
      <c r="VF1" s="20"/>
      <c r="VG1" s="20"/>
      <c r="VH1" s="20"/>
      <c r="VI1" s="20"/>
      <c r="VJ1" s="20"/>
      <c r="VK1" s="20"/>
      <c r="VL1" s="20"/>
      <c r="VM1" s="20"/>
      <c r="VN1" s="20"/>
      <c r="VO1" s="20"/>
      <c r="VP1" s="20"/>
      <c r="VQ1" s="20"/>
      <c r="VR1" s="20"/>
      <c r="VS1" s="20"/>
      <c r="VT1" s="20"/>
      <c r="VU1" s="20"/>
      <c r="VV1" s="20"/>
      <c r="VW1" s="20"/>
      <c r="VX1" s="20"/>
      <c r="VY1" s="20"/>
      <c r="VZ1" s="20"/>
      <c r="WA1" s="20"/>
      <c r="WB1" s="20"/>
      <c r="WC1" s="20"/>
      <c r="WD1" s="20"/>
      <c r="WE1" s="20"/>
      <c r="WF1" s="20"/>
      <c r="WG1" s="20"/>
      <c r="WH1" s="20"/>
      <c r="WI1" s="20"/>
      <c r="WJ1" s="20"/>
      <c r="WK1" s="20"/>
      <c r="WL1" s="20"/>
      <c r="WM1" s="20"/>
      <c r="WN1" s="20"/>
      <c r="WO1" s="20"/>
      <c r="WP1" s="20"/>
      <c r="WQ1" s="20"/>
      <c r="WR1" s="20"/>
      <c r="WS1" s="20"/>
      <c r="WT1" s="20"/>
      <c r="WU1" s="20"/>
      <c r="WV1" s="20"/>
      <c r="WW1" s="20"/>
      <c r="WX1" s="20"/>
      <c r="WY1" s="20"/>
      <c r="WZ1" s="20"/>
      <c r="XA1" s="20"/>
      <c r="XB1" s="20"/>
      <c r="XC1" s="20"/>
      <c r="XD1" s="20"/>
      <c r="XE1" s="20"/>
      <c r="XF1" s="20"/>
      <c r="XG1" s="20"/>
      <c r="XH1" s="20"/>
      <c r="XI1" s="20"/>
      <c r="XJ1" s="20"/>
      <c r="XK1" s="20"/>
      <c r="XL1" s="20"/>
      <c r="XM1" s="20"/>
      <c r="XN1" s="20"/>
      <c r="XO1" s="20"/>
      <c r="XP1" s="20"/>
      <c r="XQ1" s="20"/>
      <c r="XR1" s="20"/>
      <c r="XS1" s="20"/>
      <c r="XT1" s="20"/>
      <c r="XU1" s="20"/>
      <c r="XV1" s="20"/>
      <c r="XW1" s="20"/>
      <c r="XX1" s="20"/>
      <c r="XY1" s="20"/>
      <c r="XZ1" s="20"/>
      <c r="YA1" s="20"/>
      <c r="YB1" s="20"/>
      <c r="YC1" s="20"/>
      <c r="YD1" s="20"/>
      <c r="YE1" s="20"/>
      <c r="YF1" s="20"/>
      <c r="YG1" s="20"/>
      <c r="YH1" s="20"/>
      <c r="YI1" s="20"/>
      <c r="YJ1" s="20"/>
      <c r="YK1" s="20"/>
      <c r="YL1" s="20"/>
      <c r="YM1" s="20"/>
      <c r="YN1" s="20"/>
      <c r="YO1" s="20"/>
      <c r="YP1" s="20"/>
      <c r="YQ1" s="20"/>
      <c r="YR1" s="20"/>
      <c r="YS1" s="20"/>
      <c r="YT1" s="20"/>
      <c r="YU1" s="20"/>
      <c r="YV1" s="20"/>
      <c r="YW1" s="20"/>
      <c r="YX1" s="20"/>
      <c r="YY1" s="20"/>
      <c r="YZ1" s="20"/>
      <c r="ZA1" s="20"/>
      <c r="ZB1" s="20"/>
      <c r="ZC1" s="20"/>
      <c r="ZD1" s="20"/>
      <c r="ZE1" s="20"/>
      <c r="ZF1" s="20"/>
      <c r="ZG1" s="20"/>
      <c r="ZH1" s="20"/>
      <c r="ZI1" s="20"/>
      <c r="ZJ1" s="20"/>
      <c r="ZK1" s="20"/>
      <c r="ZL1" s="20"/>
      <c r="ZM1" s="20"/>
      <c r="ZN1" s="20"/>
      <c r="ZO1" s="20"/>
      <c r="ZP1" s="20"/>
      <c r="ZQ1" s="20"/>
      <c r="ZR1" s="20"/>
      <c r="ZS1" s="20"/>
      <c r="ZT1" s="20"/>
      <c r="ZU1" s="20"/>
      <c r="ZV1" s="20"/>
      <c r="ZW1" s="20"/>
      <c r="ZX1" s="20"/>
      <c r="ZY1" s="20"/>
      <c r="ZZ1" s="20"/>
      <c r="AAA1" s="20"/>
      <c r="AAB1" s="20"/>
      <c r="AAC1" s="20"/>
      <c r="AAD1" s="20"/>
      <c r="AAE1" s="20"/>
      <c r="AAF1" s="20"/>
      <c r="AAG1" s="20"/>
      <c r="AAH1" s="20"/>
      <c r="AAI1" s="20"/>
      <c r="AAJ1" s="20"/>
      <c r="AAK1" s="20"/>
      <c r="AAL1" s="20"/>
      <c r="AAM1" s="20"/>
      <c r="AAN1" s="20"/>
      <c r="AAO1" s="20"/>
      <c r="AAP1" s="20"/>
      <c r="AAQ1" s="20"/>
      <c r="AAR1" s="20"/>
      <c r="AAS1" s="20"/>
      <c r="AAT1" s="20"/>
      <c r="AAU1" s="20"/>
      <c r="AAV1" s="20"/>
      <c r="AAW1" s="20"/>
      <c r="AAX1" s="20"/>
      <c r="AAY1" s="20"/>
      <c r="AAZ1" s="20"/>
      <c r="ABA1" s="20"/>
      <c r="ABB1" s="20"/>
      <c r="ABC1" s="20"/>
      <c r="ABD1" s="20"/>
      <c r="ABE1" s="20"/>
      <c r="ABF1" s="20"/>
      <c r="ABG1" s="20"/>
      <c r="ABH1" s="20"/>
      <c r="ABI1" s="20"/>
      <c r="ABJ1" s="20"/>
      <c r="ABK1" s="20"/>
      <c r="ABL1" s="20"/>
      <c r="ABM1" s="20"/>
      <c r="ABN1" s="20"/>
      <c r="ABO1" s="20"/>
      <c r="ABP1" s="20"/>
      <c r="ABQ1" s="20"/>
      <c r="ABR1" s="20"/>
      <c r="ABS1" s="20"/>
      <c r="ABT1" s="20"/>
      <c r="ABU1" s="20"/>
      <c r="ABV1" s="20"/>
      <c r="ABW1" s="20"/>
      <c r="ABX1" s="20"/>
      <c r="ABY1" s="20"/>
      <c r="ABZ1" s="20"/>
      <c r="ACA1" s="20"/>
      <c r="ACB1" s="20"/>
      <c r="ACC1" s="20"/>
      <c r="ACD1" s="20"/>
      <c r="ACE1" s="20"/>
      <c r="ACF1" s="20"/>
      <c r="ACG1" s="20"/>
      <c r="ACH1" s="20"/>
      <c r="ACI1" s="20"/>
      <c r="ACJ1" s="20"/>
      <c r="ACK1" s="20"/>
      <c r="ACL1" s="20"/>
      <c r="ACM1" s="20"/>
      <c r="ACN1" s="20"/>
      <c r="ACO1" s="20"/>
      <c r="ACP1" s="20"/>
      <c r="ACQ1" s="20"/>
      <c r="ACR1" s="20"/>
      <c r="ACS1" s="20"/>
      <c r="ACT1" s="20"/>
      <c r="ACU1" s="20"/>
      <c r="ACV1" s="20"/>
      <c r="ACW1" s="20"/>
      <c r="ACX1" s="20"/>
      <c r="ACY1" s="20"/>
      <c r="ACZ1" s="20"/>
      <c r="ADA1" s="20"/>
      <c r="ADB1" s="20"/>
      <c r="ADC1" s="20"/>
      <c r="ADD1" s="20"/>
      <c r="ADE1" s="20"/>
      <c r="ADF1" s="20"/>
      <c r="ADG1" s="20"/>
      <c r="ADH1" s="20"/>
      <c r="ADI1" s="20"/>
      <c r="ADJ1" s="20"/>
      <c r="ADK1" s="20"/>
      <c r="ADL1" s="20"/>
      <c r="ADM1" s="20"/>
      <c r="ADN1" s="20"/>
      <c r="ADO1" s="20"/>
      <c r="ADP1" s="20"/>
      <c r="ADQ1" s="20"/>
      <c r="ADR1" s="20"/>
      <c r="ADS1" s="20"/>
      <c r="ADT1" s="20"/>
      <c r="ADU1" s="20"/>
      <c r="ADV1" s="20"/>
      <c r="ADW1" s="20"/>
      <c r="ADX1" s="20"/>
      <c r="ADY1" s="20"/>
      <c r="ADZ1" s="20"/>
      <c r="AEA1" s="20"/>
      <c r="AEB1" s="20"/>
      <c r="AEC1" s="20"/>
      <c r="AED1" s="20"/>
      <c r="AEE1" s="20"/>
      <c r="AEF1" s="20"/>
      <c r="AEG1" s="20"/>
      <c r="AEH1" s="20"/>
      <c r="AEI1" s="20"/>
      <c r="AEJ1" s="20"/>
      <c r="AEK1" s="20"/>
      <c r="AEL1" s="20"/>
      <c r="AEM1" s="20"/>
      <c r="AEN1" s="20"/>
      <c r="AEO1" s="20"/>
      <c r="AEP1" s="20"/>
      <c r="AEQ1" s="20"/>
      <c r="AER1" s="20"/>
      <c r="AES1" s="20"/>
      <c r="AET1" s="20"/>
      <c r="AEU1" s="20"/>
      <c r="AEV1" s="20"/>
      <c r="AEW1" s="20"/>
      <c r="AEX1" s="20"/>
      <c r="AEY1" s="20"/>
      <c r="AEZ1" s="20"/>
      <c r="AFA1" s="20"/>
      <c r="AFB1" s="20"/>
      <c r="AFC1" s="20"/>
      <c r="AFD1" s="20"/>
      <c r="AFE1" s="20"/>
      <c r="AFF1" s="20"/>
      <c r="AFG1" s="20"/>
      <c r="AFH1" s="20"/>
      <c r="AFI1" s="20"/>
      <c r="AFJ1" s="20"/>
      <c r="AFK1" s="20"/>
      <c r="AFL1" s="20"/>
      <c r="AFM1" s="20"/>
      <c r="AFN1" s="20"/>
      <c r="AFO1" s="20"/>
      <c r="AFP1" s="20"/>
      <c r="AFQ1" s="20"/>
      <c r="AFR1" s="20"/>
      <c r="AFS1" s="20"/>
      <c r="AFT1" s="20"/>
      <c r="AFU1" s="20"/>
      <c r="AFV1" s="20"/>
      <c r="AFW1" s="20"/>
      <c r="AFX1" s="20"/>
      <c r="AFY1" s="20"/>
      <c r="AFZ1" s="20"/>
      <c r="AGA1" s="20"/>
      <c r="AGB1" s="20"/>
      <c r="AGC1" s="20"/>
      <c r="AGD1" s="20"/>
      <c r="AGE1" s="20"/>
      <c r="AGF1" s="20"/>
      <c r="AGG1" s="20"/>
      <c r="AGH1" s="20"/>
      <c r="AGI1" s="20"/>
      <c r="AGJ1" s="20"/>
      <c r="AGK1" s="20"/>
      <c r="AGL1" s="20"/>
      <c r="AGM1" s="20"/>
      <c r="AGN1" s="20"/>
      <c r="AGO1" s="20"/>
      <c r="AGP1" s="20"/>
      <c r="AGQ1" s="20"/>
      <c r="AGR1" s="20"/>
      <c r="AGS1" s="20"/>
      <c r="AGT1" s="20"/>
      <c r="AGU1" s="20"/>
      <c r="AGV1" s="20"/>
      <c r="AGW1" s="20"/>
      <c r="AGX1" s="20"/>
      <c r="AGY1" s="20"/>
      <c r="AGZ1" s="20"/>
      <c r="AHA1" s="20"/>
      <c r="AHB1" s="20"/>
      <c r="AHC1" s="20"/>
      <c r="AHD1" s="20"/>
      <c r="AHE1" s="20"/>
      <c r="AHF1" s="20"/>
      <c r="AHG1" s="20"/>
      <c r="AHH1" s="20"/>
      <c r="AHI1" s="20"/>
      <c r="AHJ1" s="20"/>
      <c r="AHK1" s="20"/>
      <c r="AHL1" s="20"/>
      <c r="AHM1" s="20"/>
      <c r="AHN1" s="20"/>
      <c r="AHO1" s="20"/>
      <c r="AHP1" s="20"/>
      <c r="AHQ1" s="20"/>
      <c r="AHR1" s="20"/>
      <c r="AHS1" s="20"/>
      <c r="AHT1" s="20"/>
      <c r="AHU1" s="20"/>
      <c r="AHV1" s="20"/>
      <c r="AHW1" s="20"/>
      <c r="AHX1" s="20"/>
      <c r="AHY1" s="20"/>
      <c r="AHZ1" s="20"/>
      <c r="AIA1" s="20"/>
      <c r="AIB1" s="20"/>
      <c r="AIC1" s="20"/>
      <c r="AID1" s="20"/>
      <c r="AIE1" s="20"/>
      <c r="AIF1" s="20"/>
      <c r="AIG1" s="20"/>
      <c r="AIH1" s="20"/>
      <c r="AII1" s="20"/>
      <c r="AIJ1" s="20"/>
      <c r="AIK1" s="20"/>
      <c r="AIL1" s="20"/>
      <c r="AIM1" s="20"/>
      <c r="AIN1" s="20"/>
      <c r="AIO1" s="20"/>
      <c r="AIP1" s="20"/>
      <c r="AIQ1" s="20"/>
      <c r="AIR1" s="20"/>
      <c r="AIS1" s="20"/>
      <c r="AIT1" s="20"/>
      <c r="AIU1" s="20"/>
      <c r="AIV1" s="20"/>
      <c r="AIW1" s="20"/>
      <c r="AIX1" s="20"/>
      <c r="AIY1" s="20"/>
      <c r="AIZ1" s="20"/>
      <c r="AJA1" s="20"/>
      <c r="AJB1" s="20"/>
      <c r="AJC1" s="20"/>
      <c r="AJD1" s="20"/>
      <c r="AJE1" s="20"/>
      <c r="AJF1" s="20"/>
      <c r="AJG1" s="20"/>
      <c r="AJH1" s="20"/>
      <c r="AJI1" s="20"/>
      <c r="AJJ1" s="20"/>
      <c r="AJK1" s="20"/>
      <c r="AJL1" s="20"/>
      <c r="AJM1" s="20"/>
      <c r="AJN1" s="20"/>
      <c r="AJO1" s="20"/>
      <c r="AJP1" s="20"/>
      <c r="AJQ1" s="20"/>
      <c r="AJR1" s="20"/>
      <c r="AJS1" s="20"/>
      <c r="AJT1" s="20"/>
      <c r="AJU1" s="20"/>
      <c r="AJV1" s="20"/>
      <c r="AJW1" s="20"/>
      <c r="AJX1" s="20"/>
      <c r="AJY1" s="20"/>
      <c r="AJZ1" s="20"/>
      <c r="AKA1" s="20"/>
      <c r="AKB1" s="20"/>
      <c r="AKC1" s="20"/>
      <c r="AKD1" s="20"/>
      <c r="AKE1" s="20"/>
      <c r="AKF1" s="20"/>
      <c r="AKG1" s="20"/>
      <c r="AKH1" s="20"/>
      <c r="AKI1" s="20"/>
      <c r="AKJ1" s="20"/>
      <c r="AKK1" s="20"/>
      <c r="AKL1" s="20"/>
      <c r="AKM1" s="20"/>
      <c r="AKN1" s="20"/>
      <c r="AKO1" s="20"/>
      <c r="AKP1" s="20"/>
      <c r="AKQ1" s="20"/>
      <c r="AKR1" s="20"/>
      <c r="AKS1" s="20"/>
      <c r="AKT1" s="20"/>
      <c r="AKU1" s="20"/>
      <c r="AKV1" s="20"/>
      <c r="AKW1" s="20"/>
      <c r="AKX1" s="20"/>
      <c r="AKY1" s="20"/>
      <c r="AKZ1" s="20"/>
      <c r="ALA1" s="20"/>
      <c r="ALB1" s="20"/>
      <c r="ALC1" s="20"/>
      <c r="ALD1" s="20"/>
      <c r="ALE1" s="20"/>
      <c r="ALF1" s="20"/>
      <c r="ALG1" s="20"/>
      <c r="ALH1" s="20"/>
      <c r="ALI1" s="20"/>
      <c r="ALJ1" s="20"/>
      <c r="ALK1" s="20"/>
      <c r="ALL1" s="20"/>
      <c r="ALM1" s="20"/>
      <c r="ALN1" s="20"/>
      <c r="ALO1" s="20"/>
      <c r="ALP1" s="20"/>
      <c r="ALQ1" s="20"/>
      <c r="ALR1" s="20"/>
      <c r="ALS1" s="20"/>
      <c r="ALT1" s="20"/>
      <c r="ALU1" s="20"/>
      <c r="ALV1" s="20"/>
      <c r="ALW1" s="20"/>
      <c r="ALX1" s="20"/>
      <c r="ALY1" s="20"/>
      <c r="ALZ1" s="20"/>
      <c r="AMA1" s="20"/>
      <c r="AMB1" s="20"/>
      <c r="AMC1" s="20"/>
      <c r="AMD1" s="20"/>
      <c r="AME1" s="20"/>
      <c r="AMF1" s="20"/>
      <c r="AMG1" s="20"/>
      <c r="AMH1" s="20"/>
      <c r="AMI1" s="20"/>
      <c r="AMJ1" s="20"/>
      <c r="AMK1" s="20"/>
      <c r="AML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  <c r="FI3" s="24"/>
      <c r="FJ3" s="24"/>
      <c r="FK3" s="24"/>
      <c r="FL3" s="24"/>
      <c r="FM3" s="24"/>
      <c r="FN3" s="24"/>
      <c r="FO3" s="24"/>
      <c r="FP3" s="24"/>
      <c r="FQ3" s="24"/>
      <c r="FR3" s="24"/>
      <c r="FS3" s="24"/>
      <c r="FT3" s="24"/>
      <c r="FU3" s="24"/>
      <c r="FV3" s="24"/>
      <c r="FW3" s="24"/>
      <c r="FX3" s="24"/>
      <c r="FY3" s="24"/>
      <c r="FZ3" s="24"/>
      <c r="GA3" s="24"/>
      <c r="GB3" s="24"/>
      <c r="GC3" s="24"/>
      <c r="GD3" s="24"/>
      <c r="GE3" s="24"/>
      <c r="GF3" s="24"/>
      <c r="GG3" s="24"/>
      <c r="GH3" s="24"/>
      <c r="GI3" s="24"/>
      <c r="GJ3" s="24"/>
      <c r="GK3" s="24"/>
      <c r="GL3" s="24"/>
      <c r="GM3" s="24"/>
      <c r="GN3" s="24"/>
      <c r="GO3" s="24"/>
      <c r="GP3" s="24"/>
      <c r="GQ3" s="24"/>
      <c r="GR3" s="24"/>
      <c r="GS3" s="24"/>
      <c r="GT3" s="24"/>
      <c r="GU3" s="24"/>
      <c r="GV3" s="24"/>
      <c r="GW3" s="24"/>
      <c r="GX3" s="24"/>
      <c r="GY3" s="24"/>
      <c r="GZ3" s="24"/>
      <c r="HA3" s="24"/>
      <c r="HB3" s="24"/>
      <c r="HC3" s="24"/>
      <c r="HD3" s="24"/>
      <c r="HE3" s="24"/>
      <c r="HF3" s="24"/>
      <c r="HG3" s="24"/>
      <c r="HH3" s="24"/>
      <c r="HI3" s="24"/>
      <c r="HJ3" s="24"/>
      <c r="HK3" s="24"/>
      <c r="HL3" s="24"/>
      <c r="HM3" s="24"/>
      <c r="HN3" s="24"/>
      <c r="HO3" s="24"/>
      <c r="HP3" s="24"/>
      <c r="HQ3" s="24"/>
      <c r="HR3" s="24"/>
      <c r="HS3" s="24"/>
      <c r="HT3" s="24"/>
      <c r="HU3" s="24"/>
      <c r="HV3" s="24"/>
      <c r="HW3" s="24"/>
      <c r="HX3" s="24"/>
      <c r="HY3" s="24"/>
      <c r="HZ3" s="24"/>
      <c r="IA3" s="24"/>
      <c r="IB3" s="24"/>
      <c r="IC3" s="24"/>
      <c r="ID3" s="24"/>
      <c r="IE3" s="24"/>
      <c r="IF3" s="24"/>
      <c r="IG3" s="24"/>
      <c r="IH3" s="24"/>
      <c r="II3" s="24"/>
      <c r="IJ3" s="24"/>
      <c r="IK3" s="24"/>
      <c r="IL3" s="24"/>
      <c r="IM3" s="24"/>
      <c r="IN3" s="24"/>
      <c r="IO3" s="24"/>
      <c r="IP3" s="24"/>
      <c r="IQ3" s="24"/>
      <c r="IR3" s="24"/>
      <c r="IS3" s="24"/>
      <c r="IT3" s="24"/>
      <c r="IU3" s="24"/>
      <c r="IV3" s="24"/>
      <c r="IW3" s="24"/>
      <c r="IX3" s="24"/>
      <c r="IY3" s="24"/>
      <c r="IZ3" s="24"/>
      <c r="JA3" s="24"/>
      <c r="JB3" s="24"/>
      <c r="JC3" s="24"/>
      <c r="JD3" s="24"/>
      <c r="JE3" s="24"/>
      <c r="JF3" s="24"/>
      <c r="JG3" s="24"/>
      <c r="JH3" s="24"/>
      <c r="JI3" s="24"/>
      <c r="JJ3" s="24"/>
      <c r="JK3" s="24"/>
      <c r="JL3" s="24"/>
      <c r="JM3" s="24"/>
      <c r="JN3" s="24"/>
      <c r="JO3" s="24"/>
      <c r="JP3" s="24"/>
      <c r="JQ3" s="24"/>
      <c r="JR3" s="24"/>
      <c r="JS3" s="24"/>
      <c r="JT3" s="24"/>
      <c r="JU3" s="24"/>
      <c r="JV3" s="24"/>
      <c r="JW3" s="24"/>
      <c r="JX3" s="24"/>
      <c r="JY3" s="24"/>
      <c r="JZ3" s="24"/>
      <c r="KA3" s="24"/>
      <c r="KB3" s="24"/>
      <c r="KC3" s="24"/>
      <c r="KD3" s="24"/>
      <c r="KE3" s="24"/>
      <c r="KF3" s="24"/>
      <c r="KG3" s="24"/>
      <c r="KH3" s="24"/>
      <c r="KI3" s="24"/>
      <c r="KJ3" s="24"/>
      <c r="KK3" s="24"/>
      <c r="KL3" s="24"/>
      <c r="KM3" s="24"/>
      <c r="KN3" s="24"/>
      <c r="KO3" s="24"/>
      <c r="KP3" s="24"/>
      <c r="KQ3" s="24"/>
      <c r="KR3" s="24"/>
      <c r="KS3" s="24"/>
      <c r="KT3" s="24"/>
      <c r="KU3" s="24"/>
      <c r="KV3" s="24"/>
      <c r="KW3" s="24"/>
      <c r="KX3" s="24"/>
      <c r="KY3" s="24"/>
      <c r="KZ3" s="24"/>
      <c r="LA3" s="24"/>
      <c r="LB3" s="24"/>
      <c r="LC3" s="24"/>
      <c r="LD3" s="24"/>
      <c r="LE3" s="24"/>
      <c r="LF3" s="24"/>
      <c r="LG3" s="24"/>
      <c r="LH3" s="24"/>
      <c r="LI3" s="24"/>
      <c r="LJ3" s="24"/>
      <c r="LK3" s="24"/>
      <c r="LL3" s="24"/>
      <c r="LM3" s="24"/>
      <c r="LN3" s="24"/>
      <c r="LO3" s="24"/>
      <c r="LP3" s="24"/>
      <c r="LQ3" s="24"/>
      <c r="LR3" s="24"/>
      <c r="LS3" s="24"/>
      <c r="LT3" s="24"/>
      <c r="LU3" s="24"/>
      <c r="LV3" s="24"/>
      <c r="LW3" s="24"/>
      <c r="LX3" s="24"/>
      <c r="LY3" s="24"/>
      <c r="LZ3" s="24"/>
      <c r="MA3" s="24"/>
      <c r="MB3" s="24"/>
      <c r="MC3" s="24"/>
      <c r="MD3" s="24"/>
      <c r="ME3" s="24"/>
      <c r="MF3" s="24"/>
      <c r="MG3" s="24"/>
      <c r="MH3" s="24"/>
      <c r="MI3" s="24"/>
      <c r="MJ3" s="24"/>
      <c r="MK3" s="24"/>
      <c r="ML3" s="24"/>
      <c r="MM3" s="24"/>
      <c r="MN3" s="24"/>
      <c r="MO3" s="24"/>
      <c r="MP3" s="24"/>
      <c r="MQ3" s="24"/>
      <c r="MR3" s="24"/>
      <c r="MS3" s="24"/>
      <c r="MT3" s="24"/>
      <c r="MU3" s="24"/>
      <c r="MV3" s="24"/>
      <c r="MW3" s="24"/>
      <c r="MX3" s="24"/>
      <c r="MY3" s="24"/>
      <c r="MZ3" s="24"/>
      <c r="NA3" s="24"/>
      <c r="NB3" s="24"/>
      <c r="NC3" s="24"/>
      <c r="ND3" s="24"/>
      <c r="NE3" s="24"/>
      <c r="NF3" s="24"/>
      <c r="NG3" s="24"/>
      <c r="NH3" s="24"/>
      <c r="NI3" s="24"/>
      <c r="NJ3" s="24"/>
      <c r="NK3" s="24"/>
      <c r="NL3" s="24"/>
      <c r="NM3" s="24"/>
      <c r="NN3" s="24"/>
      <c r="NO3" s="24"/>
      <c r="NP3" s="24"/>
      <c r="NQ3" s="24"/>
      <c r="NR3" s="24"/>
      <c r="NS3" s="24"/>
      <c r="NT3" s="24"/>
      <c r="NU3" s="24"/>
      <c r="NV3" s="24"/>
      <c r="NW3" s="24"/>
      <c r="NX3" s="24"/>
      <c r="NY3" s="24"/>
      <c r="NZ3" s="24"/>
      <c r="OA3" s="24"/>
      <c r="OB3" s="24"/>
      <c r="OC3" s="24"/>
      <c r="OD3" s="24"/>
      <c r="OE3" s="24"/>
      <c r="OF3" s="24"/>
      <c r="OG3" s="24"/>
      <c r="OH3" s="24"/>
      <c r="OI3" s="24"/>
      <c r="OJ3" s="24"/>
      <c r="OK3" s="24"/>
      <c r="OL3" s="24"/>
      <c r="OM3" s="24"/>
      <c r="ON3" s="24"/>
      <c r="OO3" s="24"/>
      <c r="OP3" s="24"/>
      <c r="OQ3" s="24"/>
      <c r="OR3" s="24"/>
      <c r="OS3" s="24"/>
      <c r="OT3" s="24"/>
      <c r="OU3" s="24"/>
      <c r="OV3" s="24"/>
      <c r="OW3" s="24"/>
      <c r="OX3" s="24"/>
      <c r="OY3" s="24"/>
      <c r="OZ3" s="24"/>
      <c r="PA3" s="24"/>
      <c r="PB3" s="24"/>
      <c r="PC3" s="24"/>
      <c r="PD3" s="24"/>
      <c r="PE3" s="24"/>
      <c r="PF3" s="24"/>
      <c r="PG3" s="24"/>
      <c r="PH3" s="24"/>
      <c r="PI3" s="24"/>
      <c r="PJ3" s="24"/>
      <c r="PK3" s="24"/>
      <c r="PL3" s="24"/>
      <c r="PM3" s="24"/>
      <c r="PN3" s="24"/>
      <c r="PO3" s="24"/>
      <c r="PP3" s="24"/>
      <c r="PQ3" s="24"/>
      <c r="PR3" s="24"/>
      <c r="PS3" s="24"/>
      <c r="PT3" s="24"/>
      <c r="PU3" s="24"/>
      <c r="PV3" s="24"/>
      <c r="PW3" s="24"/>
      <c r="PX3" s="24"/>
      <c r="PY3" s="24"/>
      <c r="PZ3" s="24"/>
      <c r="QA3" s="24"/>
      <c r="QB3" s="24"/>
      <c r="QC3" s="24"/>
      <c r="QD3" s="24"/>
      <c r="QE3" s="24"/>
      <c r="QF3" s="24"/>
      <c r="QG3" s="24"/>
      <c r="QH3" s="24"/>
      <c r="QI3" s="24"/>
      <c r="QJ3" s="24"/>
      <c r="QK3" s="24"/>
      <c r="QL3" s="24"/>
      <c r="QM3" s="24"/>
      <c r="QN3" s="24"/>
      <c r="QO3" s="24"/>
      <c r="QP3" s="24"/>
      <c r="QQ3" s="24"/>
      <c r="QR3" s="24"/>
      <c r="QS3" s="24"/>
      <c r="QT3" s="24"/>
      <c r="QU3" s="24"/>
      <c r="QV3" s="24"/>
      <c r="QW3" s="24"/>
      <c r="QX3" s="24"/>
      <c r="QY3" s="24"/>
      <c r="QZ3" s="24"/>
      <c r="RA3" s="24"/>
      <c r="RB3" s="24"/>
      <c r="RC3" s="24"/>
      <c r="RD3" s="24"/>
      <c r="RE3" s="24"/>
      <c r="RF3" s="24"/>
      <c r="RG3" s="24"/>
      <c r="RH3" s="24"/>
      <c r="RI3" s="24"/>
      <c r="RJ3" s="24"/>
      <c r="RK3" s="24"/>
      <c r="RL3" s="24"/>
      <c r="RM3" s="24"/>
      <c r="RN3" s="24"/>
      <c r="RO3" s="24"/>
      <c r="RP3" s="24"/>
      <c r="RQ3" s="24"/>
      <c r="RR3" s="24"/>
      <c r="RS3" s="24"/>
      <c r="RT3" s="24"/>
      <c r="RU3" s="24"/>
      <c r="RV3" s="24"/>
      <c r="RW3" s="24"/>
      <c r="RX3" s="24"/>
      <c r="RY3" s="24"/>
      <c r="RZ3" s="24"/>
      <c r="SA3" s="24"/>
      <c r="SB3" s="24"/>
      <c r="SC3" s="24"/>
      <c r="SD3" s="24"/>
      <c r="SE3" s="24"/>
      <c r="SF3" s="24"/>
      <c r="SG3" s="24"/>
      <c r="SH3" s="24"/>
      <c r="SI3" s="24"/>
      <c r="SJ3" s="24"/>
      <c r="SK3" s="24"/>
      <c r="SL3" s="24"/>
      <c r="SM3" s="24"/>
      <c r="SN3" s="24"/>
      <c r="SO3" s="24"/>
      <c r="SP3" s="24"/>
      <c r="SQ3" s="24"/>
      <c r="SR3" s="24"/>
      <c r="SS3" s="24"/>
      <c r="ST3" s="24"/>
      <c r="SU3" s="24"/>
      <c r="SV3" s="24"/>
      <c r="SW3" s="24"/>
      <c r="SX3" s="24"/>
      <c r="SY3" s="24"/>
      <c r="SZ3" s="24"/>
      <c r="TA3" s="24"/>
      <c r="TB3" s="24"/>
      <c r="TC3" s="24"/>
      <c r="TD3" s="24"/>
      <c r="TE3" s="24"/>
      <c r="TF3" s="24"/>
      <c r="TG3" s="24"/>
      <c r="TH3" s="24"/>
      <c r="TI3" s="24"/>
      <c r="TJ3" s="24"/>
      <c r="TK3" s="24"/>
      <c r="TL3" s="24"/>
      <c r="TM3" s="24"/>
      <c r="TN3" s="24"/>
      <c r="TO3" s="24"/>
      <c r="TP3" s="24"/>
      <c r="TQ3" s="24"/>
      <c r="TR3" s="24"/>
      <c r="TS3" s="24"/>
      <c r="TT3" s="24"/>
      <c r="TU3" s="24"/>
      <c r="TV3" s="24"/>
      <c r="TW3" s="24"/>
      <c r="TX3" s="24"/>
      <c r="TY3" s="24"/>
      <c r="TZ3" s="24"/>
      <c r="UA3" s="24"/>
      <c r="UB3" s="24"/>
      <c r="UC3" s="24"/>
      <c r="UD3" s="24"/>
      <c r="UE3" s="24"/>
      <c r="UF3" s="24"/>
      <c r="UG3" s="24"/>
      <c r="UH3" s="24"/>
      <c r="UI3" s="24"/>
      <c r="UJ3" s="24"/>
      <c r="UK3" s="24"/>
      <c r="UL3" s="24"/>
      <c r="UM3" s="24"/>
      <c r="UN3" s="24"/>
      <c r="UO3" s="24"/>
      <c r="UP3" s="24"/>
      <c r="UQ3" s="24"/>
      <c r="UR3" s="24"/>
      <c r="US3" s="24"/>
      <c r="UT3" s="24"/>
      <c r="UU3" s="24"/>
      <c r="UV3" s="24"/>
      <c r="UW3" s="24"/>
      <c r="UX3" s="24"/>
      <c r="UY3" s="24"/>
      <c r="UZ3" s="24"/>
      <c r="VA3" s="24"/>
      <c r="VB3" s="24"/>
      <c r="VC3" s="24"/>
      <c r="VD3" s="24"/>
      <c r="VE3" s="24"/>
      <c r="VF3" s="24"/>
      <c r="VG3" s="24"/>
      <c r="VH3" s="24"/>
      <c r="VI3" s="24"/>
      <c r="VJ3" s="24"/>
      <c r="VK3" s="24"/>
      <c r="VL3" s="24"/>
      <c r="VM3" s="24"/>
      <c r="VN3" s="24"/>
      <c r="VO3" s="24"/>
      <c r="VP3" s="24"/>
      <c r="VQ3" s="24"/>
      <c r="VR3" s="24"/>
      <c r="VS3" s="24"/>
      <c r="VT3" s="24"/>
      <c r="VU3" s="24"/>
      <c r="VV3" s="24"/>
      <c r="VW3" s="24"/>
      <c r="VX3" s="24"/>
      <c r="VY3" s="24"/>
      <c r="VZ3" s="24"/>
      <c r="WA3" s="24"/>
      <c r="WB3" s="24"/>
      <c r="WC3" s="24"/>
      <c r="WD3" s="24"/>
      <c r="WE3" s="24"/>
      <c r="WF3" s="24"/>
      <c r="WG3" s="24"/>
      <c r="WH3" s="24"/>
      <c r="WI3" s="24"/>
      <c r="WJ3" s="24"/>
      <c r="WK3" s="24"/>
      <c r="WL3" s="24"/>
      <c r="WM3" s="24"/>
      <c r="WN3" s="24"/>
      <c r="WO3" s="24"/>
      <c r="WP3" s="24"/>
      <c r="WQ3" s="24"/>
      <c r="WR3" s="24"/>
      <c r="WS3" s="24"/>
      <c r="WT3" s="24"/>
      <c r="WU3" s="24"/>
      <c r="WV3" s="24"/>
      <c r="WW3" s="24"/>
      <c r="WX3" s="24"/>
      <c r="WY3" s="24"/>
      <c r="WZ3" s="24"/>
      <c r="XA3" s="24"/>
      <c r="XB3" s="24"/>
      <c r="XC3" s="24"/>
      <c r="XD3" s="24"/>
      <c r="XE3" s="24"/>
      <c r="XF3" s="24"/>
      <c r="XG3" s="24"/>
      <c r="XH3" s="24"/>
      <c r="XI3" s="24"/>
      <c r="XJ3" s="24"/>
      <c r="XK3" s="24"/>
      <c r="XL3" s="24"/>
      <c r="XM3" s="24"/>
      <c r="XN3" s="24"/>
      <c r="XO3" s="24"/>
      <c r="XP3" s="24"/>
      <c r="XQ3" s="24"/>
      <c r="XR3" s="24"/>
      <c r="XS3" s="24"/>
      <c r="XT3" s="24"/>
      <c r="XU3" s="24"/>
      <c r="XV3" s="24"/>
      <c r="XW3" s="24"/>
      <c r="XX3" s="24"/>
      <c r="XY3" s="24"/>
      <c r="XZ3" s="24"/>
      <c r="YA3" s="24"/>
      <c r="YB3" s="24"/>
      <c r="YC3" s="24"/>
      <c r="YD3" s="24"/>
      <c r="YE3" s="24"/>
      <c r="YF3" s="24"/>
      <c r="YG3" s="24"/>
      <c r="YH3" s="24"/>
      <c r="YI3" s="24"/>
      <c r="YJ3" s="24"/>
      <c r="YK3" s="24"/>
      <c r="YL3" s="24"/>
      <c r="YM3" s="24"/>
      <c r="YN3" s="24"/>
      <c r="YO3" s="24"/>
      <c r="YP3" s="24"/>
      <c r="YQ3" s="24"/>
      <c r="YR3" s="24"/>
      <c r="YS3" s="24"/>
      <c r="YT3" s="24"/>
      <c r="YU3" s="24"/>
      <c r="YV3" s="24"/>
      <c r="YW3" s="24"/>
      <c r="YX3" s="24"/>
      <c r="YY3" s="24"/>
      <c r="YZ3" s="24"/>
      <c r="ZA3" s="24"/>
      <c r="ZB3" s="24"/>
      <c r="ZC3" s="24"/>
      <c r="ZD3" s="24"/>
      <c r="ZE3" s="24"/>
      <c r="ZF3" s="24"/>
      <c r="ZG3" s="24"/>
      <c r="ZH3" s="24"/>
      <c r="ZI3" s="24"/>
      <c r="ZJ3" s="24"/>
      <c r="ZK3" s="24"/>
      <c r="ZL3" s="24"/>
      <c r="ZM3" s="24"/>
      <c r="ZN3" s="24"/>
      <c r="ZO3" s="24"/>
      <c r="ZP3" s="24"/>
      <c r="ZQ3" s="24"/>
      <c r="ZR3" s="24"/>
      <c r="ZS3" s="24"/>
      <c r="ZT3" s="24"/>
      <c r="ZU3" s="24"/>
      <c r="ZV3" s="24"/>
      <c r="ZW3" s="24"/>
      <c r="ZX3" s="24"/>
      <c r="ZY3" s="24"/>
      <c r="ZZ3" s="24"/>
      <c r="AAA3" s="24"/>
      <c r="AAB3" s="24"/>
      <c r="AAC3" s="24"/>
      <c r="AAD3" s="24"/>
      <c r="AAE3" s="24"/>
      <c r="AAF3" s="24"/>
      <c r="AAG3" s="24"/>
      <c r="AAH3" s="24"/>
      <c r="AAI3" s="24"/>
      <c r="AAJ3" s="24"/>
      <c r="AAK3" s="24"/>
      <c r="AAL3" s="24"/>
      <c r="AAM3" s="24"/>
      <c r="AAN3" s="24"/>
      <c r="AAO3" s="24"/>
      <c r="AAP3" s="24"/>
      <c r="AAQ3" s="24"/>
      <c r="AAR3" s="24"/>
      <c r="AAS3" s="24"/>
      <c r="AAT3" s="24"/>
      <c r="AAU3" s="24"/>
      <c r="AAV3" s="24"/>
      <c r="AAW3" s="24"/>
      <c r="AAX3" s="24"/>
      <c r="AAY3" s="24"/>
      <c r="AAZ3" s="24"/>
      <c r="ABA3" s="24"/>
      <c r="ABB3" s="24"/>
      <c r="ABC3" s="24"/>
      <c r="ABD3" s="24"/>
      <c r="ABE3" s="24"/>
      <c r="ABF3" s="24"/>
      <c r="ABG3" s="24"/>
      <c r="ABH3" s="24"/>
      <c r="ABI3" s="24"/>
      <c r="ABJ3" s="24"/>
      <c r="ABK3" s="24"/>
      <c r="ABL3" s="24"/>
      <c r="ABM3" s="24"/>
      <c r="ABN3" s="24"/>
      <c r="ABO3" s="24"/>
      <c r="ABP3" s="24"/>
      <c r="ABQ3" s="24"/>
      <c r="ABR3" s="24"/>
      <c r="ABS3" s="24"/>
      <c r="ABT3" s="24"/>
      <c r="ABU3" s="24"/>
      <c r="ABV3" s="24"/>
      <c r="ABW3" s="24"/>
      <c r="ABX3" s="24"/>
      <c r="ABY3" s="24"/>
      <c r="ABZ3" s="24"/>
      <c r="ACA3" s="24"/>
      <c r="ACB3" s="24"/>
      <c r="ACC3" s="24"/>
      <c r="ACD3" s="24"/>
      <c r="ACE3" s="24"/>
      <c r="ACF3" s="24"/>
      <c r="ACG3" s="24"/>
      <c r="ACH3" s="24"/>
      <c r="ACI3" s="24"/>
      <c r="ACJ3" s="24"/>
      <c r="ACK3" s="24"/>
      <c r="ACL3" s="24"/>
      <c r="ACM3" s="24"/>
      <c r="ACN3" s="24"/>
      <c r="ACO3" s="24"/>
      <c r="ACP3" s="24"/>
      <c r="ACQ3" s="24"/>
      <c r="ACR3" s="24"/>
      <c r="ACS3" s="24"/>
      <c r="ACT3" s="24"/>
      <c r="ACU3" s="24"/>
      <c r="ACV3" s="24"/>
      <c r="ACW3" s="24"/>
      <c r="ACX3" s="24"/>
      <c r="ACY3" s="24"/>
      <c r="ACZ3" s="24"/>
      <c r="ADA3" s="24"/>
      <c r="ADB3" s="24"/>
      <c r="ADC3" s="24"/>
      <c r="ADD3" s="24"/>
      <c r="ADE3" s="24"/>
      <c r="ADF3" s="24"/>
      <c r="ADG3" s="24"/>
      <c r="ADH3" s="24"/>
      <c r="ADI3" s="24"/>
      <c r="ADJ3" s="24"/>
      <c r="ADK3" s="24"/>
      <c r="ADL3" s="24"/>
      <c r="ADM3" s="24"/>
      <c r="ADN3" s="24"/>
      <c r="ADO3" s="24"/>
      <c r="ADP3" s="24"/>
      <c r="ADQ3" s="24"/>
      <c r="ADR3" s="24"/>
      <c r="ADS3" s="24"/>
      <c r="ADT3" s="24"/>
      <c r="ADU3" s="24"/>
      <c r="ADV3" s="24"/>
      <c r="ADW3" s="24"/>
      <c r="ADX3" s="24"/>
      <c r="ADY3" s="24"/>
      <c r="ADZ3" s="24"/>
      <c r="AEA3" s="24"/>
      <c r="AEB3" s="24"/>
      <c r="AEC3" s="24"/>
      <c r="AED3" s="24"/>
      <c r="AEE3" s="24"/>
      <c r="AEF3" s="24"/>
      <c r="AEG3" s="24"/>
      <c r="AEH3" s="24"/>
      <c r="AEI3" s="24"/>
      <c r="AEJ3" s="24"/>
      <c r="AEK3" s="24"/>
      <c r="AEL3" s="24"/>
      <c r="AEM3" s="24"/>
      <c r="AEN3" s="24"/>
      <c r="AEO3" s="24"/>
      <c r="AEP3" s="24"/>
      <c r="AEQ3" s="24"/>
      <c r="AER3" s="24"/>
      <c r="AES3" s="24"/>
      <c r="AET3" s="24"/>
      <c r="AEU3" s="24"/>
      <c r="AEV3" s="24"/>
      <c r="AEW3" s="24"/>
      <c r="AEX3" s="24"/>
      <c r="AEY3" s="24"/>
      <c r="AEZ3" s="24"/>
      <c r="AFA3" s="24"/>
      <c r="AFB3" s="24"/>
      <c r="AFC3" s="24"/>
      <c r="AFD3" s="24"/>
      <c r="AFE3" s="24"/>
      <c r="AFF3" s="24"/>
      <c r="AFG3" s="24"/>
      <c r="AFH3" s="24"/>
      <c r="AFI3" s="24"/>
      <c r="AFJ3" s="24"/>
      <c r="AFK3" s="24"/>
      <c r="AFL3" s="24"/>
      <c r="AFM3" s="24"/>
      <c r="AFN3" s="24"/>
      <c r="AFO3" s="24"/>
      <c r="AFP3" s="24"/>
      <c r="AFQ3" s="24"/>
      <c r="AFR3" s="24"/>
      <c r="AFS3" s="24"/>
      <c r="AFT3" s="24"/>
      <c r="AFU3" s="24"/>
      <c r="AFV3" s="24"/>
      <c r="AFW3" s="24"/>
      <c r="AFX3" s="24"/>
      <c r="AFY3" s="24"/>
      <c r="AFZ3" s="24"/>
      <c r="AGA3" s="24"/>
      <c r="AGB3" s="24"/>
      <c r="AGC3" s="24"/>
      <c r="AGD3" s="24"/>
      <c r="AGE3" s="24"/>
      <c r="AGF3" s="24"/>
      <c r="AGG3" s="24"/>
      <c r="AGH3" s="24"/>
      <c r="AGI3" s="24"/>
      <c r="AGJ3" s="24"/>
      <c r="AGK3" s="24"/>
      <c r="AGL3" s="24"/>
      <c r="AGM3" s="24"/>
      <c r="AGN3" s="24"/>
      <c r="AGO3" s="24"/>
      <c r="AGP3" s="24"/>
      <c r="AGQ3" s="24"/>
      <c r="AGR3" s="24"/>
      <c r="AGS3" s="24"/>
      <c r="AGT3" s="24"/>
      <c r="AGU3" s="24"/>
      <c r="AGV3" s="24"/>
      <c r="AGW3" s="24"/>
      <c r="AGX3" s="24"/>
      <c r="AGY3" s="24"/>
      <c r="AGZ3" s="24"/>
      <c r="AHA3" s="24"/>
      <c r="AHB3" s="24"/>
      <c r="AHC3" s="24"/>
      <c r="AHD3" s="24"/>
      <c r="AHE3" s="24"/>
      <c r="AHF3" s="24"/>
      <c r="AHG3" s="24"/>
      <c r="AHH3" s="24"/>
      <c r="AHI3" s="24"/>
      <c r="AHJ3" s="24"/>
      <c r="AHK3" s="24"/>
      <c r="AHL3" s="24"/>
      <c r="AHM3" s="24"/>
      <c r="AHN3" s="24"/>
      <c r="AHO3" s="24"/>
      <c r="AHP3" s="24"/>
      <c r="AHQ3" s="24"/>
      <c r="AHR3" s="24"/>
      <c r="AHS3" s="24"/>
      <c r="AHT3" s="24"/>
      <c r="AHU3" s="24"/>
      <c r="AHV3" s="24"/>
      <c r="AHW3" s="24"/>
      <c r="AHX3" s="24"/>
      <c r="AHY3" s="24"/>
      <c r="AHZ3" s="24"/>
      <c r="AIA3" s="24"/>
      <c r="AIB3" s="24"/>
      <c r="AIC3" s="24"/>
      <c r="AID3" s="24"/>
      <c r="AIE3" s="24"/>
      <c r="AIF3" s="24"/>
      <c r="AIG3" s="24"/>
      <c r="AIH3" s="24"/>
      <c r="AII3" s="24"/>
      <c r="AIJ3" s="24"/>
      <c r="AIK3" s="24"/>
      <c r="AIL3" s="24"/>
      <c r="AIM3" s="24"/>
      <c r="AIN3" s="24"/>
      <c r="AIO3" s="24"/>
      <c r="AIP3" s="24"/>
      <c r="AIQ3" s="24"/>
      <c r="AIR3" s="24"/>
      <c r="AIS3" s="24"/>
      <c r="AIT3" s="24"/>
      <c r="AIU3" s="24"/>
      <c r="AIV3" s="24"/>
      <c r="AIW3" s="24"/>
      <c r="AIX3" s="24"/>
      <c r="AIY3" s="24"/>
      <c r="AIZ3" s="24"/>
      <c r="AJA3" s="24"/>
      <c r="AJB3" s="24"/>
      <c r="AJC3" s="24"/>
      <c r="AJD3" s="24"/>
      <c r="AJE3" s="24"/>
      <c r="AJF3" s="24"/>
      <c r="AJG3" s="24"/>
      <c r="AJH3" s="24"/>
      <c r="AJI3" s="24"/>
      <c r="AJJ3" s="24"/>
      <c r="AJK3" s="24"/>
      <c r="AJL3" s="24"/>
      <c r="AJM3" s="24"/>
      <c r="AJN3" s="24"/>
      <c r="AJO3" s="24"/>
      <c r="AJP3" s="24"/>
      <c r="AJQ3" s="24"/>
      <c r="AJR3" s="24"/>
      <c r="AJS3" s="24"/>
      <c r="AJT3" s="24"/>
      <c r="AJU3" s="24"/>
      <c r="AJV3" s="24"/>
      <c r="AJW3" s="24"/>
      <c r="AJX3" s="24"/>
      <c r="AJY3" s="24"/>
      <c r="AJZ3" s="24"/>
      <c r="AKA3" s="24"/>
      <c r="AKB3" s="24"/>
      <c r="AKC3" s="24"/>
      <c r="AKD3" s="24"/>
      <c r="AKE3" s="24"/>
      <c r="AKF3" s="24"/>
      <c r="AKG3" s="24"/>
      <c r="AKH3" s="24"/>
      <c r="AKI3" s="24"/>
      <c r="AKJ3" s="24"/>
      <c r="AKK3" s="24"/>
      <c r="AKL3" s="24"/>
      <c r="AKM3" s="24"/>
      <c r="AKN3" s="24"/>
      <c r="AKO3" s="24"/>
      <c r="AKP3" s="24"/>
      <c r="AKQ3" s="24"/>
      <c r="AKR3" s="24"/>
      <c r="AKS3" s="24"/>
      <c r="AKT3" s="24"/>
      <c r="AKU3" s="24"/>
      <c r="AKV3" s="24"/>
      <c r="AKW3" s="24"/>
      <c r="AKX3" s="24"/>
      <c r="AKY3" s="24"/>
      <c r="AKZ3" s="24"/>
      <c r="ALA3" s="24"/>
      <c r="ALB3" s="24"/>
      <c r="ALC3" s="24"/>
      <c r="ALD3" s="24"/>
      <c r="ALE3" s="24"/>
      <c r="ALF3" s="24"/>
      <c r="ALG3" s="24"/>
      <c r="ALH3" s="24"/>
      <c r="ALI3" s="24"/>
      <c r="ALJ3" s="24"/>
      <c r="ALK3" s="24"/>
      <c r="ALL3" s="24"/>
      <c r="ALM3" s="24"/>
      <c r="ALN3" s="24"/>
      <c r="ALO3" s="24"/>
      <c r="ALP3" s="24"/>
      <c r="ALQ3" s="24"/>
      <c r="ALR3" s="24"/>
      <c r="ALS3" s="24"/>
      <c r="ALT3" s="24"/>
      <c r="ALU3" s="24"/>
      <c r="ALV3" s="24"/>
      <c r="ALW3" s="24"/>
      <c r="ALX3" s="24"/>
      <c r="ALY3" s="24"/>
      <c r="ALZ3" s="24"/>
      <c r="AMA3" s="24"/>
      <c r="AMB3" s="24"/>
      <c r="AMC3" s="24"/>
      <c r="AMD3" s="24"/>
      <c r="AME3" s="24"/>
      <c r="AMF3" s="24"/>
      <c r="AMG3" s="24"/>
      <c r="AMH3" s="24"/>
      <c r="AMI3" s="24"/>
      <c r="AMJ3" s="24"/>
      <c r="AMK3" s="24"/>
      <c r="AML3" s="24"/>
    </row>
    <row r="4" ht="15.75" customHeight="1">
      <c r="A4" s="25"/>
      <c r="B4" s="25" t="str">
        <f>IFERROR(__xludf.DUMMYFUNCTION("IF(C3="""","""",Transpose(IMPORTRANGE('_Settings'!$B$3,C3&amp;""!A4:A1000"")))"),"FetchAccountPositions")</f>
        <v>FetchAccountPositions</v>
      </c>
      <c r="C4" s="25" t="str">
        <f>IFERROR(__xludf.DUMMYFUNCTION("""COMPUTED_VALUE"""),"AddCash")</f>
        <v>AddCash</v>
      </c>
      <c r="D4" s="25" t="str">
        <f>IFERROR(__xludf.DUMMYFUNCTION("""COMPUTED_VALUE"""),"VerifyGridData")</f>
        <v>VerifyGridData</v>
      </c>
      <c r="E4" s="25" t="str">
        <f>IFERROR(__xludf.DUMMYFUNCTION("""COMPUTED_VALUE"""),"RunRebalance")</f>
        <v>RunRebalance</v>
      </c>
      <c r="F4" s="25" t="str">
        <f>IFERROR(__xludf.DUMMYFUNCTION("""COMPUTED_VALUE"""),"EnableComplianceTab")</f>
        <v>EnableComplianceTab</v>
      </c>
      <c r="G4" s="25" t="str">
        <f>IFERROR(__xludf.DUMMYFUNCTION("""COMPUTED_VALUE"""),"RebalancePreference")</f>
        <v>RebalancePreference</v>
      </c>
      <c r="H4" s="25" t="str">
        <f>IFERROR(__xludf.DUMMYFUNCTION("""COMPUTED_VALUE"""),"ImportModelPortfolio")</f>
        <v>ImportModelPortfolio</v>
      </c>
      <c r="I4" s="25" t="str">
        <f>IFERROR(__xludf.DUMMYFUNCTION("""COMPUTED_VALUE"""),"RebalanceAcrossSecurities")</f>
        <v>RebalanceAcrossSecurities</v>
      </c>
      <c r="J4" s="25" t="str">
        <f>IFERROR(__xludf.DUMMYFUNCTION("""COMPUTED_VALUE"""),"CheckBasketCompliance")</f>
        <v>CheckBasketCompliance</v>
      </c>
      <c r="K4" s="25" t="str">
        <f>IFERROR(__xludf.DUMMYFUNCTION("""COMPUTED_VALUE"""),"ClearCalculations")</f>
        <v>ClearCalculations</v>
      </c>
      <c r="L4" s="25" t="str">
        <f>IFERROR(__xludf.DUMMYFUNCTION("""COMPUTED_VALUE"""),"ModifyRebalance")</f>
        <v>ModifyRebalance</v>
      </c>
      <c r="M4" s="25" t="str">
        <f>IFERROR(__xludf.DUMMYFUNCTION("""COMPUTED_VALUE"""),"ModelPortfolio")</f>
        <v>ModelPortfolio</v>
      </c>
      <c r="N4" s="25" t="str">
        <f>IFERROR(__xludf.DUMMYFUNCTION("""COMPUTED_VALUE"""),"LockandUnlockGridData")</f>
        <v>LockandUnlockGridData</v>
      </c>
      <c r="O4" s="25" t="str">
        <f>IFERROR(__xludf.DUMMYFUNCTION("""COMPUTED_VALUE"""),"RefreshGridData")</f>
        <v>RefreshGridData</v>
      </c>
      <c r="P4" s="26" t="str">
        <f>IFERROR(__xludf.DUMMYFUNCTION("""COMPUTED_VALUE"""),"SendtoStaging")</f>
        <v>SendtoStaging</v>
      </c>
      <c r="Q4" s="26" t="str">
        <f>IFERROR(__xludf.DUMMYFUNCTION("""COMPUTED_VALUE"""),"SendToStagingExport")</f>
        <v>SendToStagingExport</v>
      </c>
      <c r="R4" s="26" t="str">
        <f>IFERROR(__xludf.DUMMYFUNCTION("""COMPUTED_VALUE"""),"RebalanceViaBloomberg")</f>
        <v>RebalanceViaBloomberg</v>
      </c>
      <c r="S4" s="26" t="str">
        <f>IFERROR(__xludf.DUMMYFUNCTION("""COMPUTED_VALUE"""),"AddUserAdjustedNAV")</f>
        <v>AddUserAdjustedNAV</v>
      </c>
      <c r="T4" s="26" t="str">
        <f>IFERROR(__xludf.DUMMYFUNCTION("""COMPUTED_VALUE"""),"SymbologyChangeRB")</f>
        <v>SymbologyChangeRB</v>
      </c>
      <c r="U4" s="26" t="str">
        <f>IFERROR(__xludf.DUMMYFUNCTION("""COMPUTED_VALUE"""),"CloseRebalancer")</f>
        <v>CloseRebalancer</v>
      </c>
      <c r="V4" s="26" t="str">
        <f>IFERROR(__xludf.DUMMYFUNCTION("""COMPUTED_VALUE"""),"AddCustomCashUsingImport")</f>
        <v>AddCustomCashUsingImport</v>
      </c>
      <c r="W4" s="26" t="str">
        <f>IFERROR(__xludf.DUMMYFUNCTION("""COMPUTED_VALUE"""),"EditRebalanceGrid")</f>
        <v>EditRebalanceGrid</v>
      </c>
      <c r="X4" s="26" t="str">
        <f>IFERROR(__xludf.DUMMYFUNCTION("""COMPUTED_VALUE"""),"SaveTradeList")</f>
        <v>SaveTradeList</v>
      </c>
      <c r="Y4" s="26" t="str">
        <f>IFERROR(__xludf.DUMMYFUNCTION("""COMPUTED_VALUE"""),"NavImpactingComponent")</f>
        <v>NavImpactingComponent</v>
      </c>
      <c r="Z4" s="26" t="str">
        <f>IFERROR(__xludf.DUMMYFUNCTION("""COMPUTED_VALUE"""),"ImportUsingRebalAccrossSec")</f>
        <v>ImportUsingRebalAccrossSec</v>
      </c>
      <c r="AA4" s="26" t="str">
        <f>IFERROR(__xludf.DUMMYFUNCTION("""COMPUTED_VALUE"""),"EditImportStatus")</f>
        <v>EditImportStatus</v>
      </c>
      <c r="AB4" s="26" t="str">
        <f>IFERROR(__xludf.DUMMYFUNCTION("""COMPUTED_VALUE"""),"SelectActionsOnImportStatus")</f>
        <v>SelectActionsOnImportStatus</v>
      </c>
      <c r="AC4" s="26" t="str">
        <f>IFERROR(__xludf.DUMMYFUNCTION("""COMPUTED_VALUE"""),"VerifyImportStatus")</f>
        <v>VerifyImportStatus</v>
      </c>
      <c r="AD4" s="26" t="str">
        <f>IFERROR(__xludf.DUMMYFUNCTION("""COMPUTED_VALUE"""),"AddNewModelPortfolio")</f>
        <v>AddNewModelPortfolio</v>
      </c>
      <c r="AE4" s="26" t="str">
        <f>IFERROR(__xludf.DUMMYFUNCTION("""COMPUTED_VALUE"""),"VerifyBuySellList")</f>
        <v>VerifyBuySellList</v>
      </c>
      <c r="AF4" s="26" t="str">
        <f>IFERROR(__xludf.DUMMYFUNCTION("""COMPUTED_VALUE"""),"CreateOrViewModelPortfolio")</f>
        <v>CreateOrViewModelPortfolio</v>
      </c>
      <c r="AG4" s="26" t="str">
        <f>IFERROR(__xludf.DUMMYFUNCTION("""COMPUTED_VALUE"""),"VerifyModelPortfolio")</f>
        <v>VerifyModelPortfolio</v>
      </c>
      <c r="AH4" s="26" t="str">
        <f>IFERROR(__xludf.DUMMYFUNCTION("""COMPUTED_VALUE"""),"VerifyTradeListSummary")</f>
        <v>VerifyTradeListSummary</v>
      </c>
      <c r="AI4" s="26" t="str">
        <f>IFERROR(__xludf.DUMMYFUNCTION("""COMPUTED_VALUE"""),"ActionOnTBSListSummary")</f>
        <v>ActionOnTBSListSummary</v>
      </c>
      <c r="AJ4" s="26" t="str">
        <f>IFERROR(__xludf.DUMMYFUNCTION("""COMPUTED_VALUE"""),"VerifyTLOSideSummary")</f>
        <v>VerifyTLOSideSummary</v>
      </c>
      <c r="AK4" s="26" t="str">
        <f>IFERROR(__xludf.DUMMYFUNCTION("""COMPUTED_VALUE"""),"SelectAndVerifyTradeList")</f>
        <v>SelectAndVerifyTradeList</v>
      </c>
      <c r="AL4" s="26" t="str">
        <f>IFERROR(__xludf.DUMMYFUNCTION("""COMPUTED_VALUE"""),"ActionOnTradeBuySellListView")</f>
        <v>ActionOnTradeBuySellListView</v>
      </c>
      <c r="AM4" s="26" t="str">
        <f>IFERROR(__xludf.DUMMYFUNCTION("""COMPUTED_VALUE"""),"ImportOnRB")</f>
        <v>ImportOnRB</v>
      </c>
      <c r="AN4" s="26" t="str">
        <f>IFERROR(__xludf.DUMMYFUNCTION("""COMPUTED_VALUE"""),"VerifyImportGridRBForInvalidSec")</f>
        <v>VerifyImportGridRBForInvalidSec</v>
      </c>
      <c r="AO4" s="26" t="str">
        <f>IFERROR(__xludf.DUMMYFUNCTION("""COMPUTED_VALUE"""),"VerifyImportGridRBForValidSec")</f>
        <v>VerifyImportGridRBForValidSec</v>
      </c>
      <c r="AP4" s="26" t="str">
        <f>IFERROR(__xludf.DUMMYFUNCTION("""COMPUTED_VALUE"""),"ActionOnRSAImportGrid")</f>
        <v>ActionOnRSAImportGrid</v>
      </c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  <c r="FM4" s="26"/>
      <c r="FN4" s="26"/>
      <c r="FO4" s="26"/>
      <c r="FP4" s="26"/>
      <c r="FQ4" s="26"/>
      <c r="FR4" s="26"/>
      <c r="FS4" s="26"/>
      <c r="FT4" s="26"/>
      <c r="FU4" s="26"/>
      <c r="FV4" s="26"/>
      <c r="FW4" s="26"/>
      <c r="FX4" s="26"/>
      <c r="FY4" s="26"/>
      <c r="FZ4" s="26"/>
      <c r="GA4" s="26"/>
      <c r="GB4" s="26"/>
      <c r="GC4" s="26"/>
      <c r="GD4" s="26"/>
      <c r="GE4" s="26"/>
      <c r="GF4" s="26"/>
      <c r="GG4" s="26"/>
      <c r="GH4" s="26"/>
      <c r="GI4" s="26"/>
      <c r="GJ4" s="26"/>
      <c r="GK4" s="26"/>
      <c r="GL4" s="26"/>
      <c r="GM4" s="26"/>
      <c r="GN4" s="26"/>
      <c r="GO4" s="26"/>
      <c r="GP4" s="26"/>
      <c r="GQ4" s="26"/>
      <c r="GR4" s="26"/>
      <c r="GS4" s="26"/>
      <c r="GT4" s="26"/>
      <c r="GU4" s="26"/>
      <c r="GV4" s="26"/>
      <c r="GW4" s="26"/>
      <c r="GX4" s="26"/>
      <c r="GY4" s="26"/>
      <c r="GZ4" s="26"/>
      <c r="HA4" s="26"/>
      <c r="HB4" s="26"/>
      <c r="HC4" s="26"/>
      <c r="HD4" s="26"/>
      <c r="HE4" s="26"/>
      <c r="HF4" s="26"/>
      <c r="HG4" s="26"/>
      <c r="HH4" s="26"/>
      <c r="HI4" s="26"/>
      <c r="HJ4" s="26"/>
      <c r="HK4" s="26"/>
      <c r="HL4" s="26"/>
      <c r="HM4" s="26"/>
      <c r="HN4" s="26"/>
      <c r="HO4" s="26"/>
      <c r="HP4" s="26"/>
      <c r="HQ4" s="26"/>
      <c r="HR4" s="26"/>
      <c r="HS4" s="26"/>
      <c r="HT4" s="26"/>
      <c r="HU4" s="26"/>
      <c r="HV4" s="26"/>
      <c r="HW4" s="26"/>
      <c r="HX4" s="26"/>
      <c r="HY4" s="26"/>
      <c r="HZ4" s="26"/>
      <c r="IA4" s="26"/>
      <c r="IB4" s="26"/>
      <c r="IC4" s="26"/>
      <c r="ID4" s="26"/>
      <c r="IE4" s="26"/>
      <c r="IF4" s="26"/>
      <c r="IG4" s="26"/>
      <c r="IH4" s="26"/>
      <c r="II4" s="26"/>
      <c r="IJ4" s="26"/>
      <c r="IK4" s="26"/>
      <c r="IL4" s="26"/>
      <c r="IM4" s="26"/>
      <c r="IN4" s="26"/>
      <c r="IO4" s="26"/>
      <c r="IP4" s="26"/>
      <c r="IQ4" s="26"/>
      <c r="IR4" s="26"/>
      <c r="IS4" s="26"/>
      <c r="IT4" s="26"/>
      <c r="IU4" s="26"/>
      <c r="IV4" s="26"/>
      <c r="IW4" s="26"/>
      <c r="IX4" s="26"/>
      <c r="IY4" s="26"/>
      <c r="IZ4" s="26"/>
      <c r="JA4" s="26"/>
      <c r="JB4" s="26"/>
      <c r="JC4" s="26"/>
      <c r="JD4" s="26"/>
      <c r="JE4" s="26"/>
      <c r="JF4" s="26"/>
      <c r="JG4" s="26"/>
      <c r="JH4" s="26"/>
      <c r="JI4" s="26"/>
      <c r="JJ4" s="26"/>
      <c r="JK4" s="26"/>
      <c r="JL4" s="26"/>
      <c r="JM4" s="26"/>
      <c r="JN4" s="26"/>
      <c r="JO4" s="26"/>
      <c r="JP4" s="26"/>
      <c r="JQ4" s="26"/>
      <c r="JR4" s="26"/>
      <c r="JS4" s="26"/>
      <c r="JT4" s="26"/>
      <c r="JU4" s="26"/>
      <c r="JV4" s="26"/>
      <c r="JW4" s="26"/>
      <c r="JX4" s="26"/>
      <c r="JY4" s="26"/>
      <c r="JZ4" s="26"/>
      <c r="KA4" s="26"/>
      <c r="KB4" s="26"/>
      <c r="KC4" s="26"/>
      <c r="KD4" s="26"/>
      <c r="KE4" s="26"/>
      <c r="KF4" s="26"/>
      <c r="KG4" s="26"/>
      <c r="KH4" s="26"/>
      <c r="KI4" s="26"/>
      <c r="KJ4" s="26"/>
      <c r="KK4" s="26"/>
      <c r="KL4" s="26"/>
      <c r="KM4" s="26"/>
      <c r="KN4" s="26"/>
      <c r="KO4" s="26"/>
      <c r="KP4" s="26"/>
      <c r="KQ4" s="26"/>
      <c r="KR4" s="26"/>
      <c r="KS4" s="26"/>
      <c r="KT4" s="26"/>
      <c r="KU4" s="26"/>
      <c r="KV4" s="26"/>
      <c r="KW4" s="26"/>
      <c r="KX4" s="26"/>
      <c r="KY4" s="26"/>
      <c r="KZ4" s="26"/>
      <c r="LA4" s="26"/>
      <c r="LB4" s="26"/>
      <c r="LC4" s="26"/>
      <c r="LD4" s="26"/>
      <c r="LE4" s="26"/>
      <c r="LF4" s="26"/>
      <c r="LG4" s="26"/>
      <c r="LH4" s="26"/>
      <c r="LI4" s="26"/>
      <c r="LJ4" s="26"/>
      <c r="LK4" s="26"/>
      <c r="LL4" s="26"/>
      <c r="LM4" s="26"/>
      <c r="LN4" s="26"/>
      <c r="LO4" s="26"/>
      <c r="LP4" s="26"/>
      <c r="LQ4" s="26"/>
      <c r="LR4" s="26"/>
      <c r="LS4" s="26"/>
      <c r="LT4" s="26"/>
      <c r="LU4" s="26"/>
      <c r="LV4" s="26"/>
      <c r="LW4" s="26"/>
      <c r="LX4" s="26"/>
      <c r="LY4" s="26"/>
      <c r="LZ4" s="26"/>
      <c r="MA4" s="26"/>
      <c r="MB4" s="26"/>
      <c r="MC4" s="26"/>
      <c r="MD4" s="26"/>
      <c r="ME4" s="26"/>
      <c r="MF4" s="26"/>
      <c r="MG4" s="26"/>
      <c r="MH4" s="26"/>
      <c r="MI4" s="26"/>
      <c r="MJ4" s="26"/>
      <c r="MK4" s="26"/>
      <c r="ML4" s="26"/>
      <c r="MM4" s="26"/>
      <c r="MN4" s="26"/>
      <c r="MO4" s="26"/>
      <c r="MP4" s="26"/>
      <c r="MQ4" s="26"/>
      <c r="MR4" s="26"/>
      <c r="MS4" s="26"/>
      <c r="MT4" s="26"/>
      <c r="MU4" s="26"/>
      <c r="MV4" s="26"/>
      <c r="MW4" s="26"/>
      <c r="MX4" s="26"/>
      <c r="MY4" s="26"/>
      <c r="MZ4" s="26"/>
      <c r="NA4" s="26"/>
      <c r="NB4" s="26"/>
      <c r="NC4" s="26"/>
      <c r="ND4" s="26"/>
      <c r="NE4" s="26"/>
      <c r="NF4" s="26"/>
      <c r="NG4" s="26"/>
      <c r="NH4" s="26"/>
      <c r="NI4" s="26"/>
      <c r="NJ4" s="26"/>
      <c r="NK4" s="26"/>
      <c r="NL4" s="26"/>
      <c r="NM4" s="26"/>
      <c r="NN4" s="26"/>
      <c r="NO4" s="26"/>
      <c r="NP4" s="26"/>
      <c r="NQ4" s="26"/>
      <c r="NR4" s="26"/>
      <c r="NS4" s="26"/>
      <c r="NT4" s="26"/>
      <c r="NU4" s="26"/>
      <c r="NV4" s="26"/>
      <c r="NW4" s="26"/>
      <c r="NX4" s="26"/>
      <c r="NY4" s="26"/>
      <c r="NZ4" s="26"/>
      <c r="OA4" s="26"/>
      <c r="OB4" s="26"/>
      <c r="OC4" s="26"/>
      <c r="OD4" s="26"/>
      <c r="OE4" s="26"/>
      <c r="OF4" s="26"/>
      <c r="OG4" s="26"/>
      <c r="OH4" s="26"/>
      <c r="OI4" s="26"/>
      <c r="OJ4" s="26"/>
      <c r="OK4" s="26"/>
      <c r="OL4" s="26"/>
      <c r="OM4" s="26"/>
      <c r="ON4" s="26"/>
      <c r="OO4" s="26"/>
      <c r="OP4" s="26"/>
      <c r="OQ4" s="26"/>
      <c r="OR4" s="26"/>
      <c r="OS4" s="26"/>
      <c r="OT4" s="26"/>
      <c r="OU4" s="26"/>
      <c r="OV4" s="26"/>
      <c r="OW4" s="26"/>
      <c r="OX4" s="26"/>
      <c r="OY4" s="26"/>
      <c r="OZ4" s="26"/>
      <c r="PA4" s="26"/>
      <c r="PB4" s="26"/>
      <c r="PC4" s="26"/>
      <c r="PD4" s="26"/>
      <c r="PE4" s="26"/>
      <c r="PF4" s="26"/>
      <c r="PG4" s="26"/>
      <c r="PH4" s="26"/>
      <c r="PI4" s="26"/>
      <c r="PJ4" s="26"/>
      <c r="PK4" s="26"/>
      <c r="PL4" s="26"/>
      <c r="PM4" s="26"/>
      <c r="PN4" s="26"/>
      <c r="PO4" s="26"/>
      <c r="PP4" s="26"/>
      <c r="PQ4" s="26"/>
      <c r="PR4" s="26"/>
      <c r="PS4" s="26"/>
      <c r="PT4" s="26"/>
      <c r="PU4" s="26"/>
      <c r="PV4" s="26"/>
      <c r="PW4" s="26"/>
      <c r="PX4" s="26"/>
      <c r="PY4" s="26"/>
      <c r="PZ4" s="26"/>
      <c r="QA4" s="26"/>
      <c r="QB4" s="26"/>
      <c r="QC4" s="26"/>
      <c r="QD4" s="26"/>
      <c r="QE4" s="26"/>
      <c r="QF4" s="26"/>
      <c r="QG4" s="26"/>
      <c r="QH4" s="26"/>
      <c r="QI4" s="26"/>
      <c r="QJ4" s="26"/>
      <c r="QK4" s="26"/>
      <c r="QL4" s="26"/>
      <c r="QM4" s="26"/>
      <c r="QN4" s="26"/>
      <c r="QO4" s="26"/>
      <c r="QP4" s="26"/>
      <c r="QQ4" s="26"/>
      <c r="QR4" s="26"/>
      <c r="QS4" s="26"/>
      <c r="QT4" s="26"/>
      <c r="QU4" s="26"/>
      <c r="QV4" s="26"/>
      <c r="QW4" s="26"/>
      <c r="QX4" s="26"/>
      <c r="QY4" s="26"/>
      <c r="QZ4" s="26"/>
      <c r="RA4" s="26"/>
      <c r="RB4" s="26"/>
      <c r="RC4" s="26"/>
      <c r="RD4" s="26"/>
      <c r="RE4" s="26"/>
      <c r="RF4" s="26"/>
      <c r="RG4" s="26"/>
      <c r="RH4" s="26"/>
      <c r="RI4" s="26"/>
      <c r="RJ4" s="26"/>
      <c r="RK4" s="26"/>
      <c r="RL4" s="26"/>
      <c r="RM4" s="26"/>
      <c r="RN4" s="26"/>
      <c r="RO4" s="26"/>
      <c r="RP4" s="26"/>
      <c r="RQ4" s="26"/>
      <c r="RR4" s="26"/>
      <c r="RS4" s="26"/>
      <c r="RT4" s="26"/>
      <c r="RU4" s="26"/>
      <c r="RV4" s="26"/>
      <c r="RW4" s="26"/>
      <c r="RX4" s="26"/>
      <c r="RY4" s="26"/>
      <c r="RZ4" s="26"/>
      <c r="SA4" s="26"/>
      <c r="SB4" s="26"/>
      <c r="SC4" s="26"/>
      <c r="SD4" s="26"/>
      <c r="SE4" s="26"/>
      <c r="SF4" s="26"/>
      <c r="SG4" s="26"/>
      <c r="SH4" s="26"/>
      <c r="SI4" s="26"/>
      <c r="SJ4" s="26"/>
      <c r="SK4" s="26"/>
      <c r="SL4" s="26"/>
      <c r="SM4" s="26"/>
      <c r="SN4" s="26"/>
      <c r="SO4" s="26"/>
      <c r="SP4" s="26"/>
      <c r="SQ4" s="26"/>
      <c r="SR4" s="26"/>
      <c r="SS4" s="26"/>
      <c r="ST4" s="26"/>
      <c r="SU4" s="26"/>
      <c r="SV4" s="26"/>
      <c r="SW4" s="26"/>
      <c r="SX4" s="26"/>
      <c r="SY4" s="26"/>
      <c r="SZ4" s="26"/>
      <c r="TA4" s="26"/>
      <c r="TB4" s="26"/>
      <c r="TC4" s="26"/>
      <c r="TD4" s="26"/>
      <c r="TE4" s="26"/>
      <c r="TF4" s="26"/>
      <c r="TG4" s="26"/>
      <c r="TH4" s="26"/>
      <c r="TI4" s="26"/>
      <c r="TJ4" s="26"/>
      <c r="TK4" s="26"/>
      <c r="TL4" s="26"/>
      <c r="TM4" s="26"/>
      <c r="TN4" s="26"/>
      <c r="TO4" s="26"/>
      <c r="TP4" s="26"/>
      <c r="TQ4" s="26"/>
      <c r="TR4" s="26"/>
      <c r="TS4" s="26"/>
      <c r="TT4" s="26"/>
      <c r="TU4" s="26"/>
      <c r="TV4" s="26"/>
      <c r="TW4" s="26"/>
      <c r="TX4" s="26"/>
      <c r="TY4" s="26"/>
      <c r="TZ4" s="26"/>
      <c r="UA4" s="26"/>
      <c r="UB4" s="26"/>
      <c r="UC4" s="26"/>
      <c r="UD4" s="26"/>
      <c r="UE4" s="26"/>
      <c r="UF4" s="26"/>
      <c r="UG4" s="26"/>
      <c r="UH4" s="26"/>
      <c r="UI4" s="26"/>
      <c r="UJ4" s="26"/>
      <c r="UK4" s="26"/>
      <c r="UL4" s="26"/>
      <c r="UM4" s="26"/>
      <c r="UN4" s="26"/>
      <c r="UO4" s="26"/>
      <c r="UP4" s="26"/>
      <c r="UQ4" s="26"/>
      <c r="UR4" s="26"/>
      <c r="US4" s="26"/>
      <c r="UT4" s="26"/>
      <c r="UU4" s="26"/>
      <c r="UV4" s="26"/>
      <c r="UW4" s="26"/>
      <c r="UX4" s="26"/>
      <c r="UY4" s="26"/>
      <c r="UZ4" s="26"/>
      <c r="VA4" s="26"/>
      <c r="VB4" s="26"/>
      <c r="VC4" s="26"/>
      <c r="VD4" s="26"/>
      <c r="VE4" s="26"/>
      <c r="VF4" s="26"/>
      <c r="VG4" s="26"/>
      <c r="VH4" s="26"/>
      <c r="VI4" s="26"/>
      <c r="VJ4" s="26"/>
      <c r="VK4" s="26"/>
      <c r="VL4" s="26"/>
      <c r="VM4" s="26"/>
      <c r="VN4" s="26"/>
      <c r="VO4" s="26"/>
      <c r="VP4" s="26"/>
      <c r="VQ4" s="26"/>
      <c r="VR4" s="26"/>
      <c r="VS4" s="26"/>
      <c r="VT4" s="26"/>
      <c r="VU4" s="26"/>
      <c r="VV4" s="26"/>
      <c r="VW4" s="26"/>
      <c r="VX4" s="26"/>
      <c r="VY4" s="26"/>
      <c r="VZ4" s="26"/>
      <c r="WA4" s="26"/>
      <c r="WB4" s="26"/>
      <c r="WC4" s="26"/>
      <c r="WD4" s="26"/>
      <c r="WE4" s="26"/>
      <c r="WF4" s="26"/>
      <c r="WG4" s="26"/>
      <c r="WH4" s="26"/>
      <c r="WI4" s="26"/>
      <c r="WJ4" s="26"/>
      <c r="WK4" s="26"/>
      <c r="WL4" s="26"/>
      <c r="WM4" s="26"/>
      <c r="WN4" s="26"/>
      <c r="WO4" s="26"/>
      <c r="WP4" s="26"/>
      <c r="WQ4" s="26"/>
      <c r="WR4" s="26"/>
      <c r="WS4" s="26"/>
      <c r="WT4" s="26"/>
      <c r="WU4" s="26"/>
      <c r="WV4" s="26"/>
      <c r="WW4" s="26"/>
      <c r="WX4" s="26"/>
      <c r="WY4" s="26"/>
      <c r="WZ4" s="26"/>
      <c r="XA4" s="26"/>
      <c r="XB4" s="26"/>
      <c r="XC4" s="26"/>
      <c r="XD4" s="26"/>
      <c r="XE4" s="26"/>
      <c r="XF4" s="26"/>
      <c r="XG4" s="26"/>
      <c r="XH4" s="26"/>
      <c r="XI4" s="26"/>
      <c r="XJ4" s="26"/>
      <c r="XK4" s="26"/>
      <c r="XL4" s="26"/>
      <c r="XM4" s="26"/>
      <c r="XN4" s="26"/>
      <c r="XO4" s="26"/>
      <c r="XP4" s="26"/>
      <c r="XQ4" s="26"/>
      <c r="XR4" s="26"/>
      <c r="XS4" s="26"/>
      <c r="XT4" s="26"/>
      <c r="XU4" s="26"/>
      <c r="XV4" s="26"/>
      <c r="XW4" s="26"/>
      <c r="XX4" s="26"/>
      <c r="XY4" s="26"/>
      <c r="XZ4" s="26"/>
      <c r="YA4" s="26"/>
      <c r="YB4" s="26"/>
      <c r="YC4" s="26"/>
      <c r="YD4" s="26"/>
      <c r="YE4" s="26"/>
      <c r="YF4" s="26"/>
      <c r="YG4" s="26"/>
      <c r="YH4" s="26"/>
      <c r="YI4" s="26"/>
      <c r="YJ4" s="26"/>
      <c r="YK4" s="26"/>
      <c r="YL4" s="26"/>
      <c r="YM4" s="26"/>
      <c r="YN4" s="26"/>
      <c r="YO4" s="26"/>
      <c r="YP4" s="26"/>
      <c r="YQ4" s="26"/>
      <c r="YR4" s="26"/>
      <c r="YS4" s="26"/>
      <c r="YT4" s="26"/>
      <c r="YU4" s="26"/>
      <c r="YV4" s="26"/>
      <c r="YW4" s="26"/>
      <c r="YX4" s="26"/>
      <c r="YY4" s="26"/>
      <c r="YZ4" s="26"/>
      <c r="ZA4" s="26"/>
      <c r="ZB4" s="26"/>
      <c r="ZC4" s="26"/>
      <c r="ZD4" s="26"/>
      <c r="ZE4" s="26"/>
      <c r="ZF4" s="26"/>
      <c r="ZG4" s="26"/>
      <c r="ZH4" s="26"/>
      <c r="ZI4" s="26"/>
      <c r="ZJ4" s="26"/>
      <c r="ZK4" s="26"/>
      <c r="ZL4" s="26"/>
      <c r="ZM4" s="26"/>
      <c r="ZN4" s="26"/>
      <c r="ZO4" s="26"/>
      <c r="ZP4" s="26"/>
      <c r="ZQ4" s="26"/>
      <c r="ZR4" s="26"/>
      <c r="ZS4" s="26"/>
      <c r="ZT4" s="26"/>
      <c r="ZU4" s="26"/>
      <c r="ZV4" s="26"/>
      <c r="ZW4" s="26"/>
      <c r="ZX4" s="26"/>
      <c r="ZY4" s="26"/>
      <c r="ZZ4" s="26"/>
      <c r="AAA4" s="26"/>
      <c r="AAB4" s="26"/>
      <c r="AAC4" s="26"/>
      <c r="AAD4" s="26"/>
      <c r="AAE4" s="26"/>
      <c r="AAF4" s="26"/>
      <c r="AAG4" s="26"/>
      <c r="AAH4" s="26"/>
      <c r="AAI4" s="26"/>
      <c r="AAJ4" s="26"/>
      <c r="AAK4" s="26"/>
      <c r="AAL4" s="26"/>
      <c r="AAM4" s="26"/>
      <c r="AAN4" s="26"/>
      <c r="AAO4" s="26"/>
      <c r="AAP4" s="26"/>
      <c r="AAQ4" s="26"/>
      <c r="AAR4" s="26"/>
      <c r="AAS4" s="26"/>
      <c r="AAT4" s="26"/>
      <c r="AAU4" s="26"/>
      <c r="AAV4" s="26"/>
      <c r="AAW4" s="26"/>
      <c r="AAX4" s="26"/>
      <c r="AAY4" s="26"/>
      <c r="AAZ4" s="26"/>
      <c r="ABA4" s="26"/>
      <c r="ABB4" s="26"/>
      <c r="ABC4" s="26"/>
      <c r="ABD4" s="26"/>
      <c r="ABE4" s="26"/>
      <c r="ABF4" s="26"/>
      <c r="ABG4" s="26"/>
      <c r="ABH4" s="26"/>
      <c r="ABI4" s="26"/>
      <c r="ABJ4" s="26"/>
      <c r="ABK4" s="26"/>
      <c r="ABL4" s="26"/>
      <c r="ABM4" s="26"/>
      <c r="ABN4" s="26"/>
      <c r="ABO4" s="26"/>
      <c r="ABP4" s="26"/>
      <c r="ABQ4" s="26"/>
      <c r="ABR4" s="26"/>
      <c r="ABS4" s="26"/>
      <c r="ABT4" s="26"/>
      <c r="ABU4" s="26"/>
      <c r="ABV4" s="26"/>
      <c r="ABW4" s="26"/>
      <c r="ABX4" s="26"/>
      <c r="ABY4" s="26"/>
      <c r="ABZ4" s="26"/>
      <c r="ACA4" s="26"/>
      <c r="ACB4" s="26"/>
      <c r="ACC4" s="26"/>
      <c r="ACD4" s="26"/>
      <c r="ACE4" s="26"/>
      <c r="ACF4" s="26"/>
      <c r="ACG4" s="26"/>
      <c r="ACH4" s="26"/>
      <c r="ACI4" s="26"/>
      <c r="ACJ4" s="26"/>
      <c r="ACK4" s="26"/>
      <c r="ACL4" s="26"/>
      <c r="ACM4" s="26"/>
      <c r="ACN4" s="26"/>
      <c r="ACO4" s="26"/>
      <c r="ACP4" s="26"/>
      <c r="ACQ4" s="26"/>
      <c r="ACR4" s="26"/>
      <c r="ACS4" s="26"/>
      <c r="ACT4" s="26"/>
      <c r="ACU4" s="26"/>
      <c r="ACV4" s="26"/>
      <c r="ACW4" s="26"/>
      <c r="ACX4" s="26"/>
      <c r="ACY4" s="26"/>
      <c r="ACZ4" s="26"/>
      <c r="ADA4" s="26"/>
      <c r="ADB4" s="26"/>
      <c r="ADC4" s="26"/>
      <c r="ADD4" s="26"/>
      <c r="ADE4" s="26"/>
      <c r="ADF4" s="26"/>
      <c r="ADG4" s="26"/>
      <c r="ADH4" s="26"/>
      <c r="ADI4" s="26"/>
      <c r="ADJ4" s="26"/>
      <c r="ADK4" s="26"/>
      <c r="ADL4" s="26"/>
      <c r="ADM4" s="26"/>
      <c r="ADN4" s="26"/>
      <c r="ADO4" s="26"/>
      <c r="ADP4" s="26"/>
      <c r="ADQ4" s="26"/>
      <c r="ADR4" s="26"/>
      <c r="ADS4" s="26"/>
      <c r="ADT4" s="26"/>
      <c r="ADU4" s="26"/>
      <c r="ADV4" s="26"/>
      <c r="ADW4" s="26"/>
      <c r="ADX4" s="26"/>
      <c r="ADY4" s="26"/>
      <c r="ADZ4" s="26"/>
      <c r="AEA4" s="26"/>
      <c r="AEB4" s="26"/>
      <c r="AEC4" s="26"/>
      <c r="AED4" s="26"/>
      <c r="AEE4" s="26"/>
      <c r="AEF4" s="26"/>
      <c r="AEG4" s="26"/>
      <c r="AEH4" s="26"/>
      <c r="AEI4" s="26"/>
      <c r="AEJ4" s="26"/>
      <c r="AEK4" s="26"/>
      <c r="AEL4" s="26"/>
      <c r="AEM4" s="26"/>
      <c r="AEN4" s="26"/>
      <c r="AEO4" s="26"/>
      <c r="AEP4" s="26"/>
      <c r="AEQ4" s="26"/>
      <c r="AER4" s="26"/>
      <c r="AES4" s="26"/>
      <c r="AET4" s="26"/>
      <c r="AEU4" s="26"/>
      <c r="AEV4" s="26"/>
      <c r="AEW4" s="26"/>
      <c r="AEX4" s="26"/>
      <c r="AEY4" s="26"/>
      <c r="AEZ4" s="26"/>
      <c r="AFA4" s="26"/>
      <c r="AFB4" s="26"/>
      <c r="AFC4" s="26"/>
      <c r="AFD4" s="26"/>
      <c r="AFE4" s="26"/>
      <c r="AFF4" s="26"/>
      <c r="AFG4" s="26"/>
      <c r="AFH4" s="26"/>
      <c r="AFI4" s="26"/>
      <c r="AFJ4" s="26"/>
      <c r="AFK4" s="26"/>
      <c r="AFL4" s="26"/>
      <c r="AFM4" s="26"/>
      <c r="AFN4" s="26"/>
      <c r="AFO4" s="26"/>
      <c r="AFP4" s="26"/>
      <c r="AFQ4" s="26"/>
      <c r="AFR4" s="26"/>
      <c r="AFS4" s="26"/>
      <c r="AFT4" s="26"/>
      <c r="AFU4" s="26"/>
      <c r="AFV4" s="26"/>
      <c r="AFW4" s="26"/>
      <c r="AFX4" s="26"/>
      <c r="AFY4" s="26"/>
      <c r="AFZ4" s="26"/>
      <c r="AGA4" s="26"/>
      <c r="AGB4" s="26"/>
      <c r="AGC4" s="26"/>
      <c r="AGD4" s="26"/>
      <c r="AGE4" s="26"/>
      <c r="AGF4" s="26"/>
      <c r="AGG4" s="26"/>
      <c r="AGH4" s="26"/>
      <c r="AGI4" s="26"/>
      <c r="AGJ4" s="26"/>
      <c r="AGK4" s="26"/>
      <c r="AGL4" s="26"/>
      <c r="AGM4" s="26"/>
      <c r="AGN4" s="26"/>
      <c r="AGO4" s="26"/>
      <c r="AGP4" s="26"/>
      <c r="AGQ4" s="26"/>
      <c r="AGR4" s="26"/>
      <c r="AGS4" s="26"/>
      <c r="AGT4" s="26"/>
      <c r="AGU4" s="26"/>
      <c r="AGV4" s="26"/>
      <c r="AGW4" s="26"/>
      <c r="AGX4" s="26"/>
      <c r="AGY4" s="26"/>
      <c r="AGZ4" s="26"/>
      <c r="AHA4" s="26"/>
      <c r="AHB4" s="26"/>
      <c r="AHC4" s="26"/>
      <c r="AHD4" s="26"/>
      <c r="AHE4" s="26"/>
      <c r="AHF4" s="26"/>
      <c r="AHG4" s="26"/>
      <c r="AHH4" s="26"/>
      <c r="AHI4" s="26"/>
      <c r="AHJ4" s="26"/>
      <c r="AHK4" s="26"/>
      <c r="AHL4" s="26"/>
      <c r="AHM4" s="26"/>
      <c r="AHN4" s="26"/>
      <c r="AHO4" s="26"/>
      <c r="AHP4" s="26"/>
      <c r="AHQ4" s="26"/>
      <c r="AHR4" s="26"/>
      <c r="AHS4" s="26"/>
      <c r="AHT4" s="26"/>
      <c r="AHU4" s="26"/>
      <c r="AHV4" s="26"/>
      <c r="AHW4" s="26"/>
      <c r="AHX4" s="26"/>
      <c r="AHY4" s="26"/>
      <c r="AHZ4" s="26"/>
      <c r="AIA4" s="26"/>
      <c r="AIB4" s="26"/>
      <c r="AIC4" s="26"/>
      <c r="AID4" s="26"/>
      <c r="AIE4" s="26"/>
      <c r="AIF4" s="26"/>
      <c r="AIG4" s="26"/>
      <c r="AIH4" s="26"/>
      <c r="AII4" s="26"/>
      <c r="AIJ4" s="26"/>
      <c r="AIK4" s="26"/>
      <c r="AIL4" s="26"/>
      <c r="AIM4" s="26"/>
      <c r="AIN4" s="26"/>
      <c r="AIO4" s="26"/>
      <c r="AIP4" s="26"/>
      <c r="AIQ4" s="26"/>
      <c r="AIR4" s="26"/>
      <c r="AIS4" s="26"/>
      <c r="AIT4" s="26"/>
      <c r="AIU4" s="26"/>
      <c r="AIV4" s="26"/>
      <c r="AIW4" s="26"/>
      <c r="AIX4" s="26"/>
      <c r="AIY4" s="26"/>
      <c r="AIZ4" s="26"/>
      <c r="AJA4" s="26"/>
      <c r="AJB4" s="26"/>
      <c r="AJC4" s="26"/>
      <c r="AJD4" s="26"/>
      <c r="AJE4" s="26"/>
      <c r="AJF4" s="26"/>
      <c r="AJG4" s="26"/>
      <c r="AJH4" s="26"/>
      <c r="AJI4" s="26"/>
      <c r="AJJ4" s="26"/>
      <c r="AJK4" s="26"/>
      <c r="AJL4" s="26"/>
      <c r="AJM4" s="26"/>
      <c r="AJN4" s="26"/>
      <c r="AJO4" s="26"/>
      <c r="AJP4" s="26"/>
      <c r="AJQ4" s="26"/>
      <c r="AJR4" s="26"/>
      <c r="AJS4" s="26"/>
      <c r="AJT4" s="26"/>
      <c r="AJU4" s="26"/>
      <c r="AJV4" s="26"/>
      <c r="AJW4" s="26"/>
      <c r="AJX4" s="26"/>
      <c r="AJY4" s="26"/>
      <c r="AJZ4" s="26"/>
      <c r="AKA4" s="26"/>
      <c r="AKB4" s="26"/>
      <c r="AKC4" s="26"/>
      <c r="AKD4" s="26"/>
      <c r="AKE4" s="26"/>
      <c r="AKF4" s="26"/>
      <c r="AKG4" s="26"/>
      <c r="AKH4" s="26"/>
      <c r="AKI4" s="26"/>
      <c r="AKJ4" s="26"/>
      <c r="AKK4" s="26"/>
      <c r="AKL4" s="26"/>
      <c r="AKM4" s="26"/>
      <c r="AKN4" s="26"/>
      <c r="AKO4" s="26"/>
      <c r="AKP4" s="26"/>
      <c r="AKQ4" s="26"/>
      <c r="AKR4" s="26"/>
      <c r="AKS4" s="26"/>
      <c r="AKT4" s="26"/>
      <c r="AKU4" s="26"/>
      <c r="AKV4" s="26"/>
      <c r="AKW4" s="26"/>
      <c r="AKX4" s="26"/>
      <c r="AKY4" s="26"/>
      <c r="AKZ4" s="26"/>
      <c r="ALA4" s="26"/>
      <c r="ALB4" s="26"/>
      <c r="ALC4" s="26"/>
      <c r="ALD4" s="26"/>
      <c r="ALE4" s="26"/>
      <c r="ALF4" s="26"/>
      <c r="ALG4" s="26"/>
      <c r="ALH4" s="26"/>
      <c r="ALI4" s="26"/>
      <c r="ALJ4" s="26"/>
      <c r="ALK4" s="26"/>
      <c r="ALL4" s="26"/>
      <c r="ALM4" s="26"/>
      <c r="ALN4" s="26"/>
      <c r="ALO4" s="26"/>
      <c r="ALP4" s="26"/>
      <c r="ALQ4" s="26"/>
      <c r="ALR4" s="26"/>
      <c r="ALS4" s="26"/>
      <c r="ALT4" s="26"/>
      <c r="ALU4" s="26"/>
      <c r="ALV4" s="26"/>
      <c r="ALW4" s="26"/>
      <c r="ALX4" s="26"/>
      <c r="ALY4" s="26"/>
      <c r="ALZ4" s="26"/>
      <c r="AMA4" s="26"/>
      <c r="AMB4" s="26"/>
      <c r="AMC4" s="26"/>
      <c r="AMD4" s="26"/>
      <c r="AME4" s="26"/>
      <c r="AMF4" s="26"/>
      <c r="AMG4" s="26"/>
      <c r="AMH4" s="26"/>
      <c r="AMI4" s="26"/>
      <c r="AMJ4" s="26"/>
      <c r="AMK4" s="26"/>
      <c r="AML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IFERROR(__xludf.DUMMYFUNCTION("""COMPUTED_VALUE"""),"Lock/Unlock")</f>
        <v>Lock/Unlock</v>
      </c>
      <c r="C5" s="28" t="str">
        <f>IFERROR(__xludf.DUMMYFUNCTION("""COMPUTED_VALUE"""),"Account")</f>
        <v>Account</v>
      </c>
      <c r="D5" s="28" t="str">
        <f>IFERROR(__xludf.DUMMYFUNCTION("""COMPUTED_VALUE"""),"Symbol")</f>
        <v>Symbol</v>
      </c>
      <c r="E5" s="28" t="str">
        <f>IFERROR(__xludf.DUMMYFUNCTION("""COMPUTED_VALUE"""),"Asset")</f>
        <v>Asset</v>
      </c>
      <c r="F5" s="29" t="str">
        <f>IFERROR(__xludf.DUMMYFUNCTION("""COMPUTED_VALUE"""),"Side")</f>
        <v>Side</v>
      </c>
      <c r="G5" s="28" t="str">
        <f>IFERROR(__xludf.DUMMYFUNCTION("""COMPUTED_VALUE"""),"Price (Local)")</f>
        <v>Price (Local)</v>
      </c>
      <c r="H5" s="28" t="str">
        <f>IFERROR(__xludf.DUMMYFUNCTION("""COMPUTED_VALUE"""),"Price (Base)")</f>
        <v>Price (Base)</v>
      </c>
      <c r="I5" s="28" t="str">
        <f>IFERROR(__xludf.DUMMYFUNCTION("""COMPUTED_VALUE"""),"FX Rate")</f>
        <v>FX Rate</v>
      </c>
      <c r="J5" s="28" t="str">
        <f>IFERROR(__xludf.DUMMYFUNCTION("""COMPUTED_VALUE"""),"Current %")</f>
        <v>Current %</v>
      </c>
      <c r="K5" s="28" t="str">
        <f>IFERROR(__xludf.DUMMYFUNCTION("""COMPUTED_VALUE"""),"Current Position")</f>
        <v>Current Position</v>
      </c>
      <c r="L5" s="28" t="str">
        <f>IFERROR(__xludf.DUMMYFUNCTION("""COMPUTED_VALUE"""),"Current Market Value (Local)")</f>
        <v>Current Market Value (Local)</v>
      </c>
      <c r="M5" s="28" t="str">
        <f>IFERROR(__xludf.DUMMYFUNCTION("""COMPUTED_VALUE"""),"Current Market Value")</f>
        <v>Current Market Value</v>
      </c>
      <c r="N5" s="28" t="str">
        <f>IFERROR(__xludf.DUMMYFUNCTION("""COMPUTED_VALUE"""),"Target %")</f>
        <v>Target %</v>
      </c>
      <c r="O5" s="28" t="str">
        <f>IFERROR(__xludf.DUMMYFUNCTION("""COMPUTED_VALUE"""),"Target Position")</f>
        <v>Target Position</v>
      </c>
      <c r="P5" s="28" t="str">
        <f>IFERROR(__xludf.DUMMYFUNCTION("""COMPUTED_VALUE"""),"Target Market Value (Local)")</f>
        <v>Target Market Value (Local)</v>
      </c>
      <c r="Q5" s="28" t="str">
        <f>IFERROR(__xludf.DUMMYFUNCTION("""COMPUTED_VALUE"""),"Target Market Value")</f>
        <v>Target Market Value</v>
      </c>
      <c r="R5" s="28" t="str">
        <f>IFERROR(__xludf.DUMMYFUNCTION("""COMPUTED_VALUE"""),"Buy/Sell Qty")</f>
        <v>Buy/Sell Qty</v>
      </c>
      <c r="S5" s="28" t="str">
        <f>IFERROR(__xludf.DUMMYFUNCTION("""COMPUTED_VALUE"""),"Buy/Sell Value")</f>
        <v>Buy/Sell Value</v>
      </c>
      <c r="T5" s="30" t="str">
        <f>IFERROR(__xludf.DUMMYFUNCTION("""COMPUTED_VALUE"""),"Sector")</f>
        <v>Sector</v>
      </c>
      <c r="U5" s="30" t="str">
        <f>IFERROR(__xludf.DUMMYFUNCTION("""COMPUTED_VALUE"""),"FactSet Symbol")</f>
        <v>FactSet Symbol</v>
      </c>
      <c r="V5" s="30" t="str">
        <f>IFERROR(__xludf.DUMMYFUNCTION("""COMPUTED_VALUE"""),"ACTIV Symbol")</f>
        <v>ACTIV Symbol</v>
      </c>
      <c r="W5" s="30" t="str">
        <f>IFERROR(__xludf.DUMMYFUNCTION("""COMPUTED_VALUE"""),"Round Lot")</f>
        <v>Round Lot</v>
      </c>
      <c r="X5" s="30" t="str">
        <f>IFERROR(__xludf.DUMMYFUNCTION("""COMPUTED_VALUE"""),"Bloomberg Symbol")</f>
        <v>Bloomberg Symbol</v>
      </c>
      <c r="Y5" s="30" t="str">
        <f>IFERROR(__xludf.DUMMYFUNCTION("""COMPUTED_VALUE"""),"Verify On SM")</f>
        <v>Verify On SM</v>
      </c>
      <c r="Z5" s="30" t="str">
        <f>IFERROR(__xludf.DUMMYFUNCTION("""COMPUTED_VALUE"""),"Columns To Verify On SM")</f>
        <v>Columns To Verify On SM</v>
      </c>
      <c r="AA5" s="30" t="str">
        <f>IFERROR(__xludf.DUMMYFUNCTION("""COMPUTED_VALUE"""),"% Change")</f>
        <v>% Change</v>
      </c>
      <c r="AB5" s="30" t="str">
        <f>IFERROR(__xludf.DUMMYFUNCTION("""COMPUTED_VALUE"""),"Tolerance %")</f>
        <v>Tolerance %</v>
      </c>
      <c r="AC5" s="30" t="str">
        <f>IFERROR(__xludf.DUMMYFUNCTION("""COMPUTED_VALUE"""),"Model %")</f>
        <v>Model %</v>
      </c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  <c r="EY5" s="30"/>
      <c r="EZ5" s="30"/>
      <c r="FA5" s="30"/>
      <c r="FB5" s="30"/>
      <c r="FC5" s="30"/>
      <c r="FD5" s="30"/>
      <c r="FE5" s="30"/>
      <c r="FF5" s="30"/>
      <c r="FG5" s="30"/>
      <c r="FH5" s="30"/>
      <c r="FI5" s="30"/>
      <c r="FJ5" s="30"/>
      <c r="FK5" s="30"/>
      <c r="FL5" s="30"/>
      <c r="FM5" s="30"/>
      <c r="FN5" s="30"/>
      <c r="FO5" s="30"/>
      <c r="FP5" s="30"/>
      <c r="FQ5" s="30"/>
      <c r="FR5" s="30"/>
      <c r="FS5" s="30"/>
      <c r="FT5" s="30"/>
      <c r="FU5" s="30"/>
      <c r="FV5" s="30"/>
      <c r="FW5" s="30"/>
      <c r="FX5" s="30"/>
      <c r="FY5" s="30"/>
      <c r="FZ5" s="30"/>
      <c r="GA5" s="30"/>
      <c r="GB5" s="30"/>
      <c r="GC5" s="30"/>
      <c r="GD5" s="30"/>
      <c r="GE5" s="30"/>
      <c r="GF5" s="30"/>
      <c r="GG5" s="30"/>
      <c r="GH5" s="30"/>
      <c r="GI5" s="30"/>
      <c r="GJ5" s="30"/>
      <c r="GK5" s="30"/>
      <c r="GL5" s="30"/>
      <c r="GM5" s="30"/>
      <c r="GN5" s="30"/>
      <c r="GO5" s="30"/>
      <c r="GP5" s="30"/>
      <c r="GQ5" s="30"/>
      <c r="GR5" s="30"/>
      <c r="GS5" s="30"/>
      <c r="GT5" s="30"/>
      <c r="GU5" s="30"/>
      <c r="GV5" s="30"/>
      <c r="GW5" s="30"/>
      <c r="GX5" s="30"/>
      <c r="GY5" s="30"/>
      <c r="GZ5" s="30"/>
      <c r="HA5" s="30"/>
      <c r="HB5" s="30"/>
      <c r="HC5" s="30"/>
      <c r="HD5" s="30"/>
      <c r="HE5" s="30"/>
      <c r="HF5" s="30"/>
      <c r="HG5" s="30"/>
      <c r="HH5" s="30"/>
      <c r="HI5" s="30"/>
      <c r="HJ5" s="30"/>
      <c r="HK5" s="30"/>
      <c r="HL5" s="30"/>
      <c r="HM5" s="30"/>
      <c r="HN5" s="30"/>
      <c r="HO5" s="30"/>
      <c r="HP5" s="30"/>
      <c r="HQ5" s="30"/>
      <c r="HR5" s="30"/>
      <c r="HS5" s="30"/>
      <c r="HT5" s="30"/>
      <c r="HU5" s="30"/>
      <c r="HV5" s="30"/>
      <c r="HW5" s="30"/>
      <c r="HX5" s="30"/>
      <c r="HY5" s="30"/>
      <c r="HZ5" s="30"/>
      <c r="IA5" s="30"/>
      <c r="IB5" s="30"/>
      <c r="IC5" s="30"/>
      <c r="ID5" s="30"/>
      <c r="IE5" s="30"/>
      <c r="IF5" s="30"/>
      <c r="IG5" s="30"/>
      <c r="IH5" s="30"/>
      <c r="II5" s="30"/>
      <c r="IJ5" s="30"/>
      <c r="IK5" s="30"/>
      <c r="IL5" s="30"/>
      <c r="IM5" s="30"/>
      <c r="IN5" s="30"/>
      <c r="IO5" s="30"/>
      <c r="IP5" s="30"/>
      <c r="IQ5" s="30"/>
      <c r="IR5" s="30"/>
      <c r="IS5" s="30"/>
      <c r="IT5" s="30"/>
      <c r="IU5" s="30"/>
      <c r="IV5" s="30"/>
      <c r="IW5" s="30"/>
      <c r="IX5" s="30"/>
      <c r="IY5" s="30"/>
      <c r="IZ5" s="30"/>
      <c r="JA5" s="30"/>
      <c r="JB5" s="30"/>
      <c r="JC5" s="30"/>
      <c r="JD5" s="30"/>
      <c r="JE5" s="30"/>
      <c r="JF5" s="30"/>
      <c r="JG5" s="30"/>
      <c r="JH5" s="30"/>
      <c r="JI5" s="30"/>
      <c r="JJ5" s="30"/>
      <c r="JK5" s="30"/>
      <c r="JL5" s="30"/>
      <c r="JM5" s="30"/>
      <c r="JN5" s="30"/>
      <c r="JO5" s="30"/>
      <c r="JP5" s="30"/>
      <c r="JQ5" s="30"/>
      <c r="JR5" s="30"/>
      <c r="JS5" s="30"/>
      <c r="JT5" s="30"/>
      <c r="JU5" s="30"/>
      <c r="JV5" s="30"/>
      <c r="JW5" s="30"/>
      <c r="JX5" s="30"/>
      <c r="JY5" s="30"/>
      <c r="JZ5" s="30"/>
      <c r="KA5" s="30"/>
      <c r="KB5" s="30"/>
      <c r="KC5" s="30"/>
      <c r="KD5" s="30"/>
      <c r="KE5" s="30"/>
      <c r="KF5" s="30"/>
      <c r="KG5" s="30"/>
      <c r="KH5" s="30"/>
      <c r="KI5" s="30"/>
      <c r="KJ5" s="30"/>
      <c r="KK5" s="30"/>
      <c r="KL5" s="30"/>
      <c r="KM5" s="30"/>
      <c r="KN5" s="30"/>
      <c r="KO5" s="30"/>
      <c r="KP5" s="30"/>
      <c r="KQ5" s="30"/>
      <c r="KR5" s="30"/>
      <c r="KS5" s="30"/>
      <c r="KT5" s="30"/>
      <c r="KU5" s="30"/>
      <c r="KV5" s="30"/>
      <c r="KW5" s="30"/>
      <c r="KX5" s="30"/>
      <c r="KY5" s="30"/>
      <c r="KZ5" s="30"/>
      <c r="LA5" s="30"/>
      <c r="LB5" s="30"/>
      <c r="LC5" s="30"/>
      <c r="LD5" s="30"/>
      <c r="LE5" s="30"/>
      <c r="LF5" s="30"/>
      <c r="LG5" s="30"/>
      <c r="LH5" s="30"/>
      <c r="LI5" s="30"/>
      <c r="LJ5" s="30"/>
      <c r="LK5" s="30"/>
      <c r="LL5" s="30"/>
      <c r="LM5" s="30"/>
      <c r="LN5" s="30"/>
      <c r="LO5" s="30"/>
      <c r="LP5" s="30"/>
      <c r="LQ5" s="30"/>
      <c r="LR5" s="30"/>
      <c r="LS5" s="30"/>
      <c r="LT5" s="30"/>
      <c r="LU5" s="30"/>
      <c r="LV5" s="30"/>
      <c r="LW5" s="30"/>
      <c r="LX5" s="30"/>
      <c r="LY5" s="30"/>
      <c r="LZ5" s="30"/>
      <c r="MA5" s="30"/>
      <c r="MB5" s="30"/>
      <c r="MC5" s="30"/>
      <c r="MD5" s="30"/>
      <c r="ME5" s="30"/>
      <c r="MF5" s="30"/>
      <c r="MG5" s="30"/>
      <c r="MH5" s="30"/>
      <c r="MI5" s="30"/>
      <c r="MJ5" s="30"/>
      <c r="MK5" s="30"/>
      <c r="ML5" s="30"/>
      <c r="MM5" s="30"/>
      <c r="MN5" s="30"/>
      <c r="MO5" s="30"/>
      <c r="MP5" s="30"/>
      <c r="MQ5" s="30"/>
      <c r="MR5" s="30"/>
      <c r="MS5" s="30"/>
      <c r="MT5" s="30"/>
      <c r="MU5" s="30"/>
      <c r="MV5" s="30"/>
      <c r="MW5" s="30"/>
      <c r="MX5" s="30"/>
      <c r="MY5" s="30"/>
      <c r="MZ5" s="30"/>
      <c r="NA5" s="30"/>
      <c r="NB5" s="30"/>
      <c r="NC5" s="30"/>
      <c r="ND5" s="30"/>
      <c r="NE5" s="30"/>
      <c r="NF5" s="30"/>
      <c r="NG5" s="30"/>
      <c r="NH5" s="30"/>
      <c r="NI5" s="30"/>
      <c r="NJ5" s="30"/>
      <c r="NK5" s="30"/>
      <c r="NL5" s="30"/>
      <c r="NM5" s="30"/>
      <c r="NN5" s="30"/>
      <c r="NO5" s="30"/>
      <c r="NP5" s="30"/>
      <c r="NQ5" s="30"/>
      <c r="NR5" s="30"/>
      <c r="NS5" s="30"/>
      <c r="NT5" s="30"/>
      <c r="NU5" s="30"/>
      <c r="NV5" s="30"/>
      <c r="NW5" s="30"/>
      <c r="NX5" s="30"/>
      <c r="NY5" s="30"/>
      <c r="NZ5" s="30"/>
      <c r="OA5" s="30"/>
      <c r="OB5" s="30"/>
      <c r="OC5" s="30"/>
      <c r="OD5" s="30"/>
      <c r="OE5" s="30"/>
      <c r="OF5" s="30"/>
      <c r="OG5" s="30"/>
      <c r="OH5" s="30"/>
      <c r="OI5" s="30"/>
      <c r="OJ5" s="30"/>
      <c r="OK5" s="30"/>
      <c r="OL5" s="30"/>
      <c r="OM5" s="30"/>
      <c r="ON5" s="30"/>
      <c r="OO5" s="30"/>
      <c r="OP5" s="30"/>
      <c r="OQ5" s="30"/>
      <c r="OR5" s="30"/>
      <c r="OS5" s="30"/>
      <c r="OT5" s="30"/>
      <c r="OU5" s="30"/>
      <c r="OV5" s="30"/>
      <c r="OW5" s="30"/>
      <c r="OX5" s="30"/>
      <c r="OY5" s="30"/>
      <c r="OZ5" s="30"/>
      <c r="PA5" s="30"/>
      <c r="PB5" s="30"/>
      <c r="PC5" s="30"/>
      <c r="PD5" s="30"/>
      <c r="PE5" s="30"/>
      <c r="PF5" s="30"/>
      <c r="PG5" s="30"/>
      <c r="PH5" s="30"/>
      <c r="PI5" s="30"/>
      <c r="PJ5" s="30"/>
      <c r="PK5" s="30"/>
      <c r="PL5" s="30"/>
      <c r="PM5" s="30"/>
      <c r="PN5" s="30"/>
      <c r="PO5" s="30"/>
      <c r="PP5" s="30"/>
      <c r="PQ5" s="30"/>
      <c r="PR5" s="30"/>
      <c r="PS5" s="30"/>
      <c r="PT5" s="30"/>
      <c r="PU5" s="30"/>
      <c r="PV5" s="30"/>
      <c r="PW5" s="30"/>
      <c r="PX5" s="30"/>
      <c r="PY5" s="30"/>
      <c r="PZ5" s="30"/>
      <c r="QA5" s="30"/>
      <c r="QB5" s="30"/>
      <c r="QC5" s="30"/>
      <c r="QD5" s="30"/>
      <c r="QE5" s="30"/>
      <c r="QF5" s="30"/>
      <c r="QG5" s="30"/>
      <c r="QH5" s="30"/>
      <c r="QI5" s="30"/>
      <c r="QJ5" s="30"/>
      <c r="QK5" s="30"/>
      <c r="QL5" s="30"/>
      <c r="QM5" s="30"/>
      <c r="QN5" s="30"/>
      <c r="QO5" s="30"/>
      <c r="QP5" s="30"/>
      <c r="QQ5" s="30"/>
      <c r="QR5" s="30"/>
      <c r="QS5" s="30"/>
      <c r="QT5" s="30"/>
      <c r="QU5" s="30"/>
      <c r="QV5" s="30"/>
      <c r="QW5" s="30"/>
      <c r="QX5" s="30"/>
      <c r="QY5" s="30"/>
      <c r="QZ5" s="30"/>
      <c r="RA5" s="30"/>
      <c r="RB5" s="30"/>
      <c r="RC5" s="30"/>
      <c r="RD5" s="30"/>
      <c r="RE5" s="30"/>
      <c r="RF5" s="30"/>
      <c r="RG5" s="30"/>
      <c r="RH5" s="30"/>
      <c r="RI5" s="30"/>
      <c r="RJ5" s="30"/>
      <c r="RK5" s="30"/>
      <c r="RL5" s="30"/>
      <c r="RM5" s="30"/>
      <c r="RN5" s="30"/>
      <c r="RO5" s="30"/>
      <c r="RP5" s="30"/>
      <c r="RQ5" s="30"/>
      <c r="RR5" s="30"/>
      <c r="RS5" s="30"/>
      <c r="RT5" s="30"/>
      <c r="RU5" s="30"/>
      <c r="RV5" s="30"/>
      <c r="RW5" s="30"/>
      <c r="RX5" s="30"/>
      <c r="RY5" s="30"/>
      <c r="RZ5" s="30"/>
      <c r="SA5" s="30"/>
      <c r="SB5" s="30"/>
      <c r="SC5" s="30"/>
      <c r="SD5" s="30"/>
      <c r="SE5" s="30"/>
      <c r="SF5" s="30"/>
      <c r="SG5" s="30"/>
      <c r="SH5" s="30"/>
      <c r="SI5" s="30"/>
      <c r="SJ5" s="30"/>
      <c r="SK5" s="30"/>
      <c r="SL5" s="30"/>
      <c r="SM5" s="30"/>
      <c r="SN5" s="30"/>
      <c r="SO5" s="30"/>
      <c r="SP5" s="30"/>
      <c r="SQ5" s="30"/>
      <c r="SR5" s="30"/>
      <c r="SS5" s="30"/>
      <c r="ST5" s="30"/>
      <c r="SU5" s="30"/>
      <c r="SV5" s="30"/>
      <c r="SW5" s="30"/>
      <c r="SX5" s="30"/>
      <c r="SY5" s="30"/>
      <c r="SZ5" s="30"/>
      <c r="TA5" s="30"/>
      <c r="TB5" s="30"/>
      <c r="TC5" s="30"/>
      <c r="TD5" s="30"/>
      <c r="TE5" s="30"/>
      <c r="TF5" s="30"/>
      <c r="TG5" s="30"/>
      <c r="TH5" s="30"/>
      <c r="TI5" s="30"/>
      <c r="TJ5" s="30"/>
      <c r="TK5" s="30"/>
      <c r="TL5" s="30"/>
      <c r="TM5" s="30"/>
      <c r="TN5" s="30"/>
      <c r="TO5" s="30"/>
      <c r="TP5" s="30"/>
      <c r="TQ5" s="30"/>
      <c r="TR5" s="30"/>
      <c r="TS5" s="30"/>
      <c r="TT5" s="30"/>
      <c r="TU5" s="30"/>
      <c r="TV5" s="30"/>
      <c r="TW5" s="30"/>
      <c r="TX5" s="30"/>
      <c r="TY5" s="30"/>
      <c r="TZ5" s="30"/>
      <c r="UA5" s="30"/>
      <c r="UB5" s="30"/>
      <c r="UC5" s="30"/>
      <c r="UD5" s="30"/>
      <c r="UE5" s="30"/>
      <c r="UF5" s="30"/>
      <c r="UG5" s="30"/>
      <c r="UH5" s="30"/>
      <c r="UI5" s="30"/>
      <c r="UJ5" s="30"/>
      <c r="UK5" s="30"/>
      <c r="UL5" s="30"/>
      <c r="UM5" s="30"/>
      <c r="UN5" s="30"/>
      <c r="UO5" s="30"/>
      <c r="UP5" s="30"/>
      <c r="UQ5" s="30"/>
      <c r="UR5" s="30"/>
      <c r="US5" s="30"/>
      <c r="UT5" s="30"/>
      <c r="UU5" s="30"/>
      <c r="UV5" s="30"/>
      <c r="UW5" s="30"/>
      <c r="UX5" s="30"/>
      <c r="UY5" s="30"/>
      <c r="UZ5" s="30"/>
      <c r="VA5" s="30"/>
      <c r="VB5" s="30"/>
      <c r="VC5" s="30"/>
      <c r="VD5" s="30"/>
      <c r="VE5" s="30"/>
      <c r="VF5" s="30"/>
      <c r="VG5" s="30"/>
      <c r="VH5" s="30"/>
      <c r="VI5" s="30"/>
      <c r="VJ5" s="30"/>
      <c r="VK5" s="30"/>
      <c r="VL5" s="30"/>
      <c r="VM5" s="30"/>
      <c r="VN5" s="30"/>
      <c r="VO5" s="30"/>
      <c r="VP5" s="30"/>
      <c r="VQ5" s="30"/>
      <c r="VR5" s="30"/>
      <c r="VS5" s="30"/>
      <c r="VT5" s="30"/>
      <c r="VU5" s="30"/>
      <c r="VV5" s="30"/>
      <c r="VW5" s="30"/>
      <c r="VX5" s="30"/>
      <c r="VY5" s="30"/>
      <c r="VZ5" s="30"/>
      <c r="WA5" s="30"/>
      <c r="WB5" s="30"/>
      <c r="WC5" s="30"/>
      <c r="WD5" s="30"/>
      <c r="WE5" s="30"/>
      <c r="WF5" s="30"/>
      <c r="WG5" s="30"/>
      <c r="WH5" s="30"/>
      <c r="WI5" s="30"/>
      <c r="WJ5" s="30"/>
      <c r="WK5" s="30"/>
      <c r="WL5" s="30"/>
      <c r="WM5" s="30"/>
      <c r="WN5" s="30"/>
      <c r="WO5" s="30"/>
      <c r="WP5" s="30"/>
      <c r="WQ5" s="30"/>
      <c r="WR5" s="30"/>
      <c r="WS5" s="30"/>
      <c r="WT5" s="30"/>
      <c r="WU5" s="30"/>
      <c r="WV5" s="30"/>
      <c r="WW5" s="30"/>
      <c r="WX5" s="30"/>
      <c r="WY5" s="30"/>
      <c r="WZ5" s="30"/>
      <c r="XA5" s="30"/>
      <c r="XB5" s="30"/>
      <c r="XC5" s="30"/>
      <c r="XD5" s="30"/>
      <c r="XE5" s="30"/>
      <c r="XF5" s="30"/>
      <c r="XG5" s="30"/>
      <c r="XH5" s="30"/>
      <c r="XI5" s="30"/>
      <c r="XJ5" s="30"/>
      <c r="XK5" s="30"/>
      <c r="XL5" s="30"/>
      <c r="XM5" s="30"/>
      <c r="XN5" s="30"/>
      <c r="XO5" s="30"/>
      <c r="XP5" s="30"/>
      <c r="XQ5" s="30"/>
      <c r="XR5" s="30"/>
      <c r="XS5" s="30"/>
      <c r="XT5" s="30"/>
      <c r="XU5" s="30"/>
      <c r="XV5" s="30"/>
      <c r="XW5" s="30"/>
      <c r="XX5" s="30"/>
      <c r="XY5" s="30"/>
      <c r="XZ5" s="30"/>
      <c r="YA5" s="30"/>
      <c r="YB5" s="30"/>
      <c r="YC5" s="30"/>
      <c r="YD5" s="30"/>
      <c r="YE5" s="30"/>
      <c r="YF5" s="30"/>
      <c r="YG5" s="30"/>
      <c r="YH5" s="30"/>
      <c r="YI5" s="30"/>
      <c r="YJ5" s="30"/>
      <c r="YK5" s="30"/>
      <c r="YL5" s="30"/>
      <c r="YM5" s="30"/>
      <c r="YN5" s="30"/>
      <c r="YO5" s="30"/>
      <c r="YP5" s="30"/>
      <c r="YQ5" s="30"/>
      <c r="YR5" s="30"/>
      <c r="YS5" s="30"/>
      <c r="YT5" s="30"/>
      <c r="YU5" s="30"/>
      <c r="YV5" s="30"/>
      <c r="YW5" s="30"/>
      <c r="YX5" s="30"/>
      <c r="YY5" s="30"/>
      <c r="YZ5" s="30"/>
      <c r="ZA5" s="30"/>
      <c r="ZB5" s="30"/>
      <c r="ZC5" s="30"/>
      <c r="ZD5" s="30"/>
      <c r="ZE5" s="30"/>
      <c r="ZF5" s="30"/>
      <c r="ZG5" s="30"/>
      <c r="ZH5" s="30"/>
      <c r="ZI5" s="30"/>
      <c r="ZJ5" s="30"/>
      <c r="ZK5" s="30"/>
      <c r="ZL5" s="30"/>
      <c r="ZM5" s="30"/>
      <c r="ZN5" s="30"/>
      <c r="ZO5" s="30"/>
      <c r="ZP5" s="30"/>
      <c r="ZQ5" s="30"/>
      <c r="ZR5" s="30"/>
      <c r="ZS5" s="30"/>
      <c r="ZT5" s="30"/>
      <c r="ZU5" s="30"/>
      <c r="ZV5" s="30"/>
      <c r="ZW5" s="30"/>
      <c r="ZX5" s="30"/>
      <c r="ZY5" s="30"/>
      <c r="ZZ5" s="30"/>
      <c r="AAA5" s="30"/>
      <c r="AAB5" s="30"/>
      <c r="AAC5" s="30"/>
      <c r="AAD5" s="30"/>
      <c r="AAE5" s="30"/>
      <c r="AAF5" s="30"/>
      <c r="AAG5" s="30"/>
      <c r="AAH5" s="30"/>
      <c r="AAI5" s="30"/>
      <c r="AAJ5" s="30"/>
      <c r="AAK5" s="30"/>
      <c r="AAL5" s="30"/>
      <c r="AAM5" s="30"/>
      <c r="AAN5" s="30"/>
      <c r="AAO5" s="30"/>
      <c r="AAP5" s="30"/>
      <c r="AAQ5" s="30"/>
      <c r="AAR5" s="30"/>
      <c r="AAS5" s="30"/>
      <c r="AAT5" s="30"/>
      <c r="AAU5" s="30"/>
      <c r="AAV5" s="30"/>
      <c r="AAW5" s="30"/>
      <c r="AAX5" s="30"/>
      <c r="AAY5" s="30"/>
      <c r="AAZ5" s="30"/>
      <c r="ABA5" s="30"/>
      <c r="ABB5" s="30"/>
      <c r="ABC5" s="30"/>
      <c r="ABD5" s="30"/>
      <c r="ABE5" s="30"/>
      <c r="ABF5" s="30"/>
      <c r="ABG5" s="30"/>
      <c r="ABH5" s="30"/>
      <c r="ABI5" s="30"/>
      <c r="ABJ5" s="30"/>
      <c r="ABK5" s="30"/>
      <c r="ABL5" s="30"/>
      <c r="ABM5" s="30"/>
      <c r="ABN5" s="30"/>
      <c r="ABO5" s="30"/>
      <c r="ABP5" s="30"/>
      <c r="ABQ5" s="30"/>
      <c r="ABR5" s="30"/>
      <c r="ABS5" s="30"/>
      <c r="ABT5" s="30"/>
      <c r="ABU5" s="30"/>
      <c r="ABV5" s="30"/>
      <c r="ABW5" s="30"/>
      <c r="ABX5" s="30"/>
      <c r="ABY5" s="30"/>
      <c r="ABZ5" s="30"/>
      <c r="ACA5" s="30"/>
      <c r="ACB5" s="30"/>
      <c r="ACC5" s="30"/>
      <c r="ACD5" s="30"/>
      <c r="ACE5" s="30"/>
      <c r="ACF5" s="30"/>
      <c r="ACG5" s="30"/>
      <c r="ACH5" s="30"/>
      <c r="ACI5" s="30"/>
      <c r="ACJ5" s="30"/>
      <c r="ACK5" s="30"/>
      <c r="ACL5" s="30"/>
      <c r="ACM5" s="30"/>
      <c r="ACN5" s="30"/>
      <c r="ACO5" s="30"/>
      <c r="ACP5" s="30"/>
      <c r="ACQ5" s="30"/>
      <c r="ACR5" s="30"/>
      <c r="ACS5" s="30"/>
      <c r="ACT5" s="30"/>
      <c r="ACU5" s="30"/>
      <c r="ACV5" s="30"/>
      <c r="ACW5" s="30"/>
      <c r="ACX5" s="30"/>
      <c r="ACY5" s="30"/>
      <c r="ACZ5" s="30"/>
      <c r="ADA5" s="30"/>
      <c r="ADB5" s="30"/>
      <c r="ADC5" s="30"/>
      <c r="ADD5" s="30"/>
      <c r="ADE5" s="30"/>
      <c r="ADF5" s="30"/>
      <c r="ADG5" s="30"/>
      <c r="ADH5" s="30"/>
      <c r="ADI5" s="30"/>
      <c r="ADJ5" s="30"/>
      <c r="ADK5" s="30"/>
      <c r="ADL5" s="30"/>
      <c r="ADM5" s="30"/>
      <c r="ADN5" s="30"/>
      <c r="ADO5" s="30"/>
      <c r="ADP5" s="30"/>
      <c r="ADQ5" s="30"/>
      <c r="ADR5" s="30"/>
      <c r="ADS5" s="30"/>
      <c r="ADT5" s="30"/>
      <c r="ADU5" s="30"/>
      <c r="ADV5" s="30"/>
      <c r="ADW5" s="30"/>
      <c r="ADX5" s="30"/>
      <c r="ADY5" s="30"/>
      <c r="ADZ5" s="30"/>
      <c r="AEA5" s="30"/>
      <c r="AEB5" s="30"/>
      <c r="AEC5" s="30"/>
      <c r="AED5" s="30"/>
      <c r="AEE5" s="30"/>
      <c r="AEF5" s="30"/>
      <c r="AEG5" s="30"/>
      <c r="AEH5" s="30"/>
      <c r="AEI5" s="30"/>
      <c r="AEJ5" s="30"/>
      <c r="AEK5" s="30"/>
      <c r="AEL5" s="30"/>
      <c r="AEM5" s="30"/>
      <c r="AEN5" s="30"/>
      <c r="AEO5" s="30"/>
      <c r="AEP5" s="30"/>
      <c r="AEQ5" s="30"/>
      <c r="AER5" s="30"/>
      <c r="AES5" s="30"/>
      <c r="AET5" s="30"/>
      <c r="AEU5" s="30"/>
      <c r="AEV5" s="30"/>
      <c r="AEW5" s="30"/>
      <c r="AEX5" s="30"/>
      <c r="AEY5" s="30"/>
      <c r="AEZ5" s="30"/>
      <c r="AFA5" s="30"/>
      <c r="AFB5" s="30"/>
      <c r="AFC5" s="30"/>
      <c r="AFD5" s="30"/>
      <c r="AFE5" s="30"/>
      <c r="AFF5" s="30"/>
      <c r="AFG5" s="30"/>
      <c r="AFH5" s="30"/>
      <c r="AFI5" s="30"/>
      <c r="AFJ5" s="30"/>
      <c r="AFK5" s="30"/>
      <c r="AFL5" s="30"/>
      <c r="AFM5" s="30"/>
      <c r="AFN5" s="30"/>
      <c r="AFO5" s="30"/>
      <c r="AFP5" s="30"/>
      <c r="AFQ5" s="30"/>
      <c r="AFR5" s="30"/>
      <c r="AFS5" s="30"/>
      <c r="AFT5" s="30"/>
      <c r="AFU5" s="30"/>
      <c r="AFV5" s="30"/>
      <c r="AFW5" s="30"/>
      <c r="AFX5" s="30"/>
      <c r="AFY5" s="30"/>
      <c r="AFZ5" s="30"/>
      <c r="AGA5" s="30"/>
      <c r="AGB5" s="30"/>
      <c r="AGC5" s="30"/>
      <c r="AGD5" s="30"/>
      <c r="AGE5" s="30"/>
      <c r="AGF5" s="30"/>
      <c r="AGG5" s="30"/>
      <c r="AGH5" s="30"/>
      <c r="AGI5" s="30"/>
      <c r="AGJ5" s="30"/>
      <c r="AGK5" s="30"/>
      <c r="AGL5" s="30"/>
      <c r="AGM5" s="30"/>
      <c r="AGN5" s="30"/>
      <c r="AGO5" s="30"/>
      <c r="AGP5" s="30"/>
      <c r="AGQ5" s="30"/>
      <c r="AGR5" s="30"/>
      <c r="AGS5" s="30"/>
      <c r="AGT5" s="30"/>
      <c r="AGU5" s="30"/>
      <c r="AGV5" s="30"/>
      <c r="AGW5" s="30"/>
      <c r="AGX5" s="30"/>
      <c r="AGY5" s="30"/>
      <c r="AGZ5" s="30"/>
      <c r="AHA5" s="30"/>
      <c r="AHB5" s="30"/>
      <c r="AHC5" s="30"/>
      <c r="AHD5" s="30"/>
      <c r="AHE5" s="30"/>
      <c r="AHF5" s="30"/>
      <c r="AHG5" s="30"/>
      <c r="AHH5" s="30"/>
      <c r="AHI5" s="30"/>
      <c r="AHJ5" s="30"/>
      <c r="AHK5" s="30"/>
      <c r="AHL5" s="30"/>
      <c r="AHM5" s="30"/>
      <c r="AHN5" s="30"/>
      <c r="AHO5" s="30"/>
      <c r="AHP5" s="30"/>
      <c r="AHQ5" s="30"/>
      <c r="AHR5" s="30"/>
      <c r="AHS5" s="30"/>
      <c r="AHT5" s="30"/>
      <c r="AHU5" s="30"/>
      <c r="AHV5" s="30"/>
      <c r="AHW5" s="30"/>
      <c r="AHX5" s="30"/>
      <c r="AHY5" s="30"/>
      <c r="AHZ5" s="30"/>
      <c r="AIA5" s="30"/>
      <c r="AIB5" s="30"/>
      <c r="AIC5" s="30"/>
      <c r="AID5" s="30"/>
      <c r="AIE5" s="30"/>
      <c r="AIF5" s="30"/>
      <c r="AIG5" s="30"/>
      <c r="AIH5" s="30"/>
      <c r="AII5" s="30"/>
      <c r="AIJ5" s="30"/>
      <c r="AIK5" s="30"/>
      <c r="AIL5" s="30"/>
      <c r="AIM5" s="30"/>
      <c r="AIN5" s="30"/>
      <c r="AIO5" s="30"/>
      <c r="AIP5" s="30"/>
      <c r="AIQ5" s="30"/>
      <c r="AIR5" s="30"/>
      <c r="AIS5" s="30"/>
      <c r="AIT5" s="30"/>
      <c r="AIU5" s="30"/>
      <c r="AIV5" s="30"/>
      <c r="AIW5" s="30"/>
      <c r="AIX5" s="30"/>
      <c r="AIY5" s="30"/>
      <c r="AIZ5" s="30"/>
      <c r="AJA5" s="30"/>
      <c r="AJB5" s="30"/>
      <c r="AJC5" s="30"/>
      <c r="AJD5" s="30"/>
      <c r="AJE5" s="30"/>
      <c r="AJF5" s="30"/>
      <c r="AJG5" s="30"/>
      <c r="AJH5" s="30"/>
      <c r="AJI5" s="30"/>
      <c r="AJJ5" s="30"/>
      <c r="AJK5" s="30"/>
      <c r="AJL5" s="30"/>
      <c r="AJM5" s="30"/>
      <c r="AJN5" s="30"/>
      <c r="AJO5" s="30"/>
      <c r="AJP5" s="30"/>
      <c r="AJQ5" s="30"/>
      <c r="AJR5" s="30"/>
      <c r="AJS5" s="30"/>
      <c r="AJT5" s="30"/>
      <c r="AJU5" s="30"/>
      <c r="AJV5" s="30"/>
      <c r="AJW5" s="30"/>
      <c r="AJX5" s="30"/>
      <c r="AJY5" s="30"/>
      <c r="AJZ5" s="30"/>
      <c r="AKA5" s="30"/>
      <c r="AKB5" s="30"/>
      <c r="AKC5" s="30"/>
      <c r="AKD5" s="30"/>
      <c r="AKE5" s="30"/>
      <c r="AKF5" s="30"/>
      <c r="AKG5" s="30"/>
      <c r="AKH5" s="30"/>
      <c r="AKI5" s="30"/>
      <c r="AKJ5" s="30"/>
      <c r="AKK5" s="30"/>
      <c r="AKL5" s="30"/>
      <c r="AKM5" s="30"/>
      <c r="AKN5" s="30"/>
      <c r="AKO5" s="30"/>
      <c r="AKP5" s="30"/>
      <c r="AKQ5" s="30"/>
      <c r="AKR5" s="30"/>
      <c r="AKS5" s="30"/>
      <c r="AKT5" s="30"/>
      <c r="AKU5" s="30"/>
      <c r="AKV5" s="30"/>
      <c r="AKW5" s="30"/>
      <c r="AKX5" s="30"/>
      <c r="AKY5" s="30"/>
      <c r="AKZ5" s="30"/>
      <c r="ALA5" s="30"/>
      <c r="ALB5" s="30"/>
      <c r="ALC5" s="30"/>
      <c r="ALD5" s="30"/>
      <c r="ALE5" s="30"/>
      <c r="ALF5" s="30"/>
      <c r="ALG5" s="30"/>
      <c r="ALH5" s="30"/>
      <c r="ALI5" s="30"/>
      <c r="ALJ5" s="30"/>
      <c r="ALK5" s="30"/>
      <c r="ALL5" s="30"/>
      <c r="ALM5" s="30"/>
      <c r="ALN5" s="30"/>
      <c r="ALO5" s="30"/>
      <c r="ALP5" s="30"/>
      <c r="ALQ5" s="30"/>
      <c r="ALR5" s="30"/>
      <c r="ALS5" s="30"/>
      <c r="ALT5" s="30"/>
      <c r="ALU5" s="30"/>
      <c r="ALV5" s="30"/>
      <c r="ALW5" s="30"/>
      <c r="ALX5" s="30"/>
      <c r="ALY5" s="30"/>
      <c r="ALZ5" s="30"/>
      <c r="AMA5" s="30"/>
      <c r="AMB5" s="30"/>
      <c r="AMC5" s="30"/>
      <c r="AMD5" s="30"/>
      <c r="AME5" s="30"/>
      <c r="AMF5" s="30"/>
      <c r="AMG5" s="30"/>
      <c r="AMH5" s="30"/>
      <c r="AMI5" s="30"/>
      <c r="AMJ5" s="30"/>
      <c r="AMK5" s="30"/>
      <c r="AML5" s="30"/>
    </row>
    <row r="6" ht="15.75" customHeight="1">
      <c r="A6" s="34" t="s">
        <v>20</v>
      </c>
      <c r="B6" s="34" t="s">
        <v>20</v>
      </c>
      <c r="C6" s="35" t="s">
        <v>18</v>
      </c>
      <c r="D6" s="36" t="s">
        <v>22</v>
      </c>
      <c r="E6" s="35" t="s">
        <v>22</v>
      </c>
      <c r="F6" s="35" t="s">
        <v>23</v>
      </c>
      <c r="G6" s="37">
        <v>1.0</v>
      </c>
      <c r="H6" s="37">
        <v>1.0</v>
      </c>
      <c r="I6" s="37">
        <v>1.0</v>
      </c>
      <c r="J6" s="38"/>
      <c r="K6" s="37">
        <v>0.0</v>
      </c>
      <c r="L6" s="37">
        <v>0.0</v>
      </c>
      <c r="M6" s="37">
        <v>0.0</v>
      </c>
      <c r="N6" s="38"/>
      <c r="O6" s="37">
        <v>0.0</v>
      </c>
      <c r="P6" s="39">
        <v>0.0</v>
      </c>
      <c r="Q6" s="39">
        <v>0.0</v>
      </c>
      <c r="R6" s="39">
        <v>0.0</v>
      </c>
      <c r="S6" s="39">
        <v>0.0</v>
      </c>
      <c r="T6" s="38" t="s">
        <v>22</v>
      </c>
      <c r="U6" s="38"/>
      <c r="V6" s="38"/>
      <c r="W6" s="38"/>
      <c r="X6" s="38"/>
      <c r="Y6" s="38"/>
      <c r="Z6" s="38"/>
      <c r="AA6" s="38"/>
      <c r="AB6" s="38" t="s">
        <v>20</v>
      </c>
      <c r="AC6" s="38" t="s">
        <v>20</v>
      </c>
      <c r="AD6" s="38" t="s">
        <v>20</v>
      </c>
      <c r="AE6" s="38" t="s">
        <v>20</v>
      </c>
      <c r="AF6" s="38" t="s">
        <v>20</v>
      </c>
      <c r="AG6" s="38" t="s">
        <v>20</v>
      </c>
      <c r="AH6" s="38" t="s">
        <v>20</v>
      </c>
      <c r="AI6" s="38" t="s">
        <v>20</v>
      </c>
      <c r="AJ6" s="38" t="s">
        <v>20</v>
      </c>
      <c r="AK6" s="38" t="s">
        <v>20</v>
      </c>
      <c r="AL6" s="38" t="s">
        <v>20</v>
      </c>
      <c r="AM6" s="38" t="s">
        <v>20</v>
      </c>
      <c r="AN6" s="38" t="s">
        <v>20</v>
      </c>
      <c r="AO6" s="38" t="s">
        <v>20</v>
      </c>
      <c r="AP6" s="38" t="s">
        <v>20</v>
      </c>
      <c r="AQ6" s="38" t="s">
        <v>20</v>
      </c>
      <c r="AR6" s="38" t="s">
        <v>20</v>
      </c>
      <c r="AS6" s="38" t="s">
        <v>20</v>
      </c>
      <c r="AT6" s="38" t="s">
        <v>20</v>
      </c>
      <c r="AU6" s="38" t="s">
        <v>20</v>
      </c>
      <c r="AV6" s="38" t="s">
        <v>20</v>
      </c>
      <c r="AW6" s="38" t="s">
        <v>20</v>
      </c>
      <c r="AX6" s="38" t="s">
        <v>20</v>
      </c>
      <c r="AY6" s="38" t="s">
        <v>20</v>
      </c>
      <c r="AZ6" s="38" t="s">
        <v>20</v>
      </c>
      <c r="BA6" s="38" t="s">
        <v>20</v>
      </c>
      <c r="BB6" s="38" t="s">
        <v>20</v>
      </c>
      <c r="BC6" s="38" t="s">
        <v>20</v>
      </c>
      <c r="BD6" s="38" t="s">
        <v>20</v>
      </c>
      <c r="BE6" s="38" t="s">
        <v>20</v>
      </c>
      <c r="BF6" s="38" t="s">
        <v>20</v>
      </c>
      <c r="BG6" s="38" t="s">
        <v>20</v>
      </c>
      <c r="BH6" s="38" t="s">
        <v>20</v>
      </c>
      <c r="BI6" s="38" t="s">
        <v>20</v>
      </c>
      <c r="BJ6" s="38" t="s">
        <v>20</v>
      </c>
      <c r="BK6" s="38" t="s">
        <v>20</v>
      </c>
      <c r="BL6" s="38" t="s">
        <v>20</v>
      </c>
      <c r="BM6" s="38" t="s">
        <v>20</v>
      </c>
      <c r="BN6" s="38" t="s">
        <v>20</v>
      </c>
      <c r="BO6" s="38" t="s">
        <v>20</v>
      </c>
      <c r="BP6" s="38" t="s">
        <v>20</v>
      </c>
      <c r="BQ6" s="38" t="s">
        <v>20</v>
      </c>
      <c r="BR6" s="38" t="s">
        <v>20</v>
      </c>
      <c r="BS6" s="38" t="s">
        <v>20</v>
      </c>
      <c r="BT6" s="38" t="s">
        <v>20</v>
      </c>
      <c r="BU6" s="38" t="s">
        <v>20</v>
      </c>
      <c r="BV6" s="38" t="s">
        <v>20</v>
      </c>
      <c r="BW6" s="38" t="s">
        <v>20</v>
      </c>
      <c r="BX6" s="38" t="s">
        <v>20</v>
      </c>
      <c r="BY6" s="38" t="s">
        <v>20</v>
      </c>
      <c r="BZ6" s="38" t="s">
        <v>20</v>
      </c>
      <c r="CA6" s="38" t="s">
        <v>20</v>
      </c>
      <c r="CB6" s="38" t="s">
        <v>20</v>
      </c>
      <c r="CC6" s="38" t="s">
        <v>20</v>
      </c>
      <c r="CD6" s="38" t="s">
        <v>20</v>
      </c>
      <c r="CE6" s="38" t="s">
        <v>20</v>
      </c>
      <c r="CF6" s="38" t="s">
        <v>20</v>
      </c>
      <c r="CG6" s="38" t="s">
        <v>20</v>
      </c>
      <c r="CH6" s="38" t="s">
        <v>20</v>
      </c>
      <c r="CI6" s="38" t="s">
        <v>20</v>
      </c>
      <c r="CJ6" s="38" t="s">
        <v>20</v>
      </c>
      <c r="CK6" s="38" t="s">
        <v>20</v>
      </c>
      <c r="CL6" s="38" t="s">
        <v>20</v>
      </c>
      <c r="CM6" s="38" t="s">
        <v>20</v>
      </c>
      <c r="CN6" s="38" t="s">
        <v>20</v>
      </c>
      <c r="CO6" s="38" t="s">
        <v>20</v>
      </c>
      <c r="CP6" s="38" t="s">
        <v>20</v>
      </c>
      <c r="CQ6" s="38" t="s">
        <v>20</v>
      </c>
      <c r="CR6" s="38" t="s">
        <v>20</v>
      </c>
      <c r="CS6" s="38" t="s">
        <v>20</v>
      </c>
      <c r="CT6" s="38" t="s">
        <v>20</v>
      </c>
      <c r="CU6" s="38" t="s">
        <v>20</v>
      </c>
      <c r="CV6" s="38" t="s">
        <v>20</v>
      </c>
      <c r="CW6" s="38" t="s">
        <v>20</v>
      </c>
      <c r="CX6" s="38" t="s">
        <v>20</v>
      </c>
      <c r="CY6" s="38" t="s">
        <v>20</v>
      </c>
      <c r="CZ6" s="38" t="s">
        <v>20</v>
      </c>
      <c r="DA6" s="38" t="s">
        <v>20</v>
      </c>
      <c r="DB6" s="38" t="s">
        <v>20</v>
      </c>
      <c r="DC6" s="38" t="s">
        <v>20</v>
      </c>
      <c r="DD6" s="38" t="s">
        <v>20</v>
      </c>
      <c r="DE6" s="38" t="s">
        <v>20</v>
      </c>
      <c r="DF6" s="38" t="s">
        <v>20</v>
      </c>
      <c r="DG6" s="38" t="s">
        <v>20</v>
      </c>
      <c r="DH6" s="38" t="s">
        <v>20</v>
      </c>
      <c r="DI6" s="38" t="s">
        <v>20</v>
      </c>
      <c r="DJ6" s="38" t="s">
        <v>20</v>
      </c>
      <c r="DK6" s="38" t="s">
        <v>20</v>
      </c>
      <c r="DL6" s="38" t="s">
        <v>20</v>
      </c>
      <c r="DM6" s="38" t="s">
        <v>20</v>
      </c>
      <c r="DN6" s="38" t="s">
        <v>20</v>
      </c>
      <c r="DO6" s="38" t="s">
        <v>20</v>
      </c>
      <c r="DP6" s="38" t="s">
        <v>20</v>
      </c>
      <c r="DQ6" s="38" t="s">
        <v>20</v>
      </c>
      <c r="DR6" s="38" t="s">
        <v>20</v>
      </c>
      <c r="DS6" s="38" t="s">
        <v>20</v>
      </c>
      <c r="DT6" s="38" t="s">
        <v>20</v>
      </c>
      <c r="DU6" s="38" t="s">
        <v>20</v>
      </c>
      <c r="DV6" s="38" t="s">
        <v>20</v>
      </c>
      <c r="DW6" s="38" t="s">
        <v>20</v>
      </c>
      <c r="DX6" s="38" t="s">
        <v>20</v>
      </c>
      <c r="DY6" s="38" t="s">
        <v>20</v>
      </c>
      <c r="DZ6" s="38" t="s">
        <v>20</v>
      </c>
      <c r="EA6" s="38" t="s">
        <v>20</v>
      </c>
      <c r="EB6" s="38" t="s">
        <v>20</v>
      </c>
      <c r="EC6" s="38" t="s">
        <v>20</v>
      </c>
      <c r="ED6" s="38" t="s">
        <v>20</v>
      </c>
      <c r="EE6" s="38" t="s">
        <v>20</v>
      </c>
      <c r="EF6" s="38" t="s">
        <v>20</v>
      </c>
      <c r="EG6" s="38" t="s">
        <v>20</v>
      </c>
      <c r="EH6" s="38" t="s">
        <v>20</v>
      </c>
      <c r="EI6" s="38" t="s">
        <v>20</v>
      </c>
      <c r="EJ6" s="38" t="s">
        <v>20</v>
      </c>
      <c r="EK6" s="38" t="s">
        <v>20</v>
      </c>
      <c r="EL6" s="38" t="s">
        <v>20</v>
      </c>
      <c r="EM6" s="38" t="s">
        <v>20</v>
      </c>
      <c r="EN6" s="38" t="s">
        <v>20</v>
      </c>
      <c r="EO6" s="38" t="s">
        <v>20</v>
      </c>
      <c r="EP6" s="38" t="s">
        <v>20</v>
      </c>
      <c r="EQ6" s="38" t="s">
        <v>20</v>
      </c>
      <c r="ER6" s="38" t="s">
        <v>20</v>
      </c>
      <c r="ES6" s="38" t="s">
        <v>20</v>
      </c>
      <c r="ET6" s="38" t="s">
        <v>20</v>
      </c>
      <c r="EU6" s="38" t="s">
        <v>20</v>
      </c>
      <c r="EV6" s="38" t="s">
        <v>20</v>
      </c>
      <c r="EW6" s="38" t="s">
        <v>20</v>
      </c>
      <c r="EX6" s="38" t="s">
        <v>20</v>
      </c>
      <c r="EY6" s="38" t="s">
        <v>20</v>
      </c>
      <c r="EZ6" s="38" t="s">
        <v>20</v>
      </c>
      <c r="FA6" s="38" t="s">
        <v>20</v>
      </c>
      <c r="FB6" s="38" t="s">
        <v>20</v>
      </c>
      <c r="FC6" s="38" t="s">
        <v>20</v>
      </c>
      <c r="FD6" s="38" t="s">
        <v>20</v>
      </c>
      <c r="FE6" s="38" t="s">
        <v>20</v>
      </c>
      <c r="FF6" s="38" t="s">
        <v>20</v>
      </c>
      <c r="FG6" s="38" t="s">
        <v>20</v>
      </c>
      <c r="FH6" s="38" t="s">
        <v>20</v>
      </c>
      <c r="FI6" s="38" t="s">
        <v>20</v>
      </c>
      <c r="FJ6" s="38" t="s">
        <v>20</v>
      </c>
      <c r="FK6" s="38" t="s">
        <v>20</v>
      </c>
      <c r="FL6" s="38" t="s">
        <v>20</v>
      </c>
      <c r="FM6" s="38" t="s">
        <v>20</v>
      </c>
      <c r="FN6" s="38" t="s">
        <v>20</v>
      </c>
      <c r="FO6" s="38" t="s">
        <v>20</v>
      </c>
      <c r="FP6" s="38" t="s">
        <v>20</v>
      </c>
      <c r="FQ6" s="38" t="s">
        <v>20</v>
      </c>
      <c r="FR6" s="40"/>
      <c r="FS6" s="40"/>
      <c r="FT6" s="40"/>
      <c r="FU6" s="40"/>
      <c r="FV6" s="40"/>
      <c r="FW6" s="40"/>
      <c r="FX6" s="40"/>
      <c r="FY6" s="40"/>
      <c r="FZ6" s="40"/>
      <c r="GA6" s="40"/>
      <c r="GB6" s="40"/>
      <c r="GC6" s="40"/>
      <c r="GD6" s="40"/>
      <c r="GE6" s="40"/>
      <c r="GF6" s="40"/>
      <c r="GG6" s="40"/>
      <c r="GH6" s="40"/>
      <c r="GI6" s="40"/>
      <c r="GJ6" s="40"/>
      <c r="GK6" s="40"/>
      <c r="GL6" s="40"/>
      <c r="GM6" s="40"/>
      <c r="GN6" s="40"/>
      <c r="GO6" s="40"/>
      <c r="GP6" s="40"/>
      <c r="GQ6" s="40"/>
      <c r="GR6" s="40"/>
      <c r="GS6" s="40"/>
      <c r="GT6" s="40"/>
      <c r="GU6" s="40"/>
      <c r="GV6" s="40"/>
      <c r="GW6" s="40"/>
      <c r="GX6" s="40"/>
      <c r="GY6" s="40"/>
      <c r="GZ6" s="40"/>
      <c r="HA6" s="40"/>
      <c r="HB6" s="40"/>
      <c r="HC6" s="40"/>
      <c r="HD6" s="40"/>
      <c r="HE6" s="40"/>
      <c r="HF6" s="40"/>
      <c r="HG6" s="40"/>
      <c r="HH6" s="40"/>
      <c r="HI6" s="40"/>
      <c r="HJ6" s="40"/>
      <c r="HK6" s="40"/>
      <c r="HL6" s="40"/>
      <c r="HM6" s="40"/>
      <c r="HN6" s="40"/>
      <c r="HO6" s="40"/>
      <c r="HP6" s="40"/>
      <c r="HQ6" s="40"/>
      <c r="HR6" s="40"/>
      <c r="HS6" s="40"/>
      <c r="HT6" s="40"/>
      <c r="HU6" s="40"/>
      <c r="HV6" s="40"/>
      <c r="HW6" s="40"/>
      <c r="HX6" s="40"/>
      <c r="HY6" s="40"/>
      <c r="HZ6" s="40"/>
      <c r="IA6" s="40"/>
      <c r="IB6" s="40"/>
      <c r="IC6" s="40"/>
      <c r="ID6" s="40"/>
      <c r="IE6" s="40"/>
      <c r="IF6" s="40"/>
      <c r="IG6" s="40"/>
      <c r="IH6" s="40"/>
      <c r="II6" s="40"/>
      <c r="IJ6" s="40"/>
      <c r="IK6" s="40"/>
      <c r="IL6" s="40"/>
      <c r="IM6" s="40"/>
      <c r="IN6" s="40"/>
      <c r="IO6" s="40"/>
      <c r="IP6" s="40"/>
      <c r="IQ6" s="40"/>
      <c r="IR6" s="40"/>
      <c r="IS6" s="40"/>
      <c r="IT6" s="40"/>
      <c r="IU6" s="40"/>
      <c r="IV6" s="40"/>
      <c r="IW6" s="40"/>
      <c r="IX6" s="40"/>
      <c r="IY6" s="40"/>
      <c r="IZ6" s="40"/>
      <c r="JA6" s="40"/>
      <c r="JB6" s="40"/>
      <c r="JC6" s="40"/>
      <c r="JD6" s="40"/>
      <c r="JE6" s="40"/>
      <c r="JF6" s="40"/>
      <c r="JG6" s="40"/>
      <c r="JH6" s="40"/>
      <c r="JI6" s="40"/>
      <c r="JJ6" s="40"/>
      <c r="JK6" s="40"/>
      <c r="JL6" s="40"/>
      <c r="JM6" s="40"/>
      <c r="JN6" s="40"/>
      <c r="JO6" s="40"/>
      <c r="JP6" s="40"/>
      <c r="JQ6" s="40"/>
      <c r="JR6" s="40"/>
      <c r="JS6" s="40"/>
      <c r="JT6" s="40"/>
      <c r="JU6" s="40"/>
      <c r="JV6" s="40"/>
      <c r="JW6" s="40"/>
      <c r="JX6" s="40"/>
      <c r="JY6" s="40"/>
      <c r="JZ6" s="40"/>
      <c r="KA6" s="40"/>
      <c r="KB6" s="40"/>
      <c r="KC6" s="40"/>
      <c r="KD6" s="40"/>
      <c r="KE6" s="40"/>
      <c r="KF6" s="40"/>
      <c r="KG6" s="40"/>
      <c r="KH6" s="40"/>
      <c r="KI6" s="40"/>
      <c r="KJ6" s="40"/>
      <c r="KK6" s="40"/>
      <c r="KL6" s="40"/>
      <c r="KM6" s="40"/>
      <c r="KN6" s="40"/>
      <c r="KO6" s="40"/>
      <c r="KP6" s="40"/>
      <c r="KQ6" s="40"/>
      <c r="KR6" s="40"/>
      <c r="KS6" s="40"/>
      <c r="KT6" s="40"/>
      <c r="KU6" s="40"/>
      <c r="KV6" s="40"/>
      <c r="KW6" s="40"/>
      <c r="KX6" s="40"/>
      <c r="KY6" s="40"/>
      <c r="KZ6" s="40"/>
      <c r="LA6" s="40"/>
      <c r="LB6" s="40"/>
      <c r="LC6" s="40"/>
      <c r="LD6" s="40"/>
      <c r="LE6" s="40"/>
      <c r="LF6" s="40"/>
      <c r="LG6" s="40"/>
      <c r="LH6" s="40"/>
      <c r="LI6" s="40"/>
      <c r="LJ6" s="40"/>
      <c r="LK6" s="40"/>
      <c r="LL6" s="40"/>
      <c r="LM6" s="40"/>
      <c r="LN6" s="40"/>
      <c r="LO6" s="40"/>
      <c r="LP6" s="40"/>
      <c r="LQ6" s="40"/>
      <c r="LR6" s="40"/>
      <c r="LS6" s="40"/>
      <c r="LT6" s="40"/>
      <c r="LU6" s="40"/>
      <c r="LV6" s="40"/>
      <c r="LW6" s="40"/>
      <c r="LX6" s="40"/>
      <c r="LY6" s="40"/>
      <c r="LZ6" s="40"/>
      <c r="MA6" s="40"/>
      <c r="MB6" s="40"/>
      <c r="MC6" s="40"/>
      <c r="MD6" s="40"/>
      <c r="ME6" s="40"/>
      <c r="MF6" s="40"/>
      <c r="MG6" s="40"/>
      <c r="MH6" s="40"/>
      <c r="MI6" s="40"/>
      <c r="MJ6" s="40"/>
      <c r="MK6" s="40"/>
      <c r="ML6" s="40"/>
      <c r="MM6" s="40"/>
      <c r="MN6" s="40"/>
      <c r="MO6" s="40"/>
      <c r="MP6" s="40"/>
      <c r="MQ6" s="40"/>
      <c r="MR6" s="40"/>
      <c r="MS6" s="40"/>
      <c r="MT6" s="40"/>
      <c r="MU6" s="40"/>
      <c r="MV6" s="40"/>
      <c r="MW6" s="40"/>
      <c r="MX6" s="40"/>
      <c r="MY6" s="40"/>
      <c r="MZ6" s="40"/>
      <c r="NA6" s="40"/>
      <c r="NB6" s="40"/>
      <c r="NC6" s="40"/>
      <c r="ND6" s="40"/>
      <c r="NE6" s="40"/>
      <c r="NF6" s="40"/>
      <c r="NG6" s="40"/>
      <c r="NH6" s="40"/>
      <c r="NI6" s="40"/>
      <c r="NJ6" s="40"/>
      <c r="NK6" s="40"/>
      <c r="NL6" s="40"/>
      <c r="NM6" s="40"/>
      <c r="NN6" s="40"/>
      <c r="NO6" s="40"/>
      <c r="NP6" s="40"/>
      <c r="NQ6" s="40"/>
      <c r="NR6" s="40"/>
      <c r="NS6" s="40"/>
      <c r="NT6" s="40"/>
      <c r="NU6" s="40"/>
      <c r="NV6" s="40"/>
      <c r="NW6" s="40"/>
      <c r="NX6" s="40"/>
      <c r="NY6" s="40"/>
      <c r="NZ6" s="40"/>
      <c r="OA6" s="40"/>
      <c r="OB6" s="40"/>
      <c r="OC6" s="40"/>
      <c r="OD6" s="40"/>
      <c r="OE6" s="40"/>
      <c r="OF6" s="40"/>
      <c r="OG6" s="40"/>
      <c r="OH6" s="40"/>
      <c r="OI6" s="40"/>
      <c r="OJ6" s="40"/>
      <c r="OK6" s="40"/>
      <c r="OL6" s="40"/>
      <c r="OM6" s="40"/>
      <c r="ON6" s="40"/>
      <c r="OO6" s="40"/>
      <c r="OP6" s="40"/>
      <c r="OQ6" s="40"/>
      <c r="OR6" s="40"/>
      <c r="OS6" s="40"/>
      <c r="OT6" s="40"/>
      <c r="OU6" s="40"/>
      <c r="OV6" s="40"/>
      <c r="OW6" s="40"/>
      <c r="OX6" s="40"/>
      <c r="OY6" s="40"/>
      <c r="OZ6" s="40"/>
      <c r="PA6" s="40"/>
      <c r="PB6" s="40"/>
      <c r="PC6" s="40"/>
      <c r="PD6" s="40"/>
      <c r="PE6" s="40"/>
      <c r="PF6" s="40"/>
      <c r="PG6" s="40"/>
      <c r="PH6" s="40"/>
      <c r="PI6" s="40"/>
      <c r="PJ6" s="40"/>
      <c r="PK6" s="40"/>
      <c r="PL6" s="40"/>
      <c r="PM6" s="40"/>
      <c r="PN6" s="40"/>
      <c r="PO6" s="40"/>
      <c r="PP6" s="40"/>
      <c r="PQ6" s="40"/>
      <c r="PR6" s="40"/>
      <c r="PS6" s="40"/>
      <c r="PT6" s="40"/>
      <c r="PU6" s="40"/>
      <c r="PV6" s="40"/>
      <c r="PW6" s="40"/>
      <c r="PX6" s="40"/>
      <c r="PY6" s="40"/>
      <c r="PZ6" s="40"/>
      <c r="QA6" s="40"/>
      <c r="QB6" s="40"/>
      <c r="QC6" s="40"/>
      <c r="QD6" s="40"/>
      <c r="QE6" s="40"/>
      <c r="QF6" s="40"/>
      <c r="QG6" s="40"/>
      <c r="QH6" s="40"/>
      <c r="QI6" s="40"/>
      <c r="QJ6" s="40"/>
      <c r="QK6" s="40"/>
      <c r="QL6" s="40"/>
      <c r="QM6" s="40"/>
      <c r="QN6" s="40"/>
      <c r="QO6" s="40"/>
      <c r="QP6" s="40"/>
      <c r="QQ6" s="40"/>
      <c r="QR6" s="40"/>
      <c r="QS6" s="40"/>
      <c r="QT6" s="40"/>
      <c r="QU6" s="40"/>
      <c r="QV6" s="40"/>
      <c r="QW6" s="40"/>
      <c r="QX6" s="40"/>
      <c r="QY6" s="40"/>
      <c r="QZ6" s="40"/>
      <c r="RA6" s="40"/>
      <c r="RB6" s="40"/>
      <c r="RC6" s="40"/>
      <c r="RD6" s="40"/>
      <c r="RE6" s="40"/>
      <c r="RF6" s="40"/>
      <c r="RG6" s="40"/>
      <c r="RH6" s="40"/>
      <c r="RI6" s="40"/>
      <c r="RJ6" s="40"/>
      <c r="RK6" s="40"/>
      <c r="RL6" s="40"/>
      <c r="RM6" s="40"/>
      <c r="RN6" s="40"/>
      <c r="RO6" s="40"/>
      <c r="RP6" s="40"/>
      <c r="RQ6" s="40"/>
      <c r="RR6" s="40"/>
      <c r="RS6" s="40"/>
      <c r="RT6" s="40"/>
      <c r="RU6" s="40"/>
      <c r="RV6" s="40"/>
      <c r="RW6" s="40"/>
      <c r="RX6" s="40"/>
      <c r="RY6" s="40"/>
      <c r="RZ6" s="40"/>
      <c r="SA6" s="40"/>
      <c r="SB6" s="40"/>
      <c r="SC6" s="40"/>
      <c r="SD6" s="40"/>
      <c r="SE6" s="40"/>
      <c r="SF6" s="40"/>
      <c r="SG6" s="40"/>
      <c r="SH6" s="40"/>
      <c r="SI6" s="40"/>
      <c r="SJ6" s="40"/>
      <c r="SK6" s="40"/>
      <c r="SL6" s="40"/>
      <c r="SM6" s="40"/>
      <c r="SN6" s="40"/>
      <c r="SO6" s="40"/>
      <c r="SP6" s="40"/>
      <c r="SQ6" s="40"/>
      <c r="SR6" s="40"/>
      <c r="SS6" s="40"/>
      <c r="ST6" s="40"/>
      <c r="SU6" s="40"/>
      <c r="SV6" s="40"/>
      <c r="SW6" s="40"/>
      <c r="SX6" s="40"/>
      <c r="SY6" s="40"/>
      <c r="SZ6" s="40"/>
      <c r="TA6" s="40"/>
      <c r="TB6" s="40"/>
      <c r="TC6" s="40"/>
      <c r="TD6" s="40"/>
      <c r="TE6" s="40"/>
      <c r="TF6" s="40"/>
      <c r="TG6" s="40"/>
      <c r="TH6" s="40"/>
      <c r="TI6" s="40"/>
      <c r="TJ6" s="40"/>
      <c r="TK6" s="40"/>
      <c r="TL6" s="40"/>
      <c r="TM6" s="40"/>
      <c r="TN6" s="40"/>
      <c r="TO6" s="40"/>
      <c r="TP6" s="40"/>
      <c r="TQ6" s="40"/>
      <c r="TR6" s="40"/>
      <c r="TS6" s="40"/>
      <c r="TT6" s="40"/>
      <c r="TU6" s="40"/>
      <c r="TV6" s="40"/>
      <c r="TW6" s="40"/>
      <c r="TX6" s="40"/>
      <c r="TY6" s="40"/>
      <c r="TZ6" s="40"/>
      <c r="UA6" s="40"/>
      <c r="UB6" s="40"/>
      <c r="UC6" s="40"/>
      <c r="UD6" s="40"/>
      <c r="UE6" s="40"/>
      <c r="UF6" s="40"/>
      <c r="UG6" s="40"/>
      <c r="UH6" s="40"/>
      <c r="UI6" s="40"/>
      <c r="UJ6" s="40"/>
      <c r="UK6" s="40"/>
      <c r="UL6" s="40"/>
      <c r="UM6" s="40"/>
      <c r="UN6" s="40"/>
      <c r="UO6" s="40"/>
      <c r="UP6" s="40"/>
      <c r="UQ6" s="40"/>
      <c r="UR6" s="40"/>
      <c r="US6" s="40"/>
      <c r="UT6" s="40"/>
      <c r="UU6" s="40"/>
      <c r="UV6" s="40"/>
      <c r="UW6" s="40"/>
      <c r="UX6" s="40"/>
      <c r="UY6" s="40"/>
      <c r="UZ6" s="40"/>
      <c r="VA6" s="40"/>
      <c r="VB6" s="40"/>
      <c r="VC6" s="40"/>
      <c r="VD6" s="40"/>
      <c r="VE6" s="40"/>
      <c r="VF6" s="40"/>
      <c r="VG6" s="40"/>
      <c r="VH6" s="40"/>
      <c r="VI6" s="40"/>
      <c r="VJ6" s="40"/>
      <c r="VK6" s="40"/>
      <c r="VL6" s="40"/>
      <c r="VM6" s="40"/>
      <c r="VN6" s="40"/>
      <c r="VO6" s="40"/>
      <c r="VP6" s="40"/>
      <c r="VQ6" s="40"/>
      <c r="VR6" s="40"/>
      <c r="VS6" s="40"/>
      <c r="VT6" s="40"/>
      <c r="VU6" s="40"/>
      <c r="VV6" s="40"/>
      <c r="VW6" s="40"/>
      <c r="VX6" s="40"/>
      <c r="VY6" s="40"/>
      <c r="VZ6" s="40"/>
      <c r="WA6" s="40"/>
      <c r="WB6" s="40"/>
      <c r="WC6" s="40"/>
      <c r="WD6" s="40"/>
      <c r="WE6" s="40"/>
      <c r="WF6" s="40"/>
      <c r="WG6" s="40"/>
      <c r="WH6" s="40"/>
      <c r="WI6" s="40"/>
      <c r="WJ6" s="40"/>
      <c r="WK6" s="40"/>
      <c r="WL6" s="40"/>
      <c r="WM6" s="40"/>
      <c r="WN6" s="40"/>
      <c r="WO6" s="40"/>
      <c r="WP6" s="40"/>
      <c r="WQ6" s="40"/>
      <c r="WR6" s="40"/>
      <c r="WS6" s="40"/>
      <c r="WT6" s="40"/>
      <c r="WU6" s="40"/>
      <c r="WV6" s="40"/>
      <c r="WW6" s="40"/>
      <c r="WX6" s="40"/>
      <c r="WY6" s="40"/>
      <c r="WZ6" s="40"/>
      <c r="XA6" s="40"/>
      <c r="XB6" s="40"/>
      <c r="XC6" s="40"/>
      <c r="XD6" s="40"/>
      <c r="XE6" s="40"/>
      <c r="XF6" s="40"/>
      <c r="XG6" s="40"/>
      <c r="XH6" s="40"/>
      <c r="XI6" s="40"/>
      <c r="XJ6" s="40"/>
      <c r="XK6" s="40"/>
      <c r="XL6" s="40"/>
      <c r="XM6" s="40"/>
      <c r="XN6" s="40"/>
      <c r="XO6" s="40"/>
      <c r="XP6" s="40"/>
      <c r="XQ6" s="40"/>
      <c r="XR6" s="40"/>
      <c r="XS6" s="40"/>
      <c r="XT6" s="40"/>
      <c r="XU6" s="40"/>
      <c r="XV6" s="40"/>
      <c r="XW6" s="40"/>
      <c r="XX6" s="40"/>
      <c r="XY6" s="40"/>
      <c r="XZ6" s="40"/>
      <c r="YA6" s="40"/>
      <c r="YB6" s="40"/>
      <c r="YC6" s="40"/>
      <c r="YD6" s="40"/>
      <c r="YE6" s="40"/>
      <c r="YF6" s="40"/>
      <c r="YG6" s="40"/>
      <c r="YH6" s="40"/>
      <c r="YI6" s="40"/>
      <c r="YJ6" s="40"/>
      <c r="YK6" s="40"/>
      <c r="YL6" s="40"/>
      <c r="YM6" s="40"/>
      <c r="YN6" s="40"/>
      <c r="YO6" s="40"/>
      <c r="YP6" s="40"/>
      <c r="YQ6" s="40"/>
      <c r="YR6" s="40"/>
      <c r="YS6" s="40"/>
      <c r="YT6" s="40"/>
      <c r="YU6" s="40"/>
      <c r="YV6" s="40"/>
      <c r="YW6" s="40"/>
      <c r="YX6" s="40"/>
      <c r="YY6" s="40"/>
      <c r="YZ6" s="40"/>
      <c r="ZA6" s="40"/>
      <c r="ZB6" s="40"/>
      <c r="ZC6" s="40"/>
      <c r="ZD6" s="40"/>
      <c r="ZE6" s="40"/>
      <c r="ZF6" s="40"/>
      <c r="ZG6" s="40"/>
      <c r="ZH6" s="40"/>
      <c r="ZI6" s="40"/>
      <c r="ZJ6" s="40"/>
      <c r="ZK6" s="40"/>
      <c r="ZL6" s="40"/>
      <c r="ZM6" s="40"/>
      <c r="ZN6" s="40"/>
      <c r="ZO6" s="40"/>
      <c r="ZP6" s="40"/>
      <c r="ZQ6" s="40"/>
      <c r="ZR6" s="40"/>
      <c r="ZS6" s="40"/>
      <c r="ZT6" s="40"/>
      <c r="ZU6" s="40"/>
      <c r="ZV6" s="40"/>
      <c r="ZW6" s="40"/>
      <c r="ZX6" s="40"/>
      <c r="ZY6" s="40"/>
      <c r="ZZ6" s="40"/>
      <c r="AAA6" s="40"/>
      <c r="AAB6" s="40"/>
      <c r="AAC6" s="40"/>
      <c r="AAD6" s="40"/>
      <c r="AAE6" s="40"/>
      <c r="AAF6" s="40"/>
      <c r="AAG6" s="40"/>
      <c r="AAH6" s="40"/>
      <c r="AAI6" s="40"/>
      <c r="AAJ6" s="40"/>
      <c r="AAK6" s="40"/>
      <c r="AAL6" s="40"/>
      <c r="AAM6" s="40"/>
      <c r="AAN6" s="40"/>
      <c r="AAO6" s="40"/>
      <c r="AAP6" s="40"/>
      <c r="AAQ6" s="40"/>
      <c r="AAR6" s="40"/>
      <c r="AAS6" s="40"/>
      <c r="AAT6" s="40"/>
      <c r="AAU6" s="40"/>
      <c r="AAV6" s="40"/>
      <c r="AAW6" s="40"/>
      <c r="AAX6" s="40"/>
      <c r="AAY6" s="40"/>
      <c r="AAZ6" s="40"/>
      <c r="ABA6" s="40"/>
      <c r="ABB6" s="40"/>
      <c r="ABC6" s="40"/>
      <c r="ABD6" s="40"/>
      <c r="ABE6" s="40"/>
      <c r="ABF6" s="40"/>
      <c r="ABG6" s="40"/>
      <c r="ABH6" s="40"/>
      <c r="ABI6" s="40"/>
      <c r="ABJ6" s="40"/>
      <c r="ABK6" s="40"/>
      <c r="ABL6" s="40"/>
      <c r="ABM6" s="40"/>
      <c r="ABN6" s="40"/>
      <c r="ABO6" s="40"/>
      <c r="ABP6" s="40"/>
      <c r="ABQ6" s="40"/>
      <c r="ABR6" s="40"/>
      <c r="ABS6" s="40"/>
      <c r="ABT6" s="40"/>
      <c r="ABU6" s="40"/>
      <c r="ABV6" s="40"/>
      <c r="ABW6" s="40"/>
      <c r="ABX6" s="40"/>
      <c r="ABY6" s="40"/>
      <c r="ABZ6" s="40"/>
      <c r="ACA6" s="40"/>
      <c r="ACB6" s="40"/>
      <c r="ACC6" s="40"/>
      <c r="ACD6" s="40"/>
      <c r="ACE6" s="40"/>
      <c r="ACF6" s="40"/>
      <c r="ACG6" s="40"/>
      <c r="ACH6" s="40"/>
      <c r="ACI6" s="40"/>
      <c r="ACJ6" s="40"/>
      <c r="ACK6" s="40"/>
      <c r="ACL6" s="40"/>
      <c r="ACM6" s="40"/>
      <c r="ACN6" s="40"/>
      <c r="ACO6" s="40"/>
      <c r="ACP6" s="40"/>
      <c r="ACQ6" s="40"/>
      <c r="ACR6" s="40"/>
      <c r="ACS6" s="40"/>
      <c r="ACT6" s="40"/>
      <c r="ACU6" s="40"/>
      <c r="ACV6" s="40"/>
      <c r="ACW6" s="40"/>
      <c r="ACX6" s="40"/>
      <c r="ACY6" s="40"/>
      <c r="ACZ6" s="40"/>
      <c r="ADA6" s="40"/>
      <c r="ADB6" s="40"/>
      <c r="ADC6" s="40"/>
      <c r="ADD6" s="40"/>
      <c r="ADE6" s="40"/>
      <c r="ADF6" s="40"/>
      <c r="ADG6" s="40"/>
      <c r="ADH6" s="40"/>
      <c r="ADI6" s="40"/>
      <c r="ADJ6" s="40"/>
      <c r="ADK6" s="40"/>
      <c r="ADL6" s="40"/>
      <c r="ADM6" s="40"/>
      <c r="ADN6" s="40"/>
      <c r="ADO6" s="40"/>
      <c r="ADP6" s="40"/>
      <c r="ADQ6" s="40"/>
      <c r="ADR6" s="40"/>
      <c r="ADS6" s="40"/>
      <c r="ADT6" s="40"/>
      <c r="ADU6" s="40"/>
      <c r="ADV6" s="40"/>
      <c r="ADW6" s="40"/>
      <c r="ADX6" s="40"/>
      <c r="ADY6" s="40"/>
      <c r="ADZ6" s="40"/>
      <c r="AEA6" s="40"/>
      <c r="AEB6" s="40"/>
      <c r="AEC6" s="40"/>
      <c r="AED6" s="40"/>
      <c r="AEE6" s="40"/>
      <c r="AEF6" s="40"/>
      <c r="AEG6" s="40"/>
      <c r="AEH6" s="40"/>
      <c r="AEI6" s="40"/>
      <c r="AEJ6" s="40"/>
      <c r="AEK6" s="40"/>
      <c r="AEL6" s="40"/>
      <c r="AEM6" s="40"/>
      <c r="AEN6" s="40"/>
      <c r="AEO6" s="40"/>
      <c r="AEP6" s="40"/>
      <c r="AEQ6" s="40"/>
      <c r="AER6" s="40"/>
      <c r="AES6" s="40"/>
      <c r="AET6" s="40"/>
      <c r="AEU6" s="40"/>
      <c r="AEV6" s="40"/>
      <c r="AEW6" s="40"/>
      <c r="AEX6" s="40"/>
      <c r="AEY6" s="40"/>
      <c r="AEZ6" s="40"/>
      <c r="AFA6" s="40"/>
      <c r="AFB6" s="40"/>
      <c r="AFC6" s="40"/>
      <c r="AFD6" s="40"/>
      <c r="AFE6" s="40"/>
      <c r="AFF6" s="40"/>
      <c r="AFG6" s="40"/>
      <c r="AFH6" s="40"/>
      <c r="AFI6" s="40"/>
      <c r="AFJ6" s="40"/>
      <c r="AFK6" s="40"/>
      <c r="AFL6" s="40"/>
      <c r="AFM6" s="40"/>
      <c r="AFN6" s="40"/>
      <c r="AFO6" s="40"/>
      <c r="AFP6" s="40"/>
      <c r="AFQ6" s="40"/>
      <c r="AFR6" s="40"/>
      <c r="AFS6" s="40"/>
      <c r="AFT6" s="40"/>
      <c r="AFU6" s="40"/>
      <c r="AFV6" s="40"/>
      <c r="AFW6" s="40"/>
      <c r="AFX6" s="40"/>
      <c r="AFY6" s="40"/>
      <c r="AFZ6" s="40"/>
      <c r="AGA6" s="40"/>
      <c r="AGB6" s="40"/>
      <c r="AGC6" s="40"/>
      <c r="AGD6" s="40"/>
      <c r="AGE6" s="40"/>
      <c r="AGF6" s="40"/>
      <c r="AGG6" s="40"/>
      <c r="AGH6" s="40"/>
      <c r="AGI6" s="40"/>
      <c r="AGJ6" s="40"/>
      <c r="AGK6" s="40"/>
      <c r="AGL6" s="40"/>
      <c r="AGM6" s="40"/>
      <c r="AGN6" s="40"/>
      <c r="AGO6" s="40"/>
      <c r="AGP6" s="40"/>
      <c r="AGQ6" s="40"/>
      <c r="AGR6" s="40"/>
      <c r="AGS6" s="40"/>
      <c r="AGT6" s="40"/>
      <c r="AGU6" s="40"/>
      <c r="AGV6" s="40"/>
      <c r="AGW6" s="40"/>
      <c r="AGX6" s="40"/>
      <c r="AGY6" s="40"/>
      <c r="AGZ6" s="40"/>
      <c r="AHA6" s="40"/>
      <c r="AHB6" s="40"/>
      <c r="AHC6" s="40"/>
      <c r="AHD6" s="40"/>
      <c r="AHE6" s="40"/>
      <c r="AHF6" s="40"/>
      <c r="AHG6" s="40"/>
      <c r="AHH6" s="40"/>
      <c r="AHI6" s="40"/>
      <c r="AHJ6" s="40"/>
      <c r="AHK6" s="40"/>
      <c r="AHL6" s="40"/>
      <c r="AHM6" s="40"/>
      <c r="AHN6" s="40"/>
      <c r="AHO6" s="40"/>
      <c r="AHP6" s="40"/>
      <c r="AHQ6" s="40"/>
      <c r="AHR6" s="40"/>
      <c r="AHS6" s="40"/>
      <c r="AHT6" s="40"/>
      <c r="AHU6" s="40"/>
      <c r="AHV6" s="40"/>
      <c r="AHW6" s="40"/>
      <c r="AHX6" s="40"/>
      <c r="AHY6" s="40"/>
      <c r="AHZ6" s="40"/>
      <c r="AIA6" s="40"/>
      <c r="AIB6" s="40"/>
      <c r="AIC6" s="40"/>
      <c r="AID6" s="40"/>
      <c r="AIE6" s="40"/>
      <c r="AIF6" s="40"/>
      <c r="AIG6" s="40"/>
      <c r="AIH6" s="40"/>
      <c r="AII6" s="40"/>
      <c r="AIJ6" s="40"/>
      <c r="AIK6" s="40"/>
      <c r="AIL6" s="40"/>
      <c r="AIM6" s="40"/>
      <c r="AIN6" s="40"/>
      <c r="AIO6" s="40"/>
      <c r="AIP6" s="40"/>
      <c r="AIQ6" s="40"/>
      <c r="AIR6" s="40"/>
      <c r="AIS6" s="40"/>
      <c r="AIT6" s="40"/>
      <c r="AIU6" s="40"/>
      <c r="AIV6" s="40"/>
      <c r="AIW6" s="40"/>
      <c r="AIX6" s="40"/>
      <c r="AIY6" s="40"/>
      <c r="AIZ6" s="40"/>
      <c r="AJA6" s="40"/>
      <c r="AJB6" s="40"/>
      <c r="AJC6" s="40"/>
      <c r="AJD6" s="40"/>
      <c r="AJE6" s="40"/>
      <c r="AJF6" s="40"/>
      <c r="AJG6" s="40"/>
      <c r="AJH6" s="40"/>
      <c r="AJI6" s="40"/>
      <c r="AJJ6" s="40"/>
      <c r="AJK6" s="40"/>
      <c r="AJL6" s="40"/>
      <c r="AJM6" s="40"/>
      <c r="AJN6" s="40"/>
      <c r="AJO6" s="40"/>
      <c r="AJP6" s="40"/>
      <c r="AJQ6" s="40"/>
      <c r="AJR6" s="40"/>
      <c r="AJS6" s="40"/>
      <c r="AJT6" s="40"/>
      <c r="AJU6" s="40"/>
      <c r="AJV6" s="40"/>
      <c r="AJW6" s="40"/>
      <c r="AJX6" s="40"/>
      <c r="AJY6" s="40"/>
      <c r="AJZ6" s="40"/>
      <c r="AKA6" s="40"/>
      <c r="AKB6" s="40"/>
      <c r="AKC6" s="40"/>
      <c r="AKD6" s="40"/>
      <c r="AKE6" s="40"/>
      <c r="AKF6" s="40"/>
      <c r="AKG6" s="40"/>
      <c r="AKH6" s="40"/>
      <c r="AKI6" s="40"/>
      <c r="AKJ6" s="40"/>
      <c r="AKK6" s="40"/>
      <c r="AKL6" s="40"/>
      <c r="AKM6" s="40"/>
      <c r="AKN6" s="40"/>
      <c r="AKO6" s="40"/>
      <c r="AKP6" s="40"/>
      <c r="AKQ6" s="40"/>
      <c r="AKR6" s="40"/>
      <c r="AKS6" s="40"/>
      <c r="AKT6" s="40"/>
      <c r="AKU6" s="40"/>
      <c r="AKV6" s="40"/>
      <c r="AKW6" s="40"/>
      <c r="AKX6" s="40"/>
      <c r="AKY6" s="40"/>
      <c r="AKZ6" s="40"/>
      <c r="ALA6" s="40"/>
      <c r="ALB6" s="40"/>
      <c r="ALC6" s="40"/>
      <c r="ALD6" s="40"/>
      <c r="ALE6" s="40"/>
      <c r="ALF6" s="40"/>
      <c r="ALG6" s="40"/>
      <c r="ALH6" s="40"/>
      <c r="ALI6" s="40"/>
      <c r="ALJ6" s="40"/>
      <c r="ALK6" s="40"/>
      <c r="ALL6" s="40"/>
      <c r="ALM6" s="40"/>
      <c r="ALN6" s="40"/>
      <c r="ALO6" s="40"/>
      <c r="ALP6" s="40"/>
      <c r="ALQ6" s="40"/>
      <c r="ALR6" s="40"/>
      <c r="ALS6" s="40"/>
      <c r="ALT6" s="40"/>
      <c r="ALU6" s="40"/>
      <c r="ALV6" s="40"/>
      <c r="ALW6" s="40"/>
      <c r="ALX6" s="40"/>
      <c r="ALY6" s="40"/>
      <c r="ALZ6" s="40"/>
      <c r="AMA6" s="40"/>
      <c r="AMB6" s="40"/>
      <c r="AMC6" s="40"/>
      <c r="AMD6" s="40"/>
      <c r="AME6" s="40"/>
      <c r="AMF6" s="40"/>
      <c r="AMG6" s="40"/>
      <c r="AMH6" s="40"/>
      <c r="AMI6" s="40"/>
      <c r="AMJ6" s="40"/>
      <c r="AMK6" s="40"/>
      <c r="AML6" s="40"/>
    </row>
    <row r="7" ht="15.75" customHeight="1">
      <c r="A7" s="38" t="s">
        <v>20</v>
      </c>
      <c r="B7" s="38" t="s">
        <v>20</v>
      </c>
      <c r="C7" s="35" t="s">
        <v>18</v>
      </c>
      <c r="D7" s="35" t="s">
        <v>28</v>
      </c>
      <c r="E7" s="35" t="s">
        <v>28</v>
      </c>
      <c r="F7" s="35" t="s">
        <v>23</v>
      </c>
      <c r="G7" s="37">
        <v>1.0</v>
      </c>
      <c r="H7" s="37">
        <v>1.0</v>
      </c>
      <c r="I7" s="37">
        <v>1.0</v>
      </c>
      <c r="J7" s="38"/>
      <c r="K7" s="37">
        <v>0.0</v>
      </c>
      <c r="L7" s="37">
        <v>0.0</v>
      </c>
      <c r="M7" s="37">
        <v>0.0</v>
      </c>
      <c r="N7" s="38"/>
      <c r="O7" s="37">
        <v>0.0</v>
      </c>
      <c r="P7" s="39">
        <v>0.0</v>
      </c>
      <c r="Q7" s="39">
        <v>0.0</v>
      </c>
      <c r="R7" s="39">
        <v>0.0</v>
      </c>
      <c r="S7" s="39">
        <v>0.0</v>
      </c>
      <c r="T7" s="38" t="s">
        <v>28</v>
      </c>
      <c r="U7" s="38"/>
      <c r="V7" s="38"/>
      <c r="W7" s="38"/>
      <c r="X7" s="38"/>
      <c r="Y7" s="38"/>
      <c r="Z7" s="38"/>
      <c r="AA7" s="38"/>
      <c r="AB7" s="38" t="s">
        <v>20</v>
      </c>
      <c r="AC7" s="38" t="s">
        <v>20</v>
      </c>
      <c r="AD7" s="38" t="s">
        <v>20</v>
      </c>
      <c r="AE7" s="38" t="s">
        <v>20</v>
      </c>
      <c r="AF7" s="38" t="s">
        <v>20</v>
      </c>
      <c r="AG7" s="38" t="s">
        <v>20</v>
      </c>
      <c r="AH7" s="38" t="s">
        <v>20</v>
      </c>
      <c r="AI7" s="38" t="s">
        <v>20</v>
      </c>
      <c r="AJ7" s="38" t="s">
        <v>20</v>
      </c>
      <c r="AK7" s="38" t="s">
        <v>20</v>
      </c>
      <c r="AL7" s="38" t="s">
        <v>20</v>
      </c>
      <c r="AM7" s="38" t="s">
        <v>20</v>
      </c>
      <c r="AN7" s="38" t="s">
        <v>20</v>
      </c>
      <c r="AO7" s="38" t="s">
        <v>20</v>
      </c>
      <c r="AP7" s="38" t="s">
        <v>20</v>
      </c>
      <c r="AQ7" s="38" t="s">
        <v>20</v>
      </c>
      <c r="AR7" s="38" t="s">
        <v>20</v>
      </c>
      <c r="AS7" s="38" t="s">
        <v>20</v>
      </c>
      <c r="AT7" s="38" t="s">
        <v>20</v>
      </c>
      <c r="AU7" s="38" t="s">
        <v>20</v>
      </c>
      <c r="AV7" s="38" t="s">
        <v>20</v>
      </c>
      <c r="AW7" s="38" t="s">
        <v>20</v>
      </c>
      <c r="AX7" s="38" t="s">
        <v>20</v>
      </c>
      <c r="AY7" s="38" t="s">
        <v>20</v>
      </c>
      <c r="AZ7" s="38" t="s">
        <v>20</v>
      </c>
      <c r="BA7" s="38" t="s">
        <v>20</v>
      </c>
      <c r="BB7" s="38" t="s">
        <v>20</v>
      </c>
      <c r="BC7" s="38" t="s">
        <v>20</v>
      </c>
      <c r="BD7" s="38" t="s">
        <v>20</v>
      </c>
      <c r="BE7" s="38" t="s">
        <v>20</v>
      </c>
      <c r="BF7" s="38" t="s">
        <v>20</v>
      </c>
      <c r="BG7" s="38" t="s">
        <v>20</v>
      </c>
      <c r="BH7" s="38" t="s">
        <v>20</v>
      </c>
      <c r="BI7" s="38" t="s">
        <v>20</v>
      </c>
      <c r="BJ7" s="38" t="s">
        <v>20</v>
      </c>
      <c r="BK7" s="38" t="s">
        <v>20</v>
      </c>
      <c r="BL7" s="38" t="s">
        <v>20</v>
      </c>
      <c r="BM7" s="38" t="s">
        <v>20</v>
      </c>
      <c r="BN7" s="38" t="s">
        <v>20</v>
      </c>
      <c r="BO7" s="38" t="s">
        <v>20</v>
      </c>
      <c r="BP7" s="38" t="s">
        <v>20</v>
      </c>
      <c r="BQ7" s="38" t="s">
        <v>20</v>
      </c>
      <c r="BR7" s="38" t="s">
        <v>20</v>
      </c>
      <c r="BS7" s="38" t="s">
        <v>20</v>
      </c>
      <c r="BT7" s="38" t="s">
        <v>20</v>
      </c>
      <c r="BU7" s="38" t="s">
        <v>20</v>
      </c>
      <c r="BV7" s="38" t="s">
        <v>20</v>
      </c>
      <c r="BW7" s="38" t="s">
        <v>20</v>
      </c>
      <c r="BX7" s="38" t="s">
        <v>20</v>
      </c>
      <c r="BY7" s="38" t="s">
        <v>20</v>
      </c>
      <c r="BZ7" s="38" t="s">
        <v>20</v>
      </c>
      <c r="CA7" s="38" t="s">
        <v>20</v>
      </c>
      <c r="CB7" s="38" t="s">
        <v>20</v>
      </c>
      <c r="CC7" s="38" t="s">
        <v>20</v>
      </c>
      <c r="CD7" s="38" t="s">
        <v>20</v>
      </c>
      <c r="CE7" s="38" t="s">
        <v>20</v>
      </c>
      <c r="CF7" s="38" t="s">
        <v>20</v>
      </c>
      <c r="CG7" s="38" t="s">
        <v>20</v>
      </c>
      <c r="CH7" s="38" t="s">
        <v>20</v>
      </c>
      <c r="CI7" s="38" t="s">
        <v>20</v>
      </c>
      <c r="CJ7" s="38" t="s">
        <v>20</v>
      </c>
      <c r="CK7" s="38" t="s">
        <v>20</v>
      </c>
      <c r="CL7" s="38" t="s">
        <v>20</v>
      </c>
      <c r="CM7" s="38" t="s">
        <v>20</v>
      </c>
      <c r="CN7" s="38" t="s">
        <v>20</v>
      </c>
      <c r="CO7" s="38" t="s">
        <v>20</v>
      </c>
      <c r="CP7" s="38" t="s">
        <v>20</v>
      </c>
      <c r="CQ7" s="38" t="s">
        <v>20</v>
      </c>
      <c r="CR7" s="38" t="s">
        <v>20</v>
      </c>
      <c r="CS7" s="38" t="s">
        <v>20</v>
      </c>
      <c r="CT7" s="38" t="s">
        <v>20</v>
      </c>
      <c r="CU7" s="38" t="s">
        <v>20</v>
      </c>
      <c r="CV7" s="38" t="s">
        <v>20</v>
      </c>
      <c r="CW7" s="38" t="s">
        <v>20</v>
      </c>
      <c r="CX7" s="38" t="s">
        <v>20</v>
      </c>
      <c r="CY7" s="38" t="s">
        <v>20</v>
      </c>
      <c r="CZ7" s="38" t="s">
        <v>20</v>
      </c>
      <c r="DA7" s="38" t="s">
        <v>20</v>
      </c>
      <c r="DB7" s="38" t="s">
        <v>20</v>
      </c>
      <c r="DC7" s="38" t="s">
        <v>20</v>
      </c>
      <c r="DD7" s="38" t="s">
        <v>20</v>
      </c>
      <c r="DE7" s="38" t="s">
        <v>20</v>
      </c>
      <c r="DF7" s="38" t="s">
        <v>20</v>
      </c>
      <c r="DG7" s="38" t="s">
        <v>20</v>
      </c>
      <c r="DH7" s="38" t="s">
        <v>20</v>
      </c>
      <c r="DI7" s="38" t="s">
        <v>20</v>
      </c>
      <c r="DJ7" s="38" t="s">
        <v>20</v>
      </c>
      <c r="DK7" s="38" t="s">
        <v>20</v>
      </c>
      <c r="DL7" s="38" t="s">
        <v>20</v>
      </c>
      <c r="DM7" s="38" t="s">
        <v>20</v>
      </c>
      <c r="DN7" s="38" t="s">
        <v>20</v>
      </c>
      <c r="DO7" s="38" t="s">
        <v>20</v>
      </c>
      <c r="DP7" s="38" t="s">
        <v>20</v>
      </c>
      <c r="DQ7" s="38" t="s">
        <v>20</v>
      </c>
      <c r="DR7" s="38" t="s">
        <v>20</v>
      </c>
      <c r="DS7" s="38" t="s">
        <v>20</v>
      </c>
      <c r="DT7" s="38" t="s">
        <v>20</v>
      </c>
      <c r="DU7" s="38" t="s">
        <v>20</v>
      </c>
      <c r="DV7" s="38" t="s">
        <v>20</v>
      </c>
      <c r="DW7" s="38" t="s">
        <v>20</v>
      </c>
      <c r="DX7" s="38" t="s">
        <v>20</v>
      </c>
      <c r="DY7" s="38" t="s">
        <v>20</v>
      </c>
      <c r="DZ7" s="38" t="s">
        <v>20</v>
      </c>
      <c r="EA7" s="38" t="s">
        <v>20</v>
      </c>
      <c r="EB7" s="38" t="s">
        <v>20</v>
      </c>
      <c r="EC7" s="38" t="s">
        <v>20</v>
      </c>
      <c r="ED7" s="38" t="s">
        <v>20</v>
      </c>
      <c r="EE7" s="38" t="s">
        <v>20</v>
      </c>
      <c r="EF7" s="38" t="s">
        <v>20</v>
      </c>
      <c r="EG7" s="38" t="s">
        <v>20</v>
      </c>
      <c r="EH7" s="38" t="s">
        <v>20</v>
      </c>
      <c r="EI7" s="38" t="s">
        <v>20</v>
      </c>
      <c r="EJ7" s="38" t="s">
        <v>20</v>
      </c>
      <c r="EK7" s="38" t="s">
        <v>20</v>
      </c>
      <c r="EL7" s="38" t="s">
        <v>20</v>
      </c>
      <c r="EM7" s="38" t="s">
        <v>20</v>
      </c>
      <c r="EN7" s="38" t="s">
        <v>20</v>
      </c>
      <c r="EO7" s="38" t="s">
        <v>20</v>
      </c>
      <c r="EP7" s="38" t="s">
        <v>20</v>
      </c>
      <c r="EQ7" s="38" t="s">
        <v>20</v>
      </c>
      <c r="ER7" s="38" t="s">
        <v>20</v>
      </c>
      <c r="ES7" s="38" t="s">
        <v>20</v>
      </c>
      <c r="ET7" s="38" t="s">
        <v>20</v>
      </c>
      <c r="EU7" s="38" t="s">
        <v>20</v>
      </c>
      <c r="EV7" s="38" t="s">
        <v>20</v>
      </c>
      <c r="EW7" s="38" t="s">
        <v>20</v>
      </c>
      <c r="EX7" s="38" t="s">
        <v>20</v>
      </c>
      <c r="EY7" s="38" t="s">
        <v>20</v>
      </c>
      <c r="EZ7" s="38" t="s">
        <v>20</v>
      </c>
      <c r="FA7" s="38" t="s">
        <v>20</v>
      </c>
      <c r="FB7" s="38" t="s">
        <v>20</v>
      </c>
      <c r="FC7" s="38" t="s">
        <v>20</v>
      </c>
      <c r="FD7" s="38" t="s">
        <v>20</v>
      </c>
      <c r="FE7" s="38" t="s">
        <v>20</v>
      </c>
      <c r="FF7" s="38" t="s">
        <v>20</v>
      </c>
      <c r="FG7" s="38" t="s">
        <v>20</v>
      </c>
      <c r="FH7" s="38" t="s">
        <v>20</v>
      </c>
      <c r="FI7" s="38" t="s">
        <v>20</v>
      </c>
      <c r="FJ7" s="38" t="s">
        <v>20</v>
      </c>
      <c r="FK7" s="38" t="s">
        <v>20</v>
      </c>
      <c r="FL7" s="38" t="s">
        <v>20</v>
      </c>
      <c r="FM7" s="38" t="s">
        <v>20</v>
      </c>
      <c r="FN7" s="38" t="s">
        <v>20</v>
      </c>
      <c r="FO7" s="38" t="s">
        <v>20</v>
      </c>
      <c r="FP7" s="38" t="s">
        <v>20</v>
      </c>
      <c r="FQ7" s="38" t="s">
        <v>20</v>
      </c>
      <c r="FR7" s="40"/>
      <c r="FS7" s="40"/>
      <c r="FT7" s="40"/>
      <c r="FU7" s="40"/>
      <c r="FV7" s="40"/>
      <c r="FW7" s="40"/>
      <c r="FX7" s="40"/>
      <c r="FY7" s="40"/>
      <c r="FZ7" s="40"/>
      <c r="GA7" s="40"/>
      <c r="GB7" s="40"/>
      <c r="GC7" s="40"/>
      <c r="GD7" s="40"/>
      <c r="GE7" s="40"/>
      <c r="GF7" s="40"/>
      <c r="GG7" s="40"/>
      <c r="GH7" s="40"/>
      <c r="GI7" s="40"/>
      <c r="GJ7" s="40"/>
      <c r="GK7" s="40"/>
      <c r="GL7" s="40"/>
      <c r="GM7" s="40"/>
      <c r="GN7" s="40"/>
      <c r="GO7" s="40"/>
      <c r="GP7" s="40"/>
      <c r="GQ7" s="40"/>
      <c r="GR7" s="40"/>
      <c r="GS7" s="40"/>
      <c r="GT7" s="40"/>
      <c r="GU7" s="40"/>
      <c r="GV7" s="40"/>
      <c r="GW7" s="40"/>
      <c r="GX7" s="40"/>
      <c r="GY7" s="40"/>
      <c r="GZ7" s="40"/>
      <c r="HA7" s="40"/>
      <c r="HB7" s="40"/>
      <c r="HC7" s="40"/>
      <c r="HD7" s="40"/>
      <c r="HE7" s="40"/>
      <c r="HF7" s="40"/>
      <c r="HG7" s="40"/>
      <c r="HH7" s="40"/>
      <c r="HI7" s="40"/>
      <c r="HJ7" s="40"/>
      <c r="HK7" s="40"/>
      <c r="HL7" s="40"/>
      <c r="HM7" s="40"/>
      <c r="HN7" s="40"/>
      <c r="HO7" s="40"/>
      <c r="HP7" s="40"/>
      <c r="HQ7" s="40"/>
      <c r="HR7" s="40"/>
      <c r="HS7" s="40"/>
      <c r="HT7" s="40"/>
      <c r="HU7" s="40"/>
      <c r="HV7" s="40"/>
      <c r="HW7" s="40"/>
      <c r="HX7" s="40"/>
      <c r="HY7" s="40"/>
      <c r="HZ7" s="40"/>
      <c r="IA7" s="40"/>
      <c r="IB7" s="40"/>
      <c r="IC7" s="40"/>
      <c r="ID7" s="40"/>
      <c r="IE7" s="40"/>
      <c r="IF7" s="40"/>
      <c r="IG7" s="40"/>
      <c r="IH7" s="40"/>
      <c r="II7" s="40"/>
      <c r="IJ7" s="40"/>
      <c r="IK7" s="40"/>
      <c r="IL7" s="40"/>
      <c r="IM7" s="40"/>
      <c r="IN7" s="40"/>
      <c r="IO7" s="40"/>
      <c r="IP7" s="40"/>
      <c r="IQ7" s="40"/>
      <c r="IR7" s="40"/>
      <c r="IS7" s="40"/>
      <c r="IT7" s="40"/>
      <c r="IU7" s="40"/>
      <c r="IV7" s="40"/>
      <c r="IW7" s="40"/>
      <c r="IX7" s="40"/>
      <c r="IY7" s="40"/>
      <c r="IZ7" s="40"/>
      <c r="JA7" s="40"/>
      <c r="JB7" s="40"/>
      <c r="JC7" s="40"/>
      <c r="JD7" s="40"/>
      <c r="JE7" s="40"/>
      <c r="JF7" s="40"/>
      <c r="JG7" s="40"/>
      <c r="JH7" s="40"/>
      <c r="JI7" s="40"/>
      <c r="JJ7" s="40"/>
      <c r="JK7" s="40"/>
      <c r="JL7" s="40"/>
      <c r="JM7" s="40"/>
      <c r="JN7" s="40"/>
      <c r="JO7" s="40"/>
      <c r="JP7" s="40"/>
      <c r="JQ7" s="40"/>
      <c r="JR7" s="40"/>
      <c r="JS7" s="40"/>
      <c r="JT7" s="40"/>
      <c r="JU7" s="40"/>
      <c r="JV7" s="40"/>
      <c r="JW7" s="40"/>
      <c r="JX7" s="40"/>
      <c r="JY7" s="40"/>
      <c r="JZ7" s="40"/>
      <c r="KA7" s="40"/>
      <c r="KB7" s="40"/>
      <c r="KC7" s="40"/>
      <c r="KD7" s="40"/>
      <c r="KE7" s="40"/>
      <c r="KF7" s="40"/>
      <c r="KG7" s="40"/>
      <c r="KH7" s="40"/>
      <c r="KI7" s="40"/>
      <c r="KJ7" s="40"/>
      <c r="KK7" s="40"/>
      <c r="KL7" s="40"/>
      <c r="KM7" s="40"/>
      <c r="KN7" s="40"/>
      <c r="KO7" s="40"/>
      <c r="KP7" s="40"/>
      <c r="KQ7" s="40"/>
      <c r="KR7" s="40"/>
      <c r="KS7" s="40"/>
      <c r="KT7" s="40"/>
      <c r="KU7" s="40"/>
      <c r="KV7" s="40"/>
      <c r="KW7" s="40"/>
      <c r="KX7" s="40"/>
      <c r="KY7" s="40"/>
      <c r="KZ7" s="40"/>
      <c r="LA7" s="40"/>
      <c r="LB7" s="40"/>
      <c r="LC7" s="40"/>
      <c r="LD7" s="40"/>
      <c r="LE7" s="40"/>
      <c r="LF7" s="40"/>
      <c r="LG7" s="40"/>
      <c r="LH7" s="40"/>
      <c r="LI7" s="40"/>
      <c r="LJ7" s="40"/>
      <c r="LK7" s="40"/>
      <c r="LL7" s="40"/>
      <c r="LM7" s="40"/>
      <c r="LN7" s="40"/>
      <c r="LO7" s="40"/>
      <c r="LP7" s="40"/>
      <c r="LQ7" s="40"/>
      <c r="LR7" s="40"/>
      <c r="LS7" s="40"/>
      <c r="LT7" s="40"/>
      <c r="LU7" s="40"/>
      <c r="LV7" s="40"/>
      <c r="LW7" s="40"/>
      <c r="LX7" s="40"/>
      <c r="LY7" s="40"/>
      <c r="LZ7" s="40"/>
      <c r="MA7" s="40"/>
      <c r="MB7" s="40"/>
      <c r="MC7" s="40"/>
      <c r="MD7" s="40"/>
      <c r="ME7" s="40"/>
      <c r="MF7" s="40"/>
      <c r="MG7" s="40"/>
      <c r="MH7" s="40"/>
      <c r="MI7" s="40"/>
      <c r="MJ7" s="40"/>
      <c r="MK7" s="40"/>
      <c r="ML7" s="40"/>
      <c r="MM7" s="40"/>
      <c r="MN7" s="40"/>
      <c r="MO7" s="40"/>
      <c r="MP7" s="40"/>
      <c r="MQ7" s="40"/>
      <c r="MR7" s="40"/>
      <c r="MS7" s="40"/>
      <c r="MT7" s="40"/>
      <c r="MU7" s="40"/>
      <c r="MV7" s="40"/>
      <c r="MW7" s="40"/>
      <c r="MX7" s="40"/>
      <c r="MY7" s="40"/>
      <c r="MZ7" s="40"/>
      <c r="NA7" s="40"/>
      <c r="NB7" s="40"/>
      <c r="NC7" s="40"/>
      <c r="ND7" s="40"/>
      <c r="NE7" s="40"/>
      <c r="NF7" s="40"/>
      <c r="NG7" s="40"/>
      <c r="NH7" s="40"/>
      <c r="NI7" s="40"/>
      <c r="NJ7" s="40"/>
      <c r="NK7" s="40"/>
      <c r="NL7" s="40"/>
      <c r="NM7" s="40"/>
      <c r="NN7" s="40"/>
      <c r="NO7" s="40"/>
      <c r="NP7" s="40"/>
      <c r="NQ7" s="40"/>
      <c r="NR7" s="40"/>
      <c r="NS7" s="40"/>
      <c r="NT7" s="40"/>
      <c r="NU7" s="40"/>
      <c r="NV7" s="40"/>
      <c r="NW7" s="40"/>
      <c r="NX7" s="40"/>
      <c r="NY7" s="40"/>
      <c r="NZ7" s="40"/>
      <c r="OA7" s="40"/>
      <c r="OB7" s="40"/>
      <c r="OC7" s="40"/>
      <c r="OD7" s="40"/>
      <c r="OE7" s="40"/>
      <c r="OF7" s="40"/>
      <c r="OG7" s="40"/>
      <c r="OH7" s="40"/>
      <c r="OI7" s="40"/>
      <c r="OJ7" s="40"/>
      <c r="OK7" s="40"/>
      <c r="OL7" s="40"/>
      <c r="OM7" s="40"/>
      <c r="ON7" s="40"/>
      <c r="OO7" s="40"/>
      <c r="OP7" s="40"/>
      <c r="OQ7" s="40"/>
      <c r="OR7" s="40"/>
      <c r="OS7" s="40"/>
      <c r="OT7" s="40"/>
      <c r="OU7" s="40"/>
      <c r="OV7" s="40"/>
      <c r="OW7" s="40"/>
      <c r="OX7" s="40"/>
      <c r="OY7" s="40"/>
      <c r="OZ7" s="40"/>
      <c r="PA7" s="40"/>
      <c r="PB7" s="40"/>
      <c r="PC7" s="40"/>
      <c r="PD7" s="40"/>
      <c r="PE7" s="40"/>
      <c r="PF7" s="40"/>
      <c r="PG7" s="40"/>
      <c r="PH7" s="40"/>
      <c r="PI7" s="40"/>
      <c r="PJ7" s="40"/>
      <c r="PK7" s="40"/>
      <c r="PL7" s="40"/>
      <c r="PM7" s="40"/>
      <c r="PN7" s="40"/>
      <c r="PO7" s="40"/>
      <c r="PP7" s="40"/>
      <c r="PQ7" s="40"/>
      <c r="PR7" s="40"/>
      <c r="PS7" s="40"/>
      <c r="PT7" s="40"/>
      <c r="PU7" s="40"/>
      <c r="PV7" s="40"/>
      <c r="PW7" s="40"/>
      <c r="PX7" s="40"/>
      <c r="PY7" s="40"/>
      <c r="PZ7" s="40"/>
      <c r="QA7" s="40"/>
      <c r="QB7" s="40"/>
      <c r="QC7" s="40"/>
      <c r="QD7" s="40"/>
      <c r="QE7" s="40"/>
      <c r="QF7" s="40"/>
      <c r="QG7" s="40"/>
      <c r="QH7" s="40"/>
      <c r="QI7" s="40"/>
      <c r="QJ7" s="40"/>
      <c r="QK7" s="40"/>
      <c r="QL7" s="40"/>
      <c r="QM7" s="40"/>
      <c r="QN7" s="40"/>
      <c r="QO7" s="40"/>
      <c r="QP7" s="40"/>
      <c r="QQ7" s="40"/>
      <c r="QR7" s="40"/>
      <c r="QS7" s="40"/>
      <c r="QT7" s="40"/>
      <c r="QU7" s="40"/>
      <c r="QV7" s="40"/>
      <c r="QW7" s="40"/>
      <c r="QX7" s="40"/>
      <c r="QY7" s="40"/>
      <c r="QZ7" s="40"/>
      <c r="RA7" s="40"/>
      <c r="RB7" s="40"/>
      <c r="RC7" s="40"/>
      <c r="RD7" s="40"/>
      <c r="RE7" s="40"/>
      <c r="RF7" s="40"/>
      <c r="RG7" s="40"/>
      <c r="RH7" s="40"/>
      <c r="RI7" s="40"/>
      <c r="RJ7" s="40"/>
      <c r="RK7" s="40"/>
      <c r="RL7" s="40"/>
      <c r="RM7" s="40"/>
      <c r="RN7" s="40"/>
      <c r="RO7" s="40"/>
      <c r="RP7" s="40"/>
      <c r="RQ7" s="40"/>
      <c r="RR7" s="40"/>
      <c r="RS7" s="40"/>
      <c r="RT7" s="40"/>
      <c r="RU7" s="40"/>
      <c r="RV7" s="40"/>
      <c r="RW7" s="40"/>
      <c r="RX7" s="40"/>
      <c r="RY7" s="40"/>
      <c r="RZ7" s="40"/>
      <c r="SA7" s="40"/>
      <c r="SB7" s="40"/>
      <c r="SC7" s="40"/>
      <c r="SD7" s="40"/>
      <c r="SE7" s="40"/>
      <c r="SF7" s="40"/>
      <c r="SG7" s="40"/>
      <c r="SH7" s="40"/>
      <c r="SI7" s="40"/>
      <c r="SJ7" s="40"/>
      <c r="SK7" s="40"/>
      <c r="SL7" s="40"/>
      <c r="SM7" s="40"/>
      <c r="SN7" s="40"/>
      <c r="SO7" s="40"/>
      <c r="SP7" s="40"/>
      <c r="SQ7" s="40"/>
      <c r="SR7" s="40"/>
      <c r="SS7" s="40"/>
      <c r="ST7" s="40"/>
      <c r="SU7" s="40"/>
      <c r="SV7" s="40"/>
      <c r="SW7" s="40"/>
      <c r="SX7" s="40"/>
      <c r="SY7" s="40"/>
      <c r="SZ7" s="40"/>
      <c r="TA7" s="40"/>
      <c r="TB7" s="40"/>
      <c r="TC7" s="40"/>
      <c r="TD7" s="40"/>
      <c r="TE7" s="40"/>
      <c r="TF7" s="40"/>
      <c r="TG7" s="40"/>
      <c r="TH7" s="40"/>
      <c r="TI7" s="40"/>
      <c r="TJ7" s="40"/>
      <c r="TK7" s="40"/>
      <c r="TL7" s="40"/>
      <c r="TM7" s="40"/>
      <c r="TN7" s="40"/>
      <c r="TO7" s="40"/>
      <c r="TP7" s="40"/>
      <c r="TQ7" s="40"/>
      <c r="TR7" s="40"/>
      <c r="TS7" s="40"/>
      <c r="TT7" s="40"/>
      <c r="TU7" s="40"/>
      <c r="TV7" s="40"/>
      <c r="TW7" s="40"/>
      <c r="TX7" s="40"/>
      <c r="TY7" s="40"/>
      <c r="TZ7" s="40"/>
      <c r="UA7" s="40"/>
      <c r="UB7" s="40"/>
      <c r="UC7" s="40"/>
      <c r="UD7" s="40"/>
      <c r="UE7" s="40"/>
      <c r="UF7" s="40"/>
      <c r="UG7" s="40"/>
      <c r="UH7" s="40"/>
      <c r="UI7" s="40"/>
      <c r="UJ7" s="40"/>
      <c r="UK7" s="40"/>
      <c r="UL7" s="40"/>
      <c r="UM7" s="40"/>
      <c r="UN7" s="40"/>
      <c r="UO7" s="40"/>
      <c r="UP7" s="40"/>
      <c r="UQ7" s="40"/>
      <c r="UR7" s="40"/>
      <c r="US7" s="40"/>
      <c r="UT7" s="40"/>
      <c r="UU7" s="40"/>
      <c r="UV7" s="40"/>
      <c r="UW7" s="40"/>
      <c r="UX7" s="40"/>
      <c r="UY7" s="40"/>
      <c r="UZ7" s="40"/>
      <c r="VA7" s="40"/>
      <c r="VB7" s="40"/>
      <c r="VC7" s="40"/>
      <c r="VD7" s="40"/>
      <c r="VE7" s="40"/>
      <c r="VF7" s="40"/>
      <c r="VG7" s="40"/>
      <c r="VH7" s="40"/>
      <c r="VI7" s="40"/>
      <c r="VJ7" s="40"/>
      <c r="VK7" s="40"/>
      <c r="VL7" s="40"/>
      <c r="VM7" s="40"/>
      <c r="VN7" s="40"/>
      <c r="VO7" s="40"/>
      <c r="VP7" s="40"/>
      <c r="VQ7" s="40"/>
      <c r="VR7" s="40"/>
      <c r="VS7" s="40"/>
      <c r="VT7" s="40"/>
      <c r="VU7" s="40"/>
      <c r="VV7" s="40"/>
      <c r="VW7" s="40"/>
      <c r="VX7" s="40"/>
      <c r="VY7" s="40"/>
      <c r="VZ7" s="40"/>
      <c r="WA7" s="40"/>
      <c r="WB7" s="40"/>
      <c r="WC7" s="40"/>
      <c r="WD7" s="40"/>
      <c r="WE7" s="40"/>
      <c r="WF7" s="40"/>
      <c r="WG7" s="40"/>
      <c r="WH7" s="40"/>
      <c r="WI7" s="40"/>
      <c r="WJ7" s="40"/>
      <c r="WK7" s="40"/>
      <c r="WL7" s="40"/>
      <c r="WM7" s="40"/>
      <c r="WN7" s="40"/>
      <c r="WO7" s="40"/>
      <c r="WP7" s="40"/>
      <c r="WQ7" s="40"/>
      <c r="WR7" s="40"/>
      <c r="WS7" s="40"/>
      <c r="WT7" s="40"/>
      <c r="WU7" s="40"/>
      <c r="WV7" s="40"/>
      <c r="WW7" s="40"/>
      <c r="WX7" s="40"/>
      <c r="WY7" s="40"/>
      <c r="WZ7" s="40"/>
      <c r="XA7" s="40"/>
      <c r="XB7" s="40"/>
      <c r="XC7" s="40"/>
      <c r="XD7" s="40"/>
      <c r="XE7" s="40"/>
      <c r="XF7" s="40"/>
      <c r="XG7" s="40"/>
      <c r="XH7" s="40"/>
      <c r="XI7" s="40"/>
      <c r="XJ7" s="40"/>
      <c r="XK7" s="40"/>
      <c r="XL7" s="40"/>
      <c r="XM7" s="40"/>
      <c r="XN7" s="40"/>
      <c r="XO7" s="40"/>
      <c r="XP7" s="40"/>
      <c r="XQ7" s="40"/>
      <c r="XR7" s="40"/>
      <c r="XS7" s="40"/>
      <c r="XT7" s="40"/>
      <c r="XU7" s="40"/>
      <c r="XV7" s="40"/>
      <c r="XW7" s="40"/>
      <c r="XX7" s="40"/>
      <c r="XY7" s="40"/>
      <c r="XZ7" s="40"/>
      <c r="YA7" s="40"/>
      <c r="YB7" s="40"/>
      <c r="YC7" s="40"/>
      <c r="YD7" s="40"/>
      <c r="YE7" s="40"/>
      <c r="YF7" s="40"/>
      <c r="YG7" s="40"/>
      <c r="YH7" s="40"/>
      <c r="YI7" s="40"/>
      <c r="YJ7" s="40"/>
      <c r="YK7" s="40"/>
      <c r="YL7" s="40"/>
      <c r="YM7" s="40"/>
      <c r="YN7" s="40"/>
      <c r="YO7" s="40"/>
      <c r="YP7" s="40"/>
      <c r="YQ7" s="40"/>
      <c r="YR7" s="40"/>
      <c r="YS7" s="40"/>
      <c r="YT7" s="40"/>
      <c r="YU7" s="40"/>
      <c r="YV7" s="40"/>
      <c r="YW7" s="40"/>
      <c r="YX7" s="40"/>
      <c r="YY7" s="40"/>
      <c r="YZ7" s="40"/>
      <c r="ZA7" s="40"/>
      <c r="ZB7" s="40"/>
      <c r="ZC7" s="40"/>
      <c r="ZD7" s="40"/>
      <c r="ZE7" s="40"/>
      <c r="ZF7" s="40"/>
      <c r="ZG7" s="40"/>
      <c r="ZH7" s="40"/>
      <c r="ZI7" s="40"/>
      <c r="ZJ7" s="40"/>
      <c r="ZK7" s="40"/>
      <c r="ZL7" s="40"/>
      <c r="ZM7" s="40"/>
      <c r="ZN7" s="40"/>
      <c r="ZO7" s="40"/>
      <c r="ZP7" s="40"/>
      <c r="ZQ7" s="40"/>
      <c r="ZR7" s="40"/>
      <c r="ZS7" s="40"/>
      <c r="ZT7" s="40"/>
      <c r="ZU7" s="40"/>
      <c r="ZV7" s="40"/>
      <c r="ZW7" s="40"/>
      <c r="ZX7" s="40"/>
      <c r="ZY7" s="40"/>
      <c r="ZZ7" s="40"/>
      <c r="AAA7" s="40"/>
      <c r="AAB7" s="40"/>
      <c r="AAC7" s="40"/>
      <c r="AAD7" s="40"/>
      <c r="AAE7" s="40"/>
      <c r="AAF7" s="40"/>
      <c r="AAG7" s="40"/>
      <c r="AAH7" s="40"/>
      <c r="AAI7" s="40"/>
      <c r="AAJ7" s="40"/>
      <c r="AAK7" s="40"/>
      <c r="AAL7" s="40"/>
      <c r="AAM7" s="40"/>
      <c r="AAN7" s="40"/>
      <c r="AAO7" s="40"/>
      <c r="AAP7" s="40"/>
      <c r="AAQ7" s="40"/>
      <c r="AAR7" s="40"/>
      <c r="AAS7" s="40"/>
      <c r="AAT7" s="40"/>
      <c r="AAU7" s="40"/>
      <c r="AAV7" s="40"/>
      <c r="AAW7" s="40"/>
      <c r="AAX7" s="40"/>
      <c r="AAY7" s="40"/>
      <c r="AAZ7" s="40"/>
      <c r="ABA7" s="40"/>
      <c r="ABB7" s="40"/>
      <c r="ABC7" s="40"/>
      <c r="ABD7" s="40"/>
      <c r="ABE7" s="40"/>
      <c r="ABF7" s="40"/>
      <c r="ABG7" s="40"/>
      <c r="ABH7" s="40"/>
      <c r="ABI7" s="40"/>
      <c r="ABJ7" s="40"/>
      <c r="ABK7" s="40"/>
      <c r="ABL7" s="40"/>
      <c r="ABM7" s="40"/>
      <c r="ABN7" s="40"/>
      <c r="ABO7" s="40"/>
      <c r="ABP7" s="40"/>
      <c r="ABQ7" s="40"/>
      <c r="ABR7" s="40"/>
      <c r="ABS7" s="40"/>
      <c r="ABT7" s="40"/>
      <c r="ABU7" s="40"/>
      <c r="ABV7" s="40"/>
      <c r="ABW7" s="40"/>
      <c r="ABX7" s="40"/>
      <c r="ABY7" s="40"/>
      <c r="ABZ7" s="40"/>
      <c r="ACA7" s="40"/>
      <c r="ACB7" s="40"/>
      <c r="ACC7" s="40"/>
      <c r="ACD7" s="40"/>
      <c r="ACE7" s="40"/>
      <c r="ACF7" s="40"/>
      <c r="ACG7" s="40"/>
      <c r="ACH7" s="40"/>
      <c r="ACI7" s="40"/>
      <c r="ACJ7" s="40"/>
      <c r="ACK7" s="40"/>
      <c r="ACL7" s="40"/>
      <c r="ACM7" s="40"/>
      <c r="ACN7" s="40"/>
      <c r="ACO7" s="40"/>
      <c r="ACP7" s="40"/>
      <c r="ACQ7" s="40"/>
      <c r="ACR7" s="40"/>
      <c r="ACS7" s="40"/>
      <c r="ACT7" s="40"/>
      <c r="ACU7" s="40"/>
      <c r="ACV7" s="40"/>
      <c r="ACW7" s="40"/>
      <c r="ACX7" s="40"/>
      <c r="ACY7" s="40"/>
      <c r="ACZ7" s="40"/>
      <c r="ADA7" s="40"/>
      <c r="ADB7" s="40"/>
      <c r="ADC7" s="40"/>
      <c r="ADD7" s="40"/>
      <c r="ADE7" s="40"/>
      <c r="ADF7" s="40"/>
      <c r="ADG7" s="40"/>
      <c r="ADH7" s="40"/>
      <c r="ADI7" s="40"/>
      <c r="ADJ7" s="40"/>
      <c r="ADK7" s="40"/>
      <c r="ADL7" s="40"/>
      <c r="ADM7" s="40"/>
      <c r="ADN7" s="40"/>
      <c r="ADO7" s="40"/>
      <c r="ADP7" s="40"/>
      <c r="ADQ7" s="40"/>
      <c r="ADR7" s="40"/>
      <c r="ADS7" s="40"/>
      <c r="ADT7" s="40"/>
      <c r="ADU7" s="40"/>
      <c r="ADV7" s="40"/>
      <c r="ADW7" s="40"/>
      <c r="ADX7" s="40"/>
      <c r="ADY7" s="40"/>
      <c r="ADZ7" s="40"/>
      <c r="AEA7" s="40"/>
      <c r="AEB7" s="40"/>
      <c r="AEC7" s="40"/>
      <c r="AED7" s="40"/>
      <c r="AEE7" s="40"/>
      <c r="AEF7" s="40"/>
      <c r="AEG7" s="40"/>
      <c r="AEH7" s="40"/>
      <c r="AEI7" s="40"/>
      <c r="AEJ7" s="40"/>
      <c r="AEK7" s="40"/>
      <c r="AEL7" s="40"/>
      <c r="AEM7" s="40"/>
      <c r="AEN7" s="40"/>
      <c r="AEO7" s="40"/>
      <c r="AEP7" s="40"/>
      <c r="AEQ7" s="40"/>
      <c r="AER7" s="40"/>
      <c r="AES7" s="40"/>
      <c r="AET7" s="40"/>
      <c r="AEU7" s="40"/>
      <c r="AEV7" s="40"/>
      <c r="AEW7" s="40"/>
      <c r="AEX7" s="40"/>
      <c r="AEY7" s="40"/>
      <c r="AEZ7" s="40"/>
      <c r="AFA7" s="40"/>
      <c r="AFB7" s="40"/>
      <c r="AFC7" s="40"/>
      <c r="AFD7" s="40"/>
      <c r="AFE7" s="40"/>
      <c r="AFF7" s="40"/>
      <c r="AFG7" s="40"/>
      <c r="AFH7" s="40"/>
      <c r="AFI7" s="40"/>
      <c r="AFJ7" s="40"/>
      <c r="AFK7" s="40"/>
      <c r="AFL7" s="40"/>
      <c r="AFM7" s="40"/>
      <c r="AFN7" s="40"/>
      <c r="AFO7" s="40"/>
      <c r="AFP7" s="40"/>
      <c r="AFQ7" s="40"/>
      <c r="AFR7" s="40"/>
      <c r="AFS7" s="40"/>
      <c r="AFT7" s="40"/>
      <c r="AFU7" s="40"/>
      <c r="AFV7" s="40"/>
      <c r="AFW7" s="40"/>
      <c r="AFX7" s="40"/>
      <c r="AFY7" s="40"/>
      <c r="AFZ7" s="40"/>
      <c r="AGA7" s="40"/>
      <c r="AGB7" s="40"/>
      <c r="AGC7" s="40"/>
      <c r="AGD7" s="40"/>
      <c r="AGE7" s="40"/>
      <c r="AGF7" s="40"/>
      <c r="AGG7" s="40"/>
      <c r="AGH7" s="40"/>
      <c r="AGI7" s="40"/>
      <c r="AGJ7" s="40"/>
      <c r="AGK7" s="40"/>
      <c r="AGL7" s="40"/>
      <c r="AGM7" s="40"/>
      <c r="AGN7" s="40"/>
      <c r="AGO7" s="40"/>
      <c r="AGP7" s="40"/>
      <c r="AGQ7" s="40"/>
      <c r="AGR7" s="40"/>
      <c r="AGS7" s="40"/>
      <c r="AGT7" s="40"/>
      <c r="AGU7" s="40"/>
      <c r="AGV7" s="40"/>
      <c r="AGW7" s="40"/>
      <c r="AGX7" s="40"/>
      <c r="AGY7" s="40"/>
      <c r="AGZ7" s="40"/>
      <c r="AHA7" s="40"/>
      <c r="AHB7" s="40"/>
      <c r="AHC7" s="40"/>
      <c r="AHD7" s="40"/>
      <c r="AHE7" s="40"/>
      <c r="AHF7" s="40"/>
      <c r="AHG7" s="40"/>
      <c r="AHH7" s="40"/>
      <c r="AHI7" s="40"/>
      <c r="AHJ7" s="40"/>
      <c r="AHK7" s="40"/>
      <c r="AHL7" s="40"/>
      <c r="AHM7" s="40"/>
      <c r="AHN7" s="40"/>
      <c r="AHO7" s="40"/>
      <c r="AHP7" s="40"/>
      <c r="AHQ7" s="40"/>
      <c r="AHR7" s="40"/>
      <c r="AHS7" s="40"/>
      <c r="AHT7" s="40"/>
      <c r="AHU7" s="40"/>
      <c r="AHV7" s="40"/>
      <c r="AHW7" s="40"/>
      <c r="AHX7" s="40"/>
      <c r="AHY7" s="40"/>
      <c r="AHZ7" s="40"/>
      <c r="AIA7" s="40"/>
      <c r="AIB7" s="40"/>
      <c r="AIC7" s="40"/>
      <c r="AID7" s="40"/>
      <c r="AIE7" s="40"/>
      <c r="AIF7" s="40"/>
      <c r="AIG7" s="40"/>
      <c r="AIH7" s="40"/>
      <c r="AII7" s="40"/>
      <c r="AIJ7" s="40"/>
      <c r="AIK7" s="40"/>
      <c r="AIL7" s="40"/>
      <c r="AIM7" s="40"/>
      <c r="AIN7" s="40"/>
      <c r="AIO7" s="40"/>
      <c r="AIP7" s="40"/>
      <c r="AIQ7" s="40"/>
      <c r="AIR7" s="40"/>
      <c r="AIS7" s="40"/>
      <c r="AIT7" s="40"/>
      <c r="AIU7" s="40"/>
      <c r="AIV7" s="40"/>
      <c r="AIW7" s="40"/>
      <c r="AIX7" s="40"/>
      <c r="AIY7" s="40"/>
      <c r="AIZ7" s="40"/>
      <c r="AJA7" s="40"/>
      <c r="AJB7" s="40"/>
      <c r="AJC7" s="40"/>
      <c r="AJD7" s="40"/>
      <c r="AJE7" s="40"/>
      <c r="AJF7" s="40"/>
      <c r="AJG7" s="40"/>
      <c r="AJH7" s="40"/>
      <c r="AJI7" s="40"/>
      <c r="AJJ7" s="40"/>
      <c r="AJK7" s="40"/>
      <c r="AJL7" s="40"/>
      <c r="AJM7" s="40"/>
      <c r="AJN7" s="40"/>
      <c r="AJO7" s="40"/>
      <c r="AJP7" s="40"/>
      <c r="AJQ7" s="40"/>
      <c r="AJR7" s="40"/>
      <c r="AJS7" s="40"/>
      <c r="AJT7" s="40"/>
      <c r="AJU7" s="40"/>
      <c r="AJV7" s="40"/>
      <c r="AJW7" s="40"/>
      <c r="AJX7" s="40"/>
      <c r="AJY7" s="40"/>
      <c r="AJZ7" s="40"/>
      <c r="AKA7" s="40"/>
      <c r="AKB7" s="40"/>
      <c r="AKC7" s="40"/>
      <c r="AKD7" s="40"/>
      <c r="AKE7" s="40"/>
      <c r="AKF7" s="40"/>
      <c r="AKG7" s="40"/>
      <c r="AKH7" s="40"/>
      <c r="AKI7" s="40"/>
      <c r="AKJ7" s="40"/>
      <c r="AKK7" s="40"/>
      <c r="AKL7" s="40"/>
      <c r="AKM7" s="40"/>
      <c r="AKN7" s="40"/>
      <c r="AKO7" s="40"/>
      <c r="AKP7" s="40"/>
      <c r="AKQ7" s="40"/>
      <c r="AKR7" s="40"/>
      <c r="AKS7" s="40"/>
      <c r="AKT7" s="40"/>
      <c r="AKU7" s="40"/>
      <c r="AKV7" s="40"/>
      <c r="AKW7" s="40"/>
      <c r="AKX7" s="40"/>
      <c r="AKY7" s="40"/>
      <c r="AKZ7" s="40"/>
      <c r="ALA7" s="40"/>
      <c r="ALB7" s="40"/>
      <c r="ALC7" s="40"/>
      <c r="ALD7" s="40"/>
      <c r="ALE7" s="40"/>
      <c r="ALF7" s="40"/>
      <c r="ALG7" s="40"/>
      <c r="ALH7" s="40"/>
      <c r="ALI7" s="40"/>
      <c r="ALJ7" s="40"/>
      <c r="ALK7" s="40"/>
      <c r="ALL7" s="40"/>
      <c r="ALM7" s="40"/>
      <c r="ALN7" s="40"/>
      <c r="ALO7" s="40"/>
      <c r="ALP7" s="40"/>
      <c r="ALQ7" s="40"/>
      <c r="ALR7" s="40"/>
      <c r="ALS7" s="40"/>
      <c r="ALT7" s="40"/>
      <c r="ALU7" s="40"/>
      <c r="ALV7" s="40"/>
      <c r="ALW7" s="40"/>
      <c r="ALX7" s="40"/>
      <c r="ALY7" s="40"/>
      <c r="ALZ7" s="40"/>
      <c r="AMA7" s="40"/>
      <c r="AMB7" s="40"/>
      <c r="AMC7" s="40"/>
      <c r="AMD7" s="40"/>
      <c r="AME7" s="40"/>
      <c r="AMF7" s="40"/>
      <c r="AMG7" s="40"/>
      <c r="AMH7" s="40"/>
      <c r="AMI7" s="40"/>
      <c r="AMJ7" s="40"/>
      <c r="AMK7" s="40"/>
      <c r="AML7" s="40"/>
    </row>
    <row r="8" ht="15.75" customHeight="1">
      <c r="A8" s="34" t="s">
        <v>20</v>
      </c>
      <c r="B8" s="34" t="s">
        <v>20</v>
      </c>
      <c r="C8" s="41" t="s">
        <v>34</v>
      </c>
      <c r="D8" s="36" t="s">
        <v>22</v>
      </c>
      <c r="E8" s="35" t="s">
        <v>22</v>
      </c>
      <c r="F8" s="35" t="s">
        <v>23</v>
      </c>
      <c r="G8" s="37">
        <v>1.0</v>
      </c>
      <c r="H8" s="37">
        <v>1.0</v>
      </c>
      <c r="I8" s="37">
        <v>1.0</v>
      </c>
      <c r="J8" s="38"/>
      <c r="K8" s="37">
        <v>0.0</v>
      </c>
      <c r="L8" s="37">
        <v>0.0</v>
      </c>
      <c r="M8" s="37">
        <v>0.0</v>
      </c>
      <c r="N8" s="38"/>
      <c r="O8" s="37">
        <v>0.0</v>
      </c>
      <c r="P8" s="39">
        <v>0.0</v>
      </c>
      <c r="Q8" s="39">
        <v>0.0</v>
      </c>
      <c r="R8" s="39">
        <v>0.0</v>
      </c>
      <c r="S8" s="39">
        <v>0.0</v>
      </c>
      <c r="T8" s="38" t="s">
        <v>22</v>
      </c>
      <c r="U8" s="38"/>
      <c r="V8" s="38"/>
      <c r="W8" s="38"/>
      <c r="X8" s="38"/>
      <c r="Y8" s="38"/>
      <c r="Z8" s="38"/>
      <c r="AA8" s="38"/>
      <c r="AB8" s="38" t="s">
        <v>20</v>
      </c>
      <c r="AC8" s="38" t="s">
        <v>20</v>
      </c>
      <c r="AD8" s="38" t="s">
        <v>20</v>
      </c>
      <c r="AE8" s="38" t="s">
        <v>20</v>
      </c>
      <c r="AF8" s="38" t="s">
        <v>20</v>
      </c>
      <c r="AG8" s="38" t="s">
        <v>20</v>
      </c>
      <c r="AH8" s="38" t="s">
        <v>20</v>
      </c>
      <c r="AI8" s="38" t="s">
        <v>20</v>
      </c>
      <c r="AJ8" s="38" t="s">
        <v>20</v>
      </c>
      <c r="AK8" s="38" t="s">
        <v>20</v>
      </c>
      <c r="AL8" s="38" t="s">
        <v>20</v>
      </c>
      <c r="AM8" s="38" t="s">
        <v>20</v>
      </c>
      <c r="AN8" s="38" t="s">
        <v>20</v>
      </c>
      <c r="AO8" s="38" t="s">
        <v>20</v>
      </c>
      <c r="AP8" s="38" t="s">
        <v>20</v>
      </c>
      <c r="AQ8" s="38" t="s">
        <v>20</v>
      </c>
      <c r="AR8" s="38" t="s">
        <v>20</v>
      </c>
      <c r="AS8" s="38" t="s">
        <v>20</v>
      </c>
      <c r="AT8" s="38" t="s">
        <v>20</v>
      </c>
      <c r="AU8" s="38" t="s">
        <v>20</v>
      </c>
      <c r="AV8" s="38" t="s">
        <v>20</v>
      </c>
      <c r="AW8" s="38" t="s">
        <v>20</v>
      </c>
      <c r="AX8" s="38" t="s">
        <v>20</v>
      </c>
      <c r="AY8" s="38" t="s">
        <v>20</v>
      </c>
      <c r="AZ8" s="38" t="s">
        <v>20</v>
      </c>
      <c r="BA8" s="38" t="s">
        <v>20</v>
      </c>
      <c r="BB8" s="38" t="s">
        <v>20</v>
      </c>
      <c r="BC8" s="38" t="s">
        <v>20</v>
      </c>
      <c r="BD8" s="38" t="s">
        <v>20</v>
      </c>
      <c r="BE8" s="38" t="s">
        <v>20</v>
      </c>
      <c r="BF8" s="38" t="s">
        <v>20</v>
      </c>
      <c r="BG8" s="38" t="s">
        <v>20</v>
      </c>
      <c r="BH8" s="38" t="s">
        <v>20</v>
      </c>
      <c r="BI8" s="38" t="s">
        <v>20</v>
      </c>
      <c r="BJ8" s="38" t="s">
        <v>20</v>
      </c>
      <c r="BK8" s="38" t="s">
        <v>20</v>
      </c>
      <c r="BL8" s="38" t="s">
        <v>20</v>
      </c>
      <c r="BM8" s="38" t="s">
        <v>20</v>
      </c>
      <c r="BN8" s="38" t="s">
        <v>20</v>
      </c>
      <c r="BO8" s="38" t="s">
        <v>20</v>
      </c>
      <c r="BP8" s="38" t="s">
        <v>20</v>
      </c>
      <c r="BQ8" s="38" t="s">
        <v>20</v>
      </c>
      <c r="BR8" s="38" t="s">
        <v>20</v>
      </c>
      <c r="BS8" s="38" t="s">
        <v>20</v>
      </c>
      <c r="BT8" s="38" t="s">
        <v>20</v>
      </c>
      <c r="BU8" s="38" t="s">
        <v>20</v>
      </c>
      <c r="BV8" s="38" t="s">
        <v>20</v>
      </c>
      <c r="BW8" s="38" t="s">
        <v>20</v>
      </c>
      <c r="BX8" s="38" t="s">
        <v>20</v>
      </c>
      <c r="BY8" s="38" t="s">
        <v>20</v>
      </c>
      <c r="BZ8" s="38" t="s">
        <v>20</v>
      </c>
      <c r="CA8" s="38" t="s">
        <v>20</v>
      </c>
      <c r="CB8" s="38" t="s">
        <v>20</v>
      </c>
      <c r="CC8" s="38" t="s">
        <v>20</v>
      </c>
      <c r="CD8" s="38" t="s">
        <v>20</v>
      </c>
      <c r="CE8" s="38" t="s">
        <v>20</v>
      </c>
      <c r="CF8" s="38" t="s">
        <v>20</v>
      </c>
      <c r="CG8" s="38" t="s">
        <v>20</v>
      </c>
      <c r="CH8" s="38" t="s">
        <v>20</v>
      </c>
      <c r="CI8" s="38" t="s">
        <v>20</v>
      </c>
      <c r="CJ8" s="38" t="s">
        <v>20</v>
      </c>
      <c r="CK8" s="38" t="s">
        <v>20</v>
      </c>
      <c r="CL8" s="38" t="s">
        <v>20</v>
      </c>
      <c r="CM8" s="38" t="s">
        <v>20</v>
      </c>
      <c r="CN8" s="38" t="s">
        <v>20</v>
      </c>
      <c r="CO8" s="38" t="s">
        <v>20</v>
      </c>
      <c r="CP8" s="38" t="s">
        <v>20</v>
      </c>
      <c r="CQ8" s="38" t="s">
        <v>20</v>
      </c>
      <c r="CR8" s="38" t="s">
        <v>20</v>
      </c>
      <c r="CS8" s="38" t="s">
        <v>20</v>
      </c>
      <c r="CT8" s="38" t="s">
        <v>20</v>
      </c>
      <c r="CU8" s="38" t="s">
        <v>20</v>
      </c>
      <c r="CV8" s="38" t="s">
        <v>20</v>
      </c>
      <c r="CW8" s="38" t="s">
        <v>20</v>
      </c>
      <c r="CX8" s="38" t="s">
        <v>20</v>
      </c>
      <c r="CY8" s="38" t="s">
        <v>20</v>
      </c>
      <c r="CZ8" s="38" t="s">
        <v>20</v>
      </c>
      <c r="DA8" s="38" t="s">
        <v>20</v>
      </c>
      <c r="DB8" s="38" t="s">
        <v>20</v>
      </c>
      <c r="DC8" s="38" t="s">
        <v>20</v>
      </c>
      <c r="DD8" s="38" t="s">
        <v>20</v>
      </c>
      <c r="DE8" s="38" t="s">
        <v>20</v>
      </c>
      <c r="DF8" s="38" t="s">
        <v>20</v>
      </c>
      <c r="DG8" s="38" t="s">
        <v>20</v>
      </c>
      <c r="DH8" s="38" t="s">
        <v>20</v>
      </c>
      <c r="DI8" s="38" t="s">
        <v>20</v>
      </c>
      <c r="DJ8" s="38" t="s">
        <v>20</v>
      </c>
      <c r="DK8" s="38" t="s">
        <v>20</v>
      </c>
      <c r="DL8" s="38" t="s">
        <v>20</v>
      </c>
      <c r="DM8" s="38" t="s">
        <v>20</v>
      </c>
      <c r="DN8" s="38" t="s">
        <v>20</v>
      </c>
      <c r="DO8" s="38" t="s">
        <v>20</v>
      </c>
      <c r="DP8" s="38" t="s">
        <v>20</v>
      </c>
      <c r="DQ8" s="38" t="s">
        <v>20</v>
      </c>
      <c r="DR8" s="38" t="s">
        <v>20</v>
      </c>
      <c r="DS8" s="38" t="s">
        <v>20</v>
      </c>
      <c r="DT8" s="38" t="s">
        <v>20</v>
      </c>
      <c r="DU8" s="38" t="s">
        <v>20</v>
      </c>
      <c r="DV8" s="38" t="s">
        <v>20</v>
      </c>
      <c r="DW8" s="38" t="s">
        <v>20</v>
      </c>
      <c r="DX8" s="38" t="s">
        <v>20</v>
      </c>
      <c r="DY8" s="38" t="s">
        <v>20</v>
      </c>
      <c r="DZ8" s="38" t="s">
        <v>20</v>
      </c>
      <c r="EA8" s="38" t="s">
        <v>20</v>
      </c>
      <c r="EB8" s="38" t="s">
        <v>20</v>
      </c>
      <c r="EC8" s="38" t="s">
        <v>20</v>
      </c>
      <c r="ED8" s="38" t="s">
        <v>20</v>
      </c>
      <c r="EE8" s="38" t="s">
        <v>20</v>
      </c>
      <c r="EF8" s="38" t="s">
        <v>20</v>
      </c>
      <c r="EG8" s="38" t="s">
        <v>20</v>
      </c>
      <c r="EH8" s="38" t="s">
        <v>20</v>
      </c>
      <c r="EI8" s="38" t="s">
        <v>20</v>
      </c>
      <c r="EJ8" s="38" t="s">
        <v>20</v>
      </c>
      <c r="EK8" s="38" t="s">
        <v>20</v>
      </c>
      <c r="EL8" s="38" t="s">
        <v>20</v>
      </c>
      <c r="EM8" s="38" t="s">
        <v>20</v>
      </c>
      <c r="EN8" s="38" t="s">
        <v>20</v>
      </c>
      <c r="EO8" s="38" t="s">
        <v>20</v>
      </c>
      <c r="EP8" s="38" t="s">
        <v>20</v>
      </c>
      <c r="EQ8" s="38" t="s">
        <v>20</v>
      </c>
      <c r="ER8" s="38" t="s">
        <v>20</v>
      </c>
      <c r="ES8" s="38" t="s">
        <v>20</v>
      </c>
      <c r="ET8" s="38" t="s">
        <v>20</v>
      </c>
      <c r="EU8" s="38" t="s">
        <v>20</v>
      </c>
      <c r="EV8" s="38" t="s">
        <v>20</v>
      </c>
      <c r="EW8" s="38" t="s">
        <v>20</v>
      </c>
      <c r="EX8" s="38" t="s">
        <v>20</v>
      </c>
      <c r="EY8" s="38" t="s">
        <v>20</v>
      </c>
      <c r="EZ8" s="38" t="s">
        <v>20</v>
      </c>
      <c r="FA8" s="38" t="s">
        <v>20</v>
      </c>
      <c r="FB8" s="38" t="s">
        <v>20</v>
      </c>
      <c r="FC8" s="38" t="s">
        <v>20</v>
      </c>
      <c r="FD8" s="38" t="s">
        <v>20</v>
      </c>
      <c r="FE8" s="38" t="s">
        <v>20</v>
      </c>
      <c r="FF8" s="38" t="s">
        <v>20</v>
      </c>
      <c r="FG8" s="38" t="s">
        <v>20</v>
      </c>
      <c r="FH8" s="38" t="s">
        <v>20</v>
      </c>
      <c r="FI8" s="38" t="s">
        <v>20</v>
      </c>
      <c r="FJ8" s="38" t="s">
        <v>20</v>
      </c>
      <c r="FK8" s="38" t="s">
        <v>20</v>
      </c>
      <c r="FL8" s="38" t="s">
        <v>20</v>
      </c>
      <c r="FM8" s="38" t="s">
        <v>20</v>
      </c>
      <c r="FN8" s="38" t="s">
        <v>20</v>
      </c>
      <c r="FO8" s="38" t="s">
        <v>20</v>
      </c>
      <c r="FP8" s="38" t="s">
        <v>20</v>
      </c>
      <c r="FQ8" s="38" t="s">
        <v>20</v>
      </c>
      <c r="FR8" s="40"/>
      <c r="FS8" s="40"/>
      <c r="FT8" s="40"/>
      <c r="FU8" s="40"/>
      <c r="FV8" s="40"/>
      <c r="FW8" s="40"/>
      <c r="FX8" s="40"/>
      <c r="FY8" s="40"/>
      <c r="FZ8" s="40"/>
      <c r="GA8" s="40"/>
      <c r="GB8" s="40"/>
      <c r="GC8" s="40"/>
      <c r="GD8" s="40"/>
      <c r="GE8" s="40"/>
      <c r="GF8" s="40"/>
      <c r="GG8" s="40"/>
      <c r="GH8" s="40"/>
      <c r="GI8" s="40"/>
      <c r="GJ8" s="40"/>
      <c r="GK8" s="40"/>
      <c r="GL8" s="40"/>
      <c r="GM8" s="40"/>
      <c r="GN8" s="40"/>
      <c r="GO8" s="40"/>
      <c r="GP8" s="40"/>
      <c r="GQ8" s="40"/>
      <c r="GR8" s="40"/>
      <c r="GS8" s="40"/>
      <c r="GT8" s="40"/>
      <c r="GU8" s="40"/>
      <c r="GV8" s="40"/>
      <c r="GW8" s="40"/>
      <c r="GX8" s="40"/>
      <c r="GY8" s="40"/>
      <c r="GZ8" s="40"/>
      <c r="HA8" s="40"/>
      <c r="HB8" s="40"/>
      <c r="HC8" s="40"/>
      <c r="HD8" s="40"/>
      <c r="HE8" s="40"/>
      <c r="HF8" s="40"/>
      <c r="HG8" s="40"/>
      <c r="HH8" s="40"/>
      <c r="HI8" s="40"/>
      <c r="HJ8" s="40"/>
      <c r="HK8" s="40"/>
      <c r="HL8" s="40"/>
      <c r="HM8" s="40"/>
      <c r="HN8" s="40"/>
      <c r="HO8" s="40"/>
      <c r="HP8" s="40"/>
      <c r="HQ8" s="40"/>
      <c r="HR8" s="40"/>
      <c r="HS8" s="40"/>
      <c r="HT8" s="40"/>
      <c r="HU8" s="40"/>
      <c r="HV8" s="40"/>
      <c r="HW8" s="40"/>
      <c r="HX8" s="40"/>
      <c r="HY8" s="40"/>
      <c r="HZ8" s="40"/>
      <c r="IA8" s="40"/>
      <c r="IB8" s="40"/>
      <c r="IC8" s="40"/>
      <c r="ID8" s="40"/>
      <c r="IE8" s="40"/>
      <c r="IF8" s="40"/>
      <c r="IG8" s="40"/>
      <c r="IH8" s="40"/>
      <c r="II8" s="40"/>
      <c r="IJ8" s="40"/>
      <c r="IK8" s="40"/>
      <c r="IL8" s="40"/>
      <c r="IM8" s="40"/>
      <c r="IN8" s="40"/>
      <c r="IO8" s="40"/>
      <c r="IP8" s="40"/>
      <c r="IQ8" s="40"/>
      <c r="IR8" s="40"/>
      <c r="IS8" s="40"/>
      <c r="IT8" s="40"/>
      <c r="IU8" s="40"/>
      <c r="IV8" s="40"/>
      <c r="IW8" s="40"/>
      <c r="IX8" s="40"/>
      <c r="IY8" s="40"/>
      <c r="IZ8" s="40"/>
      <c r="JA8" s="40"/>
      <c r="JB8" s="40"/>
      <c r="JC8" s="40"/>
      <c r="JD8" s="40"/>
      <c r="JE8" s="40"/>
      <c r="JF8" s="40"/>
      <c r="JG8" s="40"/>
      <c r="JH8" s="40"/>
      <c r="JI8" s="40"/>
      <c r="JJ8" s="40"/>
      <c r="JK8" s="40"/>
      <c r="JL8" s="40"/>
      <c r="JM8" s="40"/>
      <c r="JN8" s="40"/>
      <c r="JO8" s="40"/>
      <c r="JP8" s="40"/>
      <c r="JQ8" s="40"/>
      <c r="JR8" s="40"/>
      <c r="JS8" s="40"/>
      <c r="JT8" s="40"/>
      <c r="JU8" s="40"/>
      <c r="JV8" s="40"/>
      <c r="JW8" s="40"/>
      <c r="JX8" s="40"/>
      <c r="JY8" s="40"/>
      <c r="JZ8" s="40"/>
      <c r="KA8" s="40"/>
      <c r="KB8" s="40"/>
      <c r="KC8" s="40"/>
      <c r="KD8" s="40"/>
      <c r="KE8" s="40"/>
      <c r="KF8" s="40"/>
      <c r="KG8" s="40"/>
      <c r="KH8" s="40"/>
      <c r="KI8" s="40"/>
      <c r="KJ8" s="40"/>
      <c r="KK8" s="40"/>
      <c r="KL8" s="40"/>
      <c r="KM8" s="40"/>
      <c r="KN8" s="40"/>
      <c r="KO8" s="40"/>
      <c r="KP8" s="40"/>
      <c r="KQ8" s="40"/>
      <c r="KR8" s="40"/>
      <c r="KS8" s="40"/>
      <c r="KT8" s="40"/>
      <c r="KU8" s="40"/>
      <c r="KV8" s="40"/>
      <c r="KW8" s="40"/>
      <c r="KX8" s="40"/>
      <c r="KY8" s="40"/>
      <c r="KZ8" s="40"/>
      <c r="LA8" s="40"/>
      <c r="LB8" s="40"/>
      <c r="LC8" s="40"/>
      <c r="LD8" s="40"/>
      <c r="LE8" s="40"/>
      <c r="LF8" s="40"/>
      <c r="LG8" s="40"/>
      <c r="LH8" s="40"/>
      <c r="LI8" s="40"/>
      <c r="LJ8" s="40"/>
      <c r="LK8" s="40"/>
      <c r="LL8" s="40"/>
      <c r="LM8" s="40"/>
      <c r="LN8" s="40"/>
      <c r="LO8" s="40"/>
      <c r="LP8" s="40"/>
      <c r="LQ8" s="40"/>
      <c r="LR8" s="40"/>
      <c r="LS8" s="40"/>
      <c r="LT8" s="40"/>
      <c r="LU8" s="40"/>
      <c r="LV8" s="40"/>
      <c r="LW8" s="40"/>
      <c r="LX8" s="40"/>
      <c r="LY8" s="40"/>
      <c r="LZ8" s="40"/>
      <c r="MA8" s="40"/>
      <c r="MB8" s="40"/>
      <c r="MC8" s="40"/>
      <c r="MD8" s="40"/>
      <c r="ME8" s="40"/>
      <c r="MF8" s="40"/>
      <c r="MG8" s="40"/>
      <c r="MH8" s="40"/>
      <c r="MI8" s="40"/>
      <c r="MJ8" s="40"/>
      <c r="MK8" s="40"/>
      <c r="ML8" s="40"/>
      <c r="MM8" s="40"/>
      <c r="MN8" s="40"/>
      <c r="MO8" s="40"/>
      <c r="MP8" s="40"/>
      <c r="MQ8" s="40"/>
      <c r="MR8" s="40"/>
      <c r="MS8" s="40"/>
      <c r="MT8" s="40"/>
      <c r="MU8" s="40"/>
      <c r="MV8" s="40"/>
      <c r="MW8" s="40"/>
      <c r="MX8" s="40"/>
      <c r="MY8" s="40"/>
      <c r="MZ8" s="40"/>
      <c r="NA8" s="40"/>
      <c r="NB8" s="40"/>
      <c r="NC8" s="40"/>
      <c r="ND8" s="40"/>
      <c r="NE8" s="40"/>
      <c r="NF8" s="40"/>
      <c r="NG8" s="40"/>
      <c r="NH8" s="40"/>
      <c r="NI8" s="40"/>
      <c r="NJ8" s="40"/>
      <c r="NK8" s="40"/>
      <c r="NL8" s="40"/>
      <c r="NM8" s="40"/>
      <c r="NN8" s="40"/>
      <c r="NO8" s="40"/>
      <c r="NP8" s="40"/>
      <c r="NQ8" s="40"/>
      <c r="NR8" s="40"/>
      <c r="NS8" s="40"/>
      <c r="NT8" s="40"/>
      <c r="NU8" s="40"/>
      <c r="NV8" s="40"/>
      <c r="NW8" s="40"/>
      <c r="NX8" s="40"/>
      <c r="NY8" s="40"/>
      <c r="NZ8" s="40"/>
      <c r="OA8" s="40"/>
      <c r="OB8" s="40"/>
      <c r="OC8" s="40"/>
      <c r="OD8" s="40"/>
      <c r="OE8" s="40"/>
      <c r="OF8" s="40"/>
      <c r="OG8" s="40"/>
      <c r="OH8" s="40"/>
      <c r="OI8" s="40"/>
      <c r="OJ8" s="40"/>
      <c r="OK8" s="40"/>
      <c r="OL8" s="40"/>
      <c r="OM8" s="40"/>
      <c r="ON8" s="40"/>
      <c r="OO8" s="40"/>
      <c r="OP8" s="40"/>
      <c r="OQ8" s="40"/>
      <c r="OR8" s="40"/>
      <c r="OS8" s="40"/>
      <c r="OT8" s="40"/>
      <c r="OU8" s="40"/>
      <c r="OV8" s="40"/>
      <c r="OW8" s="40"/>
      <c r="OX8" s="40"/>
      <c r="OY8" s="40"/>
      <c r="OZ8" s="40"/>
      <c r="PA8" s="40"/>
      <c r="PB8" s="40"/>
      <c r="PC8" s="40"/>
      <c r="PD8" s="40"/>
      <c r="PE8" s="40"/>
      <c r="PF8" s="40"/>
      <c r="PG8" s="40"/>
      <c r="PH8" s="40"/>
      <c r="PI8" s="40"/>
      <c r="PJ8" s="40"/>
      <c r="PK8" s="40"/>
      <c r="PL8" s="40"/>
      <c r="PM8" s="40"/>
      <c r="PN8" s="40"/>
      <c r="PO8" s="40"/>
      <c r="PP8" s="40"/>
      <c r="PQ8" s="40"/>
      <c r="PR8" s="40"/>
      <c r="PS8" s="40"/>
      <c r="PT8" s="40"/>
      <c r="PU8" s="40"/>
      <c r="PV8" s="40"/>
      <c r="PW8" s="40"/>
      <c r="PX8" s="40"/>
      <c r="PY8" s="40"/>
      <c r="PZ8" s="40"/>
      <c r="QA8" s="40"/>
      <c r="QB8" s="40"/>
      <c r="QC8" s="40"/>
      <c r="QD8" s="40"/>
      <c r="QE8" s="40"/>
      <c r="QF8" s="40"/>
      <c r="QG8" s="40"/>
      <c r="QH8" s="40"/>
      <c r="QI8" s="40"/>
      <c r="QJ8" s="40"/>
      <c r="QK8" s="40"/>
      <c r="QL8" s="40"/>
      <c r="QM8" s="40"/>
      <c r="QN8" s="40"/>
      <c r="QO8" s="40"/>
      <c r="QP8" s="40"/>
      <c r="QQ8" s="40"/>
      <c r="QR8" s="40"/>
      <c r="QS8" s="40"/>
      <c r="QT8" s="40"/>
      <c r="QU8" s="40"/>
      <c r="QV8" s="40"/>
      <c r="QW8" s="40"/>
      <c r="QX8" s="40"/>
      <c r="QY8" s="40"/>
      <c r="QZ8" s="40"/>
      <c r="RA8" s="40"/>
      <c r="RB8" s="40"/>
      <c r="RC8" s="40"/>
      <c r="RD8" s="40"/>
      <c r="RE8" s="40"/>
      <c r="RF8" s="40"/>
      <c r="RG8" s="40"/>
      <c r="RH8" s="40"/>
      <c r="RI8" s="40"/>
      <c r="RJ8" s="40"/>
      <c r="RK8" s="40"/>
      <c r="RL8" s="40"/>
      <c r="RM8" s="40"/>
      <c r="RN8" s="40"/>
      <c r="RO8" s="40"/>
      <c r="RP8" s="40"/>
      <c r="RQ8" s="40"/>
      <c r="RR8" s="40"/>
      <c r="RS8" s="40"/>
      <c r="RT8" s="40"/>
      <c r="RU8" s="40"/>
      <c r="RV8" s="40"/>
      <c r="RW8" s="40"/>
      <c r="RX8" s="40"/>
      <c r="RY8" s="40"/>
      <c r="RZ8" s="40"/>
      <c r="SA8" s="40"/>
      <c r="SB8" s="40"/>
      <c r="SC8" s="40"/>
      <c r="SD8" s="40"/>
      <c r="SE8" s="40"/>
      <c r="SF8" s="40"/>
      <c r="SG8" s="40"/>
      <c r="SH8" s="40"/>
      <c r="SI8" s="40"/>
      <c r="SJ8" s="40"/>
      <c r="SK8" s="40"/>
      <c r="SL8" s="40"/>
      <c r="SM8" s="40"/>
      <c r="SN8" s="40"/>
      <c r="SO8" s="40"/>
      <c r="SP8" s="40"/>
      <c r="SQ8" s="40"/>
      <c r="SR8" s="40"/>
      <c r="SS8" s="40"/>
      <c r="ST8" s="40"/>
      <c r="SU8" s="40"/>
      <c r="SV8" s="40"/>
      <c r="SW8" s="40"/>
      <c r="SX8" s="40"/>
      <c r="SY8" s="40"/>
      <c r="SZ8" s="40"/>
      <c r="TA8" s="40"/>
      <c r="TB8" s="40"/>
      <c r="TC8" s="40"/>
      <c r="TD8" s="40"/>
      <c r="TE8" s="40"/>
      <c r="TF8" s="40"/>
      <c r="TG8" s="40"/>
      <c r="TH8" s="40"/>
      <c r="TI8" s="40"/>
      <c r="TJ8" s="40"/>
      <c r="TK8" s="40"/>
      <c r="TL8" s="40"/>
      <c r="TM8" s="40"/>
      <c r="TN8" s="40"/>
      <c r="TO8" s="40"/>
      <c r="TP8" s="40"/>
      <c r="TQ8" s="40"/>
      <c r="TR8" s="40"/>
      <c r="TS8" s="40"/>
      <c r="TT8" s="40"/>
      <c r="TU8" s="40"/>
      <c r="TV8" s="40"/>
      <c r="TW8" s="40"/>
      <c r="TX8" s="40"/>
      <c r="TY8" s="40"/>
      <c r="TZ8" s="40"/>
      <c r="UA8" s="40"/>
      <c r="UB8" s="40"/>
      <c r="UC8" s="40"/>
      <c r="UD8" s="40"/>
      <c r="UE8" s="40"/>
      <c r="UF8" s="40"/>
      <c r="UG8" s="40"/>
      <c r="UH8" s="40"/>
      <c r="UI8" s="40"/>
      <c r="UJ8" s="40"/>
      <c r="UK8" s="40"/>
      <c r="UL8" s="40"/>
      <c r="UM8" s="40"/>
      <c r="UN8" s="40"/>
      <c r="UO8" s="40"/>
      <c r="UP8" s="40"/>
      <c r="UQ8" s="40"/>
      <c r="UR8" s="40"/>
      <c r="US8" s="40"/>
      <c r="UT8" s="40"/>
      <c r="UU8" s="40"/>
      <c r="UV8" s="40"/>
      <c r="UW8" s="40"/>
      <c r="UX8" s="40"/>
      <c r="UY8" s="40"/>
      <c r="UZ8" s="40"/>
      <c r="VA8" s="40"/>
      <c r="VB8" s="40"/>
      <c r="VC8" s="40"/>
      <c r="VD8" s="40"/>
      <c r="VE8" s="40"/>
      <c r="VF8" s="40"/>
      <c r="VG8" s="40"/>
      <c r="VH8" s="40"/>
      <c r="VI8" s="40"/>
      <c r="VJ8" s="40"/>
      <c r="VK8" s="40"/>
      <c r="VL8" s="40"/>
      <c r="VM8" s="40"/>
      <c r="VN8" s="40"/>
      <c r="VO8" s="40"/>
      <c r="VP8" s="40"/>
      <c r="VQ8" s="40"/>
      <c r="VR8" s="40"/>
      <c r="VS8" s="40"/>
      <c r="VT8" s="40"/>
      <c r="VU8" s="40"/>
      <c r="VV8" s="40"/>
      <c r="VW8" s="40"/>
      <c r="VX8" s="40"/>
      <c r="VY8" s="40"/>
      <c r="VZ8" s="40"/>
      <c r="WA8" s="40"/>
      <c r="WB8" s="40"/>
      <c r="WC8" s="40"/>
      <c r="WD8" s="40"/>
      <c r="WE8" s="40"/>
      <c r="WF8" s="40"/>
      <c r="WG8" s="40"/>
      <c r="WH8" s="40"/>
      <c r="WI8" s="40"/>
      <c r="WJ8" s="40"/>
      <c r="WK8" s="40"/>
      <c r="WL8" s="40"/>
      <c r="WM8" s="40"/>
      <c r="WN8" s="40"/>
      <c r="WO8" s="40"/>
      <c r="WP8" s="40"/>
      <c r="WQ8" s="40"/>
      <c r="WR8" s="40"/>
      <c r="WS8" s="40"/>
      <c r="WT8" s="40"/>
      <c r="WU8" s="40"/>
      <c r="WV8" s="40"/>
      <c r="WW8" s="40"/>
      <c r="WX8" s="40"/>
      <c r="WY8" s="40"/>
      <c r="WZ8" s="40"/>
      <c r="XA8" s="40"/>
      <c r="XB8" s="40"/>
      <c r="XC8" s="40"/>
      <c r="XD8" s="40"/>
      <c r="XE8" s="40"/>
      <c r="XF8" s="40"/>
      <c r="XG8" s="40"/>
      <c r="XH8" s="40"/>
      <c r="XI8" s="40"/>
      <c r="XJ8" s="40"/>
      <c r="XK8" s="40"/>
      <c r="XL8" s="40"/>
      <c r="XM8" s="40"/>
      <c r="XN8" s="40"/>
      <c r="XO8" s="40"/>
      <c r="XP8" s="40"/>
      <c r="XQ8" s="40"/>
      <c r="XR8" s="40"/>
      <c r="XS8" s="40"/>
      <c r="XT8" s="40"/>
      <c r="XU8" s="40"/>
      <c r="XV8" s="40"/>
      <c r="XW8" s="40"/>
      <c r="XX8" s="40"/>
      <c r="XY8" s="40"/>
      <c r="XZ8" s="40"/>
      <c r="YA8" s="40"/>
      <c r="YB8" s="40"/>
      <c r="YC8" s="40"/>
      <c r="YD8" s="40"/>
      <c r="YE8" s="40"/>
      <c r="YF8" s="40"/>
      <c r="YG8" s="40"/>
      <c r="YH8" s="40"/>
      <c r="YI8" s="40"/>
      <c r="YJ8" s="40"/>
      <c r="YK8" s="40"/>
      <c r="YL8" s="40"/>
      <c r="YM8" s="40"/>
      <c r="YN8" s="40"/>
      <c r="YO8" s="40"/>
      <c r="YP8" s="40"/>
      <c r="YQ8" s="40"/>
      <c r="YR8" s="40"/>
      <c r="YS8" s="40"/>
      <c r="YT8" s="40"/>
      <c r="YU8" s="40"/>
      <c r="YV8" s="40"/>
      <c r="YW8" s="40"/>
      <c r="YX8" s="40"/>
      <c r="YY8" s="40"/>
      <c r="YZ8" s="40"/>
      <c r="ZA8" s="40"/>
      <c r="ZB8" s="40"/>
      <c r="ZC8" s="40"/>
      <c r="ZD8" s="40"/>
      <c r="ZE8" s="40"/>
      <c r="ZF8" s="40"/>
      <c r="ZG8" s="40"/>
      <c r="ZH8" s="40"/>
      <c r="ZI8" s="40"/>
      <c r="ZJ8" s="40"/>
      <c r="ZK8" s="40"/>
      <c r="ZL8" s="40"/>
      <c r="ZM8" s="40"/>
      <c r="ZN8" s="40"/>
      <c r="ZO8" s="40"/>
      <c r="ZP8" s="40"/>
      <c r="ZQ8" s="40"/>
      <c r="ZR8" s="40"/>
      <c r="ZS8" s="40"/>
      <c r="ZT8" s="40"/>
      <c r="ZU8" s="40"/>
      <c r="ZV8" s="40"/>
      <c r="ZW8" s="40"/>
      <c r="ZX8" s="40"/>
      <c r="ZY8" s="40"/>
      <c r="ZZ8" s="40"/>
      <c r="AAA8" s="40"/>
      <c r="AAB8" s="40"/>
      <c r="AAC8" s="40"/>
      <c r="AAD8" s="40"/>
      <c r="AAE8" s="40"/>
      <c r="AAF8" s="40"/>
      <c r="AAG8" s="40"/>
      <c r="AAH8" s="40"/>
      <c r="AAI8" s="40"/>
      <c r="AAJ8" s="40"/>
      <c r="AAK8" s="40"/>
      <c r="AAL8" s="40"/>
      <c r="AAM8" s="40"/>
      <c r="AAN8" s="40"/>
      <c r="AAO8" s="40"/>
      <c r="AAP8" s="40"/>
      <c r="AAQ8" s="40"/>
      <c r="AAR8" s="40"/>
      <c r="AAS8" s="40"/>
      <c r="AAT8" s="40"/>
      <c r="AAU8" s="40"/>
      <c r="AAV8" s="40"/>
      <c r="AAW8" s="40"/>
      <c r="AAX8" s="40"/>
      <c r="AAY8" s="40"/>
      <c r="AAZ8" s="40"/>
      <c r="ABA8" s="40"/>
      <c r="ABB8" s="40"/>
      <c r="ABC8" s="40"/>
      <c r="ABD8" s="40"/>
      <c r="ABE8" s="40"/>
      <c r="ABF8" s="40"/>
      <c r="ABG8" s="40"/>
      <c r="ABH8" s="40"/>
      <c r="ABI8" s="40"/>
      <c r="ABJ8" s="40"/>
      <c r="ABK8" s="40"/>
      <c r="ABL8" s="40"/>
      <c r="ABM8" s="40"/>
      <c r="ABN8" s="40"/>
      <c r="ABO8" s="40"/>
      <c r="ABP8" s="40"/>
      <c r="ABQ8" s="40"/>
      <c r="ABR8" s="40"/>
      <c r="ABS8" s="40"/>
      <c r="ABT8" s="40"/>
      <c r="ABU8" s="40"/>
      <c r="ABV8" s="40"/>
      <c r="ABW8" s="40"/>
      <c r="ABX8" s="40"/>
      <c r="ABY8" s="40"/>
      <c r="ABZ8" s="40"/>
      <c r="ACA8" s="40"/>
      <c r="ACB8" s="40"/>
      <c r="ACC8" s="40"/>
      <c r="ACD8" s="40"/>
      <c r="ACE8" s="40"/>
      <c r="ACF8" s="40"/>
      <c r="ACG8" s="40"/>
      <c r="ACH8" s="40"/>
      <c r="ACI8" s="40"/>
      <c r="ACJ8" s="40"/>
      <c r="ACK8" s="40"/>
      <c r="ACL8" s="40"/>
      <c r="ACM8" s="40"/>
      <c r="ACN8" s="40"/>
      <c r="ACO8" s="40"/>
      <c r="ACP8" s="40"/>
      <c r="ACQ8" s="40"/>
      <c r="ACR8" s="40"/>
      <c r="ACS8" s="40"/>
      <c r="ACT8" s="40"/>
      <c r="ACU8" s="40"/>
      <c r="ACV8" s="40"/>
      <c r="ACW8" s="40"/>
      <c r="ACX8" s="40"/>
      <c r="ACY8" s="40"/>
      <c r="ACZ8" s="40"/>
      <c r="ADA8" s="40"/>
      <c r="ADB8" s="40"/>
      <c r="ADC8" s="40"/>
      <c r="ADD8" s="40"/>
      <c r="ADE8" s="40"/>
      <c r="ADF8" s="40"/>
      <c r="ADG8" s="40"/>
      <c r="ADH8" s="40"/>
      <c r="ADI8" s="40"/>
      <c r="ADJ8" s="40"/>
      <c r="ADK8" s="40"/>
      <c r="ADL8" s="40"/>
      <c r="ADM8" s="40"/>
      <c r="ADN8" s="40"/>
      <c r="ADO8" s="40"/>
      <c r="ADP8" s="40"/>
      <c r="ADQ8" s="40"/>
      <c r="ADR8" s="40"/>
      <c r="ADS8" s="40"/>
      <c r="ADT8" s="40"/>
      <c r="ADU8" s="40"/>
      <c r="ADV8" s="40"/>
      <c r="ADW8" s="40"/>
      <c r="ADX8" s="40"/>
      <c r="ADY8" s="40"/>
      <c r="ADZ8" s="40"/>
      <c r="AEA8" s="40"/>
      <c r="AEB8" s="40"/>
      <c r="AEC8" s="40"/>
      <c r="AED8" s="40"/>
      <c r="AEE8" s="40"/>
      <c r="AEF8" s="40"/>
      <c r="AEG8" s="40"/>
      <c r="AEH8" s="40"/>
      <c r="AEI8" s="40"/>
      <c r="AEJ8" s="40"/>
      <c r="AEK8" s="40"/>
      <c r="AEL8" s="40"/>
      <c r="AEM8" s="40"/>
      <c r="AEN8" s="40"/>
      <c r="AEO8" s="40"/>
      <c r="AEP8" s="40"/>
      <c r="AEQ8" s="40"/>
      <c r="AER8" s="40"/>
      <c r="AES8" s="40"/>
      <c r="AET8" s="40"/>
      <c r="AEU8" s="40"/>
      <c r="AEV8" s="40"/>
      <c r="AEW8" s="40"/>
      <c r="AEX8" s="40"/>
      <c r="AEY8" s="40"/>
      <c r="AEZ8" s="40"/>
      <c r="AFA8" s="40"/>
      <c r="AFB8" s="40"/>
      <c r="AFC8" s="40"/>
      <c r="AFD8" s="40"/>
      <c r="AFE8" s="40"/>
      <c r="AFF8" s="40"/>
      <c r="AFG8" s="40"/>
      <c r="AFH8" s="40"/>
      <c r="AFI8" s="40"/>
      <c r="AFJ8" s="40"/>
      <c r="AFK8" s="40"/>
      <c r="AFL8" s="40"/>
      <c r="AFM8" s="40"/>
      <c r="AFN8" s="40"/>
      <c r="AFO8" s="40"/>
      <c r="AFP8" s="40"/>
      <c r="AFQ8" s="40"/>
      <c r="AFR8" s="40"/>
      <c r="AFS8" s="40"/>
      <c r="AFT8" s="40"/>
      <c r="AFU8" s="40"/>
      <c r="AFV8" s="40"/>
      <c r="AFW8" s="40"/>
      <c r="AFX8" s="40"/>
      <c r="AFY8" s="40"/>
      <c r="AFZ8" s="40"/>
      <c r="AGA8" s="40"/>
      <c r="AGB8" s="40"/>
      <c r="AGC8" s="40"/>
      <c r="AGD8" s="40"/>
      <c r="AGE8" s="40"/>
      <c r="AGF8" s="40"/>
      <c r="AGG8" s="40"/>
      <c r="AGH8" s="40"/>
      <c r="AGI8" s="40"/>
      <c r="AGJ8" s="40"/>
      <c r="AGK8" s="40"/>
      <c r="AGL8" s="40"/>
      <c r="AGM8" s="40"/>
      <c r="AGN8" s="40"/>
      <c r="AGO8" s="40"/>
      <c r="AGP8" s="40"/>
      <c r="AGQ8" s="40"/>
      <c r="AGR8" s="40"/>
      <c r="AGS8" s="40"/>
      <c r="AGT8" s="40"/>
      <c r="AGU8" s="40"/>
      <c r="AGV8" s="40"/>
      <c r="AGW8" s="40"/>
      <c r="AGX8" s="40"/>
      <c r="AGY8" s="40"/>
      <c r="AGZ8" s="40"/>
      <c r="AHA8" s="40"/>
      <c r="AHB8" s="40"/>
      <c r="AHC8" s="40"/>
      <c r="AHD8" s="40"/>
      <c r="AHE8" s="40"/>
      <c r="AHF8" s="40"/>
      <c r="AHG8" s="40"/>
      <c r="AHH8" s="40"/>
      <c r="AHI8" s="40"/>
      <c r="AHJ8" s="40"/>
      <c r="AHK8" s="40"/>
      <c r="AHL8" s="40"/>
      <c r="AHM8" s="40"/>
      <c r="AHN8" s="40"/>
      <c r="AHO8" s="40"/>
      <c r="AHP8" s="40"/>
      <c r="AHQ8" s="40"/>
      <c r="AHR8" s="40"/>
      <c r="AHS8" s="40"/>
      <c r="AHT8" s="40"/>
      <c r="AHU8" s="40"/>
      <c r="AHV8" s="40"/>
      <c r="AHW8" s="40"/>
      <c r="AHX8" s="40"/>
      <c r="AHY8" s="40"/>
      <c r="AHZ8" s="40"/>
      <c r="AIA8" s="40"/>
      <c r="AIB8" s="40"/>
      <c r="AIC8" s="40"/>
      <c r="AID8" s="40"/>
      <c r="AIE8" s="40"/>
      <c r="AIF8" s="40"/>
      <c r="AIG8" s="40"/>
      <c r="AIH8" s="40"/>
      <c r="AII8" s="40"/>
      <c r="AIJ8" s="40"/>
      <c r="AIK8" s="40"/>
      <c r="AIL8" s="40"/>
      <c r="AIM8" s="40"/>
      <c r="AIN8" s="40"/>
      <c r="AIO8" s="40"/>
      <c r="AIP8" s="40"/>
      <c r="AIQ8" s="40"/>
      <c r="AIR8" s="40"/>
      <c r="AIS8" s="40"/>
      <c r="AIT8" s="40"/>
      <c r="AIU8" s="40"/>
      <c r="AIV8" s="40"/>
      <c r="AIW8" s="40"/>
      <c r="AIX8" s="40"/>
      <c r="AIY8" s="40"/>
      <c r="AIZ8" s="40"/>
      <c r="AJA8" s="40"/>
      <c r="AJB8" s="40"/>
      <c r="AJC8" s="40"/>
      <c r="AJD8" s="40"/>
      <c r="AJE8" s="40"/>
      <c r="AJF8" s="40"/>
      <c r="AJG8" s="40"/>
      <c r="AJH8" s="40"/>
      <c r="AJI8" s="40"/>
      <c r="AJJ8" s="40"/>
      <c r="AJK8" s="40"/>
      <c r="AJL8" s="40"/>
      <c r="AJM8" s="40"/>
      <c r="AJN8" s="40"/>
      <c r="AJO8" s="40"/>
      <c r="AJP8" s="40"/>
      <c r="AJQ8" s="40"/>
      <c r="AJR8" s="40"/>
      <c r="AJS8" s="40"/>
      <c r="AJT8" s="40"/>
      <c r="AJU8" s="40"/>
      <c r="AJV8" s="40"/>
      <c r="AJW8" s="40"/>
      <c r="AJX8" s="40"/>
      <c r="AJY8" s="40"/>
      <c r="AJZ8" s="40"/>
      <c r="AKA8" s="40"/>
      <c r="AKB8" s="40"/>
      <c r="AKC8" s="40"/>
      <c r="AKD8" s="40"/>
      <c r="AKE8" s="40"/>
      <c r="AKF8" s="40"/>
      <c r="AKG8" s="40"/>
      <c r="AKH8" s="40"/>
      <c r="AKI8" s="40"/>
      <c r="AKJ8" s="40"/>
      <c r="AKK8" s="40"/>
      <c r="AKL8" s="40"/>
      <c r="AKM8" s="40"/>
      <c r="AKN8" s="40"/>
      <c r="AKO8" s="40"/>
      <c r="AKP8" s="40"/>
      <c r="AKQ8" s="40"/>
      <c r="AKR8" s="40"/>
      <c r="AKS8" s="40"/>
      <c r="AKT8" s="40"/>
      <c r="AKU8" s="40"/>
      <c r="AKV8" s="40"/>
      <c r="AKW8" s="40"/>
      <c r="AKX8" s="40"/>
      <c r="AKY8" s="40"/>
      <c r="AKZ8" s="40"/>
      <c r="ALA8" s="40"/>
      <c r="ALB8" s="40"/>
      <c r="ALC8" s="40"/>
      <c r="ALD8" s="40"/>
      <c r="ALE8" s="40"/>
      <c r="ALF8" s="40"/>
      <c r="ALG8" s="40"/>
      <c r="ALH8" s="40"/>
      <c r="ALI8" s="40"/>
      <c r="ALJ8" s="40"/>
      <c r="ALK8" s="40"/>
      <c r="ALL8" s="40"/>
      <c r="ALM8" s="40"/>
      <c r="ALN8" s="40"/>
      <c r="ALO8" s="40"/>
      <c r="ALP8" s="40"/>
      <c r="ALQ8" s="40"/>
      <c r="ALR8" s="40"/>
      <c r="ALS8" s="40"/>
      <c r="ALT8" s="40"/>
      <c r="ALU8" s="40"/>
      <c r="ALV8" s="40"/>
      <c r="ALW8" s="40"/>
      <c r="ALX8" s="40"/>
      <c r="ALY8" s="40"/>
      <c r="ALZ8" s="40"/>
      <c r="AMA8" s="40"/>
      <c r="AMB8" s="40"/>
      <c r="AMC8" s="40"/>
      <c r="AMD8" s="40"/>
      <c r="AME8" s="40"/>
      <c r="AMF8" s="40"/>
      <c r="AMG8" s="40"/>
      <c r="AMH8" s="40"/>
      <c r="AMI8" s="40"/>
      <c r="AMJ8" s="40"/>
      <c r="AMK8" s="40"/>
      <c r="AML8" s="40"/>
    </row>
    <row r="9" ht="15.75" customHeight="1">
      <c r="A9" s="38" t="s">
        <v>20</v>
      </c>
      <c r="B9" s="38" t="s">
        <v>20</v>
      </c>
      <c r="C9" s="41" t="s">
        <v>34</v>
      </c>
      <c r="D9" s="35" t="s">
        <v>28</v>
      </c>
      <c r="E9" s="35" t="s">
        <v>28</v>
      </c>
      <c r="F9" s="35" t="s">
        <v>23</v>
      </c>
      <c r="G9" s="37">
        <v>1.0</v>
      </c>
      <c r="H9" s="37">
        <v>1.0</v>
      </c>
      <c r="I9" s="37">
        <v>1.0</v>
      </c>
      <c r="J9" s="38"/>
      <c r="K9" s="37">
        <v>0.0</v>
      </c>
      <c r="L9" s="37">
        <v>0.0</v>
      </c>
      <c r="M9" s="37">
        <v>0.0</v>
      </c>
      <c r="N9" s="38"/>
      <c r="O9" s="37">
        <v>0.0</v>
      </c>
      <c r="P9" s="39">
        <v>0.0</v>
      </c>
      <c r="Q9" s="39">
        <v>0.0</v>
      </c>
      <c r="R9" s="39">
        <v>0.0</v>
      </c>
      <c r="S9" s="39">
        <v>0.0</v>
      </c>
      <c r="T9" s="38" t="s">
        <v>28</v>
      </c>
      <c r="U9" s="38"/>
      <c r="V9" s="38"/>
      <c r="W9" s="38"/>
      <c r="X9" s="38"/>
      <c r="Y9" s="38"/>
      <c r="Z9" s="38"/>
      <c r="AA9" s="38"/>
      <c r="AB9" s="38" t="s">
        <v>20</v>
      </c>
      <c r="AC9" s="38" t="s">
        <v>20</v>
      </c>
      <c r="AD9" s="38" t="s">
        <v>20</v>
      </c>
      <c r="AE9" s="38" t="s">
        <v>20</v>
      </c>
      <c r="AF9" s="38" t="s">
        <v>20</v>
      </c>
      <c r="AG9" s="38" t="s">
        <v>20</v>
      </c>
      <c r="AH9" s="38" t="s">
        <v>20</v>
      </c>
      <c r="AI9" s="38" t="s">
        <v>20</v>
      </c>
      <c r="AJ9" s="38" t="s">
        <v>20</v>
      </c>
      <c r="AK9" s="38" t="s">
        <v>20</v>
      </c>
      <c r="AL9" s="38" t="s">
        <v>20</v>
      </c>
      <c r="AM9" s="38" t="s">
        <v>20</v>
      </c>
      <c r="AN9" s="38" t="s">
        <v>20</v>
      </c>
      <c r="AO9" s="38" t="s">
        <v>20</v>
      </c>
      <c r="AP9" s="38" t="s">
        <v>20</v>
      </c>
      <c r="AQ9" s="38" t="s">
        <v>20</v>
      </c>
      <c r="AR9" s="38" t="s">
        <v>20</v>
      </c>
      <c r="AS9" s="38" t="s">
        <v>20</v>
      </c>
      <c r="AT9" s="38" t="s">
        <v>20</v>
      </c>
      <c r="AU9" s="38" t="s">
        <v>20</v>
      </c>
      <c r="AV9" s="38" t="s">
        <v>20</v>
      </c>
      <c r="AW9" s="38" t="s">
        <v>20</v>
      </c>
      <c r="AX9" s="38" t="s">
        <v>20</v>
      </c>
      <c r="AY9" s="38" t="s">
        <v>20</v>
      </c>
      <c r="AZ9" s="38" t="s">
        <v>20</v>
      </c>
      <c r="BA9" s="38" t="s">
        <v>20</v>
      </c>
      <c r="BB9" s="38" t="s">
        <v>20</v>
      </c>
      <c r="BC9" s="38" t="s">
        <v>20</v>
      </c>
      <c r="BD9" s="38" t="s">
        <v>20</v>
      </c>
      <c r="BE9" s="38" t="s">
        <v>20</v>
      </c>
      <c r="BF9" s="38" t="s">
        <v>20</v>
      </c>
      <c r="BG9" s="38" t="s">
        <v>20</v>
      </c>
      <c r="BH9" s="38" t="s">
        <v>20</v>
      </c>
      <c r="BI9" s="38" t="s">
        <v>20</v>
      </c>
      <c r="BJ9" s="38" t="s">
        <v>20</v>
      </c>
      <c r="BK9" s="38" t="s">
        <v>20</v>
      </c>
      <c r="BL9" s="38" t="s">
        <v>20</v>
      </c>
      <c r="BM9" s="38" t="s">
        <v>20</v>
      </c>
      <c r="BN9" s="38" t="s">
        <v>20</v>
      </c>
      <c r="BO9" s="38" t="s">
        <v>20</v>
      </c>
      <c r="BP9" s="38" t="s">
        <v>20</v>
      </c>
      <c r="BQ9" s="38" t="s">
        <v>20</v>
      </c>
      <c r="BR9" s="38" t="s">
        <v>20</v>
      </c>
      <c r="BS9" s="38" t="s">
        <v>20</v>
      </c>
      <c r="BT9" s="38" t="s">
        <v>20</v>
      </c>
      <c r="BU9" s="38" t="s">
        <v>20</v>
      </c>
      <c r="BV9" s="38" t="s">
        <v>20</v>
      </c>
      <c r="BW9" s="38" t="s">
        <v>20</v>
      </c>
      <c r="BX9" s="38" t="s">
        <v>20</v>
      </c>
      <c r="BY9" s="38" t="s">
        <v>20</v>
      </c>
      <c r="BZ9" s="38" t="s">
        <v>20</v>
      </c>
      <c r="CA9" s="38" t="s">
        <v>20</v>
      </c>
      <c r="CB9" s="38" t="s">
        <v>20</v>
      </c>
      <c r="CC9" s="38" t="s">
        <v>20</v>
      </c>
      <c r="CD9" s="38" t="s">
        <v>20</v>
      </c>
      <c r="CE9" s="38" t="s">
        <v>20</v>
      </c>
      <c r="CF9" s="38" t="s">
        <v>20</v>
      </c>
      <c r="CG9" s="38" t="s">
        <v>20</v>
      </c>
      <c r="CH9" s="38" t="s">
        <v>20</v>
      </c>
      <c r="CI9" s="38" t="s">
        <v>20</v>
      </c>
      <c r="CJ9" s="38" t="s">
        <v>20</v>
      </c>
      <c r="CK9" s="38" t="s">
        <v>20</v>
      </c>
      <c r="CL9" s="38" t="s">
        <v>20</v>
      </c>
      <c r="CM9" s="38" t="s">
        <v>20</v>
      </c>
      <c r="CN9" s="38" t="s">
        <v>20</v>
      </c>
      <c r="CO9" s="38" t="s">
        <v>20</v>
      </c>
      <c r="CP9" s="38" t="s">
        <v>20</v>
      </c>
      <c r="CQ9" s="38" t="s">
        <v>20</v>
      </c>
      <c r="CR9" s="38" t="s">
        <v>20</v>
      </c>
      <c r="CS9" s="38" t="s">
        <v>20</v>
      </c>
      <c r="CT9" s="38" t="s">
        <v>20</v>
      </c>
      <c r="CU9" s="38" t="s">
        <v>20</v>
      </c>
      <c r="CV9" s="38" t="s">
        <v>20</v>
      </c>
      <c r="CW9" s="38" t="s">
        <v>20</v>
      </c>
      <c r="CX9" s="38" t="s">
        <v>20</v>
      </c>
      <c r="CY9" s="38" t="s">
        <v>20</v>
      </c>
      <c r="CZ9" s="38" t="s">
        <v>20</v>
      </c>
      <c r="DA9" s="38" t="s">
        <v>20</v>
      </c>
      <c r="DB9" s="38" t="s">
        <v>20</v>
      </c>
      <c r="DC9" s="38" t="s">
        <v>20</v>
      </c>
      <c r="DD9" s="38" t="s">
        <v>20</v>
      </c>
      <c r="DE9" s="38" t="s">
        <v>20</v>
      </c>
      <c r="DF9" s="38" t="s">
        <v>20</v>
      </c>
      <c r="DG9" s="38" t="s">
        <v>20</v>
      </c>
      <c r="DH9" s="38" t="s">
        <v>20</v>
      </c>
      <c r="DI9" s="38" t="s">
        <v>20</v>
      </c>
      <c r="DJ9" s="38" t="s">
        <v>20</v>
      </c>
      <c r="DK9" s="38" t="s">
        <v>20</v>
      </c>
      <c r="DL9" s="38" t="s">
        <v>20</v>
      </c>
      <c r="DM9" s="38" t="s">
        <v>20</v>
      </c>
      <c r="DN9" s="38" t="s">
        <v>20</v>
      </c>
      <c r="DO9" s="38" t="s">
        <v>20</v>
      </c>
      <c r="DP9" s="38" t="s">
        <v>20</v>
      </c>
      <c r="DQ9" s="38" t="s">
        <v>20</v>
      </c>
      <c r="DR9" s="38" t="s">
        <v>20</v>
      </c>
      <c r="DS9" s="38" t="s">
        <v>20</v>
      </c>
      <c r="DT9" s="38" t="s">
        <v>20</v>
      </c>
      <c r="DU9" s="38" t="s">
        <v>20</v>
      </c>
      <c r="DV9" s="38" t="s">
        <v>20</v>
      </c>
      <c r="DW9" s="38" t="s">
        <v>20</v>
      </c>
      <c r="DX9" s="38" t="s">
        <v>20</v>
      </c>
      <c r="DY9" s="38" t="s">
        <v>20</v>
      </c>
      <c r="DZ9" s="38" t="s">
        <v>20</v>
      </c>
      <c r="EA9" s="38" t="s">
        <v>20</v>
      </c>
      <c r="EB9" s="38" t="s">
        <v>20</v>
      </c>
      <c r="EC9" s="38" t="s">
        <v>20</v>
      </c>
      <c r="ED9" s="38" t="s">
        <v>20</v>
      </c>
      <c r="EE9" s="38" t="s">
        <v>20</v>
      </c>
      <c r="EF9" s="38" t="s">
        <v>20</v>
      </c>
      <c r="EG9" s="38" t="s">
        <v>20</v>
      </c>
      <c r="EH9" s="38" t="s">
        <v>20</v>
      </c>
      <c r="EI9" s="38" t="s">
        <v>20</v>
      </c>
      <c r="EJ9" s="38" t="s">
        <v>20</v>
      </c>
      <c r="EK9" s="38" t="s">
        <v>20</v>
      </c>
      <c r="EL9" s="38" t="s">
        <v>20</v>
      </c>
      <c r="EM9" s="38" t="s">
        <v>20</v>
      </c>
      <c r="EN9" s="38" t="s">
        <v>20</v>
      </c>
      <c r="EO9" s="38" t="s">
        <v>20</v>
      </c>
      <c r="EP9" s="38" t="s">
        <v>20</v>
      </c>
      <c r="EQ9" s="38" t="s">
        <v>20</v>
      </c>
      <c r="ER9" s="38" t="s">
        <v>20</v>
      </c>
      <c r="ES9" s="38" t="s">
        <v>20</v>
      </c>
      <c r="ET9" s="38" t="s">
        <v>20</v>
      </c>
      <c r="EU9" s="38" t="s">
        <v>20</v>
      </c>
      <c r="EV9" s="38" t="s">
        <v>20</v>
      </c>
      <c r="EW9" s="38" t="s">
        <v>20</v>
      </c>
      <c r="EX9" s="38" t="s">
        <v>20</v>
      </c>
      <c r="EY9" s="38" t="s">
        <v>20</v>
      </c>
      <c r="EZ9" s="38" t="s">
        <v>20</v>
      </c>
      <c r="FA9" s="38" t="s">
        <v>20</v>
      </c>
      <c r="FB9" s="38" t="s">
        <v>20</v>
      </c>
      <c r="FC9" s="38" t="s">
        <v>20</v>
      </c>
      <c r="FD9" s="38" t="s">
        <v>20</v>
      </c>
      <c r="FE9" s="38" t="s">
        <v>20</v>
      </c>
      <c r="FF9" s="38" t="s">
        <v>20</v>
      </c>
      <c r="FG9" s="38" t="s">
        <v>20</v>
      </c>
      <c r="FH9" s="38" t="s">
        <v>20</v>
      </c>
      <c r="FI9" s="38" t="s">
        <v>20</v>
      </c>
      <c r="FJ9" s="38" t="s">
        <v>20</v>
      </c>
      <c r="FK9" s="38" t="s">
        <v>20</v>
      </c>
      <c r="FL9" s="38" t="s">
        <v>20</v>
      </c>
      <c r="FM9" s="38" t="s">
        <v>20</v>
      </c>
      <c r="FN9" s="38" t="s">
        <v>20</v>
      </c>
      <c r="FO9" s="38" t="s">
        <v>20</v>
      </c>
      <c r="FP9" s="38" t="s">
        <v>20</v>
      </c>
      <c r="FQ9" s="38" t="s">
        <v>20</v>
      </c>
      <c r="FR9" s="40"/>
      <c r="FS9" s="40"/>
      <c r="FT9" s="40"/>
      <c r="FU9" s="40"/>
      <c r="FV9" s="40"/>
      <c r="FW9" s="40"/>
      <c r="FX9" s="40"/>
      <c r="FY9" s="40"/>
      <c r="FZ9" s="40"/>
      <c r="GA9" s="40"/>
      <c r="GB9" s="40"/>
      <c r="GC9" s="40"/>
      <c r="GD9" s="40"/>
      <c r="GE9" s="40"/>
      <c r="GF9" s="40"/>
      <c r="GG9" s="40"/>
      <c r="GH9" s="40"/>
      <c r="GI9" s="40"/>
      <c r="GJ9" s="40"/>
      <c r="GK9" s="40"/>
      <c r="GL9" s="40"/>
      <c r="GM9" s="40"/>
      <c r="GN9" s="40"/>
      <c r="GO9" s="40"/>
      <c r="GP9" s="40"/>
      <c r="GQ9" s="40"/>
      <c r="GR9" s="40"/>
      <c r="GS9" s="40"/>
      <c r="GT9" s="40"/>
      <c r="GU9" s="40"/>
      <c r="GV9" s="40"/>
      <c r="GW9" s="40"/>
      <c r="GX9" s="40"/>
      <c r="GY9" s="40"/>
      <c r="GZ9" s="40"/>
      <c r="HA9" s="40"/>
      <c r="HB9" s="40"/>
      <c r="HC9" s="40"/>
      <c r="HD9" s="40"/>
      <c r="HE9" s="40"/>
      <c r="HF9" s="40"/>
      <c r="HG9" s="40"/>
      <c r="HH9" s="40"/>
      <c r="HI9" s="40"/>
      <c r="HJ9" s="40"/>
      <c r="HK9" s="40"/>
      <c r="HL9" s="40"/>
      <c r="HM9" s="40"/>
      <c r="HN9" s="40"/>
      <c r="HO9" s="40"/>
      <c r="HP9" s="40"/>
      <c r="HQ9" s="40"/>
      <c r="HR9" s="40"/>
      <c r="HS9" s="40"/>
      <c r="HT9" s="40"/>
      <c r="HU9" s="40"/>
      <c r="HV9" s="40"/>
      <c r="HW9" s="40"/>
      <c r="HX9" s="40"/>
      <c r="HY9" s="40"/>
      <c r="HZ9" s="40"/>
      <c r="IA9" s="40"/>
      <c r="IB9" s="40"/>
      <c r="IC9" s="40"/>
      <c r="ID9" s="40"/>
      <c r="IE9" s="40"/>
      <c r="IF9" s="40"/>
      <c r="IG9" s="40"/>
      <c r="IH9" s="40"/>
      <c r="II9" s="40"/>
      <c r="IJ9" s="40"/>
      <c r="IK9" s="40"/>
      <c r="IL9" s="40"/>
      <c r="IM9" s="40"/>
      <c r="IN9" s="40"/>
      <c r="IO9" s="40"/>
      <c r="IP9" s="40"/>
      <c r="IQ9" s="40"/>
      <c r="IR9" s="40"/>
      <c r="IS9" s="40"/>
      <c r="IT9" s="40"/>
      <c r="IU9" s="40"/>
      <c r="IV9" s="40"/>
      <c r="IW9" s="40"/>
      <c r="IX9" s="40"/>
      <c r="IY9" s="40"/>
      <c r="IZ9" s="40"/>
      <c r="JA9" s="40"/>
      <c r="JB9" s="40"/>
      <c r="JC9" s="40"/>
      <c r="JD9" s="40"/>
      <c r="JE9" s="40"/>
      <c r="JF9" s="40"/>
      <c r="JG9" s="40"/>
      <c r="JH9" s="40"/>
      <c r="JI9" s="40"/>
      <c r="JJ9" s="40"/>
      <c r="JK9" s="40"/>
      <c r="JL9" s="40"/>
      <c r="JM9" s="40"/>
      <c r="JN9" s="40"/>
      <c r="JO9" s="40"/>
      <c r="JP9" s="40"/>
      <c r="JQ9" s="40"/>
      <c r="JR9" s="40"/>
      <c r="JS9" s="40"/>
      <c r="JT9" s="40"/>
      <c r="JU9" s="40"/>
      <c r="JV9" s="40"/>
      <c r="JW9" s="40"/>
      <c r="JX9" s="40"/>
      <c r="JY9" s="40"/>
      <c r="JZ9" s="40"/>
      <c r="KA9" s="40"/>
      <c r="KB9" s="40"/>
      <c r="KC9" s="40"/>
      <c r="KD9" s="40"/>
      <c r="KE9" s="40"/>
      <c r="KF9" s="40"/>
      <c r="KG9" s="40"/>
      <c r="KH9" s="40"/>
      <c r="KI9" s="40"/>
      <c r="KJ9" s="40"/>
      <c r="KK9" s="40"/>
      <c r="KL9" s="40"/>
      <c r="KM9" s="40"/>
      <c r="KN9" s="40"/>
      <c r="KO9" s="40"/>
      <c r="KP9" s="40"/>
      <c r="KQ9" s="40"/>
      <c r="KR9" s="40"/>
      <c r="KS9" s="40"/>
      <c r="KT9" s="40"/>
      <c r="KU9" s="40"/>
      <c r="KV9" s="40"/>
      <c r="KW9" s="40"/>
      <c r="KX9" s="40"/>
      <c r="KY9" s="40"/>
      <c r="KZ9" s="40"/>
      <c r="LA9" s="40"/>
      <c r="LB9" s="40"/>
      <c r="LC9" s="40"/>
      <c r="LD9" s="40"/>
      <c r="LE9" s="40"/>
      <c r="LF9" s="40"/>
      <c r="LG9" s="40"/>
      <c r="LH9" s="40"/>
      <c r="LI9" s="40"/>
      <c r="LJ9" s="40"/>
      <c r="LK9" s="40"/>
      <c r="LL9" s="40"/>
      <c r="LM9" s="40"/>
      <c r="LN9" s="40"/>
      <c r="LO9" s="40"/>
      <c r="LP9" s="40"/>
      <c r="LQ9" s="40"/>
      <c r="LR9" s="40"/>
      <c r="LS9" s="40"/>
      <c r="LT9" s="40"/>
      <c r="LU9" s="40"/>
      <c r="LV9" s="40"/>
      <c r="LW9" s="40"/>
      <c r="LX9" s="40"/>
      <c r="LY9" s="40"/>
      <c r="LZ9" s="40"/>
      <c r="MA9" s="40"/>
      <c r="MB9" s="40"/>
      <c r="MC9" s="40"/>
      <c r="MD9" s="40"/>
      <c r="ME9" s="40"/>
      <c r="MF9" s="40"/>
      <c r="MG9" s="40"/>
      <c r="MH9" s="40"/>
      <c r="MI9" s="40"/>
      <c r="MJ9" s="40"/>
      <c r="MK9" s="40"/>
      <c r="ML9" s="40"/>
      <c r="MM9" s="40"/>
      <c r="MN9" s="40"/>
      <c r="MO9" s="40"/>
      <c r="MP9" s="40"/>
      <c r="MQ9" s="40"/>
      <c r="MR9" s="40"/>
      <c r="MS9" s="40"/>
      <c r="MT9" s="40"/>
      <c r="MU9" s="40"/>
      <c r="MV9" s="40"/>
      <c r="MW9" s="40"/>
      <c r="MX9" s="40"/>
      <c r="MY9" s="40"/>
      <c r="MZ9" s="40"/>
      <c r="NA9" s="40"/>
      <c r="NB9" s="40"/>
      <c r="NC9" s="40"/>
      <c r="ND9" s="40"/>
      <c r="NE9" s="40"/>
      <c r="NF9" s="40"/>
      <c r="NG9" s="40"/>
      <c r="NH9" s="40"/>
      <c r="NI9" s="40"/>
      <c r="NJ9" s="40"/>
      <c r="NK9" s="40"/>
      <c r="NL9" s="40"/>
      <c r="NM9" s="40"/>
      <c r="NN9" s="40"/>
      <c r="NO9" s="40"/>
      <c r="NP9" s="40"/>
      <c r="NQ9" s="40"/>
      <c r="NR9" s="40"/>
      <c r="NS9" s="40"/>
      <c r="NT9" s="40"/>
      <c r="NU9" s="40"/>
      <c r="NV9" s="40"/>
      <c r="NW9" s="40"/>
      <c r="NX9" s="40"/>
      <c r="NY9" s="40"/>
      <c r="NZ9" s="40"/>
      <c r="OA9" s="40"/>
      <c r="OB9" s="40"/>
      <c r="OC9" s="40"/>
      <c r="OD9" s="40"/>
      <c r="OE9" s="40"/>
      <c r="OF9" s="40"/>
      <c r="OG9" s="40"/>
      <c r="OH9" s="40"/>
      <c r="OI9" s="40"/>
      <c r="OJ9" s="40"/>
      <c r="OK9" s="40"/>
      <c r="OL9" s="40"/>
      <c r="OM9" s="40"/>
      <c r="ON9" s="40"/>
      <c r="OO9" s="40"/>
      <c r="OP9" s="40"/>
      <c r="OQ9" s="40"/>
      <c r="OR9" s="40"/>
      <c r="OS9" s="40"/>
      <c r="OT9" s="40"/>
      <c r="OU9" s="40"/>
      <c r="OV9" s="40"/>
      <c r="OW9" s="40"/>
      <c r="OX9" s="40"/>
      <c r="OY9" s="40"/>
      <c r="OZ9" s="40"/>
      <c r="PA9" s="40"/>
      <c r="PB9" s="40"/>
      <c r="PC9" s="40"/>
      <c r="PD9" s="40"/>
      <c r="PE9" s="40"/>
      <c r="PF9" s="40"/>
      <c r="PG9" s="40"/>
      <c r="PH9" s="40"/>
      <c r="PI9" s="40"/>
      <c r="PJ9" s="40"/>
      <c r="PK9" s="40"/>
      <c r="PL9" s="40"/>
      <c r="PM9" s="40"/>
      <c r="PN9" s="40"/>
      <c r="PO9" s="40"/>
      <c r="PP9" s="40"/>
      <c r="PQ9" s="40"/>
      <c r="PR9" s="40"/>
      <c r="PS9" s="40"/>
      <c r="PT9" s="40"/>
      <c r="PU9" s="40"/>
      <c r="PV9" s="40"/>
      <c r="PW9" s="40"/>
      <c r="PX9" s="40"/>
      <c r="PY9" s="40"/>
      <c r="PZ9" s="40"/>
      <c r="QA9" s="40"/>
      <c r="QB9" s="40"/>
      <c r="QC9" s="40"/>
      <c r="QD9" s="40"/>
      <c r="QE9" s="40"/>
      <c r="QF9" s="40"/>
      <c r="QG9" s="40"/>
      <c r="QH9" s="40"/>
      <c r="QI9" s="40"/>
      <c r="QJ9" s="40"/>
      <c r="QK9" s="40"/>
      <c r="QL9" s="40"/>
      <c r="QM9" s="40"/>
      <c r="QN9" s="40"/>
      <c r="QO9" s="40"/>
      <c r="QP9" s="40"/>
      <c r="QQ9" s="40"/>
      <c r="QR9" s="40"/>
      <c r="QS9" s="40"/>
      <c r="QT9" s="40"/>
      <c r="QU9" s="40"/>
      <c r="QV9" s="40"/>
      <c r="QW9" s="40"/>
      <c r="QX9" s="40"/>
      <c r="QY9" s="40"/>
      <c r="QZ9" s="40"/>
      <c r="RA9" s="40"/>
      <c r="RB9" s="40"/>
      <c r="RC9" s="40"/>
      <c r="RD9" s="40"/>
      <c r="RE9" s="40"/>
      <c r="RF9" s="40"/>
      <c r="RG9" s="40"/>
      <c r="RH9" s="40"/>
      <c r="RI9" s="40"/>
      <c r="RJ9" s="40"/>
      <c r="RK9" s="40"/>
      <c r="RL9" s="40"/>
      <c r="RM9" s="40"/>
      <c r="RN9" s="40"/>
      <c r="RO9" s="40"/>
      <c r="RP9" s="40"/>
      <c r="RQ9" s="40"/>
      <c r="RR9" s="40"/>
      <c r="RS9" s="40"/>
      <c r="RT9" s="40"/>
      <c r="RU9" s="40"/>
      <c r="RV9" s="40"/>
      <c r="RW9" s="40"/>
      <c r="RX9" s="40"/>
      <c r="RY9" s="40"/>
      <c r="RZ9" s="40"/>
      <c r="SA9" s="40"/>
      <c r="SB9" s="40"/>
      <c r="SC9" s="40"/>
      <c r="SD9" s="40"/>
      <c r="SE9" s="40"/>
      <c r="SF9" s="40"/>
      <c r="SG9" s="40"/>
      <c r="SH9" s="40"/>
      <c r="SI9" s="40"/>
      <c r="SJ9" s="40"/>
      <c r="SK9" s="40"/>
      <c r="SL9" s="40"/>
      <c r="SM9" s="40"/>
      <c r="SN9" s="40"/>
      <c r="SO9" s="40"/>
      <c r="SP9" s="40"/>
      <c r="SQ9" s="40"/>
      <c r="SR9" s="40"/>
      <c r="SS9" s="40"/>
      <c r="ST9" s="40"/>
      <c r="SU9" s="40"/>
      <c r="SV9" s="40"/>
      <c r="SW9" s="40"/>
      <c r="SX9" s="40"/>
      <c r="SY9" s="40"/>
      <c r="SZ9" s="40"/>
      <c r="TA9" s="40"/>
      <c r="TB9" s="40"/>
      <c r="TC9" s="40"/>
      <c r="TD9" s="40"/>
      <c r="TE9" s="40"/>
      <c r="TF9" s="40"/>
      <c r="TG9" s="40"/>
      <c r="TH9" s="40"/>
      <c r="TI9" s="40"/>
      <c r="TJ9" s="40"/>
      <c r="TK9" s="40"/>
      <c r="TL9" s="40"/>
      <c r="TM9" s="40"/>
      <c r="TN9" s="40"/>
      <c r="TO9" s="40"/>
      <c r="TP9" s="40"/>
      <c r="TQ9" s="40"/>
      <c r="TR9" s="40"/>
      <c r="TS9" s="40"/>
      <c r="TT9" s="40"/>
      <c r="TU9" s="40"/>
      <c r="TV9" s="40"/>
      <c r="TW9" s="40"/>
      <c r="TX9" s="40"/>
      <c r="TY9" s="40"/>
      <c r="TZ9" s="40"/>
      <c r="UA9" s="40"/>
      <c r="UB9" s="40"/>
      <c r="UC9" s="40"/>
      <c r="UD9" s="40"/>
      <c r="UE9" s="40"/>
      <c r="UF9" s="40"/>
      <c r="UG9" s="40"/>
      <c r="UH9" s="40"/>
      <c r="UI9" s="40"/>
      <c r="UJ9" s="40"/>
      <c r="UK9" s="40"/>
      <c r="UL9" s="40"/>
      <c r="UM9" s="40"/>
      <c r="UN9" s="40"/>
      <c r="UO9" s="40"/>
      <c r="UP9" s="40"/>
      <c r="UQ9" s="40"/>
      <c r="UR9" s="40"/>
      <c r="US9" s="40"/>
      <c r="UT9" s="40"/>
      <c r="UU9" s="40"/>
      <c r="UV9" s="40"/>
      <c r="UW9" s="40"/>
      <c r="UX9" s="40"/>
      <c r="UY9" s="40"/>
      <c r="UZ9" s="40"/>
      <c r="VA9" s="40"/>
      <c r="VB9" s="40"/>
      <c r="VC9" s="40"/>
      <c r="VD9" s="40"/>
      <c r="VE9" s="40"/>
      <c r="VF9" s="40"/>
      <c r="VG9" s="40"/>
      <c r="VH9" s="40"/>
      <c r="VI9" s="40"/>
      <c r="VJ9" s="40"/>
      <c r="VK9" s="40"/>
      <c r="VL9" s="40"/>
      <c r="VM9" s="40"/>
      <c r="VN9" s="40"/>
      <c r="VO9" s="40"/>
      <c r="VP9" s="40"/>
      <c r="VQ9" s="40"/>
      <c r="VR9" s="40"/>
      <c r="VS9" s="40"/>
      <c r="VT9" s="40"/>
      <c r="VU9" s="40"/>
      <c r="VV9" s="40"/>
      <c r="VW9" s="40"/>
      <c r="VX9" s="40"/>
      <c r="VY9" s="40"/>
      <c r="VZ9" s="40"/>
      <c r="WA9" s="40"/>
      <c r="WB9" s="40"/>
      <c r="WC9" s="40"/>
      <c r="WD9" s="40"/>
      <c r="WE9" s="40"/>
      <c r="WF9" s="40"/>
      <c r="WG9" s="40"/>
      <c r="WH9" s="40"/>
      <c r="WI9" s="40"/>
      <c r="WJ9" s="40"/>
      <c r="WK9" s="40"/>
      <c r="WL9" s="40"/>
      <c r="WM9" s="40"/>
      <c r="WN9" s="40"/>
      <c r="WO9" s="40"/>
      <c r="WP9" s="40"/>
      <c r="WQ9" s="40"/>
      <c r="WR9" s="40"/>
      <c r="WS9" s="40"/>
      <c r="WT9" s="40"/>
      <c r="WU9" s="40"/>
      <c r="WV9" s="40"/>
      <c r="WW9" s="40"/>
      <c r="WX9" s="40"/>
      <c r="WY9" s="40"/>
      <c r="WZ9" s="40"/>
      <c r="XA9" s="40"/>
      <c r="XB9" s="40"/>
      <c r="XC9" s="40"/>
      <c r="XD9" s="40"/>
      <c r="XE9" s="40"/>
      <c r="XF9" s="40"/>
      <c r="XG9" s="40"/>
      <c r="XH9" s="40"/>
      <c r="XI9" s="40"/>
      <c r="XJ9" s="40"/>
      <c r="XK9" s="40"/>
      <c r="XL9" s="40"/>
      <c r="XM9" s="40"/>
      <c r="XN9" s="40"/>
      <c r="XO9" s="40"/>
      <c r="XP9" s="40"/>
      <c r="XQ9" s="40"/>
      <c r="XR9" s="40"/>
      <c r="XS9" s="40"/>
      <c r="XT9" s="40"/>
      <c r="XU9" s="40"/>
      <c r="XV9" s="40"/>
      <c r="XW9" s="40"/>
      <c r="XX9" s="40"/>
      <c r="XY9" s="40"/>
      <c r="XZ9" s="40"/>
      <c r="YA9" s="40"/>
      <c r="YB9" s="40"/>
      <c r="YC9" s="40"/>
      <c r="YD9" s="40"/>
      <c r="YE9" s="40"/>
      <c r="YF9" s="40"/>
      <c r="YG9" s="40"/>
      <c r="YH9" s="40"/>
      <c r="YI9" s="40"/>
      <c r="YJ9" s="40"/>
      <c r="YK9" s="40"/>
      <c r="YL9" s="40"/>
      <c r="YM9" s="40"/>
      <c r="YN9" s="40"/>
      <c r="YO9" s="40"/>
      <c r="YP9" s="40"/>
      <c r="YQ9" s="40"/>
      <c r="YR9" s="40"/>
      <c r="YS9" s="40"/>
      <c r="YT9" s="40"/>
      <c r="YU9" s="40"/>
      <c r="YV9" s="40"/>
      <c r="YW9" s="40"/>
      <c r="YX9" s="40"/>
      <c r="YY9" s="40"/>
      <c r="YZ9" s="40"/>
      <c r="ZA9" s="40"/>
      <c r="ZB9" s="40"/>
      <c r="ZC9" s="40"/>
      <c r="ZD9" s="40"/>
      <c r="ZE9" s="40"/>
      <c r="ZF9" s="40"/>
      <c r="ZG9" s="40"/>
      <c r="ZH9" s="40"/>
      <c r="ZI9" s="40"/>
      <c r="ZJ9" s="40"/>
      <c r="ZK9" s="40"/>
      <c r="ZL9" s="40"/>
      <c r="ZM9" s="40"/>
      <c r="ZN9" s="40"/>
      <c r="ZO9" s="40"/>
      <c r="ZP9" s="40"/>
      <c r="ZQ9" s="40"/>
      <c r="ZR9" s="40"/>
      <c r="ZS9" s="40"/>
      <c r="ZT9" s="40"/>
      <c r="ZU9" s="40"/>
      <c r="ZV9" s="40"/>
      <c r="ZW9" s="40"/>
      <c r="ZX9" s="40"/>
      <c r="ZY9" s="40"/>
      <c r="ZZ9" s="40"/>
      <c r="AAA9" s="40"/>
      <c r="AAB9" s="40"/>
      <c r="AAC9" s="40"/>
      <c r="AAD9" s="40"/>
      <c r="AAE9" s="40"/>
      <c r="AAF9" s="40"/>
      <c r="AAG9" s="40"/>
      <c r="AAH9" s="40"/>
      <c r="AAI9" s="40"/>
      <c r="AAJ9" s="40"/>
      <c r="AAK9" s="40"/>
      <c r="AAL9" s="40"/>
      <c r="AAM9" s="40"/>
      <c r="AAN9" s="40"/>
      <c r="AAO9" s="40"/>
      <c r="AAP9" s="40"/>
      <c r="AAQ9" s="40"/>
      <c r="AAR9" s="40"/>
      <c r="AAS9" s="40"/>
      <c r="AAT9" s="40"/>
      <c r="AAU9" s="40"/>
      <c r="AAV9" s="40"/>
      <c r="AAW9" s="40"/>
      <c r="AAX9" s="40"/>
      <c r="AAY9" s="40"/>
      <c r="AAZ9" s="40"/>
      <c r="ABA9" s="40"/>
      <c r="ABB9" s="40"/>
      <c r="ABC9" s="40"/>
      <c r="ABD9" s="40"/>
      <c r="ABE9" s="40"/>
      <c r="ABF9" s="40"/>
      <c r="ABG9" s="40"/>
      <c r="ABH9" s="40"/>
      <c r="ABI9" s="40"/>
      <c r="ABJ9" s="40"/>
      <c r="ABK9" s="40"/>
      <c r="ABL9" s="40"/>
      <c r="ABM9" s="40"/>
      <c r="ABN9" s="40"/>
      <c r="ABO9" s="40"/>
      <c r="ABP9" s="40"/>
      <c r="ABQ9" s="40"/>
      <c r="ABR9" s="40"/>
      <c r="ABS9" s="40"/>
      <c r="ABT9" s="40"/>
      <c r="ABU9" s="40"/>
      <c r="ABV9" s="40"/>
      <c r="ABW9" s="40"/>
      <c r="ABX9" s="40"/>
      <c r="ABY9" s="40"/>
      <c r="ABZ9" s="40"/>
      <c r="ACA9" s="40"/>
      <c r="ACB9" s="40"/>
      <c r="ACC9" s="40"/>
      <c r="ACD9" s="40"/>
      <c r="ACE9" s="40"/>
      <c r="ACF9" s="40"/>
      <c r="ACG9" s="40"/>
      <c r="ACH9" s="40"/>
      <c r="ACI9" s="40"/>
      <c r="ACJ9" s="40"/>
      <c r="ACK9" s="40"/>
      <c r="ACL9" s="40"/>
      <c r="ACM9" s="40"/>
      <c r="ACN9" s="40"/>
      <c r="ACO9" s="40"/>
      <c r="ACP9" s="40"/>
      <c r="ACQ9" s="40"/>
      <c r="ACR9" s="40"/>
      <c r="ACS9" s="40"/>
      <c r="ACT9" s="40"/>
      <c r="ACU9" s="40"/>
      <c r="ACV9" s="40"/>
      <c r="ACW9" s="40"/>
      <c r="ACX9" s="40"/>
      <c r="ACY9" s="40"/>
      <c r="ACZ9" s="40"/>
      <c r="ADA9" s="40"/>
      <c r="ADB9" s="40"/>
      <c r="ADC9" s="40"/>
      <c r="ADD9" s="40"/>
      <c r="ADE9" s="40"/>
      <c r="ADF9" s="40"/>
      <c r="ADG9" s="40"/>
      <c r="ADH9" s="40"/>
      <c r="ADI9" s="40"/>
      <c r="ADJ9" s="40"/>
      <c r="ADK9" s="40"/>
      <c r="ADL9" s="40"/>
      <c r="ADM9" s="40"/>
      <c r="ADN9" s="40"/>
      <c r="ADO9" s="40"/>
      <c r="ADP9" s="40"/>
      <c r="ADQ9" s="40"/>
      <c r="ADR9" s="40"/>
      <c r="ADS9" s="40"/>
      <c r="ADT9" s="40"/>
      <c r="ADU9" s="40"/>
      <c r="ADV9" s="40"/>
      <c r="ADW9" s="40"/>
      <c r="ADX9" s="40"/>
      <c r="ADY9" s="40"/>
      <c r="ADZ9" s="40"/>
      <c r="AEA9" s="40"/>
      <c r="AEB9" s="40"/>
      <c r="AEC9" s="40"/>
      <c r="AED9" s="40"/>
      <c r="AEE9" s="40"/>
      <c r="AEF9" s="40"/>
      <c r="AEG9" s="40"/>
      <c r="AEH9" s="40"/>
      <c r="AEI9" s="40"/>
      <c r="AEJ9" s="40"/>
      <c r="AEK9" s="40"/>
      <c r="AEL9" s="40"/>
      <c r="AEM9" s="40"/>
      <c r="AEN9" s="40"/>
      <c r="AEO9" s="40"/>
      <c r="AEP9" s="40"/>
      <c r="AEQ9" s="40"/>
      <c r="AER9" s="40"/>
      <c r="AES9" s="40"/>
      <c r="AET9" s="40"/>
      <c r="AEU9" s="40"/>
      <c r="AEV9" s="40"/>
      <c r="AEW9" s="40"/>
      <c r="AEX9" s="40"/>
      <c r="AEY9" s="40"/>
      <c r="AEZ9" s="40"/>
      <c r="AFA9" s="40"/>
      <c r="AFB9" s="40"/>
      <c r="AFC9" s="40"/>
      <c r="AFD9" s="40"/>
      <c r="AFE9" s="40"/>
      <c r="AFF9" s="40"/>
      <c r="AFG9" s="40"/>
      <c r="AFH9" s="40"/>
      <c r="AFI9" s="40"/>
      <c r="AFJ9" s="40"/>
      <c r="AFK9" s="40"/>
      <c r="AFL9" s="40"/>
      <c r="AFM9" s="40"/>
      <c r="AFN9" s="40"/>
      <c r="AFO9" s="40"/>
      <c r="AFP9" s="40"/>
      <c r="AFQ9" s="40"/>
      <c r="AFR9" s="40"/>
      <c r="AFS9" s="40"/>
      <c r="AFT9" s="40"/>
      <c r="AFU9" s="40"/>
      <c r="AFV9" s="40"/>
      <c r="AFW9" s="40"/>
      <c r="AFX9" s="40"/>
      <c r="AFY9" s="40"/>
      <c r="AFZ9" s="40"/>
      <c r="AGA9" s="40"/>
      <c r="AGB9" s="40"/>
      <c r="AGC9" s="40"/>
      <c r="AGD9" s="40"/>
      <c r="AGE9" s="40"/>
      <c r="AGF9" s="40"/>
      <c r="AGG9" s="40"/>
      <c r="AGH9" s="40"/>
      <c r="AGI9" s="40"/>
      <c r="AGJ9" s="40"/>
      <c r="AGK9" s="40"/>
      <c r="AGL9" s="40"/>
      <c r="AGM9" s="40"/>
      <c r="AGN9" s="40"/>
      <c r="AGO9" s="40"/>
      <c r="AGP9" s="40"/>
      <c r="AGQ9" s="40"/>
      <c r="AGR9" s="40"/>
      <c r="AGS9" s="40"/>
      <c r="AGT9" s="40"/>
      <c r="AGU9" s="40"/>
      <c r="AGV9" s="40"/>
      <c r="AGW9" s="40"/>
      <c r="AGX9" s="40"/>
      <c r="AGY9" s="40"/>
      <c r="AGZ9" s="40"/>
      <c r="AHA9" s="40"/>
      <c r="AHB9" s="40"/>
      <c r="AHC9" s="40"/>
      <c r="AHD9" s="40"/>
      <c r="AHE9" s="40"/>
      <c r="AHF9" s="40"/>
      <c r="AHG9" s="40"/>
      <c r="AHH9" s="40"/>
      <c r="AHI9" s="40"/>
      <c r="AHJ9" s="40"/>
      <c r="AHK9" s="40"/>
      <c r="AHL9" s="40"/>
      <c r="AHM9" s="40"/>
      <c r="AHN9" s="40"/>
      <c r="AHO9" s="40"/>
      <c r="AHP9" s="40"/>
      <c r="AHQ9" s="40"/>
      <c r="AHR9" s="40"/>
      <c r="AHS9" s="40"/>
      <c r="AHT9" s="40"/>
      <c r="AHU9" s="40"/>
      <c r="AHV9" s="40"/>
      <c r="AHW9" s="40"/>
      <c r="AHX9" s="40"/>
      <c r="AHY9" s="40"/>
      <c r="AHZ9" s="40"/>
      <c r="AIA9" s="40"/>
      <c r="AIB9" s="40"/>
      <c r="AIC9" s="40"/>
      <c r="AID9" s="40"/>
      <c r="AIE9" s="40"/>
      <c r="AIF9" s="40"/>
      <c r="AIG9" s="40"/>
      <c r="AIH9" s="40"/>
      <c r="AII9" s="40"/>
      <c r="AIJ9" s="40"/>
      <c r="AIK9" s="40"/>
      <c r="AIL9" s="40"/>
      <c r="AIM9" s="40"/>
      <c r="AIN9" s="40"/>
      <c r="AIO9" s="40"/>
      <c r="AIP9" s="40"/>
      <c r="AIQ9" s="40"/>
      <c r="AIR9" s="40"/>
      <c r="AIS9" s="40"/>
      <c r="AIT9" s="40"/>
      <c r="AIU9" s="40"/>
      <c r="AIV9" s="40"/>
      <c r="AIW9" s="40"/>
      <c r="AIX9" s="40"/>
      <c r="AIY9" s="40"/>
      <c r="AIZ9" s="40"/>
      <c r="AJA9" s="40"/>
      <c r="AJB9" s="40"/>
      <c r="AJC9" s="40"/>
      <c r="AJD9" s="40"/>
      <c r="AJE9" s="40"/>
      <c r="AJF9" s="40"/>
      <c r="AJG9" s="40"/>
      <c r="AJH9" s="40"/>
      <c r="AJI9" s="40"/>
      <c r="AJJ9" s="40"/>
      <c r="AJK9" s="40"/>
      <c r="AJL9" s="40"/>
      <c r="AJM9" s="40"/>
      <c r="AJN9" s="40"/>
      <c r="AJO9" s="40"/>
      <c r="AJP9" s="40"/>
      <c r="AJQ9" s="40"/>
      <c r="AJR9" s="40"/>
      <c r="AJS9" s="40"/>
      <c r="AJT9" s="40"/>
      <c r="AJU9" s="40"/>
      <c r="AJV9" s="40"/>
      <c r="AJW9" s="40"/>
      <c r="AJX9" s="40"/>
      <c r="AJY9" s="40"/>
      <c r="AJZ9" s="40"/>
      <c r="AKA9" s="40"/>
      <c r="AKB9" s="40"/>
      <c r="AKC9" s="40"/>
      <c r="AKD9" s="40"/>
      <c r="AKE9" s="40"/>
      <c r="AKF9" s="40"/>
      <c r="AKG9" s="40"/>
      <c r="AKH9" s="40"/>
      <c r="AKI9" s="40"/>
      <c r="AKJ9" s="40"/>
      <c r="AKK9" s="40"/>
      <c r="AKL9" s="40"/>
      <c r="AKM9" s="40"/>
      <c r="AKN9" s="40"/>
      <c r="AKO9" s="40"/>
      <c r="AKP9" s="40"/>
      <c r="AKQ9" s="40"/>
      <c r="AKR9" s="40"/>
      <c r="AKS9" s="40"/>
      <c r="AKT9" s="40"/>
      <c r="AKU9" s="40"/>
      <c r="AKV9" s="40"/>
      <c r="AKW9" s="40"/>
      <c r="AKX9" s="40"/>
      <c r="AKY9" s="40"/>
      <c r="AKZ9" s="40"/>
      <c r="ALA9" s="40"/>
      <c r="ALB9" s="40"/>
      <c r="ALC9" s="40"/>
      <c r="ALD9" s="40"/>
      <c r="ALE9" s="40"/>
      <c r="ALF9" s="40"/>
      <c r="ALG9" s="40"/>
      <c r="ALH9" s="40"/>
      <c r="ALI9" s="40"/>
      <c r="ALJ9" s="40"/>
      <c r="ALK9" s="40"/>
      <c r="ALL9" s="40"/>
      <c r="ALM9" s="40"/>
      <c r="ALN9" s="40"/>
      <c r="ALO9" s="40"/>
      <c r="ALP9" s="40"/>
      <c r="ALQ9" s="40"/>
      <c r="ALR9" s="40"/>
      <c r="ALS9" s="40"/>
      <c r="ALT9" s="40"/>
      <c r="ALU9" s="40"/>
      <c r="ALV9" s="40"/>
      <c r="ALW9" s="40"/>
      <c r="ALX9" s="40"/>
      <c r="ALY9" s="40"/>
      <c r="ALZ9" s="40"/>
      <c r="AMA9" s="40"/>
      <c r="AMB9" s="40"/>
      <c r="AMC9" s="40"/>
      <c r="AMD9" s="40"/>
      <c r="AME9" s="40"/>
      <c r="AMF9" s="40"/>
      <c r="AMG9" s="40"/>
      <c r="AMH9" s="40"/>
      <c r="AMI9" s="40"/>
      <c r="AMJ9" s="40"/>
      <c r="AMK9" s="40"/>
      <c r="AML9" s="40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VerifyGridData3!$4:$4</formula1>
    </dataValidation>
  </dataValidation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IFERROR(__xludf.DUMMYFUNCTION("IF(C3="""","""",Transpose(IMPORTRANGE('_Settings'!$B$3,C3&amp;""!A4:A1000"")))"),"FetchAccountPositions")</f>
        <v>FetchAccountPositions</v>
      </c>
      <c r="C4" s="25" t="str">
        <f>IFERROR(__xludf.DUMMYFUNCTION("""COMPUTED_VALUE"""),"AddCash")</f>
        <v>AddCash</v>
      </c>
      <c r="D4" s="25" t="str">
        <f>IFERROR(__xludf.DUMMYFUNCTION("""COMPUTED_VALUE"""),"VerifyGridData")</f>
        <v>VerifyGridData</v>
      </c>
      <c r="E4" s="25" t="str">
        <f>IFERROR(__xludf.DUMMYFUNCTION("""COMPUTED_VALUE"""),"RunRebalance")</f>
        <v>RunRebalance</v>
      </c>
      <c r="F4" s="25" t="str">
        <f>IFERROR(__xludf.DUMMYFUNCTION("""COMPUTED_VALUE"""),"EnableComplianceTab")</f>
        <v>EnableComplianceTab</v>
      </c>
      <c r="G4" s="25" t="str">
        <f>IFERROR(__xludf.DUMMYFUNCTION("""COMPUTED_VALUE"""),"RebalancePreference")</f>
        <v>RebalancePreference</v>
      </c>
      <c r="H4" s="25" t="str">
        <f>IFERROR(__xludf.DUMMYFUNCTION("""COMPUTED_VALUE"""),"ImportModelPortfolio")</f>
        <v>ImportModelPortfolio</v>
      </c>
      <c r="I4" s="25" t="str">
        <f>IFERROR(__xludf.DUMMYFUNCTION("""COMPUTED_VALUE"""),"RebalanceAcrossSecurities")</f>
        <v>RebalanceAcrossSecurities</v>
      </c>
      <c r="J4" s="25" t="str">
        <f>IFERROR(__xludf.DUMMYFUNCTION("""COMPUTED_VALUE"""),"CheckBasketCompliance")</f>
        <v>CheckBasketCompliance</v>
      </c>
      <c r="K4" s="25" t="str">
        <f>IFERROR(__xludf.DUMMYFUNCTION("""COMPUTED_VALUE"""),"ClearCalculations")</f>
        <v>ClearCalculations</v>
      </c>
      <c r="L4" s="25" t="str">
        <f>IFERROR(__xludf.DUMMYFUNCTION("""COMPUTED_VALUE"""),"ModifyRebalance")</f>
        <v>ModifyRebalance</v>
      </c>
      <c r="M4" s="25" t="str">
        <f>IFERROR(__xludf.DUMMYFUNCTION("""COMPUTED_VALUE"""),"ModelPortfolio")</f>
        <v>ModelPortfolio</v>
      </c>
      <c r="N4" s="25" t="str">
        <f>IFERROR(__xludf.DUMMYFUNCTION("""COMPUTED_VALUE"""),"LockandUnlockGridData")</f>
        <v>LockandUnlockGridData</v>
      </c>
      <c r="O4" s="25" t="str">
        <f>IFERROR(__xludf.DUMMYFUNCTION("""COMPUTED_VALUE"""),"RefreshGridData")</f>
        <v>RefreshGridData</v>
      </c>
      <c r="P4" s="26" t="str">
        <f>IFERROR(__xludf.DUMMYFUNCTION("""COMPUTED_VALUE"""),"SendtoStaging")</f>
        <v>SendtoStaging</v>
      </c>
      <c r="Q4" s="26" t="str">
        <f>IFERROR(__xludf.DUMMYFUNCTION("""COMPUTED_VALUE"""),"SendToStagingExport")</f>
        <v>SendToStagingExport</v>
      </c>
      <c r="R4" s="26" t="str">
        <f>IFERROR(__xludf.DUMMYFUNCTION("""COMPUTED_VALUE"""),"RebalanceViaBloomberg")</f>
        <v>RebalanceViaBloomberg</v>
      </c>
      <c r="S4" s="26" t="str">
        <f>IFERROR(__xludf.DUMMYFUNCTION("""COMPUTED_VALUE"""),"AddUserAdjustedNAV")</f>
        <v>AddUserAdjustedNAV</v>
      </c>
      <c r="T4" s="26" t="str">
        <f>IFERROR(__xludf.DUMMYFUNCTION("""COMPUTED_VALUE"""),"SymbologyChangeRB")</f>
        <v>SymbologyChangeRB</v>
      </c>
      <c r="U4" s="26" t="str">
        <f>IFERROR(__xludf.DUMMYFUNCTION("""COMPUTED_VALUE"""),"CloseRebalancer")</f>
        <v>CloseRebalancer</v>
      </c>
      <c r="V4" s="26" t="str">
        <f>IFERROR(__xludf.DUMMYFUNCTION("""COMPUTED_VALUE"""),"AddCustomCashUsingImport")</f>
        <v>AddCustomCashUsingImport</v>
      </c>
      <c r="W4" s="26" t="str">
        <f>IFERROR(__xludf.DUMMYFUNCTION("""COMPUTED_VALUE"""),"EditRebalanceGrid")</f>
        <v>EditRebalanceGrid</v>
      </c>
      <c r="X4" s="26" t="str">
        <f>IFERROR(__xludf.DUMMYFUNCTION("""COMPUTED_VALUE"""),"SaveTradeList")</f>
        <v>SaveTradeList</v>
      </c>
      <c r="Y4" s="26" t="str">
        <f>IFERROR(__xludf.DUMMYFUNCTION("""COMPUTED_VALUE"""),"NavImpactingComponent")</f>
        <v>NavImpactingComponent</v>
      </c>
      <c r="Z4" s="26" t="str">
        <f>IFERROR(__xludf.DUMMYFUNCTION("""COMPUTED_VALUE"""),"ImportUsingRebalAccrossSec")</f>
        <v>ImportUsingRebalAccrossSec</v>
      </c>
      <c r="AA4" s="26" t="str">
        <f>IFERROR(__xludf.DUMMYFUNCTION("""COMPUTED_VALUE"""),"EditImportStatus")</f>
        <v>EditImportStatus</v>
      </c>
      <c r="AB4" s="26" t="str">
        <f>IFERROR(__xludf.DUMMYFUNCTION("""COMPUTED_VALUE"""),"SelectActionsOnImportStatus")</f>
        <v>SelectActionsOnImportStatus</v>
      </c>
      <c r="AC4" s="26" t="str">
        <f>IFERROR(__xludf.DUMMYFUNCTION("""COMPUTED_VALUE"""),"VerifyImportStatus")</f>
        <v>VerifyImportStatus</v>
      </c>
      <c r="AD4" s="26" t="str">
        <f>IFERROR(__xludf.DUMMYFUNCTION("""COMPUTED_VALUE"""),"AddNewModelPortfolio")</f>
        <v>AddNewModelPortfolio</v>
      </c>
      <c r="AE4" s="26" t="str">
        <f>IFERROR(__xludf.DUMMYFUNCTION("""COMPUTED_VALUE"""),"VerifyBuySellList")</f>
        <v>VerifyBuySellList</v>
      </c>
      <c r="AF4" s="26" t="str">
        <f>IFERROR(__xludf.DUMMYFUNCTION("""COMPUTED_VALUE"""),"CreateOrViewModelPortfolio")</f>
        <v>CreateOrViewModelPortfolio</v>
      </c>
      <c r="AG4" s="26" t="str">
        <f>IFERROR(__xludf.DUMMYFUNCTION("""COMPUTED_VALUE"""),"VerifyModelPortfolio")</f>
        <v>VerifyModelPortfolio</v>
      </c>
      <c r="AH4" s="26" t="str">
        <f>IFERROR(__xludf.DUMMYFUNCTION("""COMPUTED_VALUE"""),"VerifyTradeListSummary")</f>
        <v>VerifyTradeListSummary</v>
      </c>
      <c r="AI4" s="26" t="str">
        <f>IFERROR(__xludf.DUMMYFUNCTION("""COMPUTED_VALUE"""),"ActionOnTBSListSummary")</f>
        <v>ActionOnTBSListSummary</v>
      </c>
      <c r="AJ4" s="26" t="str">
        <f>IFERROR(__xludf.DUMMYFUNCTION("""COMPUTED_VALUE"""),"VerifyTLOSideSummary")</f>
        <v>VerifyTLOSideSummary</v>
      </c>
      <c r="AK4" s="26" t="str">
        <f>IFERROR(__xludf.DUMMYFUNCTION("""COMPUTED_VALUE"""),"SelectAndVerifyTradeList")</f>
        <v>SelectAndVerifyTradeList</v>
      </c>
      <c r="AL4" s="26" t="str">
        <f>IFERROR(__xludf.DUMMYFUNCTION("""COMPUTED_VALUE"""),"ActionOnTradeBuySellListView")</f>
        <v>ActionOnTradeBuySellListView</v>
      </c>
      <c r="AM4" s="26" t="str">
        <f>IFERROR(__xludf.DUMMYFUNCTION("""COMPUTED_VALUE"""),"ImportOnRB")</f>
        <v>ImportOnRB</v>
      </c>
      <c r="AN4" s="26" t="str">
        <f>IFERROR(__xludf.DUMMYFUNCTION("""COMPUTED_VALUE"""),"VerifyImportGridRBForInvalidSec")</f>
        <v>VerifyImportGridRBForInvalidSec</v>
      </c>
      <c r="AO4" s="26" t="str">
        <f>IFERROR(__xludf.DUMMYFUNCTION("""COMPUTED_VALUE"""),"VerifyImportGridRBForValidSec")</f>
        <v>VerifyImportGridRBForValidSec</v>
      </c>
      <c r="AP4" s="26" t="str">
        <f>IFERROR(__xludf.DUMMYFUNCTION("""COMPUTED_VALUE"""),"ActionOnRSAImportGrid")</f>
        <v>ActionOnRSAImportGrid</v>
      </c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IFERROR(__xludf.DUMMYFUNCTION("""COMPUTED_VALUE"""),"Account/Groups")</f>
        <v>Account/Groups</v>
      </c>
      <c r="C5" s="28" t="str">
        <f>IFERROR(__xludf.DUMMYFUNCTION("""COMPUTED_VALUE"""),"Account Positions")</f>
        <v>Account Positions</v>
      </c>
      <c r="D5" s="28" t="str">
        <f>IFERROR(__xludf.DUMMYFUNCTION("""COMPUTED_VALUE"""),"Calculation Level")</f>
        <v>Calculation Level</v>
      </c>
      <c r="E5" s="28" t="str">
        <f>IFERROR(__xludf.DUMMYFUNCTION("""COMPUTED_VALUE"""),"Refresh")</f>
        <v>Refresh</v>
      </c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18</v>
      </c>
      <c r="C6" s="8"/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FetchAccountPositions5!$4:$4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