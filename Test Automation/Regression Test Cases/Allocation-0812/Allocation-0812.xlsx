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SetGeneralPreferences" sheetId="5" r:id="rId7"/>
    <sheet state="visible" name="AddCalculatedPreferences" sheetId="6" r:id="rId8"/>
    <sheet state="visible" name="SetAccountValueCalculatedPref" sheetId="7" r:id="rId9"/>
    <sheet state="visible" name="SelectUnallocatedGroup" sheetId="8" r:id="rId10"/>
    <sheet state="visible" name="EnterAccountValuesToAllocate" sheetId="9" r:id="rId11"/>
    <sheet state="visible" name="EnterAllocatePreference" sheetId="10" r:id="rId12"/>
    <sheet state="visible" name="LoginClient" sheetId="11" r:id="rId13"/>
    <sheet state="visible" name="GetDataAllocation" sheetId="12" r:id="rId14"/>
    <sheet state="visible" name="CheckAllocatedGroups" sheetId="13" r:id="rId15"/>
  </sheets>
  <definedNames/>
  <calcPr/>
</workbook>
</file>

<file path=xl/sharedStrings.xml><?xml version="1.0" encoding="utf-8"?>
<sst xmlns="http://schemas.openxmlformats.org/spreadsheetml/2006/main" count="106" uniqueCount="40">
  <si>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</si>
  <si>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</si>
  <si>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</si>
  <si>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</si>
  <si>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</si>
  <si>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</si>
  <si>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</si>
  <si>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</si>
  <si>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</si>
  <si>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</si>
  <si>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</si>
  <si>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</si>
  <si>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</si>
  <si>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</si>
  <si>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</si>
  <si>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</si>
  <si>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</si>
  <si>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</si>
  <si>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Unallocated</t>
  </si>
  <si>
    <t>MSFT</t>
  </si>
  <si>
    <t>Allocation1</t>
  </si>
  <si>
    <t>Allocation</t>
  </si>
  <si>
    <t>SetGeneralPreferences</t>
  </si>
  <si>
    <t>AddCalculatedPreferences</t>
  </si>
  <si>
    <t>Test</t>
  </si>
  <si>
    <t>SetAccountValueCalculatedPref</t>
  </si>
  <si>
    <t>Allocation4</t>
  </si>
  <si>
    <t>SelectUnallocatedGroup</t>
  </si>
  <si>
    <t>EnterAccountValuesToAllocate</t>
  </si>
  <si>
    <t>EnterAllocatePreference</t>
  </si>
  <si>
    <t>Calculated</t>
  </si>
  <si>
    <t>PranaClient</t>
  </si>
  <si>
    <t>LoginClient</t>
  </si>
  <si>
    <t>Support3</t>
  </si>
  <si>
    <t>Nirvana@1</t>
  </si>
  <si>
    <t>GetDataAllocation</t>
  </si>
  <si>
    <t>Current</t>
  </si>
  <si>
    <t>CheckAllocatedGroups</t>
  </si>
  <si>
    <t>Negative</t>
  </si>
  <si>
    <t>Symbol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</si>
</sst>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 t="str">
        <f>IFERROR(__xludf.DUMMYFUNCTION("""COMPUTED_VALUE"""),"HotbuttonQty")</f>
        <v>HotbuttonQty</v>
      </c>
      <c r="BG5" s="30" t="str">
        <f>IFERROR(__xludf.DUMMYFUNCTION("""COMPUTED_VALUE"""),"HotButtonPrice")</f>
        <v>HotButtonPrice</v>
      </c>
      <c r="BH5" s="30" t="str">
        <f>IFERROR(__xludf.DUMMYFUNCTION("""COMPUTED_VALUE"""),"HotButtonLimit")</f>
        <v>HotButtonLimit</v>
      </c>
      <c r="BI5" s="30" t="str">
        <f>IFERROR(__xludf.DUMMYFUNCTION("""COMPUTED_VALUE"""),"HotButtonStop")</f>
        <v>HotButtonStop</v>
      </c>
      <c r="BJ5" s="30" t="str">
        <f>IFERROR(__xludf.DUMMYFUNCTION("""COMPUTED_VALUE"""),"Broker PadLock")</f>
        <v>Broker PadLock</v>
      </c>
      <c r="BK5" s="30" t="str">
        <f>IFERROR(__xludf.DUMMYFUNCTION("""COMPUTED_VALUE"""),"TradeBy")</f>
        <v>TradeBy</v>
      </c>
      <c r="BL5" s="30" t="str">
        <f>IFERROR(__xludf.DUMMYFUNCTION("""COMPUTED_VALUE"""),"PendingApprovalPopUp")</f>
        <v>PendingApprovalPopUp</v>
      </c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1000.0</v>
      </c>
      <c r="E6" s="31"/>
      <c r="F6" s="13" t="s">
        <v>18</v>
      </c>
      <c r="G6" s="8"/>
      <c r="H6" s="8"/>
      <c r="I6" s="8"/>
      <c r="J6" s="13">
        <v>1.0</v>
      </c>
      <c r="K6" s="8"/>
      <c r="L6" s="8"/>
      <c r="M6" s="8"/>
      <c r="N6" s="8"/>
      <c r="O6" s="8"/>
    </row>
    <row r="7" ht="15.75" customHeight="1">
      <c r="A7" s="8"/>
      <c r="B7" s="13" t="s">
        <v>19</v>
      </c>
      <c r="C7" s="13" t="s">
        <v>17</v>
      </c>
      <c r="D7" s="13">
        <v>1000.0</v>
      </c>
      <c r="E7" s="31"/>
      <c r="F7" s="13" t="s">
        <v>20</v>
      </c>
      <c r="G7" s="8"/>
      <c r="H7" s="8"/>
      <c r="I7" s="8"/>
      <c r="J7" s="13">
        <v>1.0</v>
      </c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IFERROR(__xludf.DUMMYFUNCTION("""COMPUTED_VALUE"""),"ValidateCheckSide")</f>
        <v>ValidateCheckSide</v>
      </c>
      <c r="C5" s="28" t="str">
        <f>IFERROR(__xludf.DUMMYFUNCTION("""COMPUTED_VALUE"""),"DisabledChecksideAssets")</f>
        <v>DisabledChecksideAssets</v>
      </c>
      <c r="D5" s="28" t="str">
        <f>IFERROR(__xludf.DUMMYFUNCTION("""COMPUTED_VALUE"""),"PrecisionValue")</f>
        <v>PrecisionValue</v>
      </c>
      <c r="E5" s="28" t="str">
        <f>IFERROR(__xludf.DUMMYFUNCTION("""COMPUTED_VALUE"""),"UseCommissionInNetAmount")</f>
        <v>UseCommissionInNetAmount</v>
      </c>
      <c r="F5" s="29" t="str">
        <f>IFERROR(__xludf.DUMMYFUNCTION("""COMPUTED_VALUE"""),"SaveWithoutState")</f>
        <v>SaveWithoutState</v>
      </c>
      <c r="G5" s="28" t="str">
        <f>IFERROR(__xludf.DUMMYFUNCTION("""COMPUTED_VALUE"""),"SaveWithState")</f>
        <v>SaveWithState</v>
      </c>
      <c r="H5" s="28" t="str">
        <f>IFERROR(__xludf.DUMMYFUNCTION("""COMPUTED_VALUE"""),"ClearQuantities")</f>
        <v>ClearQuantities</v>
      </c>
      <c r="I5" s="28" t="str">
        <f>IFERROR(__xludf.DUMMYFUNCTION("""COMPUTED_VALUE"""),"ReapplyAllocation")</f>
        <v>ReapplyAllocation</v>
      </c>
      <c r="J5" s="28" t="str">
        <f>IFERROR(__xludf.DUMMYFUNCTION("""COMPUTED_VALUE"""),"DefaultAllocation")</f>
        <v>DefaultAllocation</v>
      </c>
      <c r="K5" s="28" t="str">
        <f>IFERROR(__xludf.DUMMYFUNCTION("""COMPUTED_VALUE"""),"IsCustomPreference")</f>
        <v>IsCustomPreference</v>
      </c>
      <c r="L5" s="28" t="str">
        <f>IFERROR(__xludf.DUMMYFUNCTION("""COMPUTED_VALUE"""),"AllocationMethod")</f>
        <v>AllocationMethod</v>
      </c>
      <c r="M5" s="28" t="str">
        <f>IFERROR(__xludf.DUMMYFUNCTION("""COMPUTED_VALUE"""),"RemainderAllocationTo")</f>
        <v>RemainderAllocationTo</v>
      </c>
      <c r="N5" s="28" t="str">
        <f>IFERROR(__xludf.DUMMYFUNCTION("""COMPUTED_VALUE"""),"Target%AsOf")</f>
        <v>Target%AsOf</v>
      </c>
      <c r="O5" s="28" t="str">
        <f>IFERROR(__xludf.DUMMYFUNCTION("""COMPUTED_VALUE"""),"ProrataAccounts")</f>
        <v>ProrataAccounts</v>
      </c>
      <c r="P5" s="28" t="str">
        <f>IFERROR(__xludf.DUMMYFUNCTION("""COMPUTED_VALUE"""),"DateUptoDays")</f>
        <v>DateUptoDays</v>
      </c>
      <c r="Q5" s="28" t="str">
        <f>IFERROR(__xludf.DUMMYFUNCTION("""COMPUTED_VALUE"""),"MatchClosing")</f>
        <v>MatchClosing</v>
      </c>
      <c r="R5" s="28" t="str">
        <f>IFERROR(__xludf.DUMMYFUNCTION("""COMPUTED_VALUE"""),"CommissionAlertOnBrokerChange")</f>
        <v>CommissionAlertOnBrokerChange</v>
      </c>
      <c r="S5" s="28" t="str">
        <f>IFERROR(__xludf.DUMMYFUNCTION("""COMPUTED_VALUE"""),"RecalculateCommissionOnBrokerChange")</f>
        <v>RecalculateCommissionOnBrokerChange</v>
      </c>
      <c r="T5" s="30" t="str">
        <f>IFERROR(__xludf.DUMMYFUNCTION("""COMPUTED_VALUE"""),"CommissionAlertOnAllocation")</f>
        <v>CommissionAlertOnAllocation</v>
      </c>
      <c r="U5" s="30" t="str">
        <f>IFERROR(__xludf.DUMMYFUNCTION("""COMPUTED_VALUE"""),"RecalculateCommissionOnAllocation")</f>
        <v>RecalculateCommissionOnAllocation</v>
      </c>
      <c r="V5" s="30" t="str">
        <f>IFERROR(__xludf.DUMMYFUNCTION("""COMPUTED_VALUE"""),"EnableMasterFund")</f>
        <v>EnableMasterFund</v>
      </c>
      <c r="W5" s="30" t="str">
        <f>IFERROR(__xludf.DUMMYFUNCTION("""COMPUTED_VALUE"""),"1MasterFund/1Symbol")</f>
        <v>1MasterFund/1Symbol</v>
      </c>
      <c r="X5" s="30" t="str">
        <f>IFERROR(__xludf.DUMMYFUNCTION("""COMPUTED_VALUE"""),"ProrataSchemeName")</f>
        <v>ProrataSchemeName</v>
      </c>
      <c r="Y5" s="30" t="str">
        <f>IFERROR(__xludf.DUMMYFUNCTION("""COMPUTED_VALUE"""),"ProrataAllocationSchemeBasis")</f>
        <v>ProrataAllocationSchemeBasis</v>
      </c>
      <c r="Z5" s="30" t="str">
        <f>IFERROR(__xludf.DUMMYFUNCTION("""COMPUTED_VALUE"""),"ShowAdvancedProrataUI")</f>
        <v>ShowAdvancedProrataUI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b">
        <v>1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SetGeneralPreferences!$4:$4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24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AddCalculatedPreferences!$4:$4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IFERROR(__xludf.DUMMYFUNCTION("""COMPUTED_VALUE"""),"Percentage")</f>
        <v>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24</v>
      </c>
      <c r="C6" s="13" t="s">
        <v>26</v>
      </c>
      <c r="D6" s="13">
        <v>100.0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SetAccountValueCalculatedPref!$4:$4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1000.0</v>
      </c>
      <c r="E6" s="13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SelectUnallocatedGroup!$4:$4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Percentage")</f>
        <v>Account Percentage</v>
      </c>
      <c r="D5" s="28" t="str">
        <f>IFERROR(__xludf.DUMMYFUNCTION("""COMPUTED_VALUE"""),"Account Quantity")</f>
        <v>Account Quantity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26</v>
      </c>
      <c r="C6" s="13">
        <v>100.0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EnterAccountValuesToAllocate!$4:$4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IFERROR(__xludf.DUMMYFUNCTION("""COMPUTED_VALUE"""),"PreferenceType")</f>
        <v>PreferenceType</v>
      </c>
      <c r="C5" s="28" t="str">
        <f>IFERROR(__xludf.DUMMYFUNCTION("""COMPUTED_VALUE"""),"PreferenceName")</f>
        <v>PreferenceName</v>
      </c>
      <c r="D5" s="28" t="str">
        <f>IFERROR(__xludf.DUMMYFUNCTION("""COMPUTED_VALUE"""),"PTTPrefNeeded")</f>
        <v>PTTPrefNeeded</v>
      </c>
      <c r="E5" s="28" t="str">
        <f>IFERROR(__xludf.DUMMYFUNCTION("""COMPUTED_VALUE"""),"IsForceAllocation")</f>
        <v>IsForceAllocation</v>
      </c>
      <c r="F5" s="29" t="str">
        <f>IFERROR(__xludf.DUMMYFUNCTION("""COMPUTED_VALUE"""),"AllocationMethod")</f>
        <v>AllocationMethod</v>
      </c>
      <c r="G5" s="28" t="str">
        <f>IFERROR(__xludf.DUMMYFUNCTION("""COMPUTED_VALUE"""),"RemainderAllocationTo")</f>
        <v>RemainderAllocationTo</v>
      </c>
      <c r="H5" s="28" t="str">
        <f>IFERROR(__xludf.DUMMYFUNCTION("""COMPUTED_VALUE"""),"Target%AsOf")</f>
        <v>Target%AsOf</v>
      </c>
      <c r="I5" s="28" t="str">
        <f>IFERROR(__xludf.DUMMYFUNCTION("""COMPUTED_VALUE"""),"AccountsForProrata")</f>
        <v>AccountsForProrata</v>
      </c>
      <c r="J5" s="28" t="str">
        <f>IFERROR(__xludf.DUMMYFUNCTION("""COMPUTED_VALUE"""),"DateUptoDays")</f>
        <v>DateUptoDays</v>
      </c>
      <c r="K5" s="28" t="str">
        <f>IFERROR(__xludf.DUMMYFUNCTION("""COMPUTED_VALUE"""),"MatchClosingTransactions")</f>
        <v>MatchClosingTransactions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30</v>
      </c>
      <c r="C6" s="13" t="s">
        <v>24</v>
      </c>
      <c r="D6" s="13"/>
      <c r="E6" s="13" t="b">
        <v>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EnterAllocatePreference!$4:$4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IFERROR(__xludf.DUMMYFUNCTION("IF(C3="""","""",Transpose(IMPORTRANGE('_Settings'!$B$3,C3&amp;""!A4:A1000"")))"),"RestartClient")</f>
        <v>RestartClient</v>
      </c>
      <c r="C4" s="25" t="str">
        <f>IFERROR(__xludf.DUMMYFUNCTION("""COMPUTED_VALUE"""),"UpdateClientConfig")</f>
        <v>UpdateClientConfig</v>
      </c>
      <c r="D4" s="25" t="str">
        <f>IFERROR(__xludf.DUMMYFUNCTION("""COMPUTED_VALUE"""),"PranaClient")</f>
        <v>PranaClient</v>
      </c>
      <c r="E4" s="25" t="str">
        <f>IFERROR(__xludf.DUMMYFUNCTION("""COMPUTED_VALUE"""),"CompareXML")</f>
        <v>CompareXML</v>
      </c>
      <c r="F4" s="25" t="str">
        <f>IFERROR(__xludf.DUMMYFUNCTION("""COMPUTED_VALUE"""),"LoginClient")</f>
        <v>LoginClient</v>
      </c>
      <c r="G4" s="25" t="str">
        <f>IFERROR(__xludf.DUMMYFUNCTION("""COMPUTED_VALUE"""),"DbPicker")</f>
        <v>DbPicker</v>
      </c>
      <c r="H4" s="25" t="str">
        <f>IFERROR(__xludf.DUMMYFUNCTION("""COMPUTED_VALUE"""),"RunPortfolio")</f>
        <v>RunPortfolio</v>
      </c>
      <c r="I4" s="25" t="str">
        <f>IFERROR(__xludf.DUMMYFUNCTION("""COMPUTED_VALUE"""),"MoveFile")</f>
        <v>MoveFile</v>
      </c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IFERROR(__xludf.DUMMYFUNCTION("""COMPUTED_VALUE"""),"LoginUserName")</f>
        <v>LoginUserName</v>
      </c>
      <c r="C5" s="28" t="str">
        <f>IFERROR(__xludf.DUMMYFUNCTION("""COMPUTED_VALUE"""),"LoginPassword")</f>
        <v>LoginPassword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33</v>
      </c>
      <c r="C6" s="13" t="s">
        <v>34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LoginClient!$4:$4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36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 t="str">
        <f>IFERROR(__xludf.DUMMYFUNCTION("""COMPUTED_VALUE"""),"Borrower Id")</f>
        <v>Borrower Id</v>
      </c>
      <c r="CW5" s="30" t="str">
        <f>IFERROR(__xludf.DUMMYFUNCTION("""COMPUTED_VALUE"""),"Borrow Rate(%)")</f>
        <v>Borrow Rate(%)</v>
      </c>
      <c r="CX5" s="30" t="str">
        <f>IFERROR(__xludf.DUMMYFUNCTION("""COMPUTED_VALUE"""),"Master Fund")</f>
        <v>Master Fund</v>
      </c>
      <c r="CY5" s="30" t="str">
        <f>IFERROR(__xludf.DUMMYFUNCTION("""COMPUTED_VALUE"""),"MandatoryColumn")</f>
        <v>MandatoryColumn</v>
      </c>
      <c r="CZ5" s="30" t="str">
        <f>IFERROR(__xludf.DUMMYFUNCTION("""COMPUTED_VALUE"""),"Testing Type")</f>
        <v>Testing Type</v>
      </c>
      <c r="DA5" s="30" t="str">
        <f>IFERROR(__xludf.DUMMYFUNCTION("""COMPUTED_VALUE"""),"Testing Column")</f>
        <v>Testing Column</v>
      </c>
      <c r="DB5" s="30" t="str">
        <f>IFERROR(__xludf.DUMMYFUNCTION("""COMPUTED_VALUE"""),"Testing Col Value")</f>
        <v>Testing Col Value</v>
      </c>
      <c r="DC5" s="30" t="str">
        <f>IFERROR(__xludf.DUMMYFUNCTION("""COMPUTED_VALUE"""),"DuplicateRow")</f>
        <v>DuplicateRow</v>
      </c>
      <c r="DD5" s="30" t="str">
        <f>IFERROR(__xludf.DUMMYFUNCTION("""COMPUTED_VALUE"""),"DuplicateCountOnUI")</f>
        <v>DuplicateCountOnUI</v>
      </c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BJ6" s="9">
        <v>1000.0</v>
      </c>
      <c r="BO6" s="9" t="s">
        <v>17</v>
      </c>
      <c r="BT6" s="9" t="s">
        <v>19</v>
      </c>
      <c r="CZ6" s="9"/>
      <c r="DA6" s="9"/>
      <c r="DB6" s="9"/>
    </row>
    <row r="7" ht="15.75" customHeight="1">
      <c r="A7" s="13"/>
      <c r="C7" s="8"/>
      <c r="D7" s="13"/>
      <c r="E7" s="31"/>
      <c r="F7" s="8"/>
      <c r="G7" s="8"/>
      <c r="H7" s="8"/>
      <c r="I7" s="8"/>
      <c r="J7" s="8"/>
      <c r="K7" s="8"/>
      <c r="L7" s="8"/>
      <c r="M7" s="8"/>
      <c r="N7" s="8"/>
      <c r="O7" s="8"/>
      <c r="BJ7" s="9">
        <v>1000.0</v>
      </c>
      <c r="BO7" s="9" t="s">
        <v>17</v>
      </c>
      <c r="BT7" s="9" t="s">
        <v>16</v>
      </c>
      <c r="CZ7" s="9" t="s">
        <v>38</v>
      </c>
      <c r="DA7" s="9" t="s">
        <v>39</v>
      </c>
      <c r="DB7" s="9" t="s">
        <v>16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