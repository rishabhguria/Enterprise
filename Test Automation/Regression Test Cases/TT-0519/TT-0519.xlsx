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95" activeTab="4"/>
  </bookViews>
  <sheets>
    <sheet name="_Modules" sheetId="1" r:id="rId1"/>
    <sheet name="_Settings" sheetId="2" r:id="rId2"/>
    <sheet name="_MasterData" sheetId="3" r:id="rId3"/>
    <sheet name="CreateDoneAwayOrder" sheetId="4" r:id="rId4"/>
    <sheet name="CreateDoneAwayOrder1" sheetId="5" r:id="rId5"/>
    <sheet name="GetDataAllocation" sheetId="6" r:id="rId6"/>
    <sheet name="CheckAllocatedTaxlots" sheetId="7" r:id="rId7"/>
  </sheets>
  <calcPr calcId="144525"/>
</workbook>
</file>

<file path=xl/sharedStrings.xml><?xml version="1.0" encoding="utf-8"?>
<sst xmlns="http://schemas.openxmlformats.org/spreadsheetml/2006/main" count="72" uniqueCount="33">
  <si>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</si>
  <si>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</si>
  <si>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</si>
  <si>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</si>
  <si>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</si>
  <si>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</si>
  <si>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</si>
  <si>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</si>
  <si>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</si>
  <si>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</si>
  <si>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</si>
  <si>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</si>
  <si>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</si>
  <si>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</si>
  <si>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</si>
  <si>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</si>
  <si>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</si>
  <si>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</si>
  <si>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Allocation1,Allocation2,Allocation3</t>
  </si>
  <si>
    <t>101, 101, 101</t>
  </si>
  <si>
    <t>MSFT</t>
  </si>
  <si>
    <t>Sell</t>
  </si>
  <si>
    <t>100, 101, 101</t>
  </si>
  <si>
    <t>Allocation</t>
  </si>
  <si>
    <t>GetDataAllocation</t>
  </si>
  <si>
    <t>Current</t>
  </si>
  <si>
    <t>CheckAllocatedTaxlots</t>
  </si>
  <si>
    <t>M</t>
  </si>
  <si>
    <t>USD</t>
  </si>
  <si>
    <t>Allocation2</t>
  </si>
  <si>
    <t>Strategy Unallocated</t>
  </si>
  <si>
    <t>Allocation3</t>
  </si>
  <si>
    <t>Allocation1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</si>
</sst>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33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1"/>
      <color rgb="FF000000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  <font>
      <sz val="9"/>
      <color rgb="FF1F1F1F"/>
      <name val="&quot;Google Sans&quot;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10" borderId="0" applyNumberFormat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6" borderId="1" applyNumberFormat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3" fillId="19" borderId="3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30" fillId="21" borderId="7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5" fillId="21" borderId="4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7" fillId="0" borderId="0" xfId="0" applyFont="1" applyAlignment="1">
      <alignment horizontal="right"/>
    </xf>
    <xf numFmtId="0" fontId="7" fillId="0" borderId="0" xfId="0" applyFont="1" applyAlignment="1"/>
    <xf numFmtId="0" fontId="2" fillId="2" borderId="0" xfId="0" applyFont="1" applyFill="1"/>
    <xf numFmtId="0" fontId="5" fillId="0" borderId="0" xfId="0" applyFont="1" applyAlignment="1"/>
    <xf numFmtId="0" fontId="8" fillId="3" borderId="0" xfId="0" applyFont="1" applyFill="1"/>
    <xf numFmtId="0" fontId="9" fillId="4" borderId="0" xfId="0" applyFont="1" applyFill="1"/>
    <xf numFmtId="0" fontId="8" fillId="5" borderId="0" xfId="0" applyFont="1" applyFill="1"/>
    <xf numFmtId="0" fontId="3" fillId="0" borderId="0" xfId="0" applyFont="1" applyAlignment="1">
      <alignment horizontal="right"/>
    </xf>
    <xf numFmtId="0" fontId="2" fillId="0" borderId="0" xfId="0" applyFont="1" applyAlignment="1"/>
    <xf numFmtId="3" fontId="2" fillId="0" borderId="0" xfId="0" applyNumberFormat="1" applyFont="1" applyAlignment="1"/>
    <xf numFmtId="0" fontId="10" fillId="3" borderId="0" xfId="0" applyFont="1" applyFill="1" applyBorder="1" applyAlignment="1"/>
    <xf numFmtId="0" fontId="10" fillId="0" borderId="0" xfId="0" applyFont="1"/>
    <xf numFmtId="0" fontId="11" fillId="2" borderId="0" xfId="0" applyFont="1" applyFill="1" applyBorder="1" applyAlignment="1">
      <alignment horizontal="center"/>
    </xf>
    <xf numFmtId="0" fontId="12" fillId="6" borderId="0" xfId="0" applyFont="1" applyFill="1" applyAlignment="1"/>
    <xf numFmtId="0" fontId="2" fillId="3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6.3809523809524" customWidth="1"/>
    <col min="2" max="2" width="23.5047619047619" customWidth="1"/>
    <col min="3" max="3" width="44.1333333333333" customWidth="1"/>
    <col min="4" max="26" width="12.6285714285714" customWidth="1"/>
  </cols>
  <sheetData>
    <row r="1" ht="15.75" customHeight="1" spans="1:6">
      <c r="A1" s="2" t="s">
        <v>0</v>
      </c>
      <c r="B1" s="3"/>
      <c r="C1" s="3"/>
      <c r="D1" s="3"/>
      <c r="E1" s="3"/>
      <c r="F1" s="3"/>
    </row>
    <row r="2" ht="15.75" customHeight="1" spans="1:6">
      <c r="A2" s="19"/>
      <c r="B2" s="19"/>
      <c r="C2" s="19"/>
      <c r="D2" s="19"/>
      <c r="E2" s="19"/>
      <c r="F2" s="19"/>
    </row>
    <row r="3" ht="15.75" customHeight="1" spans="1:6">
      <c r="A3" s="6" t="s">
        <v>1</v>
      </c>
      <c r="B3" s="25"/>
      <c r="C3" s="25"/>
      <c r="D3" s="25"/>
      <c r="E3" s="25"/>
      <c r="F3" s="25"/>
    </row>
    <row r="4" ht="15.75" customHeight="1" spans="1:6">
      <c r="A4" s="4" t="str">
        <f>IFERROR(__xludf.DUMMYFUNCTION("IMPORTRANGE('_Settings'!B3,""Modules!A4:L1000"")"),"Allocation")</f>
        <v>Allocation</v>
      </c>
      <c r="B4" s="19" t="str">
        <f>IFERROR(__xludf.DUMMYFUNCTION("""COMPUTED_VALUE"""),"Allocate")</f>
        <v>Allocate</v>
      </c>
      <c r="C4" s="19" t="str">
        <f>IFERROR(__xludf.DUMMYFUNCTION("""COMPUTED_VALUE"""),"Undefined")</f>
        <v>Undefined</v>
      </c>
      <c r="D4" s="19"/>
      <c r="E4" s="19"/>
      <c r="F4" s="19"/>
    </row>
    <row r="5" ht="15.75" customHeight="1" spans="1:6">
      <c r="A5" s="4" t="str">
        <f>IFERROR(__xludf.DUMMYFUNCTION("""COMPUTED_VALUE"""),"Allocation")</f>
        <v>Allocation</v>
      </c>
      <c r="B5" s="19" t="str">
        <f>IFERROR(__xludf.DUMMYFUNCTION("""COMPUTED_VALUE"""),"CheckAllocatedGroups")</f>
        <v>CheckAllocatedGroups</v>
      </c>
      <c r="C5" s="19" t="str">
        <f>IFERROR(__xludf.DUMMYFUNCTION("""COMPUTED_VALUE"""),"1dAW4zy24rTGIk36aETFXuQIiGMdIekN8xCbk-P0LmLA")</f>
        <v>1dAW4zy24rTGIk36aETFXuQIiGMdIekN8xCbk-P0LmLA</v>
      </c>
      <c r="D5" s="19"/>
      <c r="E5" s="19"/>
      <c r="F5" s="19"/>
    </row>
    <row r="6" ht="15.75" customHeight="1" spans="1:6">
      <c r="A6" s="19" t="str">
        <f>IFERROR(__xludf.DUMMYFUNCTION("""COMPUTED_VALUE"""),"Allocation")</f>
        <v>Allocation</v>
      </c>
      <c r="B6" s="19" t="str">
        <f>IFERROR(__xludf.DUMMYFUNCTION("""COMPUTED_VALUE"""),"GetDataAllocation")</f>
        <v>GetDataAllocation</v>
      </c>
      <c r="C6" s="19" t="str">
        <f>IFERROR(__xludf.DUMMYFUNCTION("""COMPUTED_VALUE"""),"17z9ihiMKD6gfUvZ9W-EjVcck7eLx5-pL1aGZINvM7DM")</f>
        <v>17z9ihiMKD6gfUvZ9W-EjVcck7eLx5-pL1aGZINvM7DM</v>
      </c>
      <c r="D6" s="19"/>
      <c r="E6" s="19"/>
      <c r="F6" s="19"/>
    </row>
    <row r="7" ht="15.75" customHeight="1" spans="1:6">
      <c r="A7" s="19" t="str">
        <f>IFERROR(__xludf.DUMMYFUNCTION("""COMPUTED_VALUE"""),"Allocation")</f>
        <v>Allocation</v>
      </c>
      <c r="B7" s="19" t="str">
        <f>IFERROR(__xludf.DUMMYFUNCTION("""COMPUTED_VALUE"""),"SelectAllocatedGroup")</f>
        <v>SelectAllocatedGroup</v>
      </c>
      <c r="C7" s="19" t="str">
        <f>IFERROR(__xludf.DUMMYFUNCTION("""COMPUTED_VALUE"""),"1zHzWd-dKjjhFUjGMV5t3NQvfyrdLY3UgzQqgPYz_w-M")</f>
        <v>1zHzWd-dKjjhFUjGMV5t3NQvfyrdLY3UgzQqgPYz_w-M</v>
      </c>
      <c r="D7" s="19"/>
      <c r="E7" s="19"/>
      <c r="F7" s="19"/>
    </row>
    <row r="8" ht="15.75" customHeight="1" spans="1:6">
      <c r="A8" s="19" t="str">
        <f>IFERROR(__xludf.DUMMYFUNCTION("""COMPUTED_VALUE"""),"Allocation")</f>
        <v>Allocation</v>
      </c>
      <c r="B8" s="19" t="str">
        <f>IFERROR(__xludf.DUMMYFUNCTION("""COMPUTED_VALUE"""),"EditTradesAllocated")</f>
        <v>EditTradesAllocated</v>
      </c>
      <c r="C8" s="19" t="str">
        <f>IFERROR(__xludf.DUMMYFUNCTION("""COMPUTED_VALUE"""),"1Od578flUHxwEJwC1Fz1DITVFvR2djQefHIh7VovYb4w")</f>
        <v>1Od578flUHxwEJwC1Fz1DITVFvR2djQefHIh7VovYb4w</v>
      </c>
      <c r="D8" s="19"/>
      <c r="E8" s="19"/>
      <c r="F8" s="19"/>
    </row>
    <row r="9" ht="15.75" customHeight="1" spans="1:6">
      <c r="A9" s="19" t="str">
        <f>IFERROR(__xludf.DUMMYFUNCTION("""COMPUTED_VALUE"""),"Allocation")</f>
        <v>Allocation</v>
      </c>
      <c r="B9" s="19" t="str">
        <f>IFERROR(__xludf.DUMMYFUNCTION("""COMPUTED_VALUE"""),"EditTradesUnallocated")</f>
        <v>EditTradesUnallocated</v>
      </c>
      <c r="C9" s="19" t="str">
        <f>IFERROR(__xludf.DUMMYFUNCTION("""COMPUTED_VALUE"""),"1UDUQRoc1aD2NzlOBbpEHizmHA_TClEqDOUqmI85UdPY")</f>
        <v>1UDUQRoc1aD2NzlOBbpEHizmHA_TClEqDOUqmI85UdPY</v>
      </c>
      <c r="D9" s="19"/>
      <c r="E9" s="19"/>
      <c r="F9" s="19"/>
    </row>
    <row r="10" ht="15.75" customHeight="1" spans="1:6">
      <c r="A10" s="19" t="str">
        <f>IFERROR(__xludf.DUMMYFUNCTION("""COMPUTED_VALUE"""),"Allocation")</f>
        <v>Allocation</v>
      </c>
      <c r="B10" s="19" t="str">
        <f>IFERROR(__xludf.DUMMYFUNCTION("""COMPUTED_VALUE"""),"Reallocate")</f>
        <v>Reallocate</v>
      </c>
      <c r="C10" s="19" t="str">
        <f>IFERROR(__xludf.DUMMYFUNCTION("""COMPUTED_VALUE"""),"Undefined")</f>
        <v>Undefined</v>
      </c>
      <c r="D10" s="19"/>
      <c r="E10" s="19"/>
      <c r="F10" s="19"/>
    </row>
    <row r="11" ht="15.75" customHeight="1" spans="1:6">
      <c r="A11" s="19" t="str">
        <f>IFERROR(__xludf.DUMMYFUNCTION("""COMPUTED_VALUE"""),"Blotter")</f>
        <v>Blotter</v>
      </c>
      <c r="B11" s="19" t="str">
        <f>IFERROR(__xludf.DUMMYFUNCTION("""COMPUTED_VALUE"""),"ReplaceFillsOnBlotter")</f>
        <v>ReplaceFillsOnBlotter</v>
      </c>
      <c r="C11" s="19" t="str">
        <f>IFERROR(__xludf.DUMMYFUNCTION("""COMPUTED_VALUE"""),"Undefined")</f>
        <v>Undefined</v>
      </c>
      <c r="D11" s="19"/>
      <c r="E11" s="19"/>
      <c r="F11" s="19"/>
    </row>
    <row r="12" ht="15.75" customHeight="1" spans="1:6">
      <c r="A12" s="19" t="str">
        <f>IFERROR(__xludf.DUMMYFUNCTION("""COMPUTED_VALUE"""),"Blotter")</f>
        <v>Blotter</v>
      </c>
      <c r="B12" s="19" t="str">
        <f>IFERROR(__xludf.DUMMYFUNCTION("""COMPUTED_VALUE"""),"CheckBlotter")</f>
        <v>CheckBlotter</v>
      </c>
      <c r="C12" s="19" t="str">
        <f>IFERROR(__xludf.DUMMYFUNCTION("""COMPUTED_VALUE"""),"13ZrsiZ70OIEAatRBfOiR_gV5rJ_midISjjF8v-4eL0Y")</f>
        <v>13ZrsiZ70OIEAatRBfOiR_gV5rJ_midISjjF8v-4eL0Y</v>
      </c>
      <c r="D12" s="19"/>
      <c r="E12" s="19"/>
      <c r="F12" s="19"/>
    </row>
    <row r="13" ht="15.75" customHeight="1" spans="1:6">
      <c r="A13" s="19" t="str">
        <f>IFERROR(__xludf.DUMMYFUNCTION("""COMPUTED_VALUE"""),"GeneralLedger")</f>
        <v>GeneralLedger</v>
      </c>
      <c r="B13" s="19" t="str">
        <f>IFERROR(__xludf.DUMMYFUNCTION("""COMPUTED_VALUE"""),"GetDataCash")</f>
        <v>GetDataCash</v>
      </c>
      <c r="C13" s="19" t="str">
        <f>IFERROR(__xludf.DUMMYFUNCTION("""COMPUTED_VALUE"""),"1tyMnWQY__e4MUR_xwPpIDDmcPGtTnjD3W3VkZKeGYzI")</f>
        <v>1tyMnWQY__e4MUR_xwPpIDDmcPGtTnjD3W3VkZKeGYzI</v>
      </c>
      <c r="D13" s="19"/>
      <c r="E13" s="19"/>
      <c r="F13" s="19"/>
    </row>
    <row r="14" ht="15.75" customHeight="1" spans="1:6">
      <c r="A14" s="19" t="str">
        <f>IFERROR(__xludf.DUMMYFUNCTION("""COMPUTED_VALUE"""),"GeneralLedger")</f>
        <v>GeneralLedger</v>
      </c>
      <c r="B14" s="19" t="str">
        <f>IFERROR(__xludf.DUMMYFUNCTION("""COMPUTED_VALUE"""),"EnterCashDividends")</f>
        <v>EnterCashDividends</v>
      </c>
      <c r="C14" s="19" t="str">
        <f>IFERROR(__xludf.DUMMYFUNCTION("""COMPUTED_VALUE"""),"1USUg7JbYRIA3kdfb0kw6ZMMOSpQ1ZYhS75Gao9wR5T8")</f>
        <v>1USUg7JbYRIA3kdfb0kw6ZMMOSpQ1ZYhS75Gao9wR5T8</v>
      </c>
      <c r="D14" s="19"/>
      <c r="E14" s="19"/>
      <c r="F14" s="19"/>
    </row>
    <row r="15" ht="15.75" customHeight="1" spans="1:6">
      <c r="A15" s="19" t="str">
        <f>IFERROR(__xludf.DUMMYFUNCTION("""COMPUTED_VALUE"""),"GeneralLedger")</f>
        <v>GeneralLedger</v>
      </c>
      <c r="B15" s="19" t="str">
        <f>IFERROR(__xludf.DUMMYFUNCTION("""COMPUTED_VALUE"""),"EnterNonTradingTransaction")</f>
        <v>EnterNonTradingTransaction</v>
      </c>
      <c r="C15" s="19" t="str">
        <f>IFERROR(__xludf.DUMMYFUNCTION("""COMPUTED_VALUE"""),"1p2p6gSqvocKogadVT8EcyD1uh3PHpJ19DpW4ijaPhxE")</f>
        <v>1p2p6gSqvocKogadVT8EcyD1uh3PHpJ19DpW4ijaPhxE</v>
      </c>
      <c r="D15" s="19"/>
      <c r="E15" s="19"/>
      <c r="F15" s="19"/>
    </row>
    <row r="16" ht="15.75" customHeight="1" spans="1:6">
      <c r="A16" s="19" t="str">
        <f>IFERROR(__xludf.DUMMYFUNCTION("""COMPUTED_VALUE"""),"GeneralLedger")</f>
        <v>GeneralLedger</v>
      </c>
      <c r="B16" s="19" t="str">
        <f>IFERROR(__xludf.DUMMYFUNCTION("""COMPUTED_VALUE"""),"VerifyCash")</f>
        <v>VerifyCash</v>
      </c>
      <c r="C16" s="19" t="str">
        <f>IFERROR(__xludf.DUMMYFUNCTION("""COMPUTED_VALUE"""),"19uFS9OGON_IU8FmYpPrX0mhGeWrYqRslB9hXN6_tcJw")</f>
        <v>19uFS9OGON_IU8FmYpPrX0mhGeWrYqRslB9hXN6_tcJw</v>
      </c>
      <c r="D16" s="19"/>
      <c r="E16" s="19"/>
      <c r="F16" s="19"/>
    </row>
    <row r="17" ht="15.75" customHeight="1" spans="1:6">
      <c r="A17" s="19" t="str">
        <f>IFERROR(__xludf.DUMMYFUNCTION("""COMPUTED_VALUE"""),"GeneralLedger")</f>
        <v>GeneralLedger</v>
      </c>
      <c r="B17" s="19" t="str">
        <f>IFERROR(__xludf.DUMMYFUNCTION("""COMPUTED_VALUE"""),"VerifyActivity")</f>
        <v>VerifyActivity</v>
      </c>
      <c r="C17" s="19" t="str">
        <f>IFERROR(__xludf.DUMMYFUNCTION("""COMPUTED_VALUE"""),"1-XlUXAxaC6I6StmIuxYN-EpjycpOsKaKUTf2A8ycEz8")</f>
        <v>1-XlUXAxaC6I6StmIuxYN-EpjycpOsKaKUTf2A8ycEz8</v>
      </c>
      <c r="D17" s="19"/>
      <c r="E17" s="19"/>
      <c r="F17" s="19"/>
    </row>
    <row r="18" ht="15.75" customHeight="1" spans="1:6">
      <c r="A18" s="19" t="str">
        <f>IFERROR(__xludf.DUMMYFUNCTION("""COMPUTED_VALUE"""),"GeneralLedger")</f>
        <v>GeneralLedger</v>
      </c>
      <c r="B18" s="19" t="str">
        <f>IFERROR(__xludf.DUMMYFUNCTION("""COMPUTED_VALUE"""),"VerifyTradingTransaction")</f>
        <v>VerifyTradingTransaction</v>
      </c>
      <c r="C18" s="19" t="str">
        <f>IFERROR(__xludf.DUMMYFUNCTION("""COMPUTED_VALUE"""),"1sL_WZLppCT4Ki-R3zoVfUsjrZLxQpK1e4BjriH8glWU")</f>
        <v>1sL_WZLppCT4Ki-R3zoVfUsjrZLxQpK1e4BjriH8glWU</v>
      </c>
      <c r="D18" s="19"/>
      <c r="E18" s="19"/>
      <c r="F18" s="19"/>
    </row>
    <row r="19" ht="15.75" customHeight="1" spans="1:6">
      <c r="A19" s="19" t="str">
        <f>IFERROR(__xludf.DUMMYFUNCTION("""COMPUTED_VALUE"""),"GeneralLedger")</f>
        <v>GeneralLedger</v>
      </c>
      <c r="B19" s="19" t="str">
        <f>IFERROR(__xludf.DUMMYFUNCTION("""COMPUTED_VALUE"""),"VerifyRevaluationData")</f>
        <v>VerifyRevaluationData</v>
      </c>
      <c r="C19" s="19" t="str">
        <f>IFERROR(__xludf.DUMMYFUNCTION("""COMPUTED_VALUE"""),"102WNNSUlKvyh3foJRyeIRNwf9zLZy3mPzlXFy3nx5eI")</f>
        <v>102WNNSUlKvyh3foJRyeIRNwf9zLZy3mPzlXFy3nx5eI</v>
      </c>
      <c r="D19" s="19"/>
      <c r="E19" s="19"/>
      <c r="F19" s="19"/>
    </row>
    <row r="20" ht="15.75" customHeight="1" spans="1:6">
      <c r="A20" s="19" t="str">
        <f>IFERROR(__xludf.DUMMYFUNCTION("""COMPUTED_VALUE"""),"CorporateAction")</f>
        <v>CorporateAction</v>
      </c>
      <c r="B20" s="19" t="str">
        <f>IFERROR(__xludf.DUMMYFUNCTION("""COMPUTED_VALUE"""),"CorporateAction")</f>
        <v>CorporateAction</v>
      </c>
      <c r="C20" s="19" t="str">
        <f>IFERROR(__xludf.DUMMYFUNCTION("""COMPUTED_VALUE"""),"1-0Em95ZN9Vt-zKWBJwpEk4-Gv9MytxdcIN56mf3XmAY")</f>
        <v>1-0Em95ZN9Vt-zKWBJwpEk4-Gv9MytxdcIN56mf3XmAY</v>
      </c>
      <c r="D20" s="19"/>
      <c r="E20" s="19"/>
      <c r="F20" s="19"/>
    </row>
    <row r="21" ht="15.75" customHeight="1" spans="1:6">
      <c r="A21" s="19" t="str">
        <f>IFERROR(__xludf.DUMMYFUNCTION("""COMPUTED_VALUE"""),"CreateTransaction")</f>
        <v>CreateTransaction</v>
      </c>
      <c r="B21" s="19" t="str">
        <f>IFERROR(__xludf.DUMMYFUNCTION("""COMPUTED_VALUE"""),"CreateTransaction")</f>
        <v>CreateTransaction</v>
      </c>
      <c r="C21" s="19" t="str">
        <f>IFERROR(__xludf.DUMMYFUNCTION("""COMPUTED_VALUE"""),"1XBVNrYsG0mscyH68ut4sRom8XHcikIuM5L2SZOnTqh8")</f>
        <v>1XBVNrYsG0mscyH68ut4sRom8XHcikIuM5L2SZOnTqh8</v>
      </c>
      <c r="D21" s="19"/>
      <c r="E21" s="19"/>
      <c r="F21" s="19"/>
    </row>
    <row r="22" ht="15.75" customHeight="1" spans="1:6">
      <c r="A22" s="19" t="str">
        <f>IFERROR(__xludf.DUMMYFUNCTION("""COMPUTED_VALUE"""),"DailyValuation")</f>
        <v>DailyValuation</v>
      </c>
      <c r="B22" s="19" t="str">
        <f>IFERROR(__xludf.DUMMYFUNCTION("""COMPUTED_VALUE"""),"UpdateBeta")</f>
        <v>UpdateBeta</v>
      </c>
      <c r="C22" s="19" t="str">
        <f>IFERROR(__xludf.DUMMYFUNCTION("""COMPUTED_VALUE"""),"1dVMhvhPJNkuRqzig0Yyxm9TcxCvSCxm4pGTHTUTnsRE")</f>
        <v>1dVMhvhPJNkuRqzig0Yyxm9TcxCvSCxm4pGTHTUTnsRE</v>
      </c>
      <c r="D22" s="19"/>
      <c r="E22" s="19"/>
      <c r="F22" s="19"/>
    </row>
    <row r="23" ht="15.75" customHeight="1" spans="1:6">
      <c r="A23" s="19" t="str">
        <f>IFERROR(__xludf.DUMMYFUNCTION("""COMPUTED_VALUE"""),"DailyValuation")</f>
        <v>DailyValuation</v>
      </c>
      <c r="B23" s="19" t="str">
        <f>IFERROR(__xludf.DUMMYFUNCTION("""COMPUTED_VALUE"""),"UpdateDailyCash")</f>
        <v>UpdateDailyCash</v>
      </c>
      <c r="C23" s="19" t="str">
        <f>IFERROR(__xludf.DUMMYFUNCTION("""COMPUTED_VALUE"""),"1VgfvPkC2fO8lxFnWeV2SJts5aU1T2aFQ0qKO0SLQUe8")</f>
        <v>1VgfvPkC2fO8lxFnWeV2SJts5aU1T2aFQ0qKO0SLQUe8</v>
      </c>
      <c r="D23" s="19"/>
      <c r="E23" s="19"/>
      <c r="F23" s="19"/>
    </row>
    <row r="24" ht="15.75" customHeight="1" spans="1:6">
      <c r="A24" s="19" t="str">
        <f>IFERROR(__xludf.DUMMYFUNCTION("""COMPUTED_VALUE"""),"DailyValuation")</f>
        <v>DailyValuation</v>
      </c>
      <c r="B24" s="19" t="str">
        <f>IFERROR(__xludf.DUMMYFUNCTION("""COMPUTED_VALUE"""),"UpdateMultipleDailyCash")</f>
        <v>UpdateMultipleDailyCash</v>
      </c>
      <c r="C24" s="19" t="str">
        <f>IFERROR(__xludf.DUMMYFUNCTION("""COMPUTED_VALUE"""),"1zW-ZRiE_Nva2mXz7B9Rcq8AEgDMa5eZaUAA_V2cuGso")</f>
        <v>1zW-ZRiE_Nva2mXz7B9Rcq8AEgDMa5eZaUAA_V2cuGso</v>
      </c>
      <c r="D24" s="19"/>
      <c r="E24" s="19"/>
      <c r="F24" s="19"/>
    </row>
    <row r="25" ht="15.75" customHeight="1" spans="1:6">
      <c r="A25" s="19" t="str">
        <f>IFERROR(__xludf.DUMMYFUNCTION("""COMPUTED_VALUE"""),"DailyValuation")</f>
        <v>DailyValuation</v>
      </c>
      <c r="B25" s="19" t="str">
        <f>IFERROR(__xludf.DUMMYFUNCTION("""COMPUTED_VALUE"""),"UpdateForexConversion")</f>
        <v>UpdateForexConversion</v>
      </c>
      <c r="C25" s="19" t="str">
        <f>IFERROR(__xludf.DUMMYFUNCTION("""COMPUTED_VALUE"""),"16RytMV8yiBXzfJCYZpll7LZktPSSGF4KWO7qf7ok8JQ")</f>
        <v>16RytMV8yiBXzfJCYZpll7LZktPSSGF4KWO7qf7ok8JQ</v>
      </c>
      <c r="D25" s="19"/>
      <c r="E25" s="19"/>
      <c r="F25" s="19"/>
    </row>
    <row r="26" ht="15.75" customHeight="1" spans="1:6">
      <c r="A26" s="19" t="str">
        <f>IFERROR(__xludf.DUMMYFUNCTION("""COMPUTED_VALUE"""),"DailyValuation")</f>
        <v>DailyValuation</v>
      </c>
      <c r="B26" s="19" t="str">
        <f>IFERROR(__xludf.DUMMYFUNCTION("""COMPUTED_VALUE"""),"UpdateMarkPrice")</f>
        <v>UpdateMarkPrice</v>
      </c>
      <c r="C26" s="19" t="str">
        <f>IFERROR(__xludf.DUMMYFUNCTION("""COMPUTED_VALUE"""),"1enXmitAcl2gpCRQiXEHfGs14iE42srrOblgmWD48ZBs")</f>
        <v>1enXmitAcl2gpCRQiXEHfGs14iE42srrOblgmWD48ZBs</v>
      </c>
      <c r="D26" s="19"/>
      <c r="E26" s="19"/>
      <c r="F26" s="19"/>
    </row>
    <row r="27" ht="15.75" customHeight="1" spans="1:6">
      <c r="A27" s="19" t="str">
        <f>IFERROR(__xludf.DUMMYFUNCTION("""COMPUTED_VALUE"""),"Import")</f>
        <v>Import</v>
      </c>
      <c r="B27" s="19" t="str">
        <f>IFERROR(__xludf.DUMMYFUNCTION("""COMPUTED_VALUE"""),"Import")</f>
        <v>Import</v>
      </c>
      <c r="C27" s="19" t="str">
        <f>IFERROR(__xludf.DUMMYFUNCTION("""COMPUTED_VALUE"""),"1C7Ks4F1TdJ8FZ6aZHjbrGn084nRfj8jEyfA5AFY5Nq0")</f>
        <v>1C7Ks4F1TdJ8FZ6aZHjbrGn084nRfj8jEyfA5AFY5Nq0</v>
      </c>
      <c r="D27" s="19"/>
      <c r="E27" s="19"/>
      <c r="F27" s="19"/>
    </row>
    <row r="28" ht="15.75" customHeight="1" spans="1:6">
      <c r="A28" s="19" t="str">
        <f>IFERROR(__xludf.DUMMYFUNCTION("""COMPUTED_VALUE"""),"PortfolioManagement")</f>
        <v>PortfolioManagement</v>
      </c>
      <c r="B28" s="19" t="str">
        <f>IFERROR(__xludf.DUMMYFUNCTION("""COMPUTED_VALUE"""),"CheckDashboardPM")</f>
        <v>CheckDashboardPM</v>
      </c>
      <c r="C28" s="19" t="str">
        <f>IFERROR(__xludf.DUMMYFUNCTION("""COMPUTED_VALUE"""),"1ZYl3uoCzgPXxwJvvcfCJFn-BuPdlu5gk2xFErxHot4E")</f>
        <v>1ZYl3uoCzgPXxwJvvcfCJFn-BuPdlu5gk2xFErxHot4E</v>
      </c>
      <c r="D28" s="19"/>
      <c r="E28" s="19"/>
      <c r="F28" s="19"/>
    </row>
    <row r="29" ht="15.75" customHeight="1" spans="1:6">
      <c r="A29" s="19" t="str">
        <f>IFERROR(__xludf.DUMMYFUNCTION("""COMPUTED_VALUE"""),"PortfolioManagement")</f>
        <v>PortfolioManagement</v>
      </c>
      <c r="B29" s="19" t="str">
        <f>IFERROR(__xludf.DUMMYFUNCTION("""COMPUTED_VALUE"""),"CheckPortfolioManagement")</f>
        <v>CheckPortfolioManagement</v>
      </c>
      <c r="C29" s="19" t="str">
        <f>IFERROR(__xludf.DUMMYFUNCTION("""COMPUTED_VALUE"""),"1Vq83gkZMMI1Nno_if1flIxv0iKrih-ths4OzYTya63g")</f>
        <v>1Vq83gkZMMI1Nno_if1flIxv0iKrih-ths4OzYTya63g</v>
      </c>
      <c r="D29" s="19"/>
      <c r="E29" s="19"/>
      <c r="F29" s="19"/>
    </row>
    <row r="30" ht="15.75" customHeight="1" spans="1:6">
      <c r="A30" s="19" t="str">
        <f>IFERROR(__xludf.DUMMYFUNCTION("""COMPUTED_VALUE"""),"PortfolioManagement")</f>
        <v>PortfolioManagement</v>
      </c>
      <c r="B30" s="19" t="str">
        <f>IFERROR(__xludf.DUMMYFUNCTION("""COMPUTED_VALUE"""),"CheckPMLiveFeed")</f>
        <v>CheckPMLiveFeed</v>
      </c>
      <c r="C30" s="19" t="str">
        <f>IFERROR(__xludf.DUMMYFUNCTION("""COMPUTED_VALUE"""),"1PvJslce4o2d-qEGhOJrynvXMJkt18ljCw9Pu5raIKXY")</f>
        <v>1PvJslce4o2d-qEGhOJrynvXMJkt18ljCw9Pu5raIKXY</v>
      </c>
      <c r="D30" s="19"/>
      <c r="E30" s="19"/>
      <c r="F30" s="19"/>
    </row>
    <row r="31" ht="15.75" customHeight="1" spans="1:6">
      <c r="A31" s="19" t="str">
        <f>IFERROR(__xludf.DUMMYFUNCTION("""COMPUTED_VALUE"""),"PricingInput")</f>
        <v>PricingInput</v>
      </c>
      <c r="B31" s="19" t="str">
        <f>IFERROR(__xludf.DUMMYFUNCTION("""COMPUTED_VALUE"""),"PricingInput")</f>
        <v>PricingInput</v>
      </c>
      <c r="C31" s="19" t="str">
        <f>IFERROR(__xludf.DUMMYFUNCTION("""COMPUTED_VALUE"""),"1MWj-Ewd_04hjbFCDp4jovmv42JdTVXl3OPLl_2Xl8YM")</f>
        <v>1MWj-Ewd_04hjbFCDp4jovmv42JdTVXl3OPLl_2Xl8YM</v>
      </c>
      <c r="D31" s="19"/>
      <c r="E31" s="19"/>
      <c r="F31" s="19"/>
    </row>
    <row r="32" ht="15.75" customHeight="1" spans="1:6">
      <c r="A32" s="19" t="str">
        <f>IFERROR(__xludf.DUMMYFUNCTION("""COMPUTED_VALUE"""),"PricingInput")</f>
        <v>PricingInput</v>
      </c>
      <c r="B32" s="19" t="str">
        <f>IFERROR(__xludf.DUMMYFUNCTION("""COMPUTED_VALUE"""),"UpdateSharesOutstanding")</f>
        <v>UpdateSharesOutstanding</v>
      </c>
      <c r="C32" s="19" t="str">
        <f>IFERROR(__xludf.DUMMYFUNCTION("""COMPUTED_VALUE"""),"14QSrtmSo-hnXcnllkpyGNjEuADSVYEG-iEsa8-G5EZw")</f>
        <v>14QSrtmSo-hnXcnllkpyGNjEuADSVYEG-iEsa8-G5EZw</v>
      </c>
      <c r="D32" s="19"/>
      <c r="E32" s="19"/>
      <c r="F32" s="19"/>
    </row>
    <row r="33" ht="15.75" customHeight="1" spans="1:6">
      <c r="A33" s="19" t="str">
        <f>IFERROR(__xludf.DUMMYFUNCTION("""COMPUTED_VALUE"""),"SymbolLookup")</f>
        <v>SymbolLookup</v>
      </c>
      <c r="B33" s="19" t="str">
        <f>IFERROR(__xludf.DUMMYFUNCTION("""COMPUTED_VALUE"""),"VerifySymbolLookUp")</f>
        <v>VerifySymbolLookUp</v>
      </c>
      <c r="C33" s="19" t="str">
        <f>IFERROR(__xludf.DUMMYFUNCTION("""COMPUTED_VALUE"""),"1Cgo4_M28Dd3NnKk4ASpCKTv_dvi6I8bjSSceZyVjX9A")</f>
        <v>1Cgo4_M28Dd3NnKk4ASpCKTv_dvi6I8bjSSceZyVjX9A</v>
      </c>
      <c r="D33" s="19"/>
      <c r="E33" s="19"/>
      <c r="F33" s="19"/>
    </row>
    <row r="34" ht="15.75" customHeight="1" spans="1:3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 spans="1:3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 spans="1:3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 spans="1:3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 spans="1:3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 spans="1:3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 spans="1:3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 spans="1:3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 spans="1:3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 spans="1:3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 spans="1:3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 spans="1:3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 spans="1:3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 spans="1:3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 spans="1:3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 spans="1:3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 spans="1:3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 spans="1:3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 spans="1:3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 spans="1:3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 spans="1:3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 spans="1:3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 spans="1:3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 spans="1:3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 spans="1:3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 spans="1:3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 spans="1:3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 spans="1:3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 spans="1:3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 spans="1:3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 spans="1:3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 spans="1:3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 spans="1:3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 spans="1:3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 spans="1:3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 spans="1:3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 spans="1:3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 spans="1:3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 spans="1:3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 spans="1:3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 spans="1:3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 spans="1:3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 spans="1:3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 spans="1:3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 spans="1:3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 spans="1:3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 spans="1:3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 spans="1:3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 spans="1:3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 spans="1:3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 spans="1:3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 spans="1:3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 spans="1:3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 spans="1:3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 spans="1:3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 spans="1:3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 spans="1:3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 spans="1:3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 spans="1:3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 spans="1:3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 spans="1:3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 spans="1:3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 spans="1:3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 spans="1:3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 spans="1:3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 spans="1:3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 spans="1:3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 spans="1:3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 spans="1:3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 spans="1:3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 spans="1:3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 spans="1:3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 spans="1:3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 spans="1:3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 spans="1:3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 spans="1:3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 spans="1:3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 spans="1:3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 spans="1:3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 spans="1:3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 spans="1:3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 spans="1:3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 spans="1:3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 spans="1:3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 spans="1:3">
      <c r="A118" s="1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 spans="1:3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 spans="1:3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 spans="1:3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 spans="1:3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 spans="1:3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 spans="1:3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 spans="1:3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 spans="1:3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 spans="1:3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 spans="1:3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 spans="1:3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 spans="1:3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 spans="1:3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 spans="1:3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 spans="1:3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 spans="1:3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 spans="1:3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 spans="1:3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 spans="1:3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 spans="1:3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 spans="1:3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 spans="1:3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 spans="1:3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 spans="1:3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 spans="1:3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 spans="1:3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 spans="1:3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 spans="1:3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 spans="1:3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 spans="1:3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 spans="1:3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 spans="1:3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 spans="1:3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 spans="1:3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 spans="1:3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 spans="1:3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 spans="1:3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 spans="1:3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 spans="1:3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 spans="1:3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 spans="1:3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 spans="1:3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 spans="1:3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 spans="1:3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 spans="1:3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 spans="1:3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 spans="1:3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 spans="1:3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 spans="1:3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 spans="1:3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 spans="1:3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 spans="1:3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 spans="1:3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 spans="1:3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 spans="1:3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 spans="1:3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 spans="1:3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 spans="1:3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 spans="1:3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 spans="1:3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 spans="1:3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 spans="1:3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 spans="1:3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 spans="1:3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 spans="1:3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 spans="1:3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 spans="1:3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 spans="1:3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 spans="1:3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 spans="1:3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 spans="1:3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 spans="1:3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 spans="1:3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 spans="1:3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 spans="1:3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 spans="1:3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 spans="1:3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 spans="1:3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 spans="1:3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 spans="1:3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 spans="1:3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 spans="1:3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 spans="1:3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 spans="1:3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 spans="1:3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 spans="1:3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 spans="1:3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 spans="1:3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 spans="1:3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 spans="1:3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 spans="1:3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 spans="1:3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 spans="1:3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 spans="1:3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 spans="1:3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 spans="1:3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 spans="1:3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 spans="1:3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 spans="1:3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 spans="1:3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 spans="1:3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 spans="1:3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 spans="1:3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 spans="1:3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 spans="1:3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 spans="1:3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 spans="1:3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 spans="1:3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 spans="1:3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 spans="1:3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 spans="1:3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 spans="1:3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 spans="1:3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 spans="1:3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 spans="1:3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 spans="1:3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 spans="1:3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 spans="1:3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 spans="1:3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 spans="1:3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 spans="1:3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 spans="1:3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 spans="1:3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 spans="1:3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 spans="1:3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 spans="1:3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 spans="1:3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 spans="1:3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 spans="1:3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 spans="1:3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 spans="1:3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 spans="1:3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 spans="1:3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 spans="1:3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 spans="1:3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 spans="1:3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 spans="1:3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 spans="1:3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 spans="1:3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 spans="1:3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 spans="1:3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 spans="1:3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 spans="1:3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 spans="1:3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 spans="1:3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 spans="1:3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 spans="1:3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 spans="1:3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 spans="1:3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 spans="1:3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 spans="1:3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 spans="1:3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 spans="1:3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 spans="1:3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 spans="1:3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 spans="1:3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 spans="1:3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 spans="1:3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 spans="1:3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 spans="1:3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 spans="1:3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 spans="1:3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 spans="1:3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 spans="1:3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 spans="1:3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 spans="1:3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 spans="1:3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 spans="1:3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 spans="1:3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 spans="1:3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 spans="1:3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 spans="1:3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 spans="1:3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 spans="1:3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 spans="1:3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 spans="1:3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 spans="1:3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 spans="1:3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 spans="1:3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 spans="1:3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 spans="1:3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 spans="1:3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 spans="1:3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 spans="1:3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 spans="1:3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 spans="1:3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 spans="1:3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 spans="1:3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 spans="1:3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 spans="1:3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 spans="1:3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 spans="1:3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 spans="1:3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 spans="1:3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 spans="1:3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 spans="1:3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 spans="1:3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 spans="1:3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 spans="1:3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 spans="1:3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 spans="1:3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 spans="1:3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 spans="1:3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 spans="1:3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 spans="1:3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 spans="1:3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 spans="1:3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 spans="1:3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 spans="1:3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 spans="1:3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 spans="1:3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 spans="1:3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 spans="1:3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 spans="1:3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 spans="1:3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 spans="1:3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 spans="1:3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 spans="1:3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 spans="1:3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 spans="1:3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 spans="1:3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 spans="1:3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 spans="1:3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 spans="1:3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 spans="1:3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 spans="1:3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 spans="1:3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 spans="1:3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 spans="1:3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 spans="1:3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 spans="1:3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 spans="1:3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 spans="1:3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 spans="1:3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 spans="1:3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 spans="1:3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 spans="1:3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 spans="1:3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 spans="1:3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 spans="1:3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 spans="1:3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 spans="1:3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 spans="1:3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 spans="1:3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 spans="1:3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 spans="1:3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 spans="1:3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 spans="1:3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 spans="1:3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 spans="1:3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 spans="1:3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 spans="1:3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 spans="1:3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 spans="1:3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 spans="1:3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 spans="1:3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 spans="1:3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 spans="1:3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 spans="1:3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 spans="1:3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 spans="1:3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 spans="1:3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 spans="1:3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 spans="1:3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 spans="1:3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 spans="1:3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 spans="1:3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 spans="1:3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 spans="1:3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 spans="1:3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 spans="1:3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 spans="1:3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 spans="1:3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 spans="1:3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 spans="1:3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 spans="1:3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 spans="1:3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 spans="1:3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 spans="1:3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 spans="1:3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 spans="1:3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 spans="1:3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 spans="1:3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 spans="1:3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 spans="1:3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 spans="1:3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 spans="1:3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 spans="1:3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 spans="1:3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 spans="1:3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 spans="1:3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 spans="1:3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 spans="1:3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 spans="1:3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 spans="1:3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 spans="1:3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 spans="1:3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 spans="1:3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 spans="1:3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 spans="1:3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 spans="1:3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 spans="1:3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 spans="1:3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 spans="1:3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 spans="1:3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 spans="1:3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 spans="1:3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 spans="1:3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 spans="1:3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 spans="1:3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 spans="1:3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 spans="1:3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 spans="1:3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 spans="1:3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 spans="1:3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 spans="1:3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 spans="1:3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 spans="1:3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 spans="1:3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 spans="1:3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 spans="1:3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 spans="1:3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 spans="1:3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 spans="1:3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 spans="1:3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 spans="1:3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 spans="1:3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 spans="1:3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 spans="1:3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 spans="1:3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 spans="1:3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 spans="1:3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 spans="1:3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 spans="1:3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 spans="1:3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 spans="1:3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 spans="1:3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 spans="1:3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 spans="1:3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 spans="1:3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 spans="1:3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 spans="1:3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 spans="1:3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 spans="1:3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 spans="1:3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 spans="1:3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 spans="1:3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 spans="1:3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 spans="1:3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 spans="1:3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 spans="1:3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 spans="1:3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 spans="1:3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 spans="1:3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 spans="1:3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 spans="1:3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 spans="1:3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 spans="1:3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 spans="1:3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 spans="1:3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 spans="1:3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 spans="1:3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 spans="1:3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 spans="1:3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 spans="1:3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 spans="1:3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 spans="1:3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 spans="1:3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 spans="1:3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 spans="1:3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 spans="1:3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 spans="1:3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 spans="1:3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 spans="1:3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 spans="1:3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 spans="1:3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 spans="1:3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 spans="1:3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 spans="1:3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 spans="1:3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 spans="1:3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 spans="1:3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 spans="1:3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 spans="1:3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 spans="1:3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 spans="1:3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 spans="1:3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 spans="1:3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 spans="1:3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 spans="1:3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 spans="1:3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 spans="1:3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 spans="1:3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 spans="1:3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 spans="1:3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 spans="1:3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 spans="1:3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 spans="1:3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 spans="1:3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 spans="1:3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 spans="1:3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 spans="1:3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 spans="1:3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 spans="1:3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 spans="1:3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 spans="1:3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 spans="1:3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 spans="1:3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 spans="1:3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 spans="1:3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 spans="1:3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 spans="1:3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 spans="1:3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 spans="1:3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 spans="1:3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 spans="1:3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 spans="1:3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 spans="1:3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 spans="1:3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 spans="1:3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 spans="1:3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 spans="1:3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 spans="1:3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 spans="1:3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 spans="1:3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 spans="1:3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 spans="1:3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 spans="1:3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 spans="1:3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 spans="1:3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 spans="1:3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 spans="1:3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 spans="1:3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 spans="1:3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 spans="1:3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 spans="1:3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 spans="1:3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 spans="1:3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 spans="1:3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 spans="1:3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 spans="1:3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 spans="1:3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 spans="1:3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 spans="1:3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 spans="1:3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 spans="1:3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 spans="1:3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 spans="1:3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 spans="1:3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 spans="1:3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 spans="1:3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 spans="1:3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 spans="1:3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 spans="1:3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 spans="1:3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 spans="1:3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 spans="1:3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 spans="1:3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 spans="1:3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 spans="1:3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 spans="1:3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 spans="1:3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 spans="1:3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 spans="1:3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 spans="1:3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 spans="1:3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 spans="1:3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 spans="1:3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 spans="1:3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 spans="1:3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 spans="1:3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 spans="1:3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 spans="1:3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 spans="1:3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 spans="1:3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 spans="1:3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 spans="1:3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 spans="1:3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 spans="1:3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 spans="1:3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 spans="1:3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 spans="1:3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 spans="1:3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 spans="1:3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 spans="1:3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 spans="1:3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 spans="1:3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 spans="1:3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 spans="1:3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 spans="1:3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 spans="1:3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 spans="1:3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 spans="1:3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 spans="1:3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 spans="1:3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 spans="1:3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 spans="1:3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 spans="1:3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 spans="1:3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 spans="1:3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 spans="1:3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 spans="1:3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 spans="1:3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 spans="1:3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 spans="1:3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 spans="1:3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 spans="1:3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 spans="1:3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 spans="1:3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 spans="1:3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 spans="1:3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 spans="1:3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 spans="1:3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 spans="1:3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 spans="1:3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 spans="1:3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 spans="1:3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 spans="1:3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 spans="1:3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 spans="1:3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 spans="1:3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 spans="1:3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 spans="1:3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 spans="1:3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 spans="1:3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 spans="1:3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 spans="1:3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 spans="1:3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:C1"/>
    </sheetView>
  </sheetViews>
  <sheetFormatPr defaultColWidth="15.1333333333333" defaultRowHeight="15" customHeight="1" outlineLevelCol="2"/>
  <cols>
    <col min="1" max="1" width="21.247619047619" customWidth="1"/>
    <col min="2" max="2" width="42.6285714285714" customWidth="1"/>
    <col min="3" max="23" width="12.6285714285714" customWidth="1"/>
  </cols>
  <sheetData>
    <row r="1" ht="15.75" customHeight="1" spans="1:3">
      <c r="A1" s="23" t="s">
        <v>2</v>
      </c>
      <c r="B1" s="3"/>
      <c r="C1" s="3"/>
    </row>
    <row r="2" ht="15.75" customHeight="1" spans="1:3">
      <c r="A2" s="4"/>
      <c r="B2" s="4"/>
      <c r="C2" s="4"/>
    </row>
    <row r="3" ht="15.75" customHeight="1" spans="1:3">
      <c r="A3" s="6" t="s">
        <v>3</v>
      </c>
      <c r="B3" s="24" t="s">
        <v>4</v>
      </c>
      <c r="C3" s="4"/>
    </row>
    <row r="4" ht="15.75" customHeight="1" spans="1:3">
      <c r="A4" s="6" t="s">
        <v>5</v>
      </c>
      <c r="B4" s="4" t="s">
        <v>6</v>
      </c>
      <c r="C4" s="4"/>
    </row>
    <row r="5" ht="15.75" customHeight="1" spans="1:3">
      <c r="A5" s="7"/>
      <c r="B5" s="4"/>
      <c r="C5" s="4"/>
    </row>
    <row r="6" ht="15.75" customHeight="1" spans="1:3">
      <c r="A6" s="7"/>
      <c r="B6" s="4"/>
      <c r="C6" s="4"/>
    </row>
    <row r="7" ht="15.75" customHeight="1" spans="1:3">
      <c r="A7" s="7"/>
      <c r="B7" s="4"/>
      <c r="C7" s="4"/>
    </row>
    <row r="8" ht="15.75" customHeight="1" spans="1:3">
      <c r="A8" s="7"/>
      <c r="B8" s="4"/>
      <c r="C8" s="4"/>
    </row>
    <row r="9" ht="15.75" customHeight="1" spans="1:3">
      <c r="A9" s="7"/>
      <c r="B9" s="4"/>
      <c r="C9" s="4"/>
    </row>
    <row r="10" ht="15.75" customHeight="1" spans="1:3">
      <c r="A10" s="7"/>
      <c r="B10" s="4"/>
      <c r="C10" s="4"/>
    </row>
    <row r="11" ht="15.75" customHeight="1" spans="1:3">
      <c r="A11" s="7"/>
      <c r="B11" s="4"/>
      <c r="C11" s="4"/>
    </row>
    <row r="12" ht="15.75" customHeight="1" spans="1:3">
      <c r="A12" s="7"/>
      <c r="B12" s="4"/>
      <c r="C12" s="4"/>
    </row>
    <row r="13" ht="15.75" customHeight="1" spans="1:3">
      <c r="A13" s="7"/>
      <c r="B13" s="4"/>
      <c r="C13" s="4"/>
    </row>
    <row r="14" ht="15.75" customHeight="1" spans="1:3">
      <c r="A14" s="7"/>
      <c r="B14" s="4"/>
      <c r="C14" s="4"/>
    </row>
    <row r="15" ht="15.75" customHeight="1" spans="1:3">
      <c r="A15" s="7"/>
      <c r="B15" s="4"/>
      <c r="C15" s="4"/>
    </row>
    <row r="16" ht="15.75" customHeight="1" spans="1:3">
      <c r="A16" s="7"/>
      <c r="B16" s="4"/>
      <c r="C16" s="4"/>
    </row>
    <row r="17" ht="15.75" customHeight="1" spans="1:3">
      <c r="A17" s="7"/>
      <c r="B17" s="4"/>
      <c r="C17" s="4"/>
    </row>
    <row r="18" ht="15.75" customHeight="1" spans="1:3">
      <c r="A18" s="7"/>
      <c r="B18" s="4"/>
      <c r="C18" s="4"/>
    </row>
    <row r="19" ht="15.75" customHeight="1" spans="1:3">
      <c r="A19" s="7"/>
      <c r="B19" s="4"/>
      <c r="C19" s="4"/>
    </row>
    <row r="20" ht="15.75" customHeight="1" spans="1:3">
      <c r="A20" s="7"/>
      <c r="B20" s="4"/>
      <c r="C20" s="4"/>
    </row>
    <row r="21" ht="15.75" customHeight="1" spans="1:3">
      <c r="A21" s="7"/>
      <c r="B21" s="4"/>
      <c r="C21" s="4"/>
    </row>
    <row r="22" ht="15.75" customHeight="1" spans="1:3">
      <c r="A22" s="7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4"/>
  <sheetViews>
    <sheetView workbookViewId="0">
      <selection activeCell="A1" sqref="A1:F1"/>
    </sheetView>
  </sheetViews>
  <sheetFormatPr defaultColWidth="15.1333333333333" defaultRowHeight="15" customHeight="1" outlineLevelRow="3"/>
  <cols>
    <col min="4" max="4" width="33.6285714285714" customWidth="1"/>
  </cols>
  <sheetData>
    <row r="1" customHeight="1" spans="1:6">
      <c r="A1" s="2" t="s">
        <v>7</v>
      </c>
      <c r="B1" s="3"/>
      <c r="C1" s="3"/>
      <c r="D1" s="3"/>
      <c r="E1" s="3"/>
      <c r="F1" s="3"/>
    </row>
    <row r="2" customHeight="1" spans="1:6">
      <c r="A2" s="19"/>
      <c r="B2" s="19"/>
      <c r="C2" s="19"/>
      <c r="D2" s="19"/>
      <c r="E2" s="19"/>
      <c r="F2" s="19"/>
    </row>
    <row r="3" customHeight="1" spans="1:26">
      <c r="A3" s="6" t="s">
        <v>8</v>
      </c>
      <c r="B3" s="21" t="s">
        <v>9</v>
      </c>
      <c r="C3" s="21" t="s">
        <v>10</v>
      </c>
      <c r="D3" s="21"/>
      <c r="E3" s="21"/>
      <c r="F3" s="2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Height="1" spans="1:1">
      <c r="A4" t="str">
        <f>IFERROR(__xludf.DUMMYFUNCTION("IMPORTRANGE('_Settings'!B4,""Master Data!A4:L1000"")"),"#REF!")</f>
        <v>#REF!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topLeftCell="AU1" workbookViewId="0">
      <selection activeCell="BD6" sqref="BD6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IFERROR(__xludf.DUMMYFUNCTION("IF(C3="""","""",Transpose(IMPORTRANGE('_Settings'!$B$3,C3&amp;""!A4:A1000"")))"),"VerifyBasketExport")</f>
        <v>VerifyBasketExport</v>
      </c>
      <c r="C4" s="8" t="str">
        <f>IFERROR(__xludf.DUMMYFUNCTION("""COMPUTED_VALUE"""),"OpenTTFromPST")</f>
        <v>OpenTTFromPST</v>
      </c>
      <c r="D4" s="8" t="str">
        <f>IFERROR(__xludf.DUMMYFUNCTION("""COMPUTED_VALUE"""),"CreateNewSubLiveOrder")</f>
        <v>CreateNewSubLiveOrder</v>
      </c>
      <c r="E4" s="8" t="str">
        <f>IFERROR(__xludf.DUMMYFUNCTION("""COMPUTED_VALUE"""),"CreateReplaceLiveOrder")</f>
        <v>CreateReplaceLiveOrder</v>
      </c>
      <c r="F4" s="8" t="str">
        <f>IFERROR(__xludf.DUMMYFUNCTION("""COMPUTED_VALUE"""),"EnterDetailsOnTT")</f>
        <v>EnterDetailsOnTT</v>
      </c>
      <c r="G4" s="8" t="str">
        <f>IFERROR(__xludf.DUMMYFUNCTION("""COMPUTED_VALUE"""),"ViewAllocation")</f>
        <v>ViewAllocation</v>
      </c>
      <c r="H4" s="8" t="str">
        <f>IFERROR(__xludf.DUMMYFUNCTION("""COMPUTED_VALUE"""),"ValidateSymbolTT")</f>
        <v>ValidateSymbolTT</v>
      </c>
      <c r="I4" s="8" t="str">
        <f>IFERROR(__xludf.DUMMYFUNCTION("""COMPUTED_VALUE"""),"VerifyDataTT")</f>
        <v>VerifyDataTT</v>
      </c>
      <c r="J4" s="8" t="str">
        <f>IFERROR(__xludf.DUMMYFUNCTION("""COMPUTED_VALUE"""),"SetUIPreferencesTT")</f>
        <v>SetUIPreferencesTT</v>
      </c>
      <c r="K4" s="8" t="str">
        <f>IFERROR(__xludf.DUMMYFUNCTION("""COMPUTED_VALUE"""),"SetBrokerWisePreferencesTT")</f>
        <v>SetBrokerWisePreferencesTT</v>
      </c>
      <c r="L4" s="8" t="str">
        <f>IFERROR(__xludf.DUMMYFUNCTION("""COMPUTED_VALUE"""),"VerifyComplianceOrder")</f>
        <v>VerifyComplianceOrder</v>
      </c>
      <c r="M4" s="8" t="str">
        <f>IFERROR(__xludf.DUMMYFUNCTION("""COMPUTED_VALUE"""),"TradeNewSub")</f>
        <v>TradeNewSub</v>
      </c>
      <c r="N4" s="8" t="str">
        <f>IFERROR(__xludf.DUMMYFUNCTION("""COMPUTED_VALUE"""),"SendLiveBloomberg")</f>
        <v>SendLiveBloomberg</v>
      </c>
      <c r="O4" s="8" t="str">
        <f>IFERROR(__xludf.DUMMYFUNCTION("""COMPUTED_VALUE"""),"AddOptionTrade")</f>
        <v>AddOptionTrade</v>
      </c>
      <c r="P4" s="16" t="str">
        <f>IFERROR(__xludf.DUMMYFUNCTION("""COMPUTED_VALUE"""),"CreateComplianceOrder")</f>
        <v>CreateComplianceOrder</v>
      </c>
      <c r="Q4" s="16" t="str">
        <f>IFERROR(__xludf.DUMMYFUNCTION("""COMPUTED_VALUE"""),"CreateDoneAwayOrder")</f>
        <v>CreateDoneAwayOrder</v>
      </c>
      <c r="R4" s="16" t="str">
        <f>IFERROR(__xludf.DUMMYFUNCTION("""COMPUTED_VALUE"""),"CreateStageOrder")</f>
        <v>CreateStageOrder</v>
      </c>
      <c r="S4" s="16" t="str">
        <f>IFERROR(__xludf.DUMMYFUNCTION("""COMPUTED_VALUE"""),"ToggleBlombergOnRA")</f>
        <v>ToggleBlombergOnRA</v>
      </c>
      <c r="T4" s="16" t="str">
        <f>IFERROR(__xludf.DUMMYFUNCTION("""COMPUTED_VALUE"""),"CreateReplaceOrder")</f>
        <v>CreateReplaceOrder</v>
      </c>
      <c r="U4" s="16" t="str">
        <f>IFERROR(__xludf.DUMMYFUNCTION("""COMPUTED_VALUE"""),"RemoveSymbolFromRAList")</f>
        <v>RemoveSymbolFromRAList</v>
      </c>
      <c r="V4" s="16" t="str">
        <f>IFERROR(__xludf.DUMMYFUNCTION("""COMPUTED_VALUE"""),"DeleteSymbolListFromRA")</f>
        <v>DeleteSymbolListFromRA</v>
      </c>
      <c r="W4" s="16" t="str">
        <f>IFERROR(__xludf.DUMMYFUNCTION("""COMPUTED_VALUE"""),"AddSymbolOnRAList")</f>
        <v>AddSymbolOnRAList</v>
      </c>
      <c r="X4" s="16" t="str">
        <f>IFERROR(__xludf.DUMMYFUNCTION("""COMPUTED_VALUE"""),"CheckPendingNewOrderAlert")</f>
        <v>CheckPendingNewOrderAlert</v>
      </c>
      <c r="Y4" s="16" t="str">
        <f>IFERROR(__xludf.DUMMYFUNCTION("""COMPUTED_VALUE"""),"ExportSymbolFromRAList")</f>
        <v>ExportSymbolFromRAList</v>
      </c>
      <c r="Z4" s="16" t="str">
        <f>IFERROR(__xludf.DUMMYFUNCTION("""COMPUTED_VALUE"""),"ImportSymbol")</f>
        <v>ImportSymbol</v>
      </c>
      <c r="AA4" s="16" t="str">
        <f>IFERROR(__xludf.DUMMYFUNCTION("""COMPUTED_VALUE"""),"SetGeneralPreference")</f>
        <v>SetGeneralPreference</v>
      </c>
      <c r="AB4" s="16" t="str">
        <f>IFERROR(__xludf.DUMMYFUNCTION("""COMPUTED_VALUE"""),"SetTTCompliancePreference")</f>
        <v>SetTTCompliancePreference</v>
      </c>
      <c r="AC4" s="16" t="str">
        <f>IFERROR(__xludf.DUMMYFUNCTION("""COMPUTED_VALUE"""),"UpdateMasterFundOnTT")</f>
        <v>UpdateMasterFundOnTT</v>
      </c>
      <c r="AD4" s="16" t="str">
        <f>IFERROR(__xludf.DUMMYFUNCTION("""COMPUTED_VALUE"""),"CreateLiveOrder")</f>
        <v>CreateLiveOrder</v>
      </c>
      <c r="AE4" s="16" t="str">
        <f>IFERROR(__xludf.DUMMYFUNCTION("""COMPUTED_VALUE"""),"CreateNewSubOrder")</f>
        <v>CreateNewSubOrder</v>
      </c>
      <c r="AF4" s="16" t="str">
        <f>IFERROR(__xludf.DUMMYFUNCTION("""COMPUTED_VALUE"""),"TradeBloomberg")</f>
        <v>TradeBloomberg</v>
      </c>
      <c r="AG4" s="16" t="str">
        <f>IFERROR(__xludf.DUMMYFUNCTION("""COMPUTED_VALUE"""),"ClickSymbolLookup")</f>
        <v>ClickSymbolLookup</v>
      </c>
      <c r="AH4" s="16" t="str">
        <f>IFERROR(__xludf.DUMMYFUNCTION("""COMPUTED_VALUE"""),"VerifyTT")</f>
        <v>VerifyTT</v>
      </c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7" t="str">
        <f>IFERROR(__xludf.DUMMYFUNCTION("""COMPUTED_VALUE"""),"SoftBasis")</f>
        <v>SoftBasis</v>
      </c>
      <c r="U5" s="17" t="str">
        <f>IFERROR(__xludf.DUMMYFUNCTION("""COMPUTED_VALUE"""),"SoftRate")</f>
        <v>SoftRate</v>
      </c>
      <c r="V5" s="17" t="str">
        <f>IFERROR(__xludf.DUMMYFUNCTION("""COMPUTED_VALUE"""),"TradeAttribute1")</f>
        <v>TradeAttribute1</v>
      </c>
      <c r="W5" s="17" t="str">
        <f>IFERROR(__xludf.DUMMYFUNCTION("""COMPUTED_VALUE"""),"TradeAttribute2")</f>
        <v>TradeAttribute2</v>
      </c>
      <c r="X5" s="17" t="str">
        <f>IFERROR(__xludf.DUMMYFUNCTION("""COMPUTED_VALUE"""),"TradeAttribute3")</f>
        <v>TradeAttribute3</v>
      </c>
      <c r="Y5" s="17" t="str">
        <f>IFERROR(__xludf.DUMMYFUNCTION("""COMPUTED_VALUE"""),"TradeAttribute4")</f>
        <v>TradeAttribute4</v>
      </c>
      <c r="Z5" s="17" t="str">
        <f>IFERROR(__xludf.DUMMYFUNCTION("""COMPUTED_VALUE"""),"TradeAttribute5")</f>
        <v>TradeAttribute5</v>
      </c>
      <c r="AA5" s="17" t="str">
        <f>IFERROR(__xludf.DUMMYFUNCTION("""COMPUTED_VALUE"""),"TradeAttribute6")</f>
        <v>TradeAttribute6</v>
      </c>
      <c r="AB5" s="17" t="str">
        <f>IFERROR(__xludf.DUMMYFUNCTION("""COMPUTED_VALUE"""),"Venue")</f>
        <v>Venue</v>
      </c>
      <c r="AC5" s="17" t="str">
        <f>IFERROR(__xludf.DUMMYFUNCTION("""COMPUTED_VALUE"""),"ExecutionInstructions")</f>
        <v>ExecutionInstructions</v>
      </c>
      <c r="AD5" s="17" t="str">
        <f>IFERROR(__xludf.DUMMYFUNCTION("""COMPUTED_VALUE"""),"HandlingInstructions")</f>
        <v>HandlingInstructions</v>
      </c>
      <c r="AE5" s="17" t="str">
        <f>IFERROR(__xludf.DUMMYFUNCTION("""COMPUTED_VALUE"""),"Trader")</f>
        <v>Trader</v>
      </c>
      <c r="AF5" s="17" t="str">
        <f>IFERROR(__xludf.DUMMYFUNCTION("""COMPUTED_VALUE"""),"SettlementCurrency")</f>
        <v>SettlementCurrency</v>
      </c>
      <c r="AG5" s="17" t="str">
        <f>IFERROR(__xludf.DUMMYFUNCTION("""COMPUTED_VALUE"""),"SettlementFXRate")</f>
        <v>SettlementFXRate</v>
      </c>
      <c r="AH5" s="17" t="str">
        <f>IFERROR(__xludf.DUMMYFUNCTION("""COMPUTED_VALUE"""),"SettlementAmount")</f>
        <v>SettlementAmount</v>
      </c>
      <c r="AI5" s="17" t="str">
        <f>IFERROR(__xludf.DUMMYFUNCTION("""COMPUTED_VALUE"""),"SettlementFXOperator")</f>
        <v>SettlementFXOperator</v>
      </c>
      <c r="AJ5" s="17" t="str">
        <f>IFERROR(__xludf.DUMMYFUNCTION("""COMPUTED_VALUE"""),"SettleByBroker")</f>
        <v>SettleByBroker</v>
      </c>
      <c r="AK5" s="17" t="str">
        <f>IFERROR(__xludf.DUMMYFUNCTION("""COMPUTED_VALUE"""),"Account")</f>
        <v>Account</v>
      </c>
      <c r="AL5" s="17" t="str">
        <f>IFERROR(__xludf.DUMMYFUNCTION("""COMPUTED_VALUE"""),"Account %")</f>
        <v>Account %</v>
      </c>
      <c r="AM5" s="17" t="str">
        <f>IFERROR(__xludf.DUMMYFUNCTION("""COMPUTED_VALUE"""),"Deal In")</f>
        <v>Deal In</v>
      </c>
      <c r="AN5" s="17" t="str">
        <f>IFERROR(__xludf.DUMMYFUNCTION("""COMPUTED_VALUE"""),"ChkBoxBookAsSwap")</f>
        <v>ChkBoxBookAsSwap</v>
      </c>
      <c r="AO5" s="17" t="str">
        <f>IFERROR(__xludf.DUMMYFUNCTION("""COMPUTED_VALUE"""),"PopUpQuantity")</f>
        <v>PopUpQuantity</v>
      </c>
      <c r="AP5" s="17" t="str">
        <f>IFERROR(__xludf.DUMMYFUNCTION("""COMPUTED_VALUE"""),"ShortLocate")</f>
        <v>ShortLocate</v>
      </c>
      <c r="AQ5" s="17" t="str">
        <f>IFERROR(__xludf.DUMMYFUNCTION("""COMPUTED_VALUE"""),"AllowTrade")</f>
        <v>AllowTrade</v>
      </c>
      <c r="AR5" s="17" t="str">
        <f>IFERROR(__xludf.DUMMYFUNCTION("""COMPUTED_VALUE"""),"SharesOutstandingPopUpQty")</f>
        <v>SharesOutstandingPopUpQty</v>
      </c>
      <c r="AS5" s="17" t="str">
        <f>IFERROR(__xludf.DUMMYFUNCTION("""COMPUTED_VALUE"""),"SharesOutstandingPopUp")</f>
        <v>SharesOutstandingPopUp</v>
      </c>
      <c r="AT5" s="17" t="str">
        <f>IFERROR(__xludf.DUMMYFUNCTION("""COMPUTED_VALUE"""),"ResAllowedListPopUp")</f>
        <v>ResAllowedListPopUp</v>
      </c>
      <c r="AU5" s="17" t="str">
        <f>IFERROR(__xludf.DUMMYFUNCTION("""COMPUTED_VALUE"""),"Rate(%)")</f>
        <v>Rate(%)</v>
      </c>
      <c r="AV5" s="17" t="str">
        <f>IFERROR(__xludf.DUMMYFUNCTION("""COMPUTED_VALUE"""),"Interest Rate")</f>
        <v>Interest Rate</v>
      </c>
      <c r="AW5" s="17" t="str">
        <f>IFERROR(__xludf.DUMMYFUNCTION("""COMPUTED_VALUE"""),"SelectAlgoStrategy")</f>
        <v>SelectAlgoStrategy</v>
      </c>
      <c r="AX5" s="17" t="str">
        <f>IFERROR(__xludf.DUMMYFUNCTION("""COMPUTED_VALUE"""),"Increase/Decrease Quantity")</f>
        <v>Increase/Decrease Quantity</v>
      </c>
      <c r="AY5" s="17" t="str">
        <f>IFERROR(__xludf.DUMMYFUNCTION("""COMPUTED_VALUE"""),"Master Funds")</f>
        <v>Master Funds</v>
      </c>
      <c r="AZ5" s="17" t="str">
        <f>IFERROR(__xludf.DUMMYFUNCTION("""COMPUTED_VALUE"""),"TRVAccountName")</f>
        <v>TRVAccountName</v>
      </c>
      <c r="BA5" s="17" t="str">
        <f>IFERROR(__xludf.DUMMYFUNCTION("""COMPUTED_VALUE"""),"TRVTradeQuantity")</f>
        <v>TRVTradeQuantity</v>
      </c>
      <c r="BB5" s="17" t="str">
        <f>IFERROR(__xludf.DUMMYFUNCTION("""COMPUTED_VALUE"""),"TRVCurrentPosition")</f>
        <v>TRVCurrentPosition</v>
      </c>
      <c r="BC5" s="17" t="str">
        <f>IFERROR(__xludf.DUMMYFUNCTION("""COMPUTED_VALUE"""),"TRVNav")</f>
        <v>TRVNav</v>
      </c>
      <c r="BD5" s="17" t="str">
        <f>IFERROR(__xludf.DUMMYFUNCTION("""COMPUTED_VALUE"""),"Account QTY")</f>
        <v>Account QTY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56">
      <c r="A6" s="4"/>
      <c r="B6" s="4" t="s">
        <v>16</v>
      </c>
      <c r="C6" s="4" t="s">
        <v>17</v>
      </c>
      <c r="D6" s="4">
        <v>303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AK6" s="19" t="s">
        <v>18</v>
      </c>
      <c r="BD6" s="20" t="s">
        <v>19</v>
      </c>
    </row>
    <row r="7" ht="15.75" customHeight="1" spans="1:5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BD7" s="20"/>
    </row>
    <row r="8" ht="15.75" customHeight="1" spans="1:5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BD8" s="19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tabSelected="1" topLeftCell="AS1" workbookViewId="0">
      <selection activeCell="AW7" sqref="AW7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IFERROR(__xludf.DUMMYFUNCTION("IF(C3="""","""",Transpose(IMPORTRANGE('_Settings'!$B$3,C3&amp;""!A4:A1000"")))"),"VerifyBasketExport")</f>
        <v>VerifyBasketExport</v>
      </c>
      <c r="C4" s="8" t="str">
        <f>IFERROR(__xludf.DUMMYFUNCTION("""COMPUTED_VALUE"""),"OpenTTFromPST")</f>
        <v>OpenTTFromPST</v>
      </c>
      <c r="D4" s="8" t="str">
        <f>IFERROR(__xludf.DUMMYFUNCTION("""COMPUTED_VALUE"""),"CreateNewSubLiveOrder")</f>
        <v>CreateNewSubLiveOrder</v>
      </c>
      <c r="E4" s="8" t="str">
        <f>IFERROR(__xludf.DUMMYFUNCTION("""COMPUTED_VALUE"""),"CreateReplaceLiveOrder")</f>
        <v>CreateReplaceLiveOrder</v>
      </c>
      <c r="F4" s="8" t="str">
        <f>IFERROR(__xludf.DUMMYFUNCTION("""COMPUTED_VALUE"""),"EnterDetailsOnTT")</f>
        <v>EnterDetailsOnTT</v>
      </c>
      <c r="G4" s="8" t="str">
        <f>IFERROR(__xludf.DUMMYFUNCTION("""COMPUTED_VALUE"""),"ViewAllocation")</f>
        <v>ViewAllocation</v>
      </c>
      <c r="H4" s="8" t="str">
        <f>IFERROR(__xludf.DUMMYFUNCTION("""COMPUTED_VALUE"""),"ValidateSymbolTT")</f>
        <v>ValidateSymbolTT</v>
      </c>
      <c r="I4" s="8" t="str">
        <f>IFERROR(__xludf.DUMMYFUNCTION("""COMPUTED_VALUE"""),"VerifyDataTT")</f>
        <v>VerifyDataTT</v>
      </c>
      <c r="J4" s="8" t="str">
        <f>IFERROR(__xludf.DUMMYFUNCTION("""COMPUTED_VALUE"""),"SetUIPreferencesTT")</f>
        <v>SetUIPreferencesTT</v>
      </c>
      <c r="K4" s="8" t="str">
        <f>IFERROR(__xludf.DUMMYFUNCTION("""COMPUTED_VALUE"""),"SetBrokerWisePreferencesTT")</f>
        <v>SetBrokerWisePreferencesTT</v>
      </c>
      <c r="L4" s="8" t="str">
        <f>IFERROR(__xludf.DUMMYFUNCTION("""COMPUTED_VALUE"""),"VerifyComplianceOrder")</f>
        <v>VerifyComplianceOrder</v>
      </c>
      <c r="M4" s="8" t="str">
        <f>IFERROR(__xludf.DUMMYFUNCTION("""COMPUTED_VALUE"""),"TradeNewSub")</f>
        <v>TradeNewSub</v>
      </c>
      <c r="N4" s="8" t="str">
        <f>IFERROR(__xludf.DUMMYFUNCTION("""COMPUTED_VALUE"""),"SendLiveBloomberg")</f>
        <v>SendLiveBloomberg</v>
      </c>
      <c r="O4" s="8" t="str">
        <f>IFERROR(__xludf.DUMMYFUNCTION("""COMPUTED_VALUE"""),"AddOptionTrade")</f>
        <v>AddOptionTrade</v>
      </c>
      <c r="P4" s="16" t="str">
        <f>IFERROR(__xludf.DUMMYFUNCTION("""COMPUTED_VALUE"""),"CreateComplianceOrder")</f>
        <v>CreateComplianceOrder</v>
      </c>
      <c r="Q4" s="16" t="str">
        <f>IFERROR(__xludf.DUMMYFUNCTION("""COMPUTED_VALUE"""),"CreateDoneAwayOrder")</f>
        <v>CreateDoneAwayOrder</v>
      </c>
      <c r="R4" s="16" t="str">
        <f>IFERROR(__xludf.DUMMYFUNCTION("""COMPUTED_VALUE"""),"CreateStageOrder")</f>
        <v>CreateStageOrder</v>
      </c>
      <c r="S4" s="16" t="str">
        <f>IFERROR(__xludf.DUMMYFUNCTION("""COMPUTED_VALUE"""),"ToggleBlombergOnRA")</f>
        <v>ToggleBlombergOnRA</v>
      </c>
      <c r="T4" s="16" t="str">
        <f>IFERROR(__xludf.DUMMYFUNCTION("""COMPUTED_VALUE"""),"CreateReplaceOrder")</f>
        <v>CreateReplaceOrder</v>
      </c>
      <c r="U4" s="16" t="str">
        <f>IFERROR(__xludf.DUMMYFUNCTION("""COMPUTED_VALUE"""),"RemoveSymbolFromRAList")</f>
        <v>RemoveSymbolFromRAList</v>
      </c>
      <c r="V4" s="16" t="str">
        <f>IFERROR(__xludf.DUMMYFUNCTION("""COMPUTED_VALUE"""),"DeleteSymbolListFromRA")</f>
        <v>DeleteSymbolListFromRA</v>
      </c>
      <c r="W4" s="16" t="str">
        <f>IFERROR(__xludf.DUMMYFUNCTION("""COMPUTED_VALUE"""),"AddSymbolOnRAList")</f>
        <v>AddSymbolOnRAList</v>
      </c>
      <c r="X4" s="16" t="str">
        <f>IFERROR(__xludf.DUMMYFUNCTION("""COMPUTED_VALUE"""),"CheckPendingNewOrderAlert")</f>
        <v>CheckPendingNewOrderAlert</v>
      </c>
      <c r="Y4" s="16" t="str">
        <f>IFERROR(__xludf.DUMMYFUNCTION("""COMPUTED_VALUE"""),"ExportSymbolFromRAList")</f>
        <v>ExportSymbolFromRAList</v>
      </c>
      <c r="Z4" s="16" t="str">
        <f>IFERROR(__xludf.DUMMYFUNCTION("""COMPUTED_VALUE"""),"ImportSymbol")</f>
        <v>ImportSymbol</v>
      </c>
      <c r="AA4" s="16" t="str">
        <f>IFERROR(__xludf.DUMMYFUNCTION("""COMPUTED_VALUE"""),"SetGeneralPreference")</f>
        <v>SetGeneralPreference</v>
      </c>
      <c r="AB4" s="16" t="str">
        <f>IFERROR(__xludf.DUMMYFUNCTION("""COMPUTED_VALUE"""),"SetTTCompliancePreference")</f>
        <v>SetTTCompliancePreference</v>
      </c>
      <c r="AC4" s="16" t="str">
        <f>IFERROR(__xludf.DUMMYFUNCTION("""COMPUTED_VALUE"""),"UpdateMasterFundOnTT")</f>
        <v>UpdateMasterFundOnTT</v>
      </c>
      <c r="AD4" s="16" t="str">
        <f>IFERROR(__xludf.DUMMYFUNCTION("""COMPUTED_VALUE"""),"CreateLiveOrder")</f>
        <v>CreateLiveOrder</v>
      </c>
      <c r="AE4" s="16" t="str">
        <f>IFERROR(__xludf.DUMMYFUNCTION("""COMPUTED_VALUE"""),"CreateNewSubOrder")</f>
        <v>CreateNewSubOrder</v>
      </c>
      <c r="AF4" s="16" t="str">
        <f>IFERROR(__xludf.DUMMYFUNCTION("""COMPUTED_VALUE"""),"TradeBloomberg")</f>
        <v>TradeBloomberg</v>
      </c>
      <c r="AG4" s="16" t="str">
        <f>IFERROR(__xludf.DUMMYFUNCTION("""COMPUTED_VALUE"""),"ClickSymbolLookup")</f>
        <v>ClickSymbolLookup</v>
      </c>
      <c r="AH4" s="16" t="str">
        <f>IFERROR(__xludf.DUMMYFUNCTION("""COMPUTED_VALUE"""),"VerifyTT")</f>
        <v>VerifyTT</v>
      </c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7" t="str">
        <f>IFERROR(__xludf.DUMMYFUNCTION("""COMPUTED_VALUE"""),"SoftBasis")</f>
        <v>SoftBasis</v>
      </c>
      <c r="U5" s="17" t="str">
        <f>IFERROR(__xludf.DUMMYFUNCTION("""COMPUTED_VALUE"""),"SoftRate")</f>
        <v>SoftRate</v>
      </c>
      <c r="V5" s="17" t="str">
        <f>IFERROR(__xludf.DUMMYFUNCTION("""COMPUTED_VALUE"""),"TradeAttribute1")</f>
        <v>TradeAttribute1</v>
      </c>
      <c r="W5" s="17" t="str">
        <f>IFERROR(__xludf.DUMMYFUNCTION("""COMPUTED_VALUE"""),"TradeAttribute2")</f>
        <v>TradeAttribute2</v>
      </c>
      <c r="X5" s="17" t="str">
        <f>IFERROR(__xludf.DUMMYFUNCTION("""COMPUTED_VALUE"""),"TradeAttribute3")</f>
        <v>TradeAttribute3</v>
      </c>
      <c r="Y5" s="17" t="str">
        <f>IFERROR(__xludf.DUMMYFUNCTION("""COMPUTED_VALUE"""),"TradeAttribute4")</f>
        <v>TradeAttribute4</v>
      </c>
      <c r="Z5" s="17" t="str">
        <f>IFERROR(__xludf.DUMMYFUNCTION("""COMPUTED_VALUE"""),"TradeAttribute5")</f>
        <v>TradeAttribute5</v>
      </c>
      <c r="AA5" s="17" t="str">
        <f>IFERROR(__xludf.DUMMYFUNCTION("""COMPUTED_VALUE"""),"TradeAttribute6")</f>
        <v>TradeAttribute6</v>
      </c>
      <c r="AB5" s="17" t="str">
        <f>IFERROR(__xludf.DUMMYFUNCTION("""COMPUTED_VALUE"""),"Venue")</f>
        <v>Venue</v>
      </c>
      <c r="AC5" s="17" t="str">
        <f>IFERROR(__xludf.DUMMYFUNCTION("""COMPUTED_VALUE"""),"ExecutionInstructions")</f>
        <v>ExecutionInstructions</v>
      </c>
      <c r="AD5" s="17" t="str">
        <f>IFERROR(__xludf.DUMMYFUNCTION("""COMPUTED_VALUE"""),"HandlingInstructions")</f>
        <v>HandlingInstructions</v>
      </c>
      <c r="AE5" s="17" t="str">
        <f>IFERROR(__xludf.DUMMYFUNCTION("""COMPUTED_VALUE"""),"Trader")</f>
        <v>Trader</v>
      </c>
      <c r="AF5" s="17" t="str">
        <f>IFERROR(__xludf.DUMMYFUNCTION("""COMPUTED_VALUE"""),"SettlementCurrency")</f>
        <v>SettlementCurrency</v>
      </c>
      <c r="AG5" s="17" t="str">
        <f>IFERROR(__xludf.DUMMYFUNCTION("""COMPUTED_VALUE"""),"SettlementFXRate")</f>
        <v>SettlementFXRate</v>
      </c>
      <c r="AH5" s="17" t="str">
        <f>IFERROR(__xludf.DUMMYFUNCTION("""COMPUTED_VALUE"""),"SettlementAmount")</f>
        <v>SettlementAmount</v>
      </c>
      <c r="AI5" s="17" t="str">
        <f>IFERROR(__xludf.DUMMYFUNCTION("""COMPUTED_VALUE"""),"SettlementFXOperator")</f>
        <v>SettlementFXOperator</v>
      </c>
      <c r="AJ5" s="17" t="str">
        <f>IFERROR(__xludf.DUMMYFUNCTION("""COMPUTED_VALUE"""),"SettleByBroker")</f>
        <v>SettleByBroker</v>
      </c>
      <c r="AK5" s="17" t="str">
        <f>IFERROR(__xludf.DUMMYFUNCTION("""COMPUTED_VALUE"""),"Account")</f>
        <v>Account</v>
      </c>
      <c r="AL5" s="17" t="str">
        <f>IFERROR(__xludf.DUMMYFUNCTION("""COMPUTED_VALUE"""),"Account %")</f>
        <v>Account %</v>
      </c>
      <c r="AM5" s="17" t="str">
        <f>IFERROR(__xludf.DUMMYFUNCTION("""COMPUTED_VALUE"""),"Deal In")</f>
        <v>Deal In</v>
      </c>
      <c r="AN5" s="17" t="str">
        <f>IFERROR(__xludf.DUMMYFUNCTION("""COMPUTED_VALUE"""),"ChkBoxBookAsSwap")</f>
        <v>ChkBoxBookAsSwap</v>
      </c>
      <c r="AO5" s="17" t="str">
        <f>IFERROR(__xludf.DUMMYFUNCTION("""COMPUTED_VALUE"""),"PopUpQuantity")</f>
        <v>PopUpQuantity</v>
      </c>
      <c r="AP5" s="17" t="str">
        <f>IFERROR(__xludf.DUMMYFUNCTION("""COMPUTED_VALUE"""),"ShortLocate")</f>
        <v>ShortLocate</v>
      </c>
      <c r="AQ5" s="17" t="str">
        <f>IFERROR(__xludf.DUMMYFUNCTION("""COMPUTED_VALUE"""),"AllowTrade")</f>
        <v>AllowTrade</v>
      </c>
      <c r="AR5" s="17" t="str">
        <f>IFERROR(__xludf.DUMMYFUNCTION("""COMPUTED_VALUE"""),"SharesOutstandingPopUpQty")</f>
        <v>SharesOutstandingPopUpQty</v>
      </c>
      <c r="AS5" s="17" t="str">
        <f>IFERROR(__xludf.DUMMYFUNCTION("""COMPUTED_VALUE"""),"SharesOutstandingPopUp")</f>
        <v>SharesOutstandingPopUp</v>
      </c>
      <c r="AT5" s="17" t="str">
        <f>IFERROR(__xludf.DUMMYFUNCTION("""COMPUTED_VALUE"""),"ResAllowedListPopUp")</f>
        <v>ResAllowedListPopUp</v>
      </c>
      <c r="AU5" s="17" t="str">
        <f>IFERROR(__xludf.DUMMYFUNCTION("""COMPUTED_VALUE"""),"Rate(%)")</f>
        <v>Rate(%)</v>
      </c>
      <c r="AV5" s="17" t="str">
        <f>IFERROR(__xludf.DUMMYFUNCTION("""COMPUTED_VALUE"""),"Interest Rate")</f>
        <v>Interest Rate</v>
      </c>
      <c r="AW5" s="17" t="str">
        <f>IFERROR(__xludf.DUMMYFUNCTION("""COMPUTED_VALUE"""),"SelectAlgoStrategy")</f>
        <v>SelectAlgoStrategy</v>
      </c>
      <c r="AX5" s="17" t="str">
        <f>IFERROR(__xludf.DUMMYFUNCTION("""COMPUTED_VALUE"""),"Increase/Decrease Quantity")</f>
        <v>Increase/Decrease Quantity</v>
      </c>
      <c r="AY5" s="17" t="str">
        <f>IFERROR(__xludf.DUMMYFUNCTION("""COMPUTED_VALUE"""),"Master Funds")</f>
        <v>Master Funds</v>
      </c>
      <c r="AZ5" s="17" t="str">
        <f>IFERROR(__xludf.DUMMYFUNCTION("""COMPUTED_VALUE"""),"TRVAccountName")</f>
        <v>TRVAccountName</v>
      </c>
      <c r="BA5" s="17" t="str">
        <f>IFERROR(__xludf.DUMMYFUNCTION("""COMPUTED_VALUE"""),"TRVTradeQuantity")</f>
        <v>TRVTradeQuantity</v>
      </c>
      <c r="BB5" s="17" t="str">
        <f>IFERROR(__xludf.DUMMYFUNCTION("""COMPUTED_VALUE"""),"TRVCurrentPosition")</f>
        <v>TRVCurrentPosition</v>
      </c>
      <c r="BC5" s="17" t="str">
        <f>IFERROR(__xludf.DUMMYFUNCTION("""COMPUTED_VALUE"""),"TRVNav")</f>
        <v>TRVNav</v>
      </c>
      <c r="BD5" s="17" t="str">
        <f>IFERROR(__xludf.DUMMYFUNCTION("""COMPUTED_VALUE"""),"Account QTY")</f>
        <v>Account QTY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56">
      <c r="A6" s="4"/>
      <c r="B6" s="4" t="s">
        <v>20</v>
      </c>
      <c r="C6" s="4" t="s">
        <v>21</v>
      </c>
      <c r="D6" s="18">
        <v>302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 t="s">
        <v>18</v>
      </c>
      <c r="AL6" s="19"/>
      <c r="AM6" s="19"/>
      <c r="BD6" s="19" t="s">
        <v>22</v>
      </c>
    </row>
    <row r="7" ht="15.75" customHeight="1" spans="1:56">
      <c r="A7" s="4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BD7" s="19"/>
    </row>
    <row r="8" ht="15.75" customHeight="1" spans="1:56">
      <c r="A8" s="4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BD8" s="19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23</v>
      </c>
      <c r="D3" s="6" t="s">
        <v>9</v>
      </c>
      <c r="E3" s="7" t="s">
        <v>24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IFERROR(__xludf.DUMMYFUNCTION("""COMPUTED_VALUE"""),"SelectAllRowsAllocated")</f>
        <v>SelectAllRowsAllocated</v>
      </c>
      <c r="J4" s="8" t="str">
        <f>IFERROR(__xludf.DUMMYFUNCTION("""COMPUTED_VALUE"""),"AllocateWithPopUp")</f>
        <v>AllocateWithPopUp</v>
      </c>
      <c r="K4" s="8" t="str">
        <f>IFERROR(__xludf.DUMMYFUNCTION("""COMPUTED_VALUE"""),"EditUnallocatedGroupSidePanel")</f>
        <v>EditUnallocatedGroupSidePanel</v>
      </c>
      <c r="L4" s="8" t="str">
        <f>IFERROR(__xludf.DUMMYFUNCTION("""COMPUTED_VALUE"""),"CheckPreferences")</f>
        <v>CheckPreferences</v>
      </c>
      <c r="M4" s="8" t="str">
        <f>IFERROR(__xludf.DUMMYFUNCTION("""COMPUTED_VALUE"""),"DeleteGroupWithOutSave")</f>
        <v>DeleteGroupWithOutSave</v>
      </c>
      <c r="N4" s="8" t="str">
        <f>IFERROR(__xludf.DUMMYFUNCTION("""COMPUTED_VALUE"""),"TradeAttributeBulkChange")</f>
        <v>TradeAttributeBulkChange</v>
      </c>
      <c r="O4" s="8" t="str">
        <f>IFERROR(__xludf.DUMMYFUNCTION("""COMPUTED_VALUE"""),"ApplyBulkUpdateOnGroups")</f>
        <v>ApplyBulkUpdateOnGroups</v>
      </c>
      <c r="P4" s="16" t="str">
        <f>IFERROR(__xludf.DUMMYFUNCTION("""COMPUTED_VALUE"""),"ApplyPrefetchFilters")</f>
        <v>ApplyPrefetchFilters</v>
      </c>
      <c r="Q4" s="16" t="str">
        <f>IFERROR(__xludf.DUMMYFUNCTION("""COMPUTED_VALUE"""),"GeneralPreferencesDefaultRule")</f>
        <v>GeneralPreferencesDefaultRule</v>
      </c>
      <c r="R4" s="16" t="str">
        <f>IFERROR(__xludf.DUMMYFUNCTION("""COMPUTED_VALUE"""),"GeneralPrefCompanyUserWise")</f>
        <v>GeneralPrefCompanyUserWise</v>
      </c>
      <c r="S4" s="16" t="str">
        <f>IFERROR(__xludf.DUMMYFUNCTION("""COMPUTED_VALUE"""),"RenameTradeAttributes")</f>
        <v>RenameTradeAttributes</v>
      </c>
      <c r="T4" s="16" t="str">
        <f>IFERROR(__xludf.DUMMYFUNCTION("""COMPUTED_VALUE"""),"SetGroupingRules")</f>
        <v>SetGroupingRules</v>
      </c>
      <c r="U4" s="16" t="str">
        <f>IFERROR(__xludf.DUMMYFUNCTION("""COMPUTED_VALUE"""),"SetMasterFundRatio")</f>
        <v>SetMasterFundRatio</v>
      </c>
      <c r="V4" s="16" t="str">
        <f>IFERROR(__xludf.DUMMYFUNCTION("""COMPUTED_VALUE"""),"CheckFixedPreference")</f>
        <v>CheckFixedPreference</v>
      </c>
      <c r="W4" s="16" t="str">
        <f>IFERROR(__xludf.DUMMYFUNCTION("""COMPUTED_VALUE"""),"GetFixedPreference")</f>
        <v>GetFixedPreference</v>
      </c>
      <c r="X4" s="16" t="str">
        <f>IFERROR(__xludf.DUMMYFUNCTION("""COMPUTED_VALUE"""),"AddCalculatedPreferences")</f>
        <v>AddCalculatedPreferences</v>
      </c>
      <c r="Y4" s="16" t="str">
        <f>IFERROR(__xludf.DUMMYFUNCTION("""COMPUTED_VALUE"""),"BulkChangeCalculatedPreferences")</f>
        <v>BulkChangeCalculatedPreferences</v>
      </c>
      <c r="Z4" s="16" t="str">
        <f>IFERROR(__xludf.DUMMYFUNCTION("""COMPUTED_VALUE"""),"CheckAuditTrailData")</f>
        <v>CheckAuditTrailData</v>
      </c>
      <c r="AA4" s="16" t="str">
        <f>IFERROR(__xludf.DUMMYFUNCTION("""COMPUTED_VALUE"""),"DeleteCalculatedPreferences")</f>
        <v>DeleteCalculatedPreferences</v>
      </c>
      <c r="AB4" s="16" t="str">
        <f>IFERROR(__xludf.DUMMYFUNCTION("""COMPUTED_VALUE"""),"GetAuditTrailData")</f>
        <v>GetAuditTrailData</v>
      </c>
      <c r="AC4" s="16" t="str">
        <f>IFERROR(__xludf.DUMMYFUNCTION("""COMPUTED_VALUE"""),"RenameCalculatedPreferences")</f>
        <v>RenameCalculatedPreferences</v>
      </c>
      <c r="AD4" s="16" t="str">
        <f>IFERROR(__xludf.DUMMYFUNCTION("""COMPUTED_VALUE"""),"AllocationAuditTrail")</f>
        <v>AllocationAuditTrail</v>
      </c>
      <c r="AE4" s="16" t="str">
        <f>IFERROR(__xludf.DUMMYFUNCTION("""COMPUTED_VALUE"""),"CopyCalculatedPreferences")</f>
        <v>CopyCalculatedPreferences</v>
      </c>
      <c r="AF4" s="16" t="str">
        <f>IFERROR(__xludf.DUMMYFUNCTION("""COMPUTED_VALUE"""),"RunAutoGroup")</f>
        <v>RunAutoGroup</v>
      </c>
      <c r="AG4" s="16" t="str">
        <f>IFERROR(__xludf.DUMMYFUNCTION("""COMPUTED_VALUE"""),"BookOrUpdateSwap")</f>
        <v>BookOrUpdateSwap</v>
      </c>
      <c r="AH4" s="16" t="str">
        <f>IFERROR(__xludf.DUMMYFUNCTION("""COMPUTED_VALUE"""),"SetDefaultRuleCalculatedPref")</f>
        <v>SetDefaultRuleCalculatedPref</v>
      </c>
      <c r="AI4" s="16" t="str">
        <f>IFERROR(__xludf.DUMMYFUNCTION("""COMPUTED_VALUE"""),"RunProrata")</f>
        <v>RunProrata</v>
      </c>
      <c r="AJ4" s="16" t="str">
        <f>IFERROR(__xludf.DUMMYFUNCTION("""COMPUTED_VALUE"""),"SetAccountValueCalculatedPref")</f>
        <v>SetAccountValueCalculatedPref</v>
      </c>
      <c r="AK4" s="16" t="str">
        <f>IFERROR(__xludf.DUMMYFUNCTION("""COMPUTED_VALUE"""),"TradeAttributeBulkChangeGroups")</f>
        <v>TradeAttributeBulkChangeGroups</v>
      </c>
      <c r="AL4" s="16" t="str">
        <f>IFERROR(__xludf.DUMMYFUNCTION("""COMPUTED_VALUE"""),"TradeAttributeBulkChangeTaxlots")</f>
        <v>TradeAttributeBulkChangeTaxlots</v>
      </c>
      <c r="AM4" s="16" t="str">
        <f>IFERROR(__xludf.DUMMYFUNCTION("""COMPUTED_VALUE"""),"AddCalculatedPreferenceToolbar")</f>
        <v>AddCalculatedPreferenceToolbar</v>
      </c>
      <c r="AN4" s="16" t="str">
        <f>IFERROR(__xludf.DUMMYFUNCTION("""COMPUTED_VALUE"""),"SetStrategyValueCalculatedPref")</f>
        <v>SetStrategyValueCalculatedPref</v>
      </c>
      <c r="AO4" s="16" t="str">
        <f>IFERROR(__xludf.DUMMYFUNCTION("""COMPUTED_VALUE"""),"ApplyBulkUpdateOnTaxlots")</f>
        <v>ApplyBulkUpdateOnTaxlots</v>
      </c>
      <c r="AP4" s="16" t="str">
        <f>IFERROR(__xludf.DUMMYFUNCTION("""COMPUTED_VALUE"""),"CommissionBulkChangeOnGroups")</f>
        <v>CommissionBulkChangeOnGroups</v>
      </c>
      <c r="AQ4" s="16" t="str">
        <f>IFERROR(__xludf.DUMMYFUNCTION("""COMPUTED_VALUE"""),"CommissionBulkChangeOnTaxlots")</f>
        <v>CommissionBulkChangeOnTaxlots</v>
      </c>
      <c r="AR4" s="16" t="str">
        <f>IFERROR(__xludf.DUMMYFUNCTION("""COMPUTED_VALUE"""),"SelectUnallocatedGroup")</f>
        <v>SelectUnallocatedGroup</v>
      </c>
      <c r="AS4" s="16" t="str">
        <f>IFERROR(__xludf.DUMMYFUNCTION("""COMPUTED_VALUE"""),"EnterAccountValuesToAllocate")</f>
        <v>EnterAccountValuesToAllocate</v>
      </c>
      <c r="AT4" s="16" t="str">
        <f>IFERROR(__xludf.DUMMYFUNCTION("""COMPUTED_VALUE"""),"EnterAllocatePreference")</f>
        <v>EnterAllocatePreference</v>
      </c>
      <c r="AU4" s="16" t="str">
        <f>IFERROR(__xludf.DUMMYFUNCTION("""COMPUTED_VALUE"""),"EnterStrategyValuesToAllocate")</f>
        <v>EnterStrategyValuesToAllocate</v>
      </c>
      <c r="AV4" s="16" t="str">
        <f>IFERROR(__xludf.DUMMYFUNCTION("""COMPUTED_VALUE"""),"CopyCalculatedPreferenceToolbar")</f>
        <v>CopyCalculatedPreferenceToolbar</v>
      </c>
      <c r="AW4" s="16" t="str">
        <f>IFERROR(__xludf.DUMMYFUNCTION("""COMPUTED_VALUE"""),"SetGeneralRuleCalculatedPref")</f>
        <v>SetGeneralRuleCalculatedPref</v>
      </c>
      <c r="AX4" s="16" t="str">
        <f>IFERROR(__xludf.DUMMYFUNCTION("""COMPUTED_VALUE"""),"ExportAllCalculatedPreferences")</f>
        <v>ExportAllCalculatedPreferences</v>
      </c>
      <c r="AY4" s="16" t="str">
        <f>IFERROR(__xludf.DUMMYFUNCTION("""COMPUTED_VALUE"""),"SaveCalculatedPreferences")</f>
        <v>SaveCalculatedPreferences</v>
      </c>
      <c r="AZ4" s="16" t="str">
        <f>IFERROR(__xludf.DUMMYFUNCTION("""COMPUTED_VALUE"""),"CloseCalculatedPreferences")</f>
        <v>CloseCalculatedPreferences</v>
      </c>
      <c r="BA4" s="16" t="str">
        <f>IFERROR(__xludf.DUMMYFUNCTION("""COMPUTED_VALUE"""),"ExportCalculatedPreference")</f>
        <v>ExportCalculatedPreference</v>
      </c>
      <c r="BB4" s="16" t="str">
        <f>IFERROR(__xludf.DUMMYFUNCTION("""COMPUTED_VALUE"""),"ImportCalculatedPreferences")</f>
        <v>ImportCalculatedPreferences</v>
      </c>
      <c r="BC4" s="16" t="str">
        <f>IFERROR(__xludf.DUMMYFUNCTION("""COMPUTED_VALUE"""),"IsAllocationOpen")</f>
        <v>IsAllocationOpen</v>
      </c>
      <c r="BD4" s="16" t="str">
        <f>IFERROR(__xludf.DUMMYFUNCTION("""COMPUTED_VALUE"""),"OpenAuditTrailUnallocatedGroup")</f>
        <v>OpenAuditTrailUnallocatedGroup</v>
      </c>
      <c r="BE4" s="16" t="str">
        <f>IFERROR(__xludf.DUMMYFUNCTION("""COMPUTED_VALUE"""),"DeleteCalculatedPreferencesTool")</f>
        <v>DeleteCalculatedPreferencesTool</v>
      </c>
      <c r="BF4" s="16" t="str">
        <f>IFERROR(__xludf.DUMMYFUNCTION("""COMPUTED_VALUE"""),"ImportCalculatedPreferencesTool")</f>
        <v>ImportCalculatedPreferencesTool</v>
      </c>
      <c r="BG4" s="16" t="str">
        <f>IFERROR(__xludf.DUMMYFUNCTION("""COMPUTED_VALUE"""),"SetAvgPriceRounding")</f>
        <v>SetAvgPriceRounding</v>
      </c>
      <c r="BH4" s="16" t="str">
        <f>IFERROR(__xludf.DUMMYFUNCTION("""COMPUTED_VALUE"""),"SetAutoGroupingAccount")</f>
        <v>SetAutoGroupingAccount</v>
      </c>
      <c r="BI4" s="16" t="str">
        <f>IFERROR(__xludf.DUMMYFUNCTION("""COMPUTED_VALUE"""),"SetAutoGroupingPreferences")</f>
        <v>SetAutoGroupingPreferences</v>
      </c>
      <c r="BJ4" s="16" t="str">
        <f>IFERROR(__xludf.DUMMYFUNCTION("""COMPUTED_VALUE"""),"ExportAllCalculatedPreferTool")</f>
        <v>ExportAllCalculatedPreferTool</v>
      </c>
      <c r="BK4" s="16" t="str">
        <f>IFERROR(__xludf.DUMMYFUNCTION("""COMPUTED_VALUE"""),"EnterCustomAllocatePreference")</f>
        <v>EnterCustomAllocatePreference</v>
      </c>
      <c r="BL4" s="16" t="str">
        <f>IFERROR(__xludf.DUMMYFUNCTION("""COMPUTED_VALUE"""),"OpenSymbolLookupUnallocateGroup")</f>
        <v>OpenSymbolLookupUnallocateGroup</v>
      </c>
      <c r="BM4" s="16" t="str">
        <f>IFERROR(__xludf.DUMMYFUNCTION("""COMPUTED_VALUE"""),"OpenAuditTrailAllocatedGroup")</f>
        <v>OpenAuditTrailAllocatedGroup</v>
      </c>
      <c r="BN4" s="16" t="str">
        <f>IFERROR(__xludf.DUMMYFUNCTION("""COMPUTED_VALUE"""),"OpenSymbolLookupAllocatedGroup")</f>
        <v>OpenSymbolLookupAllocatedGroup</v>
      </c>
      <c r="BO4" s="16" t="str">
        <f>IFERROR(__xludf.DUMMYFUNCTION("""COMPUTED_VALUE"""),"DeleteFixedPreference")</f>
        <v>DeleteFixedPreference</v>
      </c>
      <c r="BP4" s="16" t="str">
        <f>IFERROR(__xludf.DUMMYFUNCTION("""COMPUTED_VALUE"""),"SetTradeAttributePreferences")</f>
        <v>SetTradeAttributePreferences</v>
      </c>
      <c r="BQ4" s="16" t="str">
        <f>IFERROR(__xludf.DUMMYFUNCTION("""COMPUTED_VALUE"""),"EditAllocatedGroupSidePanel")</f>
        <v>EditAllocatedGroupSidePanel</v>
      </c>
      <c r="BR4" s="16" t="str">
        <f>IFERROR(__xludf.DUMMYFUNCTION("""COMPUTED_VALUE"""),"ExpandCollapseAllocatedGrid")</f>
        <v>ExpandCollapseAllocatedGrid</v>
      </c>
      <c r="BS4" s="16" t="str">
        <f>IFERROR(__xludf.DUMMYFUNCTION("""COMPUTED_VALUE"""),"ExpandCollapseUnallocatedGrid")</f>
        <v>ExpandCollapseUnallocatedGrid</v>
      </c>
      <c r="BT4" s="16" t="str">
        <f>IFERROR(__xludf.DUMMYFUNCTION("""COMPUTED_VALUE"""),"EditAllocatedGridTaxlot")</f>
        <v>EditAllocatedGridTaxlot</v>
      </c>
      <c r="BU4" s="16" t="str">
        <f>IFERROR(__xludf.DUMMYFUNCTION("""COMPUTED_VALUE"""),"CheckUnallocatedGroups")</f>
        <v>CheckUnallocatedGroups</v>
      </c>
      <c r="BV4" s="16" t="str">
        <f>IFERROR(__xludf.DUMMYFUNCTION("""COMPUTED_VALUE"""),"EditAllocatedGridWPF")</f>
        <v>EditAllocatedGridWPF</v>
      </c>
      <c r="BW4" s="16" t="str">
        <f>IFERROR(__xludf.DUMMYFUNCTION("""COMPUTED_VALUE"""),"SetGeneralPreferences")</f>
        <v>SetGeneralPreferences</v>
      </c>
      <c r="BX4" s="16" t="str">
        <f>IFERROR(__xludf.DUMMYFUNCTION("""COMPUTED_VALUE"""),"EditUnallocatedGridWPF")</f>
        <v>EditUnallocatedGridWPF</v>
      </c>
      <c r="BY4" s="16" t="str">
        <f>IFERROR(__xludf.DUMMYFUNCTION("""COMPUTED_VALUE"""),"SetBrokerAccountMapping")</f>
        <v>SetBrokerAccountMapping</v>
      </c>
      <c r="BZ4" s="16" t="str">
        <f>IFERROR(__xludf.DUMMYFUNCTION("""COMPUTED_VALUE"""),"ShowMasterFundAsClient")</f>
        <v>ShowMasterFundAsClient</v>
      </c>
      <c r="CA4" s="16" t="str">
        <f>IFERROR(__xludf.DUMMYFUNCTION("""COMPUTED_VALUE"""),"ShowMasterFundOnTT")</f>
        <v>ShowMasterFundOnTT</v>
      </c>
      <c r="CB4" s="16" t="str">
        <f>IFERROR(__xludf.DUMMYFUNCTION("""COMPUTED_VALUE"""),"ApplyMasterFundFilter")</f>
        <v>ApplyMasterFundFilter</v>
      </c>
      <c r="CC4" s="16" t="str">
        <f>IFERROR(__xludf.DUMMYFUNCTION("""COMPUTED_VALUE"""),"GroupTrades")</f>
        <v>GroupTrades</v>
      </c>
      <c r="CD4" s="16" t="str">
        <f>IFERROR(__xludf.DUMMYFUNCTION("""COMPUTED_VALUE"""),"DisableCheckside")</f>
        <v>DisableCheckside</v>
      </c>
      <c r="CE4" s="16" t="str">
        <f>IFERROR(__xludf.DUMMYFUNCTION("""COMPUTED_VALUE"""),"UngroupTrades")</f>
        <v>UngroupTrades</v>
      </c>
      <c r="CF4" s="16" t="str">
        <f>IFERROR(__xludf.DUMMYFUNCTION("""COMPUTED_VALUE"""),"DisableChecksideForCounterParty")</f>
        <v>DisableChecksideForCounterParty</v>
      </c>
      <c r="CG4" s="16" t="str">
        <f>IFERROR(__xludf.DUMMYFUNCTION("""COMPUTED_VALUE"""),"DisableChecksideForAccount")</f>
        <v>DisableChecksideForAccount</v>
      </c>
      <c r="CH4" s="16" t="str">
        <f>IFERROR(__xludf.DUMMYFUNCTION("""COMPUTED_VALUE"""),"DeleteGroup")</f>
        <v>DeleteGroup</v>
      </c>
      <c r="CI4" s="16" t="str">
        <f>IFERROR(__xludf.DUMMYFUNCTION("""COMPUTED_VALUE"""),"DisableChecksideForAsset")</f>
        <v>DisableChecksideForAsset</v>
      </c>
      <c r="CJ4" s="16" t="str">
        <f>IFERROR(__xludf.DUMMYFUNCTION("""COMPUTED_VALUE"""),"CloseOrder")</f>
        <v>CloseOrder</v>
      </c>
      <c r="CK4" s="16" t="str">
        <f>IFERROR(__xludf.DUMMYFUNCTION("""COMPUTED_VALUE"""),"Unallocate")</f>
        <v>Unallocate</v>
      </c>
      <c r="CL4" s="16" t="str">
        <f>IFERROR(__xludf.DUMMYFUNCTION("""COMPUTED_VALUE"""),"CloseAllocation")</f>
        <v>CloseAllocation</v>
      </c>
      <c r="CM4" s="16" t="str">
        <f>IFERROR(__xludf.DUMMYFUNCTION("""COMPUTED_VALUE"""),"CheckAllocatedTaxlots")</f>
        <v>CheckAllocatedTaxlots</v>
      </c>
      <c r="CN4" s="16" t="str">
        <f>IFERROR(__xludf.DUMMYFUNCTION("""COMPUTED_VALUE"""),"CleanUp")</f>
        <v>CleanUp</v>
      </c>
      <c r="CO4" s="16" t="str">
        <f>IFERROR(__xludf.DUMMYFUNCTION("""COMPUTED_VALUE"""),"VerifyLayoutAllocatedGrid")</f>
        <v>VerifyLayoutAllocatedGrid</v>
      </c>
      <c r="CP4" s="16" t="str">
        <f>IFERROR(__xludf.DUMMYFUNCTION("""COMPUTED_VALUE"""),"VerifyLayoutUnallocatedGrid")</f>
        <v>VerifyLayoutUnallocatedGrid</v>
      </c>
      <c r="CQ4" s="16" t="str">
        <f>IFERROR(__xludf.DUMMYFUNCTION("""COMPUTED_VALUE"""),"ClearFiltersUnallocatedGrid")</f>
        <v>ClearFiltersUnallocatedGrid</v>
      </c>
      <c r="CR4" s="16" t="str">
        <f>IFERROR(__xludf.DUMMYFUNCTION("""COMPUTED_VALUE"""),"ClearFiltersAllocatedGrid")</f>
        <v>ClearFiltersAllocatedGrid</v>
      </c>
      <c r="CS4" s="16" t="str">
        <f>IFERROR(__xludf.DUMMYFUNCTION("""COMPUTED_VALUE"""),"UpdateGRAccountValue")</f>
        <v>UpdateGRAccountValue</v>
      </c>
      <c r="CT4" s="16" t="str">
        <f>IFERROR(__xludf.DUMMYFUNCTION("""COMPUTED_VALUE"""),"UpdateGRStrategyValue")</f>
        <v>UpdateGRStrategyValue</v>
      </c>
      <c r="CU4" s="16" t="str">
        <f>IFERROR(__xludf.DUMMYFUNCTION("""COMPUTED_VALUE"""),"UpdateGRDefaultRule")</f>
        <v>UpdateGRDefaultRule</v>
      </c>
      <c r="CV4" s="16" t="str">
        <f>IFERROR(__xludf.DUMMYFUNCTION("""COMPUTED_VALUE"""),"UpdateGeneralRulePref")</f>
        <v>UpdateGeneralRulePref</v>
      </c>
      <c r="CW4" s="16" t="str">
        <f>IFERROR(__xludf.DUMMYFUNCTION("""COMPUTED_VALUE"""),"AddMFPreferences")</f>
        <v>AddMFPreferences</v>
      </c>
      <c r="CX4" s="16" t="str">
        <f>IFERROR(__xludf.DUMMYFUNCTION("""COMPUTED_VALUE"""),"ModifyGRPreferenceValues")</f>
        <v>ModifyGRPreferenceValues</v>
      </c>
      <c r="CY4" s="16" t="str">
        <f>IFERROR(__xludf.DUMMYFUNCTION("""COMPUTED_VALUE"""),"AddMFPreferenceToolbar")</f>
        <v>AddMFPreferenceToolbar</v>
      </c>
      <c r="CZ4" s="16" t="str">
        <f>IFERROR(__xludf.DUMMYFUNCTION("""COMPUTED_VALUE"""),"DeleteMFPreferences")</f>
        <v>DeleteMFPreferences</v>
      </c>
      <c r="DA4" s="16" t="str">
        <f>IFERROR(__xludf.DUMMYFUNCTION("""COMPUTED_VALUE"""),"SaveLayoutAllocationUI")</f>
        <v>SaveLayoutAllocationUI</v>
      </c>
      <c r="DB4" s="16" t="str">
        <f>IFERROR(__xludf.DUMMYFUNCTION("""COMPUTED_VALUE"""),"DeleteMFPreferenceToolbar")</f>
        <v>DeleteMFPreferenceToolbar</v>
      </c>
      <c r="DC4" s="16" t="str">
        <f>IFERROR(__xludf.DUMMYFUNCTION("""COMPUTED_VALUE"""),"SaveLayoutUnallocatedGrid")</f>
        <v>SaveLayoutUnallocatedGrid</v>
      </c>
      <c r="DD4" s="16" t="str">
        <f>IFERROR(__xludf.DUMMYFUNCTION("""COMPUTED_VALUE"""),"SaveLayoutAllocatedGrid")</f>
        <v>SaveLayoutAllocatedGrid</v>
      </c>
      <c r="DE4" s="16" t="str">
        <f>IFERROR(__xludf.DUMMYFUNCTION("""COMPUTED_VALUE"""),"EditAllocatedGrid")</f>
        <v>EditAllocatedGrid</v>
      </c>
      <c r="DF4" s="16" t="str">
        <f>IFERROR(__xludf.DUMMYFUNCTION("""COMPUTED_VALUE"""),"EditUnallocatedGrid")</f>
        <v>EditUnallocatedGrid</v>
      </c>
      <c r="DG4" s="16" t="str">
        <f>IFERROR(__xludf.DUMMYFUNCTION("""COMPUTED_VALUE"""),"UnallocateWithOutSave")</f>
        <v>UnallocateWithOutSave</v>
      </c>
      <c r="DH4" s="16" t="str">
        <f>IFERROR(__xludf.DUMMYFUNCTION("""COMPUTED_VALUE"""),"SaveAllocation")</f>
        <v>SaveAllocation</v>
      </c>
      <c r="DI4" s="16" t="str">
        <f>IFERROR(__xludf.DUMMYFUNCTION("""COMPUTED_VALUE"""),"GenerateCashTransaction")</f>
        <v>GenerateCashTransaction</v>
      </c>
      <c r="DJ4" s="16" t="str">
        <f>IFERROR(__xludf.DUMMYFUNCTION("""COMPUTED_VALUE"""),"ExpandCollapseAllAllocated")</f>
        <v>ExpandCollapseAllAllocated</v>
      </c>
      <c r="DK4" s="16" t="str">
        <f>IFERROR(__xludf.DUMMYFUNCTION("""COMPUTED_VALUE"""),"ExpandCollapseAllUnallocated")</f>
        <v>ExpandCollapseAllUnallocated</v>
      </c>
      <c r="DL4" s="16" t="str">
        <f>IFERROR(__xludf.DUMMYFUNCTION("""COMPUTED_VALUE"""),"ClearPrefetchFilters")</f>
        <v>ClearPrefetchFilters</v>
      </c>
      <c r="DM4" s="16" t="str">
        <f>IFERROR(__xludf.DUMMYFUNCTION("""COMPUTED_VALUE"""),"RenameMFPreferences")</f>
        <v>RenameMFPreferences</v>
      </c>
      <c r="DN4" s="16" t="str">
        <f>IFERROR(__xludf.DUMMYFUNCTION("""COMPUTED_VALUE"""),"SetMFPrefFundDefaultRule")</f>
        <v>SetMFPrefFundDefaultRule</v>
      </c>
      <c r="DO4" s="16" t="str">
        <f>IFERROR(__xludf.DUMMYFUNCTION("""COMPUTED_VALUE"""),"SaveCloseMFPreference")</f>
        <v>SaveCloseMFPreference</v>
      </c>
      <c r="DP4" s="16" t="str">
        <f>IFERROR(__xludf.DUMMYFUNCTION("""COMPUTED_VALUE"""),"SetMFPrefAccountValues")</f>
        <v>SetMFPrefAccountValues</v>
      </c>
      <c r="DQ4" s="16" t="str">
        <f>IFERROR(__xludf.DUMMYFUNCTION("""COMPUTED_VALUE"""),"SetMFPreferencesDefaultRule")</f>
        <v>SetMFPreferencesDefaultRule</v>
      </c>
      <c r="DR4" s="16" t="str">
        <f>IFERROR(__xludf.DUMMYFUNCTION("""COMPUTED_VALUE"""),"SetMFPrefFundDistribution")</f>
        <v>SetMFPrefFundDistribution</v>
      </c>
      <c r="DS4" s="16" t="str">
        <f>IFERROR(__xludf.DUMMYFUNCTION("""COMPUTED_VALUE"""),"SetMFPrefGeneralRule")</f>
        <v>SetMFPrefGeneralRule</v>
      </c>
      <c r="DT4" s="16" t="str">
        <f>IFERROR(__xludf.DUMMYFUNCTION("""COMPUTED_VALUE"""),"ModifyMFPrefGeneralRuleValues")</f>
        <v>ModifyMFPrefGeneralRuleValues</v>
      </c>
      <c r="DU4" s="16" t="str">
        <f>IFERROR(__xludf.DUMMYFUNCTION("""COMPUTED_VALUE"""),"SetMFPrefStrategyValues")</f>
        <v>SetMFPrefStrategyValues</v>
      </c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IFERROR(__xludf.DUMMYFUNCTION("""COMPUTED_VALUE"""),"RangeType")</f>
        <v>RangeType</v>
      </c>
      <c r="C5" s="10" t="str">
        <f>IFERROR(__xludf.DUMMYFUNCTION("""COMPUTED_VALUE"""),"From")</f>
        <v>From</v>
      </c>
      <c r="D5" s="10" t="str">
        <f>IFERROR(__xludf.DUMMYFUNCTION("""COMPUTED_VALUE"""),"To")</f>
        <v>To</v>
      </c>
      <c r="E5" s="10" t="str">
        <f>IFERROR(__xludf.DUMMYFUNCTION("""COMPUTED_VALUE"""),"FilterTabName")</f>
        <v>FilterTabName</v>
      </c>
      <c r="F5" s="10" t="str">
        <f>IFERROR(__xludf.DUMMYFUNCTION("""COMPUTED_VALUE"""),"Symbol")</f>
        <v>Symbol</v>
      </c>
      <c r="G5" s="10" t="str">
        <f>IFERROR(__xludf.DUMMYFUNCTION("""COMPUTED_VALUE"""),"Asset")</f>
        <v>Asset</v>
      </c>
      <c r="H5" s="10" t="str">
        <f>IFERROR(__xludf.DUMMYFUNCTION("""COMPUTED_VALUE"""),"Side")</f>
        <v>Side</v>
      </c>
      <c r="I5" s="10" t="str">
        <f>IFERROR(__xludf.DUMMYFUNCTION("""COMPUTED_VALUE"""),"Account")</f>
        <v>Account</v>
      </c>
      <c r="J5" s="10" t="str">
        <f>IFERROR(__xludf.DUMMYFUNCTION("""COMPUTED_VALUE"""),"Broker")</f>
        <v>Broker</v>
      </c>
      <c r="K5" s="10" t="str">
        <f>IFERROR(__xludf.DUMMYFUNCTION("""COMPUTED_VALUE"""),"Currency")</f>
        <v>Currency</v>
      </c>
      <c r="L5" s="10" t="str">
        <f>IFERROR(__xludf.DUMMYFUNCTION("""COMPUTED_VALUE"""),"Exchange")</f>
        <v>Exchange</v>
      </c>
      <c r="M5" s="10" t="str">
        <f>IFERROR(__xludf.DUMMYFUNCTION("""COMPUTED_VALUE"""),"StrategyName")</f>
        <v>StrategyName</v>
      </c>
      <c r="N5" s="10" t="str">
        <f>IFERROR(__xludf.DUMMYFUNCTION("""COMPUTED_VALUE"""),"Underlying")</f>
        <v>Underlying</v>
      </c>
      <c r="O5" s="10" t="str">
        <f>IFERROR(__xludf.DUMMYFUNCTION("""COMPUTED_VALUE"""),"Venue")</f>
        <v>Venue</v>
      </c>
      <c r="P5" s="10" t="str">
        <f>IFERROR(__xludf.DUMMYFUNCTION("""COMPUTED_VALUE"""),"TradingAccount")</f>
        <v>TradingAccount</v>
      </c>
      <c r="Q5" s="10" t="str">
        <f>IFERROR(__xludf.DUMMYFUNCTION("""COMPUTED_VALUE"""),"PreAllocated")</f>
        <v>PreAllocated</v>
      </c>
      <c r="R5" s="10" t="str">
        <f>IFERROR(__xludf.DUMMYFUNCTION("""COMPUTED_VALUE"""),"ManualGroup")</f>
        <v>ManualGroup</v>
      </c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25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23</v>
      </c>
      <c r="D3" s="6" t="s">
        <v>9</v>
      </c>
      <c r="E3" s="7" t="s">
        <v>26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IFERROR(__xludf.DUMMYFUNCTION("""COMPUTED_VALUE"""),"SelectAllRowsAllocated")</f>
        <v>SelectAllRowsAllocated</v>
      </c>
      <c r="J4" s="8" t="str">
        <f>IFERROR(__xludf.DUMMYFUNCTION("""COMPUTED_VALUE"""),"AllocateWithPopUp")</f>
        <v>AllocateWithPopUp</v>
      </c>
      <c r="K4" s="8" t="str">
        <f>IFERROR(__xludf.DUMMYFUNCTION("""COMPUTED_VALUE"""),"EditUnallocatedGroupSidePanel")</f>
        <v>EditUnallocatedGroupSidePanel</v>
      </c>
      <c r="L4" s="8" t="str">
        <f>IFERROR(__xludf.DUMMYFUNCTION("""COMPUTED_VALUE"""),"CheckPreferences")</f>
        <v>CheckPreferences</v>
      </c>
      <c r="M4" s="8" t="str">
        <f>IFERROR(__xludf.DUMMYFUNCTION("""COMPUTED_VALUE"""),"DeleteGroupWithOutSave")</f>
        <v>DeleteGroupWithOutSave</v>
      </c>
      <c r="N4" s="8" t="str">
        <f>IFERROR(__xludf.DUMMYFUNCTION("""COMPUTED_VALUE"""),"TradeAttributeBulkChange")</f>
        <v>TradeAttributeBulkChange</v>
      </c>
      <c r="O4" s="8" t="str">
        <f>IFERROR(__xludf.DUMMYFUNCTION("""COMPUTED_VALUE"""),"ApplyBulkUpdateOnGroups")</f>
        <v>ApplyBulkUpdateOnGroups</v>
      </c>
      <c r="P4" s="16" t="str">
        <f>IFERROR(__xludf.DUMMYFUNCTION("""COMPUTED_VALUE"""),"ApplyPrefetchFilters")</f>
        <v>ApplyPrefetchFilters</v>
      </c>
      <c r="Q4" s="16" t="str">
        <f>IFERROR(__xludf.DUMMYFUNCTION("""COMPUTED_VALUE"""),"GeneralPreferencesDefaultRule")</f>
        <v>GeneralPreferencesDefaultRule</v>
      </c>
      <c r="R4" s="16" t="str">
        <f>IFERROR(__xludf.DUMMYFUNCTION("""COMPUTED_VALUE"""),"GeneralPrefCompanyUserWise")</f>
        <v>GeneralPrefCompanyUserWise</v>
      </c>
      <c r="S4" s="16" t="str">
        <f>IFERROR(__xludf.DUMMYFUNCTION("""COMPUTED_VALUE"""),"RenameTradeAttributes")</f>
        <v>RenameTradeAttributes</v>
      </c>
      <c r="T4" s="16" t="str">
        <f>IFERROR(__xludf.DUMMYFUNCTION("""COMPUTED_VALUE"""),"SetGroupingRules")</f>
        <v>SetGroupingRules</v>
      </c>
      <c r="U4" s="16" t="str">
        <f>IFERROR(__xludf.DUMMYFUNCTION("""COMPUTED_VALUE"""),"SetMasterFundRatio")</f>
        <v>SetMasterFundRatio</v>
      </c>
      <c r="V4" s="16" t="str">
        <f>IFERROR(__xludf.DUMMYFUNCTION("""COMPUTED_VALUE"""),"CheckFixedPreference")</f>
        <v>CheckFixedPreference</v>
      </c>
      <c r="W4" s="16" t="str">
        <f>IFERROR(__xludf.DUMMYFUNCTION("""COMPUTED_VALUE"""),"GetFixedPreference")</f>
        <v>GetFixedPreference</v>
      </c>
      <c r="X4" s="16" t="str">
        <f>IFERROR(__xludf.DUMMYFUNCTION("""COMPUTED_VALUE"""),"AddCalculatedPreferences")</f>
        <v>AddCalculatedPreferences</v>
      </c>
      <c r="Y4" s="16" t="str">
        <f>IFERROR(__xludf.DUMMYFUNCTION("""COMPUTED_VALUE"""),"BulkChangeCalculatedPreferences")</f>
        <v>BulkChangeCalculatedPreferences</v>
      </c>
      <c r="Z4" s="16" t="str">
        <f>IFERROR(__xludf.DUMMYFUNCTION("""COMPUTED_VALUE"""),"CheckAuditTrailData")</f>
        <v>CheckAuditTrailData</v>
      </c>
      <c r="AA4" s="16" t="str">
        <f>IFERROR(__xludf.DUMMYFUNCTION("""COMPUTED_VALUE"""),"DeleteCalculatedPreferences")</f>
        <v>DeleteCalculatedPreferences</v>
      </c>
      <c r="AB4" s="16" t="str">
        <f>IFERROR(__xludf.DUMMYFUNCTION("""COMPUTED_VALUE"""),"GetAuditTrailData")</f>
        <v>GetAuditTrailData</v>
      </c>
      <c r="AC4" s="16" t="str">
        <f>IFERROR(__xludf.DUMMYFUNCTION("""COMPUTED_VALUE"""),"RenameCalculatedPreferences")</f>
        <v>RenameCalculatedPreferences</v>
      </c>
      <c r="AD4" s="16" t="str">
        <f>IFERROR(__xludf.DUMMYFUNCTION("""COMPUTED_VALUE"""),"AllocationAuditTrail")</f>
        <v>AllocationAuditTrail</v>
      </c>
      <c r="AE4" s="16" t="str">
        <f>IFERROR(__xludf.DUMMYFUNCTION("""COMPUTED_VALUE"""),"CopyCalculatedPreferences")</f>
        <v>CopyCalculatedPreferences</v>
      </c>
      <c r="AF4" s="16" t="str">
        <f>IFERROR(__xludf.DUMMYFUNCTION("""COMPUTED_VALUE"""),"RunAutoGroup")</f>
        <v>RunAutoGroup</v>
      </c>
      <c r="AG4" s="16" t="str">
        <f>IFERROR(__xludf.DUMMYFUNCTION("""COMPUTED_VALUE"""),"BookOrUpdateSwap")</f>
        <v>BookOrUpdateSwap</v>
      </c>
      <c r="AH4" s="16" t="str">
        <f>IFERROR(__xludf.DUMMYFUNCTION("""COMPUTED_VALUE"""),"SetDefaultRuleCalculatedPref")</f>
        <v>SetDefaultRuleCalculatedPref</v>
      </c>
      <c r="AI4" s="16" t="str">
        <f>IFERROR(__xludf.DUMMYFUNCTION("""COMPUTED_VALUE"""),"RunProrata")</f>
        <v>RunProrata</v>
      </c>
      <c r="AJ4" s="16" t="str">
        <f>IFERROR(__xludf.DUMMYFUNCTION("""COMPUTED_VALUE"""),"SetAccountValueCalculatedPref")</f>
        <v>SetAccountValueCalculatedPref</v>
      </c>
      <c r="AK4" s="16" t="str">
        <f>IFERROR(__xludf.DUMMYFUNCTION("""COMPUTED_VALUE"""),"TradeAttributeBulkChangeGroups")</f>
        <v>TradeAttributeBulkChangeGroups</v>
      </c>
      <c r="AL4" s="16" t="str">
        <f>IFERROR(__xludf.DUMMYFUNCTION("""COMPUTED_VALUE"""),"TradeAttributeBulkChangeTaxlots")</f>
        <v>TradeAttributeBulkChangeTaxlots</v>
      </c>
      <c r="AM4" s="16" t="str">
        <f>IFERROR(__xludf.DUMMYFUNCTION("""COMPUTED_VALUE"""),"AddCalculatedPreferenceToolbar")</f>
        <v>AddCalculatedPreferenceToolbar</v>
      </c>
      <c r="AN4" s="16" t="str">
        <f>IFERROR(__xludf.DUMMYFUNCTION("""COMPUTED_VALUE"""),"SetStrategyValueCalculatedPref")</f>
        <v>SetStrategyValueCalculatedPref</v>
      </c>
      <c r="AO4" s="16" t="str">
        <f>IFERROR(__xludf.DUMMYFUNCTION("""COMPUTED_VALUE"""),"ApplyBulkUpdateOnTaxlots")</f>
        <v>ApplyBulkUpdateOnTaxlots</v>
      </c>
      <c r="AP4" s="16" t="str">
        <f>IFERROR(__xludf.DUMMYFUNCTION("""COMPUTED_VALUE"""),"CommissionBulkChangeOnGroups")</f>
        <v>CommissionBulkChangeOnGroups</v>
      </c>
      <c r="AQ4" s="16" t="str">
        <f>IFERROR(__xludf.DUMMYFUNCTION("""COMPUTED_VALUE"""),"CommissionBulkChangeOnTaxlots")</f>
        <v>CommissionBulkChangeOnTaxlots</v>
      </c>
      <c r="AR4" s="16" t="str">
        <f>IFERROR(__xludf.DUMMYFUNCTION("""COMPUTED_VALUE"""),"SelectUnallocatedGroup")</f>
        <v>SelectUnallocatedGroup</v>
      </c>
      <c r="AS4" s="16" t="str">
        <f>IFERROR(__xludf.DUMMYFUNCTION("""COMPUTED_VALUE"""),"EnterAccountValuesToAllocate")</f>
        <v>EnterAccountValuesToAllocate</v>
      </c>
      <c r="AT4" s="16" t="str">
        <f>IFERROR(__xludf.DUMMYFUNCTION("""COMPUTED_VALUE"""),"EnterAllocatePreference")</f>
        <v>EnterAllocatePreference</v>
      </c>
      <c r="AU4" s="16" t="str">
        <f>IFERROR(__xludf.DUMMYFUNCTION("""COMPUTED_VALUE"""),"EnterStrategyValuesToAllocate")</f>
        <v>EnterStrategyValuesToAllocate</v>
      </c>
      <c r="AV4" s="16" t="str">
        <f>IFERROR(__xludf.DUMMYFUNCTION("""COMPUTED_VALUE"""),"CopyCalculatedPreferenceToolbar")</f>
        <v>CopyCalculatedPreferenceToolbar</v>
      </c>
      <c r="AW4" s="16" t="str">
        <f>IFERROR(__xludf.DUMMYFUNCTION("""COMPUTED_VALUE"""),"SetGeneralRuleCalculatedPref")</f>
        <v>SetGeneralRuleCalculatedPref</v>
      </c>
      <c r="AX4" s="16" t="str">
        <f>IFERROR(__xludf.DUMMYFUNCTION("""COMPUTED_VALUE"""),"ExportAllCalculatedPreferences")</f>
        <v>ExportAllCalculatedPreferences</v>
      </c>
      <c r="AY4" s="16" t="str">
        <f>IFERROR(__xludf.DUMMYFUNCTION("""COMPUTED_VALUE"""),"SaveCalculatedPreferences")</f>
        <v>SaveCalculatedPreferences</v>
      </c>
      <c r="AZ4" s="16" t="str">
        <f>IFERROR(__xludf.DUMMYFUNCTION("""COMPUTED_VALUE"""),"CloseCalculatedPreferences")</f>
        <v>CloseCalculatedPreferences</v>
      </c>
      <c r="BA4" s="16" t="str">
        <f>IFERROR(__xludf.DUMMYFUNCTION("""COMPUTED_VALUE"""),"ExportCalculatedPreference")</f>
        <v>ExportCalculatedPreference</v>
      </c>
      <c r="BB4" s="16" t="str">
        <f>IFERROR(__xludf.DUMMYFUNCTION("""COMPUTED_VALUE"""),"ImportCalculatedPreferences")</f>
        <v>ImportCalculatedPreferences</v>
      </c>
      <c r="BC4" s="16" t="str">
        <f>IFERROR(__xludf.DUMMYFUNCTION("""COMPUTED_VALUE"""),"IsAllocationOpen")</f>
        <v>IsAllocationOpen</v>
      </c>
      <c r="BD4" s="16" t="str">
        <f>IFERROR(__xludf.DUMMYFUNCTION("""COMPUTED_VALUE"""),"OpenAuditTrailUnallocatedGroup")</f>
        <v>OpenAuditTrailUnallocatedGroup</v>
      </c>
      <c r="BE4" s="16" t="str">
        <f>IFERROR(__xludf.DUMMYFUNCTION("""COMPUTED_VALUE"""),"DeleteCalculatedPreferencesTool")</f>
        <v>DeleteCalculatedPreferencesTool</v>
      </c>
      <c r="BF4" s="16" t="str">
        <f>IFERROR(__xludf.DUMMYFUNCTION("""COMPUTED_VALUE"""),"ImportCalculatedPreferencesTool")</f>
        <v>ImportCalculatedPreferencesTool</v>
      </c>
      <c r="BG4" s="16" t="str">
        <f>IFERROR(__xludf.DUMMYFUNCTION("""COMPUTED_VALUE"""),"SetAvgPriceRounding")</f>
        <v>SetAvgPriceRounding</v>
      </c>
      <c r="BH4" s="16" t="str">
        <f>IFERROR(__xludf.DUMMYFUNCTION("""COMPUTED_VALUE"""),"SetAutoGroupingAccount")</f>
        <v>SetAutoGroupingAccount</v>
      </c>
      <c r="BI4" s="16" t="str">
        <f>IFERROR(__xludf.DUMMYFUNCTION("""COMPUTED_VALUE"""),"SetAutoGroupingPreferences")</f>
        <v>SetAutoGroupingPreferences</v>
      </c>
      <c r="BJ4" s="16" t="str">
        <f>IFERROR(__xludf.DUMMYFUNCTION("""COMPUTED_VALUE"""),"ExportAllCalculatedPreferTool")</f>
        <v>ExportAllCalculatedPreferTool</v>
      </c>
      <c r="BK4" s="16" t="str">
        <f>IFERROR(__xludf.DUMMYFUNCTION("""COMPUTED_VALUE"""),"EnterCustomAllocatePreference")</f>
        <v>EnterCustomAllocatePreference</v>
      </c>
      <c r="BL4" s="16" t="str">
        <f>IFERROR(__xludf.DUMMYFUNCTION("""COMPUTED_VALUE"""),"OpenSymbolLookupUnallocateGroup")</f>
        <v>OpenSymbolLookupUnallocateGroup</v>
      </c>
      <c r="BM4" s="16" t="str">
        <f>IFERROR(__xludf.DUMMYFUNCTION("""COMPUTED_VALUE"""),"OpenAuditTrailAllocatedGroup")</f>
        <v>OpenAuditTrailAllocatedGroup</v>
      </c>
      <c r="BN4" s="16" t="str">
        <f>IFERROR(__xludf.DUMMYFUNCTION("""COMPUTED_VALUE"""),"OpenSymbolLookupAllocatedGroup")</f>
        <v>OpenSymbolLookupAllocatedGroup</v>
      </c>
      <c r="BO4" s="16" t="str">
        <f>IFERROR(__xludf.DUMMYFUNCTION("""COMPUTED_VALUE"""),"DeleteFixedPreference")</f>
        <v>DeleteFixedPreference</v>
      </c>
      <c r="BP4" s="16" t="str">
        <f>IFERROR(__xludf.DUMMYFUNCTION("""COMPUTED_VALUE"""),"SetTradeAttributePreferences")</f>
        <v>SetTradeAttributePreferences</v>
      </c>
      <c r="BQ4" s="16" t="str">
        <f>IFERROR(__xludf.DUMMYFUNCTION("""COMPUTED_VALUE"""),"EditAllocatedGroupSidePanel")</f>
        <v>EditAllocatedGroupSidePanel</v>
      </c>
      <c r="BR4" s="16" t="str">
        <f>IFERROR(__xludf.DUMMYFUNCTION("""COMPUTED_VALUE"""),"ExpandCollapseAllocatedGrid")</f>
        <v>ExpandCollapseAllocatedGrid</v>
      </c>
      <c r="BS4" s="16" t="str">
        <f>IFERROR(__xludf.DUMMYFUNCTION("""COMPUTED_VALUE"""),"ExpandCollapseUnallocatedGrid")</f>
        <v>ExpandCollapseUnallocatedGrid</v>
      </c>
      <c r="BT4" s="16" t="str">
        <f>IFERROR(__xludf.DUMMYFUNCTION("""COMPUTED_VALUE"""),"EditAllocatedGridTaxlot")</f>
        <v>EditAllocatedGridTaxlot</v>
      </c>
      <c r="BU4" s="16" t="str">
        <f>IFERROR(__xludf.DUMMYFUNCTION("""COMPUTED_VALUE"""),"CheckUnallocatedGroups")</f>
        <v>CheckUnallocatedGroups</v>
      </c>
      <c r="BV4" s="16" t="str">
        <f>IFERROR(__xludf.DUMMYFUNCTION("""COMPUTED_VALUE"""),"EditAllocatedGridWPF")</f>
        <v>EditAllocatedGridWPF</v>
      </c>
      <c r="BW4" s="16" t="str">
        <f>IFERROR(__xludf.DUMMYFUNCTION("""COMPUTED_VALUE"""),"SetGeneralPreferences")</f>
        <v>SetGeneralPreferences</v>
      </c>
      <c r="BX4" s="16" t="str">
        <f>IFERROR(__xludf.DUMMYFUNCTION("""COMPUTED_VALUE"""),"EditUnallocatedGridWPF")</f>
        <v>EditUnallocatedGridWPF</v>
      </c>
      <c r="BY4" s="16" t="str">
        <f>IFERROR(__xludf.DUMMYFUNCTION("""COMPUTED_VALUE"""),"SetBrokerAccountMapping")</f>
        <v>SetBrokerAccountMapping</v>
      </c>
      <c r="BZ4" s="16" t="str">
        <f>IFERROR(__xludf.DUMMYFUNCTION("""COMPUTED_VALUE"""),"ShowMasterFundAsClient")</f>
        <v>ShowMasterFundAsClient</v>
      </c>
      <c r="CA4" s="16" t="str">
        <f>IFERROR(__xludf.DUMMYFUNCTION("""COMPUTED_VALUE"""),"ShowMasterFundOnTT")</f>
        <v>ShowMasterFundOnTT</v>
      </c>
      <c r="CB4" s="16" t="str">
        <f>IFERROR(__xludf.DUMMYFUNCTION("""COMPUTED_VALUE"""),"ApplyMasterFundFilter")</f>
        <v>ApplyMasterFundFilter</v>
      </c>
      <c r="CC4" s="16" t="str">
        <f>IFERROR(__xludf.DUMMYFUNCTION("""COMPUTED_VALUE"""),"GroupTrades")</f>
        <v>GroupTrades</v>
      </c>
      <c r="CD4" s="16" t="str">
        <f>IFERROR(__xludf.DUMMYFUNCTION("""COMPUTED_VALUE"""),"DisableCheckside")</f>
        <v>DisableCheckside</v>
      </c>
      <c r="CE4" s="16" t="str">
        <f>IFERROR(__xludf.DUMMYFUNCTION("""COMPUTED_VALUE"""),"UngroupTrades")</f>
        <v>UngroupTrades</v>
      </c>
      <c r="CF4" s="16" t="str">
        <f>IFERROR(__xludf.DUMMYFUNCTION("""COMPUTED_VALUE"""),"DisableChecksideForCounterParty")</f>
        <v>DisableChecksideForCounterParty</v>
      </c>
      <c r="CG4" s="16" t="str">
        <f>IFERROR(__xludf.DUMMYFUNCTION("""COMPUTED_VALUE"""),"DisableChecksideForAccount")</f>
        <v>DisableChecksideForAccount</v>
      </c>
      <c r="CH4" s="16" t="str">
        <f>IFERROR(__xludf.DUMMYFUNCTION("""COMPUTED_VALUE"""),"DeleteGroup")</f>
        <v>DeleteGroup</v>
      </c>
      <c r="CI4" s="16" t="str">
        <f>IFERROR(__xludf.DUMMYFUNCTION("""COMPUTED_VALUE"""),"DisableChecksideForAsset")</f>
        <v>DisableChecksideForAsset</v>
      </c>
      <c r="CJ4" s="16" t="str">
        <f>IFERROR(__xludf.DUMMYFUNCTION("""COMPUTED_VALUE"""),"CloseOrder")</f>
        <v>CloseOrder</v>
      </c>
      <c r="CK4" s="16" t="str">
        <f>IFERROR(__xludf.DUMMYFUNCTION("""COMPUTED_VALUE"""),"Unallocate")</f>
        <v>Unallocate</v>
      </c>
      <c r="CL4" s="16" t="str">
        <f>IFERROR(__xludf.DUMMYFUNCTION("""COMPUTED_VALUE"""),"CloseAllocation")</f>
        <v>CloseAllocation</v>
      </c>
      <c r="CM4" s="16" t="str">
        <f>IFERROR(__xludf.DUMMYFUNCTION("""COMPUTED_VALUE"""),"CheckAllocatedTaxlots")</f>
        <v>CheckAllocatedTaxlots</v>
      </c>
      <c r="CN4" s="16" t="str">
        <f>IFERROR(__xludf.DUMMYFUNCTION("""COMPUTED_VALUE"""),"CleanUp")</f>
        <v>CleanUp</v>
      </c>
      <c r="CO4" s="16" t="str">
        <f>IFERROR(__xludf.DUMMYFUNCTION("""COMPUTED_VALUE"""),"VerifyLayoutAllocatedGrid")</f>
        <v>VerifyLayoutAllocatedGrid</v>
      </c>
      <c r="CP4" s="16" t="str">
        <f>IFERROR(__xludf.DUMMYFUNCTION("""COMPUTED_VALUE"""),"VerifyLayoutUnallocatedGrid")</f>
        <v>VerifyLayoutUnallocatedGrid</v>
      </c>
      <c r="CQ4" s="16" t="str">
        <f>IFERROR(__xludf.DUMMYFUNCTION("""COMPUTED_VALUE"""),"ClearFiltersUnallocatedGrid")</f>
        <v>ClearFiltersUnallocatedGrid</v>
      </c>
      <c r="CR4" s="16" t="str">
        <f>IFERROR(__xludf.DUMMYFUNCTION("""COMPUTED_VALUE"""),"ClearFiltersAllocatedGrid")</f>
        <v>ClearFiltersAllocatedGrid</v>
      </c>
      <c r="CS4" s="16" t="str">
        <f>IFERROR(__xludf.DUMMYFUNCTION("""COMPUTED_VALUE"""),"UpdateGRAccountValue")</f>
        <v>UpdateGRAccountValue</v>
      </c>
      <c r="CT4" s="16" t="str">
        <f>IFERROR(__xludf.DUMMYFUNCTION("""COMPUTED_VALUE"""),"UpdateGRStrategyValue")</f>
        <v>UpdateGRStrategyValue</v>
      </c>
      <c r="CU4" s="16" t="str">
        <f>IFERROR(__xludf.DUMMYFUNCTION("""COMPUTED_VALUE"""),"UpdateGRDefaultRule")</f>
        <v>UpdateGRDefaultRule</v>
      </c>
      <c r="CV4" s="16" t="str">
        <f>IFERROR(__xludf.DUMMYFUNCTION("""COMPUTED_VALUE"""),"UpdateGeneralRulePref")</f>
        <v>UpdateGeneralRulePref</v>
      </c>
      <c r="CW4" s="16" t="str">
        <f>IFERROR(__xludf.DUMMYFUNCTION("""COMPUTED_VALUE"""),"AddMFPreferences")</f>
        <v>AddMFPreferences</v>
      </c>
      <c r="CX4" s="16" t="str">
        <f>IFERROR(__xludf.DUMMYFUNCTION("""COMPUTED_VALUE"""),"ModifyGRPreferenceValues")</f>
        <v>ModifyGRPreferenceValues</v>
      </c>
      <c r="CY4" s="16" t="str">
        <f>IFERROR(__xludf.DUMMYFUNCTION("""COMPUTED_VALUE"""),"AddMFPreferenceToolbar")</f>
        <v>AddMFPreferenceToolbar</v>
      </c>
      <c r="CZ4" s="16" t="str">
        <f>IFERROR(__xludf.DUMMYFUNCTION("""COMPUTED_VALUE"""),"DeleteMFPreferences")</f>
        <v>DeleteMFPreferences</v>
      </c>
      <c r="DA4" s="16" t="str">
        <f>IFERROR(__xludf.DUMMYFUNCTION("""COMPUTED_VALUE"""),"SaveLayoutAllocationUI")</f>
        <v>SaveLayoutAllocationUI</v>
      </c>
      <c r="DB4" s="16" t="str">
        <f>IFERROR(__xludf.DUMMYFUNCTION("""COMPUTED_VALUE"""),"DeleteMFPreferenceToolbar")</f>
        <v>DeleteMFPreferenceToolbar</v>
      </c>
      <c r="DC4" s="16" t="str">
        <f>IFERROR(__xludf.DUMMYFUNCTION("""COMPUTED_VALUE"""),"SaveLayoutUnallocatedGrid")</f>
        <v>SaveLayoutUnallocatedGrid</v>
      </c>
      <c r="DD4" s="16" t="str">
        <f>IFERROR(__xludf.DUMMYFUNCTION("""COMPUTED_VALUE"""),"SaveLayoutAllocatedGrid")</f>
        <v>SaveLayoutAllocatedGrid</v>
      </c>
      <c r="DE4" s="16" t="str">
        <f>IFERROR(__xludf.DUMMYFUNCTION("""COMPUTED_VALUE"""),"EditAllocatedGrid")</f>
        <v>EditAllocatedGrid</v>
      </c>
      <c r="DF4" s="16" t="str">
        <f>IFERROR(__xludf.DUMMYFUNCTION("""COMPUTED_VALUE"""),"EditUnallocatedGrid")</f>
        <v>EditUnallocatedGrid</v>
      </c>
      <c r="DG4" s="16" t="str">
        <f>IFERROR(__xludf.DUMMYFUNCTION("""COMPUTED_VALUE"""),"UnallocateWithOutSave")</f>
        <v>UnallocateWithOutSave</v>
      </c>
      <c r="DH4" s="16" t="str">
        <f>IFERROR(__xludf.DUMMYFUNCTION("""COMPUTED_VALUE"""),"SaveAllocation")</f>
        <v>SaveAllocation</v>
      </c>
      <c r="DI4" s="16" t="str">
        <f>IFERROR(__xludf.DUMMYFUNCTION("""COMPUTED_VALUE"""),"GenerateCashTransaction")</f>
        <v>GenerateCashTransaction</v>
      </c>
      <c r="DJ4" s="16" t="str">
        <f>IFERROR(__xludf.DUMMYFUNCTION("""COMPUTED_VALUE"""),"ExpandCollapseAllAllocated")</f>
        <v>ExpandCollapseAllAllocated</v>
      </c>
      <c r="DK4" s="16" t="str">
        <f>IFERROR(__xludf.DUMMYFUNCTION("""COMPUTED_VALUE"""),"ExpandCollapseAllUnallocated")</f>
        <v>ExpandCollapseAllUnallocated</v>
      </c>
      <c r="DL4" s="16" t="str">
        <f>IFERROR(__xludf.DUMMYFUNCTION("""COMPUTED_VALUE"""),"ClearPrefetchFilters")</f>
        <v>ClearPrefetchFilters</v>
      </c>
      <c r="DM4" s="16" t="str">
        <f>IFERROR(__xludf.DUMMYFUNCTION("""COMPUTED_VALUE"""),"RenameMFPreferences")</f>
        <v>RenameMFPreferences</v>
      </c>
      <c r="DN4" s="16" t="str">
        <f>IFERROR(__xludf.DUMMYFUNCTION("""COMPUTED_VALUE"""),"SetMFPrefFundDefaultRule")</f>
        <v>SetMFPrefFundDefaultRule</v>
      </c>
      <c r="DO4" s="16" t="str">
        <f>IFERROR(__xludf.DUMMYFUNCTION("""COMPUTED_VALUE"""),"SaveCloseMFPreference")</f>
        <v>SaveCloseMFPreference</v>
      </c>
      <c r="DP4" s="16" t="str">
        <f>IFERROR(__xludf.DUMMYFUNCTION("""COMPUTED_VALUE"""),"SetMFPrefAccountValues")</f>
        <v>SetMFPrefAccountValues</v>
      </c>
      <c r="DQ4" s="16" t="str">
        <f>IFERROR(__xludf.DUMMYFUNCTION("""COMPUTED_VALUE"""),"SetMFPreferencesDefaultRule")</f>
        <v>SetMFPreferencesDefaultRule</v>
      </c>
      <c r="DR4" s="16" t="str">
        <f>IFERROR(__xludf.DUMMYFUNCTION("""COMPUTED_VALUE"""),"SetMFPrefFundDistribution")</f>
        <v>SetMFPrefFundDistribution</v>
      </c>
      <c r="DS4" s="16" t="str">
        <f>IFERROR(__xludf.DUMMYFUNCTION("""COMPUTED_VALUE"""),"SetMFPrefGeneralRule")</f>
        <v>SetMFPrefGeneralRule</v>
      </c>
      <c r="DT4" s="16" t="str">
        <f>IFERROR(__xludf.DUMMYFUNCTION("""COMPUTED_VALUE"""),"ModifyMFPrefGeneralRuleValues")</f>
        <v>ModifyMFPrefGeneralRuleValues</v>
      </c>
      <c r="DU4" s="16" t="str">
        <f>IFERROR(__xludf.DUMMYFUNCTION("""COMPUTED_VALUE"""),"SetMFPrefStrategyValues")</f>
        <v>SetMFPrefStrategyValues</v>
      </c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IFERROR(__xludf.DUMMYFUNCTION("""COMPUTED_VALUE"""),"Net Amount(Local)")</f>
        <v>Net Amount(Local)</v>
      </c>
      <c r="C5" s="10" t="str">
        <f>IFERROR(__xludf.DUMMYFUNCTION("""COMPUTED_VALUE"""),"Net Amount(Base)")</f>
        <v>Net Amount(Base)</v>
      </c>
      <c r="D5" s="10" t="str">
        <f>IFERROR(__xludf.DUMMYFUNCTION("""COMPUTED_VALUE"""),"Principal Amount(Local)")</f>
        <v>Principal Amount(Local)</v>
      </c>
      <c r="E5" s="10" t="str">
        <f>IFERROR(__xludf.DUMMYFUNCTION("""COMPUTED_VALUE"""),"Principal Amount(Base)")</f>
        <v>Principal Amount(Base)</v>
      </c>
      <c r="F5" s="10" t="str">
        <f>IFERROR(__xludf.DUMMYFUNCTION("""COMPUTED_VALUE"""),"FX Conversion Operator")</f>
        <v>FX Conversion Operator</v>
      </c>
      <c r="G5" s="10" t="str">
        <f>IFERROR(__xludf.DUMMYFUNCTION("""COMPUTED_VALUE"""),"TaxLotID")</f>
        <v>TaxLotID</v>
      </c>
      <c r="H5" s="10" t="str">
        <f>IFERROR(__xludf.DUMMYFUNCTION("""COMPUTED_VALUE"""),"Settlement Currency")</f>
        <v>Settlement Currency</v>
      </c>
      <c r="I5" s="10" t="str">
        <f>IFERROR(__xludf.DUMMYFUNCTION("""COMPUTED_VALUE"""),"Trade Attribute 1")</f>
        <v>Trade Attribute 1</v>
      </c>
      <c r="J5" s="10" t="str">
        <f>IFERROR(__xludf.DUMMYFUNCTION("""COMPUTED_VALUE"""),"Trade Attribute 2")</f>
        <v>Trade Attribute 2</v>
      </c>
      <c r="K5" s="10" t="str">
        <f>IFERROR(__xludf.DUMMYFUNCTION("""COMPUTED_VALUE"""),"Trade Attribute 3")</f>
        <v>Trade Attribute 3</v>
      </c>
      <c r="L5" s="10" t="str">
        <f>IFERROR(__xludf.DUMMYFUNCTION("""COMPUTED_VALUE"""),"Trade Attribute 4")</f>
        <v>Trade Attribute 4</v>
      </c>
      <c r="M5" s="10" t="str">
        <f>IFERROR(__xludf.DUMMYFUNCTION("""COMPUTED_VALUE"""),"Trade Attribute 5")</f>
        <v>Trade Attribute 5</v>
      </c>
      <c r="N5" s="10" t="str">
        <f>IFERROR(__xludf.DUMMYFUNCTION("""COMPUTED_VALUE"""),"Trade Attribute 6")</f>
        <v>Trade Attribute 6</v>
      </c>
      <c r="O5" s="10" t="str">
        <f>IFERROR(__xludf.DUMMYFUNCTION("""COMPUTED_VALUE"""),"Account Name")</f>
        <v>Account Name</v>
      </c>
      <c r="P5" s="10" t="str">
        <f>IFERROR(__xludf.DUMMYFUNCTION("""COMPUTED_VALUE"""),"Strategy Name")</f>
        <v>Strategy Name</v>
      </c>
      <c r="Q5" s="10" t="str">
        <f>IFERROR(__xludf.DUMMYFUNCTION("""COMPUTED_VALUE"""),"Percentage")</f>
        <v>Percentage</v>
      </c>
      <c r="R5" s="10" t="str">
        <f>IFERROR(__xludf.DUMMYFUNCTION("""COMPUTED_VALUE"""),"Taxlot Qty")</f>
        <v>Taxlot Qty</v>
      </c>
      <c r="S5" s="10" t="str">
        <f>IFERROR(__xludf.DUMMYFUNCTION("""COMPUTED_VALUE"""),"Commission")</f>
        <v>Commission</v>
      </c>
      <c r="T5" s="17" t="str">
        <f>IFERROR(__xludf.DUMMYFUNCTION("""COMPUTED_VALUE"""),"Soft Commission")</f>
        <v>Soft Commission</v>
      </c>
      <c r="U5" s="17" t="str">
        <f>IFERROR(__xludf.DUMMYFUNCTION("""COMPUTED_VALUE"""),"Other Broker Fees")</f>
        <v>Other Broker Fees</v>
      </c>
      <c r="V5" s="17" t="str">
        <f>IFERROR(__xludf.DUMMYFUNCTION("""COMPUTED_VALUE"""),"Clearing Broker Fees")</f>
        <v>Clearing Broker Fees</v>
      </c>
      <c r="W5" s="17" t="str">
        <f>IFERROR(__xludf.DUMMYFUNCTION("""COMPUTED_VALUE"""),"Stamp Duty")</f>
        <v>Stamp Duty</v>
      </c>
      <c r="X5" s="17" t="str">
        <f>IFERROR(__xludf.DUMMYFUNCTION("""COMPUTED_VALUE"""),"Transaction Levy")</f>
        <v>Transaction Levy</v>
      </c>
      <c r="Y5" s="17" t="str">
        <f>IFERROR(__xludf.DUMMYFUNCTION("""COMPUTED_VALUE"""),"AUEC Fee1")</f>
        <v>AUEC Fee1</v>
      </c>
      <c r="Z5" s="17" t="str">
        <f>IFERROR(__xludf.DUMMYFUNCTION("""COMPUTED_VALUE"""),"Tax On Commissions")</f>
        <v>Tax On Commissions</v>
      </c>
      <c r="AA5" s="17" t="str">
        <f>IFERROR(__xludf.DUMMYFUNCTION("""COMPUTED_VALUE"""),"AUEC Fee2")</f>
        <v>AUEC Fee2</v>
      </c>
      <c r="AB5" s="17" t="str">
        <f>IFERROR(__xludf.DUMMYFUNCTION("""COMPUTED_VALUE"""),"SEC Fee")</f>
        <v>SEC Fee</v>
      </c>
      <c r="AC5" s="17" t="str">
        <f>IFERROR(__xludf.DUMMYFUNCTION("""COMPUTED_VALUE"""),"OCC Fee")</f>
        <v>OCC Fee</v>
      </c>
      <c r="AD5" s="17" t="str">
        <f>IFERROR(__xludf.DUMMYFUNCTION("""COMPUTED_VALUE"""),"ORF Fee")</f>
        <v>ORF Fee</v>
      </c>
      <c r="AE5" s="17" t="str">
        <f>IFERROR(__xludf.DUMMYFUNCTION("""COMPUTED_VALUE"""),"Option Premium Adjustment")</f>
        <v>Option Premium Adjustment</v>
      </c>
      <c r="AF5" s="17" t="str">
        <f>IFERROR(__xludf.DUMMYFUNCTION("""COMPUTED_VALUE"""),"Closing Status")</f>
        <v>Closing Status</v>
      </c>
      <c r="AG5" s="17" t="str">
        <f>IFERROR(__xludf.DUMMYFUNCTION("""COMPUTED_VALUE"""),"External Transaction ID")</f>
        <v>External Transaction ID</v>
      </c>
      <c r="AH5" s="17" t="str">
        <f>IFERROR(__xludf.DUMMYFUNCTION("""COMPUTED_VALUE"""),"Lot ID")</f>
        <v>Lot ID</v>
      </c>
      <c r="AI5" s="17" t="str">
        <f>IFERROR(__xludf.DUMMYFUNCTION("""COMPUTED_VALUE"""),"AvgPriceBase")</f>
        <v>AvgPriceBase</v>
      </c>
      <c r="AJ5" s="17" t="str">
        <f>IFERROR(__xludf.DUMMYFUNCTION("""COMPUTED_VALUE"""),"Accrued Interest")</f>
        <v>Accrued Interest</v>
      </c>
      <c r="AK5" s="17" t="str">
        <f>IFERROR(__xludf.DUMMYFUNCTION("""COMPUTED_VALUE"""),"FXRate")</f>
        <v>FXRate</v>
      </c>
      <c r="AL5" s="17" t="str">
        <f>IFERROR(__xludf.DUMMYFUNCTION("""COMPUTED_VALUE"""),"Change Type")</f>
        <v>Change Type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21">
      <c r="A6" s="4"/>
      <c r="B6" s="11">
        <v>4.66666666666667</v>
      </c>
      <c r="C6" s="11">
        <v>4.66666666666667</v>
      </c>
      <c r="D6" s="11">
        <v>0</v>
      </c>
      <c r="E6" s="11">
        <v>0</v>
      </c>
      <c r="F6" s="12" t="s">
        <v>27</v>
      </c>
      <c r="G6" s="4"/>
      <c r="H6" s="12" t="s">
        <v>28</v>
      </c>
      <c r="I6" s="4"/>
      <c r="J6" s="4"/>
      <c r="K6" s="4"/>
      <c r="L6" s="4"/>
      <c r="M6" s="4"/>
      <c r="N6" s="4"/>
      <c r="O6" s="12" t="s">
        <v>29</v>
      </c>
      <c r="P6" s="12" t="s">
        <v>30</v>
      </c>
      <c r="Q6" s="11">
        <v>33.33332825</v>
      </c>
      <c r="R6" s="11">
        <v>101</v>
      </c>
      <c r="S6" s="11">
        <v>0</v>
      </c>
      <c r="T6" s="11">
        <v>0</v>
      </c>
      <c r="U6" s="11">
        <v>0</v>
      </c>
    </row>
    <row r="7" ht="15.75" customHeight="1" spans="1:21">
      <c r="A7" s="4"/>
      <c r="B7" s="11">
        <v>4.66666666666667</v>
      </c>
      <c r="C7" s="11">
        <v>4.66666666666667</v>
      </c>
      <c r="D7" s="11">
        <v>0</v>
      </c>
      <c r="E7" s="11">
        <v>0</v>
      </c>
      <c r="F7" s="12" t="s">
        <v>27</v>
      </c>
      <c r="G7" s="4"/>
      <c r="H7" s="12" t="s">
        <v>28</v>
      </c>
      <c r="I7" s="4"/>
      <c r="J7" s="4"/>
      <c r="K7" s="4"/>
      <c r="L7" s="4"/>
      <c r="M7" s="4"/>
      <c r="N7" s="4"/>
      <c r="O7" s="12" t="s">
        <v>31</v>
      </c>
      <c r="P7" s="12" t="s">
        <v>30</v>
      </c>
      <c r="Q7" s="11">
        <v>33.33332825</v>
      </c>
      <c r="R7" s="11">
        <v>101</v>
      </c>
      <c r="S7" s="11">
        <v>0</v>
      </c>
      <c r="T7" s="11">
        <v>0</v>
      </c>
      <c r="U7" s="11">
        <v>0</v>
      </c>
    </row>
    <row r="8" ht="15.75" customHeight="1" spans="1:21">
      <c r="A8" s="4"/>
      <c r="B8" s="11">
        <v>4.66666666666667</v>
      </c>
      <c r="C8" s="11">
        <v>4.66666666666667</v>
      </c>
      <c r="D8" s="11">
        <v>0</v>
      </c>
      <c r="E8" s="11">
        <v>0</v>
      </c>
      <c r="F8" s="12" t="s">
        <v>27</v>
      </c>
      <c r="G8" s="4"/>
      <c r="H8" s="12" t="s">
        <v>28</v>
      </c>
      <c r="I8" s="4"/>
      <c r="J8" s="4"/>
      <c r="K8" s="4"/>
      <c r="L8" s="4"/>
      <c r="M8" s="4"/>
      <c r="N8" s="4"/>
      <c r="O8" s="12" t="s">
        <v>32</v>
      </c>
      <c r="P8" s="12" t="s">
        <v>30</v>
      </c>
      <c r="Q8" s="11">
        <v>33.33332825</v>
      </c>
      <c r="R8" s="11">
        <v>101</v>
      </c>
      <c r="S8" s="11">
        <v>0</v>
      </c>
      <c r="T8" s="11">
        <v>0</v>
      </c>
      <c r="U8" s="11">
        <v>0</v>
      </c>
    </row>
    <row r="9" ht="15.75" customHeight="1" spans="1:21">
      <c r="A9" s="4"/>
      <c r="B9" s="11">
        <v>-4.68211920529802</v>
      </c>
      <c r="C9" s="11">
        <v>-4.68211920529802</v>
      </c>
      <c r="D9" s="11">
        <v>0</v>
      </c>
      <c r="E9" s="11">
        <v>0</v>
      </c>
      <c r="F9" s="12" t="s">
        <v>27</v>
      </c>
      <c r="G9" s="4"/>
      <c r="H9" s="12" t="s">
        <v>28</v>
      </c>
      <c r="I9" s="4"/>
      <c r="J9" s="4"/>
      <c r="K9" s="4"/>
      <c r="L9" s="4"/>
      <c r="M9" s="4"/>
      <c r="N9" s="4"/>
      <c r="O9" s="12" t="s">
        <v>29</v>
      </c>
      <c r="P9" s="12" t="s">
        <v>30</v>
      </c>
      <c r="Q9" s="11">
        <v>33.44371033</v>
      </c>
      <c r="R9" s="11">
        <v>101</v>
      </c>
      <c r="S9" s="11">
        <v>0</v>
      </c>
      <c r="T9" s="11">
        <v>0</v>
      </c>
      <c r="U9" s="11">
        <v>0</v>
      </c>
    </row>
    <row r="10" ht="15.75" customHeight="1" spans="1:21">
      <c r="A10" s="4"/>
      <c r="B10" s="11">
        <v>-4.68211920529802</v>
      </c>
      <c r="C10" s="11">
        <v>-4.68211920529802</v>
      </c>
      <c r="D10" s="11">
        <v>0</v>
      </c>
      <c r="E10" s="11">
        <v>0</v>
      </c>
      <c r="F10" s="12" t="s">
        <v>27</v>
      </c>
      <c r="G10" s="4"/>
      <c r="H10" s="12" t="s">
        <v>28</v>
      </c>
      <c r="I10" s="4"/>
      <c r="J10" s="4"/>
      <c r="K10" s="4"/>
      <c r="L10" s="4"/>
      <c r="M10" s="4"/>
      <c r="N10" s="4"/>
      <c r="O10" s="12" t="s">
        <v>31</v>
      </c>
      <c r="P10" s="12" t="s">
        <v>30</v>
      </c>
      <c r="Q10" s="11">
        <v>33.44371033</v>
      </c>
      <c r="R10" s="11">
        <v>101</v>
      </c>
      <c r="S10" s="11">
        <v>0</v>
      </c>
      <c r="T10" s="11">
        <v>0</v>
      </c>
      <c r="U10" s="11">
        <v>0</v>
      </c>
    </row>
    <row r="11" ht="15.75" customHeight="1" spans="1:21">
      <c r="A11" s="4"/>
      <c r="B11" s="11">
        <v>-4.63576158940398</v>
      </c>
      <c r="C11" s="11">
        <v>-4.63576158940398</v>
      </c>
      <c r="D11" s="11">
        <v>0</v>
      </c>
      <c r="E11" s="11">
        <v>0</v>
      </c>
      <c r="F11" s="12" t="s">
        <v>27</v>
      </c>
      <c r="G11" s="4"/>
      <c r="H11" s="12" t="s">
        <v>28</v>
      </c>
      <c r="I11" s="4"/>
      <c r="J11" s="4"/>
      <c r="K11" s="4"/>
      <c r="L11" s="4"/>
      <c r="M11" s="4"/>
      <c r="N11" s="4"/>
      <c r="O11" s="12" t="s">
        <v>32</v>
      </c>
      <c r="P11" s="12" t="s">
        <v>30</v>
      </c>
      <c r="Q11" s="11">
        <v>33.11257935</v>
      </c>
      <c r="R11" s="11">
        <v>100</v>
      </c>
      <c r="S11" s="11">
        <v>0</v>
      </c>
      <c r="T11" s="11">
        <v>0</v>
      </c>
      <c r="U11" s="11">
        <v>0</v>
      </c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䯸௥䯸௥䯸௥䯸௥䯸௥䯸௥䯸௥䯸௥䯸௥䯸௥䯸௥䯸௥䯸௥䯸௥䯸௥䯸௥㵥䗊ꔀ蠀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_Modules</vt:lpstr>
      <vt:lpstr>_Settings</vt:lpstr>
      <vt:lpstr>_MasterData</vt:lpstr>
      <vt:lpstr>CreateDoneAwayOrder</vt:lpstr>
      <vt:lpstr>CreateDoneAwayOrder1</vt:lpstr>
      <vt:lpstr>GetDataAllocation</vt:lpstr>
      <vt:lpstr>CheckAllocatedTaxlots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Rishab.Jaiswal</cp:lastModifiedBy>
  <dcterms:created xsi:type="dcterms:W3CDTF">2023-06-13T08:14:43Z</dcterms:created>
  <dcterms:modified xsi:type="dcterms:W3CDTF">2023-06-13T08:16:01Z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EFD6DB48447943038C3F31885BF0B131</vt:lpwstr>
  </property>
  <property fmtid="{D5CDD505-2E9C-101B-9397-08002B2CF9AE}" pid="3" name="KSOProductBuildVer">
    <vt:lpwstr>1033-11.2.0.11537</vt:lpwstr>
  </property>
</Properties>
</file>