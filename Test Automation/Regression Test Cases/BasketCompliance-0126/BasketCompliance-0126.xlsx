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nlConfig" sheetId="4" r:id="rId6"/>
    <sheet state="visible" name="CreateDoneAwayOrder" sheetId="5" r:id="rId7"/>
    <sheet state="visible" name="CreateStageOrder" sheetId="6" r:id="rId8"/>
    <sheet state="visible" name="GetDataAllocation" sheetId="7" r:id="rId9"/>
    <sheet state="visible" name="SelectAllocatedGroup" sheetId="8" r:id="rId10"/>
    <sheet state="visible" name="BookOrUpdateSwap" sheetId="9" r:id="rId11"/>
    <sheet state="visible" name="PricingInput" sheetId="10" r:id="rId12"/>
    <sheet state="visible" name="GetMarkPriceData" sheetId="11" r:id="rId13"/>
    <sheet state="visible" name="UpdateMarkPrice" sheetId="12" r:id="rId14"/>
    <sheet state="visible" name="GetForexConversion" sheetId="13" r:id="rId15"/>
    <sheet state="visible" name="UpdateForexConversion" sheetId="14" r:id="rId16"/>
    <sheet state="visible" name="GetDailyCash" sheetId="15" r:id="rId17"/>
    <sheet state="visible" name="GetCashTransaction" sheetId="16" r:id="rId18"/>
    <sheet state="visible" name="AddCashTransaction" sheetId="17" r:id="rId19"/>
    <sheet state="visible" name="GetAccountBalance" sheetId="18" r:id="rId20"/>
    <sheet state="visible" name="FetchAccountPositions" sheetId="19" r:id="rId21"/>
    <sheet state="visible" name="AddCash" sheetId="20" r:id="rId22"/>
    <sheet state="visible" name="RunRebalance" sheetId="21" r:id="rId23"/>
    <sheet state="visible" name="CheckBasketCompliance" sheetId="22" r:id="rId24"/>
    <sheet state="visible" name="SendToStagingExport" sheetId="23" r:id="rId25"/>
    <sheet state="visible" name="FetchAccountPositions1" sheetId="24" r:id="rId26"/>
    <sheet state="visible" name="AddCash1" sheetId="25" r:id="rId27"/>
    <sheet state="visible" name="RunRebalance1" sheetId="26" r:id="rId28"/>
    <sheet state="visible" name="SendToStagingExport1" sheetId="27" r:id="rId29"/>
    <sheet state="visible" name="UpdateMultipleDailyCash" sheetId="28" r:id="rId30"/>
    <sheet state="visible" name="CheckBasketCompliance2" sheetId="29" r:id="rId31"/>
  </sheets>
  <definedNames/>
  <calcPr/>
</workbook>
</file>

<file path=xl/sharedStrings.xml><?xml version="1.0" encoding="utf-8"?>
<sst xmlns="http://schemas.openxmlformats.org/spreadsheetml/2006/main" count="651" uniqueCount="135">
  <si>
    <t>Modules Info</t>
  </si>
  <si>
    <t>Modules</t>
  </si>
  <si>
    <t>Settings</t>
  </si>
  <si>
    <t>Module Step Setting File</t>
  </si>
  <si>
    <t>1V117UCEKgiBm4JNwfKGO6fdzuXXiHyceS9jTaAL7ky4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</si>
  <si>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</si>
  <si>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</si>
  <si>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</si>
  <si>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</si>
  <si>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</si>
  <si>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</si>
  <si>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</si>
  <si>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Expnl</t>
  </si>
  <si>
    <t>UpdateExpnlConfig</t>
  </si>
  <si>
    <t>Data Format</t>
  </si>
  <si>
    <t>Input Format</t>
  </si>
  <si>
    <t>CalculateFxGainLossOnFutures</t>
  </si>
  <si>
    <t>IsM2MIncludedInCash</t>
  </si>
  <si>
    <t>TradingTicket</t>
  </si>
  <si>
    <t>CreateDoneAwayOrder</t>
  </si>
  <si>
    <t>AVO-TC</t>
  </si>
  <si>
    <t>Buy</t>
  </si>
  <si>
    <t>Allocation2</t>
  </si>
  <si>
    <t>Yes</t>
  </si>
  <si>
    <t>AAPL</t>
  </si>
  <si>
    <t>Allocation1</t>
  </si>
  <si>
    <t>FRU-TC</t>
  </si>
  <si>
    <t>MSFT</t>
  </si>
  <si>
    <t>DBLSX</t>
  </si>
  <si>
    <t>O:COP 14O62.50</t>
  </si>
  <si>
    <t>ES U2</t>
  </si>
  <si>
    <t>Allocation3</t>
  </si>
  <si>
    <t>CreateStageOrder</t>
  </si>
  <si>
    <t>Allocation</t>
  </si>
  <si>
    <t>GetDataAllocation</t>
  </si>
  <si>
    <t>Historical</t>
  </si>
  <si>
    <t>SelectAllocatedGroup</t>
  </si>
  <si>
    <t>BookOrUpdateSwap</t>
  </si>
  <si>
    <t>PricingInput</t>
  </si>
  <si>
    <t>COP</t>
  </si>
  <si>
    <t>DailyValuation</t>
  </si>
  <si>
    <t>GetMarkPriceData</t>
  </si>
  <si>
    <t>UpdateMarkPrice</t>
  </si>
  <si>
    <t>GetForexConversion</t>
  </si>
  <si>
    <t>UpdateForexConversion</t>
  </si>
  <si>
    <t>USD</t>
  </si>
  <si>
    <t>CAD</t>
  </si>
  <si>
    <t>CAD AO-FX</t>
  </si>
  <si>
    <t>GetDailyCash</t>
  </si>
  <si>
    <t>GeneralLedger</t>
  </si>
  <si>
    <t>GetCashTransaction</t>
  </si>
  <si>
    <t>AddCashTransaction</t>
  </si>
  <si>
    <t>DividendIncome</t>
  </si>
  <si>
    <t>GetAccountBalance</t>
  </si>
  <si>
    <t>Rebalancer</t>
  </si>
  <si>
    <t>FetchAccountPositions</t>
  </si>
  <si>
    <t>NewMF</t>
  </si>
  <si>
    <t>Previous Day's Positions</t>
  </si>
  <si>
    <t>Account</t>
  </si>
  <si>
    <t>Positions</t>
  </si>
  <si>
    <t>AddCash</t>
  </si>
  <si>
    <t>Impact NAV</t>
  </si>
  <si>
    <t>None</t>
  </si>
  <si>
    <t>Allocation1,Allocation3</t>
  </si>
  <si>
    <t>200000|100000</t>
  </si>
  <si>
    <t>RunRebalance</t>
  </si>
  <si>
    <t>Round Down</t>
  </si>
  <si>
    <t>CheckBasketCompliance</t>
  </si>
  <si>
    <t>Soft</t>
  </si>
  <si>
    <t>Trade3</t>
  </si>
  <si>
    <t>If Quantity not equals to -123, Avg Price not equals to -123, Selected Feed Price not equals to -123, Net Market Value Base not equals to -123, Net Exposure Local not equals to -123, Then block the trade.</t>
  </si>
  <si>
    <t>Multiple</t>
  </si>
  <si>
    <t>quantity: 192.00, avgPrice: 10.00, selectedFeedPrice: 10.00, netMarketValueBase: 19.20, netExposureLocal: 19.20, Symbol: 123456789</t>
  </si>
  <si>
    <t>quantity: 192.00, avgPrice: 10.00, selectedFeedPrice: 10.00, netMarketValueBase: 1,920.00, netExposureLocal: 1,920.00, Symbol: DBLSX</t>
  </si>
  <si>
    <t>quantity: 192.00, avgPrice: 10.00, selectedFeedPrice: 10.00, netMarketValueBase: 1,920.00, netExposureLocal: 1,920.00, Symbol: AAPL</t>
  </si>
  <si>
    <t>quantity: 192.00, avgPrice: 10.00, selectedFeedPrice: 10.00, netMarketValueBase: 1,600.00, netExposureLocal: 1,920.00, Symbol: FRU-TC</t>
  </si>
  <si>
    <t>quantity: 192.00, avgPrice: 10.00, selectedFeedPrice: 10.00, netMarketValueBase: 1,920.00, netExposureLocal: 1,920.00, Symbol: MSFT</t>
  </si>
  <si>
    <t>Account_Symbol3</t>
  </si>
  <si>
    <t>If Quantity not equals to -123, Day PnL Base not equals to -123, Day PnL Local not equals to -123, Net Market Value Base not equals to -123, Net Market Value Local not equals to -123, Selected Feed Price not equals to -123, Account Nav not equals to -123, Then block the trade.</t>
  </si>
  <si>
    <t>Allocation1-AAPL</t>
  </si>
  <si>
    <t>quantity: 392.00, dayPnLBase: 0.00, dayPnLLocal: 0.00, netMarketValueBase: 3,920.00, netMarketValueLocal: 3,920.00, selectedFeedPrice: 10.00, accountNav: 647,486.6667, AccountShortName: Allocation1, Symbol: AAPL</t>
  </si>
  <si>
    <t>Allocation1-FRU-TC</t>
  </si>
  <si>
    <t>quantity: 392.00, dayPnLBase: -0.00, dayPnLLocal: 0.00, netMarketValueBase: 3,266.6667, netMarketValueLocal: 3,920.00, selectedFeedPrice: 10.00, accountNav: 647,486.6667, AccountShortName: Allocation1, Symbol: FRU-TC</t>
  </si>
  <si>
    <t>Allocation1-DBLSX</t>
  </si>
  <si>
    <t>quantity: 392.00, dayPnLBase: 0.00, dayPnLLocal: 0.00, netMarketValueBase: 3,920.00, netMarketValueLocal: 3,920.00, selectedFeedPrice: 10.00, accountNav: 647,486.6667, AccountShortName: Allocation1, Symbol: DBLSX</t>
  </si>
  <si>
    <t>Allocation1-123456789</t>
  </si>
  <si>
    <t>quantity: 392.00, dayPnLBase: 0.00, dayPnLLocal: 0.00, netMarketValueBase: 39.20, netMarketValueLocal: 39.20, selectedFeedPrice: 10.00, accountNav: 647,486.6667, AccountShortName: Allocation1, Symbol: 123456789</t>
  </si>
  <si>
    <t>Allocation1-MSFT</t>
  </si>
  <si>
    <t>quantity: 392.00, dayPnLBase: 0.00, dayPnLLocal: 0.00, netMarketValueBase: 3,720.00, netMarketValueLocal: 3,720.00, selectedFeedPrice: 10.00, accountNav: 647,486.6667, AccountShortName: Allocation1, Symbol: MSFT</t>
  </si>
  <si>
    <t>MasterFund_Symbol3</t>
  </si>
  <si>
    <t>If Quantity not equals to -123, Day PnL Base not equals to -123, Day PnL Local not equals to -123, Net Market Value Base not equals to -123, Net Market Value Local not equals to -123, Selected Feed Price not equals to -123, Master Fund Nav not equals to -123, Then block the trade.</t>
  </si>
  <si>
    <t>NewMF-AAPL</t>
  </si>
  <si>
    <t>quantity: 392.00, dayPnLBase: 0.00, dayPnLLocal: 0.00, netMarketValueBase: 3,920.00, netMarketValueLocal: 3,920.00, selectedFeedPrice: 10.00, masterFundNav: 848,286.6667, MasterFundName: NewMF, Symbol: AAPL</t>
  </si>
  <si>
    <t>NewMF-FRU-TC</t>
  </si>
  <si>
    <t>quantity: 392.00, dayPnLBase: -0.00, dayPnLLocal: 0.00, netMarketValueBase: 3,266.6667, netMarketValueLocal: 3,920.00, selectedFeedPrice: 10.00, masterFundNav: 848,286.6667, MasterFundName: NewMF, Symbol: FRU-TC</t>
  </si>
  <si>
    <t>NewMF-DBLSX</t>
  </si>
  <si>
    <t>quantity: 392.00, dayPnLBase: 0.00, dayPnLLocal: 0.00, netMarketValueBase: 3,920.00, netMarketValueLocal: 3,920.00, selectedFeedPrice: 10.00, masterFundNav: 848,286.6667, MasterFundName: NewMF, Symbol: DBLSX</t>
  </si>
  <si>
    <t>NewMF-123456789</t>
  </si>
  <si>
    <t>quantity: 392.00, dayPnLBase: 0.00, dayPnLLocal: 0.00, netMarketValueBase: 39.20, netMarketValueLocal: 39.20, selectedFeedPrice: 10.00, masterFundNav: 848,286.6667, MasterFundName: NewMF, Symbol: 123456789</t>
  </si>
  <si>
    <t>NewMF-MSFT</t>
  </si>
  <si>
    <t>quantity: 392.00, dayPnLBase: 0.00, dayPnLLocal: 0.00, netMarketValueBase: 3,720.00, netMarketValueLocal: 3,720.00, selectedFeedPrice: 10.00, masterFundNav: 848,286.6667, MasterFundName: NewMF, Symbol: MSFT</t>
  </si>
  <si>
    <t>Symbol3</t>
  </si>
  <si>
    <t>If Quantity not equals to -123, Selected Feed Price not equals to -123, Net Market Value Base not equals to -123, Net Market Value Local not equals to -123, Then block the trade.</t>
  </si>
  <si>
    <t>quantity: 392.00, selectedFeedPrice: 10.00, netMarketValueBase: 3,920.00, netMarketValueLocal: 3,920.00, Symbol: AAPL</t>
  </si>
  <si>
    <t>quantity: 392.00, selectedFeedPrice: 10.00, netMarketValueBase: 3,266.6667, netMarketValueLocal: 3,920.00, Symbol: FRU-TC</t>
  </si>
  <si>
    <t>quantity: 392.00, selectedFeedPrice: 10.00, netMarketValueBase: 3,920.00, netMarketValueLocal: 3,920.00, Symbol: DBLSX</t>
  </si>
  <si>
    <t>quantity: 392.00, selectedFeedPrice: 10.00, netMarketValueBase: 39.20, netMarketValueLocal: 39.20, Symbol: 123456789</t>
  </si>
  <si>
    <t>quantity: 392.00, selectedFeedPrice: 10.00, netMarketValueBase: 3,720.00, netMarketValueLocal: 3,720.00, Symbol: MSFT</t>
  </si>
  <si>
    <t>SendToStagingExport</t>
  </si>
  <si>
    <t>No</t>
  </si>
  <si>
    <t>Real-Time Positions</t>
  </si>
  <si>
    <t>UpdateMultipleDailyCash</t>
  </si>
  <si>
    <t>quantity: 185.00, avgPrice: 20.00, selectedFeedPrice: 20.00, netMarketValueBase: 3,700.00, netExposureLocal: 3,700.00, Symbol: AAPL</t>
  </si>
  <si>
    <t>quantity: 185.00, avgPrice: 20.00, selectedFeedPrice: 20.00, netMarketValueBase: 37.00, netExposureLocal: 37.00, Symbol: 123456789</t>
  </si>
  <si>
    <t>quantity: 98.00, avgPrice: 20.00, selectedFeedPrice: 20.00, netMarketValueBase: 1,960.00, netExposureLocal: 1,960.00, Symbol: AAPL</t>
  </si>
  <si>
    <t>quantity: 185.00, avgPrice: 20.00, selectedFeedPrice: 20.00, netMarketValueBase: 3,700.00, netExposureLocal: 3,700.00, Symbol: DBLSX</t>
  </si>
  <si>
    <t>quantity: 185.00, avgPrice: 20.00, selectedFeedPrice: 20.00, netMarketValueBase: 3,700.00, netExposureLocal: 3,700.00, Symbol: MSFT</t>
  </si>
  <si>
    <t>quantity: 185.00, avgPrice: 20.00, selectedFeedPrice: 20.00, netMarketValueBase: 3,083.3333, netExposureLocal: 3,700.00, Symbol: FRU-TC</t>
  </si>
  <si>
    <t>quantity: 485.00, dayPnLBase: 1,000.00, dayPnLLocal: 1,000.00, netMarketValueBase: 9,700.00, netMarketValueLocal: 9,700.00, selectedFeedPrice: 20.00, accountNav: 905,173.3333, AccountShortName: Allocation1, Symbol: AAPL</t>
  </si>
  <si>
    <t>quantity: 485.00, dayPnLBase: 10.00, dayPnLLocal: 10.00, netMarketValueBase: 97.00, netMarketValueLocal: 97.00, selectedFeedPrice: 20.00, accountNav: 905,173.3333, AccountShortName: Allocation1, Symbol: 123456789</t>
  </si>
  <si>
    <t>quantity: 485.00, dayPnLBase: 1,000.00, dayPnLLocal: 1,000.00, netMarketValueBase: 9,700.00, netMarketValueLocal: 9,700.00, selectedFeedPrice: 20.00, accountNav: 905,173.3333, AccountShortName: Allocation1, Symbol: DBLSX</t>
  </si>
  <si>
    <t>quantity: 485.00, dayPnLBase: 1,000.00, dayPnLLocal: 1,000.00, netMarketValueBase: 9,500.00, netMarketValueLocal: 9,500.00, selectedFeedPrice: 20.00, accountNav: 905,173.3333, AccountShortName: Allocation1, Symbol: MSFT</t>
  </si>
  <si>
    <t>quantity: 485.00, dayPnLBase: 833.3333, dayPnLLocal: 1,000.00, netMarketValueBase: 8,083.3333, netMarketValueLocal: 9,700.00, selectedFeedPrice: 20.00, accountNav: 905,173.3333, AccountShortName: Allocation1, Symbol: FRU-TC</t>
  </si>
  <si>
    <t>Allocation3-AAPL</t>
  </si>
  <si>
    <t>quantity: 198.00, dayPnLBase: 1,800.00, dayPnLLocal: 1,800.00, netMarketValueBase: 3,960.00, netMarketValueLocal: 3,960.00, selectedFeedPrice: 20.00, accountNav: 201,800.00, AccountShortName: Allocation3, Symbol: AAPL</t>
  </si>
  <si>
    <t>quantity: 485.00, dayPnLBase: 10.00, dayPnLLocal: 10.00, netMarketValueBase: 97.00, netMarketValueLocal: 97.00, selectedFeedPrice: 20.00, masterFundNav: 1,106,973.3333, MasterFundName: NewMF, Symbol: 123456789</t>
  </si>
  <si>
    <t>quantity: 485.00, dayPnLBase: 1,000.00, dayPnLLocal: 1,000.00, netMarketValueBase: 9,700.00, netMarketValueLocal: 9,700.00, selectedFeedPrice: 20.00, masterFundNav: 1,106,973.3333, MasterFundName: NewMF, Symbol: DBLSX</t>
  </si>
  <si>
    <t>quantity: 485.00, dayPnLBase: 1,000.00, dayPnLLocal: 1,000.00, netMarketValueBase: 9,500.00, netMarketValueLocal: 9,500.00, selectedFeedPrice: 20.00, masterFundNav: 1,106,973.3333, MasterFundName: NewMF, Symbol: MSFT</t>
  </si>
  <si>
    <t>quantity: 485.00, dayPnLBase: 833.3333, dayPnLLocal: 1,000.00, netMarketValueBase: 8,083.3333, netMarketValueLocal: 9,700.00, selectedFeedPrice: 20.00, masterFundNav: 1,106,973.3333, MasterFundName: NewMF, Symbol: FRU-TC</t>
  </si>
  <si>
    <t>quantity: 683.00, dayPnLBase: 2,800.00, dayPnLLocal: 2,800.00, netMarketValueBase: 13,660.00, netMarketValueLocal: 13,660.00, selectedFeedPrice: 20.00, masterFundNav: 1,106,973.3333, MasterFundName: NewMF, Symbol: AAPL</t>
  </si>
  <si>
    <t>quantity: 683.00, selectedFeedPrice: 20.00, netMarketValueBase: 13,660.00, netMarketValueLocal: 13,660.00, Symbol: AAPL</t>
  </si>
  <si>
    <t>quantity: 485.00, selectedFeedPrice: 20.00, netMarketValueBase: 97.00, netMarketValueLocal: 97.00, Symbol: 123456789</t>
  </si>
  <si>
    <t>quantity: 485.00, selectedFeedPrice: 20.00, netMarketValueBase: 9,700.00, netMarketValueLocal: 9,700.00, Symbol: DBLSX</t>
  </si>
  <si>
    <t>quantity: 485.00, selectedFeedPrice: 20.00, netMarketValueBase: 9,500.00, netMarketValueLocal: 9,500.00, Symbol: MSFT</t>
  </si>
  <si>
    <t>quantity: 485.00, selectedFeedPrice: 20.00, netMarketValueBase: 8,083.3333, netMarketValueLocal: 9,700.00, Symbol: FRU-TC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</si>
</sst>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1155CC"/>
      <name val="Inconsolata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11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6" fontId="13" numFmtId="164" xfId="0" applyAlignment="1" applyBorder="1" applyFill="1" applyFont="1" applyNumberFormat="1">
      <alignment horizontal="right" vertical="bottom"/>
    </xf>
    <xf borderId="0" fillId="0" fontId="3" numFmtId="0" xfId="0" applyAlignment="1" applyFont="1">
      <alignment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6" fillId="0" fontId="5" numFmtId="0" xfId="0" applyAlignment="1" applyBorder="1" applyFont="1">
      <alignment horizontal="right" vertical="bottom"/>
    </xf>
    <xf borderId="6" fillId="6" fontId="13" numFmtId="14" xfId="0" applyAlignment="1" applyBorder="1" applyFont="1" applyNumberFormat="1">
      <alignment horizontal="right" vertical="bottom"/>
    </xf>
    <xf borderId="7" fillId="0" fontId="3" numFmtId="0" xfId="0" applyAlignment="1" applyBorder="1" applyFont="1">
      <alignment vertical="bottom"/>
    </xf>
    <xf borderId="8" fillId="0" fontId="3" numFmtId="0" xfId="0" applyAlignment="1" applyBorder="1" applyFont="1">
      <alignment vertical="bottom"/>
    </xf>
    <xf borderId="8" fillId="0" fontId="5" numFmtId="0" xfId="0" applyAlignment="1" applyBorder="1" applyFont="1">
      <alignment horizontal="right" vertical="bottom"/>
    </xf>
    <xf borderId="8" fillId="6" fontId="13" numFmtId="14" xfId="0" applyAlignment="1" applyBorder="1" applyFont="1" applyNumberFormat="1">
      <alignment horizontal="right" vertical="bottom"/>
    </xf>
    <xf borderId="8" fillId="0" fontId="3" numFmtId="0" xfId="0" applyAlignment="1" applyBorder="1" applyFont="1">
      <alignment horizontal="right" vertical="bottom"/>
    </xf>
    <xf borderId="8" fillId="0" fontId="5" numFmtId="0" xfId="0" applyAlignment="1" applyBorder="1" applyFont="1">
      <alignment vertical="bottom"/>
    </xf>
    <xf borderId="9" fillId="0" fontId="3" numFmtId="0" xfId="0" applyAlignment="1" applyBorder="1" applyFont="1">
      <alignment vertical="bottom"/>
    </xf>
    <xf borderId="6" fillId="0" fontId="5" numFmtId="14" xfId="0" applyAlignment="1" applyBorder="1" applyFont="1" applyNumberFormat="1">
      <alignment horizontal="right" vertical="bottom"/>
    </xf>
    <xf borderId="6" fillId="0" fontId="5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readingOrder="0" vertical="bottom"/>
    </xf>
    <xf borderId="0" fillId="0" fontId="5" numFmtId="0" xfId="0" applyAlignment="1" applyFont="1">
      <alignment horizontal="right" vertical="bottom"/>
    </xf>
    <xf borderId="9" fillId="0" fontId="3" numFmtId="0" xfId="0" applyAlignment="1" applyBorder="1" applyFont="1">
      <alignment horizontal="right" vertical="bottom"/>
    </xf>
    <xf borderId="7" fillId="0" fontId="5" numFmtId="14" xfId="0" applyAlignment="1" applyBorder="1" applyFont="1" applyNumberFormat="1">
      <alignment horizontal="right" vertical="bottom"/>
    </xf>
    <xf borderId="10" fillId="0" fontId="5" numFmtId="0" xfId="0" applyAlignment="1" applyBorder="1" applyFont="1">
      <alignment vertical="bottom"/>
    </xf>
    <xf borderId="6" fillId="0" fontId="5" numFmtId="0" xfId="0" applyAlignment="1" applyBorder="1" applyFont="1">
      <alignment vertical="bottom"/>
    </xf>
    <xf borderId="6" fillId="0" fontId="3" numFmtId="0" xfId="0" applyAlignment="1" applyBorder="1" applyFont="1">
      <alignment horizontal="right" vertical="bottom"/>
    </xf>
    <xf borderId="6" fillId="0" fontId="3" numFmtId="165" xfId="0" applyAlignment="1" applyBorder="1" applyFont="1" applyNumberFormat="1">
      <alignment horizontal="right" vertical="bottom"/>
    </xf>
    <xf borderId="6" fillId="0" fontId="5" numFmtId="0" xfId="0" applyAlignment="1" applyBorder="1" applyFont="1">
      <alignment horizontal="center" vertical="bottom"/>
    </xf>
    <xf borderId="6" fillId="0" fontId="3" numFmtId="0" xfId="0" applyAlignment="1" applyBorder="1" applyFont="1">
      <alignment readingOrder="0" vertical="bottom"/>
    </xf>
    <xf borderId="10" fillId="0" fontId="3" numFmtId="0" xfId="0" applyAlignment="1" applyBorder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3" xfId="0" applyAlignment="1" applyFont="1" applyNumberFormat="1">
      <alignment readingOrder="0" shrinkToFit="0" wrapText="0"/>
    </xf>
    <xf borderId="7" fillId="0" fontId="3" numFmtId="0" xfId="0" applyAlignment="1" applyBorder="1" applyFont="1">
      <alignment vertical="bottom"/>
    </xf>
    <xf borderId="7" fillId="0" fontId="5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IFERROR(__xludf.DUMMYFUNCTION("IF(C3="""","""",Transpose(IMPORTRANGE('_Settings'!$B$3,C3&amp;""!A4:A1000"")))"),"RestartExpnl")</f>
        <v>RestartExpnl</v>
      </c>
      <c r="C4" s="25" t="str">
        <f>IFERROR(__xludf.DUMMYFUNCTION("""COMPUTED_VALUE"""),"RestartExpnl")</f>
        <v>RestartExpnl</v>
      </c>
      <c r="D4" s="25" t="str">
        <f>IFERROR(__xludf.DUMMYFUNCTION("""COMPUTED_VALUE"""),"RestartExpnl")</f>
        <v>RestartExpnl</v>
      </c>
      <c r="E4" s="25" t="str">
        <f>IFERROR(__xludf.DUMMYFUNCTION("""COMPUTED_VALUE"""),"UpdateExpnlConfig")</f>
        <v>UpdateExpnlConfig</v>
      </c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IFERROR(__xludf.DUMMYFUNCTION("""COMPUTED_VALUE"""),"AppSetting_Key")</f>
        <v>AppSetting_Key</v>
      </c>
      <c r="C5" s="28" t="str">
        <f>IFERROR(__xludf.DUMMYFUNCTION("""COMPUTED_VALUE"""),"AppSetting_Value")</f>
        <v>AppSetting_Value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 t="s">
        <v>16</v>
      </c>
      <c r="C6" s="32" t="b"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1" t="s">
        <v>17</v>
      </c>
      <c r="C7" s="32" t="b"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UpdateExpnlConfig!$4:$4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4" t="s">
        <v>20</v>
      </c>
      <c r="C6" s="35" t="s">
        <v>21</v>
      </c>
      <c r="D6" s="36">
        <v>100.0</v>
      </c>
      <c r="E6" s="37"/>
      <c r="F6" s="35" t="s">
        <v>22</v>
      </c>
      <c r="G6" s="37"/>
      <c r="H6" s="37"/>
      <c r="I6" s="37"/>
      <c r="J6" s="38">
        <v>10.0</v>
      </c>
      <c r="K6" s="37"/>
      <c r="L6" s="37"/>
      <c r="M6" s="37"/>
      <c r="N6" s="39">
        <f>TODAY()-28</f>
        <v>45826</v>
      </c>
      <c r="O6" s="37"/>
      <c r="P6" s="37"/>
      <c r="Q6" s="37"/>
      <c r="R6" s="37"/>
      <c r="S6" s="37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 t="s">
        <v>23</v>
      </c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33"/>
      <c r="B7" s="33" t="s">
        <v>24</v>
      </c>
      <c r="C7" s="41" t="s">
        <v>21</v>
      </c>
      <c r="D7" s="42">
        <v>100.0</v>
      </c>
      <c r="E7" s="41"/>
      <c r="F7" s="41" t="s">
        <v>25</v>
      </c>
      <c r="G7" s="41"/>
      <c r="H7" s="41"/>
      <c r="I7" s="41"/>
      <c r="J7" s="43">
        <v>2.0</v>
      </c>
      <c r="K7" s="41"/>
      <c r="L7" s="41"/>
      <c r="M7" s="41"/>
      <c r="N7" s="44">
        <f t="shared" ref="N7:N20" si="1">TODAY()-1</f>
        <v>45853</v>
      </c>
      <c r="O7" s="41"/>
      <c r="P7" s="41"/>
      <c r="Q7" s="41"/>
      <c r="R7" s="41"/>
      <c r="S7" s="41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 t="s">
        <v>23</v>
      </c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45"/>
      <c r="B8" s="46" t="s">
        <v>26</v>
      </c>
      <c r="C8" s="46" t="s">
        <v>21</v>
      </c>
      <c r="D8" s="47">
        <v>100.0</v>
      </c>
      <c r="E8" s="46"/>
      <c r="F8" s="46" t="s">
        <v>25</v>
      </c>
      <c r="G8" s="46"/>
      <c r="H8" s="46"/>
      <c r="I8" s="46"/>
      <c r="J8" s="47">
        <v>2.0</v>
      </c>
      <c r="K8" s="46"/>
      <c r="L8" s="46"/>
      <c r="M8" s="46"/>
      <c r="N8" s="48">
        <f t="shared" si="1"/>
        <v>45853</v>
      </c>
      <c r="O8" s="46"/>
      <c r="P8" s="46"/>
      <c r="Q8" s="46"/>
      <c r="R8" s="46"/>
      <c r="S8" s="46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 t="s">
        <v>23</v>
      </c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</row>
    <row r="9" ht="15.75" customHeight="1">
      <c r="A9" s="45"/>
      <c r="B9" s="46" t="s">
        <v>27</v>
      </c>
      <c r="C9" s="46" t="s">
        <v>21</v>
      </c>
      <c r="D9" s="47">
        <v>100.0</v>
      </c>
      <c r="E9" s="46"/>
      <c r="F9" s="46" t="s">
        <v>25</v>
      </c>
      <c r="G9" s="46"/>
      <c r="H9" s="46"/>
      <c r="I9" s="46"/>
      <c r="J9" s="47">
        <v>2.0</v>
      </c>
      <c r="K9" s="46"/>
      <c r="L9" s="46"/>
      <c r="M9" s="46"/>
      <c r="N9" s="48">
        <f t="shared" si="1"/>
        <v>45853</v>
      </c>
      <c r="O9" s="46"/>
      <c r="P9" s="46"/>
      <c r="Q9" s="46"/>
      <c r="R9" s="46"/>
      <c r="S9" s="46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 t="s">
        <v>23</v>
      </c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</row>
    <row r="10" ht="15.75" customHeight="1">
      <c r="A10" s="45"/>
      <c r="B10" s="46" t="s">
        <v>28</v>
      </c>
      <c r="C10" s="46" t="s">
        <v>21</v>
      </c>
      <c r="D10" s="47">
        <v>100.0</v>
      </c>
      <c r="E10" s="46"/>
      <c r="F10" s="46" t="s">
        <v>25</v>
      </c>
      <c r="G10" s="46"/>
      <c r="H10" s="46"/>
      <c r="I10" s="46"/>
      <c r="J10" s="47">
        <v>2.0</v>
      </c>
      <c r="K10" s="46"/>
      <c r="L10" s="46"/>
      <c r="M10" s="46"/>
      <c r="N10" s="48">
        <f t="shared" si="1"/>
        <v>45853</v>
      </c>
      <c r="O10" s="46"/>
      <c r="P10" s="46"/>
      <c r="Q10" s="46"/>
      <c r="R10" s="46"/>
      <c r="S10" s="46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 t="s">
        <v>23</v>
      </c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  <c r="BC10" s="40"/>
      <c r="BD10" s="40"/>
      <c r="BE10" s="40"/>
      <c r="BF10" s="40"/>
      <c r="BG10" s="40"/>
      <c r="BH10" s="40"/>
      <c r="BI10" s="40"/>
      <c r="BJ10" s="40"/>
      <c r="BK10" s="40"/>
      <c r="BL10" s="40"/>
      <c r="BM10" s="40"/>
      <c r="BN10" s="40"/>
      <c r="BO10" s="40"/>
      <c r="BP10" s="40"/>
      <c r="BQ10" s="40"/>
      <c r="BR10" s="40"/>
      <c r="BS10" s="40"/>
      <c r="BT10" s="40"/>
      <c r="BU10" s="40"/>
      <c r="BV10" s="40"/>
      <c r="BW10" s="40"/>
      <c r="BX10" s="40"/>
      <c r="BY10" s="40"/>
      <c r="BZ10" s="40"/>
      <c r="CA10" s="40"/>
      <c r="CB10" s="40"/>
      <c r="CC10" s="40"/>
      <c r="CD10" s="40"/>
      <c r="CE10" s="40"/>
      <c r="CF10" s="40"/>
      <c r="CG10" s="40"/>
      <c r="CH10" s="40"/>
      <c r="CI10" s="40"/>
      <c r="CJ10" s="40"/>
      <c r="CK10" s="40"/>
      <c r="CL10" s="40"/>
      <c r="CM10" s="40"/>
      <c r="CN10" s="40"/>
      <c r="CO10" s="40"/>
      <c r="CP10" s="40"/>
      <c r="CQ10" s="40"/>
      <c r="CR10" s="40"/>
      <c r="CS10" s="40"/>
      <c r="CT10" s="40"/>
      <c r="CU10" s="40"/>
      <c r="CV10" s="40"/>
      <c r="CW10" s="40"/>
      <c r="CX10" s="40"/>
      <c r="CY10" s="40"/>
      <c r="CZ10" s="40"/>
      <c r="DA10" s="40"/>
      <c r="DB10" s="40"/>
      <c r="DC10" s="40"/>
      <c r="DD10" s="40"/>
      <c r="DE10" s="40"/>
      <c r="DF10" s="40"/>
      <c r="DG10" s="40"/>
      <c r="DH10" s="40"/>
      <c r="DI10" s="40"/>
      <c r="DJ10" s="40"/>
      <c r="DK10" s="40"/>
      <c r="DL10" s="40"/>
      <c r="DM10" s="40"/>
      <c r="DN10" s="40"/>
      <c r="DO10" s="40"/>
      <c r="DP10" s="40"/>
      <c r="DQ10" s="40"/>
      <c r="DR10" s="40"/>
      <c r="DS10" s="40"/>
      <c r="DT10" s="40"/>
      <c r="DU10" s="40"/>
      <c r="DV10" s="40"/>
      <c r="DW10" s="40"/>
      <c r="DX10" s="40"/>
      <c r="DY10" s="40"/>
      <c r="DZ10" s="40"/>
      <c r="EA10" s="40"/>
      <c r="EB10" s="40"/>
      <c r="EC10" s="40"/>
      <c r="ED10" s="40"/>
      <c r="EE10" s="40"/>
      <c r="EF10" s="40"/>
      <c r="EG10" s="40"/>
      <c r="EH10" s="40"/>
      <c r="EI10" s="40"/>
      <c r="EJ10" s="40"/>
      <c r="EK10" s="40"/>
      <c r="EL10" s="40"/>
      <c r="EM10" s="40"/>
      <c r="EN10" s="40"/>
      <c r="EO10" s="40"/>
      <c r="EP10" s="40"/>
      <c r="EQ10" s="40"/>
      <c r="ER10" s="40"/>
      <c r="ES10" s="40"/>
      <c r="ET10" s="40"/>
      <c r="EU10" s="40"/>
      <c r="EV10" s="40"/>
      <c r="EW10" s="40"/>
      <c r="EX10" s="40"/>
    </row>
    <row r="11" ht="15.75" customHeight="1">
      <c r="A11" s="45"/>
      <c r="B11" s="46" t="s">
        <v>29</v>
      </c>
      <c r="C11" s="46" t="s">
        <v>21</v>
      </c>
      <c r="D11" s="47">
        <v>100.0</v>
      </c>
      <c r="E11" s="46"/>
      <c r="F11" s="46" t="s">
        <v>25</v>
      </c>
      <c r="G11" s="46"/>
      <c r="H11" s="46"/>
      <c r="I11" s="46"/>
      <c r="J11" s="47">
        <v>2.0</v>
      </c>
      <c r="K11" s="46"/>
      <c r="L11" s="46"/>
      <c r="M11" s="46"/>
      <c r="N11" s="48">
        <f t="shared" si="1"/>
        <v>45853</v>
      </c>
      <c r="O11" s="46"/>
      <c r="P11" s="46"/>
      <c r="Q11" s="46"/>
      <c r="R11" s="46"/>
      <c r="S11" s="46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 t="s">
        <v>23</v>
      </c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  <c r="CH11" s="40"/>
      <c r="CI11" s="40"/>
      <c r="CJ11" s="40"/>
      <c r="CK11" s="40"/>
      <c r="CL11" s="40"/>
      <c r="CM11" s="40"/>
      <c r="CN11" s="40"/>
      <c r="CO11" s="40"/>
      <c r="CP11" s="40"/>
      <c r="CQ11" s="40"/>
      <c r="CR11" s="40"/>
      <c r="CS11" s="40"/>
      <c r="CT11" s="40"/>
      <c r="CU11" s="40"/>
      <c r="CV11" s="40"/>
      <c r="CW11" s="40"/>
      <c r="CX11" s="40"/>
      <c r="CY11" s="40"/>
      <c r="CZ11" s="40"/>
      <c r="DA11" s="40"/>
      <c r="DB11" s="40"/>
      <c r="DC11" s="40"/>
      <c r="DD11" s="40"/>
      <c r="DE11" s="40"/>
      <c r="DF11" s="40"/>
      <c r="DG11" s="40"/>
      <c r="DH11" s="40"/>
      <c r="DI11" s="40"/>
      <c r="DJ11" s="40"/>
      <c r="DK11" s="40"/>
      <c r="DL11" s="40"/>
      <c r="DM11" s="40"/>
      <c r="DN11" s="40"/>
      <c r="DO11" s="40"/>
      <c r="DP11" s="40"/>
      <c r="DQ11" s="40"/>
      <c r="DR11" s="40"/>
      <c r="DS11" s="40"/>
      <c r="DT11" s="40"/>
      <c r="DU11" s="40"/>
      <c r="DV11" s="40"/>
      <c r="DW11" s="40"/>
      <c r="DX11" s="40"/>
      <c r="DY11" s="40"/>
      <c r="DZ11" s="40"/>
      <c r="EA11" s="40"/>
      <c r="EB11" s="40"/>
      <c r="EC11" s="40"/>
      <c r="ED11" s="40"/>
      <c r="EE11" s="40"/>
      <c r="EF11" s="40"/>
      <c r="EG11" s="40"/>
      <c r="EH11" s="40"/>
      <c r="EI11" s="40"/>
      <c r="EJ11" s="40"/>
      <c r="EK11" s="40"/>
      <c r="EL11" s="40"/>
      <c r="EM11" s="40"/>
      <c r="EN11" s="40"/>
      <c r="EO11" s="40"/>
      <c r="EP11" s="40"/>
      <c r="EQ11" s="40"/>
      <c r="ER11" s="40"/>
      <c r="ES11" s="40"/>
      <c r="ET11" s="40"/>
      <c r="EU11" s="40"/>
      <c r="EV11" s="40"/>
      <c r="EW11" s="40"/>
      <c r="EX11" s="40"/>
    </row>
    <row r="12" ht="15.75" customHeight="1">
      <c r="A12" s="45"/>
      <c r="B12" s="46" t="s">
        <v>30</v>
      </c>
      <c r="C12" s="46" t="s">
        <v>21</v>
      </c>
      <c r="D12" s="47">
        <v>100.0</v>
      </c>
      <c r="E12" s="46"/>
      <c r="F12" s="46" t="s">
        <v>25</v>
      </c>
      <c r="G12" s="46"/>
      <c r="H12" s="46"/>
      <c r="I12" s="46"/>
      <c r="J12" s="47">
        <v>2.0</v>
      </c>
      <c r="K12" s="46"/>
      <c r="L12" s="46"/>
      <c r="M12" s="46"/>
      <c r="N12" s="48">
        <f t="shared" si="1"/>
        <v>45853</v>
      </c>
      <c r="O12" s="46"/>
      <c r="P12" s="46"/>
      <c r="Q12" s="46"/>
      <c r="R12" s="46"/>
      <c r="S12" s="46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 t="s">
        <v>23</v>
      </c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  <c r="BC12" s="40"/>
      <c r="BD12" s="40"/>
      <c r="BE12" s="40"/>
      <c r="BF12" s="40"/>
      <c r="BG12" s="40"/>
      <c r="BH12" s="40"/>
      <c r="BI12" s="40"/>
      <c r="BJ12" s="40"/>
      <c r="BK12" s="40"/>
      <c r="BL12" s="40"/>
      <c r="BM12" s="40"/>
      <c r="BN12" s="40"/>
      <c r="BO12" s="40"/>
      <c r="BP12" s="40"/>
      <c r="BQ12" s="40"/>
      <c r="BR12" s="40"/>
      <c r="BS12" s="40"/>
      <c r="BT12" s="40"/>
      <c r="BU12" s="40"/>
      <c r="BV12" s="40"/>
      <c r="BW12" s="40"/>
      <c r="BX12" s="40"/>
      <c r="BY12" s="40"/>
      <c r="BZ12" s="40"/>
      <c r="CA12" s="40"/>
      <c r="CB12" s="40"/>
      <c r="CC12" s="40"/>
      <c r="CD12" s="40"/>
      <c r="CE12" s="40"/>
      <c r="CF12" s="40"/>
      <c r="CG12" s="40"/>
      <c r="CH12" s="40"/>
      <c r="CI12" s="40"/>
      <c r="CJ12" s="40"/>
      <c r="CK12" s="40"/>
      <c r="CL12" s="40"/>
      <c r="CM12" s="40"/>
      <c r="CN12" s="40"/>
      <c r="CO12" s="40"/>
      <c r="CP12" s="40"/>
      <c r="CQ12" s="40"/>
      <c r="CR12" s="40"/>
      <c r="CS12" s="40"/>
      <c r="CT12" s="40"/>
      <c r="CU12" s="40"/>
      <c r="CV12" s="40"/>
      <c r="CW12" s="40"/>
      <c r="CX12" s="40"/>
      <c r="CY12" s="40"/>
      <c r="CZ12" s="40"/>
      <c r="DA12" s="40"/>
      <c r="DB12" s="40"/>
      <c r="DC12" s="40"/>
      <c r="DD12" s="40"/>
      <c r="DE12" s="40"/>
      <c r="DF12" s="40"/>
      <c r="DG12" s="40"/>
      <c r="DH12" s="40"/>
      <c r="DI12" s="40"/>
      <c r="DJ12" s="40"/>
      <c r="DK12" s="40"/>
      <c r="DL12" s="40"/>
      <c r="DM12" s="40"/>
      <c r="DN12" s="40"/>
      <c r="DO12" s="40"/>
      <c r="DP12" s="40"/>
      <c r="DQ12" s="40"/>
      <c r="DR12" s="40"/>
      <c r="DS12" s="40"/>
      <c r="DT12" s="40"/>
      <c r="DU12" s="40"/>
      <c r="DV12" s="40"/>
      <c r="DW12" s="40"/>
      <c r="DX12" s="40"/>
      <c r="DY12" s="40"/>
      <c r="DZ12" s="40"/>
      <c r="EA12" s="40"/>
      <c r="EB12" s="40"/>
      <c r="EC12" s="40"/>
      <c r="ED12" s="40"/>
      <c r="EE12" s="40"/>
      <c r="EF12" s="40"/>
      <c r="EG12" s="40"/>
      <c r="EH12" s="40"/>
      <c r="EI12" s="40"/>
      <c r="EJ12" s="40"/>
      <c r="EK12" s="40"/>
      <c r="EL12" s="40"/>
      <c r="EM12" s="40"/>
      <c r="EN12" s="40"/>
      <c r="EO12" s="40"/>
      <c r="EP12" s="40"/>
      <c r="EQ12" s="40"/>
      <c r="ER12" s="40"/>
      <c r="ES12" s="40"/>
      <c r="ET12" s="40"/>
      <c r="EU12" s="40"/>
      <c r="EV12" s="40"/>
      <c r="EW12" s="40"/>
      <c r="EX12" s="40"/>
    </row>
    <row r="13" ht="15.75" customHeight="1">
      <c r="A13" s="45"/>
      <c r="B13" s="49">
        <v>1.23456789E8</v>
      </c>
      <c r="C13" s="46" t="s">
        <v>21</v>
      </c>
      <c r="D13" s="47">
        <v>100.0</v>
      </c>
      <c r="E13" s="46"/>
      <c r="F13" s="46" t="s">
        <v>25</v>
      </c>
      <c r="G13" s="46"/>
      <c r="H13" s="46"/>
      <c r="I13" s="46"/>
      <c r="J13" s="47">
        <v>2.0</v>
      </c>
      <c r="K13" s="46"/>
      <c r="L13" s="46"/>
      <c r="M13" s="46"/>
      <c r="N13" s="48">
        <f t="shared" si="1"/>
        <v>45853</v>
      </c>
      <c r="O13" s="46"/>
      <c r="P13" s="46"/>
      <c r="Q13" s="46"/>
      <c r="R13" s="46"/>
      <c r="S13" s="46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 t="s">
        <v>23</v>
      </c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I13" s="40"/>
      <c r="CJ13" s="40"/>
      <c r="CK13" s="40"/>
      <c r="CL13" s="40"/>
      <c r="CM13" s="40"/>
      <c r="CN13" s="40"/>
      <c r="CO13" s="40"/>
      <c r="CP13" s="40"/>
      <c r="CQ13" s="40"/>
      <c r="CR13" s="40"/>
      <c r="CS13" s="40"/>
      <c r="CT13" s="40"/>
      <c r="CU13" s="40"/>
      <c r="CV13" s="40"/>
      <c r="CW13" s="40"/>
      <c r="CX13" s="40"/>
      <c r="CY13" s="40"/>
      <c r="CZ13" s="40"/>
      <c r="DA13" s="40"/>
      <c r="DB13" s="40"/>
      <c r="DC13" s="40"/>
      <c r="DD13" s="40"/>
      <c r="DE13" s="40"/>
      <c r="DF13" s="40"/>
      <c r="DG13" s="40"/>
      <c r="DH13" s="40"/>
      <c r="DI13" s="40"/>
      <c r="DJ13" s="40"/>
      <c r="DK13" s="40"/>
      <c r="DL13" s="40"/>
      <c r="DM13" s="40"/>
      <c r="DN13" s="40"/>
      <c r="DO13" s="40"/>
      <c r="DP13" s="40"/>
      <c r="DQ13" s="40"/>
      <c r="DR13" s="40"/>
      <c r="DS13" s="40"/>
      <c r="DT13" s="40"/>
      <c r="DU13" s="40"/>
      <c r="DV13" s="40"/>
      <c r="DW13" s="40"/>
      <c r="DX13" s="40"/>
      <c r="DY13" s="40"/>
      <c r="DZ13" s="40"/>
      <c r="EA13" s="40"/>
      <c r="EB13" s="40"/>
      <c r="EC13" s="40"/>
      <c r="ED13" s="40"/>
      <c r="EE13" s="40"/>
      <c r="EF13" s="40"/>
      <c r="EG13" s="40"/>
      <c r="EH13" s="40"/>
      <c r="EI13" s="40"/>
      <c r="EJ13" s="40"/>
      <c r="EK13" s="40"/>
      <c r="EL13" s="40"/>
      <c r="EM13" s="40"/>
      <c r="EN13" s="40"/>
      <c r="EO13" s="40"/>
      <c r="EP13" s="40"/>
      <c r="EQ13" s="40"/>
      <c r="ER13" s="40"/>
      <c r="ES13" s="40"/>
      <c r="ET13" s="40"/>
      <c r="EU13" s="40"/>
      <c r="EV13" s="40"/>
      <c r="EW13" s="40"/>
      <c r="EX13" s="40"/>
    </row>
    <row r="14" ht="15.75" customHeight="1">
      <c r="A14" s="45"/>
      <c r="B14" s="46" t="s">
        <v>24</v>
      </c>
      <c r="C14" s="46" t="s">
        <v>21</v>
      </c>
      <c r="D14" s="47">
        <v>100.0</v>
      </c>
      <c r="E14" s="49">
        <v>0.0</v>
      </c>
      <c r="F14" s="46" t="s">
        <v>25</v>
      </c>
      <c r="G14" s="46"/>
      <c r="H14" s="46"/>
      <c r="I14" s="46"/>
      <c r="J14" s="47">
        <v>2.0</v>
      </c>
      <c r="K14" s="46"/>
      <c r="L14" s="46"/>
      <c r="M14" s="46"/>
      <c r="N14" s="48">
        <f t="shared" si="1"/>
        <v>45853</v>
      </c>
      <c r="O14" s="46"/>
      <c r="P14" s="46"/>
      <c r="Q14" s="46"/>
      <c r="R14" s="46"/>
      <c r="S14" s="46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40"/>
      <c r="AO14" s="40"/>
      <c r="AP14" s="40"/>
      <c r="AQ14" s="40" t="s">
        <v>23</v>
      </c>
      <c r="AR14" s="40"/>
      <c r="AS14" s="40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0"/>
      <c r="BF14" s="40"/>
      <c r="BG14" s="40"/>
      <c r="BH14" s="40"/>
      <c r="BI14" s="40"/>
      <c r="BJ14" s="40"/>
      <c r="BK14" s="40"/>
      <c r="BL14" s="40"/>
      <c r="BM14" s="40"/>
      <c r="BN14" s="40"/>
      <c r="BO14" s="40"/>
      <c r="BP14" s="40"/>
      <c r="BQ14" s="40"/>
      <c r="BR14" s="40"/>
      <c r="BS14" s="40"/>
      <c r="BT14" s="40"/>
      <c r="BU14" s="40"/>
      <c r="BV14" s="40"/>
      <c r="BW14" s="40"/>
      <c r="BX14" s="40"/>
      <c r="BY14" s="40"/>
      <c r="BZ14" s="40"/>
      <c r="CA14" s="40"/>
      <c r="CB14" s="40"/>
      <c r="CC14" s="40"/>
      <c r="CD14" s="40"/>
      <c r="CE14" s="40"/>
      <c r="CF14" s="40"/>
      <c r="CG14" s="40"/>
      <c r="CH14" s="40"/>
      <c r="CI14" s="40"/>
      <c r="CJ14" s="40"/>
      <c r="CK14" s="40"/>
      <c r="CL14" s="40"/>
      <c r="CM14" s="40"/>
      <c r="CN14" s="40"/>
      <c r="CO14" s="40"/>
      <c r="CP14" s="40"/>
      <c r="CQ14" s="40"/>
      <c r="CR14" s="40"/>
      <c r="CS14" s="40"/>
      <c r="CT14" s="40"/>
      <c r="CU14" s="40"/>
      <c r="CV14" s="40"/>
      <c r="CW14" s="40"/>
      <c r="CX14" s="40"/>
      <c r="CY14" s="40"/>
      <c r="CZ14" s="40"/>
      <c r="DA14" s="40"/>
      <c r="DB14" s="40"/>
      <c r="DC14" s="40"/>
      <c r="DD14" s="40"/>
      <c r="DE14" s="40"/>
      <c r="DF14" s="40"/>
      <c r="DG14" s="40"/>
      <c r="DH14" s="40"/>
      <c r="DI14" s="40"/>
      <c r="DJ14" s="40"/>
      <c r="DK14" s="40"/>
      <c r="DL14" s="40"/>
      <c r="DM14" s="40"/>
      <c r="DN14" s="40"/>
      <c r="DO14" s="40"/>
      <c r="DP14" s="40"/>
      <c r="DQ14" s="40"/>
      <c r="DR14" s="40"/>
      <c r="DS14" s="40"/>
      <c r="DT14" s="40"/>
      <c r="DU14" s="40"/>
      <c r="DV14" s="40"/>
      <c r="DW14" s="40"/>
      <c r="DX14" s="40"/>
      <c r="DY14" s="40"/>
      <c r="DZ14" s="40"/>
      <c r="EA14" s="40"/>
      <c r="EB14" s="40"/>
      <c r="EC14" s="40"/>
      <c r="ED14" s="40"/>
      <c r="EE14" s="40"/>
      <c r="EF14" s="40"/>
      <c r="EG14" s="40"/>
      <c r="EH14" s="40"/>
      <c r="EI14" s="40"/>
      <c r="EJ14" s="40"/>
      <c r="EK14" s="40"/>
      <c r="EL14" s="40"/>
      <c r="EM14" s="40"/>
      <c r="EN14" s="40"/>
      <c r="EO14" s="40"/>
      <c r="EP14" s="40"/>
      <c r="EQ14" s="40"/>
      <c r="ER14" s="40"/>
      <c r="ES14" s="40"/>
      <c r="ET14" s="40"/>
      <c r="EU14" s="40"/>
      <c r="EV14" s="40"/>
      <c r="EW14" s="40"/>
      <c r="EX14" s="40"/>
    </row>
    <row r="15" ht="15.75" customHeight="1">
      <c r="A15" s="45"/>
      <c r="B15" s="46" t="s">
        <v>26</v>
      </c>
      <c r="C15" s="46" t="s">
        <v>21</v>
      </c>
      <c r="D15" s="47">
        <v>100.0</v>
      </c>
      <c r="E15" s="49">
        <v>0.0</v>
      </c>
      <c r="F15" s="46" t="s">
        <v>25</v>
      </c>
      <c r="G15" s="46"/>
      <c r="H15" s="46"/>
      <c r="I15" s="46"/>
      <c r="J15" s="47">
        <v>2.0</v>
      </c>
      <c r="K15" s="46"/>
      <c r="L15" s="46"/>
      <c r="M15" s="46"/>
      <c r="N15" s="48">
        <f t="shared" si="1"/>
        <v>45853</v>
      </c>
      <c r="O15" s="46"/>
      <c r="P15" s="46"/>
      <c r="Q15" s="46"/>
      <c r="R15" s="46"/>
      <c r="S15" s="46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 t="s">
        <v>23</v>
      </c>
      <c r="AR15" s="40"/>
      <c r="AS15" s="40"/>
      <c r="AT15" s="40"/>
      <c r="AU15" s="40"/>
      <c r="AV15" s="40"/>
      <c r="AW15" s="40"/>
      <c r="AX15" s="40"/>
      <c r="AY15" s="40"/>
      <c r="AZ15" s="40"/>
      <c r="BA15" s="40"/>
      <c r="BB15" s="40"/>
      <c r="BC15" s="40"/>
      <c r="BD15" s="40"/>
      <c r="BE15" s="40"/>
      <c r="BF15" s="40"/>
      <c r="BG15" s="40"/>
      <c r="BH15" s="40"/>
      <c r="BI15" s="40"/>
      <c r="BJ15" s="40"/>
      <c r="BK15" s="40"/>
      <c r="BL15" s="40"/>
      <c r="BM15" s="40"/>
      <c r="BN15" s="40"/>
      <c r="BO15" s="40"/>
      <c r="BP15" s="40"/>
      <c r="BQ15" s="40"/>
      <c r="BR15" s="40"/>
      <c r="BS15" s="40"/>
      <c r="BT15" s="40"/>
      <c r="BU15" s="40"/>
      <c r="BV15" s="40"/>
      <c r="BW15" s="40"/>
      <c r="BX15" s="40"/>
      <c r="BY15" s="40"/>
      <c r="BZ15" s="40"/>
      <c r="CA15" s="40"/>
      <c r="CB15" s="40"/>
      <c r="CC15" s="40"/>
      <c r="CD15" s="40"/>
      <c r="CE15" s="40"/>
      <c r="CF15" s="40"/>
      <c r="CG15" s="40"/>
      <c r="CH15" s="40"/>
      <c r="CI15" s="40"/>
      <c r="CJ15" s="40"/>
      <c r="CK15" s="40"/>
      <c r="CL15" s="40"/>
      <c r="CM15" s="40"/>
      <c r="CN15" s="40"/>
      <c r="CO15" s="40"/>
      <c r="CP15" s="40"/>
      <c r="CQ15" s="40"/>
      <c r="CR15" s="40"/>
      <c r="CS15" s="40"/>
      <c r="CT15" s="40"/>
      <c r="CU15" s="40"/>
      <c r="CV15" s="40"/>
      <c r="CW15" s="40"/>
      <c r="CX15" s="40"/>
      <c r="CY15" s="40"/>
      <c r="CZ15" s="40"/>
      <c r="DA15" s="40"/>
      <c r="DB15" s="40"/>
      <c r="DC15" s="40"/>
      <c r="DD15" s="40"/>
      <c r="DE15" s="40"/>
      <c r="DF15" s="40"/>
      <c r="DG15" s="40"/>
      <c r="DH15" s="40"/>
      <c r="DI15" s="40"/>
      <c r="DJ15" s="40"/>
      <c r="DK15" s="40"/>
      <c r="DL15" s="40"/>
      <c r="DM15" s="40"/>
      <c r="DN15" s="40"/>
      <c r="DO15" s="40"/>
      <c r="DP15" s="40"/>
      <c r="DQ15" s="40"/>
      <c r="DR15" s="40"/>
      <c r="DS15" s="40"/>
      <c r="DT15" s="40"/>
      <c r="DU15" s="40"/>
      <c r="DV15" s="40"/>
      <c r="DW15" s="40"/>
      <c r="DX15" s="40"/>
      <c r="DY15" s="40"/>
      <c r="DZ15" s="40"/>
      <c r="EA15" s="40"/>
      <c r="EB15" s="40"/>
      <c r="EC15" s="40"/>
      <c r="ED15" s="40"/>
      <c r="EE15" s="40"/>
      <c r="EF15" s="40"/>
      <c r="EG15" s="40"/>
      <c r="EH15" s="40"/>
      <c r="EI15" s="40"/>
      <c r="EJ15" s="40"/>
      <c r="EK15" s="40"/>
      <c r="EL15" s="40"/>
      <c r="EM15" s="40"/>
      <c r="EN15" s="40"/>
      <c r="EO15" s="40"/>
      <c r="EP15" s="40"/>
      <c r="EQ15" s="40"/>
      <c r="ER15" s="40"/>
      <c r="ES15" s="40"/>
      <c r="ET15" s="40"/>
      <c r="EU15" s="40"/>
      <c r="EV15" s="40"/>
      <c r="EW15" s="40"/>
      <c r="EX15" s="40"/>
    </row>
    <row r="16" ht="15.75" customHeight="1">
      <c r="A16" s="45"/>
      <c r="B16" s="46" t="s">
        <v>27</v>
      </c>
      <c r="C16" s="46" t="s">
        <v>21</v>
      </c>
      <c r="D16" s="47">
        <v>100.0</v>
      </c>
      <c r="E16" s="49">
        <v>0.0</v>
      </c>
      <c r="F16" s="46" t="s">
        <v>25</v>
      </c>
      <c r="G16" s="46"/>
      <c r="H16" s="46"/>
      <c r="I16" s="46"/>
      <c r="J16" s="47">
        <v>2.0</v>
      </c>
      <c r="K16" s="46"/>
      <c r="L16" s="46"/>
      <c r="M16" s="46"/>
      <c r="N16" s="48">
        <f t="shared" si="1"/>
        <v>45853</v>
      </c>
      <c r="O16" s="46"/>
      <c r="P16" s="46"/>
      <c r="Q16" s="46"/>
      <c r="R16" s="46"/>
      <c r="S16" s="46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0"/>
      <c r="AQ16" s="40" t="s">
        <v>23</v>
      </c>
      <c r="AR16" s="40"/>
      <c r="AS16" s="40"/>
      <c r="AT16" s="40"/>
      <c r="AU16" s="40"/>
      <c r="AV16" s="40"/>
      <c r="AW16" s="40"/>
      <c r="AX16" s="40"/>
      <c r="AY16" s="40"/>
      <c r="AZ16" s="40"/>
      <c r="BA16" s="40"/>
      <c r="BB16" s="40"/>
      <c r="BC16" s="40"/>
      <c r="BD16" s="40"/>
      <c r="BE16" s="40"/>
      <c r="BF16" s="40"/>
      <c r="BG16" s="40"/>
      <c r="BH16" s="40"/>
      <c r="BI16" s="40"/>
      <c r="BJ16" s="40"/>
      <c r="BK16" s="40"/>
      <c r="BL16" s="40"/>
      <c r="BM16" s="40"/>
      <c r="BN16" s="40"/>
      <c r="BO16" s="40"/>
      <c r="BP16" s="40"/>
      <c r="BQ16" s="40"/>
      <c r="BR16" s="40"/>
      <c r="BS16" s="40"/>
      <c r="BT16" s="40"/>
      <c r="BU16" s="40"/>
      <c r="BV16" s="40"/>
      <c r="BW16" s="40"/>
      <c r="BX16" s="40"/>
      <c r="BY16" s="40"/>
      <c r="BZ16" s="40"/>
      <c r="CA16" s="40"/>
      <c r="CB16" s="40"/>
      <c r="CC16" s="40"/>
      <c r="CD16" s="40"/>
      <c r="CE16" s="40"/>
      <c r="CF16" s="40"/>
      <c r="CG16" s="40"/>
      <c r="CH16" s="40"/>
      <c r="CI16" s="40"/>
      <c r="CJ16" s="40"/>
      <c r="CK16" s="40"/>
      <c r="CL16" s="40"/>
      <c r="CM16" s="40"/>
      <c r="CN16" s="40"/>
      <c r="CO16" s="40"/>
      <c r="CP16" s="40"/>
      <c r="CQ16" s="40"/>
      <c r="CR16" s="40"/>
      <c r="CS16" s="40"/>
      <c r="CT16" s="40"/>
      <c r="CU16" s="40"/>
      <c r="CV16" s="40"/>
      <c r="CW16" s="40"/>
      <c r="CX16" s="40"/>
      <c r="CY16" s="40"/>
      <c r="CZ16" s="40"/>
      <c r="DA16" s="40"/>
      <c r="DB16" s="40"/>
      <c r="DC16" s="40"/>
      <c r="DD16" s="40"/>
      <c r="DE16" s="40"/>
      <c r="DF16" s="40"/>
      <c r="DG16" s="40"/>
      <c r="DH16" s="40"/>
      <c r="DI16" s="40"/>
      <c r="DJ16" s="40"/>
      <c r="DK16" s="40"/>
      <c r="DL16" s="40"/>
      <c r="DM16" s="40"/>
      <c r="DN16" s="40"/>
      <c r="DO16" s="40"/>
      <c r="DP16" s="40"/>
      <c r="DQ16" s="40"/>
      <c r="DR16" s="40"/>
      <c r="DS16" s="40"/>
      <c r="DT16" s="40"/>
      <c r="DU16" s="40"/>
      <c r="DV16" s="40"/>
      <c r="DW16" s="40"/>
      <c r="DX16" s="40"/>
      <c r="DY16" s="40"/>
      <c r="DZ16" s="40"/>
      <c r="EA16" s="40"/>
      <c r="EB16" s="40"/>
      <c r="EC16" s="40"/>
      <c r="ED16" s="40"/>
      <c r="EE16" s="40"/>
      <c r="EF16" s="40"/>
      <c r="EG16" s="40"/>
      <c r="EH16" s="40"/>
      <c r="EI16" s="40"/>
      <c r="EJ16" s="40"/>
      <c r="EK16" s="40"/>
      <c r="EL16" s="40"/>
      <c r="EM16" s="40"/>
      <c r="EN16" s="40"/>
      <c r="EO16" s="40"/>
      <c r="EP16" s="40"/>
      <c r="EQ16" s="40"/>
      <c r="ER16" s="40"/>
      <c r="ES16" s="40"/>
      <c r="ET16" s="40"/>
      <c r="EU16" s="40"/>
      <c r="EV16" s="40"/>
      <c r="EW16" s="40"/>
      <c r="EX16" s="40"/>
    </row>
    <row r="17" ht="15.75" customHeight="1">
      <c r="A17" s="45"/>
      <c r="B17" s="46" t="s">
        <v>28</v>
      </c>
      <c r="C17" s="46" t="s">
        <v>21</v>
      </c>
      <c r="D17" s="47">
        <v>100.0</v>
      </c>
      <c r="E17" s="49">
        <v>0.0</v>
      </c>
      <c r="F17" s="46" t="s">
        <v>25</v>
      </c>
      <c r="G17" s="46"/>
      <c r="H17" s="46"/>
      <c r="I17" s="46"/>
      <c r="J17" s="47">
        <v>2.0</v>
      </c>
      <c r="K17" s="46"/>
      <c r="L17" s="46"/>
      <c r="M17" s="46"/>
      <c r="N17" s="48">
        <f t="shared" si="1"/>
        <v>45853</v>
      </c>
      <c r="O17" s="46"/>
      <c r="P17" s="46"/>
      <c r="Q17" s="46"/>
      <c r="R17" s="46"/>
      <c r="S17" s="46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 t="s">
        <v>23</v>
      </c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40"/>
      <c r="BQ17" s="40"/>
      <c r="BR17" s="40"/>
      <c r="BS17" s="40"/>
      <c r="BT17" s="40"/>
      <c r="BU17" s="40"/>
      <c r="BV17" s="40"/>
      <c r="BW17" s="40"/>
      <c r="BX17" s="40"/>
      <c r="BY17" s="40"/>
      <c r="BZ17" s="40"/>
      <c r="CA17" s="40"/>
      <c r="CB17" s="40"/>
      <c r="CC17" s="40"/>
      <c r="CD17" s="40"/>
      <c r="CE17" s="40"/>
      <c r="CF17" s="40"/>
      <c r="CG17" s="40"/>
      <c r="CH17" s="40"/>
      <c r="CI17" s="40"/>
      <c r="CJ17" s="40"/>
      <c r="CK17" s="40"/>
      <c r="CL17" s="40"/>
      <c r="CM17" s="40"/>
      <c r="CN17" s="40"/>
      <c r="CO17" s="40"/>
      <c r="CP17" s="40"/>
      <c r="CQ17" s="40"/>
      <c r="CR17" s="40"/>
      <c r="CS17" s="40"/>
      <c r="CT17" s="40"/>
      <c r="CU17" s="40"/>
      <c r="CV17" s="40"/>
      <c r="CW17" s="40"/>
      <c r="CX17" s="40"/>
      <c r="CY17" s="40"/>
      <c r="CZ17" s="40"/>
      <c r="DA17" s="40"/>
      <c r="DB17" s="40"/>
      <c r="DC17" s="40"/>
      <c r="DD17" s="40"/>
      <c r="DE17" s="40"/>
      <c r="DF17" s="40"/>
      <c r="DG17" s="40"/>
      <c r="DH17" s="40"/>
      <c r="DI17" s="40"/>
      <c r="DJ17" s="40"/>
      <c r="DK17" s="40"/>
      <c r="DL17" s="40"/>
      <c r="DM17" s="40"/>
      <c r="DN17" s="40"/>
      <c r="DO17" s="40"/>
      <c r="DP17" s="40"/>
      <c r="DQ17" s="40"/>
      <c r="DR17" s="40"/>
      <c r="DS17" s="40"/>
      <c r="DT17" s="40"/>
      <c r="DU17" s="40"/>
      <c r="DV17" s="40"/>
      <c r="DW17" s="40"/>
      <c r="DX17" s="40"/>
      <c r="DY17" s="40"/>
      <c r="DZ17" s="40"/>
      <c r="EA17" s="40"/>
      <c r="EB17" s="40"/>
      <c r="EC17" s="40"/>
      <c r="ED17" s="40"/>
      <c r="EE17" s="40"/>
      <c r="EF17" s="40"/>
      <c r="EG17" s="40"/>
      <c r="EH17" s="40"/>
      <c r="EI17" s="40"/>
      <c r="EJ17" s="40"/>
      <c r="EK17" s="40"/>
      <c r="EL17" s="40"/>
      <c r="EM17" s="40"/>
      <c r="EN17" s="40"/>
      <c r="EO17" s="40"/>
      <c r="EP17" s="40"/>
      <c r="EQ17" s="40"/>
      <c r="ER17" s="40"/>
      <c r="ES17" s="40"/>
      <c r="ET17" s="40"/>
      <c r="EU17" s="40"/>
      <c r="EV17" s="40"/>
      <c r="EW17" s="40"/>
      <c r="EX17" s="40"/>
    </row>
    <row r="18" ht="15.75" customHeight="1">
      <c r="A18" s="45"/>
      <c r="B18" s="46" t="s">
        <v>29</v>
      </c>
      <c r="C18" s="46" t="s">
        <v>21</v>
      </c>
      <c r="D18" s="47">
        <v>100.0</v>
      </c>
      <c r="E18" s="49">
        <v>0.0</v>
      </c>
      <c r="F18" s="46" t="s">
        <v>25</v>
      </c>
      <c r="G18" s="46"/>
      <c r="H18" s="46"/>
      <c r="I18" s="46"/>
      <c r="J18" s="47">
        <v>2.0</v>
      </c>
      <c r="K18" s="46"/>
      <c r="L18" s="46"/>
      <c r="M18" s="46"/>
      <c r="N18" s="48">
        <f t="shared" si="1"/>
        <v>45853</v>
      </c>
      <c r="O18" s="46"/>
      <c r="P18" s="46"/>
      <c r="Q18" s="46"/>
      <c r="R18" s="46"/>
      <c r="S18" s="46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 t="s">
        <v>23</v>
      </c>
      <c r="AR18" s="40"/>
      <c r="AS18" s="40"/>
      <c r="AT18" s="40"/>
      <c r="AU18" s="40"/>
      <c r="AV18" s="40"/>
      <c r="AW18" s="40"/>
      <c r="AX18" s="40"/>
      <c r="AY18" s="40"/>
      <c r="AZ18" s="40"/>
      <c r="BA18" s="40"/>
      <c r="BB18" s="40"/>
      <c r="BC18" s="40"/>
      <c r="BD18" s="40"/>
      <c r="BE18" s="40"/>
      <c r="BF18" s="40"/>
      <c r="BG18" s="40"/>
      <c r="BH18" s="40"/>
      <c r="BI18" s="40"/>
      <c r="BJ18" s="40"/>
      <c r="BK18" s="40"/>
      <c r="BL18" s="40"/>
      <c r="BM18" s="40"/>
      <c r="BN18" s="40"/>
      <c r="BO18" s="40"/>
      <c r="BP18" s="40"/>
      <c r="BQ18" s="40"/>
      <c r="BR18" s="40"/>
      <c r="BS18" s="40"/>
      <c r="BT18" s="40"/>
      <c r="BU18" s="40"/>
      <c r="BV18" s="40"/>
      <c r="BW18" s="40"/>
      <c r="BX18" s="40"/>
      <c r="BY18" s="40"/>
      <c r="BZ18" s="40"/>
      <c r="CA18" s="40"/>
      <c r="CB18" s="40"/>
      <c r="CC18" s="40"/>
      <c r="CD18" s="40"/>
      <c r="CE18" s="40"/>
      <c r="CF18" s="40"/>
      <c r="CG18" s="40"/>
      <c r="CH18" s="40"/>
      <c r="CI18" s="40"/>
      <c r="CJ18" s="40"/>
      <c r="CK18" s="40"/>
      <c r="CL18" s="40"/>
      <c r="CM18" s="40"/>
      <c r="CN18" s="40"/>
      <c r="CO18" s="40"/>
      <c r="CP18" s="40"/>
      <c r="CQ18" s="40"/>
      <c r="CR18" s="40"/>
      <c r="CS18" s="40"/>
      <c r="CT18" s="40"/>
      <c r="CU18" s="40"/>
      <c r="CV18" s="40"/>
      <c r="CW18" s="40"/>
      <c r="CX18" s="40"/>
      <c r="CY18" s="40"/>
      <c r="CZ18" s="40"/>
      <c r="DA18" s="40"/>
      <c r="DB18" s="40"/>
      <c r="DC18" s="40"/>
      <c r="DD18" s="40"/>
      <c r="DE18" s="40"/>
      <c r="DF18" s="40"/>
      <c r="DG18" s="40"/>
      <c r="DH18" s="40"/>
      <c r="DI18" s="40"/>
      <c r="DJ18" s="40"/>
      <c r="DK18" s="40"/>
      <c r="DL18" s="40"/>
      <c r="DM18" s="40"/>
      <c r="DN18" s="40"/>
      <c r="DO18" s="40"/>
      <c r="DP18" s="40"/>
      <c r="DQ18" s="40"/>
      <c r="DR18" s="40"/>
      <c r="DS18" s="40"/>
      <c r="DT18" s="40"/>
      <c r="DU18" s="40"/>
      <c r="DV18" s="40"/>
      <c r="DW18" s="40"/>
      <c r="DX18" s="40"/>
      <c r="DY18" s="40"/>
      <c r="DZ18" s="40"/>
      <c r="EA18" s="40"/>
      <c r="EB18" s="40"/>
      <c r="EC18" s="40"/>
      <c r="ED18" s="40"/>
      <c r="EE18" s="40"/>
      <c r="EF18" s="40"/>
      <c r="EG18" s="40"/>
      <c r="EH18" s="40"/>
      <c r="EI18" s="40"/>
      <c r="EJ18" s="40"/>
      <c r="EK18" s="40"/>
      <c r="EL18" s="40"/>
      <c r="EM18" s="40"/>
      <c r="EN18" s="40"/>
      <c r="EO18" s="40"/>
      <c r="EP18" s="40"/>
      <c r="EQ18" s="40"/>
      <c r="ER18" s="40"/>
      <c r="ES18" s="40"/>
      <c r="ET18" s="40"/>
      <c r="EU18" s="40"/>
      <c r="EV18" s="40"/>
      <c r="EW18" s="40"/>
      <c r="EX18" s="40"/>
    </row>
    <row r="19" ht="15.75" customHeight="1">
      <c r="A19" s="45"/>
      <c r="B19" s="46" t="s">
        <v>30</v>
      </c>
      <c r="C19" s="46" t="s">
        <v>21</v>
      </c>
      <c r="D19" s="47">
        <v>100.0</v>
      </c>
      <c r="E19" s="49">
        <v>0.0</v>
      </c>
      <c r="F19" s="46" t="s">
        <v>25</v>
      </c>
      <c r="G19" s="46"/>
      <c r="H19" s="46"/>
      <c r="I19" s="46"/>
      <c r="J19" s="47">
        <v>2.0</v>
      </c>
      <c r="K19" s="46"/>
      <c r="L19" s="46"/>
      <c r="M19" s="46"/>
      <c r="N19" s="48">
        <f t="shared" si="1"/>
        <v>45853</v>
      </c>
      <c r="O19" s="46"/>
      <c r="P19" s="46"/>
      <c r="Q19" s="46"/>
      <c r="R19" s="46"/>
      <c r="S19" s="46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40"/>
      <c r="AP19" s="40"/>
      <c r="AQ19" s="40" t="s">
        <v>23</v>
      </c>
      <c r="AR19" s="40"/>
      <c r="AS19" s="40"/>
      <c r="AT19" s="40"/>
      <c r="AU19" s="40"/>
      <c r="AV19" s="40"/>
      <c r="AW19" s="40"/>
      <c r="AX19" s="40"/>
      <c r="AY19" s="40"/>
      <c r="AZ19" s="40"/>
      <c r="BA19" s="40"/>
      <c r="BB19" s="40"/>
      <c r="BC19" s="40"/>
      <c r="BD19" s="40"/>
      <c r="BE19" s="40"/>
      <c r="BF19" s="40"/>
      <c r="BG19" s="40"/>
      <c r="BH19" s="40"/>
      <c r="BI19" s="40"/>
      <c r="BJ19" s="40"/>
      <c r="BK19" s="40"/>
      <c r="BL19" s="40"/>
      <c r="BM19" s="40"/>
      <c r="BN19" s="40"/>
      <c r="BO19" s="40"/>
      <c r="BP19" s="40"/>
      <c r="BQ19" s="40"/>
      <c r="BR19" s="40"/>
      <c r="BS19" s="40"/>
      <c r="BT19" s="40"/>
      <c r="BU19" s="40"/>
      <c r="BV19" s="40"/>
      <c r="BW19" s="40"/>
      <c r="BX19" s="40"/>
      <c r="BY19" s="40"/>
      <c r="BZ19" s="40"/>
      <c r="CA19" s="40"/>
      <c r="CB19" s="40"/>
      <c r="CC19" s="40"/>
      <c r="CD19" s="40"/>
      <c r="CE19" s="40"/>
      <c r="CF19" s="40"/>
      <c r="CG19" s="40"/>
      <c r="CH19" s="40"/>
      <c r="CI19" s="40"/>
      <c r="CJ19" s="40"/>
      <c r="CK19" s="40"/>
      <c r="CL19" s="40"/>
      <c r="CM19" s="40"/>
      <c r="CN19" s="40"/>
      <c r="CO19" s="40"/>
      <c r="CP19" s="40"/>
      <c r="CQ19" s="40"/>
      <c r="CR19" s="40"/>
      <c r="CS19" s="40"/>
      <c r="CT19" s="40"/>
      <c r="CU19" s="40"/>
      <c r="CV19" s="40"/>
      <c r="CW19" s="40"/>
      <c r="CX19" s="40"/>
      <c r="CY19" s="40"/>
      <c r="CZ19" s="40"/>
      <c r="DA19" s="40"/>
      <c r="DB19" s="40"/>
      <c r="DC19" s="40"/>
      <c r="DD19" s="40"/>
      <c r="DE19" s="40"/>
      <c r="DF19" s="40"/>
      <c r="DG19" s="40"/>
      <c r="DH19" s="40"/>
      <c r="DI19" s="40"/>
      <c r="DJ19" s="40"/>
      <c r="DK19" s="40"/>
      <c r="DL19" s="40"/>
      <c r="DM19" s="40"/>
      <c r="DN19" s="40"/>
      <c r="DO19" s="40"/>
      <c r="DP19" s="40"/>
      <c r="DQ19" s="40"/>
      <c r="DR19" s="40"/>
      <c r="DS19" s="40"/>
      <c r="DT19" s="40"/>
      <c r="DU19" s="40"/>
      <c r="DV19" s="40"/>
      <c r="DW19" s="40"/>
      <c r="DX19" s="40"/>
      <c r="DY19" s="40"/>
      <c r="DZ19" s="40"/>
      <c r="EA19" s="40"/>
      <c r="EB19" s="40"/>
      <c r="EC19" s="40"/>
      <c r="ED19" s="40"/>
      <c r="EE19" s="40"/>
      <c r="EF19" s="40"/>
      <c r="EG19" s="40"/>
      <c r="EH19" s="40"/>
      <c r="EI19" s="40"/>
      <c r="EJ19" s="40"/>
      <c r="EK19" s="40"/>
      <c r="EL19" s="40"/>
      <c r="EM19" s="40"/>
      <c r="EN19" s="40"/>
      <c r="EO19" s="40"/>
      <c r="EP19" s="40"/>
      <c r="EQ19" s="40"/>
      <c r="ER19" s="40"/>
      <c r="ES19" s="40"/>
      <c r="ET19" s="40"/>
      <c r="EU19" s="40"/>
      <c r="EV19" s="40"/>
      <c r="EW19" s="40"/>
      <c r="EX19" s="40"/>
    </row>
    <row r="20" ht="15.75" customHeight="1">
      <c r="A20" s="45"/>
      <c r="B20" s="49">
        <v>1.23456789E8</v>
      </c>
      <c r="C20" s="46" t="s">
        <v>21</v>
      </c>
      <c r="D20" s="47">
        <v>100.0</v>
      </c>
      <c r="E20" s="49">
        <v>0.0</v>
      </c>
      <c r="F20" s="46" t="s">
        <v>25</v>
      </c>
      <c r="G20" s="46"/>
      <c r="H20" s="46"/>
      <c r="I20" s="46"/>
      <c r="J20" s="47">
        <v>2.0</v>
      </c>
      <c r="K20" s="46"/>
      <c r="L20" s="46"/>
      <c r="M20" s="46"/>
      <c r="N20" s="48">
        <f t="shared" si="1"/>
        <v>45853</v>
      </c>
      <c r="O20" s="46"/>
      <c r="P20" s="46"/>
      <c r="Q20" s="46"/>
      <c r="R20" s="46"/>
      <c r="S20" s="46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 t="s">
        <v>23</v>
      </c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40"/>
      <c r="BD20" s="40"/>
      <c r="BE20" s="40"/>
      <c r="BF20" s="40"/>
      <c r="BG20" s="40"/>
      <c r="BH20" s="40"/>
      <c r="BI20" s="40"/>
      <c r="BJ20" s="40"/>
      <c r="BK20" s="40"/>
      <c r="BL20" s="40"/>
      <c r="BM20" s="40"/>
      <c r="BN20" s="40"/>
      <c r="BO20" s="40"/>
      <c r="BP20" s="40"/>
      <c r="BQ20" s="40"/>
      <c r="BR20" s="40"/>
      <c r="BS20" s="40"/>
      <c r="BT20" s="40"/>
      <c r="BU20" s="40"/>
      <c r="BV20" s="40"/>
      <c r="BW20" s="40"/>
      <c r="BX20" s="40"/>
      <c r="BY20" s="40"/>
      <c r="BZ20" s="40"/>
      <c r="CA20" s="40"/>
      <c r="CB20" s="40"/>
      <c r="CC20" s="40"/>
      <c r="CD20" s="40"/>
      <c r="CE20" s="40"/>
      <c r="CF20" s="40"/>
      <c r="CG20" s="40"/>
      <c r="CH20" s="40"/>
      <c r="CI20" s="40"/>
      <c r="CJ20" s="40"/>
      <c r="CK20" s="40"/>
      <c r="CL20" s="40"/>
      <c r="CM20" s="40"/>
      <c r="CN20" s="40"/>
      <c r="CO20" s="40"/>
      <c r="CP20" s="40"/>
      <c r="CQ20" s="40"/>
      <c r="CR20" s="40"/>
      <c r="CS20" s="40"/>
      <c r="CT20" s="40"/>
      <c r="CU20" s="40"/>
      <c r="CV20" s="40"/>
      <c r="CW20" s="40"/>
      <c r="CX20" s="40"/>
      <c r="CY20" s="40"/>
      <c r="CZ20" s="40"/>
      <c r="DA20" s="40"/>
      <c r="DB20" s="40"/>
      <c r="DC20" s="40"/>
      <c r="DD20" s="40"/>
      <c r="DE20" s="40"/>
      <c r="DF20" s="40"/>
      <c r="DG20" s="40"/>
      <c r="DH20" s="40"/>
      <c r="DI20" s="40"/>
      <c r="DJ20" s="40"/>
      <c r="DK20" s="40"/>
      <c r="DL20" s="40"/>
      <c r="DM20" s="40"/>
      <c r="DN20" s="40"/>
      <c r="DO20" s="40"/>
      <c r="DP20" s="40"/>
      <c r="DQ20" s="40"/>
      <c r="DR20" s="40"/>
      <c r="DS20" s="40"/>
      <c r="DT20" s="40"/>
      <c r="DU20" s="40"/>
      <c r="DV20" s="40"/>
      <c r="DW20" s="40"/>
      <c r="DX20" s="40"/>
      <c r="DY20" s="40"/>
      <c r="DZ20" s="40"/>
      <c r="EA20" s="40"/>
      <c r="EB20" s="40"/>
      <c r="EC20" s="40"/>
      <c r="ED20" s="40"/>
      <c r="EE20" s="40"/>
      <c r="EF20" s="40"/>
      <c r="EG20" s="40"/>
      <c r="EH20" s="40"/>
      <c r="EI20" s="40"/>
      <c r="EJ20" s="40"/>
      <c r="EK20" s="40"/>
      <c r="EL20" s="40"/>
      <c r="EM20" s="40"/>
      <c r="EN20" s="40"/>
      <c r="EO20" s="40"/>
      <c r="EP20" s="40"/>
      <c r="EQ20" s="40"/>
      <c r="ER20" s="40"/>
      <c r="ES20" s="40"/>
      <c r="ET20" s="40"/>
      <c r="EU20" s="40"/>
      <c r="EV20" s="40"/>
      <c r="EW20" s="40"/>
      <c r="EX20" s="40"/>
    </row>
    <row r="21" ht="15.75" customHeight="1">
      <c r="A21" s="45"/>
      <c r="B21" s="50" t="s">
        <v>24</v>
      </c>
      <c r="C21" s="50" t="s">
        <v>21</v>
      </c>
      <c r="D21" s="47">
        <v>100.0</v>
      </c>
      <c r="E21" s="46"/>
      <c r="F21" s="50" t="s">
        <v>31</v>
      </c>
      <c r="G21" s="46"/>
      <c r="H21" s="46"/>
      <c r="I21" s="46"/>
      <c r="J21" s="47">
        <v>2.0</v>
      </c>
      <c r="K21" s="46"/>
      <c r="L21" s="46"/>
      <c r="M21" s="46"/>
      <c r="N21" s="46"/>
      <c r="O21" s="46"/>
      <c r="P21" s="46"/>
      <c r="Q21" s="46"/>
      <c r="R21" s="46"/>
      <c r="S21" s="46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40"/>
      <c r="AP21" s="40"/>
      <c r="AQ21" s="40" t="s">
        <v>23</v>
      </c>
      <c r="AR21" s="40"/>
      <c r="AS21" s="40"/>
      <c r="AT21" s="40"/>
      <c r="AU21" s="40"/>
      <c r="AV21" s="40"/>
      <c r="AW21" s="40"/>
      <c r="AX21" s="40"/>
      <c r="AY21" s="40"/>
      <c r="AZ21" s="40"/>
      <c r="BA21" s="40"/>
      <c r="BB21" s="40"/>
      <c r="BC21" s="40"/>
      <c r="BD21" s="40"/>
      <c r="BE21" s="40"/>
      <c r="BF21" s="40"/>
      <c r="BG21" s="40"/>
      <c r="BH21" s="40"/>
      <c r="BI21" s="40"/>
      <c r="BJ21" s="40"/>
      <c r="BK21" s="40"/>
      <c r="BL21" s="40"/>
      <c r="BM21" s="40"/>
      <c r="BN21" s="40"/>
      <c r="BO21" s="40"/>
      <c r="BP21" s="40"/>
      <c r="BQ21" s="40"/>
      <c r="BR21" s="40"/>
      <c r="BS21" s="40"/>
      <c r="BT21" s="40"/>
      <c r="BU21" s="40"/>
      <c r="BV21" s="40"/>
      <c r="BW21" s="40"/>
      <c r="BX21" s="40"/>
      <c r="BY21" s="40"/>
      <c r="BZ21" s="40"/>
      <c r="CA21" s="40"/>
      <c r="CB21" s="40"/>
      <c r="CC21" s="40"/>
      <c r="CD21" s="40"/>
      <c r="CE21" s="40"/>
      <c r="CF21" s="40"/>
      <c r="CG21" s="40"/>
      <c r="CH21" s="40"/>
      <c r="CI21" s="40"/>
      <c r="CJ21" s="40"/>
      <c r="CK21" s="40"/>
      <c r="CL21" s="40"/>
      <c r="CM21" s="40"/>
      <c r="CN21" s="40"/>
      <c r="CO21" s="40"/>
      <c r="CP21" s="40"/>
      <c r="CQ21" s="40"/>
      <c r="CR21" s="40"/>
      <c r="CS21" s="40"/>
      <c r="CT21" s="40"/>
      <c r="CU21" s="40"/>
      <c r="CV21" s="40"/>
      <c r="CW21" s="40"/>
      <c r="CX21" s="40"/>
      <c r="CY21" s="40"/>
      <c r="CZ21" s="40"/>
      <c r="DA21" s="40"/>
      <c r="DB21" s="40"/>
      <c r="DC21" s="40"/>
      <c r="DD21" s="40"/>
      <c r="DE21" s="40"/>
      <c r="DF21" s="40"/>
      <c r="DG21" s="40"/>
      <c r="DH21" s="40"/>
      <c r="DI21" s="40"/>
      <c r="DJ21" s="40"/>
      <c r="DK21" s="40"/>
      <c r="DL21" s="40"/>
      <c r="DM21" s="40"/>
      <c r="DN21" s="40"/>
      <c r="DO21" s="40"/>
      <c r="DP21" s="40"/>
      <c r="DQ21" s="40"/>
      <c r="DR21" s="40"/>
      <c r="DS21" s="40"/>
      <c r="DT21" s="40"/>
      <c r="DU21" s="40"/>
      <c r="DV21" s="40"/>
      <c r="DW21" s="40"/>
      <c r="DX21" s="40"/>
      <c r="DY21" s="40"/>
      <c r="DZ21" s="40"/>
      <c r="EA21" s="40"/>
      <c r="EB21" s="40"/>
      <c r="EC21" s="40"/>
      <c r="ED21" s="40"/>
      <c r="EE21" s="40"/>
      <c r="EF21" s="40"/>
      <c r="EG21" s="40"/>
      <c r="EH21" s="40"/>
      <c r="EI21" s="40"/>
      <c r="EJ21" s="40"/>
      <c r="EK21" s="40"/>
      <c r="EL21" s="40"/>
      <c r="EM21" s="40"/>
      <c r="EN21" s="40"/>
      <c r="EO21" s="40"/>
      <c r="EP21" s="40"/>
      <c r="EQ21" s="40"/>
      <c r="ER21" s="40"/>
      <c r="ES21" s="40"/>
      <c r="ET21" s="40"/>
      <c r="EU21" s="40"/>
      <c r="EV21" s="40"/>
      <c r="EW21" s="40"/>
      <c r="EX21" s="40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0"/>
      <c r="B6" s="41" t="s">
        <v>24</v>
      </c>
      <c r="C6" s="41" t="s">
        <v>21</v>
      </c>
      <c r="D6" s="43">
        <v>100.0</v>
      </c>
      <c r="E6" s="41"/>
      <c r="F6" s="41" t="s">
        <v>25</v>
      </c>
      <c r="G6" s="41"/>
      <c r="H6" s="41"/>
      <c r="I6" s="41"/>
      <c r="J6" s="43">
        <v>2.0</v>
      </c>
      <c r="K6" s="41"/>
      <c r="L6" s="41"/>
      <c r="M6" s="41"/>
      <c r="N6" s="41"/>
      <c r="O6" s="41"/>
      <c r="P6" s="41"/>
      <c r="Q6" s="41"/>
      <c r="R6" s="41"/>
      <c r="S6" s="41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51"/>
      <c r="B7" s="46" t="s">
        <v>26</v>
      </c>
      <c r="C7" s="46" t="s">
        <v>21</v>
      </c>
      <c r="D7" s="47">
        <v>100.0</v>
      </c>
      <c r="E7" s="46"/>
      <c r="F7" s="46" t="s">
        <v>25</v>
      </c>
      <c r="G7" s="46"/>
      <c r="H7" s="46"/>
      <c r="I7" s="46"/>
      <c r="J7" s="47">
        <v>2.0</v>
      </c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51"/>
      <c r="B8" s="46" t="s">
        <v>27</v>
      </c>
      <c r="C8" s="46" t="s">
        <v>21</v>
      </c>
      <c r="D8" s="47">
        <v>100.0</v>
      </c>
      <c r="E8" s="46"/>
      <c r="F8" s="46" t="s">
        <v>25</v>
      </c>
      <c r="G8" s="46"/>
      <c r="H8" s="46"/>
      <c r="I8" s="46"/>
      <c r="J8" s="47">
        <v>2.0</v>
      </c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</row>
    <row r="9" ht="15.75" customHeight="1">
      <c r="A9" s="51"/>
      <c r="B9" s="46" t="s">
        <v>28</v>
      </c>
      <c r="C9" s="46" t="s">
        <v>21</v>
      </c>
      <c r="D9" s="47">
        <v>100.0</v>
      </c>
      <c r="E9" s="46"/>
      <c r="F9" s="46" t="s">
        <v>25</v>
      </c>
      <c r="G9" s="46"/>
      <c r="H9" s="46"/>
      <c r="I9" s="46"/>
      <c r="J9" s="47">
        <v>2.0</v>
      </c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</row>
    <row r="10" ht="15.75" customHeight="1">
      <c r="A10" s="51"/>
      <c r="B10" s="46" t="s">
        <v>29</v>
      </c>
      <c r="C10" s="46" t="s">
        <v>21</v>
      </c>
      <c r="D10" s="47">
        <v>100.0</v>
      </c>
      <c r="E10" s="46"/>
      <c r="F10" s="46" t="s">
        <v>25</v>
      </c>
      <c r="G10" s="46"/>
      <c r="H10" s="46"/>
      <c r="I10" s="46"/>
      <c r="J10" s="47">
        <v>2.0</v>
      </c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  <c r="BC10" s="40"/>
      <c r="BD10" s="40"/>
      <c r="BE10" s="40"/>
      <c r="BF10" s="40"/>
      <c r="BG10" s="40"/>
      <c r="BH10" s="40"/>
      <c r="BI10" s="40"/>
      <c r="BJ10" s="40"/>
      <c r="BK10" s="40"/>
      <c r="BL10" s="40"/>
      <c r="BM10" s="40"/>
      <c r="BN10" s="40"/>
      <c r="BO10" s="40"/>
      <c r="BP10" s="40"/>
      <c r="BQ10" s="40"/>
      <c r="BR10" s="40"/>
      <c r="BS10" s="40"/>
      <c r="BT10" s="40"/>
      <c r="BU10" s="40"/>
      <c r="BV10" s="40"/>
      <c r="BW10" s="40"/>
      <c r="BX10" s="40"/>
      <c r="BY10" s="40"/>
      <c r="BZ10" s="40"/>
      <c r="CA10" s="40"/>
      <c r="CB10" s="40"/>
      <c r="CC10" s="40"/>
      <c r="CD10" s="40"/>
      <c r="CE10" s="40"/>
      <c r="CF10" s="40"/>
      <c r="CG10" s="40"/>
      <c r="CH10" s="40"/>
      <c r="CI10" s="40"/>
      <c r="CJ10" s="40"/>
      <c r="CK10" s="40"/>
      <c r="CL10" s="40"/>
      <c r="CM10" s="40"/>
      <c r="CN10" s="40"/>
      <c r="CO10" s="40"/>
      <c r="CP10" s="40"/>
      <c r="CQ10" s="40"/>
      <c r="CR10" s="40"/>
      <c r="CS10" s="40"/>
      <c r="CT10" s="40"/>
      <c r="CU10" s="40"/>
      <c r="CV10" s="40"/>
      <c r="CW10" s="40"/>
      <c r="CX10" s="40"/>
      <c r="CY10" s="40"/>
      <c r="CZ10" s="40"/>
      <c r="DA10" s="40"/>
      <c r="DB10" s="40"/>
      <c r="DC10" s="40"/>
      <c r="DD10" s="40"/>
      <c r="DE10" s="40"/>
      <c r="DF10" s="40"/>
      <c r="DG10" s="40"/>
      <c r="DH10" s="40"/>
      <c r="DI10" s="40"/>
      <c r="DJ10" s="40"/>
      <c r="DK10" s="40"/>
      <c r="DL10" s="40"/>
      <c r="DM10" s="40"/>
      <c r="DN10" s="40"/>
      <c r="DO10" s="40"/>
      <c r="DP10" s="40"/>
      <c r="DQ10" s="40"/>
      <c r="DR10" s="40"/>
      <c r="DS10" s="40"/>
      <c r="DT10" s="40"/>
      <c r="DU10" s="40"/>
      <c r="DV10" s="40"/>
      <c r="DW10" s="40"/>
      <c r="DX10" s="40"/>
      <c r="DY10" s="40"/>
      <c r="DZ10" s="40"/>
      <c r="EA10" s="40"/>
      <c r="EB10" s="40"/>
      <c r="EC10" s="40"/>
      <c r="ED10" s="40"/>
      <c r="EE10" s="40"/>
      <c r="EF10" s="40"/>
      <c r="EG10" s="40"/>
      <c r="EH10" s="40"/>
      <c r="EI10" s="40"/>
      <c r="EJ10" s="40"/>
      <c r="EK10" s="40"/>
      <c r="EL10" s="40"/>
      <c r="EM10" s="40"/>
      <c r="EN10" s="40"/>
      <c r="EO10" s="40"/>
      <c r="EP10" s="40"/>
      <c r="EQ10" s="40"/>
      <c r="ER10" s="40"/>
      <c r="ES10" s="40"/>
      <c r="ET10" s="40"/>
      <c r="EU10" s="40"/>
      <c r="EV10" s="40"/>
      <c r="EW10" s="40"/>
      <c r="EX10" s="40"/>
    </row>
    <row r="11" ht="15.75" customHeight="1">
      <c r="A11" s="51"/>
      <c r="B11" s="46" t="s">
        <v>30</v>
      </c>
      <c r="C11" s="46" t="s">
        <v>21</v>
      </c>
      <c r="D11" s="47">
        <v>100.0</v>
      </c>
      <c r="E11" s="46"/>
      <c r="F11" s="46" t="s">
        <v>25</v>
      </c>
      <c r="G11" s="46"/>
      <c r="H11" s="46"/>
      <c r="I11" s="46"/>
      <c r="J11" s="47">
        <v>2.0</v>
      </c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  <c r="CH11" s="40"/>
      <c r="CI11" s="40"/>
      <c r="CJ11" s="40"/>
      <c r="CK11" s="40"/>
      <c r="CL11" s="40"/>
      <c r="CM11" s="40"/>
      <c r="CN11" s="40"/>
      <c r="CO11" s="40"/>
      <c r="CP11" s="40"/>
      <c r="CQ11" s="40"/>
      <c r="CR11" s="40"/>
      <c r="CS11" s="40"/>
      <c r="CT11" s="40"/>
      <c r="CU11" s="40"/>
      <c r="CV11" s="40"/>
      <c r="CW11" s="40"/>
      <c r="CX11" s="40"/>
      <c r="CY11" s="40"/>
      <c r="CZ11" s="40"/>
      <c r="DA11" s="40"/>
      <c r="DB11" s="40"/>
      <c r="DC11" s="40"/>
      <c r="DD11" s="40"/>
      <c r="DE11" s="40"/>
      <c r="DF11" s="40"/>
      <c r="DG11" s="40"/>
      <c r="DH11" s="40"/>
      <c r="DI11" s="40"/>
      <c r="DJ11" s="40"/>
      <c r="DK11" s="40"/>
      <c r="DL11" s="40"/>
      <c r="DM11" s="40"/>
      <c r="DN11" s="40"/>
      <c r="DO11" s="40"/>
      <c r="DP11" s="40"/>
      <c r="DQ11" s="40"/>
      <c r="DR11" s="40"/>
      <c r="DS11" s="40"/>
      <c r="DT11" s="40"/>
      <c r="DU11" s="40"/>
      <c r="DV11" s="40"/>
      <c r="DW11" s="40"/>
      <c r="DX11" s="40"/>
      <c r="DY11" s="40"/>
      <c r="DZ11" s="40"/>
      <c r="EA11" s="40"/>
      <c r="EB11" s="40"/>
      <c r="EC11" s="40"/>
      <c r="ED11" s="40"/>
      <c r="EE11" s="40"/>
      <c r="EF11" s="40"/>
      <c r="EG11" s="40"/>
      <c r="EH11" s="40"/>
      <c r="EI11" s="40"/>
      <c r="EJ11" s="40"/>
      <c r="EK11" s="40"/>
      <c r="EL11" s="40"/>
      <c r="EM11" s="40"/>
      <c r="EN11" s="40"/>
      <c r="EO11" s="40"/>
      <c r="EP11" s="40"/>
      <c r="EQ11" s="40"/>
      <c r="ER11" s="40"/>
      <c r="ES11" s="40"/>
      <c r="ET11" s="40"/>
      <c r="EU11" s="40"/>
      <c r="EV11" s="40"/>
      <c r="EW11" s="40"/>
      <c r="EX11" s="40"/>
    </row>
    <row r="12" ht="15.75" customHeight="1">
      <c r="A12" s="51"/>
      <c r="B12" s="49">
        <v>1.23456789E8</v>
      </c>
      <c r="C12" s="46" t="s">
        <v>21</v>
      </c>
      <c r="D12" s="47">
        <v>100.0</v>
      </c>
      <c r="E12" s="46"/>
      <c r="F12" s="46" t="s">
        <v>25</v>
      </c>
      <c r="G12" s="46"/>
      <c r="H12" s="46"/>
      <c r="I12" s="46"/>
      <c r="J12" s="47">
        <v>2.0</v>
      </c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  <c r="BC12" s="40"/>
      <c r="BD12" s="40"/>
      <c r="BE12" s="40"/>
      <c r="BF12" s="40"/>
      <c r="BG12" s="40"/>
      <c r="BH12" s="40"/>
      <c r="BI12" s="40"/>
      <c r="BJ12" s="40"/>
      <c r="BK12" s="40"/>
      <c r="BL12" s="40"/>
      <c r="BM12" s="40"/>
      <c r="BN12" s="40"/>
      <c r="BO12" s="40"/>
      <c r="BP12" s="40"/>
      <c r="BQ12" s="40"/>
      <c r="BR12" s="40"/>
      <c r="BS12" s="40"/>
      <c r="BT12" s="40"/>
      <c r="BU12" s="40"/>
      <c r="BV12" s="40"/>
      <c r="BW12" s="40"/>
      <c r="BX12" s="40"/>
      <c r="BY12" s="40"/>
      <c r="BZ12" s="40"/>
      <c r="CA12" s="40"/>
      <c r="CB12" s="40"/>
      <c r="CC12" s="40"/>
      <c r="CD12" s="40"/>
      <c r="CE12" s="40"/>
      <c r="CF12" s="40"/>
      <c r="CG12" s="40"/>
      <c r="CH12" s="40"/>
      <c r="CI12" s="40"/>
      <c r="CJ12" s="40"/>
      <c r="CK12" s="40"/>
      <c r="CL12" s="40"/>
      <c r="CM12" s="40"/>
      <c r="CN12" s="40"/>
      <c r="CO12" s="40"/>
      <c r="CP12" s="40"/>
      <c r="CQ12" s="40"/>
      <c r="CR12" s="40"/>
      <c r="CS12" s="40"/>
      <c r="CT12" s="40"/>
      <c r="CU12" s="40"/>
      <c r="CV12" s="40"/>
      <c r="CW12" s="40"/>
      <c r="CX12" s="40"/>
      <c r="CY12" s="40"/>
      <c r="CZ12" s="40"/>
      <c r="DA12" s="40"/>
      <c r="DB12" s="40"/>
      <c r="DC12" s="40"/>
      <c r="DD12" s="40"/>
      <c r="DE12" s="40"/>
      <c r="DF12" s="40"/>
      <c r="DG12" s="40"/>
      <c r="DH12" s="40"/>
      <c r="DI12" s="40"/>
      <c r="DJ12" s="40"/>
      <c r="DK12" s="40"/>
      <c r="DL12" s="40"/>
      <c r="DM12" s="40"/>
      <c r="DN12" s="40"/>
      <c r="DO12" s="40"/>
      <c r="DP12" s="40"/>
      <c r="DQ12" s="40"/>
      <c r="DR12" s="40"/>
      <c r="DS12" s="40"/>
      <c r="DT12" s="40"/>
      <c r="DU12" s="40"/>
      <c r="DV12" s="40"/>
      <c r="DW12" s="40"/>
      <c r="DX12" s="40"/>
      <c r="DY12" s="40"/>
      <c r="DZ12" s="40"/>
      <c r="EA12" s="40"/>
      <c r="EB12" s="40"/>
      <c r="EC12" s="40"/>
      <c r="ED12" s="40"/>
      <c r="EE12" s="40"/>
      <c r="EF12" s="40"/>
      <c r="EG12" s="40"/>
      <c r="EH12" s="40"/>
      <c r="EI12" s="40"/>
      <c r="EJ12" s="40"/>
      <c r="EK12" s="40"/>
      <c r="EL12" s="40"/>
      <c r="EM12" s="40"/>
      <c r="EN12" s="40"/>
      <c r="EO12" s="40"/>
      <c r="EP12" s="40"/>
      <c r="EQ12" s="40"/>
      <c r="ER12" s="40"/>
      <c r="ES12" s="40"/>
      <c r="ET12" s="40"/>
      <c r="EU12" s="40"/>
      <c r="EV12" s="40"/>
      <c r="EW12" s="40"/>
      <c r="EX12" s="40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40" t="s">
        <v>35</v>
      </c>
      <c r="C6" s="52">
        <f>today()-1</f>
        <v>45853</v>
      </c>
      <c r="D6" s="52">
        <f>today()</f>
        <v>45854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0"/>
      <c r="C7" s="40"/>
      <c r="D7" s="40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0"/>
      <c r="C8" s="40"/>
      <c r="D8" s="40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1-RJhOo2E5PhyqaiMEjsPi8RpfYBuiSqE9fj_-bRpkKw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53" t="s">
        <v>27</v>
      </c>
      <c r="C6" s="43">
        <v>100.0</v>
      </c>
      <c r="D6" s="54"/>
      <c r="E6" s="41" t="s">
        <v>25</v>
      </c>
      <c r="F6" s="41" t="s">
        <v>21</v>
      </c>
      <c r="G6" s="41"/>
      <c r="H6" s="43">
        <v>2.0</v>
      </c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IFERROR(__xludf.DUMMYFUNCTION("""COMPUTED_VALUE"""),"NotionalValue")</f>
        <v>NotionalValue</v>
      </c>
      <c r="C5" s="28" t="str">
        <f>IFERROR(__xludf.DUMMYFUNCTION("""COMPUTED_VALUE"""),"Interest Rate")</f>
        <v>Interest Rate</v>
      </c>
      <c r="D5" s="28" t="str">
        <f>IFERROR(__xludf.DUMMYFUNCTION("""COMPUTED_VALUE"""),"Spread(B.P)")</f>
        <v>Spread(B.P)</v>
      </c>
      <c r="E5" s="28" t="str">
        <f>IFERROR(__xludf.DUMMYFUNCTION("""COMPUTED_VALUE"""),"First Reset Date")</f>
        <v>First Reset Date</v>
      </c>
      <c r="F5" s="29" t="str">
        <f>IFERROR(__xludf.DUMMYFUNCTION("""COMPUTED_VALUE"""),"DayCount")</f>
        <v>DayCount</v>
      </c>
      <c r="G5" s="28" t="str">
        <f>IFERROR(__xludf.DUMMYFUNCTION("""COMPUTED_VALUE"""),"Original T.Date")</f>
        <v>Original T.Date</v>
      </c>
      <c r="H5" s="28" t="str">
        <f>IFERROR(__xludf.DUMMYFUNCTION("""COMPUTED_VALUE"""),"OriginalCostBasis")</f>
        <v>OriginalCostBasis</v>
      </c>
      <c r="I5" s="28" t="str">
        <f>IFERROR(__xludf.DUMMYFUNCTION("""COMPUTED_VALUE"""),"SwapDescription")</f>
        <v>SwapDescription</v>
      </c>
      <c r="J5" s="28" t="str">
        <f>IFERROR(__xludf.DUMMYFUNCTION("""COMPUTED_VALUE"""),"CommissionChange")</f>
        <v>CommissionChange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0"/>
      <c r="B6" s="41"/>
      <c r="C6" s="55">
        <v>0.0</v>
      </c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BookOrUpdateSwap!$4:$4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46" t="s">
        <v>24</v>
      </c>
      <c r="C6" s="43">
        <v>20.0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51" t="s">
        <v>26</v>
      </c>
      <c r="C7" s="56">
        <v>20.0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51" t="s">
        <v>27</v>
      </c>
      <c r="C8" s="56">
        <v>20.0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51" t="s">
        <v>28</v>
      </c>
      <c r="C9" s="56">
        <v>20.0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51" t="s">
        <v>29</v>
      </c>
      <c r="C10" s="56">
        <v>20.0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51" t="s">
        <v>30</v>
      </c>
      <c r="C11" s="56">
        <v>20.0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57">
        <v>1.23456789E8</v>
      </c>
      <c r="C12" s="56">
        <v>20.0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1" t="s">
        <v>39</v>
      </c>
      <c r="C13" s="56">
        <v>20.0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58">
        <f t="shared" ref="B6:C6" si="1">today()-1</f>
        <v>45853</v>
      </c>
      <c r="C6" s="52">
        <f t="shared" si="1"/>
        <v>45853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0"/>
      <c r="C7" s="40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49">
        <v>1.23456789E8</v>
      </c>
      <c r="C6" s="38">
        <v>10.0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0" t="s">
        <v>24</v>
      </c>
      <c r="C7" s="47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51" t="s">
        <v>26</v>
      </c>
      <c r="C8" s="56">
        <v>10.0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51" t="s">
        <v>27</v>
      </c>
      <c r="C9" s="56">
        <v>10.0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51" t="s">
        <v>28</v>
      </c>
      <c r="C10" s="56">
        <v>10.0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51" t="s">
        <v>29</v>
      </c>
      <c r="C11" s="56">
        <v>10.0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51" t="s">
        <v>30</v>
      </c>
      <c r="C12" s="56">
        <v>10.0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1" t="s">
        <v>39</v>
      </c>
      <c r="C13" s="56">
        <v>10.0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0"/>
      <c r="C14" s="40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Date")</f>
        <v>Copy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58">
        <f t="shared" ref="B6:C6" si="1">today()-1</f>
        <v>45853</v>
      </c>
      <c r="C6" s="52">
        <f t="shared" si="1"/>
        <v>45853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0"/>
      <c r="C7" s="40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 Currency")</f>
        <v>From Currency</v>
      </c>
      <c r="C5" s="28" t="str">
        <f>IFERROR(__xludf.DUMMYFUNCTION("""COMPUTED_VALUE"""),"To Currency")</f>
        <v>To Currency</v>
      </c>
      <c r="D5" s="28" t="str">
        <f>IFERROR(__xludf.DUMMYFUNCTION("""COMPUTED_VALUE"""),"Symbol")</f>
        <v>Symbol</v>
      </c>
      <c r="E5" s="28" t="str">
        <f>IFERROR(__xludf.DUMMYFUNCTION("""COMPUTED_VALUE"""),"Price")</f>
        <v>Price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59" t="s">
        <v>45</v>
      </c>
      <c r="C6" s="60" t="s">
        <v>46</v>
      </c>
      <c r="D6" s="41" t="s">
        <v>47</v>
      </c>
      <c r="E6" s="43">
        <v>1.2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0"/>
      <c r="C7" s="40"/>
      <c r="D7" s="40"/>
      <c r="E7" s="40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58">
        <f t="shared" ref="B6:C6" si="1">today()-1</f>
        <v>45853</v>
      </c>
      <c r="C6" s="52">
        <f t="shared" si="1"/>
        <v>45853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49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IFERROR(__xludf.DUMMYFUNCTION("IF(C3="""","""",Transpose(IMPORTRANGE('_Settings'!$B$3,C3&amp;""!A4:A1000"")))"),"GetDataCash")</f>
        <v>GetDataCash</v>
      </c>
      <c r="C4" s="25" t="str">
        <f>IFERROR(__xludf.DUMMYFUNCTION("""COMPUTED_VALUE"""),"EnterCashDividends")</f>
        <v>EnterCashDividends</v>
      </c>
      <c r="D4" s="25" t="str">
        <f>IFERROR(__xludf.DUMMYFUNCTION("""COMPUTED_VALUE"""),"EnterNonTradingTransaction")</f>
        <v>EnterNonTradingTransaction</v>
      </c>
      <c r="E4" s="25" t="str">
        <f>IFERROR(__xludf.DUMMYFUNCTION("""COMPUTED_VALUE"""),"VerifyCash")</f>
        <v>VerifyCash</v>
      </c>
      <c r="F4" s="25" t="str">
        <f>IFERROR(__xludf.DUMMYFUNCTION("""COMPUTED_VALUE"""),"VerifyActivity")</f>
        <v>VerifyActivity</v>
      </c>
      <c r="G4" s="25" t="str">
        <f>IFERROR(__xludf.DUMMYFUNCTION("""COMPUTED_VALUE"""),"VerifyTradingTransaction")</f>
        <v>VerifyTradingTransaction</v>
      </c>
      <c r="H4" s="25" t="str">
        <f>IFERROR(__xludf.DUMMYFUNCTION("""COMPUTED_VALUE"""),"VerifyRevaluationData")</f>
        <v>VerifyRevaluationData</v>
      </c>
      <c r="I4" s="25" t="str">
        <f>IFERROR(__xludf.DUMMYFUNCTION("""COMPUTED_VALUE"""),"RunManualRevaluation")</f>
        <v>RunManualRevaluation</v>
      </c>
      <c r="J4" s="25" t="str">
        <f>IFERROR(__xludf.DUMMYFUNCTION("""COMPUTED_VALUE"""),"SaveCashTransaction")</f>
        <v>SaveCashTransaction</v>
      </c>
      <c r="K4" s="25" t="str">
        <f>IFERROR(__xludf.DUMMYFUNCTION("""COMPUTED_VALUE"""),"EditGridCashTransactions")</f>
        <v>EditGridCashTransactions</v>
      </c>
      <c r="L4" s="25" t="str">
        <f>IFERROR(__xludf.DUMMYFUNCTION("""COMPUTED_VALUE"""),"FilterCashTransactionGrid")</f>
        <v>FilterCashTransactionGrid</v>
      </c>
      <c r="M4" s="25" t="str">
        <f>IFERROR(__xludf.DUMMYFUNCTION("""COMPUTED_VALUE"""),"GetTradingTransaction")</f>
        <v>GetTradingTransaction</v>
      </c>
      <c r="N4" s="25" t="str">
        <f>IFERROR(__xludf.DUMMYFUNCTION("""COMPUTED_VALUE"""),"GetActivityData")</f>
        <v>GetActivityData</v>
      </c>
      <c r="O4" s="25" t="str">
        <f>IFERROR(__xludf.DUMMYFUNCTION("""COMPUTED_VALUE"""),"GetRevaluationData")</f>
        <v>GetRevaluationData</v>
      </c>
      <c r="P4" s="26" t="str">
        <f>IFERROR(__xludf.DUMMYFUNCTION("""COMPUTED_VALUE"""),"GetAccountDetails")</f>
        <v>GetAccountDetails</v>
      </c>
      <c r="Q4" s="26" t="str">
        <f>IFERROR(__xludf.DUMMYFUNCTION("""COMPUTED_VALUE"""),"GetNonTradingTransaction")</f>
        <v>GetNonTradingTransaction</v>
      </c>
      <c r="R4" s="26" t="str">
        <f>IFERROR(__xludf.DUMMYFUNCTION("""COMPUTED_VALUE"""),"GetDividendData")</f>
        <v>GetDividendData</v>
      </c>
      <c r="S4" s="26" t="str">
        <f>IFERROR(__xludf.DUMMYFUNCTION("""COMPUTED_VALUE"""),"VerifyNonTradingTransaction")</f>
        <v>VerifyNonTradingTransaction</v>
      </c>
      <c r="T4" s="26" t="str">
        <f>IFERROR(__xludf.DUMMYFUNCTION("""COMPUTED_VALUE"""),"VerifyDividend")</f>
        <v>VerifyDividend</v>
      </c>
      <c r="U4" s="26" t="str">
        <f>IFERROR(__xludf.DUMMYFUNCTION("""COMPUTED_VALUE"""),"GetOpeningBalanceData")</f>
        <v>GetOpeningBalanceData</v>
      </c>
      <c r="V4" s="26" t="str">
        <f>IFERROR(__xludf.DUMMYFUNCTION("""COMPUTED_VALUE"""),"GetAccountBalance")</f>
        <v>GetAccountBalance</v>
      </c>
      <c r="W4" s="26" t="str">
        <f>IFERROR(__xludf.DUMMYFUNCTION("""COMPUTED_VALUE"""),"SelectNonTradingTransaction")</f>
        <v>SelectNonTradingTransaction</v>
      </c>
      <c r="X4" s="26" t="str">
        <f>IFERROR(__xludf.DUMMYFUNCTION("""COMPUTED_VALUE"""),"SelectNonTradingTranItem")</f>
        <v>SelectNonTradingTranItem</v>
      </c>
      <c r="Y4" s="26" t="str">
        <f>IFERROR(__xludf.DUMMYFUNCTION("""COMPUTED_VALUE"""),"DeleteNonTradingTransaction")</f>
        <v>DeleteNonTradingTransaction</v>
      </c>
      <c r="Z4" s="26" t="str">
        <f>IFERROR(__xludf.DUMMYFUNCTION("""COMPUTED_VALUE"""),"DeleteNonTradingTranItem")</f>
        <v>DeleteNonTradingTranItem</v>
      </c>
      <c r="AA4" s="26" t="str">
        <f>IFERROR(__xludf.DUMMYFUNCTION("""COMPUTED_VALUE"""),"AddNonTradingTransaction")</f>
        <v>AddNonTradingTransaction</v>
      </c>
      <c r="AB4" s="26" t="str">
        <f>IFERROR(__xludf.DUMMYFUNCTION("""COMPUTED_VALUE"""),"AddNonTradingTranItem")</f>
        <v>AddNonTradingTranItem</v>
      </c>
      <c r="AC4" s="26" t="str">
        <f>IFERROR(__xludf.DUMMYFUNCTION("""COMPUTED_VALUE"""),"VerifyOpeningBalanceData")</f>
        <v>VerifyOpeningBalanceData</v>
      </c>
      <c r="AD4" s="26" t="str">
        <f>IFERROR(__xludf.DUMMYFUNCTION("""COMPUTED_VALUE"""),"SelectOpeningBalanceTransaction")</f>
        <v>SelectOpeningBalanceTransaction</v>
      </c>
      <c r="AE4" s="26" t="str">
        <f>IFERROR(__xludf.DUMMYFUNCTION("""COMPUTED_VALUE"""),"SelectOpeningBalanceTranItem")</f>
        <v>SelectOpeningBalanceTranItem</v>
      </c>
      <c r="AF4" s="26" t="str">
        <f>IFERROR(__xludf.DUMMYFUNCTION("""COMPUTED_VALUE"""),"EditNonTradingTransaction")</f>
        <v>EditNonTradingTransaction</v>
      </c>
      <c r="AG4" s="26" t="str">
        <f>IFERROR(__xludf.DUMMYFUNCTION("""COMPUTED_VALUE"""),"EditNonTradingTranItem")</f>
        <v>EditNonTradingTranItem</v>
      </c>
      <c r="AH4" s="26" t="str">
        <f>IFERROR(__xludf.DUMMYFUNCTION("""COMPUTED_VALUE"""),"DeleteOpeningBalanceTransaction")</f>
        <v>DeleteOpeningBalanceTransaction</v>
      </c>
      <c r="AI4" s="26" t="str">
        <f>IFERROR(__xludf.DUMMYFUNCTION("""COMPUTED_VALUE"""),"DeleteOpeningBalanceTranItem")</f>
        <v>DeleteOpeningBalanceTranItem</v>
      </c>
      <c r="AJ4" s="26" t="str">
        <f>IFERROR(__xludf.DUMMYFUNCTION("""COMPUTED_VALUE"""),"GetDayEndCash")</f>
        <v>GetDayEndCash</v>
      </c>
      <c r="AK4" s="26" t="str">
        <f>IFERROR(__xludf.DUMMYFUNCTION("""COMPUTED_VALUE"""),"VerifyDayEndCash")</f>
        <v>VerifyDayEndCash</v>
      </c>
      <c r="AL4" s="26" t="str">
        <f>IFERROR(__xludf.DUMMYFUNCTION("""COMPUTED_VALUE"""),"RunRevaluation")</f>
        <v>RunRevaluation</v>
      </c>
      <c r="AM4" s="26" t="str">
        <f>IFERROR(__xludf.DUMMYFUNCTION("""COMPUTED_VALUE"""),"CalculateDayEndCash")</f>
        <v>CalculateDayEndCash</v>
      </c>
      <c r="AN4" s="26" t="str">
        <f>IFERROR(__xludf.DUMMYFUNCTION("""COMPUTED_VALUE"""),"AddMultipleOpeningBalTranItem")</f>
        <v>AddMultipleOpeningBalTranItem</v>
      </c>
      <c r="AO4" s="26" t="str">
        <f>IFERROR(__xludf.DUMMYFUNCTION("""COMPUTED_VALUE"""),"VerifyAccountBalances")</f>
        <v>VerifyAccountBalances</v>
      </c>
      <c r="AP4" s="26" t="str">
        <f>IFERROR(__xludf.DUMMYFUNCTION("""COMPUTED_VALUE"""),"GetCashTransaction")</f>
        <v>GetCashTransaction</v>
      </c>
      <c r="AQ4" s="26" t="str">
        <f>IFERROR(__xludf.DUMMYFUNCTION("""COMPUTED_VALUE"""),"SelectCashTransaction")</f>
        <v>SelectCashTransaction</v>
      </c>
      <c r="AR4" s="26" t="str">
        <f>IFERROR(__xludf.DUMMYFUNCTION("""COMPUTED_VALUE"""),"DeleteCashTransaction")</f>
        <v>DeleteCashTransaction</v>
      </c>
      <c r="AS4" s="26" t="str">
        <f>IFERROR(__xludf.DUMMYFUNCTION("""COMPUTED_VALUE"""),"EditCashTransaction")</f>
        <v>EditCashTransaction</v>
      </c>
      <c r="AT4" s="26" t="str">
        <f>IFERROR(__xludf.DUMMYFUNCTION("""COMPUTED_VALUE"""),"AddCashTransaction")</f>
        <v>AddCashTransaction</v>
      </c>
      <c r="AU4" s="26" t="str">
        <f>IFERROR(__xludf.DUMMYFUNCTION("""COMPUTED_VALUE"""),"VerifyCashTransaction")</f>
        <v>VerifyCashTransaction</v>
      </c>
      <c r="AV4" s="26" t="str">
        <f>IFERROR(__xludf.DUMMYFUNCTION("""COMPUTED_VALUE"""),"AddOpeningBalanceTransaction")</f>
        <v>AddOpeningBalanceTransaction</v>
      </c>
      <c r="AW4" s="26" t="str">
        <f>IFERROR(__xludf.DUMMYFUNCTION("""COMPUTED_VALUE"""),"AddOpeningBalanceTranItem")</f>
        <v>AddOpeningBalanceTranItem</v>
      </c>
      <c r="AX4" s="26" t="str">
        <f>IFERROR(__xludf.DUMMYFUNCTION("""COMPUTED_VALUE"""),"GetDailyCalculationsData")</f>
        <v>GetDailyCalculationsData</v>
      </c>
      <c r="AY4" s="26" t="str">
        <f>IFERROR(__xludf.DUMMYFUNCTION("""COMPUTED_VALUE"""),"CalculateDailyCalculations")</f>
        <v>CalculateDailyCalculations</v>
      </c>
      <c r="AZ4" s="26" t="str">
        <f>IFERROR(__xludf.DUMMYFUNCTION("""COMPUTED_VALUE"""),"EditOpeningBalanceTransaction")</f>
        <v>EditOpeningBalanceTransaction</v>
      </c>
      <c r="BA4" s="26" t="str">
        <f>IFERROR(__xludf.DUMMYFUNCTION("""COMPUTED_VALUE"""),"EditOpeningBalanceTranItem")</f>
        <v>EditOpeningBalanceTranItem</v>
      </c>
      <c r="BB4" s="26" t="str">
        <f>IFERROR(__xludf.DUMMYFUNCTION("""COMPUTED_VALUE"""),"VerifyDailyCalTransactions")</f>
        <v>VerifyDailyCalTransactions</v>
      </c>
      <c r="BC4" s="26" t="str">
        <f>IFERROR(__xludf.DUMMYFUNCTION("""COMPUTED_VALUE"""),"CloseGeneralLedger")</f>
        <v>CloseGeneralLedger</v>
      </c>
      <c r="BD4" s="26" t="str">
        <f>IFERROR(__xludf.DUMMYFUNCTION("""COMPUTED_VALUE"""),"VerifyAccountDetails")</f>
        <v>VerifyAccountDetails</v>
      </c>
      <c r="BE4" s="26" t="str">
        <f>IFERROR(__xludf.DUMMYFUNCTION("""COMPUTED_VALUE"""),"SaveTransaction")</f>
        <v>SaveTransaction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IFERROR(__xludf.DUMMYFUNCTION("""COMPUTED_VALUE"""),"Date Type")</f>
        <v>Date Type</v>
      </c>
      <c r="D5" s="28" t="str">
        <f>IFERROR(__xludf.DUMMYFUNCTION("""COMPUTED_VALUE"""),"From Date")</f>
        <v>From Date</v>
      </c>
      <c r="E5" s="28" t="str">
        <f>IFERROR(__xludf.DUMMYFUNCTION("""COMPUTED_VALUE"""),"To Date")</f>
        <v>To Date</v>
      </c>
      <c r="F5" s="29" t="str">
        <f>IFERROR(__xludf.DUMMYFUNCTION("""COMPUTED_VALUE"""),"Symbol")</f>
        <v>Symbol</v>
      </c>
      <c r="G5" s="28" t="str">
        <f>IFERROR(__xludf.DUMMYFUNCTION("""COMPUTED_VALUE"""),"Contains")</f>
        <v>Contains</v>
      </c>
      <c r="H5" s="28" t="str">
        <f>IFERROR(__xludf.DUMMYFUNCTION("""COMPUTED_VALUE"""),"Exact")</f>
        <v>Exact</v>
      </c>
      <c r="I5" s="28" t="str">
        <f>IFERROR(__xludf.DUMMYFUNCTION("""COMPUTED_VALUE"""),"Starts With")</f>
        <v>Starts With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5"/>
      <c r="B6" s="41" t="s">
        <v>25</v>
      </c>
      <c r="C6" s="41"/>
      <c r="D6" s="52">
        <f>today()-3</f>
        <v>45851</v>
      </c>
      <c r="E6" s="52">
        <f>today()</f>
        <v>45854</v>
      </c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GetCashTransaction!$4:$4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49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IFERROR(__xludf.DUMMYFUNCTION("IF(C3="""","""",Transpose(IMPORTRANGE('_Settings'!$B$3,C3&amp;""!A4:A1000"")))"),"GetDataCash")</f>
        <v>GetDataCash</v>
      </c>
      <c r="C4" s="25" t="str">
        <f>IFERROR(__xludf.DUMMYFUNCTION("""COMPUTED_VALUE"""),"EnterCashDividends")</f>
        <v>EnterCashDividends</v>
      </c>
      <c r="D4" s="25" t="str">
        <f>IFERROR(__xludf.DUMMYFUNCTION("""COMPUTED_VALUE"""),"EnterNonTradingTransaction")</f>
        <v>EnterNonTradingTransaction</v>
      </c>
      <c r="E4" s="25" t="str">
        <f>IFERROR(__xludf.DUMMYFUNCTION("""COMPUTED_VALUE"""),"VerifyCash")</f>
        <v>VerifyCash</v>
      </c>
      <c r="F4" s="25" t="str">
        <f>IFERROR(__xludf.DUMMYFUNCTION("""COMPUTED_VALUE"""),"VerifyActivity")</f>
        <v>VerifyActivity</v>
      </c>
      <c r="G4" s="25" t="str">
        <f>IFERROR(__xludf.DUMMYFUNCTION("""COMPUTED_VALUE"""),"VerifyTradingTransaction")</f>
        <v>VerifyTradingTransaction</v>
      </c>
      <c r="H4" s="25" t="str">
        <f>IFERROR(__xludf.DUMMYFUNCTION("""COMPUTED_VALUE"""),"VerifyRevaluationData")</f>
        <v>VerifyRevaluationData</v>
      </c>
      <c r="I4" s="25" t="str">
        <f>IFERROR(__xludf.DUMMYFUNCTION("""COMPUTED_VALUE"""),"RunManualRevaluation")</f>
        <v>RunManualRevaluation</v>
      </c>
      <c r="J4" s="25" t="str">
        <f>IFERROR(__xludf.DUMMYFUNCTION("""COMPUTED_VALUE"""),"SaveCashTransaction")</f>
        <v>SaveCashTransaction</v>
      </c>
      <c r="K4" s="25" t="str">
        <f>IFERROR(__xludf.DUMMYFUNCTION("""COMPUTED_VALUE"""),"EditGridCashTransactions")</f>
        <v>EditGridCashTransactions</v>
      </c>
      <c r="L4" s="25" t="str">
        <f>IFERROR(__xludf.DUMMYFUNCTION("""COMPUTED_VALUE"""),"FilterCashTransactionGrid")</f>
        <v>FilterCashTransactionGrid</v>
      </c>
      <c r="M4" s="25" t="str">
        <f>IFERROR(__xludf.DUMMYFUNCTION("""COMPUTED_VALUE"""),"GetTradingTransaction")</f>
        <v>GetTradingTransaction</v>
      </c>
      <c r="N4" s="25" t="str">
        <f>IFERROR(__xludf.DUMMYFUNCTION("""COMPUTED_VALUE"""),"GetActivityData")</f>
        <v>GetActivityData</v>
      </c>
      <c r="O4" s="25" t="str">
        <f>IFERROR(__xludf.DUMMYFUNCTION("""COMPUTED_VALUE"""),"GetRevaluationData")</f>
        <v>GetRevaluationData</v>
      </c>
      <c r="P4" s="26" t="str">
        <f>IFERROR(__xludf.DUMMYFUNCTION("""COMPUTED_VALUE"""),"GetAccountDetails")</f>
        <v>GetAccountDetails</v>
      </c>
      <c r="Q4" s="26" t="str">
        <f>IFERROR(__xludf.DUMMYFUNCTION("""COMPUTED_VALUE"""),"GetNonTradingTransaction")</f>
        <v>GetNonTradingTransaction</v>
      </c>
      <c r="R4" s="26" t="str">
        <f>IFERROR(__xludf.DUMMYFUNCTION("""COMPUTED_VALUE"""),"GetDividendData")</f>
        <v>GetDividendData</v>
      </c>
      <c r="S4" s="26" t="str">
        <f>IFERROR(__xludf.DUMMYFUNCTION("""COMPUTED_VALUE"""),"VerifyNonTradingTransaction")</f>
        <v>VerifyNonTradingTransaction</v>
      </c>
      <c r="T4" s="26" t="str">
        <f>IFERROR(__xludf.DUMMYFUNCTION("""COMPUTED_VALUE"""),"VerifyDividend")</f>
        <v>VerifyDividend</v>
      </c>
      <c r="U4" s="26" t="str">
        <f>IFERROR(__xludf.DUMMYFUNCTION("""COMPUTED_VALUE"""),"GetOpeningBalanceData")</f>
        <v>GetOpeningBalanceData</v>
      </c>
      <c r="V4" s="26" t="str">
        <f>IFERROR(__xludf.DUMMYFUNCTION("""COMPUTED_VALUE"""),"GetAccountBalance")</f>
        <v>GetAccountBalance</v>
      </c>
      <c r="W4" s="26" t="str">
        <f>IFERROR(__xludf.DUMMYFUNCTION("""COMPUTED_VALUE"""),"SelectNonTradingTransaction")</f>
        <v>SelectNonTradingTransaction</v>
      </c>
      <c r="X4" s="26" t="str">
        <f>IFERROR(__xludf.DUMMYFUNCTION("""COMPUTED_VALUE"""),"SelectNonTradingTranItem")</f>
        <v>SelectNonTradingTranItem</v>
      </c>
      <c r="Y4" s="26" t="str">
        <f>IFERROR(__xludf.DUMMYFUNCTION("""COMPUTED_VALUE"""),"DeleteNonTradingTransaction")</f>
        <v>DeleteNonTradingTransaction</v>
      </c>
      <c r="Z4" s="26" t="str">
        <f>IFERROR(__xludf.DUMMYFUNCTION("""COMPUTED_VALUE"""),"DeleteNonTradingTranItem")</f>
        <v>DeleteNonTradingTranItem</v>
      </c>
      <c r="AA4" s="26" t="str">
        <f>IFERROR(__xludf.DUMMYFUNCTION("""COMPUTED_VALUE"""),"AddNonTradingTransaction")</f>
        <v>AddNonTradingTransaction</v>
      </c>
      <c r="AB4" s="26" t="str">
        <f>IFERROR(__xludf.DUMMYFUNCTION("""COMPUTED_VALUE"""),"AddNonTradingTranItem")</f>
        <v>AddNonTradingTranItem</v>
      </c>
      <c r="AC4" s="26" t="str">
        <f>IFERROR(__xludf.DUMMYFUNCTION("""COMPUTED_VALUE"""),"VerifyOpeningBalanceData")</f>
        <v>VerifyOpeningBalanceData</v>
      </c>
      <c r="AD4" s="26" t="str">
        <f>IFERROR(__xludf.DUMMYFUNCTION("""COMPUTED_VALUE"""),"SelectOpeningBalanceTransaction")</f>
        <v>SelectOpeningBalanceTransaction</v>
      </c>
      <c r="AE4" s="26" t="str">
        <f>IFERROR(__xludf.DUMMYFUNCTION("""COMPUTED_VALUE"""),"SelectOpeningBalanceTranItem")</f>
        <v>SelectOpeningBalanceTranItem</v>
      </c>
      <c r="AF4" s="26" t="str">
        <f>IFERROR(__xludf.DUMMYFUNCTION("""COMPUTED_VALUE"""),"EditNonTradingTransaction")</f>
        <v>EditNonTradingTransaction</v>
      </c>
      <c r="AG4" s="26" t="str">
        <f>IFERROR(__xludf.DUMMYFUNCTION("""COMPUTED_VALUE"""),"EditNonTradingTranItem")</f>
        <v>EditNonTradingTranItem</v>
      </c>
      <c r="AH4" s="26" t="str">
        <f>IFERROR(__xludf.DUMMYFUNCTION("""COMPUTED_VALUE"""),"DeleteOpeningBalanceTransaction")</f>
        <v>DeleteOpeningBalanceTransaction</v>
      </c>
      <c r="AI4" s="26" t="str">
        <f>IFERROR(__xludf.DUMMYFUNCTION("""COMPUTED_VALUE"""),"DeleteOpeningBalanceTranItem")</f>
        <v>DeleteOpeningBalanceTranItem</v>
      </c>
      <c r="AJ4" s="26" t="str">
        <f>IFERROR(__xludf.DUMMYFUNCTION("""COMPUTED_VALUE"""),"GetDayEndCash")</f>
        <v>GetDayEndCash</v>
      </c>
      <c r="AK4" s="26" t="str">
        <f>IFERROR(__xludf.DUMMYFUNCTION("""COMPUTED_VALUE"""),"VerifyDayEndCash")</f>
        <v>VerifyDayEndCash</v>
      </c>
      <c r="AL4" s="26" t="str">
        <f>IFERROR(__xludf.DUMMYFUNCTION("""COMPUTED_VALUE"""),"RunRevaluation")</f>
        <v>RunRevaluation</v>
      </c>
      <c r="AM4" s="26" t="str">
        <f>IFERROR(__xludf.DUMMYFUNCTION("""COMPUTED_VALUE"""),"CalculateDayEndCash")</f>
        <v>CalculateDayEndCash</v>
      </c>
      <c r="AN4" s="26" t="str">
        <f>IFERROR(__xludf.DUMMYFUNCTION("""COMPUTED_VALUE"""),"AddMultipleOpeningBalTranItem")</f>
        <v>AddMultipleOpeningBalTranItem</v>
      </c>
      <c r="AO4" s="26" t="str">
        <f>IFERROR(__xludf.DUMMYFUNCTION("""COMPUTED_VALUE"""),"VerifyAccountBalances")</f>
        <v>VerifyAccountBalances</v>
      </c>
      <c r="AP4" s="26" t="str">
        <f>IFERROR(__xludf.DUMMYFUNCTION("""COMPUTED_VALUE"""),"GetCashTransaction")</f>
        <v>GetCashTransaction</v>
      </c>
      <c r="AQ4" s="26" t="str">
        <f>IFERROR(__xludf.DUMMYFUNCTION("""COMPUTED_VALUE"""),"SelectCashTransaction")</f>
        <v>SelectCashTransaction</v>
      </c>
      <c r="AR4" s="26" t="str">
        <f>IFERROR(__xludf.DUMMYFUNCTION("""COMPUTED_VALUE"""),"DeleteCashTransaction")</f>
        <v>DeleteCashTransaction</v>
      </c>
      <c r="AS4" s="26" t="str">
        <f>IFERROR(__xludf.DUMMYFUNCTION("""COMPUTED_VALUE"""),"EditCashTransaction")</f>
        <v>EditCashTransaction</v>
      </c>
      <c r="AT4" s="26" t="str">
        <f>IFERROR(__xludf.DUMMYFUNCTION("""COMPUTED_VALUE"""),"AddCashTransaction")</f>
        <v>AddCashTransaction</v>
      </c>
      <c r="AU4" s="26" t="str">
        <f>IFERROR(__xludf.DUMMYFUNCTION("""COMPUTED_VALUE"""),"VerifyCashTransaction")</f>
        <v>VerifyCashTransaction</v>
      </c>
      <c r="AV4" s="26" t="str">
        <f>IFERROR(__xludf.DUMMYFUNCTION("""COMPUTED_VALUE"""),"AddOpeningBalanceTransaction")</f>
        <v>AddOpeningBalanceTransaction</v>
      </c>
      <c r="AW4" s="26" t="str">
        <f>IFERROR(__xludf.DUMMYFUNCTION("""COMPUTED_VALUE"""),"AddOpeningBalanceTranItem")</f>
        <v>AddOpeningBalanceTranItem</v>
      </c>
      <c r="AX4" s="26" t="str">
        <f>IFERROR(__xludf.DUMMYFUNCTION("""COMPUTED_VALUE"""),"GetDailyCalculationsData")</f>
        <v>GetDailyCalculationsData</v>
      </c>
      <c r="AY4" s="26" t="str">
        <f>IFERROR(__xludf.DUMMYFUNCTION("""COMPUTED_VALUE"""),"CalculateDailyCalculations")</f>
        <v>CalculateDailyCalculations</v>
      </c>
      <c r="AZ4" s="26" t="str">
        <f>IFERROR(__xludf.DUMMYFUNCTION("""COMPUTED_VALUE"""),"EditOpeningBalanceTransaction")</f>
        <v>EditOpeningBalanceTransaction</v>
      </c>
      <c r="BA4" s="26" t="str">
        <f>IFERROR(__xludf.DUMMYFUNCTION("""COMPUTED_VALUE"""),"EditOpeningBalanceTranItem")</f>
        <v>EditOpeningBalanceTranItem</v>
      </c>
      <c r="BB4" s="26" t="str">
        <f>IFERROR(__xludf.DUMMYFUNCTION("""COMPUTED_VALUE"""),"VerifyDailyCalTransactions")</f>
        <v>VerifyDailyCalTransactions</v>
      </c>
      <c r="BC4" s="26" t="str">
        <f>IFERROR(__xludf.DUMMYFUNCTION("""COMPUTED_VALUE"""),"CloseGeneralLedger")</f>
        <v>CloseGeneralLedger</v>
      </c>
      <c r="BD4" s="26" t="str">
        <f>IFERROR(__xludf.DUMMYFUNCTION("""COMPUTED_VALUE"""),"VerifyAccountDetails")</f>
        <v>VerifyAccountDetails</v>
      </c>
      <c r="BE4" s="26" t="str">
        <f>IFERROR(__xludf.DUMMYFUNCTION("""COMPUTED_VALUE"""),"SaveTransaction")</f>
        <v>SaveTransaction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IFERROR(__xludf.DUMMYFUNCTION("""COMPUTED_VALUE"""),"CashTransactionId")</f>
        <v>CashTransactionId</v>
      </c>
      <c r="C5" s="28" t="str">
        <f>IFERROR(__xludf.DUMMYFUNCTION("""COMPUTED_VALUE"""),"Activity Type")</f>
        <v>Activity Type</v>
      </c>
      <c r="D5" s="28" t="str">
        <f>IFERROR(__xludf.DUMMYFUNCTION("""COMPUTED_VALUE"""),"Symbol")</f>
        <v>Symbol</v>
      </c>
      <c r="E5" s="28" t="str">
        <f>IFERROR(__xludf.DUMMYFUNCTION("""COMPUTED_VALUE"""),"Strategy")</f>
        <v>Strategy</v>
      </c>
      <c r="F5" s="29" t="str">
        <f>IFERROR(__xludf.DUMMYFUNCTION("""COMPUTED_VALUE"""),"Account")</f>
        <v>Account</v>
      </c>
      <c r="G5" s="28" t="str">
        <f>IFERROR(__xludf.DUMMYFUNCTION("""COMPUTED_VALUE"""),"Currency")</f>
        <v>Currency</v>
      </c>
      <c r="H5" s="28" t="str">
        <f>IFERROR(__xludf.DUMMYFUNCTION("""COMPUTED_VALUE"""),"Amount")</f>
        <v>Amount</v>
      </c>
      <c r="I5" s="28" t="str">
        <f>IFERROR(__xludf.DUMMYFUNCTION("""COMPUTED_VALUE"""),"Ex Date")</f>
        <v>Ex Date</v>
      </c>
      <c r="J5" s="28" t="str">
        <f>IFERROR(__xludf.DUMMYFUNCTION("""COMPUTED_VALUE"""),"Payout Date")</f>
        <v>Payout Date</v>
      </c>
      <c r="K5" s="28" t="str">
        <f>IFERROR(__xludf.DUMMYFUNCTION("""COMPUTED_VALUE"""),"Record Date")</f>
        <v>Record Date</v>
      </c>
      <c r="L5" s="28" t="str">
        <f>IFERROR(__xludf.DUMMYFUNCTION("""COMPUTED_VALUE"""),"Declaration Date")</f>
        <v>Declaration Date</v>
      </c>
      <c r="M5" s="28" t="str">
        <f>IFERROR(__xludf.DUMMYFUNCTION("""COMPUTED_VALUE"""),"Description")</f>
        <v>Description</v>
      </c>
      <c r="N5" s="28" t="str">
        <f>IFERROR(__xludf.DUMMYFUNCTION("""COMPUTED_VALUE"""),"Other Currency")</f>
        <v>Other Currency</v>
      </c>
      <c r="O5" s="28" t="str">
        <f>IFERROR(__xludf.DUMMYFUNCTION("""COMPUTED_VALUE"""),"FXRate")</f>
        <v>FXRate</v>
      </c>
      <c r="P5" s="28" t="str">
        <f>IFERROR(__xludf.DUMMYFUNCTION("""COMPUTED_VALUE"""),"FXConversionMethodOperator")</f>
        <v>FXConversionMethodOperator</v>
      </c>
      <c r="Q5" s="28" t="str">
        <f>IFERROR(__xludf.DUMMYFUNCTION("""COMPUTED_VALUE"""),"Transaction Source")</f>
        <v>Transaction Source</v>
      </c>
      <c r="R5" s="28" t="str">
        <f>IFERROR(__xludf.DUMMYFUNCTION("""COMPUTED_VALUE"""),"Entry Date")</f>
        <v>Entry Date</v>
      </c>
      <c r="S5" s="28" t="str">
        <f>IFERROR(__xludf.DUMMYFUNCTION("""COMPUTED_VALUE"""),"Modify Date")</f>
        <v>Modify Date</v>
      </c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0"/>
      <c r="B6" s="41"/>
      <c r="C6" s="41" t="s">
        <v>52</v>
      </c>
      <c r="D6" s="41" t="s">
        <v>24</v>
      </c>
      <c r="E6" s="41"/>
      <c r="F6" s="41" t="s">
        <v>25</v>
      </c>
      <c r="G6" s="41" t="s">
        <v>45</v>
      </c>
      <c r="H6" s="61">
        <v>100000.0</v>
      </c>
      <c r="I6" s="62">
        <f>today()-2</f>
        <v>45852</v>
      </c>
      <c r="J6" s="62">
        <f>today()+8</f>
        <v>45862</v>
      </c>
      <c r="K6" s="62"/>
      <c r="L6" s="62"/>
      <c r="M6" s="41"/>
      <c r="N6" s="41"/>
      <c r="O6" s="41"/>
      <c r="P6" s="41"/>
      <c r="Q6" s="41"/>
      <c r="R6" s="41"/>
      <c r="S6" s="41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AddCashTransaction!$4:$4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49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IFERROR(__xludf.DUMMYFUNCTION("IF(C3="""","""",Transpose(IMPORTRANGE('_Settings'!$B$3,C3&amp;""!A4:A1000"")))"),"GetDataCash")</f>
        <v>GetDataCash</v>
      </c>
      <c r="C4" s="25" t="str">
        <f>IFERROR(__xludf.DUMMYFUNCTION("""COMPUTED_VALUE"""),"EnterCashDividends")</f>
        <v>EnterCashDividends</v>
      </c>
      <c r="D4" s="25" t="str">
        <f>IFERROR(__xludf.DUMMYFUNCTION("""COMPUTED_VALUE"""),"EnterNonTradingTransaction")</f>
        <v>EnterNonTradingTransaction</v>
      </c>
      <c r="E4" s="25" t="str">
        <f>IFERROR(__xludf.DUMMYFUNCTION("""COMPUTED_VALUE"""),"VerifyCash")</f>
        <v>VerifyCash</v>
      </c>
      <c r="F4" s="25" t="str">
        <f>IFERROR(__xludf.DUMMYFUNCTION("""COMPUTED_VALUE"""),"VerifyActivity")</f>
        <v>VerifyActivity</v>
      </c>
      <c r="G4" s="25" t="str">
        <f>IFERROR(__xludf.DUMMYFUNCTION("""COMPUTED_VALUE"""),"VerifyTradingTransaction")</f>
        <v>VerifyTradingTransaction</v>
      </c>
      <c r="H4" s="25" t="str">
        <f>IFERROR(__xludf.DUMMYFUNCTION("""COMPUTED_VALUE"""),"VerifyRevaluationData")</f>
        <v>VerifyRevaluationData</v>
      </c>
      <c r="I4" s="25" t="str">
        <f>IFERROR(__xludf.DUMMYFUNCTION("""COMPUTED_VALUE"""),"RunManualRevaluation")</f>
        <v>RunManualRevaluation</v>
      </c>
      <c r="J4" s="25" t="str">
        <f>IFERROR(__xludf.DUMMYFUNCTION("""COMPUTED_VALUE"""),"SaveCashTransaction")</f>
        <v>SaveCashTransaction</v>
      </c>
      <c r="K4" s="25" t="str">
        <f>IFERROR(__xludf.DUMMYFUNCTION("""COMPUTED_VALUE"""),"EditGridCashTransactions")</f>
        <v>EditGridCashTransactions</v>
      </c>
      <c r="L4" s="25" t="str">
        <f>IFERROR(__xludf.DUMMYFUNCTION("""COMPUTED_VALUE"""),"FilterCashTransactionGrid")</f>
        <v>FilterCashTransactionGrid</v>
      </c>
      <c r="M4" s="25" t="str">
        <f>IFERROR(__xludf.DUMMYFUNCTION("""COMPUTED_VALUE"""),"GetTradingTransaction")</f>
        <v>GetTradingTransaction</v>
      </c>
      <c r="N4" s="25" t="str">
        <f>IFERROR(__xludf.DUMMYFUNCTION("""COMPUTED_VALUE"""),"GetActivityData")</f>
        <v>GetActivityData</v>
      </c>
      <c r="O4" s="25" t="str">
        <f>IFERROR(__xludf.DUMMYFUNCTION("""COMPUTED_VALUE"""),"GetRevaluationData")</f>
        <v>GetRevaluationData</v>
      </c>
      <c r="P4" s="26" t="str">
        <f>IFERROR(__xludf.DUMMYFUNCTION("""COMPUTED_VALUE"""),"GetAccountDetails")</f>
        <v>GetAccountDetails</v>
      </c>
      <c r="Q4" s="26" t="str">
        <f>IFERROR(__xludf.DUMMYFUNCTION("""COMPUTED_VALUE"""),"GetNonTradingTransaction")</f>
        <v>GetNonTradingTransaction</v>
      </c>
      <c r="R4" s="26" t="str">
        <f>IFERROR(__xludf.DUMMYFUNCTION("""COMPUTED_VALUE"""),"GetDividendData")</f>
        <v>GetDividendData</v>
      </c>
      <c r="S4" s="26" t="str">
        <f>IFERROR(__xludf.DUMMYFUNCTION("""COMPUTED_VALUE"""),"VerifyNonTradingTransaction")</f>
        <v>VerifyNonTradingTransaction</v>
      </c>
      <c r="T4" s="26" t="str">
        <f>IFERROR(__xludf.DUMMYFUNCTION("""COMPUTED_VALUE"""),"VerifyDividend")</f>
        <v>VerifyDividend</v>
      </c>
      <c r="U4" s="26" t="str">
        <f>IFERROR(__xludf.DUMMYFUNCTION("""COMPUTED_VALUE"""),"GetOpeningBalanceData")</f>
        <v>GetOpeningBalanceData</v>
      </c>
      <c r="V4" s="26" t="str">
        <f>IFERROR(__xludf.DUMMYFUNCTION("""COMPUTED_VALUE"""),"GetAccountBalance")</f>
        <v>GetAccountBalance</v>
      </c>
      <c r="W4" s="26" t="str">
        <f>IFERROR(__xludf.DUMMYFUNCTION("""COMPUTED_VALUE"""),"SelectNonTradingTransaction")</f>
        <v>SelectNonTradingTransaction</v>
      </c>
      <c r="X4" s="26" t="str">
        <f>IFERROR(__xludf.DUMMYFUNCTION("""COMPUTED_VALUE"""),"SelectNonTradingTranItem")</f>
        <v>SelectNonTradingTranItem</v>
      </c>
      <c r="Y4" s="26" t="str">
        <f>IFERROR(__xludf.DUMMYFUNCTION("""COMPUTED_VALUE"""),"DeleteNonTradingTransaction")</f>
        <v>DeleteNonTradingTransaction</v>
      </c>
      <c r="Z4" s="26" t="str">
        <f>IFERROR(__xludf.DUMMYFUNCTION("""COMPUTED_VALUE"""),"DeleteNonTradingTranItem")</f>
        <v>DeleteNonTradingTranItem</v>
      </c>
      <c r="AA4" s="26" t="str">
        <f>IFERROR(__xludf.DUMMYFUNCTION("""COMPUTED_VALUE"""),"AddNonTradingTransaction")</f>
        <v>AddNonTradingTransaction</v>
      </c>
      <c r="AB4" s="26" t="str">
        <f>IFERROR(__xludf.DUMMYFUNCTION("""COMPUTED_VALUE"""),"AddNonTradingTranItem")</f>
        <v>AddNonTradingTranItem</v>
      </c>
      <c r="AC4" s="26" t="str">
        <f>IFERROR(__xludf.DUMMYFUNCTION("""COMPUTED_VALUE"""),"VerifyOpeningBalanceData")</f>
        <v>VerifyOpeningBalanceData</v>
      </c>
      <c r="AD4" s="26" t="str">
        <f>IFERROR(__xludf.DUMMYFUNCTION("""COMPUTED_VALUE"""),"SelectOpeningBalanceTransaction")</f>
        <v>SelectOpeningBalanceTransaction</v>
      </c>
      <c r="AE4" s="26" t="str">
        <f>IFERROR(__xludf.DUMMYFUNCTION("""COMPUTED_VALUE"""),"SelectOpeningBalanceTranItem")</f>
        <v>SelectOpeningBalanceTranItem</v>
      </c>
      <c r="AF4" s="26" t="str">
        <f>IFERROR(__xludf.DUMMYFUNCTION("""COMPUTED_VALUE"""),"EditNonTradingTransaction")</f>
        <v>EditNonTradingTransaction</v>
      </c>
      <c r="AG4" s="26" t="str">
        <f>IFERROR(__xludf.DUMMYFUNCTION("""COMPUTED_VALUE"""),"EditNonTradingTranItem")</f>
        <v>EditNonTradingTranItem</v>
      </c>
      <c r="AH4" s="26" t="str">
        <f>IFERROR(__xludf.DUMMYFUNCTION("""COMPUTED_VALUE"""),"DeleteOpeningBalanceTransaction")</f>
        <v>DeleteOpeningBalanceTransaction</v>
      </c>
      <c r="AI4" s="26" t="str">
        <f>IFERROR(__xludf.DUMMYFUNCTION("""COMPUTED_VALUE"""),"DeleteOpeningBalanceTranItem")</f>
        <v>DeleteOpeningBalanceTranItem</v>
      </c>
      <c r="AJ4" s="26" t="str">
        <f>IFERROR(__xludf.DUMMYFUNCTION("""COMPUTED_VALUE"""),"GetDayEndCash")</f>
        <v>GetDayEndCash</v>
      </c>
      <c r="AK4" s="26" t="str">
        <f>IFERROR(__xludf.DUMMYFUNCTION("""COMPUTED_VALUE"""),"VerifyDayEndCash")</f>
        <v>VerifyDayEndCash</v>
      </c>
      <c r="AL4" s="26" t="str">
        <f>IFERROR(__xludf.DUMMYFUNCTION("""COMPUTED_VALUE"""),"RunRevaluation")</f>
        <v>RunRevaluation</v>
      </c>
      <c r="AM4" s="26" t="str">
        <f>IFERROR(__xludf.DUMMYFUNCTION("""COMPUTED_VALUE"""),"CalculateDayEndCash")</f>
        <v>CalculateDayEndCash</v>
      </c>
      <c r="AN4" s="26" t="str">
        <f>IFERROR(__xludf.DUMMYFUNCTION("""COMPUTED_VALUE"""),"AddMultipleOpeningBalTranItem")</f>
        <v>AddMultipleOpeningBalTranItem</v>
      </c>
      <c r="AO4" s="26" t="str">
        <f>IFERROR(__xludf.DUMMYFUNCTION("""COMPUTED_VALUE"""),"VerifyAccountBalances")</f>
        <v>VerifyAccountBalances</v>
      </c>
      <c r="AP4" s="26" t="str">
        <f>IFERROR(__xludf.DUMMYFUNCTION("""COMPUTED_VALUE"""),"GetCashTransaction")</f>
        <v>GetCashTransaction</v>
      </c>
      <c r="AQ4" s="26" t="str">
        <f>IFERROR(__xludf.DUMMYFUNCTION("""COMPUTED_VALUE"""),"SelectCashTransaction")</f>
        <v>SelectCashTransaction</v>
      </c>
      <c r="AR4" s="26" t="str">
        <f>IFERROR(__xludf.DUMMYFUNCTION("""COMPUTED_VALUE"""),"DeleteCashTransaction")</f>
        <v>DeleteCashTransaction</v>
      </c>
      <c r="AS4" s="26" t="str">
        <f>IFERROR(__xludf.DUMMYFUNCTION("""COMPUTED_VALUE"""),"EditCashTransaction")</f>
        <v>EditCashTransaction</v>
      </c>
      <c r="AT4" s="26" t="str">
        <f>IFERROR(__xludf.DUMMYFUNCTION("""COMPUTED_VALUE"""),"AddCashTransaction")</f>
        <v>AddCashTransaction</v>
      </c>
      <c r="AU4" s="26" t="str">
        <f>IFERROR(__xludf.DUMMYFUNCTION("""COMPUTED_VALUE"""),"VerifyCashTransaction")</f>
        <v>VerifyCashTransaction</v>
      </c>
      <c r="AV4" s="26" t="str">
        <f>IFERROR(__xludf.DUMMYFUNCTION("""COMPUTED_VALUE"""),"AddOpeningBalanceTransaction")</f>
        <v>AddOpeningBalanceTransaction</v>
      </c>
      <c r="AW4" s="26" t="str">
        <f>IFERROR(__xludf.DUMMYFUNCTION("""COMPUTED_VALUE"""),"AddOpeningBalanceTranItem")</f>
        <v>AddOpeningBalanceTranItem</v>
      </c>
      <c r="AX4" s="26" t="str">
        <f>IFERROR(__xludf.DUMMYFUNCTION("""COMPUTED_VALUE"""),"GetDailyCalculationsData")</f>
        <v>GetDailyCalculationsData</v>
      </c>
      <c r="AY4" s="26" t="str">
        <f>IFERROR(__xludf.DUMMYFUNCTION("""COMPUTED_VALUE"""),"CalculateDailyCalculations")</f>
        <v>CalculateDailyCalculations</v>
      </c>
      <c r="AZ4" s="26" t="str">
        <f>IFERROR(__xludf.DUMMYFUNCTION("""COMPUTED_VALUE"""),"EditOpeningBalanceTransaction")</f>
        <v>EditOpeningBalanceTransaction</v>
      </c>
      <c r="BA4" s="26" t="str">
        <f>IFERROR(__xludf.DUMMYFUNCTION("""COMPUTED_VALUE"""),"EditOpeningBalanceTranItem")</f>
        <v>EditOpeningBalanceTranItem</v>
      </c>
      <c r="BB4" s="26" t="str">
        <f>IFERROR(__xludf.DUMMYFUNCTION("""COMPUTED_VALUE"""),"VerifyDailyCalTransactions")</f>
        <v>VerifyDailyCalTransactions</v>
      </c>
      <c r="BC4" s="26" t="str">
        <f>IFERROR(__xludf.DUMMYFUNCTION("""COMPUTED_VALUE"""),"CloseGeneralLedger")</f>
        <v>CloseGeneralLedger</v>
      </c>
      <c r="BD4" s="26" t="str">
        <f>IFERROR(__xludf.DUMMYFUNCTION("""COMPUTED_VALUE"""),"VerifyAccountDetails")</f>
        <v>VerifyAccountDetails</v>
      </c>
      <c r="BE4" s="26" t="str">
        <f>IFERROR(__xludf.DUMMYFUNCTION("""COMPUTED_VALUE"""),"SaveTransaction")</f>
        <v>SaveTransaction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IFERROR(__xludf.DUMMYFUNCTION("""COMPUTED_VALUE"""),"MasterFund")</f>
        <v>MasterFund</v>
      </c>
      <c r="C5" s="28" t="str">
        <f>IFERROR(__xludf.DUMMYFUNCTION("""COMPUTED_VALUE"""),"Accounts")</f>
        <v>Accounts</v>
      </c>
      <c r="D5" s="28" t="str">
        <f>IFERROR(__xludf.DUMMYFUNCTION("""COMPUTED_VALUE"""),"Balances as on date")</f>
        <v>Balances as on date</v>
      </c>
      <c r="E5" s="28" t="str">
        <f>IFERROR(__xludf.DUMMYFUNCTION("""COMPUTED_VALUE"""),"IsRunRevalOnGetAccountBalances")</f>
        <v>IsRunRevalOnGetAccountBalances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5"/>
      <c r="B6" s="41"/>
      <c r="C6" s="41" t="s">
        <v>25</v>
      </c>
      <c r="D6" s="52">
        <f>today()</f>
        <v>45854</v>
      </c>
      <c r="E6" s="63" t="b">
        <v>1</v>
      </c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54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64" t="s">
        <v>56</v>
      </c>
      <c r="C6" s="41" t="s">
        <v>57</v>
      </c>
      <c r="D6" s="41" t="s">
        <v>58</v>
      </c>
      <c r="E6" s="41" t="s">
        <v>59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0"/>
      <c r="C7" s="40"/>
      <c r="D7" s="40"/>
      <c r="E7" s="40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0"/>
      <c r="C8" s="40"/>
      <c r="D8" s="40"/>
      <c r="E8" s="40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0"/>
      <c r="C9" s="40"/>
      <c r="D9" s="40"/>
      <c r="E9" s="40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0"/>
      <c r="C10" s="40"/>
      <c r="D10" s="40"/>
      <c r="E10" s="40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54</v>
      </c>
      <c r="D3" s="5" t="s">
        <v>9</v>
      </c>
      <c r="E3" s="23" t="s">
        <v>60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65" t="s">
        <v>61</v>
      </c>
      <c r="D6" s="41" t="s">
        <v>62</v>
      </c>
      <c r="E6" s="32" t="b">
        <v>1</v>
      </c>
      <c r="F6" s="31" t="s">
        <v>56</v>
      </c>
      <c r="G6" s="31" t="s">
        <v>63</v>
      </c>
      <c r="H6" s="40" t="s">
        <v>64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40"/>
      <c r="D7" s="40"/>
      <c r="E7" s="40"/>
      <c r="F7" s="40"/>
      <c r="G7" s="40"/>
      <c r="H7" s="40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40"/>
      <c r="D8" s="40"/>
      <c r="E8" s="40"/>
      <c r="F8" s="40"/>
      <c r="G8" s="40"/>
      <c r="H8" s="40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40"/>
      <c r="D9" s="40"/>
      <c r="E9" s="40"/>
      <c r="F9" s="40"/>
      <c r="G9" s="40"/>
      <c r="H9" s="40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54</v>
      </c>
      <c r="D3" s="5" t="s">
        <v>9</v>
      </c>
      <c r="E3" s="23" t="s">
        <v>65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66" t="s">
        <v>66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54</v>
      </c>
      <c r="D3" s="5" t="s">
        <v>9</v>
      </c>
      <c r="E3" s="23" t="s">
        <v>67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IFERROR(__xludf.DUMMYFUNCTION("""COMPUTED_VALUE"""),"Testing Type")</f>
        <v>Testing Type</v>
      </c>
      <c r="K5" s="28" t="str">
        <f>IFERROR(__xludf.DUMMYFUNCTION("""COMPUTED_VALUE"""),"Testing Column")</f>
        <v>Testing Column</v>
      </c>
      <c r="L5" s="28" t="str">
        <f>IFERROR(__xludf.DUMMYFUNCTION("""COMPUTED_VALUE"""),"Testing Col Value")</f>
        <v>Testing Col Value</v>
      </c>
      <c r="M5" s="28" t="str">
        <f>IFERROR(__xludf.DUMMYFUNCTION("""COMPUTED_VALUE"""),"DuplicateCountOnUI")</f>
        <v>DuplicateCountOnUI</v>
      </c>
      <c r="N5" s="28" t="str">
        <f>IFERROR(__xludf.DUMMYFUNCTION("""COMPUTED_VALUE"""),"DuplicateRow")</f>
        <v>DuplicateRow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68</v>
      </c>
      <c r="C6" s="13" t="s">
        <v>69</v>
      </c>
      <c r="D6" s="13" t="s">
        <v>70</v>
      </c>
      <c r="E6" s="13">
        <v>1.23456789E8</v>
      </c>
      <c r="F6" s="13" t="s">
        <v>71</v>
      </c>
      <c r="G6" s="13" t="s">
        <v>71</v>
      </c>
      <c r="H6" s="13" t="s">
        <v>72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68</v>
      </c>
      <c r="C7" s="13" t="s">
        <v>69</v>
      </c>
      <c r="D7" s="13" t="s">
        <v>70</v>
      </c>
      <c r="E7" s="13" t="s">
        <v>28</v>
      </c>
      <c r="F7" s="13" t="s">
        <v>71</v>
      </c>
      <c r="G7" s="13" t="s">
        <v>71</v>
      </c>
      <c r="H7" s="13" t="s">
        <v>73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68</v>
      </c>
      <c r="C8" s="13" t="s">
        <v>69</v>
      </c>
      <c r="D8" s="13" t="s">
        <v>70</v>
      </c>
      <c r="E8" s="13" t="s">
        <v>24</v>
      </c>
      <c r="F8" s="13" t="s">
        <v>71</v>
      </c>
      <c r="G8" s="13" t="s">
        <v>71</v>
      </c>
      <c r="H8" s="13" t="s">
        <v>74</v>
      </c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68</v>
      </c>
      <c r="C9" s="13" t="s">
        <v>69</v>
      </c>
      <c r="D9" s="13" t="s">
        <v>70</v>
      </c>
      <c r="E9" s="13" t="s">
        <v>26</v>
      </c>
      <c r="F9" s="13" t="s">
        <v>71</v>
      </c>
      <c r="G9" s="13" t="s">
        <v>71</v>
      </c>
      <c r="H9" s="13" t="s">
        <v>75</v>
      </c>
      <c r="I9" s="8"/>
      <c r="J9" s="8"/>
      <c r="K9" s="8"/>
      <c r="L9" s="8"/>
      <c r="M9" s="8"/>
      <c r="N9" s="8"/>
      <c r="O9" s="8"/>
    </row>
    <row r="10" ht="15.75" customHeight="1">
      <c r="A10" s="8"/>
      <c r="B10" s="13" t="s">
        <v>68</v>
      </c>
      <c r="C10" s="13" t="s">
        <v>69</v>
      </c>
      <c r="D10" s="13" t="s">
        <v>70</v>
      </c>
      <c r="E10" s="13" t="s">
        <v>27</v>
      </c>
      <c r="F10" s="13" t="s">
        <v>71</v>
      </c>
      <c r="G10" s="13" t="s">
        <v>71</v>
      </c>
      <c r="H10" s="13" t="s">
        <v>76</v>
      </c>
      <c r="I10" s="8"/>
      <c r="J10" s="8"/>
      <c r="K10" s="8"/>
      <c r="L10" s="8"/>
      <c r="M10" s="8"/>
      <c r="N10" s="8"/>
      <c r="O10" s="8"/>
    </row>
    <row r="11" ht="15.75" customHeight="1">
      <c r="A11" s="8"/>
      <c r="B11" s="13" t="s">
        <v>68</v>
      </c>
      <c r="C11" s="13" t="s">
        <v>77</v>
      </c>
      <c r="D11" s="13" t="s">
        <v>78</v>
      </c>
      <c r="E11" s="13" t="s">
        <v>79</v>
      </c>
      <c r="F11" s="13" t="s">
        <v>71</v>
      </c>
      <c r="G11" s="13" t="s">
        <v>71</v>
      </c>
      <c r="H11" s="13" t="s">
        <v>80</v>
      </c>
      <c r="I11" s="8"/>
      <c r="J11" s="8"/>
      <c r="K11" s="8"/>
      <c r="L11" s="8"/>
      <c r="M11" s="8"/>
      <c r="N11" s="8"/>
      <c r="O11" s="8"/>
    </row>
    <row r="12" ht="15.75" customHeight="1">
      <c r="A12" s="8"/>
      <c r="B12" s="13" t="s">
        <v>68</v>
      </c>
      <c r="C12" s="13" t="s">
        <v>77</v>
      </c>
      <c r="D12" s="13" t="s">
        <v>78</v>
      </c>
      <c r="E12" s="13" t="s">
        <v>81</v>
      </c>
      <c r="F12" s="13" t="s">
        <v>71</v>
      </c>
      <c r="G12" s="13" t="s">
        <v>71</v>
      </c>
      <c r="H12" s="13" t="s">
        <v>82</v>
      </c>
      <c r="I12" s="8"/>
      <c r="J12" s="8"/>
      <c r="K12" s="8"/>
      <c r="L12" s="8"/>
      <c r="M12" s="8"/>
      <c r="N12" s="8"/>
      <c r="O12" s="8"/>
    </row>
    <row r="13" ht="15.75" customHeight="1">
      <c r="A13" s="8"/>
      <c r="B13" s="13" t="s">
        <v>68</v>
      </c>
      <c r="C13" s="13" t="s">
        <v>77</v>
      </c>
      <c r="D13" s="13" t="s">
        <v>78</v>
      </c>
      <c r="E13" s="13" t="s">
        <v>83</v>
      </c>
      <c r="F13" s="13" t="s">
        <v>71</v>
      </c>
      <c r="G13" s="13" t="s">
        <v>71</v>
      </c>
      <c r="H13" s="13" t="s">
        <v>84</v>
      </c>
      <c r="I13" s="8"/>
      <c r="J13" s="8"/>
      <c r="K13" s="8"/>
      <c r="L13" s="8"/>
      <c r="M13" s="8"/>
      <c r="N13" s="8"/>
      <c r="O13" s="8"/>
    </row>
    <row r="14" ht="15.75" customHeight="1">
      <c r="A14" s="8"/>
      <c r="B14" s="13" t="s">
        <v>68</v>
      </c>
      <c r="C14" s="13" t="s">
        <v>77</v>
      </c>
      <c r="D14" s="13" t="s">
        <v>78</v>
      </c>
      <c r="E14" s="13" t="s">
        <v>85</v>
      </c>
      <c r="F14" s="13" t="s">
        <v>71</v>
      </c>
      <c r="G14" s="13" t="s">
        <v>71</v>
      </c>
      <c r="H14" s="13" t="s">
        <v>86</v>
      </c>
      <c r="I14" s="8"/>
      <c r="J14" s="8"/>
      <c r="K14" s="8"/>
      <c r="L14" s="8"/>
      <c r="M14" s="8"/>
      <c r="N14" s="8"/>
      <c r="O14" s="8"/>
    </row>
    <row r="15" ht="15.75" customHeight="1">
      <c r="A15" s="8"/>
      <c r="B15" s="13" t="s">
        <v>68</v>
      </c>
      <c r="C15" s="13" t="s">
        <v>77</v>
      </c>
      <c r="D15" s="13" t="s">
        <v>78</v>
      </c>
      <c r="E15" s="13" t="s">
        <v>87</v>
      </c>
      <c r="F15" s="13" t="s">
        <v>71</v>
      </c>
      <c r="G15" s="13" t="s">
        <v>71</v>
      </c>
      <c r="H15" s="13" t="s">
        <v>88</v>
      </c>
      <c r="I15" s="8"/>
      <c r="J15" s="8"/>
      <c r="K15" s="8"/>
      <c r="L15" s="8"/>
      <c r="M15" s="8"/>
      <c r="N15" s="8"/>
      <c r="O15" s="8"/>
    </row>
    <row r="16" ht="15.75" customHeight="1">
      <c r="A16" s="8"/>
      <c r="B16" s="13" t="s">
        <v>68</v>
      </c>
      <c r="C16" s="13" t="s">
        <v>89</v>
      </c>
      <c r="D16" s="13" t="s">
        <v>90</v>
      </c>
      <c r="E16" s="13" t="s">
        <v>91</v>
      </c>
      <c r="F16" s="13" t="s">
        <v>71</v>
      </c>
      <c r="G16" s="13" t="s">
        <v>71</v>
      </c>
      <c r="H16" s="13" t="s">
        <v>92</v>
      </c>
      <c r="I16" s="8"/>
      <c r="J16" s="8"/>
      <c r="K16" s="8"/>
      <c r="L16" s="8"/>
      <c r="M16" s="8"/>
      <c r="N16" s="8"/>
      <c r="O16" s="8"/>
    </row>
    <row r="17" ht="15.75" customHeight="1">
      <c r="A17" s="8"/>
      <c r="B17" s="13" t="s">
        <v>68</v>
      </c>
      <c r="C17" s="13" t="s">
        <v>89</v>
      </c>
      <c r="D17" s="13" t="s">
        <v>90</v>
      </c>
      <c r="E17" s="13" t="s">
        <v>93</v>
      </c>
      <c r="F17" s="13" t="s">
        <v>71</v>
      </c>
      <c r="G17" s="13" t="s">
        <v>71</v>
      </c>
      <c r="H17" s="13" t="s">
        <v>94</v>
      </c>
      <c r="I17" s="8"/>
      <c r="J17" s="8"/>
      <c r="K17" s="8"/>
      <c r="L17" s="8"/>
      <c r="M17" s="8"/>
      <c r="N17" s="8"/>
      <c r="O17" s="8"/>
    </row>
    <row r="18" ht="15.75" customHeight="1">
      <c r="A18" s="8"/>
      <c r="B18" s="13" t="s">
        <v>68</v>
      </c>
      <c r="C18" s="13" t="s">
        <v>89</v>
      </c>
      <c r="D18" s="13" t="s">
        <v>90</v>
      </c>
      <c r="E18" s="13" t="s">
        <v>95</v>
      </c>
      <c r="F18" s="13" t="s">
        <v>71</v>
      </c>
      <c r="G18" s="13" t="s">
        <v>71</v>
      </c>
      <c r="H18" s="13" t="s">
        <v>96</v>
      </c>
      <c r="I18" s="8"/>
      <c r="J18" s="8"/>
      <c r="K18" s="8"/>
      <c r="L18" s="8"/>
      <c r="M18" s="8"/>
      <c r="N18" s="8"/>
      <c r="O18" s="8"/>
    </row>
    <row r="19" ht="15.75" customHeight="1">
      <c r="A19" s="8"/>
      <c r="B19" s="13" t="s">
        <v>68</v>
      </c>
      <c r="C19" s="13" t="s">
        <v>89</v>
      </c>
      <c r="D19" s="13" t="s">
        <v>90</v>
      </c>
      <c r="E19" s="13" t="s">
        <v>97</v>
      </c>
      <c r="F19" s="13" t="s">
        <v>71</v>
      </c>
      <c r="G19" s="13" t="s">
        <v>71</v>
      </c>
      <c r="H19" s="13" t="s">
        <v>98</v>
      </c>
      <c r="I19" s="8"/>
      <c r="J19" s="8"/>
      <c r="K19" s="8"/>
      <c r="L19" s="8"/>
      <c r="M19" s="8"/>
      <c r="N19" s="8"/>
      <c r="O19" s="8"/>
    </row>
    <row r="20" ht="15.75" customHeight="1">
      <c r="A20" s="8"/>
      <c r="B20" s="13" t="s">
        <v>68</v>
      </c>
      <c r="C20" s="13" t="s">
        <v>89</v>
      </c>
      <c r="D20" s="13" t="s">
        <v>90</v>
      </c>
      <c r="E20" s="13" t="s">
        <v>99</v>
      </c>
      <c r="F20" s="13" t="s">
        <v>71</v>
      </c>
      <c r="G20" s="13" t="s">
        <v>71</v>
      </c>
      <c r="H20" s="13" t="s">
        <v>100</v>
      </c>
      <c r="I20" s="8"/>
      <c r="J20" s="8"/>
      <c r="K20" s="8"/>
      <c r="L20" s="8"/>
      <c r="M20" s="8"/>
      <c r="N20" s="8"/>
      <c r="O20" s="8"/>
    </row>
    <row r="21" ht="15.75" customHeight="1">
      <c r="B21" s="9" t="s">
        <v>68</v>
      </c>
      <c r="C21" s="9" t="s">
        <v>101</v>
      </c>
      <c r="D21" s="9" t="s">
        <v>102</v>
      </c>
      <c r="E21" s="9" t="s">
        <v>24</v>
      </c>
      <c r="F21" s="9" t="s">
        <v>71</v>
      </c>
      <c r="G21" s="9" t="s">
        <v>71</v>
      </c>
      <c r="H21" s="9" t="s">
        <v>103</v>
      </c>
    </row>
    <row r="22" ht="15.75" customHeight="1">
      <c r="B22" s="9" t="s">
        <v>68</v>
      </c>
      <c r="C22" s="9" t="s">
        <v>101</v>
      </c>
      <c r="D22" s="9" t="s">
        <v>102</v>
      </c>
      <c r="E22" s="9" t="s">
        <v>26</v>
      </c>
      <c r="F22" s="9" t="s">
        <v>71</v>
      </c>
      <c r="G22" s="9" t="s">
        <v>71</v>
      </c>
      <c r="H22" s="9" t="s">
        <v>104</v>
      </c>
    </row>
    <row r="23" ht="15.75" customHeight="1">
      <c r="B23" s="9" t="s">
        <v>68</v>
      </c>
      <c r="C23" s="9" t="s">
        <v>101</v>
      </c>
      <c r="D23" s="9" t="s">
        <v>102</v>
      </c>
      <c r="E23" s="9" t="s">
        <v>28</v>
      </c>
      <c r="F23" s="9" t="s">
        <v>71</v>
      </c>
      <c r="G23" s="9" t="s">
        <v>71</v>
      </c>
      <c r="H23" s="9" t="s">
        <v>105</v>
      </c>
    </row>
    <row r="24" ht="15.75" customHeight="1">
      <c r="B24" s="9" t="s">
        <v>68</v>
      </c>
      <c r="C24" s="9" t="s">
        <v>101</v>
      </c>
      <c r="D24" s="9" t="s">
        <v>102</v>
      </c>
      <c r="E24" s="9">
        <v>1.23456789E8</v>
      </c>
      <c r="F24" s="9" t="s">
        <v>71</v>
      </c>
      <c r="G24" s="9" t="s">
        <v>71</v>
      </c>
      <c r="H24" s="9" t="s">
        <v>106</v>
      </c>
    </row>
    <row r="25" ht="15.75" customHeight="1">
      <c r="B25" s="9" t="s">
        <v>68</v>
      </c>
      <c r="C25" s="9" t="s">
        <v>101</v>
      </c>
      <c r="D25" s="9" t="s">
        <v>102</v>
      </c>
      <c r="E25" s="9" t="s">
        <v>27</v>
      </c>
      <c r="F25" s="9" t="s">
        <v>71</v>
      </c>
      <c r="G25" s="9" t="s">
        <v>71</v>
      </c>
      <c r="H25" s="9" t="s">
        <v>107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CheckBasketCompliance!$4:$4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54</v>
      </c>
      <c r="D3" s="5" t="s">
        <v>9</v>
      </c>
      <c r="E3" s="23" t="s">
        <v>108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 t="str">
        <f>IFERROR(__xludf.DUMMYFUNCTION("""COMPUTED_VALUE"""),"AllowTrade")</f>
        <v>AllowTrade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25</v>
      </c>
      <c r="C6" s="13" t="s">
        <v>21</v>
      </c>
      <c r="D6" s="13" t="s">
        <v>24</v>
      </c>
      <c r="E6" s="13">
        <v>192.0</v>
      </c>
      <c r="F6" s="13">
        <v>10.0</v>
      </c>
      <c r="G6" s="67">
        <v>1920.0</v>
      </c>
      <c r="H6" s="8"/>
      <c r="I6" s="13" t="s">
        <v>109</v>
      </c>
      <c r="J6" s="8"/>
      <c r="K6" s="8"/>
      <c r="L6" s="8"/>
      <c r="M6" s="8"/>
      <c r="N6" s="8"/>
      <c r="O6" s="8"/>
    </row>
    <row r="7" ht="15.75" customHeight="1">
      <c r="A7" s="8"/>
      <c r="B7" s="13" t="s">
        <v>25</v>
      </c>
      <c r="C7" s="13" t="s">
        <v>21</v>
      </c>
      <c r="D7" s="13" t="s">
        <v>26</v>
      </c>
      <c r="E7" s="13">
        <v>192.0</v>
      </c>
      <c r="F7" s="13">
        <v>10.0</v>
      </c>
      <c r="G7" s="67">
        <v>1600.0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25</v>
      </c>
      <c r="C8" s="13" t="s">
        <v>21</v>
      </c>
      <c r="D8" s="13" t="s">
        <v>28</v>
      </c>
      <c r="E8" s="13">
        <v>192.0</v>
      </c>
      <c r="F8" s="13">
        <v>10.0</v>
      </c>
      <c r="G8" s="67">
        <v>1920.0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25</v>
      </c>
      <c r="C9" s="13" t="s">
        <v>21</v>
      </c>
      <c r="D9" s="13">
        <v>1.23456789E8</v>
      </c>
      <c r="E9" s="13">
        <v>192.0</v>
      </c>
      <c r="F9" s="13">
        <v>10.0</v>
      </c>
      <c r="G9" s="67">
        <v>19.0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3" t="s">
        <v>25</v>
      </c>
      <c r="C10" s="13" t="s">
        <v>21</v>
      </c>
      <c r="D10" s="13" t="s">
        <v>27</v>
      </c>
      <c r="E10" s="13">
        <v>192.0</v>
      </c>
      <c r="F10" s="13">
        <v>10.0</v>
      </c>
      <c r="G10" s="67">
        <v>1920.0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SendToStagingExport!$4:$4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54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0"/>
      <c r="B6" s="64" t="s">
        <v>56</v>
      </c>
      <c r="C6" s="41" t="s">
        <v>110</v>
      </c>
      <c r="D6" s="41" t="s">
        <v>58</v>
      </c>
      <c r="E6" s="41" t="s">
        <v>59</v>
      </c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FetchAccountPositions1!$4:$4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54</v>
      </c>
      <c r="D3" s="5" t="s">
        <v>9</v>
      </c>
      <c r="E3" s="23" t="s">
        <v>60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68"/>
      <c r="C6" s="41" t="s">
        <v>61</v>
      </c>
      <c r="D6" s="54" t="s">
        <v>62</v>
      </c>
      <c r="E6" s="32" t="b">
        <v>1</v>
      </c>
      <c r="F6" s="31" t="s">
        <v>56</v>
      </c>
      <c r="G6" s="31" t="s">
        <v>63</v>
      </c>
      <c r="H6" s="40" t="s">
        <v>64</v>
      </c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54</v>
      </c>
      <c r="D3" s="5" t="s">
        <v>9</v>
      </c>
      <c r="E3" s="23" t="s">
        <v>65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66" t="s">
        <v>66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RunRebalance1!$4:$4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54</v>
      </c>
      <c r="D3" s="5" t="s">
        <v>9</v>
      </c>
      <c r="E3" s="23" t="s">
        <v>108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 t="str">
        <f>IFERROR(__xludf.DUMMYFUNCTION("""COMPUTED_VALUE"""),"AllowTrade")</f>
        <v>AllowTrade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25</v>
      </c>
      <c r="C6" s="13" t="s">
        <v>21</v>
      </c>
      <c r="D6" s="13" t="s">
        <v>24</v>
      </c>
      <c r="E6" s="13">
        <v>185.0</v>
      </c>
      <c r="F6" s="13">
        <v>20.0</v>
      </c>
      <c r="G6" s="67">
        <v>3700.0</v>
      </c>
      <c r="H6" s="8"/>
      <c r="I6" s="13" t="s">
        <v>23</v>
      </c>
      <c r="J6" s="8"/>
      <c r="K6" s="8"/>
      <c r="L6" s="8"/>
      <c r="M6" s="8"/>
      <c r="N6" s="8"/>
      <c r="O6" s="8"/>
    </row>
    <row r="7" ht="15.75" customHeight="1">
      <c r="A7" s="8"/>
      <c r="B7" s="13" t="s">
        <v>25</v>
      </c>
      <c r="C7" s="13" t="s">
        <v>21</v>
      </c>
      <c r="D7" s="13" t="s">
        <v>26</v>
      </c>
      <c r="E7" s="13">
        <v>185.0</v>
      </c>
      <c r="F7" s="13">
        <v>20.0</v>
      </c>
      <c r="G7" s="67">
        <v>3083.0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25</v>
      </c>
      <c r="C8" s="13" t="s">
        <v>21</v>
      </c>
      <c r="D8" s="13" t="s">
        <v>28</v>
      </c>
      <c r="E8" s="13">
        <v>185.0</v>
      </c>
      <c r="F8" s="13">
        <v>20.0</v>
      </c>
      <c r="G8" s="67">
        <v>3700.0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25</v>
      </c>
      <c r="C9" s="13" t="s">
        <v>21</v>
      </c>
      <c r="D9" s="13">
        <v>1.23456789E8</v>
      </c>
      <c r="E9" s="13">
        <v>185.0</v>
      </c>
      <c r="F9" s="13">
        <v>20.0</v>
      </c>
      <c r="G9" s="67">
        <v>37.0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3" t="s">
        <v>25</v>
      </c>
      <c r="C10" s="13" t="s">
        <v>21</v>
      </c>
      <c r="D10" s="13" t="s">
        <v>27</v>
      </c>
      <c r="E10" s="13">
        <v>185.0</v>
      </c>
      <c r="F10" s="13">
        <v>20.0</v>
      </c>
      <c r="G10" s="67">
        <v>3700.0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13" t="s">
        <v>31</v>
      </c>
      <c r="C11" s="13" t="s">
        <v>21</v>
      </c>
      <c r="D11" s="13" t="s">
        <v>24</v>
      </c>
      <c r="E11" s="13">
        <v>98.0</v>
      </c>
      <c r="F11" s="13">
        <v>20.0</v>
      </c>
      <c r="G11" s="67">
        <v>1960.0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SendToStagingExport1!$4:$4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111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69" t="s">
        <v>25</v>
      </c>
      <c r="C6" s="60" t="s">
        <v>45</v>
      </c>
      <c r="D6" s="43">
        <v>100000.0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1" t="s">
        <v>31</v>
      </c>
      <c r="C7" s="31" t="s">
        <v>45</v>
      </c>
      <c r="D7" s="56">
        <v>100000.0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0"/>
      <c r="C8" s="40"/>
      <c r="D8" s="40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54</v>
      </c>
      <c r="D3" s="5" t="s">
        <v>9</v>
      </c>
      <c r="E3" s="23" t="s">
        <v>67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IFERROR(__xludf.DUMMYFUNCTION("""COMPUTED_VALUE"""),"Testing Type")</f>
        <v>Testing Type</v>
      </c>
      <c r="K5" s="28" t="str">
        <f>IFERROR(__xludf.DUMMYFUNCTION("""COMPUTED_VALUE"""),"Testing Column")</f>
        <v>Testing Column</v>
      </c>
      <c r="L5" s="28" t="str">
        <f>IFERROR(__xludf.DUMMYFUNCTION("""COMPUTED_VALUE"""),"Testing Col Value")</f>
        <v>Testing Col Value</v>
      </c>
      <c r="M5" s="28" t="str">
        <f>IFERROR(__xludf.DUMMYFUNCTION("""COMPUTED_VALUE"""),"DuplicateCountOnUI")</f>
        <v>DuplicateCountOnUI</v>
      </c>
      <c r="N5" s="28" t="str">
        <f>IFERROR(__xludf.DUMMYFUNCTION("""COMPUTED_VALUE"""),"DuplicateRow")</f>
        <v>DuplicateRow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68</v>
      </c>
      <c r="C6" s="13" t="s">
        <v>69</v>
      </c>
      <c r="D6" s="13" t="s">
        <v>70</v>
      </c>
      <c r="E6" s="13" t="s">
        <v>24</v>
      </c>
      <c r="F6" s="13" t="s">
        <v>71</v>
      </c>
      <c r="G6" s="13" t="s">
        <v>71</v>
      </c>
      <c r="H6" s="13" t="s">
        <v>112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68</v>
      </c>
      <c r="C7" s="13" t="s">
        <v>69</v>
      </c>
      <c r="D7" s="13" t="s">
        <v>70</v>
      </c>
      <c r="E7" s="13">
        <v>1.23456789E8</v>
      </c>
      <c r="F7" s="13" t="s">
        <v>71</v>
      </c>
      <c r="G7" s="13" t="s">
        <v>71</v>
      </c>
      <c r="H7" s="13" t="s">
        <v>113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68</v>
      </c>
      <c r="C8" s="13" t="s">
        <v>69</v>
      </c>
      <c r="D8" s="13" t="s">
        <v>70</v>
      </c>
      <c r="E8" s="13" t="s">
        <v>24</v>
      </c>
      <c r="F8" s="13" t="s">
        <v>71</v>
      </c>
      <c r="G8" s="13" t="s">
        <v>71</v>
      </c>
      <c r="H8" s="13" t="s">
        <v>114</v>
      </c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68</v>
      </c>
      <c r="C9" s="13" t="s">
        <v>69</v>
      </c>
      <c r="D9" s="13" t="s">
        <v>70</v>
      </c>
      <c r="E9" s="13" t="s">
        <v>28</v>
      </c>
      <c r="F9" s="13" t="s">
        <v>71</v>
      </c>
      <c r="G9" s="13" t="s">
        <v>71</v>
      </c>
      <c r="H9" s="13" t="s">
        <v>115</v>
      </c>
      <c r="I9" s="8"/>
      <c r="J9" s="8"/>
      <c r="K9" s="8"/>
      <c r="L9" s="8"/>
      <c r="M9" s="8"/>
      <c r="N9" s="8"/>
      <c r="O9" s="8"/>
    </row>
    <row r="10" ht="15.75" customHeight="1">
      <c r="A10" s="8"/>
      <c r="B10" s="13" t="s">
        <v>68</v>
      </c>
      <c r="C10" s="13" t="s">
        <v>69</v>
      </c>
      <c r="D10" s="13" t="s">
        <v>70</v>
      </c>
      <c r="E10" s="13" t="s">
        <v>27</v>
      </c>
      <c r="F10" s="13" t="s">
        <v>71</v>
      </c>
      <c r="G10" s="13" t="s">
        <v>71</v>
      </c>
      <c r="H10" s="13" t="s">
        <v>116</v>
      </c>
      <c r="I10" s="8"/>
      <c r="J10" s="8"/>
      <c r="K10" s="8"/>
      <c r="L10" s="8"/>
      <c r="M10" s="8"/>
      <c r="N10" s="8"/>
      <c r="O10" s="8"/>
    </row>
    <row r="11" ht="15.75" customHeight="1">
      <c r="A11" s="8"/>
      <c r="B11" s="13" t="s">
        <v>68</v>
      </c>
      <c r="C11" s="13" t="s">
        <v>69</v>
      </c>
      <c r="D11" s="13" t="s">
        <v>70</v>
      </c>
      <c r="E11" s="13" t="s">
        <v>26</v>
      </c>
      <c r="F11" s="13" t="s">
        <v>71</v>
      </c>
      <c r="G11" s="13" t="s">
        <v>71</v>
      </c>
      <c r="H11" s="13" t="s">
        <v>117</v>
      </c>
      <c r="I11" s="8"/>
      <c r="J11" s="8"/>
      <c r="K11" s="8"/>
      <c r="L11" s="8"/>
      <c r="M11" s="8"/>
      <c r="N11" s="8"/>
      <c r="O11" s="8"/>
    </row>
    <row r="12" ht="15.75" customHeight="1">
      <c r="A12" s="8"/>
      <c r="B12" s="13" t="s">
        <v>68</v>
      </c>
      <c r="C12" s="13" t="s">
        <v>77</v>
      </c>
      <c r="D12" s="13" t="s">
        <v>78</v>
      </c>
      <c r="E12" s="13" t="s">
        <v>79</v>
      </c>
      <c r="F12" s="13" t="s">
        <v>71</v>
      </c>
      <c r="G12" s="13" t="s">
        <v>71</v>
      </c>
      <c r="H12" s="13" t="s">
        <v>118</v>
      </c>
      <c r="I12" s="8"/>
      <c r="J12" s="8"/>
      <c r="K12" s="8"/>
      <c r="L12" s="8"/>
      <c r="M12" s="8"/>
      <c r="N12" s="8"/>
      <c r="O12" s="8"/>
    </row>
    <row r="13" ht="15.75" customHeight="1">
      <c r="A13" s="8"/>
      <c r="B13" s="13" t="s">
        <v>68</v>
      </c>
      <c r="C13" s="13" t="s">
        <v>77</v>
      </c>
      <c r="D13" s="13" t="s">
        <v>78</v>
      </c>
      <c r="E13" s="13" t="s">
        <v>85</v>
      </c>
      <c r="F13" s="13" t="s">
        <v>71</v>
      </c>
      <c r="G13" s="13" t="s">
        <v>71</v>
      </c>
      <c r="H13" s="13" t="s">
        <v>119</v>
      </c>
      <c r="I13" s="8"/>
      <c r="J13" s="8"/>
      <c r="K13" s="8"/>
      <c r="L13" s="8"/>
      <c r="M13" s="8"/>
      <c r="N13" s="8"/>
      <c r="O13" s="8"/>
    </row>
    <row r="14" ht="15.75" customHeight="1">
      <c r="A14" s="8"/>
      <c r="B14" s="13" t="s">
        <v>68</v>
      </c>
      <c r="C14" s="13" t="s">
        <v>77</v>
      </c>
      <c r="D14" s="13" t="s">
        <v>78</v>
      </c>
      <c r="E14" s="13" t="s">
        <v>83</v>
      </c>
      <c r="F14" s="13" t="s">
        <v>71</v>
      </c>
      <c r="G14" s="13" t="s">
        <v>71</v>
      </c>
      <c r="H14" s="13" t="s">
        <v>120</v>
      </c>
      <c r="I14" s="8"/>
      <c r="J14" s="8"/>
      <c r="K14" s="8"/>
      <c r="L14" s="8"/>
      <c r="M14" s="8"/>
      <c r="N14" s="8"/>
      <c r="O14" s="8"/>
    </row>
    <row r="15" ht="15.75" customHeight="1">
      <c r="A15" s="8"/>
      <c r="B15" s="13" t="s">
        <v>68</v>
      </c>
      <c r="C15" s="13" t="s">
        <v>77</v>
      </c>
      <c r="D15" s="13" t="s">
        <v>78</v>
      </c>
      <c r="E15" s="13" t="s">
        <v>87</v>
      </c>
      <c r="F15" s="13" t="s">
        <v>71</v>
      </c>
      <c r="G15" s="13" t="s">
        <v>71</v>
      </c>
      <c r="H15" s="13" t="s">
        <v>121</v>
      </c>
      <c r="I15" s="8"/>
      <c r="J15" s="8"/>
      <c r="K15" s="8"/>
      <c r="L15" s="8"/>
      <c r="M15" s="8"/>
      <c r="N15" s="8"/>
      <c r="O15" s="8"/>
    </row>
    <row r="16" ht="15.75" customHeight="1">
      <c r="A16" s="8"/>
      <c r="B16" s="13" t="s">
        <v>68</v>
      </c>
      <c r="C16" s="13" t="s">
        <v>77</v>
      </c>
      <c r="D16" s="13" t="s">
        <v>78</v>
      </c>
      <c r="E16" s="13" t="s">
        <v>81</v>
      </c>
      <c r="F16" s="13" t="s">
        <v>71</v>
      </c>
      <c r="G16" s="13" t="s">
        <v>71</v>
      </c>
      <c r="H16" s="13" t="s">
        <v>122</v>
      </c>
      <c r="I16" s="8"/>
      <c r="J16" s="8"/>
      <c r="K16" s="8"/>
      <c r="L16" s="8"/>
      <c r="M16" s="8"/>
      <c r="N16" s="8"/>
      <c r="O16" s="8"/>
    </row>
    <row r="17" ht="15.75" customHeight="1">
      <c r="A17" s="8"/>
      <c r="B17" s="13" t="s">
        <v>68</v>
      </c>
      <c r="C17" s="13" t="s">
        <v>77</v>
      </c>
      <c r="D17" s="13" t="s">
        <v>78</v>
      </c>
      <c r="E17" s="13" t="s">
        <v>123</v>
      </c>
      <c r="F17" s="13" t="s">
        <v>71</v>
      </c>
      <c r="G17" s="13" t="s">
        <v>71</v>
      </c>
      <c r="H17" s="13" t="s">
        <v>124</v>
      </c>
      <c r="I17" s="8"/>
      <c r="J17" s="8"/>
      <c r="K17" s="8"/>
      <c r="L17" s="8"/>
      <c r="M17" s="8"/>
      <c r="N17" s="8"/>
      <c r="O17" s="8"/>
    </row>
    <row r="18" ht="15.75" customHeight="1">
      <c r="A18" s="8"/>
      <c r="B18" s="13" t="s">
        <v>68</v>
      </c>
      <c r="C18" s="13" t="s">
        <v>89</v>
      </c>
      <c r="D18" s="13" t="s">
        <v>90</v>
      </c>
      <c r="E18" s="13" t="s">
        <v>97</v>
      </c>
      <c r="F18" s="13" t="s">
        <v>71</v>
      </c>
      <c r="G18" s="13" t="s">
        <v>71</v>
      </c>
      <c r="H18" s="13" t="s">
        <v>125</v>
      </c>
      <c r="I18" s="8"/>
      <c r="J18" s="8"/>
      <c r="K18" s="8"/>
      <c r="L18" s="8"/>
      <c r="M18" s="8"/>
      <c r="N18" s="8"/>
      <c r="O18" s="8"/>
    </row>
    <row r="19" ht="15.75" customHeight="1">
      <c r="A19" s="8"/>
      <c r="B19" s="13" t="s">
        <v>68</v>
      </c>
      <c r="C19" s="13" t="s">
        <v>89</v>
      </c>
      <c r="D19" s="13" t="s">
        <v>90</v>
      </c>
      <c r="E19" s="13" t="s">
        <v>95</v>
      </c>
      <c r="F19" s="13" t="s">
        <v>71</v>
      </c>
      <c r="G19" s="13" t="s">
        <v>71</v>
      </c>
      <c r="H19" s="13" t="s">
        <v>126</v>
      </c>
      <c r="I19" s="8"/>
      <c r="J19" s="8"/>
      <c r="K19" s="8"/>
      <c r="L19" s="8"/>
      <c r="M19" s="8"/>
      <c r="N19" s="8"/>
      <c r="O19" s="8"/>
    </row>
    <row r="20" ht="15.75" customHeight="1">
      <c r="A20" s="8"/>
      <c r="B20" s="13" t="s">
        <v>68</v>
      </c>
      <c r="C20" s="13" t="s">
        <v>89</v>
      </c>
      <c r="D20" s="13" t="s">
        <v>90</v>
      </c>
      <c r="E20" s="13" t="s">
        <v>99</v>
      </c>
      <c r="F20" s="13" t="s">
        <v>71</v>
      </c>
      <c r="G20" s="13" t="s">
        <v>71</v>
      </c>
      <c r="H20" s="13" t="s">
        <v>127</v>
      </c>
      <c r="I20" s="8"/>
      <c r="J20" s="8"/>
      <c r="K20" s="8"/>
      <c r="L20" s="8"/>
      <c r="M20" s="8"/>
      <c r="N20" s="8"/>
      <c r="O20" s="8"/>
    </row>
    <row r="21" ht="15.75" customHeight="1">
      <c r="A21" s="8"/>
      <c r="B21" s="13" t="s">
        <v>68</v>
      </c>
      <c r="C21" s="13" t="s">
        <v>89</v>
      </c>
      <c r="D21" s="13" t="s">
        <v>90</v>
      </c>
      <c r="E21" s="13" t="s">
        <v>93</v>
      </c>
      <c r="F21" s="13" t="s">
        <v>71</v>
      </c>
      <c r="G21" s="13" t="s">
        <v>71</v>
      </c>
      <c r="H21" s="13" t="s">
        <v>128</v>
      </c>
      <c r="I21" s="8"/>
      <c r="J21" s="8"/>
      <c r="K21" s="8"/>
      <c r="L21" s="8"/>
      <c r="M21" s="8"/>
      <c r="N21" s="8"/>
      <c r="O21" s="8"/>
    </row>
    <row r="22" ht="15.75" customHeight="1">
      <c r="A22" s="8"/>
      <c r="B22" s="13" t="s">
        <v>68</v>
      </c>
      <c r="C22" s="13" t="s">
        <v>89</v>
      </c>
      <c r="D22" s="13" t="s">
        <v>90</v>
      </c>
      <c r="E22" s="13" t="s">
        <v>91</v>
      </c>
      <c r="F22" s="13" t="s">
        <v>71</v>
      </c>
      <c r="G22" s="13" t="s">
        <v>71</v>
      </c>
      <c r="H22" s="13" t="s">
        <v>129</v>
      </c>
      <c r="I22" s="8"/>
      <c r="J22" s="8"/>
      <c r="K22" s="8"/>
      <c r="L22" s="8"/>
      <c r="M22" s="8"/>
      <c r="N22" s="8"/>
      <c r="O22" s="8"/>
    </row>
    <row r="23" ht="15.75" customHeight="1">
      <c r="A23" s="8"/>
      <c r="B23" s="13" t="s">
        <v>68</v>
      </c>
      <c r="C23" s="13" t="s">
        <v>101</v>
      </c>
      <c r="D23" s="13" t="s">
        <v>102</v>
      </c>
      <c r="E23" s="13" t="s">
        <v>24</v>
      </c>
      <c r="F23" s="13" t="s">
        <v>71</v>
      </c>
      <c r="G23" s="13" t="s">
        <v>71</v>
      </c>
      <c r="H23" s="13" t="s">
        <v>130</v>
      </c>
      <c r="I23" s="8"/>
      <c r="J23" s="8"/>
      <c r="K23" s="8"/>
      <c r="L23" s="8"/>
      <c r="M23" s="8"/>
      <c r="N23" s="8"/>
      <c r="O23" s="8"/>
    </row>
    <row r="24" ht="15.75" customHeight="1">
      <c r="A24" s="8"/>
      <c r="B24" s="13" t="s">
        <v>68</v>
      </c>
      <c r="C24" s="13" t="s">
        <v>101</v>
      </c>
      <c r="D24" s="13" t="s">
        <v>102</v>
      </c>
      <c r="E24" s="13">
        <v>1.23456789E8</v>
      </c>
      <c r="F24" s="13" t="s">
        <v>71</v>
      </c>
      <c r="G24" s="13" t="s">
        <v>71</v>
      </c>
      <c r="H24" s="13" t="s">
        <v>131</v>
      </c>
      <c r="I24" s="8"/>
      <c r="J24" s="8"/>
      <c r="K24" s="8"/>
      <c r="L24" s="8"/>
      <c r="M24" s="8"/>
      <c r="N24" s="8"/>
      <c r="O24" s="8"/>
    </row>
    <row r="25" ht="15.75" customHeight="1">
      <c r="A25" s="8"/>
      <c r="B25" s="13" t="s">
        <v>68</v>
      </c>
      <c r="C25" s="13" t="s">
        <v>101</v>
      </c>
      <c r="D25" s="13" t="s">
        <v>102</v>
      </c>
      <c r="E25" s="13" t="s">
        <v>28</v>
      </c>
      <c r="F25" s="13" t="s">
        <v>71</v>
      </c>
      <c r="G25" s="13" t="s">
        <v>71</v>
      </c>
      <c r="H25" s="13" t="s">
        <v>132</v>
      </c>
      <c r="I25" s="8"/>
      <c r="J25" s="8"/>
      <c r="K25" s="8"/>
      <c r="L25" s="8"/>
      <c r="M25" s="8"/>
      <c r="N25" s="8"/>
      <c r="O25" s="8"/>
    </row>
    <row r="26" ht="15.75" customHeight="1">
      <c r="B26" s="9" t="s">
        <v>68</v>
      </c>
      <c r="C26" s="9" t="s">
        <v>101</v>
      </c>
      <c r="D26" s="9" t="s">
        <v>102</v>
      </c>
      <c r="E26" s="9" t="s">
        <v>27</v>
      </c>
      <c r="F26" s="9" t="s">
        <v>71</v>
      </c>
      <c r="G26" s="9" t="s">
        <v>71</v>
      </c>
      <c r="H26" s="9" t="s">
        <v>133</v>
      </c>
    </row>
    <row r="27" ht="15.75" customHeight="1">
      <c r="B27" s="9" t="s">
        <v>68</v>
      </c>
      <c r="C27" s="9" t="s">
        <v>101</v>
      </c>
      <c r="D27" s="9" t="s">
        <v>102</v>
      </c>
      <c r="E27" s="9" t="s">
        <v>26</v>
      </c>
      <c r="F27" s="9" t="s">
        <v>71</v>
      </c>
      <c r="G27" s="9" t="s">
        <v>71</v>
      </c>
      <c r="H27" s="9" t="s">
        <v>134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CheckBasketCompliance2!$4:$4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