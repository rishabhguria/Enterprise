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toGroupingPreferences" sheetId="4" r:id="rId6"/>
    <sheet state="visible" name="SetAutoGroupingAccount" sheetId="5" r:id="rId7"/>
    <sheet state="visible" name="SetGeneralPreferences" sheetId="6" r:id="rId8"/>
    <sheet state="visible" name="UploadDropcopyFile" sheetId="7" r:id="rId9"/>
    <sheet state="visible" name="UploadDropcopyFile1" sheetId="8" r:id="rId10"/>
    <sheet state="visible" name="GetDataAllocation" sheetId="9" r:id="rId11"/>
    <sheet state="visible" name="CheckUnallocatedGroups" sheetId="10" r:id="rId12"/>
    <sheet state="visible" name="Copy of Data" sheetId="11" r:id="rId13"/>
  </sheets>
  <definedNames/>
  <calcPr/>
</workbook>
</file>

<file path=xl/sharedStrings.xml><?xml version="1.0" encoding="utf-8"?>
<sst xmlns="http://schemas.openxmlformats.org/spreadsheetml/2006/main" count="75" uniqueCount="31">
  <si>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</si>
  <si>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</si>
  <si>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</si>
  <si>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</si>
  <si>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</si>
  <si>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</si>
  <si>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</si>
  <si>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</si>
  <si>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</si>
  <si>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</si>
  <si>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</si>
  <si>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</si>
  <si>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Allocation</t>
  </si>
  <si>
    <t>SetAutoGroupingPreferences</t>
  </si>
  <si>
    <t>Data Format</t>
  </si>
  <si>
    <t>Input Format</t>
  </si>
  <si>
    <t>SetAutoGroupingAccount</t>
  </si>
  <si>
    <t>Unallocated</t>
  </si>
  <si>
    <t>SetGeneralPreferences</t>
  </si>
  <si>
    <t>Dropcopy</t>
  </si>
  <si>
    <t>UploadDropcopyFile</t>
  </si>
  <si>
    <t>\\192.168.2.108\DistributedAutomation_Master\Import Cases\PLCE.xls</t>
  </si>
  <si>
    <t>GetDataAllocation</t>
  </si>
  <si>
    <t>Historical</t>
  </si>
  <si>
    <t>1/1/1800</t>
  </si>
  <si>
    <t>CheckUnallocatedGroups</t>
  </si>
  <si>
    <t>PLCE</t>
  </si>
  <si>
    <t>TradingTicket</t>
  </si>
  <si>
    <t>CreateDoneAwayOrder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</si>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</sst>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202124"/>
      <name val="Roboto"/>
    </font>
    <font>
      <sz val="11.0"/>
      <color rgb="FF000000"/>
      <name val="Inconsolata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6" fontId="14" numFmtId="0" xfId="0" applyAlignment="1" applyFill="1" applyFont="1">
      <alignment readingOrder="0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164" xfId="0" applyAlignment="1" applyBorder="1" applyFont="1" applyNumberFormat="1">
      <alignment horizontal="right" vertical="bottom"/>
    </xf>
    <xf borderId="6" fillId="6" fontId="15" numFmtId="14" xfId="0" applyAlignment="1" applyBorder="1" applyFont="1" applyNumberFormat="1">
      <alignment horizontal="right" vertical="bottom"/>
    </xf>
    <xf borderId="6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16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center" vertical="bottom"/>
    </xf>
    <xf borderId="0" fillId="0" fontId="16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IFERROR(__xludf.DUMMYFUNCTION("""COMPUTED_VALUE"""),"AutoGroup")</f>
        <v>AutoGroup</v>
      </c>
      <c r="C5" s="29" t="str">
        <f>IFERROR(__xludf.DUMMYFUNCTION("""COMPUTED_VALUE"""),"TradeAttribute1")</f>
        <v>TradeAttribute1</v>
      </c>
      <c r="D5" s="29" t="str">
        <f>IFERROR(__xludf.DUMMYFUNCTION("""COMPUTED_VALUE"""),"TradeAttribute2")</f>
        <v>TradeAttribute2</v>
      </c>
      <c r="E5" s="29" t="str">
        <f>IFERROR(__xludf.DUMMYFUNCTION("""COMPUTED_VALUE"""),"TradeAttribute3")</f>
        <v>TradeAttribute3</v>
      </c>
      <c r="F5" s="30" t="str">
        <f>IFERROR(__xludf.DUMMYFUNCTION("""COMPUTED_VALUE"""),"TradeAttribute4")</f>
        <v>TradeAttribute4</v>
      </c>
      <c r="G5" s="29" t="str">
        <f>IFERROR(__xludf.DUMMYFUNCTION("""COMPUTED_VALUE"""),"TradeAttribute5")</f>
        <v>TradeAttribute5</v>
      </c>
      <c r="H5" s="29" t="str">
        <f>IFERROR(__xludf.DUMMYFUNCTION("""COMPUTED_VALUE"""),"TradeAttribute6")</f>
        <v>TradeAttribute6</v>
      </c>
      <c r="I5" s="29" t="str">
        <f>IFERROR(__xludf.DUMMYFUNCTION("""COMPUTED_VALUE"""),"Broker")</f>
        <v>Broker</v>
      </c>
      <c r="J5" s="29" t="str">
        <f>IFERROR(__xludf.DUMMYFUNCTION("""COMPUTED_VALUE"""),"Venue")</f>
        <v>Venue</v>
      </c>
      <c r="K5" s="29" t="str">
        <f>IFERROR(__xludf.DUMMYFUNCTION("""COMPUTED_VALUE"""),"TradingAC")</f>
        <v>TradingAC</v>
      </c>
      <c r="L5" s="29" t="str">
        <f>IFERROR(__xludf.DUMMYFUNCTION("""COMPUTED_VALUE"""),"TradeDate")</f>
        <v>TradeDate</v>
      </c>
      <c r="M5" s="29" t="str">
        <f>IFERROR(__xludf.DUMMYFUNCTION("""COMPUTED_VALUE"""),"ProcessDate")</f>
        <v>ProcessDate</v>
      </c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3" t="b">
        <v>1</v>
      </c>
      <c r="C6" s="32"/>
      <c r="D6" s="32"/>
      <c r="E6" s="32"/>
      <c r="F6" s="32"/>
      <c r="G6" s="32"/>
      <c r="H6" s="32"/>
      <c r="I6" s="32"/>
      <c r="J6" s="32"/>
      <c r="K6" s="33"/>
      <c r="L6" s="33" t="b">
        <v>1</v>
      </c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SetAutoGroupingPreferences!$4:$4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IFERROR(__xludf.DUMMYFUNCTION("""COMPUTED_VALUE"""),"FundName")</f>
        <v>FundName</v>
      </c>
      <c r="C5" s="29"/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17</v>
      </c>
      <c r="C6" s="8"/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SetAutoGroupingAccount!$4:$4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1lI4loUxqzsE3IjuxIjsVY3cB4J_eTKFPPDuXngut4FE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IFERROR(__xludf.DUMMYFUNCTION("""COMPUTED_VALUE"""),"ValidateCheckSide")</f>
        <v>ValidateCheckSide</v>
      </c>
      <c r="C5" s="29" t="str">
        <f>IFERROR(__xludf.DUMMYFUNCTION("""COMPUTED_VALUE"""),"DisabledChecksideAssets")</f>
        <v>DisabledChecksideAssets</v>
      </c>
      <c r="D5" s="29" t="str">
        <f>IFERROR(__xludf.DUMMYFUNCTION("""COMPUTED_VALUE"""),"PrecisionValue")</f>
        <v>PrecisionValue</v>
      </c>
      <c r="E5" s="29" t="str">
        <f>IFERROR(__xludf.DUMMYFUNCTION("""COMPUTED_VALUE"""),"UseCommissionInNetAmount")</f>
        <v>UseCommissionInNetAmount</v>
      </c>
      <c r="F5" s="30" t="str">
        <f>IFERROR(__xludf.DUMMYFUNCTION("""COMPUTED_VALUE"""),"SaveWithoutState")</f>
        <v>SaveWithoutState</v>
      </c>
      <c r="G5" s="29" t="str">
        <f>IFERROR(__xludf.DUMMYFUNCTION("""COMPUTED_VALUE"""),"SaveWithState")</f>
        <v>SaveWithState</v>
      </c>
      <c r="H5" s="29" t="str">
        <f>IFERROR(__xludf.DUMMYFUNCTION("""COMPUTED_VALUE"""),"ClearQuantities")</f>
        <v>ClearQuantities</v>
      </c>
      <c r="I5" s="29" t="str">
        <f>IFERROR(__xludf.DUMMYFUNCTION("""COMPUTED_VALUE"""),"ReapplyAllocation")</f>
        <v>ReapplyAllocation</v>
      </c>
      <c r="J5" s="29" t="str">
        <f>IFERROR(__xludf.DUMMYFUNCTION("""COMPUTED_VALUE"""),"DefaultAllocation")</f>
        <v>DefaultAllocation</v>
      </c>
      <c r="K5" s="29" t="str">
        <f>IFERROR(__xludf.DUMMYFUNCTION("""COMPUTED_VALUE"""),"IsCustomPreference")</f>
        <v>IsCustomPreference</v>
      </c>
      <c r="L5" s="29" t="str">
        <f>IFERROR(__xludf.DUMMYFUNCTION("""COMPUTED_VALUE"""),"AllocationMethod")</f>
        <v>AllocationMethod</v>
      </c>
      <c r="M5" s="29" t="str">
        <f>IFERROR(__xludf.DUMMYFUNCTION("""COMPUTED_VALUE"""),"RemainderAllocationTo")</f>
        <v>RemainderAllocationTo</v>
      </c>
      <c r="N5" s="29" t="str">
        <f>IFERROR(__xludf.DUMMYFUNCTION("""COMPUTED_VALUE"""),"Target%AsOf")</f>
        <v>Target%AsOf</v>
      </c>
      <c r="O5" s="29" t="str">
        <f>IFERROR(__xludf.DUMMYFUNCTION("""COMPUTED_VALUE"""),"ProrataAccounts")</f>
        <v>ProrataAccounts</v>
      </c>
      <c r="P5" s="29" t="str">
        <f>IFERROR(__xludf.DUMMYFUNCTION("""COMPUTED_VALUE"""),"DateUptoDays")</f>
        <v>DateUptoDays</v>
      </c>
      <c r="Q5" s="29" t="str">
        <f>IFERROR(__xludf.DUMMYFUNCTION("""COMPUTED_VALUE"""),"MatchClosing")</f>
        <v>MatchClosing</v>
      </c>
      <c r="R5" s="29" t="str">
        <f>IFERROR(__xludf.DUMMYFUNCTION("""COMPUTED_VALUE"""),"CommissionAlertOnBrokerChange")</f>
        <v>CommissionAlertOnBrokerChange</v>
      </c>
      <c r="S5" s="29" t="str">
        <f>IFERROR(__xludf.DUMMYFUNCTION("""COMPUTED_VALUE"""),"RecalculateCommissionOnBrokerChange")</f>
        <v>RecalculateCommissionOnBrokerChange</v>
      </c>
      <c r="T5" s="31" t="str">
        <f>IFERROR(__xludf.DUMMYFUNCTION("""COMPUTED_VALUE"""),"CommissionAlertOnAllocation")</f>
        <v>CommissionAlertOnAllocation</v>
      </c>
      <c r="U5" s="31" t="str">
        <f>IFERROR(__xludf.DUMMYFUNCTION("""COMPUTED_VALUE"""),"RecalculateCommissionOnAllocation")</f>
        <v>RecalculateCommissionOnAllocation</v>
      </c>
      <c r="V5" s="31" t="str">
        <f>IFERROR(__xludf.DUMMYFUNCTION("""COMPUTED_VALUE"""),"EnableMasterFund")</f>
        <v>EnableMasterFund</v>
      </c>
      <c r="W5" s="31" t="str">
        <f>IFERROR(__xludf.DUMMYFUNCTION("""COMPUTED_VALUE"""),"1MasterFund/1Symbol")</f>
        <v>1MasterFund/1Symbol</v>
      </c>
      <c r="X5" s="31" t="str">
        <f>IFERROR(__xludf.DUMMYFUNCTION("""COMPUTED_VALUE"""),"ProrataSchemeName")</f>
        <v>ProrataSchemeName</v>
      </c>
      <c r="Y5" s="31" t="str">
        <f>IFERROR(__xludf.DUMMYFUNCTION("""COMPUTED_VALUE"""),"ProrataAllocationSchemeBasis")</f>
        <v>ProrataAllocationSchemeBasis</v>
      </c>
      <c r="Z5" s="31" t="str">
        <f>IFERROR(__xludf.DUMMYFUNCTION("""COMPUTED_VALUE"""),"ShowAdvancedProrataUI")</f>
        <v>ShowAdvancedProrataUI</v>
      </c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13" t="b">
        <v>1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IFERROR(__xludf.DUMMYFUNCTION("IF(C3="""","""",Transpose(IMPORTRANGE('_Settings'!$B$3,C3&amp;""!A4:A1000"")))"),"UploadDropcopyFile")</f>
        <v>UploadDropcopyFile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IFERROR(__xludf.DUMMYFUNCTION("""COMPUTED_VALUE"""),"AppendToOrderId")</f>
        <v>AppendToOrderId</v>
      </c>
      <c r="C5" s="29" t="str">
        <f>IFERROR(__xludf.DUMMYFUNCTION("""COMPUTED_VALUE"""),"UploadFile")</f>
        <v>UploadFile</v>
      </c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>
        <v>1.0</v>
      </c>
      <c r="C6" s="35" t="s">
        <v>21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UploadDropcopyFile!$4:$4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IFERROR(__xludf.DUMMYFUNCTION("IF(C3="""","""",Transpose(IMPORTRANGE('_Settings'!$B$3,C3&amp;""!A4:A1000"")))"),"UploadDropcopyFile")</f>
        <v>UploadDropcopyFile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IFERROR(__xludf.DUMMYFUNCTION("""COMPUTED_VALUE"""),"AppendToOrderId")</f>
        <v>AppendToOrderId</v>
      </c>
      <c r="C5" s="29" t="str">
        <f>IFERROR(__xludf.DUMMYFUNCTION("""COMPUTED_VALUE"""),"UploadFile")</f>
        <v>UploadFile</v>
      </c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>
        <v>2.0</v>
      </c>
      <c r="C6" s="35" t="s">
        <v>21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UploadDropcopyFile1!$4:$4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IFERROR(__xludf.DUMMYFUNCTION("""COMPUTED_VALUE"""),"RangeType")</f>
        <v>RangeType</v>
      </c>
      <c r="C5" s="29" t="str">
        <f>IFERROR(__xludf.DUMMYFUNCTION("""COMPUTED_VALUE"""),"From")</f>
        <v>From</v>
      </c>
      <c r="D5" s="29" t="str">
        <f>IFERROR(__xludf.DUMMYFUNCTION("""COMPUTED_VALUE"""),"To")</f>
        <v>To</v>
      </c>
      <c r="E5" s="29" t="str">
        <f>IFERROR(__xludf.DUMMYFUNCTION("""COMPUTED_VALUE"""),"FilterTabName")</f>
        <v>FilterTabName</v>
      </c>
      <c r="F5" s="30" t="str">
        <f>IFERROR(__xludf.DUMMYFUNCTION("""COMPUTED_VALUE"""),"Symbol")</f>
        <v>Symbol</v>
      </c>
      <c r="G5" s="29" t="str">
        <f>IFERROR(__xludf.DUMMYFUNCTION("""COMPUTED_VALUE"""),"Asset")</f>
        <v>Asset</v>
      </c>
      <c r="H5" s="29" t="str">
        <f>IFERROR(__xludf.DUMMYFUNCTION("""COMPUTED_VALUE"""),"Side")</f>
        <v>Side</v>
      </c>
      <c r="I5" s="29" t="str">
        <f>IFERROR(__xludf.DUMMYFUNCTION("""COMPUTED_VALUE"""),"Account")</f>
        <v>Account</v>
      </c>
      <c r="J5" s="29" t="str">
        <f>IFERROR(__xludf.DUMMYFUNCTION("""COMPUTED_VALUE"""),"Broker")</f>
        <v>Broker</v>
      </c>
      <c r="K5" s="29" t="str">
        <f>IFERROR(__xludf.DUMMYFUNCTION("""COMPUTED_VALUE"""),"Currency")</f>
        <v>Currency</v>
      </c>
      <c r="L5" s="29" t="str">
        <f>IFERROR(__xludf.DUMMYFUNCTION("""COMPUTED_VALUE"""),"Exchange")</f>
        <v>Exchange</v>
      </c>
      <c r="M5" s="29" t="str">
        <f>IFERROR(__xludf.DUMMYFUNCTION("""COMPUTED_VALUE"""),"StrategyName")</f>
        <v>StrategyName</v>
      </c>
      <c r="N5" s="29" t="str">
        <f>IFERROR(__xludf.DUMMYFUNCTION("""COMPUTED_VALUE"""),"Underlying")</f>
        <v>Underlying</v>
      </c>
      <c r="O5" s="29" t="str">
        <f>IFERROR(__xludf.DUMMYFUNCTION("""COMPUTED_VALUE"""),"Venue")</f>
        <v>Venue</v>
      </c>
      <c r="P5" s="29" t="str">
        <f>IFERROR(__xludf.DUMMYFUNCTION("""COMPUTED_VALUE"""),"TradingAccount")</f>
        <v>TradingAccount</v>
      </c>
      <c r="Q5" s="29" t="str">
        <f>IFERROR(__xludf.DUMMYFUNCTION("""COMPUTED_VALUE"""),"PreAllocated")</f>
        <v>PreAllocated</v>
      </c>
      <c r="R5" s="29" t="str">
        <f>IFERROR(__xludf.DUMMYFUNCTION("""COMPUTED_VALUE"""),"ManualGroup")</f>
        <v>ManualGroup</v>
      </c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6"/>
      <c r="B6" s="37" t="s">
        <v>23</v>
      </c>
      <c r="C6" s="38" t="s">
        <v>24</v>
      </c>
      <c r="D6" s="39">
        <f>today()</f>
        <v>44909</v>
      </c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yperlinks>
    <hyperlink r:id="rId1" ref="DT4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1c7aP-E18Fb8lEVGiXac03BLoNVdUNRzodD2Xjn-9pzU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IFERROR(__xludf.DUMMYFUNCTION("""COMPUTED_VALUE"""),"Accrual Basis")</f>
        <v>Accrual Basis</v>
      </c>
      <c r="C5" s="29" t="str">
        <f>IFERROR(__xludf.DUMMYFUNCTION("""COMPUTED_VALUE"""),"Accrued Interest")</f>
        <v>Accrued Interest</v>
      </c>
      <c r="D5" s="29" t="str">
        <f>IFERROR(__xludf.DUMMYFUNCTION("""COMPUTED_VALUE"""),"Allocated Qty")</f>
        <v>Allocated Qty</v>
      </c>
      <c r="E5" s="29" t="str">
        <f>IFERROR(__xludf.DUMMYFUNCTION("""COMPUTED_VALUE"""),"Allocation Scheme Name")</f>
        <v>Allocation Scheme Name</v>
      </c>
      <c r="F5" s="30" t="str">
        <f>IFERROR(__xludf.DUMMYFUNCTION("""COMPUTED_VALUE"""),"Asset Category")</f>
        <v>Asset Category</v>
      </c>
      <c r="G5" s="29" t="str">
        <f>IFERROR(__xludf.DUMMYFUNCTION("""COMPUTED_VALUE"""),"AUEC Fee1")</f>
        <v>AUEC Fee1</v>
      </c>
      <c r="H5" s="29" t="str">
        <f>IFERROR(__xludf.DUMMYFUNCTION("""COMPUTED_VALUE"""),"AUEC Fee2")</f>
        <v>AUEC Fee2</v>
      </c>
      <c r="I5" s="29" t="str">
        <f>IFERROR(__xludf.DUMMYFUNCTION("""COMPUTED_VALUE"""),"AUECID")</f>
        <v>AUECID</v>
      </c>
      <c r="J5" s="29" t="str">
        <f>IFERROR(__xludf.DUMMYFUNCTION("""COMPUTED_VALUE"""),"Avg Price(Base)")</f>
        <v>Avg Price(Base)</v>
      </c>
      <c r="K5" s="29" t="str">
        <f>IFERROR(__xludf.DUMMYFUNCTION("""COMPUTED_VALUE"""),"Avg Price(Local)")</f>
        <v>Avg Price(Local)</v>
      </c>
      <c r="L5" s="29" t="str">
        <f>IFERROR(__xludf.DUMMYFUNCTION("""COMPUTED_VALUE"""),"Bloomberg")</f>
        <v>Bloomberg</v>
      </c>
      <c r="M5" s="29" t="str">
        <f>IFERROR(__xludf.DUMMYFUNCTION("""COMPUTED_VALUE"""),"Bond Type")</f>
        <v>Bond Type</v>
      </c>
      <c r="N5" s="29" t="str">
        <f>IFERROR(__xludf.DUMMYFUNCTION("""COMPUTED_VALUE"""),"Broker")</f>
        <v>Broker</v>
      </c>
      <c r="O5" s="29" t="str">
        <f>IFERROR(__xludf.DUMMYFUNCTION("""COMPUTED_VALUE"""),"Change Comment")</f>
        <v>Change Comment</v>
      </c>
      <c r="P5" s="29" t="str">
        <f>IFERROR(__xludf.DUMMYFUNCTION("""COMPUTED_VALUE"""),"Change Type")</f>
        <v>Change Type</v>
      </c>
      <c r="Q5" s="29" t="str">
        <f>IFERROR(__xludf.DUMMYFUNCTION("""COMPUTED_VALUE"""),"Clearing Broker Fee")</f>
        <v>Clearing Broker Fee</v>
      </c>
      <c r="R5" s="29" t="str">
        <f>IFERROR(__xludf.DUMMYFUNCTION("""COMPUTED_VALUE"""),"Closing Method")</f>
        <v>Closing Method</v>
      </c>
      <c r="S5" s="29" t="str">
        <f>IFERROR(__xludf.DUMMYFUNCTION("""COMPUTED_VALUE"""),"Closing Status")</f>
        <v>Closing Status</v>
      </c>
      <c r="T5" s="31" t="str">
        <f>IFERROR(__xludf.DUMMYFUNCTION("""COMPUTED_VALUE"""),"Commission")</f>
        <v>Commission</v>
      </c>
      <c r="U5" s="31" t="str">
        <f>IFERROR(__xludf.DUMMYFUNCTION("""COMPUTED_VALUE"""),"Commission Per Share")</f>
        <v>Commission Per Share</v>
      </c>
      <c r="V5" s="31" t="str">
        <f>IFERROR(__xludf.DUMMYFUNCTION("""COMPUTED_VALUE"""),"Company")</f>
        <v>Company</v>
      </c>
      <c r="W5" s="31" t="str">
        <f>IFERROR(__xludf.DUMMYFUNCTION("""COMPUTED_VALUE"""),"Contract Multiplier")</f>
        <v>Contract Multiplier</v>
      </c>
      <c r="X5" s="31" t="str">
        <f>IFERROR(__xludf.DUMMYFUNCTION("""COMPUTED_VALUE"""),"Coupon Rate")</f>
        <v>Coupon Rate</v>
      </c>
      <c r="Y5" s="31" t="str">
        <f>IFERROR(__xludf.DUMMYFUNCTION("""COMPUTED_VALUE"""),"Cum Qty For Sub Order")</f>
        <v>Cum Qty For Sub Order</v>
      </c>
      <c r="Z5" s="31" t="str">
        <f>IFERROR(__xludf.DUMMYFUNCTION("""COMPUTED_VALUE"""),"Currency")</f>
        <v>Currency</v>
      </c>
      <c r="AA5" s="31" t="str">
        <f>IFERROR(__xludf.DUMMYFUNCTION("""COMPUTED_VALUE"""),"Cusip Symbol")</f>
        <v>Cusip Symbol</v>
      </c>
      <c r="AB5" s="31" t="str">
        <f>IFERROR(__xludf.DUMMYFUNCTION("""COMPUTED_VALUE"""),"Delta")</f>
        <v>Delta</v>
      </c>
      <c r="AC5" s="31" t="str">
        <f>IFERROR(__xludf.DUMMYFUNCTION("""COMPUTED_VALUE"""),"Description")</f>
        <v>Description</v>
      </c>
      <c r="AD5" s="31" t="str">
        <f>IFERROR(__xludf.DUMMYFUNCTION("""COMPUTED_VALUE"""),"Exchange")</f>
        <v>Exchange</v>
      </c>
      <c r="AE5" s="31" t="str">
        <f>IFERROR(__xludf.DUMMYFUNCTION("""COMPUTED_VALUE"""),"Executed Qty")</f>
        <v>Executed Qty</v>
      </c>
      <c r="AF5" s="31" t="str">
        <f>IFERROR(__xludf.DUMMYFUNCTION("""COMPUTED_VALUE"""),"Execution Time")</f>
        <v>Execution Time</v>
      </c>
      <c r="AG5" s="31" t="str">
        <f>IFERROR(__xludf.DUMMYFUNCTION("""COMPUTED_VALUE"""),"FX Conversion Operator")</f>
        <v>FX Conversion Operator</v>
      </c>
      <c r="AH5" s="31" t="str">
        <f>IFERROR(__xludf.DUMMYFUNCTION("""COMPUTED_VALUE"""),"FX Rate")</f>
        <v>FX Rate</v>
      </c>
      <c r="AI5" s="31" t="str">
        <f>IFERROR(__xludf.DUMMYFUNCTION("""COMPUTED_VALUE"""),"Group Status")</f>
        <v>Group Status</v>
      </c>
      <c r="AJ5" s="31" t="str">
        <f>IFERROR(__xludf.DUMMYFUNCTION("""COMPUTED_VALUE"""),"GroupID")</f>
        <v>GroupID</v>
      </c>
      <c r="AK5" s="31" t="str">
        <f>IFERROR(__xludf.DUMMYFUNCTION("""COMPUTED_VALUE"""),"IDCOSymbol")</f>
        <v>IDCOSymbol</v>
      </c>
      <c r="AL5" s="31" t="str">
        <f>IFERROR(__xludf.DUMMYFUNCTION("""COMPUTED_VALUE"""),"Import File Name")</f>
        <v>Import File Name</v>
      </c>
      <c r="AM5" s="31" t="str">
        <f>IFERROR(__xludf.DUMMYFUNCTION("""COMPUTED_VALUE"""),"Internal Comments")</f>
        <v>Internal Comments</v>
      </c>
      <c r="AN5" s="31" t="str">
        <f>IFERROR(__xludf.DUMMYFUNCTION("""COMPUTED_VALUE"""),"IsAnotherTaxlotAttributesUpdated")</f>
        <v>IsAnotherTaxlotAttributesUpdated</v>
      </c>
      <c r="AO5" s="31" t="str">
        <f>IFERROR(__xludf.DUMMYFUNCTION("""COMPUTED_VALUE"""),"ISIN")</f>
        <v>ISIN</v>
      </c>
      <c r="AP5" s="31" t="str">
        <f>IFERROR(__xludf.DUMMYFUNCTION("""COMPUTED_VALUE"""),"IsManual Group")</f>
        <v>IsManual Group</v>
      </c>
      <c r="AQ5" s="31" t="str">
        <f>IFERROR(__xludf.DUMMYFUNCTION("""COMPUTED_VALUE"""),"ISNDF")</f>
        <v>ISNDF</v>
      </c>
      <c r="AR5" s="31" t="str">
        <f>IFERROR(__xludf.DUMMYFUNCTION("""COMPUTED_VALUE"""),"IsPreAllocated")</f>
        <v>IsPreAllocated</v>
      </c>
      <c r="AS5" s="31" t="str">
        <f>IFERROR(__xludf.DUMMYFUNCTION("""COMPUTED_VALUE"""),"M2MProfitLoss")</f>
        <v>M2MProfitLoss</v>
      </c>
      <c r="AT5" s="31" t="str">
        <f>IFERROR(__xludf.DUMMYFUNCTION("""COMPUTED_VALUE"""),"Net Amount( Base)")</f>
        <v>Net Amount( Base)</v>
      </c>
      <c r="AU5" s="31" t="str">
        <f>IFERROR(__xludf.DUMMYFUNCTION("""COMPUTED_VALUE"""),"Net Amount( Local)")</f>
        <v>Net Amount( Local)</v>
      </c>
      <c r="AV5" s="31" t="str">
        <f>IFERROR(__xludf.DUMMYFUNCTION("""COMPUTED_VALUE"""),"Nirvana Process Date")</f>
        <v>Nirvana Process Date</v>
      </c>
      <c r="AW5" s="31" t="str">
        <f>IFERROR(__xludf.DUMMYFUNCTION("""COMPUTED_VALUE"""),"OCC Fee")</f>
        <v>OCC Fee</v>
      </c>
      <c r="AX5" s="31" t="str">
        <f>IFERROR(__xludf.DUMMYFUNCTION("""COMPUTED_VALUE"""),"Option Premium Adjustment")</f>
        <v>Option Premium Adjustment</v>
      </c>
      <c r="AY5" s="31" t="str">
        <f>IFERROR(__xludf.DUMMYFUNCTION("""COMPUTED_VALUE"""),"Order Type")</f>
        <v>Order Type</v>
      </c>
      <c r="AZ5" s="31" t="str">
        <f>IFERROR(__xludf.DUMMYFUNCTION("""COMPUTED_VALUE"""),"ORF Fee")</f>
        <v>ORF Fee</v>
      </c>
      <c r="BA5" s="31" t="str">
        <f>IFERROR(__xludf.DUMMYFUNCTION("""COMPUTED_VALUE"""),"Original Purchase Date")</f>
        <v>Original Purchase Date</v>
      </c>
      <c r="BB5" s="31" t="str">
        <f>IFERROR(__xludf.DUMMYFUNCTION("""COMPUTED_VALUE"""),"OSISSymbol")</f>
        <v>OSISSymbol</v>
      </c>
      <c r="BC5" s="31" t="str">
        <f>IFERROR(__xludf.DUMMYFUNCTION("""COMPUTED_VALUE"""),"Other Broker Fees")</f>
        <v>Other Broker Fees</v>
      </c>
      <c r="BD5" s="31" t="str">
        <f>IFERROR(__xludf.DUMMYFUNCTION("""COMPUTED_VALUE"""),"Prana Msg Type")</f>
        <v>Prana Msg Type</v>
      </c>
      <c r="BE5" s="31" t="str">
        <f>IFERROR(__xludf.DUMMYFUNCTION("""COMPUTED_VALUE"""),"Principal Amount( Base)")</f>
        <v>Principal Amount( Base)</v>
      </c>
      <c r="BF5" s="31" t="str">
        <f>IFERROR(__xludf.DUMMYFUNCTION("""COMPUTED_VALUE"""),"Principal Amount( Local)")</f>
        <v>Principal Amount( Local)</v>
      </c>
      <c r="BG5" s="31" t="str">
        <f>IFERROR(__xludf.DUMMYFUNCTION("""COMPUTED_VALUE"""),"Process Date")</f>
        <v>Process Date</v>
      </c>
      <c r="BH5" s="31" t="str">
        <f>IFERROR(__xludf.DUMMYFUNCTION("""COMPUTED_VALUE"""),"Proxy Symbol")</f>
        <v>Proxy Symbol</v>
      </c>
      <c r="BI5" s="31" t="str">
        <f>IFERROR(__xludf.DUMMYFUNCTION("""COMPUTED_VALUE"""),"Put Or Call")</f>
        <v>Put Or Call</v>
      </c>
      <c r="BJ5" s="31" t="str">
        <f>IFERROR(__xludf.DUMMYFUNCTION("""COMPUTED_VALUE"""),"Quantity")</f>
        <v>Quantity</v>
      </c>
      <c r="BK5" s="31" t="str">
        <f>IFERROR(__xludf.DUMMYFUNCTION("""COMPUTED_VALUE"""),"SEC Fee")</f>
        <v>SEC Fee</v>
      </c>
      <c r="BL5" s="31" t="str">
        <f>IFERROR(__xludf.DUMMYFUNCTION("""COMPUTED_VALUE"""),"Sedol Symbol")</f>
        <v>Sedol Symbol</v>
      </c>
      <c r="BM5" s="31" t="str">
        <f>IFERROR(__xludf.DUMMYFUNCTION("""COMPUTED_VALUE"""),"Settlement Currency")</f>
        <v>Settlement Currency</v>
      </c>
      <c r="BN5" s="31" t="str">
        <f>IFERROR(__xludf.DUMMYFUNCTION("""COMPUTED_VALUE"""),"Settlement Date")</f>
        <v>Settlement Date</v>
      </c>
      <c r="BO5" s="31" t="str">
        <f>IFERROR(__xludf.DUMMYFUNCTION("""COMPUTED_VALUE"""),"Side")</f>
        <v>Side</v>
      </c>
      <c r="BP5" s="31" t="str">
        <f>IFERROR(__xludf.DUMMYFUNCTION("""COMPUTED_VALUE"""),"Soft Commission")</f>
        <v>Soft Commission</v>
      </c>
      <c r="BQ5" s="31" t="str">
        <f>IFERROR(__xludf.DUMMYFUNCTION("""COMPUTED_VALUE"""),"Soft Commission Per Share")</f>
        <v>Soft Commission Per Share</v>
      </c>
      <c r="BR5" s="31" t="str">
        <f>IFERROR(__xludf.DUMMYFUNCTION("""COMPUTED_VALUE"""),"Stamp Duty")</f>
        <v>Stamp Duty</v>
      </c>
      <c r="BS5" s="31" t="str">
        <f>IFERROR(__xludf.DUMMYFUNCTION("""COMPUTED_VALUE"""),"Symbol")</f>
        <v>Symbol</v>
      </c>
      <c r="BT5" s="31" t="str">
        <f>IFERROR(__xludf.DUMMYFUNCTION("""COMPUTED_VALUE"""),"Tax On Commissions")</f>
        <v>Tax On Commissions</v>
      </c>
      <c r="BU5" s="31" t="str">
        <f>IFERROR(__xludf.DUMMYFUNCTION("""COMPUTED_VALUE"""),"Total Commission")</f>
        <v>Total Commission</v>
      </c>
      <c r="BV5" s="31" t="str">
        <f>IFERROR(__xludf.DUMMYFUNCTION("""COMPUTED_VALUE"""),"Total Commission And Fee")</f>
        <v>Total Commission And Fee</v>
      </c>
      <c r="BW5" s="31" t="str">
        <f>IFERROR(__xludf.DUMMYFUNCTION("""COMPUTED_VALUE"""),"Total Commission Per Share")</f>
        <v>Total Commission Per Share</v>
      </c>
      <c r="BX5" s="31" t="str">
        <f>IFERROR(__xludf.DUMMYFUNCTION("""COMPUTED_VALUE"""),"Trade Attribute 1")</f>
        <v>Trade Attribute 1</v>
      </c>
      <c r="BY5" s="31" t="str">
        <f>IFERROR(__xludf.DUMMYFUNCTION("""COMPUTED_VALUE"""),"Trade Attribute 2")</f>
        <v>Trade Attribute 2</v>
      </c>
      <c r="BZ5" s="31" t="str">
        <f>IFERROR(__xludf.DUMMYFUNCTION("""COMPUTED_VALUE"""),"Trade Attribute 3")</f>
        <v>Trade Attribute 3</v>
      </c>
      <c r="CA5" s="31" t="str">
        <f>IFERROR(__xludf.DUMMYFUNCTION("""COMPUTED_VALUE"""),"Trade Attribute 4")</f>
        <v>Trade Attribute 4</v>
      </c>
      <c r="CB5" s="31" t="str">
        <f>IFERROR(__xludf.DUMMYFUNCTION("""COMPUTED_VALUE"""),"Trade Attribute 5")</f>
        <v>Trade Attribute 5</v>
      </c>
      <c r="CC5" s="31" t="str">
        <f>IFERROR(__xludf.DUMMYFUNCTION("""COMPUTED_VALUE"""),"Trade Attribute 6")</f>
        <v>Trade Attribute 6</v>
      </c>
      <c r="CD5" s="31" t="str">
        <f>IFERROR(__xludf.DUMMYFUNCTION("""COMPUTED_VALUE"""),"Trade Date")</f>
        <v>Trade Date</v>
      </c>
      <c r="CE5" s="31" t="str">
        <f>IFERROR(__xludf.DUMMYFUNCTION("""COMPUTED_VALUE"""),"Trading Account")</f>
        <v>Trading Account</v>
      </c>
      <c r="CF5" s="31" t="str">
        <f>IFERROR(__xludf.DUMMYFUNCTION("""COMPUTED_VALUE"""),"Transaction Levy")</f>
        <v>Transaction Levy</v>
      </c>
      <c r="CG5" s="31" t="str">
        <f>IFERROR(__xludf.DUMMYFUNCTION("""COMPUTED_VALUE"""),"Transaction Source")</f>
        <v>Transaction Source</v>
      </c>
      <c r="CH5" s="31" t="str">
        <f>IFERROR(__xludf.DUMMYFUNCTION("""COMPUTED_VALUE"""),"Transaction Type")</f>
        <v>Transaction Type</v>
      </c>
      <c r="CI5" s="31" t="str">
        <f>IFERROR(__xludf.DUMMYFUNCTION("""COMPUTED_VALUE"""),"UnAllocatedQty")</f>
        <v>UnAllocatedQty</v>
      </c>
      <c r="CJ5" s="31" t="str">
        <f>IFERROR(__xludf.DUMMYFUNCTION("""COMPUTED_VALUE"""),"Underlying")</f>
        <v>Underlying</v>
      </c>
      <c r="CK5" s="31" t="str">
        <f>IFERROR(__xludf.DUMMYFUNCTION("""COMPUTED_VALUE"""),"Underlying Delta")</f>
        <v>Underlying Delta</v>
      </c>
      <c r="CL5" s="31" t="str">
        <f>IFERROR(__xludf.DUMMYFUNCTION("""COMPUTED_VALUE"""),"Underlying Symbol")</f>
        <v>Underlying Symbol</v>
      </c>
      <c r="CM5" s="31" t="str">
        <f>IFERROR(__xludf.DUMMYFUNCTION("""COMPUTED_VALUE"""),"User")</f>
        <v>User</v>
      </c>
      <c r="CN5" s="31" t="str">
        <f>IFERROR(__xludf.DUMMYFUNCTION("""COMPUTED_VALUE"""),"Venue")</f>
        <v>Venue</v>
      </c>
      <c r="CO5" s="31" t="str">
        <f>IFERROR(__xludf.DUMMYFUNCTION("""COMPUTED_VALUE"""),"Closing Date")</f>
        <v>Closing Date</v>
      </c>
      <c r="CP5" s="31" t="str">
        <f>IFERROR(__xludf.DUMMYFUNCTION("""COMPUTED_VALUE"""),"Expiration Date")</f>
        <v>Expiration Date</v>
      </c>
      <c r="CQ5" s="31" t="str">
        <f>IFERROR(__xludf.DUMMYFUNCTION("""COMPUTED_VALUE"""),"Master Fund")</f>
        <v>Master Fund</v>
      </c>
      <c r="CR5" s="31" t="str">
        <f>IFERROR(__xludf.DUMMYFUNCTION("""COMPUTED_VALUE"""),"Borrow Broker")</f>
        <v>Borrow Broker</v>
      </c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  <c r="EY5" s="31"/>
      <c r="EZ5" s="31"/>
      <c r="FA5" s="31"/>
      <c r="FB5" s="31"/>
      <c r="FC5" s="31"/>
      <c r="FD5" s="31"/>
      <c r="FE5" s="31"/>
      <c r="FF5" s="31"/>
      <c r="FG5" s="31"/>
      <c r="FH5" s="31"/>
      <c r="FI5" s="31"/>
    </row>
    <row r="6" ht="15.75" customHeight="1">
      <c r="A6" s="41"/>
      <c r="B6" s="41"/>
      <c r="C6" s="42"/>
      <c r="D6" s="43"/>
      <c r="E6" s="32"/>
      <c r="F6" s="41"/>
      <c r="G6" s="42"/>
      <c r="H6" s="42"/>
      <c r="I6" s="42"/>
      <c r="J6" s="42"/>
      <c r="K6" s="42"/>
      <c r="L6" s="32"/>
      <c r="M6" s="32"/>
      <c r="N6" s="32"/>
      <c r="O6" s="32"/>
      <c r="P6" s="44"/>
      <c r="Q6" s="44"/>
      <c r="R6" s="32"/>
      <c r="S6" s="32"/>
      <c r="T6" s="45"/>
      <c r="U6" s="45"/>
      <c r="V6" s="46"/>
      <c r="W6" s="44"/>
      <c r="X6" s="32"/>
      <c r="Y6" s="32"/>
      <c r="Z6" s="32"/>
      <c r="AA6" s="46"/>
      <c r="AB6" s="44"/>
      <c r="AC6" s="32"/>
      <c r="AD6" s="32"/>
      <c r="AE6" s="44"/>
      <c r="AF6" s="32"/>
      <c r="AG6" s="32"/>
      <c r="AH6" s="44"/>
      <c r="AI6" s="32"/>
      <c r="AJ6" s="32"/>
      <c r="AK6" s="32"/>
      <c r="AL6" s="32"/>
      <c r="AM6" s="32"/>
      <c r="AN6" s="47"/>
      <c r="AO6" s="32"/>
      <c r="AP6" s="47"/>
      <c r="AQ6" s="47"/>
      <c r="AR6" s="47"/>
      <c r="AS6" s="44"/>
      <c r="AT6" s="45"/>
      <c r="AU6" s="45"/>
      <c r="AV6" s="32"/>
      <c r="AW6" s="44"/>
      <c r="AX6" s="44"/>
      <c r="AY6" s="32"/>
      <c r="AZ6" s="44"/>
      <c r="BA6" s="32"/>
      <c r="BB6" s="32"/>
      <c r="BC6" s="44"/>
      <c r="BD6" s="32"/>
      <c r="BE6" s="44"/>
      <c r="BF6" s="44"/>
      <c r="BG6" s="32"/>
      <c r="BH6" s="32"/>
      <c r="BI6" s="32"/>
      <c r="BJ6" s="48">
        <v>30000.0</v>
      </c>
      <c r="BK6" s="44"/>
      <c r="BL6" s="32"/>
      <c r="BM6" s="32"/>
      <c r="BN6" s="32"/>
      <c r="BO6" s="46"/>
      <c r="BP6" s="44"/>
      <c r="BQ6" s="44"/>
      <c r="BR6" s="32"/>
      <c r="BS6" s="46" t="s">
        <v>26</v>
      </c>
      <c r="BT6" s="44"/>
      <c r="BU6" s="44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44"/>
      <c r="CG6" s="32"/>
      <c r="CH6" s="32"/>
      <c r="CI6" s="44"/>
      <c r="CJ6" s="32"/>
      <c r="CK6" s="44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44"/>
      <c r="DB6" s="44"/>
      <c r="DC6" s="44"/>
      <c r="DD6" s="44"/>
      <c r="DE6" s="44"/>
      <c r="DF6" s="44"/>
      <c r="DG6" s="44"/>
      <c r="DH6" s="32"/>
      <c r="DI6" s="44"/>
      <c r="DJ6" s="32"/>
      <c r="DK6" s="44"/>
      <c r="DL6" s="44"/>
      <c r="DM6" s="44"/>
      <c r="DN6" s="44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44"/>
      <c r="EG6" s="44"/>
      <c r="EH6" s="44"/>
      <c r="EI6" s="44"/>
      <c r="EJ6" s="44"/>
      <c r="EK6" s="44"/>
      <c r="EL6" s="32"/>
      <c r="EM6" s="44"/>
      <c r="EN6" s="44"/>
      <c r="EO6" s="44"/>
      <c r="EP6" s="32"/>
      <c r="EQ6" s="44"/>
      <c r="ER6" s="44"/>
      <c r="ES6" s="44"/>
      <c r="ET6" s="44"/>
      <c r="EU6" s="44"/>
      <c r="EV6" s="32"/>
      <c r="EW6" s="44"/>
      <c r="EX6" s="47"/>
      <c r="EY6" s="32"/>
      <c r="EZ6" s="32"/>
      <c r="FA6" s="32"/>
      <c r="FB6" s="32"/>
      <c r="FC6" s="32"/>
      <c r="FD6" s="44"/>
      <c r="FE6" s="32"/>
      <c r="FF6" s="32"/>
      <c r="FG6" s="44"/>
      <c r="FH6" s="44"/>
      <c r="FI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IFERROR(__xludf.DUMMYFUNCTION("""COMPUTED_VALUE"""),"TargetQuantityIn")</f>
        <v>TargetQuantityIn</v>
      </c>
      <c r="F5" s="30" t="str">
        <f>IFERROR(__xludf.DUMMYFUNCTION("""COMPUTED_VALUE"""),"AllocationMethod")</f>
        <v>AllocationMethod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IFERROR(__xludf.DUMMYFUNCTION("""COMPUTED_VALUE"""),"FxRate")</f>
        <v>FxRate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IFERROR(__xludf.DUMMYFUNCTION("""COMPUTED_VALUE"""),"CommissionBasis")</f>
        <v>CommissionBasis</v>
      </c>
      <c r="S5" s="29" t="str">
        <f>IFERROR(__xludf.DUMMYFUNCTION("""COMPUTED_VALUE"""),"CommissionRate")</f>
        <v>CommissionRate</v>
      </c>
      <c r="T5" s="31" t="str">
        <f>IFERROR(__xludf.DUMMYFUNCTION("""COMPUTED_VALUE"""),"SoftBasis")</f>
        <v>SoftBasis</v>
      </c>
      <c r="U5" s="31" t="str">
        <f>IFERROR(__xludf.DUMMYFUNCTION("""COMPUTED_VALUE"""),"SoftRate")</f>
        <v>SoftRate</v>
      </c>
      <c r="V5" s="31" t="str">
        <f>IFERROR(__xludf.DUMMYFUNCTION("""COMPUTED_VALUE"""),"TradeAttribute1")</f>
        <v>TradeAttribute1</v>
      </c>
      <c r="W5" s="31" t="str">
        <f>IFERROR(__xludf.DUMMYFUNCTION("""COMPUTED_VALUE"""),"TradeAttribute2")</f>
        <v>TradeAttribute2</v>
      </c>
      <c r="X5" s="31" t="str">
        <f>IFERROR(__xludf.DUMMYFUNCTION("""COMPUTED_VALUE"""),"TradeAttribute3")</f>
        <v>TradeAttribute3</v>
      </c>
      <c r="Y5" s="31" t="str">
        <f>IFERROR(__xludf.DUMMYFUNCTION("""COMPUTED_VALUE"""),"TradeAttribute4")</f>
        <v>TradeAttribute4</v>
      </c>
      <c r="Z5" s="31" t="str">
        <f>IFERROR(__xludf.DUMMYFUNCTION("""COMPUTED_VALUE"""),"TradeAttribute5")</f>
        <v>TradeAttribute5</v>
      </c>
      <c r="AA5" s="31" t="str">
        <f>IFERROR(__xludf.DUMMYFUNCTION("""COMPUTED_VALUE"""),"TradeAttribute6")</f>
        <v>TradeAttribute6</v>
      </c>
      <c r="AB5" s="31" t="str">
        <f>IFERROR(__xludf.DUMMYFUNCTION("""COMPUTED_VALUE"""),"Venue")</f>
        <v>Venue</v>
      </c>
      <c r="AC5" s="31" t="str">
        <f>IFERROR(__xludf.DUMMYFUNCTION("""COMPUTED_VALUE"""),"ExecutionInstructions")</f>
        <v>ExecutionInstructions</v>
      </c>
      <c r="AD5" s="31" t="str">
        <f>IFERROR(__xludf.DUMMYFUNCTION("""COMPUTED_VALUE"""),"HandlingInstructions")</f>
        <v>HandlingInstructions</v>
      </c>
      <c r="AE5" s="31" t="str">
        <f>IFERROR(__xludf.DUMMYFUNCTION("""COMPUTED_VALUE"""),"Trader")</f>
        <v>Trader</v>
      </c>
      <c r="AF5" s="31" t="str">
        <f>IFERROR(__xludf.DUMMYFUNCTION("""COMPUTED_VALUE"""),"SettlementCurrency")</f>
        <v>SettlementCurrency</v>
      </c>
      <c r="AG5" s="31" t="str">
        <f>IFERROR(__xludf.DUMMYFUNCTION("""COMPUTED_VALUE"""),"SettlementFXRate")</f>
        <v>SettlementFXRate</v>
      </c>
      <c r="AH5" s="31" t="str">
        <f>IFERROR(__xludf.DUMMYFUNCTION("""COMPUTED_VALUE"""),"SettlementAmount")</f>
        <v>SettlementAmount</v>
      </c>
      <c r="AI5" s="31" t="str">
        <f>IFERROR(__xludf.DUMMYFUNCTION("""COMPUTED_VALUE"""),"SettlementFXOperator")</f>
        <v>SettlementFXOperator</v>
      </c>
      <c r="AJ5" s="31" t="str">
        <f>IFERROR(__xludf.DUMMYFUNCTION("""COMPUTED_VALUE"""),"SettleByBroker")</f>
        <v>SettleByBroker</v>
      </c>
      <c r="AK5" s="31" t="str">
        <f>IFERROR(__xludf.DUMMYFUNCTION("""COMPUTED_VALUE"""),"Account")</f>
        <v>Account</v>
      </c>
      <c r="AL5" s="31" t="str">
        <f>IFERROR(__xludf.DUMMYFUNCTION("""COMPUTED_VALUE"""),"Account %")</f>
        <v>Account %</v>
      </c>
      <c r="AM5" s="31" t="str">
        <f>IFERROR(__xludf.DUMMYFUNCTION("""COMPUTED_VALUE"""),"Deal In")</f>
        <v>Deal In</v>
      </c>
      <c r="AN5" s="31" t="str">
        <f>IFERROR(__xludf.DUMMYFUNCTION("""COMPUTED_VALUE"""),"ChkBoxBookAsSwap")</f>
        <v>ChkBoxBookAsSwap</v>
      </c>
      <c r="AO5" s="31" t="str">
        <f>IFERROR(__xludf.DUMMYFUNCTION("""COMPUTED_VALUE"""),"PopUpQuantity")</f>
        <v>PopUpQuantity</v>
      </c>
      <c r="AP5" s="31" t="str">
        <f>IFERROR(__xludf.DUMMYFUNCTION("""COMPUTED_VALUE"""),"ShortLocate")</f>
        <v>ShortLocate</v>
      </c>
      <c r="AQ5" s="31" t="str">
        <f>IFERROR(__xludf.DUMMYFUNCTION("""COMPUTED_VALUE"""),"AllowTrade")</f>
        <v>AllowTrade</v>
      </c>
      <c r="AR5" s="31" t="str">
        <f>IFERROR(__xludf.DUMMYFUNCTION("""COMPUTED_VALUE"""),"SharesOutstandingPopUpQty")</f>
        <v>SharesOutstandingPopUpQty</v>
      </c>
      <c r="AS5" s="31" t="str">
        <f>IFERROR(__xludf.DUMMYFUNCTION("""COMPUTED_VALUE"""),"SharesOutstandingPopUp")</f>
        <v>SharesOutstandingPopUp</v>
      </c>
      <c r="AT5" s="31" t="str">
        <f>IFERROR(__xludf.DUMMYFUNCTION("""COMPUTED_VALUE"""),"ResAllowedListPopUp")</f>
        <v>ResAllowedListPopUp</v>
      </c>
      <c r="AU5" s="31" t="str">
        <f>IFERROR(__xludf.DUMMYFUNCTION("""COMPUTED_VALUE"""),"Rate(%)")</f>
        <v>Rate(%)</v>
      </c>
      <c r="AV5" s="31" t="str">
        <f>IFERROR(__xludf.DUMMYFUNCTION("""COMPUTED_VALUE"""),"Interest Rate")</f>
        <v>Interest Rate</v>
      </c>
      <c r="AW5" s="31" t="str">
        <f>IFERROR(__xludf.DUMMYFUNCTION("""COMPUTED_VALUE"""),"SelectAlgoStrategy")</f>
        <v>SelectAlgoStrategy</v>
      </c>
      <c r="AX5" s="31" t="str">
        <f>IFERROR(__xludf.DUMMYFUNCTION("""COMPUTED_VALUE"""),"Increase/Decrease Quantity")</f>
        <v>Increase/Decrease Quantity</v>
      </c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29</v>
      </c>
      <c r="C6" s="8"/>
      <c r="D6" s="13" t="s">
        <v>30</v>
      </c>
      <c r="E6" s="34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'Copy of Data'!$4:$4</formula1>
    </dataValidation>
  </dataValidations>
  <drawing r:id="rId1"/>
</worksheet>
</file>