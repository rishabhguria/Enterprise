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DefaultRuleCalculatedPref" sheetId="5" r:id="rId7"/>
    <sheet state="visible" name="SetAccountValueCalculatedPref" sheetId="6" r:id="rId8"/>
    <sheet state="visible" name="SetGeneralRuleCalculatedPref" sheetId="7" r:id="rId9"/>
    <sheet state="visible" name="CustomOrderTT" sheetId="8" r:id="rId10"/>
    <sheet state="visible" name="SetGeneralPreferences" sheetId="9" r:id="rId11"/>
    <sheet state="visible" name="SelectUnallocatedGroup" sheetId="10" r:id="rId12"/>
    <sheet state="visible" name="EnterAccountValuesToAllocate" sheetId="11" r:id="rId13"/>
    <sheet state="visible" name="CheckAllocatedTaxlots" sheetId="12" r:id="rId14"/>
    <sheet state="visible" name="PricingInput" sheetId="13" r:id="rId15"/>
  </sheets>
  <definedNames/>
  <calcPr/>
</workbook>
</file>

<file path=xl/sharedStrings.xml><?xml version="1.0" encoding="utf-8"?>
<sst xmlns="http://schemas.openxmlformats.org/spreadsheetml/2006/main" count="142" uniqueCount="43">
  <si>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</si>
  <si>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</si>
  <si>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</si>
  <si>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</si>
  <si>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</si>
  <si>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</si>
  <si>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</si>
  <si>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</si>
  <si>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</si>
  <si>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</si>
  <si>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</si>
  <si>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</si>
  <si>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</si>
  <si>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</si>
  <si>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</si>
  <si>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</si>
  <si>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</si>
  <si>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SetDefaultRuleCalculatedPref</t>
  </si>
  <si>
    <t>Trade Quantity</t>
  </si>
  <si>
    <t>Current Preference</t>
  </si>
  <si>
    <t>SetAccountValueCalculatedPref</t>
  </si>
  <si>
    <t>Allocation1</t>
  </si>
  <si>
    <t>Allocation2</t>
  </si>
  <si>
    <t>SetGeneralRuleCalculatedPref</t>
  </si>
  <si>
    <t>Include</t>
  </si>
  <si>
    <t>Buy</t>
  </si>
  <si>
    <t>TradingTicket</t>
  </si>
  <si>
    <t>CustomOrderTT</t>
  </si>
  <si>
    <t>ZVZZT</t>
  </si>
  <si>
    <t>DoneAway</t>
  </si>
  <si>
    <t>Allocation3</t>
  </si>
  <si>
    <t>Unallocated</t>
  </si>
  <si>
    <t>Sell</t>
  </si>
  <si>
    <t>AAPL</t>
  </si>
  <si>
    <t>SetGeneralPreferences</t>
  </si>
  <si>
    <t>Fair Pricing</t>
  </si>
  <si>
    <t>SelectUnallocatedGroup</t>
  </si>
  <si>
    <t>EnterAccountValuesToAllocate</t>
  </si>
  <si>
    <t>CheckAllocatedTaxlots</t>
  </si>
  <si>
    <t>M</t>
  </si>
  <si>
    <t>USD</t>
  </si>
  <si>
    <t>Strategy Unallocated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</si>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</sst>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6" fontId="14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13"/>
      <c r="B6" s="32" t="s">
        <v>18</v>
      </c>
      <c r="C6" s="33"/>
      <c r="D6" s="32" t="s">
        <v>19</v>
      </c>
      <c r="E6" s="34"/>
      <c r="F6" s="34"/>
      <c r="G6" s="33"/>
      <c r="H6" s="34" t="s">
        <v>16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13" t="s">
        <v>21</v>
      </c>
      <c r="D6" s="13">
        <v>20.0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16</v>
      </c>
      <c r="C7" s="13" t="s">
        <v>22</v>
      </c>
      <c r="D7" s="13">
        <v>80.0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3"/>
      <c r="D6" s="35"/>
      <c r="E6" s="33"/>
      <c r="F6" s="33"/>
      <c r="G6" s="33"/>
      <c r="H6" s="34" t="s">
        <v>24</v>
      </c>
      <c r="I6" s="34" t="s">
        <v>25</v>
      </c>
      <c r="J6" s="34" t="s">
        <v>16</v>
      </c>
      <c r="K6" s="36" t="b">
        <v>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28</v>
      </c>
      <c r="C6" s="13">
        <v>268.0</v>
      </c>
      <c r="D6" s="13">
        <v>1.0</v>
      </c>
      <c r="E6" s="13" t="s">
        <v>29</v>
      </c>
      <c r="F6" s="8"/>
      <c r="G6" s="8"/>
      <c r="H6" s="8"/>
      <c r="I6" s="13" t="s">
        <v>21</v>
      </c>
      <c r="J6" s="8"/>
      <c r="K6" s="8"/>
      <c r="L6" s="8"/>
      <c r="M6" s="8"/>
      <c r="N6" s="8"/>
      <c r="O6" s="8"/>
    </row>
    <row r="7" ht="15.75" customHeight="1">
      <c r="A7" s="8"/>
      <c r="B7" s="32" t="s">
        <v>28</v>
      </c>
      <c r="C7" s="13">
        <v>335.0</v>
      </c>
      <c r="D7" s="13">
        <v>1.0</v>
      </c>
      <c r="E7" s="13" t="s">
        <v>29</v>
      </c>
      <c r="F7" s="8"/>
      <c r="G7" s="8"/>
      <c r="H7" s="8"/>
      <c r="I7" s="13" t="s">
        <v>22</v>
      </c>
      <c r="J7" s="8"/>
      <c r="K7" s="8"/>
      <c r="L7" s="8"/>
      <c r="M7" s="8"/>
      <c r="N7" s="8"/>
      <c r="O7" s="8"/>
    </row>
    <row r="8" ht="15.75" customHeight="1">
      <c r="A8" s="8"/>
      <c r="B8" s="32" t="s">
        <v>28</v>
      </c>
      <c r="C8" s="13">
        <v>147.0</v>
      </c>
      <c r="D8" s="13">
        <v>1.0</v>
      </c>
      <c r="E8" s="13" t="s">
        <v>29</v>
      </c>
      <c r="F8" s="8"/>
      <c r="G8" s="8"/>
      <c r="H8" s="8"/>
      <c r="I8" s="13" t="s">
        <v>30</v>
      </c>
      <c r="J8" s="8"/>
      <c r="K8" s="8"/>
      <c r="L8" s="8"/>
      <c r="M8" s="8"/>
      <c r="N8" s="8"/>
      <c r="O8" s="8"/>
    </row>
    <row r="9" ht="15.75" customHeight="1">
      <c r="A9" s="8"/>
      <c r="B9" s="32" t="s">
        <v>28</v>
      </c>
      <c r="C9" s="13">
        <v>200.0</v>
      </c>
      <c r="D9" s="13">
        <v>12.0</v>
      </c>
      <c r="E9" s="13" t="s">
        <v>29</v>
      </c>
      <c r="F9" s="8"/>
      <c r="G9" s="8"/>
      <c r="H9" s="8"/>
      <c r="I9" s="13" t="s">
        <v>31</v>
      </c>
      <c r="J9" s="13" t="s">
        <v>32</v>
      </c>
      <c r="K9" s="8"/>
      <c r="L9" s="8"/>
      <c r="M9" s="8"/>
      <c r="N9" s="8"/>
      <c r="O9" s="8"/>
    </row>
    <row r="10" ht="15.75" customHeight="1">
      <c r="A10" s="8"/>
      <c r="B10" s="13" t="s">
        <v>33</v>
      </c>
      <c r="C10" s="13">
        <v>100.0</v>
      </c>
      <c r="D10" s="13">
        <v>10.0</v>
      </c>
      <c r="E10" s="13" t="s">
        <v>29</v>
      </c>
      <c r="F10" s="8"/>
      <c r="G10" s="8"/>
      <c r="H10" s="8"/>
      <c r="I10" s="13" t="s">
        <v>16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7" t="b">
        <v>1</v>
      </c>
      <c r="C6" s="33"/>
      <c r="D6" s="35"/>
      <c r="E6" s="33"/>
      <c r="F6" s="33"/>
      <c r="G6" s="33"/>
      <c r="H6" s="33"/>
      <c r="I6" s="33"/>
      <c r="J6" s="33"/>
      <c r="K6" s="33"/>
      <c r="L6" s="38" t="s">
        <v>35</v>
      </c>
      <c r="M6" s="33"/>
      <c r="N6" s="38" t="s">
        <v>19</v>
      </c>
      <c r="O6" s="33"/>
      <c r="P6" s="33"/>
      <c r="Q6" s="39" t="b">
        <v>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32">
        <v>33.66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32">
        <v>66.34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v>282.0002</v>
      </c>
      <c r="C6" s="40">
        <v>282.0002</v>
      </c>
      <c r="D6" s="40">
        <v>268.0</v>
      </c>
      <c r="E6" s="40">
        <v>268.0</v>
      </c>
      <c r="F6" s="41" t="s">
        <v>39</v>
      </c>
      <c r="G6" s="40"/>
      <c r="H6" s="41" t="s">
        <v>40</v>
      </c>
      <c r="I6" s="42"/>
      <c r="J6" s="42"/>
      <c r="K6" s="42"/>
      <c r="L6" s="42"/>
      <c r="M6" s="42"/>
      <c r="N6" s="42"/>
      <c r="O6" s="41" t="s">
        <v>21</v>
      </c>
      <c r="P6" s="41" t="s">
        <v>41</v>
      </c>
      <c r="Q6" s="40">
        <v>100.0</v>
      </c>
      <c r="R6" s="40">
        <v>268.0</v>
      </c>
    </row>
    <row r="7" ht="15.75" customHeight="1">
      <c r="A7" s="8"/>
      <c r="B7" s="40">
        <v>349.0002</v>
      </c>
      <c r="C7" s="40">
        <v>349.0002</v>
      </c>
      <c r="D7" s="40">
        <v>335.0</v>
      </c>
      <c r="E7" s="40">
        <v>335.0</v>
      </c>
      <c r="F7" s="41" t="s">
        <v>39</v>
      </c>
      <c r="G7" s="40"/>
      <c r="H7" s="41" t="s">
        <v>40</v>
      </c>
      <c r="I7" s="42"/>
      <c r="J7" s="42"/>
      <c r="K7" s="42"/>
      <c r="L7" s="42"/>
      <c r="M7" s="42"/>
      <c r="N7" s="42"/>
      <c r="O7" s="41" t="s">
        <v>22</v>
      </c>
      <c r="P7" s="41" t="s">
        <v>41</v>
      </c>
      <c r="Q7" s="40">
        <v>100.0</v>
      </c>
      <c r="R7" s="40">
        <v>335.0</v>
      </c>
    </row>
    <row r="8" ht="15.75" customHeight="1">
      <c r="A8" s="8"/>
      <c r="B8" s="40">
        <v>161.0001</v>
      </c>
      <c r="C8" s="40">
        <v>161.0001</v>
      </c>
      <c r="D8" s="40">
        <v>147.0</v>
      </c>
      <c r="E8" s="40">
        <v>147.0</v>
      </c>
      <c r="F8" s="41" t="s">
        <v>39</v>
      </c>
      <c r="G8" s="40"/>
      <c r="H8" s="41" t="s">
        <v>40</v>
      </c>
      <c r="I8" s="42"/>
      <c r="J8" s="42"/>
      <c r="K8" s="42"/>
      <c r="L8" s="42"/>
      <c r="M8" s="42"/>
      <c r="N8" s="42"/>
      <c r="O8" s="41" t="s">
        <v>30</v>
      </c>
      <c r="P8" s="41" t="s">
        <v>41</v>
      </c>
      <c r="Q8" s="40">
        <v>100.0</v>
      </c>
      <c r="R8" s="40">
        <v>147.0</v>
      </c>
    </row>
    <row r="9" ht="15.75" customHeight="1">
      <c r="A9" s="8"/>
      <c r="B9" s="43">
        <v>1586.6891355</v>
      </c>
      <c r="C9" s="43">
        <v>1586.6891355</v>
      </c>
      <c r="D9" s="43">
        <v>1596.0</v>
      </c>
      <c r="E9" s="43">
        <v>1596.0</v>
      </c>
      <c r="F9" s="41" t="s">
        <v>39</v>
      </c>
      <c r="G9" s="40"/>
      <c r="H9" s="41" t="s">
        <v>40</v>
      </c>
      <c r="I9" s="42"/>
      <c r="J9" s="42"/>
      <c r="K9" s="42"/>
      <c r="L9" s="42"/>
      <c r="M9" s="42"/>
      <c r="N9" s="42"/>
      <c r="O9" s="41" t="s">
        <v>22</v>
      </c>
      <c r="P9" s="41" t="s">
        <v>41</v>
      </c>
      <c r="Q9" s="40">
        <v>66.5</v>
      </c>
      <c r="R9" s="40">
        <v>133.0</v>
      </c>
    </row>
    <row r="10" ht="15.75" customHeight="1">
      <c r="A10" s="8"/>
      <c r="B10" s="40">
        <v>799.3095645</v>
      </c>
      <c r="C10" s="40">
        <v>799.3095645</v>
      </c>
      <c r="D10" s="40">
        <v>804.0</v>
      </c>
      <c r="E10" s="40">
        <v>804.0</v>
      </c>
      <c r="F10" s="41" t="s">
        <v>39</v>
      </c>
      <c r="G10" s="40"/>
      <c r="H10" s="41" t="s">
        <v>40</v>
      </c>
      <c r="I10" s="42"/>
      <c r="J10" s="42"/>
      <c r="K10" s="42"/>
      <c r="L10" s="42"/>
      <c r="M10" s="42"/>
      <c r="N10" s="42"/>
      <c r="O10" s="41" t="s">
        <v>21</v>
      </c>
      <c r="P10" s="41" t="s">
        <v>41</v>
      </c>
      <c r="Q10" s="40">
        <v>33.5</v>
      </c>
      <c r="R10" s="40">
        <v>67.0</v>
      </c>
    </row>
    <row r="11" ht="15.75" customHeight="1">
      <c r="A11" s="8"/>
      <c r="B11" s="40">
        <v>811.20048</v>
      </c>
      <c r="C11" s="40">
        <v>811.20048</v>
      </c>
      <c r="D11" s="40">
        <v>800.0</v>
      </c>
      <c r="E11" s="40">
        <v>800.0</v>
      </c>
      <c r="F11" s="41" t="s">
        <v>39</v>
      </c>
      <c r="G11" s="40"/>
      <c r="H11" s="41" t="s">
        <v>40</v>
      </c>
      <c r="I11" s="42"/>
      <c r="J11" s="42"/>
      <c r="K11" s="42"/>
      <c r="L11" s="42"/>
      <c r="M11" s="42"/>
      <c r="N11" s="42"/>
      <c r="O11" s="41" t="s">
        <v>22</v>
      </c>
      <c r="P11" s="41" t="s">
        <v>41</v>
      </c>
      <c r="Q11" s="40">
        <v>80.0</v>
      </c>
      <c r="R11" s="40">
        <v>80.0</v>
      </c>
    </row>
    <row r="12" ht="15.75" customHeight="1">
      <c r="A12" s="8"/>
      <c r="B12" s="40">
        <v>202.80012</v>
      </c>
      <c r="C12" s="40">
        <v>202.80012</v>
      </c>
      <c r="D12" s="40">
        <v>200.0</v>
      </c>
      <c r="E12" s="40">
        <v>200.0</v>
      </c>
      <c r="F12" s="41" t="s">
        <v>39</v>
      </c>
      <c r="G12" s="40"/>
      <c r="H12" s="41" t="s">
        <v>40</v>
      </c>
      <c r="I12" s="42"/>
      <c r="J12" s="42"/>
      <c r="K12" s="42"/>
      <c r="L12" s="42"/>
      <c r="M12" s="42"/>
      <c r="N12" s="42"/>
      <c r="O12" s="41" t="s">
        <v>21</v>
      </c>
      <c r="P12" s="41" t="s">
        <v>41</v>
      </c>
      <c r="Q12" s="40">
        <v>20.0</v>
      </c>
      <c r="R12" s="40">
        <v>20.0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 t="str">
        <f>IFERROR(__xludf.DUMMYFUNCTION("""COMPUTED_VALUE"""),"UpdatePricingInput")</f>
        <v>UpdatePricingInput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28</v>
      </c>
      <c r="C6" s="13">
        <v>12.0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