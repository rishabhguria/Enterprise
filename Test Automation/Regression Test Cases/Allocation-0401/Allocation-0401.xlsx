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3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2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PricingInput" sheetId="5" r:id="rId7"/>
    <sheet state="visible" name="GetDailyCash" sheetId="6" r:id="rId8"/>
    <sheet state="visible" name="UpdateMultipleDailyCash" sheetId="7" r:id="rId9"/>
    <sheet state="visible" name="SetGeneralPreferences" sheetId="8" r:id="rId10"/>
    <sheet state="visible" name="AddMFPreferences" sheetId="9" r:id="rId11"/>
    <sheet state="visible" name="SetMFPreferencesDefaultRule" sheetId="10" r:id="rId12"/>
    <sheet state="visible" name="SetMFPrefAccountValues" sheetId="11" r:id="rId13"/>
    <sheet state="visible" name="SetMFPrefFundDefaultRule" sheetId="12" r:id="rId14"/>
    <sheet state="visible" name="SetMFPrefGeneralRule" sheetId="13" r:id="rId15"/>
    <sheet state="visible" name="UpdateGRDefaultRule" sheetId="14" r:id="rId16"/>
    <sheet state="visible" name="SetMFPrefAccountValues1" sheetId="15" r:id="rId17"/>
    <sheet state="visible" name="SetMFPrefFundDefaultRule1" sheetId="16" r:id="rId18"/>
    <sheet state="visible" name="SetMFPrefGeneralRule1" sheetId="17" r:id="rId19"/>
    <sheet state="visible" name="UpdateGRDefaultRule1" sheetId="18" r:id="rId20"/>
    <sheet state="visible" name="CreateDoneAwayOrder1" sheetId="19" r:id="rId21"/>
    <sheet state="visible" name="GetDataAllocation" sheetId="20" r:id="rId22"/>
    <sheet state="visible" name="SelectUnallocatedGroup" sheetId="21" r:id="rId23"/>
    <sheet state="visible" name="EnterAllocatePreference" sheetId="22" r:id="rId24"/>
    <sheet state="visible" name="CheckAllocatedTaxlots" sheetId="23" r:id="rId25"/>
  </sheets>
  <definedNames/>
  <calcPr/>
</workbook>
</file>

<file path=xl/sharedStrings.xml><?xml version="1.0" encoding="utf-8"?>
<sst xmlns="http://schemas.openxmlformats.org/spreadsheetml/2006/main" count="229" uniqueCount="55">
  <si>
    <t>Modules Info</t>
  </si>
  <si>
    <t>Modules</t>
  </si>
  <si>
    <t>Settings</t>
  </si>
  <si>
    <t>Module Step Setting File</t>
  </si>
  <si>
    <t>1-a9RTtZFODC_0n05aHtOszVfQ5dKJ7YpSep0EGjlOR8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</si>
  <si>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</si>
  <si>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</si>
  <si>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</si>
  <si>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</si>
  <si>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</si>
  <si>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</si>
  <si>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</si>
  <si>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</si>
  <si>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</si>
  <si>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</si>
  <si>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</si>
  <si>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GOOG</t>
  </si>
  <si>
    <t>Sell short</t>
  </si>
  <si>
    <t>Allocation1</t>
  </si>
  <si>
    <t>Allocation3</t>
  </si>
  <si>
    <t>Allocation2</t>
  </si>
  <si>
    <t>Allocation4</t>
  </si>
  <si>
    <t>PricingInput</t>
  </si>
  <si>
    <t>DailyValuation</t>
  </si>
  <si>
    <t>GetDailyCash</t>
  </si>
  <si>
    <t>UpdateMultipleDailyCash</t>
  </si>
  <si>
    <t>USD</t>
  </si>
  <si>
    <t>Allocation</t>
  </si>
  <si>
    <t>SetGeneralPreferences</t>
  </si>
  <si>
    <t>AddMFPreferences</t>
  </si>
  <si>
    <t>TEST1</t>
  </si>
  <si>
    <t>SetMFPreferencesDefaultRule</t>
  </si>
  <si>
    <t>Leveling</t>
  </si>
  <si>
    <t>NewMF,NewMF1</t>
  </si>
  <si>
    <t>SetMFPrefAccountValues</t>
  </si>
  <si>
    <t>NewMF</t>
  </si>
  <si>
    <t>SetMFPrefFundDefaultRule</t>
  </si>
  <si>
    <t>Trade Quantity</t>
  </si>
  <si>
    <t>Account Inception</t>
  </si>
  <si>
    <t>SetMFPrefGeneralRule</t>
  </si>
  <si>
    <t>Include</t>
  </si>
  <si>
    <t>NASDAQ</t>
  </si>
  <si>
    <t>Equity</t>
  </si>
  <si>
    <t>Buy to Close</t>
  </si>
  <si>
    <t>UpdateGRDefaultRule</t>
  </si>
  <si>
    <t>NewMF1</t>
  </si>
  <si>
    <t>Unallocated</t>
  </si>
  <si>
    <t>GetDataAllocation</t>
  </si>
  <si>
    <t>CURRENT</t>
  </si>
  <si>
    <t>SelectUnallocatedGroup</t>
  </si>
  <si>
    <t>EnterAllocatePreference</t>
  </si>
  <si>
    <t>CheckAllocatedTaxlots</t>
  </si>
  <si>
    <t>M</t>
  </si>
  <si>
    <t>Strategy Unallocated</t>
  </si>
  <si>
    <t>Open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</si>
</sst>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0" fillId="0" fontId="5" numFmtId="14" xfId="0" applyAlignment="1" applyFont="1" applyNumberForma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horizontal="right" readingOrder="0" vertical="bottom"/>
    </xf>
    <xf borderId="0" fillId="0" fontId="5" numFmtId="0" xfId="0" applyAlignment="1" applyFont="1">
      <alignment horizontal="center" vertical="bottom"/>
    </xf>
    <xf borderId="0" fillId="0" fontId="3" numFmtId="0" xfId="0" applyAlignment="1" applyFont="1">
      <alignment horizontal="center" vertical="bottom"/>
    </xf>
    <xf borderId="0" fillId="0" fontId="3" numFmtId="0" xfId="0" applyAlignment="1" applyFont="1">
      <alignment shrinkToFit="0" vertical="bottom" wrapText="0"/>
    </xf>
    <xf borderId="0" fillId="0" fontId="3" numFmtId="0" xfId="0" applyAlignment="1" applyFont="1">
      <alignment readingOrder="0" shrinkToFit="0" vertical="bottom" wrapText="0"/>
    </xf>
    <xf borderId="0" fillId="0" fontId="5" numFmtId="0" xfId="0" applyAlignment="1" applyFont="1">
      <alignment horizontal="center" vertical="bottom"/>
    </xf>
    <xf borderId="0" fillId="0" fontId="14" numFmtId="0" xfId="0" applyAlignment="1" applyFont="1">
      <alignment horizontal="right" readingOrder="0" shrinkToFit="0" vertical="bottom" wrapText="0"/>
    </xf>
    <xf borderId="0" fillId="0" fontId="14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5" Type="http://schemas.openxmlformats.org/officeDocument/2006/relationships/worksheet" Target="worksheets/sheet23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IFERROR(__xludf.DUMMYFUNCTION("""COMPUTED_VALUE"""),"1u6KqBelmQQ2oYAB3PeSwYS-Dl3oOd1Dhuag0CXdBdWI")</f>
        <v>1u6KqBelmQQ2oYAB3PeSwYS-Dl3oOd1Dhuag0CXdBdWI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IFERROR(__xludf.DUMMYFUNCTION("""COMPUTED_VALUE"""),"1TqhiATlN6jhyI-VeiodnGdVQyLGZiu97o5NWbxOWr9s")</f>
        <v>1TqhiATlN6jhyI-VeiodnGdVQyLGZiu97o5NWbxOWr9s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IFERROR(__xludf.DUMMYFUNCTION("""COMPUTED_VALUE"""),"1dPK0Rp0k7gPTdi7pAXxULvjivbVrTViWALmSew6wF-0")</f>
        <v>1dPK0Rp0k7gPTdi7pAXxULvjivbVrTViWALmSew6wF-0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IFERROR(__xludf.DUMMYFUNCTION("""COMPUTED_VALUE"""),"178NOc-LsqpjkyVkksd_XD-EQcokXBH-1NEzm5ceoSAk")</f>
        <v>178NOc-LsqpjkyVkksd_XD-EQcokXBH-1NEzm5ceoSAk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IFERROR(__xludf.DUMMYFUNCTION("""COMPUTED_VALUE"""),"1Vv-FRtdz-znMa6eWfAZqSH3k0FWRSgYKVdL6W0eCjF8")</f>
        <v>1Vv-FRtdz-znMa6eWfAZqSH3k0FWRSgYKVdL6W0eCjF8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16</v>
      </c>
      <c r="C6" s="13" t="s">
        <v>17</v>
      </c>
      <c r="D6" s="33">
        <v>400.0</v>
      </c>
      <c r="E6" s="34"/>
      <c r="F6" s="31" t="s">
        <v>18</v>
      </c>
      <c r="G6" s="34"/>
      <c r="H6" s="34"/>
      <c r="I6" s="34"/>
      <c r="J6" s="33">
        <v>1.0</v>
      </c>
      <c r="K6" s="34"/>
      <c r="L6" s="34"/>
      <c r="M6" s="34"/>
      <c r="N6" s="35">
        <f t="shared" ref="N6:N9" si="1">TODAY()-1</f>
        <v>45068</v>
      </c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2" t="s">
        <v>16</v>
      </c>
      <c r="C7" s="13" t="s">
        <v>17</v>
      </c>
      <c r="D7" s="36">
        <v>800.0</v>
      </c>
      <c r="E7" s="34"/>
      <c r="F7" s="34" t="s">
        <v>19</v>
      </c>
      <c r="G7" s="34"/>
      <c r="H7" s="34"/>
      <c r="I7" s="34"/>
      <c r="J7" s="36">
        <v>1.0</v>
      </c>
      <c r="K7" s="34"/>
      <c r="L7" s="34"/>
      <c r="M7" s="34"/>
      <c r="N7" s="35">
        <f t="shared" si="1"/>
        <v>45068</v>
      </c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34"/>
      <c r="B8" s="32" t="s">
        <v>16</v>
      </c>
      <c r="C8" s="13" t="s">
        <v>17</v>
      </c>
      <c r="D8" s="36">
        <v>600.0</v>
      </c>
      <c r="E8" s="34"/>
      <c r="F8" s="34" t="s">
        <v>20</v>
      </c>
      <c r="G8" s="34"/>
      <c r="H8" s="34"/>
      <c r="I8" s="34"/>
      <c r="J8" s="36">
        <v>1.0</v>
      </c>
      <c r="K8" s="34"/>
      <c r="L8" s="34"/>
      <c r="M8" s="34"/>
      <c r="N8" s="35">
        <f t="shared" si="1"/>
        <v>45068</v>
      </c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34"/>
      <c r="BR8" s="34"/>
      <c r="BS8" s="34"/>
      <c r="BT8" s="34"/>
      <c r="BU8" s="34"/>
      <c r="BV8" s="34"/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34"/>
      <c r="CH8" s="34"/>
      <c r="CI8" s="34"/>
      <c r="CJ8" s="34"/>
      <c r="CK8" s="34"/>
      <c r="CL8" s="34"/>
      <c r="CM8" s="34"/>
      <c r="CN8" s="34"/>
      <c r="CO8" s="34"/>
      <c r="CP8" s="34"/>
      <c r="CQ8" s="34"/>
      <c r="CR8" s="34"/>
      <c r="CS8" s="34"/>
      <c r="CT8" s="34"/>
      <c r="CU8" s="34"/>
      <c r="CV8" s="34"/>
      <c r="CW8" s="34"/>
      <c r="CX8" s="34"/>
      <c r="CY8" s="34"/>
      <c r="CZ8" s="34"/>
      <c r="DA8" s="34"/>
      <c r="DB8" s="34"/>
      <c r="DC8" s="34"/>
      <c r="DD8" s="34"/>
      <c r="DE8" s="34"/>
      <c r="DF8" s="34"/>
      <c r="DG8" s="34"/>
      <c r="DH8" s="34"/>
      <c r="DI8" s="34"/>
      <c r="DJ8" s="34"/>
      <c r="DK8" s="34"/>
      <c r="DL8" s="34"/>
      <c r="DM8" s="34"/>
      <c r="DN8" s="34"/>
      <c r="DO8" s="34"/>
      <c r="DP8" s="34"/>
      <c r="DQ8" s="34"/>
      <c r="DR8" s="34"/>
      <c r="DS8" s="34"/>
      <c r="DT8" s="34"/>
      <c r="DU8" s="34"/>
      <c r="DV8" s="34"/>
      <c r="DW8" s="34"/>
      <c r="DX8" s="34"/>
      <c r="DY8" s="34"/>
      <c r="DZ8" s="34"/>
      <c r="EA8" s="34"/>
      <c r="EB8" s="34"/>
      <c r="EC8" s="34"/>
      <c r="ED8" s="34"/>
      <c r="EE8" s="34"/>
      <c r="EF8" s="34"/>
      <c r="EG8" s="34"/>
      <c r="EH8" s="34"/>
      <c r="EI8" s="34"/>
      <c r="EJ8" s="34"/>
      <c r="EK8" s="34"/>
      <c r="EL8" s="34"/>
      <c r="EM8" s="34"/>
      <c r="EN8" s="34"/>
      <c r="EO8" s="34"/>
      <c r="EP8" s="34"/>
      <c r="EQ8" s="34"/>
      <c r="ER8" s="34"/>
      <c r="ES8" s="34"/>
      <c r="ET8" s="34"/>
      <c r="EU8" s="34"/>
      <c r="EV8" s="34"/>
      <c r="EW8" s="34"/>
      <c r="EX8" s="34"/>
    </row>
    <row r="9" ht="15.75" customHeight="1">
      <c r="A9" s="34"/>
      <c r="B9" s="32" t="s">
        <v>16</v>
      </c>
      <c r="C9" s="13" t="s">
        <v>17</v>
      </c>
      <c r="D9" s="36">
        <v>1400.0</v>
      </c>
      <c r="E9" s="34"/>
      <c r="F9" s="34" t="s">
        <v>21</v>
      </c>
      <c r="G9" s="34"/>
      <c r="H9" s="34"/>
      <c r="I9" s="34"/>
      <c r="J9" s="36">
        <v>1.0</v>
      </c>
      <c r="K9" s="34"/>
      <c r="L9" s="34"/>
      <c r="M9" s="34"/>
      <c r="N9" s="35">
        <f t="shared" si="1"/>
        <v>45068</v>
      </c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  <c r="AA9" s="34"/>
      <c r="AB9" s="34"/>
      <c r="AC9" s="34"/>
      <c r="AD9" s="34"/>
      <c r="AE9" s="34"/>
      <c r="AF9" s="34"/>
      <c r="AG9" s="34"/>
      <c r="AH9" s="34"/>
      <c r="AI9" s="34"/>
      <c r="AJ9" s="34"/>
      <c r="AK9" s="34"/>
      <c r="AL9" s="34"/>
      <c r="AM9" s="34"/>
      <c r="AN9" s="34"/>
      <c r="AO9" s="34"/>
      <c r="AP9" s="34"/>
      <c r="AQ9" s="34"/>
      <c r="AR9" s="34"/>
      <c r="AS9" s="34"/>
      <c r="AT9" s="34"/>
      <c r="AU9" s="34"/>
      <c r="AV9" s="34"/>
      <c r="AW9" s="34"/>
      <c r="AX9" s="34"/>
      <c r="AY9" s="34"/>
      <c r="AZ9" s="34"/>
      <c r="BA9" s="34"/>
      <c r="BB9" s="34"/>
      <c r="BC9" s="34"/>
      <c r="BD9" s="34"/>
      <c r="BE9" s="34"/>
      <c r="BF9" s="34"/>
      <c r="BG9" s="34"/>
      <c r="BH9" s="34"/>
      <c r="BI9" s="34"/>
      <c r="BJ9" s="34"/>
      <c r="BK9" s="34"/>
      <c r="BL9" s="34"/>
      <c r="BM9" s="34"/>
      <c r="BN9" s="34"/>
      <c r="BO9" s="34"/>
      <c r="BP9" s="34"/>
      <c r="BQ9" s="34"/>
      <c r="BR9" s="34"/>
      <c r="BS9" s="34"/>
      <c r="BT9" s="34"/>
      <c r="BU9" s="34"/>
      <c r="BV9" s="34"/>
      <c r="BW9" s="34"/>
      <c r="BX9" s="34"/>
      <c r="BY9" s="34"/>
      <c r="BZ9" s="34"/>
      <c r="CA9" s="34"/>
      <c r="CB9" s="34"/>
      <c r="CC9" s="34"/>
      <c r="CD9" s="34"/>
      <c r="CE9" s="34"/>
      <c r="CF9" s="34"/>
      <c r="CG9" s="34"/>
      <c r="CH9" s="34"/>
      <c r="CI9" s="34"/>
      <c r="CJ9" s="34"/>
      <c r="CK9" s="34"/>
      <c r="CL9" s="34"/>
      <c r="CM9" s="34"/>
      <c r="CN9" s="34"/>
      <c r="CO9" s="34"/>
      <c r="CP9" s="34"/>
      <c r="CQ9" s="34"/>
      <c r="CR9" s="34"/>
      <c r="CS9" s="34"/>
      <c r="CT9" s="34"/>
      <c r="CU9" s="34"/>
      <c r="CV9" s="34"/>
      <c r="CW9" s="34"/>
      <c r="CX9" s="34"/>
      <c r="CY9" s="34"/>
      <c r="CZ9" s="34"/>
      <c r="DA9" s="34"/>
      <c r="DB9" s="34"/>
      <c r="DC9" s="34"/>
      <c r="DD9" s="34"/>
      <c r="DE9" s="34"/>
      <c r="DF9" s="34"/>
      <c r="DG9" s="34"/>
      <c r="DH9" s="34"/>
      <c r="DI9" s="34"/>
      <c r="DJ9" s="34"/>
      <c r="DK9" s="34"/>
      <c r="DL9" s="34"/>
      <c r="DM9" s="34"/>
      <c r="DN9" s="34"/>
      <c r="DO9" s="34"/>
      <c r="DP9" s="34"/>
      <c r="DQ9" s="34"/>
      <c r="DR9" s="34"/>
      <c r="DS9" s="34"/>
      <c r="DT9" s="34"/>
      <c r="DU9" s="34"/>
      <c r="DV9" s="34"/>
      <c r="DW9" s="34"/>
      <c r="DX9" s="34"/>
      <c r="DY9" s="34"/>
      <c r="DZ9" s="34"/>
      <c r="EA9" s="34"/>
      <c r="EB9" s="34"/>
      <c r="EC9" s="34"/>
      <c r="ED9" s="34"/>
      <c r="EE9" s="34"/>
      <c r="EF9" s="34"/>
      <c r="EG9" s="34"/>
      <c r="EH9" s="34"/>
      <c r="EI9" s="34"/>
      <c r="EJ9" s="34"/>
      <c r="EK9" s="34"/>
      <c r="EL9" s="34"/>
      <c r="EM9" s="34"/>
      <c r="EN9" s="34"/>
      <c r="EO9" s="34"/>
      <c r="EP9" s="34"/>
      <c r="EQ9" s="34"/>
      <c r="ER9" s="34"/>
      <c r="ES9" s="34"/>
      <c r="ET9" s="34"/>
      <c r="EU9" s="34"/>
      <c r="EV9" s="34"/>
      <c r="EW9" s="34"/>
      <c r="EX9" s="34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13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IFERROR(__xludf.DUMMYFUNCTION("""COMPUTED_VALUE"""),"UncheckDividendYield")</f>
        <v>UncheckDividendYield</v>
      </c>
      <c r="E4" s="25" t="str">
        <f>IFERROR(__xludf.DUMMYFUNCTION("""COMPUTED_VALUE"""),"EODTPreferences")</f>
        <v>EODTPreferences</v>
      </c>
      <c r="F4" s="25" t="str">
        <f>IFERROR(__xludf.DUMMYFUNCTION("""COMPUTED_VALUE"""),"LiveData")</f>
        <v>LiveData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>
        <v>1.0</v>
      </c>
      <c r="D6" s="13"/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5">
        <f>TODAY()-1</f>
        <v>45068</v>
      </c>
      <c r="C6" s="35">
        <f>TODAY()</f>
        <v>45069</v>
      </c>
      <c r="D6" s="31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GetDailyCash!$4:$4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18</v>
      </c>
      <c r="C6" s="34" t="s">
        <v>26</v>
      </c>
      <c r="D6" s="38">
        <v>9600.0</v>
      </c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4" t="s">
        <v>19</v>
      </c>
      <c r="C7" s="34" t="s">
        <v>26</v>
      </c>
      <c r="D7" s="38">
        <v>14200.0</v>
      </c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34"/>
      <c r="B8" s="34" t="s">
        <v>20</v>
      </c>
      <c r="C8" s="34" t="s">
        <v>26</v>
      </c>
      <c r="D8" s="38">
        <v>7400.0</v>
      </c>
      <c r="E8" s="34"/>
      <c r="F8" s="34"/>
      <c r="G8" s="34"/>
      <c r="H8" s="34"/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34"/>
      <c r="BR8" s="34"/>
      <c r="BS8" s="34"/>
      <c r="BT8" s="34"/>
      <c r="BU8" s="34"/>
      <c r="BV8" s="34"/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34"/>
      <c r="CH8" s="34"/>
      <c r="CI8" s="34"/>
      <c r="CJ8" s="34"/>
      <c r="CK8" s="34"/>
      <c r="CL8" s="34"/>
      <c r="CM8" s="34"/>
      <c r="CN8" s="34"/>
      <c r="CO8" s="34"/>
      <c r="CP8" s="34"/>
      <c r="CQ8" s="34"/>
      <c r="CR8" s="34"/>
      <c r="CS8" s="34"/>
      <c r="CT8" s="34"/>
      <c r="CU8" s="34"/>
      <c r="CV8" s="34"/>
      <c r="CW8" s="34"/>
      <c r="CX8" s="34"/>
      <c r="CY8" s="34"/>
      <c r="CZ8" s="34"/>
      <c r="DA8" s="34"/>
      <c r="DB8" s="34"/>
      <c r="DC8" s="34"/>
      <c r="DD8" s="34"/>
      <c r="DE8" s="34"/>
      <c r="DF8" s="34"/>
      <c r="DG8" s="34"/>
      <c r="DH8" s="34"/>
      <c r="DI8" s="34"/>
      <c r="DJ8" s="34"/>
      <c r="DK8" s="34"/>
      <c r="DL8" s="34"/>
      <c r="DM8" s="34"/>
      <c r="DN8" s="34"/>
      <c r="DO8" s="34"/>
      <c r="DP8" s="34"/>
      <c r="DQ8" s="34"/>
      <c r="DR8" s="34"/>
      <c r="DS8" s="34"/>
      <c r="DT8" s="34"/>
      <c r="DU8" s="34"/>
      <c r="DV8" s="34"/>
      <c r="DW8" s="34"/>
      <c r="DX8" s="34"/>
      <c r="DY8" s="34"/>
      <c r="DZ8" s="34"/>
      <c r="EA8" s="34"/>
      <c r="EB8" s="34"/>
      <c r="EC8" s="34"/>
      <c r="ED8" s="34"/>
      <c r="EE8" s="34"/>
      <c r="EF8" s="34"/>
      <c r="EG8" s="34"/>
      <c r="EH8" s="34"/>
      <c r="EI8" s="34"/>
      <c r="EJ8" s="34"/>
      <c r="EK8" s="34"/>
      <c r="EL8" s="34"/>
      <c r="EM8" s="34"/>
      <c r="EN8" s="34"/>
      <c r="EO8" s="34"/>
      <c r="EP8" s="34"/>
      <c r="EQ8" s="34"/>
      <c r="ER8" s="34"/>
      <c r="ES8" s="34"/>
      <c r="ET8" s="34"/>
      <c r="EU8" s="34"/>
      <c r="EV8" s="34"/>
      <c r="EW8" s="34"/>
      <c r="EX8" s="34"/>
    </row>
    <row r="9" ht="15.75" customHeight="1">
      <c r="A9" s="34"/>
      <c r="B9" s="34" t="s">
        <v>21</v>
      </c>
      <c r="C9" s="34" t="s">
        <v>26</v>
      </c>
      <c r="D9" s="38">
        <v>10600.0</v>
      </c>
      <c r="E9" s="34"/>
      <c r="F9" s="34"/>
      <c r="G9" s="34"/>
      <c r="H9" s="34"/>
      <c r="I9" s="34"/>
      <c r="J9" s="34"/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  <c r="AA9" s="34"/>
      <c r="AB9" s="34"/>
      <c r="AC9" s="34"/>
      <c r="AD9" s="34"/>
      <c r="AE9" s="34"/>
      <c r="AF9" s="34"/>
      <c r="AG9" s="34"/>
      <c r="AH9" s="34"/>
      <c r="AI9" s="34"/>
      <c r="AJ9" s="34"/>
      <c r="AK9" s="34"/>
      <c r="AL9" s="34"/>
      <c r="AM9" s="34"/>
      <c r="AN9" s="34"/>
      <c r="AO9" s="34"/>
      <c r="AP9" s="34"/>
      <c r="AQ9" s="34"/>
      <c r="AR9" s="34"/>
      <c r="AS9" s="34"/>
      <c r="AT9" s="34"/>
      <c r="AU9" s="34"/>
      <c r="AV9" s="34"/>
      <c r="AW9" s="34"/>
      <c r="AX9" s="34"/>
      <c r="AY9" s="34"/>
      <c r="AZ9" s="34"/>
      <c r="BA9" s="34"/>
      <c r="BB9" s="34"/>
      <c r="BC9" s="34"/>
      <c r="BD9" s="34"/>
      <c r="BE9" s="34"/>
      <c r="BF9" s="34"/>
      <c r="BG9" s="34"/>
      <c r="BH9" s="34"/>
      <c r="BI9" s="34"/>
      <c r="BJ9" s="34"/>
      <c r="BK9" s="34"/>
      <c r="BL9" s="34"/>
      <c r="BM9" s="34"/>
      <c r="BN9" s="34"/>
      <c r="BO9" s="34"/>
      <c r="BP9" s="34"/>
      <c r="BQ9" s="34"/>
      <c r="BR9" s="34"/>
      <c r="BS9" s="34"/>
      <c r="BT9" s="34"/>
      <c r="BU9" s="34"/>
      <c r="BV9" s="34"/>
      <c r="BW9" s="34"/>
      <c r="BX9" s="34"/>
      <c r="BY9" s="34"/>
      <c r="BZ9" s="34"/>
      <c r="CA9" s="34"/>
      <c r="CB9" s="34"/>
      <c r="CC9" s="34"/>
      <c r="CD9" s="34"/>
      <c r="CE9" s="34"/>
      <c r="CF9" s="34"/>
      <c r="CG9" s="34"/>
      <c r="CH9" s="34"/>
      <c r="CI9" s="34"/>
      <c r="CJ9" s="34"/>
      <c r="CK9" s="34"/>
      <c r="CL9" s="34"/>
      <c r="CM9" s="34"/>
      <c r="CN9" s="34"/>
      <c r="CO9" s="34"/>
      <c r="CP9" s="34"/>
      <c r="CQ9" s="34"/>
      <c r="CR9" s="34"/>
      <c r="CS9" s="34"/>
      <c r="CT9" s="34"/>
      <c r="CU9" s="34"/>
      <c r="CV9" s="34"/>
      <c r="CW9" s="34"/>
      <c r="CX9" s="34"/>
      <c r="CY9" s="34"/>
      <c r="CZ9" s="34"/>
      <c r="DA9" s="34"/>
      <c r="DB9" s="34"/>
      <c r="DC9" s="34"/>
      <c r="DD9" s="34"/>
      <c r="DE9" s="34"/>
      <c r="DF9" s="34"/>
      <c r="DG9" s="34"/>
      <c r="DH9" s="34"/>
      <c r="DI9" s="34"/>
      <c r="DJ9" s="34"/>
      <c r="DK9" s="34"/>
      <c r="DL9" s="34"/>
      <c r="DM9" s="34"/>
      <c r="DN9" s="34"/>
      <c r="DO9" s="34"/>
      <c r="DP9" s="34"/>
      <c r="DQ9" s="34"/>
      <c r="DR9" s="34"/>
      <c r="DS9" s="34"/>
      <c r="DT9" s="34"/>
      <c r="DU9" s="34"/>
      <c r="DV9" s="34"/>
      <c r="DW9" s="34"/>
      <c r="DX9" s="34"/>
      <c r="DY9" s="34"/>
      <c r="DZ9" s="34"/>
      <c r="EA9" s="34"/>
      <c r="EB9" s="34"/>
      <c r="EC9" s="34"/>
      <c r="ED9" s="34"/>
      <c r="EE9" s="34"/>
      <c r="EF9" s="34"/>
      <c r="EG9" s="34"/>
      <c r="EH9" s="34"/>
      <c r="EI9" s="34"/>
      <c r="EJ9" s="34"/>
      <c r="EK9" s="34"/>
      <c r="EL9" s="34"/>
      <c r="EM9" s="34"/>
      <c r="EN9" s="34"/>
      <c r="EO9" s="34"/>
      <c r="EP9" s="34"/>
      <c r="EQ9" s="34"/>
      <c r="ER9" s="34"/>
      <c r="ES9" s="34"/>
      <c r="ET9" s="34"/>
      <c r="EU9" s="34"/>
      <c r="EV9" s="34"/>
      <c r="EW9" s="34"/>
      <c r="EX9" s="34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UpdateMultipleDailyCash!$4:$4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IFERROR(__xludf.DUMMYFUNCTION("""COMPUTED_VALUE"""),"ValidateCheckSide")</f>
        <v>ValidateCheckSide</v>
      </c>
      <c r="C5" s="28" t="str">
        <f>IFERROR(__xludf.DUMMYFUNCTION("""COMPUTED_VALUE"""),"DisabledChecksideAssets")</f>
        <v>DisabledChecksideAssets</v>
      </c>
      <c r="D5" s="28" t="str">
        <f>IFERROR(__xludf.DUMMYFUNCTION("""COMPUTED_VALUE"""),"PrecisionValue")</f>
        <v>PrecisionValue</v>
      </c>
      <c r="E5" s="28" t="str">
        <f>IFERROR(__xludf.DUMMYFUNCTION("""COMPUTED_VALUE"""),"UseCommissionInNetAmount")</f>
        <v>UseCommissionInNetAmount</v>
      </c>
      <c r="F5" s="29" t="str">
        <f>IFERROR(__xludf.DUMMYFUNCTION("""COMPUTED_VALUE"""),"SaveWithoutState")</f>
        <v>SaveWithoutState</v>
      </c>
      <c r="G5" s="28" t="str">
        <f>IFERROR(__xludf.DUMMYFUNCTION("""COMPUTED_VALUE"""),"SaveWithState")</f>
        <v>SaveWithState</v>
      </c>
      <c r="H5" s="28" t="str">
        <f>IFERROR(__xludf.DUMMYFUNCTION("""COMPUTED_VALUE"""),"ClearQuantities")</f>
        <v>ClearQuantities</v>
      </c>
      <c r="I5" s="28" t="str">
        <f>IFERROR(__xludf.DUMMYFUNCTION("""COMPUTED_VALUE"""),"ReapplyAllocation")</f>
        <v>ReapplyAllocation</v>
      </c>
      <c r="J5" s="28" t="str">
        <f>IFERROR(__xludf.DUMMYFUNCTION("""COMPUTED_VALUE"""),"DefaultAllocation")</f>
        <v>DefaultAllocation</v>
      </c>
      <c r="K5" s="28" t="str">
        <f>IFERROR(__xludf.DUMMYFUNCTION("""COMPUTED_VALUE"""),"IsCustomPreference")</f>
        <v>IsCustomPreference</v>
      </c>
      <c r="L5" s="28" t="str">
        <f>IFERROR(__xludf.DUMMYFUNCTION("""COMPUTED_VALUE"""),"AllocationMethod")</f>
        <v>AllocationMethod</v>
      </c>
      <c r="M5" s="28" t="str">
        <f>IFERROR(__xludf.DUMMYFUNCTION("""COMPUTED_VALUE"""),"RemainderAllocationTo")</f>
        <v>RemainderAllocationTo</v>
      </c>
      <c r="N5" s="28" t="str">
        <f>IFERROR(__xludf.DUMMYFUNCTION("""COMPUTED_VALUE"""),"Target%AsOf")</f>
        <v>Target%AsOf</v>
      </c>
      <c r="O5" s="28" t="str">
        <f>IFERROR(__xludf.DUMMYFUNCTION("""COMPUTED_VALUE"""),"ProrataAccounts")</f>
        <v>ProrataAccounts</v>
      </c>
      <c r="P5" s="28" t="str">
        <f>IFERROR(__xludf.DUMMYFUNCTION("""COMPUTED_VALUE"""),"DateUptoDays")</f>
        <v>DateUptoDays</v>
      </c>
      <c r="Q5" s="28" t="str">
        <f>IFERROR(__xludf.DUMMYFUNCTION("""COMPUTED_VALUE"""),"MatchClosing")</f>
        <v>MatchClosing</v>
      </c>
      <c r="R5" s="28" t="str">
        <f>IFERROR(__xludf.DUMMYFUNCTION("""COMPUTED_VALUE"""),"CommissionAlertOnBrokerChange")</f>
        <v>CommissionAlertOnBrokerChange</v>
      </c>
      <c r="S5" s="28" t="str">
        <f>IFERROR(__xludf.DUMMYFUNCTION("""COMPUTED_VALUE"""),"RecalculateCommissionOnBrokerChange")</f>
        <v>RecalculateCommissionOnBrokerChange</v>
      </c>
      <c r="T5" s="30" t="str">
        <f>IFERROR(__xludf.DUMMYFUNCTION("""COMPUTED_VALUE"""),"CommissionAlertOnAllocation")</f>
        <v>CommissionAlertOnAllocation</v>
      </c>
      <c r="U5" s="30" t="str">
        <f>IFERROR(__xludf.DUMMYFUNCTION("""COMPUTED_VALUE"""),"RecalculateCommissionOnAllocation")</f>
        <v>RecalculateCommissionOnAllocation</v>
      </c>
      <c r="V5" s="30" t="str">
        <f>IFERROR(__xludf.DUMMYFUNCTION("""COMPUTED_VALUE"""),"EnableMasterFund")</f>
        <v>EnableMasterFund</v>
      </c>
      <c r="W5" s="30" t="str">
        <f>IFERROR(__xludf.DUMMYFUNCTION("""COMPUTED_VALUE"""),"1MasterFund/1Symbol")</f>
        <v>1MasterFund/1Symbol</v>
      </c>
      <c r="X5" s="30" t="str">
        <f>IFERROR(__xludf.DUMMYFUNCTION("""COMPUTED_VALUE"""),"ProrataSchemeName")</f>
        <v>ProrataSchemeName</v>
      </c>
      <c r="Y5" s="30" t="str">
        <f>IFERROR(__xludf.DUMMYFUNCTION("""COMPUTED_VALUE"""),"ProrataAllocationSchemeBasis")</f>
        <v>ProrataAllocationSchemeBasis</v>
      </c>
      <c r="Z5" s="30" t="str">
        <f>IFERROR(__xludf.DUMMYFUNCTION("""COMPUTED_VALUE"""),"ShowAdvancedProrataUI")</f>
        <v>ShowAdvancedProrataUI</v>
      </c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9" t="b">
        <v>1</v>
      </c>
      <c r="C6" s="34"/>
      <c r="D6" s="31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40" t="b">
        <v>1</v>
      </c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SetGeneralPreferences!$4:$4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30</v>
      </c>
      <c r="C6" s="34"/>
      <c r="D6" s="31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AddMFPreferences!$4:$4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IFERROR(__xludf.DUMMYFUNCTION("""COMPUTED_VALUE"""),"RemainderAllocationTo")</f>
        <v>RemainderAllocationTo</v>
      </c>
      <c r="C5" s="28" t="str">
        <f>IFERROR(__xludf.DUMMYFUNCTION("""COMPUTED_VALUE"""),"Target%AsOf")</f>
        <v>Target%AsOf</v>
      </c>
      <c r="D5" s="28" t="str">
        <f>IFERROR(__xludf.DUMMYFUNCTION("""COMPUTED_VALUE"""),"ProrataAccounts")</f>
        <v>ProrataAccounts</v>
      </c>
      <c r="E5" s="28" t="str">
        <f>IFERROR(__xludf.DUMMYFUNCTION("""COMPUTED_VALUE"""),"DateUptoDays")</f>
        <v>DateUptoDays</v>
      </c>
      <c r="F5" s="29" t="str">
        <f>IFERROR(__xludf.DUMMYFUNCTION("""COMPUTED_VALUE"""),"PreferenceName")</f>
        <v>PreferenceName</v>
      </c>
      <c r="G5" s="28" t="str">
        <f>IFERROR(__xludf.DUMMYFUNCTION("""COMPUTED_VALUE"""),"MatchClosingTransaction")</f>
        <v>MatchClosingTransaction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4" t="s">
        <v>32</v>
      </c>
      <c r="D6" s="41" t="s">
        <v>33</v>
      </c>
      <c r="E6" s="34"/>
      <c r="F6" s="34" t="s">
        <v>30</v>
      </c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SetMFPreferencesDefaultRule!$4:$4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IFERROR(__xludf.DUMMYFUNCTION("""COMPUTED_VALUE"""),"MasterFund")</f>
        <v>MasterFund</v>
      </c>
      <c r="D5" s="28" t="str">
        <f>IFERROR(__xludf.DUMMYFUNCTION("""COMPUTED_VALUE"""),"AccountName")</f>
        <v>AccountName</v>
      </c>
      <c r="E5" s="28" t="str">
        <f>IFERROR(__xludf.DUMMYFUNCTION("""COMPUTED_VALUE"""),"Percentage")</f>
        <v>Percentage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30</v>
      </c>
      <c r="C6" s="34" t="s">
        <v>35</v>
      </c>
      <c r="D6" s="31" t="s">
        <v>18</v>
      </c>
      <c r="E6" s="36">
        <v>50.0</v>
      </c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4" t="s">
        <v>30</v>
      </c>
      <c r="C7" s="34" t="s">
        <v>35</v>
      </c>
      <c r="D7" s="34" t="s">
        <v>19</v>
      </c>
      <c r="E7" s="36">
        <v>50.0</v>
      </c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SetMFPrefAccountValues!$4:$4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IFERROR(__xludf.DUMMYFUNCTION("""COMPUTED_VALUE"""),"MasterFund")</f>
        <v>MasterFund</v>
      </c>
      <c r="D5" s="28" t="str">
        <f>IFERROR(__xludf.DUMMYFUNCTION("""COMPUTED_VALUE"""),"AllocationMethod")</f>
        <v>AllocationMethod</v>
      </c>
      <c r="E5" s="28" t="str">
        <f>IFERROR(__xludf.DUMMYFUNCTION("""COMPUTED_VALUE"""),"RemainderAllocationTo")</f>
        <v>RemainderAllocationTo</v>
      </c>
      <c r="F5" s="29" t="str">
        <f>IFERROR(__xludf.DUMMYFUNCTION("""COMPUTED_VALUE"""),"Target%AsOf")</f>
        <v>Target%AsOf</v>
      </c>
      <c r="G5" s="28" t="str">
        <f>IFERROR(__xludf.DUMMYFUNCTION("""COMPUTED_VALUE"""),"ProrataAccounts")</f>
        <v>ProrataAccounts</v>
      </c>
      <c r="H5" s="28" t="str">
        <f>IFERROR(__xludf.DUMMYFUNCTION("""COMPUTED_VALUE"""),"DateUptoDays")</f>
        <v>DateUptoDays</v>
      </c>
      <c r="I5" s="28" t="str">
        <f>IFERROR(__xludf.DUMMYFUNCTION("""COMPUTED_VALUE"""),"MatchClosingTransactions")</f>
        <v>MatchClosingTransactions</v>
      </c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30</v>
      </c>
      <c r="C6" s="32" t="s">
        <v>35</v>
      </c>
      <c r="D6" s="31" t="s">
        <v>37</v>
      </c>
      <c r="E6" s="32"/>
      <c r="F6" s="42" t="s">
        <v>38</v>
      </c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SetMFPrefFundDefaultRule!$4:$4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IFERROR(__xludf.DUMMYFUNCTION("""COMPUTED_VALUE"""),"MasterFund")</f>
        <v>MasterFund</v>
      </c>
      <c r="D5" s="28" t="str">
        <f>IFERROR(__xludf.DUMMYFUNCTION("""COMPUTED_VALUE"""),"Exchange Selector")</f>
        <v>Exchange Selector</v>
      </c>
      <c r="E5" s="28" t="str">
        <f>IFERROR(__xludf.DUMMYFUNCTION("""COMPUTED_VALUE"""),"Exchange List")</f>
        <v>Exchange List</v>
      </c>
      <c r="F5" s="29" t="str">
        <f>IFERROR(__xludf.DUMMYFUNCTION("""COMPUTED_VALUE"""),"Asset Selector")</f>
        <v>Asset Selector</v>
      </c>
      <c r="G5" s="28" t="str">
        <f>IFERROR(__xludf.DUMMYFUNCTION("""COMPUTED_VALUE"""),"Asset List")</f>
        <v>Asset List</v>
      </c>
      <c r="H5" s="28" t="str">
        <f>IFERROR(__xludf.DUMMYFUNCTION("""COMPUTED_VALUE"""),"PR Selector")</f>
        <v>PR Selector</v>
      </c>
      <c r="I5" s="28" t="str">
        <f>IFERROR(__xludf.DUMMYFUNCTION("""COMPUTED_VALUE"""),"PR List")</f>
        <v>PR List</v>
      </c>
      <c r="J5" s="28" t="str">
        <f>IFERROR(__xludf.DUMMYFUNCTION("""COMPUTED_VALUE"""),"Order Side Selector")</f>
        <v>Order Side Selector</v>
      </c>
      <c r="K5" s="28" t="str">
        <f>IFERROR(__xludf.DUMMYFUNCTION("""COMPUTED_VALUE"""),"Order Side List")</f>
        <v>Order Side List</v>
      </c>
      <c r="L5" s="28" t="str">
        <f>IFERROR(__xludf.DUMMYFUNCTION("""COMPUTED_VALUE"""),"Update Preference")</f>
        <v>Update Preference</v>
      </c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30</v>
      </c>
      <c r="C6" s="34" t="s">
        <v>35</v>
      </c>
      <c r="D6" s="31" t="s">
        <v>40</v>
      </c>
      <c r="E6" s="32" t="s">
        <v>41</v>
      </c>
      <c r="F6" s="34" t="s">
        <v>40</v>
      </c>
      <c r="G6" s="34" t="s">
        <v>42</v>
      </c>
      <c r="H6" s="34"/>
      <c r="I6" s="34"/>
      <c r="J6" s="34" t="s">
        <v>40</v>
      </c>
      <c r="K6" s="32" t="s">
        <v>43</v>
      </c>
      <c r="L6" s="43" t="b">
        <v>1</v>
      </c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SetMFPrefGeneralRule!$4:$4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44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IFERROR(__xludf.DUMMYFUNCTION("""COMPUTED_VALUE"""),"AllocationMethod")</f>
        <v>AllocationMethod</v>
      </c>
      <c r="C5" s="28" t="str">
        <f>IFERROR(__xludf.DUMMYFUNCTION("""COMPUTED_VALUE"""),"RemainderAllocationTo")</f>
        <v>RemainderAllocationTo</v>
      </c>
      <c r="D5" s="28" t="str">
        <f>IFERROR(__xludf.DUMMYFUNCTION("""COMPUTED_VALUE"""),"Target%AsOf")</f>
        <v>Target%AsOf</v>
      </c>
      <c r="E5" s="28" t="str">
        <f>IFERROR(__xludf.DUMMYFUNCTION("""COMPUTED_VALUE"""),"ProrataAccounts")</f>
        <v>ProrataAccounts</v>
      </c>
      <c r="F5" s="29" t="str">
        <f>IFERROR(__xludf.DUMMYFUNCTION("""COMPUTED_VALUE"""),"DateUptoDays")</f>
        <v>DateUptoDays</v>
      </c>
      <c r="G5" s="28" t="str">
        <f>IFERROR(__xludf.DUMMYFUNCTION("""COMPUTED_VALUE"""),"MatchClosingTransactions")</f>
        <v>MatchClosingTransactions</v>
      </c>
      <c r="H5" s="28" t="str">
        <f>IFERROR(__xludf.DUMMYFUNCTION("""COMPUTED_VALUE"""),"PreferenceName")</f>
        <v>PreferenceName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37</v>
      </c>
      <c r="C6" s="32"/>
      <c r="D6" s="42" t="s">
        <v>38</v>
      </c>
      <c r="E6" s="34"/>
      <c r="F6" s="34"/>
      <c r="G6" s="34"/>
      <c r="H6" s="34" t="s">
        <v>30</v>
      </c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UpdateGRDefaultRule!$4:$4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IFERROR(__xludf.DUMMYFUNCTION("""COMPUTED_VALUE"""),"MasterFund")</f>
        <v>MasterFund</v>
      </c>
      <c r="D5" s="28" t="str">
        <f>IFERROR(__xludf.DUMMYFUNCTION("""COMPUTED_VALUE"""),"AccountName")</f>
        <v>AccountName</v>
      </c>
      <c r="E5" s="28" t="str">
        <f>IFERROR(__xludf.DUMMYFUNCTION("""COMPUTED_VALUE"""),"Percentage")</f>
        <v>Percentage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30</v>
      </c>
      <c r="C6" s="34" t="s">
        <v>45</v>
      </c>
      <c r="D6" s="31" t="s">
        <v>20</v>
      </c>
      <c r="E6" s="36">
        <v>50.0</v>
      </c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4" t="s">
        <v>30</v>
      </c>
      <c r="C7" s="34" t="s">
        <v>45</v>
      </c>
      <c r="D7" s="34" t="s">
        <v>21</v>
      </c>
      <c r="E7" s="36">
        <v>50.0</v>
      </c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SetMFPrefAccountValues1!$4:$4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IFERROR(__xludf.DUMMYFUNCTION("""COMPUTED_VALUE"""),"MasterFund")</f>
        <v>MasterFund</v>
      </c>
      <c r="D5" s="28" t="str">
        <f>IFERROR(__xludf.DUMMYFUNCTION("""COMPUTED_VALUE"""),"AllocationMethod")</f>
        <v>AllocationMethod</v>
      </c>
      <c r="E5" s="28" t="str">
        <f>IFERROR(__xludf.DUMMYFUNCTION("""COMPUTED_VALUE"""),"RemainderAllocationTo")</f>
        <v>RemainderAllocationTo</v>
      </c>
      <c r="F5" s="29" t="str">
        <f>IFERROR(__xludf.DUMMYFUNCTION("""COMPUTED_VALUE"""),"Target%AsOf")</f>
        <v>Target%AsOf</v>
      </c>
      <c r="G5" s="28" t="str">
        <f>IFERROR(__xludf.DUMMYFUNCTION("""COMPUTED_VALUE"""),"ProrataAccounts")</f>
        <v>ProrataAccounts</v>
      </c>
      <c r="H5" s="28" t="str">
        <f>IFERROR(__xludf.DUMMYFUNCTION("""COMPUTED_VALUE"""),"DateUptoDays")</f>
        <v>DateUptoDays</v>
      </c>
      <c r="I5" s="28" t="str">
        <f>IFERROR(__xludf.DUMMYFUNCTION("""COMPUTED_VALUE"""),"MatchClosingTransactions")</f>
        <v>MatchClosingTransactions</v>
      </c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30</v>
      </c>
      <c r="C6" s="34"/>
      <c r="D6" s="31" t="s">
        <v>37</v>
      </c>
      <c r="E6" s="32"/>
      <c r="F6" s="42" t="s">
        <v>38</v>
      </c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SetMFPrefFundDefaultRule1!$4:$4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IFERROR(__xludf.DUMMYFUNCTION("""COMPUTED_VALUE"""),"MasterFund")</f>
        <v>MasterFund</v>
      </c>
      <c r="D5" s="28" t="str">
        <f>IFERROR(__xludf.DUMMYFUNCTION("""COMPUTED_VALUE"""),"Exchange Selector")</f>
        <v>Exchange Selector</v>
      </c>
      <c r="E5" s="28" t="str">
        <f>IFERROR(__xludf.DUMMYFUNCTION("""COMPUTED_VALUE"""),"Exchange List")</f>
        <v>Exchange List</v>
      </c>
      <c r="F5" s="29" t="str">
        <f>IFERROR(__xludf.DUMMYFUNCTION("""COMPUTED_VALUE"""),"Asset Selector")</f>
        <v>Asset Selector</v>
      </c>
      <c r="G5" s="28" t="str">
        <f>IFERROR(__xludf.DUMMYFUNCTION("""COMPUTED_VALUE"""),"Asset List")</f>
        <v>Asset List</v>
      </c>
      <c r="H5" s="28" t="str">
        <f>IFERROR(__xludf.DUMMYFUNCTION("""COMPUTED_VALUE"""),"PR Selector")</f>
        <v>PR Selector</v>
      </c>
      <c r="I5" s="28" t="str">
        <f>IFERROR(__xludf.DUMMYFUNCTION("""COMPUTED_VALUE"""),"PR List")</f>
        <v>PR List</v>
      </c>
      <c r="J5" s="28" t="str">
        <f>IFERROR(__xludf.DUMMYFUNCTION("""COMPUTED_VALUE"""),"Order Side Selector")</f>
        <v>Order Side Selector</v>
      </c>
      <c r="K5" s="28" t="str">
        <f>IFERROR(__xludf.DUMMYFUNCTION("""COMPUTED_VALUE"""),"Order Side List")</f>
        <v>Order Side List</v>
      </c>
      <c r="L5" s="28" t="str">
        <f>IFERROR(__xludf.DUMMYFUNCTION("""COMPUTED_VALUE"""),"Update Preference")</f>
        <v>Update Preference</v>
      </c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30</v>
      </c>
      <c r="C6" s="34" t="s">
        <v>45</v>
      </c>
      <c r="D6" s="31" t="s">
        <v>40</v>
      </c>
      <c r="E6" s="32" t="s">
        <v>41</v>
      </c>
      <c r="F6" s="34" t="s">
        <v>40</v>
      </c>
      <c r="G6" s="34" t="s">
        <v>42</v>
      </c>
      <c r="H6" s="34"/>
      <c r="I6" s="34"/>
      <c r="J6" s="34" t="s">
        <v>40</v>
      </c>
      <c r="K6" s="32" t="s">
        <v>43</v>
      </c>
      <c r="L6" s="43" t="b">
        <v>1</v>
      </c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SetMFPrefGeneralRule1!$4:$4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44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IFERROR(__xludf.DUMMYFUNCTION("""COMPUTED_VALUE"""),"AllocationMethod")</f>
        <v>AllocationMethod</v>
      </c>
      <c r="C5" s="28" t="str">
        <f>IFERROR(__xludf.DUMMYFUNCTION("""COMPUTED_VALUE"""),"RemainderAllocationTo")</f>
        <v>RemainderAllocationTo</v>
      </c>
      <c r="D5" s="28" t="str">
        <f>IFERROR(__xludf.DUMMYFUNCTION("""COMPUTED_VALUE"""),"Target%AsOf")</f>
        <v>Target%AsOf</v>
      </c>
      <c r="E5" s="28" t="str">
        <f>IFERROR(__xludf.DUMMYFUNCTION("""COMPUTED_VALUE"""),"ProrataAccounts")</f>
        <v>ProrataAccounts</v>
      </c>
      <c r="F5" s="29" t="str">
        <f>IFERROR(__xludf.DUMMYFUNCTION("""COMPUTED_VALUE"""),"DateUptoDays")</f>
        <v>DateUptoDays</v>
      </c>
      <c r="G5" s="28" t="str">
        <f>IFERROR(__xludf.DUMMYFUNCTION("""COMPUTED_VALUE"""),"MatchClosingTransactions")</f>
        <v>MatchClosingTransactions</v>
      </c>
      <c r="H5" s="28" t="str">
        <f>IFERROR(__xludf.DUMMYFUNCTION("""COMPUTED_VALUE"""),"PreferenceName")</f>
        <v>PreferenceName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37</v>
      </c>
      <c r="C6" s="32"/>
      <c r="D6" s="42" t="s">
        <v>38</v>
      </c>
      <c r="E6" s="34"/>
      <c r="F6" s="34"/>
      <c r="G6" s="34"/>
      <c r="H6" s="34" t="s">
        <v>30</v>
      </c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UpdateGRDefaultRule1!$4:$4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43</v>
      </c>
      <c r="D6" s="13">
        <v>125.0</v>
      </c>
      <c r="E6" s="37"/>
      <c r="F6" s="13" t="s">
        <v>46</v>
      </c>
      <c r="G6" s="8"/>
      <c r="H6" s="8"/>
      <c r="I6" s="8"/>
      <c r="J6" s="13">
        <v>11.0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47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48</v>
      </c>
      <c r="C6" s="34"/>
      <c r="D6" s="31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49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IFERROR(__xludf.DUMMYFUNCTION("""COMPUTED_VALUE"""),"Side")</f>
        <v>Side</v>
      </c>
      <c r="D5" s="28" t="str">
        <f>IFERROR(__xludf.DUMMYFUNCTION("""COMPUTED_VALUE"""),"Quantity")</f>
        <v>Quantity</v>
      </c>
      <c r="E5" s="28" t="str">
        <f>IFERROR(__xludf.DUMMYFUNCTION("""COMPUTED_VALUE"""),"Executed Qty")</f>
        <v>Executed Qty</v>
      </c>
      <c r="F5" s="29" t="str">
        <f>IFERROR(__xludf.DUMMYFUNCTION("""COMPUTED_VALUE"""),"Trade Date")</f>
        <v>Trade Date</v>
      </c>
      <c r="G5" s="28" t="str">
        <f>IFERROR(__xludf.DUMMYFUNCTION("""COMPUTED_VALUE"""),"Net Amount( Local)")</f>
        <v>Net Amount( Local)</v>
      </c>
      <c r="H5" s="28" t="str">
        <f>IFERROR(__xludf.DUMMYFUNCTION("""COMPUTED_VALUE"""),"Net Amount( Base)")</f>
        <v>Net Amount( Base)</v>
      </c>
      <c r="I5" s="28" t="str">
        <f>IFERROR(__xludf.DUMMYFUNCTION("""COMPUTED_VALUE"""),"Principal Amount( Local)")</f>
        <v>Principal Amount( Local)</v>
      </c>
      <c r="J5" s="28" t="str">
        <f>IFERROR(__xludf.DUMMYFUNCTION("""COMPUTED_VALUE"""),"Transaction Type")</f>
        <v>Transaction Type</v>
      </c>
      <c r="K5" s="28" t="str">
        <f>IFERROR(__xludf.DUMMYFUNCTION("""COMPUTED_VALUE"""),"Principal Amount( Base)")</f>
        <v>Principal Amount( Base)</v>
      </c>
      <c r="L5" s="28" t="str">
        <f>IFERROR(__xludf.DUMMYFUNCTION("""COMPUTED_VALUE"""),"Execution Time")</f>
        <v>Execution Time</v>
      </c>
      <c r="M5" s="28" t="str">
        <f>IFERROR(__xludf.DUMMYFUNCTION("""COMPUTED_VALUE"""),"Trading Account")</f>
        <v>Trading Account</v>
      </c>
      <c r="N5" s="28" t="str">
        <f>IFERROR(__xludf.DUMMYFUNCTION("""COMPUTED_VALUE"""),"Avg Price(Local)")</f>
        <v>Avg Price(Local)</v>
      </c>
      <c r="O5" s="28" t="str">
        <f>IFERROR(__xludf.DUMMYFUNCTION("""COMPUTED_VALUE"""),"Avg Price(Base)")</f>
        <v>Avg Price(Base)</v>
      </c>
      <c r="P5" s="28" t="str">
        <f>IFERROR(__xludf.DUMMYFUNCTION("""COMPUTED_VALUE"""),"Broker")</f>
        <v>Broker</v>
      </c>
      <c r="Q5" s="28" t="str">
        <f>IFERROR(__xludf.DUMMYFUNCTION("""COMPUTED_VALUE"""),"FX Rate")</f>
        <v>FX Rate</v>
      </c>
      <c r="R5" s="28" t="str">
        <f>IFERROR(__xludf.DUMMYFUNCTION("""COMPUTED_VALUE"""),"Venue")</f>
        <v>Venue</v>
      </c>
      <c r="S5" s="28" t="str">
        <f>IFERROR(__xludf.DUMMYFUNCTION("""COMPUTED_VALUE"""),"FX Conversion Operator")</f>
        <v>FX Conversion Operator</v>
      </c>
      <c r="T5" s="30" t="str">
        <f>IFERROR(__xludf.DUMMYFUNCTION("""COMPUTED_VALUE"""),"User")</f>
        <v>User</v>
      </c>
      <c r="U5" s="30" t="str">
        <f>IFERROR(__xludf.DUMMYFUNCTION("""COMPUTED_VALUE"""),"Asset Category")</f>
        <v>Asset Category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IFERROR(__xludf.DUMMYFUNCTION("""COMPUTED_VALUE"""),"Commission Per Share")</f>
        <v>Commission Per Share</v>
      </c>
      <c r="X5" s="30" t="str">
        <f>IFERROR(__xludf.DUMMYFUNCTION("""COMPUTED_VALUE"""),"Soft Commission Per Share")</f>
        <v>Soft Commission Per Share</v>
      </c>
      <c r="Y5" s="30" t="str">
        <f>IFERROR(__xludf.DUMMYFUNCTION("""COMPUTED_VALUE"""),"Total Commission Per Share")</f>
        <v>Total Commission Per Share</v>
      </c>
      <c r="Z5" s="30" t="str">
        <f>IFERROR(__xludf.DUMMYFUNCTION("""COMPUTED_VALUE"""),"Change Type")</f>
        <v>Change Type</v>
      </c>
      <c r="AA5" s="30" t="str">
        <f>IFERROR(__xludf.DUMMYFUNCTION("""COMPUTED_VALUE"""),"Trade Attribute 1")</f>
        <v>Trade Attribute 1</v>
      </c>
      <c r="AB5" s="30" t="str">
        <f>IFERROR(__xludf.DUMMYFUNCTION("""COMPUTED_VALUE"""),"Trade Attribute 2")</f>
        <v>Trade Attribute 2</v>
      </c>
      <c r="AC5" s="30" t="str">
        <f>IFERROR(__xludf.DUMMYFUNCTION("""COMPUTED_VALUE"""),"Trade Attribute 3")</f>
        <v>Trade Attribute 3</v>
      </c>
      <c r="AD5" s="30" t="str">
        <f>IFERROR(__xludf.DUMMYFUNCTION("""COMPUTED_VALUE"""),"Trade Attribute 4")</f>
        <v>Trade Attribute 4</v>
      </c>
      <c r="AE5" s="30" t="str">
        <f>IFERROR(__xludf.DUMMYFUNCTION("""COMPUTED_VALUE"""),"Trade Attribute 5")</f>
        <v>Trade Attribute 5</v>
      </c>
      <c r="AF5" s="30" t="str">
        <f>IFERROR(__xludf.DUMMYFUNCTION("""COMPUTED_VALUE"""),"Trade Attribute 6")</f>
        <v>Trade Attribute 6</v>
      </c>
      <c r="AG5" s="30" t="str">
        <f>IFERROR(__xludf.DUMMYFUNCTION("""COMPUTED_VALUE"""),"IsPreAllocated")</f>
        <v>IsPreAllocated</v>
      </c>
      <c r="AH5" s="30" t="str">
        <f>IFERROR(__xludf.DUMMYFUNCTION("""COMPUTED_VALUE"""),"IsManual Group")</f>
        <v>IsManual Group</v>
      </c>
      <c r="AI5" s="30" t="str">
        <f>IFERROR(__xludf.DUMMYFUNCTION("""COMPUTED_VALUE"""),"IsAnotherTaxlotAttributesUpdated")</f>
        <v>IsAnotherTaxlotAttributesUpdated</v>
      </c>
      <c r="AJ5" s="30" t="str">
        <f>IFERROR(__xludf.DUMMYFUNCTION("""COMPUTED_VALUE"""),"ISNDF")</f>
        <v>ISNDF</v>
      </c>
      <c r="AK5" s="30" t="str">
        <f>IFERROR(__xludf.DUMMYFUNCTION("""COMPUTED_VALUE"""),"M2MProfitLoss")</f>
        <v>M2MProfitLoss</v>
      </c>
      <c r="AL5" s="30" t="str">
        <f>IFERROR(__xludf.DUMMYFUNCTION("""COMPUTED_VALUE"""),"Put Or Call")</f>
        <v>Put Or Call</v>
      </c>
      <c r="AM5" s="30" t="str">
        <f>IFERROR(__xludf.DUMMYFUNCTION("""COMPUTED_VALUE"""),"GroupID")</f>
        <v>GroupID</v>
      </c>
      <c r="AN5" s="30" t="str">
        <f>IFERROR(__xludf.DUMMYFUNCTION("""COMPUTED_VALUE"""),"UnAllocatedQty")</f>
        <v>UnAllocatedQty</v>
      </c>
      <c r="AO5" s="30" t="str">
        <f>IFERROR(__xludf.DUMMYFUNCTION("""COMPUTED_VALUE"""),"Allocated Qty")</f>
        <v>Allocated Qty</v>
      </c>
      <c r="AP5" s="30" t="str">
        <f>IFERROR(__xludf.DUMMYFUNCTION("""COMPUTED_VALUE"""),"Commission")</f>
        <v>Commission</v>
      </c>
      <c r="AQ5" s="30" t="str">
        <f>IFERROR(__xludf.DUMMYFUNCTION("""COMPUTED_VALUE"""),"Soft Commission")</f>
        <v>Soft Commission</v>
      </c>
      <c r="AR5" s="30" t="str">
        <f>IFERROR(__xludf.DUMMYFUNCTION("""COMPUTED_VALUE"""),"Other Broker Fees")</f>
        <v>Other Broker Fees</v>
      </c>
      <c r="AS5" s="30" t="str">
        <f>IFERROR(__xludf.DUMMYFUNCTION("""COMPUTED_VALUE"""),"Clearing Broker Fee")</f>
        <v>Clearing Broker Fee</v>
      </c>
      <c r="AT5" s="30" t="str">
        <f>IFERROR(__xludf.DUMMYFUNCTION("""COMPUTED_VALUE"""),"Total Commission And Fee")</f>
        <v>Total Commission And Fee</v>
      </c>
      <c r="AU5" s="30" t="str">
        <f>IFERROR(__xludf.DUMMYFUNCTION("""COMPUTED_VALUE"""),"Transaction Levy")</f>
        <v>Transaction Levy</v>
      </c>
      <c r="AV5" s="30" t="str">
        <f>IFERROR(__xludf.DUMMYFUNCTION("""COMPUTED_VALUE"""),"Stamp Duty")</f>
        <v>Stamp Duty</v>
      </c>
      <c r="AW5" s="30" t="str">
        <f>IFERROR(__xludf.DUMMYFUNCTION("""COMPUTED_VALUE"""),"AUEC Fee1")</f>
        <v>AUEC Fee1</v>
      </c>
      <c r="AX5" s="30" t="str">
        <f>IFERROR(__xludf.DUMMYFUNCTION("""COMPUTED_VALUE"""),"Tax On Commissions")</f>
        <v>Tax On Commissions</v>
      </c>
      <c r="AY5" s="30" t="str">
        <f>IFERROR(__xludf.DUMMYFUNCTION("""COMPUTED_VALUE"""),"AUEC Fee2")</f>
        <v>AUEC Fee2</v>
      </c>
      <c r="AZ5" s="30" t="str">
        <f>IFERROR(__xludf.DUMMYFUNCTION("""COMPUTED_VALUE"""),"SEC Fee")</f>
        <v>SEC Fee</v>
      </c>
      <c r="BA5" s="30" t="str">
        <f>IFERROR(__xludf.DUMMYFUNCTION("""COMPUTED_VALUE"""),"OCC Fee")</f>
        <v>OCC Fee</v>
      </c>
      <c r="BB5" s="30" t="str">
        <f>IFERROR(__xludf.DUMMYFUNCTION("""COMPUTED_VALUE"""),"ORF Fee")</f>
        <v>ORF Fee</v>
      </c>
      <c r="BC5" s="30" t="str">
        <f>IFERROR(__xludf.DUMMYFUNCTION("""COMPUTED_VALUE"""),"Option Premium Adjustment")</f>
        <v>Option Premium Adjustment</v>
      </c>
      <c r="BD5" s="30" t="str">
        <f>IFERROR(__xludf.DUMMYFUNCTION("""COMPUTED_VALUE"""),"Prana Msg Type")</f>
        <v>Prana Msg Type</v>
      </c>
      <c r="BE5" s="30" t="str">
        <f>IFERROR(__xludf.DUMMYFUNCTION("""COMPUTED_VALUE"""),"Total Commission")</f>
        <v>Total Commission</v>
      </c>
      <c r="BF5" s="30" t="str">
        <f>IFERROR(__xludf.DUMMYFUNCTION("""COMPUTED_VALUE"""),"Closing Status")</f>
        <v>Closing Status</v>
      </c>
      <c r="BG5" s="30" t="str">
        <f>IFERROR(__xludf.DUMMYFUNCTION("""COMPUTED_VALUE"""),"Closing Method")</f>
        <v>Closing Method</v>
      </c>
      <c r="BH5" s="30" t="str">
        <f>IFERROR(__xludf.DUMMYFUNCTION("""COMPUTED_VALUE"""),"Group Status")</f>
        <v>Group Status</v>
      </c>
      <c r="BI5" s="30" t="str">
        <f>IFERROR(__xludf.DUMMYFUNCTION("""COMPUTED_VALUE"""),"Allocation Scheme Name")</f>
        <v>Allocation Scheme Name</v>
      </c>
      <c r="BJ5" s="30" t="str">
        <f>IFERROR(__xludf.DUMMYFUNCTION("""COMPUTED_VALUE"""),"Change Comment")</f>
        <v>Change Comment</v>
      </c>
      <c r="BK5" s="30" t="str">
        <f>IFERROR(__xludf.DUMMYFUNCTION("""COMPUTED_VALUE"""),"Order Type")</f>
        <v>Order Type</v>
      </c>
      <c r="BL5" s="30" t="str">
        <f>IFERROR(__xludf.DUMMYFUNCTION("""COMPUTED_VALUE"""),"Underlying")</f>
        <v>Underlying</v>
      </c>
      <c r="BM5" s="30" t="str">
        <f>IFERROR(__xludf.DUMMYFUNCTION("""COMPUTED_VALUE"""),"Exchange")</f>
        <v>Exchange</v>
      </c>
      <c r="BN5" s="30" t="str">
        <f>IFERROR(__xludf.DUMMYFUNCTION("""COMPUTED_VALUE"""),"Currency")</f>
        <v>Currency</v>
      </c>
      <c r="BO5" s="30" t="str">
        <f>IFERROR(__xludf.DUMMYFUNCTION("""COMPUTED_VALUE"""),"AUECID")</f>
        <v>AUECID</v>
      </c>
      <c r="BP5" s="30" t="str">
        <f>IFERROR(__xludf.DUMMYFUNCTION("""COMPUTED_VALUE"""),"Cum Qty For Sub Order")</f>
        <v>Cum Qty For Sub Order</v>
      </c>
      <c r="BQ5" s="30" t="str">
        <f>IFERROR(__xludf.DUMMYFUNCTION("""COMPUTED_VALUE"""),"Contract Multiplier")</f>
        <v>Contract Multiplier</v>
      </c>
      <c r="BR5" s="30" t="str">
        <f>IFERROR(__xludf.DUMMYFUNCTION("""COMPUTED_VALUE"""),"Company")</f>
        <v>Company</v>
      </c>
      <c r="BS5" s="30" t="str">
        <f>IFERROR(__xludf.DUMMYFUNCTION("""COMPUTED_VALUE"""),"Nirvana Process Date")</f>
        <v>Nirvana Process Date</v>
      </c>
      <c r="BT5" s="30" t="str">
        <f>IFERROR(__xludf.DUMMYFUNCTION("""COMPUTED_VALUE"""),"Process Date")</f>
        <v>Process Date</v>
      </c>
      <c r="BU5" s="30" t="str">
        <f>IFERROR(__xludf.DUMMYFUNCTION("""COMPUTED_VALUE"""),"Original Purchase Date")</f>
        <v>Original Purchase Date</v>
      </c>
      <c r="BV5" s="30" t="str">
        <f>IFERROR(__xludf.DUMMYFUNCTION("""COMPUTED_VALUE"""),"Closing Date")</f>
        <v>Closing Date</v>
      </c>
      <c r="BW5" s="30" t="str">
        <f>IFERROR(__xludf.DUMMYFUNCTION("""COMPUTED_VALUE"""),"Settlement Date")</f>
        <v>Settlement Date</v>
      </c>
      <c r="BX5" s="30" t="str">
        <f>IFERROR(__xludf.DUMMYFUNCTION("""COMPUTED_VALUE"""),"Expiration Date")</f>
        <v>Expiration Date</v>
      </c>
      <c r="BY5" s="30" t="str">
        <f>IFERROR(__xludf.DUMMYFUNCTION("""COMPUTED_VALUE"""),"Description")</f>
        <v>Description</v>
      </c>
      <c r="BZ5" s="30" t="str">
        <f>IFERROR(__xludf.DUMMYFUNCTION("""COMPUTED_VALUE"""),"Underlying Symbol")</f>
        <v>Underlying Symbol</v>
      </c>
      <c r="CA5" s="30" t="str">
        <f>IFERROR(__xludf.DUMMYFUNCTION("""COMPUTED_VALUE"""),"Accrued Interest")</f>
        <v>Accrued Interest</v>
      </c>
      <c r="CB5" s="30" t="str">
        <f>IFERROR(__xludf.DUMMYFUNCTION("""COMPUTED_VALUE"""),"Accrual Basis")</f>
        <v>Accrual Basis</v>
      </c>
      <c r="CC5" s="30" t="str">
        <f>IFERROR(__xludf.DUMMYFUNCTION("""COMPUTED_VALUE"""),"Bond Type")</f>
        <v>Bond Type</v>
      </c>
      <c r="CD5" s="30" t="str">
        <f>IFERROR(__xludf.DUMMYFUNCTION("""COMPUTED_VALUE"""),"Coupon Rate")</f>
        <v>Coupon Rate</v>
      </c>
      <c r="CE5" s="30" t="str">
        <f>IFERROR(__xludf.DUMMYFUNCTION("""COMPUTED_VALUE"""),"Delta")</f>
        <v>Delta</v>
      </c>
      <c r="CF5" s="30" t="str">
        <f>IFERROR(__xludf.DUMMYFUNCTION("""COMPUTED_VALUE"""),"Bloomberg")</f>
        <v>Bloomberg</v>
      </c>
      <c r="CG5" s="30" t="str">
        <f>IFERROR(__xludf.DUMMYFUNCTION("""COMPUTED_VALUE"""),"Sedol Symbol")</f>
        <v>Sedol Symbol</v>
      </c>
      <c r="CH5" s="30" t="str">
        <f>IFERROR(__xludf.DUMMYFUNCTION("""COMPUTED_VALUE"""),"Cusip Symbol")</f>
        <v>Cusip Symbol</v>
      </c>
      <c r="CI5" s="30" t="str">
        <f>IFERROR(__xludf.DUMMYFUNCTION("""COMPUTED_VALUE"""),"ISIN")</f>
        <v>ISIN</v>
      </c>
      <c r="CJ5" s="30" t="str">
        <f>IFERROR(__xludf.DUMMYFUNCTION("""COMPUTED_VALUE"""),"OSISSymbol")</f>
        <v>OSISSymbol</v>
      </c>
      <c r="CK5" s="30" t="str">
        <f>IFERROR(__xludf.DUMMYFUNCTION("""COMPUTED_VALUE"""),"IDCOSymbol")</f>
        <v>IDCOSymbol</v>
      </c>
      <c r="CL5" s="30" t="str">
        <f>IFERROR(__xludf.DUMMYFUNCTION("""COMPUTED_VALUE"""),"Underlying Delta")</f>
        <v>Underlying Delta</v>
      </c>
      <c r="CM5" s="30" t="str">
        <f>IFERROR(__xludf.DUMMYFUNCTION("""COMPUTED_VALUE"""),"Internal Comments")</f>
        <v>Internal Comments</v>
      </c>
      <c r="CN5" s="30" t="str">
        <f>IFERROR(__xludf.DUMMYFUNCTION("""COMPUTED_VALUE"""),"Proxy Symbol")</f>
        <v>Proxy Symbol</v>
      </c>
      <c r="CO5" s="30" t="str">
        <f>IFERROR(__xludf.DUMMYFUNCTION("""COMPUTED_VALUE"""),"Transaction Source")</f>
        <v>Transaction Source</v>
      </c>
      <c r="CP5" s="30" t="str">
        <f>IFERROR(__xludf.DUMMYFUNCTION("""COMPUTED_VALUE"""),"Import File Name")</f>
        <v>Import File Name</v>
      </c>
      <c r="CQ5" s="30" t="str">
        <f>IFERROR(__xludf.DUMMYFUNCTION("""COMPUTED_VALUE"""),"Master Fund")</f>
        <v>Master Fund</v>
      </c>
      <c r="CR5" s="30" t="str">
        <f>IFERROR(__xludf.DUMMYFUNCTION("""COMPUTED_VALUE"""),"Client")</f>
        <v>Client</v>
      </c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16</v>
      </c>
      <c r="C6" s="32" t="s">
        <v>43</v>
      </c>
      <c r="D6" s="33">
        <v>125.0</v>
      </c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SelectUnallocatedGroup!$4:$4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50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IFERROR(__xludf.DUMMYFUNCTION("""COMPUTED_VALUE"""),"PreferenceType")</f>
        <v>PreferenceType</v>
      </c>
      <c r="C5" s="28" t="str">
        <f>IFERROR(__xludf.DUMMYFUNCTION("""COMPUTED_VALUE"""),"PreferenceName")</f>
        <v>PreferenceName</v>
      </c>
      <c r="D5" s="28" t="str">
        <f>IFERROR(__xludf.DUMMYFUNCTION("""COMPUTED_VALUE"""),"PTTPrefNeeded")</f>
        <v>PTTPrefNeeded</v>
      </c>
      <c r="E5" s="28" t="str">
        <f>IFERROR(__xludf.DUMMYFUNCTION("""COMPUTED_VALUE"""),"IsForceAllocation")</f>
        <v>IsForceAllocation</v>
      </c>
      <c r="F5" s="29" t="str">
        <f>IFERROR(__xludf.DUMMYFUNCTION("""COMPUTED_VALUE"""),"AllocationMethod")</f>
        <v>AllocationMethod</v>
      </c>
      <c r="G5" s="28" t="str">
        <f>IFERROR(__xludf.DUMMYFUNCTION("""COMPUTED_VALUE"""),"RemainderAllocationTo")</f>
        <v>RemainderAllocationTo</v>
      </c>
      <c r="H5" s="28" t="str">
        <f>IFERROR(__xludf.DUMMYFUNCTION("""COMPUTED_VALUE"""),"Target%AsOf")</f>
        <v>Target%AsOf</v>
      </c>
      <c r="I5" s="28" t="str">
        <f>IFERROR(__xludf.DUMMYFUNCTION("""COMPUTED_VALUE"""),"AccountsForProrata")</f>
        <v>AccountsForProrata</v>
      </c>
      <c r="J5" s="28" t="str">
        <f>IFERROR(__xludf.DUMMYFUNCTION("""COMPUTED_VALUE"""),"DateUptoDays")</f>
        <v>DateUptoDays</v>
      </c>
      <c r="K5" s="28" t="str">
        <f>IFERROR(__xludf.DUMMYFUNCTION("""COMPUTED_VALUE"""),"MatchClosingTransactions")</f>
        <v>MatchClosingTransactions</v>
      </c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13" t="s">
        <v>30</v>
      </c>
      <c r="D6" s="13"/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EnterAllocatePreference!$4:$4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51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IFERROR(__xludf.DUMMYFUNCTION("""COMPUTED_VALUE"""),"Net Amount(Local)")</f>
        <v>Net Amount(Local)</v>
      </c>
      <c r="C5" s="28" t="str">
        <f>IFERROR(__xludf.DUMMYFUNCTION("""COMPUTED_VALUE"""),"Net Amount(Base)")</f>
        <v>Net Amount(Base)</v>
      </c>
      <c r="D5" s="28" t="str">
        <f>IFERROR(__xludf.DUMMYFUNCTION("""COMPUTED_VALUE"""),"Principal Amount(Local)")</f>
        <v>Principal Amount(Local)</v>
      </c>
      <c r="E5" s="28" t="str">
        <f>IFERROR(__xludf.DUMMYFUNCTION("""COMPUTED_VALUE"""),"Principal Amount(Base)")</f>
        <v>Principal Amount(Base)</v>
      </c>
      <c r="F5" s="29" t="str">
        <f>IFERROR(__xludf.DUMMYFUNCTION("""COMPUTED_VALUE"""),"FX Conversion Operator")</f>
        <v>FX Conversion Operator</v>
      </c>
      <c r="G5" s="28" t="str">
        <f>IFERROR(__xludf.DUMMYFUNCTION("""COMPUTED_VALUE"""),"TaxLotID")</f>
        <v>TaxLotID</v>
      </c>
      <c r="H5" s="28" t="str">
        <f>IFERROR(__xludf.DUMMYFUNCTION("""COMPUTED_VALUE"""),"Settlement Currency")</f>
        <v>Settlement Currency</v>
      </c>
      <c r="I5" s="28" t="str">
        <f>IFERROR(__xludf.DUMMYFUNCTION("""COMPUTED_VALUE"""),"Trade Attribute 1")</f>
        <v>Trade Attribute 1</v>
      </c>
      <c r="J5" s="28" t="str">
        <f>IFERROR(__xludf.DUMMYFUNCTION("""COMPUTED_VALUE"""),"Trade Attribute 2")</f>
        <v>Trade Attribute 2</v>
      </c>
      <c r="K5" s="28" t="str">
        <f>IFERROR(__xludf.DUMMYFUNCTION("""COMPUTED_VALUE"""),"Trade Attribute 3")</f>
        <v>Trade Attribute 3</v>
      </c>
      <c r="L5" s="28" t="str">
        <f>IFERROR(__xludf.DUMMYFUNCTION("""COMPUTED_VALUE"""),"Trade Attribute 4")</f>
        <v>Trade Attribute 4</v>
      </c>
      <c r="M5" s="28" t="str">
        <f>IFERROR(__xludf.DUMMYFUNCTION("""COMPUTED_VALUE"""),"Trade Attribute 5")</f>
        <v>Trade Attribute 5</v>
      </c>
      <c r="N5" s="28" t="str">
        <f>IFERROR(__xludf.DUMMYFUNCTION("""COMPUTED_VALUE"""),"Trade Attribute 6")</f>
        <v>Trade Attribute 6</v>
      </c>
      <c r="O5" s="28" t="str">
        <f>IFERROR(__xludf.DUMMYFUNCTION("""COMPUTED_VALUE"""),"Account Name")</f>
        <v>Account Name</v>
      </c>
      <c r="P5" s="28" t="str">
        <f>IFERROR(__xludf.DUMMYFUNCTION("""COMPUTED_VALUE"""),"Strategy Name")</f>
        <v>Strategy Name</v>
      </c>
      <c r="Q5" s="28" t="str">
        <f>IFERROR(__xludf.DUMMYFUNCTION("""COMPUTED_VALUE"""),"Percentage")</f>
        <v>Percentage</v>
      </c>
      <c r="R5" s="28" t="str">
        <f>IFERROR(__xludf.DUMMYFUNCTION("""COMPUTED_VALUE"""),"Taxlot Qty")</f>
        <v>Taxlot Qty</v>
      </c>
      <c r="S5" s="28" t="str">
        <f>IFERROR(__xludf.DUMMYFUNCTION("""COMPUTED_VALUE"""),"Commission")</f>
        <v>Commission</v>
      </c>
      <c r="T5" s="30" t="str">
        <f>IFERROR(__xludf.DUMMYFUNCTION("""COMPUTED_VALUE"""),"Soft Commission")</f>
        <v>Soft Commission</v>
      </c>
      <c r="U5" s="30" t="str">
        <f>IFERROR(__xludf.DUMMYFUNCTION("""COMPUTED_VALUE"""),"Other Broker Fees")</f>
        <v>Other Broker Fees</v>
      </c>
      <c r="V5" s="30" t="str">
        <f>IFERROR(__xludf.DUMMYFUNCTION("""COMPUTED_VALUE"""),"Clearing Broker Fees")</f>
        <v>Clearing Broker Fees</v>
      </c>
      <c r="W5" s="30" t="str">
        <f>IFERROR(__xludf.DUMMYFUNCTION("""COMPUTED_VALUE"""),"Stamp Duty")</f>
        <v>Stamp Duty</v>
      </c>
      <c r="X5" s="30" t="str">
        <f>IFERROR(__xludf.DUMMYFUNCTION("""COMPUTED_VALUE"""),"Transaction Levy")</f>
        <v>Transaction Levy</v>
      </c>
      <c r="Y5" s="30" t="str">
        <f>IFERROR(__xludf.DUMMYFUNCTION("""COMPUTED_VALUE"""),"AUEC Fee1")</f>
        <v>AUEC Fee1</v>
      </c>
      <c r="Z5" s="30" t="str">
        <f>IFERROR(__xludf.DUMMYFUNCTION("""COMPUTED_VALUE"""),"Tax On Commissions")</f>
        <v>Tax On Commissions</v>
      </c>
      <c r="AA5" s="30" t="str">
        <f>IFERROR(__xludf.DUMMYFUNCTION("""COMPUTED_VALUE"""),"AUEC Fee2")</f>
        <v>AUEC Fee2</v>
      </c>
      <c r="AB5" s="30" t="str">
        <f>IFERROR(__xludf.DUMMYFUNCTION("""COMPUTED_VALUE"""),"SEC Fee")</f>
        <v>SEC Fee</v>
      </c>
      <c r="AC5" s="30" t="str">
        <f>IFERROR(__xludf.DUMMYFUNCTION("""COMPUTED_VALUE"""),"OCC Fee")</f>
        <v>OCC Fee</v>
      </c>
      <c r="AD5" s="30" t="str">
        <f>IFERROR(__xludf.DUMMYFUNCTION("""COMPUTED_VALUE"""),"ORF Fee")</f>
        <v>ORF Fee</v>
      </c>
      <c r="AE5" s="30" t="str">
        <f>IFERROR(__xludf.DUMMYFUNCTION("""COMPUTED_VALUE"""),"Option Premium Adjustment")</f>
        <v>Option Premium Adjustment</v>
      </c>
      <c r="AF5" s="30" t="str">
        <f>IFERROR(__xludf.DUMMYFUNCTION("""COMPUTED_VALUE"""),"Closing Status")</f>
        <v>Closing Status</v>
      </c>
      <c r="AG5" s="30" t="str">
        <f>IFERROR(__xludf.DUMMYFUNCTION("""COMPUTED_VALUE"""),"External Transaction ID")</f>
        <v>External Transaction ID</v>
      </c>
      <c r="AH5" s="30" t="str">
        <f>IFERROR(__xludf.DUMMYFUNCTION("""COMPUTED_VALUE"""),"Lot ID")</f>
        <v>Lot ID</v>
      </c>
      <c r="AI5" s="30" t="str">
        <f>IFERROR(__xludf.DUMMYFUNCTION("""COMPUTED_VALUE"""),"AvgPriceBase")</f>
        <v>AvgPriceBase</v>
      </c>
      <c r="AJ5" s="30" t="str">
        <f>IFERROR(__xludf.DUMMYFUNCTION("""COMPUTED_VALUE"""),"Accrued Interest")</f>
        <v>Accrued Interest</v>
      </c>
      <c r="AK5" s="30" t="str">
        <f>IFERROR(__xludf.DUMMYFUNCTION("""COMPUTED_VALUE"""),"FXRate")</f>
        <v>FXRate</v>
      </c>
      <c r="AL5" s="30" t="str">
        <f>IFERROR(__xludf.DUMMYFUNCTION("""COMPUTED_VALUE"""),"Change Type")</f>
        <v>Change Type</v>
      </c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7"/>
      <c r="F6" s="13" t="s">
        <v>52</v>
      </c>
      <c r="G6" s="8"/>
      <c r="H6" s="13" t="s">
        <v>26</v>
      </c>
      <c r="I6" s="8"/>
      <c r="J6" s="8"/>
      <c r="K6" s="8"/>
      <c r="L6" s="8"/>
      <c r="M6" s="8"/>
      <c r="N6" s="8"/>
      <c r="O6" s="13" t="s">
        <v>21</v>
      </c>
      <c r="P6" s="9" t="s">
        <v>53</v>
      </c>
      <c r="Q6" s="44">
        <v>100.0</v>
      </c>
      <c r="R6" s="44">
        <v>125.0</v>
      </c>
      <c r="AF6" s="45" t="s">
        <v>54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CheckAllocatedTaxlots!$4:$4</formula1>
    </dataValidation>
  </dataValidations>
  <drawing r:id="rId1"/>
</worksheet>
</file>