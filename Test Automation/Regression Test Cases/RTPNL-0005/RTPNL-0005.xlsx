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Widget" sheetId="5" r:id="rId7"/>
    <sheet state="visible" name="GetDailyCash" sheetId="6" r:id="rId8"/>
    <sheet state="visible" name="UpdateMultipleDailyCash" sheetId="7" r:id="rId9"/>
    <sheet state="visible" name="GetMarkPriceData" sheetId="8" r:id="rId10"/>
    <sheet state="visible" name="UpdateMarkPrice" sheetId="9" r:id="rId11"/>
    <sheet state="visible" name="PricingInput" sheetId="10" r:id="rId12"/>
    <sheet state="visible" name="OpenRTPNL" sheetId="11" r:id="rId13"/>
    <sheet state="visible" name="VerifyColour" sheetId="12" r:id="rId14"/>
    <sheet state="visible" name="AddWidget1" sheetId="13" r:id="rId15"/>
    <sheet state="visible" name="VerifyColour1" sheetId="14" r:id="rId16"/>
    <sheet state="visible" name="AddWidget2" sheetId="15" r:id="rId17"/>
    <sheet state="visible" name="VerifyColour2" sheetId="16" r:id="rId18"/>
    <sheet state="visible" name="OpenRTPNL1" sheetId="17" r:id="rId19"/>
  </sheets>
  <definedNames/>
  <calcPr/>
</workbook>
</file>

<file path=xl/sharedStrings.xml><?xml version="1.0" encoding="utf-8"?>
<sst xmlns="http://schemas.openxmlformats.org/spreadsheetml/2006/main" count="150" uniqueCount="47">
  <si>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</si>
  <si>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</si>
  <si>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</si>
  <si>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</si>
  <si>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</si>
  <si>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</si>
  <si>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</si>
  <si>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</si>
  <si>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</si>
  <si>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</si>
  <si>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</si>
  <si>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</si>
  <si>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</si>
  <si>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</si>
  <si>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</si>
  <si>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</si>
  <si>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</si>
  <si>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</si>
  <si>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RTPNL</t>
  </si>
  <si>
    <t>AddWidget</t>
  </si>
  <si>
    <t>kartik</t>
  </si>
  <si>
    <t>FundLevel</t>
  </si>
  <si>
    <t>Aggregation</t>
  </si>
  <si>
    <t>Fund</t>
  </si>
  <si>
    <t>DailyValuation</t>
  </si>
  <si>
    <t>GetDailyCash</t>
  </si>
  <si>
    <t>UpdateMultipleDailyCash</t>
  </si>
  <si>
    <t>Allocation1</t>
  </si>
  <si>
    <t>USD</t>
  </si>
  <si>
    <t>GetMarkPriceData</t>
  </si>
  <si>
    <t>UpdateMarkPrice</t>
  </si>
  <si>
    <t>PricingInput</t>
  </si>
  <si>
    <t>OpenRTPNL</t>
  </si>
  <si>
    <t>Nirvana</t>
  </si>
  <si>
    <t>FundLevelVerification</t>
  </si>
  <si>
    <t>OpenFin</t>
  </si>
  <si>
    <t>VerifyColour</t>
  </si>
  <si>
    <t>Nirvana,kartik</t>
  </si>
  <si>
    <t>Market Value,P&amp;L,Day P&amp;L,Exposure,% Gain/Loss Day,% Gain/Loss Cost,% Market Value,% Exposure,Cash,NAV</t>
  </si>
  <si>
    <t>green</t>
  </si>
  <si>
    <t>Class</t>
  </si>
  <si>
    <t>NewMF</t>
  </si>
  <si>
    <t>SymbolLevel</t>
  </si>
  <si>
    <t>Symbol</t>
  </si>
  <si>
    <t>Position,Market Value,Day P&amp;L,Exposure,Px Selected Feed (Local),Px Selected Feed (Base),% Exposure,% Gain/Loss Cost,% Net Market Value</t>
  </si>
  <si>
    <t>AccountLevel</t>
  </si>
  <si>
    <t>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</si>
</sst>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IFERROR(__xludf.DUMMYFUNCTION("""COMPUTED_VALUE"""),"FilterOnPMGrid")</f>
        <v>FilterOnPMGrid</v>
      </c>
      <c r="C718" t="str">
        <f>IFERROR(__xludf.DUMMYFUNCTION("""COMPUTED_VALUE"""),"1OnY_eV7vu0MtlRaBMhR1l7tKqVsiYrP5hnKFtBWEOJY")</f>
        <v>1OnY_eV7vu0MtlRaBMhR1l7tKqVsiYrP5hnKFtBWEOJY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1" t="s">
        <v>22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45433</v>
      </c>
      <c r="C6" s="33">
        <f>TODAY()</f>
        <v>45434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</f>
        <v>45434</v>
      </c>
      <c r="C6" s="33">
        <f t="shared" si="1"/>
        <v>45434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20</v>
      </c>
      <c r="D6" s="12" t="s">
        <v>34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 t="str">
        <f>IFERROR(__xludf.DUMMYFUNCTION("""COMPUTED_VALUE"""),"CreateTableForRTPNL")</f>
        <v>CreateTableForRTPNL</v>
      </c>
      <c r="K5" s="27" t="str">
        <f>IFERROR(__xludf.DUMMYFUNCTION("""COMPUTED_VALUE"""),"Account/MF name")</f>
        <v>Account/MF 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37</v>
      </c>
      <c r="C6" s="35" t="s">
        <v>38</v>
      </c>
      <c r="D6" s="35" t="s">
        <v>39</v>
      </c>
      <c r="E6" s="35" t="s">
        <v>40</v>
      </c>
      <c r="F6" s="34" t="s">
        <v>20</v>
      </c>
      <c r="G6" s="35"/>
      <c r="H6" s="35"/>
      <c r="I6" s="35"/>
      <c r="J6" s="36" t="b">
        <v>1</v>
      </c>
      <c r="K6" s="34" t="s">
        <v>41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VerifyColour!$4:$4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42</v>
      </c>
      <c r="D6" s="12"/>
      <c r="E6" s="31" t="s">
        <v>22</v>
      </c>
      <c r="F6" s="12" t="s">
        <v>43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 t="str">
        <f>IFERROR(__xludf.DUMMYFUNCTION("""COMPUTED_VALUE"""),"CreateTableForRTPNL")</f>
        <v>CreateTableForRTPNL</v>
      </c>
      <c r="K5" s="27" t="str">
        <f>IFERROR(__xludf.DUMMYFUNCTION("""COMPUTED_VALUE"""),"Account/MF name")</f>
        <v>Account/MF 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37</v>
      </c>
      <c r="C6" s="37" t="s">
        <v>44</v>
      </c>
      <c r="D6" s="35" t="s">
        <v>39</v>
      </c>
      <c r="E6" s="35" t="s">
        <v>40</v>
      </c>
      <c r="F6" s="34" t="s">
        <v>20</v>
      </c>
      <c r="G6" s="35"/>
      <c r="H6" s="35"/>
      <c r="I6" s="35"/>
      <c r="J6" s="36" t="b">
        <v>1</v>
      </c>
      <c r="K6" s="38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VerifyColour1!$4:$4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45</v>
      </c>
      <c r="D6" s="12"/>
      <c r="E6" s="31" t="s">
        <v>22</v>
      </c>
      <c r="F6" s="12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 t="str">
        <f>IFERROR(__xludf.DUMMYFUNCTION("""COMPUTED_VALUE"""),"CreateTableForRTPNL")</f>
        <v>CreateTableForRTPNL</v>
      </c>
      <c r="K5" s="27" t="str">
        <f>IFERROR(__xludf.DUMMYFUNCTION("""COMPUTED_VALUE"""),"Account/MF name")</f>
        <v>Account/MF 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37</v>
      </c>
      <c r="C6" s="35" t="s">
        <v>38</v>
      </c>
      <c r="D6" s="35" t="s">
        <v>39</v>
      </c>
      <c r="E6" s="35" t="s">
        <v>40</v>
      </c>
      <c r="F6" s="34" t="s">
        <v>20</v>
      </c>
      <c r="G6" s="35"/>
      <c r="H6" s="35"/>
      <c r="I6" s="35"/>
      <c r="J6" s="36" t="b">
        <v>1</v>
      </c>
      <c r="K6" s="38" t="s">
        <v>27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VerifyColour2!$4:$4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37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