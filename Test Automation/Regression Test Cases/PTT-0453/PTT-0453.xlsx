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GetDailyCash" sheetId="5" r:id="rId7"/>
    <sheet state="visible" name="UpdateMultipleDailyCash" sheetId="6" r:id="rId8"/>
    <sheet state="visible" name="PricingInput" sheetId="7" r:id="rId9"/>
    <sheet state="visible" name="CalculatePTT" sheetId="8" r:id="rId10"/>
    <sheet state="visible" name="EditPTTRecordAndExecuteOrder" sheetId="9" r:id="rId11"/>
    <sheet state="visible" name="VerifyPTT1" sheetId="10" r:id="rId12"/>
  </sheets>
  <definedNames/>
  <calcPr/>
</workbook>
</file>

<file path=xl/sharedStrings.xml><?xml version="1.0" encoding="utf-8"?>
<sst xmlns="http://schemas.openxmlformats.org/spreadsheetml/2006/main" count="81" uniqueCount="36">
  <si>
    <t>Modules Info</t>
  </si>
  <si>
    <t>Modules</t>
  </si>
  <si>
    <t>Settings</t>
  </si>
  <si>
    <t>Module Step Setting File</t>
  </si>
  <si>
    <t>1ua6ENR4AYwAWggYDcO5ubv4JU_7oqW8hUziMaEUEncQ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</si>
  <si>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</si>
  <si>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</si>
  <si>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</si>
  <si>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</si>
  <si>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</si>
  <si>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</si>
  <si>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</si>
  <si>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</si>
  <si>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</si>
  <si>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</si>
  <si>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</si>
  <si>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AAPL</t>
  </si>
  <si>
    <t>DoneAway</t>
  </si>
  <si>
    <t>Allocation2</t>
  </si>
  <si>
    <t>Sell short</t>
  </si>
  <si>
    <t>DailyValuation</t>
  </si>
  <si>
    <t>GetDailyCash</t>
  </si>
  <si>
    <t>UpdateMultipleDailyCash</t>
  </si>
  <si>
    <t>Allocation1</t>
  </si>
  <si>
    <t>USD</t>
  </si>
  <si>
    <t>Allocation3</t>
  </si>
  <si>
    <t>PricingInput</t>
  </si>
  <si>
    <t>PTT</t>
  </si>
  <si>
    <t>CalculatePTT</t>
  </si>
  <si>
    <t>Increase</t>
  </si>
  <si>
    <t>MasterFund</t>
  </si>
  <si>
    <t>NewMF</t>
  </si>
  <si>
    <t>EditPTTRecordAndExecuteOrder</t>
  </si>
  <si>
    <t>SELECT</t>
  </si>
  <si>
    <t>EDIT</t>
  </si>
  <si>
    <t>VerifyPTT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</si>
</sst>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14" xfId="0" applyAlignment="1" applyFont="1" applyNumberFormat="1">
      <alignment readingOrder="0" shrinkToFit="0" wrapText="0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readingOrder="0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2" Type="http://schemas.openxmlformats.org/officeDocument/2006/relationships/worksheet" Target="worksheets/sheet10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IFERROR(__xludf.DUMMYFUNCTION("""COMPUTED_VALUE"""),"1hVwFlW5MKD4NHZXvDHfS6l0ApW93ZHmg5lFN4Tn10aY")</f>
        <v>1hVwFlW5MKD4NHZXvDHfS6l0ApW93ZHmg5lFN4Tn10aY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IFERROR(__xludf.DUMMYFUNCTION("""COMPUTED_VALUE"""),"GetClosingData")</f>
        <v>GetClosingData</v>
      </c>
      <c r="C972" t="str">
        <f>IFERROR(__xludf.DUMMYFUNCTION("""COMPUTED_VALUE"""),"11EX1Ln-BQAtx9NTd9zfcaia52FGNdZENDW2kwMCJ20HQ")</f>
        <v>11EX1Ln-BQAtx9NTd9zfcaia52FGNdZENDW2kwMCJ20HQ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IFERROR(__xludf.DUMMYFUNCTION("""COMPUTED_VALUE"""),"WizardOptions")</f>
        <v>WizardOptions</v>
      </c>
      <c r="C973" t="str">
        <f>IFERROR(__xludf.DUMMYFUNCTION("""COMPUTED_VALUE"""),"11EX1Ln-BQAtx9NTd9zfcaia52FGNdZENDW2kwMCJ21HQ")</f>
        <v>11EX1Ln-BQAtx9NTd9zfcaia52FGNdZENDW2kwMCJ21HQ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IFERROR(__xludf.DUMMYFUNCTION("""COMPUTED_VALUE"""),"ActionOnClosingWiz")</f>
        <v>ActionOnClosingWiz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IFERROR(__xludf.DUMMYFUNCTION("""COMPUTED_VALUE"""),"Allocation")</f>
        <v>Allocation</v>
      </c>
      <c r="B975" t="str">
        <f>IFERROR(__xludf.DUMMYFUNCTION("""COMPUTED_VALUE"""),"VerifyAttRenaming")</f>
        <v>VerifyAttRenaming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IFERROR(__xludf.DUMMYFUNCTION("""COMPUTED_VALUE"""),"NavLock")</f>
        <v>NavLock</v>
      </c>
      <c r="B976" t="str">
        <f>IFERROR(__xludf.DUMMYFUNCTION("""COMPUTED_VALUE"""),"DeleteRowNavLock")</f>
        <v>DeleteRowNavLock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IFERROR(__xludf.DUMMYFUNCTION("""COMPUTED_VALUE"""),"Closing")</f>
        <v>Closing</v>
      </c>
      <c r="B977" t="str">
        <f>IFERROR(__xludf.DUMMYFUNCTION("""COMPUTED_VALUE"""),"VerifyLongPositionsGrid")</f>
        <v>VerifyLongPositionsGrid</v>
      </c>
      <c r="C977" t="str">
        <f>IFERROR(__xludf.DUMMYFUNCTION("""COMPUTED_VALUE"""),"11EX1Ln-BQAtx9NTd9zfcaia52FGNdZENDW2kwMCJ14HQ")</f>
        <v>11EX1Ln-BQAtx9NTd9zfcaia52FGNdZENDW2kwMCJ14HQ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IFERROR(__xludf.DUMMYFUNCTION("""COMPUTED_VALUE"""),"VerifyShortPositionsGrid")</f>
        <v>VerifyShortPositionsGrid</v>
      </c>
      <c r="C978" t="str">
        <f>IFERROR(__xludf.DUMMYFUNCTION("""COMPUTED_VALUE"""),"11EX1Ln-BQAtx9NTd9zfcaia52FGNdZENDW2kwMCJ15HQ")</f>
        <v>11EX1Ln-BQAtx9NTd9zfcaia52FGNdZENDW2kwMCJ15HQ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IFERROR(__xludf.DUMMYFUNCTION("""COMPUTED_VALUE"""),"VerifyClosedTrades")</f>
        <v>VerifyClosedTrades</v>
      </c>
      <c r="C979" t="str">
        <f>IFERROR(__xludf.DUMMYFUNCTION("""COMPUTED_VALUE"""),"11EX1Ln-BQAtx9NTd9zfcaia52FGNdZENDW2kwMCJ16HQ")</f>
        <v>11EX1Ln-BQAtx9NTd9zfcaia52FGNdZENDW2kwMCJ16HQ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IFERROR(__xludf.DUMMYFUNCTION("""COMPUTED_VALUE"""),"CloseAmendOprtn")</f>
        <v>CloseAmendOprtn</v>
      </c>
      <c r="C980" t="str">
        <f>IFERROR(__xludf.DUMMYFUNCTION("""COMPUTED_VALUE"""),"11EX1Ln-BQAtx9NTd9zfcaia52FGNdZENDW2kwMCJ17HQ")</f>
        <v>11EX1Ln-BQAtx9NTd9zfcaia52FGNdZENDW2kwMCJ17HQ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IFERROR(__xludf.DUMMYFUNCTION("""COMPUTED_VALUE"""),"ExpSettlOprtn")</f>
        <v>ExpSettlOprtn</v>
      </c>
      <c r="C981" t="str">
        <f>IFERROR(__xludf.DUMMYFUNCTION("""COMPUTED_VALUE"""),"11EX1Ln-BQAtx9NTd9zfcaia52FGNdZENDW2kwMCJ18HQ")</f>
        <v>11EX1Ln-BQAtx9NTd9zfcaia52FGNdZENDW2kwMCJ18HQ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IFERROR(__xludf.DUMMYFUNCTION("""COMPUTED_VALUE"""),"ActionOnExpGrid")</f>
        <v>ActionOnExpGrid</v>
      </c>
      <c r="C982" t="str">
        <f>IFERROR(__xludf.DUMMYFUNCTION("""COMPUTED_VALUE"""),"11EX1Ln-BQAtx9NTd9zfcaia52FGNdZENDW2kwMCJ19HQ")</f>
        <v>11EX1Ln-BQAtx9NTd9zfcaia52FGNdZENDW2kwMCJ19HQ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IFERROR(__xludf.DUMMYFUNCTION("""COMPUTED_VALUE"""),"ActiononIncorrectQty")</f>
        <v>ActiononIncorrectQty</v>
      </c>
      <c r="C983" t="str">
        <f>IFERROR(__xludf.DUMMYFUNCTION("""COMPUTED_VALUE"""),"11EX1Ln-BQAtx9NTd9zfcaia52FGNdZENDW2kwMCJ20HQ")</f>
        <v>11EX1Ln-BQAtx9NTd9zfcaia52FGNdZENDW2kwMCJ20HQ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IFERROR(__xludf.DUMMYFUNCTION("""COMPUTED_VALUE"""),"VerifyIncorrectQty")</f>
        <v>VerifyIncorrectQty</v>
      </c>
      <c r="C984" t="str">
        <f>IFERROR(__xludf.DUMMYFUNCTION("""COMPUTED_VALUE"""),"11EX1Ln-BQAtx9NTd9zfcaia52FGNdZENDW2kwMCJ21HQ")</f>
        <v>11EX1Ln-BQAtx9NTd9zfcaia52FGNdZENDW2kwMCJ21HQ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IFERROR(__xludf.DUMMYFUNCTION("""COMPUTED_VALUE"""),"VerifyOpenTrades")</f>
        <v>VerifyOpenTrades</v>
      </c>
      <c r="C985" t="str">
        <f>IFERROR(__xludf.DUMMYFUNCTION("""COMPUTED_VALUE"""),"11EX1Ln-BQAtx9NTd9zfcaia52FGNdZENDW2kwMCJ20HQ")</f>
        <v>11EX1Ln-BQAtx9NTd9zfcaia52FGNdZENDW2kwMCJ20HQ</v>
      </c>
    </row>
    <row r="986" ht="15.75" customHeight="1">
      <c r="A986" t="str">
        <f>IFERROR(__xludf.DUMMYFUNCTION("""COMPUTED_VALUE"""),"CreateTransaction")</f>
        <v>CreateTransaction</v>
      </c>
      <c r="B986" t="str">
        <f>IFERROR(__xludf.DUMMYFUNCTION("""COMPUTED_VALUE"""),"EditCTGrid")</f>
        <v>EditCTGrid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IFERROR(__xludf.DUMMYFUNCTION("""COMPUTED_VALUE"""),"ActionOnCT")</f>
        <v>ActionOnCT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IFERROR(__xludf.DUMMYFUNCTION("""COMPUTED_VALUE"""),"Unknown")</f>
        <v>Unknown</v>
      </c>
      <c r="B988" t="str">
        <f>IFERROR(__xludf.DUMMYFUNCTION("""COMPUTED_VALUE"""),"OpenColumnChooser")</f>
        <v>OpenColumnChooser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IFERROR(__xludf.DUMMYFUNCTION("""COMPUTED_VALUE"""),"Closing")</f>
        <v>Closing</v>
      </c>
      <c r="B989" t="str">
        <f>IFERROR(__xludf.DUMMYFUNCTION("""COMPUTED_VALUE"""),"UnExpUnsettOperation")</f>
        <v>UnExpUnsettOperation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IFERROR(__xludf.DUMMYFUNCTION("""COMPUTED_VALUE"""),"NavLock")</f>
        <v>NavLock</v>
      </c>
      <c r="B990" t="str">
        <f>IFERROR(__xludf.DUMMYFUNCTION("""COMPUTED_VALUE"""),"ActiononNavLock")</f>
        <v>ActiononNavLock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>
      <c r="A991" t="str">
        <f>IFERROR(__xludf.DUMMYFUNCTION("""COMPUTED_VALUE"""),"Allocation")</f>
        <v>Allocation</v>
      </c>
      <c r="B991" t="str">
        <f>IFERROR(__xludf.DUMMYFUNCTION("""COMPUTED_VALUE"""),"ActiononFixPref")</f>
        <v>ActiononFixPref</v>
      </c>
      <c r="C991" t="str">
        <f>IFERROR(__xludf.DUMMYFUNCTION("""COMPUTED_VALUE"""),"11EX1Ln-BQAtx9NTd9zfcaia52FGNdZENDW2kwMCJ20HQ")</f>
        <v>11EX1Ln-BQAtx9NTd9zfcaia52FGNdZENDW2kwMCJ20HQ</v>
      </c>
    </row>
    <row r="992" ht="15.75" customHeight="1">
      <c r="A992" t="str">
        <f>IFERROR(__xludf.DUMMYFUNCTION("""COMPUTED_VALUE"""),"Blotter")</f>
        <v>Blotter</v>
      </c>
      <c r="B992" t="str">
        <f>IFERROR(__xludf.DUMMYFUNCTION("""COMPUTED_VALUE"""),"SelectWorkSubsOnBlotter")</f>
        <v>SelectWorkSubsOnBlotter</v>
      </c>
      <c r="C992" t="str">
        <f>IFERROR(__xludf.DUMMYFUNCTION("""COMPUTED_VALUE"""),"11EX1Ln-BQAtx9NTd9zfcaia52FGNdZENDW2kwMCJ20HQ")</f>
        <v>11EX1Ln-BQAtx9NTd9zfcaia52FGNdZENDW2kwMCJ20HQ</v>
      </c>
    </row>
    <row r="993" ht="15.75" customHeight="1">
      <c r="A993" t="str">
        <f>IFERROR(__xludf.DUMMYFUNCTION("""COMPUTED_VALUE"""),"Closing")</f>
        <v>Closing</v>
      </c>
      <c r="B993" t="str">
        <f>IFERROR(__xludf.DUMMYFUNCTION("""COMPUTED_VALUE"""),"VerifyAccountUnexpired")</f>
        <v>VerifyAccountUnexpired</v>
      </c>
      <c r="C993" t="str">
        <f>IFERROR(__xludf.DUMMYFUNCTION("""COMPUTED_VALUE"""),"11EX1Ln-BQAtx9NTd9zfcaia52FGNdZENDW2kwMCJ20HQ")</f>
        <v>11EX1Ln-BQAtx9NTd9zfcaia52FGNdZENDW2kwMCJ20HQ</v>
      </c>
    </row>
    <row r="994" ht="15.75" customHeight="1">
      <c r="A994" t="str">
        <f>IFERROR(__xludf.DUMMYFUNCTION("""COMPUTED_VALUE"""),"PortfolioManagement")</f>
        <v>PortfolioManagement</v>
      </c>
      <c r="B994" t="str">
        <f>IFERROR(__xludf.DUMMYFUNCTION("""COMPUTED_VALUE"""),"ToolBarActiononPM")</f>
        <v>ToolBarActiononPM</v>
      </c>
      <c r="C994" t="str">
        <f>IFERROR(__xludf.DUMMYFUNCTION("""COMPUTED_VALUE"""),"11EX1Ln-BQAtx9NTd9zfcaia52FGNdZENDW2kwMCJ20HQ")</f>
        <v>11EX1Ln-BQAtx9NTd9zfcaia52FGNdZENDW2kwMCJ20HQ</v>
      </c>
    </row>
    <row r="995" ht="15.75" customHeight="1">
      <c r="A995" t="str">
        <f>IFERROR(__xludf.DUMMYFUNCTION("""COMPUTED_VALUE"""),"Allocation")</f>
        <v>Allocation</v>
      </c>
      <c r="B995" t="str">
        <f>IFERROR(__xludf.DUMMYFUNCTION("""COMPUTED_VALUE"""),"EditAttRenaming")</f>
        <v>EditAttRenaming</v>
      </c>
      <c r="C995" t="str">
        <f>IFERROR(__xludf.DUMMYFUNCTION("""COMPUTED_VALUE"""),"14aTeLjmUbS-nhaQwjtZAMGxdQ5DS6UsBjE5OTWN-LQU")</f>
        <v>14aTeLjmUbS-nhaQwjtZAMGxdQ5DS6UsBjE5OTWN-LQU</v>
      </c>
    </row>
    <row r="996" ht="15.75" customHeight="1">
      <c r="A996" t="str">
        <f>IFERROR(__xludf.DUMMYFUNCTION("""COMPUTED_VALUE"""),"Unknown")</f>
        <v>Unknown</v>
      </c>
      <c r="B996" t="str">
        <f>IFERROR(__xludf.DUMMYFUNCTION("""COMPUTED_VALUE"""),"ActiononColumnChooser")</f>
        <v>ActiononColumnChooser</v>
      </c>
      <c r="C996" t="str">
        <f>IFERROR(__xludf.DUMMYFUNCTION("""COMPUTED_VALUE"""),"14aTeLjmUbS-nhaQwjtZAMGxdQ5DS6UsBjE5OTWN-LQU")</f>
        <v>14aTeLjmUbS-nhaQwjtZAMGxdQ5DS6UsBjE5OTWN-LQU</v>
      </c>
    </row>
    <row r="997" ht="15.75" customHeight="1">
      <c r="A997" t="str">
        <f>IFERROR(__xludf.DUMMYFUNCTION("""COMPUTED_VALUE"""),"Unknown")</f>
        <v>Unknown</v>
      </c>
      <c r="B997" t="str">
        <f>IFERROR(__xludf.DUMMYFUNCTION("""COMPUTED_VALUE"""),"VerifyColumnChooser")</f>
        <v>VerifyColumnChooser</v>
      </c>
      <c r="C997" t="str">
        <f>IFERROR(__xludf.DUMMYFUNCTION("""COMPUTED_VALUE"""),"14aTeLjmUbS-nhaQwjtZAMGxdQ5DS6UsBjE5OTWN-LQU")</f>
        <v>14aTeLjmUbS-nhaQwjtZAMGxdQ5DS6UsBjE5OTWN-LQU</v>
      </c>
    </row>
    <row r="998" ht="15.75" customHeight="1">
      <c r="A998" t="str">
        <f>IFERROR(__xludf.DUMMYFUNCTION("""COMPUTED_VALUE"""),"Unknown")</f>
        <v>Unknown</v>
      </c>
      <c r="B998" t="str">
        <f>IFERROR(__xludf.DUMMYFUNCTION("""COMPUTED_VALUE"""),"EditColumnChooser")</f>
        <v>EditColumnChooser</v>
      </c>
      <c r="C998" t="str">
        <f>IFERROR(__xludf.DUMMYFUNCTION("""COMPUTED_VALUE"""),"14aTeLjmUbS-nhaQwjtZAMGxdQ5DS6UsBjE5OTWN-LQU")</f>
        <v>14aTeLjmUbS-nhaQwjtZAMGxdQ5DS6UsBjE5OTWN-LQU</v>
      </c>
    </row>
    <row r="999" ht="15.75" customHeight="1">
      <c r="A999" t="str">
        <f>IFERROR(__xludf.DUMMYFUNCTION("""COMPUTED_VALUE"""),"Unknown")</f>
        <v>Unknown</v>
      </c>
      <c r="B999" t="str">
        <f>IFERROR(__xludf.DUMMYFUNCTION("""COMPUTED_VALUE"""),"OpenColumnChooser")</f>
        <v>OpenColumnChooser</v>
      </c>
      <c r="C999" t="str">
        <f>IFERROR(__xludf.DUMMYFUNCTION("""COMPUTED_VALUE"""),"14aTeLjmUbS-nhaQwjtZAMGxdQ5DS6UsBjE5OTWN-LQU")</f>
        <v>14aTeLjmUbS-nhaQwjtZAMGxdQ5DS6UsBjE5OTWN-LQU</v>
      </c>
    </row>
    <row r="1000" ht="15.75" customHeight="1">
      <c r="A1000" t="str">
        <f>IFERROR(__xludf.DUMMYFUNCTION("""COMPUTED_VALUE"""),"TradingTicket")</f>
        <v>TradingTicket</v>
      </c>
      <c r="B1000" t="str">
        <f>IFERROR(__xludf.DUMMYFUNCTION("""COMPUTED_VALUE"""),"UpdateTTCA")</f>
        <v>UpdateTTCA</v>
      </c>
      <c r="C1000" t="str">
        <f>IFERROR(__xludf.DUMMYFUNCTION("""COMPUTED_VALUE"""),"14aTeLjmUbS-nhaQwjtZAMGxdQ5DS6UsBjE5OTWN-LQU")</f>
        <v>14aTeLjmUbS-nhaQwjtZAMGxdQ5DS6UsBjE5OTWN-LQU</v>
      </c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IFERROR(__xludf.DUMMYFUNCTION("""COMPUTED_VALUE"""),"Trade Attribute 01")</f>
        <v>Trade Attribute 01</v>
      </c>
      <c r="AN5" s="30" t="str">
        <f>IFERROR(__xludf.DUMMYFUNCTION("""COMPUTED_VALUE"""),"Trade Attribute 02")</f>
        <v>Trade Attribute 02</v>
      </c>
      <c r="AO5" s="30" t="str">
        <f>IFERROR(__xludf.DUMMYFUNCTION("""COMPUTED_VALUE"""),"Trade Attribute 03")</f>
        <v>Trade Attribute 03</v>
      </c>
      <c r="AP5" s="30" t="str">
        <f>IFERROR(__xludf.DUMMYFUNCTION("""COMPUTED_VALUE"""),"Trade Attribute 04")</f>
        <v>Trade Attribute 04</v>
      </c>
      <c r="AQ5" s="30" t="str">
        <f>IFERROR(__xludf.DUMMYFUNCTION("""COMPUTED_VALUE"""),"Trade Attribute 05")</f>
        <v>Trade Attribute 05</v>
      </c>
      <c r="AR5" s="30" t="str">
        <f>IFERROR(__xludf.DUMMYFUNCTION("""COMPUTED_VALUE"""),"Trade Attribute 06")</f>
        <v>Trade Attribute 06</v>
      </c>
      <c r="AS5" s="30" t="str">
        <f>IFERROR(__xludf.DUMMYFUNCTION("""COMPUTED_VALUE"""),"Trade Attribute 01 suggestion")</f>
        <v>Trade Attribute 01 suggestion</v>
      </c>
      <c r="AT5" s="30" t="str">
        <f>IFERROR(__xludf.DUMMYFUNCTION("""COMPUTED_VALUE"""),"Trade Attribute 02 suggestion")</f>
        <v>Trade Attribute 02 suggestion</v>
      </c>
      <c r="AU5" s="30" t="str">
        <f>IFERROR(__xludf.DUMMYFUNCTION("""COMPUTED_VALUE"""),"Trade Attribute 03 suggestion")</f>
        <v>Trade Attribute 03 suggestion</v>
      </c>
      <c r="AV5" s="30" t="str">
        <f>IFERROR(__xludf.DUMMYFUNCTION("""COMPUTED_VALUE"""),"Trade Attribute 04 suggestion")</f>
        <v>Trade Attribute 04 suggestion</v>
      </c>
      <c r="AW5" s="30" t="str">
        <f>IFERROR(__xludf.DUMMYFUNCTION("""COMPUTED_VALUE"""),"Trade Attribute 05 suggestion")</f>
        <v>Trade Attribute 05 suggestion</v>
      </c>
      <c r="AX5" s="30" t="str">
        <f>IFERROR(__xludf.DUMMYFUNCTION("""COMPUTED_VALUE"""),"Trade Attribute 06 suggestion")</f>
        <v>Trade Attribute 06 suggestion</v>
      </c>
      <c r="AY5" s="30" t="str">
        <f>IFERROR(__xludf.DUMMYFUNCTION("""COMPUTED_VALUE"""),"Strategy")</f>
        <v>Strategy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100.0</v>
      </c>
      <c r="D6" s="13">
        <v>2.0</v>
      </c>
      <c r="E6" s="13" t="s">
        <v>17</v>
      </c>
      <c r="F6" s="8"/>
      <c r="G6" s="8"/>
      <c r="H6" s="8"/>
      <c r="I6" s="13" t="s">
        <v>18</v>
      </c>
      <c r="J6" s="13" t="s">
        <v>19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 t="str">
        <f>IFERROR(__xludf.DUMMYFUNCTION("""COMPUTED_VALUE"""),"VerifyDVNavLockPopup")</f>
        <v>VerifyDVNavLockPopup</v>
      </c>
      <c r="AN4" s="26" t="str">
        <f>IFERROR(__xludf.DUMMYFUNCTION("""COMPUTED_VALUE"""),"SelectDateAtMPFC")</f>
        <v>SelectDateAtMPFC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>
        <f>TODAY()-1</f>
        <v>45957</v>
      </c>
      <c r="C6" s="31">
        <f>TODAY()</f>
        <v>45958</v>
      </c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 t="str">
        <f>IFERROR(__xludf.DUMMYFUNCTION("""COMPUTED_VALUE"""),"VerifyDVNavLockPopup")</f>
        <v>VerifyDVNavLockPopup</v>
      </c>
      <c r="AN4" s="26" t="str">
        <f>IFERROR(__xludf.DUMMYFUNCTION("""COMPUTED_VALUE"""),"SelectDateAtMPFC")</f>
        <v>SelectDateAtMPFC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23</v>
      </c>
      <c r="C6" s="13" t="s">
        <v>24</v>
      </c>
      <c r="D6" s="13">
        <v>10000.0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25</v>
      </c>
      <c r="C7" s="13" t="s">
        <v>24</v>
      </c>
      <c r="D7" s="13">
        <v>10000.0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 t="str">
        <f>IFERROR(__xludf.DUMMYFUNCTION("""COMPUTED_VALUE"""),"VerifyPINavLockPopup")</f>
        <v>VerifyPINavLockPopup</v>
      </c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140.0</v>
      </c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 t="str">
        <f>IFERROR(__xludf.DUMMYFUNCTION("""COMPUTED_VALUE"""),"Use Custodian Broker")</f>
        <v>Use Custodian Broker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4" t="s">
        <v>16</v>
      </c>
      <c r="C6" s="35" t="s">
        <v>29</v>
      </c>
      <c r="D6" s="33"/>
      <c r="E6" s="36">
        <v>10.0</v>
      </c>
      <c r="F6" s="37">
        <v>140.0</v>
      </c>
      <c r="G6" s="38"/>
      <c r="H6" s="39" t="s">
        <v>30</v>
      </c>
      <c r="I6" s="40" t="s">
        <v>31</v>
      </c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CalculatePTT!$4:$4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IFERROR(__xludf.DUMMYFUNCTION("""COMPUTED_VALUE"""),"Action")</f>
        <v>Action</v>
      </c>
      <c r="U5" s="30" t="str">
        <f>IFERROR(__xludf.DUMMYFUNCTION("""COMPUTED_VALUE"""),"OrderButtonType")</f>
        <v>OrderButtonType</v>
      </c>
      <c r="V5" s="30" t="str">
        <f>IFERROR(__xludf.DUMMYFUNCTION("""COMPUTED_VALUE"""),"Change Amt")</f>
        <v>Change Amt</v>
      </c>
      <c r="W5" s="30" t="str">
        <f>IFERROR(__xludf.DUMMYFUNCTION("""COMPUTED_VALUE"""),"Group")</f>
        <v>Group</v>
      </c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4" t="s">
        <v>23</v>
      </c>
      <c r="C6" s="38"/>
      <c r="D6" s="33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 t="s">
        <v>33</v>
      </c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38"/>
      <c r="B7" s="38"/>
      <c r="C7" s="38"/>
      <c r="D7" s="38"/>
      <c r="E7" s="38"/>
      <c r="F7" s="38"/>
      <c r="G7" s="39">
        <v>0.0</v>
      </c>
      <c r="H7" s="36"/>
      <c r="I7" s="39"/>
      <c r="J7" s="38"/>
      <c r="K7" s="38"/>
      <c r="L7" s="38"/>
      <c r="M7" s="38"/>
      <c r="N7" s="38"/>
      <c r="O7" s="38"/>
      <c r="P7" s="38"/>
      <c r="Q7" s="38"/>
      <c r="R7" s="38"/>
      <c r="S7" s="38"/>
      <c r="T7" s="38" t="s">
        <v>34</v>
      </c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8"/>
      <c r="BN7" s="38"/>
      <c r="BO7" s="38"/>
      <c r="BP7" s="38"/>
      <c r="BQ7" s="38"/>
      <c r="BR7" s="38"/>
      <c r="BS7" s="38"/>
      <c r="BT7" s="38"/>
      <c r="BU7" s="38"/>
      <c r="BV7" s="38"/>
      <c r="BW7" s="38"/>
      <c r="BX7" s="38"/>
      <c r="BY7" s="38"/>
      <c r="BZ7" s="38"/>
      <c r="CA7" s="38"/>
      <c r="CB7" s="38"/>
      <c r="CC7" s="38"/>
      <c r="CD7" s="38"/>
      <c r="CE7" s="38"/>
      <c r="CF7" s="38"/>
      <c r="CG7" s="38"/>
      <c r="CH7" s="38"/>
      <c r="CI7" s="38"/>
      <c r="CJ7" s="38"/>
      <c r="CK7" s="38"/>
      <c r="CL7" s="38"/>
      <c r="CM7" s="38"/>
      <c r="CN7" s="38"/>
      <c r="CO7" s="38"/>
      <c r="CP7" s="38"/>
      <c r="CQ7" s="38"/>
      <c r="CR7" s="38"/>
      <c r="CS7" s="38"/>
      <c r="CT7" s="38"/>
      <c r="CU7" s="38"/>
      <c r="CV7" s="38"/>
      <c r="CW7" s="38"/>
      <c r="CX7" s="38"/>
      <c r="CY7" s="38"/>
      <c r="CZ7" s="38"/>
      <c r="DA7" s="38"/>
      <c r="DB7" s="38"/>
      <c r="DC7" s="38"/>
      <c r="DD7" s="38"/>
      <c r="DE7" s="38"/>
      <c r="DF7" s="38"/>
      <c r="DG7" s="38"/>
      <c r="DH7" s="38"/>
      <c r="DI7" s="38"/>
      <c r="DJ7" s="38"/>
      <c r="DK7" s="38"/>
      <c r="DL7" s="38"/>
      <c r="DM7" s="38"/>
      <c r="DN7" s="38"/>
      <c r="DO7" s="38"/>
      <c r="DP7" s="38"/>
      <c r="DQ7" s="38"/>
      <c r="DR7" s="38"/>
      <c r="DS7" s="38"/>
      <c r="DT7" s="38"/>
      <c r="DU7" s="38"/>
      <c r="DV7" s="38"/>
      <c r="DW7" s="38"/>
      <c r="DX7" s="38"/>
      <c r="DY7" s="38"/>
      <c r="DZ7" s="38"/>
      <c r="EA7" s="38"/>
      <c r="EB7" s="38"/>
      <c r="EC7" s="38"/>
      <c r="ED7" s="38"/>
      <c r="EE7" s="38"/>
      <c r="EF7" s="38"/>
      <c r="EG7" s="38"/>
      <c r="EH7" s="38"/>
      <c r="EI7" s="38"/>
      <c r="EJ7" s="38"/>
      <c r="EK7" s="38"/>
      <c r="EL7" s="38"/>
      <c r="EM7" s="38"/>
      <c r="EN7" s="38"/>
      <c r="EO7" s="38"/>
      <c r="EP7" s="38"/>
      <c r="EQ7" s="38"/>
      <c r="ER7" s="38"/>
      <c r="ES7" s="38"/>
      <c r="ET7" s="38"/>
      <c r="EU7" s="38"/>
      <c r="EV7" s="38"/>
      <c r="EW7" s="38"/>
      <c r="EX7" s="38"/>
    </row>
    <row r="8" ht="15.75" customHeight="1">
      <c r="A8" s="33"/>
      <c r="B8" s="40" t="s">
        <v>25</v>
      </c>
      <c r="C8" s="38"/>
      <c r="D8" s="33"/>
      <c r="E8" s="38"/>
      <c r="F8" s="38"/>
      <c r="G8" s="38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 t="s">
        <v>33</v>
      </c>
      <c r="U8" s="38"/>
      <c r="V8" s="38"/>
      <c r="W8" s="38"/>
      <c r="X8" s="38"/>
      <c r="Y8" s="38"/>
      <c r="Z8" s="38"/>
      <c r="AA8" s="38"/>
      <c r="AB8" s="38"/>
      <c r="AC8" s="38"/>
      <c r="AD8" s="38"/>
      <c r="AE8" s="38"/>
      <c r="AF8" s="38"/>
      <c r="AG8" s="38"/>
      <c r="AH8" s="38"/>
      <c r="AI8" s="38"/>
      <c r="AJ8" s="38"/>
      <c r="AK8" s="38"/>
      <c r="AL8" s="38"/>
      <c r="AM8" s="38"/>
      <c r="AN8" s="38"/>
      <c r="AO8" s="38"/>
      <c r="AP8" s="38"/>
      <c r="AQ8" s="38"/>
      <c r="AR8" s="38"/>
      <c r="AS8" s="38"/>
      <c r="AT8" s="38"/>
      <c r="AU8" s="38"/>
      <c r="AV8" s="38"/>
      <c r="AW8" s="38"/>
      <c r="AX8" s="38"/>
      <c r="AY8" s="38"/>
      <c r="AZ8" s="38"/>
      <c r="BA8" s="38"/>
      <c r="BB8" s="38"/>
      <c r="BC8" s="38"/>
      <c r="BD8" s="38"/>
      <c r="BE8" s="38"/>
      <c r="BF8" s="38"/>
      <c r="BG8" s="38"/>
      <c r="BH8" s="38"/>
      <c r="BI8" s="38"/>
      <c r="BJ8" s="38"/>
      <c r="BK8" s="38"/>
      <c r="BL8" s="38"/>
      <c r="BM8" s="38"/>
      <c r="BN8" s="38"/>
      <c r="BO8" s="38"/>
      <c r="BP8" s="38"/>
      <c r="BQ8" s="38"/>
      <c r="BR8" s="38"/>
      <c r="BS8" s="38"/>
      <c r="BT8" s="38"/>
      <c r="BU8" s="38"/>
      <c r="BV8" s="38"/>
      <c r="BW8" s="38"/>
      <c r="BX8" s="38"/>
      <c r="BY8" s="38"/>
      <c r="BZ8" s="38"/>
      <c r="CA8" s="38"/>
      <c r="CB8" s="38"/>
      <c r="CC8" s="38"/>
      <c r="CD8" s="38"/>
      <c r="CE8" s="38"/>
      <c r="CF8" s="38"/>
      <c r="CG8" s="38"/>
      <c r="CH8" s="38"/>
      <c r="CI8" s="38"/>
      <c r="CJ8" s="38"/>
      <c r="CK8" s="38"/>
      <c r="CL8" s="38"/>
      <c r="CM8" s="38"/>
      <c r="CN8" s="38"/>
      <c r="CO8" s="38"/>
      <c r="CP8" s="38"/>
      <c r="CQ8" s="38"/>
      <c r="CR8" s="38"/>
      <c r="CS8" s="38"/>
      <c r="CT8" s="38"/>
      <c r="CU8" s="38"/>
      <c r="CV8" s="38"/>
      <c r="CW8" s="38"/>
      <c r="CX8" s="38"/>
      <c r="CY8" s="38"/>
      <c r="CZ8" s="38"/>
      <c r="DA8" s="38"/>
      <c r="DB8" s="38"/>
      <c r="DC8" s="38"/>
      <c r="DD8" s="38"/>
      <c r="DE8" s="38"/>
      <c r="DF8" s="38"/>
      <c r="DG8" s="38"/>
      <c r="DH8" s="38"/>
      <c r="DI8" s="38"/>
      <c r="DJ8" s="38"/>
      <c r="DK8" s="38"/>
      <c r="DL8" s="38"/>
      <c r="DM8" s="38"/>
      <c r="DN8" s="38"/>
      <c r="DO8" s="38"/>
      <c r="DP8" s="38"/>
      <c r="DQ8" s="38"/>
      <c r="DR8" s="38"/>
      <c r="DS8" s="38"/>
      <c r="DT8" s="38"/>
      <c r="DU8" s="38"/>
      <c r="DV8" s="38"/>
      <c r="DW8" s="38"/>
      <c r="DX8" s="38"/>
      <c r="DY8" s="38"/>
      <c r="DZ8" s="38"/>
      <c r="EA8" s="38"/>
      <c r="EB8" s="38"/>
      <c r="EC8" s="38"/>
      <c r="ED8" s="38"/>
      <c r="EE8" s="38"/>
      <c r="EF8" s="38"/>
      <c r="EG8" s="38"/>
      <c r="EH8" s="38"/>
      <c r="EI8" s="38"/>
      <c r="EJ8" s="38"/>
      <c r="EK8" s="38"/>
      <c r="EL8" s="38"/>
      <c r="EM8" s="38"/>
      <c r="EN8" s="38"/>
      <c r="EO8" s="38"/>
      <c r="EP8" s="38"/>
      <c r="EQ8" s="38"/>
      <c r="ER8" s="38"/>
      <c r="ES8" s="38"/>
      <c r="ET8" s="38"/>
      <c r="EU8" s="38"/>
      <c r="EV8" s="38"/>
      <c r="EW8" s="38"/>
      <c r="EX8" s="38"/>
    </row>
    <row r="9" ht="15.75" customHeight="1">
      <c r="A9" s="38"/>
      <c r="B9" s="38"/>
      <c r="C9" s="38"/>
      <c r="D9" s="38"/>
      <c r="E9" s="38"/>
      <c r="F9" s="38"/>
      <c r="G9" s="39"/>
      <c r="H9" s="36"/>
      <c r="I9" s="39">
        <v>0.0</v>
      </c>
      <c r="J9" s="38"/>
      <c r="K9" s="38"/>
      <c r="L9" s="38"/>
      <c r="M9" s="38"/>
      <c r="N9" s="38"/>
      <c r="O9" s="38"/>
      <c r="P9" s="38"/>
      <c r="Q9" s="38"/>
      <c r="R9" s="38"/>
      <c r="S9" s="38"/>
      <c r="T9" s="38" t="s">
        <v>34</v>
      </c>
      <c r="U9" s="38"/>
      <c r="V9" s="38"/>
      <c r="W9" s="38"/>
      <c r="X9" s="38"/>
      <c r="Y9" s="38"/>
      <c r="Z9" s="38"/>
      <c r="AA9" s="38"/>
      <c r="AB9" s="38"/>
      <c r="AC9" s="38"/>
      <c r="AD9" s="38"/>
      <c r="AE9" s="38"/>
      <c r="AF9" s="38"/>
      <c r="AG9" s="38"/>
      <c r="AH9" s="38"/>
      <c r="AI9" s="38"/>
      <c r="AJ9" s="38"/>
      <c r="AK9" s="38"/>
      <c r="AL9" s="38"/>
      <c r="AM9" s="38"/>
      <c r="AN9" s="38"/>
      <c r="AO9" s="38"/>
      <c r="AP9" s="38"/>
      <c r="AQ9" s="38"/>
      <c r="AR9" s="38"/>
      <c r="AS9" s="38"/>
      <c r="AT9" s="38"/>
      <c r="AU9" s="38"/>
      <c r="AV9" s="38"/>
      <c r="AW9" s="38"/>
      <c r="AX9" s="38"/>
      <c r="AY9" s="38"/>
      <c r="AZ9" s="38"/>
      <c r="BA9" s="38"/>
      <c r="BB9" s="38"/>
      <c r="BC9" s="38"/>
      <c r="BD9" s="38"/>
      <c r="BE9" s="38"/>
      <c r="BF9" s="38"/>
      <c r="BG9" s="38"/>
      <c r="BH9" s="38"/>
      <c r="BI9" s="38"/>
      <c r="BJ9" s="38"/>
      <c r="BK9" s="38"/>
      <c r="BL9" s="38"/>
      <c r="BM9" s="38"/>
      <c r="BN9" s="38"/>
      <c r="BO9" s="38"/>
      <c r="BP9" s="38"/>
      <c r="BQ9" s="38"/>
      <c r="BR9" s="38"/>
      <c r="BS9" s="38"/>
      <c r="BT9" s="38"/>
      <c r="BU9" s="38"/>
      <c r="BV9" s="38"/>
      <c r="BW9" s="38"/>
      <c r="BX9" s="38"/>
      <c r="BY9" s="38"/>
      <c r="BZ9" s="38"/>
      <c r="CA9" s="38"/>
      <c r="CB9" s="38"/>
      <c r="CC9" s="38"/>
      <c r="CD9" s="38"/>
      <c r="CE9" s="38"/>
      <c r="CF9" s="38"/>
      <c r="CG9" s="38"/>
      <c r="CH9" s="38"/>
      <c r="CI9" s="38"/>
      <c r="CJ9" s="38"/>
      <c r="CK9" s="38"/>
      <c r="CL9" s="38"/>
      <c r="CM9" s="38"/>
      <c r="CN9" s="38"/>
      <c r="CO9" s="38"/>
      <c r="CP9" s="38"/>
      <c r="CQ9" s="38"/>
      <c r="CR9" s="38"/>
      <c r="CS9" s="38"/>
      <c r="CT9" s="38"/>
      <c r="CU9" s="38"/>
      <c r="CV9" s="38"/>
      <c r="CW9" s="38"/>
      <c r="CX9" s="38"/>
      <c r="CY9" s="38"/>
      <c r="CZ9" s="38"/>
      <c r="DA9" s="38"/>
      <c r="DB9" s="38"/>
      <c r="DC9" s="38"/>
      <c r="DD9" s="38"/>
      <c r="DE9" s="38"/>
      <c r="DF9" s="38"/>
      <c r="DG9" s="38"/>
      <c r="DH9" s="38"/>
      <c r="DI9" s="38"/>
      <c r="DJ9" s="38"/>
      <c r="DK9" s="38"/>
      <c r="DL9" s="38"/>
      <c r="DM9" s="38"/>
      <c r="DN9" s="38"/>
      <c r="DO9" s="38"/>
      <c r="DP9" s="38"/>
      <c r="DQ9" s="38"/>
      <c r="DR9" s="38"/>
      <c r="DS9" s="38"/>
      <c r="DT9" s="38"/>
      <c r="DU9" s="38"/>
      <c r="DV9" s="38"/>
      <c r="DW9" s="38"/>
      <c r="DX9" s="38"/>
      <c r="DY9" s="38"/>
      <c r="DZ9" s="38"/>
      <c r="EA9" s="38"/>
      <c r="EB9" s="38"/>
      <c r="EC9" s="38"/>
      <c r="ED9" s="38"/>
      <c r="EE9" s="38"/>
      <c r="EF9" s="38"/>
      <c r="EG9" s="38"/>
      <c r="EH9" s="38"/>
      <c r="EI9" s="38"/>
      <c r="EJ9" s="38"/>
      <c r="EK9" s="38"/>
      <c r="EL9" s="38"/>
      <c r="EM9" s="38"/>
      <c r="EN9" s="38"/>
      <c r="EO9" s="38"/>
      <c r="EP9" s="38"/>
      <c r="EQ9" s="38"/>
      <c r="ER9" s="38"/>
      <c r="ES9" s="38"/>
      <c r="ET9" s="38"/>
      <c r="EU9" s="38"/>
      <c r="EV9" s="38"/>
      <c r="EW9" s="38"/>
      <c r="EX9" s="3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EditPTTRecordAndExecuteOrder!$4:$4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IFERROR(__xludf.DUMMYFUNCTION("""COMPUTED_VALUE"""),"Verify RoundLots In Input Parameters")</f>
        <v>Verify RoundLots In Input Parameters</v>
      </c>
      <c r="U5" s="30" t="str">
        <f>IFERROR(__xludf.DUMMYFUNCTION("""COMPUTED_VALUE"""),"Change Amt")</f>
        <v>Change Amt</v>
      </c>
      <c r="V5" s="30" t="str">
        <f>IFERROR(__xludf.DUMMYFUNCTION("""COMPUTED_VALUE"""),"Group")</f>
        <v>Group</v>
      </c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23</v>
      </c>
      <c r="C6" s="13">
        <v>10000.0</v>
      </c>
      <c r="D6" s="13">
        <v>0.0</v>
      </c>
      <c r="E6" s="13">
        <v>0.0</v>
      </c>
      <c r="F6" s="8"/>
      <c r="G6" s="13">
        <v>0.0</v>
      </c>
      <c r="H6" s="13">
        <v>0.0</v>
      </c>
      <c r="I6" s="13">
        <v>0.0</v>
      </c>
      <c r="J6" s="13">
        <v>0.0</v>
      </c>
      <c r="K6" s="13"/>
      <c r="L6" s="13">
        <v>0.0</v>
      </c>
      <c r="M6" s="8"/>
      <c r="N6" s="8"/>
      <c r="O6" s="8"/>
    </row>
    <row r="7" ht="15.75" customHeight="1">
      <c r="A7" s="8"/>
      <c r="B7" s="13" t="s">
        <v>25</v>
      </c>
      <c r="C7" s="13">
        <v>10000.0</v>
      </c>
      <c r="D7" s="13">
        <v>0.0</v>
      </c>
      <c r="E7" s="13">
        <v>0.0</v>
      </c>
      <c r="F7" s="8"/>
      <c r="G7" s="13">
        <v>0.0</v>
      </c>
      <c r="H7" s="13">
        <v>0.0</v>
      </c>
      <c r="I7" s="13">
        <v>0.0</v>
      </c>
      <c r="J7" s="13">
        <v>0.0</v>
      </c>
      <c r="K7" s="13"/>
      <c r="L7" s="13">
        <v>0.0</v>
      </c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VerifyPTT1!$4:$4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