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BlankMarkPrices" sheetId="4" r:id="rId6"/>
    <sheet state="visible" name="CreateDoneAwayOrder" sheetId="5" r:id="rId7"/>
    <sheet state="visible" name="GetMarkPriceData" sheetId="6" r:id="rId8"/>
    <sheet state="visible" name="UpateSymbolBlankMP" sheetId="7" r:id="rId9"/>
    <sheet state="visible" name="FilterBlankMP" sheetId="8" r:id="rId10"/>
    <sheet state="visible" name="UpdateBlankMP" sheetId="9" r:id="rId11"/>
  </sheets>
  <definedNames/>
  <calcPr/>
</workbook>
</file>

<file path=xl/sharedStrings.xml><?xml version="1.0" encoding="utf-8"?>
<sst xmlns="http://schemas.openxmlformats.org/spreadsheetml/2006/main" count="64" uniqueCount="28">
  <si>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</si>
  <si>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</si>
  <si>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</si>
  <si>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</si>
  <si>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</si>
  <si>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</si>
  <si>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</si>
  <si>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</si>
  <si>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</si>
  <si>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</si>
  <si>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</si>
  <si>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</si>
  <si>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</si>
  <si>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EnableBlankMarkPrices</t>
  </si>
  <si>
    <t>Data Format</t>
  </si>
  <si>
    <t>Input Format</t>
  </si>
  <si>
    <t>TradingTicket</t>
  </si>
  <si>
    <t>CreateDoneAwayOrder</t>
  </si>
  <si>
    <t>MSFT</t>
  </si>
  <si>
    <t>Buy</t>
  </si>
  <si>
    <t>Allocation1</t>
  </si>
  <si>
    <t>GetMarkPriceData</t>
  </si>
  <si>
    <t>UpateSymbolBlankMP</t>
  </si>
  <si>
    <t>FilterBlankMP</t>
  </si>
  <si>
    <t>Account</t>
  </si>
  <si>
    <t>All</t>
  </si>
  <si>
    <t>UpdateBlankMP</t>
  </si>
  <si>
    <t>MSFT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</si>
</sst>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>
      <c r="A611" t="str">
        <f>IFERROR(__xludf.DUMMYFUNCTION("""COMPUTED_VALUE"""),"DailyValuation")</f>
        <v>DailyValuation</v>
      </c>
      <c r="B611" t="str">
        <f>IFERROR(__xludf.DUMMYFUNCTION("""COMPUTED_VALUE"""),"EnableBlankMarkPrices")</f>
        <v>EnableBlankMarkPrices</v>
      </c>
      <c r="C611" t="str">
        <f>IFERROR(__xludf.DUMMYFUNCTION("""COMPUTED_VALUE"""),"19T3Ip9Ag9oh_4E_0q4NRbzAn0DDkiZg1BwITA3HmUNQ")</f>
        <v>19T3Ip9Ag9oh_4E_0q4NRbzAn0DDkiZg1BwITA3HmUNQ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IFERROR(__xludf.DUMMYFUNCTION("""COMPUTED_VALUE"""),"UpateSymbolBlankMP")</f>
        <v>UpateSymbolBlankMP</v>
      </c>
      <c r="C612" t="str">
        <f>IFERROR(__xludf.DUMMYFUNCTION("""COMPUTED_VALUE"""),"1bJNniaZjxf79auZhh3SEyweKOO8AuCuCtRbzkni2UY0")</f>
        <v>1bJNniaZjxf79auZhh3SEyweKOO8AuCuCtRbzkni2UY0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IFERROR(__xludf.DUMMYFUNCTION("""COMPUTED_VALUE"""),"UpdateBlankMP")</f>
        <v>UpdateBlankMP</v>
      </c>
      <c r="C613" t="str">
        <f>IFERROR(__xludf.DUMMYFUNCTION("""COMPUTED_VALUE"""),"1pLjxOOSstcP9sjwtrHb5MPDjdncwkEw6pM4-Z2FTcMM")</f>
        <v>1pLjxOOSstcP9sjwtrHb5MPDjdncwkEw6pM4-Z2FTcMM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IFERROR(__xludf.DUMMYFUNCTION("""COMPUTED_VALUE"""),"FilterBlankMP")</f>
        <v>FilterBlankMP</v>
      </c>
      <c r="C614" t="str">
        <f>IFERROR(__xludf.DUMMYFUNCTION("""COMPUTED_VALUE"""),"1mc1s4SmA1y4VP6gk13_0zQWH3SwcgqbvUdYJgmA50Uk")</f>
        <v>1mc1s4SmA1y4VP6gk13_0zQWH3SwcgqbvUdYJgmA50Uk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IFERROR(__xludf.DUMMYFUNCTION("""COMPUTED_VALUE"""),"IsDefaultFilterToShowAccountWiseDataOnDailyValuation")</f>
        <v>IsDefaultFilterToShowAccountWiseDataOnDailyValuation</v>
      </c>
      <c r="C5" s="28" t="str">
        <f>IFERROR(__xludf.DUMMYFUNCTION("""COMPUTED_VALUE"""),"IsFilteringAccountWiseDataAllowedOnDailyValuation")</f>
        <v>IsFilteringAccountWiseDataAllowedOnDailyValuation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EnableBlankMarkPrices!$4:$4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19</v>
      </c>
      <c r="D6" s="35">
        <v>100.0</v>
      </c>
      <c r="E6" s="34"/>
      <c r="F6" s="34" t="s">
        <v>20</v>
      </c>
      <c r="G6" s="34"/>
      <c r="H6" s="34"/>
      <c r="I6" s="34"/>
      <c r="J6" s="36">
        <v>10.0</v>
      </c>
      <c r="K6" s="34"/>
      <c r="L6" s="34"/>
      <c r="M6" s="34"/>
      <c r="N6" s="37">
        <f>TODAY()</f>
        <v>44879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>
        <f t="shared" ref="B6:C6" si="1">TODAY()</f>
        <v>44879</v>
      </c>
      <c r="C6" s="38">
        <f t="shared" si="1"/>
        <v>44879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IFERROR(__xludf.DUMMYFUNCTION("""COMPUTED_VALUE"""),"Enter Symbol")</f>
        <v>Enter Symbol</v>
      </c>
      <c r="C5" s="28" t="str">
        <f>IFERROR(__xludf.DUMMYFUNCTION("""COMPUTED_VALUE"""),"Copy From")</f>
        <v>Copy From</v>
      </c>
      <c r="D5" s="28" t="str">
        <f>IFERROR(__xludf.DUMMYFUNCTION("""COMPUTED_VALUE"""),"Copy To")</f>
        <v>Copy To</v>
      </c>
      <c r="E5" s="28" t="str">
        <f>IFERROR(__xludf.DUMMYFUNCTION("""COMPUTED_VALUE"""),"Click On Copy")</f>
        <v>Click On Copy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UpateSymbolBlankMP!$4:$4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>
      <c r="A6" s="34"/>
      <c r="B6" s="40" t="s">
        <v>24</v>
      </c>
      <c r="C6" s="40" t="s">
        <v>25</v>
      </c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FilterBlankMP!$4:$4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IFERROR(__xludf.DUMMYFUNCTION("""COMPUTED_VALUE"""),"Bloomberg Symbol")</f>
        <v>Bloomberg Symbol</v>
      </c>
      <c r="D5" s="28" t="str">
        <f>IFERROR(__xludf.DUMMYFUNCTION("""COMPUTED_VALUE"""),"Account")</f>
        <v>Account</v>
      </c>
      <c r="E5" s="28" t="str">
        <f>IFERROR(__xludf.DUMMYFUNCTION("""COMPUTED_VALUE"""),"MarkPrice")</f>
        <v>MarkPrice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18</v>
      </c>
      <c r="C6" s="40" t="s">
        <v>27</v>
      </c>
      <c r="D6" s="31"/>
      <c r="E6" s="36">
        <v>20.0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0" t="s">
        <v>18</v>
      </c>
      <c r="C7" s="40" t="s">
        <v>27</v>
      </c>
      <c r="D7" s="40" t="s">
        <v>20</v>
      </c>
      <c r="E7" s="36">
        <v>15.0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UpdateBlankMP!$4:$4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