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CheckAllocatedGroups" sheetId="7" r:id="rId9"/>
    <sheet state="visible" name="CheckUnallocatedGroups" sheetId="8" r:id="rId10"/>
    <sheet state="visible" name="GetDataAllocation" sheetId="9" r:id="rId11"/>
    <sheet state="visible" name="GetDataClosing" sheetId="10" r:id="rId12"/>
    <sheet state="visible" name="VerifyLongPositionsGrid" sheetId="11" r:id="rId13"/>
    <sheet state="visible" name="VerifyShortPositionsGrid" sheetId="12" r:id="rId14"/>
    <sheet state="visible" name="GetActivityData" sheetId="13" r:id="rId15"/>
    <sheet state="visible" name="VerifyActivity" sheetId="14" r:id="rId16"/>
    <sheet state="visible" name="SetGeneralPreferences" sheetId="15" r:id="rId17"/>
  </sheets>
  <definedNames/>
  <calcPr/>
</workbook>
</file>

<file path=xl/sharedStrings.xml><?xml version="1.0" encoding="utf-8"?>
<sst xmlns="http://schemas.openxmlformats.org/spreadsheetml/2006/main" count="203" uniqueCount="55">
  <si>
    <t>Settings</t>
  </si>
  <si>
    <t>Modules Info</t>
  </si>
  <si>
    <t>Master Data Info</t>
  </si>
  <si>
    <t>Module</t>
  </si>
  <si>
    <t>Modules</t>
  </si>
  <si>
    <t>Step</t>
  </si>
  <si>
    <t>Master Data Sheet</t>
  </si>
  <si>
    <t>Module Step Setting File</t>
  </si>
  <si>
    <t>1mQ5wEgXb-MhIU0Or9e66NOlU7WFsZsSgRXGfsykMW9I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</si>
  <si>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</si>
  <si>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</si>
  <si>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</si>
  <si>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</si>
  <si>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</si>
  <si>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</si>
  <si>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</si>
  <si>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</si>
  <si>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</si>
  <si>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</si>
  <si>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</si>
  <si>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</si>
  <si>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</si>
  <si>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</si>
  <si>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</si>
  <si>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</si>
  <si>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</si>
  <si>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</si>
  <si>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</si>
  <si>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</si>
  <si>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Allocation</t>
  </si>
  <si>
    <t>SelectUnallocatedGroup</t>
  </si>
  <si>
    <t>EnterAllocatePreference</t>
  </si>
  <si>
    <t>Calculated</t>
  </si>
  <si>
    <t>Prorata</t>
  </si>
  <si>
    <t>CheckAllocatedGroups</t>
  </si>
  <si>
    <t>CheckUnallocatedGroups</t>
  </si>
  <si>
    <t>GetDataAllocation</t>
  </si>
  <si>
    <t>Current</t>
  </si>
  <si>
    <t>Closing</t>
  </si>
  <si>
    <t>GetDataClosing</t>
  </si>
  <si>
    <t>VerifyLongPositionsGrid</t>
  </si>
  <si>
    <t>Allocation1</t>
  </si>
  <si>
    <t>Allocation2</t>
  </si>
  <si>
    <t>Allocation3</t>
  </si>
  <si>
    <t>VerifyShortPositionsGrid</t>
  </si>
  <si>
    <t>GeneralLedger</t>
  </si>
  <si>
    <t>GetActivityData</t>
  </si>
  <si>
    <t>SelectAll</t>
  </si>
  <si>
    <t>Allocation1,Allocation2,Allocation3,OFFSHORE</t>
  </si>
  <si>
    <t>No</t>
  </si>
  <si>
    <t>Yes</t>
  </si>
  <si>
    <t>VerifyActivity</t>
  </si>
  <si>
    <t>EquityL</t>
  </si>
  <si>
    <t>USD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</si>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</sst>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bottom/>
    </border>
    <border>
      <left/>
      <right/>
      <top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shrinkToFit="0" wrapText="0"/>
    </xf>
    <xf borderId="5" fillId="3" fontId="5" numFmtId="0" xfId="0" applyAlignment="1" applyBorder="1" applyFill="1" applyFont="1">
      <alignment shrinkToFit="0" vertical="bottom" wrapText="0"/>
    </xf>
    <xf borderId="6" fillId="3" fontId="5" numFmtId="0" xfId="0" applyAlignment="1" applyBorder="1" applyFont="1">
      <alignment shrinkToFit="0" wrapText="0"/>
    </xf>
    <xf borderId="7" fillId="3" fontId="6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6" fillId="3" fontId="4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7" fillId="3" fontId="4" numFmtId="0" xfId="0" applyAlignment="1" applyBorder="1" applyFont="1">
      <alignment vertical="bottom"/>
    </xf>
    <xf borderId="6" fillId="3" fontId="5" numFmtId="0" xfId="0" applyAlignment="1" applyBorder="1" applyFont="1">
      <alignment readingOrder="0" shrinkToFit="0" wrapText="0"/>
    </xf>
    <xf borderId="6" fillId="3" fontId="7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6" fillId="3" fontId="9" numFmtId="0" xfId="0" applyAlignment="1" applyBorder="1" applyFont="1">
      <alignment readingOrder="0" shrinkToFit="0" wrapText="0"/>
    </xf>
    <xf borderId="6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6" fillId="6" fontId="5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4" xfId="0" applyFont="1" applyNumberFormat="1"/>
    <xf borderId="6" fillId="6" fontId="5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8" fillId="0" fontId="7" numFmtId="14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9" t="s">
        <v>4</v>
      </c>
      <c r="B3" s="11"/>
      <c r="C3" s="13"/>
      <c r="D3" s="13"/>
      <c r="E3" s="13"/>
      <c r="F3" s="13"/>
    </row>
    <row r="4" ht="15.75" customHeight="1">
      <c r="A4" s="12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12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12"/>
      <c r="B2" s="12"/>
      <c r="C2" s="12"/>
    </row>
    <row r="3" ht="15.75" customHeight="1">
      <c r="A3" s="9" t="s">
        <v>7</v>
      </c>
      <c r="B3" s="14" t="s">
        <v>8</v>
      </c>
      <c r="C3" s="12"/>
    </row>
    <row r="4" ht="15.75" customHeight="1">
      <c r="A4" s="16" t="s">
        <v>9</v>
      </c>
      <c r="B4" s="14" t="s">
        <v>10</v>
      </c>
      <c r="C4" s="12"/>
    </row>
    <row r="5" ht="15.75" customHeight="1">
      <c r="A5" s="17"/>
      <c r="B5" s="12"/>
      <c r="C5" s="12"/>
    </row>
    <row r="6" ht="15.75" customHeight="1">
      <c r="A6" s="17"/>
      <c r="B6" s="12"/>
      <c r="C6" s="12"/>
    </row>
    <row r="7" ht="15.75" customHeight="1">
      <c r="A7" s="17"/>
      <c r="B7" s="12"/>
      <c r="C7" s="12"/>
    </row>
    <row r="8" ht="15.75" customHeight="1">
      <c r="A8" s="17"/>
      <c r="B8" s="12"/>
      <c r="C8" s="12"/>
    </row>
    <row r="9" ht="15.75" customHeight="1">
      <c r="A9" s="17"/>
      <c r="B9" s="12"/>
      <c r="C9" s="12"/>
    </row>
    <row r="10" ht="15.75" customHeight="1">
      <c r="A10" s="17"/>
      <c r="B10" s="12"/>
      <c r="C10" s="12"/>
    </row>
    <row r="11" ht="15.75" customHeight="1">
      <c r="A11" s="17"/>
      <c r="B11" s="12"/>
      <c r="C11" s="12"/>
    </row>
    <row r="12" ht="15.75" customHeight="1">
      <c r="A12" s="17"/>
      <c r="B12" s="12"/>
      <c r="C12" s="12"/>
    </row>
    <row r="13" ht="15.75" customHeight="1">
      <c r="A13" s="17"/>
      <c r="B13" s="12"/>
      <c r="C13" s="12"/>
    </row>
    <row r="14" ht="15.75" customHeight="1">
      <c r="A14" s="17"/>
      <c r="B14" s="12"/>
      <c r="C14" s="12"/>
    </row>
    <row r="15" ht="15.75" customHeight="1">
      <c r="A15" s="17"/>
      <c r="B15" s="12"/>
      <c r="C15" s="12"/>
    </row>
    <row r="16" ht="15.75" customHeight="1">
      <c r="A16" s="17"/>
      <c r="B16" s="12"/>
      <c r="C16" s="12"/>
    </row>
    <row r="17" ht="15.75" customHeight="1">
      <c r="A17" s="17"/>
      <c r="B17" s="12"/>
      <c r="C17" s="12"/>
    </row>
    <row r="18" ht="15.75" customHeight="1">
      <c r="A18" s="17"/>
      <c r="B18" s="12"/>
      <c r="C18" s="12"/>
    </row>
    <row r="19" ht="15.75" customHeight="1">
      <c r="A19" s="17"/>
      <c r="B19" s="12"/>
      <c r="C19" s="12"/>
    </row>
    <row r="20" ht="15.75" customHeight="1">
      <c r="A20" s="17"/>
      <c r="B20" s="12"/>
      <c r="C20" s="12"/>
    </row>
    <row r="21" ht="15.75" customHeight="1">
      <c r="A21" s="17"/>
      <c r="B21" s="12"/>
      <c r="C21" s="12"/>
    </row>
    <row r="22" ht="15.75" customHeight="1">
      <c r="A22" s="17"/>
      <c r="B22" s="12"/>
      <c r="C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2" t="s">
        <v>2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5</v>
      </c>
      <c r="C3" s="10" t="s">
        <v>6</v>
      </c>
      <c r="D3" s="15"/>
      <c r="E3" s="15"/>
      <c r="F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1b5S4Xpp4fgZ1ez6cK92QFnVBylqz8jhwxdAyEvwDqUI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12</v>
      </c>
      <c r="D3" s="9" t="s">
        <v>5</v>
      </c>
      <c r="E3" s="23" t="s">
        <v>13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2"/>
      <c r="B6" s="31" t="s">
        <v>16</v>
      </c>
      <c r="C6" s="31" t="s">
        <v>17</v>
      </c>
      <c r="D6" s="31">
        <v>400.0</v>
      </c>
      <c r="E6" s="31">
        <v>400.0</v>
      </c>
      <c r="F6" s="31"/>
      <c r="J6" s="31">
        <v>1.0</v>
      </c>
      <c r="AK6" s="31" t="s">
        <v>18</v>
      </c>
      <c r="AL6" s="32" t="s">
        <v>19</v>
      </c>
    </row>
    <row r="7" ht="15.75" customHeight="1">
      <c r="A7" s="12"/>
      <c r="B7" s="14" t="s">
        <v>20</v>
      </c>
      <c r="C7" s="31" t="s">
        <v>17</v>
      </c>
      <c r="D7" s="31">
        <v>400.0</v>
      </c>
      <c r="E7" s="31">
        <v>400.0</v>
      </c>
      <c r="F7" s="31"/>
      <c r="J7" s="31">
        <v>1.0</v>
      </c>
      <c r="K7" s="12"/>
      <c r="L7" s="12"/>
      <c r="M7" s="12"/>
      <c r="N7" s="12"/>
      <c r="O7" s="12"/>
      <c r="AK7" s="31" t="s">
        <v>21</v>
      </c>
      <c r="AL7" s="32" t="s">
        <v>22</v>
      </c>
    </row>
    <row r="8" ht="15.75" customHeight="1">
      <c r="A8" s="12"/>
      <c r="B8" s="14" t="s">
        <v>23</v>
      </c>
      <c r="C8" s="31" t="s">
        <v>17</v>
      </c>
      <c r="D8" s="31">
        <v>400.0</v>
      </c>
      <c r="E8" s="31">
        <v>400.0</v>
      </c>
      <c r="F8" s="31" t="s">
        <v>24</v>
      </c>
      <c r="J8" s="31">
        <v>1.0</v>
      </c>
      <c r="K8" s="12"/>
      <c r="L8" s="12"/>
      <c r="M8" s="12"/>
      <c r="N8" s="12"/>
      <c r="O8" s="12"/>
      <c r="AL8" s="31"/>
    </row>
    <row r="9" ht="15.75" customHeight="1">
      <c r="A9" s="12"/>
      <c r="B9" s="14" t="s">
        <v>16</v>
      </c>
      <c r="C9" s="14" t="s">
        <v>17</v>
      </c>
      <c r="D9" s="14">
        <v>100.0</v>
      </c>
      <c r="E9" s="14">
        <v>100.0</v>
      </c>
      <c r="F9" s="14" t="s">
        <v>25</v>
      </c>
      <c r="G9" s="12"/>
      <c r="H9" s="12"/>
      <c r="I9" s="12"/>
      <c r="J9" s="14">
        <v>1.0</v>
      </c>
      <c r="K9" s="12"/>
      <c r="L9" s="12"/>
      <c r="M9" s="12"/>
      <c r="N9" s="12"/>
      <c r="O9" s="12"/>
    </row>
    <row r="10" ht="15.75" customHeight="1">
      <c r="A10" s="12"/>
      <c r="B10" s="14" t="s">
        <v>20</v>
      </c>
      <c r="C10" s="14" t="s">
        <v>26</v>
      </c>
      <c r="D10" s="14">
        <v>600.0</v>
      </c>
      <c r="E10" s="14">
        <v>600.0</v>
      </c>
      <c r="F10" s="14" t="s">
        <v>25</v>
      </c>
      <c r="G10" s="12"/>
      <c r="H10" s="12"/>
      <c r="I10" s="12"/>
      <c r="J10" s="14">
        <v>1.0</v>
      </c>
      <c r="K10" s="12"/>
      <c r="L10" s="12"/>
      <c r="M10" s="12"/>
      <c r="N10" s="12"/>
      <c r="O10" s="12"/>
    </row>
    <row r="11" ht="15.75" customHeight="1">
      <c r="A11" s="12"/>
      <c r="B11" s="14" t="s">
        <v>23</v>
      </c>
      <c r="C11" s="14" t="s">
        <v>26</v>
      </c>
      <c r="D11" s="14">
        <v>400.0</v>
      </c>
      <c r="E11" s="14">
        <v>400.0</v>
      </c>
      <c r="F11" s="14" t="s">
        <v>25</v>
      </c>
      <c r="G11" s="12"/>
      <c r="H11" s="12"/>
      <c r="I11" s="12"/>
      <c r="J11" s="14">
        <v>1.0</v>
      </c>
      <c r="K11" s="12"/>
      <c r="L11" s="12"/>
      <c r="M11" s="12"/>
      <c r="N11" s="12"/>
      <c r="O11" s="12"/>
    </row>
    <row r="12" ht="15.75" customHeight="1">
      <c r="A12" s="12"/>
      <c r="B12" s="14" t="s">
        <v>27</v>
      </c>
      <c r="C12" s="14" t="s">
        <v>28</v>
      </c>
      <c r="D12" s="14">
        <v>100.0</v>
      </c>
      <c r="E12" s="14">
        <v>100.0</v>
      </c>
      <c r="F12" s="14" t="s">
        <v>25</v>
      </c>
      <c r="G12" s="12"/>
      <c r="H12" s="12"/>
      <c r="I12" s="12"/>
      <c r="J12" s="14">
        <v>1.0</v>
      </c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1-RJhOo2E5PhyqaiMEjsPi8RpfYBuiSqE9fj_-bRpkKw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30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2"/>
      <c r="B6" s="14" t="s">
        <v>16</v>
      </c>
      <c r="C6" s="14" t="s">
        <v>17</v>
      </c>
      <c r="D6" s="14">
        <v>100.0</v>
      </c>
      <c r="E6" s="14">
        <v>100.0</v>
      </c>
      <c r="O6" s="31">
        <v>1.0</v>
      </c>
    </row>
    <row r="7" ht="15.75" customHeight="1">
      <c r="A7" s="12"/>
      <c r="B7" s="14" t="s">
        <v>20</v>
      </c>
      <c r="C7" s="14" t="s">
        <v>26</v>
      </c>
      <c r="D7" s="14">
        <v>600.0</v>
      </c>
      <c r="E7" s="14">
        <v>600.0</v>
      </c>
      <c r="F7" s="12"/>
      <c r="G7" s="12"/>
      <c r="H7" s="12"/>
      <c r="I7" s="12"/>
      <c r="J7" s="12"/>
      <c r="K7" s="12"/>
      <c r="L7" s="12"/>
      <c r="M7" s="12"/>
      <c r="N7" s="12"/>
      <c r="O7" s="14">
        <v>1.0</v>
      </c>
    </row>
    <row r="8" ht="15.75" customHeight="1">
      <c r="A8" s="12"/>
      <c r="B8" s="14" t="s">
        <v>23</v>
      </c>
      <c r="C8" s="14" t="s">
        <v>26</v>
      </c>
      <c r="D8" s="14">
        <v>400.0</v>
      </c>
      <c r="E8" s="14">
        <v>400.0</v>
      </c>
      <c r="F8" s="12"/>
      <c r="G8" s="12"/>
      <c r="H8" s="12"/>
      <c r="I8" s="12"/>
      <c r="J8" s="12"/>
      <c r="K8" s="12"/>
      <c r="L8" s="12"/>
      <c r="M8" s="12"/>
      <c r="N8" s="12"/>
      <c r="O8" s="14">
        <v>1.0</v>
      </c>
    </row>
    <row r="9" ht="15.75" customHeight="1">
      <c r="A9" s="12"/>
      <c r="B9" s="14" t="s">
        <v>27</v>
      </c>
      <c r="C9" s="14" t="s">
        <v>28</v>
      </c>
      <c r="D9" s="14">
        <v>100.0</v>
      </c>
      <c r="E9" s="14">
        <v>100.0</v>
      </c>
      <c r="F9" s="12"/>
      <c r="G9" s="12"/>
      <c r="H9" s="12"/>
      <c r="I9" s="12"/>
      <c r="J9" s="12"/>
      <c r="K9" s="12"/>
      <c r="L9" s="12"/>
      <c r="M9" s="12"/>
      <c r="N9" s="12"/>
      <c r="O9" s="14">
        <v>1.0</v>
      </c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31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2"/>
      <c r="B6" s="31" t="s">
        <v>32</v>
      </c>
      <c r="E6" s="31" t="b">
        <v>1</v>
      </c>
      <c r="H6" s="31" t="s">
        <v>33</v>
      </c>
      <c r="I6" s="31" t="s">
        <v>18</v>
      </c>
      <c r="J6" s="33">
        <f>TODAY()</f>
        <v>43634</v>
      </c>
      <c r="K6" s="31" t="b">
        <v>0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34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2"/>
      <c r="K6" s="31">
        <v>1.0</v>
      </c>
      <c r="L6" s="31">
        <v>1.0</v>
      </c>
      <c r="BJ6" s="31">
        <v>100.0</v>
      </c>
      <c r="BO6" s="31" t="s">
        <v>17</v>
      </c>
      <c r="BT6" s="31" t="s">
        <v>16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4">
        <v>1.0</v>
      </c>
      <c r="L7" s="14">
        <v>1.0</v>
      </c>
      <c r="M7" s="12"/>
      <c r="N7" s="12"/>
      <c r="O7" s="12"/>
      <c r="BJ7" s="31">
        <v>600.0</v>
      </c>
      <c r="BO7" s="31" t="s">
        <v>26</v>
      </c>
      <c r="BT7" s="31" t="s">
        <v>20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0" t="str">
        <f> VLOOKUP($E$3,'_MasterData'!B4:D1000,3,FALSE)</f>
        <v>1c7aP-E18Fb8lEVGiXac03BLoNVdUNRzodD2Xjn-9pzU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35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4">
        <v>1.0</v>
      </c>
      <c r="K6" s="14">
        <v>1.0</v>
      </c>
      <c r="L6" s="12"/>
      <c r="M6" s="12"/>
      <c r="N6" s="12"/>
      <c r="O6" s="12"/>
      <c r="AE6" s="31">
        <v>400.0</v>
      </c>
      <c r="BJ6" s="31">
        <v>400.0</v>
      </c>
      <c r="BO6" s="31" t="s">
        <v>26</v>
      </c>
      <c r="BS6" s="31" t="s">
        <v>23</v>
      </c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4">
        <v>1.0</v>
      </c>
      <c r="K7" s="14">
        <v>1.0</v>
      </c>
      <c r="L7" s="12"/>
      <c r="M7" s="12"/>
      <c r="N7" s="12"/>
      <c r="O7" s="12"/>
      <c r="AE7" s="31">
        <v>100.0</v>
      </c>
      <c r="BJ7" s="31">
        <v>100.0</v>
      </c>
      <c r="BO7" s="31" t="s">
        <v>28</v>
      </c>
      <c r="BS7" s="31" t="s">
        <v>27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36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4"/>
      <c r="B6" s="14" t="s">
        <v>37</v>
      </c>
      <c r="C6" s="12"/>
      <c r="D6" s="14"/>
      <c r="E6" s="35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38</v>
      </c>
      <c r="D3" s="9" t="s">
        <v>5</v>
      </c>
      <c r="E3" s="23" t="s">
        <v>39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4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4"/>
      <c r="B6" s="14" t="s">
        <v>37</v>
      </c>
      <c r="C6" s="12"/>
      <c r="D6" s="14"/>
      <c r="E6" s="35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38</v>
      </c>
      <c r="D3" s="9" t="s">
        <v>5</v>
      </c>
      <c r="E3" s="23" t="s">
        <v>40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4"/>
      <c r="B6" s="14" t="s">
        <v>41</v>
      </c>
      <c r="C6" s="12"/>
      <c r="D6" s="14"/>
      <c r="E6" s="35"/>
      <c r="F6" s="12"/>
      <c r="G6" s="12"/>
      <c r="H6" s="12"/>
      <c r="I6" s="14">
        <v>1.0</v>
      </c>
      <c r="J6" s="12"/>
      <c r="K6" s="12"/>
      <c r="L6" s="12"/>
      <c r="M6" s="14">
        <v>25.0</v>
      </c>
      <c r="N6" s="12"/>
      <c r="O6" s="12"/>
      <c r="P6" s="31" t="s">
        <v>17</v>
      </c>
      <c r="R6" s="31" t="s">
        <v>16</v>
      </c>
    </row>
    <row r="7" ht="15.75" customHeight="1">
      <c r="A7" s="12"/>
      <c r="B7" s="14" t="s">
        <v>42</v>
      </c>
      <c r="C7" s="12"/>
      <c r="D7" s="12"/>
      <c r="E7" s="12"/>
      <c r="F7" s="12"/>
      <c r="G7" s="12"/>
      <c r="H7" s="12"/>
      <c r="I7" s="14">
        <v>1.0</v>
      </c>
      <c r="J7" s="12"/>
      <c r="K7" s="12"/>
      <c r="L7" s="12"/>
      <c r="M7" s="14">
        <v>25.0</v>
      </c>
      <c r="N7" s="12"/>
      <c r="O7" s="12"/>
      <c r="P7" s="31" t="s">
        <v>17</v>
      </c>
      <c r="R7" s="31" t="s">
        <v>16</v>
      </c>
    </row>
    <row r="8" ht="15.75" customHeight="1">
      <c r="A8" s="12"/>
      <c r="B8" s="14" t="s">
        <v>43</v>
      </c>
      <c r="C8" s="12"/>
      <c r="D8" s="12"/>
      <c r="E8" s="12"/>
      <c r="F8" s="12"/>
      <c r="G8" s="12"/>
      <c r="H8" s="12"/>
      <c r="I8" s="14">
        <v>1.0</v>
      </c>
      <c r="J8" s="12"/>
      <c r="K8" s="12"/>
      <c r="L8" s="12"/>
      <c r="M8" s="14">
        <v>50.0</v>
      </c>
      <c r="N8" s="12"/>
      <c r="O8" s="12"/>
      <c r="P8" s="31" t="s">
        <v>17</v>
      </c>
      <c r="R8" s="31" t="s">
        <v>16</v>
      </c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38</v>
      </c>
      <c r="D3" s="9" t="s">
        <v>5</v>
      </c>
      <c r="E3" s="23" t="s">
        <v>44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4"/>
      <c r="B6" s="14" t="s">
        <v>41</v>
      </c>
      <c r="C6" s="12"/>
      <c r="D6" s="14"/>
      <c r="E6" s="35"/>
      <c r="F6" s="12"/>
      <c r="G6" s="12"/>
      <c r="H6" s="12"/>
      <c r="I6" s="14">
        <v>1.0</v>
      </c>
      <c r="J6" s="12"/>
      <c r="K6" s="12"/>
      <c r="L6" s="12"/>
      <c r="M6" s="14">
        <v>150.0</v>
      </c>
      <c r="N6" s="12"/>
      <c r="O6" s="12"/>
      <c r="P6" s="31" t="s">
        <v>26</v>
      </c>
      <c r="R6" s="31" t="s">
        <v>20</v>
      </c>
    </row>
    <row r="7" ht="15.75" customHeight="1">
      <c r="A7" s="12"/>
      <c r="B7" s="14" t="s">
        <v>42</v>
      </c>
      <c r="C7" s="12"/>
      <c r="D7" s="12"/>
      <c r="E7" s="12"/>
      <c r="F7" s="12"/>
      <c r="G7" s="12"/>
      <c r="H7" s="12"/>
      <c r="I7" s="14">
        <v>1.0</v>
      </c>
      <c r="J7" s="12"/>
      <c r="K7" s="12"/>
      <c r="L7" s="12"/>
      <c r="M7" s="14">
        <v>450.0</v>
      </c>
      <c r="N7" s="12"/>
      <c r="O7" s="12"/>
      <c r="P7" s="31" t="s">
        <v>26</v>
      </c>
      <c r="R7" s="31" t="s">
        <v>20</v>
      </c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45</v>
      </c>
      <c r="D3" s="9" t="s">
        <v>5</v>
      </c>
      <c r="E3" s="23" t="s">
        <v>46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 t="str">
        <f>IFERROR(__xludf.DUMMYFUNCTION("""COMPUTED_VALUE"""),"Accounts")</f>
        <v>Accounts</v>
      </c>
      <c r="D5" s="29" t="str">
        <f>IFERROR(__xludf.DUMMYFUNCTION("""COMPUTED_VALUE"""),"From")</f>
        <v>From</v>
      </c>
      <c r="E5" s="29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29" t="str">
        <f>IFERROR(__xludf.DUMMYFUNCTION("""COMPUTED_VALUE"""),"TradeDate")</f>
        <v>TradeDate</v>
      </c>
      <c r="H5" s="29" t="str">
        <f>IFERROR(__xludf.DUMMYFUNCTION("""COMPUTED_VALUE"""),"All")</f>
        <v>All</v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47</v>
      </c>
      <c r="C6" s="38" t="s">
        <v>48</v>
      </c>
      <c r="D6" s="39">
        <f t="shared" ref="D6:E6" si="1">TODAY()</f>
        <v>43634</v>
      </c>
      <c r="E6" s="39">
        <f t="shared" si="1"/>
        <v>43634</v>
      </c>
      <c r="F6" s="40" t="s">
        <v>49</v>
      </c>
      <c r="G6" s="40" t="s">
        <v>50</v>
      </c>
      <c r="H6" s="40" t="s">
        <v>49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#N/A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45</v>
      </c>
      <c r="D3" s="9" t="s">
        <v>5</v>
      </c>
      <c r="E3" s="23" t="s">
        <v>51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41</v>
      </c>
      <c r="C6" s="38"/>
      <c r="D6" s="37" t="s">
        <v>52</v>
      </c>
      <c r="E6" s="38"/>
      <c r="F6" s="38"/>
      <c r="G6" s="38"/>
      <c r="H6" s="38"/>
      <c r="I6" s="38"/>
      <c r="J6" s="38"/>
      <c r="K6" s="38" t="s">
        <v>53</v>
      </c>
      <c r="L6" s="38"/>
      <c r="M6" s="38"/>
      <c r="N6" s="38"/>
      <c r="O6" s="38"/>
      <c r="P6" s="38"/>
      <c r="Q6" s="38"/>
      <c r="R6" s="38"/>
      <c r="S6" s="38"/>
      <c r="T6" s="41"/>
      <c r="U6" s="41"/>
      <c r="V6" s="42">
        <v>100.0</v>
      </c>
      <c r="W6" s="41"/>
      <c r="X6" s="41"/>
      <c r="Y6" s="41"/>
      <c r="Z6" s="41"/>
      <c r="AA6" s="41"/>
      <c r="AB6" s="41" t="s">
        <v>16</v>
      </c>
      <c r="AC6" s="41"/>
      <c r="AD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42</v>
      </c>
      <c r="C7" s="41"/>
      <c r="D7" s="41" t="s">
        <v>52</v>
      </c>
      <c r="E7" s="41"/>
      <c r="F7" s="41"/>
      <c r="G7" s="41"/>
      <c r="H7" s="41"/>
      <c r="I7" s="41"/>
      <c r="J7" s="41"/>
      <c r="K7" s="41" t="s">
        <v>53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2">
        <v>100.0</v>
      </c>
      <c r="W7" s="41"/>
      <c r="X7" s="41"/>
      <c r="Y7" s="41"/>
      <c r="Z7" s="41"/>
      <c r="AA7" s="41"/>
      <c r="AB7" s="41" t="s">
        <v>16</v>
      </c>
      <c r="AC7" s="41"/>
      <c r="AD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43</v>
      </c>
      <c r="C8" s="41"/>
      <c r="D8" s="41" t="s">
        <v>52</v>
      </c>
      <c r="E8" s="41"/>
      <c r="F8" s="41"/>
      <c r="G8" s="41"/>
      <c r="H8" s="41"/>
      <c r="I8" s="41"/>
      <c r="J8" s="41"/>
      <c r="K8" s="41" t="s">
        <v>53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2">
        <v>200.0</v>
      </c>
      <c r="W8" s="41"/>
      <c r="X8" s="41"/>
      <c r="Y8" s="41"/>
      <c r="Z8" s="41"/>
      <c r="AA8" s="41"/>
      <c r="AB8" s="41" t="s">
        <v>16</v>
      </c>
      <c r="AC8" s="41"/>
      <c r="AD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41</v>
      </c>
      <c r="C9" s="41"/>
      <c r="D9" s="41" t="s">
        <v>52</v>
      </c>
      <c r="E9" s="41"/>
      <c r="F9" s="41"/>
      <c r="G9" s="41"/>
      <c r="H9" s="41"/>
      <c r="I9" s="41"/>
      <c r="J9" s="41"/>
      <c r="K9" s="41" t="s">
        <v>53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2">
        <v>100.0</v>
      </c>
      <c r="W9" s="41"/>
      <c r="X9" s="41"/>
      <c r="Y9" s="41"/>
      <c r="Z9" s="41"/>
      <c r="AA9" s="41"/>
      <c r="AB9" s="41" t="s">
        <v>20</v>
      </c>
      <c r="AC9" s="41"/>
      <c r="AD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 t="s">
        <v>42</v>
      </c>
      <c r="C10" s="41"/>
      <c r="D10" s="41" t="s">
        <v>52</v>
      </c>
      <c r="E10" s="41"/>
      <c r="F10" s="41"/>
      <c r="G10" s="41"/>
      <c r="H10" s="41"/>
      <c r="I10" s="41"/>
      <c r="J10" s="41"/>
      <c r="K10" s="41" t="s">
        <v>53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2">
        <v>300.0</v>
      </c>
      <c r="W10" s="41"/>
      <c r="X10" s="41"/>
      <c r="Y10" s="41"/>
      <c r="Z10" s="41"/>
      <c r="AA10" s="41"/>
      <c r="AB10" s="41" t="s">
        <v>20</v>
      </c>
      <c r="AC10" s="41"/>
      <c r="AD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 t="s">
        <v>24</v>
      </c>
      <c r="C11" s="41"/>
      <c r="D11" s="41" t="s">
        <v>52</v>
      </c>
      <c r="E11" s="41"/>
      <c r="F11" s="41"/>
      <c r="G11" s="41"/>
      <c r="H11" s="41"/>
      <c r="I11" s="41"/>
      <c r="J11" s="41"/>
      <c r="K11" s="41" t="s">
        <v>53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2">
        <v>400.0</v>
      </c>
      <c r="W11" s="41"/>
      <c r="X11" s="41"/>
      <c r="Y11" s="41"/>
      <c r="Z11" s="41"/>
      <c r="AA11" s="41"/>
      <c r="AB11" s="41" t="s">
        <v>23</v>
      </c>
      <c r="AC11" s="41"/>
      <c r="AD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41" t="s">
        <v>41</v>
      </c>
      <c r="C12" s="41"/>
      <c r="D12" s="41" t="s">
        <v>52</v>
      </c>
      <c r="E12" s="41"/>
      <c r="F12" s="41"/>
      <c r="G12" s="41"/>
      <c r="H12" s="41"/>
      <c r="I12" s="41"/>
      <c r="J12" s="41"/>
      <c r="K12" s="41" t="s">
        <v>53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2">
        <v>25.0</v>
      </c>
      <c r="W12" s="41"/>
      <c r="X12" s="41"/>
      <c r="Y12" s="41"/>
      <c r="Z12" s="41"/>
      <c r="AA12" s="41"/>
      <c r="AB12" s="41" t="s">
        <v>16</v>
      </c>
      <c r="AC12" s="41"/>
      <c r="AD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41" t="s">
        <v>42</v>
      </c>
      <c r="C13" s="41"/>
      <c r="D13" s="41" t="s">
        <v>52</v>
      </c>
      <c r="E13" s="41"/>
      <c r="F13" s="41"/>
      <c r="G13" s="41"/>
      <c r="H13" s="41"/>
      <c r="I13" s="41"/>
      <c r="J13" s="41"/>
      <c r="K13" s="41" t="s">
        <v>53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2">
        <v>25.0</v>
      </c>
      <c r="W13" s="41"/>
      <c r="X13" s="41"/>
      <c r="Y13" s="41"/>
      <c r="Z13" s="41"/>
      <c r="AA13" s="41"/>
      <c r="AB13" s="41" t="s">
        <v>16</v>
      </c>
      <c r="AC13" s="41"/>
      <c r="AD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41"/>
      <c r="B14" s="41" t="s">
        <v>43</v>
      </c>
      <c r="C14" s="41"/>
      <c r="D14" s="41" t="s">
        <v>52</v>
      </c>
      <c r="E14" s="41"/>
      <c r="F14" s="41"/>
      <c r="G14" s="41"/>
      <c r="H14" s="41"/>
      <c r="I14" s="41"/>
      <c r="J14" s="41"/>
      <c r="K14" s="41" t="s">
        <v>53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2">
        <v>50.0</v>
      </c>
      <c r="W14" s="41"/>
      <c r="X14" s="41"/>
      <c r="Y14" s="41"/>
      <c r="Z14" s="41"/>
      <c r="AA14" s="41"/>
      <c r="AB14" s="41" t="s">
        <v>16</v>
      </c>
      <c r="AC14" s="41"/>
      <c r="AD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</row>
    <row r="15" ht="15.75" customHeight="1">
      <c r="A15" s="41"/>
      <c r="B15" s="43" t="s">
        <v>41</v>
      </c>
      <c r="C15" s="41"/>
      <c r="D15" s="43" t="s">
        <v>52</v>
      </c>
      <c r="E15" s="41"/>
      <c r="F15" s="41"/>
      <c r="G15" s="41"/>
      <c r="H15" s="41"/>
      <c r="I15" s="41"/>
      <c r="J15" s="41"/>
      <c r="K15" s="43" t="s">
        <v>53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3">
        <v>150.0</v>
      </c>
      <c r="W15" s="41"/>
      <c r="X15" s="41"/>
      <c r="Y15" s="41"/>
      <c r="Z15" s="41"/>
      <c r="AA15" s="41"/>
      <c r="AB15" s="43" t="s">
        <v>20</v>
      </c>
      <c r="AC15" s="41"/>
      <c r="AD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</row>
    <row r="16" ht="15.75" customHeight="1">
      <c r="A16" s="41"/>
      <c r="B16" s="43" t="s">
        <v>42</v>
      </c>
      <c r="C16" s="41"/>
      <c r="D16" s="43" t="s">
        <v>52</v>
      </c>
      <c r="E16" s="41"/>
      <c r="F16" s="41"/>
      <c r="G16" s="41"/>
      <c r="H16" s="41"/>
      <c r="I16" s="41"/>
      <c r="J16" s="41"/>
      <c r="K16" s="43" t="s">
        <v>53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3">
        <v>450.0</v>
      </c>
      <c r="W16" s="41"/>
      <c r="X16" s="41"/>
      <c r="Y16" s="41"/>
      <c r="Z16" s="41"/>
      <c r="AA16" s="41"/>
      <c r="AB16" s="43" t="s">
        <v>20</v>
      </c>
      <c r="AC16" s="41"/>
      <c r="AD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12"/>
      <c r="B2" s="12"/>
      <c r="C2" s="12"/>
      <c r="D2" s="12"/>
      <c r="E2" s="12"/>
      <c r="F2" s="12"/>
      <c r="G2" s="12"/>
      <c r="H2" s="12"/>
      <c r="I2" s="12"/>
      <c r="J2" s="21" t="str">
        <f> VLOOKUP($E$3,'_MasterData'!B4:D1000,3,FALSE)</f>
        <v>1lI4loUxqzsE3IjuxIjsVY3cB4J_eTKFPPDuXngut4FE</v>
      </c>
      <c r="K2" s="21"/>
      <c r="L2" s="12"/>
      <c r="M2" s="12"/>
      <c r="N2" s="12"/>
      <c r="O2" s="12"/>
    </row>
    <row r="3" ht="15.75" customHeight="1">
      <c r="A3" s="22"/>
      <c r="B3" s="9" t="s">
        <v>3</v>
      </c>
      <c r="C3" s="23" t="s">
        <v>29</v>
      </c>
      <c r="D3" s="9" t="s">
        <v>5</v>
      </c>
      <c r="E3" s="23" t="s">
        <v>54</v>
      </c>
      <c r="F3" s="9" t="s">
        <v>14</v>
      </c>
      <c r="G3" s="24" t="s">
        <v>15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4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4"/>
      <c r="B6" s="14" t="b">
        <v>1</v>
      </c>
      <c r="C6" s="12"/>
      <c r="D6" s="14"/>
      <c r="E6" s="35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15.7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15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