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FundDefaultRule" sheetId="11" r:id="rId13"/>
    <sheet state="visible" name="EnterAllocatePreference" sheetId="12" r:id="rId14"/>
    <sheet state="visible" name="CreateDoneAwayOrder1" sheetId="13" r:id="rId15"/>
    <sheet state="visible" name="SetMFPrefFundDefaultRule1" sheetId="14" r:id="rId16"/>
    <sheet state="visible" name="CheckAllocatedTaxlots" sheetId="15" r:id="rId17"/>
    <sheet state="visible" name="SetMFPrefAccountValues" sheetId="16" r:id="rId18"/>
    <sheet state="visible" name="SetMFPrefAccountValues1" sheetId="17" r:id="rId19"/>
    <sheet state="visible" name="SetMFPrefGeneralRule" sheetId="18" r:id="rId20"/>
    <sheet state="visible" name="SetMFPrefGeneralRule1" sheetId="19" r:id="rId21"/>
    <sheet state="visible" name="SelectUnallocatedGroup" sheetId="20" r:id="rId22"/>
  </sheets>
  <definedNames/>
  <calcPr/>
</workbook>
</file>

<file path=xl/sharedStrings.xml><?xml version="1.0" encoding="utf-8"?>
<sst xmlns="http://schemas.openxmlformats.org/spreadsheetml/2006/main" count="207" uniqueCount="52">
  <si>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</si>
  <si>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</si>
  <si>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</si>
  <si>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</si>
  <si>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</si>
  <si>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</si>
  <si>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</si>
  <si>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</si>
  <si>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</si>
  <si>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</si>
  <si>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</si>
  <si>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</si>
  <si>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</si>
  <si>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</si>
  <si>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</si>
  <si>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</si>
  <si>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BP H9</t>
  </si>
  <si>
    <t>Buy</t>
  </si>
  <si>
    <t>Allocation1</t>
  </si>
  <si>
    <t>Allocation3</t>
  </si>
  <si>
    <t>Allocation2</t>
  </si>
  <si>
    <t>Allocation4</t>
  </si>
  <si>
    <t>PricingInput</t>
  </si>
  <si>
    <t>MSFT</t>
  </si>
  <si>
    <t>DailyValuation</t>
  </si>
  <si>
    <t>GetDailyCash</t>
  </si>
  <si>
    <t>UpdateDailyCash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</si>
  <si>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</si>
  <si>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</si>
  <si>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</si>
  <si>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</si>
  <si>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</si>
  <si>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</si>
  <si>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</si>
  <si>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</si>
  <si>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SetMFPrefFundDefaultRule</t>
  </si>
  <si>
    <t>NewMF</t>
  </si>
  <si>
    <t>Trade Quantity</t>
  </si>
  <si>
    <t>Prorata</t>
  </si>
  <si>
    <t>Allocation1,Allocation3</t>
  </si>
  <si>
    <t>EnterAllocatePreference</t>
  </si>
  <si>
    <t>Unallocated</t>
  </si>
  <si>
    <t>NewMF1</t>
  </si>
  <si>
    <t>Allocation2,Allocation4</t>
  </si>
  <si>
    <t>CheckAllocatedTaxlots</t>
  </si>
  <si>
    <t>M</t>
  </si>
  <si>
    <t>SetMFPrefAccountValues</t>
  </si>
  <si>
    <t>SetMFPrefGeneralRule</t>
  </si>
  <si>
    <t>Include</t>
  </si>
  <si>
    <t>CMEE</t>
  </si>
  <si>
    <t>Future</t>
  </si>
  <si>
    <t>SelectUnallocatedGroup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</si>
</sst>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4" fontId="14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4" fontId="14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400.0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 t="shared" ref="N6:N9" si="1">TODAY()-1</f>
        <v>45159</v>
      </c>
      <c r="O6" s="8"/>
    </row>
    <row r="7" ht="15.75" customHeight="1">
      <c r="A7" s="8"/>
      <c r="B7" s="31" t="s">
        <v>16</v>
      </c>
      <c r="C7" s="32" t="s">
        <v>17</v>
      </c>
      <c r="D7" s="34">
        <v>800.0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5">
        <f t="shared" si="1"/>
        <v>45159</v>
      </c>
      <c r="O7" s="8"/>
    </row>
    <row r="8" ht="15.75" customHeight="1">
      <c r="A8" s="8"/>
      <c r="B8" s="31" t="s">
        <v>16</v>
      </c>
      <c r="C8" s="32" t="s">
        <v>17</v>
      </c>
      <c r="D8" s="34">
        <v>600.0</v>
      </c>
      <c r="E8" s="32"/>
      <c r="F8" s="32" t="s">
        <v>20</v>
      </c>
      <c r="G8" s="32"/>
      <c r="H8" s="32"/>
      <c r="I8" s="32"/>
      <c r="J8" s="34">
        <v>1.0</v>
      </c>
      <c r="K8" s="32"/>
      <c r="L8" s="32"/>
      <c r="M8" s="32"/>
      <c r="N8" s="35">
        <f t="shared" si="1"/>
        <v>45159</v>
      </c>
      <c r="O8" s="8"/>
    </row>
    <row r="9" ht="15.75" customHeight="1">
      <c r="A9" s="8"/>
      <c r="B9" s="31" t="s">
        <v>16</v>
      </c>
      <c r="C9" s="32" t="s">
        <v>17</v>
      </c>
      <c r="D9" s="34">
        <v>1400.0</v>
      </c>
      <c r="E9" s="32"/>
      <c r="F9" s="32" t="s">
        <v>21</v>
      </c>
      <c r="G9" s="32"/>
      <c r="H9" s="32"/>
      <c r="I9" s="32"/>
      <c r="J9" s="34">
        <v>1.0</v>
      </c>
      <c r="K9" s="32"/>
      <c r="L9" s="32"/>
      <c r="M9" s="32"/>
      <c r="N9" s="35">
        <f t="shared" si="1"/>
        <v>45159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23</v>
      </c>
      <c r="C6" s="34">
        <v>1.0</v>
      </c>
      <c r="D6" s="36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5">
        <f>TODAY()-1</f>
        <v>45159</v>
      </c>
      <c r="C6" s="35">
        <f>TODAY()</f>
        <v>45160</v>
      </c>
      <c r="D6" s="36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18</v>
      </c>
      <c r="C6" s="32" t="s">
        <v>27</v>
      </c>
      <c r="D6" s="33">
        <v>9600.0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27</v>
      </c>
      <c r="D7" s="34">
        <v>14200.0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27</v>
      </c>
      <c r="D8" s="34">
        <v>7400.0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27</v>
      </c>
      <c r="D9" s="34">
        <v>10600.0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b">
        <v>1</v>
      </c>
      <c r="C6" s="32"/>
      <c r="D6" s="36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8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32"/>
      <c r="D6" s="36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2" t="s">
        <v>33</v>
      </c>
      <c r="D6" s="39" t="s">
        <v>34</v>
      </c>
      <c r="E6" s="32"/>
      <c r="F6" s="32" t="s">
        <v>31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32" t="s">
        <v>36</v>
      </c>
      <c r="D6" s="40" t="s">
        <v>37</v>
      </c>
      <c r="E6" s="32"/>
      <c r="F6" s="41" t="s">
        <v>38</v>
      </c>
      <c r="G6" s="42" t="s">
        <v>39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31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16</v>
      </c>
      <c r="C6" s="32" t="s">
        <v>17</v>
      </c>
      <c r="D6" s="33">
        <v>125.0</v>
      </c>
      <c r="E6" s="32"/>
      <c r="F6" s="32" t="s">
        <v>41</v>
      </c>
      <c r="G6" s="32"/>
      <c r="H6" s="32"/>
      <c r="I6" s="32"/>
      <c r="J6" s="34">
        <v>11.0</v>
      </c>
      <c r="K6" s="32"/>
      <c r="L6" s="32"/>
      <c r="M6" s="32"/>
      <c r="N6" s="35">
        <f>TODAY()</f>
        <v>45160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44" t="s">
        <v>42</v>
      </c>
      <c r="D6" s="40" t="s">
        <v>37</v>
      </c>
      <c r="E6" s="32"/>
      <c r="F6" s="41" t="s">
        <v>38</v>
      </c>
      <c r="G6" s="45" t="s">
        <v>43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6">
        <v>3.23125E7</v>
      </c>
      <c r="C6" s="46">
        <v>3.23125E7</v>
      </c>
      <c r="D6" s="46">
        <v>3.23125E7</v>
      </c>
      <c r="E6" s="46">
        <v>3.23125E7</v>
      </c>
      <c r="F6" s="47" t="s">
        <v>45</v>
      </c>
      <c r="G6" s="32"/>
      <c r="H6" s="32"/>
      <c r="I6" s="32"/>
      <c r="J6" s="32"/>
      <c r="K6" s="32"/>
      <c r="L6" s="32"/>
      <c r="M6" s="32"/>
      <c r="N6" s="32"/>
      <c r="O6" s="32" t="s">
        <v>19</v>
      </c>
      <c r="P6" s="32"/>
      <c r="Q6" s="32"/>
      <c r="R6" s="48">
        <v>47.0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6">
        <v>2.6125E7</v>
      </c>
      <c r="C7" s="46">
        <v>2.6125E7</v>
      </c>
      <c r="D7" s="46">
        <v>2.6125E7</v>
      </c>
      <c r="E7" s="46">
        <v>2.6125E7</v>
      </c>
      <c r="F7" s="47" t="s">
        <v>45</v>
      </c>
      <c r="G7" s="32"/>
      <c r="H7" s="32"/>
      <c r="I7" s="32"/>
      <c r="J7" s="32"/>
      <c r="K7" s="32"/>
      <c r="L7" s="32"/>
      <c r="M7" s="32"/>
      <c r="N7" s="32"/>
      <c r="O7" s="32" t="s">
        <v>21</v>
      </c>
      <c r="P7" s="32"/>
      <c r="Q7" s="32"/>
      <c r="R7" s="48">
        <v>38.0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6">
        <v>1.65E7</v>
      </c>
      <c r="C8" s="46">
        <v>1.65E7</v>
      </c>
      <c r="D8" s="46">
        <v>1.65E7</v>
      </c>
      <c r="E8" s="46">
        <v>1.65E7</v>
      </c>
      <c r="F8" s="47" t="s">
        <v>45</v>
      </c>
      <c r="G8" s="32"/>
      <c r="H8" s="32"/>
      <c r="I8" s="32"/>
      <c r="J8" s="32"/>
      <c r="K8" s="32"/>
      <c r="L8" s="32"/>
      <c r="M8" s="32"/>
      <c r="N8" s="32"/>
      <c r="O8" s="32" t="s">
        <v>18</v>
      </c>
      <c r="P8" s="32"/>
      <c r="Q8" s="32"/>
      <c r="R8" s="48">
        <v>24.0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6">
        <v>1.1E7</v>
      </c>
      <c r="C9" s="46">
        <v>1.1E7</v>
      </c>
      <c r="D9" s="46">
        <v>1.1E7</v>
      </c>
      <c r="E9" s="46">
        <v>1.1E7</v>
      </c>
      <c r="F9" s="47" t="s">
        <v>45</v>
      </c>
      <c r="G9" s="32"/>
      <c r="H9" s="32"/>
      <c r="I9" s="32"/>
      <c r="J9" s="32"/>
      <c r="K9" s="32"/>
      <c r="L9" s="32"/>
      <c r="M9" s="32"/>
      <c r="N9" s="32"/>
      <c r="O9" s="32" t="s">
        <v>20</v>
      </c>
      <c r="P9" s="32"/>
      <c r="Q9" s="32"/>
      <c r="R9" s="48">
        <v>16.0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31</v>
      </c>
      <c r="C6" s="8" t="s">
        <v>36</v>
      </c>
      <c r="D6" s="49" t="s">
        <v>18</v>
      </c>
      <c r="E6" s="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31</v>
      </c>
      <c r="C7" s="8" t="s">
        <v>36</v>
      </c>
      <c r="D7" s="8" t="s">
        <v>19</v>
      </c>
      <c r="E7" s="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32" t="s">
        <v>42</v>
      </c>
      <c r="D6" s="36" t="s">
        <v>20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42</v>
      </c>
      <c r="D7" s="32" t="s">
        <v>21</v>
      </c>
      <c r="E7" s="34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32" t="s">
        <v>36</v>
      </c>
      <c r="D6" s="36" t="s">
        <v>48</v>
      </c>
      <c r="E6" s="32" t="s">
        <v>49</v>
      </c>
      <c r="F6" s="32" t="s">
        <v>48</v>
      </c>
      <c r="G6" s="32" t="s">
        <v>50</v>
      </c>
      <c r="H6" s="32"/>
      <c r="I6" s="32"/>
      <c r="J6" s="32" t="s">
        <v>48</v>
      </c>
      <c r="K6" s="41" t="s">
        <v>17</v>
      </c>
      <c r="L6" s="50" t="b">
        <v>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31</v>
      </c>
      <c r="C6" s="32" t="s">
        <v>42</v>
      </c>
      <c r="D6" s="36" t="s">
        <v>48</v>
      </c>
      <c r="E6" s="32" t="s">
        <v>49</v>
      </c>
      <c r="F6" s="32" t="s">
        <v>48</v>
      </c>
      <c r="G6" s="32" t="s">
        <v>50</v>
      </c>
      <c r="H6" s="32"/>
      <c r="I6" s="32"/>
      <c r="J6" s="32" t="s">
        <v>48</v>
      </c>
      <c r="K6" s="41" t="s">
        <v>17</v>
      </c>
      <c r="L6" s="50" t="b">
        <v>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16</v>
      </c>
      <c r="C6" s="32" t="s">
        <v>17</v>
      </c>
      <c r="D6" s="33">
        <v>125.0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