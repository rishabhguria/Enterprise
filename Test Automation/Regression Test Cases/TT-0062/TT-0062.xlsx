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CreateDoneAwayOrder" sheetId="5" r:id="rId7"/>
    <sheet state="visible" name="CheckPortfolioManagement" sheetId="6" r:id="rId8"/>
    <sheet state="visible" name="PricingInput" sheetId="7" r:id="rId9"/>
    <sheet state="visible" name="CreateDoneAwayOrder1" sheetId="8" r:id="rId10"/>
    <sheet state="visible" name="VerifyOrder" sheetId="9" r:id="rId11"/>
    <sheet state="visible" name="GetDataAllocation" sheetId="10" r:id="rId12"/>
    <sheet state="visible" name="CheckAllocatedGroups" sheetId="11" r:id="rId13"/>
    <sheet state="visible" name="CheckPortfolioManagement1" sheetId="12" r:id="rId14"/>
  </sheets>
  <definedNames/>
  <calcPr/>
</workbook>
</file>

<file path=xl/sharedStrings.xml><?xml version="1.0" encoding="utf-8"?>
<sst xmlns="http://schemas.openxmlformats.org/spreadsheetml/2006/main" count="290" uniqueCount="61">
  <si>
    <t>Modules Info</t>
  </si>
  <si>
    <t>Modules</t>
  </si>
  <si>
    <t>Settings</t>
  </si>
  <si>
    <t>Module Step Setting File</t>
  </si>
  <si>
    <t>1j0XTqylCAyEpn_j9vfFi3Z_-jq412Z7RTqmw5bXru1U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</si>
  <si>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</si>
  <si>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</si>
  <si>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</si>
  <si>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</si>
  <si>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</si>
  <si>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</si>
  <si>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</si>
  <si>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</si>
  <si>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</si>
  <si>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</si>
  <si>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</si>
  <si>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Account</t>
  </si>
  <si>
    <t>TradingTicket</t>
  </si>
  <si>
    <t>CreateDoneAwayOrder</t>
  </si>
  <si>
    <t>AAPL</t>
  </si>
  <si>
    <t>Buy</t>
  </si>
  <si>
    <t>Allocation1</t>
  </si>
  <si>
    <t>PortfolioManagement</t>
  </si>
  <si>
    <t>CheckPortfolioManagement</t>
  </si>
  <si>
    <t>NewMF</t>
  </si>
  <si>
    <t>Long</t>
  </si>
  <si>
    <t>APPLE</t>
  </si>
  <si>
    <t>Undefined</t>
  </si>
  <si>
    <t>FIMAT</t>
  </si>
  <si>
    <t>Strategy Unallocated</t>
  </si>
  <si>
    <t>Equity</t>
  </si>
  <si>
    <t>US</t>
  </si>
  <si>
    <t>NASDAQ</t>
  </si>
  <si>
    <t>USD</t>
  </si>
  <si>
    <t>New Hedge</t>
  </si>
  <si>
    <t>Small Cap</t>
  </si>
  <si>
    <t>jpearce</t>
  </si>
  <si>
    <t>MS</t>
  </si>
  <si>
    <t>AAPL US EQUITY</t>
  </si>
  <si>
    <t>None</t>
  </si>
  <si>
    <t>Default</t>
  </si>
  <si>
    <t>test1</t>
  </si>
  <si>
    <t>india</t>
  </si>
  <si>
    <t>test 1</t>
  </si>
  <si>
    <t>Yes</t>
  </si>
  <si>
    <t>PricingInput</t>
  </si>
  <si>
    <t>Sell</t>
  </si>
  <si>
    <t>Blotter</t>
  </si>
  <si>
    <t>VerifyOrder</t>
  </si>
  <si>
    <t xml:space="preserve">jpearce </t>
  </si>
  <si>
    <t>Filled</t>
  </si>
  <si>
    <t>Market</t>
  </si>
  <si>
    <t>Allocation</t>
  </si>
  <si>
    <t>GetDataAllocation</t>
  </si>
  <si>
    <t>Current</t>
  </si>
  <si>
    <t>CheckAllocatedGroups</t>
  </si>
  <si>
    <t>Open</t>
  </si>
  <si>
    <t>M</t>
  </si>
  <si>
    <t>False</t>
  </si>
  <si>
    <t>True</t>
  </si>
  <si>
    <t>Short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</si>
</sst>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###,###,###,###,##0.00#############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  <font>
      <sz val="11.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5" fillId="0" fontId="13" numFmtId="0" xfId="0" applyAlignment="1" applyBorder="1" applyFont="1">
      <alignment vertical="bottom"/>
    </xf>
    <xf borderId="5" fillId="0" fontId="13" numFmtId="3" xfId="0" applyAlignment="1" applyBorder="1" applyFont="1" applyNumberFormat="1">
      <alignment horizontal="right" vertical="bottom"/>
    </xf>
    <xf borderId="5" fillId="0" fontId="13" numFmtId="0" xfId="0" applyAlignment="1" applyBorder="1" applyFont="1">
      <alignment horizontal="right" vertical="bottom"/>
    </xf>
    <xf borderId="5" fillId="0" fontId="13" numFmtId="0" xfId="0" applyAlignment="1" applyBorder="1" applyFont="1">
      <alignment readingOrder="0" vertical="bottom"/>
    </xf>
    <xf borderId="5" fillId="0" fontId="3" numFmtId="0" xfId="0" applyAlignment="1" applyBorder="1" applyFont="1">
      <alignment vertical="bottom"/>
    </xf>
    <xf borderId="5" fillId="0" fontId="13" numFmtId="0" xfId="0" applyAlignment="1" applyBorder="1" applyFont="1">
      <alignment horizontal="right" readingOrder="0" vertical="bottom"/>
    </xf>
    <xf borderId="0" fillId="0" fontId="1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13" numFmtId="0" xfId="0" applyAlignment="1" applyFont="1">
      <alignment horizontal="right" vertical="bottom"/>
    </xf>
    <xf borderId="0" fillId="0" fontId="13" numFmtId="3" xfId="0" applyAlignment="1" applyFont="1" applyNumberFormat="1">
      <alignment horizontal="right" vertical="bottom"/>
    </xf>
    <xf borderId="0" fillId="0" fontId="13" numFmtId="0" xfId="0" applyAlignment="1" applyFont="1">
      <alignment horizontal="center" vertical="bottom"/>
    </xf>
    <xf borderId="5" fillId="0" fontId="5" numFmtId="0" xfId="0" applyAlignment="1" applyBorder="1" applyFont="1">
      <alignment horizontal="right" vertical="bottom"/>
    </xf>
    <xf borderId="5" fillId="0" fontId="3" numFmtId="0" xfId="0" applyAlignment="1" applyBorder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3" xfId="0" applyAlignment="1" applyFont="1" applyNumberFormat="1">
      <alignment horizontal="right" vertical="bottom"/>
    </xf>
    <xf borderId="0" fillId="0" fontId="2" numFmtId="3" xfId="0" applyAlignment="1" applyFont="1" applyNumberFormat="1">
      <alignment readingOrder="0"/>
    </xf>
    <xf borderId="0" fillId="0" fontId="14" numFmtId="0" xfId="0" applyAlignment="1" applyFont="1">
      <alignment vertical="bottom"/>
    </xf>
    <xf borderId="0" fillId="0" fontId="14" numFmtId="164" xfId="0" applyAlignment="1" applyFont="1" applyNumberFormat="1">
      <alignment horizontal="right" vertical="bottom"/>
    </xf>
    <xf borderId="5" fillId="0" fontId="14" numFmtId="164" xfId="0" applyAlignment="1" applyBorder="1" applyFont="1" applyNumberFormat="1">
      <alignment horizontal="right" vertical="bottom"/>
    </xf>
    <xf borderId="5" fillId="0" fontId="5" numFmtId="0" xfId="0" applyAlignment="1" applyBorder="1" applyFont="1">
      <alignment vertical="bottom"/>
    </xf>
    <xf borderId="5" fillId="0" fontId="14" numFmtId="0" xfId="0" applyAlignment="1" applyBorder="1" applyFont="1">
      <alignment vertical="bottom"/>
    </xf>
    <xf borderId="0" fillId="0" fontId="14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13" numFmtId="0" xfId="0" applyAlignment="1" applyFont="1">
      <alignment readingOrder="0" shrinkToFit="0" vertical="bottom" wrapText="0"/>
    </xf>
    <xf borderId="0" fillId="0" fontId="13" numFmtId="3" xfId="0" applyAlignment="1" applyFont="1" applyNumberFormat="1">
      <alignment horizontal="right" readingOrder="0" shrinkToFit="0" vertical="bottom" wrapText="0"/>
    </xf>
    <xf borderId="0" fillId="0" fontId="13" numFmtId="0" xfId="0" applyAlignment="1" applyFont="1">
      <alignment horizontal="right" readingOrder="0" shrinkToFit="0" vertical="bottom" wrapText="0"/>
    </xf>
    <xf borderId="0" fillId="0" fontId="13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5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0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8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4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5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6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7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IFERROR(__xludf.DUMMYFUNCTION("""COMPUTED_VALUE"""),"1UwxdsAO5xYeShwsQjcIwFCmCJ4TG5e0pdbTda5C9Ni8")</f>
        <v>1UwxdsAO5xYeShwsQjcIwFCmCJ4TG5e0pdbTda5C9Ni8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IFERROR(__xludf.DUMMYFUNCTION("""COMPUTED_VALUE"""),"14ShL91t2z_z4pjEMFRSGO-cKRHuWmHiSIRjzX_Qvys0")</f>
        <v>14ShL91t2z_z4pjEMFRSGO-cKRHuWmHiSIRjzX_Qvys0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IFERROR(__xludf.DUMMYFUNCTION("""COMPUTED_VALUE"""),"1XjgKwmzutf0_o28Ts6VmVRIT8fBmEcIhwzHuDT77PY0")</f>
        <v>1XjgKwmzutf0_o28Ts6VmVRIT8fBmEcIhwzHuDT77PY0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IFERROR(__xludf.DUMMYFUNCTION("""COMPUTED_VALUE"""),"1N4Ho-MHhVufhNMfh1YnjgLuTA5wHdrgUytI0nIpGAgU")</f>
        <v>1N4Ho-MHhVufhNMfh1YnjgLuTA5wHdrgUytI0nIpGAgU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IFERROR(__xludf.DUMMYFUNCTION("""COMPUTED_VALUE"""),"1KnL6IlGeWCSJiWyvDA35CAD801GLFmPg0IX6tl2xueg")</f>
        <v>1KnL6IlGeWCSJiWyvDA35CAD801GLFmPg0IX6tl2xueg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IFERROR(__xludf.DUMMYFUNCTION("""COMPUTED_VALUE"""),"1Vt_LrjnJrYNeyFbrPWR2mccROtAbfJ0IUqL_Wlnjozc")</f>
        <v>1Vt_LrjnJrYNeyFbrPWR2mccROtAbfJ0IUqL_Wlnjozc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IFERROR(__xludf.DUMMYFUNCTION("""COMPUTED_VALUE"""),"1_4ZRkd1BLcUVqdTKNYEbvwxBPa5d-wQ8fp3SWuaCy7A")</f>
        <v>1_4ZRkd1BLcUVqdTKNYEbvwxBPa5d-wQ8fp3SWuaCy7A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IFERROR(__xludf.DUMMYFUNCTION("""COMPUTED_VALUE"""),"1Z5WgLneKTh_sh9eMVI6h6MjxHaHvWBqKNUSU7JcMrEw")</f>
        <v>1Z5WgLneKTh_sh9eMVI6h6MjxHaHvWBqKNUSU7JcMrEw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IFERROR(__xludf.DUMMYFUNCTION("""COMPUTED_VALUE"""),"1EGUnde-7rtVt7KhAWLx5-c7imdcnI7BTbH0BYUiRkk0")</f>
        <v>1EGUnde-7rtVt7KhAWLx5-c7imdcnI7BTbH0BYUiRkk0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IFERROR(__xludf.DUMMYFUNCTION("""COMPUTED_VALUE"""),"1voBPiwdXfPZyYmNsKVmA2-kAwnDtFcbCA87sa76dum4")</f>
        <v>1voBPiwdXfPZyYmNsKVmA2-kAwnDtFcbCA87sa76dum4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IFERROR(__xludf.DUMMYFUNCTION("""COMPUTED_VALUE"""),"1ZbDcgCeQpkAKM8Smq6zd36nogNVo-xRaIYmfQtA9UL4")</f>
        <v>1ZbDcgCeQpkAKM8Smq6zd36nogNVo-xRaIYmfQtA9UL4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IFERROR(__xludf.DUMMYFUNCTION("""COMPUTED_VALUE"""),"1sluoFo9SO5FkDshIY4XRUBU75XlWkBbYHraHd-7ST9g")</f>
        <v>1sluoFo9SO5FkDshIY4XRUBU75XlWkBbYHraHd-7ST9g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IFERROR(__xludf.DUMMYFUNCTION("""COMPUTED_VALUE"""),"1AXull1J67Ef-OGrKTmcUfNSyWZ44tBFwGHDEiuV4K6I")</f>
        <v>1AXull1J67Ef-OGrKTmcUfNSyWZ44tBFwGHDEiuV4K6I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IFERROR(__xludf.DUMMYFUNCTION("""COMPUTED_VALUE"""),"1tp0a67Fc8ilOxcv6kVJJ1NPGwgm9edRiLRaXX9e_OkI")</f>
        <v>1tp0a67Fc8ilOxcv6kVJJ1NPGwgm9edRiLRaXX9e_OkI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IFERROR(__xludf.DUMMYFUNCTION("""COMPUTED_VALUE"""),"1HtGttMhZ73FzgJN2ySWB2759VbqKk8jUkzOYmM4w5og")</f>
        <v>1HtGttMhZ73FzgJN2ySWB2759VbqKk8jUkzOYmM4w5og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IFERROR(__xludf.DUMMYFUNCTION("""COMPUTED_VALUE"""),"15QIleRp2-b0IYUI-ehetd2mHyt-4z9syDcieDD2mLxk")</f>
        <v>15QIleRp2-b0IYUI-ehetd2mHyt-4z9syDcieDD2mLxk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IFERROR(__xludf.DUMMYFUNCTION("""COMPUTED_VALUE"""),"17oz5gRqUlS1UN4BHGRtOuPthFZ-IDInTSHds76IppLU")</f>
        <v>17oz5gRqUlS1UN4BHGRtOuPthFZ-IDInTSHds76IppLU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IFERROR(__xludf.DUMMYFUNCTION("""COMPUTED_VALUE"""),"1y2rmoKWRJ1cRiz5LhFrNvh7MxgCR7p_qT0aPh70qR8A")</f>
        <v>1y2rmoKWRJ1cRiz5LhFrNvh7MxgCR7p_qT0aPh70qR8A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IFERROR(__xludf.DUMMYFUNCTION("""COMPUTED_VALUE"""),"1t9Nth6tICUr2n4BxjLmx_IVSI_93_xKyvYiTFrlGCz8")</f>
        <v>1t9Nth6tICUr2n4BxjLmx_IVSI_93_xKyvYiTFrlGCz8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IFERROR(__xludf.DUMMYFUNCTION("""COMPUTED_VALUE"""),"1gGOAdMStsDesMjBSr8g-_5lpVc1kvIy1BnuZTTjh640")</f>
        <v>1gGOAdMStsDesMjBSr8g-_5lpVc1kvIy1BnuZTTjh640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IFERROR(__xludf.DUMMYFUNCTION("""COMPUTED_VALUE"""),"1QiiEz0ySEy6vxI_FQW0Oyptltoie_Q00dftKZnSh6Xo")</f>
        <v>1QiiEz0ySEy6vxI_FQW0Oyptltoie_Q00dftKZnSh6Xo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IFERROR(__xludf.DUMMYFUNCTION("""COMPUTED_VALUE"""),"1oBBieGcGJlG7p695WhgxWMljR6UsqhojEOG3y87RCNA")</f>
        <v>1oBBieGcGJlG7p695WhgxWMljR6UsqhojEOG3y87RCNA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IFERROR(__xludf.DUMMYFUNCTION("""COMPUTED_VALUE"""),"1wduydFX2YVrARw9VzjjawbwipTCTBcRUuzJf4tubZuk")</f>
        <v>1wduydFX2YVrARw9VzjjawbwipTCTBcRUuzJf4tubZuk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IFERROR(__xludf.DUMMYFUNCTION("""COMPUTED_VALUE"""),"1KBzhab8nYOXyv5aSvJP_X5HcdtJfDSEwj6kHJNOyd7g")</f>
        <v>1KBzhab8nYOXyv5aSvJP_X5HcdtJfDSEwj6kHJNOyd7g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IFERROR(__xludf.DUMMYFUNCTION("""COMPUTED_VALUE"""),"1XtDJ7ML3jp88_vzz8ZS2ZKkz67Q7-zPqUij0EbKbbVw")</f>
        <v>1XtDJ7ML3jp88_vzz8ZS2ZKkz67Q7-zPqUij0EbKbbVw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IFERROR(__xludf.DUMMYFUNCTION("""COMPUTED_VALUE"""),"1PBzQjDn-uLpe6lby9ZXs-MQD3z1OdC5dbHW5C5tjNys")</f>
        <v>1PBzQjDn-uLpe6lby9ZXs-MQD3z1OdC5dbHW5C5tjNys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IFERROR(__xludf.DUMMYFUNCTION("""COMPUTED_VALUE"""),"1yETEpR6igPFUxBM62AiBHlKOsmKCMX4j30T8LHnQez4")</f>
        <v>1yETEpR6igPFUxBM62AiBHlKOsmKCMX4j30T8LHnQez4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IFERROR(__xludf.DUMMYFUNCTION("""COMPUTED_VALUE"""),"1D1W6qoo9tkPdR39-aHuoUX0hEX3enZDhH-iIikhQ-d4")</f>
        <v>1D1W6qoo9tkPdR39-aHuoUX0hEX3enZDhH-iIikhQ-d4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IFERROR(__xludf.DUMMYFUNCTION("""COMPUTED_VALUE"""),"14MqHipTdSRMof0ARtfNiV8fv4gK4AF-d3MPVGJbqOOg")</f>
        <v>14MqHipTdSRMof0ARtfNiV8fv4gK4AF-d3MPVGJbqOOg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IFERROR(__xludf.DUMMYFUNCTION("""COMPUTED_VALUE"""),"1kUWbSeRq9Kx5kPYaxJm_KewmivDpsFoMfKu4VV30Pk4")</f>
        <v>1kUWbSeRq9Kx5kPYaxJm_KewmivDpsFoMfKu4VV30Pk4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IFERROR(__xludf.DUMMYFUNCTION("""COMPUTED_VALUE"""),"1RptNgMr45cdFNddv6ho18s5DwPSwPTj9mRVC_7reYCI")</f>
        <v>1RptNgMr45cdFNddv6ho18s5DwPSwPTj9mRVC_7reYCI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IFERROR(__xludf.DUMMYFUNCTION("""COMPUTED_VALUE"""),"1Cq-hHSaleyn2gy_6GB9xJjU_0ugTIVRARiAM0FHa4G4")</f>
        <v>1Cq-hHSaleyn2gy_6GB9xJjU_0ugTIVRARiAM0FHa4G4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IFERROR(__xludf.DUMMYFUNCTION("""COMPUTED_VALUE"""),"1Oq2bmcs_t2fkEsKLzwvjEZy9j_SFxZTCU_MxNUYYftw")</f>
        <v>1Oq2bmcs_t2fkEsKLzwvjEZy9j_SFxZTCU_MxNUYYftw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IFERROR(__xludf.DUMMYFUNCTION("""COMPUTED_VALUE"""),"1iHIPELmTNvhvWXMn6bOxUFX6JiD1ejHId3xi2Chht4k")</f>
        <v>1iHIPELmTNvhvWXMn6bOxUFX6JiD1ejHId3xi2Chht4k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IFERROR(__xludf.DUMMYFUNCTION("""COMPUTED_VALUE"""),"1lbgb_8jmoEdzuZuuHQvH10vIWlHiLnPqYC_Wr0DhESU")</f>
        <v>1lbgb_8jmoEdzuZuuHQvH10vIWlHiLnPqYC_Wr0DhESU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IFERROR(__xludf.DUMMYFUNCTION("""COMPUTED_VALUE"""),"1jZnY_CVhLzzmvKxfBfsxnLwZf2RtWZ-MN3Y1uF1_amI")</f>
        <v>1jZnY_CVhLzzmvKxfBfsxnLwZf2RtWZ-MN3Y1uF1_amI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IFERROR(__xludf.DUMMYFUNCTION("""COMPUTED_VALUE"""),"16r-C2L02qnRI38CHZDWyOaetsSHUu2Mw793g1tvpIpI")</f>
        <v>16r-C2L02qnRI38CHZDWyOaetsSHUu2Mw793g1tvpIpI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IFERROR(__xludf.DUMMYFUNCTION("""COMPUTED_VALUE"""),"1ePZEjBZd78YQP-rq7AZFlzyArb7-YiwdeghwSAv1QlQ")</f>
        <v>1ePZEjBZd78YQP-rq7AZFlzyArb7-YiwdeghwSAv1QlQ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IFERROR(__xludf.DUMMYFUNCTION("""COMPUTED_VALUE"""),"1B79uMruccnGWeGKALTAflbLgHoMXm1IgdX2B8Ucqa_E")</f>
        <v>1B79uMruccnGWeGKALTAflbLgHoMXm1IgdX2B8Ucqa_E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IFERROR(__xludf.DUMMYFUNCTION("""COMPUTED_VALUE"""),"1Hh6sSW8e_VVZ4DVVE4zBjNugoxSDhpdBZCruEQChFf8")</f>
        <v>1Hh6sSW8e_VVZ4DVVE4zBjNugoxSDhpdBZCruEQChFf8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IFERROR(__xludf.DUMMYFUNCTION("""COMPUTED_VALUE"""),"1gY9-2YPNtL77s9k_cntAIjcR9cq3Aahrrl2WXL_o5JU")</f>
        <v>1gY9-2YPNtL77s9k_cntAIjcR9cq3Aahrrl2WXL_o5JU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IFERROR(__xludf.DUMMYFUNCTION("""COMPUTED_VALUE"""),"1VrY4VyRfkYkLnvnSm5EtSK4R-X6B5stX3OSYLJ--sME")</f>
        <v>1VrY4VyRfkYkLnvnSm5EtSK4R-X6B5stX3OSYLJ--sME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IFERROR(__xludf.DUMMYFUNCTION("""COMPUTED_VALUE"""),"1h06jLu5zeUmctus0uW7-ZesDghsfE-eXkupiTBp1GTI")</f>
        <v>1h06jLu5zeUmctus0uW7-ZesDghsfE-eXkupiTBp1GTI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IFERROR(__xludf.DUMMYFUNCTION("""COMPUTED_VALUE"""),"1Mbuj9mSB0c4i0yGl_1-F05ht2jy-nfPK1xSM2UTHLig")</f>
        <v>1Mbuj9mSB0c4i0yGl_1-F05ht2jy-nfPK1xSM2UTHLig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IFERROR(__xludf.DUMMYFUNCTION("""COMPUTED_VALUE"""),"1ZaBzwiFzlYN1UVat9gzwJJ5YfnSJsRsvUy8rLjFpzNU")</f>
        <v>1ZaBzwiFzlYN1UVat9gzwJJ5YfnSJsRsvUy8rLjFpzNU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IFERROR(__xludf.DUMMYFUNCTION("""COMPUTED_VALUE"""),"1k_SakBuHixRde3N78vqe0Xzz4YbR3PHZgilEIbGSL5g")</f>
        <v>1k_SakBuHixRde3N78vqe0Xzz4YbR3PHZgilEIbGSL5g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IFERROR(__xludf.DUMMYFUNCTION("""COMPUTED_VALUE"""),"1ca-MGgJsOiH6Z4vGqxZxR70qPMVXodr10ZbXlf6JGIc")</f>
        <v>1ca-MGgJsOiH6Z4vGqxZxR70qPMVXodr10ZbXlf6JGIc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IFERROR(__xludf.DUMMYFUNCTION("""COMPUTED_VALUE"""),"1eDZq-_vllq4jwvwpk9qGnwQUhlb-sFvyFKPBriT2dA0")</f>
        <v>1eDZq-_vllq4jwvwpk9qGnwQUhlb-sFvyFKPBriT2dA0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IFERROR(__xludf.DUMMYFUNCTION("""COMPUTED_VALUE"""),"10ZMbFQ1IOpiikdz1JBip5lEgKm7K0o73GeMGQw_WWEg")</f>
        <v>10ZMbFQ1IOpiikdz1JBip5lEgKm7K0o73GeMGQw_WWEg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IFERROR(__xludf.DUMMYFUNCTION("""COMPUTED_VALUE"""),"1MnWSvi2db05ijYL3yxelYbggoKOEB4tqVsGoVuMpo0w")</f>
        <v>1MnWSvi2db05ijYL3yxelYbggoKOEB4tqVsGoVuMpo0w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IFERROR(__xludf.DUMMYFUNCTION("""COMPUTED_VALUE"""),"1uIPzugk4A0Aig_3XINMJZPNbHUDS4zwLVwY3w8ATO1A")</f>
        <v>1uIPzugk4A0Aig_3XINMJZPNbHUDS4zwLVwY3w8ATO1A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IFERROR(__xludf.DUMMYFUNCTION("""COMPUTED_VALUE"""),"1Sab4sEMPQQmMNnQqMcUWYSJmliLjBODBD5yeMjdFhgU")</f>
        <v>1Sab4sEMPQQmMNnQqMcUWYSJmliLjBODBD5yeMjdFhgU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IFERROR(__xludf.DUMMYFUNCTION("""COMPUTED_VALUE"""),"1k6fme1SUHKxMMvs_7pDlzlHfy6PnCjrD5nr0oUObP8U")</f>
        <v>1k6fme1SUHKxMMvs_7pDlzlHfy6PnCjrD5nr0oUObP8U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IFERROR(__xludf.DUMMYFUNCTION("""COMPUTED_VALUE"""),"14HgNVXvvWVeYTuof36H_IqNsjK1qZHsSrd3cyWgEV20")</f>
        <v>14HgNVXvvWVeYTuof36H_IqNsjK1qZHsSrd3cyWgEV20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IFERROR(__xludf.DUMMYFUNCTION("""COMPUTED_VALUE"""),"16Hd1uBr9TwUlu8l7juEdLBhZkMF9sIopzgucI8_M6iA")</f>
        <v>16Hd1uBr9TwUlu8l7juEdLBhZkMF9sIopzgucI8_M6iA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IFERROR(__xludf.DUMMYFUNCTION("""COMPUTED_VALUE"""),"1TmaMB8hutbeWj90tA8b3Zfly3sZMP_h6hEdH1Vbw8YQ")</f>
        <v>1TmaMB8hutbeWj90tA8b3Zfly3sZMP_h6hEdH1Vbw8YQ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IFERROR(__xludf.DUMMYFUNCTION("""COMPUTED_VALUE"""),"1KOFVOoYgmHTf_Vp-fA_08fGnmaDgawY2_lajm_7uAV0")</f>
        <v>1KOFVOoYgmHTf_Vp-fA_08fGnmaDgawY2_lajm_7uAV0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IFERROR(__xludf.DUMMYFUNCTION("""COMPUTED_VALUE"""),"1TNUck0SaxrVe5xR-hZVk4IQO60bu8WtnsxDlST8CuB4")</f>
        <v>1TNUck0SaxrVe5xR-hZVk4IQO60bu8WtnsxDlST8CuB4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IFERROR(__xludf.DUMMYFUNCTION("""COMPUTED_VALUE"""),"1RJfPl4iaZz8CawEGxaANj1D2x68T9cY77IBiMpcNxdE")</f>
        <v>1RJfPl4iaZz8CawEGxaANj1D2x68T9cY77IBiMpcNxdE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IFERROR(__xludf.DUMMYFUNCTION("""COMPUTED_VALUE"""),"1t1_Ynjuhj9UV5aZ5PabXpZjtlb8IPAP6w8TjgM2lMTw")</f>
        <v>1t1_Ynjuhj9UV5aZ5PabXpZjtlb8IPAP6w8TjgM2lMTw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IFERROR(__xludf.DUMMYFUNCTION("""COMPUTED_VALUE"""),"1vhUDc0WX3V1tKXZUIvTrNaYMrd24jvgTSjWKW12VIPI")</f>
        <v>1vhUDc0WX3V1tKXZUIvTrNaYMrd24jvgTSjWKW12VIPI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IFERROR(__xludf.DUMMYFUNCTION("""COMPUTED_VALUE"""),"1s8j1BwTci7OMcEPQGJYSC8jPp4VtA4n-Yv1EB3MBz_4")</f>
        <v>1s8j1BwTci7OMcEPQGJYSC8jPp4VtA4n-Yv1EB3MBz_4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IFERROR(__xludf.DUMMYFUNCTION("""COMPUTED_VALUE"""),"15sjhB-BIRBwi2e-PZX2xfulOXckPcf6kzO8Qb8eIwoc")</f>
        <v>15sjhB-BIRBwi2e-PZX2xfulOXckPcf6kzO8Qb8eIwoc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IFERROR(__xludf.DUMMYFUNCTION("""COMPUTED_VALUE"""),"1RHeZAOoia-kMisKWcgjA812Af6pghU20uY-RjYQLua4")</f>
        <v>1RHeZAOoia-kMisKWcgjA812Af6pghU20uY-RjYQLua4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IFERROR(__xludf.DUMMYFUNCTION("""COMPUTED_VALUE"""),"1i0BJTtewAm-Tw9RIPRsNXIXxeIT0D0_5hJwPuVXJMZE")</f>
        <v>1i0BJTtewAm-Tw9RIPRsNXIXxeIT0D0_5hJwPuVXJMZE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IFERROR(__xludf.DUMMYFUNCTION("""COMPUTED_VALUE"""),"1-kYes9vmlh0vfUCYsNfMTdRXTFFNaRdAyClm7hnenbI")</f>
        <v>1-kYes9vmlh0vfUCYsNfMTdRXTFFNaRdAyClm7hnenbI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IFERROR(__xludf.DUMMYFUNCTION("""COMPUTED_VALUE"""),"1UzMfpwAjUyk9WnDVMZK_kHHxNCMEARLolkuKGsMvvlQ")</f>
        <v>1UzMfpwAjUyk9WnDVMZK_kHHxNCMEARLolkuKGsMvvlQ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IFERROR(__xludf.DUMMYFUNCTION("""COMPUTED_VALUE"""),"1bPGQbk2_mQuUPclWX9ebo3C84Uzf_FF4lQI1RviO-ig")</f>
        <v>1bPGQbk2_mQuUPclWX9ebo3C84Uzf_FF4lQI1RviO-ig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IFERROR(__xludf.DUMMYFUNCTION("""COMPUTED_VALUE"""),"14r4G7flfRDfDL5-P3iMQM217k7ZhvyyC6VkaMii-MSA")</f>
        <v>14r4G7flfRDfDL5-P3iMQM217k7ZhvyyC6VkaMii-MSA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IFERROR(__xludf.DUMMYFUNCTION("""COMPUTED_VALUE"""),"1YhX2eyEmJGcNQA5YDh_ER6IXxAraufNxjQhusZZtfDE")</f>
        <v>1YhX2eyEmJGcNQA5YDh_ER6IXxAraufNxjQhusZZtfDE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IFERROR(__xludf.DUMMYFUNCTION("""COMPUTED_VALUE"""),"1OwJkklw75W9NELVVn8TTtgqWys12YDvopxklGMUg1gs")</f>
        <v>1OwJkklw75W9NELVVn8TTtgqWys12YDvopxklGMUg1gs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IFERROR(__xludf.DUMMYFUNCTION("""COMPUTED_VALUE"""),"1C_vJ0XpRLIoVnkP8Ssa7QKkkT8eiKc4uvZ3k0DjxIJ8")</f>
        <v>1C_vJ0XpRLIoVnkP8Ssa7QKkkT8eiKc4uvZ3k0DjxIJ8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IFERROR(__xludf.DUMMYFUNCTION("""COMPUTED_VALUE"""),"1FJr_xqg8bpvvuCU1y-06ZaNQ1_IdawHi8G8PEuS-o30")</f>
        <v>1FJr_xqg8bpvvuCU1y-06ZaNQ1_IdawHi8G8PEuS-o30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IFERROR(__xludf.DUMMYFUNCTION("""COMPUTED_VALUE"""),"1fvsrbIVeh6F7h2zh025ZZnnqDf6pcYZ3GPvBxuPsDrc")</f>
        <v>1fvsrbIVeh6F7h2zh025ZZnnqDf6pcYZ3GPvBxuPsDrc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IFERROR(__xludf.DUMMYFUNCTION("""COMPUTED_VALUE"""),"1OCYQ4wrJpJL5L_Ip18DPGT1DeOR1xxzBGIYEOk5LpSA")</f>
        <v>1OCYQ4wrJpJL5L_Ip18DPGT1DeOR1xxzBGIYEOk5LpSA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IFERROR(__xludf.DUMMYFUNCTION("""COMPUTED_VALUE"""),"1HRXWuGd8cyWSKBQ7FgVRSgYWk-8OLdmFUoD2OO_XcY4")</f>
        <v>1HRXWuGd8cyWSKBQ7FgVRSgYWk-8OLdmFUoD2OO_XcY4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IFERROR(__xludf.DUMMYFUNCTION("""COMPUTED_VALUE"""),"1EWxKvjgKPxS1p3L5mKTGqWEZQyH-odwKHKVLJL2Y-Co")</f>
        <v>1EWxKvjgKPxS1p3L5mKTGqWEZQyH-odwKHKVLJL2Y-Co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IFERROR(__xludf.DUMMYFUNCTION("""COMPUTED_VALUE"""),"1PLFOsuaXN90Q3ZzjCbJIGggH5AYI5Shk2Jf79_FITgs")</f>
        <v>1PLFOsuaXN90Q3ZzjCbJIGggH5AYI5Shk2Jf79_FITgs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IFERROR(__xludf.DUMMYFUNCTION("""COMPUTED_VALUE"""),"1WRRZAXso_l9Bm4-7j8y0UvXkHL9BCBtz9sj56-K9AtM")</f>
        <v>1WRRZAXso_l9Bm4-7j8y0UvXkHL9BCBtz9sj56-K9AtM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IFERROR(__xludf.DUMMYFUNCTION("""COMPUTED_VALUE"""),"1g1BVaEiCy91e0eOIZPywKlK9C20A_fuVTn74CuomgXo")</f>
        <v>1g1BVaEiCy91e0eOIZPywKlK9C20A_fuVTn74CuomgXo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IFERROR(__xludf.DUMMYFUNCTION("""COMPUTED_VALUE"""),"1MXus2Dl8kRugBPD1pvO3zfGi88sVQFeoS4psUcmZsTg")</f>
        <v>1MXus2Dl8kRugBPD1pvO3zfGi88sVQFeoS4psUcmZsTg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IFERROR(__xludf.DUMMYFUNCTION("""COMPUTED_VALUE"""),"1HIzfUQVJ_cOzGjnP3yqgLnIACwEybqTRWANI1RaCxv0")</f>
        <v>1HIzfUQVJ_cOzGjnP3yqgLnIACwEybqTRWANI1RaCxv0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IFERROR(__xludf.DUMMYFUNCTION("""COMPUTED_VALUE"""),"1lxTKzP48dL11mFrekIoraN52hwBinmP7CaF8hguPiWM")</f>
        <v>1lxTKzP48dL11mFrekIoraN52hwBinmP7CaF8hguPiWM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IFERROR(__xludf.DUMMYFUNCTION("""COMPUTED_VALUE"""),"1WUeBiSPGJILkMvh3E7poEJPu7NgFhfm_X-Bv_nbGhvY")</f>
        <v>1WUeBiSPGJILkMvh3E7poEJPu7NgFhfm_X-Bv_nbGhvY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IFERROR(__xludf.DUMMYFUNCTION("""COMPUTED_VALUE"""),"1AEUQEHsl7WMqlKjD3Kh_Ol_F5nXx--_NoGMDIdJpFCM")</f>
        <v>1AEUQEHsl7WMqlKjD3Kh_Ol_F5nXx--_NoGMDIdJpFCM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IFERROR(__xludf.DUMMYFUNCTION("""COMPUTED_VALUE"""),"1Ao_cqiHT0CnAxgKJOfyeANF8k3qUQj3bwMniopb4GSI")</f>
        <v>1Ao_cqiHT0CnAxgKJOfyeANF8k3qUQj3bwMniopb4GSI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IFERROR(__xludf.DUMMYFUNCTION("""COMPUTED_VALUE"""),"1c8KMmhwQfLdxujht3anfEgTTup9gIxKnfAUowkWtZhI")</f>
        <v>1c8KMmhwQfLdxujht3anfEgTTup9gIxKnfAUowkWtZhI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IFERROR(__xludf.DUMMYFUNCTION("""COMPUTED_VALUE"""),"1M91igsaDI-w6MNajtvmqeTIOo3T5DRFxUSWpIe8s3h0")</f>
        <v>1M91igsaDI-w6MNajtvmqeTIOo3T5DRFxUSWpIe8s3h0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IFERROR(__xludf.DUMMYFUNCTION("""COMPUTED_VALUE"""),"1pDj8oS-Dk1WLeC7qMiFw1U0NacKynRLHpIFPy9MaxGo")</f>
        <v>1pDj8oS-Dk1WLeC7qMiFw1U0NacKynRLHpIFPy9MaxGo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IFERROR(__xludf.DUMMYFUNCTION("""COMPUTED_VALUE"""),"1i1JslBhP31Zla4tutAQ4Tf0NMByxg36_0f7V_mUYwcA")</f>
        <v>1i1JslBhP31Zla4tutAQ4Tf0NMByxg36_0f7V_mUYwcA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IFERROR(__xludf.DUMMYFUNCTION("""COMPUTED_VALUE"""),"1GZQ2uebZQQWuKTfEz5-dlgHYZVKe6Ipj8nBOf4MtMck")</f>
        <v>1GZQ2uebZQQWuKTfEz5-dlgHYZVKe6Ipj8nBOf4MtMck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IFERROR(__xludf.DUMMYFUNCTION("""COMPUTED_VALUE"""),"16erp9QXlFdytdNJufHM_bDs8J6TmQZ3Pg9GGu_qz9_s")</f>
        <v>16erp9QXlFdytdNJufHM_bDs8J6TmQZ3Pg9GGu_qz9_s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IFERROR(__xludf.DUMMYFUNCTION("""COMPUTED_VALUE"""),"1CwjXkGBAo9VOfBvvNVGJ_h-yA7rNZpKLhof3iB4k0aI")</f>
        <v>1CwjXkGBAo9VOfBvvNVGJ_h-yA7rNZpKLhof3iB4k0aI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IFERROR(__xludf.DUMMYFUNCTION("""COMPUTED_VALUE"""),"1zfb3DVTi-cYKUc6htaLp-mIIApQcHgai8bGqWBLbwsA")</f>
        <v>1zfb3DVTi-cYKUc6htaLp-mIIApQcHgai8bGqWBLbwsA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IFERROR(__xludf.DUMMYFUNCTION("""COMPUTED_VALUE"""),"1YKttwHsdIskNDoo0Sl7HF2DWikROW-KA05qfT3GLIyI")</f>
        <v>1YKttwHsdIskNDoo0Sl7HF2DWikROW-KA05qfT3GLIyI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IFERROR(__xludf.DUMMYFUNCTION("""COMPUTED_VALUE"""),"13VcwNlzkLQC7q1GBXVPVQCPQ-H0e_19HCRNWPctUziQ")</f>
        <v>13VcwNlzkLQC7q1GBXVPVQCPQ-H0e_19HCRNWPctUziQ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IFERROR(__xludf.DUMMYFUNCTION("""COMPUTED_VALUE"""),"1YJ2rTp-OqQTGjubvs_cBC6fl0l94pyHI2eaLJzbddS4")</f>
        <v>1YJ2rTp-OqQTGjubvs_cBC6fl0l94pyHI2eaLJzbddS4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IFERROR(__xludf.DUMMYFUNCTION("""COMPUTED_VALUE"""),"16NpNjtU6cKaQOPSJHZURJsJgQc-UzasF8zesLepx6wk")</f>
        <v>16NpNjtU6cKaQOPSJHZURJsJgQc-UzasF8zesLepx6wk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IFERROR(__xludf.DUMMYFUNCTION("""COMPUTED_VALUE"""),"17-JeVJd_vvgAEaabgIZWXp-R-RdEE7HgLgs7YMUnAQM")</f>
        <v>17-JeVJd_vvgAEaabgIZWXp-R-RdEE7HgLgs7YMUnAQM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IFERROR(__xludf.DUMMYFUNCTION("""COMPUTED_VALUE"""),"1UILg9fFAqy0FePXsL47QNXPXJq9mm5Wqgiv9cm7emlg")</f>
        <v>1UILg9fFAqy0FePXsL47QNXPXJq9mm5Wqgiv9cm7emlg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IFERROR(__xludf.DUMMYFUNCTION("""COMPUTED_VALUE"""),"1ZbIpSDMavzuEEGnj-wEia66DI4JDF8oyMNhgI--MWO4")</f>
        <v>1ZbIpSDMavzuEEGnj-wEia66DI4JDF8oyMNhgI--MWO4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IFERROR(__xludf.DUMMYFUNCTION("""COMPUTED_VALUE"""),"1TyPnk_nqBb3zJ0HQ7yBvaeOcKJERBImSdyGirN4woWM")</f>
        <v>1TyPnk_nqBb3zJ0HQ7yBvaeOcKJERBImSdyGirN4woWM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IFERROR(__xludf.DUMMYFUNCTION("""COMPUTED_VALUE"""),"1MlmOyY8HQ3eRBPXhqiNJ8RVpy7nWPF20xBoJtX_QYwY")</f>
        <v>1MlmOyY8HQ3eRBPXhqiNJ8RVpy7nWPF20xBoJtX_QYwY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IFERROR(__xludf.DUMMYFUNCTION("""COMPUTED_VALUE"""),"1ClpAx4ud9EHmyYiC_EG7H8WiHylHjv_EGWFXAjvTdkA")</f>
        <v>1ClpAx4ud9EHmyYiC_EG7H8WiHylHjv_EGWFXAjvTdkA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IFERROR(__xludf.DUMMYFUNCTION("""COMPUTED_VALUE"""),"1kq-ZMRgpBT_3Nxea55HQM_-j9azo4L4iB-CuzUAPPFE")</f>
        <v>1kq-ZMRgpBT_3Nxea55HQM_-j9azo4L4iB-CuzUAPPFE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IFERROR(__xludf.DUMMYFUNCTION("""COMPUTED_VALUE"""),"1370sSwJ_VXgmhdmb3pCQcTlcU3ztmzTYc6vPoS-I2Rs")</f>
        <v>1370sSwJ_VXgmhdmb3pCQcTlcU3ztmzTYc6vPoS-I2Rs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IFERROR(__xludf.DUMMYFUNCTION("""COMPUTED_VALUE"""),"1lsg_0uEXu3HH4_A9LuYRNenlpBwd4sjxTjFB8xlzdDw")</f>
        <v>1lsg_0uEXu3HH4_A9LuYRNenlpBwd4sjxTjFB8xlzdDw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IFERROR(__xludf.DUMMYFUNCTION("""COMPUTED_VALUE"""),"1oyvNRFVoJU95KpNy7o_IiQMZgNHP-Bi2KEpSlqaCnyg")</f>
        <v>1oyvNRFVoJU95KpNy7o_IiQMZgNHP-Bi2KEpSlqaCnyg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IFERROR(__xludf.DUMMYFUNCTION("""COMPUTED_VALUE"""),"16Eh72qrKHascPtbWrHTlOLhfJHGfR4IZFDSlCSLxmSI")</f>
        <v>16Eh72qrKHascPtbWrHTlOLhfJHGfR4IZFDSlCSLxmSI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IFERROR(__xludf.DUMMYFUNCTION("""COMPUTED_VALUE"""),"1vXZOb9hT8U9HvANcidNDzQLV_Rg36UGBldNh3ILbBmc")</f>
        <v>1vXZOb9hT8U9HvANcidNDzQLV_Rg36UGBldNh3ILbBmc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IFERROR(__xludf.DUMMYFUNCTION("""COMPUTED_VALUE"""),"1g7stSFk607rGDVIaSnvY-ptgS4CJ0I2p3WOFDCBnziw")</f>
        <v>1g7stSFk607rGDVIaSnvY-ptgS4CJ0I2p3WOFDCBnziw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IFERROR(__xludf.DUMMYFUNCTION("""COMPUTED_VALUE"""),"1gWKZIjUhrqy74A-4kOFSr-8X-j7OSRRxzFQf9sOTlOE")</f>
        <v>1gWKZIjUhrqy74A-4kOFSr-8X-j7OSRRxzFQf9sOTlOE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IFERROR(__xludf.DUMMYFUNCTION("""COMPUTED_VALUE"""),"1iETb10qf0A-gB4iUOWwuQuOLD_VgfsHyEAJHBA4DoHQ")</f>
        <v>1iETb10qf0A-gB4iUOWwuQuOLD_VgfsHyEAJHBA4DoHQ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IFERROR(__xludf.DUMMYFUNCTION("""COMPUTED_VALUE"""),"1S186VaVmLeTBBZvOvfZZkdYDpjAYEEcCLhDbU_-H4AQ")</f>
        <v>1S186VaVmLeTBBZvOvfZZkdYDpjAYEEcCLhDbU_-H4AQ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IFERROR(__xludf.DUMMYFUNCTION("""COMPUTED_VALUE"""),"1n-0IidhwMIEAHTljc0dL6DfL_KtwHCHHMmQqIxrt5Pc")</f>
        <v>1n-0IidhwMIEAHTljc0dL6DfL_KtwHCHHMmQqIxrt5Pc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IFERROR(__xludf.DUMMYFUNCTION("""COMPUTED_VALUE"""),"1MwIHIUJiRevw9hWzaIrZ6hjsnxhVBBEDgIyRlYx_JfM")</f>
        <v>1MwIHIUJiRevw9hWzaIrZ6hjsnxhVBBEDgIyRlYx_JfM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IFERROR(__xludf.DUMMYFUNCTION("""COMPUTED_VALUE"""),"1mGKbjwq4tDR3_X1Fuj7H3rI_B2Ox4KtfLZtHRiQj9VM")</f>
        <v>1mGKbjwq4tDR3_X1Fuj7H3rI_B2Ox4KtfLZtHRiQj9VM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IFERROR(__xludf.DUMMYFUNCTION("""COMPUTED_VALUE"""),"1KTUZ6X5yWioaVe8Cg2I9oK8yVSehu3uyHv4QfqEoHMo")</f>
        <v>1KTUZ6X5yWioaVe8Cg2I9oK8yVSehu3uyHv4QfqEoHMo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IFERROR(__xludf.DUMMYFUNCTION("""COMPUTED_VALUE"""),"1k8JhAu6jbmkg_8qpzw2AxNXUgP2YlVgQMW_LLIjefgk")</f>
        <v>1k8JhAu6jbmkg_8qpzw2AxNXUgP2YlVgQMW_LLIjefgk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IFERROR(__xludf.DUMMYFUNCTION("""COMPUTED_VALUE"""),"1yBlNELKkvQRYYPt6ZAov5fn5DWLS8c3IAyiNqQLdszM")</f>
        <v>1yBlNELKkvQRYYPt6ZAov5fn5DWLS8c3IAyiNqQLdszM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IFERROR(__xludf.DUMMYFUNCTION("""COMPUTED_VALUE"""),"1fbjwLiHWAkTu__5roOILF0s1qjsRTN8icKEJcvGeH8o")</f>
        <v>1fbjwLiHWAkTu__5roOILF0s1qjsRTN8icKEJcvGeH8o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IFERROR(__xludf.DUMMYFUNCTION("""COMPUTED_VALUE"""),"1zrf_a-bbRXuVKhhrfdQixq9uC9b8OfysURDh1E9DT6c")</f>
        <v>1zrf_a-bbRXuVKhhrfdQixq9uC9b8OfysURDh1E9DT6c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IFERROR(__xludf.DUMMYFUNCTION("""COMPUTED_VALUE"""),"1oayAgLduY9MUtfSYRFGUG9RNS9a6iZ8nrakZBxpVSzw")</f>
        <v>1oayAgLduY9MUtfSYRFGUG9RNS9a6iZ8nrakZBxpVSzw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IFERROR(__xludf.DUMMYFUNCTION("""COMPUTED_VALUE"""),"1JqpSW4ajOSUcoS5mtjIaM7Hi6ArQs8MMsZLI6lP4uyQ")</f>
        <v>1JqpSW4ajOSUcoS5mtjIaM7Hi6ArQs8MMsZLI6lP4uyQ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IFERROR(__xludf.DUMMYFUNCTION("""COMPUTED_VALUE"""),"14b_da7R2FSzuGfC2aS_GrFc31XFQ6Z0PhavdHZ7qjeQ")</f>
        <v>14b_da7R2FSzuGfC2aS_GrFc31XFQ6Z0PhavdHZ7qjeQ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IFERROR(__xludf.DUMMYFUNCTION("""COMPUTED_VALUE"""),"1chjNmgT6t6HAgsIjFHHA_HjHXYSib3ypiGcMnTZLj94")</f>
        <v>1chjNmgT6t6HAgsIjFHHA_HjHXYSib3ypiGcMnTZLj94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IFERROR(__xludf.DUMMYFUNCTION("""COMPUTED_VALUE"""),"1RTzsTQKuw6sSM9Kr5VZsw1wV7gvDAsRrG_wV60tAcas")</f>
        <v>1RTzsTQKuw6sSM9Kr5VZsw1wV7gvDAsRrG_wV60tAcas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IFERROR(__xludf.DUMMYFUNCTION("""COMPUTED_VALUE"""),"1cNSM32G_N5SGvXu6lx-zWkXRAjYljk13sa5ei-vC56o")</f>
        <v>1cNSM32G_N5SGvXu6lx-zWkXRAjYljk13sa5ei-vC56o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IFERROR(__xludf.DUMMYFUNCTION("""COMPUTED_VALUE"""),"1jLxMpUTr7pXn7Fb2jwwRpn334fPe9S5MRdiVUan3HPQ")</f>
        <v>1jLxMpUTr7pXn7Fb2jwwRpn334fPe9S5MRdiVUan3HPQ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IFERROR(__xludf.DUMMYFUNCTION("""COMPUTED_VALUE"""),"117ijYpKq9WwmtJBvvUq33hYFaZv0aHYbrrtnNPkf9nI")</f>
        <v>117ijYpKq9WwmtJBvvUq33hYFaZv0aHYbrrtnNPkf9nI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IFERROR(__xludf.DUMMYFUNCTION("""COMPUTED_VALUE"""),"1tdEQ0vUA4N2FN4RAxUzY8nTTCb6wdhcJbAfOmqjdKDQ")</f>
        <v>1tdEQ0vUA4N2FN4RAxUzY8nTTCb6wdhcJbAfOmqjdKDQ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IFERROR(__xludf.DUMMYFUNCTION("""COMPUTED_VALUE"""),"132dwq5e7x9R9H3RUwShAPWvGm1jW2l04L5MFSiwJi78")</f>
        <v>132dwq5e7x9R9H3RUwShAPWvGm1jW2l04L5MFSiwJi78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IFERROR(__xludf.DUMMYFUNCTION("""COMPUTED_VALUE"""),"1N9a82N7mPInkiDNxvE007XkrnwKpfi3bTlMOfLUfVaw")</f>
        <v>1N9a82N7mPInkiDNxvE007XkrnwKpfi3bTlMOfLUfVaw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IFERROR(__xludf.DUMMYFUNCTION("""COMPUTED_VALUE"""),"1Jw4b7G1Z0ZXvJiWOGAg2-2iqjR560ENdPTlDh4fHUvc")</f>
        <v>1Jw4b7G1Z0ZXvJiWOGAg2-2iqjR560ENdPTlDh4fHUvc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IFERROR(__xludf.DUMMYFUNCTION("""COMPUTED_VALUE"""),"1QAUh1kMj_54htmyrqxjdQlxiqFvmJ8J6P-K_-Fqss-w")</f>
        <v>1QAUh1kMj_54htmyrqxjdQlxiqFvmJ8J6P-K_-Fqss-w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IFERROR(__xludf.DUMMYFUNCTION("""COMPUTED_VALUE"""),"1M_FLEr6e22HBx7IQl8kV2NusNgjLGQvah8H14hifRkI")</f>
        <v>1M_FLEr6e22HBx7IQl8kV2NusNgjLGQvah8H14hifRkI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IFERROR(__xludf.DUMMYFUNCTION("""COMPUTED_VALUE"""),"1PYN_ipgl8XummI4ut80O5TxWYml1LI7YKYLZE4fAMjU")</f>
        <v>1PYN_ipgl8XummI4ut80O5TxWYml1LI7YKYLZE4fAMjU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IFERROR(__xludf.DUMMYFUNCTION("""COMPUTED_VALUE"""),"1W6g2r_d5Feoz-y2Su9u0dgDWFcbD9-4S1KRgk2UfxFA")</f>
        <v>1W6g2r_d5Feoz-y2Su9u0dgDWFcbD9-4S1KRgk2UfxFA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IFERROR(__xludf.DUMMYFUNCTION("""COMPUTED_VALUE"""),"1cZNS3kDcO7VYl26Huql-4phO2r-_ZrqLGre466WODbA")</f>
        <v>1cZNS3kDcO7VYl26Huql-4phO2r-_ZrqLGre466WODbA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IFERROR(__xludf.DUMMYFUNCTION("""COMPUTED_VALUE"""),"1ystb-FslRwNicLiDd8lAs6a6byTsbfFWFoiim2zgYPw")</f>
        <v>1ystb-FslRwNicLiDd8lAs6a6byTsbfFWFoiim2zgYPw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IFERROR(__xludf.DUMMYFUNCTION("""COMPUTED_VALUE"""),"1MTbFLkBDQX_Lu2G0msIDum1Rmj-A7oU-ouidoZvyf_g")</f>
        <v>1MTbFLkBDQX_Lu2G0msIDum1Rmj-A7oU-ouidoZvyf_g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IFERROR(__xludf.DUMMYFUNCTION("""COMPUTED_VALUE"""),"1B9ERzWjdzyr0fHLV5dZFtreFMs7hW-NSYYU_PKoLUWg")</f>
        <v>1B9ERzWjdzyr0fHLV5dZFtreFMs7hW-NSYYU_PKoLUWg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IFERROR(__xludf.DUMMYFUNCTION("""COMPUTED_VALUE"""),"1A2pjhbdU0RqqqcBao-_4gv5NnxM46MyMUOmxRm0DWi8")</f>
        <v>1A2pjhbdU0RqqqcBao-_4gv5NnxM46MyMUOmxRm0DWi8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IFERROR(__xludf.DUMMYFUNCTION("""COMPUTED_VALUE"""),"13AQ3tbVAMHVBd_fPky1oSiB84tnTC1szO-VUa9qBigg")</f>
        <v>13AQ3tbVAMHVBd_fPky1oSiB84tnTC1szO-VUa9qBigg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IFERROR(__xludf.DUMMYFUNCTION("""COMPUTED_VALUE"""),"1Hv0Z5ssoqeLvkhuR2HFZzFSNTaTFuJc6FikZf44KOIw")</f>
        <v>1Hv0Z5ssoqeLvkhuR2HFZzFSNTaTFuJc6FikZf44KOIw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IFERROR(__xludf.DUMMYFUNCTION("""COMPUTED_VALUE"""),"19B6YRFRQDZpZLmLuGmVVYdPYGXcNeJN-b7khzCptlTc")</f>
        <v>19B6YRFRQDZpZLmLuGmVVYdPYGXcNeJN-b7khzCptlTc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IFERROR(__xludf.DUMMYFUNCTION("""COMPUTED_VALUE"""),"1vb9TVD-ohDLuvXO8ZK90_tG89vhQ6x6iCk8S-C2GeEk")</f>
        <v>1vb9TVD-ohDLuvXO8ZK90_tG89vhQ6x6iCk8S-C2GeEk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IFERROR(__xludf.DUMMYFUNCTION("""COMPUTED_VALUE"""),"1YL6c6rK2NersJZ19X_FPPdb2ndygftjmpIAGUKYOThw")</f>
        <v>1YL6c6rK2NersJZ19X_FPPdb2ndygftjmpIAGUKYOThw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IFERROR(__xludf.DUMMYFUNCTION("""COMPUTED_VALUE"""),"1-zysK6eTkra8tpeUSlbhLhfLGsQDtZ5wngV6xhW7Y4U")</f>
        <v>1-zysK6eTkra8tpeUSlbhLhfLGsQDtZ5wngV6xhW7Y4U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IFERROR(__xludf.DUMMYFUNCTION("""COMPUTED_VALUE"""),"1mNMeBNOJywSPpU7QYU1vURZ42PPw7H8-GNKnam4kgDQ")</f>
        <v>1mNMeBNOJywSPpU7QYU1vURZ42PPw7H8-GNKnam4kgDQ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IFERROR(__xludf.DUMMYFUNCTION("""COMPUTED_VALUE"""),"1M98UTVz-kOortSquZ3k8yDFCGL0P9mLMaN2q3yEUNuA")</f>
        <v>1M98UTVz-kOortSquZ3k8yDFCGL0P9mLMaN2q3yEUNuA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IFERROR(__xludf.DUMMYFUNCTION("""COMPUTED_VALUE"""),"1seMhg4iNNOorLVaDP1KLD3-AaBkP6Og_iLfMW-ItgzU")</f>
        <v>1seMhg4iNNOorLVaDP1KLD3-AaBkP6Og_iLfMW-ItgzU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IFERROR(__xludf.DUMMYFUNCTION("""COMPUTED_VALUE"""),"1MvTEQqM11huwRsoXl6xEi3IAzNeJdt61cEuMd9jn3_s")</f>
        <v>1MvTEQqM11huwRsoXl6xEi3IAzNeJdt61cEuMd9jn3_s</v>
      </c>
    </row>
    <row r="314" ht="15.75" customHeight="1">
      <c r="A314" t="str">
        <f>IFERROR(__xludf.DUMMYFUNCTION("""COMPUTED_VALUE"""),"Expnl")</f>
        <v>Expnl</v>
      </c>
      <c r="B314" t="str">
        <f>IFERROR(__xludf.DUMMYFUNCTION("""COMPUTED_VALUE"""),"UpdateExpnlConfig")</f>
        <v>UpdateExpnlConfig</v>
      </c>
      <c r="C314" t="str">
        <f>IFERROR(__xludf.DUMMYFUNCTION("""COMPUTED_VALUE"""),"18U4mB8u1ZzddTJWR8e10hKB9G2PtkVaCRQs9M6dGmDw")</f>
        <v>18U4mB8u1ZzddTJWR8e10hKB9G2PtkVaCRQs9M6dGmDw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IFERROR(__xludf.DUMMYFUNCTION("""COMPUTED_VALUE"""),"1bvyqZwTrfgNJws3DmYVHW4MQFzGRa5k8KAaLOGczA1g")</f>
        <v>1bvyqZwTrfgNJws3DmYVHW4MQFzGRa5k8KAaLOGczA1g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IFERROR(__xludf.DUMMYFUNCTION("""COMPUTED_VALUE"""),"1-P8y2jWa8-TgjIAgysm8LiFOFNCawLK6ehtNf8n3g0o")</f>
        <v>1-P8y2jWa8-TgjIAgysm8LiFOFNCawLK6ehtNf8n3g0o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IFERROR(__xludf.DUMMYFUNCTION("""COMPUTED_VALUE"""),"1r4mdKH6xHBGXly0xX_3kfVZnbgFRt6h09CKzb6B2j30")</f>
        <v>1r4mdKH6xHBGXly0xX_3kfVZnbgFRt6h09CKzb6B2j30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IFERROR(__xludf.DUMMYFUNCTION("""COMPUTED_VALUE"""),"1bepmvkmXtLL4UpGLcjeYXrovfZi8iUwi1A3os0v1Uj0")</f>
        <v>1bepmvkmXtLL4UpGLcjeYXrovfZi8iUwi1A3os0v1Uj0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IFERROR(__xludf.DUMMYFUNCTION("""COMPUTED_VALUE"""),"1nPYQhQ-Gpxk7lgLy_GqUcKiz5fcJpQhrTV5bJyY03qc")</f>
        <v>1nPYQhQ-Gpxk7lgLy_GqUcKiz5fcJpQhrTV5bJyY03qc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IFERROR(__xludf.DUMMYFUNCTION("""COMPUTED_VALUE"""),"1NbdvoXzq9bLTUkCX2_gVxCtjCR2kBldnGGw-z1Eim8I")</f>
        <v>1NbdvoXzq9bLTUkCX2_gVxCtjCR2kBldnGGw-z1Eim8I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IFERROR(__xludf.DUMMYFUNCTION("""COMPUTED_VALUE"""),"1Q7iif6wWXqCIfSrgSBzoU30gZbMUkNAMhcF68qLMvps")</f>
        <v>1Q7iif6wWXqCIfSrgSBzoU30gZbMUkNAMhcF68qLMvps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IFERROR(__xludf.DUMMYFUNCTION("""COMPUTED_VALUE"""),"11-lGY3oTzf5kpgkJM4lHHX32AUcd6BpZ2CU2UsLPpAE")</f>
        <v>11-lGY3oTzf5kpgkJM4lHHX32AUcd6BpZ2CU2UsLPpAE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IFERROR(__xludf.DUMMYFUNCTION("""COMPUTED_VALUE"""),"1X-gnstY40ismguHxChNKmthJ1G80Q49D37OBmzHA5BM")</f>
        <v>1X-gnstY40ismguHxChNKmthJ1G80Q49D37OBmzHA5BM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IFERROR(__xludf.DUMMYFUNCTION("""COMPUTED_VALUE"""),"1SBWCGC1qCDElP5xT215lxXFECJmufBKtZhmLiF-uDlE")</f>
        <v>1SBWCGC1qCDElP5xT215lxXFECJmufBKtZhmLiF-uDlE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IFERROR(__xludf.DUMMYFUNCTION("""COMPUTED_VALUE"""),"13ZNMuqKcSpAW_MsR69_GoKBz_beluHfFVyViDpUnCkc")</f>
        <v>13ZNMuqKcSpAW_MsR69_GoKBz_beluHfFVyViDpUnCkc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IFERROR(__xludf.DUMMYFUNCTION("""COMPUTED_VALUE"""),"1Qe_MB72ABGFy_tC-AtAJSBoOqNECmDnuHW2p--em0xc")</f>
        <v>1Qe_MB72ABGFy_tC-AtAJSBoOqNECmDnuHW2p--em0xc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IFERROR(__xludf.DUMMYFUNCTION("""COMPUTED_VALUE"""),"1ldeUCvJu8gA2hZDe6NneM5_zHpORs3VIMmFqtZK_zTo")</f>
        <v>1ldeUCvJu8gA2hZDe6NneM5_zHpORs3VIMmFqtZK_zTo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IFERROR(__xludf.DUMMYFUNCTION("""COMPUTED_VALUE"""),"1K6pZbNryz6dksItb7aYYpqHUV4sWPVRsnYGiEZCb6BY")</f>
        <v>1K6pZbNryz6dksItb7aYYpqHUV4sWPVRsnYGiEZCb6BY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IFERROR(__xludf.DUMMYFUNCTION("""COMPUTED_VALUE"""),"1bKhXEya1wodNYLnY1-QcHI_XG3UWZaHQ81HV-TN-5Kc")</f>
        <v>1bKhXEya1wodNYLnY1-QcHI_XG3UWZaHQ81HV-TN-5Kc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IFERROR(__xludf.DUMMYFUNCTION("""COMPUTED_VALUE"""),"1aTyf1QMUlY1sd90ATn_Ik7tSnqoJNJ2ORUTgE2CcKVc")</f>
        <v>1aTyf1QMUlY1sd90ATn_Ik7tSnqoJNJ2ORUTgE2CcKVc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IFERROR(__xludf.DUMMYFUNCTION("""COMPUTED_VALUE"""),"14EKTplxgrSnZ3LrmPGSsdvC3A1Cn7Gl3iYaLoliVy5c")</f>
        <v>14EKTplxgrSnZ3LrmPGSsdvC3A1Cn7Gl3iYaLoliVy5c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IFERROR(__xludf.DUMMYFUNCTION("""COMPUTED_VALUE"""),"1w55ijS0jNdggXMegSAddndubbfCazPcYQ4T-iQXE9-8")</f>
        <v>1w55ijS0jNdggXMegSAddndubbfCazPcYQ4T-iQXE9-8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IFERROR(__xludf.DUMMYFUNCTION("""COMPUTED_VALUE"""),"1Dm60vGCrArH03PZJNSUJF2XSLE8bTZId3GMfDSiNsgE")</f>
        <v>1Dm60vGCrArH03PZJNSUJF2XSLE8bTZId3GMfDSiNsgE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IFERROR(__xludf.DUMMYFUNCTION("""COMPUTED_VALUE"""),"13oH5Ytu1wVsxt5b13YVUvBPplFK0NO_TK4bRhOZWxN8")</f>
        <v>13oH5Ytu1wVsxt5b13YVUvBPplFK0NO_TK4bRhOZWxN8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IFERROR(__xludf.DUMMYFUNCTION("""COMPUTED_VALUE"""),"1TZUZ5-nBzkzBtbjFUoa_EB6_eDzdYjS0ibH5XGYYwAw")</f>
        <v>1TZUZ5-nBzkzBtbjFUoa_EB6_eDzdYjS0ibH5XGYYwAw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IFERROR(__xludf.DUMMYFUNCTION("""COMPUTED_VALUE"""),"1CAqtQbVxh4NllyrMXscZd9EiKnaMKSW-_a9zZtK2ULI")</f>
        <v>1CAqtQbVxh4NllyrMXscZd9EiKnaMKSW-_a9zZtK2ULI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IFERROR(__xludf.DUMMYFUNCTION("""COMPUTED_VALUE"""),"141237jvZTCMRUMwfe0LXJI6_OVqTlCniHe4xfwketxs")</f>
        <v>141237jvZTCMRUMwfe0LXJI6_OVqTlCniHe4xfwketxs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IFERROR(__xludf.DUMMYFUNCTION("""COMPUTED_VALUE"""),"1ly27YrdiNWaAup2LCqtlbPCuNU2qHnDVGbGX6s6cAJM")</f>
        <v>1ly27YrdiNWaAup2LCqtlbPCuNU2qHnDVGbGX6s6cAJM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IFERROR(__xludf.DUMMYFUNCTION("""COMPUTED_VALUE"""),"1gjlTvz7BOfWSUwRY25-5BkROLuD55WxDrFeD31t9BlQ")</f>
        <v>1gjlTvz7BOfWSUwRY25-5BkROLuD55WxDrFeD31t9BlQ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IFERROR(__xludf.DUMMYFUNCTION("""COMPUTED_VALUE"""),"1OPgUZqNYhV3KEPmPCahj5p6WvTvcu6yt-IilVEoYdck")</f>
        <v>1OPgUZqNYhV3KEPmPCahj5p6WvTvcu6yt-IilVEoYdck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IFERROR(__xludf.DUMMYFUNCTION("""COMPUTED_VALUE"""),"1rHjLXpZjBLQM6QWnpXPgAllc-YEEgN3ft01yzOc3Z_k")</f>
        <v>1rHjLXpZjBLQM6QWnpXPgAllc-YEEgN3ft01yzOc3Z_k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IFERROR(__xludf.DUMMYFUNCTION("""COMPUTED_VALUE"""),"1o2I6wY7Q2ZhQmtkXdRpqlxQVJ8IApk0IcIxM0anIe4E")</f>
        <v>1o2I6wY7Q2ZhQmtkXdRpqlxQVJ8IApk0IcIxM0anIe4E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IFERROR(__xludf.DUMMYFUNCTION("""COMPUTED_VALUE"""),"1ADKVvtlUcDE2a_GFsrcnF3qLRtLLDQ1rEJbzQws78i8")</f>
        <v>1ADKVvtlUcDE2a_GFsrcnF3qLRtLLDQ1rEJbzQws78i8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IFERROR(__xludf.DUMMYFUNCTION("""COMPUTED_VALUE"""),"1lnfZcSlUOa9o7gHKbVZNk25z7jkFzrWO3HCg1iRDEhg")</f>
        <v>1lnfZcSlUOa9o7gHKbVZNk25z7jkFzrWO3HCg1iRDEhg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IFERROR(__xludf.DUMMYFUNCTION("""COMPUTED_VALUE"""),"1bVQ8hXYcI8QA4dwbvx9VW307agnDiO6msA8_55Z9Ho4")</f>
        <v>1bVQ8hXYcI8QA4dwbvx9VW307agnDiO6msA8_55Z9Ho4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IFERROR(__xludf.DUMMYFUNCTION("""COMPUTED_VALUE"""),"149nnw4Cwl1HHouYCXdqP9R7Mx98I_xiisiVCYk7UJkk")</f>
        <v>149nnw4Cwl1HHouYCXdqP9R7Mx98I_xiisiVCYk7UJkk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IFERROR(__xludf.DUMMYFUNCTION("""COMPUTED_VALUE"""),"14DzH-ZDYwWbCfXuBzG8v04Qb1mQp1of2O6GLQXcWMsQ")</f>
        <v>14DzH-ZDYwWbCfXuBzG8v04Qb1mQp1of2O6GLQXcWMsQ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IFERROR(__xludf.DUMMYFUNCTION("""COMPUTED_VALUE"""),"1zsjoqOkIN3nYkIIxRHJMhmyX6J_C62DE3Oo2y7BGdVs")</f>
        <v>1zsjoqOkIN3nYkIIxRHJMhmyX6J_C62DE3Oo2y7BGdVs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IFERROR(__xludf.DUMMYFUNCTION("""COMPUTED_VALUE"""),"1PwtsUw7M1uKb7OUFflhtzsANVeSCTOQuOmvDpORnIho")</f>
        <v>1PwtsUw7M1uKb7OUFflhtzsANVeSCTOQuOmvDpORnIho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IFERROR(__xludf.DUMMYFUNCTION("""COMPUTED_VALUE"""),"176-KXks3ZB5ZHuKBMwUMw29_Cv2044sZyo8Km9DSXhY")</f>
        <v>176-KXks3ZB5ZHuKBMwUMw29_Cv2044sZyo8Km9DSXhY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IFERROR(__xludf.DUMMYFUNCTION("""COMPUTED_VALUE"""),"16b_2-FgoStwuBkNr_JjCAyklRXIuqbbe3yokDxprokc")</f>
        <v>16b_2-FgoStwuBkNr_JjCAyklRXIuqbbe3yokDxprokc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IFERROR(__xludf.DUMMYFUNCTION("""COMPUTED_VALUE"""),"1fbKcjC8gLwYcrNAXPL4_1obtoTCCX0MmPEKkR5s582U")</f>
        <v>1fbKcjC8gLwYcrNAXPL4_1obtoTCCX0MmPEKkR5s582U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IFERROR(__xludf.DUMMYFUNCTION("""COMPUTED_VALUE"""),"1-ro_FbZAIVOSxzuukFA-JqauiFzAp2zzPW1nR5HDbNQ")</f>
        <v>1-ro_FbZAIVOSxzuukFA-JqauiFzAp2zzPW1nR5HDbNQ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IFERROR(__xludf.DUMMYFUNCTION("""COMPUTED_VALUE"""),"14hibcKhSsVy9-wON6kpUuT3WpnX2wo9pBQzmPi8qLL0")</f>
        <v>14hibcKhSsVy9-wON6kpUuT3WpnX2wo9pBQzmPi8qLL0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IFERROR(__xludf.DUMMYFUNCTION("""COMPUTED_VALUE"""),"18-WlIts2DAJ-WJbsdY1Rpj5dOSmW5uYCwetKlx26fnQ")</f>
        <v>18-WlIts2DAJ-WJbsdY1Rpj5dOSmW5uYCwetKlx26fnQ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IFERROR(__xludf.DUMMYFUNCTION("""COMPUTED_VALUE"""),"1z5ONnrNdd3WVB7RZIGa-yHhn0U7mw19K0moh5ObmK-I")</f>
        <v>1z5ONnrNdd3WVB7RZIGa-yHhn0U7mw19K0moh5ObmK-I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IFERROR(__xludf.DUMMYFUNCTION("""COMPUTED_VALUE"""),"1yse7cNfakHdRjfRrq1SQW0Yxxopg67W_juGAkOyqHPk")</f>
        <v>1yse7cNfakHdRjfRrq1SQW0Yxxopg67W_juGAkOyqHPk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IFERROR(__xludf.DUMMYFUNCTION("""COMPUTED_VALUE"""),"16bZAwMHOfN8bD2TadtVor3HvDM0dtF51XYU1iRUEXpQ")</f>
        <v>16bZAwMHOfN8bD2TadtVor3HvDM0dtF51XYU1iRUEXpQ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IFERROR(__xludf.DUMMYFUNCTION("""COMPUTED_VALUE"""),"1xeK-JWq8oHwAbmnGt_N4qn9Nt8F9XHo5-Mtr0t_7pRw")</f>
        <v>1xeK-JWq8oHwAbmnGt_N4qn9Nt8F9XHo5-Mtr0t_7pRw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IFERROR(__xludf.DUMMYFUNCTION("""COMPUTED_VALUE"""),"13iKSNjdwzv3DKe_1fcHZJ8GUk5s-HKAGG5PE6MY-smA")</f>
        <v>13iKSNjdwzv3DKe_1fcHZJ8GUk5s-HKAGG5PE6MY-smA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IFERROR(__xludf.DUMMYFUNCTION("""COMPUTED_VALUE"""),"1uyHz1cQUHCK-GcBufMehtS9i6BspKa5HVCLnf4pfGuk")</f>
        <v>1uyHz1cQUHCK-GcBufMehtS9i6BspKa5HVCLnf4pfGuk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IFERROR(__xludf.DUMMYFUNCTION("""COMPUTED_VALUE"""),"1LmfcHeXwbnPa-An0b_OD4pDLm7pUlzSX41G5QZ2Uons")</f>
        <v>1LmfcHeXwbnPa-An0b_OD4pDLm7pUlzSX41G5QZ2Uons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IFERROR(__xludf.DUMMYFUNCTION("""COMPUTED_VALUE"""),"1PbpS5QGNvwJE_YSvMrjHxbUPPQhcUDrQHC4N9KHYjWY")</f>
        <v>1PbpS5QGNvwJE_YSvMrjHxbUPPQhcUDrQHC4N9KHYjWY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IFERROR(__xludf.DUMMYFUNCTION("""COMPUTED_VALUE"""),"1e43aiziZ9lVzR6j8eABeYJVnCkgU34OcPRcWujsT2Sk")</f>
        <v>1e43aiziZ9lVzR6j8eABeYJVnCkgU34OcPRcWujsT2Sk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IFERROR(__xludf.DUMMYFUNCTION("""COMPUTED_VALUE"""),"1etvN2Ze8TA6NI_8xSaOdqLwhWnk9NXKUUDhi-_NctcY")</f>
        <v>1etvN2Ze8TA6NI_8xSaOdqLwhWnk9NXKUUDhi-_NctcY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IFERROR(__xludf.DUMMYFUNCTION("""COMPUTED_VALUE"""),"13XyCHzB6LhftZ5UNht5K7e3dan_fGbii_TnOOGLwDg0")</f>
        <v>13XyCHzB6LhftZ5UNht5K7e3dan_fGbii_TnOOGLwDg0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IFERROR(__xludf.DUMMYFUNCTION("""COMPUTED_VALUE"""),"1DBHQwTuKH0lzdeBCel_4raYQn6PkkFTYydpCHbsB4Qk")</f>
        <v>1DBHQwTuKH0lzdeBCel_4raYQn6PkkFTYydpCHbsB4Qk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IFERROR(__xludf.DUMMYFUNCTION("""COMPUTED_VALUE"""),"1XVSAkmIoWI-AC0BHXwWO3TqCkz2uOlJFE5eM6W0_Cew")</f>
        <v>1XVSAkmIoWI-AC0BHXwWO3TqCkz2uOlJFE5eM6W0_Cew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IFERROR(__xludf.DUMMYFUNCTION("""COMPUTED_VALUE"""),"1z5ONnrNdd3WVB7RZIGa-yHhn0U7mw19K0moh5ObmK-I")</f>
        <v>1z5ONnrNdd3WVB7RZIGa-yHhn0U7mw19K0moh5ObmK-I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IFERROR(__xludf.DUMMYFUNCTION("""COMPUTED_VALUE"""),"1zKkT3mW6MMJ2tPzzT2fHVQT6vyc0mePzllndBlUl5IM")</f>
        <v>1zKkT3mW6MMJ2tPzzT2fHVQT6vyc0mePzllndBlUl5IM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IFERROR(__xludf.DUMMYFUNCTION("""COMPUTED_VALUE"""),"13rWeedH_MlhhxYACJeLeckVtBWejh246MGPN4QQpmMM")</f>
        <v>13rWeedH_MlhhxYACJeLeckVtBWejh246MGPN4QQpmMM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IFERROR(__xludf.DUMMYFUNCTION("""COMPUTED_VALUE"""),"1YPctyrs3yMgf0X1_jVz3LRORCo4B4cNqbyc_K0FujO0")</f>
        <v>1YPctyrs3yMgf0X1_jVz3LRORCo4B4cNqbyc_K0FujO0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IFERROR(__xludf.DUMMYFUNCTION("""COMPUTED_VALUE"""),"1BeNn_44h4ClIE46em_ho4qgzGnXy_GxtYTH3cBmtKPk")</f>
        <v>1BeNn_44h4ClIE46em_ho4qgzGnXy_GxtYTH3cBmtKPk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IFERROR(__xludf.DUMMYFUNCTION("""COMPUTED_VALUE"""),"1jkLpZFgLuRokIigwbjW9_Z47rlvj-YDlRcP_c4XkP_k")</f>
        <v>1jkLpZFgLuRokIigwbjW9_Z47rlvj-YDlRcP_c4XkP_k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IFERROR(__xludf.DUMMYFUNCTION("""COMPUTED_VALUE"""),"1mspGsgTjI-yT8NsZKZn8moOE-Vp0hoNdUziI1pFBq0I")</f>
        <v>1mspGsgTjI-yT8NsZKZn8moOE-Vp0hoNdUziI1pFBq0I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IFERROR(__xludf.DUMMYFUNCTION("""COMPUTED_VALUE"""),"1B2L3J6YUrDWz8rRtdvv0lYDQvnH8nYkmqQm12ZwK7jc")</f>
        <v>1B2L3J6YUrDWz8rRtdvv0lYDQvnH8nYkmqQm12ZwK7jc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IFERROR(__xludf.DUMMYFUNCTION("""COMPUTED_VALUE"""),"1FTTZIzpIKJz6P-IPbrA5EPTxiMe2ARbyGfgsnMXlct4")</f>
        <v>1FTTZIzpIKJz6P-IPbrA5EPTxiMe2ARbyGfgsnMXlct4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IFERROR(__xludf.DUMMYFUNCTION("""COMPUTED_VALUE"""),"1sQAsvIkAT3oSRlv0P4ERgM6O-p9EGHnCNRCfZZ6EKPM")</f>
        <v>1sQAsvIkAT3oSRlv0P4ERgM6O-p9EGHnCNRCfZZ6EKPM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IFERROR(__xludf.DUMMYFUNCTION("""COMPUTED_VALUE"""),"18DR7gQzurIoB_fivnSt8QoqUWcLVRpZQSDr37UqoXKU")</f>
        <v>18DR7gQzurIoB_fivnSt8QoqUWcLVRpZQSDr37UqoXKU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IFERROR(__xludf.DUMMYFUNCTION("""COMPUTED_VALUE"""),"1pp_DAI1bHvMNnrEvw8O7TeJWebgUjt3FSsdgjVWeJkE")</f>
        <v>1pp_DAI1bHvMNnrEvw8O7TeJWebgUjt3FSsdgjVWeJkE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IFERROR(__xludf.DUMMYFUNCTION("""COMPUTED_VALUE"""),"1hX7-3j5InwEYhwGhZXePVHcW-9vxINkOET671xdWGsc")</f>
        <v>1hX7-3j5InwEYhwGhZXePVHcW-9vxINkOET671xdWGsc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IFERROR(__xludf.DUMMYFUNCTION("""COMPUTED_VALUE"""),"1q3BIdA-Gau2cX2cBnlgy7eas26rbuZEdQMfROhYvOgI")</f>
        <v>1q3BIdA-Gau2cX2cBnlgy7eas26rbuZEdQMfROhYvOgI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IFERROR(__xludf.DUMMYFUNCTION("""COMPUTED_VALUE"""),"115Bw2-ohdF1ilHcVpmgJ2DX9SJjX1zI-6SvF3CpCjm8")</f>
        <v>115Bw2-ohdF1ilHcVpmgJ2DX9SJjX1zI-6SvF3CpCjm8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IFERROR(__xludf.DUMMYFUNCTION("""COMPUTED_VALUE"""),"10qeNhV85AQPMToOqHZlhzdXyNnDNjiueFxVwGUI_MO4")</f>
        <v>10qeNhV85AQPMToOqHZlhzdXyNnDNjiueFxVwGUI_MO4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IFERROR(__xludf.DUMMYFUNCTION("""COMPUTED_VALUE"""),"1LO0lVmw42vb8rN4FBdD2nZspNUXqgQCerd4ip5U8His")</f>
        <v>1LO0lVmw42vb8rN4FBdD2nZspNUXqgQCerd4ip5U8His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IFERROR(__xludf.DUMMYFUNCTION("""COMPUTED_VALUE"""),"1C-pSRr2mYlstlgFOXGSaoMyr-7ZKnUyCiCZMgNR75C0")</f>
        <v>1C-pSRr2mYlstlgFOXGSaoMyr-7ZKnUyCiCZMgNR75C0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IFERROR(__xludf.DUMMYFUNCTION("""COMPUTED_VALUE"""),"1pQy7yDMWL8pTAYmkyQd-37O6NjL8-HJsxUSDe_0vr3Y")</f>
        <v>1pQy7yDMWL8pTAYmkyQd-37O6NjL8-HJsxUSDe_0vr3Y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IFERROR(__xludf.DUMMYFUNCTION("""COMPUTED_VALUE"""),"1PL-GKbx6oOTs--yRdzkUeclt9Wvb6f5jt4XN1oEGIZk")</f>
        <v>1PL-GKbx6oOTs--yRdzkUeclt9Wvb6f5jt4XN1oEGIZk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IFERROR(__xludf.DUMMYFUNCTION("""COMPUTED_VALUE"""),"1liR_hGZCDbVQXoq6lXJaHhVX-C6zpm2FZKNUaUnD7k8")</f>
        <v>1liR_hGZCDbVQXoq6lXJaHhVX-C6zpm2FZKNUaUnD7k8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IFERROR(__xludf.DUMMYFUNCTION("""COMPUTED_VALUE"""),"1L-T9YKEKNm_ncTLX6p563fxmzW1DvdfOn3fW5ZhQiKs")</f>
        <v>1L-T9YKEKNm_ncTLX6p563fxmzW1DvdfOn3fW5ZhQiKs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IFERROR(__xludf.DUMMYFUNCTION("""COMPUTED_VALUE"""),"1hWXI97uokXrkZMWLiuOrUPZMYEmIb2-QuYGHPvEooqk")</f>
        <v>1hWXI97uokXrkZMWLiuOrUPZMYEmIb2-QuYGHPvEooqk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IFERROR(__xludf.DUMMYFUNCTION("""COMPUTED_VALUE"""),"1OPgUZqNYhV3KEPmPCahj5p6WvTvcu6yt-IilVEoYdck")</f>
        <v>1OPgUZqNYhV3KEPmPCahj5p6WvTvcu6yt-IilVEoYdck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IFERROR(__xludf.DUMMYFUNCTION("""COMPUTED_VALUE"""),"1TX-aVCyjewgmTHgLEH493prpSt_ChoMDatfBG5cVehM")</f>
        <v>1TX-aVCyjewgmTHgLEH493prpSt_ChoMDatfBG5cVehM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IFERROR(__xludf.DUMMYFUNCTION("""COMPUTED_VALUE"""),"1TFrpzJZv_IpTrlD7aBcoe8mWXKXiq4OeBVw49pOpJY8")</f>
        <v>1TFrpzJZv_IpTrlD7aBcoe8mWXKXiq4OeBVw49pOpJY8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IFERROR(__xludf.DUMMYFUNCTION("""COMPUTED_VALUE"""),"1ELxt02tfMApvtpApk-Uz6JQVqK95xGCxH6tEwuv_yMQ")</f>
        <v>1ELxt02tfMApvtpApk-Uz6JQVqK95xGCxH6tEwuv_yMQ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IFERROR(__xludf.DUMMYFUNCTION("""COMPUTED_VALUE"""),"1onX95lO5NTDqGvP-5pv_fQlL0p1SAPerH3jm5s9xIbE")</f>
        <v>1onX95lO5NTDqGvP-5pv_fQlL0p1SAPerH3jm5s9xIbE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IFERROR(__xludf.DUMMYFUNCTION("""COMPUTED_VALUE"""),"1MzR4w0s74eMMAMcl-KSxjpoZfHiuOypwn42ACvmTkKM")</f>
        <v>1MzR4w0s74eMMAMcl-KSxjpoZfHiuOypwn42ACvmTkKM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IFERROR(__xludf.DUMMYFUNCTION("""COMPUTED_VALUE"""),"13Ecyy3eTKlOlM2mlZRP_nxQjfP02VfkmPAAS8AQWMQk")</f>
        <v>13Ecyy3eTKlOlM2mlZRP_nxQjfP02VfkmPAAS8AQWMQk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IFERROR(__xludf.DUMMYFUNCTION("""COMPUTED_VALUE"""),"1O10TSVXx7-qL87FJas1gFd9p3JugF_Bn4u9W7TpD46U")</f>
        <v>1O10TSVXx7-qL87FJas1gFd9p3JugF_Bn4u9W7TpD46U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IFERROR(__xludf.DUMMYFUNCTION("""COMPUTED_VALUE"""),"1txiXYRv6RuxBB6CkKPa64Foilc8XIy5M-1KPAOBp9Z0")</f>
        <v>1txiXYRv6RuxBB6CkKPa64Foilc8XIy5M-1KPAOBp9Z0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IFERROR(__xludf.DUMMYFUNCTION("""COMPUTED_VALUE"""),"1w51NpunZkBS_x4rZvkQXu2o8AUhD_GQPCtuFN-r1AFw")</f>
        <v>1w51NpunZkBS_x4rZvkQXu2o8AUhD_GQPCtuFN-r1AFw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IFERROR(__xludf.DUMMYFUNCTION("""COMPUTED_VALUE"""),"1wXn8vaJbEg8VcRqhsw0cR1-Odkjr1m2zE8tXCmLX54g")</f>
        <v>1wXn8vaJbEg8VcRqhsw0cR1-Odkjr1m2zE8tXCmLX54g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IFERROR(__xludf.DUMMYFUNCTION("""COMPUTED_VALUE"""),"1yyQmTWt6_vzUYvOiD3DjjThIuA-7rtaxLv1CWXWSP1c")</f>
        <v>1yyQmTWt6_vzUYvOiD3DjjThIuA-7rtaxLv1CWXWSP1c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IFERROR(__xludf.DUMMYFUNCTION("""COMPUTED_VALUE"""),"1s7UywmXsvA66vGSvDSU_CidM0OgQwEbFnisEBEFmoz0")</f>
        <v>1s7UywmXsvA66vGSvDSU_CidM0OgQwEbFnisEBEFmoz0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IFERROR(__xludf.DUMMYFUNCTION("""COMPUTED_VALUE"""),"1cHNKlWy_s_rmmZHG2nid4hP7PjQozO104yUNI3CyU1o")</f>
        <v>1cHNKlWy_s_rmmZHG2nid4hP7PjQozO104yUNI3CyU1o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IFERROR(__xludf.DUMMYFUNCTION("""COMPUTED_VALUE"""),"1bruEDkUzHa33GtKgwOjgeu-gUDGJFATMt-u7J51XEU4")</f>
        <v>1bruEDkUzHa33GtKgwOjgeu-gUDGJFATMt-u7J51XEU4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IFERROR(__xludf.DUMMYFUNCTION("""COMPUTED_VALUE"""),"1w1BRJVZsjn1B0PDYrYEKzXGEw-NFKSMIyNqeBCt4yec")</f>
        <v>1w1BRJVZsjn1B0PDYrYEKzXGEw-NFKSMIyNqeBCt4yec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IFERROR(__xludf.DUMMYFUNCTION("""COMPUTED_VALUE"""),"1m8_kQ_0tVJoTiBpYOtlKW23NWSHVfniRS6qC-gXm10s")</f>
        <v>1m8_kQ_0tVJoTiBpYOtlKW23NWSHVfniRS6qC-gXm10s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IFERROR(__xludf.DUMMYFUNCTION("""COMPUTED_VALUE"""),"17N8VCOwI2fnS5Lh1_oE2TZ5tHs8EeP3ATBk93WwvRHk")</f>
        <v>17N8VCOwI2fnS5Lh1_oE2TZ5tHs8EeP3ATBk93WwvRHk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IFERROR(__xludf.DUMMYFUNCTION("""COMPUTED_VALUE"""),"1F88uJdltwqga7oeOfytDjDGsBP4kpEF_aSFBEzDCUqY")</f>
        <v>1F88uJdltwqga7oeOfytDjDGsBP4kpEF_aSFBEzDCUqY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IFERROR(__xludf.DUMMYFUNCTION("""COMPUTED_VALUE"""),"1yIy9yo2gUgRLah_KTWBr8Q8ouxWuW7qEoYCxd-IyZqU")</f>
        <v>1yIy9yo2gUgRLah_KTWBr8Q8ouxWuW7qEoYCxd-IyZqU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IFERROR(__xludf.DUMMYFUNCTION("""COMPUTED_VALUE"""),"1vtwSXTZXLwVYR5bhmfKT7b9o6JVmS_9MOZn7CcypLvw")</f>
        <v>1vtwSXTZXLwVYR5bhmfKT7b9o6JVmS_9MOZn7CcypLvw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IFERROR(__xludf.DUMMYFUNCTION("""COMPUTED_VALUE"""),"1tY8_vmgwAtlU3wdGRDk8WSaRLCv6640XZ0pVR7jx06k")</f>
        <v>1tY8_vmgwAtlU3wdGRDk8WSaRLCv6640XZ0pVR7jx06k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IFERROR(__xludf.DUMMYFUNCTION("""COMPUTED_VALUE"""),"1dXSCZtp_PbY2-xO4HyuQFjP9rqovyxBIHohhAalWHdk")</f>
        <v>1dXSCZtp_PbY2-xO4HyuQFjP9rqovyxBIHohhAalWHdk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IFERROR(__xludf.DUMMYFUNCTION("""COMPUTED_VALUE"""),"1MPDRlprMFMS8DkR-4ntdGvBOQ6Gp4Cbkz1mGJyRiPBU")</f>
        <v>1MPDRlprMFMS8DkR-4ntdGvBOQ6Gp4Cbkz1mGJyRiPBU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IFERROR(__xludf.DUMMYFUNCTION("""COMPUTED_VALUE"""),"1FoqMjsh7kSUAPZgAsBdK0Dgz6XaVskoGr37G773xRsI")</f>
        <v>1FoqMjsh7kSUAPZgAsBdK0Dgz6XaVskoGr37G773xRsI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IFERROR(__xludf.DUMMYFUNCTION("""COMPUTED_VALUE"""),"1JDZt3yDzGJYLwgfnrM-1JpkYjLh4xdqn3im1wNwUiWg")</f>
        <v>1JDZt3yDzGJYLwgfnrM-1JpkYjLh4xdqn3im1wNwUiWg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IFERROR(__xludf.DUMMYFUNCTION("""COMPUTED_VALUE"""),"1mcj3boGZkRmnkbGNVOiMK0RBd1tDfxGwoUagq09FwTM")</f>
        <v>1mcj3boGZkRmnkbGNVOiMK0RBd1tDfxGwoUagq09FwTM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IFERROR(__xludf.DUMMYFUNCTION("""COMPUTED_VALUE"""),"1ZZ2-R1OHOoSZ9jUfqlZ7UX-MNoTL_RipoEPOEeDhUiU")</f>
        <v>1ZZ2-R1OHOoSZ9jUfqlZ7UX-MNoTL_RipoEPOEeDhUiU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IFERROR(__xludf.DUMMYFUNCTION("""COMPUTED_VALUE"""),"1tuNkOgVUAgmGZdePkvb6Kq4fOIVUbM2Oo-j35VwEMxU")</f>
        <v>1tuNkOgVUAgmGZdePkvb6Kq4fOIVUbM2Oo-j35VwEMxU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IFERROR(__xludf.DUMMYFUNCTION("""COMPUTED_VALUE"""),"1rFegPn3vtFd9CjW_Q7sLLAAJfMR24R2aIjZeDzV88kI")</f>
        <v>1rFegPn3vtFd9CjW_Q7sLLAAJfMR24R2aIjZeDzV88kI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IFERROR(__xludf.DUMMYFUNCTION("""COMPUTED_VALUE"""),"1AUbU9P9evi80SGX-0B0OEU4EIeSy8XoX0Jxc2neUG7Y")</f>
        <v>1AUbU9P9evi80SGX-0B0OEU4EIeSy8XoX0Jxc2neUG7Y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IFERROR(__xludf.DUMMYFUNCTION("""COMPUTED_VALUE"""),"1BmRHukyQ4miHL0fDoU1ytWmIfZkbbUhts6aUXOoJt1M")</f>
        <v>1BmRHukyQ4miHL0fDoU1ytWmIfZkbbUhts6aUXOoJt1M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IFERROR(__xludf.DUMMYFUNCTION("""COMPUTED_VALUE"""),"1ultylVChPDBFQEPMhDgNhsGAOiEjOy4yrylpQgIIDRs")</f>
        <v>1ultylVChPDBFQEPMhDgNhsGAOiEjOy4yrylpQgIIDRs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IFERROR(__xludf.DUMMYFUNCTION("""COMPUTED_VALUE"""),"1kfuraVHmWK4GQJ5l-V_xi5ZOvrVVE_6df75wO3Tczkw")</f>
        <v>1kfuraVHmWK4GQJ5l-V_xi5ZOvrVVE_6df75wO3Tczkw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IFERROR(__xludf.DUMMYFUNCTION("""COMPUTED_VALUE"""),"16WxFw58KivOf3P1utNNMuCYVONlWBgTIRn0wVd6Sq10")</f>
        <v>16WxFw58KivOf3P1utNNMuCYVONlWBgTIRn0wVd6Sq10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IFERROR(__xludf.DUMMYFUNCTION("""COMPUTED_VALUE"""),"1niCpVuSl0IoWtjAcvElNI0GeVHeA4cKvepxzq7Z4t0Y")</f>
        <v>1niCpVuSl0IoWtjAcvElNI0GeVHeA4cKvepxzq7Z4t0Y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IFERROR(__xludf.DUMMYFUNCTION("""COMPUTED_VALUE"""),"1c3AV5tCWYyTG5GupbNYTh4Y6mBGeI5Q18WF7jbA_FoE")</f>
        <v>1c3AV5tCWYyTG5GupbNYTh4Y6mBGeI5Q18WF7jbA_FoE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IFERROR(__xludf.DUMMYFUNCTION("""COMPUTED_VALUE"""),"1X6nskWL8-xWWF-gN9qfxhhV3aBuAeoxKsrdra5tJcpQ")</f>
        <v>1X6nskWL8-xWWF-gN9qfxhhV3aBuAeoxKsrdra5tJcpQ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IFERROR(__xludf.DUMMYFUNCTION("""COMPUTED_VALUE"""),"1OPa8vYQi1QXXNENlCNdP6ay_L5vU7WyWP5dErE2KHEA")</f>
        <v>1OPa8vYQi1QXXNENlCNdP6ay_L5vU7WyWP5dErE2KHEA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IFERROR(__xludf.DUMMYFUNCTION("""COMPUTED_VALUE"""),"1Km85kIYSTzG-NQHFDL8ZVRQQ0TKLUDOYsw-kdDX29xE")</f>
        <v>1Km85kIYSTzG-NQHFDL8ZVRQQ0TKLUDOYsw-kdDX29xE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IFERROR(__xludf.DUMMYFUNCTION("""COMPUTED_VALUE"""),"1jyPRPc_0lTWCpP9oldB5fgtg2dy3jSnXLkS_qYf40-I")</f>
        <v>1jyPRPc_0lTWCpP9oldB5fgtg2dy3jSnXLkS_qYf40-I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IFERROR(__xludf.DUMMYFUNCTION("""COMPUTED_VALUE"""),"1ym14EKcw7B3au8SvVteq2gmFR3cDcsMvQQEIm0TQjf4")</f>
        <v>1ym14EKcw7B3au8SvVteq2gmFR3cDcsMvQQEIm0TQjf4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IFERROR(__xludf.DUMMYFUNCTION("""COMPUTED_VALUE"""),"1iFsjUbnYA0Jwd89eYQjg5OrnW3lr2WGVb5quimwHrRw")</f>
        <v>1iFsjUbnYA0Jwd89eYQjg5OrnW3lr2WGVb5quimwHrRw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IFERROR(__xludf.DUMMYFUNCTION("""COMPUTED_VALUE"""),"14VkN8stineosylh8hvnYNK-GMxNG0uFZBKPjv00GOVc")</f>
        <v>14VkN8stineosylh8hvnYNK-GMxNG0uFZBKPjv00GOVc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IFERROR(__xludf.DUMMYFUNCTION("""COMPUTED_VALUE"""),"1NbH6CrAG4P2-tfFJ5m9jUCbnHY9N7cAluffYy9kFrtg")</f>
        <v>1NbH6CrAG4P2-tfFJ5m9jUCbnHY9N7cAluffYy9kFrtg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IFERROR(__xludf.DUMMYFUNCTION("""COMPUTED_VALUE"""),"1Zhte_TGc173a8WWc7feC_7HQ_A-M9Q7Np-aK2NPeTIo")</f>
        <v>1Zhte_TGc173a8WWc7feC_7HQ_A-M9Q7Np-aK2NPeTIo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IFERROR(__xludf.DUMMYFUNCTION("""COMPUTED_VALUE"""),"1b7zlTIVQjL2vZc0hUNmY0Nj3YpQi8BtYcWMr8_hvABw")</f>
        <v>1b7zlTIVQjL2vZc0hUNmY0Nj3YpQi8BtYcWMr8_hvABw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IFERROR(__xludf.DUMMYFUNCTION("""COMPUTED_VALUE"""),"1eNnQSyrPr_L4TcV7izBj89sySDQaYK6gNqNVbd2ChKE")</f>
        <v>1eNnQSyrPr_L4TcV7izBj89sySDQaYK6gNqNVbd2ChKE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IFERROR(__xludf.DUMMYFUNCTION("""COMPUTED_VALUE"""),"1lkoB4yg9KAzhNswvpJ9xWcz4YPaysGRGQuXBp7wigzQ")</f>
        <v>1lkoB4yg9KAzhNswvpJ9xWcz4YPaysGRGQuXBp7wigzQ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IFERROR(__xludf.DUMMYFUNCTION("""COMPUTED_VALUE"""),"1kYgb5moj5P-JWXvKHbuX1snB8mlE4Vdc4aiH1bDnoHI")</f>
        <v>1kYgb5moj5P-JWXvKHbuX1snB8mlE4Vdc4aiH1bDnoHI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IFERROR(__xludf.DUMMYFUNCTION("""COMPUTED_VALUE"""),"1D35ujYz3sSem5ddRMKhpDtAxLAuwzV3i4A0w31WFRjE")</f>
        <v>1D35ujYz3sSem5ddRMKhpDtAxLAuwzV3i4A0w31WFRjE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IFERROR(__xludf.DUMMYFUNCTION("""COMPUTED_VALUE"""),"1CF-lbRv2R0CjOCWWaoSCrEih5WxPa65LdKDcH_H7AvM")</f>
        <v>1CF-lbRv2R0CjOCWWaoSCrEih5WxPa65LdKDcH_H7AvM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IFERROR(__xludf.DUMMYFUNCTION("""COMPUTED_VALUE"""),"1appeOpkVhy6OTICRFxIDc71ZbQKU-Ynw5sV7KihABMU")</f>
        <v>1appeOpkVhy6OTICRFxIDc71ZbQKU-Ynw5sV7KihABMU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IFERROR(__xludf.DUMMYFUNCTION("""COMPUTED_VALUE"""),"1ymrfngxFmxi2NFQGgXVw211iNNJ37T-E5RaoFHqrBv0")</f>
        <v>1ymrfngxFmxi2NFQGgXVw211iNNJ37T-E5RaoFHqrBv0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IFERROR(__xludf.DUMMYFUNCTION("""COMPUTED_VALUE"""),"1YBuAIaPPp_zD8dJLcJZofXxiKAE6eZJzGO4FqDo7GTE")</f>
        <v>1YBuAIaPPp_zD8dJLcJZofXxiKAE6eZJzGO4FqDo7GTE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IFERROR(__xludf.DUMMYFUNCTION("""COMPUTED_VALUE"""),"1KhWzt5vyNW1kzhPLXipM9CAX2wUBQQLJePUogClbNy0")</f>
        <v>1KhWzt5vyNW1kzhPLXipM9CAX2wUBQQLJePUogClbNy0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IFERROR(__xludf.DUMMYFUNCTION("""COMPUTED_VALUE"""),"1lOOWkQYcBWumeD4F4mCbIz0B_-RtHa-lbk2xvVUXKAQ")</f>
        <v>1lOOWkQYcBWumeD4F4mCbIz0B_-RtHa-lbk2xvVUXKAQ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IFERROR(__xludf.DUMMYFUNCTION("""COMPUTED_VALUE"""),"1qQ0LJ_1IrYMh6SBmiw0AFS9zYw6kLYcDP2Wn07lO6Lk")</f>
        <v>1qQ0LJ_1IrYMh6SBmiw0AFS9zYw6kLYcDP2Wn07lO6Lk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IFERROR(__xludf.DUMMYFUNCTION("""COMPUTED_VALUE"""),"1Yj9sEWGLvIGVCkeE8wc3xNY8Z4yZNGigW0Bdgp8edvA")</f>
        <v>1Yj9sEWGLvIGVCkeE8wc3xNY8Z4yZNGigW0Bdgp8edvA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IFERROR(__xludf.DUMMYFUNCTION("""COMPUTED_VALUE"""),"1C1ug_xZK2cdCqIYVDKTOxKoGTSIdtZaPgm86m17Er_Y")</f>
        <v>1C1ug_xZK2cdCqIYVDKTOxKoGTSIdtZaPgm86m17Er_Y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IFERROR(__xludf.DUMMYFUNCTION("""COMPUTED_VALUE"""),"1Cn-Bl95PXGhKloQYYlJej7rKVd4ux1kGG_MBit4fk4A")</f>
        <v>1Cn-Bl95PXGhKloQYYlJej7rKVd4ux1kGG_MBit4fk4A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IFERROR(__xludf.DUMMYFUNCTION("""COMPUTED_VALUE"""),"1VN5CVtgHNYp2lmtsmJrMDYMXq_8Gh_rSpLpAb6ErM6M")</f>
        <v>1VN5CVtgHNYp2lmtsmJrMDYMXq_8Gh_rSpLpAb6ErM6M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IFERROR(__xludf.DUMMYFUNCTION("""COMPUTED_VALUE"""),"1YKIncD0kWnaqpNFNOsgCVyA1F91XPeAgnyduLhg4NUg")</f>
        <v>1YKIncD0kWnaqpNFNOsgCVyA1F91XPeAgnyduLhg4NUg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IFERROR(__xludf.DUMMYFUNCTION("""COMPUTED_VALUE"""),"1jjhORl_GGC1MaE-TaNLImepF81XAVLTJrRzVfbjFgww")</f>
        <v>1jjhORl_GGC1MaE-TaNLImepF81XAVLTJrRzVfbjFgww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IFERROR(__xludf.DUMMYFUNCTION("""COMPUTED_VALUE"""),"1RgygcdRJLzJYHZ0zP3Z6BDlHpdOX2WYr8NDtGPZTM7E")</f>
        <v>1RgygcdRJLzJYHZ0zP3Z6BDlHpdOX2WYr8NDtGPZTM7E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IFERROR(__xludf.DUMMYFUNCTION("""COMPUTED_VALUE"""),"1DBkPKMXuOkBiTKkni_QwMf9B-Vs7FbA9VGOGKS51ZT4")</f>
        <v>1DBkPKMXuOkBiTKkni_QwMf9B-Vs7FbA9VGOGKS51ZT4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IFERROR(__xludf.DUMMYFUNCTION("""COMPUTED_VALUE"""),"1BbKkpqbBk38mGc3pkD1qocCD2l1ul-edULN0zIfJnX0")</f>
        <v>1BbKkpqbBk38mGc3pkD1qocCD2l1ul-edULN0zIfJnX0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IFERROR(__xludf.DUMMYFUNCTION("""COMPUTED_VALUE"""),"1DW645A60flaLELO2P22MpKYws1JG4n6BHBPkmms9cLw")</f>
        <v>1DW645A60flaLELO2P22MpKYws1JG4n6BHBPkmms9cLw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IFERROR(__xludf.DUMMYFUNCTION("""COMPUTED_VALUE"""),"10mHZ-4hGDgpDcAZFTNOSjWUY0tCOkmljN_PiDLwfInQ")</f>
        <v>10mHZ-4hGDgpDcAZFTNOSjWUY0tCOkmljN_PiDLwfInQ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IFERROR(__xludf.DUMMYFUNCTION("""COMPUTED_VALUE"""),"1vSoBC5mnlpIAaj42v6OpnHQkGmK8gaC-xL91AFbqpzk")</f>
        <v>1vSoBC5mnlpIAaj42v6OpnHQkGmK8gaC-xL91AFbqpzk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IFERROR(__xludf.DUMMYFUNCTION("""COMPUTED_VALUE"""),"1qAzz_4B1zB9C9Vo0fwcHW1n3y4NbkaQdOAUu2-lNpqo")</f>
        <v>1qAzz_4B1zB9C9Vo0fwcHW1n3y4NbkaQdOAUu2-lNpqo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IFERROR(__xludf.DUMMYFUNCTION("""COMPUTED_VALUE"""),"1jLU1Bj4VFFNvZ0Wi033TIL8f5pwmJpXs_wwWfZSYsew")</f>
        <v>1jLU1Bj4VFFNvZ0Wi033TIL8f5pwmJpXs_wwWfZSYsew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IFERROR(__xludf.DUMMYFUNCTION("""COMPUTED_VALUE"""),"14zGa8XglUbfEDxZkT3kMdelOdTfTP2DE6GmuNtG7Wwk")</f>
        <v>14zGa8XglUbfEDxZkT3kMdelOdTfTP2DE6GmuNtG7Wwk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IFERROR(__xludf.DUMMYFUNCTION("""COMPUTED_VALUE"""),"1wcOx1NW-51uplf8YB8fYA6_SoD4MxIc609lcfAUapK8")</f>
        <v>1wcOx1NW-51uplf8YB8fYA6_SoD4MxIc609lcfAUapK8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IFERROR(__xludf.DUMMYFUNCTION("""COMPUTED_VALUE"""),"17Wu2UvH-BU-Px5WPcyG0Xhz2IxPoaWJqrIt67mvCrAA")</f>
        <v>17Wu2UvH-BU-Px5WPcyG0Xhz2IxPoaWJqrIt67mvCrAA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IFERROR(__xludf.DUMMYFUNCTION("""COMPUTED_VALUE"""),"1UEKelK1NMdYtsfsyMcdva6Yft_Yr9G8cWbrfel-9MJU")</f>
        <v>1UEKelK1NMdYtsfsyMcdva6Yft_Yr9G8cWbrfel-9MJU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IFERROR(__xludf.DUMMYFUNCTION("""COMPUTED_VALUE"""),"1MHwX_PBm9hsA0q8FgudciwiJIAk4mZvCR42Xpxx4sKs")</f>
        <v>1MHwX_PBm9hsA0q8FgudciwiJIAk4mZvCR42Xpxx4sKs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IFERROR(__xludf.DUMMYFUNCTION("""COMPUTED_VALUE"""),"1t2KWd4MXhp0cc5GddRUoU75jESYZ8rvlBGDofapbzuI")</f>
        <v>1t2KWd4MXhp0cc5GddRUoU75jESYZ8rvlBGDofapbzuI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IFERROR(__xludf.DUMMYFUNCTION("""COMPUTED_VALUE"""),"1mAGV09viuVWEe4eHRdp4TWIABKngOqrICWdKcXQy3uo")</f>
        <v>1mAGV09viuVWEe4eHRdp4TWIABKngOqrICWdKcXQy3uo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IFERROR(__xludf.DUMMYFUNCTION("""COMPUTED_VALUE"""),"14dSZOTqRtu1tjIclv4ory70p3_NVBD4oZ8-Z0-kfJHo")</f>
        <v>14dSZOTqRtu1tjIclv4ory70p3_NVBD4oZ8-Z0-kfJHo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IFERROR(__xludf.DUMMYFUNCTION("""COMPUTED_VALUE"""),"1esriqspMNcbGjPDPy2u7bJyQKd05b0Y9Sin8DcUfSEE")</f>
        <v>1esriqspMNcbGjPDPy2u7bJyQKd05b0Y9Sin8DcUfSEE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IFERROR(__xludf.DUMMYFUNCTION("""COMPUTED_VALUE"""),"1IURT1smTM6q7aOlSfUxXb-piLEDNEFM-Z_rxNUweXqU")</f>
        <v>1IURT1smTM6q7aOlSfUxXb-piLEDNEFM-Z_rxNUweXqU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IFERROR(__xludf.DUMMYFUNCTION("""COMPUTED_VALUE"""),"1MsdAMudFZTDN6c4GJMzmiY0zvgautsPJWcDY1jxOGP0")</f>
        <v>1MsdAMudFZTDN6c4GJMzmiY0zvgautsPJWcDY1jxOGP0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IFERROR(__xludf.DUMMYFUNCTION("""COMPUTED_VALUE"""),"1VU4CqD-ZRcRyvM1M2otqULbHS-fnUmcO_NcgQMsS9rE")</f>
        <v>1VU4CqD-ZRcRyvM1M2otqULbHS-fnUmcO_NcgQMsS9rE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IFERROR(__xludf.DUMMYFUNCTION("""COMPUTED_VALUE"""),"12ceIzEYIShy-_njSlPPAl07iNZK9EY7UC-GDAyLFzV4")</f>
        <v>12ceIzEYIShy-_njSlPPAl07iNZK9EY7UC-GDAyLFzV4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IFERROR(__xludf.DUMMYFUNCTION("""COMPUTED_VALUE"""),"1hwFwcZT2KkLMWXu0X968AjDc83QETRSutmtdbAtWjRQ")</f>
        <v>1hwFwcZT2KkLMWXu0X968AjDc83QETRSutmtdbAtWjRQ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IFERROR(__xludf.DUMMYFUNCTION("""COMPUTED_VALUE"""),"1TNk3Ts3tA51Oj9qjpTVY3IDwk0Ro78g-6ZmRMY4-lHk")</f>
        <v>1TNk3Ts3tA51Oj9qjpTVY3IDwk0Ro78g-6ZmRMY4-lHk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IFERROR(__xludf.DUMMYFUNCTION("""COMPUTED_VALUE"""),"1jbkbbKX6sldAF_Pk73xVZ1gvRS_q8eEl9NbS6SSiFi8")</f>
        <v>1jbkbbKX6sldAF_Pk73xVZ1gvRS_q8eEl9NbS6SSiFi8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IFERROR(__xludf.DUMMYFUNCTION("""COMPUTED_VALUE"""),"1xhQkfgYxnBj3SaiVD_XZo7TN5gmMtEEUIk-KMtc-Cug")</f>
        <v>1xhQkfgYxnBj3SaiVD_XZo7TN5gmMtEEUIk-KMtc-Cug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IFERROR(__xludf.DUMMYFUNCTION("""COMPUTED_VALUE"""),"1W-fqHVGr66uN9zMhvO6QE-0fTnvoMIo31A_MC2VEFUY")</f>
        <v>1W-fqHVGr66uN9zMhvO6QE-0fTnvoMIo31A_MC2VEFUY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IFERROR(__xludf.DUMMYFUNCTION("""COMPUTED_VALUE"""),"1B9rnk-hL47W-7iUGju1P5wtQC8y0BGZIAhuxsistETQ")</f>
        <v>1B9rnk-hL47W-7iUGju1P5wtQC8y0BGZIAhuxsistETQ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IFERROR(__xludf.DUMMYFUNCTION("""COMPUTED_VALUE"""),"174Tprzh0aMAZa-Ckuaucg-4aWwJTc-gYly9QXAbePh0")</f>
        <v>174Tprzh0aMAZa-Ckuaucg-4aWwJTc-gYly9QXAbePh0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IFERROR(__xludf.DUMMYFUNCTION("""COMPUTED_VALUE"""),"1hQPEUlOvv9Vi1KsbHsN6z0TIt4-v9Ckko9Z170M5bto")</f>
        <v>1hQPEUlOvv9Vi1KsbHsN6z0TIt4-v9Ckko9Z170M5bto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IFERROR(__xludf.DUMMYFUNCTION("""COMPUTED_VALUE"""),"1aD9Si2VBbY68g9PUfKv624K3d2PbLqScMJakPjZ8hFs")</f>
        <v>1aD9Si2VBbY68g9PUfKv624K3d2PbLqScMJakPjZ8hFs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IFERROR(__xludf.DUMMYFUNCTION("""COMPUTED_VALUE"""),"1a6yh6QYOXKH0UbWUlB2RKwf87hvs13OSFnVJBRYCYpM")</f>
        <v>1a6yh6QYOXKH0UbWUlB2RKwf87hvs13OSFnVJBRYCYpM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IFERROR(__xludf.DUMMYFUNCTION("""COMPUTED_VALUE"""),"15sKQ6yRs5rA6j70FvZOyg9HBsLCsZF-psuPGXdEFJSg")</f>
        <v>15sKQ6yRs5rA6j70FvZOyg9HBsLCsZF-psuPGXdEFJSg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IFERROR(__xludf.DUMMYFUNCTION("""COMPUTED_VALUE"""),"1O56bvbVFEtmCnv92OXcl9NqN7Zssjg6iXf_dOM4W0hs")</f>
        <v>1O56bvbVFEtmCnv92OXcl9NqN7Zssjg6iXf_dOM4W0hs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IFERROR(__xludf.DUMMYFUNCTION("""COMPUTED_VALUE"""),"19sxepfVnPP3DvqI8vW23p2yn2sob_Nn7_0R4WSGOgyc")</f>
        <v>19sxepfVnPP3DvqI8vW23p2yn2sob_Nn7_0R4WSGOgyc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IFERROR(__xludf.DUMMYFUNCTION("""COMPUTED_VALUE"""),"15tD_fIpFjzJbtr_OxvY-KeLg88908v4fXmpVzi9shPk")</f>
        <v>15tD_fIpFjzJbtr_OxvY-KeLg88908v4fXmpVzi9shPk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IFERROR(__xludf.DUMMYFUNCTION("""COMPUTED_VALUE"""),"10OvCXj6HBNbSwn6Bq70fCCT8t11mhD8gJD7iiUiqmHY")</f>
        <v>10OvCXj6HBNbSwn6Bq70fCCT8t11mhD8gJD7iiUiqmHY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IFERROR(__xludf.DUMMYFUNCTION("""COMPUTED_VALUE"""),"1HBroiXC_lXdWfzSFEUhcmVdGFqF-7ioRbfzMIhd-D84")</f>
        <v>1HBroiXC_lXdWfzSFEUhcmVdGFqF-7ioRbfzMIhd-D84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IFERROR(__xludf.DUMMYFUNCTION("""COMPUTED_VALUE"""),"1GBfDhS1Qx5z0a-XwiuVZHmjNQQNldS_oLDTK5hBKigQ")</f>
        <v>1GBfDhS1Qx5z0a-XwiuVZHmjNQQNldS_oLDTK5hBKigQ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IFERROR(__xludf.DUMMYFUNCTION("""COMPUTED_VALUE"""),"1C33h6u9nbxbc0Ij8SAALe10U-bitzt_AQkClLAmfans")</f>
        <v>1C33h6u9nbxbc0Ij8SAALe10U-bitzt_AQkClLAmfans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IFERROR(__xludf.DUMMYFUNCTION("""COMPUTED_VALUE"""),"1LYgsVcCeDjfFd0czp2BHUCNhrmdgLKWUrkF_leE2jjo")</f>
        <v>1LYgsVcCeDjfFd0czp2BHUCNhrmdgLKWUrkF_leE2jjo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IFERROR(__xludf.DUMMYFUNCTION("""COMPUTED_VALUE"""),"1k55gGo92H6nwC9RPuwvilJGepKKVG4ZH1q-orsG12-U")</f>
        <v>1k55gGo92H6nwC9RPuwvilJGepKKVG4ZH1q-orsG12-U</v>
      </c>
    </row>
    <row r="510" ht="15.75" customHeight="1">
      <c r="A510" t="str">
        <f>IFERROR(__xludf.DUMMYFUNCTION("""COMPUTED_VALUE"""),"Simulator")</f>
        <v>Simulator</v>
      </c>
      <c r="B510" t="str">
        <f>IFERROR(__xludf.DUMMYFUNCTION("""COMPUTED_VALUE"""),"VerifyTrades")</f>
        <v>VerifyTrades</v>
      </c>
      <c r="C510" t="str">
        <f>IFERROR(__xludf.DUMMYFUNCTION("""COMPUTED_VALUE"""),"1N71Jy4eKF73ZDNHWL_TjWsGmm0qTTD4814dhMRMMVb8")</f>
        <v>1N71Jy4eKF73ZDNHWL_TjWsGmm0qTTD4814dhMRMMVb8</v>
      </c>
    </row>
    <row r="511" ht="15.75" customHeight="1">
      <c r="A511" t="str">
        <f>IFERROR(__xludf.DUMMYFUNCTION("""COMPUTED_VALUE"""),"ShortLocate")</f>
        <v>ShortLocate</v>
      </c>
      <c r="B511" t="str">
        <f>IFERROR(__xludf.DUMMYFUNCTION("""COMPUTED_VALUE"""),"SetShortLocatePreferences")</f>
        <v>SetShortLocatePreferences</v>
      </c>
      <c r="C511" t="str">
        <f>IFERROR(__xludf.DUMMYFUNCTION("""COMPUTED_VALUE"""),"1Bb8XumY_W8vYN4wPCQjnCEQbJs1H7qhZYGScbFljlsE")</f>
        <v>1Bb8XumY_W8vYN4wPCQjnCEQbJs1H7qhZYGScbFljlsE</v>
      </c>
    </row>
    <row r="512" ht="15.75" customHeight="1">
      <c r="A512" t="str">
        <f>IFERROR(__xludf.DUMMYFUNCTION("""COMPUTED_VALUE"""),"SecurityMaster")</f>
        <v>SecurityMaster</v>
      </c>
      <c r="B512" t="str">
        <f>IFERROR(__xludf.DUMMYFUNCTION("""COMPUTED_VALUE"""),"GetSymbolData")</f>
        <v>GetSymbolData</v>
      </c>
      <c r="C512" t="str">
        <f>IFERROR(__xludf.DUMMYFUNCTION("""COMPUTED_VALUE"""),"1jtd0OYtnm21_vMCd-CSKixcC_TN7ginWcJ7PR714zDw")</f>
        <v>1jtd0OYtnm21_vMCd-CSKixcC_TN7ginWcJ7PR714zDw</v>
      </c>
    </row>
    <row r="513" ht="15.75" customHeight="1">
      <c r="A513" t="str">
        <f>IFERROR(__xludf.DUMMYFUNCTION("""COMPUTED_VALUE"""),"SecurityMaster")</f>
        <v>SecurityMaster</v>
      </c>
      <c r="B513" t="str">
        <f>IFERROR(__xludf.DUMMYFUNCTION("""COMPUTED_VALUE"""),"EditSMData")</f>
        <v>EditSMData</v>
      </c>
      <c r="C513" t="str">
        <f>IFERROR(__xludf.DUMMYFUNCTION("""COMPUTED_VALUE"""),"1l9IRaSGDow3z943y-v24KT4bLSa2nLFzzrJx6XQozpY")</f>
        <v>1l9IRaSGDow3z943y-v24KT4bLSa2nLFzzrJx6XQozpY</v>
      </c>
    </row>
    <row r="514" ht="15.75" customHeight="1">
      <c r="A514" t="str">
        <f>IFERROR(__xludf.DUMMYFUNCTION("""COMPUTED_VALUE"""),"Compliance")</f>
        <v>Compliance</v>
      </c>
      <c r="B514" t="str">
        <f>IFERROR(__xludf.DUMMYFUNCTION("""COMPUTED_VALUE"""),"RestartRuleMediator")</f>
        <v>RestartRuleMediator</v>
      </c>
      <c r="C514" t="str">
        <f>IFERROR(__xludf.DUMMYFUNCTION("""COMPUTED_VALUE"""),"18SVZSt8o151Ibqp7S3Ge-27pHb5fW7wNT71WgA_kP_8")</f>
        <v>18SVZSt8o151Ibqp7S3Ge-27pHb5fW7wNT71WgA_kP_8</v>
      </c>
    </row>
    <row r="515" ht="15.75" customHeight="1">
      <c r="A515" t="str">
        <f>IFERROR(__xludf.DUMMYFUNCTION("""COMPUTED_VALUE"""),"Compliance")</f>
        <v>Compliance</v>
      </c>
      <c r="B515" t="str">
        <f>IFERROR(__xludf.DUMMYFUNCTION("""COMPUTED_VALUE"""),"VerifyAggAccountSymbolWithNav")</f>
        <v>VerifyAggAccountSymbolWithNav</v>
      </c>
      <c r="C515" t="str">
        <f>IFERROR(__xludf.DUMMYFUNCTION("""COMPUTED_VALUE"""),"1yORtQDYWOiS9sGzwmSy3jeH1KeWbwIscJSVtvVljcqk")</f>
        <v>1yORtQDYWOiS9sGzwmSy3jeH1KeWbwIscJSVtvVljcqk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IFERROR(__xludf.DUMMYFUNCTION("""COMPUTED_VALUE"""),"SetComplianceAlert")</f>
        <v>SetComplianceAlert</v>
      </c>
      <c r="C516" t="str">
        <f>IFERROR(__xludf.DUMMYFUNCTION("""COMPUTED_VALUE"""),"1tHcWqzzT9x7_tjIYlb_jsMu7VunfhVIyqGIWGIXOrQE")</f>
        <v>1tHcWqzzT9x7_tjIYlb_jsMu7VunfhVIyqGIWGIXOrQE</v>
      </c>
    </row>
    <row r="517" ht="15.75" customHeight="1">
      <c r="A517" t="str">
        <f>IFERROR(__xludf.DUMMYFUNCTION("""COMPUTED_VALUE"""),"PortfolioManagement")</f>
        <v>PortfolioManagement</v>
      </c>
      <c r="B517" t="str">
        <f>IFERROR(__xludf.DUMMYFUNCTION("""COMPUTED_VALUE"""),"IncreasePositionFromPM")</f>
        <v>IncreasePositionFromPM</v>
      </c>
      <c r="C517" t="str">
        <f>IFERROR(__xludf.DUMMYFUNCTION("""COMPUTED_VALUE"""),"1eE569Brgsjqyathy0MKO50Wmj5QCDLuax0S-29Hix4A")</f>
        <v>1eE569Brgsjqyathy0MKO50Wmj5QCDLuax0S-29Hix4A</v>
      </c>
    </row>
    <row r="518" ht="15.75" customHeight="1">
      <c r="A518" t="str">
        <f>IFERROR(__xludf.DUMMYFUNCTION("""COMPUTED_VALUE"""),"TradingTicket")</f>
        <v>TradingTicket</v>
      </c>
      <c r="B518" t="str">
        <f>IFERROR(__xludf.DUMMYFUNCTION("""COMPUTED_VALUE"""),"SendLiveBloomberg")</f>
        <v>SendLiveBloomberg</v>
      </c>
      <c r="C518" t="str">
        <f>IFERROR(__xludf.DUMMYFUNCTION("""COMPUTED_VALUE"""),"1jm-Rrun0S1nkf5N9L0XR0cK07laQ4i2IyhTZ_88GUUQ")</f>
        <v>1jm-Rrun0S1nkf5N9L0XR0cK07laQ4i2IyhTZ_88GUUQ</v>
      </c>
    </row>
    <row r="519" ht="15.75" customHeight="1">
      <c r="A519" t="str">
        <f>IFERROR(__xludf.DUMMYFUNCTION("""COMPUTED_VALUE"""),"Blotter")</f>
        <v>Blotter</v>
      </c>
      <c r="B519" t="str">
        <f>IFERROR(__xludf.DUMMYFUNCTION("""COMPUTED_VALUE"""),"ReloadOrderFromBlotter")</f>
        <v>ReloadOrderFromBlotter</v>
      </c>
      <c r="C519" t="str">
        <f>IFERROR(__xludf.DUMMYFUNCTION("""COMPUTED_VALUE"""),"1GnRgq3n2FmksmM-vQvyFRWFLBbtVf3YzhzcYjkk8r48")</f>
        <v>1GnRgq3n2FmksmM-vQvyFRWFLBbtVf3YzhzcYjkk8r48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IFERROR(__xludf.DUMMYFUNCTION("""COMPUTED_VALUE"""),"AddOptionTrade")</f>
        <v>AddOptionTrade</v>
      </c>
      <c r="C520" t="str">
        <f>IFERROR(__xludf.DUMMYFUNCTION("""COMPUTED_VALUE"""),"1S77RUpuNPEdRdFAsltgJ4BQ2n1UATWQLWerXZ4PXTkk")</f>
        <v>1S77RUpuNPEdRdFAsltgJ4BQ2n1UATWQLWerXZ4PXTkk</v>
      </c>
    </row>
    <row r="521" ht="15.75" customHeight="1">
      <c r="A521" t="str">
        <f>IFERROR(__xludf.DUMMYFUNCTION("""COMPUTED_VALUE"""),"Closing")</f>
        <v>Closing</v>
      </c>
      <c r="B521" t="str">
        <f>IFERROR(__xludf.DUMMYFUNCTION("""COMPUTED_VALUE"""),"AutoExercise")</f>
        <v>AutoExercise</v>
      </c>
      <c r="C521" t="str">
        <f>IFERROR(__xludf.DUMMYFUNCTION("""COMPUTED_VALUE"""),"1hfy0JEIqBV_drZcgmDPPTyHwSQxbE1sD97UL33FyUKI")</f>
        <v>1hfy0JEIqBV_drZcgmDPPTyHwSQxbE1sD97UL33FyUKI</v>
      </c>
    </row>
    <row r="522" ht="15.75" customHeight="1">
      <c r="A522" t="str">
        <f>IFERROR(__xludf.DUMMYFUNCTION("""COMPUTED_VALUE"""),"Admin")</f>
        <v>Admin</v>
      </c>
      <c r="B522" t="str">
        <f>IFERROR(__xludf.DUMMYFUNCTION("""COMPUTED_VALUE"""),"UpdateExpirationDate")</f>
        <v>UpdateExpirationDate</v>
      </c>
      <c r="C522" t="str">
        <f>IFERROR(__xludf.DUMMYFUNCTION("""COMPUTED_VALUE"""),"1dylWul81BFmbZVj_Z-Xiz11zLj_QrhKk5QXK_mf_uUE")</f>
        <v>1dylWul81BFmbZVj_Z-Xiz11zLj_QrhKk5QXK_mf_uUE</v>
      </c>
    </row>
    <row r="523" ht="15.75" customHeight="1">
      <c r="A523" t="str">
        <f>IFERROR(__xludf.DUMMYFUNCTION("""COMPUTED_VALUE"""),"Blotter")</f>
        <v>Blotter</v>
      </c>
      <c r="B523" t="str">
        <f>IFERROR(__xludf.DUMMYFUNCTION("""COMPUTED_VALUE"""),"ReloadOrderFromSubOrder")</f>
        <v>ReloadOrderFromSubOrder</v>
      </c>
      <c r="C523" t="str">
        <f>IFERROR(__xludf.DUMMYFUNCTION("""COMPUTED_VALUE"""),"1HCRddvgPCwJLqnfI7ts10VrFX5EFtgDXaYOCFKQa5Hw")</f>
        <v>1HCRddvgPCwJLqnfI7ts10VrFX5EFtgDXaYOCFKQa5Hw</v>
      </c>
    </row>
    <row r="524" ht="15.75" customHeight="1">
      <c r="A524" t="str">
        <f>IFERROR(__xludf.DUMMYFUNCTION("""COMPUTED_VALUE"""),"Blotter")</f>
        <v>Blotter</v>
      </c>
      <c r="B524" t="str">
        <f>IFERROR(__xludf.DUMMYFUNCTION("""COMPUTED_VALUE"""),"ReloadOrderFromWorkingSubs")</f>
        <v>ReloadOrderFromWorkingSubs</v>
      </c>
      <c r="C524" t="str">
        <f>IFERROR(__xludf.DUMMYFUNCTION("""COMPUTED_VALUE"""),"1-0deCunA0B5gH5_QgjFRQJkWoWhaKLyiNrCl5nK7g5k")</f>
        <v>1-0deCunA0B5gH5_QgjFRQJkWoWhaKLyiNrCl5nK7g5k</v>
      </c>
    </row>
    <row r="525" ht="15.75" customHeight="1">
      <c r="A525" t="str">
        <f>IFERROR(__xludf.DUMMYFUNCTION("""COMPUTED_VALUE"""),"PricingInput")</f>
        <v>PricingInput</v>
      </c>
      <c r="B525" t="str">
        <f>IFERROR(__xludf.DUMMYFUNCTION("""COMPUTED_VALUE"""),"UncheckDividendYield")</f>
        <v>UncheckDividendYield</v>
      </c>
      <c r="C525" t="str">
        <f>IFERROR(__xludf.DUMMYFUNCTION("""COMPUTED_VALUE"""),"1tE_B1MbYuONekKo2FJCjz81vOxEukuWLbDI84AvoR2Y")</f>
        <v>1tE_B1MbYuONekKo2FJCjz81vOxEukuWLbDI84AvoR2Y</v>
      </c>
    </row>
    <row r="526" ht="15.75" customHeight="1">
      <c r="A526" t="str">
        <f>IFERROR(__xludf.DUMMYFUNCTION("""COMPUTED_VALUE"""),"Admin")</f>
        <v>Admin</v>
      </c>
      <c r="B526" t="str">
        <f>IFERROR(__xludf.DUMMYFUNCTION("""COMPUTED_VALUE"""),"RenameMasterStrategy")</f>
        <v>RenameMasterStrategy</v>
      </c>
      <c r="C526" t="str">
        <f>IFERROR(__xludf.DUMMYFUNCTION("""COMPUTED_VALUE"""),"1jioQdD3XlMWB-FhSemgF2Y-BAp85sCvZSZJzxbDG-uY")</f>
        <v>1jioQdD3XlMWB-FhSemgF2Y-BAp85sCvZSZJzxbDG-uY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IFERROR(__xludf.DUMMYFUNCTION("""COMPUTED_VALUE"""),"SelectFills")</f>
        <v>SelectFills</v>
      </c>
      <c r="C527" t="str">
        <f>IFERROR(__xludf.DUMMYFUNCTION("""COMPUTED_VALUE"""),"1Z7QxmNsys5SzZV3G-2XqSn0OdEXfUG5t0ZPmwtyFCL8")</f>
        <v>1Z7QxmNsys5SzZV3G-2XqSn0OdEXfUG5t0ZPmwtyFCL8</v>
      </c>
    </row>
    <row r="528" ht="15.75" customHeight="1">
      <c r="A528" t="str">
        <f>IFERROR(__xludf.DUMMYFUNCTION("""COMPUTED_VALUE"""),"Blotter")</f>
        <v>Blotter</v>
      </c>
      <c r="B528" t="str">
        <f>IFERROR(__xludf.DUMMYFUNCTION("""COMPUTED_VALUE"""),"ModifyFills")</f>
        <v>ModifyFills</v>
      </c>
      <c r="C528" t="str">
        <f>IFERROR(__xludf.DUMMYFUNCTION("""COMPUTED_VALUE"""),"1A0nU9DMune_BQD6mdF4jX7kLj0RbHiXhcWgPgbNEIVM")</f>
        <v>1A0nU9DMune_BQD6mdF4jX7kLj0RbHiXhcWgPgbNEIVM</v>
      </c>
    </row>
    <row r="529" ht="15.75" customHeight="1">
      <c r="A529" t="str">
        <f>IFERROR(__xludf.DUMMYFUNCTION("""COMPUTED_VALUE"""),"PranaClient")</f>
        <v>PranaClient</v>
      </c>
      <c r="B529" t="str">
        <f>IFERROR(__xludf.DUMMYFUNCTION("""COMPUTED_VALUE"""),"LoginClient")</f>
        <v>LoginClient</v>
      </c>
      <c r="C529" t="str">
        <f>IFERROR(__xludf.DUMMYFUNCTION("""COMPUTED_VALUE"""),"1q8zAoreC7MIeJDU3n8P82NH8qIhpvWC2BtDtEAyBLPg")</f>
        <v>1q8zAoreC7MIeJDU3n8P82NH8qIhpvWC2BtDtEAyBLPg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IFERROR(__xludf.DUMMYFUNCTION("""COMPUTED_VALUE"""),"EditMultipleCloseQuantity")</f>
        <v>EditMultipleCloseQuantity</v>
      </c>
      <c r="C530" t="str">
        <f>IFERROR(__xludf.DUMMYFUNCTION("""COMPUTED_VALUE"""),"1U1ODQcFsY16SNjzU2RI28CuGFFSBBndsvfyS0p6HRg8")</f>
        <v>1U1ODQcFsY16SNjzU2RI28CuGFFSBBndsvfyS0p6HRg8</v>
      </c>
    </row>
    <row r="531" ht="15.75" customHeight="1">
      <c r="A531" t="str">
        <f>IFERROR(__xludf.DUMMYFUNCTION("""COMPUTED_VALUE"""),"Closing")</f>
        <v>Closing</v>
      </c>
      <c r="B531" t="str">
        <f>IFERROR(__xludf.DUMMYFUNCTION("""COMPUTED_VALUE"""),"ManualCloseOrder")</f>
        <v>ManualCloseOrder</v>
      </c>
      <c r="C531" t="str">
        <f>IFERROR(__xludf.DUMMYFUNCTION("""COMPUTED_VALUE"""),"1rvAoeelgUtlBWcdnZmGDYNUZPMtp2QSpHWK9X9nndtY")</f>
        <v>1rvAoeelgUtlBWcdnZmGDYNUZPMtp2QSpHWK9X9nndtY</v>
      </c>
    </row>
    <row r="532" ht="15.75" customHeight="1">
      <c r="A532" t="str">
        <f>IFERROR(__xludf.DUMMYFUNCTION("""COMPUTED_VALUE"""),"Admin")</f>
        <v>Admin</v>
      </c>
      <c r="B532" t="str">
        <f>IFERROR(__xludf.DUMMYFUNCTION("""COMPUTED_VALUE"""),"SetTTUIPreferencesViaAdmin")</f>
        <v>SetTTUIPreferencesViaAdmin</v>
      </c>
      <c r="C532" t="str">
        <f>IFERROR(__xludf.DUMMYFUNCTION("""COMPUTED_VALUE"""),"1Z8JIwoPxCgLRv01bYZcdh7xr1IcRWOaqqUrwQZaloYA")</f>
        <v>1Z8JIwoPxCgLRv01bYZcdh7xr1IcRWOaqqUrwQZaloYA</v>
      </c>
    </row>
    <row r="533" ht="15.75" customHeight="1">
      <c r="A533" t="str">
        <f>IFERROR(__xludf.DUMMYFUNCTION("""COMPUTED_VALUE"""),"Allocation")</f>
        <v>Allocation</v>
      </c>
      <c r="B533" t="str">
        <f>IFERROR(__xludf.DUMMYFUNCTION("""COMPUTED_VALUE"""),"AllocationAuditTrail")</f>
        <v>AllocationAuditTrail</v>
      </c>
      <c r="C533" t="str">
        <f>IFERROR(__xludf.DUMMYFUNCTION("""COMPUTED_VALUE"""),"178rOki2KCouUF9Iz9lng6bwJnPFVHaZtwBC9CdiyuVc")</f>
        <v>178rOki2KCouUF9Iz9lng6bwJnPFVHaZtwBC9CdiyuVc</v>
      </c>
    </row>
    <row r="534" ht="15.75" customHeight="1">
      <c r="A534" t="str">
        <f>IFERROR(__xludf.DUMMYFUNCTION("""COMPUTED_VALUE"""),"Allocation")</f>
        <v>Allocation</v>
      </c>
      <c r="B534" t="str">
        <f>IFERROR(__xludf.DUMMYFUNCTION("""COMPUTED_VALUE"""),"GetAuditTrailData")</f>
        <v>GetAuditTrailData</v>
      </c>
      <c r="C534" t="str">
        <f>IFERROR(__xludf.DUMMYFUNCTION("""COMPUTED_VALUE"""),"1xzn2YyCPdZfMTo0ieuR11YKa_oxUPbzkPKQEmibGMDo")</f>
        <v>1xzn2YyCPdZfMTo0ieuR11YKa_oxUPbzkPKQEmibGMDo</v>
      </c>
    </row>
    <row r="535" ht="15.75" customHeight="1">
      <c r="A535" t="str">
        <f>IFERROR(__xludf.DUMMYFUNCTION("""COMPUTED_VALUE"""),"Allocation")</f>
        <v>Allocation</v>
      </c>
      <c r="B535" t="str">
        <f>IFERROR(__xludf.DUMMYFUNCTION("""COMPUTED_VALUE"""),"CheckAuditTrailData")</f>
        <v>CheckAuditTrailData</v>
      </c>
      <c r="C535" t="str">
        <f>IFERROR(__xludf.DUMMYFUNCTION("""COMPUTED_VALUE"""),"1Yxu4VMZGMl7EQBhNAo8lBqOGH6w7WWla7_FbMhPALQg")</f>
        <v>1Yxu4VMZGMl7EQBhNAo8lBqOGH6w7WWla7_FbMhPALQg</v>
      </c>
    </row>
    <row r="536" ht="15.75" customHeight="1">
      <c r="A536" t="str">
        <f>IFERROR(__xludf.DUMMYFUNCTION("""COMPUTED_VALUE"""),"SymbolLookup")</f>
        <v>SymbolLookup</v>
      </c>
      <c r="B536" t="str">
        <f>IFERROR(__xludf.DUMMYFUNCTION("""COMPUTED_VALUE"""),"UpdateSecurityInfoOnSM")</f>
        <v>UpdateSecurityInfoOnSM</v>
      </c>
      <c r="C536" t="str">
        <f>IFERROR(__xludf.DUMMYFUNCTION("""COMPUTED_VALUE"""),"14z69pnCfo_DnsBrAd1uY7YL0PPT5uLfl7VchS5jQ8a8")</f>
        <v>14z69pnCfo_DnsBrAd1uY7YL0PPT5uLfl7VchS5jQ8a8</v>
      </c>
    </row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IFERROR(__xludf.DUMMYFUNCTION("""COMPUTED_VALUE"""),"SetTradingComplianceRules")</f>
        <v>SetTradingComplianceRules</v>
      </c>
      <c r="I4" s="24" t="str">
        <f>IFERROR(__xludf.DUMMYFUNCTION("""COMPUTED_VALUE"""),"EnableBreakdownRealizedPNL")</f>
        <v>EnableBreakdownRealizedPNL</v>
      </c>
      <c r="J4" s="24" t="str">
        <f>IFERROR(__xludf.DUMMYFUNCTION("""COMPUTED_VALUE"""),"SetTTGeneralPreferences")</f>
        <v>SetTTGeneralPreferences</v>
      </c>
      <c r="K4" s="24" t="str">
        <f>IFERROR(__xludf.DUMMYFUNCTION("""COMPUTED_VALUE"""),"SetDollarAmountPermission")</f>
        <v>SetDollarAmountPermission</v>
      </c>
      <c r="L4" s="24" t="str">
        <f>IFERROR(__xludf.DUMMYFUNCTION("""COMPUTED_VALUE"""),"EnableDiableModule")</f>
        <v>EnableDiableModule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IFERROR(__xludf.DUMMYFUNCTION("""COMPUTED_VALUE"""),"SetTTUIPreferencesViaAdmin")</f>
        <v>SetTTUIPreferencesViaAdmin</v>
      </c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IFERROR(__xludf.DUMMYFUNCTION("""COMPUTED_VALUE"""),"OverSellTradingRule")</f>
        <v>OverSellTradingRule</v>
      </c>
      <c r="C5" s="27" t="str">
        <f>IFERROR(__xludf.DUMMYFUNCTION("""COMPUTED_VALUE"""),"OverBuyTradingRule")</f>
        <v>OverBuyTradingRule</v>
      </c>
      <c r="D5" s="27" t="str">
        <f>IFERROR(__xludf.DUMMYFUNCTION("""COMPUTED_VALUE"""),"FatFingerTradingRule")</f>
        <v>FatFingerTradingRule</v>
      </c>
      <c r="E5" s="27" t="str">
        <f>IFERROR(__xludf.DUMMYFUNCTION("""COMPUTED_VALUE"""),"UnallocatedTradeAlert")</f>
        <v>UnallocatedTradeAlert</v>
      </c>
      <c r="F5" s="28" t="str">
        <f>IFERROR(__xludf.DUMMYFUNCTION("""COMPUTED_VALUE"""),"DuplicateTradeAlert")</f>
        <v>DuplicateTradeAlert</v>
      </c>
      <c r="G5" s="27" t="str">
        <f>IFERROR(__xludf.DUMMYFUNCTION("""COMPUTED_VALUE"""),"PendingNewOrderAlert")</f>
        <v>PendingNewOrderAlert</v>
      </c>
      <c r="H5" s="27" t="str">
        <f>IFERROR(__xludf.DUMMYFUNCTION("""COMPUTED_VALUE"""),"FatFingerPercent")</f>
        <v>FatFingerPercent</v>
      </c>
      <c r="I5" s="27" t="str">
        <f>IFERROR(__xludf.DUMMYFUNCTION("""COMPUTED_VALUE"""),"DuplicateTradeAlertTime")</f>
        <v>DuplicateTradeAlertTime</v>
      </c>
      <c r="J5" s="27" t="str">
        <f>IFERROR(__xludf.DUMMYFUNCTION("""COMPUTED_VALUE"""),"PendingNewOrderAlertTime")</f>
        <v>PendingNewOrderAlertTime</v>
      </c>
      <c r="K5" s="27" t="str">
        <f>IFERROR(__xludf.DUMMYFUNCTION("""COMPUTED_VALUE"""),"FatFingerAccountOrMasterFund")</f>
        <v>FatFingerAccountOrMasterFund</v>
      </c>
      <c r="L5" s="27" t="str">
        <f>IFERROR(__xludf.DUMMYFUNCTION("""COMPUTED_VALUE"""),"IsAbsoluteAmountOrDefinePercent")</f>
        <v>IsAbsoluteAmountOrDefinePercent</v>
      </c>
      <c r="M5" s="27" t="str">
        <f>IFERROR(__xludf.DUMMYFUNCTION("""COMPUTED_VALUE"""),"IsInMarketIncluded")</f>
        <v>IsInMarketIncluded</v>
      </c>
      <c r="N5" s="27" t="str">
        <f>IFERROR(__xludf.DUMMYFUNCTION("""COMPUTED_VALUE"""),"IsSharesOutstandingRule")</f>
        <v>IsSharesOutstandingRule</v>
      </c>
      <c r="O5" s="27" t="str">
        <f>IFERROR(__xludf.DUMMYFUNCTION("""COMPUTED_VALUE"""),"SharesOutstandingPercent")</f>
        <v>SharesOutstandingPercent</v>
      </c>
      <c r="P5" s="27" t="str">
        <f>IFERROR(__xludf.DUMMYFUNCTION("""COMPUTED_VALUE"""),"SharesOutstandingAccountOrMF")</f>
        <v>SharesOutstandingAccountOrMF</v>
      </c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11"/>
      <c r="E6" s="30"/>
      <c r="F6" s="8"/>
      <c r="G6" s="8"/>
      <c r="H6" s="8"/>
      <c r="I6" s="8"/>
      <c r="J6" s="8"/>
      <c r="K6" s="8"/>
      <c r="L6" s="8"/>
      <c r="M6" s="8"/>
      <c r="N6" s="11" t="b">
        <v>1</v>
      </c>
      <c r="O6" s="11">
        <v>2.0</v>
      </c>
      <c r="P6" s="9" t="s">
        <v>16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SetTradingComplianceRules!$4:$4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IFERROR(__xludf.DUMMYFUNCTION("""COMPUTED_VALUE"""),"Rate(%)")</f>
        <v>Rate(%)</v>
      </c>
      <c r="AS5" s="29" t="str">
        <f>IFERROR(__xludf.DUMMYFUNCTION("""COMPUTED_VALUE"""),"SharesOutstandingPopUpQty")</f>
        <v>SharesOutstandingPopUpQty</v>
      </c>
      <c r="AT5" s="29" t="str">
        <f>IFERROR(__xludf.DUMMYFUNCTION("""COMPUTED_VALUE"""),"SharesOutstandingPopUp")</f>
        <v>SharesOutstandingPopUp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19</v>
      </c>
      <c r="C6" s="11" t="s">
        <v>20</v>
      </c>
      <c r="D6" s="11">
        <v>1000.0</v>
      </c>
      <c r="E6" s="11">
        <v>1000.0</v>
      </c>
      <c r="F6" s="11" t="s">
        <v>21</v>
      </c>
      <c r="G6" s="8"/>
      <c r="H6" s="8"/>
      <c r="I6" s="8"/>
      <c r="J6" s="11">
        <v>10.0</v>
      </c>
      <c r="K6" s="8"/>
      <c r="L6" s="8"/>
      <c r="M6" s="8"/>
      <c r="N6" s="8"/>
      <c r="O6" s="8"/>
      <c r="AS6" s="9">
        <v>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73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IFERROR(__xludf.DUMMYFUNCTION("""COMPUTED_VALUE"""),"OpenClosingFromPM")</f>
        <v>OpenClosingFromPM</v>
      </c>
      <c r="M4" s="24" t="str">
        <f>IFERROR(__xludf.DUMMYFUNCTION("""COMPUTED_VALUE"""),"OpenCorporateActionFromPM")</f>
        <v>OpenCorporateActionFromPM</v>
      </c>
      <c r="N4" s="24" t="str">
        <f>IFERROR(__xludf.DUMMYFUNCTION("""COMPUTED_VALUE"""),"OpenDailyValuationFromPM")</f>
        <v>OpenDailyValuationFromPM</v>
      </c>
      <c r="O4" s="24" t="str">
        <f>IFERROR(__xludf.DUMMYFUNCTION("""COMPUTED_VALUE"""),"ClosePositionFromPM")</f>
        <v>ClosePositionFromPM</v>
      </c>
      <c r="P4" s="25" t="str">
        <f>IFERROR(__xludf.DUMMYFUNCTION("""COMPUTED_VALUE"""),"ShowSummaryToolFromPM")</f>
        <v>ShowSummaryToolFromPM</v>
      </c>
      <c r="Q4" s="25" t="str">
        <f>IFERROR(__xludf.DUMMYFUNCTION("""COMPUTED_VALUE"""),"HideSummaryToolFromPM")</f>
        <v>HideSummaryToolFromPM</v>
      </c>
      <c r="R4" s="25" t="str">
        <f>IFERROR(__xludf.DUMMYFUNCTION("""COMPUTED_VALUE"""),"CloseAccountPositionFromPM")</f>
        <v>CloseAccountPositionFromPM</v>
      </c>
      <c r="S4" s="25" t="str">
        <f>IFERROR(__xludf.DUMMYFUNCTION("""COMPUTED_VALUE"""),"CloseSelectedTaxlotsFromPM")</f>
        <v>CloseSelectedTaxlotsFromPM</v>
      </c>
      <c r="T4" s="25" t="str">
        <f>IFERROR(__xludf.DUMMYFUNCTION("""COMPUTED_VALUE"""),"ExpandCollapsePM")</f>
        <v>ExpandCollapsePM</v>
      </c>
      <c r="U4" s="25" t="str">
        <f>IFERROR(__xludf.DUMMYFUNCTION("""COMPUTED_VALUE"""),"AddCustomViewPM")</f>
        <v>AddCustomViewPM</v>
      </c>
      <c r="V4" s="25" t="str">
        <f>IFERROR(__xludf.DUMMYFUNCTION("""COMPUTED_VALUE"""),"AddCustomViewRightClickPM")</f>
        <v>AddCustomViewRightClickPM</v>
      </c>
      <c r="W4" s="25" t="str">
        <f>IFERROR(__xludf.DUMMYFUNCTION("""COMPUTED_VALUE"""),"RenameCustomViewPM")</f>
        <v>RenameCustomViewPM</v>
      </c>
      <c r="X4" s="25" t="str">
        <f>IFERROR(__xludf.DUMMYFUNCTION("""COMPUTED_VALUE"""),"DeleteCustomViewPM")</f>
        <v>DeleteCustomViewPM</v>
      </c>
      <c r="Y4" s="25" t="str">
        <f>IFERROR(__xludf.DUMMYFUNCTION("""COMPUTED_VALUE"""),"OpenCreateTransactionFromPM")</f>
        <v>OpenCreateTransactionFromPM</v>
      </c>
      <c r="Z4" s="25" t="str">
        <f>IFERROR(__xludf.DUMMYFUNCTION("""COMPUTED_VALUE"""),"RemoveGroupingFromPM")</f>
        <v>RemoveGroupingFromPM</v>
      </c>
      <c r="AA4" s="25" t="str">
        <f>IFERROR(__xludf.DUMMYFUNCTION("""COMPUTED_VALUE"""),"IncreasePositionFromPM")</f>
        <v>IncreasePositionFromPM</v>
      </c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ITM/OTM")</f>
        <v>% of ITM/OTM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/>
      <c r="FI5" s="29"/>
      <c r="FJ5" s="29"/>
      <c r="FK5" s="29"/>
      <c r="FL5" s="29"/>
      <c r="FM5" s="29"/>
      <c r="FN5" s="29"/>
      <c r="FO5" s="29"/>
      <c r="FP5" s="29"/>
      <c r="FQ5" s="29"/>
    </row>
    <row r="6" ht="15.75" customHeight="1">
      <c r="A6" s="31"/>
      <c r="B6" s="32"/>
      <c r="C6" s="33" t="s">
        <v>19</v>
      </c>
      <c r="D6" s="34">
        <v>1000.0</v>
      </c>
      <c r="E6" s="33" t="s">
        <v>21</v>
      </c>
      <c r="F6" s="33" t="s">
        <v>24</v>
      </c>
      <c r="G6" s="35">
        <v>10.0</v>
      </c>
      <c r="H6" s="36" t="s">
        <v>25</v>
      </c>
      <c r="I6" s="35">
        <v>0.0</v>
      </c>
      <c r="J6" s="37"/>
      <c r="K6" s="35">
        <v>0.0</v>
      </c>
      <c r="L6" s="37"/>
      <c r="M6" s="37"/>
      <c r="N6" s="34">
        <v>-10000.0</v>
      </c>
      <c r="O6" s="33" t="s">
        <v>26</v>
      </c>
      <c r="P6" s="38" t="s">
        <v>27</v>
      </c>
      <c r="Q6" s="34">
        <v>-10000.0</v>
      </c>
      <c r="R6" s="33" t="s">
        <v>28</v>
      </c>
      <c r="S6" s="33" t="s">
        <v>29</v>
      </c>
      <c r="T6" s="39" t="s">
        <v>30</v>
      </c>
      <c r="U6" s="39" t="s">
        <v>31</v>
      </c>
      <c r="V6" s="39" t="s">
        <v>32</v>
      </c>
      <c r="W6" s="39" t="s">
        <v>33</v>
      </c>
      <c r="X6" s="40"/>
      <c r="Y6" s="41">
        <v>1.0</v>
      </c>
      <c r="Z6" s="40"/>
      <c r="AA6" s="40"/>
      <c r="AB6" s="41">
        <v>0.0</v>
      </c>
      <c r="AC6" s="41">
        <v>0.0</v>
      </c>
      <c r="AD6" s="41">
        <v>0.0</v>
      </c>
      <c r="AE6" s="41">
        <v>0.0</v>
      </c>
      <c r="AF6" s="42">
        <v>1000.0</v>
      </c>
      <c r="AG6" s="41">
        <v>0.0</v>
      </c>
      <c r="AH6" s="41">
        <v>0.0</v>
      </c>
      <c r="AI6" s="41">
        <v>0.0</v>
      </c>
      <c r="AJ6" s="41">
        <v>0.0</v>
      </c>
      <c r="AK6" s="42">
        <v>-10000.0</v>
      </c>
      <c r="AL6" s="41">
        <v>1.0</v>
      </c>
      <c r="AM6" s="41">
        <v>1.0</v>
      </c>
      <c r="AN6" s="40" t="s">
        <v>20</v>
      </c>
      <c r="AO6" s="40"/>
      <c r="AP6" s="39" t="s">
        <v>25</v>
      </c>
      <c r="AQ6" s="39" t="s">
        <v>19</v>
      </c>
      <c r="AR6" s="41">
        <v>0.0</v>
      </c>
      <c r="AS6" s="40"/>
      <c r="AT6" s="40"/>
      <c r="AU6" s="40"/>
      <c r="AV6" s="41">
        <v>1.0</v>
      </c>
      <c r="AW6" s="42">
        <v>-10000.0</v>
      </c>
      <c r="AX6" s="41">
        <v>0.0</v>
      </c>
      <c r="AY6" s="41">
        <v>0.0</v>
      </c>
      <c r="AZ6" s="41">
        <v>0.0</v>
      </c>
      <c r="BA6" s="41">
        <v>-100.0</v>
      </c>
      <c r="BB6" s="40"/>
      <c r="BC6" s="41">
        <v>1.0</v>
      </c>
      <c r="BD6" s="42">
        <v>-10000.0</v>
      </c>
      <c r="BE6" s="39" t="s">
        <v>30</v>
      </c>
      <c r="BF6" s="39" t="s">
        <v>34</v>
      </c>
      <c r="BG6" s="39" t="s">
        <v>35</v>
      </c>
      <c r="BH6" s="39" t="s">
        <v>27</v>
      </c>
      <c r="BI6" s="41">
        <v>5.0</v>
      </c>
      <c r="BJ6" s="41">
        <v>0.0</v>
      </c>
      <c r="BK6" s="41">
        <v>0.0</v>
      </c>
      <c r="BL6" s="41">
        <v>0.0</v>
      </c>
      <c r="BM6" s="41">
        <v>0.0</v>
      </c>
      <c r="BN6" s="40"/>
      <c r="BO6" s="42">
        <v>-10000.0</v>
      </c>
      <c r="BP6" s="41">
        <v>0.0</v>
      </c>
      <c r="BQ6" s="39" t="s">
        <v>36</v>
      </c>
      <c r="BR6" s="39" t="s">
        <v>37</v>
      </c>
      <c r="BS6" s="41">
        <v>0.0</v>
      </c>
      <c r="BT6" s="41">
        <v>0.0</v>
      </c>
      <c r="BU6" s="39" t="s">
        <v>30</v>
      </c>
      <c r="BV6" s="40"/>
      <c r="BW6" s="41">
        <v>0.0</v>
      </c>
      <c r="BX6" s="41">
        <v>0.0</v>
      </c>
      <c r="BY6" s="41">
        <v>0.0</v>
      </c>
      <c r="BZ6" s="41">
        <v>0.0</v>
      </c>
      <c r="CA6" s="41">
        <v>0.0</v>
      </c>
      <c r="CB6" s="40"/>
      <c r="CC6" s="41">
        <v>0.0</v>
      </c>
      <c r="CD6" s="42">
        <v>-10000.0</v>
      </c>
      <c r="CE6" s="41">
        <v>0.0</v>
      </c>
      <c r="CF6" s="41">
        <v>0.0</v>
      </c>
      <c r="CG6" s="42">
        <v>-10000.0</v>
      </c>
      <c r="CH6" s="41">
        <v>-100.0</v>
      </c>
      <c r="CI6" s="41">
        <v>0.0</v>
      </c>
      <c r="CJ6" s="41">
        <v>0.0</v>
      </c>
      <c r="CK6" s="43" t="b">
        <v>0</v>
      </c>
      <c r="CL6" s="40"/>
      <c r="CM6" s="40"/>
      <c r="CN6" s="39" t="s">
        <v>19</v>
      </c>
      <c r="CO6" s="39" t="s">
        <v>19</v>
      </c>
      <c r="CP6" s="39" t="s">
        <v>38</v>
      </c>
      <c r="CQ6" s="40"/>
      <c r="CR6" s="40"/>
      <c r="CS6" s="41">
        <v>10.0</v>
      </c>
      <c r="CT6" s="40"/>
      <c r="CU6" s="40"/>
      <c r="CV6" s="40"/>
      <c r="CW6" s="40"/>
      <c r="CX6" s="40"/>
      <c r="CY6" s="39" t="s">
        <v>39</v>
      </c>
      <c r="CZ6" s="39" t="s">
        <v>40</v>
      </c>
      <c r="DA6" s="41">
        <v>0.0</v>
      </c>
      <c r="DB6" s="41">
        <v>0.0</v>
      </c>
      <c r="DC6" s="41"/>
      <c r="DD6" s="42">
        <v>1000.0</v>
      </c>
      <c r="DE6" s="41">
        <v>0.0</v>
      </c>
      <c r="DF6" s="41">
        <v>0.0</v>
      </c>
      <c r="DG6" s="41">
        <v>0.0</v>
      </c>
      <c r="DH6" s="38" t="s">
        <v>27</v>
      </c>
      <c r="DI6" s="41">
        <v>0.0</v>
      </c>
      <c r="DJ6" s="39" t="s">
        <v>20</v>
      </c>
      <c r="DK6" s="41">
        <v>0.0</v>
      </c>
      <c r="DL6" s="41">
        <v>0.0</v>
      </c>
      <c r="DM6" s="41">
        <v>1.0</v>
      </c>
      <c r="DN6" s="41">
        <v>0.0</v>
      </c>
      <c r="DO6" s="40"/>
      <c r="DP6" s="39" t="s">
        <v>25</v>
      </c>
      <c r="DQ6" s="39" t="s">
        <v>41</v>
      </c>
      <c r="DR6" s="39" t="s">
        <v>42</v>
      </c>
      <c r="DS6" s="39" t="s">
        <v>41</v>
      </c>
      <c r="DT6" s="39" t="s">
        <v>41</v>
      </c>
      <c r="DU6" s="39" t="s">
        <v>43</v>
      </c>
      <c r="DV6" s="39" t="s">
        <v>41</v>
      </c>
      <c r="DW6" s="39" t="s">
        <v>41</v>
      </c>
      <c r="DX6" s="39" t="s">
        <v>41</v>
      </c>
      <c r="DY6" s="39" t="s">
        <v>41</v>
      </c>
      <c r="DZ6" s="39" t="s">
        <v>26</v>
      </c>
      <c r="EA6" s="39" t="s">
        <v>43</v>
      </c>
      <c r="EB6" s="39" t="s">
        <v>41</v>
      </c>
      <c r="EC6" s="39" t="s">
        <v>41</v>
      </c>
      <c r="ED6" s="39" t="s">
        <v>33</v>
      </c>
      <c r="EE6" s="39" t="s">
        <v>44</v>
      </c>
      <c r="EF6" s="41">
        <v>0.0</v>
      </c>
      <c r="EG6" s="41">
        <v>0.0</v>
      </c>
      <c r="EH6" s="41">
        <v>0.0</v>
      </c>
      <c r="EI6" s="41">
        <v>0.0</v>
      </c>
      <c r="EJ6" s="41">
        <v>0.0</v>
      </c>
      <c r="EK6" s="41">
        <v>0.0</v>
      </c>
      <c r="EL6" s="39" t="s">
        <v>25</v>
      </c>
      <c r="EM6" s="41">
        <v>0.0</v>
      </c>
      <c r="EN6" s="41">
        <v>0.0</v>
      </c>
      <c r="EO6" s="41">
        <v>0.0</v>
      </c>
      <c r="EP6" s="41"/>
      <c r="EQ6" s="41">
        <v>0.0</v>
      </c>
      <c r="ER6" s="41">
        <v>0.0</v>
      </c>
      <c r="ES6" s="40"/>
      <c r="ET6" s="40"/>
      <c r="EU6" s="41">
        <v>0.0</v>
      </c>
      <c r="EV6" s="39" t="s">
        <v>25</v>
      </c>
      <c r="EW6" s="40"/>
      <c r="EX6" s="40"/>
      <c r="EY6" s="40"/>
      <c r="EZ6" s="40"/>
      <c r="FA6" s="40"/>
      <c r="FB6" s="40"/>
      <c r="FC6" s="40"/>
      <c r="FD6" s="40"/>
      <c r="FE6" s="40"/>
      <c r="FF6" s="40"/>
      <c r="FG6" s="40"/>
      <c r="FH6" s="40"/>
      <c r="FI6" s="40"/>
      <c r="FJ6" s="40"/>
      <c r="FK6" s="40"/>
      <c r="FL6" s="40"/>
      <c r="FM6" s="40"/>
      <c r="FN6" s="40"/>
      <c r="FO6" s="40"/>
      <c r="FP6" s="40"/>
      <c r="FQ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45</v>
      </c>
      <c r="D3" s="5" t="s">
        <v>9</v>
      </c>
      <c r="E3" s="22" t="s">
        <v>45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19</v>
      </c>
      <c r="C6" s="8"/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Q6" s="9">
        <v>1000000.0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IFERROR(__xludf.DUMMYFUNCTION("""COMPUTED_VALUE"""),"Rate(%)")</f>
        <v>Rate(%)</v>
      </c>
      <c r="AS5" s="29" t="str">
        <f>IFERROR(__xludf.DUMMYFUNCTION("""COMPUTED_VALUE"""),"SharesOutstandingPopUpQty")</f>
        <v>SharesOutstandingPopUpQty</v>
      </c>
      <c r="AT5" s="29" t="str">
        <f>IFERROR(__xludf.DUMMYFUNCTION("""COMPUTED_VALUE"""),"SharesOutstandingPopUp")</f>
        <v>SharesOutstandingPopUp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19</v>
      </c>
      <c r="C6" s="11" t="s">
        <v>46</v>
      </c>
      <c r="D6" s="11">
        <v>10000.0</v>
      </c>
      <c r="E6" s="11">
        <v>10000.0</v>
      </c>
      <c r="F6" s="11" t="s">
        <v>21</v>
      </c>
      <c r="G6" s="8"/>
      <c r="H6" s="8"/>
      <c r="I6" s="8"/>
      <c r="J6" s="11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CreateDoneAwayOrder1!$4:$4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47</v>
      </c>
      <c r="D3" s="5" t="s">
        <v>9</v>
      </c>
      <c r="E3" s="22" t="s">
        <v>48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 t="str">
        <f>IFERROR(__xludf.DUMMYFUNCTION("""COMPUTED_VALUE"""),"ReloadOrderFromBlotter")</f>
        <v>ReloadOrderFromBlotter</v>
      </c>
      <c r="BF4" s="25" t="str">
        <f>IFERROR(__xludf.DUMMYFUNCTION("""COMPUTED_VALUE"""),"ReloadOrderFromSubOrder")</f>
        <v>ReloadOrderFromSubOrder</v>
      </c>
      <c r="BG4" s="25" t="str">
        <f>IFERROR(__xludf.DUMMYFUNCTION("""COMPUTED_VALUE"""),"ReloadOrderFromWorkingSubs")</f>
        <v>ReloadOrderFromWorkingSubs</v>
      </c>
      <c r="BH4" s="25" t="str">
        <f>IFERROR(__xludf.DUMMYFUNCTION("""COMPUTED_VALUE"""),"SelectFills")</f>
        <v>SelectFills</v>
      </c>
      <c r="BI4" s="25" t="str">
        <f>IFERROR(__xludf.DUMMYFUNCTION("""COMPUTED_VALUE"""),"ModifyFills")</f>
        <v>ModifyFills</v>
      </c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2"/>
      <c r="C6" s="37"/>
      <c r="D6" s="44">
        <v>10.0</v>
      </c>
      <c r="E6" s="37"/>
      <c r="F6" s="37"/>
      <c r="G6" s="37"/>
      <c r="H6" s="37" t="s">
        <v>32</v>
      </c>
      <c r="I6" s="37" t="s">
        <v>49</v>
      </c>
      <c r="J6" s="37" t="s">
        <v>19</v>
      </c>
      <c r="K6" s="37" t="s">
        <v>31</v>
      </c>
      <c r="L6" s="37"/>
      <c r="M6" s="37"/>
      <c r="N6" s="37"/>
      <c r="O6" s="37"/>
      <c r="P6" s="37"/>
      <c r="Q6" s="37"/>
      <c r="R6" s="37"/>
      <c r="S6" s="45">
        <v>0.0</v>
      </c>
      <c r="T6" s="46">
        <v>0.0</v>
      </c>
      <c r="U6" s="40" t="s">
        <v>33</v>
      </c>
      <c r="V6" s="40"/>
      <c r="W6" s="40"/>
      <c r="X6" s="40"/>
      <c r="Y6" s="40"/>
      <c r="Z6" s="40"/>
      <c r="AA6" s="40"/>
      <c r="AB6" s="40"/>
      <c r="AC6" s="40"/>
      <c r="AD6" s="46">
        <v>1.0</v>
      </c>
      <c r="AE6" s="40"/>
      <c r="AF6" s="40"/>
      <c r="AG6" s="40"/>
      <c r="AH6" s="40" t="s">
        <v>30</v>
      </c>
      <c r="AI6" s="40" t="s">
        <v>19</v>
      </c>
      <c r="AJ6" s="40" t="s">
        <v>20</v>
      </c>
      <c r="AK6" s="40" t="s">
        <v>50</v>
      </c>
      <c r="AL6" s="46">
        <v>1000.0</v>
      </c>
      <c r="AM6" s="46">
        <v>1000.0</v>
      </c>
      <c r="AN6" s="46">
        <v>100.0</v>
      </c>
      <c r="AO6" s="46">
        <v>1000.0</v>
      </c>
      <c r="AP6" s="40"/>
      <c r="AQ6" s="46">
        <v>10.0</v>
      </c>
      <c r="AR6" s="46">
        <v>10.0</v>
      </c>
      <c r="AS6" s="40" t="s">
        <v>37</v>
      </c>
      <c r="AT6" s="40" t="s">
        <v>21</v>
      </c>
      <c r="AU6" s="40" t="s">
        <v>51</v>
      </c>
      <c r="AV6" s="47">
        <v>10000.0</v>
      </c>
      <c r="AW6" s="47">
        <v>10000.0</v>
      </c>
      <c r="AX6" s="40"/>
      <c r="AY6" s="47">
        <v>1000.0</v>
      </c>
      <c r="AZ6" s="40"/>
      <c r="BA6" s="40" t="s">
        <v>36</v>
      </c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11">
        <v>10.0</v>
      </c>
      <c r="E7" s="8"/>
      <c r="F7" s="8"/>
      <c r="G7" s="8"/>
      <c r="H7" s="37" t="s">
        <v>32</v>
      </c>
      <c r="I7" s="37" t="s">
        <v>49</v>
      </c>
      <c r="J7" s="37" t="s">
        <v>19</v>
      </c>
      <c r="K7" s="37" t="s">
        <v>31</v>
      </c>
      <c r="L7" s="8"/>
      <c r="M7" s="8"/>
      <c r="N7" s="8"/>
      <c r="O7" s="8"/>
      <c r="S7" s="9">
        <v>0.0</v>
      </c>
      <c r="T7" s="9">
        <v>0.0</v>
      </c>
      <c r="U7" s="9" t="s">
        <v>33</v>
      </c>
      <c r="AD7" s="9">
        <v>1.0</v>
      </c>
      <c r="AH7" s="9" t="s">
        <v>30</v>
      </c>
      <c r="AI7" s="9" t="s">
        <v>19</v>
      </c>
      <c r="AJ7" s="9" t="s">
        <v>46</v>
      </c>
      <c r="AK7" s="9" t="s">
        <v>50</v>
      </c>
      <c r="AL7" s="48">
        <v>10000.0</v>
      </c>
      <c r="AM7" s="48">
        <v>10000.0</v>
      </c>
      <c r="AN7" s="9">
        <v>100.0</v>
      </c>
      <c r="AO7" s="48">
        <v>10000.0</v>
      </c>
      <c r="AQ7" s="9">
        <v>10.0</v>
      </c>
      <c r="AR7" s="9">
        <v>10.0</v>
      </c>
      <c r="AS7" s="9" t="s">
        <v>37</v>
      </c>
      <c r="AT7" s="9" t="s">
        <v>21</v>
      </c>
      <c r="AU7" s="9" t="s">
        <v>51</v>
      </c>
      <c r="AV7" s="48">
        <v>-100000.0</v>
      </c>
      <c r="AW7" s="48">
        <v>-100000.0</v>
      </c>
      <c r="AY7" s="48">
        <v>10000.0</v>
      </c>
      <c r="BA7" s="9" t="s">
        <v>36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52</v>
      </c>
      <c r="D3" s="5" t="s">
        <v>9</v>
      </c>
      <c r="E3" s="22" t="s">
        <v>53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 t="str">
        <f>IFERROR(__xludf.DUMMYFUNCTION("""COMPUTED_VALUE"""),"AllocationAuditTrail")</f>
        <v>AllocationAuditTrail</v>
      </c>
      <c r="DS4" s="25" t="str">
        <f>IFERROR(__xludf.DUMMYFUNCTION("""COMPUTED_VALUE"""),"GetAuditTrailData")</f>
        <v>GetAuditTrailData</v>
      </c>
      <c r="DT4" s="25" t="str">
        <f>IFERROR(__xludf.DUMMYFUNCTION("""COMPUTED_VALUE"""),"CheckAuditTrailData")</f>
        <v>CheckAuditTrailData</v>
      </c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54</v>
      </c>
      <c r="C6" s="8"/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52</v>
      </c>
      <c r="D3" s="5" t="s">
        <v>9</v>
      </c>
      <c r="E3" s="22" t="s">
        <v>55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 t="str">
        <f>IFERROR(__xludf.DUMMYFUNCTION("""COMPUTED_VALUE"""),"AllocationAuditTrail")</f>
        <v>AllocationAuditTrail</v>
      </c>
      <c r="DS4" s="25" t="str">
        <f>IFERROR(__xludf.DUMMYFUNCTION("""COMPUTED_VALUE"""),"GetAuditTrailData")</f>
        <v>GetAuditTrailData</v>
      </c>
      <c r="DT4" s="25" t="str">
        <f>IFERROR(__xludf.DUMMYFUNCTION("""COMPUTED_VALUE"""),"CheckAuditTrailData")</f>
        <v>CheckAuditTrailData</v>
      </c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9" t="s">
        <v>21</v>
      </c>
      <c r="C6" s="8"/>
      <c r="D6" s="50">
        <v>0.0</v>
      </c>
      <c r="E6" s="50">
        <v>1000.0</v>
      </c>
      <c r="F6" s="8"/>
      <c r="G6" s="11" t="s">
        <v>30</v>
      </c>
      <c r="H6" s="50">
        <v>4.0</v>
      </c>
      <c r="I6" s="50">
        <v>5.0</v>
      </c>
      <c r="J6" s="8"/>
      <c r="K6" s="51">
        <v>10.0</v>
      </c>
      <c r="L6" s="51">
        <v>10.0</v>
      </c>
      <c r="M6" s="37"/>
      <c r="N6" s="37"/>
      <c r="O6" s="52" t="s">
        <v>37</v>
      </c>
      <c r="P6" s="37"/>
      <c r="Q6" s="51">
        <v>3.0</v>
      </c>
      <c r="R6" s="51">
        <v>0.0</v>
      </c>
      <c r="S6" s="53" t="s">
        <v>56</v>
      </c>
      <c r="T6" s="50">
        <v>0.0</v>
      </c>
      <c r="U6" s="50">
        <v>0.0</v>
      </c>
      <c r="V6" s="40"/>
      <c r="W6" s="40"/>
      <c r="X6" s="40"/>
      <c r="Y6" s="40"/>
      <c r="Z6" s="54" t="s">
        <v>33</v>
      </c>
      <c r="AB6" s="50">
        <v>1.0</v>
      </c>
      <c r="AC6" s="40"/>
      <c r="AD6" s="54" t="s">
        <v>32</v>
      </c>
      <c r="AE6" s="50">
        <v>1000.0</v>
      </c>
      <c r="AH6" s="54" t="s">
        <v>57</v>
      </c>
      <c r="AI6" s="55">
        <v>1.0</v>
      </c>
      <c r="AN6" s="54" t="s">
        <v>58</v>
      </c>
      <c r="AO6" s="40"/>
      <c r="AP6" s="54" t="s">
        <v>59</v>
      </c>
      <c r="AQ6" s="54" t="s">
        <v>58</v>
      </c>
      <c r="AR6" s="54" t="s">
        <v>59</v>
      </c>
      <c r="AS6" s="40"/>
      <c r="AT6" s="50">
        <v>10014.0056</v>
      </c>
      <c r="AU6" s="50">
        <v>10014.0056</v>
      </c>
      <c r="AW6" s="50">
        <v>0.0</v>
      </c>
      <c r="AX6" s="50">
        <v>0.0</v>
      </c>
      <c r="AY6" s="40" t="s">
        <v>51</v>
      </c>
      <c r="AZ6" s="50">
        <v>0.0</v>
      </c>
      <c r="BA6" s="40"/>
      <c r="BB6" s="40"/>
      <c r="BC6" s="50">
        <v>0.0</v>
      </c>
      <c r="BD6" s="40"/>
      <c r="BE6" s="50">
        <v>10000.0</v>
      </c>
      <c r="BF6" s="50">
        <v>10000.0</v>
      </c>
      <c r="BJ6" s="50">
        <v>1000.0</v>
      </c>
      <c r="BK6" s="50">
        <v>0.0</v>
      </c>
      <c r="BL6" s="40"/>
      <c r="BM6" s="54" t="s">
        <v>33</v>
      </c>
      <c r="BN6" s="40"/>
      <c r="BO6" s="54" t="s">
        <v>20</v>
      </c>
      <c r="BP6" s="50">
        <v>0.0</v>
      </c>
      <c r="BQ6" s="50">
        <v>0.0</v>
      </c>
      <c r="BR6" s="40"/>
      <c r="BT6" s="9" t="s">
        <v>19</v>
      </c>
      <c r="BU6" s="50">
        <v>3.0</v>
      </c>
      <c r="BV6" s="50">
        <v>0.0</v>
      </c>
      <c r="BW6" s="50">
        <v>14.0056</v>
      </c>
      <c r="BX6" s="50">
        <v>0.0</v>
      </c>
      <c r="CG6" s="50">
        <v>2.0</v>
      </c>
      <c r="CH6" s="54" t="s">
        <v>17</v>
      </c>
      <c r="CI6" s="54" t="s">
        <v>20</v>
      </c>
      <c r="CJ6" s="50">
        <v>0.0</v>
      </c>
      <c r="CK6" s="54" t="s">
        <v>31</v>
      </c>
      <c r="CL6" s="40"/>
      <c r="CM6" s="54" t="s">
        <v>19</v>
      </c>
      <c r="CN6" s="40" t="s">
        <v>36</v>
      </c>
      <c r="CO6" s="54" t="s">
        <v>32</v>
      </c>
    </row>
    <row r="7" ht="15.75" customHeight="1">
      <c r="A7" s="8"/>
      <c r="B7" s="54" t="s">
        <v>21</v>
      </c>
      <c r="C7" s="8"/>
      <c r="D7" s="50">
        <v>0.0</v>
      </c>
      <c r="E7" s="50">
        <v>10000.0</v>
      </c>
      <c r="F7" s="8"/>
      <c r="G7" s="11" t="s">
        <v>30</v>
      </c>
      <c r="H7" s="50">
        <v>4.0</v>
      </c>
      <c r="I7" s="50">
        <v>5.0</v>
      </c>
      <c r="J7" s="8"/>
      <c r="K7" s="50">
        <v>10.0</v>
      </c>
      <c r="L7" s="50">
        <v>10.0</v>
      </c>
      <c r="M7" s="40"/>
      <c r="N7" s="40"/>
      <c r="O7" s="56" t="s">
        <v>37</v>
      </c>
      <c r="P7" s="40"/>
      <c r="Q7" s="50">
        <v>3.0</v>
      </c>
      <c r="R7" s="50">
        <v>0.0</v>
      </c>
      <c r="S7" s="54" t="s">
        <v>56</v>
      </c>
      <c r="T7" s="50">
        <v>0.0</v>
      </c>
      <c r="U7" s="50">
        <v>0.0</v>
      </c>
      <c r="V7" s="40"/>
      <c r="W7" s="40"/>
      <c r="X7" s="40"/>
      <c r="Y7" s="40"/>
      <c r="Z7" s="54" t="s">
        <v>33</v>
      </c>
      <c r="AB7" s="50">
        <v>1.0</v>
      </c>
      <c r="AC7" s="40"/>
      <c r="AD7" s="54" t="s">
        <v>32</v>
      </c>
      <c r="AE7" s="50">
        <v>10000.0</v>
      </c>
      <c r="AH7" s="54" t="s">
        <v>57</v>
      </c>
      <c r="AI7" s="55">
        <v>1.0</v>
      </c>
      <c r="AN7" s="54" t="s">
        <v>58</v>
      </c>
      <c r="AO7" s="40"/>
      <c r="AP7" s="54" t="s">
        <v>59</v>
      </c>
      <c r="AQ7" s="54" t="s">
        <v>58</v>
      </c>
      <c r="AR7" s="54" t="s">
        <v>59</v>
      </c>
      <c r="AS7" s="40"/>
      <c r="AT7" s="50">
        <v>99985.944</v>
      </c>
      <c r="AU7" s="50">
        <v>99985.944</v>
      </c>
      <c r="AW7" s="50">
        <v>0.0</v>
      </c>
      <c r="AX7" s="50">
        <v>0.0</v>
      </c>
      <c r="AY7" s="40" t="s">
        <v>51</v>
      </c>
      <c r="AZ7" s="50">
        <v>0.0</v>
      </c>
      <c r="BA7" s="40"/>
      <c r="BB7" s="40"/>
      <c r="BC7" s="50">
        <v>0.0</v>
      </c>
      <c r="BD7" s="40"/>
      <c r="BE7" s="50">
        <v>100000.0</v>
      </c>
      <c r="BF7" s="50">
        <v>100000.0</v>
      </c>
      <c r="BJ7" s="50">
        <v>10000.0</v>
      </c>
      <c r="BK7" s="50">
        <v>0.0</v>
      </c>
      <c r="BL7" s="40"/>
      <c r="BM7" s="54" t="s">
        <v>33</v>
      </c>
      <c r="BN7" s="40"/>
      <c r="BO7" s="54" t="s">
        <v>46</v>
      </c>
      <c r="BP7" s="50">
        <v>0.0</v>
      </c>
      <c r="BQ7" s="50">
        <v>0.0</v>
      </c>
      <c r="BR7" s="40"/>
      <c r="BT7" s="9" t="s">
        <v>19</v>
      </c>
      <c r="BU7" s="50">
        <v>3.0</v>
      </c>
      <c r="BV7" s="50">
        <v>0.0</v>
      </c>
      <c r="BW7" s="50">
        <v>14.056</v>
      </c>
      <c r="BX7" s="50">
        <v>0.0</v>
      </c>
      <c r="CG7" s="50">
        <v>2.0</v>
      </c>
      <c r="CH7" s="54" t="s">
        <v>17</v>
      </c>
      <c r="CI7" s="54" t="s">
        <v>46</v>
      </c>
      <c r="CJ7" s="50">
        <v>0.0</v>
      </c>
      <c r="CK7" s="54" t="s">
        <v>31</v>
      </c>
      <c r="CL7" s="40"/>
      <c r="CM7" s="54" t="s">
        <v>19</v>
      </c>
      <c r="CN7" s="40" t="s">
        <v>36</v>
      </c>
      <c r="CO7" s="54" t="s">
        <v>32</v>
      </c>
    </row>
    <row r="8" ht="15.75" customHeight="1">
      <c r="A8" s="8"/>
      <c r="B8" s="8"/>
      <c r="C8" s="8"/>
      <c r="D8" s="8"/>
      <c r="E8" s="54"/>
      <c r="F8" s="8"/>
      <c r="G8" s="8"/>
      <c r="H8" s="8"/>
      <c r="I8" s="8"/>
      <c r="J8" s="8"/>
      <c r="K8" s="8"/>
      <c r="L8" s="8"/>
      <c r="M8" s="8"/>
      <c r="N8" s="8"/>
      <c r="O8" s="8"/>
      <c r="BE8" s="54"/>
      <c r="BF8" s="54"/>
    </row>
    <row r="9" ht="15.75" customHeight="1">
      <c r="A9" s="8"/>
      <c r="B9" s="8"/>
      <c r="C9" s="8"/>
      <c r="D9" s="8"/>
      <c r="E9" s="54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73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IFERROR(__xludf.DUMMYFUNCTION("""COMPUTED_VALUE"""),"OpenClosingFromPM")</f>
        <v>OpenClosingFromPM</v>
      </c>
      <c r="M4" s="24" t="str">
        <f>IFERROR(__xludf.DUMMYFUNCTION("""COMPUTED_VALUE"""),"OpenCorporateActionFromPM")</f>
        <v>OpenCorporateActionFromPM</v>
      </c>
      <c r="N4" s="24" t="str">
        <f>IFERROR(__xludf.DUMMYFUNCTION("""COMPUTED_VALUE"""),"OpenDailyValuationFromPM")</f>
        <v>OpenDailyValuationFromPM</v>
      </c>
      <c r="O4" s="24" t="str">
        <f>IFERROR(__xludf.DUMMYFUNCTION("""COMPUTED_VALUE"""),"ClosePositionFromPM")</f>
        <v>ClosePositionFromPM</v>
      </c>
      <c r="P4" s="25" t="str">
        <f>IFERROR(__xludf.DUMMYFUNCTION("""COMPUTED_VALUE"""),"ShowSummaryToolFromPM")</f>
        <v>ShowSummaryToolFromPM</v>
      </c>
      <c r="Q4" s="25" t="str">
        <f>IFERROR(__xludf.DUMMYFUNCTION("""COMPUTED_VALUE"""),"HideSummaryToolFromPM")</f>
        <v>HideSummaryToolFromPM</v>
      </c>
      <c r="R4" s="25" t="str">
        <f>IFERROR(__xludf.DUMMYFUNCTION("""COMPUTED_VALUE"""),"CloseAccountPositionFromPM")</f>
        <v>CloseAccountPositionFromPM</v>
      </c>
      <c r="S4" s="25" t="str">
        <f>IFERROR(__xludf.DUMMYFUNCTION("""COMPUTED_VALUE"""),"CloseSelectedTaxlotsFromPM")</f>
        <v>CloseSelectedTaxlotsFromPM</v>
      </c>
      <c r="T4" s="25" t="str">
        <f>IFERROR(__xludf.DUMMYFUNCTION("""COMPUTED_VALUE"""),"ExpandCollapsePM")</f>
        <v>ExpandCollapsePM</v>
      </c>
      <c r="U4" s="25" t="str">
        <f>IFERROR(__xludf.DUMMYFUNCTION("""COMPUTED_VALUE"""),"AddCustomViewPM")</f>
        <v>AddCustomViewPM</v>
      </c>
      <c r="V4" s="25" t="str">
        <f>IFERROR(__xludf.DUMMYFUNCTION("""COMPUTED_VALUE"""),"AddCustomViewRightClickPM")</f>
        <v>AddCustomViewRightClickPM</v>
      </c>
      <c r="W4" s="25" t="str">
        <f>IFERROR(__xludf.DUMMYFUNCTION("""COMPUTED_VALUE"""),"RenameCustomViewPM")</f>
        <v>RenameCustomViewPM</v>
      </c>
      <c r="X4" s="25" t="str">
        <f>IFERROR(__xludf.DUMMYFUNCTION("""COMPUTED_VALUE"""),"DeleteCustomViewPM")</f>
        <v>DeleteCustomViewPM</v>
      </c>
      <c r="Y4" s="25" t="str">
        <f>IFERROR(__xludf.DUMMYFUNCTION("""COMPUTED_VALUE"""),"OpenCreateTransactionFromPM")</f>
        <v>OpenCreateTransactionFromPM</v>
      </c>
      <c r="Z4" s="25" t="str">
        <f>IFERROR(__xludf.DUMMYFUNCTION("""COMPUTED_VALUE"""),"RemoveGroupingFromPM")</f>
        <v>RemoveGroupingFromPM</v>
      </c>
      <c r="AA4" s="25" t="str">
        <f>IFERROR(__xludf.DUMMYFUNCTION("""COMPUTED_VALUE"""),"IncreasePositionFromPM")</f>
        <v>IncreasePositionFromPM</v>
      </c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ITM/OTM")</f>
        <v>% of ITM/OTM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/>
      <c r="FI5" s="29"/>
      <c r="FJ5" s="29"/>
      <c r="FK5" s="29"/>
      <c r="FL5" s="29"/>
      <c r="FM5" s="29"/>
      <c r="FN5" s="29"/>
      <c r="FO5" s="29"/>
      <c r="FP5" s="29"/>
      <c r="FQ5" s="29"/>
    </row>
    <row r="6" ht="15.75" customHeight="1">
      <c r="A6" s="11"/>
      <c r="B6" s="11"/>
      <c r="C6" s="57" t="s">
        <v>19</v>
      </c>
      <c r="D6" s="58">
        <v>1000.0</v>
      </c>
      <c r="E6" s="57" t="s">
        <v>21</v>
      </c>
      <c r="F6" s="57" t="s">
        <v>24</v>
      </c>
      <c r="G6" s="59">
        <v>10.0</v>
      </c>
      <c r="H6" s="57" t="s">
        <v>60</v>
      </c>
      <c r="I6" s="11">
        <v>0.0</v>
      </c>
      <c r="J6" s="8"/>
      <c r="K6" s="59">
        <v>0.0</v>
      </c>
      <c r="L6" s="8"/>
      <c r="M6" s="8"/>
      <c r="N6" s="58">
        <v>-10000.0</v>
      </c>
      <c r="O6" s="57" t="s">
        <v>26</v>
      </c>
      <c r="P6" s="59" t="s">
        <v>27</v>
      </c>
      <c r="Q6" s="58">
        <v>-10000.0</v>
      </c>
      <c r="R6" s="57" t="s">
        <v>28</v>
      </c>
      <c r="S6" s="57" t="s">
        <v>29</v>
      </c>
      <c r="T6" s="57" t="s">
        <v>30</v>
      </c>
      <c r="U6" s="57" t="s">
        <v>31</v>
      </c>
      <c r="V6" s="57" t="s">
        <v>32</v>
      </c>
      <c r="W6" s="57" t="s">
        <v>33</v>
      </c>
      <c r="Y6" s="59">
        <v>1.0</v>
      </c>
      <c r="AB6" s="59">
        <v>0.0</v>
      </c>
      <c r="AC6" s="59">
        <v>0.0</v>
      </c>
      <c r="AD6" s="59">
        <v>0.0</v>
      </c>
      <c r="AE6" s="59">
        <v>0.0</v>
      </c>
      <c r="AF6" s="58">
        <v>1000.0</v>
      </c>
      <c r="AG6" s="59">
        <v>0.0</v>
      </c>
      <c r="AH6" s="59">
        <v>0.0</v>
      </c>
      <c r="AI6" s="59">
        <v>0.0</v>
      </c>
      <c r="AJ6" s="59">
        <v>0.0</v>
      </c>
      <c r="AK6" s="58">
        <v>-10000.0</v>
      </c>
      <c r="AL6" s="59">
        <v>1.0</v>
      </c>
      <c r="AM6" s="59">
        <v>1.0</v>
      </c>
      <c r="AN6" s="9" t="s">
        <v>20</v>
      </c>
      <c r="AP6" s="57" t="s">
        <v>25</v>
      </c>
      <c r="AQ6" s="57" t="s">
        <v>19</v>
      </c>
      <c r="AR6" s="59">
        <v>0.0</v>
      </c>
      <c r="AS6" s="59">
        <v>1.0</v>
      </c>
      <c r="AV6" s="59">
        <v>1.0</v>
      </c>
      <c r="AW6" s="58">
        <v>-10000.0</v>
      </c>
      <c r="AX6" s="59">
        <v>0.0</v>
      </c>
      <c r="AY6" s="59">
        <v>0.0</v>
      </c>
      <c r="AZ6" s="59">
        <v>0.0</v>
      </c>
      <c r="BA6" s="59">
        <v>-100.0</v>
      </c>
      <c r="BC6" s="59">
        <v>1.0</v>
      </c>
      <c r="BD6" s="58">
        <v>-10000.0</v>
      </c>
      <c r="BE6" s="57" t="s">
        <v>30</v>
      </c>
      <c r="BF6" s="57" t="s">
        <v>34</v>
      </c>
      <c r="BG6" s="57" t="s">
        <v>35</v>
      </c>
      <c r="BH6" s="57" t="s">
        <v>27</v>
      </c>
      <c r="BI6" s="59">
        <v>5.0</v>
      </c>
      <c r="BJ6" s="59">
        <v>0.0</v>
      </c>
      <c r="BK6" s="58">
        <v>1.0</v>
      </c>
      <c r="BL6" s="59">
        <v>0.0</v>
      </c>
      <c r="BM6" s="59">
        <v>0.0</v>
      </c>
      <c r="BO6" s="58">
        <v>-10000.0</v>
      </c>
      <c r="BP6" s="59">
        <v>0.0</v>
      </c>
      <c r="BQ6" s="57" t="s">
        <v>36</v>
      </c>
      <c r="BR6" s="57" t="s">
        <v>37</v>
      </c>
      <c r="BS6" s="59">
        <v>0.0</v>
      </c>
      <c r="BT6" s="59">
        <v>0.0</v>
      </c>
      <c r="BU6" s="57" t="s">
        <v>30</v>
      </c>
      <c r="BW6" s="59">
        <v>0.0</v>
      </c>
      <c r="BX6" s="59">
        <v>0.0</v>
      </c>
      <c r="BY6" s="59">
        <v>0.0</v>
      </c>
      <c r="BZ6" s="59">
        <v>0.0</v>
      </c>
      <c r="CA6" s="59">
        <v>0.0</v>
      </c>
      <c r="CC6" s="59">
        <v>0.0</v>
      </c>
      <c r="CD6" s="58">
        <v>-10000.0</v>
      </c>
      <c r="CE6" s="59">
        <v>0.0</v>
      </c>
      <c r="CF6" s="59">
        <v>0.0</v>
      </c>
      <c r="CG6" s="58">
        <v>-10000.0</v>
      </c>
      <c r="CH6" s="59">
        <v>-100.0</v>
      </c>
      <c r="CI6" s="59">
        <v>0.0</v>
      </c>
      <c r="CJ6" s="59">
        <v>0.0</v>
      </c>
      <c r="CK6" s="57" t="b">
        <v>0</v>
      </c>
      <c r="CL6" s="60"/>
      <c r="CM6" s="60"/>
      <c r="CN6" s="57" t="s">
        <v>19</v>
      </c>
      <c r="CO6" s="57" t="s">
        <v>19</v>
      </c>
      <c r="CP6" s="57" t="s">
        <v>38</v>
      </c>
      <c r="CS6" s="59">
        <v>10.0</v>
      </c>
      <c r="CY6" s="57" t="s">
        <v>39</v>
      </c>
      <c r="CZ6" s="57" t="s">
        <v>40</v>
      </c>
      <c r="DA6" s="59">
        <v>0.0</v>
      </c>
      <c r="DB6" s="59">
        <v>0.0</v>
      </c>
      <c r="DC6" s="59"/>
      <c r="DD6" s="58">
        <v>1000.0</v>
      </c>
      <c r="DE6" s="59">
        <v>0.0</v>
      </c>
      <c r="DF6" s="59">
        <v>0.0</v>
      </c>
      <c r="DG6" s="59">
        <v>0.0</v>
      </c>
      <c r="DH6" s="59" t="s">
        <v>27</v>
      </c>
      <c r="DI6" s="59">
        <v>0.0</v>
      </c>
      <c r="DJ6" s="57" t="s">
        <v>20</v>
      </c>
      <c r="DK6" s="59">
        <v>0.0</v>
      </c>
      <c r="DL6" s="59">
        <v>0.0</v>
      </c>
      <c r="DM6" s="59">
        <v>1.0</v>
      </c>
      <c r="DN6" s="59">
        <v>0.0</v>
      </c>
      <c r="DP6" s="57" t="s">
        <v>25</v>
      </c>
      <c r="DQ6" s="57" t="s">
        <v>41</v>
      </c>
      <c r="DR6" s="57" t="s">
        <v>42</v>
      </c>
      <c r="DS6" s="57" t="s">
        <v>41</v>
      </c>
      <c r="DT6" s="57" t="s">
        <v>41</v>
      </c>
      <c r="DU6" s="57" t="s">
        <v>43</v>
      </c>
      <c r="DV6" s="57" t="s">
        <v>41</v>
      </c>
      <c r="DW6" s="57" t="s">
        <v>41</v>
      </c>
      <c r="DX6" s="57" t="s">
        <v>41</v>
      </c>
      <c r="DY6" s="57" t="s">
        <v>41</v>
      </c>
      <c r="DZ6" s="57" t="s">
        <v>26</v>
      </c>
      <c r="EA6" s="57" t="s">
        <v>43</v>
      </c>
      <c r="EB6" s="57" t="s">
        <v>41</v>
      </c>
      <c r="EC6" s="57" t="s">
        <v>41</v>
      </c>
      <c r="ED6" s="57" t="s">
        <v>33</v>
      </c>
      <c r="EE6" s="57" t="s">
        <v>44</v>
      </c>
      <c r="EF6" s="59">
        <v>0.0</v>
      </c>
      <c r="EG6" s="59">
        <v>0.0</v>
      </c>
      <c r="EH6" s="59">
        <v>0.0</v>
      </c>
      <c r="EI6" s="59">
        <v>0.0</v>
      </c>
      <c r="EJ6" s="59">
        <v>0.0</v>
      </c>
      <c r="EK6" s="59">
        <v>0.0</v>
      </c>
      <c r="EL6" s="57" t="s">
        <v>25</v>
      </c>
      <c r="EM6" s="59">
        <v>0.0</v>
      </c>
      <c r="EN6" s="59">
        <v>0.0</v>
      </c>
      <c r="EO6" s="59">
        <v>0.0</v>
      </c>
      <c r="EP6" s="59"/>
      <c r="EQ6" s="59">
        <v>0.0</v>
      </c>
      <c r="ER6" s="59">
        <v>0.0</v>
      </c>
    </row>
    <row r="7" ht="15.75" customHeight="1">
      <c r="A7" s="8"/>
      <c r="B7" s="8"/>
      <c r="C7" s="57" t="s">
        <v>19</v>
      </c>
      <c r="D7" s="58">
        <v>-10000.0</v>
      </c>
      <c r="E7" s="57" t="s">
        <v>21</v>
      </c>
      <c r="F7" s="57" t="s">
        <v>24</v>
      </c>
      <c r="G7" s="59">
        <v>10.0</v>
      </c>
      <c r="H7" s="57" t="s">
        <v>60</v>
      </c>
      <c r="I7" s="11">
        <v>0.0</v>
      </c>
      <c r="J7" s="8"/>
      <c r="K7" s="59">
        <v>0.0</v>
      </c>
      <c r="L7" s="8"/>
      <c r="M7" s="8"/>
      <c r="N7" s="58">
        <v>100000.0</v>
      </c>
      <c r="O7" s="57" t="s">
        <v>26</v>
      </c>
      <c r="P7" s="59" t="s">
        <v>27</v>
      </c>
      <c r="Q7" s="58">
        <v>100000.0</v>
      </c>
      <c r="R7" s="57" t="s">
        <v>28</v>
      </c>
      <c r="S7" s="57" t="s">
        <v>29</v>
      </c>
      <c r="T7" s="57" t="s">
        <v>30</v>
      </c>
      <c r="U7" s="57" t="s">
        <v>31</v>
      </c>
      <c r="V7" s="57" t="s">
        <v>32</v>
      </c>
      <c r="W7" s="57" t="s">
        <v>33</v>
      </c>
      <c r="Y7" s="59">
        <v>1.0</v>
      </c>
      <c r="AB7" s="59">
        <v>0.0</v>
      </c>
      <c r="AC7" s="59">
        <v>0.0</v>
      </c>
      <c r="AD7" s="59">
        <v>0.0</v>
      </c>
      <c r="AE7" s="59">
        <v>0.0</v>
      </c>
      <c r="AF7" s="58">
        <v>-10000.0</v>
      </c>
      <c r="AG7" s="59">
        <v>0.0</v>
      </c>
      <c r="AH7" s="59">
        <v>0.0</v>
      </c>
      <c r="AI7" s="59">
        <v>0.0</v>
      </c>
      <c r="AJ7" s="59">
        <v>0.0</v>
      </c>
      <c r="AK7" s="58">
        <v>100000.0</v>
      </c>
      <c r="AL7" s="59">
        <v>1.0</v>
      </c>
      <c r="AM7" s="59">
        <v>1.0</v>
      </c>
      <c r="AN7" s="9" t="s">
        <v>46</v>
      </c>
      <c r="AP7" s="57" t="s">
        <v>25</v>
      </c>
      <c r="AQ7" s="57" t="s">
        <v>19</v>
      </c>
      <c r="AR7" s="59">
        <v>0.0</v>
      </c>
      <c r="AS7" s="59">
        <v>-1.0</v>
      </c>
      <c r="AV7" s="59">
        <v>1.0</v>
      </c>
      <c r="AW7" s="58">
        <v>100000.0</v>
      </c>
      <c r="AX7" s="59">
        <v>0.0</v>
      </c>
      <c r="AY7" s="59">
        <v>0.0</v>
      </c>
      <c r="AZ7" s="59">
        <v>0.0</v>
      </c>
      <c r="BA7" s="59">
        <v>100.0</v>
      </c>
      <c r="BC7" s="59">
        <v>1.0</v>
      </c>
      <c r="BD7" s="58">
        <v>100000.0</v>
      </c>
      <c r="BE7" s="57" t="s">
        <v>30</v>
      </c>
      <c r="BF7" s="57" t="s">
        <v>34</v>
      </c>
      <c r="BG7" s="57" t="s">
        <v>35</v>
      </c>
      <c r="BH7" s="57" t="s">
        <v>27</v>
      </c>
      <c r="BI7" s="59">
        <v>5.0</v>
      </c>
      <c r="BJ7" s="59">
        <v>0.0</v>
      </c>
      <c r="BK7" s="58">
        <v>1.0</v>
      </c>
      <c r="BL7" s="59">
        <v>0.0</v>
      </c>
      <c r="BM7" s="59">
        <v>0.0</v>
      </c>
      <c r="BO7" s="58">
        <v>100000.0</v>
      </c>
      <c r="BP7" s="59">
        <v>0.0</v>
      </c>
      <c r="BQ7" s="57" t="s">
        <v>36</v>
      </c>
      <c r="BR7" s="57" t="s">
        <v>37</v>
      </c>
      <c r="BS7" s="59">
        <v>0.0</v>
      </c>
      <c r="BT7" s="59">
        <v>0.0</v>
      </c>
      <c r="BU7" s="57" t="s">
        <v>30</v>
      </c>
      <c r="BW7" s="59">
        <v>0.0</v>
      </c>
      <c r="BX7" s="59">
        <v>0.0</v>
      </c>
      <c r="BY7" s="59">
        <v>0.0</v>
      </c>
      <c r="BZ7" s="59">
        <v>0.0</v>
      </c>
      <c r="CA7" s="59">
        <v>0.0</v>
      </c>
      <c r="CC7" s="59">
        <v>0.0</v>
      </c>
      <c r="CD7" s="58">
        <v>100000.0</v>
      </c>
      <c r="CE7" s="59">
        <v>0.0</v>
      </c>
      <c r="CF7" s="59">
        <v>0.0</v>
      </c>
      <c r="CG7" s="58">
        <v>100000.0</v>
      </c>
      <c r="CH7" s="59">
        <v>100.0</v>
      </c>
      <c r="CI7" s="59">
        <v>0.0</v>
      </c>
      <c r="CJ7" s="59">
        <v>0.0</v>
      </c>
      <c r="CK7" s="57" t="b">
        <v>0</v>
      </c>
      <c r="CL7" s="60"/>
      <c r="CM7" s="60"/>
      <c r="CN7" s="57" t="s">
        <v>19</v>
      </c>
      <c r="CO7" s="57" t="s">
        <v>19</v>
      </c>
      <c r="CP7" s="57" t="s">
        <v>38</v>
      </c>
      <c r="CS7" s="59">
        <v>10.0</v>
      </c>
      <c r="CY7" s="57" t="s">
        <v>39</v>
      </c>
      <c r="CZ7" s="57" t="s">
        <v>40</v>
      </c>
      <c r="DA7" s="59">
        <v>0.0</v>
      </c>
      <c r="DB7" s="59">
        <v>0.0</v>
      </c>
      <c r="DC7" s="59"/>
      <c r="DD7" s="58">
        <v>-10000.0</v>
      </c>
      <c r="DE7" s="59">
        <v>0.0</v>
      </c>
      <c r="DF7" s="59">
        <v>0.0</v>
      </c>
      <c r="DG7" s="59">
        <v>0.0</v>
      </c>
      <c r="DH7" s="59" t="s">
        <v>27</v>
      </c>
      <c r="DI7" s="59">
        <v>0.0</v>
      </c>
      <c r="DJ7" s="57" t="s">
        <v>46</v>
      </c>
      <c r="DK7" s="59">
        <v>0.0</v>
      </c>
      <c r="DL7" s="59">
        <v>0.0</v>
      </c>
      <c r="DM7" s="59">
        <v>1.0</v>
      </c>
      <c r="DN7" s="59">
        <v>0.0</v>
      </c>
      <c r="DP7" s="57" t="s">
        <v>25</v>
      </c>
      <c r="DQ7" s="57" t="s">
        <v>41</v>
      </c>
      <c r="DR7" s="57" t="s">
        <v>42</v>
      </c>
      <c r="DS7" s="57" t="s">
        <v>41</v>
      </c>
      <c r="DT7" s="57" t="s">
        <v>41</v>
      </c>
      <c r="DU7" s="57" t="s">
        <v>43</v>
      </c>
      <c r="DV7" s="57" t="s">
        <v>41</v>
      </c>
      <c r="DW7" s="57" t="s">
        <v>41</v>
      </c>
      <c r="DX7" s="57" t="s">
        <v>41</v>
      </c>
      <c r="DY7" s="57" t="s">
        <v>41</v>
      </c>
      <c r="DZ7" s="57" t="s">
        <v>26</v>
      </c>
      <c r="EA7" s="57" t="s">
        <v>43</v>
      </c>
      <c r="EB7" s="57" t="s">
        <v>41</v>
      </c>
      <c r="EC7" s="57" t="s">
        <v>41</v>
      </c>
      <c r="ED7" s="57" t="s">
        <v>33</v>
      </c>
      <c r="EE7" s="57" t="s">
        <v>44</v>
      </c>
      <c r="EF7" s="59">
        <v>0.0</v>
      </c>
      <c r="EG7" s="59">
        <v>0.0</v>
      </c>
      <c r="EH7" s="59">
        <v>0.0</v>
      </c>
      <c r="EI7" s="59">
        <v>0.0</v>
      </c>
      <c r="EJ7" s="59">
        <v>0.0</v>
      </c>
      <c r="EK7" s="59">
        <v>0.0</v>
      </c>
      <c r="EL7" s="57" t="s">
        <v>25</v>
      </c>
      <c r="EM7" s="59">
        <v>0.0</v>
      </c>
      <c r="EN7" s="59">
        <v>0.0</v>
      </c>
      <c r="EO7" s="59">
        <v>0.0</v>
      </c>
      <c r="EP7" s="59"/>
      <c r="EQ7" s="59">
        <v>0.0</v>
      </c>
      <c r="ER7" s="59">
        <v>0.0</v>
      </c>
    </row>
    <row r="8" ht="15.75" customHeight="1">
      <c r="A8" s="8"/>
      <c r="B8" s="8"/>
      <c r="C8" s="60"/>
      <c r="D8" s="60"/>
      <c r="E8" s="60"/>
      <c r="F8" s="60"/>
      <c r="G8" s="60"/>
      <c r="H8" s="60"/>
      <c r="I8" s="8"/>
      <c r="J8" s="8"/>
      <c r="K8" s="8"/>
      <c r="L8" s="8"/>
      <c r="M8" s="8"/>
      <c r="N8" s="60"/>
      <c r="O8" s="60"/>
      <c r="P8" s="60"/>
      <c r="Q8" s="60"/>
      <c r="R8" s="60"/>
      <c r="S8" s="60"/>
      <c r="T8" s="60"/>
      <c r="U8" s="60"/>
      <c r="V8" s="60"/>
      <c r="W8" s="60"/>
      <c r="Y8" s="60"/>
      <c r="AB8" s="60"/>
      <c r="AC8" s="60"/>
      <c r="AD8" s="60"/>
      <c r="AE8" s="60"/>
      <c r="AF8" s="60"/>
      <c r="AG8" s="60"/>
      <c r="AH8" s="60"/>
      <c r="AI8" s="60"/>
      <c r="AJ8" s="60"/>
      <c r="AK8" s="60"/>
      <c r="AL8" s="60"/>
      <c r="AM8" s="60"/>
      <c r="AP8" s="60"/>
      <c r="AQ8" s="60"/>
      <c r="AR8" s="60"/>
      <c r="AS8" s="60"/>
      <c r="AV8" s="60"/>
      <c r="AW8" s="60"/>
      <c r="AX8" s="60"/>
      <c r="AY8" s="60"/>
      <c r="AZ8" s="60"/>
      <c r="BA8" s="60"/>
      <c r="BC8" s="60"/>
      <c r="BD8" s="60"/>
      <c r="BE8" s="60"/>
      <c r="BF8" s="60"/>
      <c r="BG8" s="60"/>
      <c r="BH8" s="60"/>
      <c r="BI8" s="60"/>
      <c r="BJ8" s="60"/>
      <c r="BK8" s="60"/>
      <c r="BL8" s="60"/>
      <c r="BM8" s="60"/>
      <c r="BO8" s="60"/>
      <c r="BP8" s="60"/>
      <c r="BQ8" s="60"/>
      <c r="BR8" s="60"/>
      <c r="BS8" s="60"/>
      <c r="BT8" s="60"/>
      <c r="BU8" s="60"/>
      <c r="BW8" s="60"/>
      <c r="BX8" s="60"/>
      <c r="BY8" s="60"/>
      <c r="BZ8" s="60"/>
      <c r="CA8" s="60"/>
      <c r="CC8" s="60"/>
      <c r="CD8" s="60"/>
      <c r="CE8" s="60"/>
      <c r="CF8" s="60"/>
      <c r="CG8" s="60"/>
      <c r="CH8" s="60"/>
      <c r="CI8" s="60"/>
      <c r="CJ8" s="60"/>
      <c r="CK8" s="60"/>
      <c r="CL8" s="60"/>
      <c r="CM8" s="60"/>
      <c r="CN8" s="60"/>
      <c r="CO8" s="60"/>
      <c r="CP8" s="60"/>
      <c r="CS8" s="60"/>
      <c r="CY8" s="60"/>
      <c r="CZ8" s="60"/>
      <c r="DA8" s="60"/>
      <c r="DB8" s="60"/>
      <c r="DC8" s="60"/>
      <c r="DD8" s="60"/>
      <c r="DE8" s="60"/>
      <c r="DF8" s="60"/>
      <c r="DG8" s="60"/>
      <c r="DH8" s="60"/>
      <c r="DI8" s="60"/>
      <c r="DP8" s="60"/>
      <c r="DQ8" s="60"/>
      <c r="DR8" s="60"/>
      <c r="DS8" s="60"/>
      <c r="DT8" s="60"/>
      <c r="DU8" s="60"/>
      <c r="DV8" s="60"/>
      <c r="DW8" s="60"/>
      <c r="DX8" s="60"/>
      <c r="DY8" s="60"/>
      <c r="DZ8" s="60"/>
      <c r="EA8" s="60"/>
      <c r="EB8" s="60"/>
      <c r="EC8" s="60"/>
      <c r="ED8" s="60"/>
      <c r="EE8" s="60"/>
      <c r="EF8" s="60"/>
      <c r="EG8" s="60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W9" s="60"/>
      <c r="X9" s="60"/>
      <c r="AB9" s="60"/>
      <c r="AC9" s="60"/>
      <c r="AD9" s="60"/>
      <c r="AE9" s="60"/>
      <c r="AF9" s="60"/>
      <c r="AG9" s="60"/>
      <c r="AH9" s="60"/>
      <c r="AL9" s="60"/>
      <c r="AM9" s="60"/>
      <c r="AP9" s="60"/>
      <c r="AQ9" s="60"/>
      <c r="AR9" s="60"/>
      <c r="AS9" s="60"/>
      <c r="AV9" s="60"/>
      <c r="AW9" s="60"/>
      <c r="AX9" s="60"/>
      <c r="AY9" s="60"/>
      <c r="AZ9" s="60"/>
      <c r="BA9" s="60"/>
      <c r="BC9" s="60"/>
      <c r="BD9" s="60"/>
      <c r="BE9" s="60"/>
      <c r="BF9" s="60"/>
      <c r="BG9" s="60"/>
      <c r="BH9" s="60"/>
      <c r="BI9" s="60"/>
      <c r="BJ9" s="60"/>
      <c r="BK9" s="60"/>
      <c r="BL9" s="60"/>
      <c r="BM9" s="60"/>
      <c r="BO9" s="60"/>
      <c r="BP9" s="60"/>
      <c r="BQ9" s="60"/>
      <c r="BR9" s="60"/>
      <c r="BS9" s="60"/>
      <c r="BT9" s="60"/>
      <c r="BW9" s="60"/>
      <c r="BX9" s="60"/>
      <c r="BY9" s="60"/>
      <c r="BZ9" s="60"/>
      <c r="CA9" s="60"/>
      <c r="CC9" s="60"/>
      <c r="CD9" s="60"/>
      <c r="CE9" s="60"/>
      <c r="CF9" s="60"/>
      <c r="CG9" s="60"/>
      <c r="CH9" s="60"/>
      <c r="CI9" s="60"/>
      <c r="CJ9" s="60"/>
      <c r="CK9" s="60"/>
      <c r="CL9" s="60"/>
      <c r="CM9" s="60"/>
      <c r="CN9" s="60"/>
      <c r="CO9" s="60"/>
      <c r="DD9" s="60"/>
      <c r="DE9" s="60"/>
      <c r="DF9" s="60"/>
      <c r="DG9" s="60"/>
      <c r="DH9" s="60"/>
      <c r="DI9" s="60"/>
      <c r="DP9" s="60"/>
      <c r="DQ9" s="60"/>
      <c r="DR9" s="60"/>
      <c r="DS9" s="60"/>
      <c r="DT9" s="60"/>
      <c r="DU9" s="60"/>
      <c r="DV9" s="60"/>
      <c r="DW9" s="60"/>
      <c r="DX9" s="60"/>
      <c r="DY9" s="60"/>
      <c r="DZ9" s="60"/>
      <c r="EA9" s="60"/>
      <c r="EB9" s="60"/>
      <c r="EC9" s="60"/>
      <c r="ED9" s="60"/>
      <c r="EE9" s="60"/>
      <c r="EF9" s="60"/>
      <c r="EG9" s="60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W10" s="60"/>
      <c r="X10" s="60"/>
      <c r="AP10" s="60"/>
      <c r="AQ10" s="60"/>
      <c r="AR10" s="60"/>
      <c r="AS10" s="60"/>
      <c r="AV10" s="60"/>
      <c r="AW10" s="60"/>
      <c r="AX10" s="60"/>
      <c r="AY10" s="60"/>
      <c r="AZ10" s="60"/>
      <c r="BA10" s="60"/>
      <c r="BC10" s="60"/>
      <c r="BD10" s="60"/>
      <c r="BE10" s="60"/>
      <c r="BF10" s="60"/>
      <c r="BG10" s="60"/>
      <c r="BH10" s="60"/>
      <c r="BI10" s="60"/>
      <c r="BJ10" s="60"/>
      <c r="BK10" s="60"/>
      <c r="BL10" s="60"/>
      <c r="BM10" s="60"/>
      <c r="BZ10" s="60"/>
      <c r="CA10" s="60"/>
      <c r="CJ10" s="60"/>
      <c r="CK10" s="60"/>
      <c r="CL10" s="60"/>
      <c r="CM10" s="60"/>
      <c r="CN10" s="60"/>
      <c r="CO10" s="60"/>
      <c r="DP10" s="60"/>
      <c r="DQ10" s="60"/>
      <c r="DR10" s="60"/>
      <c r="DS10" s="60"/>
      <c r="DT10" s="60"/>
      <c r="DU10" s="60"/>
      <c r="DV10" s="60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BI11" s="60"/>
      <c r="BJ11" s="60"/>
      <c r="BK11" s="60"/>
      <c r="BL11" s="60"/>
      <c r="BM11" s="60"/>
      <c r="BZ11" s="60"/>
      <c r="CA11" s="60"/>
      <c r="CJ11" s="60"/>
      <c r="CK11" s="60"/>
      <c r="CL11" s="60"/>
      <c r="CM11" s="60"/>
      <c r="CN11" s="60"/>
      <c r="CO11" s="60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