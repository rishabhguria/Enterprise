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CustomAllocationonTT" sheetId="5" r:id="rId7"/>
    <sheet state="visible" name="CustomOrderTT1" sheetId="6" r:id="rId8"/>
    <sheet state="visible" name="CreateDoneAwayOrder1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<sst xmlns="http://schemas.openxmlformats.org/spreadsheetml/2006/main" count="106" uniqueCount="75">
  <si>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</si>
  <si>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</si>
  <si>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</si>
  <si>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</si>
  <si>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</si>
  <si>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</si>
  <si>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</si>
  <si>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</si>
  <si>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</si>
  <si>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</si>
  <si>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</si>
  <si>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</si>
  <si>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</si>
  <si>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</si>
  <si>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</si>
  <si>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</si>
  <si>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</si>
  <si>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</si>
  <si>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</si>
  <si>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</si>
  <si>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</si>
  <si>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</si>
  <si>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</si>
  <si>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</si>
  <si>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</si>
  <si>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</si>
  <si>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</si>
  <si>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</si>
  <si>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</si>
  <si>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</si>
  <si>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</si>
  <si>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</si>
  <si>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</si>
  <si>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</si>
  <si>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</si>
  <si>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</si>
  <si>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</si>
  <si>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</si>
  <si>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</si>
  <si>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</si>
  <si>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</si>
  <si>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</si>
  <si>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</si>
  <si>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</si>
  <si>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</si>
  <si>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</si>
  <si>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</si>
  <si>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</si>
  <si>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</si>
  <si>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</si>
  <si>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</si>
  <si>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</si>
  <si>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</si>
  <si>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</si>
  <si>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</si>
  <si>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</si>
  <si>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</si>
  <si>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</si>
  <si>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</si>
  <si>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SAP</t>
  </si>
  <si>
    <t>Buy</t>
  </si>
  <si>
    <t>Allocation1,Allocation2,Allocation3,Allocation4</t>
  </si>
  <si>
    <t>33.33,33.33,33.33,0.01</t>
  </si>
  <si>
    <t>VerifyCustomAllocationonTT</t>
  </si>
  <si>
    <t>Allocation1</t>
  </si>
  <si>
    <t>Allocation2</t>
  </si>
  <si>
    <t>Allocation3</t>
  </si>
  <si>
    <t>Allocation4</t>
  </si>
  <si>
    <t>DoneAway</t>
  </si>
  <si>
    <t>CreateDoneAwayOrder</t>
  </si>
  <si>
    <t>AAPL</t>
  </si>
  <si>
    <t>FIMAT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</si>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</sst>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9" t="s">
        <v>53</v>
      </c>
      <c r="AN5" s="29" t="s">
        <v>54</v>
      </c>
      <c r="AO5" s="29" t="s">
        <v>55</v>
      </c>
      <c r="AP5" s="29" t="s">
        <v>56</v>
      </c>
      <c r="AQ5" s="29" t="s">
        <v>57</v>
      </c>
      <c r="AR5" s="29" t="s">
        <v>58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31" t="s">
        <v>59</v>
      </c>
      <c r="C6" s="32">
        <v>1000000.0</v>
      </c>
      <c r="D6" s="9">
        <v>2.0</v>
      </c>
      <c r="F6" s="8"/>
      <c r="G6" s="12" t="b">
        <v>1</v>
      </c>
      <c r="H6" s="8"/>
      <c r="I6" s="8"/>
      <c r="J6" s="33" t="s">
        <v>60</v>
      </c>
      <c r="K6" s="8"/>
      <c r="L6" s="8"/>
      <c r="M6" s="8"/>
      <c r="N6" s="8"/>
      <c r="O6" s="8"/>
      <c r="P6" s="34" t="s">
        <v>61</v>
      </c>
      <c r="Q6" s="35" t="s">
        <v>62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IFERROR(__xludf.DUMMYFUNCTION("""COMPUTED_VALUE"""),"Account")</f>
        <v>Account</v>
      </c>
      <c r="C5" s="36" t="str">
        <f>IFERROR(__xludf.DUMMYFUNCTION("""COMPUTED_VALUE"""),"Current Quantity")</f>
        <v>Current Quantity</v>
      </c>
      <c r="D5" s="36" t="str">
        <f>IFERROR(__xludf.DUMMYFUNCTION("""COMPUTED_VALUE"""),"Current %")</f>
        <v>Current %</v>
      </c>
      <c r="E5" s="36" t="str">
        <f>IFERROR(__xludf.DUMMYFUNCTION("""COMPUTED_VALUE"""),"Allocated Quantity")</f>
        <v>Allocated Quantity</v>
      </c>
      <c r="F5" s="37" t="str">
        <f>IFERROR(__xludf.DUMMYFUNCTION("""COMPUTED_VALUE"""),"Allocation %")</f>
        <v>Allocation %</v>
      </c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31" t="s">
        <v>64</v>
      </c>
      <c r="E6" s="32">
        <v>333300.0</v>
      </c>
      <c r="F6" s="38">
        <v>33.33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65</v>
      </c>
      <c r="E7" s="32">
        <v>333300.0</v>
      </c>
      <c r="F7" s="39">
        <v>33.33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66</v>
      </c>
      <c r="E8" s="32">
        <v>333300.0</v>
      </c>
      <c r="F8" s="39">
        <v>33.33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67</v>
      </c>
      <c r="E9" s="32">
        <v>100.0</v>
      </c>
      <c r="F9" s="39">
        <v>0.01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D10" s="8"/>
      <c r="E10" s="32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VerifyCustomAllocationonTT!$4:$4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IFERROR(__xludf.DUMMYFUNCTION("""COMPUTED_VALUE"""),"Symbol")</f>
        <v>Symbol</v>
      </c>
      <c r="C5" s="36" t="str">
        <f>IFERROR(__xludf.DUMMYFUNCTION("""COMPUTED_VALUE"""),"Quantity")</f>
        <v>Quantity</v>
      </c>
      <c r="D5" s="36" t="str">
        <f>IFERROR(__xludf.DUMMYFUNCTION("""COMPUTED_VALUE"""),"Price")</f>
        <v>Price</v>
      </c>
      <c r="E5" s="36" t="str">
        <f>IFERROR(__xludf.DUMMYFUNCTION("""COMPUTED_VALUE"""),"Order type button")</f>
        <v>Order type button</v>
      </c>
      <c r="F5" s="37" t="str">
        <f>IFERROR(__xludf.DUMMYFUNCTION("""COMPUTED_VALUE"""),"SharesOutstandingPopUp")</f>
        <v>SharesOutstandingPopUp</v>
      </c>
      <c r="G5" s="36" t="str">
        <f>IFERROR(__xludf.DUMMYFUNCTION("""COMPUTED_VALUE"""),"TT_Open")</f>
        <v>TT_Open</v>
      </c>
      <c r="H5" s="36" t="str">
        <f>IFERROR(__xludf.DUMMYFUNCTION("""COMPUTED_VALUE"""),"SharesOutstandingPopUpQty")</f>
        <v>SharesOutstandingPopUpQty</v>
      </c>
      <c r="I5" s="36" t="str">
        <f>IFERROR(__xludf.DUMMYFUNCTION("""COMPUTED_VALUE"""),"AllocationMethod")</f>
        <v>AllocationMethod</v>
      </c>
      <c r="J5" s="36" t="str">
        <f>IFERROR(__xludf.DUMMYFUNCTION("""COMPUTED_VALUE"""),"Order Side")</f>
        <v>Order Side</v>
      </c>
      <c r="K5" s="36" t="str">
        <f>IFERROR(__xludf.DUMMYFUNCTION("""COMPUTED_VALUE"""),"DB_Check")</f>
        <v>DB_Check</v>
      </c>
      <c r="L5" s="36" t="str">
        <f>IFERROR(__xludf.DUMMYFUNCTION("""COMPUTED_VALUE"""),"CommissionBasis")</f>
        <v>CommissionBasis</v>
      </c>
      <c r="M5" s="36" t="str">
        <f>IFERROR(__xludf.DUMMYFUNCTION("""COMPUTED_VALUE"""),"CommissionRate")</f>
        <v>CommissionRate</v>
      </c>
      <c r="N5" s="36" t="str">
        <f>IFERROR(__xludf.DUMMYFUNCTION("""COMPUTED_VALUE"""),"SoftBasis")</f>
        <v>SoftBasis</v>
      </c>
      <c r="O5" s="36" t="str">
        <f>IFERROR(__xludf.DUMMYFUNCTION("""COMPUTED_VALUE"""),"SoftRate")</f>
        <v>SoftRate</v>
      </c>
      <c r="P5" s="36" t="str">
        <f>IFERROR(__xludf.DUMMYFUNCTION("""COMPUTED_VALUE"""),"Account")</f>
        <v>Account</v>
      </c>
      <c r="Q5" s="36" t="str">
        <f>IFERROR(__xludf.DUMMYFUNCTION("""COMPUTED_VALUE"""),"Account %")</f>
        <v>Account %</v>
      </c>
      <c r="R5" s="36" t="str">
        <f>IFERROR(__xludf.DUMMYFUNCTION("""COMPUTED_VALUE"""),"VerifySuggestions")</f>
        <v>VerifySuggestions</v>
      </c>
      <c r="S5" s="36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/>
      <c r="C6" s="8"/>
      <c r="D6" s="12"/>
      <c r="E6" s="12" t="s">
        <v>68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IFERROR(__xludf.DUMMYFUNCTION("""COMPUTED_VALUE"""),"Symbol")</f>
        <v>Symbol</v>
      </c>
      <c r="C5" s="36" t="str">
        <f>IFERROR(__xludf.DUMMYFUNCTION("""COMPUTED_VALUE"""),"Order Side")</f>
        <v>Order Side</v>
      </c>
      <c r="D5" s="36" t="str">
        <f>IFERROR(__xludf.DUMMYFUNCTION("""COMPUTED_VALUE"""),"Quantity")</f>
        <v>Quantity</v>
      </c>
      <c r="E5" s="36" t="str">
        <f>IFERROR(__xludf.DUMMYFUNCTION("""COMPUTED_VALUE"""),"TargetQuantityIn")</f>
        <v>TargetQuantityIn</v>
      </c>
      <c r="F5" s="37" t="str">
        <f>IFERROR(__xludf.DUMMYFUNCTION("""COMPUTED_VALUE"""),"AllocationMethod")</f>
        <v>AllocationMethod</v>
      </c>
      <c r="G5" s="36" t="str">
        <f>IFERROR(__xludf.DUMMYFUNCTION("""COMPUTED_VALUE"""),"Broker")</f>
        <v>Broker</v>
      </c>
      <c r="H5" s="36" t="str">
        <f>IFERROR(__xludf.DUMMYFUNCTION("""COMPUTED_VALUE"""),"TIF")</f>
        <v>TIF</v>
      </c>
      <c r="I5" s="36" t="str">
        <f>IFERROR(__xludf.DUMMYFUNCTION("""COMPUTED_VALUE"""),"Order Type")</f>
        <v>Order Type</v>
      </c>
      <c r="J5" s="36" t="str">
        <f>IFERROR(__xludf.DUMMYFUNCTION("""COMPUTED_VALUE"""),"Price")</f>
        <v>Price</v>
      </c>
      <c r="K5" s="36" t="str">
        <f>IFERROR(__xludf.DUMMYFUNCTION("""COMPUTED_VALUE"""),"Stop")</f>
        <v>Stop</v>
      </c>
      <c r="L5" s="36" t="str">
        <f>IFERROR(__xludf.DUMMYFUNCTION("""COMPUTED_VALUE"""),"Limit")</f>
        <v>Limit</v>
      </c>
      <c r="M5" s="36" t="str">
        <f>IFERROR(__xludf.DUMMYFUNCTION("""COMPUTED_VALUE"""),"Strategy")</f>
        <v>Strategy</v>
      </c>
      <c r="N5" s="36" t="str">
        <f>IFERROR(__xludf.DUMMYFUNCTION("""COMPUTED_VALUE"""),"Trade Date")</f>
        <v>Trade Date</v>
      </c>
      <c r="O5" s="36" t="str">
        <f>IFERROR(__xludf.DUMMYFUNCTION("""COMPUTED_VALUE"""),"FxRate")</f>
        <v>FxRate</v>
      </c>
      <c r="P5" s="36" t="str">
        <f>IFERROR(__xludf.DUMMYFUNCTION("""COMPUTED_VALUE"""),"Notes")</f>
        <v>Notes</v>
      </c>
      <c r="Q5" s="36" t="str">
        <f>IFERROR(__xludf.DUMMYFUNCTION("""COMPUTED_VALUE"""),"Broker Notes")</f>
        <v>Broker Notes</v>
      </c>
      <c r="R5" s="36" t="str">
        <f>IFERROR(__xludf.DUMMYFUNCTION("""COMPUTED_VALUE"""),"CommissionBasis")</f>
        <v>CommissionBasis</v>
      </c>
      <c r="S5" s="36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 t="s">
        <v>70</v>
      </c>
      <c r="C6" s="12" t="s">
        <v>60</v>
      </c>
      <c r="D6" s="12">
        <v>110.0</v>
      </c>
      <c r="E6" s="40"/>
      <c r="F6" s="8"/>
      <c r="G6" s="12" t="s">
        <v>71</v>
      </c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72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IFERROR(__xludf.DUMMYFUNCTION("""COMPUTED_VALUE"""),"Transaction Time")</f>
        <v>Transaction Time</v>
      </c>
      <c r="C5" s="36" t="str">
        <f>IFERROR(__xludf.DUMMYFUNCTION("""COMPUTED_VALUE"""),"Algo")</f>
        <v>Algo</v>
      </c>
      <c r="D5" s="36" t="str">
        <f>IFERROR(__xludf.DUMMYFUNCTION("""COMPUTED_VALUE"""),"Avg Fill Price (Base)")</f>
        <v>Avg Fill Price (Base)</v>
      </c>
      <c r="E5" s="36" t="str">
        <f>IFERROR(__xludf.DUMMYFUNCTION("""COMPUTED_VALUE"""),"Bloomberg Symbol")</f>
        <v>Bloomberg Symbol</v>
      </c>
      <c r="F5" s="37" t="str">
        <f>IFERROR(__xludf.DUMMYFUNCTION("""COMPUTED_VALUE"""),"Limit Price")</f>
        <v>Limit Price</v>
      </c>
      <c r="G5" s="36" t="str">
        <f>IFERROR(__xludf.DUMMYFUNCTION("""COMPUTED_VALUE"""),"Working Qty")</f>
        <v>Working Qty</v>
      </c>
      <c r="H5" s="36" t="str">
        <f>IFERROR(__xludf.DUMMYFUNCTION("""COMPUTED_VALUE"""),"Venue")</f>
        <v>Venue</v>
      </c>
      <c r="I5" s="36" t="str">
        <f>IFERROR(__xludf.DUMMYFUNCTION("""COMPUTED_VALUE"""),"Current User")</f>
        <v>Current User</v>
      </c>
      <c r="J5" s="36" t="str">
        <f>IFERROR(__xludf.DUMMYFUNCTION("""COMPUTED_VALUE"""),"Underlying Symbol")</f>
        <v>Underlying Symbol</v>
      </c>
      <c r="K5" s="36" t="str">
        <f>IFERROR(__xludf.DUMMYFUNCTION("""COMPUTED_VALUE"""),"Underlying Country")</f>
        <v>Underlying Country</v>
      </c>
      <c r="L5" s="36" t="str">
        <f>IFERROR(__xludf.DUMMYFUNCTION("""COMPUTED_VALUE"""),"Trader")</f>
        <v>Trader</v>
      </c>
      <c r="M5" s="36" t="str">
        <f>IFERROR(__xludf.DUMMYFUNCTION("""COMPUTED_VALUE"""),"Trade Attribute 6")</f>
        <v>Trade Attribute 6</v>
      </c>
      <c r="N5" s="36" t="str">
        <f>IFERROR(__xludf.DUMMYFUNCTION("""COMPUTED_VALUE"""),"Trade Attribute 5")</f>
        <v>Trade Attribute 5</v>
      </c>
      <c r="O5" s="36" t="str">
        <f>IFERROR(__xludf.DUMMYFUNCTION("""COMPUTED_VALUE"""),"Trade Attribute 4")</f>
        <v>Trade Attribute 4</v>
      </c>
      <c r="P5" s="36" t="str">
        <f>IFERROR(__xludf.DUMMYFUNCTION("""COMPUTED_VALUE"""),"Trade Attribute 3")</f>
        <v>Trade Attribute 3</v>
      </c>
      <c r="Q5" s="36" t="str">
        <f>IFERROR(__xludf.DUMMYFUNCTION("""COMPUTED_VALUE"""),"Trade Attribute 1")</f>
        <v>Trade Attribute 1</v>
      </c>
      <c r="R5" s="36" t="str">
        <f>IFERROR(__xludf.DUMMYFUNCTION("""COMPUTED_VALUE"""),"Trade Attribute 2")</f>
        <v>Trade Attribute 2</v>
      </c>
      <c r="S5" s="36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2"/>
      <c r="B6" s="12"/>
      <c r="C6" s="8"/>
      <c r="D6" s="12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70</v>
      </c>
      <c r="AJ6" s="9" t="s">
        <v>60</v>
      </c>
      <c r="AK6" s="9" t="s">
        <v>74</v>
      </c>
      <c r="AS6" s="9" t="s">
        <v>71</v>
      </c>
      <c r="AT6" s="9" t="s">
        <v>64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