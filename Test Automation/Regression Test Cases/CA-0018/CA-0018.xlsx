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Short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<sst xmlns="http://schemas.openxmlformats.org/spreadsheetml/2006/main" count="1319" uniqueCount="89">
  <si>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</si>
  <si>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</si>
  <si>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</si>
  <si>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</si>
  <si>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</si>
  <si>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</si>
  <si>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</si>
  <si>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</si>
  <si>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</si>
  <si>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</si>
  <si>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</si>
  <si>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</si>
  <si>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</si>
  <si>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</si>
  <si>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</si>
  <si>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</si>
  <si>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</si>
  <si>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</si>
  <si>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</si>
  <si>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</si>
  <si>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</si>
  <si>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</si>
  <si>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</si>
  <si>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</si>
  <si>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</si>
  <si>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Sell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</si>
  <si>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</si>
  <si>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</si>
  <si>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</si>
  <si>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</si>
  <si>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</si>
  <si>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</si>
  <si>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</si>
  <si>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</si>
  <si>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</si>
  <si>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</si>
  <si>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</si>
  <si>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</si>
  <si>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</si>
  <si>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</si>
  <si>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</si>
  <si>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</si>
  <si>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Long Revaluation [Asset]</t>
  </si>
  <si>
    <t>CR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</si>
  <si>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</si>
  <si>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</si>
  <si>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</si>
  <si>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</si>
  <si>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</si>
  <si>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</si>
  <si>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VerifyTradingTransaction</t>
  </si>
  <si>
    <t>Trading</t>
  </si>
  <si>
    <t>Investment - Long Equity [Asset]</t>
  </si>
  <si>
    <t>GetActivityData</t>
  </si>
  <si>
    <t>VerifyActivity</t>
  </si>
  <si>
    <t>EquityLongUnRealizedPNL</t>
  </si>
  <si>
    <t>Cash</t>
  </si>
  <si>
    <t>NonTrading</t>
  </si>
  <si>
    <t>unknown5</t>
  </si>
  <si>
    <t>Manual Journal Entry</t>
  </si>
  <si>
    <t>CashUnRealizedPNL</t>
  </si>
  <si>
    <t>EquityL</t>
  </si>
  <si>
    <t>BrokerNotes</t>
  </si>
  <si>
    <t>CorporateAction</t>
  </si>
  <si>
    <t>OpenSpinOff</t>
  </si>
  <si>
    <t>SpinOff</t>
  </si>
  <si>
    <t>LI-EEB</t>
  </si>
  <si>
    <t>VerifyAndApplyCorpAction</t>
  </si>
  <si>
    <t>Buy to Close</t>
  </si>
  <si>
    <t>BuytoClose</t>
  </si>
  <si>
    <t>SellShort</t>
  </si>
  <si>
    <t>Equity Short Revaluation [Asset]</t>
  </si>
  <si>
    <t>Investment - Short Equity [Liability]</t>
  </si>
  <si>
    <t>EquityShortUnRealizedPNL</t>
  </si>
  <si>
    <t>EquityS</t>
  </si>
  <si>
    <t>Closing</t>
  </si>
  <si>
    <t>GetDataClosing</t>
  </si>
  <si>
    <t>Historical</t>
  </si>
  <si>
    <t>VerifyShortPositionsGrid</t>
  </si>
  <si>
    <t>Equity</t>
  </si>
  <si>
    <t>Strategy Unallocated</t>
  </si>
  <si>
    <t>Sell short</t>
  </si>
  <si>
    <t>EU</t>
  </si>
  <si>
    <t>KLEPIERRE</t>
  </si>
  <si>
    <t>Allocation</t>
  </si>
  <si>
    <t>GetDataAllocation</t>
  </si>
  <si>
    <t>CheckAllocatedGroups</t>
  </si>
  <si>
    <t>Manual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</si>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</sst>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E7E8E9"/>
      <name val="&quot;Segoe UI&quot;"/>
    </font>
    <font>
      <sz val="9.0"/>
      <color rgb="FF868686"/>
      <name val="&quot;Segoe UI&quot;"/>
    </font>
    <font>
      <sz val="9.0"/>
      <color rgb="FF000000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1" fillId="2" fontId="1" numFmtId="165" xfId="0" applyAlignment="1" applyBorder="1" applyFont="1" applyNumberFormat="1">
      <alignment horizontal="center" shrinkToFit="0" wrapText="0"/>
    </xf>
    <xf borderId="0" fillId="0" fontId="5" numFmtId="165" xfId="0" applyAlignment="1" applyFont="1" applyNumberFormat="1">
      <alignment shrinkToFit="0" wrapText="0"/>
    </xf>
    <xf borderId="4" fillId="3" fontId="4" numFmtId="165" xfId="0" applyAlignment="1" applyBorder="1" applyFont="1" applyNumberFormat="1">
      <alignment shrinkToFit="0" wrapText="0"/>
    </xf>
    <xf borderId="4" fillId="3" fontId="7" numFmtId="165" xfId="0" applyAlignment="1" applyBorder="1" applyFont="1" applyNumberFormat="1">
      <alignment readingOrder="0" shrinkToFit="0" wrapText="0"/>
    </xf>
    <xf borderId="0" fillId="4" fontId="11" numFmtId="165" xfId="0" applyAlignment="1" applyFont="1" applyNumberFormat="1">
      <alignment shrinkToFit="0" wrapText="0"/>
    </xf>
    <xf borderId="4" fillId="5" fontId="4" numFmtId="165" xfId="0" applyAlignment="1" applyBorder="1" applyFont="1" applyNumberFormat="1">
      <alignment shrinkToFit="0" wrapText="0"/>
    </xf>
    <xf borderId="6" fillId="0" fontId="5" numFmtId="165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2" numFmtId="165" xfId="0" applyFont="1" applyNumberFormat="1"/>
    <xf borderId="5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5" numFmtId="164" xfId="0" applyAlignment="1" applyBorder="1" applyFont="1" applyNumberFormat="1">
      <alignment horizontal="right" readingOrder="0"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6" numFmtId="165" xfId="0" applyAlignment="1" applyFont="1" applyNumberFormat="1">
      <alignment horizontal="left" readingOrder="0" shrinkToFit="0" wrapText="0"/>
    </xf>
    <xf borderId="0" fillId="6" fontId="16" numFmtId="164" xfId="0" applyAlignment="1" applyFont="1" applyNumberFormat="1">
      <alignment horizontal="left" readingOrder="0" shrinkToFit="0" wrapText="0"/>
    </xf>
    <xf borderId="0" fillId="2" fontId="2" numFmtId="165" xfId="0" applyFont="1" applyNumberFormat="1"/>
    <xf borderId="0" fillId="3" fontId="10" numFmtId="165" xfId="0" applyFont="1" applyNumberFormat="1"/>
    <xf borderId="0" fillId="4" fontId="12" numFmtId="165" xfId="0" applyFont="1" applyNumberFormat="1"/>
    <xf borderId="0" fillId="5" fontId="10" numFmtId="165" xfId="0" applyFont="1" applyNumberFormat="1"/>
    <xf borderId="0" fillId="6" fontId="13" numFmtId="0" xfId="0" applyAlignment="1" applyFont="1">
      <alignment horizontal="left" shrinkToFit="0" wrapText="0"/>
    </xf>
    <xf borderId="0" fillId="6" fontId="17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7" numFmtId="0" xfId="0" applyAlignment="1" applyFont="1">
      <alignment horizontal="left" readingOrder="0" shrinkToFit="0" wrapText="0"/>
    </xf>
    <xf borderId="0" fillId="8" fontId="16" numFmtId="165" xfId="0" applyAlignment="1" applyFont="1" applyNumberFormat="1">
      <alignment horizontal="left" readingOrder="0" shrinkToFit="0" wrapText="0"/>
    </xf>
    <xf borderId="0" fillId="0" fontId="18" numFmtId="0" xfId="0" applyAlignment="1" applyFont="1">
      <alignment readingOrder="0" shrinkToFit="0" wrapText="0"/>
    </xf>
    <xf borderId="0" fillId="0" fontId="18" numFmtId="0" xfId="0" applyAlignment="1" applyFont="1">
      <alignment horizontal="right" readingOrder="0" shrinkToFit="0" wrapText="0"/>
    </xf>
    <xf borderId="0" fillId="0" fontId="18" numFmtId="164" xfId="0" applyAlignment="1" applyFont="1" applyNumberFormat="1">
      <alignment horizontal="right" readingOrder="0" shrinkToFit="0" wrapText="0"/>
    </xf>
    <xf borderId="0" fillId="0" fontId="18" numFmtId="166" xfId="0" applyAlignment="1" applyFont="1" applyNumberFormat="1">
      <alignment horizontal="right" readingOrder="0" shrinkToFit="0" wrapText="0"/>
    </xf>
    <xf borderId="0" fillId="0" fontId="18" numFmtId="0" xfId="0" applyAlignment="1" applyFont="1">
      <alignment shrinkToFit="0" wrapText="0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64" xfId="0" applyAlignment="1" applyFont="1" applyNumberFormat="1">
      <alignment horizontal="left" readingOrder="0" shrinkToFit="0" wrapText="0"/>
    </xf>
    <xf borderId="0" fillId="7" fontId="13" numFmtId="164" xfId="0" applyAlignment="1" applyFont="1" applyNumberFormat="1">
      <alignment horizontal="left" readingOrder="0" shrinkToFit="0" wrapText="0"/>
    </xf>
    <xf borderId="0" fillId="0" fontId="18" numFmtId="0" xfId="0" applyAlignment="1" applyFont="1">
      <alignment vertical="bottom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4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7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6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6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58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0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7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67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IFERROR(__xludf.DUMMYFUNCTION("""COMPUTED_VALUE"""),"undefined")</f>
        <v>undefined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IFERROR(__xludf.DUMMYFUNCTION("""COMPUTED_VALUE"""),"1hwFwcZT2KkLMWXu0X968AjDc83QETRSutmtdbAtWjRQ")</f>
        <v>1hwFwcZT2KkLMWXu0X968AjDc83QETRSutmtdbAtWjRQ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43871.0</v>
      </c>
      <c r="C6" s="32" t="s">
        <v>16</v>
      </c>
      <c r="D6" s="31"/>
      <c r="E6" s="32" t="s">
        <v>18</v>
      </c>
      <c r="F6" s="32" t="s">
        <v>19</v>
      </c>
      <c r="G6" s="32"/>
      <c r="H6" s="35">
        <v>500000.0</v>
      </c>
      <c r="I6" s="32"/>
      <c r="J6" s="35">
        <v>1.0</v>
      </c>
      <c r="K6" s="32" t="s">
        <v>20</v>
      </c>
      <c r="L6" s="32"/>
      <c r="M6" s="32"/>
      <c r="N6" s="32"/>
      <c r="O6" s="32"/>
      <c r="P6" s="32"/>
      <c r="Q6" s="32"/>
      <c r="R6" s="35">
        <v>500000.0</v>
      </c>
      <c r="S6" s="32"/>
    </row>
    <row r="7" ht="15.75" customHeight="1">
      <c r="A7" s="34"/>
      <c r="B7" s="36">
        <v>43871.0</v>
      </c>
      <c r="C7" s="34" t="s">
        <v>16</v>
      </c>
      <c r="D7" s="34"/>
      <c r="E7" s="34" t="s">
        <v>18</v>
      </c>
      <c r="F7" s="37" t="s">
        <v>21</v>
      </c>
      <c r="G7" s="34"/>
      <c r="H7" s="34"/>
      <c r="I7" s="38">
        <v>500000.0</v>
      </c>
      <c r="J7" s="38">
        <v>1.0</v>
      </c>
      <c r="K7" s="34" t="s">
        <v>20</v>
      </c>
      <c r="L7" s="34"/>
      <c r="M7" s="34"/>
      <c r="N7" s="34"/>
      <c r="O7" s="34"/>
      <c r="P7" s="34"/>
      <c r="Q7" s="34"/>
      <c r="R7" s="34"/>
      <c r="S7" s="35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9" t="s">
        <v>25</v>
      </c>
      <c r="D6" s="40">
        <v>105.0</v>
      </c>
      <c r="E6" s="35">
        <v>105.0</v>
      </c>
      <c r="F6" s="32"/>
      <c r="G6" s="32" t="s">
        <v>26</v>
      </c>
      <c r="H6" s="32"/>
      <c r="I6" s="32"/>
      <c r="J6" s="35">
        <v>70.0</v>
      </c>
      <c r="K6" s="32"/>
      <c r="L6" s="32"/>
      <c r="M6" s="32"/>
      <c r="N6" s="41">
        <v>43871.0</v>
      </c>
      <c r="O6" s="42">
        <v>1.1</v>
      </c>
      <c r="P6" s="32"/>
      <c r="Q6" s="32"/>
      <c r="R6" s="32" t="s">
        <v>27</v>
      </c>
      <c r="S6" s="42">
        <v>2.5</v>
      </c>
      <c r="T6" s="34" t="s">
        <v>27</v>
      </c>
      <c r="U6" s="43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28</v>
      </c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5"/>
      <c r="C2" s="45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6" t="s">
        <v>8</v>
      </c>
      <c r="C3" s="47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8" t="str">
        <f>IFERROR(__xludf.DUMMYFUNCTION("IF(C3="""","""",Transpose(IMPORTRANGE('_Settings'!$B$3,C3&amp;""!A4:A1000"")))"),"UpdateBeta")</f>
        <v>UpdateBeta</v>
      </c>
      <c r="C4" s="48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IFERROR(__xludf.DUMMYFUNCTION("""COMPUTED_VALUE"""),"Select Date")</f>
        <v>Select Date</v>
      </c>
      <c r="C5" s="49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>
        <v>43871.0</v>
      </c>
      <c r="C6" s="50">
        <v>43871.0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/>
      <c r="C7" s="4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/>
      <c r="C8" s="45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/>
      <c r="C9" s="45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/>
      <c r="C10" s="45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/>
      <c r="C11" s="4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/>
      <c r="C12" s="4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/>
      <c r="C13" s="45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5"/>
      <c r="C14" s="4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5"/>
      <c r="C15" s="45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5"/>
      <c r="C16" s="45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5"/>
      <c r="C17" s="4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5"/>
      <c r="C18" s="4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5"/>
      <c r="C19" s="4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5"/>
      <c r="C20" s="4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5"/>
      <c r="C21" s="4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5"/>
      <c r="C22" s="4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5"/>
      <c r="C23" s="4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5"/>
      <c r="C24" s="4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5"/>
      <c r="C25" s="4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5"/>
      <c r="C26" s="4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  <c r="C27" s="52"/>
    </row>
    <row r="28" ht="15.75" customHeight="1">
      <c r="B28" s="52"/>
      <c r="C28" s="52"/>
    </row>
    <row r="29" ht="15.75" customHeight="1">
      <c r="B29" s="52"/>
      <c r="C29" s="52"/>
    </row>
    <row r="30" ht="15.75" customHeight="1">
      <c r="B30" s="52"/>
      <c r="C30" s="52"/>
    </row>
    <row r="31" ht="15.75" customHeight="1">
      <c r="B31" s="52"/>
      <c r="C31" s="52"/>
    </row>
    <row r="32" ht="15.75" customHeight="1">
      <c r="B32" s="52"/>
      <c r="C32" s="52"/>
    </row>
    <row r="33" ht="15.75" customHeight="1">
      <c r="B33" s="52"/>
      <c r="C33" s="52"/>
    </row>
    <row r="34" ht="15.75" customHeight="1">
      <c r="B34" s="52"/>
      <c r="C34" s="52"/>
    </row>
    <row r="35" ht="15.75" customHeight="1">
      <c r="B35" s="52"/>
      <c r="C35" s="52"/>
    </row>
    <row r="36" ht="15.75" customHeight="1">
      <c r="B36" s="52"/>
      <c r="C36" s="52"/>
    </row>
    <row r="37" ht="15.75" customHeight="1">
      <c r="B37" s="52"/>
      <c r="C37" s="52"/>
    </row>
    <row r="38" ht="15.75" customHeight="1">
      <c r="B38" s="52"/>
      <c r="C38" s="52"/>
    </row>
    <row r="39" ht="15.75" customHeight="1">
      <c r="B39" s="52"/>
      <c r="C39" s="52"/>
    </row>
    <row r="40" ht="15.75" customHeight="1">
      <c r="B40" s="52"/>
      <c r="C40" s="52"/>
    </row>
    <row r="41" ht="15.75" customHeight="1">
      <c r="B41" s="52"/>
      <c r="C41" s="52"/>
    </row>
    <row r="42" ht="15.75" customHeight="1">
      <c r="B42" s="52"/>
      <c r="C42" s="52"/>
    </row>
    <row r="43" ht="15.75" customHeight="1">
      <c r="B43" s="52"/>
      <c r="C43" s="52"/>
    </row>
    <row r="44" ht="15.75" customHeight="1">
      <c r="B44" s="52"/>
      <c r="C44" s="52"/>
    </row>
    <row r="45" ht="15.75" customHeight="1">
      <c r="B45" s="52"/>
      <c r="C45" s="52"/>
    </row>
    <row r="46" ht="15.75" customHeight="1">
      <c r="B46" s="52"/>
      <c r="C46" s="52"/>
    </row>
    <row r="47" ht="15.75" customHeight="1">
      <c r="B47" s="52"/>
      <c r="C47" s="52"/>
    </row>
    <row r="48" ht="15.75" customHeight="1">
      <c r="B48" s="52"/>
      <c r="C48" s="52"/>
    </row>
    <row r="49" ht="15.75" customHeight="1">
      <c r="B49" s="52"/>
      <c r="C49" s="52"/>
    </row>
    <row r="50" ht="15.75" customHeight="1">
      <c r="B50" s="52"/>
      <c r="C50" s="52"/>
    </row>
    <row r="51" ht="15.75" customHeight="1">
      <c r="B51" s="52"/>
      <c r="C51" s="52"/>
    </row>
    <row r="52" ht="15.75" customHeight="1">
      <c r="B52" s="52"/>
      <c r="C52" s="52"/>
    </row>
    <row r="53" ht="15.75" customHeight="1">
      <c r="B53" s="52"/>
      <c r="C53" s="52"/>
    </row>
    <row r="54" ht="15.75" customHeight="1">
      <c r="B54" s="52"/>
      <c r="C54" s="52"/>
    </row>
    <row r="55" ht="15.75" customHeight="1">
      <c r="B55" s="52"/>
      <c r="C55" s="52"/>
    </row>
    <row r="56" ht="15.75" customHeight="1">
      <c r="B56" s="52"/>
      <c r="C56" s="52"/>
    </row>
    <row r="57" ht="15.75" customHeight="1">
      <c r="B57" s="52"/>
      <c r="C57" s="52"/>
    </row>
    <row r="58" ht="15.75" customHeight="1">
      <c r="B58" s="52"/>
      <c r="C58" s="52"/>
    </row>
    <row r="59" ht="15.75" customHeight="1">
      <c r="B59" s="52"/>
      <c r="C59" s="52"/>
    </row>
    <row r="60" ht="15.75" customHeight="1">
      <c r="B60" s="52"/>
      <c r="C60" s="52"/>
    </row>
    <row r="61" ht="15.75" customHeight="1">
      <c r="B61" s="52"/>
      <c r="C61" s="52"/>
    </row>
    <row r="62" ht="15.75" customHeight="1">
      <c r="B62" s="52"/>
      <c r="C62" s="52"/>
    </row>
    <row r="63" ht="15.75" customHeight="1">
      <c r="B63" s="52"/>
      <c r="C63" s="52"/>
    </row>
    <row r="64" ht="15.75" customHeight="1">
      <c r="B64" s="52"/>
      <c r="C64" s="52"/>
    </row>
    <row r="65" ht="15.75" customHeight="1">
      <c r="B65" s="52"/>
      <c r="C65" s="52"/>
    </row>
    <row r="66" ht="15.75" customHeight="1">
      <c r="B66" s="52"/>
      <c r="C66" s="52"/>
    </row>
    <row r="67" ht="15.75" customHeight="1">
      <c r="B67" s="52"/>
      <c r="C67" s="52"/>
    </row>
    <row r="68" ht="15.75" customHeight="1">
      <c r="B68" s="52"/>
      <c r="C68" s="52"/>
    </row>
    <row r="69" ht="15.75" customHeight="1">
      <c r="B69" s="52"/>
      <c r="C69" s="52"/>
    </row>
    <row r="70" ht="15.75" customHeight="1">
      <c r="B70" s="52"/>
      <c r="C70" s="52"/>
    </row>
    <row r="71" ht="15.75" customHeight="1">
      <c r="B71" s="52"/>
      <c r="C71" s="52"/>
    </row>
    <row r="72" ht="15.75" customHeight="1">
      <c r="B72" s="52"/>
      <c r="C72" s="52"/>
    </row>
    <row r="73" ht="15.75" customHeight="1">
      <c r="B73" s="52"/>
      <c r="C73" s="52"/>
    </row>
    <row r="74" ht="15.75" customHeight="1">
      <c r="B74" s="52"/>
      <c r="C74" s="52"/>
    </row>
    <row r="75" ht="15.75" customHeight="1">
      <c r="B75" s="52"/>
      <c r="C75" s="52"/>
    </row>
    <row r="76" ht="15.75" customHeight="1">
      <c r="B76" s="52"/>
      <c r="C76" s="52"/>
    </row>
    <row r="77" ht="15.75" customHeight="1">
      <c r="B77" s="52"/>
      <c r="C77" s="52"/>
    </row>
    <row r="78" ht="15.75" customHeight="1">
      <c r="B78" s="52"/>
      <c r="C78" s="52"/>
    </row>
    <row r="79" ht="15.75" customHeight="1">
      <c r="B79" s="52"/>
      <c r="C79" s="52"/>
    </row>
    <row r="80" ht="15.75" customHeight="1">
      <c r="B80" s="52"/>
      <c r="C80" s="52"/>
    </row>
    <row r="81" ht="15.75" customHeight="1">
      <c r="B81" s="52"/>
      <c r="C81" s="52"/>
    </row>
    <row r="82" ht="15.75" customHeight="1">
      <c r="B82" s="52"/>
      <c r="C82" s="52"/>
    </row>
    <row r="83" ht="15.75" customHeight="1">
      <c r="B83" s="52"/>
      <c r="C83" s="52"/>
    </row>
    <row r="84" ht="15.75" customHeight="1">
      <c r="B84" s="52"/>
      <c r="C84" s="52"/>
    </row>
    <row r="85" ht="15.75" customHeight="1">
      <c r="B85" s="52"/>
      <c r="C85" s="52"/>
    </row>
    <row r="86" ht="15.75" customHeight="1">
      <c r="B86" s="52"/>
      <c r="C86" s="52"/>
    </row>
    <row r="87" ht="15.75" customHeight="1">
      <c r="B87" s="52"/>
      <c r="C87" s="52"/>
    </row>
    <row r="88" ht="15.75" customHeight="1">
      <c r="B88" s="52"/>
      <c r="C88" s="52"/>
    </row>
    <row r="89" ht="15.75" customHeight="1">
      <c r="B89" s="52"/>
      <c r="C89" s="52"/>
    </row>
    <row r="90" ht="15.75" customHeight="1">
      <c r="B90" s="52"/>
      <c r="C90" s="52"/>
    </row>
    <row r="91" ht="15.75" customHeight="1">
      <c r="B91" s="52"/>
      <c r="C91" s="52"/>
    </row>
    <row r="92" ht="15.75" customHeight="1">
      <c r="B92" s="52"/>
      <c r="C92" s="52"/>
    </row>
    <row r="93" ht="15.75" customHeight="1">
      <c r="B93" s="52"/>
      <c r="C93" s="52"/>
    </row>
    <row r="94" ht="15.75" customHeight="1">
      <c r="B94" s="52"/>
      <c r="C94" s="52"/>
    </row>
    <row r="95" ht="15.75" customHeight="1">
      <c r="B95" s="52"/>
      <c r="C95" s="52"/>
    </row>
    <row r="96" ht="15.75" customHeight="1">
      <c r="B96" s="52"/>
      <c r="C96" s="52"/>
    </row>
    <row r="97" ht="15.75" customHeight="1">
      <c r="B97" s="52"/>
      <c r="C97" s="52"/>
    </row>
    <row r="98" ht="15.75" customHeight="1">
      <c r="B98" s="52"/>
      <c r="C98" s="52"/>
    </row>
    <row r="99" ht="15.75" customHeight="1">
      <c r="B99" s="52"/>
      <c r="C99" s="52"/>
    </row>
    <row r="100" ht="15.75" customHeight="1">
      <c r="B100" s="52"/>
      <c r="C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18</v>
      </c>
      <c r="D6" s="11"/>
      <c r="E6" s="11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5"/>
      <c r="C2" s="45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6" t="s">
        <v>8</v>
      </c>
      <c r="C3" s="47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8" t="str">
        <f>IFERROR(__xludf.DUMMYFUNCTION("IF(C3="""","""",Transpose(IMPORTRANGE('_Settings'!$B$3,C3&amp;""!A4:A1000"")))"),"UpdateBeta")</f>
        <v>UpdateBeta</v>
      </c>
      <c r="C4" s="48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IFERROR(__xludf.DUMMYFUNCTION("""COMPUTED_VALUE"""),"Select Date")</f>
        <v>Select Date</v>
      </c>
      <c r="C5" s="49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>
        <v>43871.0</v>
      </c>
      <c r="C6" s="50">
        <v>43871.0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/>
      <c r="C7" s="4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/>
      <c r="C8" s="45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/>
      <c r="C9" s="45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/>
      <c r="C10" s="45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/>
      <c r="C11" s="4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/>
      <c r="C12" s="4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/>
      <c r="C13" s="45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5"/>
      <c r="C14" s="4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5"/>
      <c r="C15" s="45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5"/>
      <c r="C16" s="45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5"/>
      <c r="C17" s="4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5"/>
      <c r="C18" s="4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5"/>
      <c r="C19" s="4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5"/>
      <c r="C20" s="4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5"/>
      <c r="C21" s="4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5"/>
      <c r="C22" s="4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5"/>
      <c r="C23" s="4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5"/>
      <c r="C24" s="4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5"/>
      <c r="C25" s="4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5"/>
      <c r="C26" s="4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  <c r="C27" s="52"/>
    </row>
    <row r="28" ht="15.75" customHeight="1">
      <c r="B28" s="52"/>
      <c r="C28" s="52"/>
    </row>
    <row r="29" ht="15.75" customHeight="1">
      <c r="B29" s="52"/>
      <c r="C29" s="52"/>
    </row>
    <row r="30" ht="15.75" customHeight="1">
      <c r="B30" s="52"/>
      <c r="C30" s="52"/>
    </row>
    <row r="31" ht="15.75" customHeight="1">
      <c r="B31" s="52"/>
      <c r="C31" s="52"/>
    </row>
    <row r="32" ht="15.75" customHeight="1">
      <c r="B32" s="52"/>
      <c r="C32" s="52"/>
    </row>
    <row r="33" ht="15.75" customHeight="1">
      <c r="B33" s="52"/>
      <c r="C33" s="52"/>
    </row>
    <row r="34" ht="15.75" customHeight="1">
      <c r="B34" s="52"/>
      <c r="C34" s="52"/>
    </row>
    <row r="35" ht="15.75" customHeight="1">
      <c r="B35" s="52"/>
      <c r="C35" s="52"/>
    </row>
    <row r="36" ht="15.75" customHeight="1">
      <c r="B36" s="52"/>
      <c r="C36" s="52"/>
    </row>
    <row r="37" ht="15.75" customHeight="1">
      <c r="B37" s="52"/>
      <c r="C37" s="52"/>
    </row>
    <row r="38" ht="15.75" customHeight="1">
      <c r="B38" s="52"/>
      <c r="C38" s="52"/>
    </row>
    <row r="39" ht="15.75" customHeight="1">
      <c r="B39" s="52"/>
      <c r="C39" s="52"/>
    </row>
    <row r="40" ht="15.75" customHeight="1">
      <c r="B40" s="52"/>
      <c r="C40" s="52"/>
    </row>
    <row r="41" ht="15.75" customHeight="1">
      <c r="B41" s="52"/>
      <c r="C41" s="52"/>
    </row>
    <row r="42" ht="15.75" customHeight="1">
      <c r="B42" s="52"/>
      <c r="C42" s="52"/>
    </row>
    <row r="43" ht="15.75" customHeight="1">
      <c r="B43" s="52"/>
      <c r="C43" s="52"/>
    </row>
    <row r="44" ht="15.75" customHeight="1">
      <c r="B44" s="52"/>
      <c r="C44" s="52"/>
    </row>
    <row r="45" ht="15.75" customHeight="1">
      <c r="B45" s="52"/>
      <c r="C45" s="52"/>
    </row>
    <row r="46" ht="15.75" customHeight="1">
      <c r="B46" s="52"/>
      <c r="C46" s="52"/>
    </row>
    <row r="47" ht="15.75" customHeight="1">
      <c r="B47" s="52"/>
      <c r="C47" s="52"/>
    </row>
    <row r="48" ht="15.75" customHeight="1">
      <c r="B48" s="52"/>
      <c r="C48" s="52"/>
    </row>
    <row r="49" ht="15.75" customHeight="1">
      <c r="B49" s="52"/>
      <c r="C49" s="52"/>
    </row>
    <row r="50" ht="15.75" customHeight="1">
      <c r="B50" s="52"/>
      <c r="C50" s="52"/>
    </row>
    <row r="51" ht="15.75" customHeight="1">
      <c r="B51" s="52"/>
      <c r="C51" s="52"/>
    </row>
    <row r="52" ht="15.75" customHeight="1">
      <c r="B52" s="52"/>
      <c r="C52" s="52"/>
    </row>
    <row r="53" ht="15.75" customHeight="1">
      <c r="B53" s="52"/>
      <c r="C53" s="52"/>
    </row>
    <row r="54" ht="15.75" customHeight="1">
      <c r="B54" s="52"/>
      <c r="C54" s="52"/>
    </row>
    <row r="55" ht="15.75" customHeight="1">
      <c r="B55" s="52"/>
      <c r="C55" s="52"/>
    </row>
    <row r="56" ht="15.75" customHeight="1">
      <c r="B56" s="52"/>
      <c r="C56" s="52"/>
    </row>
    <row r="57" ht="15.75" customHeight="1">
      <c r="B57" s="52"/>
      <c r="C57" s="52"/>
    </row>
    <row r="58" ht="15.75" customHeight="1">
      <c r="B58" s="52"/>
      <c r="C58" s="52"/>
    </row>
    <row r="59" ht="15.75" customHeight="1">
      <c r="B59" s="52"/>
      <c r="C59" s="52"/>
    </row>
    <row r="60" ht="15.75" customHeight="1">
      <c r="B60" s="52"/>
      <c r="C60" s="52"/>
    </row>
    <row r="61" ht="15.75" customHeight="1">
      <c r="B61" s="52"/>
      <c r="C61" s="52"/>
    </row>
    <row r="62" ht="15.75" customHeight="1">
      <c r="B62" s="52"/>
      <c r="C62" s="52"/>
    </row>
    <row r="63" ht="15.75" customHeight="1">
      <c r="B63" s="52"/>
      <c r="C63" s="52"/>
    </row>
    <row r="64" ht="15.75" customHeight="1">
      <c r="B64" s="52"/>
      <c r="C64" s="52"/>
    </row>
    <row r="65" ht="15.75" customHeight="1">
      <c r="B65" s="52"/>
      <c r="C65" s="52"/>
    </row>
    <row r="66" ht="15.75" customHeight="1">
      <c r="B66" s="52"/>
      <c r="C66" s="52"/>
    </row>
    <row r="67" ht="15.75" customHeight="1">
      <c r="B67" s="52"/>
      <c r="C67" s="52"/>
    </row>
    <row r="68" ht="15.75" customHeight="1">
      <c r="B68" s="52"/>
      <c r="C68" s="52"/>
    </row>
    <row r="69" ht="15.75" customHeight="1">
      <c r="B69" s="52"/>
      <c r="C69" s="52"/>
    </row>
    <row r="70" ht="15.75" customHeight="1">
      <c r="B70" s="52"/>
      <c r="C70" s="52"/>
    </row>
    <row r="71" ht="15.75" customHeight="1">
      <c r="B71" s="52"/>
      <c r="C71" s="52"/>
    </row>
    <row r="72" ht="15.75" customHeight="1">
      <c r="B72" s="52"/>
      <c r="C72" s="52"/>
    </row>
    <row r="73" ht="15.75" customHeight="1">
      <c r="B73" s="52"/>
      <c r="C73" s="52"/>
    </row>
    <row r="74" ht="15.75" customHeight="1">
      <c r="B74" s="52"/>
      <c r="C74" s="52"/>
    </row>
    <row r="75" ht="15.75" customHeight="1">
      <c r="B75" s="52"/>
      <c r="C75" s="52"/>
    </row>
    <row r="76" ht="15.75" customHeight="1">
      <c r="B76" s="52"/>
      <c r="C76" s="52"/>
    </row>
    <row r="77" ht="15.75" customHeight="1">
      <c r="B77" s="52"/>
      <c r="C77" s="52"/>
    </row>
    <row r="78" ht="15.75" customHeight="1">
      <c r="B78" s="52"/>
      <c r="C78" s="52"/>
    </row>
    <row r="79" ht="15.75" customHeight="1">
      <c r="B79" s="52"/>
      <c r="C79" s="52"/>
    </row>
    <row r="80" ht="15.75" customHeight="1">
      <c r="B80" s="52"/>
      <c r="C80" s="52"/>
    </row>
    <row r="81" ht="15.75" customHeight="1">
      <c r="B81" s="52"/>
      <c r="C81" s="52"/>
    </row>
    <row r="82" ht="15.75" customHeight="1">
      <c r="B82" s="52"/>
      <c r="C82" s="52"/>
    </row>
    <row r="83" ht="15.75" customHeight="1">
      <c r="B83" s="52"/>
      <c r="C83" s="52"/>
    </row>
    <row r="84" ht="15.75" customHeight="1">
      <c r="B84" s="52"/>
      <c r="C84" s="52"/>
    </row>
    <row r="85" ht="15.75" customHeight="1">
      <c r="B85" s="52"/>
      <c r="C85" s="52"/>
    </row>
    <row r="86" ht="15.75" customHeight="1">
      <c r="B86" s="52"/>
      <c r="C86" s="52"/>
    </row>
    <row r="87" ht="15.75" customHeight="1">
      <c r="B87" s="52"/>
      <c r="C87" s="52"/>
    </row>
    <row r="88" ht="15.75" customHeight="1">
      <c r="B88" s="52"/>
      <c r="C88" s="52"/>
    </row>
    <row r="89" ht="15.75" customHeight="1">
      <c r="B89" s="52"/>
      <c r="C89" s="52"/>
    </row>
    <row r="90" ht="15.75" customHeight="1">
      <c r="B90" s="52"/>
      <c r="C90" s="52"/>
    </row>
    <row r="91" ht="15.75" customHeight="1">
      <c r="B91" s="52"/>
      <c r="C91" s="52"/>
    </row>
    <row r="92" ht="15.75" customHeight="1">
      <c r="B92" s="52"/>
      <c r="C92" s="52"/>
    </row>
    <row r="93" ht="15.75" customHeight="1">
      <c r="B93" s="52"/>
      <c r="C93" s="52"/>
    </row>
    <row r="94" ht="15.75" customHeight="1">
      <c r="B94" s="52"/>
      <c r="C94" s="52"/>
    </row>
    <row r="95" ht="15.75" customHeight="1">
      <c r="B95" s="52"/>
      <c r="C95" s="52"/>
    </row>
    <row r="96" ht="15.75" customHeight="1">
      <c r="B96" s="52"/>
      <c r="C96" s="52"/>
    </row>
    <row r="97" ht="15.75" customHeight="1">
      <c r="B97" s="52"/>
      <c r="C97" s="52"/>
    </row>
    <row r="98" ht="15.75" customHeight="1">
      <c r="B98" s="52"/>
      <c r="C98" s="52"/>
    </row>
    <row r="99" ht="15.75" customHeight="1">
      <c r="B99" s="52"/>
      <c r="C99" s="52"/>
    </row>
    <row r="100" ht="15.75" customHeight="1">
      <c r="B100" s="52"/>
      <c r="C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24</v>
      </c>
      <c r="C6" s="35">
        <v>75.0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45"/>
      <c r="E2" s="45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46" t="s">
        <v>9</v>
      </c>
      <c r="E3" s="47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48" t="str">
        <f>IFERROR(__xludf.DUMMYFUNCTION("""COMPUTED_VALUE"""),"EnterNonTradingTransaction")</f>
        <v>EnterNonTradingTransaction</v>
      </c>
      <c r="E4" s="48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49" t="str">
        <f>IFERROR(__xludf.DUMMYFUNCTION("""COMPUTED_VALUE"""),"From Date")</f>
        <v>From Date</v>
      </c>
      <c r="E5" s="49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16</v>
      </c>
      <c r="D6" s="41">
        <v>43871.0</v>
      </c>
      <c r="E6" s="41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45"/>
      <c r="E7" s="45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45"/>
      <c r="E8" s="45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45"/>
      <c r="E9" s="45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45"/>
      <c r="E10" s="45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45"/>
      <c r="E11" s="45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45"/>
      <c r="E12" s="45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45"/>
      <c r="E13" s="45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45"/>
      <c r="E14" s="45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45"/>
      <c r="E15" s="45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45"/>
      <c r="E16" s="45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45"/>
      <c r="E17" s="45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45"/>
      <c r="E18" s="45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45"/>
      <c r="E19" s="45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45"/>
      <c r="E20" s="45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45"/>
      <c r="E21" s="45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45"/>
      <c r="E22" s="45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45"/>
      <c r="E23" s="45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45"/>
      <c r="E24" s="45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45"/>
      <c r="E25" s="45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45"/>
      <c r="E26" s="45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52"/>
      <c r="E27" s="52"/>
    </row>
    <row r="28" ht="15.75" customHeight="1">
      <c r="D28" s="52"/>
      <c r="E28" s="52"/>
    </row>
    <row r="29" ht="15.75" customHeight="1">
      <c r="D29" s="52"/>
      <c r="E29" s="52"/>
    </row>
    <row r="30" ht="15.75" customHeight="1">
      <c r="D30" s="52"/>
      <c r="E30" s="52"/>
    </row>
    <row r="31" ht="15.75" customHeight="1">
      <c r="D31" s="52"/>
      <c r="E31" s="52"/>
    </row>
    <row r="32" ht="15.75" customHeight="1">
      <c r="D32" s="52"/>
      <c r="E32" s="52"/>
    </row>
    <row r="33" ht="15.75" customHeight="1">
      <c r="D33" s="52"/>
      <c r="E33" s="52"/>
    </row>
    <row r="34" ht="15.75" customHeight="1">
      <c r="D34" s="52"/>
      <c r="E34" s="52"/>
    </row>
    <row r="35" ht="15.75" customHeight="1">
      <c r="D35" s="52"/>
      <c r="E35" s="52"/>
    </row>
    <row r="36" ht="15.75" customHeight="1">
      <c r="D36" s="52"/>
      <c r="E36" s="52"/>
    </row>
    <row r="37" ht="15.75" customHeight="1">
      <c r="D37" s="52"/>
      <c r="E37" s="52"/>
    </row>
    <row r="38" ht="15.75" customHeight="1">
      <c r="D38" s="52"/>
      <c r="E38" s="52"/>
    </row>
    <row r="39" ht="15.75" customHeight="1">
      <c r="D39" s="52"/>
      <c r="E39" s="52"/>
    </row>
    <row r="40" ht="15.75" customHeight="1">
      <c r="D40" s="52"/>
      <c r="E40" s="52"/>
    </row>
    <row r="41" ht="15.75" customHeight="1">
      <c r="D41" s="52"/>
      <c r="E41" s="52"/>
    </row>
    <row r="42" ht="15.75" customHeight="1">
      <c r="D42" s="52"/>
      <c r="E42" s="52"/>
    </row>
    <row r="43" ht="15.75" customHeight="1">
      <c r="D43" s="52"/>
      <c r="E43" s="52"/>
    </row>
    <row r="44" ht="15.75" customHeight="1">
      <c r="D44" s="52"/>
      <c r="E44" s="52"/>
    </row>
    <row r="45" ht="15.75" customHeight="1">
      <c r="D45" s="52"/>
      <c r="E45" s="52"/>
    </row>
    <row r="46" ht="15.75" customHeight="1">
      <c r="D46" s="52"/>
      <c r="E46" s="52"/>
    </row>
    <row r="47" ht="15.75" customHeight="1">
      <c r="D47" s="52"/>
      <c r="E47" s="52"/>
    </row>
    <row r="48" ht="15.75" customHeight="1">
      <c r="D48" s="52"/>
      <c r="E48" s="52"/>
    </row>
    <row r="49" ht="15.75" customHeight="1">
      <c r="D49" s="52"/>
      <c r="E49" s="52"/>
    </row>
    <row r="50" ht="15.75" customHeight="1">
      <c r="D50" s="52"/>
      <c r="E50" s="52"/>
    </row>
    <row r="51" ht="15.75" customHeight="1">
      <c r="D51" s="52"/>
      <c r="E51" s="52"/>
    </row>
    <row r="52" ht="15.75" customHeight="1">
      <c r="D52" s="52"/>
      <c r="E52" s="52"/>
    </row>
    <row r="53" ht="15.75" customHeight="1">
      <c r="D53" s="52"/>
      <c r="E53" s="52"/>
    </row>
    <row r="54" ht="15.75" customHeight="1">
      <c r="D54" s="52"/>
      <c r="E54" s="52"/>
    </row>
    <row r="55" ht="15.75" customHeight="1">
      <c r="D55" s="52"/>
      <c r="E55" s="52"/>
    </row>
    <row r="56" ht="15.75" customHeight="1">
      <c r="D56" s="52"/>
      <c r="E56" s="52"/>
    </row>
    <row r="57" ht="15.75" customHeight="1">
      <c r="D57" s="52"/>
      <c r="E57" s="52"/>
    </row>
    <row r="58" ht="15.75" customHeight="1">
      <c r="D58" s="52"/>
      <c r="E58" s="52"/>
    </row>
    <row r="59" ht="15.75" customHeight="1">
      <c r="D59" s="52"/>
      <c r="E59" s="52"/>
    </row>
    <row r="60" ht="15.75" customHeight="1">
      <c r="D60" s="52"/>
      <c r="E60" s="52"/>
    </row>
    <row r="61" ht="15.75" customHeight="1">
      <c r="D61" s="52"/>
      <c r="E61" s="52"/>
    </row>
    <row r="62" ht="15.75" customHeight="1">
      <c r="D62" s="52"/>
      <c r="E62" s="52"/>
    </row>
    <row r="63" ht="15.75" customHeight="1">
      <c r="D63" s="52"/>
      <c r="E63" s="52"/>
    </row>
    <row r="64" ht="15.75" customHeight="1">
      <c r="D64" s="52"/>
      <c r="E64" s="52"/>
    </row>
    <row r="65" ht="15.75" customHeight="1">
      <c r="D65" s="52"/>
      <c r="E65" s="52"/>
    </row>
    <row r="66" ht="15.75" customHeight="1">
      <c r="D66" s="52"/>
      <c r="E66" s="52"/>
    </row>
    <row r="67" ht="15.75" customHeight="1">
      <c r="D67" s="52"/>
      <c r="E67" s="52"/>
    </row>
    <row r="68" ht="15.75" customHeight="1">
      <c r="D68" s="52"/>
      <c r="E68" s="52"/>
    </row>
    <row r="69" ht="15.75" customHeight="1">
      <c r="D69" s="52"/>
      <c r="E69" s="52"/>
    </row>
    <row r="70" ht="15.75" customHeight="1">
      <c r="D70" s="52"/>
      <c r="E70" s="52"/>
    </row>
    <row r="71" ht="15.75" customHeight="1">
      <c r="D71" s="52"/>
      <c r="E71" s="52"/>
    </row>
    <row r="72" ht="15.75" customHeight="1">
      <c r="D72" s="52"/>
      <c r="E72" s="52"/>
    </row>
    <row r="73" ht="15.75" customHeight="1">
      <c r="D73" s="52"/>
      <c r="E73" s="52"/>
    </row>
    <row r="74" ht="15.75" customHeight="1">
      <c r="D74" s="52"/>
      <c r="E74" s="52"/>
    </row>
    <row r="75" ht="15.75" customHeight="1">
      <c r="D75" s="52"/>
      <c r="E75" s="52"/>
    </row>
    <row r="76" ht="15.75" customHeight="1">
      <c r="D76" s="52"/>
      <c r="E76" s="52"/>
    </row>
    <row r="77" ht="15.75" customHeight="1">
      <c r="D77" s="52"/>
      <c r="E77" s="52"/>
    </row>
    <row r="78" ht="15.75" customHeight="1">
      <c r="D78" s="52"/>
      <c r="E78" s="52"/>
    </row>
    <row r="79" ht="15.75" customHeight="1">
      <c r="D79" s="52"/>
      <c r="E79" s="52"/>
    </row>
    <row r="80" ht="15.75" customHeight="1">
      <c r="D80" s="52"/>
      <c r="E80" s="52"/>
    </row>
    <row r="81" ht="15.75" customHeight="1">
      <c r="D81" s="52"/>
      <c r="E81" s="52"/>
    </row>
    <row r="82" ht="15.75" customHeight="1">
      <c r="D82" s="52"/>
      <c r="E82" s="52"/>
    </row>
    <row r="83" ht="15.75" customHeight="1">
      <c r="D83" s="52"/>
      <c r="E83" s="52"/>
    </row>
    <row r="84" ht="15.75" customHeight="1">
      <c r="D84" s="52"/>
      <c r="E84" s="52"/>
    </row>
    <row r="85" ht="15.75" customHeight="1">
      <c r="D85" s="52"/>
      <c r="E85" s="52"/>
    </row>
    <row r="86" ht="15.75" customHeight="1">
      <c r="D86" s="52"/>
      <c r="E86" s="52"/>
    </row>
    <row r="87" ht="15.75" customHeight="1">
      <c r="D87" s="52"/>
      <c r="E87" s="52"/>
    </row>
    <row r="88" ht="15.75" customHeight="1">
      <c r="D88" s="52"/>
      <c r="E88" s="52"/>
    </row>
    <row r="89" ht="15.75" customHeight="1">
      <c r="D89" s="52"/>
      <c r="E89" s="52"/>
    </row>
    <row r="90" ht="15.75" customHeight="1">
      <c r="D90" s="52"/>
      <c r="E90" s="52"/>
    </row>
    <row r="91" ht="15.75" customHeight="1">
      <c r="D91" s="52"/>
      <c r="E91" s="52"/>
    </row>
    <row r="92" ht="15.75" customHeight="1">
      <c r="D92" s="52"/>
      <c r="E92" s="52"/>
    </row>
    <row r="93" ht="15.75" customHeight="1">
      <c r="D93" s="52"/>
      <c r="E93" s="52"/>
    </row>
    <row r="94" ht="15.75" customHeight="1">
      <c r="D94" s="52"/>
      <c r="E94" s="52"/>
    </row>
    <row r="95" ht="15.75" customHeight="1">
      <c r="D95" s="52"/>
      <c r="E95" s="52"/>
    </row>
    <row r="96" ht="15.75" customHeight="1">
      <c r="D96" s="52"/>
      <c r="E96" s="52"/>
    </row>
    <row r="97" ht="15.75" customHeight="1">
      <c r="D97" s="52"/>
      <c r="E97" s="52"/>
    </row>
    <row r="98" ht="15.75" customHeight="1">
      <c r="D98" s="52"/>
      <c r="E98" s="52"/>
    </row>
    <row r="99" ht="15.75" customHeight="1">
      <c r="D99" s="52"/>
      <c r="E99" s="52"/>
    </row>
    <row r="100" ht="15.75" customHeight="1">
      <c r="D100" s="52"/>
      <c r="E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2" t="s">
        <v>16</v>
      </c>
      <c r="D6" s="33">
        <v>43871.0</v>
      </c>
      <c r="E6" s="5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5"/>
      <c r="C2" s="45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6" t="s">
        <v>8</v>
      </c>
      <c r="C3" s="47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8" t="str">
        <f>IFERROR(__xludf.DUMMYFUNCTION("IF(C3="""","""",Transpose(IMPORTRANGE('_Settings'!$B$3,C3&amp;""!A4:A1000"")))"),"UpdateBeta")</f>
        <v>UpdateBeta</v>
      </c>
      <c r="C4" s="48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IFERROR(__xludf.DUMMYFUNCTION("""COMPUTED_VALUE"""),"Select Date")</f>
        <v>Select Date</v>
      </c>
      <c r="C5" s="49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>
        <v>43872.0</v>
      </c>
      <c r="C6" s="50">
        <v>43872.0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/>
      <c r="C7" s="4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/>
      <c r="C8" s="45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/>
      <c r="C9" s="45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/>
      <c r="C10" s="45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/>
      <c r="C11" s="4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/>
      <c r="C12" s="4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/>
      <c r="C13" s="45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5"/>
      <c r="C14" s="4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5"/>
      <c r="C15" s="45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5"/>
      <c r="C16" s="45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5"/>
      <c r="C17" s="4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5"/>
      <c r="C18" s="4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5"/>
      <c r="C19" s="4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5"/>
      <c r="C20" s="4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5"/>
      <c r="C21" s="4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5"/>
      <c r="C22" s="4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5"/>
      <c r="C23" s="4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5"/>
      <c r="C24" s="4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5"/>
      <c r="C25" s="4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5"/>
      <c r="C26" s="4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  <c r="C27" s="52"/>
    </row>
    <row r="28" ht="15.75" customHeight="1">
      <c r="B28" s="52"/>
      <c r="C28" s="52"/>
    </row>
    <row r="29" ht="15.75" customHeight="1">
      <c r="B29" s="52"/>
      <c r="C29" s="52"/>
    </row>
    <row r="30" ht="15.75" customHeight="1">
      <c r="B30" s="52"/>
      <c r="C30" s="52"/>
    </row>
    <row r="31" ht="15.75" customHeight="1">
      <c r="B31" s="52"/>
      <c r="C31" s="52"/>
    </row>
    <row r="32" ht="15.75" customHeight="1">
      <c r="B32" s="52"/>
      <c r="C32" s="52"/>
    </row>
    <row r="33" ht="15.75" customHeight="1">
      <c r="B33" s="52"/>
      <c r="C33" s="52"/>
    </row>
    <row r="34" ht="15.75" customHeight="1">
      <c r="B34" s="52"/>
      <c r="C34" s="52"/>
    </row>
    <row r="35" ht="15.75" customHeight="1">
      <c r="B35" s="52"/>
      <c r="C35" s="52"/>
    </row>
    <row r="36" ht="15.75" customHeight="1">
      <c r="B36" s="52"/>
      <c r="C36" s="52"/>
    </row>
    <row r="37" ht="15.75" customHeight="1">
      <c r="B37" s="52"/>
      <c r="C37" s="52"/>
    </row>
    <row r="38" ht="15.75" customHeight="1">
      <c r="B38" s="52"/>
      <c r="C38" s="52"/>
    </row>
    <row r="39" ht="15.75" customHeight="1">
      <c r="B39" s="52"/>
      <c r="C39" s="52"/>
    </row>
    <row r="40" ht="15.75" customHeight="1">
      <c r="B40" s="52"/>
      <c r="C40" s="52"/>
    </row>
    <row r="41" ht="15.75" customHeight="1">
      <c r="B41" s="52"/>
      <c r="C41" s="52"/>
    </row>
    <row r="42" ht="15.75" customHeight="1">
      <c r="B42" s="52"/>
      <c r="C42" s="52"/>
    </row>
    <row r="43" ht="15.75" customHeight="1">
      <c r="B43" s="52"/>
      <c r="C43" s="52"/>
    </row>
    <row r="44" ht="15.75" customHeight="1">
      <c r="B44" s="52"/>
      <c r="C44" s="52"/>
    </row>
    <row r="45" ht="15.75" customHeight="1">
      <c r="B45" s="52"/>
      <c r="C45" s="52"/>
    </row>
    <row r="46" ht="15.75" customHeight="1">
      <c r="B46" s="52"/>
      <c r="C46" s="52"/>
    </row>
    <row r="47" ht="15.75" customHeight="1">
      <c r="B47" s="52"/>
      <c r="C47" s="52"/>
    </row>
    <row r="48" ht="15.75" customHeight="1">
      <c r="B48" s="52"/>
      <c r="C48" s="52"/>
    </row>
    <row r="49" ht="15.75" customHeight="1">
      <c r="B49" s="52"/>
      <c r="C49" s="52"/>
    </row>
    <row r="50" ht="15.75" customHeight="1">
      <c r="B50" s="52"/>
      <c r="C50" s="52"/>
    </row>
    <row r="51" ht="15.75" customHeight="1">
      <c r="B51" s="52"/>
      <c r="C51" s="52"/>
    </row>
    <row r="52" ht="15.75" customHeight="1">
      <c r="B52" s="52"/>
      <c r="C52" s="52"/>
    </row>
    <row r="53" ht="15.75" customHeight="1">
      <c r="B53" s="52"/>
      <c r="C53" s="52"/>
    </row>
    <row r="54" ht="15.75" customHeight="1">
      <c r="B54" s="52"/>
      <c r="C54" s="52"/>
    </row>
    <row r="55" ht="15.75" customHeight="1">
      <c r="B55" s="52"/>
      <c r="C55" s="52"/>
    </row>
    <row r="56" ht="15.75" customHeight="1">
      <c r="B56" s="52"/>
      <c r="C56" s="52"/>
    </row>
    <row r="57" ht="15.75" customHeight="1">
      <c r="B57" s="52"/>
      <c r="C57" s="52"/>
    </row>
    <row r="58" ht="15.75" customHeight="1">
      <c r="B58" s="52"/>
      <c r="C58" s="52"/>
    </row>
    <row r="59" ht="15.75" customHeight="1">
      <c r="B59" s="52"/>
      <c r="C59" s="52"/>
    </row>
    <row r="60" ht="15.75" customHeight="1">
      <c r="B60" s="52"/>
      <c r="C60" s="52"/>
    </row>
    <row r="61" ht="15.75" customHeight="1">
      <c r="B61" s="52"/>
      <c r="C61" s="52"/>
    </row>
    <row r="62" ht="15.75" customHeight="1">
      <c r="B62" s="52"/>
      <c r="C62" s="52"/>
    </row>
    <row r="63" ht="15.75" customHeight="1">
      <c r="B63" s="52"/>
      <c r="C63" s="52"/>
    </row>
    <row r="64" ht="15.75" customHeight="1">
      <c r="B64" s="52"/>
      <c r="C64" s="52"/>
    </row>
    <row r="65" ht="15.75" customHeight="1">
      <c r="B65" s="52"/>
      <c r="C65" s="52"/>
    </row>
    <row r="66" ht="15.75" customHeight="1">
      <c r="B66" s="52"/>
      <c r="C66" s="52"/>
    </row>
    <row r="67" ht="15.75" customHeight="1">
      <c r="B67" s="52"/>
      <c r="C67" s="52"/>
    </row>
    <row r="68" ht="15.75" customHeight="1">
      <c r="B68" s="52"/>
      <c r="C68" s="52"/>
    </row>
    <row r="69" ht="15.75" customHeight="1">
      <c r="B69" s="52"/>
      <c r="C69" s="52"/>
    </row>
    <row r="70" ht="15.75" customHeight="1">
      <c r="B70" s="52"/>
      <c r="C70" s="52"/>
    </row>
    <row r="71" ht="15.75" customHeight="1">
      <c r="B71" s="52"/>
      <c r="C71" s="52"/>
    </row>
    <row r="72" ht="15.75" customHeight="1">
      <c r="B72" s="52"/>
      <c r="C72" s="52"/>
    </row>
    <row r="73" ht="15.75" customHeight="1">
      <c r="B73" s="52"/>
      <c r="C73" s="52"/>
    </row>
    <row r="74" ht="15.75" customHeight="1">
      <c r="B74" s="52"/>
      <c r="C74" s="52"/>
    </row>
    <row r="75" ht="15.75" customHeight="1">
      <c r="B75" s="52"/>
      <c r="C75" s="52"/>
    </row>
    <row r="76" ht="15.75" customHeight="1">
      <c r="B76" s="52"/>
      <c r="C76" s="52"/>
    </row>
    <row r="77" ht="15.75" customHeight="1">
      <c r="B77" s="52"/>
      <c r="C77" s="52"/>
    </row>
    <row r="78" ht="15.75" customHeight="1">
      <c r="B78" s="52"/>
      <c r="C78" s="52"/>
    </row>
    <row r="79" ht="15.75" customHeight="1">
      <c r="B79" s="52"/>
      <c r="C79" s="52"/>
    </row>
    <row r="80" ht="15.75" customHeight="1">
      <c r="B80" s="52"/>
      <c r="C80" s="52"/>
    </row>
    <row r="81" ht="15.75" customHeight="1">
      <c r="B81" s="52"/>
      <c r="C81" s="52"/>
    </row>
    <row r="82" ht="15.75" customHeight="1">
      <c r="B82" s="52"/>
      <c r="C82" s="52"/>
    </row>
    <row r="83" ht="15.75" customHeight="1">
      <c r="B83" s="52"/>
      <c r="C83" s="52"/>
    </row>
    <row r="84" ht="15.75" customHeight="1">
      <c r="B84" s="52"/>
      <c r="C84" s="52"/>
    </row>
    <row r="85" ht="15.75" customHeight="1">
      <c r="B85" s="52"/>
      <c r="C85" s="52"/>
    </row>
    <row r="86" ht="15.75" customHeight="1">
      <c r="B86" s="52"/>
      <c r="C86" s="52"/>
    </row>
    <row r="87" ht="15.75" customHeight="1">
      <c r="B87" s="52"/>
      <c r="C87" s="52"/>
    </row>
    <row r="88" ht="15.75" customHeight="1">
      <c r="B88" s="52"/>
      <c r="C88" s="52"/>
    </row>
    <row r="89" ht="15.75" customHeight="1">
      <c r="B89" s="52"/>
      <c r="C89" s="52"/>
    </row>
    <row r="90" ht="15.75" customHeight="1">
      <c r="B90" s="52"/>
      <c r="C90" s="52"/>
    </row>
    <row r="91" ht="15.75" customHeight="1">
      <c r="B91" s="52"/>
      <c r="C91" s="52"/>
    </row>
    <row r="92" ht="15.75" customHeight="1">
      <c r="B92" s="52"/>
      <c r="C92" s="52"/>
    </row>
    <row r="93" ht="15.75" customHeight="1">
      <c r="B93" s="52"/>
      <c r="C93" s="52"/>
    </row>
    <row r="94" ht="15.75" customHeight="1">
      <c r="B94" s="52"/>
      <c r="C94" s="52"/>
    </row>
    <row r="95" ht="15.75" customHeight="1">
      <c r="B95" s="52"/>
      <c r="C95" s="52"/>
    </row>
    <row r="96" ht="15.75" customHeight="1">
      <c r="B96" s="52"/>
      <c r="C96" s="52"/>
    </row>
    <row r="97" ht="15.75" customHeight="1">
      <c r="B97" s="52"/>
      <c r="C97" s="52"/>
    </row>
    <row r="98" ht="15.75" customHeight="1">
      <c r="B98" s="52"/>
      <c r="C98" s="52"/>
    </row>
    <row r="99" ht="15.75" customHeight="1">
      <c r="B99" s="52"/>
      <c r="C99" s="52"/>
    </row>
    <row r="100" ht="15.75" customHeight="1">
      <c r="B100" s="52"/>
      <c r="C100" s="5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18</v>
      </c>
      <c r="D6" s="11"/>
      <c r="E6" s="11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5"/>
      <c r="C2" s="45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6" t="s">
        <v>8</v>
      </c>
      <c r="C3" s="47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8" t="str">
        <f>IFERROR(__xludf.DUMMYFUNCTION("IF(C3="""","""",Transpose(IMPORTRANGE('_Settings'!$B$3,C3&amp;""!A4:A1000"")))"),"UpdateBeta")</f>
        <v>UpdateBeta</v>
      </c>
      <c r="C4" s="48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IFERROR(__xludf.DUMMYFUNCTION("""COMPUTED_VALUE"""),"Select Date")</f>
        <v>Select Date</v>
      </c>
      <c r="C5" s="49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>
        <v>43872.0</v>
      </c>
      <c r="C6" s="50">
        <v>43872.0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/>
      <c r="C7" s="4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/>
      <c r="C8" s="45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/>
      <c r="C9" s="45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/>
      <c r="C10" s="45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/>
      <c r="C11" s="4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/>
      <c r="C12" s="4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/>
      <c r="C13" s="45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5"/>
      <c r="C14" s="4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5"/>
      <c r="C15" s="45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5"/>
      <c r="C16" s="45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5"/>
      <c r="C17" s="4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5"/>
      <c r="C18" s="4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5"/>
      <c r="C19" s="4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5"/>
      <c r="C20" s="4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5"/>
      <c r="C21" s="4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5"/>
      <c r="C22" s="4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5"/>
      <c r="C23" s="4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5"/>
      <c r="C24" s="4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5"/>
      <c r="C25" s="4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5"/>
      <c r="C26" s="4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  <c r="C27" s="52"/>
    </row>
    <row r="28" ht="15.75" customHeight="1">
      <c r="B28" s="52"/>
      <c r="C28" s="52"/>
    </row>
    <row r="29" ht="15.75" customHeight="1">
      <c r="B29" s="52"/>
      <c r="C29" s="52"/>
    </row>
    <row r="30" ht="15.75" customHeight="1">
      <c r="B30" s="52"/>
      <c r="C30" s="52"/>
    </row>
    <row r="31" ht="15.75" customHeight="1">
      <c r="B31" s="52"/>
      <c r="C31" s="52"/>
    </row>
    <row r="32" ht="15.75" customHeight="1">
      <c r="B32" s="52"/>
      <c r="C32" s="52"/>
    </row>
    <row r="33" ht="15.75" customHeight="1">
      <c r="B33" s="52"/>
      <c r="C33" s="52"/>
    </row>
    <row r="34" ht="15.75" customHeight="1">
      <c r="B34" s="52"/>
      <c r="C34" s="52"/>
    </row>
    <row r="35" ht="15.75" customHeight="1">
      <c r="B35" s="52"/>
      <c r="C35" s="52"/>
    </row>
    <row r="36" ht="15.75" customHeight="1">
      <c r="B36" s="52"/>
      <c r="C36" s="52"/>
    </row>
    <row r="37" ht="15.75" customHeight="1">
      <c r="B37" s="52"/>
      <c r="C37" s="52"/>
    </row>
    <row r="38" ht="15.75" customHeight="1">
      <c r="B38" s="52"/>
      <c r="C38" s="52"/>
    </row>
    <row r="39" ht="15.75" customHeight="1">
      <c r="B39" s="52"/>
      <c r="C39" s="52"/>
    </row>
    <row r="40" ht="15.75" customHeight="1">
      <c r="B40" s="52"/>
      <c r="C40" s="52"/>
    </row>
    <row r="41" ht="15.75" customHeight="1">
      <c r="B41" s="52"/>
      <c r="C41" s="52"/>
    </row>
    <row r="42" ht="15.75" customHeight="1">
      <c r="B42" s="52"/>
      <c r="C42" s="52"/>
    </row>
    <row r="43" ht="15.75" customHeight="1">
      <c r="B43" s="52"/>
      <c r="C43" s="52"/>
    </row>
    <row r="44" ht="15.75" customHeight="1">
      <c r="B44" s="52"/>
      <c r="C44" s="52"/>
    </row>
    <row r="45" ht="15.75" customHeight="1">
      <c r="B45" s="52"/>
      <c r="C45" s="52"/>
    </row>
    <row r="46" ht="15.75" customHeight="1">
      <c r="B46" s="52"/>
      <c r="C46" s="52"/>
    </row>
    <row r="47" ht="15.75" customHeight="1">
      <c r="B47" s="52"/>
      <c r="C47" s="52"/>
    </row>
    <row r="48" ht="15.75" customHeight="1">
      <c r="B48" s="52"/>
      <c r="C48" s="52"/>
    </row>
    <row r="49" ht="15.75" customHeight="1">
      <c r="B49" s="52"/>
      <c r="C49" s="52"/>
    </row>
    <row r="50" ht="15.75" customHeight="1">
      <c r="B50" s="52"/>
      <c r="C50" s="52"/>
    </row>
    <row r="51" ht="15.75" customHeight="1">
      <c r="B51" s="52"/>
      <c r="C51" s="52"/>
    </row>
    <row r="52" ht="15.75" customHeight="1">
      <c r="B52" s="52"/>
      <c r="C52" s="52"/>
    </row>
    <row r="53" ht="15.75" customHeight="1">
      <c r="B53" s="52"/>
      <c r="C53" s="52"/>
    </row>
    <row r="54" ht="15.75" customHeight="1">
      <c r="B54" s="52"/>
      <c r="C54" s="52"/>
    </row>
    <row r="55" ht="15.75" customHeight="1">
      <c r="B55" s="52"/>
      <c r="C55" s="52"/>
    </row>
    <row r="56" ht="15.75" customHeight="1">
      <c r="B56" s="52"/>
      <c r="C56" s="52"/>
    </row>
    <row r="57" ht="15.75" customHeight="1">
      <c r="B57" s="52"/>
      <c r="C57" s="52"/>
    </row>
    <row r="58" ht="15.75" customHeight="1">
      <c r="B58" s="52"/>
      <c r="C58" s="52"/>
    </row>
    <row r="59" ht="15.75" customHeight="1">
      <c r="B59" s="52"/>
      <c r="C59" s="52"/>
    </row>
    <row r="60" ht="15.75" customHeight="1">
      <c r="B60" s="52"/>
      <c r="C60" s="52"/>
    </row>
    <row r="61" ht="15.75" customHeight="1">
      <c r="B61" s="52"/>
      <c r="C61" s="52"/>
    </row>
    <row r="62" ht="15.75" customHeight="1">
      <c r="B62" s="52"/>
      <c r="C62" s="52"/>
    </row>
    <row r="63" ht="15.75" customHeight="1">
      <c r="B63" s="52"/>
      <c r="C63" s="52"/>
    </row>
    <row r="64" ht="15.75" customHeight="1">
      <c r="B64" s="52"/>
      <c r="C64" s="52"/>
    </row>
    <row r="65" ht="15.75" customHeight="1">
      <c r="B65" s="52"/>
      <c r="C65" s="52"/>
    </row>
    <row r="66" ht="15.75" customHeight="1">
      <c r="B66" s="52"/>
      <c r="C66" s="52"/>
    </row>
    <row r="67" ht="15.75" customHeight="1">
      <c r="B67" s="52"/>
      <c r="C67" s="52"/>
    </row>
    <row r="68" ht="15.75" customHeight="1">
      <c r="B68" s="52"/>
      <c r="C68" s="52"/>
    </row>
    <row r="69" ht="15.75" customHeight="1">
      <c r="B69" s="52"/>
      <c r="C69" s="52"/>
    </row>
    <row r="70" ht="15.75" customHeight="1">
      <c r="B70" s="52"/>
      <c r="C70" s="52"/>
    </row>
    <row r="71" ht="15.75" customHeight="1">
      <c r="B71" s="52"/>
      <c r="C71" s="52"/>
    </row>
    <row r="72" ht="15.75" customHeight="1">
      <c r="B72" s="52"/>
      <c r="C72" s="52"/>
    </row>
    <row r="73" ht="15.75" customHeight="1">
      <c r="B73" s="52"/>
      <c r="C73" s="52"/>
    </row>
    <row r="74" ht="15.75" customHeight="1">
      <c r="B74" s="52"/>
      <c r="C74" s="52"/>
    </row>
    <row r="75" ht="15.75" customHeight="1">
      <c r="B75" s="52"/>
      <c r="C75" s="52"/>
    </row>
    <row r="76" ht="15.75" customHeight="1">
      <c r="B76" s="52"/>
      <c r="C76" s="52"/>
    </row>
    <row r="77" ht="15.75" customHeight="1">
      <c r="B77" s="52"/>
      <c r="C77" s="52"/>
    </row>
    <row r="78" ht="15.75" customHeight="1">
      <c r="B78" s="52"/>
      <c r="C78" s="52"/>
    </row>
    <row r="79" ht="15.75" customHeight="1">
      <c r="B79" s="52"/>
      <c r="C79" s="52"/>
    </row>
    <row r="80" ht="15.75" customHeight="1">
      <c r="B80" s="52"/>
      <c r="C80" s="52"/>
    </row>
    <row r="81" ht="15.75" customHeight="1">
      <c r="B81" s="52"/>
      <c r="C81" s="52"/>
    </row>
    <row r="82" ht="15.75" customHeight="1">
      <c r="B82" s="52"/>
      <c r="C82" s="52"/>
    </row>
    <row r="83" ht="15.75" customHeight="1">
      <c r="B83" s="52"/>
      <c r="C83" s="52"/>
    </row>
    <row r="84" ht="15.75" customHeight="1">
      <c r="B84" s="52"/>
      <c r="C84" s="52"/>
    </row>
    <row r="85" ht="15.75" customHeight="1">
      <c r="B85" s="52"/>
      <c r="C85" s="52"/>
    </row>
    <row r="86" ht="15.75" customHeight="1">
      <c r="B86" s="52"/>
      <c r="C86" s="52"/>
    </row>
    <row r="87" ht="15.75" customHeight="1">
      <c r="B87" s="52"/>
      <c r="C87" s="52"/>
    </row>
    <row r="88" ht="15.75" customHeight="1">
      <c r="B88" s="52"/>
      <c r="C88" s="52"/>
    </row>
    <row r="89" ht="15.75" customHeight="1">
      <c r="B89" s="52"/>
      <c r="C89" s="52"/>
    </row>
    <row r="90" ht="15.75" customHeight="1">
      <c r="B90" s="52"/>
      <c r="C90" s="52"/>
    </row>
    <row r="91" ht="15.75" customHeight="1">
      <c r="B91" s="52"/>
      <c r="C91" s="52"/>
    </row>
    <row r="92" ht="15.75" customHeight="1">
      <c r="B92" s="52"/>
      <c r="C92" s="52"/>
    </row>
    <row r="93" ht="15.75" customHeight="1">
      <c r="B93" s="52"/>
      <c r="C93" s="52"/>
    </row>
    <row r="94" ht="15.75" customHeight="1">
      <c r="B94" s="52"/>
      <c r="C94" s="52"/>
    </row>
    <row r="95" ht="15.75" customHeight="1">
      <c r="B95" s="52"/>
      <c r="C95" s="52"/>
    </row>
    <row r="96" ht="15.75" customHeight="1">
      <c r="B96" s="52"/>
      <c r="C96" s="52"/>
    </row>
    <row r="97" ht="15.75" customHeight="1">
      <c r="B97" s="52"/>
      <c r="C97" s="52"/>
    </row>
    <row r="98" ht="15.75" customHeight="1">
      <c r="B98" s="52"/>
      <c r="C98" s="52"/>
    </row>
    <row r="99" ht="15.75" customHeight="1">
      <c r="B99" s="52"/>
      <c r="C99" s="52"/>
    </row>
    <row r="100" ht="15.75" customHeight="1">
      <c r="B100" s="52"/>
      <c r="C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 t="s">
        <v>24</v>
      </c>
      <c r="C6" s="11">
        <v>80.0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45"/>
      <c r="E2" s="45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46" t="s">
        <v>9</v>
      </c>
      <c r="E3" s="47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48" t="str">
        <f>IFERROR(__xludf.DUMMYFUNCTION("""COMPUTED_VALUE"""),"EnterNonTradingTransaction")</f>
        <v>EnterNonTradingTransaction</v>
      </c>
      <c r="E4" s="48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49" t="str">
        <f>IFERROR(__xludf.DUMMYFUNCTION("""COMPUTED_VALUE"""),"From Date")</f>
        <v>From Date</v>
      </c>
      <c r="E5" s="49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4" t="s">
        <v>16</v>
      </c>
      <c r="D6" s="50">
        <v>43872.0</v>
      </c>
      <c r="E6" s="50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45"/>
      <c r="E7" s="45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45"/>
      <c r="E8" s="45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45"/>
      <c r="E9" s="45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45"/>
      <c r="E10" s="45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45"/>
      <c r="E11" s="45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45"/>
      <c r="E12" s="45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45"/>
      <c r="E13" s="45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45"/>
      <c r="E14" s="45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45"/>
      <c r="E15" s="45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45"/>
      <c r="E16" s="45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45"/>
      <c r="E17" s="45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45"/>
      <c r="E18" s="45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45"/>
      <c r="E19" s="45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45"/>
      <c r="E20" s="45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45"/>
      <c r="E21" s="45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45"/>
      <c r="E22" s="45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45"/>
      <c r="E23" s="45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45"/>
      <c r="E24" s="45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45"/>
      <c r="E25" s="45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45"/>
      <c r="E26" s="45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52"/>
      <c r="E27" s="52"/>
    </row>
    <row r="28" ht="15.75" customHeight="1">
      <c r="D28" s="52"/>
      <c r="E28" s="52"/>
    </row>
    <row r="29" ht="15.75" customHeight="1">
      <c r="D29" s="52"/>
      <c r="E29" s="52"/>
    </row>
    <row r="30" ht="15.75" customHeight="1">
      <c r="D30" s="52"/>
      <c r="E30" s="52"/>
    </row>
    <row r="31" ht="15.75" customHeight="1">
      <c r="D31" s="52"/>
      <c r="E31" s="52"/>
    </row>
    <row r="32" ht="15.75" customHeight="1">
      <c r="D32" s="52"/>
      <c r="E32" s="52"/>
    </row>
    <row r="33" ht="15.75" customHeight="1">
      <c r="D33" s="52"/>
      <c r="E33" s="52"/>
    </row>
    <row r="34" ht="15.75" customHeight="1">
      <c r="D34" s="52"/>
      <c r="E34" s="52"/>
    </row>
    <row r="35" ht="15.75" customHeight="1">
      <c r="D35" s="52"/>
      <c r="E35" s="52"/>
    </row>
    <row r="36" ht="15.75" customHeight="1">
      <c r="D36" s="52"/>
      <c r="E36" s="52"/>
    </row>
    <row r="37" ht="15.75" customHeight="1">
      <c r="D37" s="52"/>
      <c r="E37" s="52"/>
    </row>
    <row r="38" ht="15.75" customHeight="1">
      <c r="D38" s="52"/>
      <c r="E38" s="52"/>
    </row>
    <row r="39" ht="15.75" customHeight="1">
      <c r="D39" s="52"/>
      <c r="E39" s="52"/>
    </row>
    <row r="40" ht="15.75" customHeight="1">
      <c r="D40" s="52"/>
      <c r="E40" s="52"/>
    </row>
    <row r="41" ht="15.75" customHeight="1">
      <c r="D41" s="52"/>
      <c r="E41" s="52"/>
    </row>
    <row r="42" ht="15.75" customHeight="1">
      <c r="D42" s="52"/>
      <c r="E42" s="52"/>
    </row>
    <row r="43" ht="15.75" customHeight="1">
      <c r="D43" s="52"/>
      <c r="E43" s="52"/>
    </row>
    <row r="44" ht="15.75" customHeight="1">
      <c r="D44" s="52"/>
      <c r="E44" s="52"/>
    </row>
    <row r="45" ht="15.75" customHeight="1">
      <c r="D45" s="52"/>
      <c r="E45" s="52"/>
    </row>
    <row r="46" ht="15.75" customHeight="1">
      <c r="D46" s="52"/>
      <c r="E46" s="52"/>
    </row>
    <row r="47" ht="15.75" customHeight="1">
      <c r="D47" s="52"/>
      <c r="E47" s="52"/>
    </row>
    <row r="48" ht="15.75" customHeight="1">
      <c r="D48" s="52"/>
      <c r="E48" s="52"/>
    </row>
    <row r="49" ht="15.75" customHeight="1">
      <c r="D49" s="52"/>
      <c r="E49" s="52"/>
    </row>
    <row r="50" ht="15.75" customHeight="1">
      <c r="D50" s="52"/>
      <c r="E50" s="52"/>
    </row>
    <row r="51" ht="15.75" customHeight="1">
      <c r="D51" s="52"/>
      <c r="E51" s="52"/>
    </row>
    <row r="52" ht="15.75" customHeight="1">
      <c r="D52" s="52"/>
      <c r="E52" s="52"/>
    </row>
    <row r="53" ht="15.75" customHeight="1">
      <c r="D53" s="52"/>
      <c r="E53" s="52"/>
    </row>
    <row r="54" ht="15.75" customHeight="1">
      <c r="D54" s="52"/>
      <c r="E54" s="52"/>
    </row>
    <row r="55" ht="15.75" customHeight="1">
      <c r="D55" s="52"/>
      <c r="E55" s="52"/>
    </row>
    <row r="56" ht="15.75" customHeight="1">
      <c r="D56" s="52"/>
      <c r="E56" s="52"/>
    </row>
    <row r="57" ht="15.75" customHeight="1">
      <c r="D57" s="52"/>
      <c r="E57" s="52"/>
    </row>
    <row r="58" ht="15.75" customHeight="1">
      <c r="D58" s="52"/>
      <c r="E58" s="52"/>
    </row>
    <row r="59" ht="15.75" customHeight="1">
      <c r="D59" s="52"/>
      <c r="E59" s="52"/>
    </row>
    <row r="60" ht="15.75" customHeight="1">
      <c r="D60" s="52"/>
      <c r="E60" s="52"/>
    </row>
    <row r="61" ht="15.75" customHeight="1">
      <c r="D61" s="52"/>
      <c r="E61" s="52"/>
    </row>
    <row r="62" ht="15.75" customHeight="1">
      <c r="D62" s="52"/>
      <c r="E62" s="52"/>
    </row>
    <row r="63" ht="15.75" customHeight="1">
      <c r="D63" s="52"/>
      <c r="E63" s="52"/>
    </row>
    <row r="64" ht="15.75" customHeight="1">
      <c r="D64" s="52"/>
      <c r="E64" s="52"/>
    </row>
    <row r="65" ht="15.75" customHeight="1">
      <c r="D65" s="52"/>
      <c r="E65" s="52"/>
    </row>
    <row r="66" ht="15.75" customHeight="1">
      <c r="D66" s="52"/>
      <c r="E66" s="52"/>
    </row>
    <row r="67" ht="15.75" customHeight="1">
      <c r="D67" s="52"/>
      <c r="E67" s="52"/>
    </row>
    <row r="68" ht="15.75" customHeight="1">
      <c r="D68" s="52"/>
      <c r="E68" s="52"/>
    </row>
    <row r="69" ht="15.75" customHeight="1">
      <c r="D69" s="52"/>
      <c r="E69" s="52"/>
    </row>
    <row r="70" ht="15.75" customHeight="1">
      <c r="D70" s="52"/>
      <c r="E70" s="52"/>
    </row>
    <row r="71" ht="15.75" customHeight="1">
      <c r="D71" s="52"/>
      <c r="E71" s="52"/>
    </row>
    <row r="72" ht="15.75" customHeight="1">
      <c r="D72" s="52"/>
      <c r="E72" s="52"/>
    </row>
    <row r="73" ht="15.75" customHeight="1">
      <c r="D73" s="52"/>
      <c r="E73" s="52"/>
    </row>
    <row r="74" ht="15.75" customHeight="1">
      <c r="D74" s="52"/>
      <c r="E74" s="52"/>
    </row>
    <row r="75" ht="15.75" customHeight="1">
      <c r="D75" s="52"/>
      <c r="E75" s="52"/>
    </row>
    <row r="76" ht="15.75" customHeight="1">
      <c r="D76" s="52"/>
      <c r="E76" s="52"/>
    </row>
    <row r="77" ht="15.75" customHeight="1">
      <c r="D77" s="52"/>
      <c r="E77" s="52"/>
    </row>
    <row r="78" ht="15.75" customHeight="1">
      <c r="D78" s="52"/>
      <c r="E78" s="52"/>
    </row>
    <row r="79" ht="15.75" customHeight="1">
      <c r="D79" s="52"/>
      <c r="E79" s="52"/>
    </row>
    <row r="80" ht="15.75" customHeight="1">
      <c r="D80" s="52"/>
      <c r="E80" s="52"/>
    </row>
    <row r="81" ht="15.75" customHeight="1">
      <c r="D81" s="52"/>
      <c r="E81" s="52"/>
    </row>
    <row r="82" ht="15.75" customHeight="1">
      <c r="D82" s="52"/>
      <c r="E82" s="52"/>
    </row>
    <row r="83" ht="15.75" customHeight="1">
      <c r="D83" s="52"/>
      <c r="E83" s="52"/>
    </row>
    <row r="84" ht="15.75" customHeight="1">
      <c r="D84" s="52"/>
      <c r="E84" s="52"/>
    </row>
    <row r="85" ht="15.75" customHeight="1">
      <c r="D85" s="52"/>
      <c r="E85" s="52"/>
    </row>
    <row r="86" ht="15.75" customHeight="1">
      <c r="D86" s="52"/>
      <c r="E86" s="52"/>
    </row>
    <row r="87" ht="15.75" customHeight="1">
      <c r="D87" s="52"/>
      <c r="E87" s="52"/>
    </row>
    <row r="88" ht="15.75" customHeight="1">
      <c r="D88" s="52"/>
      <c r="E88" s="52"/>
    </row>
    <row r="89" ht="15.75" customHeight="1">
      <c r="D89" s="52"/>
      <c r="E89" s="52"/>
    </row>
    <row r="90" ht="15.75" customHeight="1">
      <c r="D90" s="52"/>
      <c r="E90" s="52"/>
    </row>
    <row r="91" ht="15.75" customHeight="1">
      <c r="D91" s="52"/>
      <c r="E91" s="52"/>
    </row>
    <row r="92" ht="15.75" customHeight="1">
      <c r="D92" s="52"/>
      <c r="E92" s="52"/>
    </row>
    <row r="93" ht="15.75" customHeight="1">
      <c r="D93" s="52"/>
      <c r="E93" s="52"/>
    </row>
    <row r="94" ht="15.75" customHeight="1">
      <c r="D94" s="52"/>
      <c r="E94" s="52"/>
    </row>
    <row r="95" ht="15.75" customHeight="1">
      <c r="D95" s="52"/>
      <c r="E95" s="52"/>
    </row>
    <row r="96" ht="15.75" customHeight="1">
      <c r="D96" s="52"/>
      <c r="E96" s="52"/>
    </row>
    <row r="97" ht="15.75" customHeight="1">
      <c r="D97" s="52"/>
      <c r="E97" s="52"/>
    </row>
    <row r="98" ht="15.75" customHeight="1">
      <c r="D98" s="52"/>
      <c r="E98" s="52"/>
    </row>
    <row r="99" ht="15.75" customHeight="1">
      <c r="D99" s="52"/>
      <c r="E99" s="52"/>
    </row>
    <row r="100" ht="15.75" customHeight="1">
      <c r="D100" s="52"/>
      <c r="E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4" t="s">
        <v>16</v>
      </c>
      <c r="D6" s="50">
        <v>43872.0</v>
      </c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4" t="s">
        <v>16</v>
      </c>
      <c r="D6" s="55">
        <v>43871.0</v>
      </c>
      <c r="E6" s="55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5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6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8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6">
        <v>43871.0</v>
      </c>
      <c r="C6" s="57" t="s">
        <v>16</v>
      </c>
      <c r="D6" s="57" t="s">
        <v>24</v>
      </c>
      <c r="E6" s="57" t="s">
        <v>28</v>
      </c>
      <c r="F6" s="57" t="s">
        <v>38</v>
      </c>
      <c r="G6" s="58">
        <v>535.0</v>
      </c>
      <c r="H6" s="59">
        <v>0.0</v>
      </c>
      <c r="I6" s="60"/>
      <c r="J6" s="60"/>
      <c r="K6" s="57"/>
      <c r="L6" s="58">
        <v>1.5</v>
      </c>
      <c r="M6" s="57" t="s">
        <v>20</v>
      </c>
      <c r="N6" s="57" t="s">
        <v>39</v>
      </c>
      <c r="O6" s="57" t="s">
        <v>40</v>
      </c>
      <c r="P6" s="57" t="s">
        <v>18</v>
      </c>
      <c r="Q6" s="57" t="s">
        <v>41</v>
      </c>
      <c r="R6" s="58">
        <v>802.5</v>
      </c>
      <c r="S6" s="58">
        <v>0.0</v>
      </c>
    </row>
    <row r="7" ht="15.75" customHeight="1">
      <c r="A7" s="8"/>
      <c r="B7" s="56">
        <v>43871.0</v>
      </c>
      <c r="C7" s="57" t="s">
        <v>16</v>
      </c>
      <c r="D7" s="57" t="s">
        <v>24</v>
      </c>
      <c r="E7" s="57" t="s">
        <v>28</v>
      </c>
      <c r="F7" s="61" t="s">
        <v>42</v>
      </c>
      <c r="G7" s="62">
        <v>0.0</v>
      </c>
      <c r="H7" s="63">
        <v>535.0</v>
      </c>
      <c r="I7" s="64"/>
      <c r="J7" s="64"/>
      <c r="K7" s="61"/>
      <c r="L7" s="63">
        <v>1.5</v>
      </c>
      <c r="M7" s="61" t="s">
        <v>20</v>
      </c>
      <c r="N7" s="61" t="s">
        <v>43</v>
      </c>
      <c r="O7" s="61" t="s">
        <v>40</v>
      </c>
      <c r="P7" s="61" t="s">
        <v>18</v>
      </c>
      <c r="Q7" s="57" t="s">
        <v>41</v>
      </c>
      <c r="R7" s="63">
        <v>0.0</v>
      </c>
      <c r="S7" s="63">
        <v>802.5</v>
      </c>
    </row>
    <row r="8" ht="15.75" customHeight="1">
      <c r="A8" s="8"/>
      <c r="B8" s="56">
        <v>43871.0</v>
      </c>
      <c r="C8" s="57" t="s">
        <v>16</v>
      </c>
      <c r="D8" s="57" t="s">
        <v>28</v>
      </c>
      <c r="E8" s="57" t="s">
        <v>18</v>
      </c>
      <c r="F8" s="57" t="s">
        <v>38</v>
      </c>
      <c r="G8" s="58">
        <v>2936.0</v>
      </c>
      <c r="H8" s="59">
        <v>0.0</v>
      </c>
      <c r="I8" s="60"/>
      <c r="J8" s="60"/>
      <c r="K8" s="57"/>
      <c r="L8" s="58">
        <v>1.0</v>
      </c>
      <c r="M8" s="57" t="s">
        <v>20</v>
      </c>
      <c r="N8" s="57" t="s">
        <v>39</v>
      </c>
      <c r="O8" s="57" t="s">
        <v>40</v>
      </c>
      <c r="P8" s="57" t="s">
        <v>18</v>
      </c>
      <c r="Q8" s="57" t="s">
        <v>41</v>
      </c>
      <c r="R8" s="58">
        <v>2936.0</v>
      </c>
      <c r="S8" s="58">
        <v>0.0</v>
      </c>
    </row>
    <row r="9" ht="15.75" customHeight="1">
      <c r="A9" s="8"/>
      <c r="B9" s="56">
        <v>43871.0</v>
      </c>
      <c r="C9" s="57" t="s">
        <v>16</v>
      </c>
      <c r="D9" s="57" t="s">
        <v>28</v>
      </c>
      <c r="E9" s="57" t="s">
        <v>18</v>
      </c>
      <c r="F9" s="61" t="s">
        <v>42</v>
      </c>
      <c r="G9" s="62">
        <v>0.0</v>
      </c>
      <c r="H9" s="63">
        <v>2936.0</v>
      </c>
      <c r="I9" s="64"/>
      <c r="J9" s="64"/>
      <c r="K9" s="61"/>
      <c r="L9" s="63">
        <v>1.0</v>
      </c>
      <c r="M9" s="61" t="s">
        <v>20</v>
      </c>
      <c r="N9" s="61" t="s">
        <v>43</v>
      </c>
      <c r="O9" s="61" t="s">
        <v>40</v>
      </c>
      <c r="P9" s="61" t="s">
        <v>18</v>
      </c>
      <c r="Q9" s="57" t="s">
        <v>41</v>
      </c>
      <c r="R9" s="63">
        <v>0.0</v>
      </c>
      <c r="S9" s="63">
        <v>2936.0</v>
      </c>
    </row>
    <row r="10" ht="15.75" customHeight="1">
      <c r="A10" s="8"/>
      <c r="B10" s="56">
        <v>43872.0</v>
      </c>
      <c r="C10" s="57" t="s">
        <v>16</v>
      </c>
      <c r="D10" s="57" t="s">
        <v>24</v>
      </c>
      <c r="E10" s="57" t="s">
        <v>28</v>
      </c>
      <c r="F10" s="57" t="s">
        <v>38</v>
      </c>
      <c r="G10" s="58">
        <v>1060.0</v>
      </c>
      <c r="H10" s="59">
        <v>0.0</v>
      </c>
      <c r="I10" s="60"/>
      <c r="J10" s="60"/>
      <c r="K10" s="57"/>
      <c r="L10" s="58">
        <v>2.0</v>
      </c>
      <c r="M10" s="57" t="s">
        <v>20</v>
      </c>
      <c r="N10" s="57" t="s">
        <v>39</v>
      </c>
      <c r="O10" s="57" t="s">
        <v>40</v>
      </c>
      <c r="P10" s="57" t="s">
        <v>18</v>
      </c>
      <c r="Q10" s="57" t="s">
        <v>41</v>
      </c>
      <c r="R10" s="58">
        <v>2120.0</v>
      </c>
      <c r="S10" s="58">
        <v>0.0</v>
      </c>
    </row>
    <row r="11" ht="15.75" customHeight="1">
      <c r="A11" s="8"/>
      <c r="B11" s="56">
        <v>43872.0</v>
      </c>
      <c r="C11" s="57" t="s">
        <v>16</v>
      </c>
      <c r="D11" s="57" t="s">
        <v>24</v>
      </c>
      <c r="E11" s="57" t="s">
        <v>28</v>
      </c>
      <c r="F11" s="61" t="s">
        <v>42</v>
      </c>
      <c r="G11" s="62">
        <v>0.0</v>
      </c>
      <c r="H11" s="63">
        <v>1060.0</v>
      </c>
      <c r="I11" s="64"/>
      <c r="J11" s="64"/>
      <c r="K11" s="61"/>
      <c r="L11" s="63">
        <v>2.0</v>
      </c>
      <c r="M11" s="61" t="s">
        <v>20</v>
      </c>
      <c r="N11" s="61" t="s">
        <v>43</v>
      </c>
      <c r="O11" s="61" t="s">
        <v>40</v>
      </c>
      <c r="P11" s="61" t="s">
        <v>18</v>
      </c>
      <c r="Q11" s="57" t="s">
        <v>41</v>
      </c>
      <c r="R11" s="63">
        <v>0.0</v>
      </c>
      <c r="S11" s="63">
        <v>2120.0</v>
      </c>
    </row>
    <row r="12" ht="15.75" customHeight="1">
      <c r="A12" s="8"/>
      <c r="B12" s="56">
        <v>43872.0</v>
      </c>
      <c r="C12" s="57" t="s">
        <v>16</v>
      </c>
      <c r="D12" s="57" t="s">
        <v>28</v>
      </c>
      <c r="E12" s="57" t="s">
        <v>18</v>
      </c>
      <c r="F12" s="57" t="s">
        <v>38</v>
      </c>
      <c r="G12" s="58">
        <v>6606.0</v>
      </c>
      <c r="H12" s="59">
        <v>0.0</v>
      </c>
      <c r="I12" s="60"/>
      <c r="J12" s="60"/>
      <c r="K12" s="57"/>
      <c r="L12" s="58">
        <v>1.0</v>
      </c>
      <c r="M12" s="57" t="s">
        <v>20</v>
      </c>
      <c r="N12" s="57" t="s">
        <v>39</v>
      </c>
      <c r="O12" s="57" t="s">
        <v>40</v>
      </c>
      <c r="P12" s="57" t="s">
        <v>18</v>
      </c>
      <c r="Q12" s="57" t="s">
        <v>41</v>
      </c>
      <c r="R12" s="58">
        <v>6606.0</v>
      </c>
      <c r="S12" s="58">
        <v>0.0</v>
      </c>
    </row>
    <row r="13" ht="15.75" customHeight="1">
      <c r="A13" s="8"/>
      <c r="B13" s="56">
        <v>43872.0</v>
      </c>
      <c r="C13" s="57" t="s">
        <v>16</v>
      </c>
      <c r="D13" s="57" t="s">
        <v>28</v>
      </c>
      <c r="E13" s="57" t="s">
        <v>18</v>
      </c>
      <c r="F13" s="61" t="s">
        <v>42</v>
      </c>
      <c r="G13" s="62">
        <v>0.0</v>
      </c>
      <c r="H13" s="63">
        <v>6606.0</v>
      </c>
      <c r="I13" s="64"/>
      <c r="J13" s="64"/>
      <c r="K13" s="61"/>
      <c r="L13" s="63">
        <v>1.0</v>
      </c>
      <c r="M13" s="61" t="s">
        <v>20</v>
      </c>
      <c r="N13" s="61" t="s">
        <v>43</v>
      </c>
      <c r="O13" s="61" t="s">
        <v>40</v>
      </c>
      <c r="P13" s="61" t="s">
        <v>18</v>
      </c>
      <c r="Q13" s="57" t="s">
        <v>41</v>
      </c>
      <c r="R13" s="63">
        <v>0.0</v>
      </c>
      <c r="S13" s="63">
        <v>6606.0</v>
      </c>
    </row>
    <row r="14" ht="15.75" customHeight="1">
      <c r="A14" s="8"/>
      <c r="B14" s="56">
        <v>43872.0</v>
      </c>
      <c r="C14" s="57" t="s">
        <v>16</v>
      </c>
      <c r="D14" s="57" t="s">
        <v>24</v>
      </c>
      <c r="E14" s="57" t="s">
        <v>28</v>
      </c>
      <c r="F14" s="57" t="s">
        <v>42</v>
      </c>
      <c r="G14" s="58">
        <v>535.0</v>
      </c>
      <c r="H14" s="59">
        <v>0.0</v>
      </c>
      <c r="I14" s="60"/>
      <c r="J14" s="60"/>
      <c r="K14" s="57"/>
      <c r="L14" s="58">
        <v>1.5</v>
      </c>
      <c r="M14" s="57" t="s">
        <v>20</v>
      </c>
      <c r="N14" s="57" t="s">
        <v>39</v>
      </c>
      <c r="O14" s="57" t="s">
        <v>40</v>
      </c>
      <c r="P14" s="57" t="s">
        <v>18</v>
      </c>
      <c r="Q14" s="57" t="s">
        <v>44</v>
      </c>
      <c r="R14" s="58">
        <v>802.5</v>
      </c>
      <c r="S14" s="58">
        <v>0.0</v>
      </c>
    </row>
    <row r="15" ht="15.75" customHeight="1">
      <c r="A15" s="8"/>
      <c r="B15" s="56">
        <v>43872.0</v>
      </c>
      <c r="C15" s="57" t="s">
        <v>16</v>
      </c>
      <c r="D15" s="57" t="s">
        <v>24</v>
      </c>
      <c r="E15" s="57" t="s">
        <v>28</v>
      </c>
      <c r="F15" s="61" t="s">
        <v>38</v>
      </c>
      <c r="G15" s="62">
        <v>0.0</v>
      </c>
      <c r="H15" s="63">
        <v>535.0</v>
      </c>
      <c r="I15" s="64"/>
      <c r="J15" s="64"/>
      <c r="K15" s="61"/>
      <c r="L15" s="63">
        <v>1.5</v>
      </c>
      <c r="M15" s="61" t="s">
        <v>20</v>
      </c>
      <c r="N15" s="61" t="s">
        <v>43</v>
      </c>
      <c r="O15" s="61" t="s">
        <v>40</v>
      </c>
      <c r="P15" s="61" t="s">
        <v>18</v>
      </c>
      <c r="Q15" s="57" t="s">
        <v>44</v>
      </c>
      <c r="R15" s="63">
        <v>0.0</v>
      </c>
      <c r="S15" s="63">
        <v>802.5</v>
      </c>
    </row>
    <row r="16" ht="15.75" customHeight="1">
      <c r="A16" s="8"/>
      <c r="B16" s="56">
        <v>43872.0</v>
      </c>
      <c r="C16" s="57" t="s">
        <v>16</v>
      </c>
      <c r="D16" s="57" t="s">
        <v>28</v>
      </c>
      <c r="E16" s="57" t="s">
        <v>18</v>
      </c>
      <c r="F16" s="57" t="s">
        <v>42</v>
      </c>
      <c r="G16" s="58">
        <v>2936.0</v>
      </c>
      <c r="H16" s="59">
        <v>0.0</v>
      </c>
      <c r="I16" s="60"/>
      <c r="J16" s="60"/>
      <c r="K16" s="57"/>
      <c r="L16" s="58">
        <v>1.0</v>
      </c>
      <c r="M16" s="57" t="s">
        <v>20</v>
      </c>
      <c r="N16" s="57" t="s">
        <v>39</v>
      </c>
      <c r="O16" s="57" t="s">
        <v>40</v>
      </c>
      <c r="P16" s="57" t="s">
        <v>18</v>
      </c>
      <c r="Q16" s="57" t="s">
        <v>44</v>
      </c>
      <c r="R16" s="58">
        <v>2936.0</v>
      </c>
      <c r="S16" s="58">
        <v>0.0</v>
      </c>
    </row>
    <row r="17" ht="15.75" customHeight="1">
      <c r="A17" s="8"/>
      <c r="B17" s="56">
        <v>43872.0</v>
      </c>
      <c r="C17" s="57" t="s">
        <v>16</v>
      </c>
      <c r="D17" s="57" t="s">
        <v>28</v>
      </c>
      <c r="E17" s="57" t="s">
        <v>18</v>
      </c>
      <c r="F17" s="61" t="s">
        <v>38</v>
      </c>
      <c r="G17" s="62">
        <v>0.0</v>
      </c>
      <c r="H17" s="63">
        <v>2936.0</v>
      </c>
      <c r="I17" s="64"/>
      <c r="J17" s="64"/>
      <c r="K17" s="61"/>
      <c r="L17" s="63">
        <v>1.0</v>
      </c>
      <c r="M17" s="61" t="s">
        <v>20</v>
      </c>
      <c r="N17" s="61" t="s">
        <v>43</v>
      </c>
      <c r="O17" s="61" t="s">
        <v>40</v>
      </c>
      <c r="P17" s="61" t="s">
        <v>18</v>
      </c>
      <c r="Q17" s="57" t="s">
        <v>44</v>
      </c>
      <c r="R17" s="63">
        <v>0.0</v>
      </c>
      <c r="S17" s="63">
        <v>2936.0</v>
      </c>
    </row>
    <row r="18" ht="15.75" customHeight="1">
      <c r="A18" s="8"/>
      <c r="B18" s="65">
        <v>43871.0</v>
      </c>
      <c r="C18" s="57" t="s">
        <v>16</v>
      </c>
      <c r="D18" s="57" t="s">
        <v>24</v>
      </c>
      <c r="E18" s="57" t="s">
        <v>28</v>
      </c>
      <c r="F18" s="57" t="s">
        <v>45</v>
      </c>
      <c r="G18" s="58">
        <v>7340.0</v>
      </c>
      <c r="H18" s="59">
        <v>0.0</v>
      </c>
      <c r="I18" s="60"/>
      <c r="J18" s="60"/>
      <c r="K18" s="57"/>
      <c r="L18" s="58">
        <v>1.1</v>
      </c>
      <c r="M18" s="57" t="s">
        <v>20</v>
      </c>
      <c r="N18" s="57" t="s">
        <v>39</v>
      </c>
      <c r="O18" s="57" t="s">
        <v>40</v>
      </c>
      <c r="P18" s="57" t="s">
        <v>18</v>
      </c>
      <c r="Q18" s="57" t="s">
        <v>46</v>
      </c>
      <c r="R18" s="58">
        <v>8074.0</v>
      </c>
      <c r="S18" s="58">
        <v>0.0</v>
      </c>
    </row>
    <row r="19" ht="15.75" customHeight="1">
      <c r="A19" s="8"/>
      <c r="B19" s="65">
        <v>43871.0</v>
      </c>
      <c r="C19" s="57" t="s">
        <v>16</v>
      </c>
      <c r="D19" s="57" t="s">
        <v>24</v>
      </c>
      <c r="E19" s="57" t="s">
        <v>28</v>
      </c>
      <c r="F19" s="61" t="s">
        <v>19</v>
      </c>
      <c r="G19" s="62">
        <v>0.0</v>
      </c>
      <c r="H19" s="63">
        <v>7340.0</v>
      </c>
      <c r="I19" s="64"/>
      <c r="J19" s="64"/>
      <c r="K19" s="61"/>
      <c r="L19" s="63">
        <v>1.1</v>
      </c>
      <c r="M19" s="61" t="s">
        <v>20</v>
      </c>
      <c r="N19" s="61" t="s">
        <v>43</v>
      </c>
      <c r="O19" s="61" t="s">
        <v>40</v>
      </c>
      <c r="P19" s="61" t="s">
        <v>18</v>
      </c>
      <c r="Q19" s="57" t="s">
        <v>46</v>
      </c>
      <c r="R19" s="63">
        <v>0.0</v>
      </c>
      <c r="S19" s="63">
        <v>8074.0</v>
      </c>
    </row>
    <row r="20" ht="15.75" customHeight="1">
      <c r="A20" s="8"/>
      <c r="B20" s="65">
        <v>43871.0</v>
      </c>
      <c r="C20" s="57" t="s">
        <v>16</v>
      </c>
      <c r="D20" s="57" t="s">
        <v>24</v>
      </c>
      <c r="E20" s="57" t="s">
        <v>28</v>
      </c>
      <c r="F20" s="57" t="s">
        <v>19</v>
      </c>
      <c r="G20" s="58">
        <v>7340.0</v>
      </c>
      <c r="H20" s="59">
        <v>0.0</v>
      </c>
      <c r="I20" s="60"/>
      <c r="J20" s="60"/>
      <c r="K20" s="57"/>
      <c r="L20" s="58">
        <v>1.5</v>
      </c>
      <c r="M20" s="57" t="s">
        <v>20</v>
      </c>
      <c r="N20" s="57" t="s">
        <v>39</v>
      </c>
      <c r="O20" s="57" t="s">
        <v>40</v>
      </c>
      <c r="P20" s="57" t="s">
        <v>18</v>
      </c>
      <c r="Q20" s="57" t="s">
        <v>47</v>
      </c>
      <c r="R20" s="58">
        <v>11010.0</v>
      </c>
      <c r="S20" s="58">
        <v>0.0</v>
      </c>
    </row>
    <row r="21" ht="15.75" customHeight="1">
      <c r="A21" s="8"/>
      <c r="B21" s="65">
        <v>43871.0</v>
      </c>
      <c r="C21" s="57" t="s">
        <v>16</v>
      </c>
      <c r="D21" s="57" t="s">
        <v>24</v>
      </c>
      <c r="E21" s="57" t="s">
        <v>28</v>
      </c>
      <c r="F21" s="61" t="s">
        <v>45</v>
      </c>
      <c r="G21" s="62">
        <v>0.0</v>
      </c>
      <c r="H21" s="63">
        <v>7340.0</v>
      </c>
      <c r="I21" s="64"/>
      <c r="J21" s="64"/>
      <c r="K21" s="61"/>
      <c r="L21" s="63">
        <v>1.5</v>
      </c>
      <c r="M21" s="61" t="s">
        <v>20</v>
      </c>
      <c r="N21" s="61" t="s">
        <v>43</v>
      </c>
      <c r="O21" s="61" t="s">
        <v>40</v>
      </c>
      <c r="P21" s="61" t="s">
        <v>18</v>
      </c>
      <c r="Q21" s="57" t="s">
        <v>47</v>
      </c>
      <c r="R21" s="63">
        <v>0.0</v>
      </c>
      <c r="S21" s="63">
        <v>11010.0</v>
      </c>
    </row>
    <row r="22" ht="15.75" customHeight="1">
      <c r="A22" s="8"/>
      <c r="B22" s="56">
        <v>43872.0</v>
      </c>
      <c r="C22" s="57" t="s">
        <v>16</v>
      </c>
      <c r="D22" s="57" t="s">
        <v>28</v>
      </c>
      <c r="E22" s="57" t="s">
        <v>28</v>
      </c>
      <c r="F22" s="57" t="s">
        <v>19</v>
      </c>
      <c r="G22" s="58">
        <v>7340.0</v>
      </c>
      <c r="H22" s="59">
        <v>0.0</v>
      </c>
      <c r="I22" s="60"/>
      <c r="J22" s="60"/>
      <c r="K22" s="57"/>
      <c r="L22" s="58">
        <v>2.0</v>
      </c>
      <c r="M22" s="57" t="s">
        <v>20</v>
      </c>
      <c r="N22" s="57" t="s">
        <v>39</v>
      </c>
      <c r="O22" s="57" t="s">
        <v>40</v>
      </c>
      <c r="P22" s="57" t="s">
        <v>18</v>
      </c>
      <c r="Q22" s="57" t="s">
        <v>48</v>
      </c>
      <c r="R22" s="58">
        <v>14680.0</v>
      </c>
      <c r="S22" s="58">
        <v>0.0</v>
      </c>
    </row>
    <row r="23" ht="15.75" customHeight="1">
      <c r="A23" s="8"/>
      <c r="B23" s="56">
        <v>43872.0</v>
      </c>
      <c r="C23" s="57" t="s">
        <v>16</v>
      </c>
      <c r="D23" s="57" t="s">
        <v>28</v>
      </c>
      <c r="E23" s="57" t="s">
        <v>28</v>
      </c>
      <c r="F23" s="61" t="s">
        <v>45</v>
      </c>
      <c r="G23" s="62">
        <v>0.0</v>
      </c>
      <c r="H23" s="63">
        <v>7340.0</v>
      </c>
      <c r="I23" s="64"/>
      <c r="J23" s="64"/>
      <c r="K23" s="61"/>
      <c r="L23" s="63">
        <v>2.0</v>
      </c>
      <c r="M23" s="61" t="s">
        <v>20</v>
      </c>
      <c r="N23" s="61" t="s">
        <v>43</v>
      </c>
      <c r="O23" s="61" t="s">
        <v>40</v>
      </c>
      <c r="P23" s="61" t="s">
        <v>18</v>
      </c>
      <c r="Q23" s="57" t="s">
        <v>48</v>
      </c>
      <c r="R23" s="63">
        <v>0.0</v>
      </c>
      <c r="S23" s="63">
        <v>14680.0</v>
      </c>
    </row>
    <row r="24" ht="15.75" customHeight="1">
      <c r="A24" s="8"/>
      <c r="B24" s="56">
        <v>43872.0</v>
      </c>
      <c r="C24" s="57" t="s">
        <v>16</v>
      </c>
      <c r="D24" s="57" t="s">
        <v>28</v>
      </c>
      <c r="E24" s="57" t="s">
        <v>28</v>
      </c>
      <c r="F24" s="57" t="s">
        <v>45</v>
      </c>
      <c r="G24" s="58">
        <v>7340.0</v>
      </c>
      <c r="H24" s="59">
        <v>0.0</v>
      </c>
      <c r="I24" s="60"/>
      <c r="J24" s="60"/>
      <c r="K24" s="57"/>
      <c r="L24" s="58">
        <v>1.5</v>
      </c>
      <c r="M24" s="57" t="s">
        <v>20</v>
      </c>
      <c r="N24" s="57" t="s">
        <v>39</v>
      </c>
      <c r="O24" s="57" t="s">
        <v>40</v>
      </c>
      <c r="P24" s="57" t="s">
        <v>18</v>
      </c>
      <c r="Q24" s="57" t="s">
        <v>49</v>
      </c>
      <c r="R24" s="58">
        <v>11010.0</v>
      </c>
      <c r="S24" s="58">
        <v>0.0</v>
      </c>
    </row>
    <row r="25" ht="15.75" customHeight="1">
      <c r="A25" s="8"/>
      <c r="B25" s="56">
        <v>43872.0</v>
      </c>
      <c r="C25" s="57" t="s">
        <v>16</v>
      </c>
      <c r="D25" s="57" t="s">
        <v>28</v>
      </c>
      <c r="E25" s="57" t="s">
        <v>28</v>
      </c>
      <c r="F25" s="61" t="s">
        <v>19</v>
      </c>
      <c r="G25" s="62">
        <v>0.0</v>
      </c>
      <c r="H25" s="63">
        <v>7340.0</v>
      </c>
      <c r="I25" s="64"/>
      <c r="J25" s="64"/>
      <c r="K25" s="61"/>
      <c r="L25" s="63">
        <v>1.5</v>
      </c>
      <c r="M25" s="61" t="s">
        <v>20</v>
      </c>
      <c r="N25" s="61" t="s">
        <v>43</v>
      </c>
      <c r="O25" s="61" t="s">
        <v>40</v>
      </c>
      <c r="P25" s="61" t="s">
        <v>18</v>
      </c>
      <c r="Q25" s="57" t="s">
        <v>49</v>
      </c>
      <c r="R25" s="63">
        <v>0.0</v>
      </c>
      <c r="S25" s="63">
        <v>11010.0</v>
      </c>
    </row>
    <row r="26" ht="15.75" customHeight="1">
      <c r="A26" s="8"/>
      <c r="B26" s="45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</row>
    <row r="28" ht="15.75" customHeight="1">
      <c r="B28" s="52"/>
    </row>
    <row r="29" ht="15.75" customHeight="1">
      <c r="B29" s="52"/>
    </row>
    <row r="30" ht="15.75" customHeight="1">
      <c r="B30" s="52"/>
    </row>
    <row r="31" ht="15.75" customHeight="1">
      <c r="B31" s="52"/>
    </row>
    <row r="32" ht="15.75" customHeight="1">
      <c r="B32" s="52"/>
    </row>
    <row r="33" ht="15.75" customHeight="1">
      <c r="B33" s="52"/>
    </row>
    <row r="34" ht="15.75" customHeight="1">
      <c r="B34" s="52"/>
    </row>
    <row r="35" ht="15.75" customHeight="1">
      <c r="B35" s="52"/>
    </row>
    <row r="36" ht="15.75" customHeight="1">
      <c r="B36" s="52"/>
    </row>
    <row r="37" ht="15.75" customHeight="1">
      <c r="B37" s="52"/>
    </row>
    <row r="38" ht="15.75" customHeight="1">
      <c r="B38" s="52"/>
    </row>
    <row r="39" ht="15.75" customHeight="1">
      <c r="B39" s="52"/>
    </row>
    <row r="40" ht="15.75" customHeight="1">
      <c r="B40" s="52"/>
    </row>
    <row r="41" ht="15.75" customHeight="1">
      <c r="B41" s="52"/>
    </row>
    <row r="42" ht="15.75" customHeight="1">
      <c r="B42" s="52"/>
    </row>
    <row r="43" ht="15.75" customHeight="1">
      <c r="B43" s="52"/>
    </row>
    <row r="44" ht="15.75" customHeight="1">
      <c r="B44" s="52"/>
    </row>
    <row r="45" ht="15.75" customHeight="1">
      <c r="B45" s="52"/>
    </row>
    <row r="46" ht="15.75" customHeight="1">
      <c r="B46" s="52"/>
    </row>
    <row r="47" ht="15.75" customHeight="1">
      <c r="B47" s="52"/>
    </row>
    <row r="48" ht="15.75" customHeight="1">
      <c r="B48" s="52"/>
    </row>
    <row r="49" ht="15.75" customHeight="1">
      <c r="B49" s="52"/>
    </row>
    <row r="50" ht="15.75" customHeight="1">
      <c r="B50" s="52"/>
    </row>
    <row r="51" ht="15.75" customHeight="1">
      <c r="B51" s="52"/>
    </row>
    <row r="52" ht="15.75" customHeight="1">
      <c r="B52" s="52"/>
    </row>
    <row r="53" ht="15.75" customHeight="1">
      <c r="B53" s="52"/>
    </row>
    <row r="54" ht="15.75" customHeight="1">
      <c r="B54" s="52"/>
    </row>
    <row r="55" ht="15.75" customHeight="1">
      <c r="B55" s="52"/>
    </row>
    <row r="56" ht="15.75" customHeight="1">
      <c r="B56" s="52"/>
    </row>
    <row r="57" ht="15.75" customHeight="1">
      <c r="B57" s="52"/>
    </row>
    <row r="58" ht="15.75" customHeight="1">
      <c r="B58" s="52"/>
    </row>
    <row r="59" ht="15.75" customHeight="1">
      <c r="B59" s="52"/>
    </row>
    <row r="60" ht="15.75" customHeight="1">
      <c r="B60" s="52"/>
    </row>
    <row r="61" ht="15.75" customHeight="1">
      <c r="B61" s="52"/>
    </row>
    <row r="62" ht="15.75" customHeight="1">
      <c r="B62" s="52"/>
    </row>
    <row r="63" ht="15.75" customHeight="1">
      <c r="B63" s="52"/>
    </row>
    <row r="64" ht="15.75" customHeight="1">
      <c r="B64" s="52"/>
    </row>
    <row r="65" ht="15.75" customHeight="1">
      <c r="B65" s="52"/>
    </row>
    <row r="66" ht="15.75" customHeight="1">
      <c r="B66" s="52"/>
    </row>
    <row r="67" ht="15.75" customHeight="1">
      <c r="B67" s="52"/>
    </row>
    <row r="68" ht="15.75" customHeight="1">
      <c r="B68" s="52"/>
    </row>
    <row r="69" ht="15.75" customHeight="1">
      <c r="B69" s="52"/>
    </row>
    <row r="70" ht="15.75" customHeight="1">
      <c r="B70" s="52"/>
    </row>
    <row r="71" ht="15.75" customHeight="1">
      <c r="B71" s="52"/>
    </row>
    <row r="72" ht="15.75" customHeight="1">
      <c r="B72" s="52"/>
    </row>
    <row r="73" ht="15.75" customHeight="1">
      <c r="B73" s="52"/>
    </row>
    <row r="74" ht="15.75" customHeight="1">
      <c r="B74" s="52"/>
    </row>
    <row r="75" ht="15.75" customHeight="1">
      <c r="B75" s="52"/>
    </row>
    <row r="76" ht="15.75" customHeight="1">
      <c r="B76" s="52"/>
    </row>
    <row r="77" ht="15.75" customHeight="1">
      <c r="B77" s="52"/>
    </row>
    <row r="78" ht="15.75" customHeight="1">
      <c r="B78" s="52"/>
    </row>
    <row r="79" ht="15.75" customHeight="1">
      <c r="B79" s="52"/>
    </row>
    <row r="80" ht="15.75" customHeight="1">
      <c r="B80" s="52"/>
    </row>
    <row r="81" ht="15.75" customHeight="1">
      <c r="B81" s="52"/>
    </row>
    <row r="82" ht="15.75" customHeight="1">
      <c r="B82" s="52"/>
    </row>
    <row r="83" ht="15.75" customHeight="1">
      <c r="B83" s="52"/>
    </row>
    <row r="84" ht="15.75" customHeight="1">
      <c r="B84" s="52"/>
    </row>
    <row r="85" ht="15.75" customHeight="1">
      <c r="B85" s="52"/>
    </row>
    <row r="86" ht="15.75" customHeight="1">
      <c r="B86" s="52"/>
    </row>
    <row r="87" ht="15.75" customHeight="1">
      <c r="B87" s="52"/>
    </row>
    <row r="88" ht="15.75" customHeight="1">
      <c r="B88" s="52"/>
    </row>
    <row r="89" ht="15.75" customHeight="1">
      <c r="B89" s="52"/>
    </row>
    <row r="90" ht="15.75" customHeight="1">
      <c r="B90" s="52"/>
    </row>
    <row r="91" ht="15.75" customHeight="1">
      <c r="B91" s="52"/>
    </row>
    <row r="92" ht="15.75" customHeight="1">
      <c r="B92" s="52"/>
    </row>
    <row r="93" ht="15.75" customHeight="1">
      <c r="B93" s="52"/>
    </row>
    <row r="94" ht="15.75" customHeight="1">
      <c r="B94" s="52"/>
    </row>
    <row r="95" ht="15.75" customHeight="1">
      <c r="B95" s="52"/>
    </row>
    <row r="96" ht="15.75" customHeight="1">
      <c r="B96" s="52"/>
    </row>
    <row r="97" ht="15.75" customHeight="1">
      <c r="B97" s="52"/>
    </row>
    <row r="98" ht="15.75" customHeight="1">
      <c r="B98" s="52"/>
    </row>
    <row r="99" ht="15.75" customHeight="1">
      <c r="B99" s="52"/>
    </row>
    <row r="100" ht="15.75" customHeight="1">
      <c r="B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4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8"/>
      <c r="B2" s="45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6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</row>
    <row r="4" ht="15.75" customHeight="1">
      <c r="A4" s="24"/>
      <c r="B4" s="48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</row>
    <row r="6" ht="15.75" customHeight="1">
      <c r="A6" s="11"/>
      <c r="B6" s="66">
        <v>43871.0</v>
      </c>
      <c r="C6" s="57"/>
      <c r="D6" s="57"/>
      <c r="E6" s="58">
        <v>10.0</v>
      </c>
      <c r="F6" s="59">
        <v>0.0</v>
      </c>
      <c r="G6" s="58">
        <v>1.1</v>
      </c>
      <c r="H6" s="57" t="s">
        <v>20</v>
      </c>
      <c r="I6" s="57" t="s">
        <v>39</v>
      </c>
      <c r="J6" s="57" t="s">
        <v>51</v>
      </c>
      <c r="K6" s="57" t="s">
        <v>28</v>
      </c>
      <c r="L6" s="57" t="s">
        <v>18</v>
      </c>
      <c r="M6" s="57" t="s">
        <v>24</v>
      </c>
      <c r="N6" s="57"/>
      <c r="O6" s="58">
        <v>11.0</v>
      </c>
      <c r="P6" s="58">
        <v>0.0</v>
      </c>
      <c r="Q6" s="57" t="s">
        <v>52</v>
      </c>
      <c r="R6" s="57" t="s">
        <v>16</v>
      </c>
      <c r="S6" s="58"/>
    </row>
    <row r="7" ht="15.75" customHeight="1">
      <c r="A7" s="8"/>
      <c r="B7" s="66">
        <v>43871.0</v>
      </c>
      <c r="C7" s="57"/>
      <c r="D7" s="57"/>
      <c r="E7" s="62">
        <v>0.0</v>
      </c>
      <c r="F7" s="63">
        <v>10.0</v>
      </c>
      <c r="G7" s="63">
        <v>1.1</v>
      </c>
      <c r="H7" s="61" t="s">
        <v>20</v>
      </c>
      <c r="I7" s="61" t="s">
        <v>43</v>
      </c>
      <c r="J7" s="61" t="s">
        <v>51</v>
      </c>
      <c r="K7" s="57" t="s">
        <v>28</v>
      </c>
      <c r="L7" s="61" t="s">
        <v>18</v>
      </c>
      <c r="M7" s="57" t="s">
        <v>24</v>
      </c>
      <c r="N7" s="57"/>
      <c r="O7" s="63">
        <v>0.0</v>
      </c>
      <c r="P7" s="63">
        <v>11.0</v>
      </c>
      <c r="Q7" s="61" t="s">
        <v>19</v>
      </c>
      <c r="R7" s="57" t="s">
        <v>16</v>
      </c>
      <c r="S7" s="63"/>
    </row>
    <row r="8" ht="15.75" customHeight="1">
      <c r="A8" s="8"/>
      <c r="B8" s="66">
        <v>43871.0</v>
      </c>
      <c r="C8" s="57"/>
      <c r="D8" s="57"/>
      <c r="E8" s="58">
        <v>7350.0</v>
      </c>
      <c r="F8" s="59">
        <v>0.0</v>
      </c>
      <c r="G8" s="58">
        <v>1.1</v>
      </c>
      <c r="H8" s="57" t="s">
        <v>20</v>
      </c>
      <c r="I8" s="57" t="s">
        <v>39</v>
      </c>
      <c r="J8" s="57" t="s">
        <v>51</v>
      </c>
      <c r="K8" s="57" t="s">
        <v>28</v>
      </c>
      <c r="L8" s="57" t="s">
        <v>18</v>
      </c>
      <c r="M8" s="57" t="s">
        <v>24</v>
      </c>
      <c r="N8" s="57"/>
      <c r="O8" s="58">
        <v>8085.0</v>
      </c>
      <c r="P8" s="58">
        <v>0.0</v>
      </c>
      <c r="Q8" s="57" t="s">
        <v>19</v>
      </c>
      <c r="R8" s="57" t="s">
        <v>16</v>
      </c>
      <c r="S8" s="58"/>
    </row>
    <row r="9" ht="15.75" customHeight="1">
      <c r="A9" s="8"/>
      <c r="B9" s="66">
        <v>43871.0</v>
      </c>
      <c r="C9" s="57"/>
      <c r="D9" s="57"/>
      <c r="E9" s="62">
        <v>0.0</v>
      </c>
      <c r="F9" s="63">
        <v>7350.0</v>
      </c>
      <c r="G9" s="63">
        <v>1.1</v>
      </c>
      <c r="H9" s="61" t="s">
        <v>20</v>
      </c>
      <c r="I9" s="61" t="s">
        <v>43</v>
      </c>
      <c r="J9" s="61" t="s">
        <v>51</v>
      </c>
      <c r="K9" s="57" t="s">
        <v>28</v>
      </c>
      <c r="L9" s="61" t="s">
        <v>18</v>
      </c>
      <c r="M9" s="57" t="s">
        <v>24</v>
      </c>
      <c r="N9" s="57"/>
      <c r="O9" s="63">
        <v>0.0</v>
      </c>
      <c r="P9" s="63">
        <v>8085.0</v>
      </c>
      <c r="Q9" s="61" t="s">
        <v>52</v>
      </c>
      <c r="R9" s="57" t="s">
        <v>16</v>
      </c>
      <c r="S9" s="63"/>
    </row>
    <row r="10" ht="15.75" customHeight="1">
      <c r="A10" s="8"/>
      <c r="B10" s="45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5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5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5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5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5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5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5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5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5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5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5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5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</row>
    <row r="28" ht="15.75" customHeight="1">
      <c r="B28" s="52"/>
    </row>
    <row r="29" ht="15.75" customHeight="1">
      <c r="B29" s="52"/>
    </row>
    <row r="30" ht="15.75" customHeight="1">
      <c r="B30" s="52"/>
    </row>
    <row r="31" ht="15.75" customHeight="1">
      <c r="B31" s="52"/>
    </row>
    <row r="32" ht="15.75" customHeight="1">
      <c r="B32" s="52"/>
    </row>
    <row r="33" ht="15.75" customHeight="1">
      <c r="B33" s="52"/>
    </row>
    <row r="34" ht="15.75" customHeight="1">
      <c r="B34" s="52"/>
    </row>
    <row r="35" ht="15.75" customHeight="1">
      <c r="B35" s="52"/>
    </row>
    <row r="36" ht="15.75" customHeight="1">
      <c r="B36" s="52"/>
    </row>
    <row r="37" ht="15.75" customHeight="1">
      <c r="B37" s="52"/>
    </row>
    <row r="38" ht="15.75" customHeight="1">
      <c r="B38" s="52"/>
    </row>
    <row r="39" ht="15.75" customHeight="1">
      <c r="B39" s="52"/>
    </row>
    <row r="40" ht="15.75" customHeight="1">
      <c r="B40" s="52"/>
    </row>
    <row r="41" ht="15.75" customHeight="1">
      <c r="B41" s="52"/>
    </row>
    <row r="42" ht="15.75" customHeight="1">
      <c r="B42" s="52"/>
    </row>
    <row r="43" ht="15.75" customHeight="1">
      <c r="B43" s="52"/>
    </row>
    <row r="44" ht="15.75" customHeight="1">
      <c r="B44" s="52"/>
    </row>
    <row r="45" ht="15.75" customHeight="1">
      <c r="B45" s="52"/>
    </row>
    <row r="46" ht="15.75" customHeight="1">
      <c r="B46" s="52"/>
    </row>
    <row r="47" ht="15.75" customHeight="1">
      <c r="B47" s="52"/>
    </row>
    <row r="48" ht="15.75" customHeight="1">
      <c r="B48" s="52"/>
    </row>
    <row r="49" ht="15.75" customHeight="1">
      <c r="B49" s="52"/>
    </row>
    <row r="50" ht="15.75" customHeight="1">
      <c r="B50" s="52"/>
    </row>
    <row r="51" ht="15.75" customHeight="1">
      <c r="B51" s="52"/>
    </row>
    <row r="52" ht="15.75" customHeight="1">
      <c r="B52" s="52"/>
    </row>
    <row r="53" ht="15.75" customHeight="1">
      <c r="B53" s="52"/>
    </row>
    <row r="54" ht="15.75" customHeight="1">
      <c r="B54" s="52"/>
    </row>
    <row r="55" ht="15.75" customHeight="1">
      <c r="B55" s="52"/>
    </row>
    <row r="56" ht="15.75" customHeight="1">
      <c r="B56" s="52"/>
    </row>
    <row r="57" ht="15.75" customHeight="1">
      <c r="B57" s="52"/>
    </row>
    <row r="58" ht="15.75" customHeight="1">
      <c r="B58" s="52"/>
    </row>
    <row r="59" ht="15.75" customHeight="1">
      <c r="B59" s="52"/>
    </row>
    <row r="60" ht="15.75" customHeight="1">
      <c r="B60" s="52"/>
    </row>
    <row r="61" ht="15.75" customHeight="1">
      <c r="B61" s="52"/>
    </row>
    <row r="62" ht="15.75" customHeight="1">
      <c r="B62" s="52"/>
    </row>
    <row r="63" ht="15.75" customHeight="1">
      <c r="B63" s="52"/>
    </row>
    <row r="64" ht="15.75" customHeight="1">
      <c r="B64" s="52"/>
    </row>
    <row r="65" ht="15.75" customHeight="1">
      <c r="B65" s="52"/>
    </row>
    <row r="66" ht="15.75" customHeight="1">
      <c r="B66" s="52"/>
    </row>
    <row r="67" ht="15.75" customHeight="1">
      <c r="B67" s="52"/>
    </row>
    <row r="68" ht="15.75" customHeight="1">
      <c r="B68" s="52"/>
    </row>
    <row r="69" ht="15.75" customHeight="1">
      <c r="B69" s="52"/>
    </row>
    <row r="70" ht="15.75" customHeight="1">
      <c r="B70" s="52"/>
    </row>
    <row r="71" ht="15.75" customHeight="1">
      <c r="B71" s="52"/>
    </row>
    <row r="72" ht="15.75" customHeight="1">
      <c r="B72" s="52"/>
    </row>
    <row r="73" ht="15.75" customHeight="1">
      <c r="B73" s="52"/>
    </row>
    <row r="74" ht="15.75" customHeight="1">
      <c r="B74" s="52"/>
    </row>
    <row r="75" ht="15.75" customHeight="1">
      <c r="B75" s="52"/>
    </row>
    <row r="76" ht="15.75" customHeight="1">
      <c r="B76" s="52"/>
    </row>
    <row r="77" ht="15.75" customHeight="1">
      <c r="B77" s="52"/>
    </row>
    <row r="78" ht="15.75" customHeight="1">
      <c r="B78" s="52"/>
    </row>
    <row r="79" ht="15.75" customHeight="1">
      <c r="B79" s="52"/>
    </row>
    <row r="80" ht="15.75" customHeight="1">
      <c r="B80" s="52"/>
    </row>
    <row r="81" ht="15.75" customHeight="1">
      <c r="B81" s="52"/>
    </row>
    <row r="82" ht="15.75" customHeight="1">
      <c r="B82" s="52"/>
    </row>
    <row r="83" ht="15.75" customHeight="1">
      <c r="B83" s="52"/>
    </row>
    <row r="84" ht="15.75" customHeight="1">
      <c r="B84" s="52"/>
    </row>
    <row r="85" ht="15.75" customHeight="1">
      <c r="B85" s="52"/>
    </row>
    <row r="86" ht="15.75" customHeight="1">
      <c r="B86" s="52"/>
    </row>
    <row r="87" ht="15.75" customHeight="1">
      <c r="B87" s="52"/>
    </row>
    <row r="88" ht="15.75" customHeight="1">
      <c r="B88" s="52"/>
    </row>
    <row r="89" ht="15.75" customHeight="1">
      <c r="B89" s="52"/>
    </row>
    <row r="90" ht="15.75" customHeight="1">
      <c r="B90" s="52"/>
    </row>
    <row r="91" ht="15.75" customHeight="1">
      <c r="B91" s="52"/>
    </row>
    <row r="92" ht="15.75" customHeight="1">
      <c r="B92" s="52"/>
    </row>
    <row r="93" ht="15.75" customHeight="1">
      <c r="B93" s="52"/>
    </row>
    <row r="94" ht="15.75" customHeight="1">
      <c r="B94" s="52"/>
    </row>
    <row r="95" ht="15.75" customHeight="1">
      <c r="B95" s="52"/>
    </row>
    <row r="96" ht="15.75" customHeight="1">
      <c r="B96" s="52"/>
    </row>
    <row r="97" ht="15.75" customHeight="1">
      <c r="B97" s="52"/>
    </row>
    <row r="98" ht="15.75" customHeight="1">
      <c r="B98" s="52"/>
    </row>
    <row r="99" ht="15.75" customHeight="1">
      <c r="B99" s="52"/>
    </row>
    <row r="100" ht="15.75" customHeight="1">
      <c r="B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4" t="s">
        <v>16</v>
      </c>
      <c r="D6" s="50">
        <v>43871.0</v>
      </c>
      <c r="E6" s="50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67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AE2" s="52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68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69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70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 t="s">
        <v>16</v>
      </c>
      <c r="C6" s="57" t="s">
        <v>40</v>
      </c>
      <c r="D6" s="57" t="s">
        <v>55</v>
      </c>
      <c r="E6" s="58">
        <v>-535.0</v>
      </c>
      <c r="F6" s="58">
        <v>0.0</v>
      </c>
      <c r="G6" s="58">
        <v>0.0</v>
      </c>
      <c r="H6" s="57" t="s">
        <v>56</v>
      </c>
      <c r="I6" s="58">
        <v>0.0</v>
      </c>
      <c r="J6" s="58">
        <v>0.0</v>
      </c>
      <c r="K6" s="57" t="s">
        <v>28</v>
      </c>
      <c r="L6" s="57" t="s">
        <v>41</v>
      </c>
      <c r="M6" s="8"/>
      <c r="N6" s="57" t="s">
        <v>20</v>
      </c>
      <c r="O6" s="58">
        <v>1.5</v>
      </c>
      <c r="R6" s="58">
        <v>0.0</v>
      </c>
      <c r="S6" s="58">
        <v>0.0</v>
      </c>
      <c r="T6" s="58">
        <v>0.0</v>
      </c>
      <c r="U6" s="58">
        <v>0.0</v>
      </c>
      <c r="V6" s="58">
        <v>0.0</v>
      </c>
      <c r="W6" s="58">
        <v>0.0</v>
      </c>
      <c r="X6" s="71"/>
      <c r="Z6" s="58">
        <v>0.0</v>
      </c>
      <c r="AA6" s="58">
        <v>0.0</v>
      </c>
      <c r="AB6" s="57" t="s">
        <v>24</v>
      </c>
      <c r="AC6" s="58">
        <v>0.0</v>
      </c>
      <c r="AD6" s="58">
        <v>0.0</v>
      </c>
      <c r="AE6" s="56">
        <v>43871.0</v>
      </c>
      <c r="AF6" s="58">
        <v>0.0</v>
      </c>
      <c r="AG6" s="72" t="s">
        <v>40</v>
      </c>
    </row>
    <row r="7" ht="15.75" customHeight="1">
      <c r="A7" s="8"/>
      <c r="B7" s="73" t="s">
        <v>16</v>
      </c>
      <c r="C7" s="73" t="s">
        <v>40</v>
      </c>
      <c r="D7" s="73" t="s">
        <v>55</v>
      </c>
      <c r="E7" s="74">
        <v>-2936.0</v>
      </c>
      <c r="F7" s="74">
        <v>0.0</v>
      </c>
      <c r="G7" s="74">
        <v>0.0</v>
      </c>
      <c r="H7" s="73" t="s">
        <v>56</v>
      </c>
      <c r="I7" s="74">
        <v>0.0</v>
      </c>
      <c r="J7" s="74">
        <v>0.0</v>
      </c>
      <c r="K7" s="73" t="s">
        <v>18</v>
      </c>
      <c r="L7" s="73" t="s">
        <v>41</v>
      </c>
      <c r="M7" s="8"/>
      <c r="N7" s="73" t="s">
        <v>20</v>
      </c>
      <c r="O7" s="74">
        <v>1.0</v>
      </c>
      <c r="R7" s="74">
        <v>0.0</v>
      </c>
      <c r="S7" s="74">
        <v>0.0</v>
      </c>
      <c r="T7" s="74">
        <v>0.0</v>
      </c>
      <c r="U7" s="74">
        <v>0.0</v>
      </c>
      <c r="V7" s="74">
        <v>0.0</v>
      </c>
      <c r="W7" s="74">
        <v>0.0</v>
      </c>
      <c r="X7" s="75"/>
      <c r="Z7" s="74">
        <v>0.0</v>
      </c>
      <c r="AA7" s="74">
        <v>0.0</v>
      </c>
      <c r="AB7" s="73" t="s">
        <v>28</v>
      </c>
      <c r="AC7" s="74">
        <v>0.0</v>
      </c>
      <c r="AD7" s="74">
        <v>0.0</v>
      </c>
      <c r="AE7" s="76">
        <v>43871.0</v>
      </c>
      <c r="AF7" s="74">
        <v>0.0</v>
      </c>
      <c r="AG7" s="77" t="s">
        <v>40</v>
      </c>
    </row>
    <row r="8" ht="15.75" customHeight="1">
      <c r="A8" s="8"/>
      <c r="B8" s="57" t="s">
        <v>16</v>
      </c>
      <c r="C8" s="57" t="s">
        <v>57</v>
      </c>
      <c r="D8" s="57" t="s">
        <v>58</v>
      </c>
      <c r="E8" s="58">
        <v>500000.0</v>
      </c>
      <c r="F8" s="58">
        <v>0.0</v>
      </c>
      <c r="G8" s="58">
        <v>0.0</v>
      </c>
      <c r="H8" s="57" t="s">
        <v>56</v>
      </c>
      <c r="I8" s="58">
        <v>0.0</v>
      </c>
      <c r="J8" s="58">
        <v>0.0</v>
      </c>
      <c r="K8" s="57" t="s">
        <v>18</v>
      </c>
      <c r="L8" s="71"/>
      <c r="M8" s="8"/>
      <c r="N8" s="57" t="s">
        <v>20</v>
      </c>
      <c r="O8" s="58">
        <v>1.0</v>
      </c>
      <c r="R8" s="58">
        <v>0.0</v>
      </c>
      <c r="S8" s="58">
        <v>0.0</v>
      </c>
      <c r="T8" s="58">
        <v>0.0</v>
      </c>
      <c r="U8" s="58">
        <v>0.0</v>
      </c>
      <c r="V8" s="58">
        <v>0.0</v>
      </c>
      <c r="W8" s="58">
        <v>0.0</v>
      </c>
      <c r="X8" s="71"/>
      <c r="Z8" s="58">
        <v>0.0</v>
      </c>
      <c r="AA8" s="58">
        <v>0.0</v>
      </c>
      <c r="AB8" s="71"/>
      <c r="AC8" s="58">
        <v>0.0</v>
      </c>
      <c r="AD8" s="58">
        <v>0.0</v>
      </c>
      <c r="AE8" s="56">
        <v>43871.0</v>
      </c>
      <c r="AF8" s="58">
        <v>0.0</v>
      </c>
      <c r="AG8" s="72" t="s">
        <v>59</v>
      </c>
    </row>
    <row r="9" ht="15.75" customHeight="1">
      <c r="A9" s="8"/>
      <c r="B9" s="73" t="s">
        <v>16</v>
      </c>
      <c r="C9" s="73" t="s">
        <v>40</v>
      </c>
      <c r="D9" s="73" t="s">
        <v>60</v>
      </c>
      <c r="E9" s="74">
        <v>-7340.0</v>
      </c>
      <c r="F9" s="74">
        <v>0.0</v>
      </c>
      <c r="G9" s="74">
        <v>0.0</v>
      </c>
      <c r="H9" s="73" t="s">
        <v>56</v>
      </c>
      <c r="I9" s="74">
        <v>0.0</v>
      </c>
      <c r="J9" s="74">
        <v>0.0</v>
      </c>
      <c r="K9" s="73" t="s">
        <v>28</v>
      </c>
      <c r="L9" s="73" t="s">
        <v>46</v>
      </c>
      <c r="M9" s="8"/>
      <c r="N9" s="73" t="s">
        <v>20</v>
      </c>
      <c r="O9" s="74">
        <v>1.1</v>
      </c>
      <c r="R9" s="74">
        <v>0.0</v>
      </c>
      <c r="S9" s="74">
        <v>0.0</v>
      </c>
      <c r="T9" s="74">
        <v>0.0</v>
      </c>
      <c r="U9" s="74">
        <v>0.0</v>
      </c>
      <c r="V9" s="74">
        <v>0.0</v>
      </c>
      <c r="W9" s="74">
        <v>0.0</v>
      </c>
      <c r="X9" s="75"/>
      <c r="Z9" s="74">
        <v>0.0</v>
      </c>
      <c r="AA9" s="74">
        <v>0.0</v>
      </c>
      <c r="AB9" s="73" t="s">
        <v>24</v>
      </c>
      <c r="AC9" s="74">
        <v>0.0</v>
      </c>
      <c r="AD9" s="74">
        <v>0.0</v>
      </c>
      <c r="AE9" s="78">
        <v>43871.0</v>
      </c>
      <c r="AF9" s="74">
        <v>0.0</v>
      </c>
      <c r="AG9" s="77" t="s">
        <v>40</v>
      </c>
    </row>
    <row r="10" ht="15.75" customHeight="1">
      <c r="A10" s="8"/>
      <c r="B10" s="57" t="s">
        <v>16</v>
      </c>
      <c r="C10" s="57" t="s">
        <v>40</v>
      </c>
      <c r="D10" s="57" t="s">
        <v>60</v>
      </c>
      <c r="E10" s="58">
        <v>7340.0</v>
      </c>
      <c r="F10" s="58">
        <v>0.0</v>
      </c>
      <c r="G10" s="58">
        <v>0.0</v>
      </c>
      <c r="H10" s="57" t="s">
        <v>56</v>
      </c>
      <c r="I10" s="58">
        <v>0.0</v>
      </c>
      <c r="J10" s="58">
        <v>0.0</v>
      </c>
      <c r="K10" s="57" t="s">
        <v>28</v>
      </c>
      <c r="L10" s="57" t="s">
        <v>47</v>
      </c>
      <c r="M10" s="8"/>
      <c r="N10" s="57" t="s">
        <v>20</v>
      </c>
      <c r="O10" s="58">
        <v>1.5</v>
      </c>
      <c r="R10" s="58">
        <v>0.0</v>
      </c>
      <c r="S10" s="58">
        <v>0.0</v>
      </c>
      <c r="T10" s="58">
        <v>0.0</v>
      </c>
      <c r="U10" s="58">
        <v>0.0</v>
      </c>
      <c r="V10" s="58">
        <v>0.0</v>
      </c>
      <c r="W10" s="58">
        <v>0.0</v>
      </c>
      <c r="X10" s="71"/>
      <c r="Z10" s="58">
        <v>0.0</v>
      </c>
      <c r="AA10" s="58">
        <v>0.0</v>
      </c>
      <c r="AB10" s="57" t="s">
        <v>24</v>
      </c>
      <c r="AC10" s="58">
        <v>0.0</v>
      </c>
      <c r="AD10" s="58">
        <v>0.0</v>
      </c>
      <c r="AE10" s="65">
        <v>43871.0</v>
      </c>
      <c r="AF10" s="58">
        <v>0.0</v>
      </c>
      <c r="AG10" s="72" t="s">
        <v>40</v>
      </c>
    </row>
    <row r="11" ht="15.75" customHeight="1">
      <c r="A11" s="8"/>
      <c r="B11" s="73" t="s">
        <v>16</v>
      </c>
      <c r="C11" s="73" t="s">
        <v>51</v>
      </c>
      <c r="D11" s="73" t="s">
        <v>61</v>
      </c>
      <c r="E11" s="74">
        <v>7340.0</v>
      </c>
      <c r="F11" s="74">
        <v>0.0</v>
      </c>
      <c r="G11" s="74">
        <v>0.0</v>
      </c>
      <c r="H11" s="73" t="s">
        <v>56</v>
      </c>
      <c r="I11" s="74">
        <v>0.0</v>
      </c>
      <c r="J11" s="74">
        <v>2.5</v>
      </c>
      <c r="K11" s="73" t="s">
        <v>28</v>
      </c>
      <c r="L11" s="73" t="s">
        <v>62</v>
      </c>
      <c r="M11" s="8"/>
      <c r="N11" s="73" t="s">
        <v>20</v>
      </c>
      <c r="O11" s="74">
        <v>1.1</v>
      </c>
      <c r="R11" s="74">
        <v>0.0</v>
      </c>
      <c r="S11" s="74">
        <v>0.0</v>
      </c>
      <c r="T11" s="74">
        <v>0.0</v>
      </c>
      <c r="U11" s="74">
        <v>0.0</v>
      </c>
      <c r="V11" s="74">
        <v>105.0</v>
      </c>
      <c r="W11" s="74">
        <v>0.0</v>
      </c>
      <c r="X11" s="77" t="s">
        <v>28</v>
      </c>
      <c r="Z11" s="74">
        <v>7.5</v>
      </c>
      <c r="AA11" s="74">
        <v>0.0</v>
      </c>
      <c r="AB11" s="73" t="s">
        <v>24</v>
      </c>
      <c r="AC11" s="74">
        <v>0.0</v>
      </c>
      <c r="AD11" s="74">
        <v>10.0</v>
      </c>
      <c r="AE11" s="78">
        <v>43871.0</v>
      </c>
      <c r="AF11" s="74">
        <v>0.0</v>
      </c>
      <c r="AG11" s="77" t="s">
        <v>51</v>
      </c>
    </row>
    <row r="12" ht="15.75" customHeight="1">
      <c r="A12" s="8"/>
      <c r="B12" s="57" t="s">
        <v>16</v>
      </c>
      <c r="C12" s="57" t="s">
        <v>40</v>
      </c>
      <c r="D12" s="57" t="s">
        <v>60</v>
      </c>
      <c r="E12" s="58">
        <v>7340.0</v>
      </c>
      <c r="F12" s="58">
        <v>0.0</v>
      </c>
      <c r="G12" s="58">
        <v>0.0</v>
      </c>
      <c r="H12" s="57" t="s">
        <v>56</v>
      </c>
      <c r="I12" s="58">
        <v>0.0</v>
      </c>
      <c r="J12" s="58">
        <v>0.0</v>
      </c>
      <c r="K12" s="57" t="s">
        <v>28</v>
      </c>
      <c r="L12" s="57" t="s">
        <v>48</v>
      </c>
      <c r="M12" s="8"/>
      <c r="N12" s="57" t="s">
        <v>20</v>
      </c>
      <c r="O12" s="58">
        <v>2.0</v>
      </c>
      <c r="R12" s="58">
        <v>0.0</v>
      </c>
      <c r="S12" s="58">
        <v>0.0</v>
      </c>
      <c r="T12" s="58">
        <v>0.0</v>
      </c>
      <c r="U12" s="58">
        <v>0.0</v>
      </c>
      <c r="V12" s="58">
        <v>0.0</v>
      </c>
      <c r="W12" s="58">
        <v>0.0</v>
      </c>
      <c r="X12" s="71"/>
      <c r="Z12" s="58">
        <v>0.0</v>
      </c>
      <c r="AA12" s="58">
        <v>0.0</v>
      </c>
      <c r="AB12" s="57" t="s">
        <v>28</v>
      </c>
      <c r="AC12" s="58">
        <v>0.0</v>
      </c>
      <c r="AD12" s="58">
        <v>0.0</v>
      </c>
      <c r="AE12" s="56">
        <v>43872.0</v>
      </c>
      <c r="AF12" s="58">
        <v>0.0</v>
      </c>
      <c r="AG12" s="72" t="s">
        <v>40</v>
      </c>
    </row>
    <row r="13" ht="15.75" customHeight="1">
      <c r="A13" s="8"/>
      <c r="B13" s="73" t="s">
        <v>16</v>
      </c>
      <c r="C13" s="73" t="s">
        <v>40</v>
      </c>
      <c r="D13" s="73" t="s">
        <v>60</v>
      </c>
      <c r="E13" s="74">
        <v>-7340.0</v>
      </c>
      <c r="F13" s="74">
        <v>0.0</v>
      </c>
      <c r="G13" s="74">
        <v>0.0</v>
      </c>
      <c r="H13" s="73" t="s">
        <v>56</v>
      </c>
      <c r="I13" s="74">
        <v>0.0</v>
      </c>
      <c r="J13" s="74">
        <v>0.0</v>
      </c>
      <c r="K13" s="73" t="s">
        <v>28</v>
      </c>
      <c r="L13" s="73" t="s">
        <v>49</v>
      </c>
      <c r="M13" s="8"/>
      <c r="N13" s="73" t="s">
        <v>20</v>
      </c>
      <c r="O13" s="74">
        <v>1.5</v>
      </c>
      <c r="R13" s="74">
        <v>0.0</v>
      </c>
      <c r="S13" s="74">
        <v>0.0</v>
      </c>
      <c r="T13" s="74">
        <v>0.0</v>
      </c>
      <c r="U13" s="74">
        <v>0.0</v>
      </c>
      <c r="V13" s="74">
        <v>0.0</v>
      </c>
      <c r="W13" s="74">
        <v>0.0</v>
      </c>
      <c r="X13" s="75"/>
      <c r="Z13" s="74">
        <v>0.0</v>
      </c>
      <c r="AA13" s="74">
        <v>0.0</v>
      </c>
      <c r="AB13" s="73" t="s">
        <v>28</v>
      </c>
      <c r="AC13" s="74">
        <v>0.0</v>
      </c>
      <c r="AD13" s="74">
        <v>0.0</v>
      </c>
      <c r="AE13" s="76">
        <v>43872.0</v>
      </c>
      <c r="AF13" s="74">
        <v>0.0</v>
      </c>
      <c r="AG13" s="77" t="s">
        <v>40</v>
      </c>
    </row>
    <row r="14" ht="15.75" customHeight="1">
      <c r="A14" s="8"/>
      <c r="B14" s="57" t="s">
        <v>16</v>
      </c>
      <c r="C14" s="57" t="s">
        <v>40</v>
      </c>
      <c r="D14" s="57" t="s">
        <v>55</v>
      </c>
      <c r="E14" s="58">
        <v>-1060.0</v>
      </c>
      <c r="F14" s="58">
        <v>0.0</v>
      </c>
      <c r="G14" s="58">
        <v>0.0</v>
      </c>
      <c r="H14" s="57" t="s">
        <v>56</v>
      </c>
      <c r="I14" s="58">
        <v>0.0</v>
      </c>
      <c r="J14" s="58">
        <v>0.0</v>
      </c>
      <c r="K14" s="57" t="s">
        <v>28</v>
      </c>
      <c r="L14" s="57" t="s">
        <v>41</v>
      </c>
      <c r="M14" s="8"/>
      <c r="N14" s="57" t="s">
        <v>20</v>
      </c>
      <c r="O14" s="58">
        <v>2.0</v>
      </c>
      <c r="R14" s="58">
        <v>0.0</v>
      </c>
      <c r="S14" s="58">
        <v>0.0</v>
      </c>
      <c r="T14" s="58">
        <v>0.0</v>
      </c>
      <c r="U14" s="58">
        <v>0.0</v>
      </c>
      <c r="V14" s="58">
        <v>0.0</v>
      </c>
      <c r="W14" s="58">
        <v>0.0</v>
      </c>
      <c r="X14" s="71"/>
      <c r="Z14" s="58">
        <v>0.0</v>
      </c>
      <c r="AA14" s="58">
        <v>0.0</v>
      </c>
      <c r="AB14" s="57" t="s">
        <v>24</v>
      </c>
      <c r="AC14" s="58">
        <v>0.0</v>
      </c>
      <c r="AD14" s="58">
        <v>0.0</v>
      </c>
      <c r="AE14" s="56">
        <v>43872.0</v>
      </c>
      <c r="AF14" s="58">
        <v>0.0</v>
      </c>
      <c r="AG14" s="72" t="s">
        <v>40</v>
      </c>
    </row>
    <row r="15" ht="15.75" customHeight="1">
      <c r="A15" s="8"/>
      <c r="B15" s="73" t="s">
        <v>16</v>
      </c>
      <c r="C15" s="73" t="s">
        <v>40</v>
      </c>
      <c r="D15" s="73" t="s">
        <v>55</v>
      </c>
      <c r="E15" s="74">
        <v>-6606.0</v>
      </c>
      <c r="F15" s="74">
        <v>0.0</v>
      </c>
      <c r="G15" s="74">
        <v>0.0</v>
      </c>
      <c r="H15" s="73" t="s">
        <v>56</v>
      </c>
      <c r="I15" s="74">
        <v>0.0</v>
      </c>
      <c r="J15" s="74">
        <v>0.0</v>
      </c>
      <c r="K15" s="73" t="s">
        <v>18</v>
      </c>
      <c r="L15" s="73" t="s">
        <v>41</v>
      </c>
      <c r="M15" s="8"/>
      <c r="N15" s="73" t="s">
        <v>20</v>
      </c>
      <c r="O15" s="74">
        <v>1.0</v>
      </c>
      <c r="R15" s="74">
        <v>0.0</v>
      </c>
      <c r="S15" s="74">
        <v>0.0</v>
      </c>
      <c r="T15" s="74">
        <v>0.0</v>
      </c>
      <c r="U15" s="74">
        <v>0.0</v>
      </c>
      <c r="V15" s="74">
        <v>0.0</v>
      </c>
      <c r="W15" s="74">
        <v>0.0</v>
      </c>
      <c r="X15" s="75"/>
      <c r="Z15" s="74">
        <v>0.0</v>
      </c>
      <c r="AA15" s="74">
        <v>0.0</v>
      </c>
      <c r="AB15" s="73" t="s">
        <v>28</v>
      </c>
      <c r="AC15" s="74">
        <v>0.0</v>
      </c>
      <c r="AD15" s="74">
        <v>0.0</v>
      </c>
      <c r="AE15" s="76">
        <v>43872.0</v>
      </c>
      <c r="AF15" s="74">
        <v>0.0</v>
      </c>
      <c r="AG15" s="77" t="s">
        <v>40</v>
      </c>
    </row>
    <row r="16" ht="15.75" customHeight="1">
      <c r="A16" s="8"/>
      <c r="B16" s="57" t="s">
        <v>16</v>
      </c>
      <c r="C16" s="57" t="s">
        <v>40</v>
      </c>
      <c r="D16" s="57" t="s">
        <v>55</v>
      </c>
      <c r="E16" s="58">
        <v>535.0</v>
      </c>
      <c r="F16" s="58">
        <v>0.0</v>
      </c>
      <c r="G16" s="58">
        <v>0.0</v>
      </c>
      <c r="H16" s="57" t="s">
        <v>56</v>
      </c>
      <c r="I16" s="58">
        <v>0.0</v>
      </c>
      <c r="J16" s="58">
        <v>0.0</v>
      </c>
      <c r="K16" s="57" t="s">
        <v>28</v>
      </c>
      <c r="L16" s="57" t="s">
        <v>44</v>
      </c>
      <c r="M16" s="8"/>
      <c r="N16" s="57" t="s">
        <v>20</v>
      </c>
      <c r="O16" s="58">
        <v>1.5</v>
      </c>
      <c r="R16" s="58">
        <v>0.0</v>
      </c>
      <c r="S16" s="58">
        <v>0.0</v>
      </c>
      <c r="T16" s="58">
        <v>0.0</v>
      </c>
      <c r="U16" s="58">
        <v>0.0</v>
      </c>
      <c r="V16" s="58">
        <v>0.0</v>
      </c>
      <c r="W16" s="58">
        <v>0.0</v>
      </c>
      <c r="X16" s="71"/>
      <c r="Z16" s="58">
        <v>0.0</v>
      </c>
      <c r="AA16" s="58">
        <v>0.0</v>
      </c>
      <c r="AB16" s="57" t="s">
        <v>24</v>
      </c>
      <c r="AC16" s="58">
        <v>0.0</v>
      </c>
      <c r="AD16" s="58">
        <v>0.0</v>
      </c>
      <c r="AE16" s="56">
        <v>43872.0</v>
      </c>
      <c r="AF16" s="58">
        <v>0.0</v>
      </c>
      <c r="AG16" s="72" t="s">
        <v>40</v>
      </c>
    </row>
    <row r="17" ht="15.75" customHeight="1">
      <c r="A17" s="8"/>
      <c r="B17" s="73" t="s">
        <v>16</v>
      </c>
      <c r="C17" s="73" t="s">
        <v>40</v>
      </c>
      <c r="D17" s="73" t="s">
        <v>55</v>
      </c>
      <c r="E17" s="74">
        <v>2936.0</v>
      </c>
      <c r="F17" s="74">
        <v>0.0</v>
      </c>
      <c r="G17" s="74">
        <v>0.0</v>
      </c>
      <c r="H17" s="73" t="s">
        <v>56</v>
      </c>
      <c r="I17" s="74">
        <v>0.0</v>
      </c>
      <c r="J17" s="74">
        <v>0.0</v>
      </c>
      <c r="K17" s="73" t="s">
        <v>18</v>
      </c>
      <c r="L17" s="73" t="s">
        <v>44</v>
      </c>
      <c r="M17" s="8"/>
      <c r="N17" s="73" t="s">
        <v>20</v>
      </c>
      <c r="O17" s="74">
        <v>1.0</v>
      </c>
      <c r="R17" s="74">
        <v>0.0</v>
      </c>
      <c r="S17" s="74">
        <v>0.0</v>
      </c>
      <c r="T17" s="74">
        <v>0.0</v>
      </c>
      <c r="U17" s="74">
        <v>0.0</v>
      </c>
      <c r="V17" s="74">
        <v>0.0</v>
      </c>
      <c r="W17" s="74">
        <v>0.0</v>
      </c>
      <c r="X17" s="75"/>
      <c r="Z17" s="74">
        <v>0.0</v>
      </c>
      <c r="AA17" s="74">
        <v>0.0</v>
      </c>
      <c r="AB17" s="73" t="s">
        <v>28</v>
      </c>
      <c r="AC17" s="74">
        <v>0.0</v>
      </c>
      <c r="AD17" s="74">
        <v>0.0</v>
      </c>
      <c r="AE17" s="76">
        <v>43872.0</v>
      </c>
      <c r="AF17" s="74">
        <v>0.0</v>
      </c>
      <c r="AG17" s="77" t="s">
        <v>40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E18" s="52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E19" s="52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E20" s="52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E21" s="5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E22" s="52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AE23" s="52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AE24" s="52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AE25" s="52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AE26" s="52"/>
    </row>
    <row r="27" ht="15.75" customHeight="1">
      <c r="AE27" s="52"/>
    </row>
    <row r="28" ht="15.75" customHeight="1">
      <c r="AE28" s="52"/>
    </row>
    <row r="29" ht="15.75" customHeight="1">
      <c r="AE29" s="52"/>
    </row>
    <row r="30" ht="15.75" customHeight="1">
      <c r="AE30" s="52"/>
    </row>
    <row r="31" ht="15.75" customHeight="1">
      <c r="AE31" s="52"/>
    </row>
    <row r="32" ht="15.75" customHeight="1">
      <c r="AE32" s="52"/>
    </row>
    <row r="33" ht="15.75" customHeight="1">
      <c r="AE33" s="52"/>
    </row>
    <row r="34" ht="15.75" customHeight="1">
      <c r="AE34" s="52"/>
    </row>
    <row r="35" ht="15.75" customHeight="1">
      <c r="AE35" s="52"/>
    </row>
    <row r="36" ht="15.75" customHeight="1">
      <c r="AE36" s="52"/>
    </row>
    <row r="37" ht="15.75" customHeight="1">
      <c r="AE37" s="52"/>
    </row>
    <row r="38" ht="15.75" customHeight="1">
      <c r="AE38" s="52"/>
    </row>
    <row r="39" ht="15.75" customHeight="1">
      <c r="AE39" s="52"/>
    </row>
    <row r="40" ht="15.75" customHeight="1">
      <c r="AE40" s="52"/>
    </row>
    <row r="41" ht="15.75" customHeight="1">
      <c r="AE41" s="52"/>
    </row>
    <row r="42" ht="15.75" customHeight="1">
      <c r="AE42" s="52"/>
    </row>
    <row r="43" ht="15.75" customHeight="1">
      <c r="AE43" s="52"/>
    </row>
    <row r="44" ht="15.75" customHeight="1">
      <c r="AE44" s="52"/>
    </row>
    <row r="45" ht="15.75" customHeight="1">
      <c r="AE45" s="52"/>
    </row>
    <row r="46" ht="15.75" customHeight="1">
      <c r="AE46" s="52"/>
    </row>
    <row r="47" ht="15.75" customHeight="1">
      <c r="AE47" s="52"/>
    </row>
    <row r="48" ht="15.75" customHeight="1">
      <c r="AE48" s="52"/>
    </row>
    <row r="49" ht="15.75" customHeight="1">
      <c r="AE49" s="52"/>
    </row>
    <row r="50" ht="15.75" customHeight="1">
      <c r="AE50" s="52"/>
    </row>
    <row r="51" ht="15.75" customHeight="1">
      <c r="AE51" s="52"/>
    </row>
    <row r="52" ht="15.75" customHeight="1">
      <c r="AE52" s="52"/>
    </row>
    <row r="53" ht="15.75" customHeight="1">
      <c r="AE53" s="52"/>
    </row>
    <row r="54" ht="15.75" customHeight="1">
      <c r="AE54" s="52"/>
    </row>
    <row r="55" ht="15.75" customHeight="1">
      <c r="AE55" s="52"/>
    </row>
    <row r="56" ht="15.75" customHeight="1">
      <c r="AE56" s="52"/>
    </row>
    <row r="57" ht="15.75" customHeight="1">
      <c r="AE57" s="52"/>
    </row>
    <row r="58" ht="15.75" customHeight="1">
      <c r="AE58" s="52"/>
    </row>
    <row r="59" ht="15.75" customHeight="1">
      <c r="AE59" s="52"/>
    </row>
    <row r="60" ht="15.75" customHeight="1">
      <c r="AE60" s="52"/>
    </row>
    <row r="61" ht="15.75" customHeight="1">
      <c r="AE61" s="52"/>
    </row>
    <row r="62" ht="15.75" customHeight="1">
      <c r="AE62" s="52"/>
    </row>
    <row r="63" ht="15.75" customHeight="1">
      <c r="AE63" s="52"/>
    </row>
    <row r="64" ht="15.75" customHeight="1">
      <c r="AE64" s="52"/>
    </row>
    <row r="65" ht="15.75" customHeight="1">
      <c r="AE65" s="52"/>
    </row>
    <row r="66" ht="15.75" customHeight="1">
      <c r="AE66" s="52"/>
    </row>
    <row r="67" ht="15.75" customHeight="1">
      <c r="AE67" s="52"/>
    </row>
    <row r="68" ht="15.75" customHeight="1">
      <c r="AE68" s="52"/>
    </row>
    <row r="69" ht="15.75" customHeight="1">
      <c r="AE69" s="52"/>
    </row>
    <row r="70" ht="15.75" customHeight="1">
      <c r="AE70" s="52"/>
    </row>
    <row r="71" ht="15.75" customHeight="1">
      <c r="AE71" s="52"/>
    </row>
    <row r="72" ht="15.75" customHeight="1">
      <c r="AE72" s="52"/>
    </row>
    <row r="73" ht="15.75" customHeight="1">
      <c r="AE73" s="52"/>
    </row>
    <row r="74" ht="15.75" customHeight="1">
      <c r="AE74" s="52"/>
    </row>
    <row r="75" ht="15.75" customHeight="1">
      <c r="AE75" s="52"/>
    </row>
    <row r="76" ht="15.75" customHeight="1">
      <c r="AE76" s="52"/>
    </row>
    <row r="77" ht="15.75" customHeight="1">
      <c r="AE77" s="52"/>
    </row>
    <row r="78" ht="15.75" customHeight="1">
      <c r="AE78" s="52"/>
    </row>
    <row r="79" ht="15.75" customHeight="1">
      <c r="AE79" s="52"/>
    </row>
    <row r="80" ht="15.75" customHeight="1">
      <c r="AE80" s="52"/>
    </row>
    <row r="81" ht="15.75" customHeight="1">
      <c r="AE81" s="52"/>
    </row>
    <row r="82" ht="15.75" customHeight="1">
      <c r="AE82" s="52"/>
    </row>
    <row r="83" ht="15.75" customHeight="1">
      <c r="AE83" s="52"/>
    </row>
    <row r="84" ht="15.75" customHeight="1">
      <c r="AE84" s="52"/>
    </row>
    <row r="85" ht="15.75" customHeight="1">
      <c r="AE85" s="52"/>
    </row>
    <row r="86" ht="15.75" customHeight="1">
      <c r="AE86" s="52"/>
    </row>
    <row r="87" ht="15.75" customHeight="1">
      <c r="AE87" s="52"/>
    </row>
    <row r="88" ht="15.75" customHeight="1">
      <c r="AE88" s="52"/>
    </row>
    <row r="89" ht="15.75" customHeight="1">
      <c r="AE89" s="52"/>
    </row>
    <row r="90" ht="15.75" customHeight="1">
      <c r="AE90" s="52"/>
    </row>
    <row r="91" ht="15.75" customHeight="1">
      <c r="AE91" s="52"/>
    </row>
    <row r="92" ht="15.75" customHeight="1">
      <c r="AE92" s="52"/>
    </row>
    <row r="93" ht="15.75" customHeight="1">
      <c r="AE93" s="52"/>
    </row>
    <row r="94" ht="15.75" customHeight="1">
      <c r="AE94" s="52"/>
    </row>
    <row r="95" ht="15.75" customHeight="1">
      <c r="AE95" s="52"/>
    </row>
    <row r="96" ht="15.75" customHeight="1">
      <c r="AE96" s="52"/>
    </row>
    <row r="97" ht="15.75" customHeight="1">
      <c r="AE97" s="52"/>
    </row>
    <row r="98" ht="15.75" customHeight="1">
      <c r="AE98" s="52"/>
    </row>
    <row r="99" ht="15.75" customHeight="1">
      <c r="AE99" s="52"/>
    </row>
    <row r="100" ht="15.75" customHeight="1">
      <c r="AE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IFERROR(__xludf.DUMMYFUNCTION("""COMPUTED_VALUE"""),"Split")</f>
        <v>Split</v>
      </c>
      <c r="I4" s="24" t="str">
        <f>IFERROR(__xludf.DUMMYFUNCTION("""COMPUTED_VALUE"""),"StockDividend")</f>
        <v>StockDividend</v>
      </c>
      <c r="J4" s="24" t="str">
        <f>IFERROR(__xludf.DUMMYFUNCTION("""COMPUTED_VALUE"""),"OpenSpinOff")</f>
        <v>OpenSpinOff</v>
      </c>
      <c r="K4" s="24" t="str">
        <f>IFERROR(__xludf.DUMMYFUNCTION("""COMPUTED_VALUE"""),"SpinOff")</f>
        <v>SpinOff</v>
      </c>
      <c r="L4" s="24" t="str">
        <f>IFERROR(__xludf.DUMMYFUNCTION("""COMPUTED_VALUE"""),"VerifySpinOffGrid")</f>
        <v>VerifySpinOffGrid</v>
      </c>
      <c r="M4" s="24" t="str">
        <f>IFERROR(__xludf.DUMMYFUNCTION("""COMPUTED_VALUE"""),"SaveCorporateAction")</f>
        <v>SaveCorporateAction</v>
      </c>
      <c r="N4" s="24" t="str">
        <f>IFERROR(__xludf.DUMMYFUNCTION("""COMPUTED_VALUE"""),"VerifyAndSaveCorpAction")</f>
        <v>VerifyAndSaveCorpAction</v>
      </c>
      <c r="O4" s="24" t="str">
        <f>IFERROR(__xludf.DUMMYFUNCTION("""COMPUTED_VALUE"""),"VerifyAndApplyCorpAction")</f>
        <v>VerifyAndApplyCorpAction</v>
      </c>
      <c r="P4" s="25" t="str">
        <f>IFERROR(__xludf.DUMMYFUNCTION("""COMPUTED_VALUE"""),"CorporateAction")</f>
        <v>CorporateAction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65</v>
      </c>
      <c r="C6" s="32" t="s">
        <v>16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IFERROR(__xludf.DUMMYFUNCTION("""COMPUTED_VALUE"""),"Split")</f>
        <v>Split</v>
      </c>
      <c r="I4" s="24" t="str">
        <f>IFERROR(__xludf.DUMMYFUNCTION("""COMPUTED_VALUE"""),"StockDividend")</f>
        <v>StockDividend</v>
      </c>
      <c r="J4" s="24" t="str">
        <f>IFERROR(__xludf.DUMMYFUNCTION("""COMPUTED_VALUE"""),"OpenSpinOff")</f>
        <v>OpenSpinOff</v>
      </c>
      <c r="K4" s="24" t="str">
        <f>IFERROR(__xludf.DUMMYFUNCTION("""COMPUTED_VALUE"""),"SpinOff")</f>
        <v>SpinOff</v>
      </c>
      <c r="L4" s="24" t="str">
        <f>IFERROR(__xludf.DUMMYFUNCTION("""COMPUTED_VALUE"""),"VerifySpinOffGrid")</f>
        <v>VerifySpinOffGrid</v>
      </c>
      <c r="M4" s="24" t="str">
        <f>IFERROR(__xludf.DUMMYFUNCTION("""COMPUTED_VALUE"""),"SaveCorporateAction")</f>
        <v>SaveCorporateAction</v>
      </c>
      <c r="N4" s="24" t="str">
        <f>IFERROR(__xludf.DUMMYFUNCTION("""COMPUTED_VALUE"""),"VerifyAndSaveCorpAction")</f>
        <v>VerifyAndSaveCorpAction</v>
      </c>
      <c r="O4" s="24" t="str">
        <f>IFERROR(__xludf.DUMMYFUNCTION("""COMPUTED_VALUE"""),"VerifyAndApplyCorpAction")</f>
        <v>VerifyAndApplyCorpAction</v>
      </c>
      <c r="P4" s="25" t="str">
        <f>IFERROR(__xludf.DUMMYFUNCTION("""COMPUTED_VALUE"""),"CorporateAction")</f>
        <v>CorporateAction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43873.0</v>
      </c>
      <c r="C6" s="32"/>
      <c r="D6" s="31"/>
      <c r="E6" s="32" t="s">
        <v>24</v>
      </c>
      <c r="F6" s="32"/>
      <c r="G6" s="32" t="s">
        <v>66</v>
      </c>
      <c r="H6" s="35">
        <v>1.0</v>
      </c>
      <c r="I6" s="35">
        <v>0.33</v>
      </c>
      <c r="J6" s="35">
        <v>0.625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IFERROR(__xludf.DUMMYFUNCTION("""COMPUTED_VALUE"""),"Split")</f>
        <v>Split</v>
      </c>
      <c r="I4" s="24" t="str">
        <f>IFERROR(__xludf.DUMMYFUNCTION("""COMPUTED_VALUE"""),"StockDividend")</f>
        <v>StockDividend</v>
      </c>
      <c r="J4" s="24" t="str">
        <f>IFERROR(__xludf.DUMMYFUNCTION("""COMPUTED_VALUE"""),"OpenSpinOff")</f>
        <v>OpenSpinOff</v>
      </c>
      <c r="K4" s="24" t="str">
        <f>IFERROR(__xludf.DUMMYFUNCTION("""COMPUTED_VALUE"""),"SpinOff")</f>
        <v>SpinOff</v>
      </c>
      <c r="L4" s="24" t="str">
        <f>IFERROR(__xludf.DUMMYFUNCTION("""COMPUTED_VALUE"""),"VerifySpinOffGrid")</f>
        <v>VerifySpinOffGrid</v>
      </c>
      <c r="M4" s="24" t="str">
        <f>IFERROR(__xludf.DUMMYFUNCTION("""COMPUTED_VALUE"""),"SaveCorporateAction")</f>
        <v>SaveCorporateAction</v>
      </c>
      <c r="N4" s="24" t="str">
        <f>IFERROR(__xludf.DUMMYFUNCTION("""COMPUTED_VALUE"""),"VerifyAndSaveCorpAction")</f>
        <v>VerifyAndSaveCorpAction</v>
      </c>
      <c r="O4" s="24" t="str">
        <f>IFERROR(__xludf.DUMMYFUNCTION("""COMPUTED_VALUE"""),"VerifyAndApplyCorpAction")</f>
        <v>VerifyAndApplyCorpAction</v>
      </c>
      <c r="P4" s="25" t="str">
        <f>IFERROR(__xludf.DUMMYFUNCTION("""COMPUTED_VALUE"""),"CorporateAction")</f>
        <v>CorporateAction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9" t="s">
        <v>24</v>
      </c>
      <c r="C6" s="79" t="s">
        <v>28</v>
      </c>
      <c r="D6" s="79" t="s">
        <v>25</v>
      </c>
      <c r="E6" s="79" t="s">
        <v>16</v>
      </c>
      <c r="F6" s="80">
        <v>70.0</v>
      </c>
      <c r="G6" s="80">
        <v>105.0</v>
      </c>
      <c r="H6" s="80">
        <v>10.0</v>
      </c>
      <c r="I6" s="81"/>
      <c r="J6" s="82"/>
      <c r="K6" s="82"/>
      <c r="L6" s="82"/>
      <c r="M6" s="79"/>
      <c r="N6" s="80">
        <v>1.1</v>
      </c>
      <c r="O6" s="79" t="s">
        <v>20</v>
      </c>
      <c r="P6" s="80">
        <v>0.0</v>
      </c>
      <c r="Q6" s="80">
        <v>7340.0</v>
      </c>
      <c r="R6" s="80">
        <v>8074.0</v>
      </c>
      <c r="S6" s="79" t="s">
        <v>25</v>
      </c>
    </row>
    <row r="7" ht="15.75" customHeight="1">
      <c r="A7" s="8"/>
      <c r="B7" s="79" t="s">
        <v>24</v>
      </c>
      <c r="C7" s="79" t="s">
        <v>28</v>
      </c>
      <c r="D7" s="79" t="s">
        <v>68</v>
      </c>
      <c r="E7" s="79" t="s">
        <v>16</v>
      </c>
      <c r="F7" s="80">
        <v>69.9047619</v>
      </c>
      <c r="G7" s="80">
        <v>105.0</v>
      </c>
      <c r="H7" s="80">
        <v>0.0</v>
      </c>
      <c r="I7" s="81"/>
      <c r="J7" s="81"/>
      <c r="K7" s="82"/>
      <c r="L7" s="82"/>
      <c r="M7" s="83"/>
      <c r="N7" s="80">
        <v>1.1</v>
      </c>
      <c r="O7" s="79" t="s">
        <v>20</v>
      </c>
      <c r="P7" s="80">
        <v>0.0</v>
      </c>
      <c r="Q7" s="80">
        <v>7340.0</v>
      </c>
      <c r="R7" s="80">
        <v>8074.0</v>
      </c>
      <c r="S7" s="79" t="s">
        <v>69</v>
      </c>
    </row>
    <row r="8" ht="15.75" customHeight="1">
      <c r="A8" s="8"/>
      <c r="B8" s="79" t="s">
        <v>24</v>
      </c>
      <c r="C8" s="79" t="s">
        <v>28</v>
      </c>
      <c r="D8" s="79" t="s">
        <v>25</v>
      </c>
      <c r="E8" s="79" t="s">
        <v>16</v>
      </c>
      <c r="F8" s="80">
        <v>43.69047619</v>
      </c>
      <c r="G8" s="80">
        <v>105.0</v>
      </c>
      <c r="H8" s="80">
        <v>0.0</v>
      </c>
      <c r="I8" s="81"/>
      <c r="J8" s="82"/>
      <c r="K8" s="82"/>
      <c r="L8" s="82"/>
      <c r="M8" s="83"/>
      <c r="N8" s="80">
        <v>1.1</v>
      </c>
      <c r="O8" s="79" t="s">
        <v>20</v>
      </c>
      <c r="P8" s="80">
        <v>70.0</v>
      </c>
      <c r="Q8" s="80">
        <v>4587.5</v>
      </c>
      <c r="R8" s="80">
        <v>5046.25</v>
      </c>
      <c r="S8" s="79" t="s">
        <v>70</v>
      </c>
    </row>
    <row r="9" ht="15.75" customHeight="1">
      <c r="A9" s="8"/>
      <c r="B9" s="79" t="s">
        <v>66</v>
      </c>
      <c r="C9" s="79" t="s">
        <v>28</v>
      </c>
      <c r="D9" s="79" t="s">
        <v>25</v>
      </c>
      <c r="E9" s="79" t="s">
        <v>16</v>
      </c>
      <c r="F9" s="80">
        <v>79.43722944</v>
      </c>
      <c r="G9" s="80">
        <v>34.65</v>
      </c>
      <c r="H9" s="80">
        <v>0.0</v>
      </c>
      <c r="I9" s="81"/>
      <c r="J9" s="82"/>
      <c r="K9" s="82"/>
      <c r="L9" s="82"/>
      <c r="M9" s="83"/>
      <c r="N9" s="80">
        <v>1.1</v>
      </c>
      <c r="O9" s="79" t="s">
        <v>20</v>
      </c>
      <c r="P9" s="80">
        <v>79.43722944</v>
      </c>
      <c r="Q9" s="80">
        <v>2752.5</v>
      </c>
      <c r="R9" s="80">
        <v>3027.75</v>
      </c>
      <c r="S9" s="79" t="s">
        <v>70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>
        <v>43873.0</v>
      </c>
      <c r="C6" s="50">
        <v>43873.0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18</v>
      </c>
      <c r="D6" s="11"/>
      <c r="E6" s="11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>
        <v>43873.0</v>
      </c>
      <c r="C6" s="50">
        <v>43873.0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4" t="s">
        <v>24</v>
      </c>
      <c r="C6" s="11">
        <v>85.0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5" t="s">
        <v>66</v>
      </c>
      <c r="C7" s="11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50">
        <v>43873.0</v>
      </c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4" t="s">
        <v>16</v>
      </c>
      <c r="D6" s="50">
        <v>43871.0</v>
      </c>
      <c r="E6" s="50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5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6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8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5">
        <v>43871.0</v>
      </c>
      <c r="C6" s="57" t="s">
        <v>16</v>
      </c>
      <c r="D6" s="57" t="s">
        <v>24</v>
      </c>
      <c r="E6" s="57" t="s">
        <v>28</v>
      </c>
      <c r="F6" s="57" t="s">
        <v>45</v>
      </c>
      <c r="G6" s="58">
        <v>7340.0</v>
      </c>
      <c r="H6" s="59">
        <v>0.0</v>
      </c>
      <c r="I6" s="60"/>
      <c r="J6" s="60"/>
      <c r="K6" s="57"/>
      <c r="L6" s="58">
        <v>1.1</v>
      </c>
      <c r="M6" s="57" t="s">
        <v>20</v>
      </c>
      <c r="N6" s="57" t="s">
        <v>39</v>
      </c>
      <c r="O6" s="57" t="s">
        <v>40</v>
      </c>
      <c r="P6" s="57" t="s">
        <v>18</v>
      </c>
      <c r="Q6" s="57" t="s">
        <v>46</v>
      </c>
      <c r="R6" s="58">
        <v>8074.0</v>
      </c>
      <c r="S6" s="58">
        <v>0.0</v>
      </c>
    </row>
    <row r="7" ht="15.75" customHeight="1">
      <c r="A7" s="8"/>
      <c r="B7" s="65">
        <v>43871.0</v>
      </c>
      <c r="C7" s="57" t="s">
        <v>16</v>
      </c>
      <c r="D7" s="57" t="s">
        <v>24</v>
      </c>
      <c r="E7" s="57" t="s">
        <v>28</v>
      </c>
      <c r="F7" s="61" t="s">
        <v>19</v>
      </c>
      <c r="G7" s="62">
        <v>0.0</v>
      </c>
      <c r="H7" s="63">
        <v>7340.0</v>
      </c>
      <c r="I7" s="64"/>
      <c r="J7" s="64"/>
      <c r="K7" s="61"/>
      <c r="L7" s="63">
        <v>1.1</v>
      </c>
      <c r="M7" s="61" t="s">
        <v>20</v>
      </c>
      <c r="N7" s="61" t="s">
        <v>43</v>
      </c>
      <c r="O7" s="61" t="s">
        <v>40</v>
      </c>
      <c r="P7" s="61" t="s">
        <v>18</v>
      </c>
      <c r="Q7" s="57" t="s">
        <v>46</v>
      </c>
      <c r="R7" s="63">
        <v>0.0</v>
      </c>
      <c r="S7" s="63">
        <v>8074.0</v>
      </c>
    </row>
    <row r="8" ht="15.75" customHeight="1">
      <c r="A8" s="8"/>
      <c r="B8" s="65">
        <v>43871.0</v>
      </c>
      <c r="C8" s="57" t="s">
        <v>16</v>
      </c>
      <c r="D8" s="57" t="s">
        <v>24</v>
      </c>
      <c r="E8" s="57" t="s">
        <v>28</v>
      </c>
      <c r="F8" s="57" t="s">
        <v>19</v>
      </c>
      <c r="G8" s="58">
        <v>7340.0</v>
      </c>
      <c r="H8" s="59">
        <v>0.0</v>
      </c>
      <c r="I8" s="60"/>
      <c r="J8" s="60"/>
      <c r="K8" s="57"/>
      <c r="L8" s="58">
        <v>1.5</v>
      </c>
      <c r="M8" s="57" t="s">
        <v>20</v>
      </c>
      <c r="N8" s="57" t="s">
        <v>39</v>
      </c>
      <c r="O8" s="57" t="s">
        <v>40</v>
      </c>
      <c r="P8" s="57" t="s">
        <v>18</v>
      </c>
      <c r="Q8" s="57" t="s">
        <v>47</v>
      </c>
      <c r="R8" s="58">
        <v>11010.0</v>
      </c>
      <c r="S8" s="58">
        <v>0.0</v>
      </c>
    </row>
    <row r="9" ht="15.75" customHeight="1">
      <c r="A9" s="8"/>
      <c r="B9" s="65">
        <v>43871.0</v>
      </c>
      <c r="C9" s="57" t="s">
        <v>16</v>
      </c>
      <c r="D9" s="57" t="s">
        <v>24</v>
      </c>
      <c r="E9" s="57" t="s">
        <v>28</v>
      </c>
      <c r="F9" s="61" t="s">
        <v>45</v>
      </c>
      <c r="G9" s="62">
        <v>0.0</v>
      </c>
      <c r="H9" s="63">
        <v>7340.0</v>
      </c>
      <c r="I9" s="64"/>
      <c r="J9" s="64"/>
      <c r="K9" s="61"/>
      <c r="L9" s="63">
        <v>1.5</v>
      </c>
      <c r="M9" s="61" t="s">
        <v>20</v>
      </c>
      <c r="N9" s="61" t="s">
        <v>43</v>
      </c>
      <c r="O9" s="61" t="s">
        <v>40</v>
      </c>
      <c r="P9" s="61" t="s">
        <v>18</v>
      </c>
      <c r="Q9" s="57" t="s">
        <v>47</v>
      </c>
      <c r="R9" s="63">
        <v>0.0</v>
      </c>
      <c r="S9" s="63">
        <v>11010.0</v>
      </c>
    </row>
    <row r="10" ht="15.75" customHeight="1">
      <c r="A10" s="8"/>
      <c r="B10" s="56">
        <v>43872.0</v>
      </c>
      <c r="C10" s="57" t="s">
        <v>16</v>
      </c>
      <c r="D10" s="57" t="s">
        <v>24</v>
      </c>
      <c r="E10" s="57" t="s">
        <v>28</v>
      </c>
      <c r="F10" s="57" t="s">
        <v>38</v>
      </c>
      <c r="G10" s="58">
        <v>1060.0</v>
      </c>
      <c r="H10" s="59">
        <v>0.0</v>
      </c>
      <c r="I10" s="60"/>
      <c r="J10" s="60"/>
      <c r="K10" s="57"/>
      <c r="L10" s="58">
        <v>2.0</v>
      </c>
      <c r="M10" s="57" t="s">
        <v>20</v>
      </c>
      <c r="N10" s="57" t="s">
        <v>39</v>
      </c>
      <c r="O10" s="57" t="s">
        <v>40</v>
      </c>
      <c r="P10" s="57" t="s">
        <v>18</v>
      </c>
      <c r="Q10" s="57" t="s">
        <v>41</v>
      </c>
      <c r="R10" s="58">
        <v>2120.0</v>
      </c>
      <c r="S10" s="58">
        <v>0.0</v>
      </c>
    </row>
    <row r="11" ht="15.75" customHeight="1">
      <c r="A11" s="8"/>
      <c r="B11" s="56">
        <v>43872.0</v>
      </c>
      <c r="C11" s="57" t="s">
        <v>16</v>
      </c>
      <c r="D11" s="57" t="s">
        <v>24</v>
      </c>
      <c r="E11" s="57" t="s">
        <v>28</v>
      </c>
      <c r="F11" s="61" t="s">
        <v>42</v>
      </c>
      <c r="G11" s="62">
        <v>0.0</v>
      </c>
      <c r="H11" s="63">
        <v>1060.0</v>
      </c>
      <c r="I11" s="64"/>
      <c r="J11" s="64"/>
      <c r="K11" s="61"/>
      <c r="L11" s="63">
        <v>2.0</v>
      </c>
      <c r="M11" s="61" t="s">
        <v>20</v>
      </c>
      <c r="N11" s="61" t="s">
        <v>43</v>
      </c>
      <c r="O11" s="61" t="s">
        <v>40</v>
      </c>
      <c r="P11" s="61" t="s">
        <v>18</v>
      </c>
      <c r="Q11" s="57" t="s">
        <v>41</v>
      </c>
      <c r="R11" s="63">
        <v>0.0</v>
      </c>
      <c r="S11" s="63">
        <v>2120.0</v>
      </c>
    </row>
    <row r="12" ht="15.75" customHeight="1">
      <c r="A12" s="8"/>
      <c r="B12" s="56">
        <v>43872.0</v>
      </c>
      <c r="C12" s="57" t="s">
        <v>16</v>
      </c>
      <c r="D12" s="57" t="s">
        <v>28</v>
      </c>
      <c r="E12" s="57" t="s">
        <v>18</v>
      </c>
      <c r="F12" s="57" t="s">
        <v>38</v>
      </c>
      <c r="G12" s="58">
        <v>6606.0</v>
      </c>
      <c r="H12" s="59">
        <v>0.0</v>
      </c>
      <c r="I12" s="60"/>
      <c r="J12" s="60"/>
      <c r="K12" s="57"/>
      <c r="L12" s="58">
        <v>1.0</v>
      </c>
      <c r="M12" s="57" t="s">
        <v>20</v>
      </c>
      <c r="N12" s="57" t="s">
        <v>39</v>
      </c>
      <c r="O12" s="57" t="s">
        <v>40</v>
      </c>
      <c r="P12" s="57" t="s">
        <v>18</v>
      </c>
      <c r="Q12" s="57" t="s">
        <v>41</v>
      </c>
      <c r="R12" s="58">
        <v>6606.0</v>
      </c>
      <c r="S12" s="58">
        <v>0.0</v>
      </c>
    </row>
    <row r="13" ht="15.75" customHeight="1">
      <c r="A13" s="8"/>
      <c r="B13" s="56">
        <v>43872.0</v>
      </c>
      <c r="C13" s="57" t="s">
        <v>16</v>
      </c>
      <c r="D13" s="57" t="s">
        <v>28</v>
      </c>
      <c r="E13" s="57" t="s">
        <v>18</v>
      </c>
      <c r="F13" s="61" t="s">
        <v>42</v>
      </c>
      <c r="G13" s="62">
        <v>0.0</v>
      </c>
      <c r="H13" s="63">
        <v>6606.0</v>
      </c>
      <c r="I13" s="64"/>
      <c r="J13" s="64"/>
      <c r="K13" s="61"/>
      <c r="L13" s="63">
        <v>1.0</v>
      </c>
      <c r="M13" s="61" t="s">
        <v>20</v>
      </c>
      <c r="N13" s="61" t="s">
        <v>43</v>
      </c>
      <c r="O13" s="61" t="s">
        <v>40</v>
      </c>
      <c r="P13" s="61" t="s">
        <v>18</v>
      </c>
      <c r="Q13" s="57" t="s">
        <v>41</v>
      </c>
      <c r="R13" s="63">
        <v>0.0</v>
      </c>
      <c r="S13" s="63">
        <v>6606.0</v>
      </c>
    </row>
    <row r="14" ht="15.75" customHeight="1">
      <c r="A14" s="8"/>
      <c r="B14" s="56">
        <v>43872.0</v>
      </c>
      <c r="C14" s="57" t="s">
        <v>16</v>
      </c>
      <c r="D14" s="57" t="s">
        <v>24</v>
      </c>
      <c r="E14" s="57" t="s">
        <v>28</v>
      </c>
      <c r="F14" s="57" t="s">
        <v>42</v>
      </c>
      <c r="G14" s="58">
        <v>535.0</v>
      </c>
      <c r="H14" s="59">
        <v>0.0</v>
      </c>
      <c r="I14" s="60"/>
      <c r="J14" s="60"/>
      <c r="K14" s="57"/>
      <c r="L14" s="58">
        <v>1.5</v>
      </c>
      <c r="M14" s="57" t="s">
        <v>20</v>
      </c>
      <c r="N14" s="57" t="s">
        <v>39</v>
      </c>
      <c r="O14" s="57" t="s">
        <v>40</v>
      </c>
      <c r="P14" s="57" t="s">
        <v>18</v>
      </c>
      <c r="Q14" s="57" t="s">
        <v>44</v>
      </c>
      <c r="R14" s="58">
        <v>802.5</v>
      </c>
      <c r="S14" s="58">
        <v>0.0</v>
      </c>
    </row>
    <row r="15" ht="15.75" customHeight="1">
      <c r="A15" s="8"/>
      <c r="B15" s="56">
        <v>43872.0</v>
      </c>
      <c r="C15" s="57" t="s">
        <v>16</v>
      </c>
      <c r="D15" s="57" t="s">
        <v>24</v>
      </c>
      <c r="E15" s="57" t="s">
        <v>28</v>
      </c>
      <c r="F15" s="61" t="s">
        <v>38</v>
      </c>
      <c r="G15" s="62">
        <v>0.0</v>
      </c>
      <c r="H15" s="63">
        <v>535.0</v>
      </c>
      <c r="I15" s="64"/>
      <c r="J15" s="64"/>
      <c r="K15" s="61"/>
      <c r="L15" s="63">
        <v>1.5</v>
      </c>
      <c r="M15" s="61" t="s">
        <v>20</v>
      </c>
      <c r="N15" s="61" t="s">
        <v>43</v>
      </c>
      <c r="O15" s="61" t="s">
        <v>40</v>
      </c>
      <c r="P15" s="61" t="s">
        <v>18</v>
      </c>
      <c r="Q15" s="57" t="s">
        <v>44</v>
      </c>
      <c r="R15" s="63">
        <v>0.0</v>
      </c>
      <c r="S15" s="63">
        <v>802.5</v>
      </c>
    </row>
    <row r="16" ht="15.75" customHeight="1">
      <c r="A16" s="8"/>
      <c r="B16" s="56">
        <v>43872.0</v>
      </c>
      <c r="C16" s="57" t="s">
        <v>16</v>
      </c>
      <c r="D16" s="57" t="s">
        <v>28</v>
      </c>
      <c r="E16" s="57" t="s">
        <v>18</v>
      </c>
      <c r="F16" s="57" t="s">
        <v>42</v>
      </c>
      <c r="G16" s="58">
        <v>2936.0</v>
      </c>
      <c r="H16" s="59">
        <v>0.0</v>
      </c>
      <c r="I16" s="60"/>
      <c r="J16" s="60"/>
      <c r="K16" s="57"/>
      <c r="L16" s="58">
        <v>1.0</v>
      </c>
      <c r="M16" s="57" t="s">
        <v>20</v>
      </c>
      <c r="N16" s="57" t="s">
        <v>39</v>
      </c>
      <c r="O16" s="57" t="s">
        <v>40</v>
      </c>
      <c r="P16" s="57" t="s">
        <v>18</v>
      </c>
      <c r="Q16" s="57" t="s">
        <v>44</v>
      </c>
      <c r="R16" s="58">
        <v>2936.0</v>
      </c>
      <c r="S16" s="58">
        <v>0.0</v>
      </c>
    </row>
    <row r="17" ht="15.75" customHeight="1">
      <c r="A17" s="8"/>
      <c r="B17" s="56">
        <v>43872.0</v>
      </c>
      <c r="C17" s="57" t="s">
        <v>16</v>
      </c>
      <c r="D17" s="57" t="s">
        <v>28</v>
      </c>
      <c r="E17" s="57" t="s">
        <v>18</v>
      </c>
      <c r="F17" s="61" t="s">
        <v>38</v>
      </c>
      <c r="G17" s="62">
        <v>0.0</v>
      </c>
      <c r="H17" s="63">
        <v>2936.0</v>
      </c>
      <c r="I17" s="64"/>
      <c r="J17" s="64"/>
      <c r="K17" s="61"/>
      <c r="L17" s="63">
        <v>1.0</v>
      </c>
      <c r="M17" s="61" t="s">
        <v>20</v>
      </c>
      <c r="N17" s="61" t="s">
        <v>43</v>
      </c>
      <c r="O17" s="61" t="s">
        <v>40</v>
      </c>
      <c r="P17" s="61" t="s">
        <v>18</v>
      </c>
      <c r="Q17" s="57" t="s">
        <v>44</v>
      </c>
      <c r="R17" s="63">
        <v>0.0</v>
      </c>
      <c r="S17" s="63">
        <v>2936.0</v>
      </c>
    </row>
    <row r="18" ht="15.75" customHeight="1">
      <c r="A18" s="8"/>
      <c r="B18" s="56">
        <v>43873.0</v>
      </c>
      <c r="C18" s="57" t="s">
        <v>16</v>
      </c>
      <c r="D18" s="57" t="s">
        <v>24</v>
      </c>
      <c r="E18" s="57" t="s">
        <v>28</v>
      </c>
      <c r="F18" s="57" t="s">
        <v>38</v>
      </c>
      <c r="G18" s="58">
        <v>4337.5</v>
      </c>
      <c r="H18" s="59">
        <v>0.0</v>
      </c>
      <c r="I18" s="60"/>
      <c r="J18" s="60"/>
      <c r="K18" s="57"/>
      <c r="L18" s="58">
        <v>2.5</v>
      </c>
      <c r="M18" s="57" t="s">
        <v>20</v>
      </c>
      <c r="N18" s="57" t="s">
        <v>39</v>
      </c>
      <c r="O18" s="57" t="s">
        <v>40</v>
      </c>
      <c r="P18" s="57" t="s">
        <v>18</v>
      </c>
      <c r="Q18" s="57" t="s">
        <v>41</v>
      </c>
      <c r="R18" s="58">
        <v>10843.75</v>
      </c>
      <c r="S18" s="58">
        <v>0.0</v>
      </c>
    </row>
    <row r="19" ht="15.75" customHeight="1">
      <c r="A19" s="8"/>
      <c r="B19" s="56">
        <v>43873.0</v>
      </c>
      <c r="C19" s="57" t="s">
        <v>16</v>
      </c>
      <c r="D19" s="57" t="s">
        <v>24</v>
      </c>
      <c r="E19" s="57" t="s">
        <v>28</v>
      </c>
      <c r="F19" s="61" t="s">
        <v>42</v>
      </c>
      <c r="G19" s="62">
        <v>0.0</v>
      </c>
      <c r="H19" s="63">
        <v>4337.5</v>
      </c>
      <c r="I19" s="64"/>
      <c r="J19" s="64"/>
      <c r="K19" s="61"/>
      <c r="L19" s="63">
        <v>2.5</v>
      </c>
      <c r="M19" s="61" t="s">
        <v>20</v>
      </c>
      <c r="N19" s="61" t="s">
        <v>43</v>
      </c>
      <c r="O19" s="61" t="s">
        <v>40</v>
      </c>
      <c r="P19" s="61" t="s">
        <v>18</v>
      </c>
      <c r="Q19" s="57" t="s">
        <v>41</v>
      </c>
      <c r="R19" s="63">
        <v>0.0</v>
      </c>
      <c r="S19" s="63">
        <v>10843.75</v>
      </c>
    </row>
    <row r="20" ht="15.75" customHeight="1">
      <c r="A20" s="8"/>
      <c r="B20" s="56">
        <v>43873.0</v>
      </c>
      <c r="C20" s="57" t="s">
        <v>16</v>
      </c>
      <c r="D20" s="57" t="s">
        <v>28</v>
      </c>
      <c r="E20" s="57" t="s">
        <v>18</v>
      </c>
      <c r="F20" s="57" t="s">
        <v>38</v>
      </c>
      <c r="G20" s="58">
        <v>10276.0</v>
      </c>
      <c r="H20" s="59">
        <v>0.0</v>
      </c>
      <c r="I20" s="60"/>
      <c r="J20" s="60"/>
      <c r="K20" s="57"/>
      <c r="L20" s="58">
        <v>1.0</v>
      </c>
      <c r="M20" s="57" t="s">
        <v>20</v>
      </c>
      <c r="N20" s="57" t="s">
        <v>39</v>
      </c>
      <c r="O20" s="57" t="s">
        <v>40</v>
      </c>
      <c r="P20" s="57" t="s">
        <v>18</v>
      </c>
      <c r="Q20" s="57" t="s">
        <v>41</v>
      </c>
      <c r="R20" s="58">
        <v>10276.0</v>
      </c>
      <c r="S20" s="58">
        <v>0.0</v>
      </c>
    </row>
    <row r="21" ht="15.75" customHeight="1">
      <c r="A21" s="8"/>
      <c r="B21" s="56">
        <v>43873.0</v>
      </c>
      <c r="C21" s="57" t="s">
        <v>16</v>
      </c>
      <c r="D21" s="57" t="s">
        <v>28</v>
      </c>
      <c r="E21" s="57" t="s">
        <v>18</v>
      </c>
      <c r="F21" s="61" t="s">
        <v>42</v>
      </c>
      <c r="G21" s="62">
        <v>0.0</v>
      </c>
      <c r="H21" s="63">
        <v>10276.0</v>
      </c>
      <c r="I21" s="64"/>
      <c r="J21" s="64"/>
      <c r="K21" s="61"/>
      <c r="L21" s="63">
        <v>1.0</v>
      </c>
      <c r="M21" s="61" t="s">
        <v>20</v>
      </c>
      <c r="N21" s="61" t="s">
        <v>43</v>
      </c>
      <c r="O21" s="61" t="s">
        <v>40</v>
      </c>
      <c r="P21" s="61" t="s">
        <v>18</v>
      </c>
      <c r="Q21" s="57" t="s">
        <v>41</v>
      </c>
      <c r="R21" s="63">
        <v>0.0</v>
      </c>
      <c r="S21" s="63">
        <v>10276.0</v>
      </c>
    </row>
    <row r="22" ht="15.75" customHeight="1">
      <c r="A22" s="8"/>
      <c r="B22" s="56">
        <v>43873.0</v>
      </c>
      <c r="C22" s="57" t="s">
        <v>16</v>
      </c>
      <c r="D22" s="57" t="s">
        <v>66</v>
      </c>
      <c r="E22" s="57" t="s">
        <v>28</v>
      </c>
      <c r="F22" s="57" t="s">
        <v>38</v>
      </c>
      <c r="G22" s="58">
        <v>712.5</v>
      </c>
      <c r="H22" s="59">
        <v>0.0</v>
      </c>
      <c r="I22" s="60"/>
      <c r="J22" s="60"/>
      <c r="K22" s="57"/>
      <c r="L22" s="58">
        <v>2.5</v>
      </c>
      <c r="M22" s="57" t="s">
        <v>20</v>
      </c>
      <c r="N22" s="57" t="s">
        <v>39</v>
      </c>
      <c r="O22" s="57" t="s">
        <v>40</v>
      </c>
      <c r="P22" s="57" t="s">
        <v>18</v>
      </c>
      <c r="Q22" s="57" t="s">
        <v>41</v>
      </c>
      <c r="R22" s="58">
        <v>1781.25</v>
      </c>
      <c r="S22" s="58">
        <v>0.0</v>
      </c>
    </row>
    <row r="23" ht="15.75" customHeight="1">
      <c r="A23" s="8"/>
      <c r="B23" s="56">
        <v>43873.0</v>
      </c>
      <c r="C23" s="57" t="s">
        <v>16</v>
      </c>
      <c r="D23" s="57" t="s">
        <v>66</v>
      </c>
      <c r="E23" s="57" t="s">
        <v>28</v>
      </c>
      <c r="F23" s="61" t="s">
        <v>42</v>
      </c>
      <c r="G23" s="62">
        <v>0.0</v>
      </c>
      <c r="H23" s="63">
        <v>712.5</v>
      </c>
      <c r="I23" s="64"/>
      <c r="J23" s="64"/>
      <c r="K23" s="61"/>
      <c r="L23" s="63">
        <v>2.5</v>
      </c>
      <c r="M23" s="61" t="s">
        <v>20</v>
      </c>
      <c r="N23" s="61" t="s">
        <v>43</v>
      </c>
      <c r="O23" s="61" t="s">
        <v>40</v>
      </c>
      <c r="P23" s="61" t="s">
        <v>18</v>
      </c>
      <c r="Q23" s="57" t="s">
        <v>41</v>
      </c>
      <c r="R23" s="63">
        <v>0.0</v>
      </c>
      <c r="S23" s="63">
        <v>1781.25</v>
      </c>
    </row>
    <row r="24" ht="15.75" customHeight="1">
      <c r="A24" s="8"/>
      <c r="B24" s="56">
        <v>43873.0</v>
      </c>
      <c r="C24" s="57" t="s">
        <v>16</v>
      </c>
      <c r="D24" s="57" t="s">
        <v>24</v>
      </c>
      <c r="E24" s="57" t="s">
        <v>28</v>
      </c>
      <c r="F24" s="57" t="s">
        <v>71</v>
      </c>
      <c r="G24" s="58">
        <v>1060.0</v>
      </c>
      <c r="H24" s="59">
        <v>0.0</v>
      </c>
      <c r="I24" s="60"/>
      <c r="J24" s="60"/>
      <c r="K24" s="57"/>
      <c r="L24" s="58">
        <v>2.0</v>
      </c>
      <c r="M24" s="57" t="s">
        <v>20</v>
      </c>
      <c r="N24" s="57" t="s">
        <v>39</v>
      </c>
      <c r="O24" s="57" t="s">
        <v>40</v>
      </c>
      <c r="P24" s="57" t="s">
        <v>18</v>
      </c>
      <c r="Q24" s="57" t="s">
        <v>44</v>
      </c>
      <c r="R24" s="58">
        <v>2120.0</v>
      </c>
      <c r="S24" s="58">
        <v>0.0</v>
      </c>
    </row>
    <row r="25" ht="15.75" customHeight="1">
      <c r="A25" s="8"/>
      <c r="B25" s="56">
        <v>43873.0</v>
      </c>
      <c r="C25" s="57" t="s">
        <v>16</v>
      </c>
      <c r="D25" s="57" t="s">
        <v>24</v>
      </c>
      <c r="E25" s="57" t="s">
        <v>28</v>
      </c>
      <c r="F25" s="61" t="s">
        <v>38</v>
      </c>
      <c r="G25" s="62">
        <v>0.0</v>
      </c>
      <c r="H25" s="63">
        <v>1060.0</v>
      </c>
      <c r="I25" s="64"/>
      <c r="J25" s="64"/>
      <c r="K25" s="61"/>
      <c r="L25" s="63">
        <v>2.0</v>
      </c>
      <c r="M25" s="61" t="s">
        <v>20</v>
      </c>
      <c r="N25" s="61" t="s">
        <v>43</v>
      </c>
      <c r="O25" s="61" t="s">
        <v>40</v>
      </c>
      <c r="P25" s="61" t="s">
        <v>18</v>
      </c>
      <c r="Q25" s="57" t="s">
        <v>44</v>
      </c>
      <c r="R25" s="63">
        <v>0.0</v>
      </c>
      <c r="S25" s="63">
        <v>2120.0</v>
      </c>
    </row>
    <row r="26" ht="15.75" customHeight="1">
      <c r="A26" s="8"/>
      <c r="B26" s="56">
        <v>43873.0</v>
      </c>
      <c r="C26" s="57" t="s">
        <v>16</v>
      </c>
      <c r="D26" s="57" t="s">
        <v>28</v>
      </c>
      <c r="E26" s="57" t="s">
        <v>18</v>
      </c>
      <c r="F26" s="57" t="s">
        <v>71</v>
      </c>
      <c r="G26" s="58">
        <v>6606.0</v>
      </c>
      <c r="H26" s="59">
        <v>0.0</v>
      </c>
      <c r="I26" s="60"/>
      <c r="J26" s="60"/>
      <c r="K26" s="57"/>
      <c r="L26" s="58">
        <v>1.0</v>
      </c>
      <c r="M26" s="57" t="s">
        <v>20</v>
      </c>
      <c r="N26" s="57" t="s">
        <v>39</v>
      </c>
      <c r="O26" s="57" t="s">
        <v>40</v>
      </c>
      <c r="P26" s="57" t="s">
        <v>18</v>
      </c>
      <c r="Q26" s="57" t="s">
        <v>44</v>
      </c>
      <c r="R26" s="58">
        <v>6606.0</v>
      </c>
      <c r="S26" s="58">
        <v>0.0</v>
      </c>
    </row>
    <row r="27" ht="15.75" customHeight="1">
      <c r="B27" s="56">
        <v>43873.0</v>
      </c>
      <c r="C27" s="57" t="s">
        <v>16</v>
      </c>
      <c r="D27" s="57" t="s">
        <v>28</v>
      </c>
      <c r="E27" s="57" t="s">
        <v>18</v>
      </c>
      <c r="F27" s="61" t="s">
        <v>38</v>
      </c>
      <c r="G27" s="62">
        <v>0.0</v>
      </c>
      <c r="H27" s="63">
        <v>6606.0</v>
      </c>
      <c r="I27" s="64"/>
      <c r="J27" s="64"/>
      <c r="K27" s="61"/>
      <c r="L27" s="63">
        <v>1.0</v>
      </c>
      <c r="M27" s="61" t="s">
        <v>20</v>
      </c>
      <c r="N27" s="61" t="s">
        <v>43</v>
      </c>
      <c r="O27" s="61" t="s">
        <v>40</v>
      </c>
      <c r="P27" s="61" t="s">
        <v>18</v>
      </c>
      <c r="Q27" s="57" t="s">
        <v>44</v>
      </c>
      <c r="R27" s="63">
        <v>0.0</v>
      </c>
      <c r="S27" s="63">
        <v>6606.0</v>
      </c>
    </row>
    <row r="28" ht="15.75" customHeight="1">
      <c r="B28" s="56">
        <v>43871.0</v>
      </c>
      <c r="C28" s="57" t="s">
        <v>16</v>
      </c>
      <c r="D28" s="57" t="s">
        <v>24</v>
      </c>
      <c r="E28" s="57" t="s">
        <v>28</v>
      </c>
      <c r="F28" s="57" t="s">
        <v>38</v>
      </c>
      <c r="G28" s="58">
        <v>535.0</v>
      </c>
      <c r="H28" s="59">
        <v>0.0</v>
      </c>
      <c r="I28" s="60"/>
      <c r="J28" s="60"/>
      <c r="K28" s="57"/>
      <c r="L28" s="58">
        <v>1.5</v>
      </c>
      <c r="M28" s="57" t="s">
        <v>20</v>
      </c>
      <c r="N28" s="57" t="s">
        <v>39</v>
      </c>
      <c r="O28" s="57" t="s">
        <v>40</v>
      </c>
      <c r="P28" s="57" t="s">
        <v>18</v>
      </c>
      <c r="Q28" s="57" t="s">
        <v>41</v>
      </c>
      <c r="R28" s="58">
        <v>802.5</v>
      </c>
      <c r="S28" s="58">
        <v>0.0</v>
      </c>
    </row>
    <row r="29" ht="15.75" customHeight="1">
      <c r="B29" s="56">
        <v>43871.0</v>
      </c>
      <c r="C29" s="57" t="s">
        <v>16</v>
      </c>
      <c r="D29" s="57" t="s">
        <v>24</v>
      </c>
      <c r="E29" s="57" t="s">
        <v>28</v>
      </c>
      <c r="F29" s="61" t="s">
        <v>42</v>
      </c>
      <c r="G29" s="62">
        <v>0.0</v>
      </c>
      <c r="H29" s="63">
        <v>535.0</v>
      </c>
      <c r="I29" s="64"/>
      <c r="J29" s="64"/>
      <c r="K29" s="61"/>
      <c r="L29" s="63">
        <v>1.5</v>
      </c>
      <c r="M29" s="61" t="s">
        <v>20</v>
      </c>
      <c r="N29" s="61" t="s">
        <v>43</v>
      </c>
      <c r="O29" s="61" t="s">
        <v>40</v>
      </c>
      <c r="P29" s="61" t="s">
        <v>18</v>
      </c>
      <c r="Q29" s="57" t="s">
        <v>41</v>
      </c>
      <c r="R29" s="63">
        <v>0.0</v>
      </c>
      <c r="S29" s="63">
        <v>802.5</v>
      </c>
    </row>
    <row r="30" ht="15.75" customHeight="1">
      <c r="B30" s="56">
        <v>43871.0</v>
      </c>
      <c r="C30" s="57" t="s">
        <v>16</v>
      </c>
      <c r="D30" s="57" t="s">
        <v>28</v>
      </c>
      <c r="E30" s="57" t="s">
        <v>18</v>
      </c>
      <c r="F30" s="57" t="s">
        <v>38</v>
      </c>
      <c r="G30" s="58">
        <v>2936.0</v>
      </c>
      <c r="H30" s="59">
        <v>0.0</v>
      </c>
      <c r="I30" s="60"/>
      <c r="J30" s="60"/>
      <c r="K30" s="57"/>
      <c r="L30" s="58">
        <v>1.0</v>
      </c>
      <c r="M30" s="57" t="s">
        <v>20</v>
      </c>
      <c r="N30" s="57" t="s">
        <v>39</v>
      </c>
      <c r="O30" s="57" t="s">
        <v>40</v>
      </c>
      <c r="P30" s="57" t="s">
        <v>18</v>
      </c>
      <c r="Q30" s="57" t="s">
        <v>41</v>
      </c>
      <c r="R30" s="58">
        <v>2936.0</v>
      </c>
      <c r="S30" s="58">
        <v>0.0</v>
      </c>
    </row>
    <row r="31" ht="15.75" customHeight="1">
      <c r="B31" s="56">
        <v>43871.0</v>
      </c>
      <c r="C31" s="57" t="s">
        <v>16</v>
      </c>
      <c r="D31" s="57" t="s">
        <v>28</v>
      </c>
      <c r="E31" s="57" t="s">
        <v>18</v>
      </c>
      <c r="F31" s="61" t="s">
        <v>42</v>
      </c>
      <c r="G31" s="62">
        <v>0.0</v>
      </c>
      <c r="H31" s="63">
        <v>2936.0</v>
      </c>
      <c r="I31" s="64"/>
      <c r="J31" s="64"/>
      <c r="K31" s="61"/>
      <c r="L31" s="63">
        <v>1.0</v>
      </c>
      <c r="M31" s="61" t="s">
        <v>20</v>
      </c>
      <c r="N31" s="61" t="s">
        <v>43</v>
      </c>
      <c r="O31" s="61" t="s">
        <v>40</v>
      </c>
      <c r="P31" s="61" t="s">
        <v>18</v>
      </c>
      <c r="Q31" s="57" t="s">
        <v>41</v>
      </c>
      <c r="R31" s="63">
        <v>0.0</v>
      </c>
      <c r="S31" s="63">
        <v>2936.0</v>
      </c>
    </row>
    <row r="32" ht="15.75" customHeight="1">
      <c r="B32" s="56">
        <v>43872.0</v>
      </c>
      <c r="C32" s="57" t="s">
        <v>16</v>
      </c>
      <c r="D32" s="57" t="s">
        <v>28</v>
      </c>
      <c r="E32" s="57" t="s">
        <v>28</v>
      </c>
      <c r="F32" s="57" t="s">
        <v>19</v>
      </c>
      <c r="G32" s="58">
        <v>7340.0</v>
      </c>
      <c r="H32" s="59">
        <v>0.0</v>
      </c>
      <c r="I32" s="60"/>
      <c r="J32" s="60"/>
      <c r="K32" s="57"/>
      <c r="L32" s="58">
        <v>2.0</v>
      </c>
      <c r="M32" s="57" t="s">
        <v>20</v>
      </c>
      <c r="N32" s="57" t="s">
        <v>39</v>
      </c>
      <c r="O32" s="57" t="s">
        <v>40</v>
      </c>
      <c r="P32" s="57" t="s">
        <v>18</v>
      </c>
      <c r="Q32" s="57" t="s">
        <v>48</v>
      </c>
      <c r="R32" s="58">
        <v>14680.0</v>
      </c>
      <c r="S32" s="58">
        <v>0.0</v>
      </c>
    </row>
    <row r="33" ht="15.75" customHeight="1">
      <c r="B33" s="56">
        <v>43872.0</v>
      </c>
      <c r="C33" s="57" t="s">
        <v>16</v>
      </c>
      <c r="D33" s="57" t="s">
        <v>28</v>
      </c>
      <c r="E33" s="57" t="s">
        <v>28</v>
      </c>
      <c r="F33" s="61" t="s">
        <v>45</v>
      </c>
      <c r="G33" s="62">
        <v>0.0</v>
      </c>
      <c r="H33" s="63">
        <v>7340.0</v>
      </c>
      <c r="I33" s="64"/>
      <c r="J33" s="64"/>
      <c r="K33" s="61"/>
      <c r="L33" s="63">
        <v>2.0</v>
      </c>
      <c r="M33" s="61" t="s">
        <v>20</v>
      </c>
      <c r="N33" s="61" t="s">
        <v>43</v>
      </c>
      <c r="O33" s="61" t="s">
        <v>40</v>
      </c>
      <c r="P33" s="61" t="s">
        <v>18</v>
      </c>
      <c r="Q33" s="57" t="s">
        <v>48</v>
      </c>
      <c r="R33" s="63">
        <v>0.0</v>
      </c>
      <c r="S33" s="63">
        <v>14680.0</v>
      </c>
    </row>
    <row r="34" ht="15.75" customHeight="1">
      <c r="B34" s="56">
        <v>43872.0</v>
      </c>
      <c r="C34" s="57" t="s">
        <v>16</v>
      </c>
      <c r="D34" s="57" t="s">
        <v>28</v>
      </c>
      <c r="E34" s="57" t="s">
        <v>28</v>
      </c>
      <c r="F34" s="57" t="s">
        <v>45</v>
      </c>
      <c r="G34" s="58">
        <v>7340.0</v>
      </c>
      <c r="H34" s="59">
        <v>0.0</v>
      </c>
      <c r="I34" s="60"/>
      <c r="J34" s="60"/>
      <c r="K34" s="57"/>
      <c r="L34" s="58">
        <v>1.5</v>
      </c>
      <c r="M34" s="57" t="s">
        <v>20</v>
      </c>
      <c r="N34" s="57" t="s">
        <v>39</v>
      </c>
      <c r="O34" s="57" t="s">
        <v>40</v>
      </c>
      <c r="P34" s="57" t="s">
        <v>18</v>
      </c>
      <c r="Q34" s="57" t="s">
        <v>49</v>
      </c>
      <c r="R34" s="58">
        <v>11010.0</v>
      </c>
      <c r="S34" s="58">
        <v>0.0</v>
      </c>
    </row>
    <row r="35" ht="15.75" customHeight="1">
      <c r="B35" s="56">
        <v>43872.0</v>
      </c>
      <c r="C35" s="57" t="s">
        <v>16</v>
      </c>
      <c r="D35" s="57" t="s">
        <v>28</v>
      </c>
      <c r="E35" s="57" t="s">
        <v>28</v>
      </c>
      <c r="F35" s="61" t="s">
        <v>19</v>
      </c>
      <c r="G35" s="62">
        <v>0.0</v>
      </c>
      <c r="H35" s="63">
        <v>7340.0</v>
      </c>
      <c r="I35" s="64"/>
      <c r="J35" s="64"/>
      <c r="K35" s="61"/>
      <c r="L35" s="63">
        <v>1.5</v>
      </c>
      <c r="M35" s="61" t="s">
        <v>20</v>
      </c>
      <c r="N35" s="61" t="s">
        <v>43</v>
      </c>
      <c r="O35" s="61" t="s">
        <v>40</v>
      </c>
      <c r="P35" s="61" t="s">
        <v>18</v>
      </c>
      <c r="Q35" s="57" t="s">
        <v>49</v>
      </c>
      <c r="R35" s="63">
        <v>0.0</v>
      </c>
      <c r="S35" s="63">
        <v>11010.0</v>
      </c>
    </row>
    <row r="36" ht="15.75" customHeight="1">
      <c r="B36" s="56">
        <v>43873.0</v>
      </c>
      <c r="C36" s="57" t="s">
        <v>16</v>
      </c>
      <c r="D36" s="57" t="s">
        <v>28</v>
      </c>
      <c r="E36" s="57" t="s">
        <v>28</v>
      </c>
      <c r="F36" s="57" t="s">
        <v>19</v>
      </c>
      <c r="G36" s="58">
        <v>7340.0</v>
      </c>
      <c r="H36" s="59">
        <v>0.0</v>
      </c>
      <c r="I36" s="60"/>
      <c r="J36" s="60"/>
      <c r="K36" s="57"/>
      <c r="L36" s="58">
        <v>2.5</v>
      </c>
      <c r="M36" s="57" t="s">
        <v>20</v>
      </c>
      <c r="N36" s="57" t="s">
        <v>39</v>
      </c>
      <c r="O36" s="57" t="s">
        <v>40</v>
      </c>
      <c r="P36" s="57" t="s">
        <v>18</v>
      </c>
      <c r="Q36" s="57" t="s">
        <v>48</v>
      </c>
      <c r="R36" s="58">
        <v>18350.0</v>
      </c>
      <c r="S36" s="58">
        <v>0.0</v>
      </c>
    </row>
    <row r="37" ht="15.75" customHeight="1">
      <c r="B37" s="56">
        <v>43873.0</v>
      </c>
      <c r="C37" s="57" t="s">
        <v>16</v>
      </c>
      <c r="D37" s="57" t="s">
        <v>28</v>
      </c>
      <c r="E37" s="57" t="s">
        <v>28</v>
      </c>
      <c r="F37" s="61" t="s">
        <v>45</v>
      </c>
      <c r="G37" s="62">
        <v>0.0</v>
      </c>
      <c r="H37" s="63">
        <v>7340.0</v>
      </c>
      <c r="I37" s="64"/>
      <c r="J37" s="64"/>
      <c r="K37" s="61"/>
      <c r="L37" s="63">
        <v>2.5</v>
      </c>
      <c r="M37" s="61" t="s">
        <v>20</v>
      </c>
      <c r="N37" s="61" t="s">
        <v>43</v>
      </c>
      <c r="O37" s="61" t="s">
        <v>40</v>
      </c>
      <c r="P37" s="61" t="s">
        <v>18</v>
      </c>
      <c r="Q37" s="57" t="s">
        <v>48</v>
      </c>
      <c r="R37" s="63">
        <v>0.0</v>
      </c>
      <c r="S37" s="63">
        <v>18350.0</v>
      </c>
    </row>
    <row r="38" ht="15.75" customHeight="1">
      <c r="B38" s="56">
        <v>43873.0</v>
      </c>
      <c r="C38" s="57" t="s">
        <v>16</v>
      </c>
      <c r="D38" s="57" t="s">
        <v>28</v>
      </c>
      <c r="E38" s="57" t="s">
        <v>28</v>
      </c>
      <c r="F38" s="57" t="s">
        <v>45</v>
      </c>
      <c r="G38" s="58">
        <v>7340.0</v>
      </c>
      <c r="H38" s="59">
        <v>0.0</v>
      </c>
      <c r="I38" s="60"/>
      <c r="J38" s="60"/>
      <c r="K38" s="57"/>
      <c r="L38" s="58">
        <v>2.0</v>
      </c>
      <c r="M38" s="57" t="s">
        <v>20</v>
      </c>
      <c r="N38" s="57" t="s">
        <v>39</v>
      </c>
      <c r="O38" s="57" t="s">
        <v>40</v>
      </c>
      <c r="P38" s="57" t="s">
        <v>18</v>
      </c>
      <c r="Q38" s="57" t="s">
        <v>49</v>
      </c>
      <c r="R38" s="58">
        <v>14680.0</v>
      </c>
      <c r="S38" s="58">
        <v>0.0</v>
      </c>
    </row>
    <row r="39" ht="15.75" customHeight="1">
      <c r="B39" s="56">
        <v>43873.0</v>
      </c>
      <c r="C39" s="57" t="s">
        <v>16</v>
      </c>
      <c r="D39" s="57" t="s">
        <v>28</v>
      </c>
      <c r="E39" s="57" t="s">
        <v>28</v>
      </c>
      <c r="F39" s="61" t="s">
        <v>19</v>
      </c>
      <c r="G39" s="62">
        <v>0.0</v>
      </c>
      <c r="H39" s="63">
        <v>7340.0</v>
      </c>
      <c r="I39" s="64"/>
      <c r="J39" s="64"/>
      <c r="K39" s="61"/>
      <c r="L39" s="63">
        <v>2.0</v>
      </c>
      <c r="M39" s="61" t="s">
        <v>20</v>
      </c>
      <c r="N39" s="61" t="s">
        <v>43</v>
      </c>
      <c r="O39" s="61" t="s">
        <v>40</v>
      </c>
      <c r="P39" s="61" t="s">
        <v>18</v>
      </c>
      <c r="Q39" s="57" t="s">
        <v>49</v>
      </c>
      <c r="R39" s="63">
        <v>0.0</v>
      </c>
      <c r="S39" s="63">
        <v>14680.0</v>
      </c>
    </row>
    <row r="40" ht="15.75" customHeight="1">
      <c r="B40" s="52"/>
    </row>
    <row r="41" ht="15.75" customHeight="1">
      <c r="B41" s="52"/>
    </row>
    <row r="42" ht="15.75" customHeight="1">
      <c r="B42" s="52"/>
    </row>
    <row r="43" ht="15.75" customHeight="1">
      <c r="B43" s="52"/>
    </row>
    <row r="44" ht="15.75" customHeight="1">
      <c r="B44" s="52"/>
    </row>
    <row r="45" ht="15.75" customHeight="1">
      <c r="B45" s="52"/>
    </row>
    <row r="46" ht="15.75" customHeight="1">
      <c r="B46" s="52"/>
    </row>
    <row r="47" ht="15.75" customHeight="1">
      <c r="B47" s="52"/>
    </row>
    <row r="48" ht="15.75" customHeight="1">
      <c r="B48" s="52"/>
    </row>
    <row r="49" ht="15.75" customHeight="1">
      <c r="B49" s="52"/>
    </row>
    <row r="50" ht="15.75" customHeight="1">
      <c r="B50" s="52"/>
    </row>
    <row r="51" ht="15.75" customHeight="1">
      <c r="B51" s="52"/>
    </row>
    <row r="52" ht="15.75" customHeight="1">
      <c r="B52" s="52"/>
    </row>
    <row r="53" ht="15.75" customHeight="1">
      <c r="B53" s="52"/>
    </row>
    <row r="54" ht="15.75" customHeight="1">
      <c r="B54" s="52"/>
    </row>
    <row r="55" ht="15.75" customHeight="1">
      <c r="B55" s="52"/>
    </row>
    <row r="56" ht="15.75" customHeight="1">
      <c r="B56" s="52"/>
    </row>
    <row r="57" ht="15.75" customHeight="1">
      <c r="B57" s="52"/>
    </row>
    <row r="58" ht="15.75" customHeight="1">
      <c r="B58" s="52"/>
    </row>
    <row r="59" ht="15.75" customHeight="1">
      <c r="B59" s="52"/>
    </row>
    <row r="60" ht="15.75" customHeight="1">
      <c r="B60" s="52"/>
    </row>
    <row r="61" ht="15.75" customHeight="1">
      <c r="B61" s="52"/>
    </row>
    <row r="62" ht="15.75" customHeight="1">
      <c r="B62" s="52"/>
    </row>
    <row r="63" ht="15.75" customHeight="1">
      <c r="B63" s="52"/>
    </row>
    <row r="64" ht="15.75" customHeight="1">
      <c r="B64" s="52"/>
    </row>
    <row r="65" ht="15.75" customHeight="1">
      <c r="B65" s="52"/>
    </row>
    <row r="66" ht="15.75" customHeight="1">
      <c r="B66" s="52"/>
    </row>
    <row r="67" ht="15.75" customHeight="1">
      <c r="B67" s="52"/>
    </row>
    <row r="68" ht="15.75" customHeight="1">
      <c r="B68" s="52"/>
    </row>
    <row r="69" ht="15.75" customHeight="1">
      <c r="B69" s="52"/>
    </row>
    <row r="70" ht="15.75" customHeight="1">
      <c r="B70" s="52"/>
    </row>
    <row r="71" ht="15.75" customHeight="1">
      <c r="B71" s="52"/>
    </row>
    <row r="72" ht="15.75" customHeight="1">
      <c r="B72" s="52"/>
    </row>
    <row r="73" ht="15.75" customHeight="1">
      <c r="B73" s="52"/>
    </row>
    <row r="74" ht="15.75" customHeight="1">
      <c r="B74" s="52"/>
    </row>
    <row r="75" ht="15.75" customHeight="1">
      <c r="B75" s="52"/>
    </row>
    <row r="76" ht="15.75" customHeight="1">
      <c r="B76" s="52"/>
    </row>
    <row r="77" ht="15.75" customHeight="1">
      <c r="B77" s="52"/>
    </row>
    <row r="78" ht="15.75" customHeight="1">
      <c r="B78" s="52"/>
    </row>
    <row r="79" ht="15.75" customHeight="1">
      <c r="B79" s="52"/>
    </row>
    <row r="80" ht="15.75" customHeight="1">
      <c r="B80" s="52"/>
    </row>
    <row r="81" ht="15.75" customHeight="1">
      <c r="B81" s="52"/>
    </row>
    <row r="82" ht="15.75" customHeight="1">
      <c r="B82" s="52"/>
    </row>
    <row r="83" ht="15.75" customHeight="1">
      <c r="B83" s="52"/>
    </row>
    <row r="84" ht="15.75" customHeight="1">
      <c r="B84" s="52"/>
    </row>
    <row r="85" ht="15.75" customHeight="1">
      <c r="B85" s="52"/>
    </row>
    <row r="86" ht="15.75" customHeight="1">
      <c r="B86" s="52"/>
    </row>
    <row r="87" ht="15.75" customHeight="1">
      <c r="B87" s="52"/>
    </row>
    <row r="88" ht="15.75" customHeight="1">
      <c r="B88" s="52"/>
    </row>
    <row r="89" ht="15.75" customHeight="1">
      <c r="B89" s="52"/>
    </row>
    <row r="90" ht="15.75" customHeight="1">
      <c r="B90" s="52"/>
    </row>
    <row r="91" ht="15.75" customHeight="1">
      <c r="B91" s="52"/>
    </row>
    <row r="92" ht="15.75" customHeight="1">
      <c r="B92" s="52"/>
    </row>
    <row r="93" ht="15.75" customHeight="1">
      <c r="B93" s="52"/>
    </row>
    <row r="94" ht="15.75" customHeight="1">
      <c r="B94" s="52"/>
    </row>
    <row r="95" ht="15.75" customHeight="1">
      <c r="B95" s="52"/>
    </row>
    <row r="96" ht="15.75" customHeight="1">
      <c r="B96" s="52"/>
    </row>
    <row r="97" ht="15.75" customHeight="1">
      <c r="B97" s="52"/>
    </row>
    <row r="98" ht="15.75" customHeight="1">
      <c r="B98" s="52"/>
    </row>
    <row r="99" ht="15.75" customHeight="1">
      <c r="B99" s="52"/>
    </row>
    <row r="100" ht="15.75" customHeight="1">
      <c r="B100" s="5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5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6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8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9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5">
        <v>43871.0</v>
      </c>
      <c r="C6" s="60"/>
      <c r="D6" s="60"/>
      <c r="E6" s="58">
        <v>10.0</v>
      </c>
      <c r="F6" s="59">
        <v>0.0</v>
      </c>
      <c r="G6" s="58">
        <v>1.1</v>
      </c>
      <c r="H6" s="57" t="s">
        <v>20</v>
      </c>
      <c r="I6" s="57" t="s">
        <v>39</v>
      </c>
      <c r="J6" s="57" t="s">
        <v>51</v>
      </c>
      <c r="K6" s="57" t="s">
        <v>28</v>
      </c>
      <c r="L6" s="57" t="s">
        <v>18</v>
      </c>
      <c r="M6" s="57" t="s">
        <v>24</v>
      </c>
      <c r="N6" s="57" t="s">
        <v>62</v>
      </c>
      <c r="O6" s="58">
        <v>11.0</v>
      </c>
      <c r="P6" s="58">
        <v>0.0</v>
      </c>
      <c r="Q6" s="57" t="s">
        <v>52</v>
      </c>
      <c r="R6" s="57" t="s">
        <v>16</v>
      </c>
    </row>
    <row r="7" ht="15.75" customHeight="1">
      <c r="A7" s="8"/>
      <c r="B7" s="65">
        <v>43871.0</v>
      </c>
      <c r="C7" s="64"/>
      <c r="D7" s="64"/>
      <c r="E7" s="62">
        <v>0.0</v>
      </c>
      <c r="F7" s="63">
        <v>10.0</v>
      </c>
      <c r="G7" s="63">
        <v>1.1</v>
      </c>
      <c r="H7" s="61" t="s">
        <v>20</v>
      </c>
      <c r="I7" s="61" t="s">
        <v>43</v>
      </c>
      <c r="J7" s="61" t="s">
        <v>51</v>
      </c>
      <c r="K7" s="57" t="s">
        <v>28</v>
      </c>
      <c r="L7" s="61" t="s">
        <v>18</v>
      </c>
      <c r="M7" s="57" t="s">
        <v>24</v>
      </c>
      <c r="N7" s="57" t="s">
        <v>62</v>
      </c>
      <c r="O7" s="63">
        <v>0.0</v>
      </c>
      <c r="P7" s="63">
        <v>11.0</v>
      </c>
      <c r="Q7" s="61" t="s">
        <v>19</v>
      </c>
      <c r="R7" s="57" t="s">
        <v>16</v>
      </c>
    </row>
    <row r="8" ht="15.75" customHeight="1">
      <c r="A8" s="8"/>
      <c r="B8" s="65">
        <v>43871.0</v>
      </c>
      <c r="C8" s="60"/>
      <c r="D8" s="60"/>
      <c r="E8" s="58">
        <v>7350.0</v>
      </c>
      <c r="F8" s="59">
        <v>0.0</v>
      </c>
      <c r="G8" s="58">
        <v>1.1</v>
      </c>
      <c r="H8" s="57" t="s">
        <v>20</v>
      </c>
      <c r="I8" s="57" t="s">
        <v>39</v>
      </c>
      <c r="J8" s="57" t="s">
        <v>51</v>
      </c>
      <c r="K8" s="57" t="s">
        <v>28</v>
      </c>
      <c r="L8" s="57" t="s">
        <v>18</v>
      </c>
      <c r="M8" s="57" t="s">
        <v>24</v>
      </c>
      <c r="N8" s="57" t="s">
        <v>62</v>
      </c>
      <c r="O8" s="58">
        <v>8085.0</v>
      </c>
      <c r="P8" s="58">
        <v>0.0</v>
      </c>
      <c r="Q8" s="57" t="s">
        <v>19</v>
      </c>
      <c r="R8" s="57" t="s">
        <v>16</v>
      </c>
    </row>
    <row r="9" ht="15.75" customHeight="1">
      <c r="A9" s="8"/>
      <c r="B9" s="65">
        <v>43871.0</v>
      </c>
      <c r="C9" s="64"/>
      <c r="D9" s="64"/>
      <c r="E9" s="62">
        <v>0.0</v>
      </c>
      <c r="F9" s="63">
        <v>7350.0</v>
      </c>
      <c r="G9" s="63">
        <v>1.1</v>
      </c>
      <c r="H9" s="61" t="s">
        <v>20</v>
      </c>
      <c r="I9" s="61" t="s">
        <v>43</v>
      </c>
      <c r="J9" s="61" t="s">
        <v>51</v>
      </c>
      <c r="K9" s="57" t="s">
        <v>28</v>
      </c>
      <c r="L9" s="61" t="s">
        <v>18</v>
      </c>
      <c r="M9" s="57" t="s">
        <v>24</v>
      </c>
      <c r="N9" s="57" t="s">
        <v>62</v>
      </c>
      <c r="O9" s="63">
        <v>0.0</v>
      </c>
      <c r="P9" s="63">
        <v>8085.0</v>
      </c>
      <c r="Q9" s="61" t="s">
        <v>52</v>
      </c>
      <c r="R9" s="57" t="s">
        <v>16</v>
      </c>
    </row>
    <row r="10" ht="15.75" customHeight="1">
      <c r="A10" s="8"/>
      <c r="B10" s="56">
        <v>43873.0</v>
      </c>
      <c r="C10" s="60"/>
      <c r="D10" s="86"/>
      <c r="E10" s="58">
        <v>7340.0</v>
      </c>
      <c r="F10" s="59">
        <v>0.0</v>
      </c>
      <c r="G10" s="58">
        <v>1.1</v>
      </c>
      <c r="H10" s="57" t="s">
        <v>20</v>
      </c>
      <c r="I10" s="57" t="s">
        <v>39</v>
      </c>
      <c r="J10" s="57" t="s">
        <v>51</v>
      </c>
      <c r="K10" s="57" t="s">
        <v>28</v>
      </c>
      <c r="L10" s="57" t="s">
        <v>18</v>
      </c>
      <c r="M10" s="57" t="s">
        <v>24</v>
      </c>
      <c r="N10" s="57" t="s">
        <v>62</v>
      </c>
      <c r="O10" s="58">
        <v>8074.0</v>
      </c>
      <c r="P10" s="58">
        <v>0.0</v>
      </c>
      <c r="Q10" s="57" t="s">
        <v>72</v>
      </c>
      <c r="R10" s="57" t="s">
        <v>16</v>
      </c>
    </row>
    <row r="11" ht="15.75" customHeight="1">
      <c r="A11" s="8"/>
      <c r="B11" s="56">
        <v>43873.0</v>
      </c>
      <c r="C11" s="64"/>
      <c r="D11" s="87"/>
      <c r="E11" s="62">
        <v>0.0</v>
      </c>
      <c r="F11" s="63">
        <v>7340.0</v>
      </c>
      <c r="G11" s="63">
        <v>1.1</v>
      </c>
      <c r="H11" s="61" t="s">
        <v>20</v>
      </c>
      <c r="I11" s="61" t="s">
        <v>43</v>
      </c>
      <c r="J11" s="57" t="s">
        <v>51</v>
      </c>
      <c r="K11" s="57" t="s">
        <v>28</v>
      </c>
      <c r="L11" s="61" t="s">
        <v>18</v>
      </c>
      <c r="M11" s="57" t="s">
        <v>24</v>
      </c>
      <c r="N11" s="57" t="s">
        <v>62</v>
      </c>
      <c r="O11" s="63">
        <v>0.0</v>
      </c>
      <c r="P11" s="63">
        <v>8074.0</v>
      </c>
      <c r="Q11" s="61" t="s">
        <v>19</v>
      </c>
      <c r="R11" s="57" t="s">
        <v>16</v>
      </c>
    </row>
    <row r="12" ht="15.75" customHeight="1">
      <c r="A12" s="8"/>
      <c r="B12" s="56">
        <v>43873.0</v>
      </c>
      <c r="C12" s="60"/>
      <c r="D12" s="86"/>
      <c r="E12" s="58">
        <v>4587.5</v>
      </c>
      <c r="F12" s="59">
        <v>0.0</v>
      </c>
      <c r="G12" s="58">
        <v>1.1</v>
      </c>
      <c r="H12" s="57" t="s">
        <v>20</v>
      </c>
      <c r="I12" s="57" t="s">
        <v>39</v>
      </c>
      <c r="J12" s="57" t="s">
        <v>51</v>
      </c>
      <c r="K12" s="57" t="s">
        <v>28</v>
      </c>
      <c r="L12" s="57" t="s">
        <v>18</v>
      </c>
      <c r="M12" s="57" t="s">
        <v>24</v>
      </c>
      <c r="N12" s="57" t="s">
        <v>62</v>
      </c>
      <c r="O12" s="58">
        <v>5046.25</v>
      </c>
      <c r="P12" s="58">
        <v>0.0</v>
      </c>
      <c r="Q12" s="57" t="s">
        <v>19</v>
      </c>
      <c r="R12" s="57" t="s">
        <v>16</v>
      </c>
    </row>
    <row r="13" ht="15.75" customHeight="1">
      <c r="A13" s="8"/>
      <c r="B13" s="56">
        <v>43873.0</v>
      </c>
      <c r="C13" s="64"/>
      <c r="D13" s="87"/>
      <c r="E13" s="62">
        <v>0.0</v>
      </c>
      <c r="F13" s="63">
        <v>4587.5</v>
      </c>
      <c r="G13" s="63">
        <v>1.1</v>
      </c>
      <c r="H13" s="61" t="s">
        <v>20</v>
      </c>
      <c r="I13" s="61" t="s">
        <v>43</v>
      </c>
      <c r="J13" s="61" t="s">
        <v>51</v>
      </c>
      <c r="K13" s="57" t="s">
        <v>28</v>
      </c>
      <c r="L13" s="61" t="s">
        <v>18</v>
      </c>
      <c r="M13" s="57" t="s">
        <v>24</v>
      </c>
      <c r="N13" s="57" t="s">
        <v>62</v>
      </c>
      <c r="O13" s="63">
        <v>0.0</v>
      </c>
      <c r="P13" s="63">
        <v>5046.25</v>
      </c>
      <c r="Q13" s="61" t="s">
        <v>52</v>
      </c>
      <c r="R13" s="57" t="s">
        <v>16</v>
      </c>
    </row>
    <row r="14" ht="15.75" customHeight="1">
      <c r="A14" s="8"/>
      <c r="B14" s="56">
        <v>43873.0</v>
      </c>
      <c r="C14" s="60"/>
      <c r="D14" s="86"/>
      <c r="E14" s="58">
        <v>2752.5</v>
      </c>
      <c r="F14" s="59">
        <v>0.0</v>
      </c>
      <c r="G14" s="58">
        <v>1.1</v>
      </c>
      <c r="H14" s="57" t="s">
        <v>20</v>
      </c>
      <c r="I14" s="57" t="s">
        <v>39</v>
      </c>
      <c r="J14" s="57" t="s">
        <v>51</v>
      </c>
      <c r="K14" s="57" t="s">
        <v>28</v>
      </c>
      <c r="L14" s="57" t="s">
        <v>18</v>
      </c>
      <c r="M14" s="57" t="s">
        <v>66</v>
      </c>
      <c r="N14" s="57" t="s">
        <v>62</v>
      </c>
      <c r="O14" s="58">
        <v>3027.75</v>
      </c>
      <c r="P14" s="58">
        <v>0.0</v>
      </c>
      <c r="Q14" s="57" t="s">
        <v>19</v>
      </c>
      <c r="R14" s="57" t="s">
        <v>16</v>
      </c>
    </row>
    <row r="15" ht="15.75" customHeight="1">
      <c r="A15" s="8"/>
      <c r="B15" s="56">
        <v>43873.0</v>
      </c>
      <c r="C15" s="64"/>
      <c r="D15" s="87"/>
      <c r="E15" s="62">
        <v>0.0</v>
      </c>
      <c r="F15" s="63">
        <v>2752.5</v>
      </c>
      <c r="G15" s="63">
        <v>1.1</v>
      </c>
      <c r="H15" s="61" t="s">
        <v>20</v>
      </c>
      <c r="I15" s="61" t="s">
        <v>43</v>
      </c>
      <c r="J15" s="61" t="s">
        <v>51</v>
      </c>
      <c r="K15" s="57" t="s">
        <v>28</v>
      </c>
      <c r="L15" s="61" t="s">
        <v>18</v>
      </c>
      <c r="M15" s="57" t="s">
        <v>66</v>
      </c>
      <c r="N15" s="57" t="s">
        <v>62</v>
      </c>
      <c r="O15" s="63">
        <v>0.0</v>
      </c>
      <c r="P15" s="63">
        <v>3027.75</v>
      </c>
      <c r="Q15" s="61" t="s">
        <v>52</v>
      </c>
      <c r="R15" s="57" t="s">
        <v>16</v>
      </c>
    </row>
    <row r="16" ht="15.75" customHeight="1">
      <c r="A16" s="8"/>
      <c r="B16" s="45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5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5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5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5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B21" s="52"/>
    </row>
    <row r="22" ht="15.75" customHeight="1">
      <c r="B22" s="52"/>
    </row>
    <row r="23" ht="15.75" customHeight="1">
      <c r="B23" s="52"/>
    </row>
    <row r="24" ht="15.75" customHeight="1">
      <c r="B24" s="52"/>
    </row>
    <row r="25" ht="15.75" customHeight="1">
      <c r="B25" s="52"/>
    </row>
    <row r="26" ht="15.75" customHeight="1">
      <c r="B26" s="52"/>
    </row>
    <row r="27" ht="15.75" customHeight="1">
      <c r="B27" s="52"/>
    </row>
    <row r="28" ht="15.75" customHeight="1">
      <c r="B28" s="52"/>
    </row>
    <row r="29" ht="15.75" customHeight="1">
      <c r="B29" s="52"/>
    </row>
    <row r="30" ht="15.75" customHeight="1">
      <c r="B30" s="52"/>
    </row>
    <row r="31" ht="15.75" customHeight="1">
      <c r="B31" s="52"/>
    </row>
    <row r="32" ht="15.75" customHeight="1">
      <c r="B32" s="52"/>
    </row>
    <row r="33" ht="15.75" customHeight="1">
      <c r="B33" s="52"/>
    </row>
    <row r="34" ht="15.75" customHeight="1">
      <c r="B34" s="52"/>
    </row>
    <row r="35" ht="15.75" customHeight="1">
      <c r="B35" s="52"/>
    </row>
    <row r="36" ht="15.75" customHeight="1">
      <c r="B36" s="52"/>
    </row>
    <row r="37" ht="15.75" customHeight="1">
      <c r="B37" s="52"/>
    </row>
    <row r="38" ht="15.75" customHeight="1">
      <c r="B38" s="52"/>
    </row>
    <row r="39" ht="15.75" customHeight="1">
      <c r="B39" s="52"/>
    </row>
    <row r="40" ht="15.75" customHeight="1">
      <c r="B40" s="52"/>
    </row>
    <row r="41" ht="15.75" customHeight="1">
      <c r="B41" s="52"/>
    </row>
    <row r="42" ht="15.75" customHeight="1">
      <c r="B42" s="52"/>
    </row>
    <row r="43" ht="15.75" customHeight="1">
      <c r="B43" s="52"/>
    </row>
    <row r="44" ht="15.75" customHeight="1">
      <c r="B44" s="52"/>
    </row>
    <row r="45" ht="15.75" customHeight="1">
      <c r="B45" s="52"/>
    </row>
    <row r="46" ht="15.75" customHeight="1">
      <c r="B46" s="52"/>
    </row>
    <row r="47" ht="15.75" customHeight="1">
      <c r="B47" s="52"/>
    </row>
    <row r="48" ht="15.75" customHeight="1">
      <c r="B48" s="52"/>
    </row>
    <row r="49" ht="15.75" customHeight="1">
      <c r="B49" s="52"/>
    </row>
    <row r="50" ht="15.75" customHeight="1">
      <c r="B50" s="52"/>
    </row>
    <row r="51" ht="15.75" customHeight="1">
      <c r="B51" s="52"/>
    </row>
    <row r="52" ht="15.75" customHeight="1">
      <c r="B52" s="52"/>
    </row>
    <row r="53" ht="15.75" customHeight="1">
      <c r="B53" s="52"/>
    </row>
    <row r="54" ht="15.75" customHeight="1">
      <c r="B54" s="52"/>
    </row>
    <row r="55" ht="15.75" customHeight="1">
      <c r="B55" s="52"/>
    </row>
    <row r="56" ht="15.75" customHeight="1">
      <c r="B56" s="52"/>
    </row>
    <row r="57" ht="15.75" customHeight="1">
      <c r="B57" s="52"/>
    </row>
    <row r="58" ht="15.75" customHeight="1">
      <c r="B58" s="52"/>
    </row>
    <row r="59" ht="15.75" customHeight="1">
      <c r="B59" s="52"/>
    </row>
    <row r="60" ht="15.75" customHeight="1">
      <c r="B60" s="52"/>
    </row>
    <row r="61" ht="15.75" customHeight="1">
      <c r="B61" s="52"/>
    </row>
    <row r="62" ht="15.75" customHeight="1">
      <c r="B62" s="52"/>
    </row>
    <row r="63" ht="15.75" customHeight="1">
      <c r="B63" s="52"/>
    </row>
    <row r="64" ht="15.75" customHeight="1">
      <c r="B64" s="52"/>
    </row>
    <row r="65" ht="15.75" customHeight="1">
      <c r="B65" s="52"/>
    </row>
    <row r="66" ht="15.75" customHeight="1">
      <c r="B66" s="52"/>
    </row>
    <row r="67" ht="15.75" customHeight="1">
      <c r="B67" s="52"/>
    </row>
    <row r="68" ht="15.75" customHeight="1">
      <c r="B68" s="52"/>
    </row>
    <row r="69" ht="15.75" customHeight="1">
      <c r="B69" s="52"/>
    </row>
    <row r="70" ht="15.75" customHeight="1">
      <c r="B70" s="52"/>
    </row>
    <row r="71" ht="15.75" customHeight="1">
      <c r="B71" s="52"/>
    </row>
    <row r="72" ht="15.75" customHeight="1">
      <c r="B72" s="52"/>
    </row>
    <row r="73" ht="15.75" customHeight="1">
      <c r="B73" s="52"/>
    </row>
    <row r="74" ht="15.75" customHeight="1">
      <c r="B74" s="52"/>
    </row>
    <row r="75" ht="15.75" customHeight="1">
      <c r="B75" s="52"/>
    </row>
    <row r="76" ht="15.75" customHeight="1">
      <c r="B76" s="52"/>
    </row>
    <row r="77" ht="15.75" customHeight="1">
      <c r="B77" s="52"/>
    </row>
    <row r="78" ht="15.75" customHeight="1">
      <c r="B78" s="52"/>
    </row>
    <row r="79" ht="15.75" customHeight="1">
      <c r="B79" s="52"/>
    </row>
    <row r="80" ht="15.75" customHeight="1">
      <c r="B80" s="52"/>
    </row>
    <row r="81" ht="15.75" customHeight="1">
      <c r="B81" s="52"/>
    </row>
    <row r="82" ht="15.75" customHeight="1">
      <c r="B82" s="52"/>
    </row>
    <row r="83" ht="15.75" customHeight="1">
      <c r="B83" s="52"/>
    </row>
    <row r="84" ht="15.75" customHeight="1">
      <c r="B84" s="52"/>
    </row>
    <row r="85" ht="15.75" customHeight="1">
      <c r="B85" s="52"/>
    </row>
    <row r="86" ht="15.75" customHeight="1">
      <c r="B86" s="52"/>
    </row>
    <row r="87" ht="15.75" customHeight="1">
      <c r="B87" s="52"/>
    </row>
    <row r="88" ht="15.75" customHeight="1">
      <c r="B88" s="52"/>
    </row>
    <row r="89" ht="15.75" customHeight="1">
      <c r="B89" s="52"/>
    </row>
    <row r="90" ht="15.75" customHeight="1">
      <c r="B90" s="52"/>
    </row>
    <row r="91" ht="15.75" customHeight="1">
      <c r="B91" s="52"/>
    </row>
    <row r="92" ht="15.75" customHeight="1">
      <c r="B92" s="52"/>
    </row>
    <row r="93" ht="15.75" customHeight="1">
      <c r="B93" s="52"/>
    </row>
    <row r="94" ht="15.75" customHeight="1">
      <c r="B94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16</v>
      </c>
      <c r="D6" s="50">
        <v>43871.0</v>
      </c>
      <c r="E6" s="50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67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AE2" s="52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68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69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70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 t="s">
        <v>16</v>
      </c>
      <c r="C6" s="57" t="s">
        <v>40</v>
      </c>
      <c r="D6" s="57" t="s">
        <v>55</v>
      </c>
      <c r="E6" s="58">
        <v>-535.0</v>
      </c>
      <c r="F6" s="58">
        <v>0.0</v>
      </c>
      <c r="G6" s="58">
        <v>0.0</v>
      </c>
      <c r="H6" s="57" t="s">
        <v>56</v>
      </c>
      <c r="I6" s="58">
        <v>0.0</v>
      </c>
      <c r="J6" s="58">
        <v>0.0</v>
      </c>
      <c r="K6" s="57" t="s">
        <v>28</v>
      </c>
      <c r="L6" s="57" t="s">
        <v>41</v>
      </c>
      <c r="M6" s="8"/>
      <c r="N6" s="57" t="s">
        <v>20</v>
      </c>
      <c r="O6" s="58">
        <v>1.5</v>
      </c>
      <c r="P6" s="71"/>
      <c r="R6" s="58">
        <v>0.0</v>
      </c>
      <c r="S6" s="58">
        <v>0.0</v>
      </c>
      <c r="T6" s="58">
        <v>0.0</v>
      </c>
      <c r="U6" s="58">
        <v>0.0</v>
      </c>
      <c r="V6" s="58">
        <v>0.0</v>
      </c>
      <c r="W6" s="58">
        <v>0.0</v>
      </c>
      <c r="X6" s="71"/>
      <c r="Z6" s="58">
        <v>0.0</v>
      </c>
      <c r="AA6" s="58">
        <v>0.0</v>
      </c>
      <c r="AB6" s="57" t="s">
        <v>24</v>
      </c>
      <c r="AC6" s="58">
        <v>0.0</v>
      </c>
      <c r="AD6" s="58">
        <v>0.0</v>
      </c>
      <c r="AE6" s="56">
        <v>43871.0</v>
      </c>
      <c r="AF6" s="58">
        <v>0.0</v>
      </c>
      <c r="AG6" s="72" t="s">
        <v>40</v>
      </c>
    </row>
    <row r="7" ht="15.75" customHeight="1">
      <c r="A7" s="8"/>
      <c r="B7" s="73" t="s">
        <v>16</v>
      </c>
      <c r="C7" s="73" t="s">
        <v>40</v>
      </c>
      <c r="D7" s="73" t="s">
        <v>55</v>
      </c>
      <c r="E7" s="74">
        <v>-2936.0</v>
      </c>
      <c r="F7" s="74">
        <v>0.0</v>
      </c>
      <c r="G7" s="74">
        <v>0.0</v>
      </c>
      <c r="H7" s="73" t="s">
        <v>56</v>
      </c>
      <c r="I7" s="74">
        <v>0.0</v>
      </c>
      <c r="J7" s="74">
        <v>0.0</v>
      </c>
      <c r="K7" s="73" t="s">
        <v>18</v>
      </c>
      <c r="L7" s="73" t="s">
        <v>41</v>
      </c>
      <c r="M7" s="8"/>
      <c r="N7" s="73" t="s">
        <v>20</v>
      </c>
      <c r="O7" s="74">
        <v>1.0</v>
      </c>
      <c r="P7" s="75"/>
      <c r="R7" s="74">
        <v>0.0</v>
      </c>
      <c r="S7" s="74">
        <v>0.0</v>
      </c>
      <c r="T7" s="74">
        <v>0.0</v>
      </c>
      <c r="U7" s="74">
        <v>0.0</v>
      </c>
      <c r="V7" s="74">
        <v>0.0</v>
      </c>
      <c r="W7" s="74">
        <v>0.0</v>
      </c>
      <c r="X7" s="75"/>
      <c r="Z7" s="74">
        <v>0.0</v>
      </c>
      <c r="AA7" s="74">
        <v>0.0</v>
      </c>
      <c r="AB7" s="73" t="s">
        <v>28</v>
      </c>
      <c r="AC7" s="74">
        <v>0.0</v>
      </c>
      <c r="AD7" s="74">
        <v>0.0</v>
      </c>
      <c r="AE7" s="76">
        <v>43871.0</v>
      </c>
      <c r="AF7" s="74">
        <v>0.0</v>
      </c>
      <c r="AG7" s="77" t="s">
        <v>40</v>
      </c>
    </row>
    <row r="8" ht="15.75" customHeight="1">
      <c r="A8" s="8"/>
      <c r="B8" s="57" t="s">
        <v>16</v>
      </c>
      <c r="C8" s="57" t="s">
        <v>57</v>
      </c>
      <c r="D8" s="57" t="s">
        <v>58</v>
      </c>
      <c r="E8" s="58">
        <v>500000.0</v>
      </c>
      <c r="F8" s="58">
        <v>0.0</v>
      </c>
      <c r="G8" s="58">
        <v>0.0</v>
      </c>
      <c r="H8" s="57" t="s">
        <v>56</v>
      </c>
      <c r="I8" s="58">
        <v>0.0</v>
      </c>
      <c r="J8" s="58">
        <v>0.0</v>
      </c>
      <c r="K8" s="57" t="s">
        <v>18</v>
      </c>
      <c r="L8" s="71"/>
      <c r="M8" s="8"/>
      <c r="N8" s="57" t="s">
        <v>20</v>
      </c>
      <c r="O8" s="58">
        <v>1.0</v>
      </c>
      <c r="P8" s="71"/>
      <c r="R8" s="58">
        <v>0.0</v>
      </c>
      <c r="S8" s="58">
        <v>0.0</v>
      </c>
      <c r="T8" s="58">
        <v>0.0</v>
      </c>
      <c r="U8" s="58">
        <v>0.0</v>
      </c>
      <c r="V8" s="58">
        <v>0.0</v>
      </c>
      <c r="W8" s="58">
        <v>0.0</v>
      </c>
      <c r="X8" s="71"/>
      <c r="Z8" s="58">
        <v>0.0</v>
      </c>
      <c r="AA8" s="58">
        <v>0.0</v>
      </c>
      <c r="AB8" s="71"/>
      <c r="AC8" s="58">
        <v>0.0</v>
      </c>
      <c r="AD8" s="58">
        <v>0.0</v>
      </c>
      <c r="AE8" s="56">
        <v>43871.0</v>
      </c>
      <c r="AF8" s="58">
        <v>0.0</v>
      </c>
      <c r="AG8" s="72" t="s">
        <v>59</v>
      </c>
    </row>
    <row r="9" ht="15.75" customHeight="1">
      <c r="A9" s="8"/>
      <c r="B9" s="73" t="s">
        <v>16</v>
      </c>
      <c r="C9" s="73" t="s">
        <v>40</v>
      </c>
      <c r="D9" s="73" t="s">
        <v>60</v>
      </c>
      <c r="E9" s="74">
        <v>-7340.0</v>
      </c>
      <c r="F9" s="74">
        <v>0.0</v>
      </c>
      <c r="G9" s="74">
        <v>0.0</v>
      </c>
      <c r="H9" s="73" t="s">
        <v>56</v>
      </c>
      <c r="I9" s="74">
        <v>0.0</v>
      </c>
      <c r="J9" s="74">
        <v>0.0</v>
      </c>
      <c r="K9" s="73" t="s">
        <v>28</v>
      </c>
      <c r="L9" s="73" t="s">
        <v>46</v>
      </c>
      <c r="M9" s="8"/>
      <c r="N9" s="73" t="s">
        <v>20</v>
      </c>
      <c r="O9" s="74">
        <v>1.1</v>
      </c>
      <c r="P9" s="75"/>
      <c r="R9" s="74">
        <v>0.0</v>
      </c>
      <c r="S9" s="74">
        <v>0.0</v>
      </c>
      <c r="T9" s="74">
        <v>0.0</v>
      </c>
      <c r="U9" s="74">
        <v>0.0</v>
      </c>
      <c r="V9" s="74">
        <v>0.0</v>
      </c>
      <c r="W9" s="74">
        <v>0.0</v>
      </c>
      <c r="X9" s="75"/>
      <c r="Z9" s="74">
        <v>0.0</v>
      </c>
      <c r="AA9" s="74">
        <v>0.0</v>
      </c>
      <c r="AB9" s="73" t="s">
        <v>24</v>
      </c>
      <c r="AC9" s="74">
        <v>0.0</v>
      </c>
      <c r="AD9" s="74">
        <v>0.0</v>
      </c>
      <c r="AE9" s="78">
        <v>43871.0</v>
      </c>
      <c r="AF9" s="74">
        <v>0.0</v>
      </c>
      <c r="AG9" s="77" t="s">
        <v>40</v>
      </c>
    </row>
    <row r="10" ht="15.75" customHeight="1">
      <c r="A10" s="8"/>
      <c r="B10" s="57" t="s">
        <v>16</v>
      </c>
      <c r="C10" s="57" t="s">
        <v>40</v>
      </c>
      <c r="D10" s="57" t="s">
        <v>60</v>
      </c>
      <c r="E10" s="58">
        <v>7340.0</v>
      </c>
      <c r="F10" s="58">
        <v>0.0</v>
      </c>
      <c r="G10" s="58">
        <v>0.0</v>
      </c>
      <c r="H10" s="57" t="s">
        <v>56</v>
      </c>
      <c r="I10" s="58">
        <v>0.0</v>
      </c>
      <c r="J10" s="58">
        <v>0.0</v>
      </c>
      <c r="K10" s="57" t="s">
        <v>28</v>
      </c>
      <c r="L10" s="57" t="s">
        <v>47</v>
      </c>
      <c r="M10" s="8"/>
      <c r="N10" s="57" t="s">
        <v>20</v>
      </c>
      <c r="O10" s="58">
        <v>1.5</v>
      </c>
      <c r="P10" s="71"/>
      <c r="R10" s="58">
        <v>0.0</v>
      </c>
      <c r="S10" s="58">
        <v>0.0</v>
      </c>
      <c r="T10" s="58">
        <v>0.0</v>
      </c>
      <c r="U10" s="58">
        <v>0.0</v>
      </c>
      <c r="V10" s="58">
        <v>0.0</v>
      </c>
      <c r="W10" s="58">
        <v>0.0</v>
      </c>
      <c r="X10" s="71"/>
      <c r="Z10" s="58">
        <v>0.0</v>
      </c>
      <c r="AA10" s="58">
        <v>0.0</v>
      </c>
      <c r="AB10" s="57" t="s">
        <v>24</v>
      </c>
      <c r="AC10" s="58">
        <v>0.0</v>
      </c>
      <c r="AD10" s="58">
        <v>0.0</v>
      </c>
      <c r="AE10" s="65">
        <v>43871.0</v>
      </c>
      <c r="AF10" s="58">
        <v>0.0</v>
      </c>
      <c r="AG10" s="72" t="s">
        <v>40</v>
      </c>
    </row>
    <row r="11" ht="15.75" customHeight="1">
      <c r="A11" s="8"/>
      <c r="B11" s="73" t="s">
        <v>16</v>
      </c>
      <c r="C11" s="73" t="s">
        <v>51</v>
      </c>
      <c r="D11" s="73" t="s">
        <v>61</v>
      </c>
      <c r="E11" s="74">
        <v>7340.0</v>
      </c>
      <c r="F11" s="74">
        <v>0.0</v>
      </c>
      <c r="G11" s="74">
        <v>0.0</v>
      </c>
      <c r="H11" s="73" t="s">
        <v>56</v>
      </c>
      <c r="I11" s="74">
        <v>0.0</v>
      </c>
      <c r="J11" s="74">
        <v>2.5</v>
      </c>
      <c r="K11" s="73" t="s">
        <v>28</v>
      </c>
      <c r="L11" s="73" t="s">
        <v>62</v>
      </c>
      <c r="M11" s="8"/>
      <c r="N11" s="73" t="s">
        <v>20</v>
      </c>
      <c r="O11" s="74">
        <v>1.1</v>
      </c>
      <c r="P11" s="75"/>
      <c r="R11" s="74">
        <v>0.0</v>
      </c>
      <c r="S11" s="74">
        <v>0.0</v>
      </c>
      <c r="T11" s="74">
        <v>0.0</v>
      </c>
      <c r="U11" s="74">
        <v>0.0</v>
      </c>
      <c r="V11" s="74">
        <v>105.0</v>
      </c>
      <c r="W11" s="74">
        <v>0.0</v>
      </c>
      <c r="X11" s="77" t="s">
        <v>28</v>
      </c>
      <c r="Z11" s="74">
        <v>7.5</v>
      </c>
      <c r="AA11" s="74">
        <v>0.0</v>
      </c>
      <c r="AB11" s="73" t="s">
        <v>24</v>
      </c>
      <c r="AC11" s="74">
        <v>0.0</v>
      </c>
      <c r="AD11" s="74">
        <v>10.0</v>
      </c>
      <c r="AE11" s="78">
        <v>43871.0</v>
      </c>
      <c r="AF11" s="74">
        <v>0.0</v>
      </c>
      <c r="AG11" s="77" t="s">
        <v>51</v>
      </c>
    </row>
    <row r="12" ht="15.75" customHeight="1">
      <c r="A12" s="8"/>
      <c r="B12" s="57" t="s">
        <v>16</v>
      </c>
      <c r="C12" s="57" t="s">
        <v>40</v>
      </c>
      <c r="D12" s="57" t="s">
        <v>60</v>
      </c>
      <c r="E12" s="58">
        <v>7340.0</v>
      </c>
      <c r="F12" s="58">
        <v>0.0</v>
      </c>
      <c r="G12" s="58">
        <v>0.0</v>
      </c>
      <c r="H12" s="57" t="s">
        <v>56</v>
      </c>
      <c r="I12" s="58">
        <v>0.0</v>
      </c>
      <c r="J12" s="58">
        <v>0.0</v>
      </c>
      <c r="K12" s="57" t="s">
        <v>28</v>
      </c>
      <c r="L12" s="57" t="s">
        <v>48</v>
      </c>
      <c r="M12" s="8"/>
      <c r="N12" s="57" t="s">
        <v>20</v>
      </c>
      <c r="O12" s="58">
        <v>2.0</v>
      </c>
      <c r="P12" s="71"/>
      <c r="R12" s="58">
        <v>0.0</v>
      </c>
      <c r="S12" s="58">
        <v>0.0</v>
      </c>
      <c r="T12" s="58">
        <v>0.0</v>
      </c>
      <c r="U12" s="58">
        <v>0.0</v>
      </c>
      <c r="V12" s="58">
        <v>0.0</v>
      </c>
      <c r="W12" s="58">
        <v>0.0</v>
      </c>
      <c r="X12" s="71"/>
      <c r="Z12" s="58">
        <v>0.0</v>
      </c>
      <c r="AA12" s="58">
        <v>0.0</v>
      </c>
      <c r="AB12" s="57" t="s">
        <v>28</v>
      </c>
      <c r="AC12" s="58">
        <v>0.0</v>
      </c>
      <c r="AD12" s="58">
        <v>0.0</v>
      </c>
      <c r="AE12" s="56">
        <v>43872.0</v>
      </c>
      <c r="AF12" s="58">
        <v>0.0</v>
      </c>
      <c r="AG12" s="72" t="s">
        <v>40</v>
      </c>
    </row>
    <row r="13" ht="15.75" customHeight="1">
      <c r="A13" s="8"/>
      <c r="B13" s="73" t="s">
        <v>16</v>
      </c>
      <c r="C13" s="73" t="s">
        <v>40</v>
      </c>
      <c r="D13" s="73" t="s">
        <v>60</v>
      </c>
      <c r="E13" s="74">
        <v>-7340.0</v>
      </c>
      <c r="F13" s="74">
        <v>0.0</v>
      </c>
      <c r="G13" s="74">
        <v>0.0</v>
      </c>
      <c r="H13" s="73" t="s">
        <v>56</v>
      </c>
      <c r="I13" s="74">
        <v>0.0</v>
      </c>
      <c r="J13" s="74">
        <v>0.0</v>
      </c>
      <c r="K13" s="73" t="s">
        <v>28</v>
      </c>
      <c r="L13" s="73" t="s">
        <v>49</v>
      </c>
      <c r="M13" s="8"/>
      <c r="N13" s="73" t="s">
        <v>20</v>
      </c>
      <c r="O13" s="74">
        <v>1.5</v>
      </c>
      <c r="P13" s="75"/>
      <c r="R13" s="74">
        <v>0.0</v>
      </c>
      <c r="S13" s="74">
        <v>0.0</v>
      </c>
      <c r="T13" s="74">
        <v>0.0</v>
      </c>
      <c r="U13" s="74">
        <v>0.0</v>
      </c>
      <c r="V13" s="74">
        <v>0.0</v>
      </c>
      <c r="W13" s="74">
        <v>0.0</v>
      </c>
      <c r="X13" s="75"/>
      <c r="Z13" s="74">
        <v>0.0</v>
      </c>
      <c r="AA13" s="74">
        <v>0.0</v>
      </c>
      <c r="AB13" s="73" t="s">
        <v>28</v>
      </c>
      <c r="AC13" s="74">
        <v>0.0</v>
      </c>
      <c r="AD13" s="74">
        <v>0.0</v>
      </c>
      <c r="AE13" s="76">
        <v>43872.0</v>
      </c>
      <c r="AF13" s="74">
        <v>0.0</v>
      </c>
      <c r="AG13" s="77" t="s">
        <v>40</v>
      </c>
    </row>
    <row r="14" ht="15.75" customHeight="1">
      <c r="A14" s="8"/>
      <c r="B14" s="57" t="s">
        <v>16</v>
      </c>
      <c r="C14" s="57" t="s">
        <v>40</v>
      </c>
      <c r="D14" s="57" t="s">
        <v>55</v>
      </c>
      <c r="E14" s="58">
        <v>-1060.0</v>
      </c>
      <c r="F14" s="58">
        <v>0.0</v>
      </c>
      <c r="G14" s="58">
        <v>0.0</v>
      </c>
      <c r="H14" s="57" t="s">
        <v>56</v>
      </c>
      <c r="I14" s="58">
        <v>0.0</v>
      </c>
      <c r="J14" s="58">
        <v>0.0</v>
      </c>
      <c r="K14" s="57" t="s">
        <v>28</v>
      </c>
      <c r="L14" s="57" t="s">
        <v>41</v>
      </c>
      <c r="M14" s="8"/>
      <c r="N14" s="57" t="s">
        <v>20</v>
      </c>
      <c r="O14" s="58">
        <v>2.0</v>
      </c>
      <c r="P14" s="71"/>
      <c r="R14" s="58">
        <v>0.0</v>
      </c>
      <c r="S14" s="58">
        <v>0.0</v>
      </c>
      <c r="T14" s="58">
        <v>0.0</v>
      </c>
      <c r="U14" s="58">
        <v>0.0</v>
      </c>
      <c r="V14" s="58">
        <v>0.0</v>
      </c>
      <c r="W14" s="58">
        <v>0.0</v>
      </c>
      <c r="X14" s="71"/>
      <c r="Z14" s="58">
        <v>0.0</v>
      </c>
      <c r="AA14" s="58">
        <v>0.0</v>
      </c>
      <c r="AB14" s="57" t="s">
        <v>24</v>
      </c>
      <c r="AC14" s="58">
        <v>0.0</v>
      </c>
      <c r="AD14" s="58">
        <v>0.0</v>
      </c>
      <c r="AE14" s="56">
        <v>43872.0</v>
      </c>
      <c r="AF14" s="58">
        <v>0.0</v>
      </c>
      <c r="AG14" s="72" t="s">
        <v>40</v>
      </c>
    </row>
    <row r="15" ht="15.75" customHeight="1">
      <c r="A15" s="8"/>
      <c r="B15" s="73" t="s">
        <v>16</v>
      </c>
      <c r="C15" s="73" t="s">
        <v>40</v>
      </c>
      <c r="D15" s="73" t="s">
        <v>55</v>
      </c>
      <c r="E15" s="74">
        <v>-6606.0</v>
      </c>
      <c r="F15" s="74">
        <v>0.0</v>
      </c>
      <c r="G15" s="74">
        <v>0.0</v>
      </c>
      <c r="H15" s="73" t="s">
        <v>56</v>
      </c>
      <c r="I15" s="74">
        <v>0.0</v>
      </c>
      <c r="J15" s="74">
        <v>0.0</v>
      </c>
      <c r="K15" s="73" t="s">
        <v>18</v>
      </c>
      <c r="L15" s="73" t="s">
        <v>41</v>
      </c>
      <c r="M15" s="8"/>
      <c r="N15" s="73" t="s">
        <v>20</v>
      </c>
      <c r="O15" s="74">
        <v>1.0</v>
      </c>
      <c r="P15" s="75"/>
      <c r="R15" s="74">
        <v>0.0</v>
      </c>
      <c r="S15" s="74">
        <v>0.0</v>
      </c>
      <c r="T15" s="74">
        <v>0.0</v>
      </c>
      <c r="U15" s="74">
        <v>0.0</v>
      </c>
      <c r="V15" s="74">
        <v>0.0</v>
      </c>
      <c r="W15" s="74">
        <v>0.0</v>
      </c>
      <c r="X15" s="75"/>
      <c r="Z15" s="74">
        <v>0.0</v>
      </c>
      <c r="AA15" s="74">
        <v>0.0</v>
      </c>
      <c r="AB15" s="73" t="s">
        <v>28</v>
      </c>
      <c r="AC15" s="74">
        <v>0.0</v>
      </c>
      <c r="AD15" s="74">
        <v>0.0</v>
      </c>
      <c r="AE15" s="76">
        <v>43872.0</v>
      </c>
      <c r="AF15" s="74">
        <v>0.0</v>
      </c>
      <c r="AG15" s="77" t="s">
        <v>40</v>
      </c>
    </row>
    <row r="16" ht="15.75" customHeight="1">
      <c r="A16" s="8"/>
      <c r="B16" s="57" t="s">
        <v>16</v>
      </c>
      <c r="C16" s="57" t="s">
        <v>40</v>
      </c>
      <c r="D16" s="57" t="s">
        <v>55</v>
      </c>
      <c r="E16" s="58">
        <v>535.0</v>
      </c>
      <c r="F16" s="58">
        <v>0.0</v>
      </c>
      <c r="G16" s="58">
        <v>0.0</v>
      </c>
      <c r="H16" s="57" t="s">
        <v>56</v>
      </c>
      <c r="I16" s="58">
        <v>0.0</v>
      </c>
      <c r="J16" s="58">
        <v>0.0</v>
      </c>
      <c r="K16" s="57" t="s">
        <v>28</v>
      </c>
      <c r="L16" s="57" t="s">
        <v>44</v>
      </c>
      <c r="M16" s="8"/>
      <c r="N16" s="57" t="s">
        <v>20</v>
      </c>
      <c r="O16" s="58">
        <v>1.5</v>
      </c>
      <c r="P16" s="71"/>
      <c r="R16" s="58">
        <v>0.0</v>
      </c>
      <c r="S16" s="58">
        <v>0.0</v>
      </c>
      <c r="T16" s="58">
        <v>0.0</v>
      </c>
      <c r="U16" s="58">
        <v>0.0</v>
      </c>
      <c r="V16" s="58">
        <v>0.0</v>
      </c>
      <c r="W16" s="58">
        <v>0.0</v>
      </c>
      <c r="X16" s="71"/>
      <c r="Z16" s="58">
        <v>0.0</v>
      </c>
      <c r="AA16" s="58">
        <v>0.0</v>
      </c>
      <c r="AB16" s="57" t="s">
        <v>24</v>
      </c>
      <c r="AC16" s="58">
        <v>0.0</v>
      </c>
      <c r="AD16" s="58">
        <v>0.0</v>
      </c>
      <c r="AE16" s="56">
        <v>43872.0</v>
      </c>
      <c r="AF16" s="58">
        <v>0.0</v>
      </c>
      <c r="AG16" s="72" t="s">
        <v>40</v>
      </c>
    </row>
    <row r="17" ht="15.75" customHeight="1">
      <c r="A17" s="8"/>
      <c r="B17" s="73" t="s">
        <v>16</v>
      </c>
      <c r="C17" s="73" t="s">
        <v>40</v>
      </c>
      <c r="D17" s="73" t="s">
        <v>55</v>
      </c>
      <c r="E17" s="74">
        <v>2936.0</v>
      </c>
      <c r="F17" s="74">
        <v>0.0</v>
      </c>
      <c r="G17" s="74">
        <v>0.0</v>
      </c>
      <c r="H17" s="73" t="s">
        <v>56</v>
      </c>
      <c r="I17" s="74">
        <v>0.0</v>
      </c>
      <c r="J17" s="74">
        <v>0.0</v>
      </c>
      <c r="K17" s="73" t="s">
        <v>18</v>
      </c>
      <c r="L17" s="73" t="s">
        <v>44</v>
      </c>
      <c r="M17" s="8"/>
      <c r="N17" s="73" t="s">
        <v>20</v>
      </c>
      <c r="O17" s="74">
        <v>1.0</v>
      </c>
      <c r="P17" s="75"/>
      <c r="R17" s="74">
        <v>0.0</v>
      </c>
      <c r="S17" s="74">
        <v>0.0</v>
      </c>
      <c r="T17" s="74">
        <v>0.0</v>
      </c>
      <c r="U17" s="74">
        <v>0.0</v>
      </c>
      <c r="V17" s="74">
        <v>0.0</v>
      </c>
      <c r="W17" s="74">
        <v>0.0</v>
      </c>
      <c r="X17" s="75"/>
      <c r="Z17" s="74">
        <v>0.0</v>
      </c>
      <c r="AA17" s="74">
        <v>0.0</v>
      </c>
      <c r="AB17" s="73" t="s">
        <v>28</v>
      </c>
      <c r="AC17" s="74">
        <v>0.0</v>
      </c>
      <c r="AD17" s="74">
        <v>0.0</v>
      </c>
      <c r="AE17" s="76">
        <v>43872.0</v>
      </c>
      <c r="AF17" s="74">
        <v>0.0</v>
      </c>
      <c r="AG17" s="77" t="s">
        <v>40</v>
      </c>
    </row>
    <row r="18" ht="15.75" customHeight="1">
      <c r="A18" s="8"/>
      <c r="B18" s="57" t="s">
        <v>16</v>
      </c>
      <c r="C18" s="57" t="s">
        <v>40</v>
      </c>
      <c r="D18" s="57" t="s">
        <v>55</v>
      </c>
      <c r="E18" s="58">
        <v>-4337.5</v>
      </c>
      <c r="F18" s="58">
        <v>0.0</v>
      </c>
      <c r="G18" s="58">
        <v>0.0</v>
      </c>
      <c r="H18" s="57" t="s">
        <v>56</v>
      </c>
      <c r="I18" s="58">
        <v>0.0</v>
      </c>
      <c r="J18" s="58">
        <v>0.0</v>
      </c>
      <c r="K18" s="57" t="s">
        <v>28</v>
      </c>
      <c r="L18" s="57" t="s">
        <v>41</v>
      </c>
      <c r="M18" s="8"/>
      <c r="N18" s="57" t="s">
        <v>20</v>
      </c>
      <c r="O18" s="58">
        <v>2.5</v>
      </c>
      <c r="P18" s="71"/>
      <c r="R18" s="58">
        <v>0.0</v>
      </c>
      <c r="S18" s="58">
        <v>0.0</v>
      </c>
      <c r="T18" s="58">
        <v>0.0</v>
      </c>
      <c r="U18" s="58">
        <v>0.0</v>
      </c>
      <c r="V18" s="58">
        <v>0.0</v>
      </c>
      <c r="W18" s="58">
        <v>0.0</v>
      </c>
      <c r="X18" s="71"/>
      <c r="Z18" s="58">
        <v>0.0</v>
      </c>
      <c r="AA18" s="58">
        <v>0.0</v>
      </c>
      <c r="AB18" s="57" t="s">
        <v>24</v>
      </c>
      <c r="AC18" s="58">
        <v>0.0</v>
      </c>
      <c r="AD18" s="58">
        <v>0.0</v>
      </c>
      <c r="AE18" s="56">
        <v>43873.0</v>
      </c>
      <c r="AF18" s="58">
        <v>0.0</v>
      </c>
      <c r="AG18" s="72" t="s">
        <v>40</v>
      </c>
    </row>
    <row r="19" ht="15.75" customHeight="1">
      <c r="A19" s="8"/>
      <c r="B19" s="73" t="s">
        <v>16</v>
      </c>
      <c r="C19" s="73" t="s">
        <v>40</v>
      </c>
      <c r="D19" s="73" t="s">
        <v>55</v>
      </c>
      <c r="E19" s="74">
        <v>-10276.0</v>
      </c>
      <c r="F19" s="74">
        <v>0.0</v>
      </c>
      <c r="G19" s="74">
        <v>0.0</v>
      </c>
      <c r="H19" s="73" t="s">
        <v>56</v>
      </c>
      <c r="I19" s="74">
        <v>0.0</v>
      </c>
      <c r="J19" s="74">
        <v>0.0</v>
      </c>
      <c r="K19" s="73" t="s">
        <v>18</v>
      </c>
      <c r="L19" s="73" t="s">
        <v>41</v>
      </c>
      <c r="M19" s="8"/>
      <c r="N19" s="73" t="s">
        <v>20</v>
      </c>
      <c r="O19" s="74">
        <v>1.0</v>
      </c>
      <c r="P19" s="75"/>
      <c r="R19" s="74">
        <v>0.0</v>
      </c>
      <c r="S19" s="74">
        <v>0.0</v>
      </c>
      <c r="T19" s="74">
        <v>0.0</v>
      </c>
      <c r="U19" s="74">
        <v>0.0</v>
      </c>
      <c r="V19" s="74">
        <v>0.0</v>
      </c>
      <c r="W19" s="74">
        <v>0.0</v>
      </c>
      <c r="X19" s="75"/>
      <c r="Z19" s="74">
        <v>0.0</v>
      </c>
      <c r="AA19" s="74">
        <v>0.0</v>
      </c>
      <c r="AB19" s="73" t="s">
        <v>28</v>
      </c>
      <c r="AC19" s="74">
        <v>0.0</v>
      </c>
      <c r="AD19" s="74">
        <v>0.0</v>
      </c>
      <c r="AE19" s="76">
        <v>43873.0</v>
      </c>
      <c r="AF19" s="74">
        <v>0.0</v>
      </c>
      <c r="AG19" s="77" t="s">
        <v>40</v>
      </c>
    </row>
    <row r="20" ht="15.75" customHeight="1">
      <c r="A20" s="8"/>
      <c r="B20" s="57" t="s">
        <v>16</v>
      </c>
      <c r="C20" s="57" t="s">
        <v>40</v>
      </c>
      <c r="D20" s="57" t="s">
        <v>55</v>
      </c>
      <c r="E20" s="58">
        <v>-712.5</v>
      </c>
      <c r="F20" s="58">
        <v>0.0</v>
      </c>
      <c r="G20" s="58">
        <v>0.0</v>
      </c>
      <c r="H20" s="57" t="s">
        <v>56</v>
      </c>
      <c r="I20" s="58">
        <v>0.0</v>
      </c>
      <c r="J20" s="58">
        <v>0.0</v>
      </c>
      <c r="K20" s="57" t="s">
        <v>28</v>
      </c>
      <c r="L20" s="57" t="s">
        <v>41</v>
      </c>
      <c r="M20" s="8"/>
      <c r="N20" s="57" t="s">
        <v>20</v>
      </c>
      <c r="O20" s="58">
        <v>2.5</v>
      </c>
      <c r="P20" s="71"/>
      <c r="R20" s="58">
        <v>0.0</v>
      </c>
      <c r="S20" s="58">
        <v>0.0</v>
      </c>
      <c r="T20" s="58">
        <v>0.0</v>
      </c>
      <c r="U20" s="58">
        <v>0.0</v>
      </c>
      <c r="V20" s="58">
        <v>0.0</v>
      </c>
      <c r="W20" s="58">
        <v>0.0</v>
      </c>
      <c r="X20" s="71"/>
      <c r="Z20" s="58">
        <v>0.0</v>
      </c>
      <c r="AA20" s="58">
        <v>0.0</v>
      </c>
      <c r="AB20" s="57" t="s">
        <v>66</v>
      </c>
      <c r="AC20" s="58">
        <v>0.0</v>
      </c>
      <c r="AD20" s="58">
        <v>0.0</v>
      </c>
      <c r="AE20" s="56">
        <v>43873.0</v>
      </c>
      <c r="AF20" s="58">
        <v>0.0</v>
      </c>
      <c r="AG20" s="72" t="s">
        <v>40</v>
      </c>
    </row>
    <row r="21" ht="15.75" customHeight="1">
      <c r="A21" s="8"/>
      <c r="B21" s="73" t="s">
        <v>16</v>
      </c>
      <c r="C21" s="73" t="s">
        <v>40</v>
      </c>
      <c r="D21" s="73" t="s">
        <v>73</v>
      </c>
      <c r="E21" s="74">
        <v>1060.0</v>
      </c>
      <c r="F21" s="74">
        <v>0.0</v>
      </c>
      <c r="G21" s="74">
        <v>0.0</v>
      </c>
      <c r="H21" s="73" t="s">
        <v>56</v>
      </c>
      <c r="I21" s="74">
        <v>0.0</v>
      </c>
      <c r="J21" s="74">
        <v>0.0</v>
      </c>
      <c r="K21" s="73" t="s">
        <v>28</v>
      </c>
      <c r="L21" s="73" t="s">
        <v>44</v>
      </c>
      <c r="M21" s="8"/>
      <c r="N21" s="73" t="s">
        <v>20</v>
      </c>
      <c r="O21" s="74">
        <v>2.0</v>
      </c>
      <c r="P21" s="75"/>
      <c r="R21" s="74">
        <v>0.0</v>
      </c>
      <c r="S21" s="74">
        <v>0.0</v>
      </c>
      <c r="T21" s="74">
        <v>0.0</v>
      </c>
      <c r="U21" s="74">
        <v>0.0</v>
      </c>
      <c r="V21" s="74">
        <v>0.0</v>
      </c>
      <c r="W21" s="74">
        <v>0.0</v>
      </c>
      <c r="X21" s="75"/>
      <c r="Z21" s="74">
        <v>0.0</v>
      </c>
      <c r="AA21" s="74">
        <v>0.0</v>
      </c>
      <c r="AB21" s="73" t="s">
        <v>24</v>
      </c>
      <c r="AC21" s="74">
        <v>0.0</v>
      </c>
      <c r="AD21" s="74">
        <v>0.0</v>
      </c>
      <c r="AE21" s="76">
        <v>43873.0</v>
      </c>
      <c r="AF21" s="74">
        <v>0.0</v>
      </c>
      <c r="AG21" s="77" t="s">
        <v>40</v>
      </c>
    </row>
    <row r="22" ht="15.75" customHeight="1">
      <c r="A22" s="8"/>
      <c r="B22" s="57" t="s">
        <v>16</v>
      </c>
      <c r="C22" s="57" t="s">
        <v>40</v>
      </c>
      <c r="D22" s="57" t="s">
        <v>73</v>
      </c>
      <c r="E22" s="58">
        <v>6606.0</v>
      </c>
      <c r="F22" s="58">
        <v>0.0</v>
      </c>
      <c r="G22" s="58">
        <v>0.0</v>
      </c>
      <c r="H22" s="57" t="s">
        <v>56</v>
      </c>
      <c r="I22" s="58">
        <v>0.0</v>
      </c>
      <c r="J22" s="58">
        <v>0.0</v>
      </c>
      <c r="K22" s="57" t="s">
        <v>18</v>
      </c>
      <c r="L22" s="57" t="s">
        <v>44</v>
      </c>
      <c r="M22" s="8"/>
      <c r="N22" s="57" t="s">
        <v>20</v>
      </c>
      <c r="O22" s="58">
        <v>1.0</v>
      </c>
      <c r="P22" s="71"/>
      <c r="R22" s="58">
        <v>0.0</v>
      </c>
      <c r="S22" s="58">
        <v>0.0</v>
      </c>
      <c r="T22" s="58">
        <v>0.0</v>
      </c>
      <c r="U22" s="58">
        <v>0.0</v>
      </c>
      <c r="V22" s="58">
        <v>0.0</v>
      </c>
      <c r="W22" s="58">
        <v>0.0</v>
      </c>
      <c r="X22" s="71"/>
      <c r="Z22" s="58">
        <v>0.0</v>
      </c>
      <c r="AA22" s="58">
        <v>0.0</v>
      </c>
      <c r="AB22" s="57" t="s">
        <v>28</v>
      </c>
      <c r="AC22" s="58">
        <v>0.0</v>
      </c>
      <c r="AD22" s="58">
        <v>0.0</v>
      </c>
      <c r="AE22" s="56">
        <v>43873.0</v>
      </c>
      <c r="AF22" s="58">
        <v>0.0</v>
      </c>
      <c r="AG22" s="72" t="s">
        <v>40</v>
      </c>
    </row>
    <row r="23" ht="15.75" customHeight="1">
      <c r="A23" s="8"/>
      <c r="B23" s="73" t="s">
        <v>16</v>
      </c>
      <c r="C23" s="73" t="s">
        <v>40</v>
      </c>
      <c r="D23" s="73" t="s">
        <v>60</v>
      </c>
      <c r="E23" s="74">
        <v>7340.0</v>
      </c>
      <c r="F23" s="74">
        <v>0.0</v>
      </c>
      <c r="G23" s="74">
        <v>0.0</v>
      </c>
      <c r="H23" s="73" t="s">
        <v>56</v>
      </c>
      <c r="I23" s="74">
        <v>0.0</v>
      </c>
      <c r="J23" s="74">
        <v>0.0</v>
      </c>
      <c r="K23" s="73" t="s">
        <v>28</v>
      </c>
      <c r="L23" s="73" t="s">
        <v>48</v>
      </c>
      <c r="M23" s="8"/>
      <c r="N23" s="73" t="s">
        <v>20</v>
      </c>
      <c r="O23" s="74">
        <v>2.5</v>
      </c>
      <c r="P23" s="75"/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5"/>
      <c r="Z23" s="74">
        <v>0.0</v>
      </c>
      <c r="AA23" s="74">
        <v>0.0</v>
      </c>
      <c r="AB23" s="73" t="s">
        <v>28</v>
      </c>
      <c r="AC23" s="74">
        <v>0.0</v>
      </c>
      <c r="AD23" s="74">
        <v>0.0</v>
      </c>
      <c r="AE23" s="76">
        <v>43873.0</v>
      </c>
      <c r="AF23" s="74">
        <v>0.0</v>
      </c>
      <c r="AG23" s="77" t="s">
        <v>40</v>
      </c>
    </row>
    <row r="24" ht="15.75" customHeight="1">
      <c r="A24" s="8"/>
      <c r="B24" s="57" t="s">
        <v>16</v>
      </c>
      <c r="C24" s="57" t="s">
        <v>40</v>
      </c>
      <c r="D24" s="57" t="s">
        <v>60</v>
      </c>
      <c r="E24" s="58">
        <v>-7340.0</v>
      </c>
      <c r="F24" s="58">
        <v>0.0</v>
      </c>
      <c r="G24" s="58">
        <v>0.0</v>
      </c>
      <c r="H24" s="57" t="s">
        <v>56</v>
      </c>
      <c r="I24" s="58">
        <v>0.0</v>
      </c>
      <c r="J24" s="58">
        <v>0.0</v>
      </c>
      <c r="K24" s="57" t="s">
        <v>28</v>
      </c>
      <c r="L24" s="57" t="s">
        <v>49</v>
      </c>
      <c r="M24" s="8"/>
      <c r="N24" s="57" t="s">
        <v>20</v>
      </c>
      <c r="O24" s="58">
        <v>2.0</v>
      </c>
      <c r="P24" s="71"/>
      <c r="R24" s="58">
        <v>0.0</v>
      </c>
      <c r="S24" s="58">
        <v>0.0</v>
      </c>
      <c r="T24" s="58">
        <v>0.0</v>
      </c>
      <c r="U24" s="58">
        <v>0.0</v>
      </c>
      <c r="V24" s="58">
        <v>0.0</v>
      </c>
      <c r="W24" s="58">
        <v>0.0</v>
      </c>
      <c r="X24" s="71"/>
      <c r="Z24" s="58">
        <v>0.0</v>
      </c>
      <c r="AA24" s="58">
        <v>0.0</v>
      </c>
      <c r="AB24" s="57" t="s">
        <v>28</v>
      </c>
      <c r="AC24" s="58">
        <v>0.0</v>
      </c>
      <c r="AD24" s="58">
        <v>0.0</v>
      </c>
      <c r="AE24" s="56">
        <v>43873.0</v>
      </c>
      <c r="AF24" s="58">
        <v>0.0</v>
      </c>
      <c r="AG24" s="72" t="s">
        <v>40</v>
      </c>
    </row>
    <row r="25" ht="15.75" customHeight="1">
      <c r="A25" s="8"/>
      <c r="B25" s="73" t="s">
        <v>16</v>
      </c>
      <c r="C25" s="73" t="s">
        <v>51</v>
      </c>
      <c r="D25" s="73" t="s">
        <v>74</v>
      </c>
      <c r="E25" s="74">
        <v>-7340.0</v>
      </c>
      <c r="F25" s="74">
        <v>0.0</v>
      </c>
      <c r="G25" s="74">
        <v>0.0</v>
      </c>
      <c r="H25" s="73" t="s">
        <v>56</v>
      </c>
      <c r="I25" s="74">
        <v>0.0</v>
      </c>
      <c r="J25" s="74">
        <v>0.0</v>
      </c>
      <c r="K25" s="73" t="s">
        <v>28</v>
      </c>
      <c r="L25" s="73" t="s">
        <v>62</v>
      </c>
      <c r="M25" s="8"/>
      <c r="N25" s="73" t="s">
        <v>20</v>
      </c>
      <c r="O25" s="74">
        <v>1.1</v>
      </c>
      <c r="P25" s="75"/>
      <c r="R25" s="74">
        <v>0.0</v>
      </c>
      <c r="S25" s="74">
        <v>0.0</v>
      </c>
      <c r="T25" s="74">
        <v>0.0</v>
      </c>
      <c r="U25" s="74">
        <v>0.0</v>
      </c>
      <c r="V25" s="74">
        <v>105.0</v>
      </c>
      <c r="W25" s="74">
        <v>0.0</v>
      </c>
      <c r="X25" s="77" t="s">
        <v>28</v>
      </c>
      <c r="Z25" s="74">
        <v>0.0</v>
      </c>
      <c r="AA25" s="74">
        <v>0.0</v>
      </c>
      <c r="AB25" s="73" t="s">
        <v>24</v>
      </c>
      <c r="AC25" s="74">
        <v>0.0</v>
      </c>
      <c r="AD25" s="74">
        <v>0.0</v>
      </c>
      <c r="AE25" s="76">
        <v>43873.0</v>
      </c>
      <c r="AF25" s="74">
        <v>0.0</v>
      </c>
      <c r="AG25" s="77" t="s">
        <v>51</v>
      </c>
    </row>
    <row r="26" ht="15.75" customHeight="1">
      <c r="A26" s="8"/>
      <c r="B26" s="57" t="s">
        <v>16</v>
      </c>
      <c r="C26" s="57" t="s">
        <v>51</v>
      </c>
      <c r="D26" s="57" t="s">
        <v>61</v>
      </c>
      <c r="E26" s="58">
        <v>4587.5</v>
      </c>
      <c r="F26" s="58">
        <v>0.0</v>
      </c>
      <c r="G26" s="58">
        <v>0.0</v>
      </c>
      <c r="H26" s="57" t="s">
        <v>56</v>
      </c>
      <c r="I26" s="58">
        <v>0.0</v>
      </c>
      <c r="J26" s="58">
        <v>0.0</v>
      </c>
      <c r="K26" s="57" t="s">
        <v>28</v>
      </c>
      <c r="L26" s="57" t="s">
        <v>62</v>
      </c>
      <c r="M26" s="8"/>
      <c r="N26" s="57" t="s">
        <v>20</v>
      </c>
      <c r="O26" s="58">
        <v>1.1</v>
      </c>
      <c r="P26" s="71"/>
      <c r="R26" s="58">
        <v>0.0</v>
      </c>
      <c r="S26" s="58">
        <v>0.0</v>
      </c>
      <c r="T26" s="58">
        <v>0.0</v>
      </c>
      <c r="U26" s="58">
        <v>0.0</v>
      </c>
      <c r="V26" s="58">
        <v>105.0</v>
      </c>
      <c r="W26" s="58">
        <v>0.0</v>
      </c>
      <c r="X26" s="77" t="s">
        <v>28</v>
      </c>
      <c r="Z26" s="58">
        <v>0.0</v>
      </c>
      <c r="AA26" s="58">
        <v>0.0</v>
      </c>
      <c r="AB26" s="57" t="s">
        <v>24</v>
      </c>
      <c r="AC26" s="58">
        <v>0.0</v>
      </c>
      <c r="AD26" s="58">
        <v>0.0</v>
      </c>
      <c r="AE26" s="56">
        <v>43873.0</v>
      </c>
      <c r="AF26" s="58">
        <v>0.0</v>
      </c>
      <c r="AG26" s="72" t="s">
        <v>51</v>
      </c>
    </row>
    <row r="27" ht="15.75" customHeight="1">
      <c r="B27" s="73" t="s">
        <v>16</v>
      </c>
      <c r="C27" s="73" t="s">
        <v>51</v>
      </c>
      <c r="D27" s="73" t="s">
        <v>61</v>
      </c>
      <c r="E27" s="74">
        <v>2752.5</v>
      </c>
      <c r="F27" s="74">
        <v>0.0</v>
      </c>
      <c r="G27" s="74">
        <v>0.0</v>
      </c>
      <c r="H27" s="73" t="s">
        <v>56</v>
      </c>
      <c r="I27" s="74">
        <v>0.0</v>
      </c>
      <c r="J27" s="74">
        <v>0.0</v>
      </c>
      <c r="K27" s="73" t="s">
        <v>28</v>
      </c>
      <c r="L27" s="73" t="s">
        <v>62</v>
      </c>
      <c r="N27" s="73" t="s">
        <v>20</v>
      </c>
      <c r="O27" s="74">
        <v>1.1</v>
      </c>
      <c r="P27" s="75"/>
      <c r="R27" s="74">
        <v>0.0</v>
      </c>
      <c r="S27" s="74">
        <v>0.0</v>
      </c>
      <c r="T27" s="74">
        <v>0.0</v>
      </c>
      <c r="U27" s="74">
        <v>0.0</v>
      </c>
      <c r="V27" s="74">
        <v>34.65</v>
      </c>
      <c r="W27" s="74">
        <v>0.0</v>
      </c>
      <c r="X27" s="77" t="s">
        <v>28</v>
      </c>
      <c r="Z27" s="74">
        <v>0.0</v>
      </c>
      <c r="AA27" s="74">
        <v>0.0</v>
      </c>
      <c r="AB27" s="73" t="s">
        <v>66</v>
      </c>
      <c r="AC27" s="74">
        <v>0.0</v>
      </c>
      <c r="AD27" s="74">
        <v>0.0</v>
      </c>
      <c r="AE27" s="76">
        <v>43873.0</v>
      </c>
      <c r="AF27" s="74">
        <v>0.0</v>
      </c>
      <c r="AG27" s="77" t="s">
        <v>51</v>
      </c>
    </row>
    <row r="28" ht="15.75" customHeight="1">
      <c r="AE28" s="52"/>
    </row>
    <row r="29" ht="15.75" customHeight="1">
      <c r="AE29" s="52"/>
    </row>
    <row r="30" ht="15.75" customHeight="1">
      <c r="AE30" s="52"/>
    </row>
    <row r="31" ht="15.75" customHeight="1">
      <c r="AE31" s="52"/>
    </row>
    <row r="32" ht="15.75" customHeight="1">
      <c r="AE32" s="52"/>
    </row>
    <row r="33" ht="15.75" customHeight="1">
      <c r="AE33" s="52"/>
    </row>
    <row r="34" ht="15.75" customHeight="1">
      <c r="AE34" s="52"/>
    </row>
    <row r="35" ht="15.75" customHeight="1">
      <c r="AE35" s="52"/>
    </row>
    <row r="36" ht="15.75" customHeight="1">
      <c r="AE36" s="52"/>
    </row>
    <row r="37" ht="15.75" customHeight="1">
      <c r="AE37" s="52"/>
    </row>
    <row r="38" ht="15.75" customHeight="1">
      <c r="AE38" s="52"/>
    </row>
    <row r="39" ht="15.75" customHeight="1">
      <c r="AE39" s="52"/>
    </row>
    <row r="40" ht="15.75" customHeight="1">
      <c r="AE40" s="52"/>
    </row>
    <row r="41" ht="15.75" customHeight="1">
      <c r="AE41" s="52"/>
    </row>
    <row r="42" ht="15.75" customHeight="1">
      <c r="AE42" s="52"/>
    </row>
    <row r="43" ht="15.75" customHeight="1">
      <c r="AE43" s="52"/>
    </row>
    <row r="44" ht="15.75" customHeight="1">
      <c r="AE44" s="52"/>
    </row>
    <row r="45" ht="15.75" customHeight="1">
      <c r="AE45" s="52"/>
    </row>
    <row r="46" ht="15.75" customHeight="1">
      <c r="AE46" s="52"/>
    </row>
    <row r="47" ht="15.75" customHeight="1">
      <c r="AE47" s="52"/>
    </row>
    <row r="48" ht="15.75" customHeight="1">
      <c r="AE48" s="52"/>
    </row>
    <row r="49" ht="15.75" customHeight="1">
      <c r="AE49" s="52"/>
    </row>
    <row r="50" ht="15.75" customHeight="1">
      <c r="AE50" s="52"/>
    </row>
    <row r="51" ht="15.75" customHeight="1">
      <c r="AE51" s="52"/>
    </row>
    <row r="52" ht="15.75" customHeight="1">
      <c r="AE52" s="52"/>
    </row>
    <row r="53" ht="15.75" customHeight="1">
      <c r="AE53" s="52"/>
    </row>
    <row r="54" ht="15.75" customHeight="1">
      <c r="AE54" s="52"/>
    </row>
    <row r="55" ht="15.75" customHeight="1">
      <c r="AE55" s="52"/>
    </row>
    <row r="56" ht="15.75" customHeight="1">
      <c r="AE56" s="52"/>
    </row>
    <row r="57" ht="15.75" customHeight="1">
      <c r="AE57" s="52"/>
    </row>
    <row r="58" ht="15.75" customHeight="1">
      <c r="AE58" s="52"/>
    </row>
    <row r="59" ht="15.75" customHeight="1">
      <c r="AE59" s="52"/>
    </row>
    <row r="60" ht="15.75" customHeight="1">
      <c r="AE60" s="52"/>
    </row>
    <row r="61" ht="15.75" customHeight="1">
      <c r="AE61" s="52"/>
    </row>
    <row r="62" ht="15.75" customHeight="1">
      <c r="AE62" s="52"/>
    </row>
    <row r="63" ht="15.75" customHeight="1">
      <c r="AE63" s="52"/>
    </row>
    <row r="64" ht="15.75" customHeight="1">
      <c r="AE64" s="52"/>
    </row>
    <row r="65" ht="15.75" customHeight="1">
      <c r="AE65" s="52"/>
    </row>
    <row r="66" ht="15.75" customHeight="1">
      <c r="AE66" s="52"/>
    </row>
    <row r="67" ht="15.75" customHeight="1">
      <c r="AE67" s="52"/>
    </row>
    <row r="68" ht="15.75" customHeight="1">
      <c r="AE68" s="52"/>
    </row>
    <row r="69" ht="15.75" customHeight="1">
      <c r="AE69" s="52"/>
    </row>
    <row r="70" ht="15.75" customHeight="1">
      <c r="AE70" s="52"/>
    </row>
    <row r="71" ht="15.75" customHeight="1">
      <c r="AE71" s="52"/>
    </row>
    <row r="72" ht="15.75" customHeight="1">
      <c r="AE72" s="52"/>
    </row>
    <row r="73" ht="15.75" customHeight="1">
      <c r="AE73" s="52"/>
    </row>
    <row r="74" ht="15.75" customHeight="1">
      <c r="AE74" s="52"/>
    </row>
    <row r="75" ht="15.75" customHeight="1">
      <c r="AE75" s="52"/>
    </row>
    <row r="76" ht="15.75" customHeight="1">
      <c r="AE76" s="52"/>
    </row>
    <row r="77" ht="15.75" customHeight="1">
      <c r="AE77" s="52"/>
    </row>
    <row r="78" ht="15.75" customHeight="1">
      <c r="AE78" s="52"/>
    </row>
    <row r="79" ht="15.75" customHeight="1">
      <c r="AE79" s="52"/>
    </row>
    <row r="80" ht="15.75" customHeight="1">
      <c r="AE80" s="52"/>
    </row>
    <row r="81" ht="15.75" customHeight="1">
      <c r="AE81" s="52"/>
    </row>
    <row r="82" ht="15.75" customHeight="1">
      <c r="AE82" s="52"/>
    </row>
    <row r="83" ht="15.75" customHeight="1">
      <c r="AE83" s="52"/>
    </row>
    <row r="84" ht="15.75" customHeight="1">
      <c r="AE84" s="52"/>
    </row>
    <row r="85" ht="15.75" customHeight="1">
      <c r="AE85" s="52"/>
    </row>
    <row r="86" ht="15.75" customHeight="1">
      <c r="AE86" s="52"/>
    </row>
    <row r="87" ht="15.75" customHeight="1">
      <c r="AE87" s="52"/>
    </row>
    <row r="88" ht="15.75" customHeight="1">
      <c r="AE88" s="52"/>
    </row>
    <row r="89" ht="15.75" customHeight="1">
      <c r="AE89" s="52"/>
    </row>
    <row r="90" ht="15.75" customHeight="1">
      <c r="AE90" s="52"/>
    </row>
    <row r="91" ht="15.75" customHeight="1">
      <c r="AE91" s="52"/>
    </row>
    <row r="92" ht="15.75" customHeight="1">
      <c r="AE92" s="52"/>
    </row>
    <row r="93" ht="15.75" customHeight="1">
      <c r="AE93" s="52"/>
    </row>
    <row r="94" ht="15.75" customHeight="1">
      <c r="AE94" s="52"/>
    </row>
    <row r="95" ht="15.75" customHeight="1">
      <c r="AE95" s="52"/>
    </row>
    <row r="96" ht="15.75" customHeight="1">
      <c r="AE96" s="52"/>
    </row>
    <row r="97" ht="15.75" customHeight="1">
      <c r="AE97" s="52"/>
    </row>
    <row r="98" ht="15.75" customHeight="1">
      <c r="AE98" s="52"/>
    </row>
    <row r="99" ht="15.75" customHeight="1">
      <c r="AE99" s="52"/>
    </row>
    <row r="100" ht="15.75" customHeight="1">
      <c r="AE100" s="5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77</v>
      </c>
      <c r="C6" s="41">
        <v>43871.0</v>
      </c>
      <c r="D6" s="41">
        <v>43873.0</v>
      </c>
      <c r="E6" s="32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9" t="s">
        <v>16</v>
      </c>
      <c r="C6" s="79" t="s">
        <v>79</v>
      </c>
      <c r="D6" s="80"/>
      <c r="E6" s="83"/>
      <c r="F6" s="79"/>
      <c r="G6" s="83"/>
      <c r="H6" s="80">
        <v>4587.5</v>
      </c>
      <c r="I6" s="80">
        <v>43.69047619</v>
      </c>
      <c r="J6" s="8"/>
      <c r="K6" s="8"/>
      <c r="L6" s="8"/>
      <c r="M6" s="80">
        <v>105.0</v>
      </c>
      <c r="N6" s="79" t="s">
        <v>24</v>
      </c>
      <c r="O6" s="80"/>
      <c r="P6" s="79" t="s">
        <v>25</v>
      </c>
      <c r="Q6" s="79" t="s">
        <v>80</v>
      </c>
      <c r="R6" s="79" t="s">
        <v>24</v>
      </c>
      <c r="T6" s="9">
        <v>0.0</v>
      </c>
      <c r="V6" s="88" t="s">
        <v>81</v>
      </c>
      <c r="W6" s="79" t="s">
        <v>82</v>
      </c>
      <c r="X6" s="80">
        <v>43.69047619</v>
      </c>
      <c r="Y6" s="80">
        <v>48.05952381</v>
      </c>
      <c r="Z6" s="80">
        <v>48.05952381</v>
      </c>
    </row>
    <row r="7" ht="15.75" customHeight="1">
      <c r="A7" s="8"/>
      <c r="B7" s="79" t="s">
        <v>16</v>
      </c>
      <c r="C7" s="79" t="s">
        <v>79</v>
      </c>
      <c r="D7" s="80"/>
      <c r="E7" s="83"/>
      <c r="F7" s="79"/>
      <c r="G7" s="83"/>
      <c r="H7" s="80">
        <v>2752.5</v>
      </c>
      <c r="I7" s="80">
        <v>79.43722944</v>
      </c>
      <c r="J7" s="8"/>
      <c r="K7" s="8"/>
      <c r="L7" s="8"/>
      <c r="M7" s="80">
        <v>34.65</v>
      </c>
      <c r="N7" s="79" t="s">
        <v>83</v>
      </c>
      <c r="O7" s="80"/>
      <c r="P7" s="79" t="s">
        <v>25</v>
      </c>
      <c r="Q7" s="79" t="s">
        <v>80</v>
      </c>
      <c r="R7" s="79" t="s">
        <v>66</v>
      </c>
      <c r="T7" s="9">
        <v>0.0</v>
      </c>
      <c r="V7" s="88" t="s">
        <v>81</v>
      </c>
      <c r="W7" s="79" t="s">
        <v>82</v>
      </c>
      <c r="X7" s="80">
        <v>79.43722944</v>
      </c>
      <c r="Y7" s="80">
        <v>87.38095238</v>
      </c>
      <c r="Z7" s="80">
        <v>87.38095238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77</v>
      </c>
      <c r="C6" s="41">
        <v>43871.0</v>
      </c>
      <c r="D6" s="41">
        <v>43873.0</v>
      </c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9" t="s">
        <v>16</v>
      </c>
      <c r="C6" s="8"/>
      <c r="D6" s="11"/>
      <c r="E6" s="90">
        <v>105.0</v>
      </c>
      <c r="F6" s="89" t="s">
        <v>87</v>
      </c>
      <c r="G6" s="89" t="s">
        <v>79</v>
      </c>
      <c r="H6" s="90">
        <v>0.0</v>
      </c>
      <c r="I6" s="90">
        <v>0.0</v>
      </c>
      <c r="J6" s="90"/>
      <c r="K6" s="90">
        <v>77.0</v>
      </c>
      <c r="L6" s="90">
        <v>70.0</v>
      </c>
      <c r="M6" s="8"/>
      <c r="N6" s="8"/>
      <c r="O6" s="8"/>
      <c r="T6" s="90">
        <v>2.5</v>
      </c>
      <c r="U6" s="90">
        <v>0.023809523809524</v>
      </c>
      <c r="V6" s="89"/>
      <c r="W6" s="90"/>
      <c r="X6" s="90"/>
      <c r="Z6" s="89" t="s">
        <v>28</v>
      </c>
      <c r="AE6" s="90">
        <v>105.0</v>
      </c>
      <c r="AH6" s="89" t="s">
        <v>20</v>
      </c>
      <c r="AI6" s="90">
        <v>1.1</v>
      </c>
      <c r="AJ6" s="89"/>
      <c r="AT6" s="91">
        <v>8074.0</v>
      </c>
      <c r="AU6" s="91">
        <v>7340.0</v>
      </c>
      <c r="BE6" s="91">
        <v>8085.0</v>
      </c>
      <c r="BF6" s="91">
        <v>7350.0</v>
      </c>
      <c r="BJ6" s="90">
        <v>105.0</v>
      </c>
      <c r="BM6" s="89" t="s">
        <v>28</v>
      </c>
      <c r="BO6" s="89" t="s">
        <v>25</v>
      </c>
      <c r="BP6" s="90">
        <v>7.5</v>
      </c>
      <c r="BQ6" s="90">
        <v>0.071428571428571</v>
      </c>
      <c r="BR6" s="90">
        <v>0.0</v>
      </c>
      <c r="BS6" s="89" t="s">
        <v>80</v>
      </c>
      <c r="BT6" s="89" t="s">
        <v>24</v>
      </c>
      <c r="BU6" s="90">
        <v>0.0</v>
      </c>
      <c r="BV6" s="90">
        <v>10.0</v>
      </c>
      <c r="BW6" s="90">
        <v>10.0</v>
      </c>
      <c r="BX6" s="90">
        <v>0.095238095238095</v>
      </c>
      <c r="CH6" s="89" t="s">
        <v>22</v>
      </c>
      <c r="CI6" s="89" t="s">
        <v>25</v>
      </c>
      <c r="CJ6" s="90">
        <v>0.0</v>
      </c>
      <c r="CK6" s="89" t="s">
        <v>82</v>
      </c>
      <c r="CM6" s="89" t="s">
        <v>24</v>
      </c>
    </row>
    <row r="7" ht="15.75" customHeight="1">
      <c r="A7" s="8"/>
      <c r="B7" s="89" t="s">
        <v>16</v>
      </c>
      <c r="C7" s="8"/>
      <c r="D7" s="8"/>
      <c r="E7" s="90">
        <v>105.0</v>
      </c>
      <c r="F7" s="89" t="s">
        <v>87</v>
      </c>
      <c r="G7" s="89" t="s">
        <v>79</v>
      </c>
      <c r="H7" s="90">
        <v>0.0</v>
      </c>
      <c r="I7" s="90">
        <v>0.0</v>
      </c>
      <c r="J7" s="90"/>
      <c r="K7" s="90">
        <v>76.8952380952381</v>
      </c>
      <c r="L7" s="90">
        <v>69.9047619047619</v>
      </c>
      <c r="M7" s="8"/>
      <c r="N7" s="8"/>
      <c r="O7" s="8"/>
      <c r="T7" s="90">
        <v>0.0</v>
      </c>
      <c r="U7" s="90">
        <v>0.0</v>
      </c>
      <c r="V7" s="89"/>
      <c r="W7" s="90"/>
      <c r="X7" s="90"/>
      <c r="Z7" s="89" t="s">
        <v>28</v>
      </c>
      <c r="AE7" s="90">
        <v>105.0</v>
      </c>
      <c r="AH7" s="89" t="s">
        <v>20</v>
      </c>
      <c r="AI7" s="90">
        <v>1.1</v>
      </c>
      <c r="AJ7" s="89"/>
      <c r="AT7" s="91">
        <v>8074.0</v>
      </c>
      <c r="AU7" s="91">
        <v>7340.0</v>
      </c>
      <c r="BE7" s="91">
        <v>8074.0</v>
      </c>
      <c r="BF7" s="91">
        <v>7340.0</v>
      </c>
      <c r="BJ7" s="90">
        <v>105.0</v>
      </c>
      <c r="BM7" s="89" t="s">
        <v>28</v>
      </c>
      <c r="BO7" s="89" t="s">
        <v>68</v>
      </c>
      <c r="BP7" s="90">
        <v>0.0</v>
      </c>
      <c r="BQ7" s="90">
        <v>0.0</v>
      </c>
      <c r="BR7" s="90">
        <v>0.0</v>
      </c>
      <c r="BS7" s="89" t="s">
        <v>80</v>
      </c>
      <c r="BT7" s="89" t="s">
        <v>24</v>
      </c>
      <c r="BU7" s="90">
        <v>0.0</v>
      </c>
      <c r="BV7" s="90">
        <v>0.0</v>
      </c>
      <c r="BW7" s="90">
        <v>0.0</v>
      </c>
      <c r="BX7" s="90">
        <v>0.0</v>
      </c>
      <c r="CH7" s="89" t="s">
        <v>88</v>
      </c>
      <c r="CI7" s="89" t="s">
        <v>69</v>
      </c>
      <c r="CJ7" s="90">
        <v>0.0</v>
      </c>
      <c r="CK7" s="89" t="s">
        <v>82</v>
      </c>
      <c r="CM7" s="89" t="s">
        <v>24</v>
      </c>
    </row>
    <row r="8" ht="15.75" customHeight="1">
      <c r="A8" s="8"/>
      <c r="B8" s="89" t="s">
        <v>16</v>
      </c>
      <c r="C8" s="8"/>
      <c r="D8" s="8"/>
      <c r="E8" s="90">
        <v>105.0</v>
      </c>
      <c r="F8" s="89" t="s">
        <v>87</v>
      </c>
      <c r="G8" s="89" t="s">
        <v>79</v>
      </c>
      <c r="H8" s="90">
        <v>0.0</v>
      </c>
      <c r="I8" s="90">
        <v>0.0</v>
      </c>
      <c r="J8" s="90"/>
      <c r="K8" s="90">
        <v>48.0595238095238</v>
      </c>
      <c r="L8" s="90">
        <v>43.6904761904762</v>
      </c>
      <c r="M8" s="8"/>
      <c r="N8" s="8"/>
      <c r="O8" s="8"/>
      <c r="T8" s="90">
        <v>0.0</v>
      </c>
      <c r="U8" s="90">
        <v>0.0</v>
      </c>
      <c r="V8" s="89"/>
      <c r="W8" s="90"/>
      <c r="X8" s="90"/>
      <c r="Z8" s="89" t="s">
        <v>28</v>
      </c>
      <c r="AE8" s="90">
        <v>105.0</v>
      </c>
      <c r="AH8" s="89" t="s">
        <v>20</v>
      </c>
      <c r="AI8" s="90">
        <v>1.1</v>
      </c>
      <c r="AJ8" s="89"/>
      <c r="AT8" s="91">
        <v>5046.25</v>
      </c>
      <c r="AU8" s="91">
        <v>4587.5</v>
      </c>
      <c r="BE8" s="91">
        <v>5046.25</v>
      </c>
      <c r="BF8" s="91">
        <v>4587.5</v>
      </c>
      <c r="BJ8" s="90">
        <v>105.0</v>
      </c>
      <c r="BM8" s="89" t="s">
        <v>28</v>
      </c>
      <c r="BO8" s="89" t="s">
        <v>25</v>
      </c>
      <c r="BP8" s="90">
        <v>0.0</v>
      </c>
      <c r="BQ8" s="90">
        <v>0.0</v>
      </c>
      <c r="BR8" s="90">
        <v>0.0</v>
      </c>
      <c r="BS8" s="89" t="s">
        <v>80</v>
      </c>
      <c r="BT8" s="89" t="s">
        <v>24</v>
      </c>
      <c r="BU8" s="90">
        <v>0.0</v>
      </c>
      <c r="BV8" s="90">
        <v>0.0</v>
      </c>
      <c r="BW8" s="90">
        <v>0.0</v>
      </c>
      <c r="BX8" s="90">
        <v>0.0</v>
      </c>
      <c r="CH8" s="89" t="s">
        <v>88</v>
      </c>
      <c r="CI8" s="89" t="s">
        <v>70</v>
      </c>
      <c r="CJ8" s="90">
        <v>0.0</v>
      </c>
      <c r="CK8" s="89" t="s">
        <v>82</v>
      </c>
      <c r="CM8" s="89" t="s">
        <v>24</v>
      </c>
    </row>
    <row r="9" ht="15.75" customHeight="1">
      <c r="A9" s="8"/>
      <c r="B9" s="89" t="s">
        <v>16</v>
      </c>
      <c r="C9" s="8"/>
      <c r="D9" s="8"/>
      <c r="E9" s="90">
        <v>34.65</v>
      </c>
      <c r="F9" s="89" t="s">
        <v>87</v>
      </c>
      <c r="G9" s="89" t="s">
        <v>79</v>
      </c>
      <c r="H9" s="90">
        <v>0.0</v>
      </c>
      <c r="I9" s="90">
        <v>0.0</v>
      </c>
      <c r="J9" s="90"/>
      <c r="K9" s="90">
        <v>87.3809523809524</v>
      </c>
      <c r="L9" s="90">
        <v>79.4372294372294</v>
      </c>
      <c r="M9" s="8"/>
      <c r="N9" s="8"/>
      <c r="O9" s="8"/>
      <c r="T9" s="90">
        <v>0.0</v>
      </c>
      <c r="U9" s="90">
        <v>0.0</v>
      </c>
      <c r="V9" s="89"/>
      <c r="W9" s="90"/>
      <c r="X9" s="90"/>
      <c r="Z9" s="89" t="s">
        <v>28</v>
      </c>
      <c r="AE9" s="90">
        <v>34.65</v>
      </c>
      <c r="AH9" s="89" t="s">
        <v>20</v>
      </c>
      <c r="AI9" s="90">
        <v>1.1</v>
      </c>
      <c r="AJ9" s="89"/>
      <c r="AT9" s="91">
        <v>3027.75</v>
      </c>
      <c r="AU9" s="91">
        <v>2752.5</v>
      </c>
      <c r="BE9" s="91">
        <v>3027.75</v>
      </c>
      <c r="BF9" s="91">
        <v>2752.5</v>
      </c>
      <c r="BJ9" s="90">
        <v>34.65</v>
      </c>
      <c r="BM9" s="89" t="s">
        <v>28</v>
      </c>
      <c r="BO9" s="89" t="s">
        <v>25</v>
      </c>
      <c r="BP9" s="90">
        <v>0.0</v>
      </c>
      <c r="BQ9" s="90">
        <v>0.0</v>
      </c>
      <c r="BR9" s="90">
        <v>0.0</v>
      </c>
      <c r="BS9" s="89" t="s">
        <v>80</v>
      </c>
      <c r="BT9" s="89" t="s">
        <v>66</v>
      </c>
      <c r="BU9" s="90">
        <v>0.0</v>
      </c>
      <c r="BV9" s="90">
        <v>0.0</v>
      </c>
      <c r="BW9" s="90">
        <v>0.0</v>
      </c>
      <c r="BX9" s="90">
        <v>0.0</v>
      </c>
      <c r="CH9" s="89" t="s">
        <v>88</v>
      </c>
      <c r="CI9" s="89" t="s">
        <v>70</v>
      </c>
      <c r="CJ9" s="90">
        <v>0.0</v>
      </c>
      <c r="CK9" s="89" t="s">
        <v>82</v>
      </c>
      <c r="CM9" s="89" t="s">
        <v>66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