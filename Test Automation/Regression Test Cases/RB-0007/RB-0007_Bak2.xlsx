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RebalanceAcrossSecurities" sheetId="11" r:id="rId13"/>
    <sheet state="visible" name="ModifyRebalance" sheetId="12" r:id="rId14"/>
    <sheet state="visible" name="VerifyGridData" sheetId="13" r:id="rId15"/>
  </sheets>
  <definedNames/>
  <calcPr/>
</workbook>
</file>

<file path=xl/sharedStrings.xml><?xml version="1.0" encoding="utf-8"?>
<sst xmlns="http://schemas.openxmlformats.org/spreadsheetml/2006/main" count="131" uniqueCount="48">
  <si>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</si>
  <si>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</si>
  <si>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</si>
  <si>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</si>
  <si>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</si>
  <si>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</si>
  <si>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1hEhI9rg16D4Xvfk19pDaFUFF78jjfIG29BBaNg8kT0A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</si>
  <si>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</si>
  <si>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</si>
  <si>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</si>
  <si>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</si>
  <si>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</si>
  <si>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</si>
  <si>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</si>
  <si>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</si>
  <si>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</si>
  <si>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</si>
  <si>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</si>
  <si>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</si>
  <si>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</si>
  <si>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</si>
  <si>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</si>
  <si>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</si>
  <si>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</si>
  <si>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MSFT</t>
  </si>
  <si>
    <t>Sell short</t>
  </si>
  <si>
    <t>PricingInput</t>
  </si>
  <si>
    <t>Rebalancer</t>
  </si>
  <si>
    <t>FetchAccountPositions</t>
  </si>
  <si>
    <t>NewMF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</si>
  <si>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</si>
  <si>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</si>
  <si>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</si>
  <si>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</si>
  <si>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</si>
  <si>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</si>
  <si>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</si>
  <si>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Nearest Round Off</t>
  </si>
  <si>
    <t>RebalanceAcrossSecurities</t>
  </si>
  <si>
    <t>AIG</t>
  </si>
  <si>
    <t xml:space="preserve">Set </t>
  </si>
  <si>
    <t>ModifyRebalance</t>
  </si>
  <si>
    <t>Yes</t>
  </si>
  <si>
    <t>VerifyGridData</t>
  </si>
  <si>
    <t>Equity</t>
  </si>
  <si>
    <t>Long</t>
  </si>
  <si>
    <t>Short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</si>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</sst>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readingOrder="0" shrinkToFit="0" wrapText="0"/>
    </xf>
    <xf borderId="0" fillId="6" fontId="13" numFmtId="14" xfId="0" applyAlignment="1" applyFill="1" applyFont="1" applyNumberFormat="1">
      <alignment horizontal="left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6" fontId="13" numFmtId="14" xfId="0" applyAlignment="1" applyBorder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6" fontId="13" numFmtId="14" xfId="0" applyAlignment="1" applyFont="1" applyNumberFormat="1">
      <alignment horizontal="right" vertical="bottom"/>
    </xf>
    <xf borderId="0" fillId="2" fontId="1" numFmtId="0" xfId="0" applyAlignment="1" applyFont="1">
      <alignment horizontal="center"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s="10" t="str">
        <f>IFERROR(__xludf.DUMMYFUNCTION("""COMPUTED_VALUE"""),"Compliance")</f>
        <v>Compliance</v>
      </c>
      <c r="B369" s="11" t="str">
        <f>IFERROR(__xludf.DUMMYFUNCTION("""COMPUTED_VALUE"""),"VerifySecurityWindow")</f>
        <v>VerifySecurityWindow</v>
      </c>
      <c r="C369" s="11" t="str">
        <f>IFERROR(__xludf.DUMMYFUNCTION("""COMPUTED_VALUE"""),"1xeK-JWq8oHwAbmnGt_N4qn9Nt8F9XHo5-Mtr0t_7pRw")</f>
        <v>1xeK-JWq8oHwAbmnGt_N4qn9Nt8F9XHo5-Mtr0t_7pRw</v>
      </c>
    </row>
    <row r="370" ht="15.75" customHeight="1">
      <c r="A370" s="11" t="str">
        <f>IFERROR(__xludf.DUMMYFUNCTION("""COMPUTED_VALUE"""),"Compliance")</f>
        <v>Compliance</v>
      </c>
      <c r="B370" s="11" t="str">
        <f>IFERROR(__xludf.DUMMYFUNCTION("""COMPUTED_VALUE"""),"VerifySymbolDataWindow")</f>
        <v>VerifySymbolDataWindow</v>
      </c>
      <c r="C370" s="11" t="str">
        <f>IFERROR(__xludf.DUMMYFUNCTION("""COMPUTED_VALUE"""),"13iKSNjdwzv3DKe_1fcHZJ8GUk5s-HKAGG5PE6MY-smA")</f>
        <v>13iKSNjdwzv3DKe_1fcHZJ8GUk5s-HKAGG5PE6MY-smA</v>
      </c>
    </row>
    <row r="371" ht="15.75" customHeight="1">
      <c r="A371" s="11" t="str">
        <f>IFERROR(__xludf.DUMMYFUNCTION("""COMPUTED_VALUE"""),"Compliance")</f>
        <v>Compliance</v>
      </c>
      <c r="B371" s="11" t="str">
        <f>IFERROR(__xludf.DUMMYFUNCTION("""COMPUTED_VALUE"""),"VerifySymbolDivisorWindow")</f>
        <v>VerifySymbolDivisorWindow</v>
      </c>
      <c r="C371" s="11" t="str">
        <f>IFERROR(__xludf.DUMMYFUNCTION("""COMPUTED_VALUE"""),"1uyHz1cQUHCK-GcBufMehtS9i6BspKa5HVCLnf4pfGuk")</f>
        <v>1uyHz1cQUHCK-GcBufMehtS9i6BspKa5HVCLnf4pfGuk</v>
      </c>
    </row>
    <row r="372" ht="15.75" customHeight="1">
      <c r="A372" s="11" t="str">
        <f>IFERROR(__xludf.DUMMYFUNCTION("""COMPUTED_VALUE"""),"Compliance")</f>
        <v>Compliance</v>
      </c>
      <c r="B372" s="11" t="str">
        <f>IFERROR(__xludf.DUMMYFUNCTION("""COMPUTED_VALUE"""),"VerifyTaxlotWindow")</f>
        <v>VerifyTaxlotWindow</v>
      </c>
      <c r="C372" s="11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IFERROR(__xludf.DUMMYFUNCTION("""COMPUTED_VALUE"""),"RebalanceAcrossSecuritiesViaBloomberg")</f>
        <v>RebalanceAcrossSecuritiesViaBloomberg</v>
      </c>
      <c r="C461" t="str">
        <f>IFERROR(__xludf.DUMMYFUNCTION("""COMPUTED_VALUE"""),"1z93mn3V8oo4z9cPizVEsKkgznY19l8cLUIZiwvfNHFs")</f>
        <v>1z93mn3V8oo4z9cPizVEsKkgznY19l8cLUIZiwvfNHFs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2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3" t="s">
        <v>4</v>
      </c>
      <c r="C3" s="8"/>
    </row>
    <row r="4" ht="15.75" customHeight="1">
      <c r="A4" s="14" t="s">
        <v>5</v>
      </c>
      <c r="B4" s="13" t="s">
        <v>6</v>
      </c>
      <c r="C4" s="8"/>
    </row>
    <row r="5" ht="15.75" customHeight="1">
      <c r="A5" s="15"/>
      <c r="B5" s="8"/>
      <c r="C5" s="8"/>
    </row>
    <row r="6" ht="15.75" customHeight="1">
      <c r="A6" s="15"/>
      <c r="B6" s="8"/>
      <c r="C6" s="8"/>
    </row>
    <row r="7" ht="15.75" customHeight="1">
      <c r="A7" s="15"/>
      <c r="B7" s="8"/>
      <c r="C7" s="8"/>
    </row>
    <row r="8" ht="15.75" customHeight="1">
      <c r="A8" s="15"/>
      <c r="B8" s="8"/>
      <c r="C8" s="8"/>
    </row>
    <row r="9" ht="15.75" customHeight="1">
      <c r="A9" s="15"/>
      <c r="B9" s="8"/>
      <c r="C9" s="8"/>
    </row>
    <row r="10" ht="15.75" customHeight="1">
      <c r="A10" s="15"/>
      <c r="B10" s="8"/>
      <c r="C10" s="8"/>
    </row>
    <row r="11" ht="15.75" customHeight="1">
      <c r="A11" s="15"/>
      <c r="B11" s="8"/>
      <c r="C11" s="8"/>
    </row>
    <row r="12" ht="15.75" customHeight="1">
      <c r="A12" s="15"/>
      <c r="B12" s="8"/>
      <c r="C12" s="8"/>
    </row>
    <row r="13" ht="15.75" customHeight="1">
      <c r="A13" s="15"/>
      <c r="B13" s="8"/>
      <c r="C13" s="8"/>
    </row>
    <row r="14" ht="15.75" customHeight="1">
      <c r="A14" s="15"/>
      <c r="B14" s="8"/>
      <c r="C14" s="8"/>
    </row>
    <row r="15" ht="15.75" customHeight="1">
      <c r="A15" s="15"/>
      <c r="B15" s="8"/>
      <c r="C15" s="8"/>
    </row>
    <row r="16" ht="15.75" customHeight="1">
      <c r="A16" s="15"/>
      <c r="B16" s="8"/>
      <c r="C16" s="8"/>
    </row>
    <row r="17" ht="15.75" customHeight="1">
      <c r="A17" s="15"/>
      <c r="B17" s="8"/>
      <c r="C17" s="8"/>
    </row>
    <row r="18" ht="15.75" customHeight="1">
      <c r="A18" s="15"/>
      <c r="B18" s="8"/>
      <c r="C18" s="8"/>
    </row>
    <row r="19" ht="15.75" customHeight="1">
      <c r="A19" s="15"/>
      <c r="B19" s="8"/>
      <c r="C19" s="8"/>
    </row>
    <row r="20" ht="15.75" customHeight="1">
      <c r="A20" s="15"/>
      <c r="B20" s="8"/>
      <c r="C20" s="8"/>
    </row>
    <row r="21" ht="15.75" customHeight="1">
      <c r="A21" s="15"/>
      <c r="B21" s="8"/>
      <c r="C21" s="8"/>
    </row>
    <row r="22" ht="15.75" customHeight="1">
      <c r="A22" s="15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6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4" t="s">
        <v>8</v>
      </c>
      <c r="B3" s="17" t="s">
        <v>9</v>
      </c>
      <c r="C3" s="17" t="s">
        <v>10</v>
      </c>
      <c r="D3" s="18"/>
      <c r="E3" s="18"/>
      <c r="F3" s="18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12</v>
      </c>
      <c r="D3" s="5" t="s">
        <v>9</v>
      </c>
      <c r="E3" s="24" t="s">
        <v>13</v>
      </c>
      <c r="F3" s="5" t="s">
        <v>14</v>
      </c>
      <c r="G3" s="15" t="s">
        <v>15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IFERROR(__xludf.DUMMYFUNCTION("IF(C3="""","""",Transpose(IMPORTRANGE('_Settings'!$B$3,C3&amp;""!A4:A1000"")))"),"UpdateBeta")</f>
        <v>UpdateBeta</v>
      </c>
      <c r="C4" s="26" t="str">
        <f>IFERROR(__xludf.DUMMYFUNCTION("""COMPUTED_VALUE"""),"UpdateDailyCash")</f>
        <v>UpdateDailyCash</v>
      </c>
      <c r="D4" s="26" t="str">
        <f>IFERROR(__xludf.DUMMYFUNCTION("""COMPUTED_VALUE"""),"UpdateForexConversion")</f>
        <v>UpdateForexConversion</v>
      </c>
      <c r="E4" s="26" t="str">
        <f>IFERROR(__xludf.DUMMYFUNCTION("""COMPUTED_VALUE"""),"UpdateMarkPrice")</f>
        <v>UpdateMarkPrice</v>
      </c>
      <c r="F4" s="26" t="str">
        <f>IFERROR(__xludf.DUMMYFUNCTION("""COMPUTED_VALUE"""),"CleanUp")</f>
        <v>CleanUp</v>
      </c>
      <c r="G4" s="26" t="str">
        <f>IFERROR(__xludf.DUMMYFUNCTION("""COMPUTED_VALUE"""),"GetMarkPriceData")</f>
        <v>GetMarkPriceData</v>
      </c>
      <c r="H4" s="26" t="str">
        <f>IFERROR(__xludf.DUMMYFUNCTION("""COMPUTED_VALUE"""),"GetForwardPoints")</f>
        <v>GetForwardPoints</v>
      </c>
      <c r="I4" s="26" t="str">
        <f>IFERROR(__xludf.DUMMYFUNCTION("""COMPUTED_VALUE"""),"UpdateForwardPoints")</f>
        <v>UpdateForwardPoints</v>
      </c>
      <c r="J4" s="26" t="str">
        <f>IFERROR(__xludf.DUMMYFUNCTION("""COMPUTED_VALUE"""),"GetForexConversion")</f>
        <v>GetForexConversion</v>
      </c>
      <c r="K4" s="26" t="str">
        <f>IFERROR(__xludf.DUMMYFUNCTION("""COMPUTED_VALUE"""),"DeleteNAV")</f>
        <v>DeleteNAV</v>
      </c>
      <c r="L4" s="26" t="str">
        <f>IFERROR(__xludf.DUMMYFUNCTION("""COMPUTED_VALUE"""),"GetDailyCash")</f>
        <v>GetDailyCash</v>
      </c>
      <c r="M4" s="26" t="str">
        <f>IFERROR(__xludf.DUMMYFUNCTION("""COMPUTED_VALUE"""),"GetDailyBeta")</f>
        <v>GetDailyBeta</v>
      </c>
      <c r="N4" s="26" t="str">
        <f>IFERROR(__xludf.DUMMYFUNCTION("""COMPUTED_VALUE"""),"GetDailyVolatility")</f>
        <v>GetDailyVolatility</v>
      </c>
      <c r="O4" s="26" t="str">
        <f>IFERROR(__xludf.DUMMYFUNCTION("""COMPUTED_VALUE"""),"GetDailyDividendYield")</f>
        <v>GetDailyDividendYield</v>
      </c>
      <c r="P4" s="27" t="str">
        <f>IFERROR(__xludf.DUMMYFUNCTION("""COMPUTED_VALUE"""),"GetDailyTradingVolume")</f>
        <v>GetDailyTradingVolume</v>
      </c>
      <c r="Q4" s="27" t="str">
        <f>IFERROR(__xludf.DUMMYFUNCTION("""COMPUTED_VALUE"""),"GetDailyOutstandings")</f>
        <v>GetDailyOutstandings</v>
      </c>
      <c r="R4" s="27" t="str">
        <f>IFERROR(__xludf.DUMMYFUNCTION("""COMPUTED_VALUE"""),"GetDailyDelta")</f>
        <v>GetDailyDelta</v>
      </c>
      <c r="S4" s="27" t="str">
        <f>IFERROR(__xludf.DUMMYFUNCTION("""COMPUTED_VALUE"""),"UpdateDailyVolatility")</f>
        <v>UpdateDailyVolatility</v>
      </c>
      <c r="T4" s="27" t="str">
        <f>IFERROR(__xludf.DUMMYFUNCTION("""COMPUTED_VALUE"""),"UpdateDividendYield")</f>
        <v>UpdateDividendYield</v>
      </c>
      <c r="U4" s="27" t="str">
        <f>IFERROR(__xludf.DUMMYFUNCTION("""COMPUTED_VALUE"""),"UpdateTradingVolume")</f>
        <v>UpdateTradingVolume</v>
      </c>
      <c r="V4" s="27" t="str">
        <f>IFERROR(__xludf.DUMMYFUNCTION("""COMPUTED_VALUE"""),"UpdateDailyDelta")</f>
        <v>UpdateDailyDelta</v>
      </c>
      <c r="W4" s="27" t="str">
        <f>IFERROR(__xludf.DUMMYFUNCTION("""COMPUTED_VALUE"""),"UpdateDailyOutstandings")</f>
        <v>UpdateDailyOutstandings</v>
      </c>
      <c r="X4" s="27" t="str">
        <f>IFERROR(__xludf.DUMMYFUNCTION("""COMPUTED_VALUE"""),"UpdateBeta")</f>
        <v>UpdateBeta</v>
      </c>
      <c r="Y4" s="27" t="str">
        <f>IFERROR(__xludf.DUMMYFUNCTION("""COMPUTED_VALUE"""),"UpdateNAV")</f>
        <v>UpdateNAV</v>
      </c>
      <c r="Z4" s="27" t="str">
        <f>IFERROR(__xludf.DUMMYFUNCTION("""COMPUTED_VALUE"""),"UpdateDailyCash")</f>
        <v>UpdateDailyCash</v>
      </c>
      <c r="AA4" s="27" t="str">
        <f>IFERROR(__xludf.DUMMYFUNCTION("""COMPUTED_VALUE"""),"UpdateDailyCreditLimt")</f>
        <v>UpdateDailyCreditLimt</v>
      </c>
      <c r="AB4" s="27" t="str">
        <f>IFERROR(__xludf.DUMMYFUNCTION("""COMPUTED_VALUE"""),"RemoveDailyCreditLimit")</f>
        <v>RemoveDailyCreditLimit</v>
      </c>
      <c r="AC4" s="27" t="str">
        <f>IFERROR(__xludf.DUMMYFUNCTION("""COMPUTED_VALUE"""),"RemoveDailyCash")</f>
        <v>RemoveDailyCash</v>
      </c>
      <c r="AD4" s="27" t="str">
        <f>IFERROR(__xludf.DUMMYFUNCTION("""COMPUTED_VALUE"""),"RemoveNAV")</f>
        <v>RemoveNAV</v>
      </c>
      <c r="AE4" s="27" t="str">
        <f>IFERROR(__xludf.DUMMYFUNCTION("""COMPUTED_VALUE"""),"UpdateForexConversionMonthly")</f>
        <v>UpdateForexConversionMonthly</v>
      </c>
      <c r="AF4" s="27" t="str">
        <f>IFERROR(__xludf.DUMMYFUNCTION("""COMPUTED_VALUE"""),"UpdateMarkPriceMonthly")</f>
        <v>UpdateMarkPriceMonthly</v>
      </c>
      <c r="AG4" s="27" t="str">
        <f>IFERROR(__xludf.DUMMYFUNCTION("""COMPUTED_VALUE"""),"VerifyDailyCash")</f>
        <v>VerifyDailyCash</v>
      </c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IFERROR(__xludf.DUMMYFUNCTION("""COMPUTED_VALUE"""),"Select Date")</f>
        <v>Select Date</v>
      </c>
      <c r="C5" s="29" t="str">
        <f>IFERROR(__xludf.DUMMYFUNCTION("""COMPUTED_VALUE"""),"Copy From")</f>
        <v>Copy From</v>
      </c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32">
        <f t="shared" ref="B6:C6" si="1">TODAY()-1</f>
        <v>44147</v>
      </c>
      <c r="C6" s="33">
        <f t="shared" si="1"/>
        <v>44147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12</v>
      </c>
      <c r="D3" s="5" t="s">
        <v>9</v>
      </c>
      <c r="E3" s="24" t="s">
        <v>16</v>
      </c>
      <c r="F3" s="5" t="s">
        <v>14</v>
      </c>
      <c r="G3" s="15" t="s">
        <v>15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IFERROR(__xludf.DUMMYFUNCTION("IF(C3="""","""",Transpose(IMPORTRANGE('_Settings'!$B$3,C3&amp;""!A4:A1000"")))"),"UpdateBeta")</f>
        <v>UpdateBeta</v>
      </c>
      <c r="C4" s="26" t="str">
        <f>IFERROR(__xludf.DUMMYFUNCTION("""COMPUTED_VALUE"""),"UpdateDailyCash")</f>
        <v>UpdateDailyCash</v>
      </c>
      <c r="D4" s="26" t="str">
        <f>IFERROR(__xludf.DUMMYFUNCTION("""COMPUTED_VALUE"""),"UpdateForexConversion")</f>
        <v>UpdateForexConversion</v>
      </c>
      <c r="E4" s="26" t="str">
        <f>IFERROR(__xludf.DUMMYFUNCTION("""COMPUTED_VALUE"""),"UpdateMarkPrice")</f>
        <v>UpdateMarkPrice</v>
      </c>
      <c r="F4" s="26" t="str">
        <f>IFERROR(__xludf.DUMMYFUNCTION("""COMPUTED_VALUE"""),"CleanUp")</f>
        <v>CleanUp</v>
      </c>
      <c r="G4" s="26" t="str">
        <f>IFERROR(__xludf.DUMMYFUNCTION("""COMPUTED_VALUE"""),"GetMarkPriceData")</f>
        <v>GetMarkPriceData</v>
      </c>
      <c r="H4" s="26" t="str">
        <f>IFERROR(__xludf.DUMMYFUNCTION("""COMPUTED_VALUE"""),"GetForwardPoints")</f>
        <v>GetForwardPoints</v>
      </c>
      <c r="I4" s="26" t="str">
        <f>IFERROR(__xludf.DUMMYFUNCTION("""COMPUTED_VALUE"""),"UpdateForwardPoints")</f>
        <v>UpdateForwardPoints</v>
      </c>
      <c r="J4" s="26" t="str">
        <f>IFERROR(__xludf.DUMMYFUNCTION("""COMPUTED_VALUE"""),"GetForexConversion")</f>
        <v>GetForexConversion</v>
      </c>
      <c r="K4" s="26" t="str">
        <f>IFERROR(__xludf.DUMMYFUNCTION("""COMPUTED_VALUE"""),"DeleteNAV")</f>
        <v>DeleteNAV</v>
      </c>
      <c r="L4" s="26" t="str">
        <f>IFERROR(__xludf.DUMMYFUNCTION("""COMPUTED_VALUE"""),"GetDailyCash")</f>
        <v>GetDailyCash</v>
      </c>
      <c r="M4" s="26" t="str">
        <f>IFERROR(__xludf.DUMMYFUNCTION("""COMPUTED_VALUE"""),"GetDailyBeta")</f>
        <v>GetDailyBeta</v>
      </c>
      <c r="N4" s="26" t="str">
        <f>IFERROR(__xludf.DUMMYFUNCTION("""COMPUTED_VALUE"""),"GetDailyVolatility")</f>
        <v>GetDailyVolatility</v>
      </c>
      <c r="O4" s="26" t="str">
        <f>IFERROR(__xludf.DUMMYFUNCTION("""COMPUTED_VALUE"""),"GetDailyDividendYield")</f>
        <v>GetDailyDividendYield</v>
      </c>
      <c r="P4" s="27" t="str">
        <f>IFERROR(__xludf.DUMMYFUNCTION("""COMPUTED_VALUE"""),"GetDailyTradingVolume")</f>
        <v>GetDailyTradingVolume</v>
      </c>
      <c r="Q4" s="27" t="str">
        <f>IFERROR(__xludf.DUMMYFUNCTION("""COMPUTED_VALUE"""),"GetDailyOutstandings")</f>
        <v>GetDailyOutstandings</v>
      </c>
      <c r="R4" s="27" t="str">
        <f>IFERROR(__xludf.DUMMYFUNCTION("""COMPUTED_VALUE"""),"GetDailyDelta")</f>
        <v>GetDailyDelta</v>
      </c>
      <c r="S4" s="27" t="str">
        <f>IFERROR(__xludf.DUMMYFUNCTION("""COMPUTED_VALUE"""),"UpdateDailyVolatility")</f>
        <v>UpdateDailyVolatility</v>
      </c>
      <c r="T4" s="27" t="str">
        <f>IFERROR(__xludf.DUMMYFUNCTION("""COMPUTED_VALUE"""),"UpdateDividendYield")</f>
        <v>UpdateDividendYield</v>
      </c>
      <c r="U4" s="27" t="str">
        <f>IFERROR(__xludf.DUMMYFUNCTION("""COMPUTED_VALUE"""),"UpdateTradingVolume")</f>
        <v>UpdateTradingVolume</v>
      </c>
      <c r="V4" s="27" t="str">
        <f>IFERROR(__xludf.DUMMYFUNCTION("""COMPUTED_VALUE"""),"UpdateDailyDelta")</f>
        <v>UpdateDailyDelta</v>
      </c>
      <c r="W4" s="27" t="str">
        <f>IFERROR(__xludf.DUMMYFUNCTION("""COMPUTED_VALUE"""),"UpdateDailyOutstandings")</f>
        <v>UpdateDailyOutstandings</v>
      </c>
      <c r="X4" s="27" t="str">
        <f>IFERROR(__xludf.DUMMYFUNCTION("""COMPUTED_VALUE"""),"UpdateBeta")</f>
        <v>UpdateBeta</v>
      </c>
      <c r="Y4" s="27" t="str">
        <f>IFERROR(__xludf.DUMMYFUNCTION("""COMPUTED_VALUE"""),"UpdateNAV")</f>
        <v>UpdateNAV</v>
      </c>
      <c r="Z4" s="27" t="str">
        <f>IFERROR(__xludf.DUMMYFUNCTION("""COMPUTED_VALUE"""),"UpdateDailyCash")</f>
        <v>UpdateDailyCash</v>
      </c>
      <c r="AA4" s="27" t="str">
        <f>IFERROR(__xludf.DUMMYFUNCTION("""COMPUTED_VALUE"""),"UpdateDailyCreditLimt")</f>
        <v>UpdateDailyCreditLimt</v>
      </c>
      <c r="AB4" s="27" t="str">
        <f>IFERROR(__xludf.DUMMYFUNCTION("""COMPUTED_VALUE"""),"RemoveDailyCreditLimit")</f>
        <v>RemoveDailyCreditLimit</v>
      </c>
      <c r="AC4" s="27" t="str">
        <f>IFERROR(__xludf.DUMMYFUNCTION("""COMPUTED_VALUE"""),"RemoveDailyCash")</f>
        <v>RemoveDailyCash</v>
      </c>
      <c r="AD4" s="27" t="str">
        <f>IFERROR(__xludf.DUMMYFUNCTION("""COMPUTED_VALUE"""),"RemoveNAV")</f>
        <v>RemoveNAV</v>
      </c>
      <c r="AE4" s="27" t="str">
        <f>IFERROR(__xludf.DUMMYFUNCTION("""COMPUTED_VALUE"""),"UpdateForexConversionMonthly")</f>
        <v>UpdateForexConversionMonthly</v>
      </c>
      <c r="AF4" s="27" t="str">
        <f>IFERROR(__xludf.DUMMYFUNCTION("""COMPUTED_VALUE"""),"UpdateMarkPriceMonthly")</f>
        <v>UpdateMarkPriceMonthly</v>
      </c>
      <c r="AG4" s="27" t="str">
        <f>IFERROR(__xludf.DUMMYFUNCTION("""COMPUTED_VALUE"""),"VerifyDailyCash")</f>
        <v>VerifyDailyCash</v>
      </c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IFERROR(__xludf.DUMMYFUNCTION("""COMPUTED_VALUE"""),"Account")</f>
        <v>Account</v>
      </c>
      <c r="C5" s="29" t="str">
        <f>IFERROR(__xludf.DUMMYFUNCTION("""COMPUTED_VALUE"""),"Local Currency")</f>
        <v>Local Currency</v>
      </c>
      <c r="D5" s="29" t="str">
        <f>IFERROR(__xludf.DUMMYFUNCTION("""COMPUTED_VALUE"""),"Cash Value Local")</f>
        <v>Cash Value Local</v>
      </c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35" t="s">
        <v>17</v>
      </c>
      <c r="C6" s="36" t="s">
        <v>18</v>
      </c>
      <c r="D6" s="37">
        <v>1000.0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19</v>
      </c>
      <c r="C7" s="38" t="s">
        <v>18</v>
      </c>
      <c r="D7" s="39">
        <v>1000.0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1b5S4Xpp4fgZ1ez6cK92QFnVBylqz8jhwxdAyEvwDqUI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20</v>
      </c>
      <c r="D3" s="5" t="s">
        <v>9</v>
      </c>
      <c r="E3" s="24" t="s">
        <v>21</v>
      </c>
      <c r="F3" s="5" t="s">
        <v>14</v>
      </c>
      <c r="G3" s="15" t="s">
        <v>15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IFERROR(__xludf.DUMMYFUNCTION("IF(C3="""","""",Transpose(IMPORTRANGE('_Settings'!$B$3,C3&amp;""!A4:A1000"")))"),"OpenTTFromPST")</f>
        <v>OpenTTFromPST</v>
      </c>
      <c r="C4" s="26" t="str">
        <f>IFERROR(__xludf.DUMMYFUNCTION("""COMPUTED_VALUE"""),"EnterDetailsOnTT")</f>
        <v>EnterDetailsOnTT</v>
      </c>
      <c r="D4" s="26" t="str">
        <f>IFERROR(__xludf.DUMMYFUNCTION("""COMPUTED_VALUE"""),"ValidateSymbolTT")</f>
        <v>ValidateSymbolTT</v>
      </c>
      <c r="E4" s="26" t="str">
        <f>IFERROR(__xludf.DUMMYFUNCTION("""COMPUTED_VALUE"""),"VerifyDataTT")</f>
        <v>VerifyDataTT</v>
      </c>
      <c r="F4" s="26" t="str">
        <f>IFERROR(__xludf.DUMMYFUNCTION("""COMPUTED_VALUE"""),"SetUIPreferencesTT")</f>
        <v>SetUIPreferencesTT</v>
      </c>
      <c r="G4" s="26" t="str">
        <f>IFERROR(__xludf.DUMMYFUNCTION("""COMPUTED_VALUE"""),"SetBrokerWisePreferencesTT")</f>
        <v>SetBrokerWisePreferencesTT</v>
      </c>
      <c r="H4" s="26" t="str">
        <f>IFERROR(__xludf.DUMMYFUNCTION("""COMPUTED_VALUE"""),"TradeNewSub")</f>
        <v>TradeNewSub</v>
      </c>
      <c r="I4" s="26" t="str">
        <f>IFERROR(__xludf.DUMMYFUNCTION("""COMPUTED_VALUE"""),"CreateStageOrder")</f>
        <v>CreateStageOrder</v>
      </c>
      <c r="J4" s="26" t="str">
        <f>IFERROR(__xludf.DUMMYFUNCTION("""COMPUTED_VALUE"""),"CreateReplaceOrder")</f>
        <v>CreateReplaceOrder</v>
      </c>
      <c r="K4" s="26" t="str">
        <f>IFERROR(__xludf.DUMMYFUNCTION("""COMPUTED_VALUE"""),"SetGeneralPreference")</f>
        <v>SetGeneralPreference</v>
      </c>
      <c r="L4" s="26" t="str">
        <f>IFERROR(__xludf.DUMMYFUNCTION("""COMPUTED_VALUE"""),"CreateDoneAwayOrder")</f>
        <v>CreateDoneAwayOrder</v>
      </c>
      <c r="M4" s="26" t="str">
        <f>IFERROR(__xludf.DUMMYFUNCTION("""COMPUTED_VALUE"""),"CreateNewSubOrder")</f>
        <v>CreateNewSubOrder</v>
      </c>
      <c r="N4" s="26" t="str">
        <f>IFERROR(__xludf.DUMMYFUNCTION("""COMPUTED_VALUE"""),"TradeBloomberg")</f>
        <v>TradeBloomberg</v>
      </c>
      <c r="O4" s="26" t="str">
        <f>IFERROR(__xludf.DUMMYFUNCTION("""COMPUTED_VALUE"""),"ClickSymbolLookup")</f>
        <v>ClickSymbolLookup</v>
      </c>
      <c r="P4" s="27" t="str">
        <f>IFERROR(__xludf.DUMMYFUNCTION("""COMPUTED_VALUE"""),"VerifyTT")</f>
        <v>VerifyTT</v>
      </c>
      <c r="Q4" s="27" t="str">
        <f>IFERROR(__xludf.DUMMYFUNCTION("""COMPUTED_VALUE"""),"CreateLiveOrder")</f>
        <v>CreateLiveOrder</v>
      </c>
      <c r="R4" s="27" t="str">
        <f>IFERROR(__xludf.DUMMYFUNCTION("""COMPUTED_VALUE"""),"ShowMasterFundOnTT")</f>
        <v>ShowMasterFundOnTT</v>
      </c>
      <c r="S4" s="27" t="str">
        <f>IFERROR(__xludf.DUMMYFUNCTION("""COMPUTED_VALUE"""),"UpdateMasterFundOnTT")</f>
        <v>UpdateMasterFundOnTT</v>
      </c>
      <c r="T4" s="27" t="str">
        <f>IFERROR(__xludf.DUMMYFUNCTION("""COMPUTED_VALUE"""),"SetTTCompliancePreference")</f>
        <v>SetTTCompliancePreference</v>
      </c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IFERROR(__xludf.DUMMYFUNCTION("""COMPUTED_VALUE"""),"TargetQuantityIn")</f>
        <v>TargetQuantityIn</v>
      </c>
      <c r="F5" s="30" t="str">
        <f>IFERROR(__xludf.DUMMYFUNCTION("""COMPUTED_VALUE"""),"AllocationMethod")</f>
        <v>AllocationMethod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IFERROR(__xludf.DUMMYFUNCTION("""COMPUTED_VALUE"""),"FxRate")</f>
        <v>FxRate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IFERROR(__xludf.DUMMYFUNCTION("""COMPUTED_VALUE"""),"CommissionBasis")</f>
        <v>CommissionBasis</v>
      </c>
      <c r="S5" s="29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IFERROR(__xludf.DUMMYFUNCTION("""COMPUTED_VALUE"""),"ChkBoxBookAsSwap")</f>
        <v>ChkBoxBookAsSwap</v>
      </c>
      <c r="AO5" s="31" t="str">
        <f>IFERROR(__xludf.DUMMYFUNCTION("""COMPUTED_VALUE"""),"PopUpQuantity")</f>
        <v>PopUpQuantity</v>
      </c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40"/>
      <c r="B6" s="35" t="s">
        <v>22</v>
      </c>
      <c r="C6" s="36" t="s">
        <v>23</v>
      </c>
      <c r="D6" s="41">
        <v>100.0</v>
      </c>
      <c r="E6" s="42">
        <v>100.0</v>
      </c>
      <c r="F6" s="36" t="s">
        <v>17</v>
      </c>
      <c r="G6" s="43"/>
      <c r="H6" s="43"/>
      <c r="I6" s="43"/>
      <c r="J6" s="42">
        <v>10.0</v>
      </c>
      <c r="K6" s="43"/>
      <c r="L6" s="43"/>
      <c r="M6" s="43"/>
      <c r="N6" s="44">
        <f t="shared" ref="N6:N8" si="1">TODAY()</f>
        <v>44148</v>
      </c>
      <c r="O6" s="43"/>
      <c r="P6" s="43"/>
      <c r="Q6" s="43"/>
      <c r="R6" s="43"/>
      <c r="S6" s="43"/>
      <c r="T6" s="11"/>
      <c r="U6" s="11"/>
      <c r="V6" s="11"/>
      <c r="W6" s="11"/>
      <c r="X6" s="11"/>
      <c r="Y6" s="11"/>
      <c r="Z6" s="11"/>
    </row>
    <row r="7" ht="15.75" customHeight="1">
      <c r="A7" s="11"/>
      <c r="B7" s="38" t="s">
        <v>22</v>
      </c>
      <c r="C7" s="38" t="s">
        <v>23</v>
      </c>
      <c r="D7" s="45">
        <v>100.0</v>
      </c>
      <c r="E7" s="45">
        <v>100.0</v>
      </c>
      <c r="F7" s="38" t="s">
        <v>19</v>
      </c>
      <c r="G7" s="11"/>
      <c r="H7" s="11"/>
      <c r="I7" s="11"/>
      <c r="J7" s="45">
        <v>10.0</v>
      </c>
      <c r="K7" s="11"/>
      <c r="L7" s="11"/>
      <c r="M7" s="11"/>
      <c r="N7" s="46">
        <f t="shared" si="1"/>
        <v>44148</v>
      </c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5.75" customHeight="1">
      <c r="A8" s="8"/>
      <c r="B8" s="13" t="s">
        <v>24</v>
      </c>
      <c r="C8" s="13" t="s">
        <v>25</v>
      </c>
      <c r="D8" s="13">
        <v>200.0</v>
      </c>
      <c r="E8" s="13">
        <v>200.0</v>
      </c>
      <c r="F8" s="13" t="s">
        <v>17</v>
      </c>
      <c r="G8" s="8"/>
      <c r="H8" s="8"/>
      <c r="I8" s="8"/>
      <c r="J8" s="13">
        <v>10.0</v>
      </c>
      <c r="K8" s="8"/>
      <c r="L8" s="8"/>
      <c r="M8" s="8"/>
      <c r="N8" s="46">
        <f t="shared" si="1"/>
        <v>44148</v>
      </c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26</v>
      </c>
      <c r="D3" s="5" t="s">
        <v>9</v>
      </c>
      <c r="E3" s="24" t="s">
        <v>26</v>
      </c>
      <c r="F3" s="5" t="s">
        <v>14</v>
      </c>
      <c r="G3" s="15" t="s">
        <v>15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IFERROR(__xludf.DUMMYFUNCTION("IF(C3="""","""",Transpose(IMPORTRANGE('_Settings'!$B$3,C3&amp;""!A4:A1000"")))"),"PricingInput")</f>
        <v>PricingInput</v>
      </c>
      <c r="C4" s="26" t="str">
        <f>IFERROR(__xludf.DUMMYFUNCTION("""COMPUTED_VALUE"""),"UpdateSharesOutstanding")</f>
        <v>UpdateSharesOutstanding</v>
      </c>
      <c r="D4" s="26" t="str">
        <f>IFERROR(__xludf.DUMMYFUNCTION("""COMPUTED_VALUE"""),"EODTPreferences")</f>
        <v>EODTPreferences</v>
      </c>
      <c r="E4" s="26" t="str">
        <f>IFERROR(__xludf.DUMMYFUNCTION("""COMPUTED_VALUE"""),"LiveData")</f>
        <v>LiveData</v>
      </c>
      <c r="F4" s="26"/>
      <c r="G4" s="26"/>
      <c r="H4" s="26"/>
      <c r="I4" s="26"/>
      <c r="J4" s="26"/>
      <c r="K4" s="26"/>
      <c r="L4" s="26"/>
      <c r="M4" s="26"/>
      <c r="N4" s="26"/>
      <c r="O4" s="26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IFERROR(__xludf.DUMMYFUNCTION("""COMPUTED_VALUE"""),"User Px")</f>
        <v>User Px</v>
      </c>
      <c r="D5" s="29" t="str">
        <f>IFERROR(__xludf.DUMMYFUNCTION("""COMPUTED_VALUE"""),"Asset Class")</f>
        <v>Asset Class</v>
      </c>
      <c r="E5" s="29" t="str">
        <f>IFERROR(__xludf.DUMMYFUNCTION("""COMPUTED_VALUE"""),"Volatility(%)")</f>
        <v>Volatility(%)</v>
      </c>
      <c r="F5" s="30" t="str">
        <f>IFERROR(__xludf.DUMMYFUNCTION("""COMPUTED_VALUE"""),"Historical Volatility")</f>
        <v>Historical Volatility</v>
      </c>
      <c r="G5" s="29" t="str">
        <f>IFERROR(__xludf.DUMMYFUNCTION("""COMPUTED_VALUE"""),"User Volatility")</f>
        <v>User Volatility</v>
      </c>
      <c r="H5" s="29" t="str">
        <f>IFERROR(__xludf.DUMMYFUNCTION("""COMPUTED_VALUE"""),"Interest Rate")</f>
        <v>Interest Rate</v>
      </c>
      <c r="I5" s="29" t="str">
        <f>IFERROR(__xludf.DUMMYFUNCTION("""COMPUTED_VALUE"""),"User Interest Rate")</f>
        <v>User Interest Rate</v>
      </c>
      <c r="J5" s="29" t="str">
        <f>IFERROR(__xludf.DUMMYFUNCTION("""COMPUTED_VALUE"""),"Dividend Yield")</f>
        <v>Dividend Yield</v>
      </c>
      <c r="K5" s="29" t="str">
        <f>IFERROR(__xludf.DUMMYFUNCTION("""COMPUTED_VALUE"""),"User Dividend Yield")</f>
        <v>User Dividend Yield</v>
      </c>
      <c r="L5" s="29" t="str">
        <f>IFERROR(__xludf.DUMMYFUNCTION("""COMPUTED_VALUE"""),"Actual Delta")</f>
        <v>Actual Delta</v>
      </c>
      <c r="M5" s="29" t="str">
        <f>IFERROR(__xludf.DUMMYFUNCTION("""COMPUTED_VALUE"""),"User Delta")</f>
        <v>User Delta</v>
      </c>
      <c r="N5" s="29" t="str">
        <f>IFERROR(__xludf.DUMMYFUNCTION("""COMPUTED_VALUE"""),"Selected Px")</f>
        <v>Selected Px</v>
      </c>
      <c r="O5" s="29" t="str">
        <f>IFERROR(__xludf.DUMMYFUNCTION("""COMPUTED_VALUE"""),"Forward Points")</f>
        <v>Forward Points</v>
      </c>
      <c r="P5" s="29" t="str">
        <f>IFERROR(__xludf.DUMMYFUNCTION("""COMPUTED_VALUE"""),"Shares Outstanding")</f>
        <v>Shares Outstanding</v>
      </c>
      <c r="Q5" s="29" t="str">
        <f>IFERROR(__xludf.DUMMYFUNCTION("""COMPUTED_VALUE"""),"User Shares Outstanding")</f>
        <v>User Shares Outstanding</v>
      </c>
      <c r="R5" s="29" t="str">
        <f>IFERROR(__xludf.DUMMYFUNCTION("""COMPUTED_VALUE"""),"LastPriceUsed")</f>
        <v>LastPriceUsed</v>
      </c>
      <c r="S5" s="29" t="str">
        <f>IFERROR(__xludf.DUMMYFUNCTION("""COMPUTED_VALUE"""),"VolatilityUsed")</f>
        <v>VolatilityUsed</v>
      </c>
      <c r="T5" s="31" t="str">
        <f>IFERROR(__xludf.DUMMYFUNCTION("""COMPUTED_VALUE"""),"IntRateUsed")</f>
        <v>IntRateUsed</v>
      </c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35" t="s">
        <v>22</v>
      </c>
      <c r="C6" s="42">
        <v>10.0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24</v>
      </c>
      <c r="C7" s="13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27</v>
      </c>
      <c r="D3" s="5" t="s">
        <v>9</v>
      </c>
      <c r="E3" s="24" t="s">
        <v>28</v>
      </c>
      <c r="F3" s="5" t="s">
        <v>14</v>
      </c>
      <c r="G3" s="15" t="s">
        <v>15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IFERROR(__xludf.DUMMYFUNCTION("IF(C3="""","""",Transpose(IMPORTRANGE('_Settings'!$B$3,C3&amp;""!A4:A1000"")))"),"FetchAccountPositions")</f>
        <v>FetchAccountPositions</v>
      </c>
      <c r="C4" s="26" t="str">
        <f>IFERROR(__xludf.DUMMYFUNCTION("""COMPUTED_VALUE"""),"AddCash")</f>
        <v>AddCash</v>
      </c>
      <c r="D4" s="26" t="str">
        <f>IFERROR(__xludf.DUMMYFUNCTION("""COMPUTED_VALUE"""),"VerifyGridData")</f>
        <v>VerifyGridData</v>
      </c>
      <c r="E4" s="26" t="str">
        <f>IFERROR(__xludf.DUMMYFUNCTION("""COMPUTED_VALUE"""),"RunRebalance")</f>
        <v>RunRebalance</v>
      </c>
      <c r="F4" s="26" t="str">
        <f>IFERROR(__xludf.DUMMYFUNCTION("""COMPUTED_VALUE"""),"RebalanceAcrossSecurities")</f>
        <v>RebalanceAcrossSecurities</v>
      </c>
      <c r="G4" s="26" t="str">
        <f>IFERROR(__xludf.DUMMYFUNCTION("""COMPUTED_VALUE"""),"ModifyRebalance")</f>
        <v>ModifyRebalance</v>
      </c>
      <c r="H4" s="26" t="str">
        <f>IFERROR(__xludf.DUMMYFUNCTION("""COMPUTED_VALUE"""),"ClearCalculations")</f>
        <v>ClearCalculations</v>
      </c>
      <c r="I4" s="26" t="str">
        <f>IFERROR(__xludf.DUMMYFUNCTION("""COMPUTED_VALUE"""),"ModelPortfolio")</f>
        <v>ModelPortfolio</v>
      </c>
      <c r="J4" s="26" t="str">
        <f>IFERROR(__xludf.DUMMYFUNCTION("""COMPUTED_VALUE"""),"LockandUnlockGridData")</f>
        <v>LockandUnlockGridData</v>
      </c>
      <c r="K4" s="26" t="str">
        <f>IFERROR(__xludf.DUMMYFUNCTION("""COMPUTED_VALUE"""),"RefreshGridData")</f>
        <v>RefreshGridData</v>
      </c>
      <c r="L4" s="26" t="str">
        <f>IFERROR(__xludf.DUMMYFUNCTION("""COMPUTED_VALUE"""),"SendtoStaging")</f>
        <v>SendtoStaging</v>
      </c>
      <c r="M4" s="26" t="str">
        <f>IFERROR(__xludf.DUMMYFUNCTION("""COMPUTED_VALUE"""),"RebalanceAcrossSecuritiesViaBloomberg")</f>
        <v>RebalanceAcrossSecuritiesViaBloomberg</v>
      </c>
      <c r="N4" s="26" t="str">
        <f>IFERROR(__xludf.DUMMYFUNCTION("""COMPUTED_VALUE"""),"RebalanceAcrossSecuritiesViaBloomberg")</f>
        <v>RebalanceAcrossSecuritiesViaBloomberg</v>
      </c>
      <c r="O4" s="26" t="str">
        <f>IFERROR(__xludf.DUMMYFUNCTION("""COMPUTED_VALUE"""),"AddUserAdjustedNAV")</f>
        <v>AddUserAdjustedNAV</v>
      </c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IFERROR(__xludf.DUMMYFUNCTION("""COMPUTED_VALUE"""),"Account/Groups")</f>
        <v>Account/Groups</v>
      </c>
      <c r="C5" s="29" t="str">
        <f>IFERROR(__xludf.DUMMYFUNCTION("""COMPUTED_VALUE"""),"Account Positions")</f>
        <v>Account Positions</v>
      </c>
      <c r="D5" s="29" t="str">
        <f>IFERROR(__xludf.DUMMYFUNCTION("""COMPUTED_VALUE"""),"Calculation Level")</f>
        <v>Calculation Level</v>
      </c>
      <c r="E5" s="29" t="str">
        <f>IFERROR(__xludf.DUMMYFUNCTION("""COMPUTED_VALUE"""),"Refresh")</f>
        <v>Refresh</v>
      </c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35" t="s">
        <v>29</v>
      </c>
      <c r="C6" s="36" t="s">
        <v>30</v>
      </c>
      <c r="D6" s="35" t="s">
        <v>31</v>
      </c>
      <c r="E6" s="36" t="s">
        <v>32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47">
        <v>0.0</v>
      </c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27</v>
      </c>
      <c r="D3" s="5" t="s">
        <v>9</v>
      </c>
      <c r="E3" s="24" t="s">
        <v>33</v>
      </c>
      <c r="F3" s="5" t="s">
        <v>14</v>
      </c>
      <c r="G3" s="15" t="s">
        <v>15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IFERROR(__xludf.DUMMYFUNCTION("IF(C3="""","""",Transpose(IMPORTRANGE('_Settings'!$B$3,C3&amp;""!A4:A1000"")))"),"FetchAccountPositions")</f>
        <v>FetchAccountPositions</v>
      </c>
      <c r="C4" s="26" t="str">
        <f>IFERROR(__xludf.DUMMYFUNCTION("""COMPUTED_VALUE"""),"AddCash")</f>
        <v>AddCash</v>
      </c>
      <c r="D4" s="26" t="str">
        <f>IFERROR(__xludf.DUMMYFUNCTION("""COMPUTED_VALUE"""),"VerifyGridData")</f>
        <v>VerifyGridData</v>
      </c>
      <c r="E4" s="26" t="str">
        <f>IFERROR(__xludf.DUMMYFUNCTION("""COMPUTED_VALUE"""),"RunRebalance")</f>
        <v>RunRebalance</v>
      </c>
      <c r="F4" s="26" t="str">
        <f>IFERROR(__xludf.DUMMYFUNCTION("""COMPUTED_VALUE"""),"RebalanceAcrossSecurities")</f>
        <v>RebalanceAcrossSecurities</v>
      </c>
      <c r="G4" s="26" t="str">
        <f>IFERROR(__xludf.DUMMYFUNCTION("""COMPUTED_VALUE"""),"ModifyRebalance")</f>
        <v>ModifyRebalance</v>
      </c>
      <c r="H4" s="26" t="str">
        <f>IFERROR(__xludf.DUMMYFUNCTION("""COMPUTED_VALUE"""),"ClearCalculations")</f>
        <v>ClearCalculations</v>
      </c>
      <c r="I4" s="26" t="str">
        <f>IFERROR(__xludf.DUMMYFUNCTION("""COMPUTED_VALUE"""),"ModelPortfolio")</f>
        <v>ModelPortfolio</v>
      </c>
      <c r="J4" s="26" t="str">
        <f>IFERROR(__xludf.DUMMYFUNCTION("""COMPUTED_VALUE"""),"LockandUnlockGridData")</f>
        <v>LockandUnlockGridData</v>
      </c>
      <c r="K4" s="26" t="str">
        <f>IFERROR(__xludf.DUMMYFUNCTION("""COMPUTED_VALUE"""),"RefreshGridData")</f>
        <v>RefreshGridData</v>
      </c>
      <c r="L4" s="26" t="str">
        <f>IFERROR(__xludf.DUMMYFUNCTION("""COMPUTED_VALUE"""),"SendtoStaging")</f>
        <v>SendtoStaging</v>
      </c>
      <c r="M4" s="26" t="str">
        <f>IFERROR(__xludf.DUMMYFUNCTION("""COMPUTED_VALUE"""),"RebalanceAcrossSecuritiesViaBloomberg")</f>
        <v>RebalanceAcrossSecuritiesViaBloomberg</v>
      </c>
      <c r="N4" s="26" t="str">
        <f>IFERROR(__xludf.DUMMYFUNCTION("""COMPUTED_VALUE"""),"RebalanceAcrossSecuritiesViaBloomberg")</f>
        <v>RebalanceAcrossSecuritiesViaBloomberg</v>
      </c>
      <c r="O4" s="26" t="str">
        <f>IFERROR(__xludf.DUMMYFUNCTION("""COMPUTED_VALUE"""),"AddUserAdjustedNAV")</f>
        <v>AddUserAdjustedNAV</v>
      </c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IFERROR(__xludf.DUMMYFUNCTION("""COMPUTED_VALUE"""),"Cash Flow(USD)")</f>
        <v>Cash Flow(USD)</v>
      </c>
      <c r="C5" s="29" t="str">
        <f>IFERROR(__xludf.DUMMYFUNCTION("""COMPUTED_VALUE"""),"Cash Flow Impact on NAV")</f>
        <v>Cash Flow Impact on NAV</v>
      </c>
      <c r="D5" s="29" t="str">
        <f>IFERROR(__xludf.DUMMYFUNCTION("""COMPUTED_VALUE"""),"Select Model")</f>
        <v>Select Model</v>
      </c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>
        <v>-1000.0</v>
      </c>
      <c r="C6" s="13" t="s">
        <v>34</v>
      </c>
      <c r="D6" s="13" t="s">
        <v>35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27</v>
      </c>
      <c r="D3" s="5" t="s">
        <v>9</v>
      </c>
      <c r="E3" s="24" t="s">
        <v>36</v>
      </c>
      <c r="F3" s="5" t="s">
        <v>14</v>
      </c>
      <c r="G3" s="15" t="s">
        <v>15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IFERROR(__xludf.DUMMYFUNCTION("IF(C3="""","""",Transpose(IMPORTRANGE('_Settings'!$B$3,C3&amp;""!A4:A1000"")))"),"FetchAccountPositions")</f>
        <v>FetchAccountPositions</v>
      </c>
      <c r="C4" s="26" t="str">
        <f>IFERROR(__xludf.DUMMYFUNCTION("""COMPUTED_VALUE"""),"AddCash")</f>
        <v>AddCash</v>
      </c>
      <c r="D4" s="26" t="str">
        <f>IFERROR(__xludf.DUMMYFUNCTION("""COMPUTED_VALUE"""),"VerifyGridData")</f>
        <v>VerifyGridData</v>
      </c>
      <c r="E4" s="26" t="str">
        <f>IFERROR(__xludf.DUMMYFUNCTION("""COMPUTED_VALUE"""),"RunRebalance")</f>
        <v>RunRebalance</v>
      </c>
      <c r="F4" s="26" t="str">
        <f>IFERROR(__xludf.DUMMYFUNCTION("""COMPUTED_VALUE"""),"RebalanceAcrossSecurities")</f>
        <v>RebalanceAcrossSecurities</v>
      </c>
      <c r="G4" s="26" t="str">
        <f>IFERROR(__xludf.DUMMYFUNCTION("""COMPUTED_VALUE"""),"ModifyRebalance")</f>
        <v>ModifyRebalance</v>
      </c>
      <c r="H4" s="26" t="str">
        <f>IFERROR(__xludf.DUMMYFUNCTION("""COMPUTED_VALUE"""),"ClearCalculations")</f>
        <v>ClearCalculations</v>
      </c>
      <c r="I4" s="26" t="str">
        <f>IFERROR(__xludf.DUMMYFUNCTION("""COMPUTED_VALUE"""),"ModelPortfolio")</f>
        <v>ModelPortfolio</v>
      </c>
      <c r="J4" s="26" t="str">
        <f>IFERROR(__xludf.DUMMYFUNCTION("""COMPUTED_VALUE"""),"LockandUnlockGridData")</f>
        <v>LockandUnlockGridData</v>
      </c>
      <c r="K4" s="26" t="str">
        <f>IFERROR(__xludf.DUMMYFUNCTION("""COMPUTED_VALUE"""),"RefreshGridData")</f>
        <v>RefreshGridData</v>
      </c>
      <c r="L4" s="26" t="str">
        <f>IFERROR(__xludf.DUMMYFUNCTION("""COMPUTED_VALUE"""),"SendtoStaging")</f>
        <v>SendtoStaging</v>
      </c>
      <c r="M4" s="26" t="str">
        <f>IFERROR(__xludf.DUMMYFUNCTION("""COMPUTED_VALUE"""),"RebalanceAcrossSecuritiesViaBloomberg")</f>
        <v>RebalanceAcrossSecuritiesViaBloomberg</v>
      </c>
      <c r="N4" s="26" t="str">
        <f>IFERROR(__xludf.DUMMYFUNCTION("""COMPUTED_VALUE"""),"RebalanceAcrossSecuritiesViaBloomberg")</f>
        <v>RebalanceAcrossSecuritiesViaBloomberg</v>
      </c>
      <c r="O4" s="26" t="str">
        <f>IFERROR(__xludf.DUMMYFUNCTION("""COMPUTED_VALUE"""),"AddUserAdjustedNAV")</f>
        <v>AddUserAdjustedNAV</v>
      </c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IFERROR(__xludf.DUMMYFUNCTION("""COMPUTED_VALUE"""),"Rounding Type")</f>
        <v>Rounding Type</v>
      </c>
      <c r="C5" s="29" t="str">
        <f>IFERROR(__xludf.DUMMYFUNCTION("""COMPUTED_VALUE"""),"Rebalance")</f>
        <v>Rebalance</v>
      </c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13" t="s">
        <v>37</v>
      </c>
      <c r="C6" s="8"/>
      <c r="D6" s="13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27</v>
      </c>
      <c r="D3" s="5" t="s">
        <v>9</v>
      </c>
      <c r="E3" s="24" t="s">
        <v>38</v>
      </c>
      <c r="F3" s="5" t="s">
        <v>14</v>
      </c>
      <c r="G3" s="15" t="s">
        <v>15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IFERROR(__xludf.DUMMYFUNCTION("IF(C3="""","""",Transpose(IMPORTRANGE('_Settings'!$B$3,C3&amp;""!A4:A1000"")))"),"FetchAccountPositions")</f>
        <v>FetchAccountPositions</v>
      </c>
      <c r="C4" s="26" t="str">
        <f>IFERROR(__xludf.DUMMYFUNCTION("""COMPUTED_VALUE"""),"AddCash")</f>
        <v>AddCash</v>
      </c>
      <c r="D4" s="26" t="str">
        <f>IFERROR(__xludf.DUMMYFUNCTION("""COMPUTED_VALUE"""),"VerifyGridData")</f>
        <v>VerifyGridData</v>
      </c>
      <c r="E4" s="26" t="str">
        <f>IFERROR(__xludf.DUMMYFUNCTION("""COMPUTED_VALUE"""),"RunRebalance")</f>
        <v>RunRebalance</v>
      </c>
      <c r="F4" s="26" t="str">
        <f>IFERROR(__xludf.DUMMYFUNCTION("""COMPUTED_VALUE"""),"RebalanceAcrossSecurities")</f>
        <v>RebalanceAcrossSecurities</v>
      </c>
      <c r="G4" s="26" t="str">
        <f>IFERROR(__xludf.DUMMYFUNCTION("""COMPUTED_VALUE"""),"ModifyRebalance")</f>
        <v>ModifyRebalance</v>
      </c>
      <c r="H4" s="26" t="str">
        <f>IFERROR(__xludf.DUMMYFUNCTION("""COMPUTED_VALUE"""),"ClearCalculations")</f>
        <v>ClearCalculations</v>
      </c>
      <c r="I4" s="26" t="str">
        <f>IFERROR(__xludf.DUMMYFUNCTION("""COMPUTED_VALUE"""),"ModelPortfolio")</f>
        <v>ModelPortfolio</v>
      </c>
      <c r="J4" s="26" t="str">
        <f>IFERROR(__xludf.DUMMYFUNCTION("""COMPUTED_VALUE"""),"LockandUnlockGridData")</f>
        <v>LockandUnlockGridData</v>
      </c>
      <c r="K4" s="26" t="str">
        <f>IFERROR(__xludf.DUMMYFUNCTION("""COMPUTED_VALUE"""),"RefreshGridData")</f>
        <v>RefreshGridData</v>
      </c>
      <c r="L4" s="26" t="str">
        <f>IFERROR(__xludf.DUMMYFUNCTION("""COMPUTED_VALUE"""),"SendtoStaging")</f>
        <v>SendtoStaging</v>
      </c>
      <c r="M4" s="26" t="str">
        <f>IFERROR(__xludf.DUMMYFUNCTION("""COMPUTED_VALUE"""),"RebalanceAcrossSecuritiesViaBloomberg")</f>
        <v>RebalanceAcrossSecuritiesViaBloomberg</v>
      </c>
      <c r="N4" s="26" t="str">
        <f>IFERROR(__xludf.DUMMYFUNCTION("""COMPUTED_VALUE"""),"RebalanceAcrossSecuritiesViaBloomberg")</f>
        <v>RebalanceAcrossSecuritiesViaBloomberg</v>
      </c>
      <c r="O4" s="26" t="str">
        <f>IFERROR(__xludf.DUMMYFUNCTION("""COMPUTED_VALUE"""),"AddUserAdjustedNAV")</f>
        <v>AddUserAdjustedNAV</v>
      </c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IFERROR(__xludf.DUMMYFUNCTION("""COMPUTED_VALUE"""),"Ticker")</f>
        <v>Ticker</v>
      </c>
      <c r="C5" s="29" t="str">
        <f>IFERROR(__xludf.DUMMYFUNCTION("""COMPUTED_VALUE"""),"Set/Inc/Dec")</f>
        <v>Set/Inc/Dec</v>
      </c>
      <c r="D5" s="29" t="str">
        <f>IFERROR(__xludf.DUMMYFUNCTION("""COMPUTED_VALUE"""),"Target%")</f>
        <v>Target%</v>
      </c>
      <c r="E5" s="29" t="str">
        <f>IFERROR(__xludf.DUMMYFUNCTION("""COMPUTED_VALUE"""),"Account/Group")</f>
        <v>Account/Group</v>
      </c>
      <c r="F5" s="30" t="str">
        <f>IFERROR(__xludf.DUMMYFUNCTION("""COMPUTED_VALUE"""),"ReinvestCash")</f>
        <v>ReinvestCash</v>
      </c>
      <c r="G5" s="29" t="str">
        <f>IFERROR(__xludf.DUMMYFUNCTION("""COMPUTED_VALUE"""),"SellToRaiseCash")</f>
        <v>SellToRaiseCash</v>
      </c>
      <c r="H5" s="29" t="str">
        <f>IFERROR(__xludf.DUMMYFUNCTION("""COMPUTED_VALUE"""),"AllowNegCash")</f>
        <v>AllowNegCash</v>
      </c>
      <c r="I5" s="29" t="str">
        <f>IFERROR(__xludf.DUMMYFUNCTION("""COMPUTED_VALUE"""),"NoShortning")</f>
        <v>NoShortning</v>
      </c>
      <c r="J5" s="29" t="str">
        <f>IFERROR(__xludf.DUMMYFUNCTION("""COMPUTED_VALUE"""),"Price")</f>
        <v>Price</v>
      </c>
      <c r="K5" s="29" t="str">
        <f>IFERROR(__xludf.DUMMYFUNCTION("""COMPUTED_VALUE"""),"Fx")</f>
        <v>Fx</v>
      </c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39</v>
      </c>
      <c r="C6" s="13" t="s">
        <v>40</v>
      </c>
      <c r="D6" s="13">
        <v>50.0</v>
      </c>
      <c r="E6" s="13" t="s">
        <v>17</v>
      </c>
      <c r="F6" s="8"/>
      <c r="G6" s="8"/>
      <c r="H6" s="8"/>
      <c r="I6" s="8"/>
      <c r="J6" s="13">
        <v>66.0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27</v>
      </c>
      <c r="D3" s="5" t="s">
        <v>9</v>
      </c>
      <c r="E3" s="24" t="s">
        <v>41</v>
      </c>
      <c r="F3" s="5" t="s">
        <v>14</v>
      </c>
      <c r="G3" s="15" t="s">
        <v>15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IFERROR(__xludf.DUMMYFUNCTION("IF(C3="""","""",Transpose(IMPORTRANGE('_Settings'!$B$3,C3&amp;""!A4:A1000"")))"),"FetchAccountPositions")</f>
        <v>FetchAccountPositions</v>
      </c>
      <c r="C4" s="26" t="str">
        <f>IFERROR(__xludf.DUMMYFUNCTION("""COMPUTED_VALUE"""),"AddCash")</f>
        <v>AddCash</v>
      </c>
      <c r="D4" s="26" t="str">
        <f>IFERROR(__xludf.DUMMYFUNCTION("""COMPUTED_VALUE"""),"VerifyGridData")</f>
        <v>VerifyGridData</v>
      </c>
      <c r="E4" s="26" t="str">
        <f>IFERROR(__xludf.DUMMYFUNCTION("""COMPUTED_VALUE"""),"RunRebalance")</f>
        <v>RunRebalance</v>
      </c>
      <c r="F4" s="26" t="str">
        <f>IFERROR(__xludf.DUMMYFUNCTION("""COMPUTED_VALUE"""),"RebalanceAcrossSecurities")</f>
        <v>RebalanceAcrossSecurities</v>
      </c>
      <c r="G4" s="26" t="str">
        <f>IFERROR(__xludf.DUMMYFUNCTION("""COMPUTED_VALUE"""),"ModifyRebalance")</f>
        <v>ModifyRebalance</v>
      </c>
      <c r="H4" s="26" t="str">
        <f>IFERROR(__xludf.DUMMYFUNCTION("""COMPUTED_VALUE"""),"ClearCalculations")</f>
        <v>ClearCalculations</v>
      </c>
      <c r="I4" s="26" t="str">
        <f>IFERROR(__xludf.DUMMYFUNCTION("""COMPUTED_VALUE"""),"ModelPortfolio")</f>
        <v>ModelPortfolio</v>
      </c>
      <c r="J4" s="26" t="str">
        <f>IFERROR(__xludf.DUMMYFUNCTION("""COMPUTED_VALUE"""),"LockandUnlockGridData")</f>
        <v>LockandUnlockGridData</v>
      </c>
      <c r="K4" s="26" t="str">
        <f>IFERROR(__xludf.DUMMYFUNCTION("""COMPUTED_VALUE"""),"RefreshGridData")</f>
        <v>RefreshGridData</v>
      </c>
      <c r="L4" s="26" t="str">
        <f>IFERROR(__xludf.DUMMYFUNCTION("""COMPUTED_VALUE"""),"SendtoStaging")</f>
        <v>SendtoStaging</v>
      </c>
      <c r="M4" s="26" t="str">
        <f>IFERROR(__xludf.DUMMYFUNCTION("""COMPUTED_VALUE"""),"RebalanceAcrossSecuritiesViaBloomberg")</f>
        <v>RebalanceAcrossSecuritiesViaBloomberg</v>
      </c>
      <c r="N4" s="26" t="str">
        <f>IFERROR(__xludf.DUMMYFUNCTION("""COMPUTED_VALUE"""),"RebalanceAcrossSecuritiesViaBloomberg")</f>
        <v>RebalanceAcrossSecuritiesViaBloomberg</v>
      </c>
      <c r="O4" s="26" t="str">
        <f>IFERROR(__xludf.DUMMYFUNCTION("""COMPUTED_VALUE"""),"AddUserAdjustedNAV")</f>
        <v>AddUserAdjustedNAV</v>
      </c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IFERROR(__xludf.DUMMYFUNCTION("""COMPUTED_VALUE"""),"Modify Rebalance")</f>
        <v>Modify Rebalance</v>
      </c>
      <c r="C5" s="29" t="str">
        <f>IFERROR(__xludf.DUMMYFUNCTION("""COMPUTED_VALUE"""),"AllowNegCash")</f>
        <v>AllowNegCash</v>
      </c>
      <c r="D5" s="29" t="str">
        <f>IFERROR(__xludf.DUMMYFUNCTION("""COMPUTED_VALUE"""),"SellToRaiseCash")</f>
        <v>SellToRaiseCash</v>
      </c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42</v>
      </c>
      <c r="C6" s="8"/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ModifyRebalance!$4:$4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" width="14.43"/>
    <col customWidth="1" min="17" max="17" width="17.0"/>
    <col customWidth="1" min="18" max="154" width="14.4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27</v>
      </c>
      <c r="D3" s="5" t="s">
        <v>9</v>
      </c>
      <c r="E3" s="24" t="s">
        <v>43</v>
      </c>
      <c r="F3" s="5" t="s">
        <v>14</v>
      </c>
      <c r="G3" s="15" t="s">
        <v>15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IFERROR(__xludf.DUMMYFUNCTION("IF(C3="""","""",Transpose(IMPORTRANGE('_Settings'!$B$3,C3&amp;""!A4:A1000"")))"),"FetchAccountPositions")</f>
        <v>FetchAccountPositions</v>
      </c>
      <c r="C4" s="26" t="str">
        <f>IFERROR(__xludf.DUMMYFUNCTION("""COMPUTED_VALUE"""),"AddCash")</f>
        <v>AddCash</v>
      </c>
      <c r="D4" s="26" t="str">
        <f>IFERROR(__xludf.DUMMYFUNCTION("""COMPUTED_VALUE"""),"VerifyGridData")</f>
        <v>VerifyGridData</v>
      </c>
      <c r="E4" s="26" t="str">
        <f>IFERROR(__xludf.DUMMYFUNCTION("""COMPUTED_VALUE"""),"RunRebalance")</f>
        <v>RunRebalance</v>
      </c>
      <c r="F4" s="26" t="str">
        <f>IFERROR(__xludf.DUMMYFUNCTION("""COMPUTED_VALUE"""),"RebalanceAcrossSecurities")</f>
        <v>RebalanceAcrossSecurities</v>
      </c>
      <c r="G4" s="26" t="str">
        <f>IFERROR(__xludf.DUMMYFUNCTION("""COMPUTED_VALUE"""),"ModifyRebalance")</f>
        <v>ModifyRebalance</v>
      </c>
      <c r="H4" s="26" t="str">
        <f>IFERROR(__xludf.DUMMYFUNCTION("""COMPUTED_VALUE"""),"ClearCalculations")</f>
        <v>ClearCalculations</v>
      </c>
      <c r="I4" s="26" t="str">
        <f>IFERROR(__xludf.DUMMYFUNCTION("""COMPUTED_VALUE"""),"ModelPortfolio")</f>
        <v>ModelPortfolio</v>
      </c>
      <c r="J4" s="26" t="str">
        <f>IFERROR(__xludf.DUMMYFUNCTION("""COMPUTED_VALUE"""),"LockandUnlockGridData")</f>
        <v>LockandUnlockGridData</v>
      </c>
      <c r="K4" s="26" t="str">
        <f>IFERROR(__xludf.DUMMYFUNCTION("""COMPUTED_VALUE"""),"RefreshGridData")</f>
        <v>RefreshGridData</v>
      </c>
      <c r="L4" s="26" t="str">
        <f>IFERROR(__xludf.DUMMYFUNCTION("""COMPUTED_VALUE"""),"SendtoStaging")</f>
        <v>SendtoStaging</v>
      </c>
      <c r="M4" s="26" t="str">
        <f>IFERROR(__xludf.DUMMYFUNCTION("""COMPUTED_VALUE"""),"RebalanceAcrossSecuritiesViaBloomberg")</f>
        <v>RebalanceAcrossSecuritiesViaBloomberg</v>
      </c>
      <c r="N4" s="26" t="str">
        <f>IFERROR(__xludf.DUMMYFUNCTION("""COMPUTED_VALUE"""),"RebalanceAcrossSecuritiesViaBloomberg")</f>
        <v>RebalanceAcrossSecuritiesViaBloomberg</v>
      </c>
      <c r="O4" s="26" t="str">
        <f>IFERROR(__xludf.DUMMYFUNCTION("""COMPUTED_VALUE"""),"AddUserAdjustedNAV")</f>
        <v>AddUserAdjustedNAV</v>
      </c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IFERROR(__xludf.DUMMYFUNCTION("""COMPUTED_VALUE"""),"Lock/Unlock")</f>
        <v>Lock/Unlock</v>
      </c>
      <c r="C5" s="29" t="str">
        <f>IFERROR(__xludf.DUMMYFUNCTION("""COMPUTED_VALUE"""),"Account")</f>
        <v>Account</v>
      </c>
      <c r="D5" s="29" t="str">
        <f>IFERROR(__xludf.DUMMYFUNCTION("""COMPUTED_VALUE"""),"Symbol")</f>
        <v>Symbol</v>
      </c>
      <c r="E5" s="29" t="str">
        <f>IFERROR(__xludf.DUMMYFUNCTION("""COMPUTED_VALUE"""),"Asset")</f>
        <v>Asset</v>
      </c>
      <c r="F5" s="30" t="str">
        <f>IFERROR(__xludf.DUMMYFUNCTION("""COMPUTED_VALUE"""),"Side")</f>
        <v>Side</v>
      </c>
      <c r="G5" s="29" t="str">
        <f>IFERROR(__xludf.DUMMYFUNCTION("""COMPUTED_VALUE"""),"Price (Local)")</f>
        <v>Price (Local)</v>
      </c>
      <c r="H5" s="29" t="str">
        <f>IFERROR(__xludf.DUMMYFUNCTION("""COMPUTED_VALUE"""),"Price")</f>
        <v>Price</v>
      </c>
      <c r="I5" s="29" t="str">
        <f>IFERROR(__xludf.DUMMYFUNCTION("""COMPUTED_VALUE"""),"FX Rate")</f>
        <v>FX Rate</v>
      </c>
      <c r="J5" s="29" t="str">
        <f>IFERROR(__xludf.DUMMYFUNCTION("""COMPUTED_VALUE"""),"Current %")</f>
        <v>Current %</v>
      </c>
      <c r="K5" s="29" t="str">
        <f>IFERROR(__xludf.DUMMYFUNCTION("""COMPUTED_VALUE"""),"Current Position")</f>
        <v>Current Position</v>
      </c>
      <c r="L5" s="29" t="str">
        <f>IFERROR(__xludf.DUMMYFUNCTION("""COMPUTED_VALUE"""),"Current Market Value (Local)")</f>
        <v>Current Market Value (Local)</v>
      </c>
      <c r="M5" s="29" t="str">
        <f>IFERROR(__xludf.DUMMYFUNCTION("""COMPUTED_VALUE"""),"Current Market Value")</f>
        <v>Current Market Value</v>
      </c>
      <c r="N5" s="29" t="str">
        <f>IFERROR(__xludf.DUMMYFUNCTION("""COMPUTED_VALUE"""),"Target %")</f>
        <v>Target %</v>
      </c>
      <c r="O5" s="29" t="str">
        <f>IFERROR(__xludf.DUMMYFUNCTION("""COMPUTED_VALUE"""),"Target Position")</f>
        <v>Target Position</v>
      </c>
      <c r="P5" s="29" t="str">
        <f>IFERROR(__xludf.DUMMYFUNCTION("""COMPUTED_VALUE"""),"Target Market Value (Local)")</f>
        <v>Target Market Value (Local)</v>
      </c>
      <c r="Q5" s="29" t="str">
        <f>IFERROR(__xludf.DUMMYFUNCTION("""COMPUTED_VALUE"""),"Target Market Value")</f>
        <v>Target Market Value</v>
      </c>
      <c r="R5" s="29" t="str">
        <f>IFERROR(__xludf.DUMMYFUNCTION("""COMPUTED_VALUE"""),"Buy/Sell Qty")</f>
        <v>Buy/Sell Qty</v>
      </c>
      <c r="S5" s="29" t="str">
        <f>IFERROR(__xludf.DUMMYFUNCTION("""COMPUTED_VALUE"""),"Buy/Sell Value")</f>
        <v>Buy/Sell Value</v>
      </c>
      <c r="T5" s="31" t="str">
        <f>IFERROR(__xludf.DUMMYFUNCTION("""COMPUTED_VALUE"""),"Sector")</f>
        <v>Sector</v>
      </c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1"/>
      <c r="B6" s="43"/>
      <c r="C6" s="48" t="s">
        <v>17</v>
      </c>
      <c r="D6" s="48" t="s">
        <v>22</v>
      </c>
      <c r="E6" s="48" t="s">
        <v>44</v>
      </c>
      <c r="F6" s="48" t="s">
        <v>45</v>
      </c>
      <c r="G6" s="49">
        <v>10.0</v>
      </c>
      <c r="H6" s="49">
        <v>10.0</v>
      </c>
      <c r="I6" s="49">
        <v>1.0</v>
      </c>
      <c r="J6" s="49"/>
      <c r="K6" s="49">
        <v>100.0</v>
      </c>
      <c r="L6" s="49">
        <v>1000.0</v>
      </c>
      <c r="M6" s="49">
        <v>1000.0</v>
      </c>
      <c r="N6" s="48"/>
      <c r="O6" s="49">
        <v>50.0</v>
      </c>
      <c r="Q6" s="49">
        <v>500.0</v>
      </c>
      <c r="R6" s="49">
        <v>-50.0</v>
      </c>
      <c r="S6" s="49">
        <v>-500.0</v>
      </c>
      <c r="T6" s="11"/>
      <c r="U6" s="11"/>
      <c r="V6" s="11"/>
      <c r="W6" s="11"/>
    </row>
    <row r="7" ht="15.75" customHeight="1">
      <c r="A7" s="11"/>
      <c r="B7" s="11"/>
      <c r="C7" s="48" t="s">
        <v>19</v>
      </c>
      <c r="D7" s="48" t="s">
        <v>22</v>
      </c>
      <c r="E7" s="48" t="s">
        <v>44</v>
      </c>
      <c r="F7" s="48" t="s">
        <v>45</v>
      </c>
      <c r="G7" s="49">
        <v>10.0</v>
      </c>
      <c r="H7" s="49">
        <v>10.0</v>
      </c>
      <c r="I7" s="49">
        <v>1.0</v>
      </c>
      <c r="J7" s="49"/>
      <c r="K7" s="49">
        <v>100.0</v>
      </c>
      <c r="L7" s="49">
        <v>1000.0</v>
      </c>
      <c r="M7" s="49">
        <v>1000.0</v>
      </c>
      <c r="N7" s="48"/>
      <c r="O7" s="49">
        <v>50.0</v>
      </c>
      <c r="Q7" s="49">
        <v>500.0</v>
      </c>
      <c r="R7" s="49">
        <v>-50.0</v>
      </c>
      <c r="S7" s="49">
        <v>-500.0</v>
      </c>
      <c r="T7" s="11"/>
      <c r="U7" s="11"/>
      <c r="V7" s="11"/>
      <c r="W7" s="11"/>
    </row>
    <row r="8" ht="15.75" customHeight="1">
      <c r="A8" s="8"/>
      <c r="B8" s="8"/>
      <c r="C8" s="48" t="s">
        <v>17</v>
      </c>
      <c r="D8" s="48" t="s">
        <v>39</v>
      </c>
      <c r="E8" s="48" t="s">
        <v>44</v>
      </c>
      <c r="F8" s="48" t="s">
        <v>45</v>
      </c>
      <c r="G8" s="49">
        <v>66.0</v>
      </c>
      <c r="H8" s="49">
        <v>66.0</v>
      </c>
      <c r="I8" s="49">
        <v>1.0</v>
      </c>
      <c r="J8" s="49"/>
      <c r="K8" s="49">
        <v>0.0</v>
      </c>
      <c r="L8" s="49">
        <v>0.0</v>
      </c>
      <c r="M8" s="49">
        <v>0.0</v>
      </c>
      <c r="N8" s="48"/>
      <c r="O8" s="49">
        <v>4.0</v>
      </c>
      <c r="Q8" s="49">
        <v>264.0</v>
      </c>
      <c r="R8" s="49">
        <v>4.0</v>
      </c>
      <c r="S8" s="49">
        <v>264.0</v>
      </c>
    </row>
    <row r="9" ht="15.75" customHeight="1">
      <c r="A9" s="8"/>
      <c r="B9" s="8"/>
      <c r="C9" s="48" t="s">
        <v>17</v>
      </c>
      <c r="D9" s="48" t="s">
        <v>24</v>
      </c>
      <c r="E9" s="48" t="s">
        <v>44</v>
      </c>
      <c r="F9" s="48" t="s">
        <v>46</v>
      </c>
      <c r="G9" s="49">
        <v>10.0</v>
      </c>
      <c r="H9" s="49">
        <v>10.0</v>
      </c>
      <c r="I9" s="49">
        <v>1.0</v>
      </c>
      <c r="J9" s="49"/>
      <c r="K9" s="49">
        <v>200.0</v>
      </c>
      <c r="L9" s="49">
        <v>-2000.0</v>
      </c>
      <c r="M9" s="49">
        <v>-2000.0</v>
      </c>
      <c r="N9" s="48"/>
      <c r="O9" s="49">
        <v>100.0</v>
      </c>
      <c r="Q9" s="49">
        <v>-1000.0</v>
      </c>
      <c r="R9" s="49">
        <v>-100.0</v>
      </c>
      <c r="S9" s="50">
        <v>1000.0</v>
      </c>
    </row>
    <row r="10" ht="15.75" customHeight="1">
      <c r="A10" s="8"/>
      <c r="B10" s="8"/>
      <c r="C10" s="48" t="s">
        <v>17</v>
      </c>
      <c r="D10" s="48" t="s">
        <v>47</v>
      </c>
      <c r="E10" s="48" t="s">
        <v>47</v>
      </c>
      <c r="F10" s="48" t="s">
        <v>45</v>
      </c>
      <c r="G10" s="49">
        <v>1.0</v>
      </c>
      <c r="H10" s="49">
        <v>1.0</v>
      </c>
      <c r="I10" s="49">
        <v>1.0</v>
      </c>
      <c r="J10" s="49"/>
      <c r="K10" s="49">
        <v>2000.0</v>
      </c>
      <c r="L10" s="49">
        <v>2000.0</v>
      </c>
      <c r="M10" s="49">
        <v>2000.0</v>
      </c>
      <c r="N10" s="48"/>
      <c r="O10" s="49">
        <v>736.0</v>
      </c>
      <c r="Q10" s="49">
        <v>736.0</v>
      </c>
      <c r="R10" s="49">
        <v>-1264.0</v>
      </c>
      <c r="S10" s="50">
        <v>-1264.0</v>
      </c>
    </row>
    <row r="11" ht="15.75" customHeight="1">
      <c r="A11" s="8"/>
      <c r="B11" s="8"/>
      <c r="C11" s="48" t="s">
        <v>19</v>
      </c>
      <c r="D11" s="48" t="s">
        <v>47</v>
      </c>
      <c r="E11" s="48" t="s">
        <v>47</v>
      </c>
      <c r="F11" s="48" t="s">
        <v>45</v>
      </c>
      <c r="G11" s="49">
        <v>1.0</v>
      </c>
      <c r="H11" s="49">
        <v>1.0</v>
      </c>
      <c r="I11" s="49">
        <v>1.0</v>
      </c>
      <c r="J11" s="49"/>
      <c r="K11" s="49">
        <v>0.0</v>
      </c>
      <c r="L11" s="49">
        <v>0.0</v>
      </c>
      <c r="M11" s="49">
        <v>0.0</v>
      </c>
      <c r="N11" s="48"/>
      <c r="O11" s="49">
        <v>0.0</v>
      </c>
      <c r="Q11" s="49">
        <v>0.0</v>
      </c>
      <c r="R11" s="49">
        <v>0.0</v>
      </c>
      <c r="S11" s="49">
        <v>0.0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