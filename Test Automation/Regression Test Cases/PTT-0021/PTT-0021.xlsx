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hidden" name="_Settings" sheetId="2" r:id="rId4"/>
    <sheet state="hidden" name="_MasterData" sheetId="3" r:id="rId5"/>
    <sheet state="visible" name="CreateDoneAwayOrder" sheetId="4" r:id="rId6"/>
    <sheet state="visible" name="PricingInput" sheetId="5" r:id="rId7"/>
    <sheet state="visible" name="GetDailyCash" sheetId="6" r:id="rId8"/>
    <sheet state="visible" name="UpdateDailyCash" sheetId="7" r:id="rId9"/>
    <sheet state="visible" name="CalculatePTT" sheetId="8" r:id="rId10"/>
    <sheet state="visible" name="VerifyPTT" sheetId="9" r:id="rId11"/>
    <sheet state="visible" name="TradePTT" sheetId="10" r:id="rId12"/>
    <sheet state="visible" name="CreateDoneAwayOrder1" sheetId="11" r:id="rId13"/>
    <sheet state="visible" name="CheckAllocatedGroups" sheetId="12" r:id="rId14"/>
    <sheet state="visible" name="VerifyLongPositionsGrid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<sst xmlns="http://schemas.openxmlformats.org/spreadsheetml/2006/main" count="158" uniqueCount="43">
  <si>
    <t>Settings</t>
  </si>
  <si>
    <t>Master Data Info</t>
  </si>
  <si>
    <t>Modules Info</t>
  </si>
  <si>
    <t>Module Step Setting File</t>
  </si>
  <si>
    <t>Modules</t>
  </si>
  <si>
    <t>Module</t>
  </si>
  <si>
    <t>1eFq-0rBBBruaRgYp8Plf3EAV1IQUFSYg9ee_wKGGGko</t>
  </si>
  <si>
    <t>Step</t>
  </si>
  <si>
    <t>Master Data Settings File</t>
  </si>
  <si>
    <t>Master Data Sheet</t>
  </si>
  <si>
    <t>1Nt_rf5DtgjbN9Ag4AMMlUkZYROxKZLH5m54YOl7tRT0</t>
  </si>
  <si>
    <t>Data</t>
  </si>
  <si>
    <t>PricingInput</t>
  </si>
  <si>
    <t>TradingTicket</t>
  </si>
  <si>
    <t>CreateDoneAwayOrder</t>
  </si>
  <si>
    <t>Data Format</t>
  </si>
  <si>
    <t>Input Format</t>
  </si>
  <si>
    <t>MSFT</t>
  </si>
  <si>
    <t>Buy</t>
  </si>
  <si>
    <t>Allocation1</t>
  </si>
  <si>
    <t>Allocation3</t>
  </si>
  <si>
    <t>Allocation2</t>
  </si>
  <si>
    <t>OFFSHORE</t>
  </si>
  <si>
    <t>DailyValuation</t>
  </si>
  <si>
    <t>GetDailyCash</t>
  </si>
  <si>
    <t>UpdateDailyCash</t>
  </si>
  <si>
    <t>USD</t>
  </si>
  <si>
    <t>PTT</t>
  </si>
  <si>
    <t>CalculatePTT</t>
  </si>
  <si>
    <t>VerifyPTT</t>
  </si>
  <si>
    <t>Increase</t>
  </si>
  <si>
    <t>Percentage</t>
  </si>
  <si>
    <t>Yes</t>
  </si>
  <si>
    <t xml:space="preserve">MasterFund </t>
  </si>
  <si>
    <t>NewMF,NewMF1</t>
  </si>
  <si>
    <t>TradePTT</t>
  </si>
  <si>
    <t>MasterFund</t>
  </si>
  <si>
    <t>Allocation</t>
  </si>
  <si>
    <t>CheckAllocatedGroups</t>
  </si>
  <si>
    <t>Closing</t>
  </si>
  <si>
    <t>VerifyLongPositionsGrid</t>
  </si>
  <si>
    <t>PortfolioManagement</t>
  </si>
  <si>
    <t>CheckPortfolioManagement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</si>
</sst>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3">
    <font>
      <sz val="10.0"/>
      <color rgb="FF000000"/>
      <name val="Arial"/>
    </font>
    <font>
      <sz val="14.0"/>
      <color rgb="FFFFFFFF"/>
      <name val="Calibri"/>
    </font>
    <font>
      <b/>
      <sz val="14.0"/>
      <color rgb="FFFFFFFF"/>
      <name val="Calibri"/>
    </font>
    <font/>
    <font>
      <name val="Calibri"/>
    </font>
    <font>
      <name val="Arial"/>
    </font>
    <font>
      <b/>
      <color rgb="FFFFFFFF"/>
      <name val="Calibri"/>
    </font>
    <font>
      <b/>
      <color rgb="FFFFFFFF"/>
      <name val="Arial"/>
    </font>
    <font>
      <sz val="11.0"/>
      <color rgb="FFFFFFFF"/>
      <name val="Inconsolata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bottom/>
    </border>
    <border>
      <left/>
      <right/>
      <top/>
      <bottom/>
    </border>
    <border>
      <left/>
      <right/>
      <bottom/>
    </border>
    <border>
      <right/>
      <bottom/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vertical="bottom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0" fontId="5" numFmtId="0" xfId="0" applyAlignment="1" applyBorder="1" applyFont="1">
      <alignment vertical="bottom"/>
    </xf>
    <xf borderId="5" fillId="3" fontId="6" numFmtId="0" xfId="0" applyAlignment="1" applyBorder="1" applyFill="1" applyFont="1">
      <alignment shrinkToFit="0" wrapText="0"/>
    </xf>
    <xf borderId="6" fillId="3" fontId="6" numFmtId="0" xfId="0" applyAlignment="1" applyBorder="1" applyFont="1">
      <alignment shrinkToFit="0" vertical="bottom" wrapText="0"/>
    </xf>
    <xf borderId="0" fillId="0" fontId="4" numFmtId="0" xfId="0" applyAlignment="1" applyFont="1">
      <alignment readingOrder="0" shrinkToFit="0" wrapText="0"/>
    </xf>
    <xf borderId="7" fillId="3" fontId="7" numFmtId="0" xfId="0" applyAlignment="1" applyBorder="1" applyFont="1">
      <alignment shrinkToFit="0" vertical="bottom" wrapText="0"/>
    </xf>
    <xf borderId="5" fillId="3" fontId="6" numFmtId="0" xfId="0" applyAlignment="1" applyBorder="1" applyFont="1">
      <alignment readingOrder="0" shrinkToFit="0" wrapText="0"/>
    </xf>
    <xf borderId="7" fillId="3" fontId="5" numFmtId="0" xfId="0" applyAlignment="1" applyBorder="1" applyFont="1">
      <alignment vertical="bottom"/>
    </xf>
    <xf borderId="5" fillId="3" fontId="4" numFmtId="0" xfId="0" applyAlignment="1" applyBorder="1" applyFont="1">
      <alignment shrinkToFit="0" wrapText="0"/>
    </xf>
    <xf borderId="5" fillId="3" fontId="5" numFmtId="0" xfId="0" applyAlignment="1" applyBorder="1" applyFont="1">
      <alignment readingOrder="0" shrinkToFit="0" wrapText="0"/>
    </xf>
    <xf borderId="5" fillId="3" fontId="5" numFmtId="0" xfId="0" applyAlignment="1" applyBorder="1" applyFont="1">
      <alignment shrinkToFit="0" wrapText="0"/>
    </xf>
    <xf borderId="0" fillId="2" fontId="2" numFmtId="0" xfId="0" applyAlignment="1" applyFont="1">
      <alignment horizontal="center" shrinkToFit="0" wrapText="0"/>
    </xf>
    <xf borderId="0" fillId="2" fontId="3" numFmtId="0" xfId="0" applyFont="1"/>
    <xf borderId="0" fillId="4" fontId="8" numFmtId="0" xfId="0" applyFill="1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5" fillId="3" fontId="9" numFmtId="0" xfId="0" applyAlignment="1" applyBorder="1" applyFont="1">
      <alignment readingOrder="0" shrinkToFit="0" wrapText="0"/>
    </xf>
    <xf borderId="5" fillId="3" fontId="9" numFmtId="0" xfId="0" applyAlignment="1" applyBorder="1" applyFont="1">
      <alignment shrinkToFit="0" wrapText="0"/>
    </xf>
    <xf borderId="0" fillId="3" fontId="10" numFmtId="0" xfId="0" applyFont="1"/>
    <xf borderId="0" fillId="5" fontId="11" numFmtId="0" xfId="0" applyAlignment="1" applyFill="1" applyFont="1">
      <alignment shrinkToFit="0" wrapText="0"/>
    </xf>
    <xf borderId="0" fillId="5" fontId="12" numFmtId="0" xfId="0" applyFont="1"/>
    <xf borderId="0" fillId="6" fontId="6" numFmtId="0" xfId="0" applyAlignment="1" applyFill="1" applyFont="1">
      <alignment shrinkToFit="0" wrapText="0"/>
    </xf>
    <xf borderId="5" fillId="6" fontId="6" numFmtId="0" xfId="0" applyAlignment="1" applyBorder="1" applyFont="1">
      <alignment shrinkToFit="0" wrapText="0"/>
    </xf>
    <xf borderId="0" fillId="6" fontId="10" numFmtId="0" xfId="0" applyFont="1"/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5" fillId="6" fontId="6" numFmtId="0" xfId="0" applyAlignment="1" applyBorder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0</xdr:colOff>
      <xdr:row>1</xdr:row>
      <xdr:rowOff>161925</xdr:rowOff>
    </xdr:from>
    <xdr:ext cx="1123950" cy="2286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28575</xdr:colOff>
      <xdr:row>1</xdr:row>
      <xdr:rowOff>161925</xdr:rowOff>
    </xdr:from>
    <xdr:ext cx="1162050" cy="2286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2</v>
      </c>
      <c r="B1" s="4"/>
      <c r="C1" s="4"/>
      <c r="D1" s="4"/>
      <c r="E1" s="4"/>
      <c r="F1" s="5"/>
    </row>
    <row r="2" ht="15.75" customHeight="1">
      <c r="A2" s="7"/>
      <c r="B2" s="7"/>
      <c r="C2" s="7"/>
      <c r="D2" s="7"/>
      <c r="E2" s="7"/>
      <c r="F2" s="7"/>
    </row>
    <row r="3" ht="15.75" customHeight="1">
      <c r="A3" s="9" t="s">
        <v>4</v>
      </c>
      <c r="B3" s="16"/>
      <c r="C3" s="17"/>
      <c r="D3" s="17"/>
      <c r="E3" s="17"/>
      <c r="F3" s="17"/>
    </row>
    <row r="4" ht="15.75" customHeight="1">
      <c r="A4" s="6" t="str">
        <f>IFERROR(__xludf.DUMMYFUNCTION("IMPORTRANGE('_Settings'!B3,""Modules!A4:L1000"")"),"Allocation")</f>
        <v>Allocation</v>
      </c>
      <c r="B4" s="7" t="str">
        <f>IFERROR(__xludf.DUMMYFUNCTION("""COMPUTED_VALUE"""),"Allocate")</f>
        <v>Allocate</v>
      </c>
      <c r="C4" s="7" t="str">
        <f>IFERROR(__xludf.DUMMYFUNCTION("""COMPUTED_VALUE"""),"1g8wLprruaWRC_5pQcovqkv8ZCiMt5fspCOACibdkz7g")</f>
        <v>1g8wLprruaWRC_5pQcovqkv8ZCiMt5fspCOACibdkz7g</v>
      </c>
      <c r="D4" s="7" t="str">
        <f>IFERROR(__xludf.DUMMYFUNCTION("""COMPUTED_VALUE"""),"")</f>
        <v/>
      </c>
      <c r="E4" s="7" t="str">
        <f>IFERROR(__xludf.DUMMYFUNCTION("""COMPUTED_VALUE"""),"")</f>
        <v/>
      </c>
      <c r="F4" s="7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6" t="str">
        <f>IFERROR(__xludf.DUMMYFUNCTION("""COMPUTED_VALUE"""),"Allocation")</f>
        <v>Allocation</v>
      </c>
      <c r="B5" s="7" t="str">
        <f>IFERROR(__xludf.DUMMYFUNCTION("""COMPUTED_VALUE"""),"CheckAllocatedGroups")</f>
        <v>CheckAllocatedGroups</v>
      </c>
      <c r="C5" s="7" t="str">
        <f>IFERROR(__xludf.DUMMYFUNCTION("""COMPUTED_VALUE"""),"1aecq-HMDoDkIInONjPC11z5TBFHyJhv4ro66e2ZOphg")</f>
        <v>1aecq-HMDoDkIInONjPC11z5TBFHyJhv4ro66e2ZOphg</v>
      </c>
      <c r="D5" s="7" t="str">
        <f>IFERROR(__xludf.DUMMYFUNCTION("""COMPUTED_VALUE"""),"")</f>
        <v/>
      </c>
      <c r="E5" s="7" t="str">
        <f>IFERROR(__xludf.DUMMYFUNCTION("""COMPUTED_VALUE"""),"")</f>
        <v/>
      </c>
      <c r="F5" s="7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7" t="str">
        <f>IFERROR(__xludf.DUMMYFUNCTION("""COMPUTED_VALUE"""),"Allocation")</f>
        <v>Allocation</v>
      </c>
      <c r="B6" s="7" t="str">
        <f>IFERROR(__xludf.DUMMYFUNCTION("""COMPUTED_VALUE"""),"Unallocate")</f>
        <v>Unallocate</v>
      </c>
      <c r="C6" s="7" t="str">
        <f>IFERROR(__xludf.DUMMYFUNCTION("""COMPUTED_VALUE"""),"1eDZq-_vllq4jwvwpk9qGnwQUhlb-sFvyFKPBriT2dA0")</f>
        <v>1eDZq-_vllq4jwvwpk9qGnwQUhlb-sFvyFKPBriT2dA0</v>
      </c>
      <c r="D6" s="7" t="str">
        <f>IFERROR(__xludf.DUMMYFUNCTION("""COMPUTED_VALUE"""),"")</f>
        <v/>
      </c>
      <c r="E6" s="7" t="str">
        <f>IFERROR(__xludf.DUMMYFUNCTION("""COMPUTED_VALUE"""),"")</f>
        <v/>
      </c>
      <c r="F6" s="7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7" t="str">
        <f>IFERROR(__xludf.DUMMYFUNCTION("""COMPUTED_VALUE"""),"Allocation")</f>
        <v>Allocation</v>
      </c>
      <c r="B7" s="7" t="str">
        <f>IFERROR(__xludf.DUMMYFUNCTION("""COMPUTED_VALUE"""),"GetDataAllocation")</f>
        <v>GetDataAllocation</v>
      </c>
      <c r="C7" s="7" t="str">
        <f>IFERROR(__xludf.DUMMYFUNCTION("""COMPUTED_VALUE"""),"1FBTO3wCB7odq-jpQMbYHgSrAL5-rFO2_kp9Kr2iXqXE")</f>
        <v>1FBTO3wCB7odq-jpQMbYHgSrAL5-rFO2_kp9Kr2iXqXE</v>
      </c>
      <c r="D7" s="7" t="str">
        <f>IFERROR(__xludf.DUMMYFUNCTION("""COMPUTED_VALUE"""),"")</f>
        <v/>
      </c>
      <c r="E7" s="7" t="str">
        <f>IFERROR(__xludf.DUMMYFUNCTION("""COMPUTED_VALUE"""),"")</f>
        <v/>
      </c>
      <c r="F7" s="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7" t="str">
        <f>IFERROR(__xludf.DUMMYFUNCTION("""COMPUTED_VALUE"""),"Allocation")</f>
        <v>Allocation</v>
      </c>
      <c r="B8" s="7" t="str">
        <f>IFERROR(__xludf.DUMMYFUNCTION("""COMPUTED_VALUE"""),"SelectAllocatedGroup")</f>
        <v>SelectAllocatedGroup</v>
      </c>
      <c r="C8" s="7" t="str">
        <f>IFERROR(__xludf.DUMMYFUNCTION("""COMPUTED_VALUE"""),"1G0ZkXDrIDX_loGmAyLs_Shy8hExtTELtFXERbX-HdPo")</f>
        <v>1G0ZkXDrIDX_loGmAyLs_Shy8hExtTELtFXERbX-HdPo</v>
      </c>
      <c r="D8" s="7" t="str">
        <f>IFERROR(__xludf.DUMMYFUNCTION("""COMPUTED_VALUE"""),"")</f>
        <v/>
      </c>
      <c r="E8" s="7" t="str">
        <f>IFERROR(__xludf.DUMMYFUNCTION("""COMPUTED_VALUE"""),"")</f>
        <v/>
      </c>
      <c r="F8" s="7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7" t="str">
        <f>IFERROR(__xludf.DUMMYFUNCTION("""COMPUTED_VALUE"""),"Allocation")</f>
        <v>Allocation</v>
      </c>
      <c r="B9" s="7" t="str">
        <f>IFERROR(__xludf.DUMMYFUNCTION("""COMPUTED_VALUE"""),"EditTradesAllocated")</f>
        <v>EditTradesAllocated</v>
      </c>
      <c r="C9" s="7" t="str">
        <f>IFERROR(__xludf.DUMMYFUNCTION("""COMPUTED_VALUE"""),"1YgVZ1jEVgjUF1Dp8FAj_W_zLEZCyqvNMlWJIg0Tmkq4")</f>
        <v>1YgVZ1jEVgjUF1Dp8FAj_W_zLEZCyqvNMlWJIg0Tmkq4</v>
      </c>
      <c r="D9" s="7" t="str">
        <f>IFERROR(__xludf.DUMMYFUNCTION("""COMPUTED_VALUE"""),"")</f>
        <v/>
      </c>
      <c r="E9" s="7" t="str">
        <f>IFERROR(__xludf.DUMMYFUNCTION("""COMPUTED_VALUE"""),"")</f>
        <v/>
      </c>
      <c r="F9" s="7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7" t="str">
        <f>IFERROR(__xludf.DUMMYFUNCTION("""COMPUTED_VALUE"""),"Allocation")</f>
        <v>Allocation</v>
      </c>
      <c r="B10" s="7" t="str">
        <f>IFERROR(__xludf.DUMMYFUNCTION("""COMPUTED_VALUE"""),"EditTradesUnallocated")</f>
        <v>EditTradesUnallocated</v>
      </c>
      <c r="C10" s="7" t="str">
        <f>IFERROR(__xludf.DUMMYFUNCTION("""COMPUTED_VALUE"""),"1MyB61T39MDAUyQqCUJLATzUT2f5UlE8nFq4ltWy_DJ4")</f>
        <v>1MyB61T39MDAUyQqCUJLATzUT2f5UlE8nFq4ltWy_DJ4</v>
      </c>
      <c r="D10" s="7" t="str">
        <f>IFERROR(__xludf.DUMMYFUNCTION("""COMPUTED_VALUE"""),"")</f>
        <v/>
      </c>
      <c r="E10" s="7" t="str">
        <f>IFERROR(__xludf.DUMMYFUNCTION("""COMPUTED_VALUE"""),"")</f>
        <v/>
      </c>
      <c r="F10" s="7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7" t="str">
        <f>IFERROR(__xludf.DUMMYFUNCTION("""COMPUTED_VALUE"""),"Allocation")</f>
        <v>Allocation</v>
      </c>
      <c r="B11" s="7" t="str">
        <f>IFERROR(__xludf.DUMMYFUNCTION("""COMPUTED_VALUE"""),"Reallocate")</f>
        <v>Reallocate</v>
      </c>
      <c r="C11" s="7" t="str">
        <f>IFERROR(__xludf.DUMMYFUNCTION("""COMPUTED_VALUE"""),"undefined")</f>
        <v>undefined</v>
      </c>
      <c r="D11" s="7" t="str">
        <f>IFERROR(__xludf.DUMMYFUNCTION("""COMPUTED_VALUE"""),"")</f>
        <v/>
      </c>
      <c r="E11" s="7" t="str">
        <f>IFERROR(__xludf.DUMMYFUNCTION("""COMPUTED_VALUE"""),"")</f>
        <v/>
      </c>
      <c r="F11" s="7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7" t="str">
        <f>IFERROR(__xludf.DUMMYFUNCTION("""COMPUTED_VALUE"""),"Blotter")</f>
        <v>Blotter</v>
      </c>
      <c r="B12" s="7" t="str">
        <f>IFERROR(__xludf.DUMMYFUNCTION("""COMPUTED_VALUE"""),"ReplaceFillsOnBlotter")</f>
        <v>ReplaceFillsOnBlotter</v>
      </c>
      <c r="C12" s="7" t="str">
        <f>IFERROR(__xludf.DUMMYFUNCTION("""COMPUTED_VALUE"""),"undefined")</f>
        <v>undefined</v>
      </c>
      <c r="D12" s="7" t="str">
        <f>IFERROR(__xludf.DUMMYFUNCTION("""COMPUTED_VALUE"""),"")</f>
        <v/>
      </c>
      <c r="E12" s="7" t="str">
        <f>IFERROR(__xludf.DUMMYFUNCTION("""COMPUTED_VALUE"""),"")</f>
        <v/>
      </c>
      <c r="F12" s="7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7" t="str">
        <f>IFERROR(__xludf.DUMMYFUNCTION("""COMPUTED_VALUE"""),"Blotter")</f>
        <v>Blotter</v>
      </c>
      <c r="B13" s="7" t="str">
        <f>IFERROR(__xludf.DUMMYFUNCTION("""COMPUTED_VALUE"""),"CheckBlotter")</f>
        <v>CheckBlotter</v>
      </c>
      <c r="C13" s="7" t="str">
        <f>IFERROR(__xludf.DUMMYFUNCTION("""COMPUTED_VALUE"""),"16qheLbvgC92hKxalWDlpWfHBMyDDVqHERUCc7bQiO2A")</f>
        <v>16qheLbvgC92hKxalWDlpWfHBMyDDVqHERUCc7bQiO2A</v>
      </c>
      <c r="D13" s="7" t="str">
        <f>IFERROR(__xludf.DUMMYFUNCTION("""COMPUTED_VALUE"""),"")</f>
        <v/>
      </c>
      <c r="E13" s="7" t="str">
        <f>IFERROR(__xludf.DUMMYFUNCTION("""COMPUTED_VALUE"""),"")</f>
        <v/>
      </c>
      <c r="F13" s="7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7" t="str">
        <f>IFERROR(__xludf.DUMMYFUNCTION("""COMPUTED_VALUE"""),"GeneralLedger")</f>
        <v>GeneralLedger</v>
      </c>
      <c r="B14" s="7" t="str">
        <f>IFERROR(__xludf.DUMMYFUNCTION("""COMPUTED_VALUE"""),"GetDataCash")</f>
        <v>GetDataCash</v>
      </c>
      <c r="C14" s="7" t="str">
        <f>IFERROR(__xludf.DUMMYFUNCTION("""COMPUTED_VALUE"""),"1zLd3ju-mV8f6PZiQUYLU-cAgAUwLwyoIAKuu0WgG2zI")</f>
        <v>1zLd3ju-mV8f6PZiQUYLU-cAgAUwLwyoIAKuu0WgG2zI</v>
      </c>
      <c r="D14" s="7" t="str">
        <f>IFERROR(__xludf.DUMMYFUNCTION("""COMPUTED_VALUE"""),"")</f>
        <v/>
      </c>
      <c r="E14" s="7" t="str">
        <f>IFERROR(__xludf.DUMMYFUNCTION("""COMPUTED_VALUE"""),"")</f>
        <v/>
      </c>
      <c r="F14" s="7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7" t="str">
        <f>IFERROR(__xludf.DUMMYFUNCTION("""COMPUTED_VALUE"""),"GeneralLedger")</f>
        <v>GeneralLedger</v>
      </c>
      <c r="B15" s="7" t="str">
        <f>IFERROR(__xludf.DUMMYFUNCTION("""COMPUTED_VALUE"""),"EnterCashDividends")</f>
        <v>EnterCashDividends</v>
      </c>
      <c r="C15" s="7" t="str">
        <f>IFERROR(__xludf.DUMMYFUNCTION("""COMPUTED_VALUE"""),"1sjDsI5FIL_l_G6osMJQ7e8auBgYd3R3JDaKWKV_8Og0")</f>
        <v>1sjDsI5FIL_l_G6osMJQ7e8auBgYd3R3JDaKWKV_8Og0</v>
      </c>
      <c r="D15" s="7" t="str">
        <f>IFERROR(__xludf.DUMMYFUNCTION("""COMPUTED_VALUE"""),"")</f>
        <v/>
      </c>
      <c r="E15" s="7" t="str">
        <f>IFERROR(__xludf.DUMMYFUNCTION("""COMPUTED_VALUE"""),"")</f>
        <v/>
      </c>
      <c r="F15" s="7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7" t="str">
        <f>IFERROR(__xludf.DUMMYFUNCTION("""COMPUTED_VALUE"""),"GeneralLedger")</f>
        <v>GeneralLedger</v>
      </c>
      <c r="B16" s="7" t="str">
        <f>IFERROR(__xludf.DUMMYFUNCTION("""COMPUTED_VALUE"""),"EnterNonTradingTransaction")</f>
        <v>EnterNonTradingTransaction</v>
      </c>
      <c r="C16" s="7" t="str">
        <f>IFERROR(__xludf.DUMMYFUNCTION("""COMPUTED_VALUE"""),"1xn1P_Z-3N4d2BC1SUPly2HiVZazly5ZQcS18BfaTyho")</f>
        <v>1xn1P_Z-3N4d2BC1SUPly2HiVZazly5ZQcS18BfaTyho</v>
      </c>
      <c r="D16" s="7" t="str">
        <f>IFERROR(__xludf.DUMMYFUNCTION("""COMPUTED_VALUE"""),"")</f>
        <v/>
      </c>
      <c r="E16" s="7" t="str">
        <f>IFERROR(__xludf.DUMMYFUNCTION("""COMPUTED_VALUE"""),"")</f>
        <v/>
      </c>
      <c r="F16" s="7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7" t="str">
        <f>IFERROR(__xludf.DUMMYFUNCTION("""COMPUTED_VALUE"""),"GeneralLedger")</f>
        <v>GeneralLedger</v>
      </c>
      <c r="B17" s="7" t="str">
        <f>IFERROR(__xludf.DUMMYFUNCTION("""COMPUTED_VALUE"""),"VerifyCash")</f>
        <v>VerifyCash</v>
      </c>
      <c r="C17" s="7" t="str">
        <f>IFERROR(__xludf.DUMMYFUNCTION("""COMPUTED_VALUE"""),"1vlvYPsiFAWjsnFrbkGn_fAvkwF00V3e7htalalU6QN4")</f>
        <v>1vlvYPsiFAWjsnFrbkGn_fAvkwF00V3e7htalalU6QN4</v>
      </c>
      <c r="D17" s="7" t="str">
        <f>IFERROR(__xludf.DUMMYFUNCTION("""COMPUTED_VALUE"""),"")</f>
        <v/>
      </c>
      <c r="E17" s="7" t="str">
        <f>IFERROR(__xludf.DUMMYFUNCTION("""COMPUTED_VALUE"""),"")</f>
        <v/>
      </c>
      <c r="F17" s="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7" t="str">
        <f>IFERROR(__xludf.DUMMYFUNCTION("""COMPUTED_VALUE"""),"GeneralLedger")</f>
        <v>GeneralLedger</v>
      </c>
      <c r="B18" s="7" t="str">
        <f>IFERROR(__xludf.DUMMYFUNCTION("""COMPUTED_VALUE"""),"VerifyActivity")</f>
        <v>VerifyActivity</v>
      </c>
      <c r="C18" s="7" t="str">
        <f>IFERROR(__xludf.DUMMYFUNCTION("""COMPUTED_VALUE"""),"1o2rCg2FuoAOT5Pl8i4iFP_TwpPm0UB1dd49GbpkytfM")</f>
        <v>1o2rCg2FuoAOT5Pl8i4iFP_TwpPm0UB1dd49GbpkytfM</v>
      </c>
      <c r="D18" s="7" t="str">
        <f>IFERROR(__xludf.DUMMYFUNCTION("""COMPUTED_VALUE"""),"")</f>
        <v/>
      </c>
      <c r="E18" s="7" t="str">
        <f>IFERROR(__xludf.DUMMYFUNCTION("""COMPUTED_VALUE"""),"")</f>
        <v/>
      </c>
      <c r="F18" s="7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7" t="str">
        <f>IFERROR(__xludf.DUMMYFUNCTION("""COMPUTED_VALUE"""),"GeneralLedger")</f>
        <v>GeneralLedger</v>
      </c>
      <c r="B19" s="7" t="str">
        <f>IFERROR(__xludf.DUMMYFUNCTION("""COMPUTED_VALUE"""),"VerifyTradingTransaction")</f>
        <v>VerifyTradingTransaction</v>
      </c>
      <c r="C19" s="7" t="str">
        <f>IFERROR(__xludf.DUMMYFUNCTION("""COMPUTED_VALUE"""),"1_v2niCJ9VGNvgEBpvz030BFqEISSUhYRHyWcAJAn_Eg")</f>
        <v>1_v2niCJ9VGNvgEBpvz030BFqEISSUhYRHyWcAJAn_Eg</v>
      </c>
      <c r="D19" s="7" t="str">
        <f>IFERROR(__xludf.DUMMYFUNCTION("""COMPUTED_VALUE"""),"")</f>
        <v/>
      </c>
      <c r="E19" s="7" t="str">
        <f>IFERROR(__xludf.DUMMYFUNCTION("""COMPUTED_VALUE"""),"")</f>
        <v/>
      </c>
      <c r="F19" s="7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7" t="str">
        <f>IFERROR(__xludf.DUMMYFUNCTION("""COMPUTED_VALUE"""),"GeneralLedger")</f>
        <v>GeneralLedger</v>
      </c>
      <c r="B20" s="7" t="str">
        <f>IFERROR(__xludf.DUMMYFUNCTION("""COMPUTED_VALUE"""),"VerifyRevaluationData")</f>
        <v>VerifyRevaluationData</v>
      </c>
      <c r="C20" s="7" t="str">
        <f>IFERROR(__xludf.DUMMYFUNCTION("""COMPUTED_VALUE"""),"1hsRs1-LY0akTrMe91ArnbLtk6GUy_bKxVwMYCaiMs-8")</f>
        <v>1hsRs1-LY0akTrMe91ArnbLtk6GUy_bKxVwMYCaiMs-8</v>
      </c>
      <c r="D20" s="7" t="str">
        <f>IFERROR(__xludf.DUMMYFUNCTION("""COMPUTED_VALUE"""),"")</f>
        <v/>
      </c>
      <c r="E20" s="7" t="str">
        <f>IFERROR(__xludf.DUMMYFUNCTION("""COMPUTED_VALUE"""),"")</f>
        <v/>
      </c>
      <c r="F20" s="7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7" t="str">
        <f>IFERROR(__xludf.DUMMYFUNCTION("""COMPUTED_VALUE"""),"CorporateAction")</f>
        <v>CorporateAction</v>
      </c>
      <c r="B21" s="7" t="str">
        <f>IFERROR(__xludf.DUMMYFUNCTION("""COMPUTED_VALUE"""),"CorporateAction")</f>
        <v>CorporateAction</v>
      </c>
      <c r="C21" s="7" t="str">
        <f>IFERROR(__xludf.DUMMYFUNCTION("""COMPUTED_VALUE"""),"14rwUHTx4auE_hf60WN-tNOx3atNg7QGvErWNwVQIRqE")</f>
        <v>14rwUHTx4auE_hf60WN-tNOx3atNg7QGvErWNwVQIRqE</v>
      </c>
      <c r="D21" s="7" t="str">
        <f>IFERROR(__xludf.DUMMYFUNCTION("""COMPUTED_VALUE"""),"")</f>
        <v/>
      </c>
      <c r="E21" s="7" t="str">
        <f>IFERROR(__xludf.DUMMYFUNCTION("""COMPUTED_VALUE"""),"")</f>
        <v/>
      </c>
      <c r="F21" s="7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7" t="str">
        <f>IFERROR(__xludf.DUMMYFUNCTION("""COMPUTED_VALUE"""),"CreateTransaction")</f>
        <v>CreateTransaction</v>
      </c>
      <c r="B22" s="7" t="str">
        <f>IFERROR(__xludf.DUMMYFUNCTION("""COMPUTED_VALUE"""),"CreateTransaction")</f>
        <v>CreateTransaction</v>
      </c>
      <c r="C22" s="7" t="str">
        <f>IFERROR(__xludf.DUMMYFUNCTION("""COMPUTED_VALUE"""),"1amshi8Ns36lsDpccBK0y_9bL_pQ2rHdGNYypcgzceUg")</f>
        <v>1amshi8Ns36lsDpccBK0y_9bL_pQ2rHdGNYypcgzceUg</v>
      </c>
      <c r="D22" s="7" t="str">
        <f>IFERROR(__xludf.DUMMYFUNCTION("""COMPUTED_VALUE"""),"")</f>
        <v/>
      </c>
      <c r="E22" s="7" t="str">
        <f>IFERROR(__xludf.DUMMYFUNCTION("""COMPUTED_VALUE"""),"")</f>
        <v/>
      </c>
      <c r="F22" s="7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7" t="str">
        <f>IFERROR(__xludf.DUMMYFUNCTION("""COMPUTED_VALUE"""),"DailyValuation")</f>
        <v>DailyValuation</v>
      </c>
      <c r="B23" s="7" t="str">
        <f>IFERROR(__xludf.DUMMYFUNCTION("""COMPUTED_VALUE"""),"UpdateBeta")</f>
        <v>UpdateBeta</v>
      </c>
      <c r="C23" s="7" t="str">
        <f>IFERROR(__xludf.DUMMYFUNCTION("""COMPUTED_VALUE"""),"1YKttwHsdIskNDoo0Sl7HF2DWikROW-KA05qfT3GLIyI")</f>
        <v>1YKttwHsdIskNDoo0Sl7HF2DWikROW-KA05qfT3GLIyI</v>
      </c>
      <c r="D23" s="7" t="str">
        <f>IFERROR(__xludf.DUMMYFUNCTION("""COMPUTED_VALUE"""),"")</f>
        <v/>
      </c>
      <c r="E23" s="7" t="str">
        <f>IFERROR(__xludf.DUMMYFUNCTION("""COMPUTED_VALUE"""),"")</f>
        <v/>
      </c>
      <c r="F23" s="7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7" t="str">
        <f>IFERROR(__xludf.DUMMYFUNCTION("""COMPUTED_VALUE"""),"DailyValuation")</f>
        <v>DailyValuation</v>
      </c>
      <c r="B24" s="7" t="str">
        <f>IFERROR(__xludf.DUMMYFUNCTION("""COMPUTED_VALUE"""),"UpdateDailyCash")</f>
        <v>UpdateDailyCash</v>
      </c>
      <c r="C24" s="7" t="str">
        <f>IFERROR(__xludf.DUMMYFUNCTION("""COMPUTED_VALUE"""),"1YJ2rTp-OqQTGjubvs_cBC6fl0l94pyHI2eaLJzbddS4")</f>
        <v>1YJ2rTp-OqQTGjubvs_cBC6fl0l94pyHI2eaLJzbddS4</v>
      </c>
      <c r="D24" s="7" t="str">
        <f>IFERROR(__xludf.DUMMYFUNCTION("""COMPUTED_VALUE"""),"")</f>
        <v/>
      </c>
      <c r="E24" s="7" t="str">
        <f>IFERROR(__xludf.DUMMYFUNCTION("""COMPUTED_VALUE"""),"")</f>
        <v/>
      </c>
      <c r="F24" s="7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7" t="str">
        <f>IFERROR(__xludf.DUMMYFUNCTION("""COMPUTED_VALUE"""),"DailyValuation")</f>
        <v>DailyValuation</v>
      </c>
      <c r="B25" s="7" t="str">
        <f>IFERROR(__xludf.DUMMYFUNCTION("""COMPUTED_VALUE"""),"UpdateForexConversion")</f>
        <v>UpdateForexConversion</v>
      </c>
      <c r="C25" s="7" t="str">
        <f>IFERROR(__xludf.DUMMYFUNCTION("""COMPUTED_VALUE"""),"1mLyEfNTVFd65cnE6GfgCRD6TdpKg1BgqNIDjHCFzyO4")</f>
        <v>1mLyEfNTVFd65cnE6GfgCRD6TdpKg1BgqNIDjHCFzyO4</v>
      </c>
      <c r="D25" s="7" t="str">
        <f>IFERROR(__xludf.DUMMYFUNCTION("""COMPUTED_VALUE"""),"")</f>
        <v/>
      </c>
      <c r="E25" s="7" t="str">
        <f>IFERROR(__xludf.DUMMYFUNCTION("""COMPUTED_VALUE"""),"")</f>
        <v/>
      </c>
      <c r="F25" s="7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7" t="str">
        <f>IFERROR(__xludf.DUMMYFUNCTION("""COMPUTED_VALUE"""),"DailyValuation")</f>
        <v>DailyValuation</v>
      </c>
      <c r="B26" s="7" t="str">
        <f>IFERROR(__xludf.DUMMYFUNCTION("""COMPUTED_VALUE"""),"UpdateMarkPrice")</f>
        <v>UpdateMarkPrice</v>
      </c>
      <c r="C26" s="7" t="str">
        <f>IFERROR(__xludf.DUMMYFUNCTION("""COMPUTED_VALUE"""),"1M8d9TyOhMnA65NSIYvS6dR68SH5RL6oKahd6uz7yp6c")</f>
        <v>1M8d9TyOhMnA65NSIYvS6dR68SH5RL6oKahd6uz7yp6c</v>
      </c>
      <c r="D26" s="7" t="str">
        <f>IFERROR(__xludf.DUMMYFUNCTION("""COMPUTED_VALUE"""),"")</f>
        <v/>
      </c>
      <c r="E26" s="7" t="str">
        <f>IFERROR(__xludf.DUMMYFUNCTION("""COMPUTED_VALUE"""),"")</f>
        <v/>
      </c>
      <c r="F26" s="7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7" t="str">
        <f>IFERROR(__xludf.DUMMYFUNCTION("""COMPUTED_VALUE"""),"Import")</f>
        <v>Import</v>
      </c>
      <c r="B27" s="7" t="str">
        <f>IFERROR(__xludf.DUMMYFUNCTION("""COMPUTED_VALUE"""),"Import")</f>
        <v>Import</v>
      </c>
      <c r="C27" s="7" t="str">
        <f>IFERROR(__xludf.DUMMYFUNCTION("""COMPUTED_VALUE"""),"1Q5uOVYo1NMRks6hQRJuV8XWMPb6VFEAbSzpgP1dot1I")</f>
        <v>1Q5uOVYo1NMRks6hQRJuV8XWMPb6VFEAbSzpgP1dot1I</v>
      </c>
      <c r="D27" s="7" t="str">
        <f>IFERROR(__xludf.DUMMYFUNCTION("""COMPUTED_VALUE"""),"")</f>
        <v/>
      </c>
      <c r="E27" s="7" t="str">
        <f>IFERROR(__xludf.DUMMYFUNCTION("""COMPUTED_VALUE"""),"")</f>
        <v/>
      </c>
      <c r="F27" s="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7" t="str">
        <f>IFERROR(__xludf.DUMMYFUNCTION("""COMPUTED_VALUE"""),"PortfolioManagement")</f>
        <v>PortfolioManagement</v>
      </c>
      <c r="B28" s="7" t="str">
        <f>IFERROR(__xludf.DUMMYFUNCTION("""COMPUTED_VALUE"""),"CheckDashboardPM")</f>
        <v>CheckDashboardPM</v>
      </c>
      <c r="C28" s="7" t="str">
        <f>IFERROR(__xludf.DUMMYFUNCTION("""COMPUTED_VALUE"""),"1iqfUyYqyebXIeNBGljH7-T8whBcywTlkBBU3dBZV06s")</f>
        <v>1iqfUyYqyebXIeNBGljH7-T8whBcywTlkBBU3dBZV06s</v>
      </c>
      <c r="D28" s="7" t="str">
        <f>IFERROR(__xludf.DUMMYFUNCTION("""COMPUTED_VALUE"""),"")</f>
        <v/>
      </c>
      <c r="E28" s="7" t="str">
        <f>IFERROR(__xludf.DUMMYFUNCTION("""COMPUTED_VALUE"""),"")</f>
        <v/>
      </c>
      <c r="F28" s="7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7" t="str">
        <f>IFERROR(__xludf.DUMMYFUNCTION("""COMPUTED_VALUE"""),"PortfolioManagement")</f>
        <v>PortfolioManagement</v>
      </c>
      <c r="B29" s="7" t="str">
        <f>IFERROR(__xludf.DUMMYFUNCTION("""COMPUTED_VALUE"""),"CheckPortfolioManagement")</f>
        <v>CheckPortfolioManagement</v>
      </c>
      <c r="C29" s="7" t="str">
        <f>IFERROR(__xludf.DUMMYFUNCTION("""COMPUTED_VALUE"""),"1u0XMlZJy_Slp7uXMwirinW7StOOdTcWD-D8V07sO0VA")</f>
        <v>1u0XMlZJy_Slp7uXMwirinW7StOOdTcWD-D8V07sO0VA</v>
      </c>
      <c r="D29" s="7" t="str">
        <f>IFERROR(__xludf.DUMMYFUNCTION("""COMPUTED_VALUE"""),"")</f>
        <v/>
      </c>
      <c r="E29" s="7" t="str">
        <f>IFERROR(__xludf.DUMMYFUNCTION("""COMPUTED_VALUE"""),"")</f>
        <v/>
      </c>
      <c r="F29" s="7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7" t="str">
        <f>IFERROR(__xludf.DUMMYFUNCTION("""COMPUTED_VALUE"""),"PricingInput")</f>
        <v>PricingInput</v>
      </c>
      <c r="B30" s="7" t="str">
        <f>IFERROR(__xludf.DUMMYFUNCTION("""COMPUTED_VALUE"""),"PricingInput")</f>
        <v>PricingInput</v>
      </c>
      <c r="C30" s="7" t="str">
        <f>IFERROR(__xludf.DUMMYFUNCTION("""COMPUTED_VALUE"""),"1mh3Z5PifhJ3yzX8TPeoc3H3nteNiA0V2tWFse0rVChE")</f>
        <v>1mh3Z5PifhJ3yzX8TPeoc3H3nteNiA0V2tWFse0rVChE</v>
      </c>
      <c r="D30" s="7" t="str">
        <f>IFERROR(__xludf.DUMMYFUNCTION("""COMPUTED_VALUE"""),"")</f>
        <v/>
      </c>
      <c r="E30" s="7" t="str">
        <f>IFERROR(__xludf.DUMMYFUNCTION("""COMPUTED_VALUE"""),"")</f>
        <v/>
      </c>
      <c r="F30" s="7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7" t="str">
        <f>IFERROR(__xludf.DUMMYFUNCTION("""COMPUTED_VALUE"""),"PricingInput")</f>
        <v>PricingInput</v>
      </c>
      <c r="B31" s="7" t="str">
        <f>IFERROR(__xludf.DUMMYFUNCTION("""COMPUTED_VALUE"""),"UpdateSharesOutstanding")</f>
        <v>UpdateSharesOutstanding</v>
      </c>
      <c r="C31" s="7" t="str">
        <f>IFERROR(__xludf.DUMMYFUNCTION("""COMPUTED_VALUE"""),"1vmZ6v1OyZ8SSi8bqqjK3ap3KtM_yPA_SEcIQgYiRInY")</f>
        <v>1vmZ6v1OyZ8SSi8bqqjK3ap3KtM_yPA_SEcIQgYiRInY</v>
      </c>
      <c r="D31" s="7" t="str">
        <f>IFERROR(__xludf.DUMMYFUNCTION("""COMPUTED_VALUE"""),"")</f>
        <v/>
      </c>
      <c r="E31" s="7" t="str">
        <f>IFERROR(__xludf.DUMMYFUNCTION("""COMPUTED_VALUE"""),"")</f>
        <v/>
      </c>
      <c r="F31" s="7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7" t="str">
        <f>IFERROR(__xludf.DUMMYFUNCTION("""COMPUTED_VALUE"""),"SymbolLookup")</f>
        <v>SymbolLookup</v>
      </c>
      <c r="B32" s="7" t="str">
        <f>IFERROR(__xludf.DUMMYFUNCTION("""COMPUTED_VALUE"""),"VerifySymbolLookUp")</f>
        <v>VerifySymbolLookUp</v>
      </c>
      <c r="C32" s="7" t="str">
        <f>IFERROR(__xludf.DUMMYFUNCTION("""COMPUTED_VALUE"""),"1OiI1Pi_JAFOFi8ByMaD3_qqEXSv6yQMo_u6aGTozbl8")</f>
        <v>1OiI1Pi_JAFOFi8ByMaD3_qqEXSv6yQMo_u6aGTozbl8</v>
      </c>
      <c r="D32" s="7" t="str">
        <f>IFERROR(__xludf.DUMMYFUNCTION("""COMPUTED_VALUE"""),"")</f>
        <v/>
      </c>
      <c r="E32" s="7" t="str">
        <f>IFERROR(__xludf.DUMMYFUNCTION("""COMPUTED_VALUE"""),"")</f>
        <v/>
      </c>
      <c r="F32" s="7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7" t="str">
        <f>IFERROR(__xludf.DUMMYFUNCTION("""COMPUTED_VALUE"""),"SymbolLookup")</f>
        <v>SymbolLookup</v>
      </c>
      <c r="B33" s="7" t="str">
        <f>IFERROR(__xludf.DUMMYFUNCTION("""COMPUTED_VALUE"""),"SymbolLookupFromTT")</f>
        <v>SymbolLookupFromTT</v>
      </c>
      <c r="C33" s="7" t="str">
        <f>IFERROR(__xludf.DUMMYFUNCTION("""COMPUTED_VALUE"""),"1ubfvE9sHq5KpJ9NazeH96CrVMJqAuol5Ya9GPjxWrgI")</f>
        <v>1ubfvE9sHq5KpJ9NazeH96CrVMJqAuol5Ya9GPjxWrgI</v>
      </c>
      <c r="D33" s="7" t="str">
        <f>IFERROR(__xludf.DUMMYFUNCTION("""COMPUTED_VALUE"""),"")</f>
        <v/>
      </c>
      <c r="E33" s="7" t="str">
        <f>IFERROR(__xludf.DUMMYFUNCTION("""COMPUTED_VALUE"""),"")</f>
        <v/>
      </c>
      <c r="F33" s="7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1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IFERROR(__xludf.DUMMYFUNCTION("""COMPUTED_VALUE"""),"1y3edACvUtHcrCyn7bfzWXET_VAfASVChWeHuDnd6534")</f>
        <v>1y3edACvUtHcrCyn7bfzWXET_VAfASVChWeHuDnd6534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 ht="15.75" customHeight="1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 ht="15.75" customHeight="1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 ht="15.75" customHeight="1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 ht="15.75" customHeight="1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 ht="15.75" customHeight="1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 ht="15.75" customHeight="1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 ht="15.75" customHeight="1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 ht="15.75" customHeight="1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 ht="15.75" customHeight="1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 ht="15.75" customHeight="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 ht="15.75" customHeight="1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 ht="15.75" customHeight="1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 ht="15.75" customHeight="1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 ht="15.75" customHeight="1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 ht="15.75" customHeight="1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 ht="15.75" customHeight="1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 ht="15.75" customHeight="1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 ht="15.75" customHeight="1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 ht="15.75" customHeight="1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 ht="15.75" customHeight="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 ht="15.75" customHeight="1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 ht="15.75" customHeight="1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 ht="15.75" customHeight="1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 ht="15.75" customHeight="1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 ht="15.75" customHeight="1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 ht="15.75" customHeight="1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 ht="15.75" customHeight="1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 ht="15.75" customHeight="1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 ht="15.75" customHeight="1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 ht="15.75" customHeight="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 ht="15.75" customHeight="1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 ht="15.75" customHeight="1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 ht="15.75" customHeight="1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 ht="15.75" customHeight="1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 ht="15.75" customHeight="1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 ht="15.75" customHeight="1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 ht="15.75" customHeight="1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 ht="15.75" customHeight="1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 ht="15.75" customHeight="1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 ht="15.75" customHeight="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 ht="15.75" customHeight="1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 ht="15.75" customHeight="1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 ht="15.75" customHeight="1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 ht="15.75" customHeight="1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 ht="15.75" customHeight="1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 ht="15.75" customHeight="1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 ht="15.75" customHeight="1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 ht="15.75" customHeight="1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 ht="15.75" customHeight="1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 ht="15.75" customHeight="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4.43"/>
    <col customWidth="1" min="3" max="23" width="14.43"/>
  </cols>
  <sheetData>
    <row r="1" ht="15.75" customHeight="1">
      <c r="A1" s="1" t="s">
        <v>0</v>
      </c>
      <c r="B1" s="4"/>
      <c r="C1" s="5"/>
    </row>
    <row r="2" ht="15.75" customHeight="1">
      <c r="A2" s="6"/>
      <c r="B2" s="6"/>
      <c r="C2" s="6"/>
    </row>
    <row r="3" ht="15.75" customHeight="1">
      <c r="A3" s="9" t="s">
        <v>3</v>
      </c>
      <c r="B3" s="11" t="s">
        <v>6</v>
      </c>
      <c r="C3" s="6"/>
    </row>
    <row r="4" ht="15.75" customHeight="1">
      <c r="A4" s="13" t="s">
        <v>8</v>
      </c>
      <c r="B4" s="11" t="s">
        <v>10</v>
      </c>
      <c r="C4" s="6"/>
    </row>
    <row r="5" ht="15.75" customHeight="1">
      <c r="A5" s="15"/>
      <c r="B5" s="6"/>
      <c r="C5" s="6"/>
    </row>
    <row r="6" ht="15.75" customHeight="1">
      <c r="A6" s="15"/>
      <c r="B6" s="6"/>
      <c r="C6" s="6"/>
    </row>
    <row r="7" ht="15.75" customHeight="1">
      <c r="A7" s="15"/>
      <c r="B7" s="6"/>
      <c r="C7" s="6"/>
    </row>
    <row r="8" ht="15.75" customHeight="1">
      <c r="A8" s="15"/>
      <c r="B8" s="6"/>
      <c r="C8" s="6"/>
    </row>
    <row r="9" ht="15.75" customHeight="1">
      <c r="A9" s="15"/>
      <c r="B9" s="6"/>
      <c r="C9" s="6"/>
    </row>
    <row r="10" ht="15.75" customHeight="1">
      <c r="A10" s="15"/>
      <c r="B10" s="6"/>
      <c r="C10" s="6"/>
    </row>
    <row r="11" ht="15.75" customHeight="1">
      <c r="A11" s="15"/>
      <c r="B11" s="6"/>
      <c r="C11" s="6"/>
    </row>
    <row r="12" ht="15.75" customHeight="1">
      <c r="A12" s="15"/>
      <c r="B12" s="6"/>
      <c r="C12" s="6"/>
    </row>
    <row r="13" ht="15.75" customHeight="1">
      <c r="A13" s="15"/>
      <c r="B13" s="6"/>
      <c r="C13" s="6"/>
    </row>
    <row r="14" ht="15.75" customHeight="1">
      <c r="A14" s="15"/>
      <c r="B14" s="6"/>
      <c r="C14" s="6"/>
    </row>
    <row r="15" ht="15.75" customHeight="1">
      <c r="A15" s="15"/>
      <c r="B15" s="6"/>
      <c r="C15" s="6"/>
    </row>
    <row r="16" ht="15.75" customHeight="1">
      <c r="A16" s="15"/>
      <c r="B16" s="6"/>
      <c r="C16" s="6"/>
    </row>
    <row r="17" ht="15.75" customHeight="1">
      <c r="A17" s="15"/>
      <c r="B17" s="6"/>
      <c r="C17" s="6"/>
    </row>
    <row r="18" ht="15.75" customHeight="1">
      <c r="A18" s="15"/>
      <c r="B18" s="6"/>
      <c r="C18" s="6"/>
    </row>
    <row r="19" ht="15.75" customHeight="1">
      <c r="A19" s="15"/>
      <c r="B19" s="6"/>
      <c r="C19" s="6"/>
    </row>
    <row r="20" ht="15.75" customHeight="1">
      <c r="A20" s="15"/>
      <c r="B20" s="6"/>
      <c r="C20" s="6"/>
    </row>
    <row r="21" ht="15.75" customHeight="1">
      <c r="A21" s="15"/>
      <c r="B21" s="6"/>
      <c r="C21" s="6"/>
    </row>
    <row r="22" ht="15.75" customHeight="1">
      <c r="A22" s="15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sheetData>
    <row r="1">
      <c r="A1" s="2" t="s">
        <v>1</v>
      </c>
      <c r="B1" s="4"/>
      <c r="C1" s="4"/>
      <c r="D1" s="4"/>
      <c r="E1" s="4"/>
      <c r="F1" s="5"/>
    </row>
    <row r="2">
      <c r="A2" s="8"/>
      <c r="B2" s="8"/>
      <c r="C2" s="8"/>
      <c r="D2" s="8"/>
      <c r="E2" s="8"/>
      <c r="F2" s="8"/>
    </row>
    <row r="3">
      <c r="A3" s="10" t="s">
        <v>5</v>
      </c>
      <c r="B3" s="12" t="s">
        <v>7</v>
      </c>
      <c r="C3" s="12" t="s">
        <v>9</v>
      </c>
      <c r="D3" s="14"/>
      <c r="E3" s="14"/>
      <c r="F3" s="14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3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9" t="s">
        <v>5</v>
      </c>
      <c r="C3" s="23" t="s">
        <v>13</v>
      </c>
      <c r="D3" s="9" t="s">
        <v>7</v>
      </c>
      <c r="E3" s="23" t="s">
        <v>14</v>
      </c>
      <c r="F3" s="9" t="s">
        <v>15</v>
      </c>
      <c r="G3" s="24" t="s">
        <v>16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IFERROR(__xludf.DUMMYFUNCTION("""COMPUTED_VALUE"""),"CreateDoneAwayOrder")</f>
        <v>CreateDoneAwayOrder</v>
      </c>
      <c r="M4" s="26" t="str">
        <f>IFERROR(__xludf.DUMMYFUNCTION("""COMPUTED_VALUE"""),"CreateNewSubOrder")</f>
        <v>CreateNewSubOrder</v>
      </c>
      <c r="N4" s="26" t="str">
        <f>IFERROR(__xludf.DUMMYFUNCTION("""COMPUTED_VALUE"""),"TradeBloomberg")</f>
        <v>TradeBloomberg</v>
      </c>
      <c r="O4" s="26" t="str">
        <f>IFERROR(__xludf.DUMMYFUNCTION("""COMPUTED_VALUE"""),"ClickSymbolLookup")</f>
        <v>ClickSymbolLookup</v>
      </c>
      <c r="P4" s="27" t="str">
        <f>IFERROR(__xludf.DUMMYFUNCTION("""COMPUTED_VALUE"""),"VerifyTT")</f>
        <v>VerifyTT</v>
      </c>
      <c r="Q4" s="27" t="str">
        <f>IFERROR(__xludf.DUMMYFUNCTION("""COMPUTED_VALUE"""),"CreateLiveOrder")</f>
        <v>CreateLiveOrder</v>
      </c>
      <c r="R4" s="27" t="str">
        <f>IFERROR(__xludf.DUMMYFUNCTION("""COMPUTED_VALUE"""),"")</f>
        <v/>
      </c>
      <c r="S4" s="27" t="str">
        <f>IFERROR(__xludf.DUMMYFUNCTION("""COMPUTED_VALUE"""),"")</f>
        <v/>
      </c>
      <c r="T4" s="27" t="str">
        <f>IFERROR(__xludf.DUMMYFUNCTION("""COMPUTED_VALUE"""),"")</f>
        <v/>
      </c>
      <c r="U4" s="27" t="str">
        <f>IFERROR(__xludf.DUMMYFUNCTION("""COMPUTED_VALUE"""),"")</f>
        <v/>
      </c>
      <c r="V4" s="27" t="str">
        <f>IFERROR(__xludf.DUMMYFUNCTION("""COMPUTED_VALUE"""),"")</f>
        <v/>
      </c>
      <c r="W4" s="27" t="str">
        <f>IFERROR(__xludf.DUMMYFUNCTION("""COMPUTED_VALUE"""),"")</f>
        <v/>
      </c>
      <c r="X4" s="27" t="str">
        <f>IFERROR(__xludf.DUMMYFUNCTION("""COMPUTED_VALUE"""),"")</f>
        <v/>
      </c>
      <c r="Y4" s="27" t="str">
        <f>IFERROR(__xludf.DUMMYFUNCTION("""COMPUTED_VALUE"""),"")</f>
        <v/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6"/>
      <c r="B6" s="31" t="s">
        <v>17</v>
      </c>
      <c r="C6" s="31" t="s">
        <v>18</v>
      </c>
      <c r="D6" s="31">
        <v>10000.0</v>
      </c>
      <c r="F6" s="31" t="s">
        <v>19</v>
      </c>
      <c r="J6" s="31">
        <v>20.0</v>
      </c>
    </row>
    <row r="7" ht="15.75" customHeight="1">
      <c r="A7" s="6"/>
      <c r="B7" s="31" t="s">
        <v>17</v>
      </c>
      <c r="C7" s="31" t="s">
        <v>18</v>
      </c>
      <c r="D7" s="31">
        <v>10000.0</v>
      </c>
      <c r="F7" s="31" t="s">
        <v>20</v>
      </c>
      <c r="G7" s="6"/>
      <c r="H7" s="6"/>
      <c r="I7" s="6"/>
      <c r="J7" s="11">
        <v>20.0</v>
      </c>
      <c r="K7" s="6"/>
      <c r="L7" s="6"/>
      <c r="M7" s="6"/>
      <c r="N7" s="6"/>
      <c r="O7" s="6"/>
    </row>
    <row r="8" ht="15.75" customHeight="1">
      <c r="A8" s="6"/>
      <c r="B8" s="11" t="s">
        <v>17</v>
      </c>
      <c r="C8" s="11" t="s">
        <v>18</v>
      </c>
      <c r="D8" s="11">
        <v>10000.0</v>
      </c>
      <c r="E8" s="6"/>
      <c r="F8" s="31" t="s">
        <v>21</v>
      </c>
      <c r="G8" s="6"/>
      <c r="H8" s="6"/>
      <c r="I8" s="6"/>
      <c r="J8" s="11">
        <v>20.0</v>
      </c>
      <c r="K8" s="6"/>
      <c r="L8" s="6"/>
      <c r="M8" s="6"/>
      <c r="N8" s="6"/>
      <c r="O8" s="6"/>
    </row>
    <row r="9" ht="15.75" customHeight="1">
      <c r="A9" s="6"/>
      <c r="B9" s="11" t="s">
        <v>17</v>
      </c>
      <c r="C9" s="11" t="s">
        <v>18</v>
      </c>
      <c r="D9" s="11">
        <v>10000.0</v>
      </c>
      <c r="E9" s="6"/>
      <c r="F9" s="11" t="s">
        <v>22</v>
      </c>
      <c r="G9" s="6"/>
      <c r="H9" s="6"/>
      <c r="I9" s="6"/>
      <c r="J9" s="11">
        <v>20.0</v>
      </c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3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9" t="s">
        <v>5</v>
      </c>
      <c r="C3" s="23" t="s">
        <v>12</v>
      </c>
      <c r="D3" s="9" t="s">
        <v>7</v>
      </c>
      <c r="E3" s="23" t="s">
        <v>12</v>
      </c>
      <c r="F3" s="9" t="s">
        <v>15</v>
      </c>
      <c r="G3" s="24" t="s">
        <v>16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IFERROR(__xludf.DUMMYFUNCTION("IF(C3="""","""",Transpose(IMPORTRANGE('_Settings'!$B$3,C3&amp;""!A4:A1000"")))"),"PricingInput")</f>
        <v>PricingInput</v>
      </c>
      <c r="C4" s="26" t="str">
        <f>IFERROR(__xludf.DUMMYFUNCTION("""COMPUTED_VALUE"""),"UpdateSharesOutstanding")</f>
        <v>UpdateSharesOutstanding</v>
      </c>
      <c r="D4" s="26" t="str">
        <f>IFERROR(__xludf.DUMMYFUNCTION("""COMPUTED_VALUE"""),"EODTPreferences")</f>
        <v>EODTPreferences</v>
      </c>
      <c r="E4" s="26" t="str">
        <f>IFERROR(__xludf.DUMMYFUNCTION("""COMPUTED_VALUE"""),"LiveData")</f>
        <v>LiveData</v>
      </c>
      <c r="F4" s="26" t="str">
        <f>IFERROR(__xludf.DUMMYFUNCTION("""COMPUTED_VALUE"""),"")</f>
        <v/>
      </c>
      <c r="G4" s="26" t="str">
        <f>IFERROR(__xludf.DUMMYFUNCTION("""COMPUTED_VALUE"""),"")</f>
        <v/>
      </c>
      <c r="H4" s="26" t="str">
        <f>IFERROR(__xludf.DUMMYFUNCTION("""COMPUTED_VALUE"""),"")</f>
        <v/>
      </c>
      <c r="I4" s="26" t="str">
        <f>IFERROR(__xludf.DUMMYFUNCTION("""COMPUTED_VALUE"""),"")</f>
        <v/>
      </c>
      <c r="J4" s="26" t="str">
        <f>IFERROR(__xludf.DUMMYFUNCTION("""COMPUTED_VALUE"""),"")</f>
        <v/>
      </c>
      <c r="K4" s="26" t="str">
        <f>IFERROR(__xludf.DUMMYFUNCTION("""COMPUTED_VALUE"""),"")</f>
        <v/>
      </c>
      <c r="L4" s="26" t="str">
        <f>IFERROR(__xludf.DUMMYFUNCTION("""COMPUTED_VALUE"""),"")</f>
        <v/>
      </c>
      <c r="M4" s="26" t="str">
        <f>IFERROR(__xludf.DUMMYFUNCTION("""COMPUTED_VALUE"""),"")</f>
        <v/>
      </c>
      <c r="N4" s="26" t="str">
        <f>IFERROR(__xludf.DUMMYFUNCTION("""COMPUTED_VALUE"""),"")</f>
        <v/>
      </c>
      <c r="O4" s="26" t="str">
        <f>IFERROR(__xludf.DUMMYFUNCTION("""COMPUTED_VALUE"""),"")</f>
        <v/>
      </c>
      <c r="P4" s="27" t="str">
        <f>IFERROR(__xludf.DUMMYFUNCTION("""COMPUTED_VALUE"""),"")</f>
        <v/>
      </c>
      <c r="Q4" s="27" t="str">
        <f>IFERROR(__xludf.DUMMYFUNCTION("""COMPUTED_VALUE"""),"")</f>
        <v/>
      </c>
      <c r="R4" s="27" t="str">
        <f>IFERROR(__xludf.DUMMYFUNCTION("""COMPUTED_VALUE"""),"")</f>
        <v/>
      </c>
      <c r="S4" s="27" t="str">
        <f>IFERROR(__xludf.DUMMYFUNCTION("""COMPUTED_VALUE"""),"")</f>
        <v/>
      </c>
      <c r="T4" s="27" t="str">
        <f>IFERROR(__xludf.DUMMYFUNCTION("""COMPUTED_VALUE"""),"")</f>
        <v/>
      </c>
      <c r="U4" s="27" t="str">
        <f>IFERROR(__xludf.DUMMYFUNCTION("""COMPUTED_VALUE"""),"")</f>
        <v/>
      </c>
      <c r="V4" s="27" t="str">
        <f>IFERROR(__xludf.DUMMYFUNCTION("""COMPUTED_VALUE"""),"")</f>
        <v/>
      </c>
      <c r="W4" s="27" t="str">
        <f>IFERROR(__xludf.DUMMYFUNCTION("""COMPUTED_VALUE"""),"")</f>
        <v/>
      </c>
      <c r="X4" s="27" t="str">
        <f>IFERROR(__xludf.DUMMYFUNCTION("""COMPUTED_VALUE"""),"")</f>
        <v/>
      </c>
      <c r="Y4" s="27" t="str">
        <f>IFERROR(__xludf.DUMMYFUNCTION("""COMPUTED_VALUE"""),"")</f>
        <v/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IFERROR(__xludf.DUMMYFUNCTION("""COMPUTED_VALUE"""),"User Px")</f>
        <v>User Px</v>
      </c>
      <c r="D5" s="29" t="str">
        <f>IFERROR(__xludf.DUMMYFUNCTION("""COMPUTED_VALUE"""),"Asset Class")</f>
        <v>Asset Class</v>
      </c>
      <c r="E5" s="29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9" t="str">
        <f>IFERROR(__xludf.DUMMYFUNCTION("""COMPUTED_VALUE"""),"User Volatility")</f>
        <v>User Volatility</v>
      </c>
      <c r="H5" s="29" t="str">
        <f>IFERROR(__xludf.DUMMYFUNCTION("""COMPUTED_VALUE"""),"Interest Rate")</f>
        <v>Interest Rate</v>
      </c>
      <c r="I5" s="29" t="str">
        <f>IFERROR(__xludf.DUMMYFUNCTION("""COMPUTED_VALUE"""),"User Interest Rate")</f>
        <v>User Interest Rate</v>
      </c>
      <c r="J5" s="29" t="str">
        <f>IFERROR(__xludf.DUMMYFUNCTION("""COMPUTED_VALUE"""),"Dividend Yield")</f>
        <v>Dividend Yield</v>
      </c>
      <c r="K5" s="29" t="str">
        <f>IFERROR(__xludf.DUMMYFUNCTION("""COMPUTED_VALUE"""),"User Dividend Yield")</f>
        <v>User Dividend Yield</v>
      </c>
      <c r="L5" s="29" t="str">
        <f>IFERROR(__xludf.DUMMYFUNCTION("""COMPUTED_VALUE"""),"Actual Delta")</f>
        <v>Actual Delta</v>
      </c>
      <c r="M5" s="29" t="str">
        <f>IFERROR(__xludf.DUMMYFUNCTION("""COMPUTED_VALUE"""),"User Delta")</f>
        <v>User Delta</v>
      </c>
      <c r="N5" s="29" t="str">
        <f>IFERROR(__xludf.DUMMYFUNCTION("""COMPUTED_VALUE"""),"Selected Px")</f>
        <v>Selected Px</v>
      </c>
      <c r="O5" s="29" t="str">
        <f>IFERROR(__xludf.DUMMYFUNCTION("""COMPUTED_VALUE"""),"Forward Points")</f>
        <v>Forward Points</v>
      </c>
      <c r="P5" s="29" t="str">
        <f>IFERROR(__xludf.DUMMYFUNCTION("""COMPUTED_VALUE"""),"Shares Outstanding")</f>
        <v>Shares Outstanding</v>
      </c>
      <c r="Q5" s="29" t="str">
        <f>IFERROR(__xludf.DUMMYFUNCTION("""COMPUTED_VALUE"""),"User Shares Outstanding")</f>
        <v>User Shares Outstanding</v>
      </c>
      <c r="R5" s="29" t="str">
        <f>IFERROR(__xludf.DUMMYFUNCTION("""COMPUTED_VALUE"""),"LastPriceUsed")</f>
        <v>LastPriceUsed</v>
      </c>
      <c r="S5" s="29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6"/>
      <c r="B6" s="31" t="s">
        <v>17</v>
      </c>
      <c r="C6" s="31">
        <v>20.0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3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9" t="s">
        <v>5</v>
      </c>
      <c r="C3" s="23" t="s">
        <v>23</v>
      </c>
      <c r="D3" s="9" t="s">
        <v>7</v>
      </c>
      <c r="E3" s="23" t="s">
        <v>24</v>
      </c>
      <c r="F3" s="9" t="s">
        <v>15</v>
      </c>
      <c r="G3" s="24" t="s">
        <v>16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7" t="str">
        <f>IFERROR(__xludf.DUMMYFUNCTION("""COMPUTED_VALUE"""),"GetDailyTradingVolume")</f>
        <v>GetDailyTradingVolume</v>
      </c>
      <c r="Q4" s="27" t="str">
        <f>IFERROR(__xludf.DUMMYFUNCTION("""COMPUTED_VALUE"""),"GetDailyOutstandings")</f>
        <v>GetDailyOutstandings</v>
      </c>
      <c r="R4" s="27" t="str">
        <f>IFERROR(__xludf.DUMMYFUNCTION("""COMPUTED_VALUE"""),"GetDailyDelta")</f>
        <v>GetDailyDelta</v>
      </c>
      <c r="S4" s="27" t="str">
        <f>IFERROR(__xludf.DUMMYFUNCTION("""COMPUTED_VALUE"""),"UpdateDailyVolatility")</f>
        <v>UpdateDailyVolatility</v>
      </c>
      <c r="T4" s="27" t="str">
        <f>IFERROR(__xludf.DUMMYFUNCTION("""COMPUTED_VALUE"""),"UpdateDividendYield")</f>
        <v>UpdateDividendYield</v>
      </c>
      <c r="U4" s="27" t="str">
        <f>IFERROR(__xludf.DUMMYFUNCTION("""COMPUTED_VALUE"""),"UpdateTradingVolume")</f>
        <v>UpdateTradingVolume</v>
      </c>
      <c r="V4" s="27" t="str">
        <f>IFERROR(__xludf.DUMMYFUNCTION("""COMPUTED_VALUE"""),"UpdateDailyDelta")</f>
        <v>UpdateDailyDelta</v>
      </c>
      <c r="W4" s="27" t="str">
        <f>IFERROR(__xludf.DUMMYFUNCTION("""COMPUTED_VALUE"""),"UpdateDailyOutstandings")</f>
        <v>UpdateDailyOutstandings</v>
      </c>
      <c r="X4" s="27" t="str">
        <f>IFERROR(__xludf.DUMMYFUNCTION("""COMPUTED_VALUE"""),"UpdateBeta")</f>
        <v>UpdateBeta</v>
      </c>
      <c r="Y4" s="27" t="str">
        <f>IFERROR(__xludf.DUMMYFUNCTION("""COMPUTED_VALUE"""),"UpdateNAV")</f>
        <v>UpdateNAV</v>
      </c>
      <c r="Z4" s="27" t="str">
        <f>IFERROR(__xludf.DUMMYFUNCTION("""COMPUTED_VALUE"""),"UpdateDailyCash")</f>
        <v>UpdateDailyCash</v>
      </c>
      <c r="AA4" s="27" t="str">
        <f>IFERROR(__xludf.DUMMYFUNCTION("""COMPUTED_VALUE"""),"UpdateDailyCreditLimt")</f>
        <v>UpdateDailyCreditLimt</v>
      </c>
      <c r="AB4" s="27" t="str">
        <f>IFERROR(__xludf.DUMMYFUNCTION("""COMPUTED_VALUE"""),"RemoveDailyCreditLimit")</f>
        <v>RemoveDailyCreditLimit</v>
      </c>
      <c r="AC4" s="27" t="str">
        <f>IFERROR(__xludf.DUMMYFUNCTION("""COMPUTED_VALUE"""),"RemoveDailyCash")</f>
        <v>RemoveDailyCash</v>
      </c>
      <c r="AD4" s="27" t="str">
        <f>IFERROR(__xludf.DUMMYFUNCTION("""COMPUTED_VALUE"""),"RemoveNAV")</f>
        <v>RemoveNAV</v>
      </c>
      <c r="AE4" s="27" t="str">
        <f>IFERROR(__xludf.DUMMYFUNCTION("""COMPUTED_VALUE"""),"UpdateForexConversionMonthly")</f>
        <v>UpdateForexConversionMonthly</v>
      </c>
      <c r="AF4" s="27" t="str">
        <f>IFERROR(__xludf.DUMMYFUNCTION("""COMPUTED_VALUE"""),"UpdateMarkPriceMonthly")</f>
        <v>UpdateMarkPriceMonthly</v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IFERROR(__xludf.DUMMYFUNCTION("""COMPUTED_VALUE"""),"Select Date")</f>
        <v>Select Date</v>
      </c>
      <c r="C5" s="29" t="str">
        <f>IFERROR(__xludf.DUMMYFUNCTION("""COMPUTED_VALUE"""),"Copy From")</f>
        <v>Copy From</v>
      </c>
      <c r="D5" s="29" t="str">
        <f>IFERROR(__xludf.DUMMYFUNCTION("""COMPUTED_VALUE"""),"")</f>
        <v/>
      </c>
      <c r="E5" s="29" t="str">
        <f>IFERROR(__xludf.DUMMYFUNCTION("""COMPUTED_VALUE"""),"")</f>
        <v/>
      </c>
      <c r="F5" s="29" t="str">
        <f>IFERROR(__xludf.DUMMYFUNCTION("""COMPUTED_VALUE"""),"")</f>
        <v/>
      </c>
      <c r="G5" s="29" t="str">
        <f>IFERROR(__xludf.DUMMYFUNCTION("""COMPUTED_VALUE"""),"")</f>
        <v/>
      </c>
      <c r="H5" s="29" t="str">
        <f>IFERROR(__xludf.DUMMYFUNCTION("""COMPUTED_VALUE"""),"")</f>
        <v/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6"/>
      <c r="B6" s="32">
        <f>TODAY()-1</f>
        <v>43746</v>
      </c>
      <c r="C6" s="32">
        <f>TODAY()</f>
        <v>43747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3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9" t="s">
        <v>5</v>
      </c>
      <c r="C3" s="23" t="s">
        <v>23</v>
      </c>
      <c r="D3" s="9" t="s">
        <v>7</v>
      </c>
      <c r="E3" s="23" t="s">
        <v>25</v>
      </c>
      <c r="F3" s="9" t="s">
        <v>15</v>
      </c>
      <c r="G3" s="24" t="s">
        <v>16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IFERROR(__xludf.DUMMYFUNCTION("IF(C3="""","""",Transpose(IMPORTRANGE('_Settings'!$B$3,C3&amp;""!A4:A1000"")))"),"UpdateBeta")</f>
        <v>UpdateBeta</v>
      </c>
      <c r="C4" s="26" t="str">
        <f>IFERROR(__xludf.DUMMYFUNCTION("""COMPUTED_VALUE"""),"UpdateDailyCash")</f>
        <v>UpdateDailyCash</v>
      </c>
      <c r="D4" s="26" t="str">
        <f>IFERROR(__xludf.DUMMYFUNCTION("""COMPUTED_VALUE"""),"UpdateForexConversion")</f>
        <v>UpdateForexConversion</v>
      </c>
      <c r="E4" s="26" t="str">
        <f>IFERROR(__xludf.DUMMYFUNCTION("""COMPUTED_VALUE"""),"UpdateMarkPrice")</f>
        <v>UpdateMarkPrice</v>
      </c>
      <c r="F4" s="26" t="str">
        <f>IFERROR(__xludf.DUMMYFUNCTION("""COMPUTED_VALUE"""),"CleanUp")</f>
        <v>CleanUp</v>
      </c>
      <c r="G4" s="26" t="str">
        <f>IFERROR(__xludf.DUMMYFUNCTION("""COMPUTED_VALUE"""),"GetMarkPriceData")</f>
        <v>GetMarkPriceData</v>
      </c>
      <c r="H4" s="26" t="str">
        <f>IFERROR(__xludf.DUMMYFUNCTION("""COMPUTED_VALUE"""),"GetForwardPoints")</f>
        <v>GetForwardPoints</v>
      </c>
      <c r="I4" s="26" t="str">
        <f>IFERROR(__xludf.DUMMYFUNCTION("""COMPUTED_VALUE"""),"UpdateForwardPoints")</f>
        <v>UpdateForwardPoints</v>
      </c>
      <c r="J4" s="26" t="str">
        <f>IFERROR(__xludf.DUMMYFUNCTION("""COMPUTED_VALUE"""),"GetForexConversion")</f>
        <v>GetForexConversion</v>
      </c>
      <c r="K4" s="26" t="str">
        <f>IFERROR(__xludf.DUMMYFUNCTION("""COMPUTED_VALUE"""),"DeleteNAV")</f>
        <v>DeleteNAV</v>
      </c>
      <c r="L4" s="26" t="str">
        <f>IFERROR(__xludf.DUMMYFUNCTION("""COMPUTED_VALUE"""),"GetDailyCash")</f>
        <v>GetDailyCash</v>
      </c>
      <c r="M4" s="26" t="str">
        <f>IFERROR(__xludf.DUMMYFUNCTION("""COMPUTED_VALUE"""),"GetDailyBeta")</f>
        <v>GetDailyBeta</v>
      </c>
      <c r="N4" s="26" t="str">
        <f>IFERROR(__xludf.DUMMYFUNCTION("""COMPUTED_VALUE"""),"GetDailyVolatility")</f>
        <v>GetDailyVolatility</v>
      </c>
      <c r="O4" s="26" t="str">
        <f>IFERROR(__xludf.DUMMYFUNCTION("""COMPUTED_VALUE"""),"GetDailyDividendYield")</f>
        <v>GetDailyDividendYield</v>
      </c>
      <c r="P4" s="27" t="str">
        <f>IFERROR(__xludf.DUMMYFUNCTION("""COMPUTED_VALUE"""),"GetDailyTradingVolume")</f>
        <v>GetDailyTradingVolume</v>
      </c>
      <c r="Q4" s="27" t="str">
        <f>IFERROR(__xludf.DUMMYFUNCTION("""COMPUTED_VALUE"""),"GetDailyOutstandings")</f>
        <v>GetDailyOutstandings</v>
      </c>
      <c r="R4" s="27" t="str">
        <f>IFERROR(__xludf.DUMMYFUNCTION("""COMPUTED_VALUE"""),"GetDailyDelta")</f>
        <v>GetDailyDelta</v>
      </c>
      <c r="S4" s="27" t="str">
        <f>IFERROR(__xludf.DUMMYFUNCTION("""COMPUTED_VALUE"""),"UpdateDailyVolatility")</f>
        <v>UpdateDailyVolatility</v>
      </c>
      <c r="T4" s="27" t="str">
        <f>IFERROR(__xludf.DUMMYFUNCTION("""COMPUTED_VALUE"""),"UpdateDividendYield")</f>
        <v>UpdateDividendYield</v>
      </c>
      <c r="U4" s="27" t="str">
        <f>IFERROR(__xludf.DUMMYFUNCTION("""COMPUTED_VALUE"""),"UpdateTradingVolume")</f>
        <v>UpdateTradingVolume</v>
      </c>
      <c r="V4" s="27" t="str">
        <f>IFERROR(__xludf.DUMMYFUNCTION("""COMPUTED_VALUE"""),"UpdateDailyDelta")</f>
        <v>UpdateDailyDelta</v>
      </c>
      <c r="W4" s="27" t="str">
        <f>IFERROR(__xludf.DUMMYFUNCTION("""COMPUTED_VALUE"""),"UpdateDailyOutstandings")</f>
        <v>UpdateDailyOutstandings</v>
      </c>
      <c r="X4" s="27" t="str">
        <f>IFERROR(__xludf.DUMMYFUNCTION("""COMPUTED_VALUE"""),"UpdateBeta")</f>
        <v>UpdateBeta</v>
      </c>
      <c r="Y4" s="27" t="str">
        <f>IFERROR(__xludf.DUMMYFUNCTION("""COMPUTED_VALUE"""),"UpdateNAV")</f>
        <v>UpdateNAV</v>
      </c>
      <c r="Z4" s="27" t="str">
        <f>IFERROR(__xludf.DUMMYFUNCTION("""COMPUTED_VALUE"""),"UpdateDailyCash")</f>
        <v>UpdateDailyCash</v>
      </c>
      <c r="AA4" s="27" t="str">
        <f>IFERROR(__xludf.DUMMYFUNCTION("""COMPUTED_VALUE"""),"UpdateDailyCreditLimt")</f>
        <v>UpdateDailyCreditLimt</v>
      </c>
      <c r="AB4" s="27" t="str">
        <f>IFERROR(__xludf.DUMMYFUNCTION("""COMPUTED_VALUE"""),"RemoveDailyCreditLimit")</f>
        <v>RemoveDailyCreditLimit</v>
      </c>
      <c r="AC4" s="27" t="str">
        <f>IFERROR(__xludf.DUMMYFUNCTION("""COMPUTED_VALUE"""),"RemoveDailyCash")</f>
        <v>RemoveDailyCash</v>
      </c>
      <c r="AD4" s="27" t="str">
        <f>IFERROR(__xludf.DUMMYFUNCTION("""COMPUTED_VALUE"""),"RemoveNAV")</f>
        <v>RemoveNAV</v>
      </c>
      <c r="AE4" s="27" t="str">
        <f>IFERROR(__xludf.DUMMYFUNCTION("""COMPUTED_VALUE"""),"UpdateForexConversionMonthly")</f>
        <v>UpdateForexConversionMonthly</v>
      </c>
      <c r="AF4" s="27" t="str">
        <f>IFERROR(__xludf.DUMMYFUNCTION("""COMPUTED_VALUE"""),"UpdateMarkPriceMonthly")</f>
        <v>UpdateMarkPriceMonthly</v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IFERROR(__xludf.DUMMYFUNCTION("""COMPUTED_VALUE"""),"Local Currency")</f>
        <v>Local Currency</v>
      </c>
      <c r="D5" s="29" t="str">
        <f>IFERROR(__xludf.DUMMYFUNCTION("""COMPUTED_VALUE"""),"Cash Value Local")</f>
        <v>Cash Value Local</v>
      </c>
      <c r="E5" s="29" t="str">
        <f>IFERROR(__xludf.DUMMYFUNCTION("""COMPUTED_VALUE"""),"")</f>
        <v/>
      </c>
      <c r="F5" s="29" t="str">
        <f>IFERROR(__xludf.DUMMYFUNCTION("""COMPUTED_VALUE"""),"")</f>
        <v/>
      </c>
      <c r="G5" s="29" t="str">
        <f>IFERROR(__xludf.DUMMYFUNCTION("""COMPUTED_VALUE"""),"")</f>
        <v/>
      </c>
      <c r="H5" s="29" t="str">
        <f>IFERROR(__xludf.DUMMYFUNCTION("""COMPUTED_VALUE"""),"")</f>
        <v/>
      </c>
      <c r="I5" s="29" t="str">
        <f>IFERROR(__xludf.DUMMYFUNCTION("""COMPUTED_VALUE"""),"")</f>
        <v/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6"/>
      <c r="B6" s="31" t="s">
        <v>19</v>
      </c>
      <c r="C6" s="31" t="s">
        <v>26</v>
      </c>
      <c r="D6" s="31">
        <v>50000.0</v>
      </c>
    </row>
    <row r="7" ht="15.75" customHeight="1">
      <c r="A7" s="6"/>
      <c r="B7" s="31" t="s">
        <v>20</v>
      </c>
      <c r="C7" s="31" t="s">
        <v>26</v>
      </c>
      <c r="D7" s="11">
        <v>50000.0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31" t="s">
        <v>21</v>
      </c>
      <c r="C8" s="31" t="s">
        <v>26</v>
      </c>
      <c r="D8" s="11">
        <v>50000.0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11" t="s">
        <v>22</v>
      </c>
      <c r="C9" s="31" t="s">
        <v>26</v>
      </c>
      <c r="D9" s="11">
        <v>50000.0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9" t="s">
        <v>5</v>
      </c>
      <c r="C3" s="23" t="s">
        <v>27</v>
      </c>
      <c r="D3" s="9" t="s">
        <v>7</v>
      </c>
      <c r="E3" s="23" t="s">
        <v>28</v>
      </c>
      <c r="F3" s="9" t="s">
        <v>15</v>
      </c>
      <c r="G3" s="24" t="s">
        <v>16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IFERROR(__xludf.DUMMYFUNCTION("IF(C3="""","""",Transpose(IMPORTRANGE('_Settings'!$B$3,C3&amp;""!A4:A1000"")))"),"CalculatePTT")</f>
        <v>CalculatePTT</v>
      </c>
      <c r="C4" s="26" t="str">
        <f>IFERROR(__xludf.DUMMYFUNCTION("""COMPUTED_VALUE"""),"TradeUsingPTT")</f>
        <v>TradeUsingPTT</v>
      </c>
      <c r="D4" s="26" t="str">
        <f>IFERROR(__xludf.DUMMYFUNCTION("""COMPUTED_VALUE"""),"StageOrderUsingPTT")</f>
        <v>StageOrderUsingPTT</v>
      </c>
      <c r="E4" s="26" t="str">
        <f>IFERROR(__xludf.DUMMYFUNCTION("""COMPUTED_VALUE"""),"CreateOrderPTT")</f>
        <v>CreateOrderPTT</v>
      </c>
      <c r="F4" s="26" t="str">
        <f>IFERROR(__xludf.DUMMYFUNCTION("""COMPUTED_VALUE"""),"TradePTT")</f>
        <v>TradePTT</v>
      </c>
      <c r="G4" s="26" t="str">
        <f>IFERROR(__xludf.DUMMYFUNCTION("""COMPUTED_VALUE"""),"VerifyPTT")</f>
        <v>VerifyPTT</v>
      </c>
      <c r="H4" s="26" t="str">
        <f>IFERROR(__xludf.DUMMYFUNCTION("""COMPUTED_VALUE"""),"OpenMultiTTFromPTT")</f>
        <v>OpenMultiTTFromPTT</v>
      </c>
      <c r="I4" s="26" t="str">
        <f>IFERROR(__xludf.DUMMYFUNCTION("""COMPUTED_VALUE"""),"SelectMultiTT")</f>
        <v>SelectMultiTT</v>
      </c>
      <c r="J4" s="26" t="str">
        <f>IFERROR(__xludf.DUMMYFUNCTION("""COMPUTED_VALUE"""),"EditMultiTT")</f>
        <v>EditMultiTT</v>
      </c>
      <c r="K4" s="26" t="str">
        <f>IFERROR(__xludf.DUMMYFUNCTION("""COMPUTED_VALUE"""),"SetAccountFactor")</f>
        <v>SetAccountFactor</v>
      </c>
      <c r="L4" s="26" t="str">
        <f>IFERROR(__xludf.DUMMYFUNCTION("""COMPUTED_VALUE"""),"SetPTTPreference")</f>
        <v>SetPTTPreference</v>
      </c>
      <c r="M4" s="26" t="str">
        <f>IFERROR(__xludf.DUMMYFUNCTION("""COMPUTED_VALUE"""),"SetLongShortPTTPreference")</f>
        <v>SetLongShortPTTPreference</v>
      </c>
      <c r="N4" s="26" t="str">
        <f>IFERROR(__xludf.DUMMYFUNCTION("""COMPUTED_VALUE"""),"SelectPTTRecord")</f>
        <v>SelectPTTRecord</v>
      </c>
      <c r="O4" s="26" t="str">
        <f>IFERROR(__xludf.DUMMYFUNCTION("""COMPUTED_VALUE"""),"EditPTTRecord")</f>
        <v>EditPTTRecord</v>
      </c>
      <c r="P4" s="27" t="str">
        <f>IFERROR(__xludf.DUMMYFUNCTION("""COMPUTED_VALUE"""),"")</f>
        <v/>
      </c>
      <c r="Q4" s="27" t="str">
        <f>IFERROR(__xludf.DUMMYFUNCTION("""COMPUTED_VALUE"""),"")</f>
        <v/>
      </c>
      <c r="R4" s="27" t="str">
        <f>IFERROR(__xludf.DUMMYFUNCTION("""COMPUTED_VALUE"""),"")</f>
        <v/>
      </c>
      <c r="S4" s="27" t="str">
        <f>IFERROR(__xludf.DUMMYFUNCTION("""COMPUTED_VALUE"""),"")</f>
        <v/>
      </c>
      <c r="T4" s="27" t="str">
        <f>IFERROR(__xludf.DUMMYFUNCTION("""COMPUTED_VALUE"""),"")</f>
        <v/>
      </c>
      <c r="U4" s="27" t="str">
        <f>IFERROR(__xludf.DUMMYFUNCTION("""COMPUTED_VALUE"""),"")</f>
        <v/>
      </c>
      <c r="V4" s="27" t="str">
        <f>IFERROR(__xludf.DUMMYFUNCTION("""COMPUTED_VALUE"""),"")</f>
        <v/>
      </c>
      <c r="W4" s="27" t="str">
        <f>IFERROR(__xludf.DUMMYFUNCTION("""COMPUTED_VALUE"""),"")</f>
        <v/>
      </c>
      <c r="X4" s="27" t="str">
        <f>IFERROR(__xludf.DUMMYFUNCTION("""COMPUTED_VALUE"""),"")</f>
        <v/>
      </c>
      <c r="Y4" s="27" t="str">
        <f>IFERROR(__xludf.DUMMYFUNCTION("""COMPUTED_VALUE"""),"")</f>
        <v/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IFERROR(__xludf.DUMMYFUNCTION("""COMPUTED_VALUE"""),"Ticker")</f>
        <v>Ticker</v>
      </c>
      <c r="C5" s="29" t="str">
        <f>IFERROR(__xludf.DUMMYFUNCTION("""COMPUTED_VALUE"""),"Add/Set")</f>
        <v>Add/Set</v>
      </c>
      <c r="D5" s="29" t="str">
        <f>IFERROR(__xludf.DUMMYFUNCTION("""COMPUTED_VALUE"""),"Type")</f>
        <v>Type</v>
      </c>
      <c r="E5" s="29" t="str">
        <f>IFERROR(__xludf.DUMMYFUNCTION("""COMPUTED_VALUE"""),"Target")</f>
        <v>Target</v>
      </c>
      <c r="F5" s="33" t="str">
        <f>IFERROR(__xludf.DUMMYFUNCTION("""COMPUTED_VALUE"""),"Price")</f>
        <v>Price</v>
      </c>
      <c r="G5" s="29" t="str">
        <f>IFERROR(__xludf.DUMMYFUNCTION("""COMPUTED_VALUE"""),"Combined Account Total")</f>
        <v>Combined Account Total</v>
      </c>
      <c r="H5" s="29" t="str">
        <f>IFERROR(__xludf.DUMMYFUNCTION("""COMPUTED_VALUE"""),"MasterFund/Account")</f>
        <v>MasterFund/Account</v>
      </c>
      <c r="I5" s="29" t="str">
        <f>IFERROR(__xludf.DUMMYFUNCTION("""COMPUTED_VALUE"""),"Accounts")</f>
        <v>Accounts</v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1"/>
      <c r="B6" s="11" t="s">
        <v>17</v>
      </c>
      <c r="C6" s="11" t="s">
        <v>30</v>
      </c>
      <c r="D6" s="11" t="s">
        <v>31</v>
      </c>
      <c r="E6" s="11">
        <v>15.0</v>
      </c>
      <c r="F6" s="6"/>
      <c r="G6" s="11" t="s">
        <v>32</v>
      </c>
      <c r="H6" s="11" t="s">
        <v>33</v>
      </c>
      <c r="I6" s="11" t="s">
        <v>34</v>
      </c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3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1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9" t="s">
        <v>5</v>
      </c>
      <c r="C3" s="23" t="s">
        <v>27</v>
      </c>
      <c r="D3" s="9" t="s">
        <v>7</v>
      </c>
      <c r="E3" s="23" t="s">
        <v>29</v>
      </c>
      <c r="F3" s="9" t="s">
        <v>15</v>
      </c>
      <c r="G3" s="24" t="s">
        <v>16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</row>
    <row r="4" ht="15.75" customHeight="1">
      <c r="A4" s="26"/>
      <c r="B4" s="26" t="str">
        <f>IFERROR(__xludf.DUMMYFUNCTION("IF(C3="""","""",Transpose(IMPORTRANGE('_Settings'!$B$3,C3&amp;""!A4:A1000"")))"),"CalculatePTT")</f>
        <v>CalculatePTT</v>
      </c>
      <c r="C4" s="26" t="str">
        <f>IFERROR(__xludf.DUMMYFUNCTION("""COMPUTED_VALUE"""),"TradeUsingPTT")</f>
        <v>TradeUsingPTT</v>
      </c>
      <c r="D4" s="26" t="str">
        <f>IFERROR(__xludf.DUMMYFUNCTION("""COMPUTED_VALUE"""),"StageOrderUsingPTT")</f>
        <v>StageOrderUsingPTT</v>
      </c>
      <c r="E4" s="26" t="str">
        <f>IFERROR(__xludf.DUMMYFUNCTION("""COMPUTED_VALUE"""),"CreateOrderPTT")</f>
        <v>CreateOrderPTT</v>
      </c>
      <c r="F4" s="26" t="str">
        <f>IFERROR(__xludf.DUMMYFUNCTION("""COMPUTED_VALUE"""),"TradePTT")</f>
        <v>TradePTT</v>
      </c>
      <c r="G4" s="26" t="str">
        <f>IFERROR(__xludf.DUMMYFUNCTION("""COMPUTED_VALUE"""),"VerifyPTT")</f>
        <v>VerifyPTT</v>
      </c>
      <c r="H4" s="26" t="str">
        <f>IFERROR(__xludf.DUMMYFUNCTION("""COMPUTED_VALUE"""),"OpenMultiTTFromPTT")</f>
        <v>OpenMultiTTFromPTT</v>
      </c>
      <c r="I4" s="26" t="str">
        <f>IFERROR(__xludf.DUMMYFUNCTION("""COMPUTED_VALUE"""),"SelectMultiTT")</f>
        <v>SelectMultiTT</v>
      </c>
      <c r="J4" s="26" t="str">
        <f>IFERROR(__xludf.DUMMYFUNCTION("""COMPUTED_VALUE"""),"EditMultiTT")</f>
        <v>EditMultiTT</v>
      </c>
      <c r="K4" s="26" t="str">
        <f>IFERROR(__xludf.DUMMYFUNCTION("""COMPUTED_VALUE"""),"SetAccountFactor")</f>
        <v>SetAccountFactor</v>
      </c>
      <c r="L4" s="26" t="str">
        <f>IFERROR(__xludf.DUMMYFUNCTION("""COMPUTED_VALUE"""),"SetPTTPreference")</f>
        <v>SetPTTPreference</v>
      </c>
      <c r="M4" s="26" t="str">
        <f>IFERROR(__xludf.DUMMYFUNCTION("""COMPUTED_VALUE"""),"SetLongShortPTTPreference")</f>
        <v>SetLongShortPTTPreference</v>
      </c>
      <c r="N4" s="26" t="str">
        <f>IFERROR(__xludf.DUMMYFUNCTION("""COMPUTED_VALUE"""),"SelectPTTRecord")</f>
        <v>SelectPTTRecord</v>
      </c>
      <c r="O4" s="26" t="str">
        <f>IFERROR(__xludf.DUMMYFUNCTION("""COMPUTED_VALUE"""),"EditPTTRecord")</f>
        <v>EditPTTRecord</v>
      </c>
      <c r="P4" s="27" t="str">
        <f>IFERROR(__xludf.DUMMYFUNCTION("""COMPUTED_VALUE"""),"")</f>
        <v/>
      </c>
      <c r="Q4" s="27" t="str">
        <f>IFERROR(__xludf.DUMMYFUNCTION("""COMPUTED_VALUE"""),"")</f>
        <v/>
      </c>
      <c r="R4" s="27" t="str">
        <f>IFERROR(__xludf.DUMMYFUNCTION("""COMPUTED_VALUE"""),"")</f>
        <v/>
      </c>
      <c r="S4" s="27" t="str">
        <f>IFERROR(__xludf.DUMMYFUNCTION("""COMPUTED_VALUE"""),"")</f>
        <v/>
      </c>
      <c r="T4" s="27" t="str">
        <f>IFERROR(__xludf.DUMMYFUNCTION("""COMPUTED_VALUE"""),"")</f>
        <v/>
      </c>
      <c r="U4" s="27" t="str">
        <f>IFERROR(__xludf.DUMMYFUNCTION("""COMPUTED_VALUE"""),"")</f>
        <v/>
      </c>
      <c r="V4" s="27" t="str">
        <f>IFERROR(__xludf.DUMMYFUNCTION("""COMPUTED_VALUE"""),"")</f>
        <v/>
      </c>
      <c r="W4" s="27" t="str">
        <f>IFERROR(__xludf.DUMMYFUNCTION("""COMPUTED_VALUE"""),"")</f>
        <v/>
      </c>
      <c r="X4" s="27" t="str">
        <f>IFERROR(__xludf.DUMMYFUNCTION("""COMPUTED_VALUE"""),"")</f>
        <v/>
      </c>
      <c r="Y4" s="27" t="str">
        <f>IFERROR(__xludf.DUMMYFUNCTION("""COMPUTED_VALUE"""),"")</f>
        <v/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IFERROR(__xludf.DUMMYFUNCTION("""COMPUTED_VALUE"""),"Account NAV")</f>
        <v>Account NAV</v>
      </c>
      <c r="D5" s="29" t="str">
        <f>IFERROR(__xludf.DUMMYFUNCTION("""COMPUTED_VALUE"""),"Starting Position")</f>
        <v>Starting Position</v>
      </c>
      <c r="E5" s="29" t="str">
        <f>IFERROR(__xludf.DUMMYFUNCTION("""COMPUTED_VALUE"""),"Starting Value")</f>
        <v>Starting Value</v>
      </c>
      <c r="F5" s="33" t="str">
        <f>IFERROR(__xludf.DUMMYFUNCTION("""COMPUTED_VALUE"""),"Starting %")</f>
        <v>Starting %</v>
      </c>
      <c r="G5" s="29" t="str">
        <f>IFERROR(__xludf.DUMMYFUNCTION("""COMPUTED_VALUE"""),"% Change")</f>
        <v>% Change</v>
      </c>
      <c r="H5" s="29" t="str">
        <f>IFERROR(__xludf.DUMMYFUNCTION("""COMPUTED_VALUE"""),"Ending %")</f>
        <v>Ending %</v>
      </c>
      <c r="I5" s="29" t="str">
        <f>IFERROR(__xludf.DUMMYFUNCTION("""COMPUTED_VALUE"""),"Trade Quantity")</f>
        <v>Trade Quantity</v>
      </c>
      <c r="J5" s="29" t="str">
        <f>IFERROR(__xludf.DUMMYFUNCTION("""COMPUTED_VALUE"""),"Ending Position")</f>
        <v>Ending Position</v>
      </c>
      <c r="K5" s="29" t="str">
        <f>IFERROR(__xludf.DUMMYFUNCTION("""COMPUTED_VALUE"""),"Ending Value")</f>
        <v>Ending Value</v>
      </c>
      <c r="L5" s="29" t="str">
        <f>IFERROR(__xludf.DUMMYFUNCTION("""COMPUTED_VALUE"""),"% Allocation")</f>
        <v>% Allocation</v>
      </c>
      <c r="M5" s="29" t="str">
        <f>IFERROR(__xludf.DUMMYFUNCTION("""COMPUTED_VALUE"""),"Fx Rate")</f>
        <v>Fx Rate</v>
      </c>
      <c r="N5" s="29" t="str">
        <f>IFERROR(__xludf.DUMMYFUNCTION("""COMPUTED_VALUE"""),"Starting BP")</f>
        <v>Starting BP</v>
      </c>
      <c r="O5" s="29" t="str">
        <f>IFERROR(__xludf.DUMMYFUNCTION("""COMPUTED_VALUE"""),"BP Change")</f>
        <v>BP Change</v>
      </c>
      <c r="P5" s="29" t="str">
        <f>IFERROR(__xludf.DUMMYFUNCTION("""COMPUTED_VALUE"""),"Ending BP")</f>
        <v>Ending BP</v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  <c r="EX5" s="30" t="str">
        <f>IFERROR(__xludf.DUMMYFUNCTION("""COMPUTED_VALUE"""),"")</f>
        <v/>
      </c>
    </row>
    <row r="6" ht="15.75" customHeight="1">
      <c r="A6" s="11"/>
      <c r="B6" s="11"/>
      <c r="C6" s="6"/>
      <c r="D6" s="11">
        <v>20000.0</v>
      </c>
      <c r="E6" s="11">
        <v>400000.0</v>
      </c>
      <c r="F6" s="11">
        <v>200.0</v>
      </c>
      <c r="G6" s="11">
        <v>7.5</v>
      </c>
      <c r="H6" s="11">
        <v>207.5</v>
      </c>
      <c r="I6" s="11">
        <v>750.0</v>
      </c>
      <c r="J6" s="11">
        <v>20750.0</v>
      </c>
      <c r="K6" s="11">
        <v>415000.0</v>
      </c>
      <c r="L6" s="11">
        <v>50.0</v>
      </c>
      <c r="M6" s="11">
        <v>1.0</v>
      </c>
      <c r="N6" s="6"/>
      <c r="O6" s="6"/>
    </row>
    <row r="7" ht="15.75" customHeight="1">
      <c r="A7" s="6"/>
      <c r="B7" s="6"/>
      <c r="C7" s="6"/>
      <c r="D7" s="11">
        <v>20000.0</v>
      </c>
      <c r="E7" s="11">
        <v>400000.0</v>
      </c>
      <c r="F7" s="11">
        <v>200.0</v>
      </c>
      <c r="G7" s="11">
        <v>7.5</v>
      </c>
      <c r="H7" s="11">
        <v>207.5</v>
      </c>
      <c r="I7" s="11">
        <v>750.0</v>
      </c>
      <c r="J7" s="11">
        <v>20750.0</v>
      </c>
      <c r="K7" s="11">
        <v>415000.0</v>
      </c>
      <c r="L7" s="11">
        <v>50.0</v>
      </c>
      <c r="M7" s="11">
        <v>1.0</v>
      </c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3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9" t="s">
        <v>5</v>
      </c>
      <c r="C3" s="23" t="s">
        <v>27</v>
      </c>
      <c r="D3" s="9" t="s">
        <v>7</v>
      </c>
      <c r="E3" s="23" t="s">
        <v>35</v>
      </c>
      <c r="F3" s="9" t="s">
        <v>15</v>
      </c>
      <c r="G3" s="24" t="s">
        <v>16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IFERROR(__xludf.DUMMYFUNCTION("IF(C3="""","""",Transpose(IMPORTRANGE('_Settings'!$B$3,C3&amp;""!A4:A1000"")))"),"CalculatePTT")</f>
        <v>CalculatePTT</v>
      </c>
      <c r="C4" s="26" t="str">
        <f>IFERROR(__xludf.DUMMYFUNCTION("""COMPUTED_VALUE"""),"TradeUsingPTT")</f>
        <v>TradeUsingPTT</v>
      </c>
      <c r="D4" s="26" t="str">
        <f>IFERROR(__xludf.DUMMYFUNCTION("""COMPUTED_VALUE"""),"StageOrderUsingPTT")</f>
        <v>StageOrderUsingPTT</v>
      </c>
      <c r="E4" s="26" t="str">
        <f>IFERROR(__xludf.DUMMYFUNCTION("""COMPUTED_VALUE"""),"CreateOrderPTT")</f>
        <v>CreateOrderPTT</v>
      </c>
      <c r="F4" s="26" t="str">
        <f>IFERROR(__xludf.DUMMYFUNCTION("""COMPUTED_VALUE"""),"TradePTT")</f>
        <v>TradePTT</v>
      </c>
      <c r="G4" s="26" t="str">
        <f>IFERROR(__xludf.DUMMYFUNCTION("""COMPUTED_VALUE"""),"VerifyPTT")</f>
        <v>VerifyPTT</v>
      </c>
      <c r="H4" s="26" t="str">
        <f>IFERROR(__xludf.DUMMYFUNCTION("""COMPUTED_VALUE"""),"OpenMultiTTFromPTT")</f>
        <v>OpenMultiTTFromPTT</v>
      </c>
      <c r="I4" s="26" t="str">
        <f>IFERROR(__xludf.DUMMYFUNCTION("""COMPUTED_VALUE"""),"SelectMultiTT")</f>
        <v>SelectMultiTT</v>
      </c>
      <c r="J4" s="26" t="str">
        <f>IFERROR(__xludf.DUMMYFUNCTION("""COMPUTED_VALUE"""),"EditMultiTT")</f>
        <v>EditMultiTT</v>
      </c>
      <c r="K4" s="26" t="str">
        <f>IFERROR(__xludf.DUMMYFUNCTION("""COMPUTED_VALUE"""),"SetAccountFactor")</f>
        <v>SetAccountFactor</v>
      </c>
      <c r="L4" s="26" t="str">
        <f>IFERROR(__xludf.DUMMYFUNCTION("""COMPUTED_VALUE"""),"SetPTTPreference")</f>
        <v>SetPTTPreference</v>
      </c>
      <c r="M4" s="26" t="str">
        <f>IFERROR(__xludf.DUMMYFUNCTION("""COMPUTED_VALUE"""),"SetLongShortPTTPreference")</f>
        <v>SetLongShortPTTPreference</v>
      </c>
      <c r="N4" s="26" t="str">
        <f>IFERROR(__xludf.DUMMYFUNCTION("""COMPUTED_VALUE"""),"SelectPTTRecord")</f>
        <v>SelectPTTRecord</v>
      </c>
      <c r="O4" s="26" t="str">
        <f>IFERROR(__xludf.DUMMYFUNCTION("""COMPUTED_VALUE"""),"EditPTTRecord")</f>
        <v>EditPTTRecord</v>
      </c>
      <c r="P4" s="27" t="str">
        <f>IFERROR(__xludf.DUMMYFUNCTION("""COMPUTED_VALUE"""),"")</f>
        <v/>
      </c>
      <c r="Q4" s="27" t="str">
        <f>IFERROR(__xludf.DUMMYFUNCTION("""COMPUTED_VALUE"""),"")</f>
        <v/>
      </c>
      <c r="R4" s="27" t="str">
        <f>IFERROR(__xludf.DUMMYFUNCTION("""COMPUTED_VALUE"""),"")</f>
        <v/>
      </c>
      <c r="S4" s="27" t="str">
        <f>IFERROR(__xludf.DUMMYFUNCTION("""COMPUTED_VALUE"""),"")</f>
        <v/>
      </c>
      <c r="T4" s="27" t="str">
        <f>IFERROR(__xludf.DUMMYFUNCTION("""COMPUTED_VALUE"""),"")</f>
        <v/>
      </c>
      <c r="U4" s="27" t="str">
        <f>IFERROR(__xludf.DUMMYFUNCTION("""COMPUTED_VALUE"""),"")</f>
        <v/>
      </c>
      <c r="V4" s="27" t="str">
        <f>IFERROR(__xludf.DUMMYFUNCTION("""COMPUTED_VALUE"""),"")</f>
        <v/>
      </c>
      <c r="W4" s="27" t="str">
        <f>IFERROR(__xludf.DUMMYFUNCTION("""COMPUTED_VALUE"""),"")</f>
        <v/>
      </c>
      <c r="X4" s="27" t="str">
        <f>IFERROR(__xludf.DUMMYFUNCTION("""COMPUTED_VALUE"""),"")</f>
        <v/>
      </c>
      <c r="Y4" s="27" t="str">
        <f>IFERROR(__xludf.DUMMYFUNCTION("""COMPUTED_VALUE"""),"")</f>
        <v/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IFERROR(__xludf.DUMMYFUNCTION("""COMPUTED_VALUE"""),"Ticker")</f>
        <v>Ticker</v>
      </c>
      <c r="C5" s="29" t="str">
        <f>IFERROR(__xludf.DUMMYFUNCTION("""COMPUTED_VALUE"""),"Add/Set")</f>
        <v>Add/Set</v>
      </c>
      <c r="D5" s="29" t="str">
        <f>IFERROR(__xludf.DUMMYFUNCTION("""COMPUTED_VALUE"""),"Type")</f>
        <v>Type</v>
      </c>
      <c r="E5" s="29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9" t="str">
        <f>IFERROR(__xludf.DUMMYFUNCTION("""COMPUTED_VALUE"""),"Combined Account Total")</f>
        <v>Combined Account Total</v>
      </c>
      <c r="H5" s="29" t="str">
        <f>IFERROR(__xludf.DUMMYFUNCTION("""COMPUTED_VALUE"""),"MasterFund/Account")</f>
        <v>MasterFund/Account</v>
      </c>
      <c r="I5" s="29" t="str">
        <f>IFERROR(__xludf.DUMMYFUNCTION("""COMPUTED_VALUE"""),"Accounts")</f>
        <v>Accounts</v>
      </c>
      <c r="J5" s="29" t="str">
        <f>IFERROR(__xludf.DUMMYFUNCTION("""COMPUTED_VALUE"""),"")</f>
        <v/>
      </c>
      <c r="K5" s="29" t="str">
        <f>IFERROR(__xludf.DUMMYFUNCTION("""COMPUTED_VALUE"""),"")</f>
        <v/>
      </c>
      <c r="L5" s="29" t="str">
        <f>IFERROR(__xludf.DUMMYFUNCTION("""COMPUTED_VALUE"""),"")</f>
        <v/>
      </c>
      <c r="M5" s="29" t="str">
        <f>IFERROR(__xludf.DUMMYFUNCTION("""COMPUTED_VALUE"""),"")</f>
        <v/>
      </c>
      <c r="N5" s="29" t="str">
        <f>IFERROR(__xludf.DUMMYFUNCTION("""COMPUTED_VALUE"""),"")</f>
        <v/>
      </c>
      <c r="O5" s="29" t="str">
        <f>IFERROR(__xludf.DUMMYFUNCTION("""COMPUTED_VALUE"""),"")</f>
        <v/>
      </c>
      <c r="P5" s="29" t="str">
        <f>IFERROR(__xludf.DUMMYFUNCTION("""COMPUTED_VALUE"""),"")</f>
        <v/>
      </c>
      <c r="Q5" s="29" t="str">
        <f>IFERROR(__xludf.DUMMYFUNCTION("""COMPUTED_VALUE"""),"")</f>
        <v/>
      </c>
      <c r="R5" s="29" t="str">
        <f>IFERROR(__xludf.DUMMYFUNCTION("""COMPUTED_VALUE"""),"")</f>
        <v/>
      </c>
      <c r="S5" s="29" t="str">
        <f>IFERROR(__xludf.DUMMYFUNCTION("""COMPUTED_VALUE"""),"")</f>
        <v/>
      </c>
      <c r="T5" s="30" t="str">
        <f>IFERROR(__xludf.DUMMYFUNCTION("""COMPUTED_VALUE"""),"")</f>
        <v/>
      </c>
      <c r="U5" s="30" t="str">
        <f>IFERROR(__xludf.DUMMYFUNCTION("""COMPUTED_VALUE"""),"")</f>
        <v/>
      </c>
      <c r="V5" s="30" t="str">
        <f>IFERROR(__xludf.DUMMYFUNCTION("""COMPUTED_VALUE"""),"")</f>
        <v/>
      </c>
      <c r="W5" s="30" t="str">
        <f>IFERROR(__xludf.DUMMYFUNCTION("""COMPUTED_VALUE"""),"")</f>
        <v/>
      </c>
      <c r="X5" s="30" t="str">
        <f>IFERROR(__xludf.DUMMYFUNCTION("""COMPUTED_VALUE"""),"")</f>
        <v/>
      </c>
      <c r="Y5" s="30" t="str">
        <f>IFERROR(__xludf.DUMMYFUNCTION("""COMPUTED_VALUE"""),"")</f>
        <v/>
      </c>
      <c r="Z5" s="30" t="str">
        <f>IFERROR(__xludf.DUMMYFUNCTION("""COMPUTED_VALUE"""),"")</f>
        <v/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6"/>
      <c r="B6" s="31" t="s">
        <v>17</v>
      </c>
      <c r="C6" s="31" t="s">
        <v>30</v>
      </c>
      <c r="D6" s="31" t="s">
        <v>31</v>
      </c>
      <c r="E6" s="31">
        <v>15.0</v>
      </c>
      <c r="F6" s="31">
        <v>20.0</v>
      </c>
      <c r="G6" s="31" t="s">
        <v>32</v>
      </c>
      <c r="H6" s="31" t="s">
        <v>36</v>
      </c>
      <c r="I6" s="31" t="s">
        <v>34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3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9" t="s">
        <v>5</v>
      </c>
      <c r="C3" s="23" t="s">
        <v>13</v>
      </c>
      <c r="D3" s="9" t="s">
        <v>7</v>
      </c>
      <c r="E3" s="23" t="s">
        <v>14</v>
      </c>
      <c r="F3" s="9" t="s">
        <v>15</v>
      </c>
      <c r="G3" s="24" t="s">
        <v>16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IFERROR(__xludf.DUMMYFUNCTION("IF(C3="""","""",Transpose(IMPORTRANGE('_Settings'!$B$3,C3&amp;""!A4:A1000"")))"),"OpenTTFromPST")</f>
        <v>OpenTTFromPST</v>
      </c>
      <c r="C4" s="26" t="str">
        <f>IFERROR(__xludf.DUMMYFUNCTION("""COMPUTED_VALUE"""),"EnterDetailsOnTT")</f>
        <v>EnterDetailsOnTT</v>
      </c>
      <c r="D4" s="26" t="str">
        <f>IFERROR(__xludf.DUMMYFUNCTION("""COMPUTED_VALUE"""),"ValidateSymbolTT")</f>
        <v>ValidateSymbolTT</v>
      </c>
      <c r="E4" s="26" t="str">
        <f>IFERROR(__xludf.DUMMYFUNCTION("""COMPUTED_VALUE"""),"VerifyDataTT")</f>
        <v>VerifyDataTT</v>
      </c>
      <c r="F4" s="26" t="str">
        <f>IFERROR(__xludf.DUMMYFUNCTION("""COMPUTED_VALUE"""),"SetUIPreferencesTT")</f>
        <v>SetUIPreferencesTT</v>
      </c>
      <c r="G4" s="26" t="str">
        <f>IFERROR(__xludf.DUMMYFUNCTION("""COMPUTED_VALUE"""),"SetBrokerWisePreferencesTT")</f>
        <v>SetBrokerWisePreferencesTT</v>
      </c>
      <c r="H4" s="26" t="str">
        <f>IFERROR(__xludf.DUMMYFUNCTION("""COMPUTED_VALUE"""),"TradeNewSub")</f>
        <v>TradeNewSub</v>
      </c>
      <c r="I4" s="26" t="str">
        <f>IFERROR(__xludf.DUMMYFUNCTION("""COMPUTED_VALUE"""),"CreateStageOrder")</f>
        <v>CreateStageOrder</v>
      </c>
      <c r="J4" s="26" t="str">
        <f>IFERROR(__xludf.DUMMYFUNCTION("""COMPUTED_VALUE"""),"CreateReplaceOrder")</f>
        <v>CreateReplaceOrder</v>
      </c>
      <c r="K4" s="26" t="str">
        <f>IFERROR(__xludf.DUMMYFUNCTION("""COMPUTED_VALUE"""),"SetGeneralPreference")</f>
        <v>SetGeneralPreference</v>
      </c>
      <c r="L4" s="26" t="str">
        <f>IFERROR(__xludf.DUMMYFUNCTION("""COMPUTED_VALUE"""),"CreateDoneAwayOrder")</f>
        <v>CreateDoneAwayOrder</v>
      </c>
      <c r="M4" s="26" t="str">
        <f>IFERROR(__xludf.DUMMYFUNCTION("""COMPUTED_VALUE"""),"CreateNewSubOrder")</f>
        <v>CreateNewSubOrder</v>
      </c>
      <c r="N4" s="26" t="str">
        <f>IFERROR(__xludf.DUMMYFUNCTION("""COMPUTED_VALUE"""),"TradeBloomberg")</f>
        <v>TradeBloomberg</v>
      </c>
      <c r="O4" s="26" t="str">
        <f>IFERROR(__xludf.DUMMYFUNCTION("""COMPUTED_VALUE"""),"ClickSymbolLookup")</f>
        <v>ClickSymbolLookup</v>
      </c>
      <c r="P4" s="27" t="str">
        <f>IFERROR(__xludf.DUMMYFUNCTION("""COMPUTED_VALUE"""),"VerifyTT")</f>
        <v>VerifyTT</v>
      </c>
      <c r="Q4" s="27" t="str">
        <f>IFERROR(__xludf.DUMMYFUNCTION("""COMPUTED_VALUE"""),"CreateLiveOrder")</f>
        <v>CreateLiveOrder</v>
      </c>
      <c r="R4" s="27" t="str">
        <f>IFERROR(__xludf.DUMMYFUNCTION("""COMPUTED_VALUE"""),"")</f>
        <v/>
      </c>
      <c r="S4" s="27" t="str">
        <f>IFERROR(__xludf.DUMMYFUNCTION("""COMPUTED_VALUE"""),"")</f>
        <v/>
      </c>
      <c r="T4" s="27" t="str">
        <f>IFERROR(__xludf.DUMMYFUNCTION("""COMPUTED_VALUE"""),"")</f>
        <v/>
      </c>
      <c r="U4" s="27" t="str">
        <f>IFERROR(__xludf.DUMMYFUNCTION("""COMPUTED_VALUE"""),"")</f>
        <v/>
      </c>
      <c r="V4" s="27" t="str">
        <f>IFERROR(__xludf.DUMMYFUNCTION("""COMPUTED_VALUE"""),"")</f>
        <v/>
      </c>
      <c r="W4" s="27" t="str">
        <f>IFERROR(__xludf.DUMMYFUNCTION("""COMPUTED_VALUE"""),"")</f>
        <v/>
      </c>
      <c r="X4" s="27" t="str">
        <f>IFERROR(__xludf.DUMMYFUNCTION("""COMPUTED_VALUE"""),"")</f>
        <v/>
      </c>
      <c r="Y4" s="27" t="str">
        <f>IFERROR(__xludf.DUMMYFUNCTION("""COMPUTED_VALUE"""),"")</f>
        <v/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IFERROR(__xludf.DUMMYFUNCTION("""COMPUTED_VALUE"""),"Symbol")</f>
        <v>Symbol</v>
      </c>
      <c r="C5" s="29" t="str">
        <f>IFERROR(__xludf.DUMMYFUNCTION("""COMPUTED_VALUE"""),"Order Side")</f>
        <v>Order Side</v>
      </c>
      <c r="D5" s="29" t="str">
        <f>IFERROR(__xludf.DUMMYFUNCTION("""COMPUTED_VALUE"""),"Quantity")</f>
        <v>Quantity</v>
      </c>
      <c r="E5" s="29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9" t="str">
        <f>IFERROR(__xludf.DUMMYFUNCTION("""COMPUTED_VALUE"""),"Broker")</f>
        <v>Broker</v>
      </c>
      <c r="H5" s="29" t="str">
        <f>IFERROR(__xludf.DUMMYFUNCTION("""COMPUTED_VALUE"""),"TIF")</f>
        <v>TIF</v>
      </c>
      <c r="I5" s="29" t="str">
        <f>IFERROR(__xludf.DUMMYFUNCTION("""COMPUTED_VALUE"""),"Order Type")</f>
        <v>Order Type</v>
      </c>
      <c r="J5" s="29" t="str">
        <f>IFERROR(__xludf.DUMMYFUNCTION("""COMPUTED_VALUE"""),"Price")</f>
        <v>Price</v>
      </c>
      <c r="K5" s="29" t="str">
        <f>IFERROR(__xludf.DUMMYFUNCTION("""COMPUTED_VALUE"""),"Stop")</f>
        <v>Stop</v>
      </c>
      <c r="L5" s="29" t="str">
        <f>IFERROR(__xludf.DUMMYFUNCTION("""COMPUTED_VALUE"""),"Limit")</f>
        <v>Limit</v>
      </c>
      <c r="M5" s="29" t="str">
        <f>IFERROR(__xludf.DUMMYFUNCTION("""COMPUTED_VALUE"""),"Strategy")</f>
        <v>Strategy</v>
      </c>
      <c r="N5" s="29" t="str">
        <f>IFERROR(__xludf.DUMMYFUNCTION("""COMPUTED_VALUE"""),"Trade Date")</f>
        <v>Trade Date</v>
      </c>
      <c r="O5" s="29" t="str">
        <f>IFERROR(__xludf.DUMMYFUNCTION("""COMPUTED_VALUE"""),"FxRate")</f>
        <v>FxRate</v>
      </c>
      <c r="P5" s="29" t="str">
        <f>IFERROR(__xludf.DUMMYFUNCTION("""COMPUTED_VALUE"""),"Notes")</f>
        <v>Notes</v>
      </c>
      <c r="Q5" s="29" t="str">
        <f>IFERROR(__xludf.DUMMYFUNCTION("""COMPUTED_VALUE"""),"Broker Notes")</f>
        <v>Broker Notes</v>
      </c>
      <c r="R5" s="29" t="str">
        <f>IFERROR(__xludf.DUMMYFUNCTION("""COMPUTED_VALUE"""),"CommissionBasis")</f>
        <v>CommissionBasis</v>
      </c>
      <c r="S5" s="29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6"/>
      <c r="B6" s="31" t="s">
        <v>17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3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9" t="s">
        <v>5</v>
      </c>
      <c r="C3" s="23" t="s">
        <v>37</v>
      </c>
      <c r="D3" s="9" t="s">
        <v>7</v>
      </c>
      <c r="E3" s="23" t="s">
        <v>38</v>
      </c>
      <c r="F3" s="9" t="s">
        <v>15</v>
      </c>
      <c r="G3" s="24" t="s">
        <v>16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IFERROR(__xludf.DUMMYFUNCTION("IF(C3="""","""",Transpose(IMPORTRANGE('_Settings'!$B$3,C3&amp;""!A4:A1000"")))"),"Allocate")</f>
        <v>Allocate</v>
      </c>
      <c r="C4" s="26" t="str">
        <f>IFERROR(__xludf.DUMMYFUNCTION("""COMPUTED_VALUE"""),"CheckAllocatedGroups")</f>
        <v>CheckAllocatedGroups</v>
      </c>
      <c r="D4" s="26" t="str">
        <f>IFERROR(__xludf.DUMMYFUNCTION("""COMPUTED_VALUE"""),"Unallocate")</f>
        <v>Unallocate</v>
      </c>
      <c r="E4" s="26" t="str">
        <f>IFERROR(__xludf.DUMMYFUNCTION("""COMPUTED_VALUE"""),"GetDataAllocation")</f>
        <v>GetDataAllocation</v>
      </c>
      <c r="F4" s="26" t="str">
        <f>IFERROR(__xludf.DUMMYFUNCTION("""COMPUTED_VALUE"""),"SelectAllocatedGroup")</f>
        <v>SelectAllocatedGroup</v>
      </c>
      <c r="G4" s="26" t="str">
        <f>IFERROR(__xludf.DUMMYFUNCTION("""COMPUTED_VALUE"""),"EditTradesAllocated")</f>
        <v>EditTradesAllocated</v>
      </c>
      <c r="H4" s="26" t="str">
        <f>IFERROR(__xludf.DUMMYFUNCTION("""COMPUTED_VALUE"""),"EditTradesUnallocated")</f>
        <v>EditTradesUnallocated</v>
      </c>
      <c r="I4" s="26" t="str">
        <f>IFERROR(__xludf.DUMMYFUNCTION("""COMPUTED_VALUE"""),"Reallocate")</f>
        <v>Reallocate</v>
      </c>
      <c r="J4" s="26" t="str">
        <f>IFERROR(__xludf.DUMMYFUNCTION("""COMPUTED_VALUE"""),"EditUnallocatedGroupSidePanel")</f>
        <v>EditUnallocatedGroupSidePanel</v>
      </c>
      <c r="K4" s="26" t="str">
        <f>IFERROR(__xludf.DUMMYFUNCTION("""COMPUTED_VALUE"""),"TradeAttributeBulkChange")</f>
        <v>TradeAttributeBulkChange</v>
      </c>
      <c r="L4" s="26" t="str">
        <f>IFERROR(__xludf.DUMMYFUNCTION("""COMPUTED_VALUE"""),"ApplyBulkUpdateOnGroups")</f>
        <v>ApplyBulkUpdateOnGroups</v>
      </c>
      <c r="M4" s="26" t="str">
        <f>IFERROR(__xludf.DUMMYFUNCTION("""COMPUTED_VALUE"""),"ApplyPrefetchFilters")</f>
        <v>ApplyPrefetchFilters</v>
      </c>
      <c r="N4" s="26" t="str">
        <f>IFERROR(__xludf.DUMMYFUNCTION("""COMPUTED_VALUE"""),"GeneralPreferencesDefaultRule")</f>
        <v>GeneralPreferencesDefaultRule</v>
      </c>
      <c r="O4" s="26" t="str">
        <f>IFERROR(__xludf.DUMMYFUNCTION("""COMPUTED_VALUE"""),"GeneralPrefCompanyUserWise")</f>
        <v>GeneralPrefCompanyUserWise</v>
      </c>
      <c r="P4" s="27" t="str">
        <f>IFERROR(__xludf.DUMMYFUNCTION("""COMPUTED_VALUE"""),"RenameTradeAttributes")</f>
        <v>RenameTradeAttributes</v>
      </c>
      <c r="Q4" s="27" t="str">
        <f>IFERROR(__xludf.DUMMYFUNCTION("""COMPUTED_VALUE"""),"SetGroupingRules")</f>
        <v>SetGroupingRules</v>
      </c>
      <c r="R4" s="27" t="str">
        <f>IFERROR(__xludf.DUMMYFUNCTION("""COMPUTED_VALUE"""),"SetMasterFundRatio")</f>
        <v>SetMasterFundRatio</v>
      </c>
      <c r="S4" s="27" t="str">
        <f>IFERROR(__xludf.DUMMYFUNCTION("""COMPUTED_VALUE"""),"CheckFixedPreference")</f>
        <v>CheckFixedPreference</v>
      </c>
      <c r="T4" s="27" t="str">
        <f>IFERROR(__xludf.DUMMYFUNCTION("""COMPUTED_VALUE"""),"GetFixedPreference")</f>
        <v>GetFixedPreference</v>
      </c>
      <c r="U4" s="27" t="str">
        <f>IFERROR(__xludf.DUMMYFUNCTION("""COMPUTED_VALUE"""),"AddCalculatedPreferences")</f>
        <v>AddCalculatedPreferences</v>
      </c>
      <c r="V4" s="27" t="str">
        <f>IFERROR(__xludf.DUMMYFUNCTION("""COMPUTED_VALUE"""),"BulkChangeCalculatedPreferences")</f>
        <v>BulkChangeCalculatedPreferences</v>
      </c>
      <c r="W4" s="27" t="str">
        <f>IFERROR(__xludf.DUMMYFUNCTION("""COMPUTED_VALUE"""),"DeleteCalculatedPreferences")</f>
        <v>DeleteCalculatedPreferences</v>
      </c>
      <c r="X4" s="27" t="str">
        <f>IFERROR(__xludf.DUMMYFUNCTION("""COMPUTED_VALUE"""),"RenameCalculatedPreferences")</f>
        <v>RenameCalculatedPreferences</v>
      </c>
      <c r="Y4" s="27" t="str">
        <f>IFERROR(__xludf.DUMMYFUNCTION("""COMPUTED_VALUE"""),"CopyCalculatedPreferences")</f>
        <v>CopyCalculatedPreferences</v>
      </c>
      <c r="Z4" s="27" t="str">
        <f>IFERROR(__xludf.DUMMYFUNCTION("""COMPUTED_VALUE"""),"RunAutoGroup")</f>
        <v>RunAutoGroup</v>
      </c>
      <c r="AA4" s="27" t="str">
        <f>IFERROR(__xludf.DUMMYFUNCTION("""COMPUTED_VALUE"""),"BookOrUpdateSwap")</f>
        <v>BookOrUpdateSwap</v>
      </c>
      <c r="AB4" s="27" t="str">
        <f>IFERROR(__xludf.DUMMYFUNCTION("""COMPUTED_VALUE"""),"RunProrata")</f>
        <v>RunProrata</v>
      </c>
      <c r="AC4" s="27" t="str">
        <f>IFERROR(__xludf.DUMMYFUNCTION("""COMPUTED_VALUE"""),"SetDefaultRuleCalculatedPref")</f>
        <v>SetDefaultRuleCalculatedPref</v>
      </c>
      <c r="AD4" s="27" t="str">
        <f>IFERROR(__xludf.DUMMYFUNCTION("""COMPUTED_VALUE"""),"SetAccountValueCalculatedPref")</f>
        <v>SetAccountValueCalculatedPref</v>
      </c>
      <c r="AE4" s="27" t="str">
        <f>IFERROR(__xludf.DUMMYFUNCTION("""COMPUTED_VALUE"""),"TradeAttributeBulkChangeGroups")</f>
        <v>TradeAttributeBulkChangeGroups</v>
      </c>
      <c r="AF4" s="27" t="str">
        <f>IFERROR(__xludf.DUMMYFUNCTION("""COMPUTED_VALUE"""),"TradeAttributeBulkChangeTaxlots")</f>
        <v>TradeAttributeBulkChangeTaxlots</v>
      </c>
      <c r="AG4" s="27" t="str">
        <f>IFERROR(__xludf.DUMMYFUNCTION("""COMPUTED_VALUE"""),"AddCalculatedPreferenceToolbar")</f>
        <v>AddCalculatedPreferenceToolbar</v>
      </c>
      <c r="AH4" s="27" t="str">
        <f>IFERROR(__xludf.DUMMYFUNCTION("""COMPUTED_VALUE"""),"SetStrategyValueCalculatedPref")</f>
        <v>SetStrategyValueCalculatedPref</v>
      </c>
      <c r="AI4" s="27" t="str">
        <f>IFERROR(__xludf.DUMMYFUNCTION("""COMPUTED_VALUE"""),"ApplyBulkUpdateOnTaxlots")</f>
        <v>ApplyBulkUpdateOnTaxlots</v>
      </c>
      <c r="AJ4" s="27" t="str">
        <f>IFERROR(__xludf.DUMMYFUNCTION("""COMPUTED_VALUE"""),"CommissionBulkChangeOnGroups")</f>
        <v>CommissionBulkChangeOnGroups</v>
      </c>
      <c r="AK4" s="27" t="str">
        <f>IFERROR(__xludf.DUMMYFUNCTION("""COMPUTED_VALUE"""),"CommissionBulkChangeOnTaxlots")</f>
        <v>CommissionBulkChangeOnTaxlots</v>
      </c>
      <c r="AL4" s="27" t="str">
        <f>IFERROR(__xludf.DUMMYFUNCTION("""COMPUTED_VALUE"""),"SelectUnallocatedGroup")</f>
        <v>SelectUnallocatedGroup</v>
      </c>
      <c r="AM4" s="27" t="str">
        <f>IFERROR(__xludf.DUMMYFUNCTION("""COMPUTED_VALUE"""),"EnterAccountValuesToAllocate")</f>
        <v>EnterAccountValuesToAllocate</v>
      </c>
      <c r="AN4" s="27" t="str">
        <f>IFERROR(__xludf.DUMMYFUNCTION("""COMPUTED_VALUE"""),"EnterAllocatePreference")</f>
        <v>EnterAllocatePreference</v>
      </c>
      <c r="AO4" s="27" t="str">
        <f>IFERROR(__xludf.DUMMYFUNCTION("""COMPUTED_VALUE"""),"EnterStrategyValuesToAllocate")</f>
        <v>EnterStrategyValuesToAllocate</v>
      </c>
      <c r="AP4" s="27" t="str">
        <f>IFERROR(__xludf.DUMMYFUNCTION("""COMPUTED_VALUE"""),"CopyCalculatedPreferenceToolbar")</f>
        <v>CopyCalculatedPreferenceToolbar</v>
      </c>
      <c r="AQ4" s="27" t="str">
        <f>IFERROR(__xludf.DUMMYFUNCTION("""COMPUTED_VALUE"""),"SetGeneralRuleCalculatedPref")</f>
        <v>SetGeneralRuleCalculatedPref</v>
      </c>
      <c r="AR4" s="27" t="str">
        <f>IFERROR(__xludf.DUMMYFUNCTION("""COMPUTED_VALUE"""),"ExportAllCalculatedPreferences")</f>
        <v>ExportAllCalculatedPreferences</v>
      </c>
      <c r="AS4" s="27" t="str">
        <f>IFERROR(__xludf.DUMMYFUNCTION("""COMPUTED_VALUE"""),"SaveCalculatedPreferences")</f>
        <v>SaveCalculatedPreferences</v>
      </c>
      <c r="AT4" s="27" t="str">
        <f>IFERROR(__xludf.DUMMYFUNCTION("""COMPUTED_VALUE"""),"CloseCalculatedPreferences")</f>
        <v>CloseCalculatedPreferences</v>
      </c>
      <c r="AU4" s="27" t="str">
        <f>IFERROR(__xludf.DUMMYFUNCTION("""COMPUTED_VALUE"""),"ExportCalculatedPreference")</f>
        <v>ExportCalculatedPreference</v>
      </c>
      <c r="AV4" s="27" t="str">
        <f>IFERROR(__xludf.DUMMYFUNCTION("""COMPUTED_VALUE"""),"ImportCalculatedPreferences")</f>
        <v>ImportCalculatedPreferences</v>
      </c>
      <c r="AW4" s="27" t="str">
        <f>IFERROR(__xludf.DUMMYFUNCTION("""COMPUTED_VALUE"""),"OpenAuditTrailUnallocatedGroup")</f>
        <v>OpenAuditTrailUnallocatedGroup</v>
      </c>
      <c r="AX4" s="27" t="str">
        <f>IFERROR(__xludf.DUMMYFUNCTION("""COMPUTED_VALUE"""),"DeleteCalculatedPreferencesTool")</f>
        <v>DeleteCalculatedPreferencesTool</v>
      </c>
      <c r="AY4" s="27" t="str">
        <f>IFERROR(__xludf.DUMMYFUNCTION("""COMPUTED_VALUE"""),"ImportCalculatedPreferencesTool")</f>
        <v>ImportCalculatedPreferencesTool</v>
      </c>
      <c r="AZ4" s="27" t="str">
        <f>IFERROR(__xludf.DUMMYFUNCTION("""COMPUTED_VALUE"""),"ExportAllCalculatedPreferTool")</f>
        <v>ExportAllCalculatedPreferTool</v>
      </c>
      <c r="BA4" s="27" t="str">
        <f>IFERROR(__xludf.DUMMYFUNCTION("""COMPUTED_VALUE"""),"OpenAuditTrailAllocatedGroup")</f>
        <v>OpenAuditTrailAllocatedGroup</v>
      </c>
      <c r="BB4" s="27" t="str">
        <f>IFERROR(__xludf.DUMMYFUNCTION("""COMPUTED_VALUE"""),"OpenSymbolLookupUnallocateGroup")</f>
        <v>OpenSymbolLookupUnallocateGroup</v>
      </c>
      <c r="BC4" s="27" t="str">
        <f>IFERROR(__xludf.DUMMYFUNCTION("""COMPUTED_VALUE"""),"OpenSymbolLookupAllocatedGroup")</f>
        <v>OpenSymbolLookupAllocatedGroup</v>
      </c>
      <c r="BD4" s="27" t="str">
        <f>IFERROR(__xludf.DUMMYFUNCTION("""COMPUTED_VALUE"""),"DeleteFixedPreference")</f>
        <v>DeleteFixedPreference</v>
      </c>
      <c r="BE4" s="27" t="str">
        <f>IFERROR(__xludf.DUMMYFUNCTION("""COMPUTED_VALUE"""),"EditAllocatedGroupSidePanel")</f>
        <v>EditAllocatedGroupSidePanel</v>
      </c>
      <c r="BF4" s="27" t="str">
        <f>IFERROR(__xludf.DUMMYFUNCTION("""COMPUTED_VALUE"""),"CheckUnallocatedGroups")</f>
        <v>CheckUnallocatedGroups</v>
      </c>
      <c r="BG4" s="27" t="str">
        <f>IFERROR(__xludf.DUMMYFUNCTION("""COMPUTED_VALUE"""),"SetGeneralPreferences")</f>
        <v>SetGeneralPreferences</v>
      </c>
      <c r="BH4" s="27" t="str">
        <f>IFERROR(__xludf.DUMMYFUNCTION("""COMPUTED_VALUE"""),"GroupTrades")</f>
        <v>GroupTrades</v>
      </c>
      <c r="BI4" s="27" t="str">
        <f>IFERROR(__xludf.DUMMYFUNCTION("""COMPUTED_VALUE"""),"UngroupTrades")</f>
        <v>UngroupTrades</v>
      </c>
      <c r="BJ4" s="27" t="str">
        <f>IFERROR(__xludf.DUMMYFUNCTION("""COMPUTED_VALUE"""),"DeleteGroup")</f>
        <v>DeleteGroup</v>
      </c>
      <c r="BK4" s="27" t="str">
        <f>IFERROR(__xludf.DUMMYFUNCTION("""COMPUTED_VALUE"""),"CloseOrder")</f>
        <v>CloseOrder</v>
      </c>
      <c r="BL4" s="27" t="str">
        <f>IFERROR(__xludf.DUMMYFUNCTION("""COMPUTED_VALUE"""),"Unallocate")</f>
        <v>Unallocate</v>
      </c>
      <c r="BM4" s="27" t="str">
        <f>IFERROR(__xludf.DUMMYFUNCTION("""COMPUTED_VALUE"""),"CloseAllocation")</f>
        <v>CloseAllocation</v>
      </c>
      <c r="BN4" s="27" t="str">
        <f>IFERROR(__xludf.DUMMYFUNCTION("""COMPUTED_VALUE"""),"UpdateGRAccountValue")</f>
        <v>UpdateGRAccountValue</v>
      </c>
      <c r="BO4" s="27" t="str">
        <f>IFERROR(__xludf.DUMMYFUNCTION("""COMPUTED_VALUE"""),"UpdateGRStrategyValue")</f>
        <v>UpdateGRStrategyValue</v>
      </c>
      <c r="BP4" s="27" t="str">
        <f>IFERROR(__xludf.DUMMYFUNCTION("""COMPUTED_VALUE"""),"UpdateGRDefaultRule")</f>
        <v>UpdateGRDefaultRule</v>
      </c>
      <c r="BQ4" s="27" t="str">
        <f>IFERROR(__xludf.DUMMYFUNCTION("""COMPUTED_VALUE"""),"UpdateGeneralRulePref")</f>
        <v>UpdateGeneralRulePref</v>
      </c>
      <c r="BR4" s="27" t="str">
        <f>IFERROR(__xludf.DUMMYFUNCTION("""COMPUTED_VALUE"""),"ModifyGRPreferenceValues")</f>
        <v>ModifyGRPreferenceValues</v>
      </c>
      <c r="BS4" s="27" t="str">
        <f>IFERROR(__xludf.DUMMYFUNCTION("""COMPUTED_VALUE"""),"AddMFPreferences")</f>
        <v>AddMFPreferences</v>
      </c>
      <c r="BT4" s="27" t="str">
        <f>IFERROR(__xludf.DUMMYFUNCTION("""COMPUTED_VALUE"""),"AddMFPreferenceToolbar")</f>
        <v>AddMFPreferenceToolbar</v>
      </c>
      <c r="BU4" s="27" t="str">
        <f>IFERROR(__xludf.DUMMYFUNCTION("""COMPUTED_VALUE"""),"DeleteMFPreferences")</f>
        <v>DeleteMFPreferences</v>
      </c>
      <c r="BV4" s="27" t="str">
        <f>IFERROR(__xludf.DUMMYFUNCTION("""COMPUTED_VALUE"""),"DeleteMFPreferenceToolbar")</f>
        <v>DeleteMFPreferenceToolbar</v>
      </c>
      <c r="BW4" s="27" t="str">
        <f>IFERROR(__xludf.DUMMYFUNCTION("""COMPUTED_VALUE"""),"RenameMFPreferences")</f>
        <v>RenameMFPreferences</v>
      </c>
      <c r="BX4" s="27" t="str">
        <f>IFERROR(__xludf.DUMMYFUNCTION("""COMPUTED_VALUE"""),"SaveCloseMFPreference")</f>
        <v>SaveCloseMFPreference</v>
      </c>
      <c r="BY4" s="27" t="str">
        <f>IFERROR(__xludf.DUMMYFUNCTION("""COMPUTED_VALUE"""),"SetMFPrefAccountValues")</f>
        <v>SetMFPrefAccountValues</v>
      </c>
      <c r="BZ4" s="27" t="str">
        <f>IFERROR(__xludf.DUMMYFUNCTION("""COMPUTED_VALUE"""),"ModifyMFPrefGeneralRuleValues")</f>
        <v>ModifyMFPrefGeneralRuleValues</v>
      </c>
      <c r="CA4" s="27" t="str">
        <f>IFERROR(__xludf.DUMMYFUNCTION("""COMPUTED_VALUE"""),"SetMFPrefStrategyValues")</f>
        <v>SetMFPrefStrategyValues</v>
      </c>
      <c r="CB4" s="27" t="str">
        <f>IFERROR(__xludf.DUMMYFUNCTION("""COMPUTED_VALUE"""),"SetMFPrefGeneralRule")</f>
        <v>SetMFPrefGeneralRule</v>
      </c>
      <c r="CC4" s="27" t="str">
        <f>IFERROR(__xludf.DUMMYFUNCTION("""COMPUTED_VALUE"""),"SetMFPrefFundDistribution")</f>
        <v>SetMFPrefFundDistribution</v>
      </c>
      <c r="CD4" s="27" t="str">
        <f>IFERROR(__xludf.DUMMYFUNCTION("""COMPUTED_VALUE"""),"SetMFPreferencesDefaultRule")</f>
        <v>SetMFPreferencesDefaultRule</v>
      </c>
      <c r="CE4" s="27" t="str">
        <f>IFERROR(__xludf.DUMMYFUNCTION("""COMPUTED_VALUE"""),"SetMFPrefFundDefaultRule")</f>
        <v>SetMFPrefFundDefaultRule</v>
      </c>
      <c r="CF4" s="27" t="str">
        <f>IFERROR(__xludf.DUMMYFUNCTION("""COMPUTED_VALUE"""),"ClearPrefetchFilters")</f>
        <v>ClearPrefetchFilters</v>
      </c>
      <c r="CG4" s="27" t="str">
        <f>IFERROR(__xludf.DUMMYFUNCTION("""COMPUTED_VALUE"""),"ExpandCollapseAllUnallocated")</f>
        <v>ExpandCollapseAllUnallocated</v>
      </c>
      <c r="CH4" s="27" t="str">
        <f>IFERROR(__xludf.DUMMYFUNCTION("""COMPUTED_VALUE"""),"ExpandCollapseAllAllocated")</f>
        <v>ExpandCollapseAllAllocated</v>
      </c>
      <c r="CI4" s="27" t="str">
        <f>IFERROR(__xludf.DUMMYFUNCTION("""COMPUTED_VALUE"""),"GenerateCashTransaction")</f>
        <v>GenerateCashTransaction</v>
      </c>
      <c r="CJ4" s="27" t="str">
        <f>IFERROR(__xludf.DUMMYFUNCTION("""COMPUTED_VALUE"""),"SaveAllocation")</f>
        <v>SaveAllocation</v>
      </c>
      <c r="CK4" s="27" t="str">
        <f>IFERROR(__xludf.DUMMYFUNCTION("""COMPUTED_VALUE"""),"UnallocateWithOutSave")</f>
        <v>UnallocateWithOutSave</v>
      </c>
      <c r="CL4" s="27" t="str">
        <f>IFERROR(__xludf.DUMMYFUNCTION("""COMPUTED_VALUE"""),"EditUnallocatedGrid")</f>
        <v>EditUnallocatedGrid</v>
      </c>
      <c r="CM4" s="27" t="str">
        <f>IFERROR(__xludf.DUMMYFUNCTION("""COMPUTED_VALUE"""),"EditAllocatedGrid")</f>
        <v>EditAllocatedGrid</v>
      </c>
      <c r="CN4" s="27" t="str">
        <f>IFERROR(__xludf.DUMMYFUNCTION("""COMPUTED_VALUE"""),"SaveLayoutAllocatedGrid")</f>
        <v>SaveLayoutAllocatedGrid</v>
      </c>
      <c r="CO4" s="27" t="str">
        <f>IFERROR(__xludf.DUMMYFUNCTION("""COMPUTED_VALUE"""),"SaveLayoutUnallocatedGrid")</f>
        <v>SaveLayoutUnallocatedGrid</v>
      </c>
      <c r="CP4" s="27" t="str">
        <f>IFERROR(__xludf.DUMMYFUNCTION("""COMPUTED_VALUE"""),"SaveLayoutAllocationUI")</f>
        <v>SaveLayoutAllocationUI</v>
      </c>
      <c r="CQ4" s="27" t="str">
        <f>IFERROR(__xludf.DUMMYFUNCTION("""COMPUTED_VALUE"""),"ClearFiltersAllocatedGrid")</f>
        <v>ClearFiltersAllocatedGrid</v>
      </c>
      <c r="CR4" s="27" t="str">
        <f>IFERROR(__xludf.DUMMYFUNCTION("""COMPUTED_VALUE"""),"ClearFiltersUnallocatedGrid")</f>
        <v>ClearFiltersUnallocatedGrid</v>
      </c>
      <c r="CS4" s="27" t="str">
        <f>IFERROR(__xludf.DUMMYFUNCTION("""COMPUTED_VALUE"""),"VerifyLayoutAllocatedGrid")</f>
        <v>VerifyLayoutAllocatedGrid</v>
      </c>
      <c r="CT4" s="27" t="str">
        <f>IFERROR(__xludf.DUMMYFUNCTION("""COMPUTED_VALUE"""),"VerifyLayoutUnallocatedGrid")</f>
        <v>VerifyLayoutUnallocatedGrid</v>
      </c>
      <c r="CU4" s="27" t="str">
        <f>IFERROR(__xludf.DUMMYFUNCTION("""COMPUTED_VALUE"""),"CleanUp")</f>
        <v>CleanUp</v>
      </c>
      <c r="CV4" s="27" t="str">
        <f>IFERROR(__xludf.DUMMYFUNCTION("""COMPUTED_VALUE"""),"CheckAllocatedTaxlots")</f>
        <v>CheckAllocatedTaxlots</v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 Name")</f>
        <v>Account Name</v>
      </c>
      <c r="C5" s="29" t="str">
        <f>IFERROR(__xludf.DUMMYFUNCTION("""COMPUTED_VALUE"""),"Accrual Basis")</f>
        <v>Accrual Basis</v>
      </c>
      <c r="D5" s="29" t="str">
        <f>IFERROR(__xludf.DUMMYFUNCTION("""COMPUTED_VALUE"""),"Accrued Interest")</f>
        <v>Accrued Interest</v>
      </c>
      <c r="E5" s="29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9" t="str">
        <f>IFERROR(__xludf.DUMMYFUNCTION("""COMPUTED_VALUE"""),"Asset Category")</f>
        <v>Asset Category</v>
      </c>
      <c r="H5" s="29" t="str">
        <f>IFERROR(__xludf.DUMMYFUNCTION("""COMPUTED_VALUE"""),"AUEC Fee1")</f>
        <v>AUEC Fee1</v>
      </c>
      <c r="I5" s="29" t="str">
        <f>IFERROR(__xludf.DUMMYFUNCTION("""COMPUTED_VALUE"""),"AUEC Fee2")</f>
        <v>AUEC Fee2</v>
      </c>
      <c r="J5" s="29" t="str">
        <f>IFERROR(__xludf.DUMMYFUNCTION("""COMPUTED_VALUE"""),"AUECID")</f>
        <v>AUECID</v>
      </c>
      <c r="K5" s="29" t="str">
        <f>IFERROR(__xludf.DUMMYFUNCTION("""COMPUTED_VALUE"""),"Avg Price(Base)")</f>
        <v>Avg Price(Base)</v>
      </c>
      <c r="L5" s="29" t="str">
        <f>IFERROR(__xludf.DUMMYFUNCTION("""COMPUTED_VALUE"""),"Avg Price(Local)")</f>
        <v>Avg Price(Local)</v>
      </c>
      <c r="M5" s="29" t="str">
        <f>IFERROR(__xludf.DUMMYFUNCTION("""COMPUTED_VALUE"""),"Bloomberg")</f>
        <v>Bloomberg</v>
      </c>
      <c r="N5" s="29" t="str">
        <f>IFERROR(__xludf.DUMMYFUNCTION("""COMPUTED_VALUE"""),"Bond Type")</f>
        <v>Bond Type</v>
      </c>
      <c r="O5" s="29" t="str">
        <f>IFERROR(__xludf.DUMMYFUNCTION("""COMPUTED_VALUE"""),"Broker")</f>
        <v>Broker</v>
      </c>
      <c r="P5" s="29" t="str">
        <f>IFERROR(__xludf.DUMMYFUNCTION("""COMPUTED_VALUE"""),"Change Comment")</f>
        <v>Change Comment</v>
      </c>
      <c r="Q5" s="29" t="str">
        <f>IFERROR(__xludf.DUMMYFUNCTION("""COMPUTED_VALUE"""),"Change Type")</f>
        <v>Change Type</v>
      </c>
      <c r="R5" s="29" t="str">
        <f>IFERROR(__xludf.DUMMYFUNCTION("""COMPUTED_VALUE"""),"Clearing Broker Fee")</f>
        <v>Clearing Broker Fee</v>
      </c>
      <c r="S5" s="29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IFERROR(__xludf.DUMMYFUNCTION("""COMPUTED_VALUE"""),"IsManualGroup")</f>
        <v>IsManualGroup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6"/>
      <c r="B6" s="31" t="s">
        <v>19</v>
      </c>
      <c r="BO6" s="31" t="s">
        <v>18</v>
      </c>
      <c r="BT6" s="31" t="s">
        <v>17</v>
      </c>
    </row>
    <row r="7" ht="15.75" customHeight="1">
      <c r="A7" s="6"/>
      <c r="B7" s="31" t="s">
        <v>20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BO7" s="31" t="s">
        <v>18</v>
      </c>
      <c r="BT7" s="31" t="s">
        <v>17</v>
      </c>
    </row>
    <row r="8" ht="15.75" customHeight="1">
      <c r="A8" s="6"/>
      <c r="B8" s="31" t="s">
        <v>21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BO8" s="31" t="s">
        <v>18</v>
      </c>
      <c r="BT8" s="31" t="s">
        <v>17</v>
      </c>
    </row>
    <row r="9" ht="15.75" customHeight="1">
      <c r="A9" s="6"/>
      <c r="B9" s="11" t="s">
        <v>22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BO9" s="31" t="s">
        <v>18</v>
      </c>
      <c r="BT9" s="31" t="s">
        <v>17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53" width="14.43"/>
  </cols>
  <sheetData>
    <row r="1" ht="15.75" customHeight="1">
      <c r="A1" s="18"/>
      <c r="B1" s="3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9" t="s">
        <v>5</v>
      </c>
      <c r="C3" s="23" t="s">
        <v>39</v>
      </c>
      <c r="D3" s="9" t="s">
        <v>7</v>
      </c>
      <c r="E3" s="23" t="s">
        <v>40</v>
      </c>
      <c r="F3" s="9" t="s">
        <v>15</v>
      </c>
      <c r="G3" s="24" t="s">
        <v>16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</row>
    <row r="4" ht="15.75" customHeight="1">
      <c r="A4" s="26"/>
      <c r="B4" s="26" t="str">
        <f>IFERROR(__xludf.DUMMYFUNCTION("IF(C3="""","""",Transpose(IMPORTRANGE('_Settings'!$B$3,C3&amp;""!A4:A1000"")))"),"SwapExpire")</f>
        <v>SwapExpire</v>
      </c>
      <c r="C4" s="26" t="str">
        <f>IFERROR(__xludf.DUMMYFUNCTION("""COMPUTED_VALUE"""),"GetDataClosing")</f>
        <v>GetDataClosing</v>
      </c>
      <c r="D4" s="26" t="str">
        <f>IFERROR(__xludf.DUMMYFUNCTION("""COMPUTED_VALUE"""),"ManualClosing")</f>
        <v>ManualClosing</v>
      </c>
      <c r="E4" s="26" t="str">
        <f>IFERROR(__xludf.DUMMYFUNCTION("""COMPUTED_VALUE"""),"AutomaticClosing")</f>
        <v>AutomaticClosing</v>
      </c>
      <c r="F4" s="26" t="str">
        <f>IFERROR(__xludf.DUMMYFUNCTION("""COMPUTED_VALUE"""),"UnwindClosing")</f>
        <v>UnwindClosing</v>
      </c>
      <c r="G4" s="26" t="str">
        <f>IFERROR(__xludf.DUMMYFUNCTION("""COMPUTED_VALUE"""),"VerifyClosedTrades")</f>
        <v>VerifyClosedTrades</v>
      </c>
      <c r="H4" s="26" t="str">
        <f>IFERROR(__xludf.DUMMYFUNCTION("""COMPUTED_VALUE"""),"VerifyLongPositionsGrid")</f>
        <v>VerifyLongPositionsGrid</v>
      </c>
      <c r="I4" s="26" t="str">
        <f>IFERROR(__xludf.DUMMYFUNCTION("""COMPUTED_VALUE"""),"VerifyShortPositionsGrid")</f>
        <v>VerifyShortPositionsGrid</v>
      </c>
      <c r="J4" s="26" t="str">
        <f>IFERROR(__xludf.DUMMYFUNCTION("""COMPUTED_VALUE"""),"SelectTradeUnexpiredUnsettled")</f>
        <v>SelectTradeUnexpiredUnsettled</v>
      </c>
      <c r="K4" s="26" t="str">
        <f>IFERROR(__xludf.DUMMYFUNCTION("""COMPUTED_VALUE"""),"CashSettlementAtCost")</f>
        <v>CashSettlementAtCost</v>
      </c>
      <c r="L4" s="26" t="str">
        <f>IFERROR(__xludf.DUMMYFUNCTION("""COMPUTED_VALUE"""),"CashSettlementAtZeroPrice")</f>
        <v>CashSettlementAtZeroPrice</v>
      </c>
      <c r="M4" s="26" t="str">
        <f>IFERROR(__xludf.DUMMYFUNCTION("""COMPUTED_VALUE"""),"CashSettlementAtClosingDtSpotPx")</f>
        <v>CashSettlementAtClosingDtSpotPx</v>
      </c>
      <c r="N4" s="26" t="str">
        <f>IFERROR(__xludf.DUMMYFUNCTION("""COMPUTED_VALUE"""),"PhysicalSettlement")</f>
        <v>PhysicalSettlement</v>
      </c>
      <c r="O4" s="26" t="str">
        <f>IFERROR(__xludf.DUMMYFUNCTION("""COMPUTED_VALUE"""),"Expire")</f>
        <v>Expire</v>
      </c>
      <c r="P4" s="27" t="str">
        <f>IFERROR(__xludf.DUMMYFUNCTION("""COMPUTED_VALUE"""),"ExerciseAssignment")</f>
        <v>ExerciseAssignment</v>
      </c>
      <c r="Q4" s="27" t="str">
        <f>IFERROR(__xludf.DUMMYFUNCTION("""COMPUTED_VALUE"""),"ExerciseAssignmentAtZero")</f>
        <v>ExerciseAssignmentAtZero</v>
      </c>
      <c r="R4" s="27" t="str">
        <f>IFERROR(__xludf.DUMMYFUNCTION("""COMPUTED_VALUE"""),"SwapExpireAndRollover")</f>
        <v>SwapExpireAndRollover</v>
      </c>
      <c r="S4" s="27" t="str">
        <f>IFERROR(__xludf.DUMMYFUNCTION("""COMPUTED_VALUE"""),"SwapExpire")</f>
        <v>SwapExpire</v>
      </c>
      <c r="T4" s="27" t="str">
        <f>IFERROR(__xludf.DUMMYFUNCTION("""COMPUTED_VALUE"""),"VerifyExpiredSettledGrid")</f>
        <v>VerifyExpiredSettledGrid</v>
      </c>
      <c r="U4" s="27" t="str">
        <f>IFERROR(__xludf.DUMMYFUNCTION("""COMPUTED_VALUE"""),"VerifyUnExpiredUnSettledGrid")</f>
        <v>VerifyUnExpiredUnSettledGrid</v>
      </c>
      <c r="V4" s="27" t="str">
        <f>IFERROR(__xludf.DUMMYFUNCTION("""COMPUTED_VALUE"""),"UnWindTradeSettlement")</f>
        <v>UnWindTradeSettlement</v>
      </c>
      <c r="W4" s="27" t="str">
        <f>IFERROR(__xludf.DUMMYFUNCTION("""COMPUTED_VALUE"""),"CloseOrder")</f>
        <v>CloseOrder</v>
      </c>
      <c r="X4" s="27" t="str">
        <f>IFERROR(__xludf.DUMMYFUNCTION("""COMPUTED_VALUE"""),"VerifyCloseOrder")</f>
        <v>VerifyCloseOrder</v>
      </c>
      <c r="Y4" s="27" t="str">
        <f>IFERROR(__xludf.DUMMYFUNCTION("""COMPUTED_VALUE"""),"UnWindCloseOrder")</f>
        <v>UnWindCloseOrder</v>
      </c>
      <c r="Z4" s="27" t="str">
        <f>IFERROR(__xludf.DUMMYFUNCTION("""COMPUTED_VALUE"""),"ClosingCleanUp")</f>
        <v>ClosingCleanUp</v>
      </c>
      <c r="AA4" s="27" t="str">
        <f>IFERROR(__xludf.DUMMYFUNCTION("""COMPUTED_VALUE"""),"CloseClosingUI")</f>
        <v>CloseClosingUI</v>
      </c>
      <c r="AB4" s="27" t="str">
        <f>IFERROR(__xludf.DUMMYFUNCTION("""COMPUTED_VALUE"""),"SetClosingPreference")</f>
        <v>SetClosingPreference</v>
      </c>
      <c r="AC4" s="27" t="str">
        <f>IFERROR(__xludf.DUMMYFUNCTION("""COMPUTED_VALUE"""),"EditTradeUnexpiredUnsettled")</f>
        <v>EditTradeUnexpiredUnsettled</v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IFERROR(__xludf.DUMMYFUNCTION("""COMPUTED_VALUE"""),"Account")</f>
        <v>Account</v>
      </c>
      <c r="C5" s="29" t="str">
        <f>IFERROR(__xludf.DUMMYFUNCTION("""COMPUTED_VALUE"""),"Asset Class")</f>
        <v>Asset Class</v>
      </c>
      <c r="D5" s="29" t="str">
        <f>IFERROR(__xludf.DUMMYFUNCTION("""COMPUTED_VALUE"""),"AUECID")</f>
        <v>AUECID</v>
      </c>
      <c r="E5" s="29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9" t="str">
        <f>IFERROR(__xludf.DUMMYFUNCTION("""COMPUTED_VALUE"""),"LotId")</f>
        <v>LotId</v>
      </c>
      <c r="H5" s="29" t="str">
        <f>IFERROR(__xludf.DUMMYFUNCTION("""COMPUTED_VALUE"""),"Net Notional")</f>
        <v>Net Notional</v>
      </c>
      <c r="I5" s="29" t="str">
        <f>IFERROR(__xludf.DUMMYFUNCTION("""COMPUTED_VALUE"""),"Opening Price")</f>
        <v>Opening Price</v>
      </c>
      <c r="J5" s="29" t="str">
        <f>IFERROR(__xludf.DUMMYFUNCTION("""COMPUTED_VALUE"""),"Original Purchase Date")</f>
        <v>Original Purchase Date</v>
      </c>
      <c r="K5" s="29" t="str">
        <f>IFERROR(__xludf.DUMMYFUNCTION("""COMPUTED_VALUE"""),"PositionTag")</f>
        <v>PositionTag</v>
      </c>
      <c r="L5" s="29" t="str">
        <f>IFERROR(__xludf.DUMMYFUNCTION("""COMPUTED_VALUE"""),"Process Date")</f>
        <v>Process Date</v>
      </c>
      <c r="M5" s="29" t="str">
        <f>IFERROR(__xludf.DUMMYFUNCTION("""COMPUTED_VALUE"""),"Quantity")</f>
        <v>Quantity</v>
      </c>
      <c r="N5" s="29" t="str">
        <f>IFERROR(__xludf.DUMMYFUNCTION("""COMPUTED_VALUE"""),"Security Name")</f>
        <v>Security Name</v>
      </c>
      <c r="O5" s="29" t="str">
        <f>IFERROR(__xludf.DUMMYFUNCTION("""COMPUTED_VALUE"""),"Settlement Currency")</f>
        <v>Settlement Currency</v>
      </c>
      <c r="P5" s="29" t="str">
        <f>IFERROR(__xludf.DUMMYFUNCTION("""COMPUTED_VALUE"""),"Side")</f>
        <v>Side</v>
      </c>
      <c r="Q5" s="29" t="str">
        <f>IFERROR(__xludf.DUMMYFUNCTION("""COMPUTED_VALUE"""),"Strategy")</f>
        <v>Strategy</v>
      </c>
      <c r="R5" s="29" t="str">
        <f>IFERROR(__xludf.DUMMYFUNCTION("""COMPUTED_VALUE"""),"Symbol")</f>
        <v>Symbol</v>
      </c>
      <c r="S5" s="29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IFERROR(__xludf.DUMMYFUNCTION("""COMPUTED_VALUE"""),"")</f>
        <v/>
      </c>
      <c r="AB5" s="30" t="str">
        <f>IFERROR(__xludf.DUMMYFUNCTION("""COMPUTED_VALUE"""),"")</f>
        <v/>
      </c>
      <c r="AC5" s="30" t="str">
        <f>IFERROR(__xludf.DUMMYFUNCTION("""COMPUTED_VALUE"""),"")</f>
        <v/>
      </c>
      <c r="AD5" s="30" t="str">
        <f>IFERROR(__xludf.DUMMYFUNCTION("""COMPUTED_VALUE"""),"")</f>
        <v/>
      </c>
      <c r="AE5" s="30" t="str">
        <f>IFERROR(__xludf.DUMMYFUNCTION("""COMPUTED_VALUE"""),"")</f>
        <v/>
      </c>
      <c r="AF5" s="30" t="str">
        <f>IFERROR(__xludf.DUMMYFUNCTION("""COMPUTED_VALUE"""),"")</f>
        <v/>
      </c>
      <c r="AG5" s="30" t="str">
        <f>IFERROR(__xludf.DUMMYFUNCTION("""COMPUTED_VALUE"""),"")</f>
        <v/>
      </c>
      <c r="AH5" s="30" t="str">
        <f>IFERROR(__xludf.DUMMYFUNCTION("""COMPUTED_VALUE"""),"")</f>
        <v/>
      </c>
      <c r="AI5" s="30" t="str">
        <f>IFERROR(__xludf.DUMMYFUNCTION("""COMPUTED_VALUE"""),"")</f>
        <v/>
      </c>
      <c r="AJ5" s="30" t="str">
        <f>IFERROR(__xludf.DUMMYFUNCTION("""COMPUTED_VALUE"""),"")</f>
        <v/>
      </c>
      <c r="AK5" s="30" t="str">
        <f>IFERROR(__xludf.DUMMYFUNCTION("""COMPUTED_VALUE"""),"")</f>
        <v/>
      </c>
      <c r="AL5" s="30" t="str">
        <f>IFERROR(__xludf.DUMMYFUNCTION("""COMPUTED_VALUE"""),"")</f>
        <v/>
      </c>
      <c r="AM5" s="30" t="str">
        <f>IFERROR(__xludf.DUMMYFUNCTION("""COMPUTED_VALUE"""),"")</f>
        <v/>
      </c>
      <c r="AN5" s="30" t="str">
        <f>IFERROR(__xludf.DUMMYFUNCTION("""COMPUTED_VALUE"""),"")</f>
        <v/>
      </c>
      <c r="AO5" s="30" t="str">
        <f>IFERROR(__xludf.DUMMYFUNCTION("""COMPUTED_VALUE"""),"")</f>
        <v/>
      </c>
      <c r="AP5" s="30" t="str">
        <f>IFERROR(__xludf.DUMMYFUNCTION("""COMPUTED_VALUE"""),"")</f>
        <v/>
      </c>
      <c r="AQ5" s="30" t="str">
        <f>IFERROR(__xludf.DUMMYFUNCTION("""COMPUTED_VALUE"""),"")</f>
        <v/>
      </c>
      <c r="AR5" s="30" t="str">
        <f>IFERROR(__xludf.DUMMYFUNCTION("""COMPUTED_VALUE"""),"")</f>
        <v/>
      </c>
      <c r="AS5" s="30" t="str">
        <f>IFERROR(__xludf.DUMMYFUNCTION("""COMPUTED_VALUE"""),"")</f>
        <v/>
      </c>
      <c r="AT5" s="30" t="str">
        <f>IFERROR(__xludf.DUMMYFUNCTION("""COMPUTED_VALUE"""),"")</f>
        <v/>
      </c>
      <c r="AU5" s="30" t="str">
        <f>IFERROR(__xludf.DUMMYFUNCTION("""COMPUTED_VALUE"""),"")</f>
        <v/>
      </c>
      <c r="AV5" s="30" t="str">
        <f>IFERROR(__xludf.DUMMYFUNCTION("""COMPUTED_VALUE"""),"")</f>
        <v/>
      </c>
      <c r="AW5" s="30" t="str">
        <f>IFERROR(__xludf.DUMMYFUNCTION("""COMPUTED_VALUE"""),"")</f>
        <v/>
      </c>
      <c r="AX5" s="30" t="str">
        <f>IFERROR(__xludf.DUMMYFUNCTION("""COMPUTED_VALUE"""),"")</f>
        <v/>
      </c>
      <c r="AY5" s="30" t="str">
        <f>IFERROR(__xludf.DUMMYFUNCTION("""COMPUTED_VALUE"""),"")</f>
        <v/>
      </c>
      <c r="AZ5" s="30" t="str">
        <f>IFERROR(__xludf.DUMMYFUNCTION("""COMPUTED_VALUE"""),"")</f>
        <v/>
      </c>
      <c r="BA5" s="30" t="str">
        <f>IFERROR(__xludf.DUMMYFUNCTION("""COMPUTED_VALUE"""),"")</f>
        <v/>
      </c>
      <c r="BB5" s="30" t="str">
        <f>IFERROR(__xludf.DUMMYFUNCTION("""COMPUTED_VALUE"""),"")</f>
        <v/>
      </c>
      <c r="BC5" s="30" t="str">
        <f>IFERROR(__xludf.DUMMYFUNCTION("""COMPUTED_VALUE"""),"")</f>
        <v/>
      </c>
      <c r="BD5" s="30" t="str">
        <f>IFERROR(__xludf.DUMMYFUNCTION("""COMPUTED_VALUE"""),"")</f>
        <v/>
      </c>
      <c r="BE5" s="30" t="str">
        <f>IFERROR(__xludf.DUMMYFUNCTION("""COMPUTED_VALUE"""),"")</f>
        <v/>
      </c>
      <c r="BF5" s="30" t="str">
        <f>IFERROR(__xludf.DUMMYFUNCTION("""COMPUTED_VALUE"""),"")</f>
        <v/>
      </c>
      <c r="BG5" s="30" t="str">
        <f>IFERROR(__xludf.DUMMYFUNCTION("""COMPUTED_VALUE"""),"")</f>
        <v/>
      </c>
      <c r="BH5" s="30" t="str">
        <f>IFERROR(__xludf.DUMMYFUNCTION("""COMPUTED_VALUE"""),"")</f>
        <v/>
      </c>
      <c r="BI5" s="30" t="str">
        <f>IFERROR(__xludf.DUMMYFUNCTION("""COMPUTED_VALUE"""),"")</f>
        <v/>
      </c>
      <c r="BJ5" s="30" t="str">
        <f>IFERROR(__xludf.DUMMYFUNCTION("""COMPUTED_VALUE"""),"")</f>
        <v/>
      </c>
      <c r="BK5" s="30" t="str">
        <f>IFERROR(__xludf.DUMMYFUNCTION("""COMPUTED_VALUE"""),"")</f>
        <v/>
      </c>
      <c r="BL5" s="30" t="str">
        <f>IFERROR(__xludf.DUMMYFUNCTION("""COMPUTED_VALUE"""),"")</f>
        <v/>
      </c>
      <c r="BM5" s="30" t="str">
        <f>IFERROR(__xludf.DUMMYFUNCTION("""COMPUTED_VALUE"""),"")</f>
        <v/>
      </c>
      <c r="BN5" s="30" t="str">
        <f>IFERROR(__xludf.DUMMYFUNCTION("""COMPUTED_VALUE"""),"")</f>
        <v/>
      </c>
      <c r="BO5" s="30" t="str">
        <f>IFERROR(__xludf.DUMMYFUNCTION("""COMPUTED_VALUE"""),"")</f>
        <v/>
      </c>
      <c r="BP5" s="30" t="str">
        <f>IFERROR(__xludf.DUMMYFUNCTION("""COMPUTED_VALUE"""),"")</f>
        <v/>
      </c>
      <c r="BQ5" s="30" t="str">
        <f>IFERROR(__xludf.DUMMYFUNCTION("""COMPUTED_VALUE"""),"")</f>
        <v/>
      </c>
      <c r="BR5" s="30" t="str">
        <f>IFERROR(__xludf.DUMMYFUNCTION("""COMPUTED_VALUE"""),"")</f>
        <v/>
      </c>
      <c r="BS5" s="30" t="str">
        <f>IFERROR(__xludf.DUMMYFUNCTION("""COMPUTED_VALUE"""),"")</f>
        <v/>
      </c>
      <c r="BT5" s="30" t="str">
        <f>IFERROR(__xludf.DUMMYFUNCTION("""COMPUTED_VALUE"""),"")</f>
        <v/>
      </c>
      <c r="BU5" s="30" t="str">
        <f>IFERROR(__xludf.DUMMYFUNCTION("""COMPUTED_VALUE"""),"")</f>
        <v/>
      </c>
      <c r="BV5" s="30" t="str">
        <f>IFERROR(__xludf.DUMMYFUNCTION("""COMPUTED_VALUE"""),"")</f>
        <v/>
      </c>
      <c r="BW5" s="30" t="str">
        <f>IFERROR(__xludf.DUMMYFUNCTION("""COMPUTED_VALUE"""),"")</f>
        <v/>
      </c>
      <c r="BX5" s="30" t="str">
        <f>IFERROR(__xludf.DUMMYFUNCTION("""COMPUTED_VALUE"""),"")</f>
        <v/>
      </c>
      <c r="BY5" s="30" t="str">
        <f>IFERROR(__xludf.DUMMYFUNCTION("""COMPUTED_VALUE"""),"")</f>
        <v/>
      </c>
      <c r="BZ5" s="30" t="str">
        <f>IFERROR(__xludf.DUMMYFUNCTION("""COMPUTED_VALUE"""),"")</f>
        <v/>
      </c>
      <c r="CA5" s="30" t="str">
        <f>IFERROR(__xludf.DUMMYFUNCTION("""COMPUTED_VALUE"""),"")</f>
        <v/>
      </c>
      <c r="CB5" s="30" t="str">
        <f>IFERROR(__xludf.DUMMYFUNCTION("""COMPUTED_VALUE"""),"")</f>
        <v/>
      </c>
      <c r="CC5" s="30" t="str">
        <f>IFERROR(__xludf.DUMMYFUNCTION("""COMPUTED_VALUE"""),"")</f>
        <v/>
      </c>
      <c r="CD5" s="30" t="str">
        <f>IFERROR(__xludf.DUMMYFUNCTION("""COMPUTED_VALUE"""),"")</f>
        <v/>
      </c>
      <c r="CE5" s="30" t="str">
        <f>IFERROR(__xludf.DUMMYFUNCTION("""COMPUTED_VALUE"""),"")</f>
        <v/>
      </c>
      <c r="CF5" s="30" t="str">
        <f>IFERROR(__xludf.DUMMYFUNCTION("""COMPUTED_VALUE"""),"")</f>
        <v/>
      </c>
      <c r="CG5" s="30" t="str">
        <f>IFERROR(__xludf.DUMMYFUNCTION("""COMPUTED_VALUE"""),"")</f>
        <v/>
      </c>
      <c r="CH5" s="30" t="str">
        <f>IFERROR(__xludf.DUMMYFUNCTION("""COMPUTED_VALUE"""),"")</f>
        <v/>
      </c>
      <c r="CI5" s="30" t="str">
        <f>IFERROR(__xludf.DUMMYFUNCTION("""COMPUTED_VALUE"""),"")</f>
        <v/>
      </c>
      <c r="CJ5" s="30" t="str">
        <f>IFERROR(__xludf.DUMMYFUNCTION("""COMPUTED_VALUE"""),"")</f>
        <v/>
      </c>
      <c r="CK5" s="30" t="str">
        <f>IFERROR(__xludf.DUMMYFUNCTION("""COMPUTED_VALUE"""),"")</f>
        <v/>
      </c>
      <c r="CL5" s="30" t="str">
        <f>IFERROR(__xludf.DUMMYFUNCTION("""COMPUTED_VALUE"""),"")</f>
        <v/>
      </c>
      <c r="CM5" s="30" t="str">
        <f>IFERROR(__xludf.DUMMYFUNCTION("""COMPUTED_VALUE"""),"")</f>
        <v/>
      </c>
      <c r="CN5" s="30" t="str">
        <f>IFERROR(__xludf.DUMMYFUNCTION("""COMPUTED_VALUE"""),"")</f>
        <v/>
      </c>
      <c r="CO5" s="30" t="str">
        <f>IFERROR(__xludf.DUMMYFUNCTION("""COMPUTED_VALUE"""),"")</f>
        <v/>
      </c>
      <c r="CP5" s="30" t="str">
        <f>IFERROR(__xludf.DUMMYFUNCTION("""COMPUTED_VALUE"""),"")</f>
        <v/>
      </c>
      <c r="CQ5" s="30" t="str">
        <f>IFERROR(__xludf.DUMMYFUNCTION("""COMPUTED_VALUE"""),"")</f>
        <v/>
      </c>
      <c r="CR5" s="30" t="str">
        <f>IFERROR(__xludf.DUMMYFUNCTION("""COMPUTED_VALUE"""),"")</f>
        <v/>
      </c>
      <c r="CS5" s="30" t="str">
        <f>IFERROR(__xludf.DUMMYFUNCTION("""COMPUTED_VALUE"""),"")</f>
        <v/>
      </c>
      <c r="CT5" s="30" t="str">
        <f>IFERROR(__xludf.DUMMYFUNCTION("""COMPUTED_VALUE"""),"")</f>
        <v/>
      </c>
      <c r="CU5" s="30" t="str">
        <f>IFERROR(__xludf.DUMMYFUNCTION("""COMPUTED_VALUE"""),"")</f>
        <v/>
      </c>
      <c r="CV5" s="30" t="str">
        <f>IFERROR(__xludf.DUMMYFUNCTION("""COMPUTED_VALUE"""),"")</f>
        <v/>
      </c>
      <c r="CW5" s="30" t="str">
        <f>IFERROR(__xludf.DUMMYFUNCTION("""COMPUTED_VALUE"""),"")</f>
        <v/>
      </c>
      <c r="CX5" s="30" t="str">
        <f>IFERROR(__xludf.DUMMYFUNCTION("""COMPUTED_VALUE"""),"")</f>
        <v/>
      </c>
      <c r="CY5" s="30" t="str">
        <f>IFERROR(__xludf.DUMMYFUNCTION("""COMPUTED_VALUE"""),"")</f>
        <v/>
      </c>
      <c r="CZ5" s="30" t="str">
        <f>IFERROR(__xludf.DUMMYFUNCTION("""COMPUTED_VALUE"""),"")</f>
        <v/>
      </c>
      <c r="DA5" s="30" t="str">
        <f>IFERROR(__xludf.DUMMYFUNCTION("""COMPUTED_VALUE"""),"")</f>
        <v/>
      </c>
      <c r="DB5" s="30" t="str">
        <f>IFERROR(__xludf.DUMMYFUNCTION("""COMPUTED_VALUE"""),"")</f>
        <v/>
      </c>
      <c r="DC5" s="30" t="str">
        <f>IFERROR(__xludf.DUMMYFUNCTION("""COMPUTED_VALUE"""),"")</f>
        <v/>
      </c>
      <c r="DD5" s="30" t="str">
        <f>IFERROR(__xludf.DUMMYFUNCTION("""COMPUTED_VALUE"""),"")</f>
        <v/>
      </c>
      <c r="DE5" s="30" t="str">
        <f>IFERROR(__xludf.DUMMYFUNCTION("""COMPUTED_VALUE"""),"")</f>
        <v/>
      </c>
      <c r="DF5" s="30" t="str">
        <f>IFERROR(__xludf.DUMMYFUNCTION("""COMPUTED_VALUE"""),"")</f>
        <v/>
      </c>
      <c r="DG5" s="30" t="str">
        <f>IFERROR(__xludf.DUMMYFUNCTION("""COMPUTED_VALUE"""),"")</f>
        <v/>
      </c>
      <c r="DH5" s="30" t="str">
        <f>IFERROR(__xludf.DUMMYFUNCTION("""COMPUTED_VALUE"""),"")</f>
        <v/>
      </c>
      <c r="DI5" s="30" t="str">
        <f>IFERROR(__xludf.DUMMYFUNCTION("""COMPUTED_VALUE"""),"")</f>
        <v/>
      </c>
      <c r="DJ5" s="30" t="str">
        <f>IFERROR(__xludf.DUMMYFUNCTION("""COMPUTED_VALUE"""),"")</f>
        <v/>
      </c>
      <c r="DK5" s="30" t="str">
        <f>IFERROR(__xludf.DUMMYFUNCTION("""COMPUTED_VALUE"""),"")</f>
        <v/>
      </c>
      <c r="DL5" s="30" t="str">
        <f>IFERROR(__xludf.DUMMYFUNCTION("""COMPUTED_VALUE"""),"")</f>
        <v/>
      </c>
      <c r="DM5" s="30" t="str">
        <f>IFERROR(__xludf.DUMMYFUNCTION("""COMPUTED_VALUE"""),"")</f>
        <v/>
      </c>
      <c r="DN5" s="30" t="str">
        <f>IFERROR(__xludf.DUMMYFUNCTION("""COMPUTED_VALUE"""),"")</f>
        <v/>
      </c>
      <c r="DO5" s="30" t="str">
        <f>IFERROR(__xludf.DUMMYFUNCTION("""COMPUTED_VALUE"""),"")</f>
        <v/>
      </c>
      <c r="DP5" s="30" t="str">
        <f>IFERROR(__xludf.DUMMYFUNCTION("""COMPUTED_VALUE"""),"")</f>
        <v/>
      </c>
      <c r="DQ5" s="30" t="str">
        <f>IFERROR(__xludf.DUMMYFUNCTION("""COMPUTED_VALUE"""),"")</f>
        <v/>
      </c>
      <c r="DR5" s="30" t="str">
        <f>IFERROR(__xludf.DUMMYFUNCTION("""COMPUTED_VALUE"""),"")</f>
        <v/>
      </c>
      <c r="DS5" s="30" t="str">
        <f>IFERROR(__xludf.DUMMYFUNCTION("""COMPUTED_VALUE"""),"")</f>
        <v/>
      </c>
      <c r="DT5" s="30" t="str">
        <f>IFERROR(__xludf.DUMMYFUNCTION("""COMPUTED_VALUE"""),"")</f>
        <v/>
      </c>
      <c r="DU5" s="30" t="str">
        <f>IFERROR(__xludf.DUMMYFUNCTION("""COMPUTED_VALUE"""),"")</f>
        <v/>
      </c>
      <c r="DV5" s="30" t="str">
        <f>IFERROR(__xludf.DUMMYFUNCTION("""COMPUTED_VALUE"""),"")</f>
        <v/>
      </c>
      <c r="DW5" s="30" t="str">
        <f>IFERROR(__xludf.DUMMYFUNCTION("""COMPUTED_VALUE"""),"")</f>
        <v/>
      </c>
      <c r="DX5" s="30" t="str">
        <f>IFERROR(__xludf.DUMMYFUNCTION("""COMPUTED_VALUE"""),"")</f>
        <v/>
      </c>
      <c r="DY5" s="30" t="str">
        <f>IFERROR(__xludf.DUMMYFUNCTION("""COMPUTED_VALUE"""),"")</f>
        <v/>
      </c>
      <c r="DZ5" s="30" t="str">
        <f>IFERROR(__xludf.DUMMYFUNCTION("""COMPUTED_VALUE"""),"")</f>
        <v/>
      </c>
      <c r="EA5" s="30" t="str">
        <f>IFERROR(__xludf.DUMMYFUNCTION("""COMPUTED_VALUE"""),"")</f>
        <v/>
      </c>
      <c r="EB5" s="30" t="str">
        <f>IFERROR(__xludf.DUMMYFUNCTION("""COMPUTED_VALUE"""),"")</f>
        <v/>
      </c>
      <c r="EC5" s="30" t="str">
        <f>IFERROR(__xludf.DUMMYFUNCTION("""COMPUTED_VALUE"""),"")</f>
        <v/>
      </c>
      <c r="ED5" s="30" t="str">
        <f>IFERROR(__xludf.DUMMYFUNCTION("""COMPUTED_VALUE"""),"")</f>
        <v/>
      </c>
      <c r="EE5" s="30" t="str">
        <f>IFERROR(__xludf.DUMMYFUNCTION("""COMPUTED_VALUE"""),"")</f>
        <v/>
      </c>
      <c r="EF5" s="30" t="str">
        <f>IFERROR(__xludf.DUMMYFUNCTION("""COMPUTED_VALUE"""),"")</f>
        <v/>
      </c>
      <c r="EG5" s="30" t="str">
        <f>IFERROR(__xludf.DUMMYFUNCTION("""COMPUTED_VALUE"""),"")</f>
        <v/>
      </c>
      <c r="EH5" s="30" t="str">
        <f>IFERROR(__xludf.DUMMYFUNCTION("""COMPUTED_VALUE"""),"")</f>
        <v/>
      </c>
      <c r="EI5" s="30" t="str">
        <f>IFERROR(__xludf.DUMMYFUNCTION("""COMPUTED_VALUE"""),"")</f>
        <v/>
      </c>
      <c r="EJ5" s="30" t="str">
        <f>IFERROR(__xludf.DUMMYFUNCTION("""COMPUTED_VALUE"""),"")</f>
        <v/>
      </c>
      <c r="EK5" s="30" t="str">
        <f>IFERROR(__xludf.DUMMYFUNCTION("""COMPUTED_VALUE"""),"")</f>
        <v/>
      </c>
      <c r="EL5" s="30" t="str">
        <f>IFERROR(__xludf.DUMMYFUNCTION("""COMPUTED_VALUE"""),"")</f>
        <v/>
      </c>
      <c r="EM5" s="30" t="str">
        <f>IFERROR(__xludf.DUMMYFUNCTION("""COMPUTED_VALUE"""),"")</f>
        <v/>
      </c>
      <c r="EN5" s="30" t="str">
        <f>IFERROR(__xludf.DUMMYFUNCTION("""COMPUTED_VALUE"""),"")</f>
        <v/>
      </c>
      <c r="EO5" s="30" t="str">
        <f>IFERROR(__xludf.DUMMYFUNCTION("""COMPUTED_VALUE"""),"")</f>
        <v/>
      </c>
      <c r="EP5" s="30" t="str">
        <f>IFERROR(__xludf.DUMMYFUNCTION("""COMPUTED_VALUE"""),"")</f>
        <v/>
      </c>
      <c r="EQ5" s="30" t="str">
        <f>IFERROR(__xludf.DUMMYFUNCTION("""COMPUTED_VALUE"""),"")</f>
        <v/>
      </c>
      <c r="ER5" s="30" t="str">
        <f>IFERROR(__xludf.DUMMYFUNCTION("""COMPUTED_VALUE"""),"")</f>
        <v/>
      </c>
      <c r="ES5" s="30" t="str">
        <f>IFERROR(__xludf.DUMMYFUNCTION("""COMPUTED_VALUE"""),"")</f>
        <v/>
      </c>
      <c r="ET5" s="30" t="str">
        <f>IFERROR(__xludf.DUMMYFUNCTION("""COMPUTED_VALUE"""),"")</f>
        <v/>
      </c>
      <c r="EU5" s="30" t="str">
        <f>IFERROR(__xludf.DUMMYFUNCTION("""COMPUTED_VALUE"""),"")</f>
        <v/>
      </c>
      <c r="EV5" s="30" t="str">
        <f>IFERROR(__xludf.DUMMYFUNCTION("""COMPUTED_VALUE"""),"")</f>
        <v/>
      </c>
      <c r="EW5" s="30" t="str">
        <f>IFERROR(__xludf.DUMMYFUNCTION("""COMPUTED_VALUE"""),"")</f>
        <v/>
      </c>
    </row>
    <row r="6" ht="15.75" customHeight="1">
      <c r="A6" s="6"/>
      <c r="B6" s="31" t="s">
        <v>19</v>
      </c>
      <c r="P6" s="31" t="s">
        <v>18</v>
      </c>
      <c r="R6" s="31" t="s">
        <v>17</v>
      </c>
    </row>
    <row r="7" ht="15.75" customHeight="1">
      <c r="A7" s="6"/>
      <c r="B7" s="31" t="s">
        <v>20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31" t="s">
        <v>18</v>
      </c>
      <c r="R7" s="31" t="s">
        <v>17</v>
      </c>
    </row>
    <row r="8" ht="15.75" customHeight="1">
      <c r="A8" s="6"/>
      <c r="B8" s="31" t="s">
        <v>21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31" t="s">
        <v>18</v>
      </c>
      <c r="R8" s="31" t="s">
        <v>17</v>
      </c>
    </row>
    <row r="9" ht="15.75" customHeight="1">
      <c r="A9" s="6"/>
      <c r="B9" s="11" t="s">
        <v>22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31" t="s">
        <v>18</v>
      </c>
      <c r="R9" s="31" t="s">
        <v>17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3.43"/>
    <col customWidth="1" min="2" max="8" width="14.43"/>
    <col customWidth="1" min="9" max="9" width="18.14"/>
    <col customWidth="1" min="10" max="11" width="17.43"/>
    <col customWidth="1" min="12" max="169" width="14.43"/>
  </cols>
  <sheetData>
    <row r="1" ht="15.75" customHeight="1">
      <c r="A1" s="18"/>
      <c r="B1" s="3" t="s">
        <v>11</v>
      </c>
      <c r="C1" s="4"/>
      <c r="D1" s="4"/>
      <c r="E1" s="4"/>
      <c r="F1" s="4"/>
      <c r="G1" s="4"/>
      <c r="H1" s="5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20" t="str">
        <f> VLOOKUP($E$3,'_MasterData'!B4:D1000,3,FALSE)</f>
        <v>#N/A</v>
      </c>
      <c r="K2" s="21"/>
      <c r="L2" s="6"/>
      <c r="M2" s="6"/>
      <c r="N2" s="6"/>
      <c r="O2" s="6"/>
    </row>
    <row r="3" ht="15.75" customHeight="1">
      <c r="A3" s="22"/>
      <c r="B3" s="9" t="s">
        <v>5</v>
      </c>
      <c r="C3" s="23" t="s">
        <v>41</v>
      </c>
      <c r="D3" s="9" t="s">
        <v>7</v>
      </c>
      <c r="E3" s="23" t="s">
        <v>42</v>
      </c>
      <c r="F3" s="9" t="s">
        <v>15</v>
      </c>
      <c r="G3" s="24" t="s">
        <v>16</v>
      </c>
      <c r="H3" s="9"/>
      <c r="I3" s="22"/>
      <c r="J3" s="22"/>
      <c r="K3" s="22"/>
      <c r="L3" s="22"/>
      <c r="M3" s="22"/>
      <c r="N3" s="22"/>
      <c r="O3" s="22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  <c r="AN3" s="25"/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  <c r="BL3" s="25"/>
      <c r="BM3" s="25"/>
      <c r="BN3" s="25"/>
      <c r="BO3" s="25"/>
      <c r="BP3" s="25"/>
      <c r="BQ3" s="25"/>
      <c r="BR3" s="25"/>
      <c r="BS3" s="25"/>
      <c r="BT3" s="25"/>
      <c r="BU3" s="25"/>
      <c r="BV3" s="25"/>
      <c r="BW3" s="25"/>
      <c r="BX3" s="25"/>
      <c r="BY3" s="25"/>
      <c r="BZ3" s="25"/>
      <c r="CA3" s="25"/>
      <c r="CB3" s="25"/>
      <c r="CC3" s="25"/>
      <c r="CD3" s="25"/>
      <c r="CE3" s="25"/>
      <c r="CF3" s="25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W3" s="25"/>
      <c r="CX3" s="25"/>
      <c r="CY3" s="25"/>
      <c r="CZ3" s="25"/>
      <c r="DA3" s="25"/>
      <c r="DB3" s="25"/>
      <c r="DC3" s="25"/>
      <c r="DD3" s="25"/>
      <c r="DE3" s="25"/>
      <c r="DF3" s="25"/>
      <c r="DG3" s="25"/>
      <c r="DH3" s="25"/>
      <c r="DI3" s="25"/>
      <c r="DJ3" s="25"/>
      <c r="DK3" s="25"/>
      <c r="DL3" s="25"/>
      <c r="DM3" s="25"/>
      <c r="DN3" s="25"/>
      <c r="DO3" s="25"/>
      <c r="DP3" s="25"/>
      <c r="DQ3" s="25"/>
      <c r="DR3" s="25"/>
      <c r="DS3" s="25"/>
      <c r="DT3" s="25"/>
      <c r="DU3" s="25"/>
      <c r="DV3" s="25"/>
      <c r="DW3" s="25"/>
      <c r="DX3" s="25"/>
      <c r="DY3" s="25"/>
      <c r="DZ3" s="25"/>
      <c r="EA3" s="25"/>
      <c r="EB3" s="25"/>
      <c r="EC3" s="25"/>
      <c r="ED3" s="25"/>
      <c r="EE3" s="25"/>
      <c r="EF3" s="25"/>
      <c r="EG3" s="25"/>
      <c r="EH3" s="25"/>
      <c r="EI3" s="25"/>
      <c r="EJ3" s="25"/>
      <c r="EK3" s="25"/>
      <c r="EL3" s="25"/>
      <c r="EM3" s="25"/>
      <c r="EN3" s="25"/>
      <c r="EO3" s="25"/>
      <c r="EP3" s="25"/>
      <c r="EQ3" s="25"/>
      <c r="ER3" s="25"/>
      <c r="ES3" s="25"/>
      <c r="ET3" s="25"/>
      <c r="EU3" s="25"/>
      <c r="EV3" s="25"/>
      <c r="EW3" s="25"/>
      <c r="EX3" s="25"/>
      <c r="EY3" s="25"/>
      <c r="EZ3" s="25"/>
      <c r="FA3" s="25"/>
      <c r="FB3" s="25"/>
      <c r="FC3" s="25"/>
      <c r="FD3" s="25"/>
      <c r="FE3" s="25"/>
      <c r="FF3" s="25"/>
      <c r="FG3" s="25"/>
      <c r="FH3" s="25"/>
      <c r="FI3" s="25"/>
      <c r="FJ3" s="25"/>
      <c r="FK3" s="25"/>
      <c r="FL3" s="25"/>
      <c r="FM3" s="25"/>
    </row>
    <row r="4" ht="15.75" customHeight="1">
      <c r="A4" s="26"/>
      <c r="B4" s="26" t="str">
        <f>IFERROR(__xludf.DUMMYFUNCTION("IF(C3="""","""",Transpose(IMPORTRANGE('_Settings'!$B$3,C3&amp;""!A4:A1000"")))"),"CheckDashboardPM")</f>
        <v>CheckDashboardPM</v>
      </c>
      <c r="C4" s="26" t="str">
        <f>IFERROR(__xludf.DUMMYFUNCTION("""COMPUTED_VALUE"""),"CheckPortfolioManagement")</f>
        <v>CheckPortfolioManagement</v>
      </c>
      <c r="D4" s="26" t="str">
        <f>IFERROR(__xludf.DUMMYFUNCTION("""COMPUTED_VALUE"""),"OpenPSTFromPM")</f>
        <v>OpenPSTFromPM</v>
      </c>
      <c r="E4" s="26" t="str">
        <f>IFERROR(__xludf.DUMMYFUNCTION("""COMPUTED_VALUE"""),"ClosePM")</f>
        <v>ClosePM</v>
      </c>
      <c r="F4" s="26" t="str">
        <f>IFERROR(__xludf.DUMMYFUNCTION("""COMPUTED_VALUE"""),"FilterPM")</f>
        <v>FilterPM</v>
      </c>
      <c r="G4" s="26" t="str">
        <f>IFERROR(__xludf.DUMMYFUNCTION("""COMPUTED_VALUE"""),"GroupRowPM")</f>
        <v>GroupRowPM</v>
      </c>
      <c r="H4" s="26" t="str">
        <f>IFERROR(__xludf.DUMMYFUNCTION("""COMPUTED_VALUE"""),"CheckDashboardWithPM")</f>
        <v>CheckDashboardWithPM</v>
      </c>
      <c r="I4" s="26" t="str">
        <f>IFERROR(__xludf.DUMMYFUNCTION("""COMPUTED_VALUE"""),"RemoveFilterPM")</f>
        <v>RemoveFilterPM</v>
      </c>
      <c r="J4" s="26" t="str">
        <f>IFERROR(__xludf.DUMMYFUNCTION("""COMPUTED_VALUE"""),"CheckSummaryRowsPM")</f>
        <v>CheckSummaryRowsPM</v>
      </c>
      <c r="K4" s="26" t="str">
        <f>IFERROR(__xludf.DUMMYFUNCTION("""COMPUTED_VALUE"""),"OpenPTTFromPM")</f>
        <v>OpenPTTFromPM</v>
      </c>
      <c r="L4" s="26" t="str">
        <f>IFERROR(__xludf.DUMMYFUNCTION("""COMPUTED_VALUE"""),"OpenCreateTransactionFromPM")</f>
        <v>OpenCreateTransactionFromPM</v>
      </c>
      <c r="M4" s="26" t="str">
        <f>IFERROR(__xludf.DUMMYFUNCTION("""COMPUTED_VALUE"""),"OpenClosingFromPM")</f>
        <v>OpenClosingFromPM</v>
      </c>
      <c r="N4" s="26" t="str">
        <f>IFERROR(__xludf.DUMMYFUNCTION("""COMPUTED_VALUE"""),"OpenCorporateActionFromPM")</f>
        <v>OpenCorporateActionFromPM</v>
      </c>
      <c r="O4" s="26" t="str">
        <f>IFERROR(__xludf.DUMMYFUNCTION("""COMPUTED_VALUE"""),"OpenDailyValuationFromPM")</f>
        <v>OpenDailyValuationFromPM</v>
      </c>
      <c r="P4" s="27" t="str">
        <f>IFERROR(__xludf.DUMMYFUNCTION("""COMPUTED_VALUE"""),"ClosePositionFromPM")</f>
        <v>ClosePositionFromPM</v>
      </c>
      <c r="Q4" s="27" t="str">
        <f>IFERROR(__xludf.DUMMYFUNCTION("""COMPUTED_VALUE"""),"ShowSummaryToolFromPM")</f>
        <v>ShowSummaryToolFromPM</v>
      </c>
      <c r="R4" s="27" t="str">
        <f>IFERROR(__xludf.DUMMYFUNCTION("""COMPUTED_VALUE"""),"HideSummaryToolFromPM")</f>
        <v>HideSummaryToolFromPM</v>
      </c>
      <c r="S4" s="27" t="str">
        <f>IFERROR(__xludf.DUMMYFUNCTION("""COMPUTED_VALUE"""),"CloseAccountPositionFromPM")</f>
        <v>CloseAccountPositionFromPM</v>
      </c>
      <c r="T4" s="27" t="str">
        <f>IFERROR(__xludf.DUMMYFUNCTION("""COMPUTED_VALUE"""),"CloseSelectedTaxlotsFromPM")</f>
        <v>CloseSelectedTaxlotsFromPM</v>
      </c>
      <c r="U4" s="27" t="str">
        <f>IFERROR(__xludf.DUMMYFUNCTION("""COMPUTED_VALUE"""),"ExpandCollapsePM")</f>
        <v>ExpandCollapsePM</v>
      </c>
      <c r="V4" s="27" t="str">
        <f>IFERROR(__xludf.DUMMYFUNCTION("""COMPUTED_VALUE"""),"AddCustomViewPM")</f>
        <v>AddCustomViewPM</v>
      </c>
      <c r="W4" s="27" t="str">
        <f>IFERROR(__xludf.DUMMYFUNCTION("""COMPUTED_VALUE"""),"AddCustomViewRightClickPM")</f>
        <v>AddCustomViewRightClickPM</v>
      </c>
      <c r="X4" s="27" t="str">
        <f>IFERROR(__xludf.DUMMYFUNCTION("""COMPUTED_VALUE"""),"RenameCustomViewPM")</f>
        <v>RenameCustomViewPM</v>
      </c>
      <c r="Y4" s="27" t="str">
        <f>IFERROR(__xludf.DUMMYFUNCTION("""COMPUTED_VALUE"""),"DeleteCustomViewPM")</f>
        <v>DeleteCustomViewPM</v>
      </c>
      <c r="Z4" s="27" t="str">
        <f>IFERROR(__xludf.DUMMYFUNCTION("""COMPUTED_VALUE"""),"")</f>
        <v/>
      </c>
      <c r="AA4" s="27" t="str">
        <f>IFERROR(__xludf.DUMMYFUNCTION("""COMPUTED_VALUE"""),"")</f>
        <v/>
      </c>
      <c r="AB4" s="27" t="str">
        <f>IFERROR(__xludf.DUMMYFUNCTION("""COMPUTED_VALUE"""),"")</f>
        <v/>
      </c>
      <c r="AC4" s="27" t="str">
        <f>IFERROR(__xludf.DUMMYFUNCTION("""COMPUTED_VALUE"""),"")</f>
        <v/>
      </c>
      <c r="AD4" s="27" t="str">
        <f>IFERROR(__xludf.DUMMYFUNCTION("""COMPUTED_VALUE"""),"")</f>
        <v/>
      </c>
      <c r="AE4" s="27" t="str">
        <f>IFERROR(__xludf.DUMMYFUNCTION("""COMPUTED_VALUE"""),"")</f>
        <v/>
      </c>
      <c r="AF4" s="27" t="str">
        <f>IFERROR(__xludf.DUMMYFUNCTION("""COMPUTED_VALUE"""),"")</f>
        <v/>
      </c>
      <c r="AG4" s="27" t="str">
        <f>IFERROR(__xludf.DUMMYFUNCTION("""COMPUTED_VALUE"""),"")</f>
        <v/>
      </c>
      <c r="AH4" s="27" t="str">
        <f>IFERROR(__xludf.DUMMYFUNCTION("""COMPUTED_VALUE"""),"")</f>
        <v/>
      </c>
      <c r="AI4" s="27" t="str">
        <f>IFERROR(__xludf.DUMMYFUNCTION("""COMPUTED_VALUE"""),"")</f>
        <v/>
      </c>
      <c r="AJ4" s="27" t="str">
        <f>IFERROR(__xludf.DUMMYFUNCTION("""COMPUTED_VALUE"""),"")</f>
        <v/>
      </c>
      <c r="AK4" s="27" t="str">
        <f>IFERROR(__xludf.DUMMYFUNCTION("""COMPUTED_VALUE"""),"")</f>
        <v/>
      </c>
      <c r="AL4" s="27" t="str">
        <f>IFERROR(__xludf.DUMMYFUNCTION("""COMPUTED_VALUE"""),"")</f>
        <v/>
      </c>
      <c r="AM4" s="27" t="str">
        <f>IFERROR(__xludf.DUMMYFUNCTION("""COMPUTED_VALUE"""),"")</f>
        <v/>
      </c>
      <c r="AN4" s="27" t="str">
        <f>IFERROR(__xludf.DUMMYFUNCTION("""COMPUTED_VALUE"""),"")</f>
        <v/>
      </c>
      <c r="AO4" s="27" t="str">
        <f>IFERROR(__xludf.DUMMYFUNCTION("""COMPUTED_VALUE"""),"")</f>
        <v/>
      </c>
      <c r="AP4" s="27" t="str">
        <f>IFERROR(__xludf.DUMMYFUNCTION("""COMPUTED_VALUE"""),"")</f>
        <v/>
      </c>
      <c r="AQ4" s="27" t="str">
        <f>IFERROR(__xludf.DUMMYFUNCTION("""COMPUTED_VALUE"""),"")</f>
        <v/>
      </c>
      <c r="AR4" s="27" t="str">
        <f>IFERROR(__xludf.DUMMYFUNCTION("""COMPUTED_VALUE"""),"")</f>
        <v/>
      </c>
      <c r="AS4" s="27" t="str">
        <f>IFERROR(__xludf.DUMMYFUNCTION("""COMPUTED_VALUE"""),"")</f>
        <v/>
      </c>
      <c r="AT4" s="27" t="str">
        <f>IFERROR(__xludf.DUMMYFUNCTION("""COMPUTED_VALUE"""),"")</f>
        <v/>
      </c>
      <c r="AU4" s="27" t="str">
        <f>IFERROR(__xludf.DUMMYFUNCTION("""COMPUTED_VALUE"""),"")</f>
        <v/>
      </c>
      <c r="AV4" s="27" t="str">
        <f>IFERROR(__xludf.DUMMYFUNCTION("""COMPUTED_VALUE"""),"")</f>
        <v/>
      </c>
      <c r="AW4" s="27" t="str">
        <f>IFERROR(__xludf.DUMMYFUNCTION("""COMPUTED_VALUE"""),"")</f>
        <v/>
      </c>
      <c r="AX4" s="27" t="str">
        <f>IFERROR(__xludf.DUMMYFUNCTION("""COMPUTED_VALUE"""),"")</f>
        <v/>
      </c>
      <c r="AY4" s="27" t="str">
        <f>IFERROR(__xludf.DUMMYFUNCTION("""COMPUTED_VALUE"""),"")</f>
        <v/>
      </c>
      <c r="AZ4" s="27" t="str">
        <f>IFERROR(__xludf.DUMMYFUNCTION("""COMPUTED_VALUE"""),"")</f>
        <v/>
      </c>
      <c r="BA4" s="27" t="str">
        <f>IFERROR(__xludf.DUMMYFUNCTION("""COMPUTED_VALUE"""),"")</f>
        <v/>
      </c>
      <c r="BB4" s="27" t="str">
        <f>IFERROR(__xludf.DUMMYFUNCTION("""COMPUTED_VALUE"""),"")</f>
        <v/>
      </c>
      <c r="BC4" s="27" t="str">
        <f>IFERROR(__xludf.DUMMYFUNCTION("""COMPUTED_VALUE"""),"")</f>
        <v/>
      </c>
      <c r="BD4" s="27" t="str">
        <f>IFERROR(__xludf.DUMMYFUNCTION("""COMPUTED_VALUE"""),"")</f>
        <v/>
      </c>
      <c r="BE4" s="27" t="str">
        <f>IFERROR(__xludf.DUMMYFUNCTION("""COMPUTED_VALUE"""),"")</f>
        <v/>
      </c>
      <c r="BF4" s="27" t="str">
        <f>IFERROR(__xludf.DUMMYFUNCTION("""COMPUTED_VALUE"""),"")</f>
        <v/>
      </c>
      <c r="BG4" s="27" t="str">
        <f>IFERROR(__xludf.DUMMYFUNCTION("""COMPUTED_VALUE"""),"")</f>
        <v/>
      </c>
      <c r="BH4" s="27" t="str">
        <f>IFERROR(__xludf.DUMMYFUNCTION("""COMPUTED_VALUE"""),"")</f>
        <v/>
      </c>
      <c r="BI4" s="27" t="str">
        <f>IFERROR(__xludf.DUMMYFUNCTION("""COMPUTED_VALUE"""),"")</f>
        <v/>
      </c>
      <c r="BJ4" s="27" t="str">
        <f>IFERROR(__xludf.DUMMYFUNCTION("""COMPUTED_VALUE"""),"")</f>
        <v/>
      </c>
      <c r="BK4" s="27" t="str">
        <f>IFERROR(__xludf.DUMMYFUNCTION("""COMPUTED_VALUE"""),"")</f>
        <v/>
      </c>
      <c r="BL4" s="27" t="str">
        <f>IFERROR(__xludf.DUMMYFUNCTION("""COMPUTED_VALUE"""),"")</f>
        <v/>
      </c>
      <c r="BM4" s="27" t="str">
        <f>IFERROR(__xludf.DUMMYFUNCTION("""COMPUTED_VALUE"""),"")</f>
        <v/>
      </c>
      <c r="BN4" s="27" t="str">
        <f>IFERROR(__xludf.DUMMYFUNCTION("""COMPUTED_VALUE"""),"")</f>
        <v/>
      </c>
      <c r="BO4" s="27" t="str">
        <f>IFERROR(__xludf.DUMMYFUNCTION("""COMPUTED_VALUE"""),"")</f>
        <v/>
      </c>
      <c r="BP4" s="27" t="str">
        <f>IFERROR(__xludf.DUMMYFUNCTION("""COMPUTED_VALUE"""),"")</f>
        <v/>
      </c>
      <c r="BQ4" s="27" t="str">
        <f>IFERROR(__xludf.DUMMYFUNCTION("""COMPUTED_VALUE"""),"")</f>
        <v/>
      </c>
      <c r="BR4" s="27" t="str">
        <f>IFERROR(__xludf.DUMMYFUNCTION("""COMPUTED_VALUE"""),"")</f>
        <v/>
      </c>
      <c r="BS4" s="27" t="str">
        <f>IFERROR(__xludf.DUMMYFUNCTION("""COMPUTED_VALUE"""),"")</f>
        <v/>
      </c>
      <c r="BT4" s="27" t="str">
        <f>IFERROR(__xludf.DUMMYFUNCTION("""COMPUTED_VALUE"""),"")</f>
        <v/>
      </c>
      <c r="BU4" s="27" t="str">
        <f>IFERROR(__xludf.DUMMYFUNCTION("""COMPUTED_VALUE"""),"")</f>
        <v/>
      </c>
      <c r="BV4" s="27" t="str">
        <f>IFERROR(__xludf.DUMMYFUNCTION("""COMPUTED_VALUE"""),"")</f>
        <v/>
      </c>
      <c r="BW4" s="27" t="str">
        <f>IFERROR(__xludf.DUMMYFUNCTION("""COMPUTED_VALUE"""),"")</f>
        <v/>
      </c>
      <c r="BX4" s="27" t="str">
        <f>IFERROR(__xludf.DUMMYFUNCTION("""COMPUTED_VALUE"""),"")</f>
        <v/>
      </c>
      <c r="BY4" s="27" t="str">
        <f>IFERROR(__xludf.DUMMYFUNCTION("""COMPUTED_VALUE"""),"")</f>
        <v/>
      </c>
      <c r="BZ4" s="27" t="str">
        <f>IFERROR(__xludf.DUMMYFUNCTION("""COMPUTED_VALUE"""),"")</f>
        <v/>
      </c>
      <c r="CA4" s="27" t="str">
        <f>IFERROR(__xludf.DUMMYFUNCTION("""COMPUTED_VALUE"""),"")</f>
        <v/>
      </c>
      <c r="CB4" s="27" t="str">
        <f>IFERROR(__xludf.DUMMYFUNCTION("""COMPUTED_VALUE"""),"")</f>
        <v/>
      </c>
      <c r="CC4" s="27" t="str">
        <f>IFERROR(__xludf.DUMMYFUNCTION("""COMPUTED_VALUE"""),"")</f>
        <v/>
      </c>
      <c r="CD4" s="27" t="str">
        <f>IFERROR(__xludf.DUMMYFUNCTION("""COMPUTED_VALUE"""),"")</f>
        <v/>
      </c>
      <c r="CE4" s="27" t="str">
        <f>IFERROR(__xludf.DUMMYFUNCTION("""COMPUTED_VALUE"""),"")</f>
        <v/>
      </c>
      <c r="CF4" s="27" t="str">
        <f>IFERROR(__xludf.DUMMYFUNCTION("""COMPUTED_VALUE"""),"")</f>
        <v/>
      </c>
      <c r="CG4" s="27" t="str">
        <f>IFERROR(__xludf.DUMMYFUNCTION("""COMPUTED_VALUE"""),"")</f>
        <v/>
      </c>
      <c r="CH4" s="27" t="str">
        <f>IFERROR(__xludf.DUMMYFUNCTION("""COMPUTED_VALUE"""),"")</f>
        <v/>
      </c>
      <c r="CI4" s="27" t="str">
        <f>IFERROR(__xludf.DUMMYFUNCTION("""COMPUTED_VALUE"""),"")</f>
        <v/>
      </c>
      <c r="CJ4" s="27" t="str">
        <f>IFERROR(__xludf.DUMMYFUNCTION("""COMPUTED_VALUE"""),"")</f>
        <v/>
      </c>
      <c r="CK4" s="27" t="str">
        <f>IFERROR(__xludf.DUMMYFUNCTION("""COMPUTED_VALUE"""),"")</f>
        <v/>
      </c>
      <c r="CL4" s="27" t="str">
        <f>IFERROR(__xludf.DUMMYFUNCTION("""COMPUTED_VALUE"""),"")</f>
        <v/>
      </c>
      <c r="CM4" s="27" t="str">
        <f>IFERROR(__xludf.DUMMYFUNCTION("""COMPUTED_VALUE"""),"")</f>
        <v/>
      </c>
      <c r="CN4" s="27" t="str">
        <f>IFERROR(__xludf.DUMMYFUNCTION("""COMPUTED_VALUE"""),"")</f>
        <v/>
      </c>
      <c r="CO4" s="27" t="str">
        <f>IFERROR(__xludf.DUMMYFUNCTION("""COMPUTED_VALUE"""),"")</f>
        <v/>
      </c>
      <c r="CP4" s="27" t="str">
        <f>IFERROR(__xludf.DUMMYFUNCTION("""COMPUTED_VALUE"""),"")</f>
        <v/>
      </c>
      <c r="CQ4" s="27" t="str">
        <f>IFERROR(__xludf.DUMMYFUNCTION("""COMPUTED_VALUE"""),"")</f>
        <v/>
      </c>
      <c r="CR4" s="27" t="str">
        <f>IFERROR(__xludf.DUMMYFUNCTION("""COMPUTED_VALUE"""),"")</f>
        <v/>
      </c>
      <c r="CS4" s="27" t="str">
        <f>IFERROR(__xludf.DUMMYFUNCTION("""COMPUTED_VALUE"""),"")</f>
        <v/>
      </c>
      <c r="CT4" s="27" t="str">
        <f>IFERROR(__xludf.DUMMYFUNCTION("""COMPUTED_VALUE"""),"")</f>
        <v/>
      </c>
      <c r="CU4" s="27" t="str">
        <f>IFERROR(__xludf.DUMMYFUNCTION("""COMPUTED_VALUE"""),"")</f>
        <v/>
      </c>
      <c r="CV4" s="27" t="str">
        <f>IFERROR(__xludf.DUMMYFUNCTION("""COMPUTED_VALUE"""),"")</f>
        <v/>
      </c>
      <c r="CW4" s="27" t="str">
        <f>IFERROR(__xludf.DUMMYFUNCTION("""COMPUTED_VALUE"""),"")</f>
        <v/>
      </c>
      <c r="CX4" s="27" t="str">
        <f>IFERROR(__xludf.DUMMYFUNCTION("""COMPUTED_VALUE"""),"")</f>
        <v/>
      </c>
      <c r="CY4" s="27" t="str">
        <f>IFERROR(__xludf.DUMMYFUNCTION("""COMPUTED_VALUE"""),"")</f>
        <v/>
      </c>
      <c r="CZ4" s="27" t="str">
        <f>IFERROR(__xludf.DUMMYFUNCTION("""COMPUTED_VALUE"""),"")</f>
        <v/>
      </c>
      <c r="DA4" s="27" t="str">
        <f>IFERROR(__xludf.DUMMYFUNCTION("""COMPUTED_VALUE"""),"")</f>
        <v/>
      </c>
      <c r="DB4" s="27" t="str">
        <f>IFERROR(__xludf.DUMMYFUNCTION("""COMPUTED_VALUE"""),"")</f>
        <v/>
      </c>
      <c r="DC4" s="27" t="str">
        <f>IFERROR(__xludf.DUMMYFUNCTION("""COMPUTED_VALUE"""),"")</f>
        <v/>
      </c>
      <c r="DD4" s="27" t="str">
        <f>IFERROR(__xludf.DUMMYFUNCTION("""COMPUTED_VALUE"""),"")</f>
        <v/>
      </c>
      <c r="DE4" s="27" t="str">
        <f>IFERROR(__xludf.DUMMYFUNCTION("""COMPUTED_VALUE"""),"")</f>
        <v/>
      </c>
      <c r="DF4" s="27" t="str">
        <f>IFERROR(__xludf.DUMMYFUNCTION("""COMPUTED_VALUE"""),"")</f>
        <v/>
      </c>
      <c r="DG4" s="27" t="str">
        <f>IFERROR(__xludf.DUMMYFUNCTION("""COMPUTED_VALUE"""),"")</f>
        <v/>
      </c>
      <c r="DH4" s="27" t="str">
        <f>IFERROR(__xludf.DUMMYFUNCTION("""COMPUTED_VALUE"""),"")</f>
        <v/>
      </c>
      <c r="DI4" s="27" t="str">
        <f>IFERROR(__xludf.DUMMYFUNCTION("""COMPUTED_VALUE"""),"")</f>
        <v/>
      </c>
      <c r="DJ4" s="27" t="str">
        <f>IFERROR(__xludf.DUMMYFUNCTION("""COMPUTED_VALUE"""),"")</f>
        <v/>
      </c>
      <c r="DK4" s="27" t="str">
        <f>IFERROR(__xludf.DUMMYFUNCTION("""COMPUTED_VALUE"""),"")</f>
        <v/>
      </c>
      <c r="DL4" s="27" t="str">
        <f>IFERROR(__xludf.DUMMYFUNCTION("""COMPUTED_VALUE"""),"")</f>
        <v/>
      </c>
      <c r="DM4" s="27" t="str">
        <f>IFERROR(__xludf.DUMMYFUNCTION("""COMPUTED_VALUE"""),"")</f>
        <v/>
      </c>
      <c r="DN4" s="27" t="str">
        <f>IFERROR(__xludf.DUMMYFUNCTION("""COMPUTED_VALUE"""),"")</f>
        <v/>
      </c>
      <c r="DO4" s="27" t="str">
        <f>IFERROR(__xludf.DUMMYFUNCTION("""COMPUTED_VALUE"""),"")</f>
        <v/>
      </c>
      <c r="DP4" s="27" t="str">
        <f>IFERROR(__xludf.DUMMYFUNCTION("""COMPUTED_VALUE"""),"")</f>
        <v/>
      </c>
      <c r="DQ4" s="27" t="str">
        <f>IFERROR(__xludf.DUMMYFUNCTION("""COMPUTED_VALUE"""),"")</f>
        <v/>
      </c>
      <c r="DR4" s="27" t="str">
        <f>IFERROR(__xludf.DUMMYFUNCTION("""COMPUTED_VALUE"""),"")</f>
        <v/>
      </c>
      <c r="DS4" s="27" t="str">
        <f>IFERROR(__xludf.DUMMYFUNCTION("""COMPUTED_VALUE"""),"")</f>
        <v/>
      </c>
      <c r="DT4" s="27" t="str">
        <f>IFERROR(__xludf.DUMMYFUNCTION("""COMPUTED_VALUE"""),"")</f>
        <v/>
      </c>
      <c r="DU4" s="27" t="str">
        <f>IFERROR(__xludf.DUMMYFUNCTION("""COMPUTED_VALUE"""),"")</f>
        <v/>
      </c>
      <c r="DV4" s="27" t="str">
        <f>IFERROR(__xludf.DUMMYFUNCTION("""COMPUTED_VALUE"""),"")</f>
        <v/>
      </c>
      <c r="DW4" s="27" t="str">
        <f>IFERROR(__xludf.DUMMYFUNCTION("""COMPUTED_VALUE"""),"")</f>
        <v/>
      </c>
      <c r="DX4" s="27" t="str">
        <f>IFERROR(__xludf.DUMMYFUNCTION("""COMPUTED_VALUE"""),"")</f>
        <v/>
      </c>
      <c r="DY4" s="27" t="str">
        <f>IFERROR(__xludf.DUMMYFUNCTION("""COMPUTED_VALUE"""),"")</f>
        <v/>
      </c>
      <c r="DZ4" s="27" t="str">
        <f>IFERROR(__xludf.DUMMYFUNCTION("""COMPUTED_VALUE"""),"")</f>
        <v/>
      </c>
      <c r="EA4" s="27" t="str">
        <f>IFERROR(__xludf.DUMMYFUNCTION("""COMPUTED_VALUE"""),"")</f>
        <v/>
      </c>
      <c r="EB4" s="27" t="str">
        <f>IFERROR(__xludf.DUMMYFUNCTION("""COMPUTED_VALUE"""),"")</f>
        <v/>
      </c>
      <c r="EC4" s="27" t="str">
        <f>IFERROR(__xludf.DUMMYFUNCTION("""COMPUTED_VALUE"""),"")</f>
        <v/>
      </c>
      <c r="ED4" s="27" t="str">
        <f>IFERROR(__xludf.DUMMYFUNCTION("""COMPUTED_VALUE"""),"")</f>
        <v/>
      </c>
      <c r="EE4" s="27" t="str">
        <f>IFERROR(__xludf.DUMMYFUNCTION("""COMPUTED_VALUE"""),"")</f>
        <v/>
      </c>
      <c r="EF4" s="27" t="str">
        <f>IFERROR(__xludf.DUMMYFUNCTION("""COMPUTED_VALUE"""),"")</f>
        <v/>
      </c>
      <c r="EG4" s="27" t="str">
        <f>IFERROR(__xludf.DUMMYFUNCTION("""COMPUTED_VALUE"""),"")</f>
        <v/>
      </c>
      <c r="EH4" s="27" t="str">
        <f>IFERROR(__xludf.DUMMYFUNCTION("""COMPUTED_VALUE"""),"")</f>
        <v/>
      </c>
      <c r="EI4" s="27" t="str">
        <f>IFERROR(__xludf.DUMMYFUNCTION("""COMPUTED_VALUE"""),"")</f>
        <v/>
      </c>
      <c r="EJ4" s="27" t="str">
        <f>IFERROR(__xludf.DUMMYFUNCTION("""COMPUTED_VALUE"""),"")</f>
        <v/>
      </c>
      <c r="EK4" s="27" t="str">
        <f>IFERROR(__xludf.DUMMYFUNCTION("""COMPUTED_VALUE"""),"")</f>
        <v/>
      </c>
      <c r="EL4" s="27" t="str">
        <f>IFERROR(__xludf.DUMMYFUNCTION("""COMPUTED_VALUE"""),"")</f>
        <v/>
      </c>
      <c r="EM4" s="27" t="str">
        <f>IFERROR(__xludf.DUMMYFUNCTION("""COMPUTED_VALUE"""),"")</f>
        <v/>
      </c>
      <c r="EN4" s="27" t="str">
        <f>IFERROR(__xludf.DUMMYFUNCTION("""COMPUTED_VALUE"""),"")</f>
        <v/>
      </c>
      <c r="EO4" s="27" t="str">
        <f>IFERROR(__xludf.DUMMYFUNCTION("""COMPUTED_VALUE"""),"")</f>
        <v/>
      </c>
      <c r="EP4" s="27" t="str">
        <f>IFERROR(__xludf.DUMMYFUNCTION("""COMPUTED_VALUE"""),"")</f>
        <v/>
      </c>
      <c r="EQ4" s="27" t="str">
        <f>IFERROR(__xludf.DUMMYFUNCTION("""COMPUTED_VALUE"""),"")</f>
        <v/>
      </c>
      <c r="ER4" s="27" t="str">
        <f>IFERROR(__xludf.DUMMYFUNCTION("""COMPUTED_VALUE"""),"")</f>
        <v/>
      </c>
      <c r="ES4" s="27" t="str">
        <f>IFERROR(__xludf.DUMMYFUNCTION("""COMPUTED_VALUE"""),"")</f>
        <v/>
      </c>
      <c r="ET4" s="27" t="str">
        <f>IFERROR(__xludf.DUMMYFUNCTION("""COMPUTED_VALUE"""),"")</f>
        <v/>
      </c>
      <c r="EU4" s="27" t="str">
        <f>IFERROR(__xludf.DUMMYFUNCTION("""COMPUTED_VALUE"""),"")</f>
        <v/>
      </c>
      <c r="EV4" s="27" t="str">
        <f>IFERROR(__xludf.DUMMYFUNCTION("""COMPUTED_VALUE"""),"")</f>
        <v/>
      </c>
      <c r="EW4" s="27" t="str">
        <f>IFERROR(__xludf.DUMMYFUNCTION("""COMPUTED_VALUE"""),"")</f>
        <v/>
      </c>
      <c r="EX4" s="27" t="str">
        <f>IFERROR(__xludf.DUMMYFUNCTION("""COMPUTED_VALUE"""),"")</f>
        <v/>
      </c>
      <c r="EY4" s="27" t="str">
        <f>IFERROR(__xludf.DUMMYFUNCTION("""COMPUTED_VALUE"""),"")</f>
        <v/>
      </c>
      <c r="EZ4" s="27" t="str">
        <f>IFERROR(__xludf.DUMMYFUNCTION("""COMPUTED_VALUE"""),"")</f>
        <v/>
      </c>
      <c r="FA4" s="27" t="str">
        <f>IFERROR(__xludf.DUMMYFUNCTION("""COMPUTED_VALUE"""),"")</f>
        <v/>
      </c>
      <c r="FB4" s="27" t="str">
        <f>IFERROR(__xludf.DUMMYFUNCTION("""COMPUTED_VALUE"""),"")</f>
        <v/>
      </c>
      <c r="FC4" s="27" t="str">
        <f>IFERROR(__xludf.DUMMYFUNCTION("""COMPUTED_VALUE"""),"")</f>
        <v/>
      </c>
      <c r="FD4" s="27" t="str">
        <f>IFERROR(__xludf.DUMMYFUNCTION("""COMPUTED_VALUE"""),"")</f>
        <v/>
      </c>
      <c r="FE4" s="27" t="str">
        <f>IFERROR(__xludf.DUMMYFUNCTION("""COMPUTED_VALUE"""),"")</f>
        <v/>
      </c>
      <c r="FF4" s="27" t="str">
        <f>IFERROR(__xludf.DUMMYFUNCTION("""COMPUTED_VALUE"""),"")</f>
        <v/>
      </c>
      <c r="FG4" s="27" t="str">
        <f>IFERROR(__xludf.DUMMYFUNCTION("""COMPUTED_VALUE"""),"")</f>
        <v/>
      </c>
      <c r="FH4" s="27" t="str">
        <f>IFERROR(__xludf.DUMMYFUNCTION("""COMPUTED_VALUE"""),"")</f>
        <v/>
      </c>
      <c r="FI4" s="27" t="str">
        <f>IFERROR(__xludf.DUMMYFUNCTION("""COMPUTED_VALUE"""),"")</f>
        <v/>
      </c>
      <c r="FJ4" s="27" t="str">
        <f>IFERROR(__xludf.DUMMYFUNCTION("""COMPUTED_VALUE"""),"")</f>
        <v/>
      </c>
      <c r="FK4" s="27" t="str">
        <f>IFERROR(__xludf.DUMMYFUNCTION("""COMPUTED_VALUE"""),"")</f>
        <v/>
      </c>
      <c r="FL4" s="27" t="str">
        <f>IFERROR(__xludf.DUMMYFUNCTION("""COMPUTED_VALUE"""),"")</f>
        <v/>
      </c>
      <c r="FM4" s="27" t="str">
        <f>IFERROR(__xludf.DUMMYFUNCTION("""COMPUTED_VALUE"""),"")</f>
        <v/>
      </c>
    </row>
    <row r="5" ht="15.75" customHeight="1">
      <c r="A5" s="28" t="str">
        <f>IFERROR(__xludf.DUMMYFUNCTION("TRANSPOSE(IMPORTRANGE(VLOOKUP($E$3,IMPORTRANGE('_Settings'!$B$3,$C$3&amp;""!A4:B1000""),2,FALSE),$G$3&amp;""!A4:A1000""))"),"")</f>
        <v/>
      </c>
      <c r="B5" s="29" t="str">
        <f>IFERROR(__xludf.DUMMYFUNCTION("""COMPUTED_VALUE"""),"Trade Date")</f>
        <v>Trade Date</v>
      </c>
      <c r="C5" s="29" t="str">
        <f>IFERROR(__xludf.DUMMYFUNCTION("""COMPUTED_VALUE"""),"Symbol")</f>
        <v>Symbol</v>
      </c>
      <c r="D5" s="29" t="str">
        <f>IFERROR(__xludf.DUMMYFUNCTION("""COMPUTED_VALUE"""),"Position")</f>
        <v>Position</v>
      </c>
      <c r="E5" s="29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9" t="str">
        <f>IFERROR(__xludf.DUMMYFUNCTION("""COMPUTED_VALUE"""),"Cost Basis")</f>
        <v>Cost Basis</v>
      </c>
      <c r="H5" s="29" t="str">
        <f>IFERROR(__xludf.DUMMYFUNCTION("""COMPUTED_VALUE"""),"Position Side")</f>
        <v>Position Side</v>
      </c>
      <c r="I5" s="29" t="str">
        <f>IFERROR(__xludf.DUMMYFUNCTION("""COMPUTED_VALUE"""),"Market Value (Base)")</f>
        <v>Market Value (Base)</v>
      </c>
      <c r="J5" s="29" t="str">
        <f>IFERROR(__xludf.DUMMYFUNCTION("""COMPUTED_VALUE"""),"% Day P&amp;L (Gross MV)")</f>
        <v>% Day P&amp;L (Gross MV)</v>
      </c>
      <c r="K5" s="29" t="str">
        <f>IFERROR(__xludf.DUMMYFUNCTION("""COMPUTED_VALUE"""),"Net Exposure (Base)")</f>
        <v>Net Exposure (Base)</v>
      </c>
      <c r="L5" s="29" t="str">
        <f>IFERROR(__xludf.DUMMYFUNCTION("""COMPUTED_VALUE"""),"Beta Adj. Gross Exposure (Base)")</f>
        <v>Beta Adj. Gross Exposure (Base)</v>
      </c>
      <c r="M5" s="29" t="str">
        <f>IFERROR(__xludf.DUMMYFUNCTION("""COMPUTED_VALUE"""),"Beta Adj. Gross Exposure (Underlying) (Base)")</f>
        <v>Beta Adj. Gross Exposure (Underlying) (Base)</v>
      </c>
      <c r="N5" s="29" t="str">
        <f>IFERROR(__xludf.DUMMYFUNCTION("""COMPUTED_VALUE"""),"Day P&amp;L (Base)")</f>
        <v>Day P&amp;L (Base)</v>
      </c>
      <c r="O5" s="29" t="str">
        <f>IFERROR(__xludf.DUMMYFUNCTION("""COMPUTED_VALUE"""),"Security Name")</f>
        <v>Security Name</v>
      </c>
      <c r="P5" s="29" t="str">
        <f>IFERROR(__xludf.DUMMYFUNCTION("""COMPUTED_VALUE"""),"Closing Mark")</f>
        <v>Closing Mark</v>
      </c>
      <c r="Q5" s="29" t="str">
        <f>IFERROR(__xludf.DUMMYFUNCTION("""COMPUTED_VALUE"""),"Cost Basis P&amp;L (Base)")</f>
        <v>Cost Basis P&amp;L (Base)</v>
      </c>
      <c r="R5" s="29" t="str">
        <f>IFERROR(__xludf.DUMMYFUNCTION("""COMPUTED_VALUE"""),"Prime Broker")</f>
        <v>Prime Broker</v>
      </c>
      <c r="S5" s="29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Outstanding")</f>
        <v>Shares Outstanding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IFERROR(__xludf.DUMMYFUNCTION("""COMPUTED_VALUE"""),"")</f>
        <v/>
      </c>
      <c r="FB5" s="30" t="str">
        <f>IFERROR(__xludf.DUMMYFUNCTION("""COMPUTED_VALUE"""),"")</f>
        <v/>
      </c>
      <c r="FC5" s="30" t="str">
        <f>IFERROR(__xludf.DUMMYFUNCTION("""COMPUTED_VALUE"""),"")</f>
        <v/>
      </c>
      <c r="FD5" s="30" t="str">
        <f>IFERROR(__xludf.DUMMYFUNCTION("""COMPUTED_VALUE"""),"")</f>
        <v/>
      </c>
      <c r="FE5" s="30" t="str">
        <f>IFERROR(__xludf.DUMMYFUNCTION("""COMPUTED_VALUE"""),"")</f>
        <v/>
      </c>
      <c r="FF5" s="30" t="str">
        <f>IFERROR(__xludf.DUMMYFUNCTION("""COMPUTED_VALUE"""),"")</f>
        <v/>
      </c>
      <c r="FG5" s="30" t="str">
        <f>IFERROR(__xludf.DUMMYFUNCTION("""COMPUTED_VALUE"""),"")</f>
        <v/>
      </c>
      <c r="FH5" s="30" t="str">
        <f>IFERROR(__xludf.DUMMYFUNCTION("""COMPUTED_VALUE"""),"")</f>
        <v/>
      </c>
      <c r="FI5" s="30" t="str">
        <f>IFERROR(__xludf.DUMMYFUNCTION("""COMPUTED_VALUE"""),"")</f>
        <v/>
      </c>
      <c r="FJ5" s="30" t="str">
        <f>IFERROR(__xludf.DUMMYFUNCTION("""COMPUTED_VALUE"""),"")</f>
        <v/>
      </c>
      <c r="FK5" s="30" t="str">
        <f>IFERROR(__xludf.DUMMYFUNCTION("""COMPUTED_VALUE"""),"")</f>
        <v/>
      </c>
      <c r="FL5" s="30" t="str">
        <f>IFERROR(__xludf.DUMMYFUNCTION("""COMPUTED_VALUE"""),"")</f>
        <v/>
      </c>
      <c r="FM5" s="30" t="str">
        <f>IFERROR(__xludf.DUMMYFUNCTION("""COMPUTED_VALUE"""),"")</f>
        <v/>
      </c>
    </row>
    <row r="6" ht="15.75" customHeight="1">
      <c r="A6" s="6"/>
      <c r="C6" s="31" t="s">
        <v>17</v>
      </c>
      <c r="E6" s="31" t="s">
        <v>19</v>
      </c>
      <c r="AN6" s="31" t="s">
        <v>18</v>
      </c>
    </row>
    <row r="7" ht="15.75" customHeight="1">
      <c r="A7" s="6"/>
      <c r="B7" s="6"/>
      <c r="C7" s="31" t="s">
        <v>17</v>
      </c>
      <c r="D7" s="6"/>
      <c r="E7" s="31" t="s">
        <v>20</v>
      </c>
      <c r="F7" s="6"/>
      <c r="G7" s="6"/>
      <c r="H7" s="6"/>
      <c r="I7" s="6"/>
      <c r="J7" s="6"/>
      <c r="K7" s="6"/>
      <c r="L7" s="6"/>
      <c r="M7" s="6"/>
      <c r="N7" s="6"/>
      <c r="O7" s="6"/>
      <c r="AN7" s="31" t="s">
        <v>18</v>
      </c>
    </row>
    <row r="8" ht="15.75" customHeight="1">
      <c r="A8" s="6"/>
      <c r="B8" s="6"/>
      <c r="C8" s="31" t="s">
        <v>17</v>
      </c>
      <c r="D8" s="6"/>
      <c r="E8" s="31" t="s">
        <v>21</v>
      </c>
      <c r="F8" s="6"/>
      <c r="G8" s="6"/>
      <c r="H8" s="6"/>
      <c r="I8" s="6"/>
      <c r="J8" s="6"/>
      <c r="K8" s="6"/>
      <c r="L8" s="6"/>
      <c r="M8" s="6"/>
      <c r="N8" s="6"/>
      <c r="O8" s="6"/>
      <c r="AN8" s="31" t="s">
        <v>18</v>
      </c>
    </row>
    <row r="9" ht="15.75" customHeight="1">
      <c r="A9" s="6"/>
      <c r="B9" s="6"/>
      <c r="C9" s="31" t="s">
        <v>17</v>
      </c>
      <c r="D9" s="6"/>
      <c r="E9" s="11" t="s">
        <v>22</v>
      </c>
      <c r="F9" s="6"/>
      <c r="G9" s="6"/>
      <c r="H9" s="6"/>
      <c r="I9" s="6"/>
      <c r="J9" s="6"/>
      <c r="K9" s="6"/>
      <c r="L9" s="6"/>
      <c r="M9" s="6"/>
      <c r="N9" s="6"/>
      <c r="O9" s="6"/>
      <c r="AN9" s="31" t="s">
        <v>18</v>
      </c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