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EditOrder" sheetId="7" r:id="rId9"/>
    <sheet state="visible" name="CreateReplaceOrder" sheetId="8" r:id="rId10"/>
    <sheet state="visible" name="SelectTradeOnOrderGrid" sheetId="9" r:id="rId11"/>
    <sheet state="visible" name="LoginClient" sheetId="10" r:id="rId12"/>
    <sheet state="visible" name="ApproveorRejectpendingapproval" sheetId="11" r:id="rId13"/>
    <sheet state="visible" name="LoginClient1" sheetId="12" r:id="rId14"/>
    <sheet state="visible" name="AcknowledgeTrade" sheetId="13" r:id="rId15"/>
    <sheet state="visible" name="SelectTrade" sheetId="14" r:id="rId16"/>
    <sheet state="visible" name="AddTabBlotter" sheetId="15" r:id="rId17"/>
    <sheet state="visible" name="ExecuteTrade" sheetId="16" r:id="rId18"/>
    <sheet state="visible" name="CreateReplaceOrder1" sheetId="17" r:id="rId19"/>
    <sheet state="visible" name="VerifySubOrder" sheetId="18" r:id="rId20"/>
    <sheet state="visible" name="VerifySubOrder1" sheetId="19" r:id="rId21"/>
    <sheet state="visible" name="SelectCheckBoxOnCustomTab" sheetId="20" r:id="rId22"/>
    <sheet state="visible" name="CancelWorkingSubs" sheetId="21" r:id="rId23"/>
  </sheets>
  <definedNames/>
  <calcPr/>
</workbook>
</file>

<file path=xl/sharedStrings.xml><?xml version="1.0" encoding="utf-8"?>
<sst xmlns="http://schemas.openxmlformats.org/spreadsheetml/2006/main" count="487" uniqueCount="71">
  <si>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</si>
  <si>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</si>
  <si>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</si>
  <si>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</si>
  <si>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</si>
  <si>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</si>
  <si>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</si>
  <si>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</si>
  <si>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</si>
  <si>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</si>
  <si>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</si>
  <si>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</si>
  <si>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</si>
  <si>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</si>
  <si>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</si>
  <si>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</si>
  <si>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</si>
  <si>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</si>
  <si>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TradingTicket</t>
  </si>
  <si>
    <t>CreateComplianceOrder</t>
  </si>
  <si>
    <t>IBM</t>
  </si>
  <si>
    <t>Buy</t>
  </si>
  <si>
    <t>Allocation1</t>
  </si>
  <si>
    <t>Send</t>
  </si>
  <si>
    <t>VerifyComplianceOrder</t>
  </si>
  <si>
    <t>Requires Approval</t>
  </si>
  <si>
    <t>Enter Summary</t>
  </si>
  <si>
    <t>quantity: 1,000.00, Symbol: IBM</t>
  </si>
  <si>
    <t>Compliance Officer - Please Approve</t>
  </si>
  <si>
    <t>Yes</t>
  </si>
  <si>
    <t>Blotter</t>
  </si>
  <si>
    <t>EditOrder</t>
  </si>
  <si>
    <t>CreateReplaceOrder</t>
  </si>
  <si>
    <t>SelectTradeOnOrderGrid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</si>
  <si>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</si>
  <si>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</si>
  <si>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</si>
  <si>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</si>
  <si>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</si>
  <si>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</si>
  <si>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</si>
  <si>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</si>
  <si>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Buy 1,000 IBM @2, Notional USD 2,000</t>
  </si>
  <si>
    <t>DefaultNotes</t>
  </si>
  <si>
    <t>jpearce</t>
  </si>
  <si>
    <t>MS</t>
  </si>
  <si>
    <t>Pending Approval</t>
  </si>
  <si>
    <t>Approve</t>
  </si>
  <si>
    <t>Support1</t>
  </si>
  <si>
    <t>Simulator</t>
  </si>
  <si>
    <t>AcknowledgeTrade</t>
  </si>
  <si>
    <t>SelectTrade</t>
  </si>
  <si>
    <t>AddTabBlotter</t>
  </si>
  <si>
    <t>ABC</t>
  </si>
  <si>
    <t>Add Tab(Working)</t>
  </si>
  <si>
    <t>ExecuteTrade</t>
  </si>
  <si>
    <t>VerifySubOrder</t>
  </si>
  <si>
    <t/>
  </si>
  <si>
    <t>NASDAQ</t>
  </si>
  <si>
    <t>US</t>
  </si>
  <si>
    <t>USD</t>
  </si>
  <si>
    <t>NONE</t>
  </si>
  <si>
    <t>NewMF</t>
  </si>
  <si>
    <t>M</t>
  </si>
  <si>
    <t>Equity</t>
  </si>
  <si>
    <t>Cancelled</t>
  </si>
  <si>
    <t>Market</t>
  </si>
  <si>
    <t>Manual</t>
  </si>
  <si>
    <t>PendingCancel</t>
  </si>
  <si>
    <t>SelectCheckBoxOnCustomTab</t>
  </si>
  <si>
    <t>CancelWorkingSubs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</si>
</sst>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FFFF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6" fontId="14" numFmtId="0" xfId="0" applyAlignment="1" applyBorder="1" applyFill="1" applyFont="1">
      <alignment vertical="top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6" fontId="14" numFmtId="0" xfId="0" applyAlignment="1" applyBorder="1" applyFont="1">
      <alignment horizontal="left" readingOrder="0" shrinkToFit="0" vertical="top" wrapText="0"/>
    </xf>
    <xf borderId="5" fillId="6" fontId="16" numFmtId="0" xfId="0" applyAlignment="1" applyBorder="1" applyFont="1">
      <alignment horizontal="left" readingOrder="0" shrinkToFit="0" vertical="top" wrapText="0"/>
    </xf>
    <xf borderId="7" fillId="8" fontId="14" numFmtId="0" xfId="0" applyAlignment="1" applyBorder="1" applyFill="1" applyFont="1">
      <alignment horizontal="right" readingOrder="0" vertical="top"/>
    </xf>
    <xf borderId="7" fillId="8" fontId="14" numFmtId="0" xfId="0" applyAlignment="1" applyBorder="1" applyFont="1">
      <alignment horizontal="right" vertical="top"/>
    </xf>
    <xf borderId="7" fillId="8" fontId="17" numFmtId="0" xfId="0" applyAlignment="1" applyBorder="1" applyFont="1">
      <alignment horizontal="right" readingOrder="0" vertical="top"/>
    </xf>
    <xf borderId="7" fillId="6" fontId="14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20</v>
      </c>
      <c r="C6" s="37" t="s">
        <v>21</v>
      </c>
      <c r="D6" s="38">
        <v>1000.0</v>
      </c>
      <c r="E6" s="39"/>
      <c r="F6" s="37" t="s">
        <v>22</v>
      </c>
      <c r="G6" s="39"/>
      <c r="H6" s="39"/>
      <c r="I6" s="39"/>
      <c r="J6" s="40">
        <v>2.0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1" t="s">
        <v>23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25</v>
      </c>
      <c r="C6" s="43" t="s">
        <v>16</v>
      </c>
      <c r="D6" s="43" t="s">
        <v>26</v>
      </c>
      <c r="E6" s="44" t="s">
        <v>20</v>
      </c>
      <c r="F6" s="43">
        <v>100.0</v>
      </c>
      <c r="G6" s="43">
        <v>1000.0</v>
      </c>
      <c r="H6" s="44" t="s">
        <v>27</v>
      </c>
      <c r="I6" s="43" t="s">
        <v>28</v>
      </c>
      <c r="J6" s="8"/>
      <c r="K6" s="13" t="s">
        <v>29</v>
      </c>
      <c r="L6" s="8"/>
      <c r="M6" s="13" t="s">
        <v>23</v>
      </c>
      <c r="N6" s="13" t="b">
        <v>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1002.0</v>
      </c>
      <c r="E6" s="34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4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37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20</v>
      </c>
      <c r="D6" s="45" t="s">
        <v>40</v>
      </c>
      <c r="E6" s="45" t="s">
        <v>41</v>
      </c>
      <c r="F6" s="45" t="s">
        <v>42</v>
      </c>
      <c r="G6" s="45" t="s">
        <v>43</v>
      </c>
      <c r="H6" s="46"/>
      <c r="I6" s="45" t="s">
        <v>44</v>
      </c>
      <c r="J6" s="45">
        <v>2.0</v>
      </c>
      <c r="K6" s="45"/>
      <c r="L6" s="45">
        <v>1000.0</v>
      </c>
      <c r="M6" s="45" t="s">
        <v>45</v>
      </c>
      <c r="N6" s="47" t="s">
        <v>46</v>
      </c>
      <c r="O6" s="45" t="s">
        <v>21</v>
      </c>
      <c r="P6" s="48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37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53</v>
      </c>
      <c r="C6" s="49" t="s">
        <v>54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1009.0</v>
      </c>
      <c r="E6" s="34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50" t="s">
        <v>57</v>
      </c>
      <c r="B6" s="50"/>
      <c r="C6" s="8" t="s">
        <v>57</v>
      </c>
      <c r="D6" s="50">
        <v>2.0</v>
      </c>
      <c r="E6" s="8" t="s">
        <v>57</v>
      </c>
      <c r="F6" s="8" t="s">
        <v>57</v>
      </c>
      <c r="G6" s="8"/>
      <c r="H6" s="8" t="s">
        <v>58</v>
      </c>
      <c r="I6" s="8" t="s">
        <v>44</v>
      </c>
      <c r="J6" s="8"/>
      <c r="K6" s="8" t="s">
        <v>59</v>
      </c>
      <c r="L6" s="8" t="s">
        <v>41</v>
      </c>
      <c r="M6" s="8"/>
      <c r="N6" s="8"/>
      <c r="O6" s="8"/>
      <c r="T6" t="s">
        <v>57</v>
      </c>
      <c r="U6" t="s">
        <v>60</v>
      </c>
      <c r="V6" t="s">
        <v>61</v>
      </c>
      <c r="X6" t="s">
        <v>57</v>
      </c>
      <c r="Y6" t="s">
        <v>57</v>
      </c>
      <c r="Z6" t="s">
        <v>57</v>
      </c>
      <c r="AA6" t="s">
        <v>62</v>
      </c>
      <c r="AB6" t="s">
        <v>57</v>
      </c>
      <c r="AD6">
        <v>1.0</v>
      </c>
      <c r="AE6" t="s">
        <v>57</v>
      </c>
      <c r="AF6" t="s">
        <v>63</v>
      </c>
      <c r="AH6" t="s">
        <v>64</v>
      </c>
      <c r="AI6" s="51" t="s">
        <v>20</v>
      </c>
      <c r="AJ6" s="51" t="s">
        <v>21</v>
      </c>
      <c r="AK6" s="51" t="s">
        <v>65</v>
      </c>
      <c r="AL6">
        <v>1000.0</v>
      </c>
      <c r="AM6">
        <v>100.0</v>
      </c>
      <c r="AN6">
        <v>100.0</v>
      </c>
      <c r="AQ6" t="s">
        <v>45</v>
      </c>
      <c r="AR6" t="s">
        <v>22</v>
      </c>
      <c r="AS6" t="s">
        <v>66</v>
      </c>
      <c r="AT6">
        <v>200.0</v>
      </c>
      <c r="AU6">
        <v>200.0</v>
      </c>
      <c r="AV6" t="s">
        <v>67</v>
      </c>
      <c r="AW6" t="s">
        <v>57</v>
      </c>
      <c r="AX6" t="s">
        <v>57</v>
      </c>
      <c r="AY6" t="s">
        <v>57</v>
      </c>
      <c r="AZ6" t="s">
        <v>44</v>
      </c>
      <c r="BA6">
        <v>100.0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G6" t="s">
        <v>57</v>
      </c>
      <c r="BH6" t="s">
        <v>57</v>
      </c>
      <c r="BI6" t="s">
        <v>57</v>
      </c>
      <c r="BJ6" t="s">
        <v>57</v>
      </c>
      <c r="BK6" t="s">
        <v>57</v>
      </c>
      <c r="BL6" t="s">
        <v>57</v>
      </c>
      <c r="BM6" t="s">
        <v>57</v>
      </c>
      <c r="BN6" t="s">
        <v>57</v>
      </c>
      <c r="BO6" t="s">
        <v>57</v>
      </c>
      <c r="BP6" t="s">
        <v>57</v>
      </c>
      <c r="BQ6" t="s">
        <v>57</v>
      </c>
      <c r="BR6" t="s">
        <v>57</v>
      </c>
      <c r="BS6" t="s">
        <v>57</v>
      </c>
      <c r="BT6" t="s">
        <v>57</v>
      </c>
      <c r="BU6" t="s">
        <v>57</v>
      </c>
      <c r="BV6" t="s">
        <v>57</v>
      </c>
      <c r="BW6" t="s">
        <v>57</v>
      </c>
      <c r="BX6" t="s">
        <v>57</v>
      </c>
      <c r="BY6" t="s">
        <v>57</v>
      </c>
      <c r="BZ6" t="s">
        <v>57</v>
      </c>
      <c r="CA6" t="s">
        <v>57</v>
      </c>
      <c r="CB6" t="s">
        <v>57</v>
      </c>
      <c r="CC6" t="s">
        <v>57</v>
      </c>
      <c r="CD6" t="s">
        <v>57</v>
      </c>
      <c r="CE6" t="s">
        <v>57</v>
      </c>
      <c r="CF6" t="s">
        <v>57</v>
      </c>
      <c r="CG6" t="s">
        <v>57</v>
      </c>
      <c r="CH6" t="s">
        <v>57</v>
      </c>
      <c r="CI6" t="s">
        <v>57</v>
      </c>
      <c r="CJ6" t="s">
        <v>57</v>
      </c>
      <c r="CK6" t="s">
        <v>57</v>
      </c>
      <c r="CL6" t="s">
        <v>57</v>
      </c>
      <c r="CM6" t="s">
        <v>57</v>
      </c>
      <c r="CN6" t="s">
        <v>57</v>
      </c>
      <c r="CO6" t="s">
        <v>57</v>
      </c>
      <c r="CP6" t="s">
        <v>57</v>
      </c>
      <c r="CQ6" t="s">
        <v>57</v>
      </c>
      <c r="CR6" t="s">
        <v>57</v>
      </c>
      <c r="CS6" t="s">
        <v>57</v>
      </c>
      <c r="CT6" t="s">
        <v>57</v>
      </c>
      <c r="CU6" t="s">
        <v>57</v>
      </c>
      <c r="CV6" t="s">
        <v>57</v>
      </c>
      <c r="CW6" t="s">
        <v>57</v>
      </c>
      <c r="CX6" t="s">
        <v>57</v>
      </c>
      <c r="CY6" t="s">
        <v>57</v>
      </c>
      <c r="CZ6" t="s">
        <v>57</v>
      </c>
      <c r="DA6" t="s">
        <v>57</v>
      </c>
      <c r="DB6" t="s">
        <v>57</v>
      </c>
      <c r="DC6" t="s">
        <v>57</v>
      </c>
      <c r="DD6" t="s">
        <v>57</v>
      </c>
      <c r="DE6" t="s">
        <v>57</v>
      </c>
      <c r="DF6" t="s">
        <v>57</v>
      </c>
      <c r="DG6" t="s">
        <v>57</v>
      </c>
      <c r="DH6" t="s">
        <v>57</v>
      </c>
      <c r="DI6" t="s">
        <v>57</v>
      </c>
      <c r="DJ6" t="s">
        <v>57</v>
      </c>
      <c r="DK6" t="s">
        <v>57</v>
      </c>
      <c r="DL6" t="s">
        <v>57</v>
      </c>
      <c r="DM6" t="s">
        <v>57</v>
      </c>
      <c r="DN6" t="s">
        <v>57</v>
      </c>
      <c r="DO6" t="s">
        <v>57</v>
      </c>
      <c r="DP6" t="s">
        <v>57</v>
      </c>
      <c r="DQ6" t="s">
        <v>57</v>
      </c>
      <c r="DR6" t="s">
        <v>57</v>
      </c>
      <c r="DS6" t="s">
        <v>57</v>
      </c>
      <c r="DT6" t="s">
        <v>57</v>
      </c>
      <c r="DU6" t="s">
        <v>57</v>
      </c>
      <c r="DV6" t="s">
        <v>57</v>
      </c>
      <c r="DW6" t="s">
        <v>57</v>
      </c>
      <c r="DX6" t="s">
        <v>57</v>
      </c>
      <c r="DY6" t="s">
        <v>57</v>
      </c>
      <c r="DZ6" t="s">
        <v>57</v>
      </c>
      <c r="EA6" t="s">
        <v>57</v>
      </c>
      <c r="EB6" t="s">
        <v>57</v>
      </c>
      <c r="EC6" t="s">
        <v>57</v>
      </c>
      <c r="ED6" t="s">
        <v>57</v>
      </c>
      <c r="EE6" t="s">
        <v>57</v>
      </c>
      <c r="EF6" t="s">
        <v>57</v>
      </c>
      <c r="EG6" t="s">
        <v>57</v>
      </c>
      <c r="EH6" t="s">
        <v>57</v>
      </c>
      <c r="EI6" t="s">
        <v>57</v>
      </c>
      <c r="EJ6" t="s">
        <v>57</v>
      </c>
      <c r="EK6" t="s">
        <v>57</v>
      </c>
      <c r="EL6" t="s">
        <v>57</v>
      </c>
      <c r="EM6" t="s">
        <v>57</v>
      </c>
      <c r="EN6" t="s">
        <v>57</v>
      </c>
      <c r="EO6" t="s">
        <v>57</v>
      </c>
      <c r="EP6" t="s">
        <v>57</v>
      </c>
      <c r="EQ6" t="s">
        <v>57</v>
      </c>
      <c r="ER6" t="s">
        <v>57</v>
      </c>
      <c r="ES6" t="s">
        <v>57</v>
      </c>
      <c r="ET6" t="s">
        <v>57</v>
      </c>
      <c r="EU6" t="s">
        <v>57</v>
      </c>
      <c r="EV6" t="s">
        <v>57</v>
      </c>
      <c r="EW6" t="s">
        <v>57</v>
      </c>
      <c r="EX6" t="s">
        <v>57</v>
      </c>
      <c r="EY6" t="s">
        <v>57</v>
      </c>
      <c r="EZ6" t="s">
        <v>57</v>
      </c>
      <c r="FA6" t="s">
        <v>57</v>
      </c>
      <c r="FB6" t="s">
        <v>57</v>
      </c>
      <c r="FC6" t="s">
        <v>57</v>
      </c>
      <c r="FD6" t="s">
        <v>57</v>
      </c>
      <c r="FE6" t="s">
        <v>57</v>
      </c>
      <c r="FF6" t="s">
        <v>57</v>
      </c>
      <c r="FG6" t="s">
        <v>57</v>
      </c>
      <c r="FH6" t="s">
        <v>57</v>
      </c>
      <c r="FI6" t="s">
        <v>57</v>
      </c>
      <c r="FJ6" t="s">
        <v>57</v>
      </c>
      <c r="FK6" t="s">
        <v>57</v>
      </c>
      <c r="FL6" t="s">
        <v>57</v>
      </c>
      <c r="FM6" t="s">
        <v>57</v>
      </c>
      <c r="FN6" t="s">
        <v>57</v>
      </c>
      <c r="FO6" t="s">
        <v>57</v>
      </c>
      <c r="FP6" t="s">
        <v>57</v>
      </c>
      <c r="FQ6" t="s">
        <v>57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50" t="s">
        <v>57</v>
      </c>
      <c r="B6" s="50"/>
      <c r="C6" s="8" t="s">
        <v>57</v>
      </c>
      <c r="D6" s="50">
        <v>2.0</v>
      </c>
      <c r="E6" s="8" t="s">
        <v>57</v>
      </c>
      <c r="F6" s="8" t="s">
        <v>57</v>
      </c>
      <c r="G6" s="8">
        <v>900.0</v>
      </c>
      <c r="H6" s="8" t="s">
        <v>58</v>
      </c>
      <c r="I6" s="8" t="s">
        <v>44</v>
      </c>
      <c r="J6" s="8"/>
      <c r="K6" s="8" t="s">
        <v>59</v>
      </c>
      <c r="L6" s="8" t="s">
        <v>41</v>
      </c>
      <c r="M6" s="8"/>
      <c r="N6" s="8"/>
      <c r="O6" s="8"/>
      <c r="T6" t="s">
        <v>57</v>
      </c>
      <c r="U6" t="s">
        <v>60</v>
      </c>
      <c r="V6" t="s">
        <v>61</v>
      </c>
      <c r="X6" t="s">
        <v>57</v>
      </c>
      <c r="Y6" t="s">
        <v>57</v>
      </c>
      <c r="Z6" t="s">
        <v>57</v>
      </c>
      <c r="AA6" t="s">
        <v>62</v>
      </c>
      <c r="AB6" t="s">
        <v>57</v>
      </c>
      <c r="AD6">
        <v>1.0</v>
      </c>
      <c r="AE6" t="s">
        <v>57</v>
      </c>
      <c r="AF6" t="s">
        <v>63</v>
      </c>
      <c r="AH6" t="s">
        <v>64</v>
      </c>
      <c r="AI6" s="51" t="s">
        <v>20</v>
      </c>
      <c r="AJ6" s="51" t="s">
        <v>21</v>
      </c>
      <c r="AK6" s="39" t="s">
        <v>68</v>
      </c>
      <c r="AL6">
        <v>1000.0</v>
      </c>
      <c r="AM6">
        <v>100.0</v>
      </c>
      <c r="AN6">
        <v>100.0</v>
      </c>
      <c r="AO6">
        <v>2.0</v>
      </c>
      <c r="AP6">
        <v>2.0</v>
      </c>
      <c r="AQ6" t="s">
        <v>45</v>
      </c>
      <c r="AR6" t="s">
        <v>22</v>
      </c>
      <c r="AS6" t="s">
        <v>66</v>
      </c>
      <c r="AT6">
        <v>200.0</v>
      </c>
      <c r="AU6">
        <v>200.0</v>
      </c>
      <c r="AV6" t="s">
        <v>67</v>
      </c>
      <c r="AW6" t="s">
        <v>57</v>
      </c>
      <c r="AX6" t="s">
        <v>57</v>
      </c>
      <c r="AY6" t="s">
        <v>57</v>
      </c>
      <c r="AZ6" t="s">
        <v>44</v>
      </c>
      <c r="BA6">
        <v>10.0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G6" t="s">
        <v>57</v>
      </c>
      <c r="BH6" t="s">
        <v>57</v>
      </c>
      <c r="BI6" t="s">
        <v>57</v>
      </c>
      <c r="BJ6" t="s">
        <v>57</v>
      </c>
      <c r="BK6" t="s">
        <v>57</v>
      </c>
      <c r="BL6" t="s">
        <v>57</v>
      </c>
      <c r="BM6" t="s">
        <v>57</v>
      </c>
      <c r="BN6" t="s">
        <v>57</v>
      </c>
      <c r="BO6" t="s">
        <v>57</v>
      </c>
      <c r="BP6" t="s">
        <v>57</v>
      </c>
      <c r="BQ6" t="s">
        <v>57</v>
      </c>
      <c r="BR6" t="s">
        <v>57</v>
      </c>
      <c r="BS6" t="s">
        <v>57</v>
      </c>
      <c r="BT6" t="s">
        <v>57</v>
      </c>
      <c r="BU6" t="s">
        <v>57</v>
      </c>
      <c r="BV6" t="s">
        <v>57</v>
      </c>
      <c r="BW6" t="s">
        <v>57</v>
      </c>
      <c r="BX6" t="s">
        <v>57</v>
      </c>
      <c r="BY6" t="s">
        <v>57</v>
      </c>
      <c r="BZ6" t="s">
        <v>57</v>
      </c>
      <c r="CA6" t="s">
        <v>57</v>
      </c>
      <c r="CB6" t="s">
        <v>57</v>
      </c>
      <c r="CC6" t="s">
        <v>57</v>
      </c>
      <c r="CD6" t="s">
        <v>57</v>
      </c>
      <c r="CE6" t="s">
        <v>57</v>
      </c>
      <c r="CF6" t="s">
        <v>57</v>
      </c>
      <c r="CG6" t="s">
        <v>57</v>
      </c>
      <c r="CH6" t="s">
        <v>57</v>
      </c>
      <c r="CI6" t="s">
        <v>57</v>
      </c>
      <c r="CJ6" t="s">
        <v>57</v>
      </c>
      <c r="CK6" t="s">
        <v>57</v>
      </c>
      <c r="CL6" t="s">
        <v>57</v>
      </c>
      <c r="CM6" t="s">
        <v>57</v>
      </c>
      <c r="CN6" t="s">
        <v>57</v>
      </c>
      <c r="CO6" t="s">
        <v>57</v>
      </c>
      <c r="CP6" t="s">
        <v>57</v>
      </c>
      <c r="CQ6" t="s">
        <v>57</v>
      </c>
      <c r="CR6" t="s">
        <v>57</v>
      </c>
      <c r="CS6" t="s">
        <v>57</v>
      </c>
      <c r="CT6" t="s">
        <v>57</v>
      </c>
      <c r="CU6" t="s">
        <v>57</v>
      </c>
      <c r="CV6" t="s">
        <v>57</v>
      </c>
      <c r="CW6" t="s">
        <v>57</v>
      </c>
      <c r="CX6" t="s">
        <v>57</v>
      </c>
      <c r="CY6" t="s">
        <v>57</v>
      </c>
      <c r="CZ6" t="s">
        <v>57</v>
      </c>
      <c r="DA6" t="s">
        <v>57</v>
      </c>
      <c r="DB6" t="s">
        <v>57</v>
      </c>
      <c r="DC6" t="s">
        <v>57</v>
      </c>
      <c r="DD6" t="s">
        <v>57</v>
      </c>
      <c r="DE6" t="s">
        <v>57</v>
      </c>
      <c r="DF6" t="s">
        <v>57</v>
      </c>
      <c r="DG6" t="s">
        <v>57</v>
      </c>
      <c r="DH6" t="s">
        <v>57</v>
      </c>
      <c r="DI6" t="s">
        <v>57</v>
      </c>
      <c r="DJ6" t="s">
        <v>57</v>
      </c>
      <c r="DK6" t="s">
        <v>57</v>
      </c>
      <c r="DL6" t="s">
        <v>57</v>
      </c>
      <c r="DM6" t="s">
        <v>57</v>
      </c>
      <c r="DN6" t="s">
        <v>57</v>
      </c>
      <c r="DO6" t="s">
        <v>57</v>
      </c>
      <c r="DP6" t="s">
        <v>57</v>
      </c>
      <c r="DQ6" t="s">
        <v>57</v>
      </c>
      <c r="DR6" t="s">
        <v>57</v>
      </c>
      <c r="DS6" t="s">
        <v>57</v>
      </c>
      <c r="DT6" t="s">
        <v>57</v>
      </c>
      <c r="DU6" t="s">
        <v>57</v>
      </c>
      <c r="DV6" t="s">
        <v>57</v>
      </c>
      <c r="DW6" t="s">
        <v>57</v>
      </c>
      <c r="DX6" t="s">
        <v>57</v>
      </c>
      <c r="DY6" t="s">
        <v>57</v>
      </c>
      <c r="DZ6" t="s">
        <v>57</v>
      </c>
      <c r="EA6" t="s">
        <v>57</v>
      </c>
      <c r="EB6" t="s">
        <v>57</v>
      </c>
      <c r="EC6" t="s">
        <v>57</v>
      </c>
      <c r="ED6" t="s">
        <v>57</v>
      </c>
      <c r="EE6" t="s">
        <v>57</v>
      </c>
      <c r="EF6" t="s">
        <v>57</v>
      </c>
      <c r="EG6" t="s">
        <v>57</v>
      </c>
      <c r="EH6" t="s">
        <v>57</v>
      </c>
      <c r="EI6" t="s">
        <v>57</v>
      </c>
      <c r="EJ6" t="s">
        <v>57</v>
      </c>
      <c r="EK6" t="s">
        <v>57</v>
      </c>
      <c r="EL6" t="s">
        <v>57</v>
      </c>
      <c r="EM6" t="s">
        <v>57</v>
      </c>
      <c r="EN6" t="s">
        <v>57</v>
      </c>
      <c r="EO6" t="s">
        <v>57</v>
      </c>
      <c r="EP6" t="s">
        <v>57</v>
      </c>
      <c r="EQ6" t="s">
        <v>57</v>
      </c>
      <c r="ER6" t="s">
        <v>57</v>
      </c>
      <c r="ES6" t="s">
        <v>57</v>
      </c>
      <c r="ET6" t="s">
        <v>57</v>
      </c>
      <c r="EU6" t="s">
        <v>57</v>
      </c>
      <c r="EV6" t="s">
        <v>57</v>
      </c>
      <c r="EW6" t="s">
        <v>57</v>
      </c>
      <c r="EX6" t="s">
        <v>57</v>
      </c>
      <c r="EY6" t="s">
        <v>57</v>
      </c>
      <c r="EZ6" t="s">
        <v>57</v>
      </c>
      <c r="FA6" t="s">
        <v>57</v>
      </c>
      <c r="FB6" t="s">
        <v>57</v>
      </c>
      <c r="FC6" t="s">
        <v>57</v>
      </c>
      <c r="FD6" t="s">
        <v>57</v>
      </c>
      <c r="FE6" t="s">
        <v>57</v>
      </c>
      <c r="FF6" t="s">
        <v>57</v>
      </c>
      <c r="FG6" t="s">
        <v>57</v>
      </c>
      <c r="FH6" t="s">
        <v>57</v>
      </c>
      <c r="FI6" t="s">
        <v>57</v>
      </c>
      <c r="FJ6" t="s">
        <v>57</v>
      </c>
      <c r="FK6" t="s">
        <v>57</v>
      </c>
      <c r="FL6" t="s">
        <v>57</v>
      </c>
      <c r="FM6" t="s">
        <v>57</v>
      </c>
      <c r="FN6" t="s">
        <v>57</v>
      </c>
      <c r="FO6" t="s">
        <v>57</v>
      </c>
      <c r="FP6" t="s">
        <v>57</v>
      </c>
      <c r="FQ6" t="s">
        <v>57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IFERROR(__xludf.DUMMYFUNCTION("""COMPUTED_VALUE"""),"Transaction Time")</f>
        <v>Transaction Time</v>
      </c>
      <c r="D5" s="28" t="str">
        <f>IFERROR(__xludf.DUMMYFUNCTION("""COMPUTED_VALUE"""),"Algo")</f>
        <v>Algo</v>
      </c>
      <c r="E5" s="28" t="str">
        <f>IFERROR(__xludf.DUMMYFUNCTION("""COMPUTED_VALUE"""),"Avg Fill Price (Base)")</f>
        <v>Avg Fill Price (Base)</v>
      </c>
      <c r="F5" s="29" t="str">
        <f>IFERROR(__xludf.DUMMYFUNCTION("""COMPUTED_VALUE"""),"Bloomberg Symbol")</f>
        <v>Bloomberg Symbol</v>
      </c>
      <c r="G5" s="28" t="str">
        <f>IFERROR(__xludf.DUMMYFUNCTION("""COMPUTED_VALUE"""),"Limit Price")</f>
        <v>Limit Price</v>
      </c>
      <c r="H5" s="28" t="str">
        <f>IFERROR(__xludf.DUMMYFUNCTION("""COMPUTED_VALUE"""),"Working Qty")</f>
        <v>Working Qty</v>
      </c>
      <c r="I5" s="28" t="str">
        <f>IFERROR(__xludf.DUMMYFUNCTION("""COMPUTED_VALUE"""),"Venue")</f>
        <v>Venue</v>
      </c>
      <c r="J5" s="28" t="str">
        <f>IFERROR(__xludf.DUMMYFUNCTION("""COMPUTED_VALUE"""),"User")</f>
        <v>User</v>
      </c>
      <c r="K5" s="28" t="str">
        <f>IFERROR(__xludf.DUMMYFUNCTION("""COMPUTED_VALUE"""),"Underlying Symbol")</f>
        <v>Underlying Symbol</v>
      </c>
      <c r="L5" s="28" t="str">
        <f>IFERROR(__xludf.DUMMYFUNCTION("""COMPUTED_VALUE"""),"Underlying Country")</f>
        <v>Underlying Country</v>
      </c>
      <c r="M5" s="28" t="str">
        <f>IFERROR(__xludf.DUMMYFUNCTION("""COMPUTED_VALUE"""),"Trader")</f>
        <v>Trader</v>
      </c>
      <c r="N5" s="28" t="str">
        <f>IFERROR(__xludf.DUMMYFUNCTION("""COMPUTED_VALUE"""),"Trade Attribute 1")</f>
        <v>Trade Attribute 1</v>
      </c>
      <c r="O5" s="28" t="str">
        <f>IFERROR(__xludf.DUMMYFUNCTION("""COMPUTED_VALUE"""),"Trade Attribute 2")</f>
        <v>Trade Attribute 2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4")</f>
        <v>Trade Attribute 4</v>
      </c>
      <c r="R5" s="28" t="str">
        <f>IFERROR(__xludf.DUMMYFUNCTION("""COMPUTED_VALUE"""),"Trade Attribute 5")</f>
        <v>Trade Attribute 5</v>
      </c>
      <c r="S5" s="28" t="str">
        <f>IFERROR(__xludf.DUMMYFUNCTION("""COMPUTED_VALUE"""),"Trade Attribute 6")</f>
        <v>Trade Attribute 6</v>
      </c>
      <c r="T5" s="30" t="str">
        <f>IFERROR(__xludf.DUMMYFUNCTION("""COMPUTED_VALUE"""),"Strike Price")</f>
        <v>Strike Price</v>
      </c>
      <c r="U5" s="30" t="str">
        <f>IFERROR(__xludf.DUMMYFUNCTION("""COMPUTED_VALUE"""),"Stop Price")</f>
        <v>Stop Price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IFERROR(__xludf.DUMMYFUNCTION("""COMPUTED_VALUE"""),"Target Qty")</f>
        <v>Target Qty</v>
      </c>
      <c r="AN5" s="30" t="str">
        <f>IFERROR(__xludf.DUMMYFUNCTION("""COMPUTED_VALUE"""),"Total Executed Qty")</f>
        <v>Total 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53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SelectCheckBoxOnCustomTab!$4:$4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IFERROR(__xludf.DUMMYFUNCTION("""COMPUTED_VALUE"""),"Remaining Qty")</f>
        <v>Remaining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IFERROR(__xludf.DUMMYFUNCTION("""COMPUTED_VALUE"""),"Status (With Rollover)")</f>
        <v>Status (With Rollover)</v>
      </c>
      <c r="AY5" s="30" t="str">
        <f>IFERROR(__xludf.DUMMYFUNCTION("""COMPUTED_VALUE"""),"CustomTabName")</f>
        <v>CustomTabName</v>
      </c>
      <c r="AZ5" s="30" t="str">
        <f>IFERROR(__xludf.DUMMYFUNCTION("""COMPUTED_VALUE"""),"CancelAllSubsOnHeader")</f>
        <v>CancelAllSubsOnHeader</v>
      </c>
      <c r="BA5" s="30" t="str">
        <f>IFERROR(__xludf.DUMMYFUNCTION("""COMPUTED_VALUE"""),"CancelOrderPopup(Yes/No)")</f>
        <v>CancelOrderPopup(Yes/No)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4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  <c r="AY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CancelWorkingSubs!$4:$4</formula1>
    </dataValidation>
  </dataValidations>
  <drawing r:id="rId1"/>
</worksheet>
</file>