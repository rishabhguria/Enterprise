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ExecuteTrade" sheetId="6" r:id="rId8"/>
    <sheet state="visible" name="CheckAllocatedGroups" sheetId="7" r:id="rId9"/>
    <sheet state="visible" name="TransferToUserOrder" sheetId="8" r:id="rId10"/>
    <sheet state="visible" name="ReloadOrderFromBlotter" sheetId="9" r:id="rId11"/>
    <sheet state="visible" name="CustomOrderTT" sheetId="10" r:id="rId12"/>
    <sheet state="visible" name="CheckAllocatedGroups1" sheetId="11" r:id="rId13"/>
    <sheet state="visible" name="AcknowledgeTrade1" sheetId="12" r:id="rId14"/>
  </sheets>
  <definedNames/>
  <calcPr/>
</workbook>
</file>

<file path=xl/sharedStrings.xml><?xml version="1.0" encoding="utf-8"?>
<sst xmlns="http://schemas.openxmlformats.org/spreadsheetml/2006/main" count="532" uniqueCount="60">
  <si>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</si>
  <si>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</si>
  <si>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</si>
  <si>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</si>
  <si>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</si>
  <si>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</si>
  <si>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</si>
  <si>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</si>
  <si>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</si>
  <si>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</si>
  <si>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</si>
  <si>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</si>
  <si>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</si>
  <si>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</si>
  <si>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</si>
  <si>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</si>
  <si>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</si>
  <si>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AAPL</t>
  </si>
  <si>
    <t>Simulator</t>
  </si>
  <si>
    <t>AcknowledgeTrade</t>
  </si>
  <si>
    <t>ExecuteTrade</t>
  </si>
  <si>
    <t>Allocation</t>
  </si>
  <si>
    <t>CheckAllocatedGroups</t>
  </si>
  <si>
    <t/>
  </si>
  <si>
    <t>Allocation1</t>
  </si>
  <si>
    <t>Actual_365</t>
  </si>
  <si>
    <t>Manual</t>
  </si>
  <si>
    <t>Equity</t>
  </si>
  <si>
    <t>MSFT US EQUITY</t>
  </si>
  <si>
    <t>Treasury</t>
  </si>
  <si>
    <t>MS</t>
  </si>
  <si>
    <t>Open</t>
  </si>
  <si>
    <t>MICROSOFT INC</t>
  </si>
  <si>
    <t>USD</t>
  </si>
  <si>
    <t>NASDAQ</t>
  </si>
  <si>
    <t>M</t>
  </si>
  <si>
    <t>None</t>
  </si>
  <si>
    <t>DefaultNotes</t>
  </si>
  <si>
    <t>US5949181045</t>
  </si>
  <si>
    <t>Market</t>
  </si>
  <si>
    <t>TODAY()</t>
  </si>
  <si>
    <t>InternalOrder</t>
  </si>
  <si>
    <t>Buy</t>
  </si>
  <si>
    <t>Strategy Unallocated</t>
  </si>
  <si>
    <t>GCCAP1</t>
  </si>
  <si>
    <t>US</t>
  </si>
  <si>
    <t>abhi</t>
  </si>
  <si>
    <t>NONE</t>
  </si>
  <si>
    <t>NewMF</t>
  </si>
  <si>
    <t>Blotter</t>
  </si>
  <si>
    <t>TransferToUserOrder</t>
  </si>
  <si>
    <t>Yes</t>
  </si>
  <si>
    <t>ReloadOrderFromBlotter</t>
  </si>
  <si>
    <t>CustomOrderTT</t>
  </si>
  <si>
    <t>DoneAway</t>
  </si>
  <si>
    <t>BrokerNotes</t>
  </si>
  <si>
    <t>FIX</t>
  </si>
  <si>
    <t>AAPL US EQUITY</t>
  </si>
  <si>
    <t>APPLE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</si>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</sst>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IFERROR(__xludf.DUMMYFUNCTION("""COMPUTED_VALUE"""),"EditAuecWindow")</f>
        <v>EditAuecWindow</v>
      </c>
      <c r="C921" t="str">
        <f>IFERROR(__xludf.DUMMYFUNCTION("""COMPUTED_VALUE"""),"1ottlNphVbp0AC-UFd-HlDpCLwOA2yWO1pN6eR3ML7vA")</f>
        <v>1ottlNphVbp0AC-UFd-HlDpCLwOA2yWO1pN6eR3ML7vA</v>
      </c>
    </row>
    <row r="922" ht="15.75" customHeight="1">
      <c r="A922" t="str">
        <f>IFERROR(__xludf.DUMMYFUNCTION("""COMPUTED_VALUE"""),"TradingTicket")</f>
        <v>TradingTicket</v>
      </c>
      <c r="B922" t="str">
        <f>IFERROR(__xludf.DUMMYFUNCTION("""COMPUTED_VALUE"""),"VerifyBrokerSummary")</f>
        <v>VerifyBrokerSummary</v>
      </c>
      <c r="C922" t="str">
        <f>IFERROR(__xludf.DUMMYFUNCTION("""COMPUTED_VALUE"""),"11hMxlfIQYwM8vPN2h--IGp7O02EDFbvJ4CSvjSfGsMY")</f>
        <v>11hMxlfIQYwM8vPN2h--IGp7O02EDFbvJ4CSvjSfGsMY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IFERROR(__xludf.DUMMYFUNCTION("""COMPUTED_VALUE"""),"EditAuecWindowQTT")</f>
        <v>EditAuecWindowQTT</v>
      </c>
      <c r="C923" t="str">
        <f>IFERROR(__xludf.DUMMYFUNCTION("""COMPUTED_VALUE"""),"1oI_WY3xKQgSjp5JN67BMHtm3zazX5ZiMATISa2ssGB0")</f>
        <v>1oI_WY3xKQgSjp5JN67BMHtm3zazX5ZiMATISa2ssGB0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IFERROR(__xludf.DUMMYFUNCTION("""COMPUTED_VALUE"""),"VerifyBrokerSummaryQTT")</f>
        <v>VerifyBrokerSummaryQTT</v>
      </c>
      <c r="C924" t="str">
        <f>IFERROR(__xludf.DUMMYFUNCTION("""COMPUTED_VALUE"""),"1O6-eqYsZqtvYR6DOH7UM2_Jwpq9pB9uyZvgh5vEhVAI")</f>
        <v>1O6-eqYsZqtvYR6DOH7UM2_Jwpq9pB9uyZvgh5vEhVAI</v>
      </c>
    </row>
    <row r="925" ht="15.75" customHeight="1">
      <c r="A925" t="str">
        <f>IFERROR(__xludf.DUMMYFUNCTION("""COMPUTED_VALUE"""),"QTT")</f>
        <v>QTT</v>
      </c>
      <c r="B925" t="str">
        <f>IFERROR(__xludf.DUMMYFUNCTION("""COMPUTED_VALUE"""),"SaveQTThotKey")</f>
        <v>SaveQTThotKey</v>
      </c>
      <c r="C925" t="str">
        <f>IFERROR(__xludf.DUMMYFUNCTION("""COMPUTED_VALUE"""),"Undefined")</f>
        <v>Undefined</v>
      </c>
    </row>
    <row r="926" ht="15.75" customHeight="1">
      <c r="A926" t="str">
        <f>IFERROR(__xludf.DUMMYFUNCTION("""COMPUTED_VALUE"""),"Blotter")</f>
        <v>Blotter</v>
      </c>
      <c r="B926" t="str">
        <f>IFERROR(__xludf.DUMMYFUNCTION("""COMPUTED_VALUE"""),"BlotterColumnChooser")</f>
        <v>BlotterColumnChooser</v>
      </c>
      <c r="C926" t="str">
        <f>IFERROR(__xludf.DUMMYFUNCTION("""COMPUTED_VALUE"""),"12428TbyucuJDD3KuN7QG-GyRYI3gcoyDNKTQ2UpgGMQ")</f>
        <v>12428TbyucuJDD3KuN7QG-GyRYI3gcoyDNKTQ2UpgGMQ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IFERROR(__xludf.DUMMYFUNCTION("""COMPUTED_VALUE"""),"CreateGroupingWidget")</f>
        <v>CreateGroupingWidget</v>
      </c>
      <c r="C927" t="str">
        <f>IFERROR(__xludf.DUMMYFUNCTION("""COMPUTED_VALUE"""),"1ctXhgvJgrqqe8ees0907Up0TKq9pCEhinMlZnRGqKdY")</f>
        <v>1ctXhgvJgrqqe8ees0907Up0TKq9pCEhinMlZnRGqKdY</v>
      </c>
    </row>
    <row r="928" ht="15.75" customHeight="1">
      <c r="A928" t="str">
        <f>IFERROR(__xludf.DUMMYFUNCTION("""COMPUTED_VALUE"""),"RTPNL")</f>
        <v>RTPNL</v>
      </c>
      <c r="B928" t="str">
        <f>IFERROR(__xludf.DUMMYFUNCTION("""COMPUTED_VALUE"""),"CheckGroupingWidget")</f>
        <v>CheckGroupingWidget</v>
      </c>
      <c r="C928" t="str">
        <f>IFERROR(__xludf.DUMMYFUNCTION("""COMPUTED_VALUE"""),"16mimyUFzQ0Ojogh0t4Evjy-tjzAJ67xgIrWeTNmBdw0")</f>
        <v>16mimyUFzQ0Ojogh0t4Evjy-tjzAJ67xgIrWeTNmBdw0</v>
      </c>
    </row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12" t="s">
        <v>17</v>
      </c>
      <c r="C7" s="8"/>
      <c r="D7" s="12">
        <v>100.0</v>
      </c>
      <c r="E7" s="8"/>
      <c r="F7" s="8"/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23</v>
      </c>
      <c r="B6" s="31" t="s">
        <v>24</v>
      </c>
      <c r="C6" s="8" t="s">
        <v>25</v>
      </c>
      <c r="D6" s="31">
        <v>0.0</v>
      </c>
      <c r="E6" s="8">
        <v>10.0</v>
      </c>
      <c r="F6" s="8" t="s">
        <v>26</v>
      </c>
      <c r="G6" s="8" t="s">
        <v>27</v>
      </c>
      <c r="H6" s="8">
        <v>4.0</v>
      </c>
      <c r="I6" s="8">
        <v>5.0</v>
      </c>
      <c r="J6" s="8">
        <v>1.0</v>
      </c>
      <c r="K6" s="8">
        <v>2.0</v>
      </c>
      <c r="L6" s="8">
        <v>2.0</v>
      </c>
      <c r="M6" s="8" t="s">
        <v>28</v>
      </c>
      <c r="N6" s="8" t="s">
        <v>29</v>
      </c>
      <c r="O6" s="8" t="s">
        <v>30</v>
      </c>
      <c r="Q6">
        <v>3.0</v>
      </c>
      <c r="R6">
        <v>0.0</v>
      </c>
      <c r="S6" t="s">
        <v>31</v>
      </c>
      <c r="T6">
        <v>0.0</v>
      </c>
      <c r="U6">
        <v>0.0</v>
      </c>
      <c r="V6" t="s">
        <v>32</v>
      </c>
      <c r="W6">
        <v>1.0</v>
      </c>
      <c r="X6">
        <v>0.0</v>
      </c>
      <c r="Y6" t="s">
        <v>23</v>
      </c>
      <c r="Z6" t="s">
        <v>33</v>
      </c>
      <c r="AA6">
        <v>5.94918104E8</v>
      </c>
      <c r="AB6">
        <v>1.0</v>
      </c>
      <c r="AD6" t="s">
        <v>34</v>
      </c>
      <c r="AE6">
        <v>10.0</v>
      </c>
      <c r="AF6" t="s">
        <v>23</v>
      </c>
      <c r="AH6" t="s">
        <v>35</v>
      </c>
      <c r="AI6">
        <v>1.0</v>
      </c>
      <c r="AJ6" t="s">
        <v>36</v>
      </c>
      <c r="AM6" t="s">
        <v>37</v>
      </c>
      <c r="AN6" t="b">
        <v>0</v>
      </c>
      <c r="AO6" t="s">
        <v>38</v>
      </c>
      <c r="AP6" t="b">
        <v>0</v>
      </c>
      <c r="AQ6" t="b">
        <v>0</v>
      </c>
      <c r="AR6" t="b">
        <v>1</v>
      </c>
      <c r="AS6">
        <v>0.0</v>
      </c>
      <c r="AT6">
        <v>34.0</v>
      </c>
      <c r="AU6">
        <v>34.0</v>
      </c>
      <c r="AW6">
        <v>0.0</v>
      </c>
      <c r="AX6">
        <v>0.0</v>
      </c>
      <c r="AY6" t="s">
        <v>39</v>
      </c>
      <c r="AZ6">
        <v>0.0</v>
      </c>
      <c r="BA6" s="9" t="s">
        <v>40</v>
      </c>
      <c r="BC6">
        <v>0.0</v>
      </c>
      <c r="BD6" t="s">
        <v>41</v>
      </c>
      <c r="BE6">
        <v>20.0</v>
      </c>
      <c r="BF6">
        <v>20.0</v>
      </c>
      <c r="BJ6">
        <v>100.0</v>
      </c>
      <c r="BK6">
        <v>0.0</v>
      </c>
      <c r="BL6" t="s">
        <v>23</v>
      </c>
      <c r="BM6" t="s">
        <v>33</v>
      </c>
      <c r="BO6" t="s">
        <v>42</v>
      </c>
      <c r="BP6">
        <v>0.0</v>
      </c>
      <c r="BQ6">
        <v>0.0</v>
      </c>
      <c r="BR6">
        <v>0.0</v>
      </c>
      <c r="BS6" t="s">
        <v>43</v>
      </c>
      <c r="BT6" t="s">
        <v>16</v>
      </c>
      <c r="BU6">
        <v>3.0</v>
      </c>
      <c r="BV6">
        <v>0.0</v>
      </c>
      <c r="BW6">
        <v>14.0</v>
      </c>
      <c r="BX6">
        <v>0.0</v>
      </c>
      <c r="BY6" t="s">
        <v>23</v>
      </c>
      <c r="BZ6" t="s">
        <v>23</v>
      </c>
      <c r="CA6" t="s">
        <v>23</v>
      </c>
      <c r="CB6" t="s">
        <v>23</v>
      </c>
      <c r="CC6" t="s">
        <v>23</v>
      </c>
      <c r="CD6" t="s">
        <v>23</v>
      </c>
      <c r="CF6" t="s">
        <v>44</v>
      </c>
      <c r="CG6">
        <v>2.0</v>
      </c>
      <c r="CI6" t="s">
        <v>42</v>
      </c>
      <c r="CJ6">
        <v>0.0</v>
      </c>
      <c r="CK6" t="s">
        <v>45</v>
      </c>
      <c r="CL6">
        <v>1.0</v>
      </c>
      <c r="CM6" t="s">
        <v>16</v>
      </c>
      <c r="CN6" s="9" t="s">
        <v>46</v>
      </c>
      <c r="CO6" t="s">
        <v>34</v>
      </c>
      <c r="CP6" t="s">
        <v>47</v>
      </c>
      <c r="CW6">
        <v>0.0</v>
      </c>
      <c r="CX6" t="s">
        <v>48</v>
      </c>
      <c r="CY6" t="s">
        <v>23</v>
      </c>
      <c r="CZ6" t="s">
        <v>23</v>
      </c>
      <c r="DA6" t="s">
        <v>23</v>
      </c>
      <c r="DB6" t="s">
        <v>23</v>
      </c>
      <c r="DC6" t="s">
        <v>23</v>
      </c>
      <c r="DD6" t="s">
        <v>23</v>
      </c>
      <c r="DE6" t="s">
        <v>23</v>
      </c>
      <c r="DF6" t="s">
        <v>23</v>
      </c>
      <c r="DG6" t="s">
        <v>23</v>
      </c>
      <c r="DH6" t="s">
        <v>23</v>
      </c>
      <c r="DI6" t="s">
        <v>23</v>
      </c>
      <c r="DJ6" t="s">
        <v>23</v>
      </c>
      <c r="DK6" t="s">
        <v>23</v>
      </c>
      <c r="DL6" t="s">
        <v>23</v>
      </c>
      <c r="DM6" t="s">
        <v>23</v>
      </c>
      <c r="DN6" t="s">
        <v>23</v>
      </c>
      <c r="DO6" t="s">
        <v>23</v>
      </c>
      <c r="DP6" t="s">
        <v>23</v>
      </c>
      <c r="DQ6" t="s">
        <v>23</v>
      </c>
      <c r="DR6" t="s">
        <v>23</v>
      </c>
      <c r="DS6" t="s">
        <v>23</v>
      </c>
      <c r="DT6" t="s">
        <v>23</v>
      </c>
      <c r="DU6" t="s">
        <v>23</v>
      </c>
      <c r="DV6" t="s">
        <v>23</v>
      </c>
      <c r="DW6" t="s">
        <v>23</v>
      </c>
      <c r="DX6" t="s">
        <v>23</v>
      </c>
      <c r="DY6" t="s">
        <v>23</v>
      </c>
      <c r="DZ6" t="s">
        <v>23</v>
      </c>
      <c r="EA6" t="s">
        <v>23</v>
      </c>
      <c r="EB6" t="s">
        <v>23</v>
      </c>
      <c r="EC6" t="s">
        <v>23</v>
      </c>
      <c r="ED6" t="s">
        <v>23</v>
      </c>
      <c r="EE6" t="s">
        <v>23</v>
      </c>
      <c r="EF6" t="s">
        <v>23</v>
      </c>
      <c r="EG6" t="s">
        <v>23</v>
      </c>
      <c r="EH6" t="s">
        <v>23</v>
      </c>
      <c r="EI6" t="s">
        <v>23</v>
      </c>
      <c r="EJ6" t="s">
        <v>23</v>
      </c>
      <c r="EK6" t="s">
        <v>23</v>
      </c>
      <c r="EL6" t="s">
        <v>23</v>
      </c>
      <c r="EM6" t="s">
        <v>23</v>
      </c>
      <c r="EN6" t="s">
        <v>23</v>
      </c>
      <c r="EO6" t="s">
        <v>23</v>
      </c>
      <c r="EP6" t="s">
        <v>23</v>
      </c>
      <c r="EQ6" t="s">
        <v>23</v>
      </c>
      <c r="ER6" t="s">
        <v>23</v>
      </c>
      <c r="ES6" t="s">
        <v>23</v>
      </c>
      <c r="ET6" t="s">
        <v>23</v>
      </c>
      <c r="EU6" t="s">
        <v>23</v>
      </c>
      <c r="EV6" t="s">
        <v>23</v>
      </c>
      <c r="EW6" t="s">
        <v>23</v>
      </c>
      <c r="EX6" t="s">
        <v>23</v>
      </c>
      <c r="EY6" t="s">
        <v>23</v>
      </c>
      <c r="EZ6" t="s">
        <v>23</v>
      </c>
      <c r="FA6" t="s">
        <v>23</v>
      </c>
      <c r="FB6" t="s">
        <v>23</v>
      </c>
      <c r="FC6" t="s">
        <v>23</v>
      </c>
      <c r="FD6" t="s">
        <v>23</v>
      </c>
      <c r="FE6" t="s">
        <v>23</v>
      </c>
      <c r="FF6" t="s">
        <v>23</v>
      </c>
      <c r="FG6" t="s">
        <v>23</v>
      </c>
      <c r="FH6" t="s">
        <v>23</v>
      </c>
      <c r="FI6" t="s">
        <v>23</v>
      </c>
      <c r="FK6" t="s">
        <v>23</v>
      </c>
      <c r="FL6" t="s">
        <v>23</v>
      </c>
      <c r="FM6" t="s">
        <v>23</v>
      </c>
      <c r="FN6" t="s">
        <v>23</v>
      </c>
      <c r="FO6" t="s">
        <v>23</v>
      </c>
      <c r="FP6" t="s">
        <v>23</v>
      </c>
      <c r="FQ6" t="s">
        <v>23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X6" s="9" t="s">
        <v>46</v>
      </c>
      <c r="AZ6" s="9" t="s">
        <v>51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2.0</v>
      </c>
      <c r="E6" s="12" t="s">
        <v>54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23</v>
      </c>
      <c r="B6" s="31" t="s">
        <v>24</v>
      </c>
      <c r="C6" s="8" t="s">
        <v>25</v>
      </c>
      <c r="D6" s="31">
        <v>0.0</v>
      </c>
      <c r="E6" s="8">
        <v>10.0</v>
      </c>
      <c r="F6" s="8" t="s">
        <v>26</v>
      </c>
      <c r="G6" s="8" t="s">
        <v>27</v>
      </c>
      <c r="H6" s="8">
        <v>4.0</v>
      </c>
      <c r="I6" s="8">
        <v>5.0</v>
      </c>
      <c r="J6" s="8">
        <v>1.0</v>
      </c>
      <c r="K6" s="8">
        <v>2.0</v>
      </c>
      <c r="L6" s="8">
        <v>2.0</v>
      </c>
      <c r="M6" s="8" t="s">
        <v>28</v>
      </c>
      <c r="N6" s="8" t="s">
        <v>29</v>
      </c>
      <c r="O6" s="8" t="s">
        <v>30</v>
      </c>
      <c r="Q6">
        <v>3.0</v>
      </c>
      <c r="R6">
        <v>0.0</v>
      </c>
      <c r="S6" t="s">
        <v>31</v>
      </c>
      <c r="T6">
        <v>0.0</v>
      </c>
      <c r="U6">
        <v>0.0</v>
      </c>
      <c r="V6" t="s">
        <v>32</v>
      </c>
      <c r="W6">
        <v>1.0</v>
      </c>
      <c r="X6">
        <v>0.0</v>
      </c>
      <c r="Y6" t="s">
        <v>23</v>
      </c>
      <c r="Z6" t="s">
        <v>33</v>
      </c>
      <c r="AA6">
        <v>5.94918104E8</v>
      </c>
      <c r="AB6">
        <v>1.0</v>
      </c>
      <c r="AC6" t="s">
        <v>55</v>
      </c>
      <c r="AD6" t="s">
        <v>34</v>
      </c>
      <c r="AE6">
        <v>10.0</v>
      </c>
      <c r="AF6" t="s">
        <v>23</v>
      </c>
      <c r="AH6" t="s">
        <v>35</v>
      </c>
      <c r="AI6">
        <v>1.0</v>
      </c>
      <c r="AJ6" t="s">
        <v>36</v>
      </c>
      <c r="AM6" t="s">
        <v>37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34.0</v>
      </c>
      <c r="AU6">
        <v>34.0</v>
      </c>
      <c r="AW6">
        <v>0.0</v>
      </c>
      <c r="AX6">
        <v>0.0</v>
      </c>
      <c r="AY6" t="s">
        <v>39</v>
      </c>
      <c r="AZ6">
        <v>0.0</v>
      </c>
      <c r="BA6" s="9" t="s">
        <v>40</v>
      </c>
      <c r="BC6">
        <v>0.0</v>
      </c>
      <c r="BD6" t="s">
        <v>41</v>
      </c>
      <c r="BE6">
        <v>20.0</v>
      </c>
      <c r="BF6">
        <v>20.0</v>
      </c>
      <c r="BJ6">
        <v>100.0</v>
      </c>
      <c r="BK6">
        <v>0.0</v>
      </c>
      <c r="BL6" t="s">
        <v>23</v>
      </c>
      <c r="BM6" t="s">
        <v>33</v>
      </c>
      <c r="BO6" t="s">
        <v>42</v>
      </c>
      <c r="BP6">
        <v>0.0</v>
      </c>
      <c r="BQ6">
        <v>0.0</v>
      </c>
      <c r="BR6">
        <v>0.0</v>
      </c>
      <c r="BS6" t="s">
        <v>43</v>
      </c>
      <c r="BT6" t="s">
        <v>16</v>
      </c>
      <c r="BU6">
        <v>3.0</v>
      </c>
      <c r="BV6">
        <v>0.0</v>
      </c>
      <c r="BW6">
        <v>14.0</v>
      </c>
      <c r="BX6">
        <v>0.0</v>
      </c>
      <c r="BY6" t="s">
        <v>23</v>
      </c>
      <c r="BZ6" t="s">
        <v>23</v>
      </c>
      <c r="CA6" t="s">
        <v>23</v>
      </c>
      <c r="CB6" t="s">
        <v>23</v>
      </c>
      <c r="CC6" t="s">
        <v>23</v>
      </c>
      <c r="CD6" t="s">
        <v>23</v>
      </c>
      <c r="CF6" t="s">
        <v>44</v>
      </c>
      <c r="CG6">
        <v>2.0</v>
      </c>
      <c r="CH6" t="s">
        <v>56</v>
      </c>
      <c r="CI6" t="s">
        <v>42</v>
      </c>
      <c r="CJ6">
        <v>0.0</v>
      </c>
      <c r="CK6" t="s">
        <v>45</v>
      </c>
      <c r="CL6">
        <v>1.0</v>
      </c>
      <c r="CM6" t="s">
        <v>16</v>
      </c>
      <c r="CN6" t="s">
        <v>46</v>
      </c>
      <c r="CO6" t="s">
        <v>34</v>
      </c>
      <c r="CP6" t="s">
        <v>47</v>
      </c>
      <c r="CS6" t="s">
        <v>23</v>
      </c>
      <c r="CW6">
        <v>0.0</v>
      </c>
      <c r="CX6" t="s">
        <v>48</v>
      </c>
      <c r="CY6" t="s">
        <v>23</v>
      </c>
      <c r="CZ6" t="s">
        <v>23</v>
      </c>
      <c r="DA6" t="s">
        <v>23</v>
      </c>
      <c r="DB6" t="s">
        <v>23</v>
      </c>
      <c r="DC6" t="s">
        <v>23</v>
      </c>
      <c r="DD6" t="s">
        <v>23</v>
      </c>
      <c r="DE6" t="s">
        <v>23</v>
      </c>
      <c r="DF6" t="s">
        <v>23</v>
      </c>
      <c r="DG6" t="s">
        <v>23</v>
      </c>
      <c r="DH6" t="s">
        <v>23</v>
      </c>
      <c r="DI6" t="s">
        <v>23</v>
      </c>
      <c r="DJ6" t="s">
        <v>23</v>
      </c>
      <c r="DK6" t="s">
        <v>23</v>
      </c>
      <c r="DL6" t="s">
        <v>23</v>
      </c>
      <c r="DM6" t="s">
        <v>23</v>
      </c>
      <c r="DN6" t="s">
        <v>23</v>
      </c>
      <c r="DO6" t="s">
        <v>23</v>
      </c>
      <c r="DP6" t="s">
        <v>23</v>
      </c>
      <c r="DQ6" t="s">
        <v>23</v>
      </c>
      <c r="DR6" t="s">
        <v>23</v>
      </c>
      <c r="DS6" t="s">
        <v>23</v>
      </c>
      <c r="DT6" t="s">
        <v>23</v>
      </c>
      <c r="DU6" t="s">
        <v>23</v>
      </c>
      <c r="DV6" t="s">
        <v>23</v>
      </c>
      <c r="DW6" t="s">
        <v>23</v>
      </c>
      <c r="DX6" t="s">
        <v>23</v>
      </c>
      <c r="DY6" t="s">
        <v>23</v>
      </c>
      <c r="DZ6" t="s">
        <v>23</v>
      </c>
      <c r="EA6" t="s">
        <v>23</v>
      </c>
      <c r="EB6" t="s">
        <v>23</v>
      </c>
      <c r="EC6" t="s">
        <v>23</v>
      </c>
      <c r="ED6" t="s">
        <v>23</v>
      </c>
      <c r="EE6" t="s">
        <v>23</v>
      </c>
      <c r="EF6" t="s">
        <v>23</v>
      </c>
      <c r="EG6" t="s">
        <v>23</v>
      </c>
      <c r="EH6" t="s">
        <v>23</v>
      </c>
      <c r="EI6" t="s">
        <v>23</v>
      </c>
      <c r="EJ6" t="s">
        <v>23</v>
      </c>
      <c r="EK6" t="s">
        <v>23</v>
      </c>
      <c r="EL6" t="s">
        <v>23</v>
      </c>
      <c r="EM6" t="s">
        <v>23</v>
      </c>
      <c r="EN6" t="s">
        <v>23</v>
      </c>
      <c r="EO6" t="s">
        <v>23</v>
      </c>
      <c r="EP6" t="s">
        <v>23</v>
      </c>
      <c r="EQ6" t="s">
        <v>23</v>
      </c>
      <c r="ER6" t="s">
        <v>23</v>
      </c>
      <c r="ES6" t="s">
        <v>23</v>
      </c>
      <c r="ET6" t="s">
        <v>23</v>
      </c>
      <c r="EU6" t="s">
        <v>23</v>
      </c>
      <c r="EV6" t="s">
        <v>23</v>
      </c>
      <c r="EW6" t="s">
        <v>23</v>
      </c>
      <c r="EX6" t="s">
        <v>23</v>
      </c>
      <c r="EY6" t="s">
        <v>23</v>
      </c>
      <c r="EZ6" t="s">
        <v>23</v>
      </c>
      <c r="FA6" t="s">
        <v>23</v>
      </c>
      <c r="FB6" t="s">
        <v>23</v>
      </c>
      <c r="FC6" t="s">
        <v>23</v>
      </c>
      <c r="FD6" t="s">
        <v>23</v>
      </c>
      <c r="FE6" t="s">
        <v>23</v>
      </c>
      <c r="FF6" t="s">
        <v>23</v>
      </c>
      <c r="FG6" t="s">
        <v>23</v>
      </c>
      <c r="FH6" t="s">
        <v>23</v>
      </c>
      <c r="FI6" t="s">
        <v>23</v>
      </c>
      <c r="FJ6" t="s">
        <v>23</v>
      </c>
      <c r="FK6" t="s">
        <v>23</v>
      </c>
      <c r="FL6" t="s">
        <v>23</v>
      </c>
      <c r="FM6" t="s">
        <v>23</v>
      </c>
      <c r="FN6" t="s">
        <v>23</v>
      </c>
      <c r="FO6" t="s">
        <v>23</v>
      </c>
      <c r="FP6" t="s">
        <v>23</v>
      </c>
      <c r="FQ6" t="s">
        <v>23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8" t="s">
        <v>23</v>
      </c>
      <c r="B7" s="8" t="s">
        <v>24</v>
      </c>
      <c r="C7" s="8" t="s">
        <v>25</v>
      </c>
      <c r="D7" s="8">
        <v>0.0</v>
      </c>
      <c r="E7" s="8">
        <v>10.0</v>
      </c>
      <c r="F7" s="8" t="s">
        <v>26</v>
      </c>
      <c r="G7" s="8" t="s">
        <v>27</v>
      </c>
      <c r="H7" s="8">
        <v>4.0</v>
      </c>
      <c r="I7" s="8">
        <v>5.0</v>
      </c>
      <c r="J7" s="8">
        <v>1.0</v>
      </c>
      <c r="K7" s="8">
        <v>2.0</v>
      </c>
      <c r="L7" s="8">
        <v>2.0</v>
      </c>
      <c r="M7" s="8" t="s">
        <v>57</v>
      </c>
      <c r="N7" s="8" t="s">
        <v>29</v>
      </c>
      <c r="O7" s="8" t="s">
        <v>30</v>
      </c>
      <c r="Q7">
        <v>3.0</v>
      </c>
      <c r="R7">
        <v>0.0</v>
      </c>
      <c r="S7" t="s">
        <v>31</v>
      </c>
      <c r="T7">
        <v>0.0</v>
      </c>
      <c r="U7">
        <v>0.0</v>
      </c>
      <c r="V7" t="s">
        <v>58</v>
      </c>
      <c r="W7">
        <v>1.0</v>
      </c>
      <c r="X7">
        <v>0.0</v>
      </c>
      <c r="Y7" t="s">
        <v>23</v>
      </c>
      <c r="Z7" t="s">
        <v>33</v>
      </c>
      <c r="AA7" t="s">
        <v>17</v>
      </c>
      <c r="AB7">
        <v>1.0</v>
      </c>
      <c r="AD7" t="s">
        <v>34</v>
      </c>
      <c r="AE7">
        <v>10.0</v>
      </c>
      <c r="AF7" t="s">
        <v>23</v>
      </c>
      <c r="AH7" t="s">
        <v>35</v>
      </c>
      <c r="AI7">
        <v>1.0</v>
      </c>
      <c r="AJ7" t="s">
        <v>36</v>
      </c>
      <c r="AM7" t="s">
        <v>37</v>
      </c>
      <c r="AN7" t="b">
        <v>0</v>
      </c>
      <c r="AP7" t="b">
        <v>0</v>
      </c>
      <c r="AQ7" t="b">
        <v>0</v>
      </c>
      <c r="AR7" t="b">
        <v>1</v>
      </c>
      <c r="AS7">
        <v>0.0</v>
      </c>
      <c r="AT7">
        <v>34.0</v>
      </c>
      <c r="AU7">
        <v>34.0</v>
      </c>
      <c r="AW7">
        <v>0.0</v>
      </c>
      <c r="AX7">
        <v>0.0</v>
      </c>
      <c r="AY7" t="s">
        <v>39</v>
      </c>
      <c r="AZ7">
        <v>0.0</v>
      </c>
      <c r="BA7" s="9" t="s">
        <v>40</v>
      </c>
      <c r="BC7">
        <v>0.0</v>
      </c>
      <c r="BD7" t="s">
        <v>41</v>
      </c>
      <c r="BE7">
        <v>20.0</v>
      </c>
      <c r="BF7">
        <v>20.0</v>
      </c>
      <c r="BJ7">
        <v>100.0</v>
      </c>
      <c r="BK7">
        <v>0.0</v>
      </c>
      <c r="BL7" t="s">
        <v>23</v>
      </c>
      <c r="BM7" t="s">
        <v>33</v>
      </c>
      <c r="BO7" t="s">
        <v>42</v>
      </c>
      <c r="BP7">
        <v>0.0</v>
      </c>
      <c r="BQ7">
        <v>0.0</v>
      </c>
      <c r="BR7">
        <v>0.0</v>
      </c>
      <c r="BS7" t="s">
        <v>43</v>
      </c>
      <c r="BT7" t="s">
        <v>17</v>
      </c>
      <c r="BU7">
        <v>3.0</v>
      </c>
      <c r="BV7">
        <v>0.0</v>
      </c>
      <c r="BW7">
        <v>14.0</v>
      </c>
      <c r="BX7">
        <v>0.0</v>
      </c>
      <c r="BY7" t="s">
        <v>23</v>
      </c>
      <c r="BZ7" t="s">
        <v>23</v>
      </c>
      <c r="CA7" t="s">
        <v>23</v>
      </c>
      <c r="CB7" t="s">
        <v>23</v>
      </c>
      <c r="CC7" t="s">
        <v>23</v>
      </c>
      <c r="CD7" t="s">
        <v>23</v>
      </c>
      <c r="CF7" t="s">
        <v>44</v>
      </c>
      <c r="CG7">
        <v>2.0</v>
      </c>
      <c r="CH7" t="s">
        <v>12</v>
      </c>
      <c r="CI7" t="s">
        <v>42</v>
      </c>
      <c r="CJ7">
        <v>0.0</v>
      </c>
      <c r="CK7" t="s">
        <v>45</v>
      </c>
      <c r="CL7">
        <v>1.0</v>
      </c>
      <c r="CM7" t="s">
        <v>17</v>
      </c>
      <c r="CN7" t="s">
        <v>59</v>
      </c>
      <c r="CO7" t="s">
        <v>34</v>
      </c>
      <c r="CP7" t="s">
        <v>47</v>
      </c>
      <c r="CS7" t="s">
        <v>23</v>
      </c>
      <c r="CW7">
        <v>0.0</v>
      </c>
      <c r="CX7" t="s">
        <v>48</v>
      </c>
      <c r="CY7" t="s">
        <v>23</v>
      </c>
      <c r="CZ7" t="s">
        <v>23</v>
      </c>
      <c r="DA7" t="s">
        <v>23</v>
      </c>
      <c r="DB7" t="s">
        <v>23</v>
      </c>
      <c r="DC7" t="s">
        <v>23</v>
      </c>
      <c r="DD7" t="s">
        <v>23</v>
      </c>
      <c r="DE7" t="s">
        <v>23</v>
      </c>
      <c r="DF7" t="s">
        <v>23</v>
      </c>
      <c r="DG7" t="s">
        <v>23</v>
      </c>
      <c r="DH7" t="s">
        <v>23</v>
      </c>
      <c r="DI7" t="s">
        <v>23</v>
      </c>
      <c r="DJ7" t="s">
        <v>23</v>
      </c>
      <c r="DK7" t="s">
        <v>23</v>
      </c>
      <c r="DL7" t="s">
        <v>23</v>
      </c>
      <c r="DM7" t="s">
        <v>23</v>
      </c>
      <c r="DN7" t="s">
        <v>23</v>
      </c>
      <c r="DO7" t="s">
        <v>23</v>
      </c>
      <c r="DP7" t="s">
        <v>23</v>
      </c>
      <c r="DQ7" t="s">
        <v>23</v>
      </c>
      <c r="DR7" t="s">
        <v>23</v>
      </c>
      <c r="DS7" t="s">
        <v>23</v>
      </c>
      <c r="DT7" t="s">
        <v>23</v>
      </c>
      <c r="DU7" t="s">
        <v>23</v>
      </c>
      <c r="DV7" t="s">
        <v>23</v>
      </c>
      <c r="DW7" t="s">
        <v>23</v>
      </c>
      <c r="DX7" t="s">
        <v>23</v>
      </c>
      <c r="DY7" t="s">
        <v>23</v>
      </c>
      <c r="DZ7" t="s">
        <v>23</v>
      </c>
      <c r="EA7" t="s">
        <v>23</v>
      </c>
      <c r="EB7" t="s">
        <v>23</v>
      </c>
      <c r="EC7" t="s">
        <v>23</v>
      </c>
      <c r="ED7" t="s">
        <v>23</v>
      </c>
      <c r="EE7" t="s">
        <v>23</v>
      </c>
      <c r="EF7" t="s">
        <v>23</v>
      </c>
      <c r="EG7" t="s">
        <v>23</v>
      </c>
      <c r="EH7" t="s">
        <v>23</v>
      </c>
      <c r="EI7" t="s">
        <v>23</v>
      </c>
      <c r="EJ7" t="s">
        <v>23</v>
      </c>
      <c r="EK7" t="s">
        <v>23</v>
      </c>
      <c r="EL7" t="s">
        <v>23</v>
      </c>
      <c r="EM7" t="s">
        <v>23</v>
      </c>
      <c r="EN7" t="s">
        <v>23</v>
      </c>
      <c r="EO7" t="s">
        <v>23</v>
      </c>
      <c r="EP7" t="s">
        <v>23</v>
      </c>
      <c r="EQ7" t="s">
        <v>23</v>
      </c>
      <c r="ER7" t="s">
        <v>23</v>
      </c>
      <c r="ES7" t="s">
        <v>23</v>
      </c>
      <c r="ET7" t="s">
        <v>23</v>
      </c>
      <c r="EU7" t="s">
        <v>23</v>
      </c>
      <c r="EV7" t="s">
        <v>23</v>
      </c>
      <c r="EW7" t="s">
        <v>23</v>
      </c>
      <c r="EX7" t="s">
        <v>23</v>
      </c>
      <c r="EY7" t="s">
        <v>23</v>
      </c>
      <c r="EZ7" t="s">
        <v>23</v>
      </c>
      <c r="FA7" t="s">
        <v>23</v>
      </c>
      <c r="FB7" t="s">
        <v>23</v>
      </c>
      <c r="FC7" t="s">
        <v>23</v>
      </c>
      <c r="FD7" t="s">
        <v>23</v>
      </c>
      <c r="FE7" t="s">
        <v>23</v>
      </c>
      <c r="FF7" t="s">
        <v>23</v>
      </c>
      <c r="FG7" t="s">
        <v>23</v>
      </c>
      <c r="FH7" t="s">
        <v>23</v>
      </c>
      <c r="FI7" t="s">
        <v>23</v>
      </c>
      <c r="FJ7" t="s">
        <v>23</v>
      </c>
      <c r="FK7" t="s">
        <v>23</v>
      </c>
      <c r="FL7" t="s">
        <v>23</v>
      </c>
      <c r="FM7" t="s">
        <v>23</v>
      </c>
      <c r="FN7" t="s">
        <v>23</v>
      </c>
      <c r="FO7" t="s">
        <v>23</v>
      </c>
      <c r="FP7" t="s">
        <v>23</v>
      </c>
      <c r="FQ7" t="s">
        <v>23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</row>
    <row r="8" ht="15.75" customHeight="1">
      <c r="A8" s="8" t="s">
        <v>23</v>
      </c>
      <c r="B8" s="8" t="s">
        <v>24</v>
      </c>
      <c r="C8" s="8" t="s">
        <v>25</v>
      </c>
      <c r="D8" s="8">
        <v>0.0</v>
      </c>
      <c r="E8" s="8">
        <v>100.0</v>
      </c>
      <c r="F8" s="8" t="s">
        <v>26</v>
      </c>
      <c r="G8" s="8" t="s">
        <v>27</v>
      </c>
      <c r="H8" s="8">
        <v>4.0</v>
      </c>
      <c r="I8" s="8">
        <v>5.0</v>
      </c>
      <c r="J8" s="8">
        <v>1.0</v>
      </c>
      <c r="K8" s="8">
        <v>2.0</v>
      </c>
      <c r="L8" s="8">
        <v>2.0</v>
      </c>
      <c r="M8" s="8" t="s">
        <v>57</v>
      </c>
      <c r="N8" s="8" t="s">
        <v>29</v>
      </c>
      <c r="O8" s="8" t="s">
        <v>30</v>
      </c>
      <c r="Q8">
        <v>3.0</v>
      </c>
      <c r="R8">
        <v>0.0</v>
      </c>
      <c r="S8" t="s">
        <v>31</v>
      </c>
      <c r="T8">
        <v>0.0</v>
      </c>
      <c r="U8">
        <v>0.0</v>
      </c>
      <c r="V8" t="s">
        <v>58</v>
      </c>
      <c r="W8">
        <v>1.0</v>
      </c>
      <c r="X8">
        <v>0.0</v>
      </c>
      <c r="Y8" t="s">
        <v>23</v>
      </c>
      <c r="Z8" t="s">
        <v>33</v>
      </c>
      <c r="AA8" t="s">
        <v>17</v>
      </c>
      <c r="AB8">
        <v>1.0</v>
      </c>
      <c r="AD8" t="s">
        <v>34</v>
      </c>
      <c r="AE8">
        <v>100.0</v>
      </c>
      <c r="AF8" t="s">
        <v>23</v>
      </c>
      <c r="AH8" t="s">
        <v>35</v>
      </c>
      <c r="AI8">
        <v>1.0</v>
      </c>
      <c r="AJ8" t="s">
        <v>36</v>
      </c>
      <c r="AM8" t="s">
        <v>37</v>
      </c>
      <c r="AN8" t="b">
        <v>0</v>
      </c>
      <c r="AP8" t="b">
        <v>1</v>
      </c>
      <c r="AQ8" t="b">
        <v>0</v>
      </c>
      <c r="AR8" t="b">
        <v>1</v>
      </c>
      <c r="AS8">
        <v>0.0</v>
      </c>
      <c r="AT8">
        <v>214.0001</v>
      </c>
      <c r="AU8">
        <v>214.0001</v>
      </c>
      <c r="AW8">
        <v>0.0</v>
      </c>
      <c r="AX8">
        <v>0.0</v>
      </c>
      <c r="AY8" t="s">
        <v>39</v>
      </c>
      <c r="AZ8">
        <v>0.0</v>
      </c>
      <c r="BA8" s="9" t="s">
        <v>40</v>
      </c>
      <c r="BC8">
        <v>0.0</v>
      </c>
      <c r="BD8" t="s">
        <v>41</v>
      </c>
      <c r="BE8">
        <v>200.0</v>
      </c>
      <c r="BF8">
        <v>200.0</v>
      </c>
      <c r="BJ8">
        <v>100.0</v>
      </c>
      <c r="BK8">
        <v>0.0</v>
      </c>
      <c r="BL8" t="s">
        <v>23</v>
      </c>
      <c r="BM8" t="s">
        <v>33</v>
      </c>
      <c r="BO8" t="s">
        <v>42</v>
      </c>
      <c r="BP8">
        <v>0.0</v>
      </c>
      <c r="BQ8">
        <v>0.0</v>
      </c>
      <c r="BR8">
        <v>1.0E-4</v>
      </c>
      <c r="BS8" t="s">
        <v>43</v>
      </c>
      <c r="BT8" t="s">
        <v>17</v>
      </c>
      <c r="BU8">
        <v>3.0</v>
      </c>
      <c r="BV8">
        <v>0.0</v>
      </c>
      <c r="BW8">
        <v>14.0001</v>
      </c>
      <c r="BX8">
        <v>0.0</v>
      </c>
      <c r="BY8" t="s">
        <v>23</v>
      </c>
      <c r="BZ8" t="s">
        <v>23</v>
      </c>
      <c r="CA8" t="s">
        <v>23</v>
      </c>
      <c r="CB8" t="s">
        <v>23</v>
      </c>
      <c r="CC8" t="s">
        <v>23</v>
      </c>
      <c r="CD8" t="s">
        <v>23</v>
      </c>
      <c r="CF8" t="s">
        <v>44</v>
      </c>
      <c r="CG8">
        <v>2.0</v>
      </c>
      <c r="CH8" t="s">
        <v>12</v>
      </c>
      <c r="CI8" t="s">
        <v>42</v>
      </c>
      <c r="CJ8">
        <v>0.0</v>
      </c>
      <c r="CK8" t="s">
        <v>45</v>
      </c>
      <c r="CL8">
        <v>1.0</v>
      </c>
      <c r="CM8" t="s">
        <v>17</v>
      </c>
      <c r="CN8" t="s">
        <v>59</v>
      </c>
      <c r="CO8" t="s">
        <v>34</v>
      </c>
      <c r="CP8" t="s">
        <v>47</v>
      </c>
      <c r="CS8" t="s">
        <v>23</v>
      </c>
      <c r="CW8">
        <v>0.0</v>
      </c>
      <c r="CX8" t="s">
        <v>48</v>
      </c>
      <c r="CY8" t="s">
        <v>23</v>
      </c>
      <c r="CZ8" t="s">
        <v>23</v>
      </c>
      <c r="DA8" t="s">
        <v>23</v>
      </c>
      <c r="DB8" t="s">
        <v>23</v>
      </c>
      <c r="DC8" t="s">
        <v>23</v>
      </c>
      <c r="DD8" t="s">
        <v>23</v>
      </c>
      <c r="DE8" t="s">
        <v>23</v>
      </c>
      <c r="DF8" t="s">
        <v>23</v>
      </c>
      <c r="DG8" t="s">
        <v>23</v>
      </c>
      <c r="DH8" t="s">
        <v>23</v>
      </c>
      <c r="DI8" t="s">
        <v>23</v>
      </c>
      <c r="DJ8" t="s">
        <v>23</v>
      </c>
      <c r="DK8" t="s">
        <v>23</v>
      </c>
      <c r="DL8" t="s">
        <v>23</v>
      </c>
      <c r="DM8" t="s">
        <v>23</v>
      </c>
      <c r="DN8" t="s">
        <v>23</v>
      </c>
      <c r="DO8" t="s">
        <v>23</v>
      </c>
      <c r="DP8" t="s">
        <v>23</v>
      </c>
      <c r="DQ8" t="s">
        <v>23</v>
      </c>
      <c r="DR8" t="s">
        <v>23</v>
      </c>
      <c r="DS8" t="s">
        <v>23</v>
      </c>
      <c r="DT8" t="s">
        <v>23</v>
      </c>
      <c r="DU8" t="s">
        <v>23</v>
      </c>
      <c r="DV8" t="s">
        <v>23</v>
      </c>
      <c r="DW8" t="s">
        <v>23</v>
      </c>
      <c r="DX8" t="s">
        <v>23</v>
      </c>
      <c r="DY8" t="s">
        <v>23</v>
      </c>
      <c r="DZ8" t="s">
        <v>23</v>
      </c>
      <c r="EA8" t="s">
        <v>23</v>
      </c>
      <c r="EB8" t="s">
        <v>23</v>
      </c>
      <c r="EC8" t="s">
        <v>23</v>
      </c>
      <c r="ED8" t="s">
        <v>23</v>
      </c>
      <c r="EE8" t="s">
        <v>23</v>
      </c>
      <c r="EF8" t="s">
        <v>23</v>
      </c>
      <c r="EG8" t="s">
        <v>23</v>
      </c>
      <c r="EH8" t="s">
        <v>23</v>
      </c>
      <c r="EI8" t="s">
        <v>23</v>
      </c>
      <c r="EJ8" t="s">
        <v>23</v>
      </c>
      <c r="EK8" t="s">
        <v>23</v>
      </c>
      <c r="EL8" t="s">
        <v>23</v>
      </c>
      <c r="EM8" t="s">
        <v>23</v>
      </c>
      <c r="EN8" t="s">
        <v>23</v>
      </c>
      <c r="EO8" t="s">
        <v>23</v>
      </c>
      <c r="EP8" t="s">
        <v>23</v>
      </c>
      <c r="EQ8" t="s">
        <v>23</v>
      </c>
      <c r="ER8" t="s">
        <v>23</v>
      </c>
      <c r="ES8" t="s">
        <v>23</v>
      </c>
      <c r="ET8" t="s">
        <v>23</v>
      </c>
      <c r="EU8" t="s">
        <v>23</v>
      </c>
      <c r="EV8" t="s">
        <v>23</v>
      </c>
      <c r="EW8" t="s">
        <v>23</v>
      </c>
      <c r="EX8" t="s">
        <v>23</v>
      </c>
      <c r="EY8" t="s">
        <v>23</v>
      </c>
      <c r="EZ8" t="s">
        <v>23</v>
      </c>
      <c r="FA8" t="s">
        <v>23</v>
      </c>
      <c r="FB8" t="s">
        <v>23</v>
      </c>
      <c r="FC8" t="s">
        <v>23</v>
      </c>
      <c r="FD8" t="s">
        <v>23</v>
      </c>
      <c r="FE8" t="s">
        <v>23</v>
      </c>
      <c r="FF8" t="s">
        <v>23</v>
      </c>
      <c r="FG8" t="s">
        <v>23</v>
      </c>
      <c r="FH8" t="s">
        <v>23</v>
      </c>
      <c r="FI8" t="s">
        <v>23</v>
      </c>
      <c r="FJ8" t="s">
        <v>23</v>
      </c>
      <c r="FK8" t="s">
        <v>23</v>
      </c>
      <c r="FL8" t="s">
        <v>23</v>
      </c>
      <c r="FM8" t="s">
        <v>23</v>
      </c>
      <c r="FN8" t="s">
        <v>23</v>
      </c>
      <c r="FO8" t="s">
        <v>23</v>
      </c>
      <c r="FP8" t="s">
        <v>23</v>
      </c>
      <c r="FQ8" t="s">
        <v>23</v>
      </c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