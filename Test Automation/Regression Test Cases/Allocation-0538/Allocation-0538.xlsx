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SetGeneralPreferences" sheetId="5" r:id="rId7"/>
    <sheet state="visible" name="GetDataAllocation" sheetId="6" r:id="rId8"/>
    <sheet state="visible" name="CheckAllocatedGroups" sheetId="7" r:id="rId9"/>
  </sheets>
  <definedNames/>
  <calcPr/>
</workbook>
</file>

<file path=xl/sharedStrings.xml><?xml version="1.0" encoding="utf-8"?>
<sst xmlns="http://schemas.openxmlformats.org/spreadsheetml/2006/main" count="89" uniqueCount="42">
  <si>
    <t>Modules Info</t>
  </si>
  <si>
    <t>Modules</t>
  </si>
  <si>
    <t>Settings</t>
  </si>
  <si>
    <t>Module Step Setting File</t>
  </si>
  <si>
    <t>1FZCVS2VC_twlXn-YuKs0geSTaoYC6DdDpApdjwKtVWo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</si>
  <si>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</si>
  <si>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</si>
  <si>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</si>
  <si>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</si>
  <si>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</si>
  <si>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</si>
  <si>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</si>
  <si>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</si>
  <si>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</si>
  <si>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</si>
  <si>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</si>
  <si>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CL F9</t>
  </si>
  <si>
    <t>Buy</t>
  </si>
  <si>
    <t>ES H9</t>
  </si>
  <si>
    <t>Allocation</t>
  </si>
  <si>
    <t>SetGeneralPreferences</t>
  </si>
  <si>
    <t>Future</t>
  </si>
  <si>
    <t>GetDataAllocation</t>
  </si>
  <si>
    <t>Current</t>
  </si>
  <si>
    <t>CheckAllocatedGroups</t>
  </si>
  <si>
    <t>Allocation1</t>
  </si>
  <si>
    <t>MS</t>
  </si>
  <si>
    <t>CL JAN Future</t>
  </si>
  <si>
    <t>USD</t>
  </si>
  <si>
    <t>BrokerNotes</t>
  </si>
  <si>
    <t>NYME</t>
  </si>
  <si>
    <t>M</t>
  </si>
  <si>
    <t>None</t>
  </si>
  <si>
    <t>Market</t>
  </si>
  <si>
    <t>InternalOrder</t>
  </si>
  <si>
    <t>GCCAP1</t>
  </si>
  <si>
    <t>US</t>
  </si>
  <si>
    <t>jpearce</t>
  </si>
  <si>
    <t>NASDAQ</t>
  </si>
  <si>
    <t>NONE</t>
  </si>
  <si>
    <t>ES MAR Future</t>
  </si>
  <si>
    <t>CMEE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</si>
</sst>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 h:mm:ss am/pm"/>
    <numFmt numFmtId="165" formatCode="m/d/yyyy h:mm"/>
    <numFmt numFmtId="166" formatCode="m/d/yyyy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0" fillId="0" fontId="14" numFmtId="0" xfId="0" applyAlignment="1" applyFont="1">
      <alignment readingOrder="0" shrinkToFit="0" vertical="bottom" wrapText="0"/>
    </xf>
    <xf borderId="0" fillId="0" fontId="14" numFmtId="0" xfId="0" applyAlignment="1" applyFont="1">
      <alignment horizontal="right" readingOrder="0" shrinkToFit="0" vertical="bottom" wrapText="0"/>
    </xf>
    <xf borderId="0" fillId="0" fontId="14" numFmtId="0" xfId="0" applyAlignment="1" applyFont="1">
      <alignment shrinkToFit="0" vertical="bottom" wrapText="0"/>
    </xf>
    <xf borderId="0" fillId="0" fontId="14" numFmtId="4" xfId="0" applyAlignment="1" applyFont="1" applyNumberFormat="1">
      <alignment horizontal="right" readingOrder="0" shrinkToFit="0" vertical="bottom" wrapText="0"/>
    </xf>
    <xf borderId="0" fillId="0" fontId="14" numFmtId="164" xfId="0" applyAlignment="1" applyFont="1" applyNumberFormat="1">
      <alignment readingOrder="0" shrinkToFit="0" vertical="bottom" wrapText="0"/>
    </xf>
    <xf borderId="0" fillId="0" fontId="14" numFmtId="165" xfId="0" applyAlignment="1" applyFont="1" applyNumberFormat="1">
      <alignment horizontal="right" readingOrder="0" shrinkToFit="0" vertical="bottom" wrapText="0"/>
    </xf>
    <xf borderId="0" fillId="0" fontId="14" numFmtId="166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IFERROR(__xludf.DUMMYFUNCTION("""COMPUTED_VALUE"""),"1bZD_br9hnE6AoS35Ty0SStxuCVDXYGgzotj5gsTsrUg")</f>
        <v>1bZD_br9hnE6AoS35Ty0SStxuCVDXYGgzotj5gsTsrUg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IFERROR(__xludf.DUMMYFUNCTION("""COMPUTED_VALUE"""),"1TeGYQgGxypH87IAS1MA8NIqqh4_U0q0H_IsXTnmORFw")</f>
        <v>1TeGYQgGxypH87IAS1MA8NIqqh4_U0q0H_IsXTnmORFw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100.0</v>
      </c>
      <c r="E6" s="31"/>
      <c r="F6" s="8"/>
      <c r="G6" s="8"/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13" t="s">
        <v>18</v>
      </c>
      <c r="C7" s="13" t="s">
        <v>17</v>
      </c>
      <c r="D7" s="13">
        <v>100.0</v>
      </c>
      <c r="E7" s="8"/>
      <c r="F7" s="8"/>
      <c r="G7" s="8"/>
      <c r="H7" s="8"/>
      <c r="I7" s="8"/>
      <c r="J7" s="13">
        <v>10.0</v>
      </c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IFERROR(__xludf.DUMMYFUNCTION("""COMPUTED_VALUE"""),"ValidateCheckSide")</f>
        <v>ValidateCheckSide</v>
      </c>
      <c r="C5" s="28" t="str">
        <f>IFERROR(__xludf.DUMMYFUNCTION("""COMPUTED_VALUE"""),"DisabledChecksideAssets")</f>
        <v>DisabledChecksideAssets</v>
      </c>
      <c r="D5" s="28" t="str">
        <f>IFERROR(__xludf.DUMMYFUNCTION("""COMPUTED_VALUE"""),"PrecisionValue")</f>
        <v>PrecisionValue</v>
      </c>
      <c r="E5" s="28" t="str">
        <f>IFERROR(__xludf.DUMMYFUNCTION("""COMPUTED_VALUE"""),"UseCommissionInNetAmount")</f>
        <v>UseCommissionInNetAmount</v>
      </c>
      <c r="F5" s="29" t="str">
        <f>IFERROR(__xludf.DUMMYFUNCTION("""COMPUTED_VALUE"""),"SaveWithoutState")</f>
        <v>SaveWithoutState</v>
      </c>
      <c r="G5" s="28" t="str">
        <f>IFERROR(__xludf.DUMMYFUNCTION("""COMPUTED_VALUE"""),"SaveWithState")</f>
        <v>SaveWithState</v>
      </c>
      <c r="H5" s="28" t="str">
        <f>IFERROR(__xludf.DUMMYFUNCTION("""COMPUTED_VALUE"""),"ClearQuantities")</f>
        <v>ClearQuantities</v>
      </c>
      <c r="I5" s="28" t="str">
        <f>IFERROR(__xludf.DUMMYFUNCTION("""COMPUTED_VALUE"""),"ReapplyAllocation")</f>
        <v>ReapplyAllocation</v>
      </c>
      <c r="J5" s="28" t="str">
        <f>IFERROR(__xludf.DUMMYFUNCTION("""COMPUTED_VALUE"""),"DefaultAllocation")</f>
        <v>DefaultAllocation</v>
      </c>
      <c r="K5" s="28" t="str">
        <f>IFERROR(__xludf.DUMMYFUNCTION("""COMPUTED_VALUE"""),"IsCustomPreference")</f>
        <v>IsCustomPreference</v>
      </c>
      <c r="L5" s="28" t="str">
        <f>IFERROR(__xludf.DUMMYFUNCTION("""COMPUTED_VALUE"""),"AllocationMethod")</f>
        <v>AllocationMethod</v>
      </c>
      <c r="M5" s="28" t="str">
        <f>IFERROR(__xludf.DUMMYFUNCTION("""COMPUTED_VALUE"""),"RemainderAllocationTo")</f>
        <v>RemainderAllocationTo</v>
      </c>
      <c r="N5" s="28" t="str">
        <f>IFERROR(__xludf.DUMMYFUNCTION("""COMPUTED_VALUE"""),"Target%AsOf")</f>
        <v>Target%AsOf</v>
      </c>
      <c r="O5" s="28" t="str">
        <f>IFERROR(__xludf.DUMMYFUNCTION("""COMPUTED_VALUE"""),"ProrataAccounts")</f>
        <v>ProrataAccounts</v>
      </c>
      <c r="P5" s="28" t="str">
        <f>IFERROR(__xludf.DUMMYFUNCTION("""COMPUTED_VALUE"""),"DateUptoDays")</f>
        <v>DateUptoDays</v>
      </c>
      <c r="Q5" s="28" t="str">
        <f>IFERROR(__xludf.DUMMYFUNCTION("""COMPUTED_VALUE"""),"MatchClosing")</f>
        <v>MatchClosing</v>
      </c>
      <c r="R5" s="28" t="str">
        <f>IFERROR(__xludf.DUMMYFUNCTION("""COMPUTED_VALUE"""),"CommissionAlertOnBrokerChange")</f>
        <v>CommissionAlertOnBrokerChange</v>
      </c>
      <c r="S5" s="28" t="str">
        <f>IFERROR(__xludf.DUMMYFUNCTION("""COMPUTED_VALUE"""),"RecalculateCommissionOnBrokerChange")</f>
        <v>RecalculateCommissionOnBrokerChange</v>
      </c>
      <c r="T5" s="30" t="str">
        <f>IFERROR(__xludf.DUMMYFUNCTION("""COMPUTED_VALUE"""),"CommissionAlertOnAllocation")</f>
        <v>CommissionAlertOnAllocation</v>
      </c>
      <c r="U5" s="30" t="str">
        <f>IFERROR(__xludf.DUMMYFUNCTION("""COMPUTED_VALUE"""),"RecalculateCommissionOnAllocation")</f>
        <v>RecalculateCommissionOnAllocation</v>
      </c>
      <c r="V5" s="30" t="str">
        <f>IFERROR(__xludf.DUMMYFUNCTION("""COMPUTED_VALUE"""),"EnableMasterFund")</f>
        <v>EnableMasterFund</v>
      </c>
      <c r="W5" s="30" t="str">
        <f>IFERROR(__xludf.DUMMYFUNCTION("""COMPUTED_VALUE"""),"1MasterFund/1Symbol")</f>
        <v>1MasterFund/1Symbol</v>
      </c>
      <c r="X5" s="30" t="str">
        <f>IFERROR(__xludf.DUMMYFUNCTION("""COMPUTED_VALUE"""),"ProrataSchemeName")</f>
        <v>ProrataSchemeName</v>
      </c>
      <c r="Y5" s="30" t="str">
        <f>IFERROR(__xludf.DUMMYFUNCTION("""COMPUTED_VALUE"""),"ProrataAllocationSchemeBasis")</f>
        <v>ProrataAllocationSchemeBasis</v>
      </c>
      <c r="Z5" s="30" t="str">
        <f>IFERROR(__xludf.DUMMYFUNCTION("""COMPUTED_VALUE"""),"ShowAdvancedProrataUI")</f>
        <v>ShowAdvancedProrataUI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13" t="s">
        <v>21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SetGeneralPreferences!$4:$4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23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 t="s">
        <v>25</v>
      </c>
      <c r="C6" s="32"/>
      <c r="D6" s="33"/>
      <c r="E6" s="33">
        <v>100.0</v>
      </c>
      <c r="F6" s="32"/>
      <c r="G6" s="32" t="s">
        <v>21</v>
      </c>
      <c r="H6" s="33"/>
      <c r="I6" s="33"/>
      <c r="J6" s="33"/>
      <c r="K6" s="33"/>
      <c r="L6" s="33"/>
      <c r="M6" s="34"/>
      <c r="N6" s="32"/>
      <c r="O6" s="32" t="s">
        <v>26</v>
      </c>
      <c r="P6" s="34"/>
      <c r="Q6" s="33"/>
      <c r="R6" s="33"/>
      <c r="S6" s="32"/>
      <c r="T6" s="33"/>
      <c r="U6" s="33"/>
      <c r="V6" s="32" t="s">
        <v>27</v>
      </c>
      <c r="W6" s="35"/>
      <c r="X6" s="33"/>
      <c r="Y6" s="34"/>
      <c r="Z6" s="32" t="s">
        <v>28</v>
      </c>
      <c r="AA6" s="34"/>
      <c r="AB6" s="33">
        <v>1.0</v>
      </c>
      <c r="AC6" s="32" t="s">
        <v>29</v>
      </c>
      <c r="AD6" s="32" t="s">
        <v>30</v>
      </c>
      <c r="AE6" s="33"/>
      <c r="AF6" s="36"/>
      <c r="AG6" s="37"/>
      <c r="AH6" s="32" t="s">
        <v>31</v>
      </c>
      <c r="AI6" s="33">
        <v>1.0</v>
      </c>
      <c r="AJ6" s="32" t="s">
        <v>32</v>
      </c>
      <c r="AK6" s="34"/>
      <c r="AL6" s="34"/>
      <c r="AM6" s="32"/>
      <c r="AN6" s="32"/>
      <c r="AO6" s="34"/>
      <c r="AP6" s="32"/>
      <c r="AQ6" s="32"/>
      <c r="AR6" s="32"/>
      <c r="AS6" s="33"/>
      <c r="AT6" s="33"/>
      <c r="AU6" s="33"/>
      <c r="AV6" s="37"/>
      <c r="AW6" s="33"/>
      <c r="AX6" s="33"/>
      <c r="AY6" s="32" t="s">
        <v>33</v>
      </c>
      <c r="AZ6" s="33"/>
      <c r="BA6" s="37"/>
      <c r="BB6" s="34"/>
      <c r="BC6" s="33"/>
      <c r="BD6" s="32" t="s">
        <v>34</v>
      </c>
      <c r="BE6" s="35">
        <v>1000000.0</v>
      </c>
      <c r="BF6" s="35">
        <v>1000000.0</v>
      </c>
      <c r="BG6" s="37"/>
      <c r="BH6" s="34"/>
      <c r="BI6" s="34"/>
      <c r="BJ6" s="33">
        <v>100.0</v>
      </c>
      <c r="BK6" s="33"/>
      <c r="BL6" s="34"/>
      <c r="BM6" s="32" t="s">
        <v>28</v>
      </c>
      <c r="BN6" s="37"/>
      <c r="BO6" s="32" t="s">
        <v>17</v>
      </c>
      <c r="BP6" s="33"/>
      <c r="BQ6" s="33"/>
      <c r="BR6" s="33"/>
      <c r="BS6" s="32"/>
      <c r="BT6" s="32" t="s">
        <v>16</v>
      </c>
      <c r="BU6" s="33"/>
      <c r="BV6" s="33"/>
      <c r="BW6" s="33"/>
      <c r="BX6" s="33"/>
      <c r="BY6" s="34"/>
      <c r="BZ6" s="34"/>
      <c r="CA6" s="34"/>
      <c r="CB6" s="34"/>
      <c r="CC6" s="34"/>
      <c r="CD6" s="34"/>
      <c r="CE6" s="37"/>
      <c r="CF6" s="32" t="s">
        <v>35</v>
      </c>
      <c r="CG6" s="33"/>
      <c r="CH6" s="32" t="s">
        <v>12</v>
      </c>
      <c r="CI6" s="32" t="s">
        <v>17</v>
      </c>
      <c r="CJ6" s="33"/>
      <c r="CK6" s="32" t="s">
        <v>36</v>
      </c>
      <c r="CL6" s="33">
        <v>1.0</v>
      </c>
      <c r="CM6" s="32" t="s">
        <v>16</v>
      </c>
      <c r="CN6" s="32" t="s">
        <v>37</v>
      </c>
      <c r="CO6" s="32" t="s">
        <v>38</v>
      </c>
      <c r="CP6" s="32" t="s">
        <v>39</v>
      </c>
      <c r="CQ6" s="36"/>
      <c r="CR6" s="33"/>
      <c r="CS6" s="34"/>
      <c r="CT6" s="34"/>
      <c r="CU6" s="34"/>
    </row>
    <row r="7" ht="15.75" customHeight="1">
      <c r="A7" s="8"/>
      <c r="B7" s="32" t="s">
        <v>25</v>
      </c>
      <c r="C7" s="32"/>
      <c r="D7" s="33"/>
      <c r="E7" s="33">
        <v>100.0</v>
      </c>
      <c r="F7" s="32"/>
      <c r="G7" s="32" t="s">
        <v>21</v>
      </c>
      <c r="H7" s="33"/>
      <c r="I7" s="33"/>
      <c r="J7" s="33"/>
      <c r="K7" s="33"/>
      <c r="L7" s="33"/>
      <c r="M7" s="34"/>
      <c r="N7" s="32"/>
      <c r="O7" s="32" t="s">
        <v>26</v>
      </c>
      <c r="P7" s="34"/>
      <c r="Q7" s="33"/>
      <c r="R7" s="33"/>
      <c r="S7" s="32"/>
      <c r="T7" s="33"/>
      <c r="U7" s="33"/>
      <c r="V7" s="32" t="s">
        <v>40</v>
      </c>
      <c r="W7" s="33"/>
      <c r="X7" s="33"/>
      <c r="Y7" s="34"/>
      <c r="Z7" s="32" t="s">
        <v>28</v>
      </c>
      <c r="AA7" s="34"/>
      <c r="AB7" s="33">
        <v>1.0</v>
      </c>
      <c r="AC7" s="32" t="s">
        <v>29</v>
      </c>
      <c r="AD7" s="32" t="s">
        <v>41</v>
      </c>
      <c r="AE7" s="33"/>
      <c r="AF7" s="36"/>
      <c r="AG7" s="38"/>
      <c r="AH7" s="32" t="s">
        <v>31</v>
      </c>
      <c r="AI7" s="33">
        <v>1.0</v>
      </c>
      <c r="AJ7" s="32" t="s">
        <v>32</v>
      </c>
      <c r="AK7" s="34"/>
      <c r="AL7" s="34"/>
      <c r="AM7" s="32"/>
      <c r="AN7" s="32"/>
      <c r="AO7" s="34"/>
      <c r="AP7" s="32"/>
      <c r="AQ7" s="32"/>
      <c r="AR7" s="32"/>
      <c r="AS7" s="33"/>
      <c r="AT7" s="33"/>
      <c r="AU7" s="33"/>
      <c r="AV7" s="37"/>
      <c r="AW7" s="33"/>
      <c r="AX7" s="33"/>
      <c r="AY7" s="32" t="s">
        <v>33</v>
      </c>
      <c r="AZ7" s="33"/>
      <c r="BA7" s="37"/>
      <c r="BB7" s="34"/>
      <c r="BC7" s="33"/>
      <c r="BD7" s="32" t="s">
        <v>34</v>
      </c>
      <c r="BE7" s="35">
        <v>50000.0</v>
      </c>
      <c r="BF7" s="35">
        <v>50000.0</v>
      </c>
      <c r="BG7" s="37"/>
      <c r="BH7" s="34"/>
      <c r="BI7" s="34"/>
      <c r="BJ7" s="33">
        <v>100.0</v>
      </c>
      <c r="BK7" s="33"/>
      <c r="BL7" s="34"/>
      <c r="BM7" s="32" t="s">
        <v>28</v>
      </c>
      <c r="BN7" s="37"/>
      <c r="BO7" s="32" t="s">
        <v>17</v>
      </c>
      <c r="BP7" s="33"/>
      <c r="BQ7" s="33"/>
      <c r="BR7" s="33"/>
      <c r="BS7" s="32"/>
      <c r="BT7" s="32" t="s">
        <v>18</v>
      </c>
      <c r="BU7" s="33"/>
      <c r="BV7" s="33"/>
      <c r="BW7" s="33"/>
      <c r="BX7" s="33"/>
      <c r="BY7" s="34"/>
      <c r="BZ7" s="34"/>
      <c r="CA7" s="34"/>
      <c r="CB7" s="34"/>
      <c r="CC7" s="34"/>
      <c r="CD7" s="34"/>
      <c r="CE7" s="37"/>
      <c r="CF7" s="32" t="s">
        <v>35</v>
      </c>
      <c r="CG7" s="33"/>
      <c r="CH7" s="32" t="s">
        <v>12</v>
      </c>
      <c r="CI7" s="32" t="s">
        <v>17</v>
      </c>
      <c r="CJ7" s="33"/>
      <c r="CK7" s="32" t="s">
        <v>36</v>
      </c>
      <c r="CL7" s="33">
        <v>1.0</v>
      </c>
      <c r="CM7" s="32" t="s">
        <v>18</v>
      </c>
      <c r="CN7" s="32" t="s">
        <v>37</v>
      </c>
      <c r="CO7" s="32" t="s">
        <v>38</v>
      </c>
      <c r="CP7" s="32" t="s">
        <v>39</v>
      </c>
      <c r="CQ7" s="36"/>
      <c r="CR7" s="33"/>
      <c r="CS7" s="34"/>
      <c r="CT7" s="34"/>
      <c r="CU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