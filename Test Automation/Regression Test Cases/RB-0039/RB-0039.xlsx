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<sst xmlns="http://schemas.openxmlformats.org/spreadsheetml/2006/main" count="120" uniqueCount="44">
  <si>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</si>
  <si>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</si>
  <si>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</si>
  <si>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</si>
  <si>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</si>
  <si>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</si>
  <si>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</si>
  <si>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</si>
  <si>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</si>
  <si>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</si>
  <si>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</si>
  <si>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</si>
  <si>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</si>
  <si>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</si>
  <si>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</si>
  <si>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</si>
  <si>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</si>
  <si>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</si>
  <si>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</si>
  <si>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</si>
  <si>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</si>
  <si>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</si>
  <si>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</si>
  <si>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</si>
  <si>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</si>
  <si>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</si>
  <si>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</si>
  <si>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</si>
  <si>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</si>
  <si>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</si>
  <si>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</si>
  <si>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</si>
  <si>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</si>
  <si>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</si>
  <si>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</si>
  <si>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</si>
  <si>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</si>
  <si>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Cash</t>
  </si>
  <si>
    <t>RunRebalance</t>
  </si>
  <si>
    <t>Nearest Round Off</t>
  </si>
  <si>
    <t>VerifyGridData</t>
  </si>
  <si>
    <t>Equity</t>
  </si>
  <si>
    <t>Long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</si>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</sst>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44774</v>
      </c>
      <c r="C6" s="31">
        <f t="shared" si="1"/>
        <v>44774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18</v>
      </c>
      <c r="D6" s="11">
        <v>10000.0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18</v>
      </c>
      <c r="D7" s="11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38">
        <v>100.0</v>
      </c>
      <c r="F6" s="36" t="s">
        <v>17</v>
      </c>
      <c r="G6" s="33"/>
      <c r="H6" s="33"/>
      <c r="I6" s="33"/>
      <c r="J6" s="38">
        <v>10.0</v>
      </c>
      <c r="K6" s="33"/>
      <c r="L6" s="33"/>
      <c r="M6" s="33"/>
      <c r="N6" s="39">
        <f t="shared" ref="N6:N8" si="1">TODAY()</f>
        <v>44775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22</v>
      </c>
      <c r="C7" s="40" t="s">
        <v>23</v>
      </c>
      <c r="D7" s="41">
        <v>100.0</v>
      </c>
      <c r="E7" s="41">
        <v>100.0</v>
      </c>
      <c r="F7" s="40" t="s">
        <v>19</v>
      </c>
      <c r="G7" s="34"/>
      <c r="H7" s="34"/>
      <c r="I7" s="34"/>
      <c r="J7" s="41">
        <v>10.0</v>
      </c>
      <c r="K7" s="34"/>
      <c r="L7" s="34"/>
      <c r="M7" s="34"/>
      <c r="N7" s="42">
        <f t="shared" si="1"/>
        <v>44775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41">
        <v>200.0</v>
      </c>
      <c r="E8" s="41">
        <v>200.0</v>
      </c>
      <c r="F8" s="40" t="s">
        <v>17</v>
      </c>
      <c r="G8" s="34"/>
      <c r="H8" s="34"/>
      <c r="I8" s="34"/>
      <c r="J8" s="41">
        <v>10.0</v>
      </c>
      <c r="K8" s="34"/>
      <c r="L8" s="34"/>
      <c r="M8" s="34"/>
      <c r="N8" s="42">
        <f t="shared" si="1"/>
        <v>44775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8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41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33" t="s">
        <v>30</v>
      </c>
      <c r="D6" s="32" t="s">
        <v>31</v>
      </c>
      <c r="E6" s="33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34</v>
      </c>
      <c r="D6" s="32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" width="27.75"/>
    <col customWidth="1" min="13" max="13" width="27.25"/>
    <col customWidth="1" min="14" max="15" width="12.63"/>
    <col customWidth="1" min="16" max="16" width="23.25"/>
    <col customWidth="1" min="17" max="17" width="27.13"/>
    <col customWidth="1" min="1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/>
      <c r="C6" s="43" t="s">
        <v>17</v>
      </c>
      <c r="D6" s="43" t="s">
        <v>37</v>
      </c>
      <c r="E6" s="43"/>
      <c r="F6" s="43"/>
      <c r="G6" s="44"/>
      <c r="H6" s="44"/>
      <c r="I6" s="44"/>
      <c r="J6" s="44"/>
      <c r="K6" s="44">
        <v>11000.0</v>
      </c>
      <c r="L6" s="44"/>
      <c r="M6" s="44">
        <v>11000.0</v>
      </c>
      <c r="N6" s="43"/>
      <c r="O6" s="44">
        <v>11000.0</v>
      </c>
      <c r="Q6" s="44">
        <v>11000.0</v>
      </c>
      <c r="R6" s="44"/>
      <c r="S6" s="44"/>
      <c r="T6" s="43"/>
    </row>
    <row r="7" ht="15.75" customHeight="1">
      <c r="A7" s="8"/>
      <c r="B7" s="43"/>
      <c r="C7" s="43" t="s">
        <v>19</v>
      </c>
      <c r="D7" s="43" t="s">
        <v>37</v>
      </c>
      <c r="E7" s="43"/>
      <c r="F7" s="43"/>
      <c r="G7" s="44"/>
      <c r="H7" s="44"/>
      <c r="I7" s="44"/>
      <c r="J7" s="44"/>
      <c r="K7" s="44">
        <v>19000.0</v>
      </c>
      <c r="L7" s="44"/>
      <c r="M7" s="44">
        <v>19000.0</v>
      </c>
      <c r="N7" s="43"/>
      <c r="O7" s="44">
        <v>19000.0</v>
      </c>
      <c r="Q7" s="44">
        <v>19000.0</v>
      </c>
      <c r="R7" s="44"/>
      <c r="S7" s="44"/>
      <c r="T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IFERROR(__xludf.DUMMYFUNCTION("""COMPUTED_VALUE"""),"ClearCalculations")</f>
        <v>ClearCalculations</v>
      </c>
      <c r="H4" s="24" t="str">
        <f>IFERROR(__xludf.DUMMYFUNCTION("""COMPUTED_VALUE"""),"ModifyRebalance")</f>
        <v>ModifyRebalance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IFERROR(__xludf.DUMMYFUNCTION("""COMPUTED_VALUE"""),"RebalanceViaBloomberg")</f>
        <v>RebalanceViaBloomberg</v>
      </c>
      <c r="N4" s="24" t="str">
        <f>IFERROR(__xludf.DUMMYFUNCTION("""COMPUTED_VALUE"""),"AddUserAdjustedNAV")</f>
        <v>AddUserAdjustedNAV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/>
      <c r="C6" s="43" t="s">
        <v>17</v>
      </c>
      <c r="D6" s="43" t="s">
        <v>22</v>
      </c>
      <c r="E6" s="43" t="s">
        <v>41</v>
      </c>
      <c r="F6" s="43" t="s">
        <v>42</v>
      </c>
      <c r="G6" s="44">
        <v>10.0</v>
      </c>
      <c r="H6" s="44">
        <v>10.0</v>
      </c>
      <c r="I6" s="44">
        <v>1.0</v>
      </c>
      <c r="J6" s="44">
        <v>10.0</v>
      </c>
      <c r="K6" s="44">
        <v>100.0</v>
      </c>
      <c r="L6" s="44">
        <v>1000.0</v>
      </c>
      <c r="M6" s="44">
        <v>1000.0</v>
      </c>
      <c r="N6" s="43">
        <v>6.48</v>
      </c>
      <c r="O6" s="44">
        <v>67.0</v>
      </c>
      <c r="Q6" s="44">
        <v>670.0</v>
      </c>
      <c r="R6" s="44">
        <v>-33.0</v>
      </c>
      <c r="S6" s="44">
        <v>-330.0</v>
      </c>
      <c r="T6" s="43"/>
    </row>
    <row r="7" ht="15.75" customHeight="1">
      <c r="A7" s="8"/>
      <c r="B7" s="43"/>
      <c r="C7" s="43" t="s">
        <v>19</v>
      </c>
      <c r="D7" s="43" t="s">
        <v>22</v>
      </c>
      <c r="E7" s="43" t="s">
        <v>41</v>
      </c>
      <c r="F7" s="43" t="s">
        <v>42</v>
      </c>
      <c r="G7" s="44">
        <v>10.0</v>
      </c>
      <c r="H7" s="44">
        <v>10.0</v>
      </c>
      <c r="I7" s="44">
        <v>1.0</v>
      </c>
      <c r="J7" s="44">
        <v>5.0</v>
      </c>
      <c r="K7" s="44">
        <v>100.0</v>
      </c>
      <c r="L7" s="44">
        <v>1000.0</v>
      </c>
      <c r="M7" s="44">
        <v>1000.0</v>
      </c>
      <c r="N7" s="43">
        <v>8.08</v>
      </c>
      <c r="O7" s="44">
        <v>167.0</v>
      </c>
      <c r="Q7" s="44">
        <v>1670.0</v>
      </c>
      <c r="R7" s="44">
        <v>67.0</v>
      </c>
      <c r="S7" s="44">
        <v>670.0</v>
      </c>
      <c r="T7" s="43"/>
    </row>
    <row r="8" ht="15.75" customHeight="1">
      <c r="A8" s="8"/>
      <c r="B8" s="43"/>
      <c r="C8" s="43" t="s">
        <v>17</v>
      </c>
      <c r="D8" s="43" t="s">
        <v>24</v>
      </c>
      <c r="E8" s="43" t="s">
        <v>41</v>
      </c>
      <c r="F8" s="43" t="s">
        <v>43</v>
      </c>
      <c r="G8" s="44">
        <v>10.0</v>
      </c>
      <c r="H8" s="44">
        <v>10.0</v>
      </c>
      <c r="I8" s="44">
        <v>1.0</v>
      </c>
      <c r="J8" s="44">
        <v>-20.0</v>
      </c>
      <c r="K8" s="44">
        <v>200.0</v>
      </c>
      <c r="L8" s="44">
        <v>-2000.0</v>
      </c>
      <c r="M8" s="44">
        <v>-2000.0</v>
      </c>
      <c r="N8" s="43">
        <v>-12.87</v>
      </c>
      <c r="O8" s="44">
        <v>133.0</v>
      </c>
      <c r="Q8" s="44">
        <v>-1330.0</v>
      </c>
      <c r="R8" s="44">
        <v>-67.0</v>
      </c>
      <c r="S8" s="44">
        <v>670.0</v>
      </c>
      <c r="T8" s="43"/>
    </row>
    <row r="9" ht="15.75" customHeight="1">
      <c r="A9" s="8"/>
      <c r="B9" s="43"/>
      <c r="C9" s="43" t="s">
        <v>17</v>
      </c>
      <c r="D9" s="43" t="s">
        <v>37</v>
      </c>
      <c r="E9" s="43" t="s">
        <v>37</v>
      </c>
      <c r="F9" s="43" t="s">
        <v>42</v>
      </c>
      <c r="G9" s="44">
        <v>1.0</v>
      </c>
      <c r="H9" s="44">
        <v>1.0</v>
      </c>
      <c r="I9" s="44">
        <v>1.0</v>
      </c>
      <c r="J9" s="44">
        <v>110.0</v>
      </c>
      <c r="K9" s="44">
        <v>11000.0</v>
      </c>
      <c r="L9" s="44">
        <v>11000.0</v>
      </c>
      <c r="M9" s="44">
        <v>11000.0</v>
      </c>
      <c r="N9" s="43">
        <v>106.39</v>
      </c>
      <c r="O9" s="44">
        <v>10993.0</v>
      </c>
      <c r="Q9" s="44">
        <v>10993.0</v>
      </c>
      <c r="R9" s="44">
        <v>-7.0</v>
      </c>
      <c r="S9" s="44">
        <v>-7.0</v>
      </c>
      <c r="T9" s="43"/>
    </row>
    <row r="10" ht="15.75" customHeight="1">
      <c r="A10" s="8"/>
      <c r="B10" s="43"/>
      <c r="C10" s="43" t="s">
        <v>19</v>
      </c>
      <c r="D10" s="43" t="s">
        <v>37</v>
      </c>
      <c r="E10" s="43" t="s">
        <v>37</v>
      </c>
      <c r="F10" s="43" t="s">
        <v>42</v>
      </c>
      <c r="G10" s="44">
        <v>1.0</v>
      </c>
      <c r="H10" s="44">
        <v>1.0</v>
      </c>
      <c r="I10" s="44">
        <v>1.0</v>
      </c>
      <c r="J10" s="44">
        <v>95.0</v>
      </c>
      <c r="K10" s="44">
        <v>19000.0</v>
      </c>
      <c r="L10" s="44">
        <v>19000.0</v>
      </c>
      <c r="M10" s="44">
        <v>19000.0</v>
      </c>
      <c r="N10" s="43">
        <v>91.92</v>
      </c>
      <c r="O10" s="44">
        <v>18997.0</v>
      </c>
      <c r="Q10" s="44">
        <v>18997.0</v>
      </c>
      <c r="R10" s="44">
        <v>-3.0</v>
      </c>
      <c r="S10" s="44">
        <v>-3.0</v>
      </c>
      <c r="T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